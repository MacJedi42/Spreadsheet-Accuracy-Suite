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9020" windowHeight="11640"/>
  </bookViews>
  <sheets>
    <sheet name="2010-11 SPED Receipts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D373" i="1"/>
  <c r="AC373"/>
  <c r="X372"/>
  <c r="W372"/>
  <c r="V372"/>
  <c r="U372"/>
  <c r="T372"/>
  <c r="Q372"/>
  <c r="Q374" s="1"/>
  <c r="P372"/>
  <c r="O372"/>
  <c r="N372"/>
  <c r="M372"/>
  <c r="J372"/>
  <c r="I372"/>
  <c r="H372"/>
  <c r="H374" s="1"/>
  <c r="G372"/>
  <c r="G374" s="1"/>
  <c r="F372"/>
  <c r="E372"/>
  <c r="AA371"/>
  <c r="AC371" s="1"/>
  <c r="Z371"/>
  <c r="Y371"/>
  <c r="S371"/>
  <c r="AB371" s="1"/>
  <c r="AD371" s="1"/>
  <c r="R371"/>
  <c r="L371"/>
  <c r="K371"/>
  <c r="Z370"/>
  <c r="Y370"/>
  <c r="S370"/>
  <c r="R370"/>
  <c r="L370"/>
  <c r="K370"/>
  <c r="AA370" s="1"/>
  <c r="AC370" s="1"/>
  <c r="Z369"/>
  <c r="Y369"/>
  <c r="S369"/>
  <c r="AB369" s="1"/>
  <c r="AD369" s="1"/>
  <c r="R369"/>
  <c r="K369"/>
  <c r="L369" s="1"/>
  <c r="Z368"/>
  <c r="Y368"/>
  <c r="S368"/>
  <c r="R368"/>
  <c r="L368"/>
  <c r="K368"/>
  <c r="AB367"/>
  <c r="AD367" s="1"/>
  <c r="AA367"/>
  <c r="AC367" s="1"/>
  <c r="Z367"/>
  <c r="Y367"/>
  <c r="S367"/>
  <c r="R367"/>
  <c r="L367"/>
  <c r="K367"/>
  <c r="Z366"/>
  <c r="Y366"/>
  <c r="S366"/>
  <c r="R366"/>
  <c r="K366"/>
  <c r="AA366" s="1"/>
  <c r="AC366" s="1"/>
  <c r="AC365"/>
  <c r="Z365"/>
  <c r="Y365"/>
  <c r="S365"/>
  <c r="AB365" s="1"/>
  <c r="AD365" s="1"/>
  <c r="R365"/>
  <c r="AA365" s="1"/>
  <c r="K365"/>
  <c r="L365" s="1"/>
  <c r="Z364"/>
  <c r="Y364"/>
  <c r="AA364" s="1"/>
  <c r="AC364" s="1"/>
  <c r="S364"/>
  <c r="R364"/>
  <c r="L364"/>
  <c r="K364"/>
  <c r="AB363"/>
  <c r="AD363" s="1"/>
  <c r="AA363"/>
  <c r="AC363" s="1"/>
  <c r="Z363"/>
  <c r="Y363"/>
  <c r="S363"/>
  <c r="R363"/>
  <c r="L363"/>
  <c r="K363"/>
  <c r="AC362"/>
  <c r="AA362"/>
  <c r="Z362"/>
  <c r="Y362"/>
  <c r="S362"/>
  <c r="R362"/>
  <c r="L362"/>
  <c r="K362"/>
  <c r="AB361"/>
  <c r="AD361" s="1"/>
  <c r="Z361"/>
  <c r="Y361"/>
  <c r="S361"/>
  <c r="R361"/>
  <c r="AA361" s="1"/>
  <c r="AC361" s="1"/>
  <c r="K361"/>
  <c r="L361" s="1"/>
  <c r="Z360"/>
  <c r="AB360" s="1"/>
  <c r="AD360" s="1"/>
  <c r="Y360"/>
  <c r="AA360" s="1"/>
  <c r="AC360" s="1"/>
  <c r="S360"/>
  <c r="R360"/>
  <c r="L360"/>
  <c r="K360"/>
  <c r="AB359"/>
  <c r="AD359" s="1"/>
  <c r="Z359"/>
  <c r="Y359"/>
  <c r="AA359" s="1"/>
  <c r="AC359" s="1"/>
  <c r="S359"/>
  <c r="R359"/>
  <c r="L359"/>
  <c r="K359"/>
  <c r="AA358"/>
  <c r="AC358" s="1"/>
  <c r="Z358"/>
  <c r="Y358"/>
  <c r="S358"/>
  <c r="R358"/>
  <c r="L358"/>
  <c r="K358"/>
  <c r="Z357"/>
  <c r="Y357"/>
  <c r="S357"/>
  <c r="R357"/>
  <c r="K357"/>
  <c r="L357" s="1"/>
  <c r="AB357" s="1"/>
  <c r="AD357" s="1"/>
  <c r="AD356"/>
  <c r="Z356"/>
  <c r="AB356" s="1"/>
  <c r="Y356"/>
  <c r="AA356" s="1"/>
  <c r="AC356" s="1"/>
  <c r="S356"/>
  <c r="R356"/>
  <c r="L356"/>
  <c r="K356"/>
  <c r="AB355"/>
  <c r="AD355" s="1"/>
  <c r="Z355"/>
  <c r="Y355"/>
  <c r="AA355" s="1"/>
  <c r="AC355" s="1"/>
  <c r="S355"/>
  <c r="R355"/>
  <c r="L355"/>
  <c r="K355"/>
  <c r="Z354"/>
  <c r="Y354"/>
  <c r="S354"/>
  <c r="R354"/>
  <c r="K354"/>
  <c r="L354" s="1"/>
  <c r="AC353"/>
  <c r="Z353"/>
  <c r="Y353"/>
  <c r="S353"/>
  <c r="AB353" s="1"/>
  <c r="AD353" s="1"/>
  <c r="R353"/>
  <c r="AA353" s="1"/>
  <c r="K353"/>
  <c r="L353" s="1"/>
  <c r="AD352"/>
  <c r="Z352"/>
  <c r="AB352" s="1"/>
  <c r="Y352"/>
  <c r="S352"/>
  <c r="R352"/>
  <c r="L352"/>
  <c r="K352"/>
  <c r="AA351"/>
  <c r="AC351" s="1"/>
  <c r="Z351"/>
  <c r="Y351"/>
  <c r="S351"/>
  <c r="AB351" s="1"/>
  <c r="AD351" s="1"/>
  <c r="R351"/>
  <c r="L351"/>
  <c r="K351"/>
  <c r="AC350"/>
  <c r="AA350"/>
  <c r="Z350"/>
  <c r="AB350" s="1"/>
  <c r="AD350" s="1"/>
  <c r="Y350"/>
  <c r="S350"/>
  <c r="R350"/>
  <c r="L350"/>
  <c r="K350"/>
  <c r="AC349"/>
  <c r="Z349"/>
  <c r="Y349"/>
  <c r="S349"/>
  <c r="AB349" s="1"/>
  <c r="AD349" s="1"/>
  <c r="R349"/>
  <c r="AA349" s="1"/>
  <c r="K349"/>
  <c r="L349" s="1"/>
  <c r="Z348"/>
  <c r="AB348" s="1"/>
  <c r="AD348" s="1"/>
  <c r="Y348"/>
  <c r="S348"/>
  <c r="R348"/>
  <c r="L348"/>
  <c r="K348"/>
  <c r="Z347"/>
  <c r="Y347"/>
  <c r="AA347" s="1"/>
  <c r="AC347" s="1"/>
  <c r="S347"/>
  <c r="AB347" s="1"/>
  <c r="AD347" s="1"/>
  <c r="R347"/>
  <c r="L347"/>
  <c r="K347"/>
  <c r="AA346"/>
  <c r="AC346" s="1"/>
  <c r="Z346"/>
  <c r="AB346" s="1"/>
  <c r="AD346" s="1"/>
  <c r="Y346"/>
  <c r="S346"/>
  <c r="R346"/>
  <c r="L346"/>
  <c r="K346"/>
  <c r="AB345"/>
  <c r="AD345" s="1"/>
  <c r="Z345"/>
  <c r="Y345"/>
  <c r="S345"/>
  <c r="R345"/>
  <c r="AA345" s="1"/>
  <c r="AC345" s="1"/>
  <c r="K345"/>
  <c r="L345" s="1"/>
  <c r="Z344"/>
  <c r="Y344"/>
  <c r="AA344" s="1"/>
  <c r="AC344" s="1"/>
  <c r="S344"/>
  <c r="R344"/>
  <c r="L344"/>
  <c r="K344"/>
  <c r="Z343"/>
  <c r="Y343"/>
  <c r="AA343" s="1"/>
  <c r="AC343" s="1"/>
  <c r="S343"/>
  <c r="AB343" s="1"/>
  <c r="AD343" s="1"/>
  <c r="R343"/>
  <c r="L343"/>
  <c r="K343"/>
  <c r="Z342"/>
  <c r="AB342" s="1"/>
  <c r="AD342" s="1"/>
  <c r="Y342"/>
  <c r="S342"/>
  <c r="R342"/>
  <c r="L342"/>
  <c r="K342"/>
  <c r="AA342" s="1"/>
  <c r="AC342" s="1"/>
  <c r="Z341"/>
  <c r="Y341"/>
  <c r="S341"/>
  <c r="AB341" s="1"/>
  <c r="AD341" s="1"/>
  <c r="R341"/>
  <c r="AA341" s="1"/>
  <c r="AC341" s="1"/>
  <c r="K341"/>
  <c r="L341" s="1"/>
  <c r="Z340"/>
  <c r="Y340"/>
  <c r="S340"/>
  <c r="R340"/>
  <c r="L340"/>
  <c r="K340"/>
  <c r="AA339"/>
  <c r="AC339" s="1"/>
  <c r="Z339"/>
  <c r="Y339"/>
  <c r="S339"/>
  <c r="AB339" s="1"/>
  <c r="AD339" s="1"/>
  <c r="R339"/>
  <c r="L339"/>
  <c r="K339"/>
  <c r="Z338"/>
  <c r="Y338"/>
  <c r="S338"/>
  <c r="R338"/>
  <c r="L338"/>
  <c r="K338"/>
  <c r="AA338" s="1"/>
  <c r="AC338" s="1"/>
  <c r="Z337"/>
  <c r="Y337"/>
  <c r="S337"/>
  <c r="R337"/>
  <c r="K337"/>
  <c r="X336"/>
  <c r="W336"/>
  <c r="V336"/>
  <c r="U336"/>
  <c r="T336"/>
  <c r="Q336"/>
  <c r="P336"/>
  <c r="O336"/>
  <c r="N336"/>
  <c r="N374" s="1"/>
  <c r="M336"/>
  <c r="J336"/>
  <c r="I336"/>
  <c r="H336"/>
  <c r="G336"/>
  <c r="F336"/>
  <c r="E336"/>
  <c r="AB335"/>
  <c r="AD335" s="1"/>
  <c r="Z335"/>
  <c r="Y335"/>
  <c r="AA335" s="1"/>
  <c r="AC335" s="1"/>
  <c r="S335"/>
  <c r="R335"/>
  <c r="L335"/>
  <c r="K335"/>
  <c r="Z334"/>
  <c r="Y334"/>
  <c r="S334"/>
  <c r="R334"/>
  <c r="K334"/>
  <c r="L334" s="1"/>
  <c r="AC333"/>
  <c r="Z333"/>
  <c r="Y333"/>
  <c r="S333"/>
  <c r="AB333" s="1"/>
  <c r="AD333" s="1"/>
  <c r="R333"/>
  <c r="AA333" s="1"/>
  <c r="K333"/>
  <c r="L333" s="1"/>
  <c r="AD332"/>
  <c r="Z332"/>
  <c r="AB332" s="1"/>
  <c r="Y332"/>
  <c r="S332"/>
  <c r="R332"/>
  <c r="L332"/>
  <c r="K332"/>
  <c r="AA331"/>
  <c r="AC331" s="1"/>
  <c r="Z331"/>
  <c r="Y331"/>
  <c r="S331"/>
  <c r="AB331" s="1"/>
  <c r="AD331" s="1"/>
  <c r="R331"/>
  <c r="L331"/>
  <c r="K331"/>
  <c r="AC330"/>
  <c r="AA330"/>
  <c r="Z330"/>
  <c r="AB330" s="1"/>
  <c r="AD330" s="1"/>
  <c r="Y330"/>
  <c r="S330"/>
  <c r="R330"/>
  <c r="L330"/>
  <c r="K330"/>
  <c r="AC329"/>
  <c r="Z329"/>
  <c r="Y329"/>
  <c r="S329"/>
  <c r="AB329" s="1"/>
  <c r="AD329" s="1"/>
  <c r="R329"/>
  <c r="AA329" s="1"/>
  <c r="K329"/>
  <c r="L329" s="1"/>
  <c r="Z328"/>
  <c r="AB328" s="1"/>
  <c r="AD328" s="1"/>
  <c r="Y328"/>
  <c r="S328"/>
  <c r="R328"/>
  <c r="L328"/>
  <c r="K328"/>
  <c r="Z327"/>
  <c r="Y327"/>
  <c r="AA327" s="1"/>
  <c r="AC327" s="1"/>
  <c r="S327"/>
  <c r="AB327" s="1"/>
  <c r="AD327" s="1"/>
  <c r="R327"/>
  <c r="L327"/>
  <c r="K327"/>
  <c r="AA326"/>
  <c r="AC326" s="1"/>
  <c r="Z326"/>
  <c r="AB326" s="1"/>
  <c r="AD326" s="1"/>
  <c r="Y326"/>
  <c r="S326"/>
  <c r="R326"/>
  <c r="L326"/>
  <c r="K326"/>
  <c r="AB325"/>
  <c r="AD325" s="1"/>
  <c r="Z325"/>
  <c r="Y325"/>
  <c r="S325"/>
  <c r="R325"/>
  <c r="AA325" s="1"/>
  <c r="AC325" s="1"/>
  <c r="K325"/>
  <c r="L325" s="1"/>
  <c r="Z324"/>
  <c r="Y324"/>
  <c r="AA324" s="1"/>
  <c r="AC324" s="1"/>
  <c r="S324"/>
  <c r="R324"/>
  <c r="L324"/>
  <c r="K324"/>
  <c r="Z323"/>
  <c r="Y323"/>
  <c r="Y336" s="1"/>
  <c r="S323"/>
  <c r="AB323" s="1"/>
  <c r="AD323" s="1"/>
  <c r="R323"/>
  <c r="L323"/>
  <c r="K323"/>
  <c r="Z322"/>
  <c r="AB322" s="1"/>
  <c r="AD322" s="1"/>
  <c r="Y322"/>
  <c r="S322"/>
  <c r="R322"/>
  <c r="L322"/>
  <c r="K322"/>
  <c r="AA322" s="1"/>
  <c r="AC322" s="1"/>
  <c r="Z321"/>
  <c r="Y321"/>
  <c r="S321"/>
  <c r="AB321" s="1"/>
  <c r="AD321" s="1"/>
  <c r="R321"/>
  <c r="AA321" s="1"/>
  <c r="AC321" s="1"/>
  <c r="K321"/>
  <c r="L321" s="1"/>
  <c r="Z320"/>
  <c r="Y320"/>
  <c r="S320"/>
  <c r="R320"/>
  <c r="L320"/>
  <c r="K320"/>
  <c r="AA319"/>
  <c r="AC319" s="1"/>
  <c r="Z319"/>
  <c r="Y319"/>
  <c r="S319"/>
  <c r="AB319" s="1"/>
  <c r="AD319" s="1"/>
  <c r="R319"/>
  <c r="L319"/>
  <c r="K319"/>
  <c r="Z318"/>
  <c r="Y318"/>
  <c r="S318"/>
  <c r="R318"/>
  <c r="L318"/>
  <c r="K318"/>
  <c r="AA318" s="1"/>
  <c r="AC318" s="1"/>
  <c r="Z317"/>
  <c r="Y317"/>
  <c r="S317"/>
  <c r="R317"/>
  <c r="K317"/>
  <c r="X316"/>
  <c r="W316"/>
  <c r="V316"/>
  <c r="V374" s="1"/>
  <c r="U316"/>
  <c r="T316"/>
  <c r="Q316"/>
  <c r="P316"/>
  <c r="O316"/>
  <c r="N316"/>
  <c r="M316"/>
  <c r="J316"/>
  <c r="I316"/>
  <c r="H316"/>
  <c r="G316"/>
  <c r="F316"/>
  <c r="E316"/>
  <c r="AB315"/>
  <c r="AD315" s="1"/>
  <c r="Z315"/>
  <c r="Y315"/>
  <c r="AA315" s="1"/>
  <c r="AC315" s="1"/>
  <c r="S315"/>
  <c r="R315"/>
  <c r="L315"/>
  <c r="K315"/>
  <c r="Z314"/>
  <c r="Y314"/>
  <c r="S314"/>
  <c r="R314"/>
  <c r="K314"/>
  <c r="L314" s="1"/>
  <c r="AC313"/>
  <c r="Z313"/>
  <c r="Y313"/>
  <c r="S313"/>
  <c r="AB313" s="1"/>
  <c r="AD313" s="1"/>
  <c r="R313"/>
  <c r="AA313" s="1"/>
  <c r="K313"/>
  <c r="L313" s="1"/>
  <c r="AD312"/>
  <c r="Z312"/>
  <c r="AB312" s="1"/>
  <c r="Y312"/>
  <c r="S312"/>
  <c r="R312"/>
  <c r="L312"/>
  <c r="K312"/>
  <c r="AA311"/>
  <c r="AC311" s="1"/>
  <c r="Z311"/>
  <c r="Y311"/>
  <c r="S311"/>
  <c r="AB311" s="1"/>
  <c r="AD311" s="1"/>
  <c r="R311"/>
  <c r="L311"/>
  <c r="K311"/>
  <c r="AC310"/>
  <c r="AA310"/>
  <c r="Z310"/>
  <c r="AB310" s="1"/>
  <c r="AD310" s="1"/>
  <c r="Y310"/>
  <c r="S310"/>
  <c r="R310"/>
  <c r="L310"/>
  <c r="K310"/>
  <c r="AC309"/>
  <c r="Z309"/>
  <c r="Y309"/>
  <c r="S309"/>
  <c r="AB309" s="1"/>
  <c r="AD309" s="1"/>
  <c r="R309"/>
  <c r="AA309" s="1"/>
  <c r="K309"/>
  <c r="L309" s="1"/>
  <c r="Z308"/>
  <c r="AB308" s="1"/>
  <c r="AD308" s="1"/>
  <c r="Y308"/>
  <c r="S308"/>
  <c r="R308"/>
  <c r="L308"/>
  <c r="K308"/>
  <c r="Z307"/>
  <c r="Y307"/>
  <c r="AA307" s="1"/>
  <c r="AC307" s="1"/>
  <c r="S307"/>
  <c r="AB307" s="1"/>
  <c r="AD307" s="1"/>
  <c r="R307"/>
  <c r="L307"/>
  <c r="K307"/>
  <c r="AA306"/>
  <c r="AC306" s="1"/>
  <c r="Z306"/>
  <c r="AB306" s="1"/>
  <c r="AD306" s="1"/>
  <c r="Y306"/>
  <c r="S306"/>
  <c r="R306"/>
  <c r="L306"/>
  <c r="K306"/>
  <c r="AB305"/>
  <c r="AD305" s="1"/>
  <c r="Z305"/>
  <c r="Y305"/>
  <c r="S305"/>
  <c r="R305"/>
  <c r="AA305" s="1"/>
  <c r="AC305" s="1"/>
  <c r="K305"/>
  <c r="L305" s="1"/>
  <c r="Z304"/>
  <c r="Y304"/>
  <c r="AA304" s="1"/>
  <c r="AC304" s="1"/>
  <c r="S304"/>
  <c r="R304"/>
  <c r="L304"/>
  <c r="K304"/>
  <c r="Z303"/>
  <c r="Y303"/>
  <c r="AA303" s="1"/>
  <c r="AC303" s="1"/>
  <c r="S303"/>
  <c r="AB303" s="1"/>
  <c r="AD303" s="1"/>
  <c r="R303"/>
  <c r="L303"/>
  <c r="K303"/>
  <c r="Z302"/>
  <c r="AB302" s="1"/>
  <c r="AD302" s="1"/>
  <c r="Y302"/>
  <c r="S302"/>
  <c r="R302"/>
  <c r="L302"/>
  <c r="K302"/>
  <c r="AA302" s="1"/>
  <c r="AC302" s="1"/>
  <c r="Z301"/>
  <c r="Y301"/>
  <c r="S301"/>
  <c r="AB301" s="1"/>
  <c r="AD301" s="1"/>
  <c r="R301"/>
  <c r="AA301" s="1"/>
  <c r="AC301" s="1"/>
  <c r="K301"/>
  <c r="L301" s="1"/>
  <c r="Z300"/>
  <c r="Y300"/>
  <c r="S300"/>
  <c r="R300"/>
  <c r="L300"/>
  <c r="K300"/>
  <c r="AA299"/>
  <c r="AC299" s="1"/>
  <c r="Z299"/>
  <c r="Y299"/>
  <c r="S299"/>
  <c r="AB299" s="1"/>
  <c r="AD299" s="1"/>
  <c r="R299"/>
  <c r="L299"/>
  <c r="K299"/>
  <c r="Z298"/>
  <c r="Y298"/>
  <c r="S298"/>
  <c r="R298"/>
  <c r="L298"/>
  <c r="K298"/>
  <c r="AA298" s="1"/>
  <c r="AC298" s="1"/>
  <c r="Z297"/>
  <c r="Y297"/>
  <c r="S297"/>
  <c r="AB297" s="1"/>
  <c r="AD297" s="1"/>
  <c r="R297"/>
  <c r="K297"/>
  <c r="L297" s="1"/>
  <c r="Z296"/>
  <c r="Y296"/>
  <c r="S296"/>
  <c r="R296"/>
  <c r="L296"/>
  <c r="K296"/>
  <c r="AB295"/>
  <c r="AD295" s="1"/>
  <c r="AA295"/>
  <c r="AC295" s="1"/>
  <c r="Z295"/>
  <c r="Y295"/>
  <c r="S295"/>
  <c r="R295"/>
  <c r="L295"/>
  <c r="K295"/>
  <c r="Z294"/>
  <c r="Y294"/>
  <c r="S294"/>
  <c r="R294"/>
  <c r="K294"/>
  <c r="AA294" s="1"/>
  <c r="AC294" s="1"/>
  <c r="AC293"/>
  <c r="Z293"/>
  <c r="Y293"/>
  <c r="S293"/>
  <c r="AB293" s="1"/>
  <c r="AD293" s="1"/>
  <c r="R293"/>
  <c r="AA293" s="1"/>
  <c r="K293"/>
  <c r="L293" s="1"/>
  <c r="Z292"/>
  <c r="Y292"/>
  <c r="AA292" s="1"/>
  <c r="AC292" s="1"/>
  <c r="S292"/>
  <c r="R292"/>
  <c r="L292"/>
  <c r="K292"/>
  <c r="AB291"/>
  <c r="AD291" s="1"/>
  <c r="AA291"/>
  <c r="AC291" s="1"/>
  <c r="Z291"/>
  <c r="Y291"/>
  <c r="S291"/>
  <c r="R291"/>
  <c r="L291"/>
  <c r="K291"/>
  <c r="AC290"/>
  <c r="AA290"/>
  <c r="Z290"/>
  <c r="Y290"/>
  <c r="S290"/>
  <c r="R290"/>
  <c r="L290"/>
  <c r="K290"/>
  <c r="AB289"/>
  <c r="AD289" s="1"/>
  <c r="Z289"/>
  <c r="Y289"/>
  <c r="S289"/>
  <c r="R289"/>
  <c r="AA289" s="1"/>
  <c r="AC289" s="1"/>
  <c r="K289"/>
  <c r="L289" s="1"/>
  <c r="Z288"/>
  <c r="AB288" s="1"/>
  <c r="AD288" s="1"/>
  <c r="Y288"/>
  <c r="AA288" s="1"/>
  <c r="AC288" s="1"/>
  <c r="S288"/>
  <c r="R288"/>
  <c r="L288"/>
  <c r="K288"/>
  <c r="AB287"/>
  <c r="AD287" s="1"/>
  <c r="Z287"/>
  <c r="Y287"/>
  <c r="Y316" s="1"/>
  <c r="S287"/>
  <c r="R287"/>
  <c r="L287"/>
  <c r="K287"/>
  <c r="AA286"/>
  <c r="AC286" s="1"/>
  <c r="Z286"/>
  <c r="Y286"/>
  <c r="S286"/>
  <c r="R286"/>
  <c r="L286"/>
  <c r="K286"/>
  <c r="Z285"/>
  <c r="Y285"/>
  <c r="S285"/>
  <c r="R285"/>
  <c r="K285"/>
  <c r="X284"/>
  <c r="W284"/>
  <c r="V284"/>
  <c r="U284"/>
  <c r="T284"/>
  <c r="Q284"/>
  <c r="P284"/>
  <c r="O284"/>
  <c r="N284"/>
  <c r="M284"/>
  <c r="J284"/>
  <c r="I284"/>
  <c r="H284"/>
  <c r="G284"/>
  <c r="F284"/>
  <c r="F374" s="1"/>
  <c r="E284"/>
  <c r="Z283"/>
  <c r="Y283"/>
  <c r="AA283" s="1"/>
  <c r="AC283" s="1"/>
  <c r="S283"/>
  <c r="AB283" s="1"/>
  <c r="AD283" s="1"/>
  <c r="R283"/>
  <c r="L283"/>
  <c r="K283"/>
  <c r="Z282"/>
  <c r="AB282" s="1"/>
  <c r="AD282" s="1"/>
  <c r="Y282"/>
  <c r="S282"/>
  <c r="R282"/>
  <c r="L282"/>
  <c r="K282"/>
  <c r="AA282" s="1"/>
  <c r="AC282" s="1"/>
  <c r="Z281"/>
  <c r="Y281"/>
  <c r="S281"/>
  <c r="AB281" s="1"/>
  <c r="AD281" s="1"/>
  <c r="R281"/>
  <c r="AA281" s="1"/>
  <c r="AC281" s="1"/>
  <c r="K281"/>
  <c r="L281" s="1"/>
  <c r="Z280"/>
  <c r="Y280"/>
  <c r="S280"/>
  <c r="R280"/>
  <c r="L280"/>
  <c r="K280"/>
  <c r="AA279"/>
  <c r="AC279" s="1"/>
  <c r="Z279"/>
  <c r="Y279"/>
  <c r="S279"/>
  <c r="AB279" s="1"/>
  <c r="AD279" s="1"/>
  <c r="R279"/>
  <c r="L279"/>
  <c r="K279"/>
  <c r="Z278"/>
  <c r="Y278"/>
  <c r="S278"/>
  <c r="R278"/>
  <c r="L278"/>
  <c r="K278"/>
  <c r="AA278" s="1"/>
  <c r="AC278" s="1"/>
  <c r="Z277"/>
  <c r="Y277"/>
  <c r="S277"/>
  <c r="AB277" s="1"/>
  <c r="AD277" s="1"/>
  <c r="R277"/>
  <c r="K277"/>
  <c r="L277" s="1"/>
  <c r="Z276"/>
  <c r="Y276"/>
  <c r="S276"/>
  <c r="R276"/>
  <c r="L276"/>
  <c r="K276"/>
  <c r="AB275"/>
  <c r="AD275" s="1"/>
  <c r="AA275"/>
  <c r="AC275" s="1"/>
  <c r="Z275"/>
  <c r="Y275"/>
  <c r="S275"/>
  <c r="R275"/>
  <c r="L275"/>
  <c r="K275"/>
  <c r="Z274"/>
  <c r="Y274"/>
  <c r="S274"/>
  <c r="R274"/>
  <c r="K274"/>
  <c r="AA274" s="1"/>
  <c r="AC274" s="1"/>
  <c r="AC273"/>
  <c r="Z273"/>
  <c r="Y273"/>
  <c r="S273"/>
  <c r="AB273" s="1"/>
  <c r="AD273" s="1"/>
  <c r="R273"/>
  <c r="AA273" s="1"/>
  <c r="K273"/>
  <c r="L273" s="1"/>
  <c r="Z272"/>
  <c r="Y272"/>
  <c r="AA272" s="1"/>
  <c r="AC272" s="1"/>
  <c r="S272"/>
  <c r="R272"/>
  <c r="L272"/>
  <c r="K272"/>
  <c r="AB271"/>
  <c r="AD271" s="1"/>
  <c r="AA271"/>
  <c r="AC271" s="1"/>
  <c r="Z271"/>
  <c r="Y271"/>
  <c r="S271"/>
  <c r="R271"/>
  <c r="L271"/>
  <c r="K271"/>
  <c r="AC270"/>
  <c r="AA270"/>
  <c r="Z270"/>
  <c r="Y270"/>
  <c r="S270"/>
  <c r="R270"/>
  <c r="L270"/>
  <c r="K270"/>
  <c r="AB269"/>
  <c r="AD269" s="1"/>
  <c r="Z269"/>
  <c r="Y269"/>
  <c r="S269"/>
  <c r="R269"/>
  <c r="AA269" s="1"/>
  <c r="AC269" s="1"/>
  <c r="K269"/>
  <c r="L269" s="1"/>
  <c r="Z268"/>
  <c r="AB268" s="1"/>
  <c r="AD268" s="1"/>
  <c r="Y268"/>
  <c r="AA268" s="1"/>
  <c r="AC268" s="1"/>
  <c r="S268"/>
  <c r="R268"/>
  <c r="L268"/>
  <c r="K268"/>
  <c r="AB267"/>
  <c r="AD267" s="1"/>
  <c r="Z267"/>
  <c r="Y267"/>
  <c r="AA267" s="1"/>
  <c r="AC267" s="1"/>
  <c r="S267"/>
  <c r="R267"/>
  <c r="L267"/>
  <c r="K267"/>
  <c r="AA266"/>
  <c r="AC266" s="1"/>
  <c r="Z266"/>
  <c r="Y266"/>
  <c r="S266"/>
  <c r="R266"/>
  <c r="L266"/>
  <c r="K266"/>
  <c r="Z265"/>
  <c r="Y265"/>
  <c r="S265"/>
  <c r="R265"/>
  <c r="K265"/>
  <c r="L265" s="1"/>
  <c r="AB265" s="1"/>
  <c r="AD265" s="1"/>
  <c r="AD264"/>
  <c r="Z264"/>
  <c r="AB264" s="1"/>
  <c r="Y264"/>
  <c r="AA264" s="1"/>
  <c r="AC264" s="1"/>
  <c r="S264"/>
  <c r="R264"/>
  <c r="L264"/>
  <c r="K264"/>
  <c r="AB263"/>
  <c r="AD263" s="1"/>
  <c r="Z263"/>
  <c r="Y263"/>
  <c r="AA263" s="1"/>
  <c r="AC263" s="1"/>
  <c r="S263"/>
  <c r="R263"/>
  <c r="L263"/>
  <c r="K263"/>
  <c r="Z262"/>
  <c r="Y262"/>
  <c r="S262"/>
  <c r="R262"/>
  <c r="K262"/>
  <c r="L262" s="1"/>
  <c r="AC261"/>
  <c r="Z261"/>
  <c r="Y261"/>
  <c r="S261"/>
  <c r="AB261" s="1"/>
  <c r="AD261" s="1"/>
  <c r="R261"/>
  <c r="AA261" s="1"/>
  <c r="K261"/>
  <c r="L261" s="1"/>
  <c r="AD260"/>
  <c r="Z260"/>
  <c r="AB260" s="1"/>
  <c r="Y260"/>
  <c r="S260"/>
  <c r="R260"/>
  <c r="L260"/>
  <c r="K260"/>
  <c r="AA259"/>
  <c r="AC259" s="1"/>
  <c r="Z259"/>
  <c r="Y259"/>
  <c r="S259"/>
  <c r="AB259" s="1"/>
  <c r="AD259" s="1"/>
  <c r="R259"/>
  <c r="L259"/>
  <c r="K259"/>
  <c r="AC258"/>
  <c r="AA258"/>
  <c r="Z258"/>
  <c r="AB258" s="1"/>
  <c r="AD258" s="1"/>
  <c r="Y258"/>
  <c r="S258"/>
  <c r="R258"/>
  <c r="L258"/>
  <c r="K258"/>
  <c r="AC257"/>
  <c r="Z257"/>
  <c r="Y257"/>
  <c r="S257"/>
  <c r="AB257" s="1"/>
  <c r="AD257" s="1"/>
  <c r="R257"/>
  <c r="AA257" s="1"/>
  <c r="K257"/>
  <c r="L257" s="1"/>
  <c r="Z256"/>
  <c r="AB256" s="1"/>
  <c r="AD256" s="1"/>
  <c r="Y256"/>
  <c r="S256"/>
  <c r="R256"/>
  <c r="L256"/>
  <c r="K256"/>
  <c r="Z255"/>
  <c r="Y255"/>
  <c r="AA255" s="1"/>
  <c r="AC255" s="1"/>
  <c r="S255"/>
  <c r="AB255" s="1"/>
  <c r="AD255" s="1"/>
  <c r="R255"/>
  <c r="L255"/>
  <c r="K255"/>
  <c r="AA254"/>
  <c r="AC254" s="1"/>
  <c r="Z254"/>
  <c r="AB254" s="1"/>
  <c r="AD254" s="1"/>
  <c r="Y254"/>
  <c r="S254"/>
  <c r="R254"/>
  <c r="L254"/>
  <c r="K254"/>
  <c r="AB253"/>
  <c r="AD253" s="1"/>
  <c r="Z253"/>
  <c r="Y253"/>
  <c r="S253"/>
  <c r="R253"/>
  <c r="AA253" s="1"/>
  <c r="AC253" s="1"/>
  <c r="K253"/>
  <c r="L253" s="1"/>
  <c r="Z252"/>
  <c r="Y252"/>
  <c r="AA252" s="1"/>
  <c r="AC252" s="1"/>
  <c r="S252"/>
  <c r="R252"/>
  <c r="L252"/>
  <c r="K252"/>
  <c r="Z251"/>
  <c r="Y251"/>
  <c r="AA251" s="1"/>
  <c r="AC251" s="1"/>
  <c r="S251"/>
  <c r="AB251" s="1"/>
  <c r="AD251" s="1"/>
  <c r="R251"/>
  <c r="L251"/>
  <c r="K251"/>
  <c r="Z250"/>
  <c r="AB250" s="1"/>
  <c r="AD250" s="1"/>
  <c r="Y250"/>
  <c r="S250"/>
  <c r="R250"/>
  <c r="L250"/>
  <c r="K250"/>
  <c r="AA250" s="1"/>
  <c r="AC250" s="1"/>
  <c r="Z249"/>
  <c r="Y249"/>
  <c r="S249"/>
  <c r="AB249" s="1"/>
  <c r="AD249" s="1"/>
  <c r="R249"/>
  <c r="AA249" s="1"/>
  <c r="AC249" s="1"/>
  <c r="K249"/>
  <c r="L249" s="1"/>
  <c r="Z248"/>
  <c r="Y248"/>
  <c r="S248"/>
  <c r="S284" s="1"/>
  <c r="R248"/>
  <c r="R284" s="1"/>
  <c r="L248"/>
  <c r="K248"/>
  <c r="X247"/>
  <c r="W247"/>
  <c r="V247"/>
  <c r="U247"/>
  <c r="T247"/>
  <c r="Q247"/>
  <c r="P247"/>
  <c r="O247"/>
  <c r="N247"/>
  <c r="M247"/>
  <c r="J247"/>
  <c r="I247"/>
  <c r="H247"/>
  <c r="G247"/>
  <c r="F247"/>
  <c r="E247"/>
  <c r="AC246"/>
  <c r="AA246"/>
  <c r="Z246"/>
  <c r="Y246"/>
  <c r="S246"/>
  <c r="R246"/>
  <c r="L246"/>
  <c r="K246"/>
  <c r="AB245"/>
  <c r="AD245" s="1"/>
  <c r="Z245"/>
  <c r="Y245"/>
  <c r="S245"/>
  <c r="R245"/>
  <c r="AA245" s="1"/>
  <c r="AC245" s="1"/>
  <c r="K245"/>
  <c r="L245" s="1"/>
  <c r="Z244"/>
  <c r="AB244" s="1"/>
  <c r="AD244" s="1"/>
  <c r="Y244"/>
  <c r="AA244" s="1"/>
  <c r="AC244" s="1"/>
  <c r="S244"/>
  <c r="R244"/>
  <c r="L244"/>
  <c r="K244"/>
  <c r="AB243"/>
  <c r="AD243" s="1"/>
  <c r="Z243"/>
  <c r="Y243"/>
  <c r="AA243" s="1"/>
  <c r="AC243" s="1"/>
  <c r="S243"/>
  <c r="R243"/>
  <c r="L243"/>
  <c r="K243"/>
  <c r="AA242"/>
  <c r="AC242" s="1"/>
  <c r="Z242"/>
  <c r="Y242"/>
  <c r="S242"/>
  <c r="R242"/>
  <c r="L242"/>
  <c r="K242"/>
  <c r="Z241"/>
  <c r="Y241"/>
  <c r="S241"/>
  <c r="R241"/>
  <c r="K241"/>
  <c r="L241" s="1"/>
  <c r="AB241" s="1"/>
  <c r="AD241" s="1"/>
  <c r="AD240"/>
  <c r="Z240"/>
  <c r="AB240" s="1"/>
  <c r="Y240"/>
  <c r="AA240" s="1"/>
  <c r="AC240" s="1"/>
  <c r="S240"/>
  <c r="R240"/>
  <c r="L240"/>
  <c r="K240"/>
  <c r="AB239"/>
  <c r="AD239" s="1"/>
  <c r="Z239"/>
  <c r="Y239"/>
  <c r="AA239" s="1"/>
  <c r="AC239" s="1"/>
  <c r="S239"/>
  <c r="R239"/>
  <c r="L239"/>
  <c r="K239"/>
  <c r="Z238"/>
  <c r="Y238"/>
  <c r="S238"/>
  <c r="R238"/>
  <c r="K238"/>
  <c r="L238" s="1"/>
  <c r="AC237"/>
  <c r="Z237"/>
  <c r="Y237"/>
  <c r="S237"/>
  <c r="AB237" s="1"/>
  <c r="AD237" s="1"/>
  <c r="R237"/>
  <c r="AA237" s="1"/>
  <c r="K237"/>
  <c r="L237" s="1"/>
  <c r="AD236"/>
  <c r="Z236"/>
  <c r="AB236" s="1"/>
  <c r="Y236"/>
  <c r="S236"/>
  <c r="R236"/>
  <c r="L236"/>
  <c r="K236"/>
  <c r="AA235"/>
  <c r="AC235" s="1"/>
  <c r="Z235"/>
  <c r="Y235"/>
  <c r="S235"/>
  <c r="AB235" s="1"/>
  <c r="AD235" s="1"/>
  <c r="R235"/>
  <c r="L235"/>
  <c r="K235"/>
  <c r="AC234"/>
  <c r="AA234"/>
  <c r="Z234"/>
  <c r="AB234" s="1"/>
  <c r="AD234" s="1"/>
  <c r="Y234"/>
  <c r="S234"/>
  <c r="R234"/>
  <c r="L234"/>
  <c r="K234"/>
  <c r="AC233"/>
  <c r="Z233"/>
  <c r="Y233"/>
  <c r="S233"/>
  <c r="AB233" s="1"/>
  <c r="AD233" s="1"/>
  <c r="R233"/>
  <c r="AA233" s="1"/>
  <c r="K233"/>
  <c r="L233" s="1"/>
  <c r="Z232"/>
  <c r="AB232" s="1"/>
  <c r="AD232" s="1"/>
  <c r="Y232"/>
  <c r="S232"/>
  <c r="R232"/>
  <c r="L232"/>
  <c r="K232"/>
  <c r="Z231"/>
  <c r="Y231"/>
  <c r="AA231" s="1"/>
  <c r="AC231" s="1"/>
  <c r="S231"/>
  <c r="AB231" s="1"/>
  <c r="AD231" s="1"/>
  <c r="R231"/>
  <c r="L231"/>
  <c r="K231"/>
  <c r="AA230"/>
  <c r="AC230" s="1"/>
  <c r="Z230"/>
  <c r="AB230" s="1"/>
  <c r="AD230" s="1"/>
  <c r="Y230"/>
  <c r="S230"/>
  <c r="R230"/>
  <c r="L230"/>
  <c r="K230"/>
  <c r="AB229"/>
  <c r="AD229" s="1"/>
  <c r="Z229"/>
  <c r="Y229"/>
  <c r="S229"/>
  <c r="R229"/>
  <c r="AA229" s="1"/>
  <c r="AC229" s="1"/>
  <c r="K229"/>
  <c r="L229" s="1"/>
  <c r="Z228"/>
  <c r="Y228"/>
  <c r="AA228" s="1"/>
  <c r="AC228" s="1"/>
  <c r="S228"/>
  <c r="R228"/>
  <c r="L228"/>
  <c r="K228"/>
  <c r="Z227"/>
  <c r="Y227"/>
  <c r="AA227" s="1"/>
  <c r="AC227" s="1"/>
  <c r="S227"/>
  <c r="AB227" s="1"/>
  <c r="AD227" s="1"/>
  <c r="R227"/>
  <c r="L227"/>
  <c r="K227"/>
  <c r="Z226"/>
  <c r="AB226" s="1"/>
  <c r="AD226" s="1"/>
  <c r="Y226"/>
  <c r="S226"/>
  <c r="R226"/>
  <c r="L226"/>
  <c r="K226"/>
  <c r="AA226" s="1"/>
  <c r="AC226" s="1"/>
  <c r="Z225"/>
  <c r="Y225"/>
  <c r="S225"/>
  <c r="AB225" s="1"/>
  <c r="AD225" s="1"/>
  <c r="R225"/>
  <c r="AA225" s="1"/>
  <c r="AC225" s="1"/>
  <c r="K225"/>
  <c r="L225" s="1"/>
  <c r="Z224"/>
  <c r="Y224"/>
  <c r="S224"/>
  <c r="R224"/>
  <c r="L224"/>
  <c r="K224"/>
  <c r="AA223"/>
  <c r="AC223" s="1"/>
  <c r="Z223"/>
  <c r="Y223"/>
  <c r="S223"/>
  <c r="AB223" s="1"/>
  <c r="AD223" s="1"/>
  <c r="R223"/>
  <c r="L223"/>
  <c r="K223"/>
  <c r="Z222"/>
  <c r="Y222"/>
  <c r="S222"/>
  <c r="R222"/>
  <c r="L222"/>
  <c r="K222"/>
  <c r="AA222" s="1"/>
  <c r="AC222" s="1"/>
  <c r="Z221"/>
  <c r="Y221"/>
  <c r="S221"/>
  <c r="AB221" s="1"/>
  <c r="AD221" s="1"/>
  <c r="R221"/>
  <c r="K221"/>
  <c r="L221" s="1"/>
  <c r="Z220"/>
  <c r="Y220"/>
  <c r="S220"/>
  <c r="R220"/>
  <c r="L220"/>
  <c r="K220"/>
  <c r="AB219"/>
  <c r="AD219" s="1"/>
  <c r="AA219"/>
  <c r="AC219" s="1"/>
  <c r="Z219"/>
  <c r="Y219"/>
  <c r="S219"/>
  <c r="R219"/>
  <c r="L219"/>
  <c r="K219"/>
  <c r="Z218"/>
  <c r="Y218"/>
  <c r="S218"/>
  <c r="R218"/>
  <c r="K218"/>
  <c r="AA218" s="1"/>
  <c r="AC218" s="1"/>
  <c r="AC217"/>
  <c r="Z217"/>
  <c r="Y217"/>
  <c r="S217"/>
  <c r="AB217" s="1"/>
  <c r="AD217" s="1"/>
  <c r="R217"/>
  <c r="AA217" s="1"/>
  <c r="K217"/>
  <c r="L217" s="1"/>
  <c r="Z216"/>
  <c r="Y216"/>
  <c r="AA216" s="1"/>
  <c r="AC216" s="1"/>
  <c r="S216"/>
  <c r="R216"/>
  <c r="L216"/>
  <c r="K216"/>
  <c r="AB215"/>
  <c r="AD215" s="1"/>
  <c r="AA215"/>
  <c r="AC215" s="1"/>
  <c r="Z215"/>
  <c r="Y215"/>
  <c r="S215"/>
  <c r="R215"/>
  <c r="L215"/>
  <c r="K215"/>
  <c r="AC214"/>
  <c r="AA214"/>
  <c r="Z214"/>
  <c r="Y214"/>
  <c r="S214"/>
  <c r="R214"/>
  <c r="L214"/>
  <c r="K214"/>
  <c r="AB213"/>
  <c r="AD213" s="1"/>
  <c r="Z213"/>
  <c r="Y213"/>
  <c r="S213"/>
  <c r="R213"/>
  <c r="AA213" s="1"/>
  <c r="AC213" s="1"/>
  <c r="K213"/>
  <c r="L213" s="1"/>
  <c r="Z212"/>
  <c r="AB212" s="1"/>
  <c r="AD212" s="1"/>
  <c r="Y212"/>
  <c r="AA212" s="1"/>
  <c r="AC212" s="1"/>
  <c r="S212"/>
  <c r="R212"/>
  <c r="L212"/>
  <c r="K212"/>
  <c r="AB211"/>
  <c r="AD211" s="1"/>
  <c r="Z211"/>
  <c r="Y211"/>
  <c r="AA211" s="1"/>
  <c r="AC211" s="1"/>
  <c r="S211"/>
  <c r="R211"/>
  <c r="L211"/>
  <c r="K211"/>
  <c r="AA210"/>
  <c r="AC210" s="1"/>
  <c r="Z210"/>
  <c r="Y210"/>
  <c r="S210"/>
  <c r="R210"/>
  <c r="L210"/>
  <c r="K210"/>
  <c r="Z209"/>
  <c r="Y209"/>
  <c r="S209"/>
  <c r="R209"/>
  <c r="K209"/>
  <c r="L209" s="1"/>
  <c r="AB209" s="1"/>
  <c r="AD209" s="1"/>
  <c r="AD208"/>
  <c r="Z208"/>
  <c r="AB208" s="1"/>
  <c r="Y208"/>
  <c r="AA208" s="1"/>
  <c r="AC208" s="1"/>
  <c r="S208"/>
  <c r="R208"/>
  <c r="L208"/>
  <c r="K208"/>
  <c r="AB207"/>
  <c r="AD207" s="1"/>
  <c r="Z207"/>
  <c r="Y207"/>
  <c r="AA207" s="1"/>
  <c r="AC207" s="1"/>
  <c r="S207"/>
  <c r="R207"/>
  <c r="L207"/>
  <c r="K207"/>
  <c r="Z206"/>
  <c r="Y206"/>
  <c r="S206"/>
  <c r="R206"/>
  <c r="K206"/>
  <c r="L206" s="1"/>
  <c r="AC205"/>
  <c r="Z205"/>
  <c r="Y205"/>
  <c r="S205"/>
  <c r="AB205" s="1"/>
  <c r="AD205" s="1"/>
  <c r="R205"/>
  <c r="AA205" s="1"/>
  <c r="K205"/>
  <c r="L205" s="1"/>
  <c r="AD204"/>
  <c r="Z204"/>
  <c r="AB204" s="1"/>
  <c r="Y204"/>
  <c r="S204"/>
  <c r="R204"/>
  <c r="L204"/>
  <c r="K204"/>
  <c r="AA203"/>
  <c r="AC203" s="1"/>
  <c r="Z203"/>
  <c r="Y203"/>
  <c r="S203"/>
  <c r="AB203" s="1"/>
  <c r="AD203" s="1"/>
  <c r="R203"/>
  <c r="L203"/>
  <c r="K203"/>
  <c r="AC202"/>
  <c r="AA202"/>
  <c r="Z202"/>
  <c r="AB202" s="1"/>
  <c r="AD202" s="1"/>
  <c r="Y202"/>
  <c r="S202"/>
  <c r="R202"/>
  <c r="L202"/>
  <c r="K202"/>
  <c r="AC201"/>
  <c r="Z201"/>
  <c r="Y201"/>
  <c r="S201"/>
  <c r="AB201" s="1"/>
  <c r="AD201" s="1"/>
  <c r="R201"/>
  <c r="AA201" s="1"/>
  <c r="K201"/>
  <c r="L201" s="1"/>
  <c r="Z200"/>
  <c r="AB200" s="1"/>
  <c r="AD200" s="1"/>
  <c r="Y200"/>
  <c r="S200"/>
  <c r="R200"/>
  <c r="L200"/>
  <c r="K200"/>
  <c r="Z199"/>
  <c r="Y199"/>
  <c r="AA199" s="1"/>
  <c r="AC199" s="1"/>
  <c r="S199"/>
  <c r="AB199" s="1"/>
  <c r="AD199" s="1"/>
  <c r="R199"/>
  <c r="L199"/>
  <c r="K199"/>
  <c r="AA198"/>
  <c r="AC198" s="1"/>
  <c r="Z198"/>
  <c r="AB198" s="1"/>
  <c r="AD198" s="1"/>
  <c r="Y198"/>
  <c r="S198"/>
  <c r="R198"/>
  <c r="L198"/>
  <c r="K198"/>
  <c r="AB197"/>
  <c r="AD197" s="1"/>
  <c r="Z197"/>
  <c r="Y197"/>
  <c r="S197"/>
  <c r="R197"/>
  <c r="AA197" s="1"/>
  <c r="AC197" s="1"/>
  <c r="K197"/>
  <c r="L197" s="1"/>
  <c r="Z196"/>
  <c r="Y196"/>
  <c r="AA196" s="1"/>
  <c r="AC196" s="1"/>
  <c r="S196"/>
  <c r="R196"/>
  <c r="L196"/>
  <c r="K196"/>
  <c r="Z195"/>
  <c r="Y195"/>
  <c r="Y247" s="1"/>
  <c r="S195"/>
  <c r="S247" s="1"/>
  <c r="R195"/>
  <c r="L195"/>
  <c r="K195"/>
  <c r="Z194"/>
  <c r="Y194"/>
  <c r="S194"/>
  <c r="R194"/>
  <c r="L194"/>
  <c r="K194"/>
  <c r="AA194" s="1"/>
  <c r="AC194" s="1"/>
  <c r="Z193"/>
  <c r="Y193"/>
  <c r="S193"/>
  <c r="AB193" s="1"/>
  <c r="R193"/>
  <c r="K193"/>
  <c r="L193" s="1"/>
  <c r="X192"/>
  <c r="W192"/>
  <c r="V192"/>
  <c r="U192"/>
  <c r="T192"/>
  <c r="Q192"/>
  <c r="P192"/>
  <c r="O192"/>
  <c r="N192"/>
  <c r="M192"/>
  <c r="J192"/>
  <c r="J374" s="1"/>
  <c r="I192"/>
  <c r="H192"/>
  <c r="G192"/>
  <c r="F192"/>
  <c r="E192"/>
  <c r="AB191"/>
  <c r="AD191" s="1"/>
  <c r="Z191"/>
  <c r="Y191"/>
  <c r="AA191" s="1"/>
  <c r="AC191" s="1"/>
  <c r="S191"/>
  <c r="R191"/>
  <c r="L191"/>
  <c r="K191"/>
  <c r="AA190"/>
  <c r="AC190" s="1"/>
  <c r="Z190"/>
  <c r="Y190"/>
  <c r="S190"/>
  <c r="R190"/>
  <c r="L190"/>
  <c r="K190"/>
  <c r="Z189"/>
  <c r="Y189"/>
  <c r="S189"/>
  <c r="R189"/>
  <c r="K189"/>
  <c r="L189" s="1"/>
  <c r="AB189" s="1"/>
  <c r="AD189" s="1"/>
  <c r="AD188"/>
  <c r="Z188"/>
  <c r="AB188" s="1"/>
  <c r="Y188"/>
  <c r="AA188" s="1"/>
  <c r="AC188" s="1"/>
  <c r="S188"/>
  <c r="R188"/>
  <c r="L188"/>
  <c r="K188"/>
  <c r="AB187"/>
  <c r="AD187" s="1"/>
  <c r="Z187"/>
  <c r="Y187"/>
  <c r="AA187" s="1"/>
  <c r="AC187" s="1"/>
  <c r="S187"/>
  <c r="R187"/>
  <c r="L187"/>
  <c r="K187"/>
  <c r="Z186"/>
  <c r="Y186"/>
  <c r="S186"/>
  <c r="R186"/>
  <c r="K186"/>
  <c r="L186" s="1"/>
  <c r="AC185"/>
  <c r="Z185"/>
  <c r="Y185"/>
  <c r="S185"/>
  <c r="AB185" s="1"/>
  <c r="AD185" s="1"/>
  <c r="R185"/>
  <c r="AA185" s="1"/>
  <c r="K185"/>
  <c r="L185" s="1"/>
  <c r="AD184"/>
  <c r="Z184"/>
  <c r="AB184" s="1"/>
  <c r="Y184"/>
  <c r="S184"/>
  <c r="R184"/>
  <c r="L184"/>
  <c r="K184"/>
  <c r="AA183"/>
  <c r="AC183" s="1"/>
  <c r="Z183"/>
  <c r="Y183"/>
  <c r="S183"/>
  <c r="AB183" s="1"/>
  <c r="AD183" s="1"/>
  <c r="R183"/>
  <c r="L183"/>
  <c r="K183"/>
  <c r="AC182"/>
  <c r="AA182"/>
  <c r="Z182"/>
  <c r="AB182" s="1"/>
  <c r="AD182" s="1"/>
  <c r="Y182"/>
  <c r="S182"/>
  <c r="R182"/>
  <c r="L182"/>
  <c r="K182"/>
  <c r="AC181"/>
  <c r="Z181"/>
  <c r="Y181"/>
  <c r="S181"/>
  <c r="AB181" s="1"/>
  <c r="AD181" s="1"/>
  <c r="R181"/>
  <c r="AA181" s="1"/>
  <c r="K181"/>
  <c r="L181" s="1"/>
  <c r="Z180"/>
  <c r="AB180" s="1"/>
  <c r="AD180" s="1"/>
  <c r="Y180"/>
  <c r="S180"/>
  <c r="R180"/>
  <c r="L180"/>
  <c r="K180"/>
  <c r="Z179"/>
  <c r="Y179"/>
  <c r="AA179" s="1"/>
  <c r="AC179" s="1"/>
  <c r="S179"/>
  <c r="AB179" s="1"/>
  <c r="AD179" s="1"/>
  <c r="R179"/>
  <c r="L179"/>
  <c r="K179"/>
  <c r="AA178"/>
  <c r="AC178" s="1"/>
  <c r="Z178"/>
  <c r="AB178" s="1"/>
  <c r="AD178" s="1"/>
  <c r="Y178"/>
  <c r="S178"/>
  <c r="R178"/>
  <c r="L178"/>
  <c r="K178"/>
  <c r="AB177"/>
  <c r="AD177" s="1"/>
  <c r="Z177"/>
  <c r="Y177"/>
  <c r="S177"/>
  <c r="R177"/>
  <c r="AA177" s="1"/>
  <c r="AC177" s="1"/>
  <c r="K177"/>
  <c r="L177" s="1"/>
  <c r="Z176"/>
  <c r="Y176"/>
  <c r="AA176" s="1"/>
  <c r="AC176" s="1"/>
  <c r="S176"/>
  <c r="R176"/>
  <c r="L176"/>
  <c r="K176"/>
  <c r="Z175"/>
  <c r="Y175"/>
  <c r="AA175" s="1"/>
  <c r="AC175" s="1"/>
  <c r="S175"/>
  <c r="AB175" s="1"/>
  <c r="AD175" s="1"/>
  <c r="R175"/>
  <c r="L175"/>
  <c r="K175"/>
  <c r="Z174"/>
  <c r="AB174" s="1"/>
  <c r="AD174" s="1"/>
  <c r="Y174"/>
  <c r="S174"/>
  <c r="R174"/>
  <c r="L174"/>
  <c r="K174"/>
  <c r="AA174" s="1"/>
  <c r="AC174" s="1"/>
  <c r="Z173"/>
  <c r="Y173"/>
  <c r="S173"/>
  <c r="AB173" s="1"/>
  <c r="AD173" s="1"/>
  <c r="R173"/>
  <c r="AA173" s="1"/>
  <c r="AC173" s="1"/>
  <c r="K173"/>
  <c r="L173" s="1"/>
  <c r="Z172"/>
  <c r="Y172"/>
  <c r="S172"/>
  <c r="R172"/>
  <c r="L172"/>
  <c r="K172"/>
  <c r="AA171"/>
  <c r="AC171" s="1"/>
  <c r="Z171"/>
  <c r="Y171"/>
  <c r="S171"/>
  <c r="AB171" s="1"/>
  <c r="AD171" s="1"/>
  <c r="R171"/>
  <c r="L171"/>
  <c r="K171"/>
  <c r="Z170"/>
  <c r="Y170"/>
  <c r="S170"/>
  <c r="R170"/>
  <c r="L170"/>
  <c r="K170"/>
  <c r="AA170" s="1"/>
  <c r="AC170" s="1"/>
  <c r="Z169"/>
  <c r="Y169"/>
  <c r="S169"/>
  <c r="AB169" s="1"/>
  <c r="AD169" s="1"/>
  <c r="R169"/>
  <c r="K169"/>
  <c r="L169" s="1"/>
  <c r="Z168"/>
  <c r="Y168"/>
  <c r="S168"/>
  <c r="R168"/>
  <c r="L168"/>
  <c r="K168"/>
  <c r="AB167"/>
  <c r="AD167" s="1"/>
  <c r="AA167"/>
  <c r="AC167" s="1"/>
  <c r="Z167"/>
  <c r="Y167"/>
  <c r="S167"/>
  <c r="R167"/>
  <c r="L167"/>
  <c r="K167"/>
  <c r="Z166"/>
  <c r="Y166"/>
  <c r="S166"/>
  <c r="R166"/>
  <c r="K166"/>
  <c r="AA166" s="1"/>
  <c r="AC166" s="1"/>
  <c r="Z165"/>
  <c r="Y165"/>
  <c r="S165"/>
  <c r="AB165" s="1"/>
  <c r="AD165" s="1"/>
  <c r="R165"/>
  <c r="AA165" s="1"/>
  <c r="AC165" s="1"/>
  <c r="K165"/>
  <c r="L165" s="1"/>
  <c r="Z164"/>
  <c r="Y164"/>
  <c r="AA164" s="1"/>
  <c r="AC164" s="1"/>
  <c r="S164"/>
  <c r="R164"/>
  <c r="L164"/>
  <c r="K164"/>
  <c r="AB163"/>
  <c r="AD163" s="1"/>
  <c r="AA163"/>
  <c r="AC163" s="1"/>
  <c r="Z163"/>
  <c r="Y163"/>
  <c r="S163"/>
  <c r="R163"/>
  <c r="L163"/>
  <c r="K163"/>
  <c r="AC162"/>
  <c r="AA162"/>
  <c r="Z162"/>
  <c r="Y162"/>
  <c r="S162"/>
  <c r="R162"/>
  <c r="L162"/>
  <c r="K162"/>
  <c r="Z161"/>
  <c r="Y161"/>
  <c r="S161"/>
  <c r="R161"/>
  <c r="AA161" s="1"/>
  <c r="AC161" s="1"/>
  <c r="K161"/>
  <c r="L161" s="1"/>
  <c r="AB161" s="1"/>
  <c r="AD161" s="1"/>
  <c r="Z160"/>
  <c r="AB160" s="1"/>
  <c r="AD160" s="1"/>
  <c r="Y160"/>
  <c r="AA160" s="1"/>
  <c r="S160"/>
  <c r="R160"/>
  <c r="L160"/>
  <c r="K160"/>
  <c r="K192" s="1"/>
  <c r="X159"/>
  <c r="W159"/>
  <c r="V159"/>
  <c r="U159"/>
  <c r="T159"/>
  <c r="Q159"/>
  <c r="P159"/>
  <c r="O159"/>
  <c r="N159"/>
  <c r="M159"/>
  <c r="K159"/>
  <c r="J159"/>
  <c r="I159"/>
  <c r="H159"/>
  <c r="G159"/>
  <c r="F159"/>
  <c r="E159"/>
  <c r="AC158"/>
  <c r="AA158"/>
  <c r="Z158"/>
  <c r="AB158" s="1"/>
  <c r="AD158" s="1"/>
  <c r="Y158"/>
  <c r="S158"/>
  <c r="R158"/>
  <c r="L158"/>
  <c r="K158"/>
  <c r="AC157"/>
  <c r="AB157"/>
  <c r="AD157" s="1"/>
  <c r="Z157"/>
  <c r="Y157"/>
  <c r="S157"/>
  <c r="R157"/>
  <c r="AA157" s="1"/>
  <c r="K157"/>
  <c r="L157" s="1"/>
  <c r="Z156"/>
  <c r="AB156" s="1"/>
  <c r="AD156" s="1"/>
  <c r="Y156"/>
  <c r="S156"/>
  <c r="R156"/>
  <c r="L156"/>
  <c r="K156"/>
  <c r="Z155"/>
  <c r="Y155"/>
  <c r="AA155" s="1"/>
  <c r="AC155" s="1"/>
  <c r="S155"/>
  <c r="AB155" s="1"/>
  <c r="AD155" s="1"/>
  <c r="R155"/>
  <c r="L155"/>
  <c r="K155"/>
  <c r="AA154"/>
  <c r="AC154" s="1"/>
  <c r="Z154"/>
  <c r="AB154" s="1"/>
  <c r="AD154" s="1"/>
  <c r="Y154"/>
  <c r="S154"/>
  <c r="R154"/>
  <c r="L154"/>
  <c r="K154"/>
  <c r="AB153"/>
  <c r="AD153" s="1"/>
  <c r="Z153"/>
  <c r="Y153"/>
  <c r="S153"/>
  <c r="R153"/>
  <c r="AA153" s="1"/>
  <c r="AC153" s="1"/>
  <c r="K153"/>
  <c r="L153" s="1"/>
  <c r="Z152"/>
  <c r="Y152"/>
  <c r="AA152" s="1"/>
  <c r="AC152" s="1"/>
  <c r="S152"/>
  <c r="R152"/>
  <c r="L152"/>
  <c r="K152"/>
  <c r="Z151"/>
  <c r="Y151"/>
  <c r="AA151" s="1"/>
  <c r="AC151" s="1"/>
  <c r="S151"/>
  <c r="AB151" s="1"/>
  <c r="AD151" s="1"/>
  <c r="R151"/>
  <c r="L151"/>
  <c r="K151"/>
  <c r="Z150"/>
  <c r="AB150" s="1"/>
  <c r="AD150" s="1"/>
  <c r="Y150"/>
  <c r="S150"/>
  <c r="R150"/>
  <c r="L150"/>
  <c r="K150"/>
  <c r="AA150" s="1"/>
  <c r="AC150" s="1"/>
  <c r="Z149"/>
  <c r="Y149"/>
  <c r="S149"/>
  <c r="AB149" s="1"/>
  <c r="AD149" s="1"/>
  <c r="R149"/>
  <c r="AA149" s="1"/>
  <c r="AC149" s="1"/>
  <c r="K149"/>
  <c r="L149" s="1"/>
  <c r="Z148"/>
  <c r="Y148"/>
  <c r="S148"/>
  <c r="R148"/>
  <c r="L148"/>
  <c r="K148"/>
  <c r="AA147"/>
  <c r="AC147" s="1"/>
  <c r="Z147"/>
  <c r="Y147"/>
  <c r="S147"/>
  <c r="AB147" s="1"/>
  <c r="AD147" s="1"/>
  <c r="R147"/>
  <c r="L147"/>
  <c r="K147"/>
  <c r="Z146"/>
  <c r="Y146"/>
  <c r="S146"/>
  <c r="R146"/>
  <c r="L146"/>
  <c r="K146"/>
  <c r="AA146" s="1"/>
  <c r="AC146" s="1"/>
  <c r="Z145"/>
  <c r="Y145"/>
  <c r="S145"/>
  <c r="AB145" s="1"/>
  <c r="AD145" s="1"/>
  <c r="R145"/>
  <c r="K145"/>
  <c r="L145" s="1"/>
  <c r="Z144"/>
  <c r="Y144"/>
  <c r="S144"/>
  <c r="R144"/>
  <c r="L144"/>
  <c r="K144"/>
  <c r="AB143"/>
  <c r="AD143" s="1"/>
  <c r="AA143"/>
  <c r="AC143" s="1"/>
  <c r="Z143"/>
  <c r="Y143"/>
  <c r="S143"/>
  <c r="R143"/>
  <c r="L143"/>
  <c r="K143"/>
  <c r="Z142"/>
  <c r="Y142"/>
  <c r="S142"/>
  <c r="R142"/>
  <c r="K142"/>
  <c r="AA142" s="1"/>
  <c r="AC142" s="1"/>
  <c r="Z141"/>
  <c r="Y141"/>
  <c r="S141"/>
  <c r="AB141" s="1"/>
  <c r="AD141" s="1"/>
  <c r="R141"/>
  <c r="AA141" s="1"/>
  <c r="AC141" s="1"/>
  <c r="K141"/>
  <c r="L141" s="1"/>
  <c r="Z140"/>
  <c r="Y140"/>
  <c r="AA140" s="1"/>
  <c r="AC140" s="1"/>
  <c r="S140"/>
  <c r="R140"/>
  <c r="L140"/>
  <c r="K140"/>
  <c r="AB139"/>
  <c r="AD139" s="1"/>
  <c r="AA139"/>
  <c r="AC139" s="1"/>
  <c r="Z139"/>
  <c r="Y139"/>
  <c r="S139"/>
  <c r="R139"/>
  <c r="L139"/>
  <c r="K139"/>
  <c r="AC138"/>
  <c r="AA138"/>
  <c r="Z138"/>
  <c r="Y138"/>
  <c r="S138"/>
  <c r="R138"/>
  <c r="L138"/>
  <c r="K138"/>
  <c r="Z137"/>
  <c r="Y137"/>
  <c r="S137"/>
  <c r="R137"/>
  <c r="K137"/>
  <c r="L137" s="1"/>
  <c r="W136"/>
  <c r="V136"/>
  <c r="U136"/>
  <c r="T136"/>
  <c r="Q136"/>
  <c r="P136"/>
  <c r="O136"/>
  <c r="N136"/>
  <c r="M136"/>
  <c r="J136"/>
  <c r="I136"/>
  <c r="H136"/>
  <c r="G136"/>
  <c r="F136"/>
  <c r="AA135"/>
  <c r="AC135" s="1"/>
  <c r="Z135"/>
  <c r="Y135"/>
  <c r="S135"/>
  <c r="AB135" s="1"/>
  <c r="AD135" s="1"/>
  <c r="R135"/>
  <c r="L135"/>
  <c r="K135"/>
  <c r="Z134"/>
  <c r="Y134"/>
  <c r="S134"/>
  <c r="R134"/>
  <c r="L134"/>
  <c r="K134"/>
  <c r="AA134" s="1"/>
  <c r="AC134" s="1"/>
  <c r="Z133"/>
  <c r="Y133"/>
  <c r="S133"/>
  <c r="AB133" s="1"/>
  <c r="AD133" s="1"/>
  <c r="R133"/>
  <c r="K133"/>
  <c r="L133" s="1"/>
  <c r="Z132"/>
  <c r="Y132"/>
  <c r="S132"/>
  <c r="R132"/>
  <c r="L132"/>
  <c r="K132"/>
  <c r="AB131"/>
  <c r="AD131" s="1"/>
  <c r="AA131"/>
  <c r="AC131" s="1"/>
  <c r="Z131"/>
  <c r="Y131"/>
  <c r="S131"/>
  <c r="R131"/>
  <c r="L131"/>
  <c r="K131"/>
  <c r="Z130"/>
  <c r="Y130"/>
  <c r="S130"/>
  <c r="R130"/>
  <c r="K130"/>
  <c r="AA130" s="1"/>
  <c r="AC130" s="1"/>
  <c r="Z129"/>
  <c r="Y129"/>
  <c r="S129"/>
  <c r="AB129" s="1"/>
  <c r="AD129" s="1"/>
  <c r="R129"/>
  <c r="AA129" s="1"/>
  <c r="AC129" s="1"/>
  <c r="K129"/>
  <c r="L129" s="1"/>
  <c r="Z128"/>
  <c r="Y128"/>
  <c r="AA128" s="1"/>
  <c r="AC128" s="1"/>
  <c r="S128"/>
  <c r="R128"/>
  <c r="L128"/>
  <c r="K128"/>
  <c r="Y127"/>
  <c r="X127"/>
  <c r="S127"/>
  <c r="R127"/>
  <c r="Q127"/>
  <c r="F127"/>
  <c r="E127"/>
  <c r="E136" s="1"/>
  <c r="E374" s="1"/>
  <c r="Z126"/>
  <c r="Y126"/>
  <c r="S126"/>
  <c r="R126"/>
  <c r="L126"/>
  <c r="K126"/>
  <c r="AA125"/>
  <c r="AC125" s="1"/>
  <c r="Z125"/>
  <c r="Y125"/>
  <c r="S125"/>
  <c r="AB125" s="1"/>
  <c r="AD125" s="1"/>
  <c r="R125"/>
  <c r="L125"/>
  <c r="K125"/>
  <c r="Z124"/>
  <c r="Y124"/>
  <c r="S124"/>
  <c r="R124"/>
  <c r="L124"/>
  <c r="K124"/>
  <c r="AA124" s="1"/>
  <c r="AC124" s="1"/>
  <c r="Z123"/>
  <c r="Y123"/>
  <c r="S123"/>
  <c r="AB123" s="1"/>
  <c r="AD123" s="1"/>
  <c r="R123"/>
  <c r="Q123"/>
  <c r="L123"/>
  <c r="K123"/>
  <c r="Z122"/>
  <c r="Y122"/>
  <c r="S122"/>
  <c r="R122"/>
  <c r="AA122" s="1"/>
  <c r="AC122" s="1"/>
  <c r="L122"/>
  <c r="K122"/>
  <c r="Z121"/>
  <c r="Y121"/>
  <c r="AA121" s="1"/>
  <c r="AC121" s="1"/>
  <c r="S121"/>
  <c r="R121"/>
  <c r="K121"/>
  <c r="L121" s="1"/>
  <c r="AB121" s="1"/>
  <c r="AD121" s="1"/>
  <c r="Z120"/>
  <c r="Y120"/>
  <c r="S120"/>
  <c r="R120"/>
  <c r="AA120" s="1"/>
  <c r="AC120" s="1"/>
  <c r="L120"/>
  <c r="AB120" s="1"/>
  <c r="AD120" s="1"/>
  <c r="K120"/>
  <c r="Z119"/>
  <c r="Y119"/>
  <c r="AA119" s="1"/>
  <c r="AC119" s="1"/>
  <c r="S119"/>
  <c r="R119"/>
  <c r="L119"/>
  <c r="K119"/>
  <c r="Z118"/>
  <c r="Y118"/>
  <c r="S118"/>
  <c r="R118"/>
  <c r="AA118" s="1"/>
  <c r="AC118" s="1"/>
  <c r="L118"/>
  <c r="K118"/>
  <c r="AB117"/>
  <c r="AD117" s="1"/>
  <c r="Z117"/>
  <c r="Y117"/>
  <c r="S117"/>
  <c r="R117"/>
  <c r="K117"/>
  <c r="L117" s="1"/>
  <c r="AD116"/>
  <c r="AB116"/>
  <c r="Z116"/>
  <c r="Y116"/>
  <c r="S116"/>
  <c r="R116"/>
  <c r="AA116" s="1"/>
  <c r="AC116" s="1"/>
  <c r="L116"/>
  <c r="K116"/>
  <c r="Z115"/>
  <c r="Y115"/>
  <c r="S115"/>
  <c r="R115"/>
  <c r="K115"/>
  <c r="L115" s="1"/>
  <c r="Z114"/>
  <c r="AB114" s="1"/>
  <c r="AD114" s="1"/>
  <c r="Y114"/>
  <c r="S114"/>
  <c r="R114"/>
  <c r="AA114" s="1"/>
  <c r="AC114" s="1"/>
  <c r="L114"/>
  <c r="K114"/>
  <c r="Z113"/>
  <c r="Y113"/>
  <c r="S113"/>
  <c r="R113"/>
  <c r="K113"/>
  <c r="L113" s="1"/>
  <c r="AB113" s="1"/>
  <c r="AD113" s="1"/>
  <c r="Z112"/>
  <c r="Y112"/>
  <c r="S112"/>
  <c r="R112"/>
  <c r="AA112" s="1"/>
  <c r="AC112" s="1"/>
  <c r="L112"/>
  <c r="AB112" s="1"/>
  <c r="AD112" s="1"/>
  <c r="K112"/>
  <c r="Z111"/>
  <c r="Y111"/>
  <c r="S111"/>
  <c r="R111"/>
  <c r="L111"/>
  <c r="K111"/>
  <c r="AA110"/>
  <c r="AC110" s="1"/>
  <c r="Z110"/>
  <c r="AB110" s="1"/>
  <c r="AD110" s="1"/>
  <c r="Y110"/>
  <c r="S110"/>
  <c r="R110"/>
  <c r="L110"/>
  <c r="K110"/>
  <c r="Z109"/>
  <c r="Y109"/>
  <c r="S109"/>
  <c r="R109"/>
  <c r="K109"/>
  <c r="L109" s="1"/>
  <c r="AB109" s="1"/>
  <c r="AD109" s="1"/>
  <c r="AA108"/>
  <c r="AC108" s="1"/>
  <c r="Z108"/>
  <c r="Y108"/>
  <c r="S108"/>
  <c r="R108"/>
  <c r="L108"/>
  <c r="AB108" s="1"/>
  <c r="AD108" s="1"/>
  <c r="K108"/>
  <c r="Z107"/>
  <c r="Y107"/>
  <c r="S107"/>
  <c r="R107"/>
  <c r="L107"/>
  <c r="K107"/>
  <c r="AA106"/>
  <c r="AC106" s="1"/>
  <c r="Z106"/>
  <c r="AB106" s="1"/>
  <c r="AD106" s="1"/>
  <c r="Y106"/>
  <c r="S106"/>
  <c r="R106"/>
  <c r="L106"/>
  <c r="K106"/>
  <c r="AC105"/>
  <c r="Z105"/>
  <c r="AB105" s="1"/>
  <c r="AD105" s="1"/>
  <c r="Y105"/>
  <c r="AA105" s="1"/>
  <c r="S105"/>
  <c r="R105"/>
  <c r="K105"/>
  <c r="L105" s="1"/>
  <c r="AD104"/>
  <c r="AB104"/>
  <c r="AA104"/>
  <c r="AC104" s="1"/>
  <c r="Z104"/>
  <c r="Y104"/>
  <c r="S104"/>
  <c r="R104"/>
  <c r="L104"/>
  <c r="K104"/>
  <c r="Z103"/>
  <c r="Y103"/>
  <c r="S103"/>
  <c r="R103"/>
  <c r="K103"/>
  <c r="L103" s="1"/>
  <c r="AA102"/>
  <c r="AC102" s="1"/>
  <c r="Z102"/>
  <c r="Y102"/>
  <c r="S102"/>
  <c r="R102"/>
  <c r="L102"/>
  <c r="K102"/>
  <c r="AC101"/>
  <c r="AB101"/>
  <c r="AD101" s="1"/>
  <c r="Z101"/>
  <c r="Y101"/>
  <c r="AA101" s="1"/>
  <c r="S101"/>
  <c r="R101"/>
  <c r="K101"/>
  <c r="L101" s="1"/>
  <c r="AB100"/>
  <c r="AD100" s="1"/>
  <c r="AA100"/>
  <c r="AC100" s="1"/>
  <c r="Z100"/>
  <c r="Y100"/>
  <c r="S100"/>
  <c r="R100"/>
  <c r="L100"/>
  <c r="K100"/>
  <c r="AD99"/>
  <c r="AC99"/>
  <c r="Z99"/>
  <c r="Y99"/>
  <c r="AA99" s="1"/>
  <c r="S99"/>
  <c r="AB99" s="1"/>
  <c r="R99"/>
  <c r="L99"/>
  <c r="K99"/>
  <c r="AA98"/>
  <c r="AC98" s="1"/>
  <c r="Z98"/>
  <c r="AB98" s="1"/>
  <c r="AD98" s="1"/>
  <c r="Y98"/>
  <c r="S98"/>
  <c r="R98"/>
  <c r="L98"/>
  <c r="K98"/>
  <c r="AB97"/>
  <c r="AD97" s="1"/>
  <c r="Z97"/>
  <c r="Y97"/>
  <c r="S97"/>
  <c r="R97"/>
  <c r="K97"/>
  <c r="L97" s="1"/>
  <c r="AA96"/>
  <c r="AC96" s="1"/>
  <c r="Z96"/>
  <c r="Y96"/>
  <c r="S96"/>
  <c r="R96"/>
  <c r="L96"/>
  <c r="AB96" s="1"/>
  <c r="AD96" s="1"/>
  <c r="K96"/>
  <c r="AC95"/>
  <c r="Z95"/>
  <c r="Y95"/>
  <c r="AA95" s="1"/>
  <c r="S95"/>
  <c r="AB95" s="1"/>
  <c r="AD95" s="1"/>
  <c r="R95"/>
  <c r="L95"/>
  <c r="K95"/>
  <c r="Z94"/>
  <c r="AB94" s="1"/>
  <c r="AD94" s="1"/>
  <c r="Y94"/>
  <c r="S94"/>
  <c r="R94"/>
  <c r="AA94" s="1"/>
  <c r="AC94" s="1"/>
  <c r="L94"/>
  <c r="K94"/>
  <c r="Z93"/>
  <c r="AB93" s="1"/>
  <c r="AD93" s="1"/>
  <c r="Y93"/>
  <c r="AA93" s="1"/>
  <c r="AC93" s="1"/>
  <c r="S93"/>
  <c r="R93"/>
  <c r="K93"/>
  <c r="L93" s="1"/>
  <c r="Z92"/>
  <c r="Y92"/>
  <c r="S92"/>
  <c r="R92"/>
  <c r="AA92" s="1"/>
  <c r="AC92" s="1"/>
  <c r="L92"/>
  <c r="AB92" s="1"/>
  <c r="AD92" s="1"/>
  <c r="K92"/>
  <c r="Z91"/>
  <c r="Y91"/>
  <c r="AA91" s="1"/>
  <c r="AC91" s="1"/>
  <c r="S91"/>
  <c r="R91"/>
  <c r="L91"/>
  <c r="K91"/>
  <c r="Z90"/>
  <c r="Y90"/>
  <c r="S90"/>
  <c r="R90"/>
  <c r="AA90" s="1"/>
  <c r="L90"/>
  <c r="K90"/>
  <c r="X89"/>
  <c r="W89"/>
  <c r="V89"/>
  <c r="U89"/>
  <c r="U374" s="1"/>
  <c r="T89"/>
  <c r="Q89"/>
  <c r="P89"/>
  <c r="O89"/>
  <c r="N89"/>
  <c r="M89"/>
  <c r="M374" s="1"/>
  <c r="J89"/>
  <c r="I89"/>
  <c r="H89"/>
  <c r="G89"/>
  <c r="F89"/>
  <c r="E89"/>
  <c r="AD88"/>
  <c r="AB88"/>
  <c r="Z88"/>
  <c r="Y88"/>
  <c r="S88"/>
  <c r="R88"/>
  <c r="AA88" s="1"/>
  <c r="AC88" s="1"/>
  <c r="L88"/>
  <c r="K88"/>
  <c r="Z87"/>
  <c r="Y87"/>
  <c r="S87"/>
  <c r="R87"/>
  <c r="K87"/>
  <c r="L87" s="1"/>
  <c r="Z86"/>
  <c r="AB86" s="1"/>
  <c r="AD86" s="1"/>
  <c r="Y86"/>
  <c r="S86"/>
  <c r="R86"/>
  <c r="AA86" s="1"/>
  <c r="AC86" s="1"/>
  <c r="L86"/>
  <c r="K86"/>
  <c r="Z85"/>
  <c r="Y85"/>
  <c r="S85"/>
  <c r="R85"/>
  <c r="K85"/>
  <c r="L85" s="1"/>
  <c r="AB85" s="1"/>
  <c r="AD85" s="1"/>
  <c r="Z84"/>
  <c r="Y84"/>
  <c r="S84"/>
  <c r="R84"/>
  <c r="AA84" s="1"/>
  <c r="AC84" s="1"/>
  <c r="L84"/>
  <c r="AB84" s="1"/>
  <c r="AD84" s="1"/>
  <c r="K84"/>
  <c r="Z83"/>
  <c r="Y83"/>
  <c r="S83"/>
  <c r="R83"/>
  <c r="L83"/>
  <c r="K83"/>
  <c r="AA82"/>
  <c r="AC82" s="1"/>
  <c r="Z82"/>
  <c r="AB82" s="1"/>
  <c r="AD82" s="1"/>
  <c r="Y82"/>
  <c r="S82"/>
  <c r="R82"/>
  <c r="L82"/>
  <c r="K82"/>
  <c r="Z81"/>
  <c r="Y81"/>
  <c r="S81"/>
  <c r="R81"/>
  <c r="K81"/>
  <c r="L81" s="1"/>
  <c r="AB81" s="1"/>
  <c r="AD81" s="1"/>
  <c r="AA80"/>
  <c r="AC80" s="1"/>
  <c r="Z80"/>
  <c r="Y80"/>
  <c r="S80"/>
  <c r="R80"/>
  <c r="L80"/>
  <c r="AB80" s="1"/>
  <c r="AD80" s="1"/>
  <c r="K80"/>
  <c r="Z79"/>
  <c r="Y79"/>
  <c r="S79"/>
  <c r="R79"/>
  <c r="L79"/>
  <c r="K79"/>
  <c r="AA78"/>
  <c r="AC78" s="1"/>
  <c r="Z78"/>
  <c r="AB78" s="1"/>
  <c r="AD78" s="1"/>
  <c r="Y78"/>
  <c r="S78"/>
  <c r="R78"/>
  <c r="L78"/>
  <c r="K78"/>
  <c r="AC77"/>
  <c r="Z77"/>
  <c r="AB77" s="1"/>
  <c r="AD77" s="1"/>
  <c r="Y77"/>
  <c r="AA77" s="1"/>
  <c r="S77"/>
  <c r="R77"/>
  <c r="K77"/>
  <c r="L77" s="1"/>
  <c r="AD76"/>
  <c r="AB76"/>
  <c r="AA76"/>
  <c r="AC76" s="1"/>
  <c r="Z76"/>
  <c r="Y76"/>
  <c r="S76"/>
  <c r="R76"/>
  <c r="L76"/>
  <c r="K76"/>
  <c r="Z75"/>
  <c r="Y75"/>
  <c r="S75"/>
  <c r="R75"/>
  <c r="K75"/>
  <c r="L75" s="1"/>
  <c r="AA74"/>
  <c r="AC74" s="1"/>
  <c r="Z74"/>
  <c r="Y74"/>
  <c r="S74"/>
  <c r="R74"/>
  <c r="L74"/>
  <c r="K74"/>
  <c r="AC73"/>
  <c r="AB73"/>
  <c r="AD73" s="1"/>
  <c r="Z73"/>
  <c r="Y73"/>
  <c r="AA73" s="1"/>
  <c r="S73"/>
  <c r="R73"/>
  <c r="K73"/>
  <c r="L73" s="1"/>
  <c r="AB72"/>
  <c r="AD72" s="1"/>
  <c r="AA72"/>
  <c r="AC72" s="1"/>
  <c r="Z72"/>
  <c r="Y72"/>
  <c r="S72"/>
  <c r="R72"/>
  <c r="L72"/>
  <c r="K72"/>
  <c r="AD71"/>
  <c r="AC71"/>
  <c r="Z71"/>
  <c r="Y71"/>
  <c r="AA71" s="1"/>
  <c r="S71"/>
  <c r="AB71" s="1"/>
  <c r="R71"/>
  <c r="L71"/>
  <c r="K71"/>
  <c r="AA70"/>
  <c r="AC70" s="1"/>
  <c r="Z70"/>
  <c r="AB70" s="1"/>
  <c r="AD70" s="1"/>
  <c r="Y70"/>
  <c r="S70"/>
  <c r="R70"/>
  <c r="L70"/>
  <c r="K70"/>
  <c r="AB69"/>
  <c r="AD69" s="1"/>
  <c r="Z69"/>
  <c r="Y69"/>
  <c r="S69"/>
  <c r="R69"/>
  <c r="K69"/>
  <c r="L69" s="1"/>
  <c r="AA68"/>
  <c r="AC68" s="1"/>
  <c r="Z68"/>
  <c r="Y68"/>
  <c r="S68"/>
  <c r="R68"/>
  <c r="L68"/>
  <c r="AB68" s="1"/>
  <c r="AD68" s="1"/>
  <c r="K68"/>
  <c r="AC67"/>
  <c r="Z67"/>
  <c r="Y67"/>
  <c r="AA67" s="1"/>
  <c r="S67"/>
  <c r="AB67" s="1"/>
  <c r="AD67" s="1"/>
  <c r="R67"/>
  <c r="L67"/>
  <c r="K67"/>
  <c r="Z66"/>
  <c r="AB66" s="1"/>
  <c r="AD66" s="1"/>
  <c r="Y66"/>
  <c r="S66"/>
  <c r="R66"/>
  <c r="AA66" s="1"/>
  <c r="AC66" s="1"/>
  <c r="L66"/>
  <c r="K66"/>
  <c r="Z65"/>
  <c r="AB65" s="1"/>
  <c r="AD65" s="1"/>
  <c r="Y65"/>
  <c r="AA65" s="1"/>
  <c r="AC65" s="1"/>
  <c r="S65"/>
  <c r="R65"/>
  <c r="K65"/>
  <c r="L65" s="1"/>
  <c r="Z64"/>
  <c r="Y64"/>
  <c r="S64"/>
  <c r="R64"/>
  <c r="AA64" s="1"/>
  <c r="AC64" s="1"/>
  <c r="L64"/>
  <c r="AB64" s="1"/>
  <c r="AD64" s="1"/>
  <c r="K64"/>
  <c r="Z63"/>
  <c r="Y63"/>
  <c r="AA63" s="1"/>
  <c r="AC63" s="1"/>
  <c r="S63"/>
  <c r="R63"/>
  <c r="L63"/>
  <c r="K63"/>
  <c r="Z62"/>
  <c r="Y62"/>
  <c r="S62"/>
  <c r="R62"/>
  <c r="AA62" s="1"/>
  <c r="AC62" s="1"/>
  <c r="L62"/>
  <c r="K62"/>
  <c r="Z61"/>
  <c r="Y61"/>
  <c r="AA61" s="1"/>
  <c r="AC61" s="1"/>
  <c r="S61"/>
  <c r="R61"/>
  <c r="K61"/>
  <c r="L61" s="1"/>
  <c r="AB61" s="1"/>
  <c r="AD61" s="1"/>
  <c r="Z60"/>
  <c r="Y60"/>
  <c r="S60"/>
  <c r="R60"/>
  <c r="AA60" s="1"/>
  <c r="AC60" s="1"/>
  <c r="L60"/>
  <c r="AB60" s="1"/>
  <c r="AD60" s="1"/>
  <c r="K60"/>
  <c r="Z59"/>
  <c r="Y59"/>
  <c r="AA59" s="1"/>
  <c r="AC59" s="1"/>
  <c r="S59"/>
  <c r="AB59" s="1"/>
  <c r="AD59" s="1"/>
  <c r="R59"/>
  <c r="L59"/>
  <c r="K59"/>
  <c r="Z58"/>
  <c r="Y58"/>
  <c r="S58"/>
  <c r="R58"/>
  <c r="AA58" s="1"/>
  <c r="AC58" s="1"/>
  <c r="L58"/>
  <c r="K58"/>
  <c r="AB57"/>
  <c r="AD57" s="1"/>
  <c r="Z57"/>
  <c r="Y57"/>
  <c r="S57"/>
  <c r="R57"/>
  <c r="K57"/>
  <c r="L57" s="1"/>
  <c r="AD56"/>
  <c r="AB56"/>
  <c r="Z56"/>
  <c r="Y56"/>
  <c r="S56"/>
  <c r="R56"/>
  <c r="AA56" s="1"/>
  <c r="AC56" s="1"/>
  <c r="L56"/>
  <c r="K56"/>
  <c r="Z55"/>
  <c r="Y55"/>
  <c r="S55"/>
  <c r="R55"/>
  <c r="K55"/>
  <c r="L55" s="1"/>
  <c r="Z54"/>
  <c r="AB54" s="1"/>
  <c r="AD54" s="1"/>
  <c r="Y54"/>
  <c r="S54"/>
  <c r="R54"/>
  <c r="AA54" s="1"/>
  <c r="AC54" s="1"/>
  <c r="L54"/>
  <c r="K54"/>
  <c r="Z53"/>
  <c r="Y53"/>
  <c r="S53"/>
  <c r="R53"/>
  <c r="K53"/>
  <c r="L53" s="1"/>
  <c r="AB53" s="1"/>
  <c r="AD53" s="1"/>
  <c r="Z52"/>
  <c r="Y52"/>
  <c r="S52"/>
  <c r="R52"/>
  <c r="AA52" s="1"/>
  <c r="AC52" s="1"/>
  <c r="L52"/>
  <c r="AB52" s="1"/>
  <c r="AD52" s="1"/>
  <c r="K52"/>
  <c r="Z51"/>
  <c r="Y51"/>
  <c r="S51"/>
  <c r="R51"/>
  <c r="L51"/>
  <c r="K51"/>
  <c r="AA50"/>
  <c r="AC50" s="1"/>
  <c r="Z50"/>
  <c r="AB50" s="1"/>
  <c r="AD50" s="1"/>
  <c r="Y50"/>
  <c r="S50"/>
  <c r="R50"/>
  <c r="L50"/>
  <c r="K50"/>
  <c r="Z49"/>
  <c r="Y49"/>
  <c r="S49"/>
  <c r="R49"/>
  <c r="K49"/>
  <c r="L49" s="1"/>
  <c r="AB49" s="1"/>
  <c r="AD49" s="1"/>
  <c r="AA48"/>
  <c r="AC48" s="1"/>
  <c r="Z48"/>
  <c r="Y48"/>
  <c r="S48"/>
  <c r="R48"/>
  <c r="L48"/>
  <c r="AB48" s="1"/>
  <c r="AD48" s="1"/>
  <c r="K48"/>
  <c r="Z47"/>
  <c r="Y47"/>
  <c r="S47"/>
  <c r="R47"/>
  <c r="L47"/>
  <c r="K47"/>
  <c r="AA46"/>
  <c r="AC46" s="1"/>
  <c r="Z46"/>
  <c r="AB46" s="1"/>
  <c r="AD46" s="1"/>
  <c r="Y46"/>
  <c r="S46"/>
  <c r="R46"/>
  <c r="L46"/>
  <c r="K46"/>
  <c r="AC45"/>
  <c r="Z45"/>
  <c r="AB45" s="1"/>
  <c r="AD45" s="1"/>
  <c r="Y45"/>
  <c r="AA45" s="1"/>
  <c r="S45"/>
  <c r="R45"/>
  <c r="K45"/>
  <c r="L45" s="1"/>
  <c r="AD44"/>
  <c r="AB44"/>
  <c r="AA44"/>
  <c r="AC44" s="1"/>
  <c r="Z44"/>
  <c r="Y44"/>
  <c r="S44"/>
  <c r="R44"/>
  <c r="L44"/>
  <c r="K44"/>
  <c r="Z43"/>
  <c r="Y43"/>
  <c r="S43"/>
  <c r="R43"/>
  <c r="K43"/>
  <c r="L43" s="1"/>
  <c r="AA42"/>
  <c r="AC42" s="1"/>
  <c r="Z42"/>
  <c r="Y42"/>
  <c r="S42"/>
  <c r="R42"/>
  <c r="L42"/>
  <c r="K42"/>
  <c r="AC41"/>
  <c r="AB41"/>
  <c r="AD41" s="1"/>
  <c r="Z41"/>
  <c r="Y41"/>
  <c r="AA41" s="1"/>
  <c r="S41"/>
  <c r="R41"/>
  <c r="K41"/>
  <c r="L41" s="1"/>
  <c r="AB40"/>
  <c r="AD40" s="1"/>
  <c r="AA40"/>
  <c r="AC40" s="1"/>
  <c r="Z40"/>
  <c r="Y40"/>
  <c r="S40"/>
  <c r="R40"/>
  <c r="L40"/>
  <c r="K40"/>
  <c r="AD39"/>
  <c r="AC39"/>
  <c r="Z39"/>
  <c r="Y39"/>
  <c r="AA39" s="1"/>
  <c r="S39"/>
  <c r="AB39" s="1"/>
  <c r="R39"/>
  <c r="L39"/>
  <c r="K39"/>
  <c r="AA38"/>
  <c r="AC38" s="1"/>
  <c r="Z38"/>
  <c r="AB38" s="1"/>
  <c r="AD38" s="1"/>
  <c r="Y38"/>
  <c r="S38"/>
  <c r="R38"/>
  <c r="L38"/>
  <c r="K38"/>
  <c r="AB37"/>
  <c r="AD37" s="1"/>
  <c r="Z37"/>
  <c r="Y37"/>
  <c r="S37"/>
  <c r="R37"/>
  <c r="K37"/>
  <c r="L37" s="1"/>
  <c r="AA36"/>
  <c r="AC36" s="1"/>
  <c r="Z36"/>
  <c r="Y36"/>
  <c r="S36"/>
  <c r="R36"/>
  <c r="L36"/>
  <c r="AB36" s="1"/>
  <c r="AD36" s="1"/>
  <c r="K36"/>
  <c r="AC35"/>
  <c r="Z35"/>
  <c r="Y35"/>
  <c r="AA35" s="1"/>
  <c r="S35"/>
  <c r="AB35" s="1"/>
  <c r="AD35" s="1"/>
  <c r="R35"/>
  <c r="L35"/>
  <c r="K35"/>
  <c r="Z34"/>
  <c r="AB34" s="1"/>
  <c r="AD34" s="1"/>
  <c r="Y34"/>
  <c r="S34"/>
  <c r="R34"/>
  <c r="AA34" s="1"/>
  <c r="AC34" s="1"/>
  <c r="L34"/>
  <c r="K34"/>
  <c r="Z33"/>
  <c r="AB33" s="1"/>
  <c r="AD33" s="1"/>
  <c r="Y33"/>
  <c r="AA33" s="1"/>
  <c r="AC33" s="1"/>
  <c r="S33"/>
  <c r="R33"/>
  <c r="K33"/>
  <c r="L33" s="1"/>
  <c r="Z32"/>
  <c r="Y32"/>
  <c r="S32"/>
  <c r="R32"/>
  <c r="AA32" s="1"/>
  <c r="AC32" s="1"/>
  <c r="L32"/>
  <c r="AB32" s="1"/>
  <c r="AD32" s="1"/>
  <c r="K32"/>
  <c r="Z31"/>
  <c r="Y31"/>
  <c r="AA31" s="1"/>
  <c r="AC31" s="1"/>
  <c r="S31"/>
  <c r="R31"/>
  <c r="L31"/>
  <c r="K31"/>
  <c r="Z30"/>
  <c r="Y30"/>
  <c r="S30"/>
  <c r="R30"/>
  <c r="R89" s="1"/>
  <c r="L30"/>
  <c r="K30"/>
  <c r="Z29"/>
  <c r="Z89" s="1"/>
  <c r="Y29"/>
  <c r="AA29" s="1"/>
  <c r="AC29" s="1"/>
  <c r="S29"/>
  <c r="R29"/>
  <c r="K29"/>
  <c r="X28"/>
  <c r="W28"/>
  <c r="V28"/>
  <c r="U28"/>
  <c r="T28"/>
  <c r="Q28"/>
  <c r="P28"/>
  <c r="O28"/>
  <c r="N28"/>
  <c r="M28"/>
  <c r="J28"/>
  <c r="I28"/>
  <c r="H28"/>
  <c r="G28"/>
  <c r="F28"/>
  <c r="E28"/>
  <c r="Z27"/>
  <c r="Y27"/>
  <c r="S27"/>
  <c r="R27"/>
  <c r="L27"/>
  <c r="K27"/>
  <c r="AA26"/>
  <c r="AC26" s="1"/>
  <c r="Z26"/>
  <c r="AB26" s="1"/>
  <c r="AD26" s="1"/>
  <c r="Y26"/>
  <c r="S26"/>
  <c r="R26"/>
  <c r="L26"/>
  <c r="K26"/>
  <c r="AC25"/>
  <c r="Z25"/>
  <c r="AB25" s="1"/>
  <c r="AD25" s="1"/>
  <c r="Y25"/>
  <c r="AA25" s="1"/>
  <c r="S25"/>
  <c r="R25"/>
  <c r="K25"/>
  <c r="L25" s="1"/>
  <c r="AD24"/>
  <c r="AB24"/>
  <c r="AA24"/>
  <c r="AC24" s="1"/>
  <c r="Z24"/>
  <c r="Y24"/>
  <c r="S24"/>
  <c r="R24"/>
  <c r="L24"/>
  <c r="K24"/>
  <c r="Z23"/>
  <c r="Y23"/>
  <c r="S23"/>
  <c r="R23"/>
  <c r="K23"/>
  <c r="L23" s="1"/>
  <c r="AA22"/>
  <c r="AC22" s="1"/>
  <c r="Z22"/>
  <c r="Y22"/>
  <c r="S22"/>
  <c r="R22"/>
  <c r="L22"/>
  <c r="K22"/>
  <c r="AC21"/>
  <c r="AB21"/>
  <c r="AD21" s="1"/>
  <c r="Z21"/>
  <c r="Y21"/>
  <c r="AA21" s="1"/>
  <c r="S21"/>
  <c r="R21"/>
  <c r="K21"/>
  <c r="L21" s="1"/>
  <c r="AB20"/>
  <c r="AD20" s="1"/>
  <c r="AA20"/>
  <c r="AC20" s="1"/>
  <c r="Z20"/>
  <c r="Y20"/>
  <c r="S20"/>
  <c r="R20"/>
  <c r="L20"/>
  <c r="K20"/>
  <c r="AD19"/>
  <c r="AC19"/>
  <c r="Z19"/>
  <c r="Y19"/>
  <c r="AA19" s="1"/>
  <c r="S19"/>
  <c r="AB19" s="1"/>
  <c r="R19"/>
  <c r="L19"/>
  <c r="K19"/>
  <c r="AA18"/>
  <c r="AC18" s="1"/>
  <c r="Z18"/>
  <c r="AB18" s="1"/>
  <c r="AD18" s="1"/>
  <c r="Y18"/>
  <c r="S18"/>
  <c r="R18"/>
  <c r="L18"/>
  <c r="K18"/>
  <c r="AB17"/>
  <c r="AD17" s="1"/>
  <c r="Z17"/>
  <c r="Y17"/>
  <c r="S17"/>
  <c r="R17"/>
  <c r="K17"/>
  <c r="L17" s="1"/>
  <c r="AA16"/>
  <c r="AC16" s="1"/>
  <c r="Z16"/>
  <c r="Y16"/>
  <c r="S16"/>
  <c r="R16"/>
  <c r="L16"/>
  <c r="AB16" s="1"/>
  <c r="AD16" s="1"/>
  <c r="K16"/>
  <c r="AC15"/>
  <c r="Z15"/>
  <c r="Y15"/>
  <c r="AA15" s="1"/>
  <c r="S15"/>
  <c r="AB15" s="1"/>
  <c r="AD15" s="1"/>
  <c r="R15"/>
  <c r="L15"/>
  <c r="K15"/>
  <c r="Z14"/>
  <c r="AB14" s="1"/>
  <c r="AD14" s="1"/>
  <c r="Y14"/>
  <c r="S14"/>
  <c r="R14"/>
  <c r="AA14" s="1"/>
  <c r="AC14" s="1"/>
  <c r="L14"/>
  <c r="K14"/>
  <c r="Z13"/>
  <c r="AB13" s="1"/>
  <c r="AD13" s="1"/>
  <c r="Y13"/>
  <c r="AA13" s="1"/>
  <c r="AC13" s="1"/>
  <c r="S13"/>
  <c r="R13"/>
  <c r="K13"/>
  <c r="L13" s="1"/>
  <c r="Z12"/>
  <c r="Y12"/>
  <c r="S12"/>
  <c r="R12"/>
  <c r="AA12" s="1"/>
  <c r="AC12" s="1"/>
  <c r="L12"/>
  <c r="AB12" s="1"/>
  <c r="AD12" s="1"/>
  <c r="K12"/>
  <c r="Z11"/>
  <c r="Y11"/>
  <c r="AA11" s="1"/>
  <c r="AC11" s="1"/>
  <c r="S11"/>
  <c r="R11"/>
  <c r="L11"/>
  <c r="K11"/>
  <c r="Z10"/>
  <c r="Y10"/>
  <c r="S10"/>
  <c r="R10"/>
  <c r="AA10" s="1"/>
  <c r="AC10" s="1"/>
  <c r="L10"/>
  <c r="K10"/>
  <c r="Z9"/>
  <c r="Y9"/>
  <c r="AA9" s="1"/>
  <c r="AC9" s="1"/>
  <c r="S9"/>
  <c r="R9"/>
  <c r="K9"/>
  <c r="L9" s="1"/>
  <c r="AB9" s="1"/>
  <c r="AD9" s="1"/>
  <c r="Z8"/>
  <c r="Y8"/>
  <c r="S8"/>
  <c r="R8"/>
  <c r="AA8" s="1"/>
  <c r="AC8" s="1"/>
  <c r="L8"/>
  <c r="AB8" s="1"/>
  <c r="AD8" s="1"/>
  <c r="K8"/>
  <c r="Z7"/>
  <c r="Y7"/>
  <c r="AA7" s="1"/>
  <c r="AC7" s="1"/>
  <c r="S7"/>
  <c r="AB7" s="1"/>
  <c r="AD7" s="1"/>
  <c r="R7"/>
  <c r="L7"/>
  <c r="K7"/>
  <c r="Z6"/>
  <c r="Y6"/>
  <c r="S6"/>
  <c r="S28" s="1"/>
  <c r="R6"/>
  <c r="AA6" s="1"/>
  <c r="AC6" s="1"/>
  <c r="L6"/>
  <c r="K6"/>
  <c r="AB5"/>
  <c r="AD5" s="1"/>
  <c r="Z5"/>
  <c r="Y5"/>
  <c r="S5"/>
  <c r="R5"/>
  <c r="K5"/>
  <c r="L5" s="1"/>
  <c r="Z4"/>
  <c r="Y4"/>
  <c r="S4"/>
  <c r="R4"/>
  <c r="R28" s="1"/>
  <c r="K4"/>
  <c r="K28" s="1"/>
  <c r="L159" l="1"/>
  <c r="AC90"/>
  <c r="AD193"/>
  <c r="AB119"/>
  <c r="AD119" s="1"/>
  <c r="R136"/>
  <c r="AA156"/>
  <c r="AC156" s="1"/>
  <c r="S159"/>
  <c r="AA180"/>
  <c r="AC180" s="1"/>
  <c r="AA200"/>
  <c r="AC200" s="1"/>
  <c r="AA232"/>
  <c r="AC232" s="1"/>
  <c r="AA256"/>
  <c r="AC256" s="1"/>
  <c r="AA308"/>
  <c r="AC308" s="1"/>
  <c r="S336"/>
  <c r="AA328"/>
  <c r="AC328" s="1"/>
  <c r="S372"/>
  <c r="S374" s="1"/>
  <c r="AA348"/>
  <c r="AC348" s="1"/>
  <c r="Z372"/>
  <c r="L4"/>
  <c r="AB11"/>
  <c r="AD11" s="1"/>
  <c r="AA17"/>
  <c r="AC17" s="1"/>
  <c r="AB22"/>
  <c r="AD22" s="1"/>
  <c r="AB31"/>
  <c r="AD31" s="1"/>
  <c r="AA37"/>
  <c r="AC37" s="1"/>
  <c r="AC89" s="1"/>
  <c r="AB42"/>
  <c r="AD42" s="1"/>
  <c r="AB63"/>
  <c r="AD63" s="1"/>
  <c r="AA69"/>
  <c r="AC69" s="1"/>
  <c r="AB74"/>
  <c r="AD74" s="1"/>
  <c r="AB91"/>
  <c r="AD91" s="1"/>
  <c r="AA97"/>
  <c r="AC97" s="1"/>
  <c r="AB102"/>
  <c r="AD102" s="1"/>
  <c r="AA123"/>
  <c r="AC123" s="1"/>
  <c r="K127"/>
  <c r="L130"/>
  <c r="AB130" s="1"/>
  <c r="AD130" s="1"/>
  <c r="AA133"/>
  <c r="AC133" s="1"/>
  <c r="L142"/>
  <c r="AA145"/>
  <c r="AC145" s="1"/>
  <c r="L166"/>
  <c r="AA169"/>
  <c r="AC169" s="1"/>
  <c r="AA184"/>
  <c r="AC184" s="1"/>
  <c r="AA186"/>
  <c r="AC186" s="1"/>
  <c r="AA204"/>
  <c r="AC204" s="1"/>
  <c r="AA206"/>
  <c r="AC206" s="1"/>
  <c r="L218"/>
  <c r="L247" s="1"/>
  <c r="AA221"/>
  <c r="AC221" s="1"/>
  <c r="AA236"/>
  <c r="AC236" s="1"/>
  <c r="AA238"/>
  <c r="AC238" s="1"/>
  <c r="L284"/>
  <c r="AA260"/>
  <c r="AC260" s="1"/>
  <c r="AA262"/>
  <c r="AC262" s="1"/>
  <c r="L274"/>
  <c r="AA277"/>
  <c r="AC277" s="1"/>
  <c r="Z284"/>
  <c r="AA287"/>
  <c r="AC287" s="1"/>
  <c r="L294"/>
  <c r="AA297"/>
  <c r="AC297" s="1"/>
  <c r="AA312"/>
  <c r="AC312" s="1"/>
  <c r="AA314"/>
  <c r="AC314" s="1"/>
  <c r="AA317"/>
  <c r="AA332"/>
  <c r="AC332" s="1"/>
  <c r="AA334"/>
  <c r="AC334" s="1"/>
  <c r="AA337"/>
  <c r="AA352"/>
  <c r="AC352" s="1"/>
  <c r="AA354"/>
  <c r="AC354" s="1"/>
  <c r="L366"/>
  <c r="AA369"/>
  <c r="AC369" s="1"/>
  <c r="P374"/>
  <c r="Y372"/>
  <c r="AA137"/>
  <c r="R159"/>
  <c r="K316"/>
  <c r="L285"/>
  <c r="K336"/>
  <c r="L317"/>
  <c r="L336" s="1"/>
  <c r="AC160"/>
  <c r="X136"/>
  <c r="X374" s="1"/>
  <c r="Z127"/>
  <c r="Z159"/>
  <c r="AB138"/>
  <c r="AD138" s="1"/>
  <c r="AB87"/>
  <c r="AD87" s="1"/>
  <c r="Y89"/>
  <c r="S136"/>
  <c r="Y159"/>
  <c r="AB206"/>
  <c r="AD206" s="1"/>
  <c r="K247"/>
  <c r="AB354"/>
  <c r="AD354" s="1"/>
  <c r="AA43"/>
  <c r="AC43" s="1"/>
  <c r="Y136"/>
  <c r="AB216"/>
  <c r="AD216" s="1"/>
  <c r="AB266"/>
  <c r="AD266" s="1"/>
  <c r="AB286"/>
  <c r="AD286" s="1"/>
  <c r="AB292"/>
  <c r="AD292" s="1"/>
  <c r="R316"/>
  <c r="R336"/>
  <c r="AB358"/>
  <c r="AD358" s="1"/>
  <c r="AB364"/>
  <c r="AD364" s="1"/>
  <c r="AA4"/>
  <c r="AB23"/>
  <c r="AD23" s="1"/>
  <c r="AA27"/>
  <c r="AC27" s="1"/>
  <c r="AB43"/>
  <c r="AD43" s="1"/>
  <c r="AA47"/>
  <c r="AC47" s="1"/>
  <c r="AA49"/>
  <c r="AC49" s="1"/>
  <c r="AB75"/>
  <c r="AD75" s="1"/>
  <c r="AA79"/>
  <c r="AC79" s="1"/>
  <c r="AA81"/>
  <c r="AC81" s="1"/>
  <c r="AB103"/>
  <c r="AD103" s="1"/>
  <c r="AA107"/>
  <c r="AC107" s="1"/>
  <c r="AA109"/>
  <c r="AC109" s="1"/>
  <c r="AB132"/>
  <c r="AD132" s="1"/>
  <c r="AB144"/>
  <c r="AD144" s="1"/>
  <c r="S192"/>
  <c r="AB162"/>
  <c r="AD162" s="1"/>
  <c r="AB168"/>
  <c r="AD168" s="1"/>
  <c r="R192"/>
  <c r="AB195"/>
  <c r="AD195" s="1"/>
  <c r="AB214"/>
  <c r="AD214" s="1"/>
  <c r="AB220"/>
  <c r="AD220" s="1"/>
  <c r="AB246"/>
  <c r="AD246" s="1"/>
  <c r="AB270"/>
  <c r="AD270" s="1"/>
  <c r="AB276"/>
  <c r="AD276" s="1"/>
  <c r="AB290"/>
  <c r="AD290" s="1"/>
  <c r="AB296"/>
  <c r="AD296" s="1"/>
  <c r="Z316"/>
  <c r="Z336"/>
  <c r="AB362"/>
  <c r="AD362" s="1"/>
  <c r="AB368"/>
  <c r="AD368" s="1"/>
  <c r="L29"/>
  <c r="K89"/>
  <c r="AB55"/>
  <c r="AD55" s="1"/>
  <c r="AB115"/>
  <c r="AD115" s="1"/>
  <c r="R372"/>
  <c r="S89"/>
  <c r="Z136"/>
  <c r="AB238"/>
  <c r="AD238" s="1"/>
  <c r="K284"/>
  <c r="Y284"/>
  <c r="AB314"/>
  <c r="AD314" s="1"/>
  <c r="AB334"/>
  <c r="AD334" s="1"/>
  <c r="AA103"/>
  <c r="AC103" s="1"/>
  <c r="AB140"/>
  <c r="AD140" s="1"/>
  <c r="AB164"/>
  <c r="AD164" s="1"/>
  <c r="AD192" s="1"/>
  <c r="AB210"/>
  <c r="AD210" s="1"/>
  <c r="Z28"/>
  <c r="AB6"/>
  <c r="AD6" s="1"/>
  <c r="AB27"/>
  <c r="AD27" s="1"/>
  <c r="AA30"/>
  <c r="AC30" s="1"/>
  <c r="AB47"/>
  <c r="AD47" s="1"/>
  <c r="AA51"/>
  <c r="AC51" s="1"/>
  <c r="AA53"/>
  <c r="AC53" s="1"/>
  <c r="AB58"/>
  <c r="AD58" s="1"/>
  <c r="AB79"/>
  <c r="AD79" s="1"/>
  <c r="AA83"/>
  <c r="AC83" s="1"/>
  <c r="AA85"/>
  <c r="AC85" s="1"/>
  <c r="AB107"/>
  <c r="AD107" s="1"/>
  <c r="AA111"/>
  <c r="AC111" s="1"/>
  <c r="AA113"/>
  <c r="AC113" s="1"/>
  <c r="AB118"/>
  <c r="AD118" s="1"/>
  <c r="AB126"/>
  <c r="AD126" s="1"/>
  <c r="AA132"/>
  <c r="AC132" s="1"/>
  <c r="AB142"/>
  <c r="AD142" s="1"/>
  <c r="AA144"/>
  <c r="AC144" s="1"/>
  <c r="AB148"/>
  <c r="AD148" s="1"/>
  <c r="AB166"/>
  <c r="AD166" s="1"/>
  <c r="AA168"/>
  <c r="AC168" s="1"/>
  <c r="AB172"/>
  <c r="AD172" s="1"/>
  <c r="Z192"/>
  <c r="AA195"/>
  <c r="AC195" s="1"/>
  <c r="AB218"/>
  <c r="AD218" s="1"/>
  <c r="AA220"/>
  <c r="AC220" s="1"/>
  <c r="AB224"/>
  <c r="AD224" s="1"/>
  <c r="AB248"/>
  <c r="AB274"/>
  <c r="AD274" s="1"/>
  <c r="AA276"/>
  <c r="AC276" s="1"/>
  <c r="AB280"/>
  <c r="AD280" s="1"/>
  <c r="S316"/>
  <c r="AB294"/>
  <c r="AD294" s="1"/>
  <c r="AA296"/>
  <c r="AC296" s="1"/>
  <c r="AB300"/>
  <c r="AD300" s="1"/>
  <c r="AB317"/>
  <c r="AB320"/>
  <c r="AD320" s="1"/>
  <c r="AA323"/>
  <c r="AC323" s="1"/>
  <c r="AB337"/>
  <c r="AB340"/>
  <c r="AD340" s="1"/>
  <c r="AB366"/>
  <c r="AD366" s="1"/>
  <c r="AA368"/>
  <c r="AC368" s="1"/>
  <c r="Z247"/>
  <c r="AB194"/>
  <c r="AD194" s="1"/>
  <c r="AA193"/>
  <c r="R247"/>
  <c r="K372"/>
  <c r="L337"/>
  <c r="T374"/>
  <c r="AB186"/>
  <c r="AD186" s="1"/>
  <c r="AB262"/>
  <c r="AD262" s="1"/>
  <c r="O374"/>
  <c r="AA23"/>
  <c r="AC23" s="1"/>
  <c r="AA75"/>
  <c r="AC75" s="1"/>
  <c r="AB128"/>
  <c r="AD128" s="1"/>
  <c r="AB137"/>
  <c r="AB190"/>
  <c r="AD190" s="1"/>
  <c r="AB242"/>
  <c r="AD242" s="1"/>
  <c r="AB272"/>
  <c r="AD272" s="1"/>
  <c r="W374"/>
  <c r="Y28"/>
  <c r="AA5"/>
  <c r="AC5" s="1"/>
  <c r="AB10"/>
  <c r="AD10" s="1"/>
  <c r="AB30"/>
  <c r="AD30" s="1"/>
  <c r="AB51"/>
  <c r="AD51" s="1"/>
  <c r="AA55"/>
  <c r="AC55" s="1"/>
  <c r="AA57"/>
  <c r="AC57" s="1"/>
  <c r="AB62"/>
  <c r="AD62" s="1"/>
  <c r="AB83"/>
  <c r="AD83" s="1"/>
  <c r="AA87"/>
  <c r="AC87" s="1"/>
  <c r="AB90"/>
  <c r="AB111"/>
  <c r="AD111" s="1"/>
  <c r="AA115"/>
  <c r="AC115" s="1"/>
  <c r="AA117"/>
  <c r="AC117" s="1"/>
  <c r="AB122"/>
  <c r="AD122" s="1"/>
  <c r="AB124"/>
  <c r="AD124" s="1"/>
  <c r="AA126"/>
  <c r="AC126" s="1"/>
  <c r="AB134"/>
  <c r="AD134" s="1"/>
  <c r="AB146"/>
  <c r="AD146" s="1"/>
  <c r="AA148"/>
  <c r="AC148" s="1"/>
  <c r="AB152"/>
  <c r="AD152" s="1"/>
  <c r="L192"/>
  <c r="AB170"/>
  <c r="AD170" s="1"/>
  <c r="AA172"/>
  <c r="AC172" s="1"/>
  <c r="AB176"/>
  <c r="AD176" s="1"/>
  <c r="AA189"/>
  <c r="AC189" s="1"/>
  <c r="Y192"/>
  <c r="AB196"/>
  <c r="AD196" s="1"/>
  <c r="AA209"/>
  <c r="AC209" s="1"/>
  <c r="AB222"/>
  <c r="AD222" s="1"/>
  <c r="AA224"/>
  <c r="AC224" s="1"/>
  <c r="AB228"/>
  <c r="AD228" s="1"/>
  <c r="AA241"/>
  <c r="AC241" s="1"/>
  <c r="AA248"/>
  <c r="AB252"/>
  <c r="AD252" s="1"/>
  <c r="AA265"/>
  <c r="AC265" s="1"/>
  <c r="AB278"/>
  <c r="AD278" s="1"/>
  <c r="AA280"/>
  <c r="AC280" s="1"/>
  <c r="AA285"/>
  <c r="AB298"/>
  <c r="AD298" s="1"/>
  <c r="AA300"/>
  <c r="AC300" s="1"/>
  <c r="AB304"/>
  <c r="AD304" s="1"/>
  <c r="AB318"/>
  <c r="AD318" s="1"/>
  <c r="AA320"/>
  <c r="AC320" s="1"/>
  <c r="AB324"/>
  <c r="AD324" s="1"/>
  <c r="AB338"/>
  <c r="AD338" s="1"/>
  <c r="AA340"/>
  <c r="AC340" s="1"/>
  <c r="AB344"/>
  <c r="AD344" s="1"/>
  <c r="AA357"/>
  <c r="AC357" s="1"/>
  <c r="AB370"/>
  <c r="AD370" s="1"/>
  <c r="I374"/>
  <c r="AB136" l="1"/>
  <c r="AD90"/>
  <c r="AD136" s="1"/>
  <c r="AC137"/>
  <c r="AC159" s="1"/>
  <c r="AA159"/>
  <c r="AD137"/>
  <c r="AD159" s="1"/>
  <c r="AB159"/>
  <c r="AA372"/>
  <c r="AC337"/>
  <c r="AC372" s="1"/>
  <c r="AB192"/>
  <c r="AB127"/>
  <c r="AD127" s="1"/>
  <c r="R374"/>
  <c r="AB336"/>
  <c r="AD317"/>
  <c r="AD336" s="1"/>
  <c r="AB284"/>
  <c r="AD248"/>
  <c r="AD284" s="1"/>
  <c r="AA316"/>
  <c r="AC285"/>
  <c r="AC316" s="1"/>
  <c r="AB29"/>
  <c r="L89"/>
  <c r="Z374"/>
  <c r="AD247"/>
  <c r="L316"/>
  <c r="AB285"/>
  <c r="AC193"/>
  <c r="AC247" s="1"/>
  <c r="AA247"/>
  <c r="AA127"/>
  <c r="AC127" s="1"/>
  <c r="L127"/>
  <c r="L136" s="1"/>
  <c r="AB372"/>
  <c r="AD337"/>
  <c r="AD372" s="1"/>
  <c r="AA336"/>
  <c r="AC317"/>
  <c r="AC336" s="1"/>
  <c r="AC136"/>
  <c r="K374"/>
  <c r="AA192"/>
  <c r="AB247"/>
  <c r="AB4"/>
  <c r="L28"/>
  <c r="AA284"/>
  <c r="AC248"/>
  <c r="AC284" s="1"/>
  <c r="AC4"/>
  <c r="AC28" s="1"/>
  <c r="AA28"/>
  <c r="K136"/>
  <c r="L372"/>
  <c r="AA89"/>
  <c r="AC192"/>
  <c r="Y374"/>
  <c r="AD29" l="1"/>
  <c r="AD89" s="1"/>
  <c r="AB89"/>
  <c r="AD4"/>
  <c r="AD28" s="1"/>
  <c r="AB28"/>
  <c r="AB316"/>
  <c r="AB374" s="1"/>
  <c r="AD285"/>
  <c r="AD316" s="1"/>
  <c r="L374"/>
  <c r="AD374"/>
  <c r="AA374"/>
  <c r="AA136"/>
  <c r="AC374"/>
</calcChain>
</file>

<file path=xl/sharedStrings.xml><?xml version="1.0" encoding="utf-8"?>
<sst xmlns="http://schemas.openxmlformats.org/spreadsheetml/2006/main" count="1122" uniqueCount="767">
  <si>
    <t>Grand</t>
  </si>
  <si>
    <t xml:space="preserve">Total </t>
  </si>
  <si>
    <t>AEA</t>
  </si>
  <si>
    <t>DIST</t>
  </si>
  <si>
    <t xml:space="preserve">FY 2011 District Cost Per Pupil </t>
  </si>
  <si>
    <t>L1</t>
  </si>
  <si>
    <t>R1</t>
  </si>
  <si>
    <t>RC</t>
  </si>
  <si>
    <t>RM</t>
  </si>
  <si>
    <t>SI</t>
  </si>
  <si>
    <t>SM</t>
  </si>
  <si>
    <t>Count</t>
  </si>
  <si>
    <t>Add Wtd</t>
  </si>
  <si>
    <t>R2</t>
  </si>
  <si>
    <t>PS-P2</t>
  </si>
  <si>
    <t>PS-F2</t>
  </si>
  <si>
    <t>K12-P2</t>
  </si>
  <si>
    <t>K12-F2</t>
  </si>
  <si>
    <t>R3</t>
  </si>
  <si>
    <t>PS-P3</t>
  </si>
  <si>
    <t>PS-F3</t>
  </si>
  <si>
    <t>K12-P3</t>
  </si>
  <si>
    <t>K12-F3</t>
  </si>
  <si>
    <t>Total</t>
  </si>
  <si>
    <t>Add Wtg</t>
  </si>
  <si>
    <t>Revenue "1.0" Head count</t>
  </si>
  <si>
    <t>Revenue Added Weights</t>
  </si>
  <si>
    <t>01</t>
  </si>
  <si>
    <t>0135</t>
  </si>
  <si>
    <t>ALLAMAKEE</t>
  </si>
  <si>
    <t>1080</t>
  </si>
  <si>
    <t>CENTRAL</t>
  </si>
  <si>
    <t>1638</t>
  </si>
  <si>
    <t>DECORAH</t>
  </si>
  <si>
    <t>1863</t>
  </si>
  <si>
    <t>DUBUQUE</t>
  </si>
  <si>
    <t>1972</t>
  </si>
  <si>
    <t>EASTERN ALLAMAKEE</t>
  </si>
  <si>
    <t>1989</t>
  </si>
  <si>
    <t>EDGEWOOD-COLESBURG</t>
  </si>
  <si>
    <t>2349</t>
  </si>
  <si>
    <t>FREDERICKSBURG</t>
  </si>
  <si>
    <t>2763</t>
  </si>
  <si>
    <t>CLAYTON RIDGE</t>
  </si>
  <si>
    <t>3029</t>
  </si>
  <si>
    <t>HOWARD-WINNESHIEK</t>
  </si>
  <si>
    <t>4043</t>
  </si>
  <si>
    <t>MAQUOKETA VALLEY</t>
  </si>
  <si>
    <t>4419</t>
  </si>
  <si>
    <t>MFL MarMac</t>
  </si>
  <si>
    <t>4662</t>
  </si>
  <si>
    <t>NEW HAMPTON</t>
  </si>
  <si>
    <t>4774</t>
  </si>
  <si>
    <t>NORTH FAYETTE</t>
  </si>
  <si>
    <t>4787</t>
  </si>
  <si>
    <t>NORTH WINNESHIEK</t>
  </si>
  <si>
    <t>4869</t>
  </si>
  <si>
    <t xml:space="preserve">Oelwein                                        </t>
  </si>
  <si>
    <t>5310</t>
  </si>
  <si>
    <t>POSTVILLE</t>
  </si>
  <si>
    <t>5508</t>
  </si>
  <si>
    <t>RICEVILLE</t>
  </si>
  <si>
    <t>6100</t>
  </si>
  <si>
    <t>SOUTH WINNESHIEK</t>
  </si>
  <si>
    <t>6175</t>
  </si>
  <si>
    <t>STARMONT</t>
  </si>
  <si>
    <t>6509</t>
  </si>
  <si>
    <t>TURKEY VALLEY</t>
  </si>
  <si>
    <t>6591</t>
  </si>
  <si>
    <t>VALLEY</t>
  </si>
  <si>
    <t>6943</t>
  </si>
  <si>
    <t>WEST CENTRAL</t>
  </si>
  <si>
    <t>6950</t>
  </si>
  <si>
    <t>WEST DELAWARE CO</t>
  </si>
  <si>
    <t>6961</t>
  </si>
  <si>
    <t>WESTERN DUBUQUE</t>
  </si>
  <si>
    <t>Total AEA 01</t>
  </si>
  <si>
    <t>07</t>
  </si>
  <si>
    <t>0009</t>
  </si>
  <si>
    <t>AGWSR</t>
  </si>
  <si>
    <t>0108</t>
  </si>
  <si>
    <t>ALDEN</t>
  </si>
  <si>
    <t>0153</t>
  </si>
  <si>
    <t>ALLISON-BRISTOW</t>
  </si>
  <si>
    <t>0279</t>
  </si>
  <si>
    <t>APLINGTON-PARKERSBURG</t>
  </si>
  <si>
    <t>0540</t>
  </si>
  <si>
    <t>BCLUW</t>
  </si>
  <si>
    <t>0594</t>
  </si>
  <si>
    <t>BELMOND-KLEMME</t>
  </si>
  <si>
    <t>0819</t>
  </si>
  <si>
    <t>WEST HANCOCK</t>
  </si>
  <si>
    <t>0846</t>
  </si>
  <si>
    <t>BROOKLYN-GUERNSEY-MALCOM</t>
  </si>
  <si>
    <t>0873</t>
  </si>
  <si>
    <t>NORTH IOWA</t>
  </si>
  <si>
    <t>0916</t>
  </si>
  <si>
    <t>CAL</t>
  </si>
  <si>
    <t>1044</t>
  </si>
  <si>
    <t>CEDAR FALLS</t>
  </si>
  <si>
    <t>1116</t>
  </si>
  <si>
    <t>CHARLES CITY</t>
  </si>
  <si>
    <t>1215</t>
  </si>
  <si>
    <t>CLARKSVILLE</t>
  </si>
  <si>
    <t>1233</t>
  </si>
  <si>
    <t>CLEAR LAKE</t>
  </si>
  <si>
    <t>1449</t>
  </si>
  <si>
    <t>CORWITH-WESLEY</t>
  </si>
  <si>
    <t>1719</t>
  </si>
  <si>
    <t>DENVER</t>
  </si>
  <si>
    <t>1791</t>
  </si>
  <si>
    <t xml:space="preserve">DIKE-NEW HARTFORD </t>
  </si>
  <si>
    <t>1854</t>
  </si>
  <si>
    <t>DOWS</t>
  </si>
  <si>
    <t>1908</t>
  </si>
  <si>
    <t>DUNKERTON</t>
  </si>
  <si>
    <t>1963</t>
  </si>
  <si>
    <t>EAST BUCHANAN</t>
  </si>
  <si>
    <t>1968</t>
  </si>
  <si>
    <t>EAST MARSHALL</t>
  </si>
  <si>
    <t>2007</t>
  </si>
  <si>
    <t>ELDORA-NEW PROVIDENCE</t>
  </si>
  <si>
    <t>2295</t>
  </si>
  <si>
    <t>FOREST CITY</t>
  </si>
  <si>
    <t>2403</t>
  </si>
  <si>
    <t>GARNER-HAYFIELD</t>
  </si>
  <si>
    <t>2502</t>
  </si>
  <si>
    <t>GLADBROOK-REINBECK</t>
  </si>
  <si>
    <t>2664</t>
  </si>
  <si>
    <t>GREENE</t>
  </si>
  <si>
    <t>2682</t>
  </si>
  <si>
    <t>GMG</t>
  </si>
  <si>
    <t>2709</t>
  </si>
  <si>
    <t>GRINNELL-NEWBURG</t>
  </si>
  <si>
    <t>2727</t>
  </si>
  <si>
    <t>GRUNDY CENTER</t>
  </si>
  <si>
    <t>2781</t>
  </si>
  <si>
    <t>HAMPTON-DUMONT</t>
  </si>
  <si>
    <t>3033</t>
  </si>
  <si>
    <t>HUBBARD-RADCLIFFE</t>
  </si>
  <si>
    <t>3042</t>
  </si>
  <si>
    <t>HUDSON</t>
  </si>
  <si>
    <t>3105</t>
  </si>
  <si>
    <t>INDEPENDENCE</t>
  </si>
  <si>
    <t>3150</t>
  </si>
  <si>
    <t>IOWA FALLS</t>
  </si>
  <si>
    <t>3186</t>
  </si>
  <si>
    <t>Janesville Consolidated</t>
  </si>
  <si>
    <t>3204</t>
  </si>
  <si>
    <t>JESUP</t>
  </si>
  <si>
    <t>3420</t>
  </si>
  <si>
    <t>LAKE MILLS</t>
  </si>
  <si>
    <t>4104</t>
  </si>
  <si>
    <t>MARSHALLTOWN</t>
  </si>
  <si>
    <t>4131</t>
  </si>
  <si>
    <t>MASON CITY</t>
  </si>
  <si>
    <t>4437</t>
  </si>
  <si>
    <t>MONTEZUMA</t>
  </si>
  <si>
    <t>4599</t>
  </si>
  <si>
    <t>NASHUA-PLAINFIELD</t>
  </si>
  <si>
    <t>4761</t>
  </si>
  <si>
    <t>NORA SPRINGS-ROCK FALLS</t>
  </si>
  <si>
    <t>4772</t>
  </si>
  <si>
    <t>NORTH CENTRAL</t>
  </si>
  <si>
    <t>4785</t>
  </si>
  <si>
    <t>NORTH TAMA</t>
  </si>
  <si>
    <t>4788</t>
  </si>
  <si>
    <t>NORTHWOOD-KENSETT</t>
  </si>
  <si>
    <t>4995</t>
  </si>
  <si>
    <t>OSAGE</t>
  </si>
  <si>
    <t>5616</t>
  </si>
  <si>
    <t>ROCKWELL-SWALEDALE</t>
  </si>
  <si>
    <t>5697</t>
  </si>
  <si>
    <t>RUDD-ROCKFORD-MARBLE ROCK</t>
  </si>
  <si>
    <t>5751</t>
  </si>
  <si>
    <t>ST ANSGAR</t>
  </si>
  <si>
    <t>5922</t>
  </si>
  <si>
    <t>Sheffield-Chapin-Meservey-Thornton</t>
  </si>
  <si>
    <t>6098</t>
  </si>
  <si>
    <t>SOUTH TAMA</t>
  </si>
  <si>
    <t>6273</t>
  </si>
  <si>
    <t>SUMNER</t>
  </si>
  <si>
    <t>6471</t>
  </si>
  <si>
    <t>TRIPOLI</t>
  </si>
  <si>
    <t>6536</t>
  </si>
  <si>
    <t>Union</t>
  </si>
  <si>
    <t>6633</t>
  </si>
  <si>
    <t>VENTURA</t>
  </si>
  <si>
    <t>6762</t>
  </si>
  <si>
    <t>WAPSIE VALLEY</t>
  </si>
  <si>
    <t>6795</t>
  </si>
  <si>
    <t xml:space="preserve">Waterloo                                      </t>
  </si>
  <si>
    <t>6840</t>
  </si>
  <si>
    <t>WAVERLY-SHELL ROCK</t>
  </si>
  <si>
    <t>6985</t>
  </si>
  <si>
    <t>WEST MARSHALL</t>
  </si>
  <si>
    <t>7083</t>
  </si>
  <si>
    <t>WODEN-CRYSTAL LAKE</t>
  </si>
  <si>
    <t>Total AEA 07</t>
  </si>
  <si>
    <t>08</t>
  </si>
  <si>
    <t>0072</t>
  </si>
  <si>
    <t>ALBERT CITY-TRUESDALE</t>
  </si>
  <si>
    <t>0126</t>
  </si>
  <si>
    <t>ALGONA</t>
  </si>
  <si>
    <t>0171</t>
  </si>
  <si>
    <t xml:space="preserve">Alta                                               </t>
  </si>
  <si>
    <t>0333</t>
  </si>
  <si>
    <t>ARMSTRONG-RINGSTED</t>
  </si>
  <si>
    <t>1206</t>
  </si>
  <si>
    <t>CLARION-GOLDFIELD</t>
  </si>
  <si>
    <t>1218</t>
  </si>
  <si>
    <t>CLAY CENTRAL-EVERLY</t>
  </si>
  <si>
    <t>1944</t>
  </si>
  <si>
    <t>EAGLE GROVE</t>
  </si>
  <si>
    <t>1967</t>
  </si>
  <si>
    <t>EAST GREENE</t>
  </si>
  <si>
    <t>2088</t>
  </si>
  <si>
    <t>EMMETSBURG</t>
  </si>
  <si>
    <t>2124</t>
  </si>
  <si>
    <t>Estherville Lincoln</t>
  </si>
  <si>
    <t>2313</t>
  </si>
  <si>
    <t>FORT DODGE</t>
  </si>
  <si>
    <t>2493</t>
  </si>
  <si>
    <t>GILMORE CITY-BRADGATE</t>
  </si>
  <si>
    <t>2556</t>
  </si>
  <si>
    <t>Graettinger-Terrill</t>
  </si>
  <si>
    <t>2846</t>
  </si>
  <si>
    <t>HARRIS-LAKE PARK</t>
  </si>
  <si>
    <t>3060</t>
  </si>
  <si>
    <t>HUMBOLDT</t>
  </si>
  <si>
    <t>3195</t>
  </si>
  <si>
    <t>Jefferson-Scranton</t>
  </si>
  <si>
    <t>3537</t>
  </si>
  <si>
    <t>LAURENS-MARATHON</t>
  </si>
  <si>
    <t>3897</t>
  </si>
  <si>
    <t>LuVerne</t>
  </si>
  <si>
    <t>4023</t>
  </si>
  <si>
    <t>Manson Northwest Webster</t>
  </si>
  <si>
    <t>4644</t>
  </si>
  <si>
    <t>NEWELL-FONDA</t>
  </si>
  <si>
    <t>4775</t>
  </si>
  <si>
    <t>NORTHEAST HAMILTON</t>
  </si>
  <si>
    <t>4778</t>
  </si>
  <si>
    <t>NORTH KOSSUTH</t>
  </si>
  <si>
    <t>4860</t>
  </si>
  <si>
    <t>ODEBOLT-ARTHUR</t>
  </si>
  <si>
    <t>4890</t>
  </si>
  <si>
    <t>OKOBOJI</t>
  </si>
  <si>
    <t>5139</t>
  </si>
  <si>
    <t>PATON-CHURDAN</t>
  </si>
  <si>
    <t>5283</t>
  </si>
  <si>
    <t>POCAHONTAS AREA</t>
  </si>
  <si>
    <t>5301</t>
  </si>
  <si>
    <t>POMEROY-PALMER</t>
  </si>
  <si>
    <t>5325</t>
  </si>
  <si>
    <t>PRAIRIE VALLEY</t>
  </si>
  <si>
    <t>5625</t>
  </si>
  <si>
    <t>ROCKWELL CITY-LYTTON</t>
  </si>
  <si>
    <t>5724</t>
  </si>
  <si>
    <t>RUTHVEN-AYRSHIRE</t>
  </si>
  <si>
    <t>5742</t>
  </si>
  <si>
    <t>SAC</t>
  </si>
  <si>
    <t>5823</t>
  </si>
  <si>
    <t>SCHALLER-CRESTLAND</t>
  </si>
  <si>
    <t>5868</t>
  </si>
  <si>
    <t>SENTRAL</t>
  </si>
  <si>
    <t>6035</t>
  </si>
  <si>
    <t>SIOUX CENTRAL</t>
  </si>
  <si>
    <t>6091</t>
  </si>
  <si>
    <t>Southern Cal</t>
  </si>
  <si>
    <t>6095</t>
  </si>
  <si>
    <t>SOUTH HAMILTON</t>
  </si>
  <si>
    <t>6096</t>
  </si>
  <si>
    <t>SOUTHEAST WEBSTER-GRAND</t>
  </si>
  <si>
    <t>6102</t>
  </si>
  <si>
    <t>SPENCER</t>
  </si>
  <si>
    <t>6120</t>
  </si>
  <si>
    <t>SPIRIT LAKE</t>
  </si>
  <si>
    <t>6219</t>
  </si>
  <si>
    <t>STORM LAKE</t>
  </si>
  <si>
    <t>6246</t>
  </si>
  <si>
    <t>STRATFORD</t>
  </si>
  <si>
    <t>6417</t>
  </si>
  <si>
    <t>TITONKA</t>
  </si>
  <si>
    <t>6516</t>
  </si>
  <si>
    <t>TWIN RIVERS</t>
  </si>
  <si>
    <t>6741</t>
  </si>
  <si>
    <t>WALL LAKE VIEW AUBURN</t>
  </si>
  <si>
    <t>6867</t>
  </si>
  <si>
    <t>WEBSTER CITY</t>
  </si>
  <si>
    <t>6921</t>
  </si>
  <si>
    <t>WEST BEND-MALLARD</t>
  </si>
  <si>
    <t>Total AEA 08</t>
  </si>
  <si>
    <t>09</t>
  </si>
  <si>
    <t>0243</t>
  </si>
  <si>
    <t>ANDREW</t>
  </si>
  <si>
    <t>0585</t>
  </si>
  <si>
    <t>BELLEVUE</t>
  </si>
  <si>
    <t>0603</t>
  </si>
  <si>
    <t>BENNETT</t>
  </si>
  <si>
    <t>0621</t>
  </si>
  <si>
    <t>BETTENDORF</t>
  </si>
  <si>
    <t>0918</t>
  </si>
  <si>
    <t>CALAMUS-WHEATLAND</t>
  </si>
  <si>
    <t>0936</t>
  </si>
  <si>
    <t>CAMANCHE</t>
  </si>
  <si>
    <t>1082</t>
  </si>
  <si>
    <t>CENTRAL CLINTON</t>
  </si>
  <si>
    <t>1278</t>
  </si>
  <si>
    <t xml:space="preserve">Clinton                                         </t>
  </si>
  <si>
    <t>1368</t>
  </si>
  <si>
    <t>COLUMBUS</t>
  </si>
  <si>
    <t>1611</t>
  </si>
  <si>
    <t>DAVENPORT</t>
  </si>
  <si>
    <t>1675</t>
  </si>
  <si>
    <t>DELWOOD</t>
  </si>
  <si>
    <t>1926</t>
  </si>
  <si>
    <t>DURANT</t>
  </si>
  <si>
    <t>1965</t>
  </si>
  <si>
    <t>EAST CENTRAL</t>
  </si>
  <si>
    <t>3841</t>
  </si>
  <si>
    <t>LOUISA-MUSCATINE</t>
  </si>
  <si>
    <t>4041</t>
  </si>
  <si>
    <t>MAQUOKETA</t>
  </si>
  <si>
    <t>4581</t>
  </si>
  <si>
    <t>MUSCATINE</t>
  </si>
  <si>
    <t>4773</t>
  </si>
  <si>
    <t>NORTHEAST</t>
  </si>
  <si>
    <t>4784</t>
  </si>
  <si>
    <t>NORTH SCOTT</t>
  </si>
  <si>
    <t>5250</t>
  </si>
  <si>
    <t>PLEASANT VALLEY</t>
  </si>
  <si>
    <t>5337</t>
  </si>
  <si>
    <t>PRESTON</t>
  </si>
  <si>
    <t>6975</t>
  </si>
  <si>
    <t>WEST LIBERTY</t>
  </si>
  <si>
    <t>7038</t>
  </si>
  <si>
    <t>WILTON</t>
  </si>
  <si>
    <t>Total AEA 09</t>
  </si>
  <si>
    <t>10</t>
  </si>
  <si>
    <t>0099</t>
  </si>
  <si>
    <t>ALBURNETT</t>
  </si>
  <si>
    <t>0234</t>
  </si>
  <si>
    <t>ANAMOSA</t>
  </si>
  <si>
    <t>0576</t>
  </si>
  <si>
    <t>BELLE PLAINE</t>
  </si>
  <si>
    <t>0609</t>
  </si>
  <si>
    <t>BENTON</t>
  </si>
  <si>
    <t>1053</t>
  </si>
  <si>
    <t>CEDAR RAPIDS</t>
  </si>
  <si>
    <t>1062</t>
  </si>
  <si>
    <t>CENTER POINT-URBANA</t>
  </si>
  <si>
    <t>1089</t>
  </si>
  <si>
    <t>CENTRAL CITY</t>
  </si>
  <si>
    <t>1221</t>
  </si>
  <si>
    <t>CLEAR CREEK-AMANA</t>
  </si>
  <si>
    <t>1337</t>
  </si>
  <si>
    <t>COLLEGE</t>
  </si>
  <si>
    <t>2097</t>
  </si>
  <si>
    <t>English Valleys (Deep River-M'burg)</t>
  </si>
  <si>
    <t>2766</t>
  </si>
  <si>
    <t>H-L-V</t>
  </si>
  <si>
    <t>2977</t>
  </si>
  <si>
    <t>HIGHLAND</t>
  </si>
  <si>
    <t>3141</t>
  </si>
  <si>
    <t xml:space="preserve">Iowa City                                     </t>
  </si>
  <si>
    <t>3154</t>
  </si>
  <si>
    <t>IOWA VALLEY</t>
  </si>
  <si>
    <t>3691</t>
  </si>
  <si>
    <t>NORTH CEDAR</t>
  </si>
  <si>
    <t>3715</t>
  </si>
  <si>
    <t xml:space="preserve">Linn-Mar                                     </t>
  </si>
  <si>
    <t>3744</t>
  </si>
  <si>
    <t>LISBON</t>
  </si>
  <si>
    <t>3816</t>
  </si>
  <si>
    <t>LONE TREE</t>
  </si>
  <si>
    <t>4086</t>
  </si>
  <si>
    <t xml:space="preserve">Marion Independent                  </t>
  </si>
  <si>
    <t>4269</t>
  </si>
  <si>
    <t xml:space="preserve">Midland                                        </t>
  </si>
  <si>
    <t>4271</t>
  </si>
  <si>
    <t>MID-PRAIRIE</t>
  </si>
  <si>
    <t>4446</t>
  </si>
  <si>
    <t>MONTICELLO</t>
  </si>
  <si>
    <t>4554</t>
  </si>
  <si>
    <t>MOUNT VERNON</t>
  </si>
  <si>
    <t>4777</t>
  </si>
  <si>
    <t>NORTH LINN</t>
  </si>
  <si>
    <t>4905</t>
  </si>
  <si>
    <t>Olin Consolidated</t>
  </si>
  <si>
    <t>6093</t>
  </si>
  <si>
    <t>SOLON</t>
  </si>
  <si>
    <t>6138</t>
  </si>
  <si>
    <t>SPRINGVILLE</t>
  </si>
  <si>
    <t>6408</t>
  </si>
  <si>
    <t>TIPTON</t>
  </si>
  <si>
    <t>6660</t>
  </si>
  <si>
    <t xml:space="preserve">Vinton-Shellsburg                    </t>
  </si>
  <si>
    <t>6768</t>
  </si>
  <si>
    <t>WASHINGTON</t>
  </si>
  <si>
    <t>6930</t>
  </si>
  <si>
    <t>WEST BRANCH</t>
  </si>
  <si>
    <t>7029</t>
  </si>
  <si>
    <t>WILLIAMSBURG</t>
  </si>
  <si>
    <t>Total AEA 10</t>
  </si>
  <si>
    <t>11</t>
  </si>
  <si>
    <t>0018</t>
  </si>
  <si>
    <t>ADAIR-CASEY</t>
  </si>
  <si>
    <t>0027</t>
  </si>
  <si>
    <t>ADEL-DESOTO-MINBURN</t>
  </si>
  <si>
    <t>0225</t>
  </si>
  <si>
    <t>AMES</t>
  </si>
  <si>
    <t>0261</t>
  </si>
  <si>
    <t xml:space="preserve">Ankeny                                         </t>
  </si>
  <si>
    <t>0414</t>
  </si>
  <si>
    <t>AUDUBON</t>
  </si>
  <si>
    <t>0472</t>
  </si>
  <si>
    <t>BALLARD</t>
  </si>
  <si>
    <t>0513</t>
  </si>
  <si>
    <t>BAXTER</t>
  </si>
  <si>
    <t>0720</t>
  </si>
  <si>
    <t>BONDURANT-FARRAR</t>
  </si>
  <si>
    <t>0729</t>
  </si>
  <si>
    <t>BOONE</t>
  </si>
  <si>
    <t>0981</t>
  </si>
  <si>
    <t>CARLISLE</t>
  </si>
  <si>
    <t>0999</t>
  </si>
  <si>
    <t>CARROLL</t>
  </si>
  <si>
    <t>1332</t>
  </si>
  <si>
    <t>COLFAX-MINGO</t>
  </si>
  <si>
    <t>1350</t>
  </si>
  <si>
    <t>COLLINS-MAXWELL</t>
  </si>
  <si>
    <t>1359</t>
  </si>
  <si>
    <t>COLO-NESCO</t>
  </si>
  <si>
    <t>1413</t>
  </si>
  <si>
    <t>COON RAPIDS-BAYARD</t>
  </si>
  <si>
    <t>1576</t>
  </si>
  <si>
    <t>DALLAS CENTER-GRIMES</t>
  </si>
  <si>
    <t>1737</t>
  </si>
  <si>
    <t>DES MOINES</t>
  </si>
  <si>
    <t>1953</t>
  </si>
  <si>
    <t>EARLHAM</t>
  </si>
  <si>
    <t>2151</t>
  </si>
  <si>
    <t>EXIRA</t>
  </si>
  <si>
    <t>2466</t>
  </si>
  <si>
    <t>GILBERT</t>
  </si>
  <si>
    <t>2520</t>
  </si>
  <si>
    <t>GLIDDEN-RALSTON</t>
  </si>
  <si>
    <t>2754</t>
  </si>
  <si>
    <t>GUTHRIE CENTER</t>
  </si>
  <si>
    <t>3114</t>
  </si>
  <si>
    <t>INDIANOLA</t>
  </si>
  <si>
    <t>3119</t>
  </si>
  <si>
    <t>INTERSTATE 35</t>
  </si>
  <si>
    <t>3231</t>
  </si>
  <si>
    <t xml:space="preserve">Johnston                                      </t>
  </si>
  <si>
    <t>3375</t>
  </si>
  <si>
    <t>KNOXVILLE</t>
  </si>
  <si>
    <t>3906</t>
  </si>
  <si>
    <t>LYNNVILLE-SULLY</t>
  </si>
  <si>
    <t>3942</t>
  </si>
  <si>
    <t>MADRID</t>
  </si>
  <si>
    <t>4014</t>
  </si>
  <si>
    <t>MANNING</t>
  </si>
  <si>
    <t>4122</t>
  </si>
  <si>
    <t>MARTENSDALE-ST MARYS</t>
  </si>
  <si>
    <t>4212</t>
  </si>
  <si>
    <t>MELCHER-DALLAS</t>
  </si>
  <si>
    <t>4617</t>
  </si>
  <si>
    <t>NEVADA</t>
  </si>
  <si>
    <t>4725</t>
  </si>
  <si>
    <t>NEWTON</t>
  </si>
  <si>
    <t>4779</t>
  </si>
  <si>
    <t>NORTH POLK</t>
  </si>
  <si>
    <t>4797</t>
  </si>
  <si>
    <t>NORWALK</t>
  </si>
  <si>
    <t>4878</t>
  </si>
  <si>
    <t>OGDEN</t>
  </si>
  <si>
    <t>5121</t>
  </si>
  <si>
    <t>PANORAMA</t>
  </si>
  <si>
    <t>5160</t>
  </si>
  <si>
    <t>PCM</t>
  </si>
  <si>
    <t>5166</t>
  </si>
  <si>
    <t>PELLA</t>
  </si>
  <si>
    <t>5184</t>
  </si>
  <si>
    <t>PERRY</t>
  </si>
  <si>
    <t>5256</t>
  </si>
  <si>
    <t>PLEASANTVILLE</t>
  </si>
  <si>
    <t>5643</t>
  </si>
  <si>
    <t>ROLAND-STORY</t>
  </si>
  <si>
    <t>5805</t>
  </si>
  <si>
    <t>SAYDEL</t>
  </si>
  <si>
    <t>6094</t>
  </si>
  <si>
    <t>SOUTHEAST WARREN</t>
  </si>
  <si>
    <t>6101</t>
  </si>
  <si>
    <t>SOUTHEAST POLK</t>
  </si>
  <si>
    <t>6264</t>
  </si>
  <si>
    <t>WEST CENTRAL VALLEY</t>
  </si>
  <si>
    <t>6512</t>
  </si>
  <si>
    <t>TWIN CEDARS</t>
  </si>
  <si>
    <t>6561</t>
  </si>
  <si>
    <t>UNITED</t>
  </si>
  <si>
    <t>6579</t>
  </si>
  <si>
    <t>URBANDALE</t>
  </si>
  <si>
    <t>6615</t>
  </si>
  <si>
    <t>VAN METER</t>
  </si>
  <si>
    <t>6822</t>
  </si>
  <si>
    <t>Waukee</t>
  </si>
  <si>
    <t>6957</t>
  </si>
  <si>
    <t>WEST DES MOINES</t>
  </si>
  <si>
    <t>7056</t>
  </si>
  <si>
    <t>WINTERSET</t>
  </si>
  <si>
    <t>7110</t>
  </si>
  <si>
    <t>WOODWARD-GRANGER</t>
  </si>
  <si>
    <t>Total AEA 11</t>
  </si>
  <si>
    <t>12</t>
  </si>
  <si>
    <t>0063</t>
  </si>
  <si>
    <t>AKRON-WESTFIELD</t>
  </si>
  <si>
    <t>0270</t>
  </si>
  <si>
    <t>ANTHON-OTO</t>
  </si>
  <si>
    <t>0355</t>
  </si>
  <si>
    <t>AR-WE-VA</t>
  </si>
  <si>
    <t>0423</t>
  </si>
  <si>
    <t>AURELIA</t>
  </si>
  <si>
    <t>0504</t>
  </si>
  <si>
    <t>BATTLE CREEK-IDA GROVE</t>
  </si>
  <si>
    <t>0747</t>
  </si>
  <si>
    <t>BOYDEN-HULL</t>
  </si>
  <si>
    <t>1095</t>
  </si>
  <si>
    <t>CENTRAL LYON</t>
  </si>
  <si>
    <t>1134</t>
  </si>
  <si>
    <t>CHARTER OAK-UTE</t>
  </si>
  <si>
    <t>1152</t>
  </si>
  <si>
    <t>CHEROKEE</t>
  </si>
  <si>
    <t>1701</t>
  </si>
  <si>
    <t>DENISON</t>
  </si>
  <si>
    <t>1975</t>
  </si>
  <si>
    <t>RIVER VALLEY</t>
  </si>
  <si>
    <t>2376</t>
  </si>
  <si>
    <t>GALVA-HOLSTEIN</t>
  </si>
  <si>
    <t>2457</t>
  </si>
  <si>
    <t>GEORGE-LITTLE ROCK</t>
  </si>
  <si>
    <t>2862</t>
  </si>
  <si>
    <t>HARTLEY-MELVIN-SANBORN</t>
  </si>
  <si>
    <t>2988</t>
  </si>
  <si>
    <t>HINTON</t>
  </si>
  <si>
    <t>3348</t>
  </si>
  <si>
    <t>KINGSLEY-PIERSON</t>
  </si>
  <si>
    <t>3555</t>
  </si>
  <si>
    <t>LAWTON-BRONSON</t>
  </si>
  <si>
    <t>3600</t>
  </si>
  <si>
    <t>LE MARS</t>
  </si>
  <si>
    <t>4033</t>
  </si>
  <si>
    <t>MAPLE VALLEY</t>
  </si>
  <si>
    <t>4068</t>
  </si>
  <si>
    <t>Marcus-Meriden-Cleghorn</t>
  </si>
  <si>
    <t>4149</t>
  </si>
  <si>
    <t>MOC-FLOYD VALLEY</t>
  </si>
  <si>
    <t>5486</t>
  </si>
  <si>
    <t>REMSEN-UNION</t>
  </si>
  <si>
    <t>5607</t>
  </si>
  <si>
    <t>ROCK VALLEY</t>
  </si>
  <si>
    <t>5832</t>
  </si>
  <si>
    <t>SCHLESWIG</t>
  </si>
  <si>
    <t>5877</t>
  </si>
  <si>
    <t>SERGEANT BLUFF-LUTON</t>
  </si>
  <si>
    <t>5949</t>
  </si>
  <si>
    <t>SHELDON</t>
  </si>
  <si>
    <t>5994</t>
  </si>
  <si>
    <t>SIBLEY-OCHEYEDAN</t>
  </si>
  <si>
    <t>6030</t>
  </si>
  <si>
    <t>SIOUX CENTER</t>
  </si>
  <si>
    <t>6039</t>
  </si>
  <si>
    <t>SIOUX CITY</t>
  </si>
  <si>
    <t>6099</t>
  </si>
  <si>
    <t>South O'Brien</t>
  </si>
  <si>
    <t>6983</t>
  </si>
  <si>
    <t>WEST LYON</t>
  </si>
  <si>
    <t>6987</t>
  </si>
  <si>
    <t>WEST MONONA</t>
  </si>
  <si>
    <t>6990</t>
  </si>
  <si>
    <t>WEST SIOUX</t>
  </si>
  <si>
    <t>6992</t>
  </si>
  <si>
    <t>WESTWOOD</t>
  </si>
  <si>
    <t>7002</t>
  </si>
  <si>
    <t>WHITING</t>
  </si>
  <si>
    <t>7098</t>
  </si>
  <si>
    <t>WOODBURY CENTRAL</t>
  </si>
  <si>
    <t>Total AEA 12</t>
  </si>
  <si>
    <t>13</t>
  </si>
  <si>
    <t>0252</t>
  </si>
  <si>
    <t>ANITA</t>
  </si>
  <si>
    <t>0387</t>
  </si>
  <si>
    <t>ATLANTIC</t>
  </si>
  <si>
    <t>0441</t>
  </si>
  <si>
    <t>A-H-S-T</t>
  </si>
  <si>
    <t>0914</t>
  </si>
  <si>
    <t>C AND M</t>
  </si>
  <si>
    <t>1197</t>
  </si>
  <si>
    <t>CLARINDA</t>
  </si>
  <si>
    <t>1476</t>
  </si>
  <si>
    <t>COUNCIL BLUFFS</t>
  </si>
  <si>
    <t>1917</t>
  </si>
  <si>
    <t>BOYER VALLEY</t>
  </si>
  <si>
    <t>2016</t>
  </si>
  <si>
    <t>ELK HORN-KIMBALLTON</t>
  </si>
  <si>
    <t>2113</t>
  </si>
  <si>
    <t>ESSEX</t>
  </si>
  <si>
    <t>2205</t>
  </si>
  <si>
    <t>FARRAGUT</t>
  </si>
  <si>
    <t>2369</t>
  </si>
  <si>
    <t>FREMONT-MILLS</t>
  </si>
  <si>
    <t>2511</t>
  </si>
  <si>
    <t>GLENWOOD</t>
  </si>
  <si>
    <t>2718</t>
  </si>
  <si>
    <t>GRISWOLD</t>
  </si>
  <si>
    <t>2772</t>
  </si>
  <si>
    <t>HAMBURG</t>
  </si>
  <si>
    <t>2826</t>
  </si>
  <si>
    <t>HARLAN</t>
  </si>
  <si>
    <t>3168</t>
  </si>
  <si>
    <t>IKM</t>
  </si>
  <si>
    <t>3645</t>
  </si>
  <si>
    <t>LEWIS CENTRAL</t>
  </si>
  <si>
    <t>3798</t>
  </si>
  <si>
    <t>LOGAN-MAGNOLIA</t>
  </si>
  <si>
    <t>3978</t>
  </si>
  <si>
    <t>MALVERN</t>
  </si>
  <si>
    <t>4356</t>
  </si>
  <si>
    <t>MISSOURI VALLEY</t>
  </si>
  <si>
    <t>4751</t>
  </si>
  <si>
    <t xml:space="preserve">Nishna Valley                             </t>
  </si>
  <si>
    <t>5510</t>
  </si>
  <si>
    <t>Riverside</t>
  </si>
  <si>
    <t>5976</t>
  </si>
  <si>
    <t>SHENANDOAH</t>
  </si>
  <si>
    <t>6003</t>
  </si>
  <si>
    <t>SIDNEY</t>
  </si>
  <si>
    <t>6097</t>
  </si>
  <si>
    <t>SOUTH PAGE</t>
  </si>
  <si>
    <t>6453</t>
  </si>
  <si>
    <t>TREYNOR</t>
  </si>
  <si>
    <t>6460</t>
  </si>
  <si>
    <t>TRI-CENTER</t>
  </si>
  <si>
    <t>6534</t>
  </si>
  <si>
    <t>UNDERWOOD</t>
  </si>
  <si>
    <t>6750</t>
  </si>
  <si>
    <t>WALNUT</t>
  </si>
  <si>
    <t>6969</t>
  </si>
  <si>
    <t>WEST HARRISON</t>
  </si>
  <si>
    <t>7092</t>
  </si>
  <si>
    <t>WOODBINE</t>
  </si>
  <si>
    <t>Total AEA 13</t>
  </si>
  <si>
    <t>14</t>
  </si>
  <si>
    <t>0549</t>
  </si>
  <si>
    <t>BEDFORD</t>
  </si>
  <si>
    <t>1093</t>
  </si>
  <si>
    <t>CENTRAL DECATUR</t>
  </si>
  <si>
    <t>1211</t>
  </si>
  <si>
    <t>CLARKE</t>
  </si>
  <si>
    <t>1224</t>
  </si>
  <si>
    <t>CLEARFIELD</t>
  </si>
  <si>
    <t>1431</t>
  </si>
  <si>
    <t>CORNING</t>
  </si>
  <si>
    <t>1503</t>
  </si>
  <si>
    <t>CRESTON</t>
  </si>
  <si>
    <t>1782</t>
  </si>
  <si>
    <t>DIAGONAL</t>
  </si>
  <si>
    <t>1970</t>
  </si>
  <si>
    <t>EAST UNION</t>
  </si>
  <si>
    <t>2673</t>
  </si>
  <si>
    <t>Nodaway Valley</t>
  </si>
  <si>
    <t>3465</t>
  </si>
  <si>
    <t>LAMONI</t>
  </si>
  <si>
    <t>3609</t>
  </si>
  <si>
    <t>LENOX</t>
  </si>
  <si>
    <t>4505</t>
  </si>
  <si>
    <t>MORMON TRAIL</t>
  </si>
  <si>
    <t>4527</t>
  </si>
  <si>
    <t>MOUNT AYR</t>
  </si>
  <si>
    <t>4572</t>
  </si>
  <si>
    <t>MURRAY</t>
  </si>
  <si>
    <t>4978</t>
  </si>
  <si>
    <t>ORIENT-MACKSBURG</t>
  </si>
  <si>
    <t>5328</t>
  </si>
  <si>
    <t>PRESCOTT</t>
  </si>
  <si>
    <t>5463</t>
  </si>
  <si>
    <t>RED OAK</t>
  </si>
  <si>
    <t>6165</t>
  </si>
  <si>
    <t>STANTON</t>
  </si>
  <si>
    <t>6651</t>
  </si>
  <si>
    <t>VILLISCA</t>
  </si>
  <si>
    <t>Total AEA 14</t>
  </si>
  <si>
    <t>15</t>
  </si>
  <si>
    <t>0081</t>
  </si>
  <si>
    <t>ALBIA</t>
  </si>
  <si>
    <t>0657</t>
  </si>
  <si>
    <t>EDDYVILLE-BLAKESBURG</t>
  </si>
  <si>
    <t>0882</t>
  </si>
  <si>
    <t>BURLINGTON</t>
  </si>
  <si>
    <t>0977</t>
  </si>
  <si>
    <t>CARDINAL</t>
  </si>
  <si>
    <t>1071</t>
  </si>
  <si>
    <t>CENTERVILLE</t>
  </si>
  <si>
    <t>1079</t>
  </si>
  <si>
    <t>CENTRAL LEE</t>
  </si>
  <si>
    <t>1107</t>
  </si>
  <si>
    <t>CHARITON</t>
  </si>
  <si>
    <t>1602</t>
  </si>
  <si>
    <t>DANVILLE</t>
  </si>
  <si>
    <t>1619</t>
  </si>
  <si>
    <t>DAVIS COUNTY</t>
  </si>
  <si>
    <t>2169</t>
  </si>
  <si>
    <t>FAIRFIELD</t>
  </si>
  <si>
    <t>2322</t>
  </si>
  <si>
    <t>FORT MADISON</t>
  </si>
  <si>
    <t>2367</t>
  </si>
  <si>
    <t>FREMONT</t>
  </si>
  <si>
    <t>2834</t>
  </si>
  <si>
    <t>HARMONY</t>
  </si>
  <si>
    <t>3312</t>
  </si>
  <si>
    <t>KEOKUK</t>
  </si>
  <si>
    <t>3330</t>
  </si>
  <si>
    <t>KEOTA</t>
  </si>
  <si>
    <t>3705</t>
  </si>
  <si>
    <t>LINEVILLE-CLIO</t>
  </si>
  <si>
    <t>4203</t>
  </si>
  <si>
    <t>MEDIAPOLIS</t>
  </si>
  <si>
    <t>4491</t>
  </si>
  <si>
    <t>MORAVIA</t>
  </si>
  <si>
    <t>4509</t>
  </si>
  <si>
    <t>MORNING SUN</t>
  </si>
  <si>
    <t>4518</t>
  </si>
  <si>
    <t>MOULTON-UDELL</t>
  </si>
  <si>
    <t>4536</t>
  </si>
  <si>
    <t>MOUNT PLEASANT</t>
  </si>
  <si>
    <t>4689</t>
  </si>
  <si>
    <t>NEW LONDON</t>
  </si>
  <si>
    <t>4776</t>
  </si>
  <si>
    <t>NORTH MAHASKA</t>
  </si>
  <si>
    <t>5013</t>
  </si>
  <si>
    <t>OSKALOOSA</t>
  </si>
  <si>
    <t>5049</t>
  </si>
  <si>
    <t>OTTUMWA</t>
  </si>
  <si>
    <t>5163</t>
  </si>
  <si>
    <t>PEKIN</t>
  </si>
  <si>
    <t>5895</t>
  </si>
  <si>
    <t>SEYMOUR</t>
  </si>
  <si>
    <t>6012</t>
  </si>
  <si>
    <t>SIGOURNEY</t>
  </si>
  <si>
    <t>6462</t>
  </si>
  <si>
    <t>TRI-COUNTY</t>
  </si>
  <si>
    <t>6592</t>
  </si>
  <si>
    <t>Van Buren</t>
  </si>
  <si>
    <t>6700</t>
  </si>
  <si>
    <t>WACO</t>
  </si>
  <si>
    <t>6759</t>
  </si>
  <si>
    <t>WAPELLO</t>
  </si>
  <si>
    <t>6854</t>
  </si>
  <si>
    <t>WAYNE</t>
  </si>
  <si>
    <t>6937</t>
  </si>
  <si>
    <t>WEST BURLINGTON</t>
  </si>
  <si>
    <t>7047</t>
  </si>
  <si>
    <t>WINFIELD-MT UNION</t>
  </si>
  <si>
    <t>Total AEA 15</t>
  </si>
  <si>
    <t xml:space="preserve">State Total </t>
  </si>
  <si>
    <r>
      <rPr>
        <b/>
        <sz val="8"/>
        <color theme="1"/>
        <rFont val="Arial"/>
        <family val="2"/>
      </rPr>
      <t>Special Education Receipts for 2010-11</t>
    </r>
    <r>
      <rPr>
        <sz val="8"/>
        <color theme="1"/>
        <rFont val="Arial"/>
        <family val="2"/>
      </rPr>
      <t xml:space="preserve"> October 2009 Special Education Count           District Name</t>
    </r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</si>
</sst>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>
    <font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6F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left"/>
    </xf>
    <xf numFmtId="164" fontId="5" fillId="0" borderId="4" xfId="1" applyNumberFormat="1" applyFont="1" applyBorder="1"/>
    <xf numFmtId="0" fontId="2" fillId="0" borderId="11" xfId="0" applyFont="1" applyBorder="1"/>
    <xf numFmtId="0" fontId="2" fillId="6" borderId="11" xfId="0" applyFont="1" applyFill="1" applyBorder="1"/>
    <xf numFmtId="0" fontId="2" fillId="7" borderId="11" xfId="0" applyFont="1" applyFill="1" applyBorder="1"/>
    <xf numFmtId="0" fontId="2" fillId="8" borderId="11" xfId="0" applyFont="1" applyFill="1" applyBorder="1"/>
    <xf numFmtId="164" fontId="2" fillId="0" borderId="11" xfId="1" applyNumberFormat="1" applyFont="1" applyBorder="1"/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2" fillId="0" borderId="4" xfId="0" applyFont="1" applyBorder="1"/>
    <xf numFmtId="0" fontId="2" fillId="6" borderId="4" xfId="0" applyFont="1" applyFill="1" applyBorder="1"/>
    <xf numFmtId="0" fontId="2" fillId="7" borderId="4" xfId="0" applyFont="1" applyFill="1" applyBorder="1"/>
    <xf numFmtId="0" fontId="2" fillId="8" borderId="4" xfId="0" applyFont="1" applyFill="1" applyBorder="1"/>
    <xf numFmtId="164" fontId="2" fillId="0" borderId="4" xfId="1" applyNumberFormat="1" applyFont="1" applyBorder="1"/>
    <xf numFmtId="0" fontId="2" fillId="0" borderId="12" xfId="0" applyFont="1" applyBorder="1"/>
    <xf numFmtId="0" fontId="2" fillId="6" borderId="12" xfId="0" applyFont="1" applyFill="1" applyBorder="1"/>
    <xf numFmtId="0" fontId="2" fillId="7" borderId="12" xfId="0" applyFont="1" applyFill="1" applyBorder="1"/>
    <xf numFmtId="0" fontId="2" fillId="8" borderId="12" xfId="0" applyFont="1" applyFill="1" applyBorder="1"/>
    <xf numFmtId="164" fontId="2" fillId="0" borderId="12" xfId="1" applyNumberFormat="1" applyFont="1" applyBorder="1"/>
    <xf numFmtId="0" fontId="4" fillId="9" borderId="13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left"/>
    </xf>
    <xf numFmtId="164" fontId="5" fillId="9" borderId="14" xfId="1" applyNumberFormat="1" applyFont="1" applyFill="1" applyBorder="1"/>
    <xf numFmtId="0" fontId="3" fillId="9" borderId="14" xfId="0" applyFont="1" applyFill="1" applyBorder="1"/>
    <xf numFmtId="0" fontId="3" fillId="6" borderId="14" xfId="0" applyFont="1" applyFill="1" applyBorder="1"/>
    <xf numFmtId="0" fontId="3" fillId="10" borderId="14" xfId="0" applyFont="1" applyFill="1" applyBorder="1"/>
    <xf numFmtId="0" fontId="3" fillId="9" borderId="15" xfId="0" applyFont="1" applyFill="1" applyBorder="1"/>
    <xf numFmtId="164" fontId="3" fillId="9" borderId="14" xfId="1" applyNumberFormat="1" applyFont="1" applyFill="1" applyBorder="1"/>
    <xf numFmtId="164" fontId="3" fillId="9" borderId="15" xfId="1" applyNumberFormat="1" applyFont="1" applyFill="1" applyBorder="1"/>
    <xf numFmtId="2" fontId="2" fillId="0" borderId="4" xfId="0" applyNumberFormat="1" applyFont="1" applyBorder="1"/>
    <xf numFmtId="0" fontId="4" fillId="2" borderId="12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left"/>
    </xf>
    <xf numFmtId="164" fontId="5" fillId="0" borderId="12" xfId="1" applyNumberFormat="1" applyFont="1" applyBorder="1"/>
    <xf numFmtId="164" fontId="5" fillId="0" borderId="11" xfId="1" applyNumberFormat="1" applyFont="1" applyBorder="1"/>
    <xf numFmtId="0" fontId="3" fillId="11" borderId="16" xfId="0" applyFont="1" applyFill="1" applyBorder="1"/>
    <xf numFmtId="0" fontId="3" fillId="11" borderId="17" xfId="0" applyFont="1" applyFill="1" applyBorder="1"/>
    <xf numFmtId="164" fontId="3" fillId="11" borderId="16" xfId="1" applyNumberFormat="1" applyFont="1" applyFill="1" applyBorder="1"/>
    <xf numFmtId="164" fontId="3" fillId="11" borderId="17" xfId="1" applyNumberFormat="1" applyFont="1" applyFill="1" applyBorder="1"/>
    <xf numFmtId="0" fontId="2" fillId="0" borderId="18" xfId="0" applyFont="1" applyBorder="1"/>
    <xf numFmtId="0" fontId="2" fillId="0" borderId="19" xfId="0" applyFont="1" applyBorder="1"/>
    <xf numFmtId="0" fontId="6" fillId="0" borderId="19" xfId="0" applyFont="1" applyBorder="1" applyAlignment="1">
      <alignment horizontal="center"/>
    </xf>
    <xf numFmtId="0" fontId="3" fillId="0" borderId="14" xfId="0" applyFont="1" applyBorder="1"/>
    <xf numFmtId="164" fontId="3" fillId="0" borderId="14" xfId="1" applyNumberFormat="1" applyFont="1" applyBorder="1"/>
    <xf numFmtId="164" fontId="3" fillId="0" borderId="15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74"/>
  <sheetViews>
    <sheetView tabSelected="1" workbookViewId="0">
      <selection activeCell="D32" sqref="D32"/>
    </sheetView>
  </sheetViews>
  <sheetFormatPr defaultRowHeight="11.25"/>
  <cols>
    <col min="1" max="1" width="4.140625" style="1" bestFit="1" customWidth="1"/>
    <col min="2" max="2" width="4.42578125" style="1" bestFit="1" customWidth="1"/>
    <col min="3" max="3" width="31" style="1" bestFit="1" customWidth="1"/>
    <col min="4" max="4" width="10.140625" style="1" customWidth="1"/>
    <col min="5" max="5" width="5.28515625" style="1" hidden="1" customWidth="1"/>
    <col min="6" max="10" width="4.42578125" style="1" hidden="1" customWidth="1"/>
    <col min="11" max="11" width="5.7109375" style="1" bestFit="1" customWidth="1"/>
    <col min="12" max="12" width="7.85546875" style="1" bestFit="1" customWidth="1"/>
    <col min="13" max="13" width="4.42578125" style="1" hidden="1" customWidth="1"/>
    <col min="14" max="14" width="5.42578125" style="1" hidden="1" customWidth="1"/>
    <col min="15" max="15" width="5.28515625" style="1" hidden="1" customWidth="1"/>
    <col min="16" max="16" width="6.140625" style="1" hidden="1" customWidth="1"/>
    <col min="17" max="17" width="6" style="1" hidden="1" customWidth="1"/>
    <col min="18" max="18" width="5.7109375" style="1" bestFit="1" customWidth="1"/>
    <col min="19" max="19" width="7.5703125" style="1" bestFit="1" customWidth="1"/>
    <col min="20" max="20" width="4.42578125" style="1" hidden="1" customWidth="1"/>
    <col min="21" max="21" width="5.42578125" style="1" hidden="1" customWidth="1"/>
    <col min="22" max="22" width="5.28515625" style="1" hidden="1" customWidth="1"/>
    <col min="23" max="23" width="6.140625" style="1" hidden="1" customWidth="1"/>
    <col min="24" max="24" width="6" style="1" hidden="1" customWidth="1"/>
    <col min="25" max="25" width="5.7109375" style="1" bestFit="1" customWidth="1"/>
    <col min="26" max="26" width="7.85546875" style="1" bestFit="1" customWidth="1"/>
    <col min="27" max="27" width="5.7109375" style="1" bestFit="1" customWidth="1"/>
    <col min="28" max="28" width="7.85546875" style="1" bestFit="1" customWidth="1"/>
    <col min="29" max="30" width="12.85546875" style="1" bestFit="1" customWidth="1"/>
    <col min="31" max="16384" width="9.140625" style="1"/>
  </cols>
  <sheetData>
    <row r="1" spans="1:30" ht="12" thickBot="1"/>
    <row r="2" spans="1:30">
      <c r="E2" s="2">
        <v>1.72</v>
      </c>
      <c r="F2" s="3">
        <v>1.72</v>
      </c>
      <c r="G2" s="3">
        <v>1.72</v>
      </c>
      <c r="H2" s="3">
        <v>1.72</v>
      </c>
      <c r="I2" s="3">
        <v>1.72</v>
      </c>
      <c r="J2" s="3">
        <v>1.72</v>
      </c>
      <c r="K2" s="3">
        <v>1.72</v>
      </c>
      <c r="L2" s="4">
        <v>1.72</v>
      </c>
      <c r="M2" s="2">
        <v>2.21</v>
      </c>
      <c r="N2" s="3">
        <v>2.21</v>
      </c>
      <c r="O2" s="3">
        <v>2.21</v>
      </c>
      <c r="P2" s="3">
        <v>2.21</v>
      </c>
      <c r="Q2" s="3">
        <v>2.21</v>
      </c>
      <c r="R2" s="3">
        <v>2.21</v>
      </c>
      <c r="S2" s="4">
        <v>2.21</v>
      </c>
      <c r="T2" s="2">
        <v>3.74</v>
      </c>
      <c r="U2" s="3">
        <v>3.74</v>
      </c>
      <c r="V2" s="3">
        <v>3.74</v>
      </c>
      <c r="W2" s="3">
        <v>3.74</v>
      </c>
      <c r="X2" s="3">
        <v>3.74</v>
      </c>
      <c r="Y2" s="3">
        <v>3.74</v>
      </c>
      <c r="Z2" s="4">
        <v>3.74</v>
      </c>
      <c r="AA2" s="2" t="s">
        <v>0</v>
      </c>
      <c r="AB2" s="4" t="s">
        <v>1</v>
      </c>
      <c r="AC2" s="4" t="s">
        <v>1</v>
      </c>
      <c r="AD2" s="4" t="s">
        <v>1</v>
      </c>
    </row>
    <row r="3" spans="1:30" ht="67.5" customHeight="1" thickBot="1">
      <c r="A3" s="5" t="s">
        <v>2</v>
      </c>
      <c r="B3" s="5" t="s">
        <v>3</v>
      </c>
      <c r="C3" s="6" t="s">
        <v>766</v>
      </c>
      <c r="D3" s="6" t="s">
        <v>4</v>
      </c>
      <c r="E3" s="7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9" t="s">
        <v>12</v>
      </c>
      <c r="M3" s="7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11</v>
      </c>
      <c r="S3" s="9" t="s">
        <v>12</v>
      </c>
      <c r="T3" s="7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8" t="s">
        <v>11</v>
      </c>
      <c r="Z3" s="9" t="s">
        <v>12</v>
      </c>
      <c r="AA3" s="10" t="s">
        <v>23</v>
      </c>
      <c r="AB3" s="11" t="s">
        <v>24</v>
      </c>
      <c r="AC3" s="12" t="s">
        <v>25</v>
      </c>
      <c r="AD3" s="13" t="s">
        <v>26</v>
      </c>
    </row>
    <row r="4" spans="1:30">
      <c r="A4" s="14" t="s">
        <v>27</v>
      </c>
      <c r="B4" s="14" t="s">
        <v>28</v>
      </c>
      <c r="C4" s="15" t="s">
        <v>29</v>
      </c>
      <c r="D4" s="16">
        <v>5965</v>
      </c>
      <c r="E4" s="17">
        <v>105</v>
      </c>
      <c r="F4" s="17"/>
      <c r="G4" s="17"/>
      <c r="H4" s="17"/>
      <c r="I4" s="17"/>
      <c r="J4" s="17"/>
      <c r="K4" s="17">
        <f>SUM(E4:J4)</f>
        <v>105</v>
      </c>
      <c r="L4" s="17">
        <f>+K4*0.72</f>
        <v>75.599999999999994</v>
      </c>
      <c r="M4" s="18"/>
      <c r="N4" s="19"/>
      <c r="O4" s="19">
        <v>6</v>
      </c>
      <c r="P4" s="18"/>
      <c r="Q4" s="18">
        <v>15</v>
      </c>
      <c r="R4" s="18">
        <f>SUM(M4:Q4)</f>
        <v>21</v>
      </c>
      <c r="S4" s="18">
        <f>((+N4 +P4)*0.61+(+M4+O4+Q4)*1.21)</f>
        <v>25.41</v>
      </c>
      <c r="T4" s="17"/>
      <c r="U4" s="20">
        <v>1</v>
      </c>
      <c r="V4" s="20">
        <v>1</v>
      </c>
      <c r="W4" s="17"/>
      <c r="X4" s="17">
        <v>16</v>
      </c>
      <c r="Y4" s="17">
        <f>SUM(T4:X4)</f>
        <v>18</v>
      </c>
      <c r="Z4" s="17">
        <f>((+U4 +W4)*1.37+(+T4+V4+X4)*2.74)</f>
        <v>47.95</v>
      </c>
      <c r="AA4" s="17">
        <f>+Y4+R4+K4</f>
        <v>144</v>
      </c>
      <c r="AB4" s="17">
        <f>+Z4+S4+L4</f>
        <v>148.95999999999998</v>
      </c>
      <c r="AC4" s="21">
        <f>ROUND((AA4*$D4),0)</f>
        <v>858960</v>
      </c>
      <c r="AD4" s="21">
        <f>ROUND((AB4*$D4),0)</f>
        <v>888546</v>
      </c>
    </row>
    <row r="5" spans="1:30">
      <c r="A5" s="22" t="s">
        <v>27</v>
      </c>
      <c r="B5" s="22" t="s">
        <v>30</v>
      </c>
      <c r="C5" s="23" t="s">
        <v>31</v>
      </c>
      <c r="D5" s="16">
        <v>5883</v>
      </c>
      <c r="E5" s="24">
        <v>48</v>
      </c>
      <c r="F5" s="24"/>
      <c r="G5" s="24"/>
      <c r="H5" s="24"/>
      <c r="I5" s="24"/>
      <c r="J5" s="24"/>
      <c r="K5" s="24">
        <f t="shared" ref="K5:K68" si="0">SUM(E5:J5)</f>
        <v>48</v>
      </c>
      <c r="L5" s="24">
        <f t="shared" ref="L5:L68" si="1">+K5*0.72</f>
        <v>34.56</v>
      </c>
      <c r="M5" s="25"/>
      <c r="N5" s="26"/>
      <c r="O5" s="26">
        <v>11</v>
      </c>
      <c r="P5" s="25"/>
      <c r="Q5" s="25">
        <v>6</v>
      </c>
      <c r="R5" s="25">
        <f t="shared" ref="R5:R68" si="2">SUM(M5:Q5)</f>
        <v>17</v>
      </c>
      <c r="S5" s="25">
        <f t="shared" ref="S5:S68" si="3">((+N5 +P5)*0.61+(+M5+O5+Q5)*1.21)</f>
        <v>20.57</v>
      </c>
      <c r="T5" s="24"/>
      <c r="U5" s="27"/>
      <c r="V5" s="27"/>
      <c r="W5" s="24"/>
      <c r="X5" s="24">
        <v>11</v>
      </c>
      <c r="Y5" s="24">
        <f t="shared" ref="Y5:Y68" si="4">SUM(T5:X5)</f>
        <v>11</v>
      </c>
      <c r="Z5" s="24">
        <f t="shared" ref="Z5:Z68" si="5">((+U5 +W5)*1.37+(+T5+V5+X5)*2.74)</f>
        <v>30.14</v>
      </c>
      <c r="AA5" s="24">
        <f t="shared" ref="AA5:AB68" si="6">+Y5+R5+K5</f>
        <v>76</v>
      </c>
      <c r="AB5" s="24">
        <f t="shared" si="6"/>
        <v>85.27000000000001</v>
      </c>
      <c r="AC5" s="28">
        <f t="shared" ref="AC5:AD68" si="7">ROUND((AA5*$D5),0)</f>
        <v>447108</v>
      </c>
      <c r="AD5" s="28">
        <f t="shared" si="7"/>
        <v>501643</v>
      </c>
    </row>
    <row r="6" spans="1:30">
      <c r="A6" s="22" t="s">
        <v>27</v>
      </c>
      <c r="B6" s="22" t="s">
        <v>32</v>
      </c>
      <c r="C6" s="23" t="s">
        <v>33</v>
      </c>
      <c r="D6" s="16">
        <v>5897</v>
      </c>
      <c r="E6" s="24">
        <v>86</v>
      </c>
      <c r="F6" s="24"/>
      <c r="G6" s="24"/>
      <c r="H6" s="24"/>
      <c r="I6" s="24"/>
      <c r="J6" s="24"/>
      <c r="K6" s="24">
        <f t="shared" si="0"/>
        <v>86</v>
      </c>
      <c r="L6" s="24">
        <f t="shared" si="1"/>
        <v>61.919999999999995</v>
      </c>
      <c r="M6" s="25"/>
      <c r="N6" s="26"/>
      <c r="O6" s="26">
        <v>14</v>
      </c>
      <c r="P6" s="25"/>
      <c r="Q6" s="25">
        <v>30</v>
      </c>
      <c r="R6" s="25">
        <f t="shared" si="2"/>
        <v>44</v>
      </c>
      <c r="S6" s="25">
        <f t="shared" si="3"/>
        <v>53.239999999999995</v>
      </c>
      <c r="T6" s="24"/>
      <c r="U6" s="27"/>
      <c r="V6" s="27"/>
      <c r="W6" s="24"/>
      <c r="X6" s="24">
        <v>12</v>
      </c>
      <c r="Y6" s="24">
        <f t="shared" si="4"/>
        <v>12</v>
      </c>
      <c r="Z6" s="24">
        <f t="shared" si="5"/>
        <v>32.880000000000003</v>
      </c>
      <c r="AA6" s="24">
        <f t="shared" si="6"/>
        <v>142</v>
      </c>
      <c r="AB6" s="24">
        <f t="shared" si="6"/>
        <v>148.04</v>
      </c>
      <c r="AC6" s="28">
        <f t="shared" si="7"/>
        <v>837374</v>
      </c>
      <c r="AD6" s="28">
        <f t="shared" si="7"/>
        <v>872992</v>
      </c>
    </row>
    <row r="7" spans="1:30">
      <c r="A7" s="22" t="s">
        <v>27</v>
      </c>
      <c r="B7" s="22" t="s">
        <v>34</v>
      </c>
      <c r="C7" s="23" t="s">
        <v>35</v>
      </c>
      <c r="D7" s="16">
        <v>5890</v>
      </c>
      <c r="E7" s="24">
        <v>877</v>
      </c>
      <c r="F7" s="24">
        <v>4</v>
      </c>
      <c r="G7" s="24"/>
      <c r="H7" s="24"/>
      <c r="I7" s="24"/>
      <c r="J7" s="24"/>
      <c r="K7" s="24">
        <f t="shared" si="0"/>
        <v>881</v>
      </c>
      <c r="L7" s="24">
        <f t="shared" si="1"/>
        <v>634.31999999999994</v>
      </c>
      <c r="M7" s="25">
        <v>2</v>
      </c>
      <c r="N7" s="26">
        <v>3</v>
      </c>
      <c r="O7" s="26">
        <v>28</v>
      </c>
      <c r="P7" s="25"/>
      <c r="Q7" s="25">
        <v>434</v>
      </c>
      <c r="R7" s="25">
        <f t="shared" si="2"/>
        <v>467</v>
      </c>
      <c r="S7" s="25">
        <f t="shared" si="3"/>
        <v>563.27</v>
      </c>
      <c r="T7" s="24">
        <v>2</v>
      </c>
      <c r="U7" s="27"/>
      <c r="V7" s="27">
        <v>32</v>
      </c>
      <c r="W7" s="24"/>
      <c r="X7" s="24">
        <v>280</v>
      </c>
      <c r="Y7" s="24">
        <f t="shared" si="4"/>
        <v>314</v>
      </c>
      <c r="Z7" s="24">
        <f t="shared" si="5"/>
        <v>860.36</v>
      </c>
      <c r="AA7" s="24">
        <f t="shared" si="6"/>
        <v>1662</v>
      </c>
      <c r="AB7" s="24">
        <f t="shared" si="6"/>
        <v>2057.9499999999998</v>
      </c>
      <c r="AC7" s="28">
        <f t="shared" si="7"/>
        <v>9789180</v>
      </c>
      <c r="AD7" s="28">
        <f t="shared" si="7"/>
        <v>12121326</v>
      </c>
    </row>
    <row r="8" spans="1:30">
      <c r="A8" s="22" t="s">
        <v>27</v>
      </c>
      <c r="B8" s="22" t="s">
        <v>36</v>
      </c>
      <c r="C8" s="23" t="s">
        <v>37</v>
      </c>
      <c r="D8" s="16">
        <v>5883</v>
      </c>
      <c r="E8" s="24">
        <v>31</v>
      </c>
      <c r="F8" s="24"/>
      <c r="G8" s="24"/>
      <c r="H8" s="24"/>
      <c r="I8" s="24"/>
      <c r="J8" s="24"/>
      <c r="K8" s="24">
        <f t="shared" si="0"/>
        <v>31</v>
      </c>
      <c r="L8" s="24">
        <f t="shared" si="1"/>
        <v>22.32</v>
      </c>
      <c r="M8" s="25"/>
      <c r="N8" s="26"/>
      <c r="O8" s="26"/>
      <c r="P8" s="25"/>
      <c r="Q8" s="25">
        <v>5</v>
      </c>
      <c r="R8" s="25">
        <f t="shared" si="2"/>
        <v>5</v>
      </c>
      <c r="S8" s="25">
        <f t="shared" si="3"/>
        <v>6.05</v>
      </c>
      <c r="T8" s="24"/>
      <c r="U8" s="27"/>
      <c r="V8" s="27"/>
      <c r="W8" s="24"/>
      <c r="X8" s="24">
        <v>1</v>
      </c>
      <c r="Y8" s="24">
        <f t="shared" si="4"/>
        <v>1</v>
      </c>
      <c r="Z8" s="24">
        <f t="shared" si="5"/>
        <v>2.74</v>
      </c>
      <c r="AA8" s="24">
        <f t="shared" si="6"/>
        <v>37</v>
      </c>
      <c r="AB8" s="24">
        <f t="shared" si="6"/>
        <v>31.11</v>
      </c>
      <c r="AC8" s="28">
        <f t="shared" si="7"/>
        <v>217671</v>
      </c>
      <c r="AD8" s="28">
        <f t="shared" si="7"/>
        <v>183020</v>
      </c>
    </row>
    <row r="9" spans="1:30">
      <c r="A9" s="22" t="s">
        <v>27</v>
      </c>
      <c r="B9" s="22" t="s">
        <v>38</v>
      </c>
      <c r="C9" s="23" t="s">
        <v>39</v>
      </c>
      <c r="D9" s="16">
        <v>5883</v>
      </c>
      <c r="E9" s="24">
        <v>30</v>
      </c>
      <c r="F9" s="24"/>
      <c r="G9" s="24"/>
      <c r="H9" s="24"/>
      <c r="I9" s="24"/>
      <c r="J9" s="24"/>
      <c r="K9" s="24">
        <f t="shared" si="0"/>
        <v>30</v>
      </c>
      <c r="L9" s="24">
        <f t="shared" si="1"/>
        <v>21.599999999999998</v>
      </c>
      <c r="M9" s="25"/>
      <c r="N9" s="26"/>
      <c r="O9" s="26">
        <v>2</v>
      </c>
      <c r="P9" s="25"/>
      <c r="Q9" s="25">
        <v>11</v>
      </c>
      <c r="R9" s="25">
        <f t="shared" si="2"/>
        <v>13</v>
      </c>
      <c r="S9" s="25">
        <f t="shared" si="3"/>
        <v>15.73</v>
      </c>
      <c r="T9" s="24"/>
      <c r="U9" s="27"/>
      <c r="V9" s="27"/>
      <c r="W9" s="24"/>
      <c r="X9" s="24">
        <v>5</v>
      </c>
      <c r="Y9" s="24">
        <f t="shared" si="4"/>
        <v>5</v>
      </c>
      <c r="Z9" s="24">
        <f t="shared" si="5"/>
        <v>13.700000000000001</v>
      </c>
      <c r="AA9" s="24">
        <f t="shared" si="6"/>
        <v>48</v>
      </c>
      <c r="AB9" s="24">
        <f t="shared" si="6"/>
        <v>51.03</v>
      </c>
      <c r="AC9" s="28">
        <f t="shared" si="7"/>
        <v>282384</v>
      </c>
      <c r="AD9" s="28">
        <f t="shared" si="7"/>
        <v>300209</v>
      </c>
    </row>
    <row r="10" spans="1:30">
      <c r="A10" s="22" t="s">
        <v>27</v>
      </c>
      <c r="B10" s="22" t="s">
        <v>40</v>
      </c>
      <c r="C10" s="23" t="s">
        <v>41</v>
      </c>
      <c r="D10" s="16">
        <v>5883</v>
      </c>
      <c r="E10" s="24">
        <v>36</v>
      </c>
      <c r="F10" s="24"/>
      <c r="G10" s="24"/>
      <c r="H10" s="24"/>
      <c r="I10" s="24"/>
      <c r="J10" s="24"/>
      <c r="K10" s="24">
        <f t="shared" si="0"/>
        <v>36</v>
      </c>
      <c r="L10" s="24">
        <f t="shared" si="1"/>
        <v>25.919999999999998</v>
      </c>
      <c r="M10" s="25"/>
      <c r="N10" s="26"/>
      <c r="O10" s="26">
        <v>2</v>
      </c>
      <c r="P10" s="25"/>
      <c r="Q10" s="25">
        <v>4</v>
      </c>
      <c r="R10" s="25">
        <f t="shared" si="2"/>
        <v>6</v>
      </c>
      <c r="S10" s="25">
        <f t="shared" si="3"/>
        <v>7.26</v>
      </c>
      <c r="T10" s="24"/>
      <c r="U10" s="27"/>
      <c r="V10" s="27"/>
      <c r="W10" s="24"/>
      <c r="X10" s="24">
        <v>4</v>
      </c>
      <c r="Y10" s="24">
        <f t="shared" si="4"/>
        <v>4</v>
      </c>
      <c r="Z10" s="24">
        <f t="shared" si="5"/>
        <v>10.96</v>
      </c>
      <c r="AA10" s="24">
        <f t="shared" si="6"/>
        <v>46</v>
      </c>
      <c r="AB10" s="24">
        <f t="shared" si="6"/>
        <v>44.14</v>
      </c>
      <c r="AC10" s="28">
        <f t="shared" si="7"/>
        <v>270618</v>
      </c>
      <c r="AD10" s="28">
        <f t="shared" si="7"/>
        <v>259676</v>
      </c>
    </row>
    <row r="11" spans="1:30">
      <c r="A11" s="22" t="s">
        <v>27</v>
      </c>
      <c r="B11" s="22" t="s">
        <v>42</v>
      </c>
      <c r="C11" s="23" t="s">
        <v>43</v>
      </c>
      <c r="D11" s="16">
        <v>5975</v>
      </c>
      <c r="E11" s="24">
        <v>62</v>
      </c>
      <c r="F11" s="24"/>
      <c r="G11" s="24"/>
      <c r="H11" s="24"/>
      <c r="I11" s="24"/>
      <c r="J11" s="24"/>
      <c r="K11" s="24">
        <f t="shared" si="0"/>
        <v>62</v>
      </c>
      <c r="L11" s="24">
        <f t="shared" si="1"/>
        <v>44.64</v>
      </c>
      <c r="M11" s="25"/>
      <c r="N11" s="26">
        <v>3</v>
      </c>
      <c r="O11" s="26">
        <v>2</v>
      </c>
      <c r="P11" s="25"/>
      <c r="Q11" s="25">
        <v>22</v>
      </c>
      <c r="R11" s="25">
        <f t="shared" si="2"/>
        <v>27</v>
      </c>
      <c r="S11" s="25">
        <f t="shared" si="3"/>
        <v>30.869999999999997</v>
      </c>
      <c r="T11" s="24"/>
      <c r="U11" s="27">
        <v>3</v>
      </c>
      <c r="V11" s="27"/>
      <c r="W11" s="24"/>
      <c r="X11" s="24">
        <v>4</v>
      </c>
      <c r="Y11" s="24">
        <f t="shared" si="4"/>
        <v>7</v>
      </c>
      <c r="Z11" s="24">
        <f t="shared" si="5"/>
        <v>15.07</v>
      </c>
      <c r="AA11" s="24">
        <f t="shared" si="6"/>
        <v>96</v>
      </c>
      <c r="AB11" s="24">
        <f t="shared" si="6"/>
        <v>90.58</v>
      </c>
      <c r="AC11" s="28">
        <f t="shared" si="7"/>
        <v>573600</v>
      </c>
      <c r="AD11" s="28">
        <f t="shared" si="7"/>
        <v>541216</v>
      </c>
    </row>
    <row r="12" spans="1:30">
      <c r="A12" s="22" t="s">
        <v>27</v>
      </c>
      <c r="B12" s="22" t="s">
        <v>44</v>
      </c>
      <c r="C12" s="23" t="s">
        <v>45</v>
      </c>
      <c r="D12" s="16">
        <v>6006</v>
      </c>
      <c r="E12" s="24">
        <v>143</v>
      </c>
      <c r="F12" s="24"/>
      <c r="G12" s="24"/>
      <c r="H12" s="24"/>
      <c r="I12" s="24"/>
      <c r="J12" s="24"/>
      <c r="K12" s="24">
        <f t="shared" si="0"/>
        <v>143</v>
      </c>
      <c r="L12" s="24">
        <f t="shared" si="1"/>
        <v>102.96</v>
      </c>
      <c r="M12" s="25"/>
      <c r="N12" s="26">
        <v>1</v>
      </c>
      <c r="O12" s="26">
        <v>10</v>
      </c>
      <c r="P12" s="25"/>
      <c r="Q12" s="25">
        <v>28</v>
      </c>
      <c r="R12" s="25">
        <f t="shared" si="2"/>
        <v>39</v>
      </c>
      <c r="S12" s="25">
        <f t="shared" si="3"/>
        <v>46.589999999999996</v>
      </c>
      <c r="T12" s="24"/>
      <c r="U12" s="27"/>
      <c r="V12" s="27">
        <v>4</v>
      </c>
      <c r="W12" s="24"/>
      <c r="X12" s="24">
        <v>9</v>
      </c>
      <c r="Y12" s="24">
        <f t="shared" si="4"/>
        <v>13</v>
      </c>
      <c r="Z12" s="24">
        <f t="shared" si="5"/>
        <v>35.620000000000005</v>
      </c>
      <c r="AA12" s="24">
        <f t="shared" si="6"/>
        <v>195</v>
      </c>
      <c r="AB12" s="24">
        <f t="shared" si="6"/>
        <v>185.17000000000002</v>
      </c>
      <c r="AC12" s="28">
        <f t="shared" si="7"/>
        <v>1171170</v>
      </c>
      <c r="AD12" s="28">
        <f t="shared" si="7"/>
        <v>1112131</v>
      </c>
    </row>
    <row r="13" spans="1:30">
      <c r="A13" s="22" t="s">
        <v>27</v>
      </c>
      <c r="B13" s="22" t="s">
        <v>46</v>
      </c>
      <c r="C13" s="23" t="s">
        <v>47</v>
      </c>
      <c r="D13" s="16">
        <v>5915</v>
      </c>
      <c r="E13" s="24">
        <v>44</v>
      </c>
      <c r="F13" s="24"/>
      <c r="G13" s="24"/>
      <c r="H13" s="24"/>
      <c r="I13" s="24"/>
      <c r="J13" s="24"/>
      <c r="K13" s="24">
        <f t="shared" si="0"/>
        <v>44</v>
      </c>
      <c r="L13" s="24">
        <f t="shared" si="1"/>
        <v>31.68</v>
      </c>
      <c r="M13" s="25"/>
      <c r="N13" s="26"/>
      <c r="O13" s="26">
        <v>2</v>
      </c>
      <c r="P13" s="25"/>
      <c r="Q13" s="25">
        <v>14</v>
      </c>
      <c r="R13" s="25">
        <f t="shared" si="2"/>
        <v>16</v>
      </c>
      <c r="S13" s="25">
        <f t="shared" si="3"/>
        <v>19.36</v>
      </c>
      <c r="T13" s="24"/>
      <c r="U13" s="27"/>
      <c r="V13" s="27">
        <v>1</v>
      </c>
      <c r="W13" s="24"/>
      <c r="X13" s="24">
        <v>7</v>
      </c>
      <c r="Y13" s="24">
        <f t="shared" si="4"/>
        <v>8</v>
      </c>
      <c r="Z13" s="24">
        <f t="shared" si="5"/>
        <v>21.92</v>
      </c>
      <c r="AA13" s="24">
        <f t="shared" si="6"/>
        <v>68</v>
      </c>
      <c r="AB13" s="24">
        <f t="shared" si="6"/>
        <v>72.960000000000008</v>
      </c>
      <c r="AC13" s="28">
        <f t="shared" si="7"/>
        <v>402220</v>
      </c>
      <c r="AD13" s="28">
        <f t="shared" si="7"/>
        <v>431558</v>
      </c>
    </row>
    <row r="14" spans="1:30">
      <c r="A14" s="22" t="s">
        <v>27</v>
      </c>
      <c r="B14" s="22" t="s">
        <v>48</v>
      </c>
      <c r="C14" s="23" t="s">
        <v>49</v>
      </c>
      <c r="D14" s="16">
        <v>5920</v>
      </c>
      <c r="E14" s="24">
        <v>98</v>
      </c>
      <c r="F14" s="24"/>
      <c r="G14" s="24"/>
      <c r="H14" s="24"/>
      <c r="I14" s="24"/>
      <c r="J14" s="24"/>
      <c r="K14" s="24">
        <f t="shared" si="0"/>
        <v>98</v>
      </c>
      <c r="L14" s="24">
        <f t="shared" si="1"/>
        <v>70.56</v>
      </c>
      <c r="M14" s="25"/>
      <c r="N14" s="26"/>
      <c r="O14" s="26">
        <v>9</v>
      </c>
      <c r="P14" s="25"/>
      <c r="Q14" s="25">
        <v>10</v>
      </c>
      <c r="R14" s="25">
        <f t="shared" si="2"/>
        <v>19</v>
      </c>
      <c r="S14" s="25">
        <f t="shared" si="3"/>
        <v>22.99</v>
      </c>
      <c r="T14" s="24"/>
      <c r="U14" s="27">
        <v>1</v>
      </c>
      <c r="V14" s="27">
        <v>1</v>
      </c>
      <c r="W14" s="24"/>
      <c r="X14" s="24">
        <v>9</v>
      </c>
      <c r="Y14" s="24">
        <f t="shared" si="4"/>
        <v>11</v>
      </c>
      <c r="Z14" s="24">
        <f t="shared" si="5"/>
        <v>28.770000000000003</v>
      </c>
      <c r="AA14" s="24">
        <f t="shared" si="6"/>
        <v>128</v>
      </c>
      <c r="AB14" s="24">
        <f t="shared" si="6"/>
        <v>122.32000000000001</v>
      </c>
      <c r="AC14" s="28">
        <f t="shared" si="7"/>
        <v>757760</v>
      </c>
      <c r="AD14" s="28">
        <f t="shared" si="7"/>
        <v>724134</v>
      </c>
    </row>
    <row r="15" spans="1:30">
      <c r="A15" s="22" t="s">
        <v>27</v>
      </c>
      <c r="B15" s="22" t="s">
        <v>50</v>
      </c>
      <c r="C15" s="23" t="s">
        <v>51</v>
      </c>
      <c r="D15" s="16">
        <v>5883</v>
      </c>
      <c r="E15" s="24">
        <v>84</v>
      </c>
      <c r="F15" s="24"/>
      <c r="G15" s="24"/>
      <c r="H15" s="24"/>
      <c r="I15" s="24"/>
      <c r="J15" s="24"/>
      <c r="K15" s="24">
        <f t="shared" si="0"/>
        <v>84</v>
      </c>
      <c r="L15" s="24">
        <f t="shared" si="1"/>
        <v>60.48</v>
      </c>
      <c r="M15" s="25"/>
      <c r="N15" s="26">
        <v>2</v>
      </c>
      <c r="O15" s="26">
        <v>8</v>
      </c>
      <c r="P15" s="25"/>
      <c r="Q15" s="25">
        <v>20</v>
      </c>
      <c r="R15" s="25">
        <f t="shared" si="2"/>
        <v>30</v>
      </c>
      <c r="S15" s="25">
        <f t="shared" si="3"/>
        <v>35.099999999999994</v>
      </c>
      <c r="T15" s="24"/>
      <c r="U15" s="27"/>
      <c r="V15" s="27">
        <v>1</v>
      </c>
      <c r="W15" s="24"/>
      <c r="X15" s="24">
        <v>6</v>
      </c>
      <c r="Y15" s="24">
        <f t="shared" si="4"/>
        <v>7</v>
      </c>
      <c r="Z15" s="24">
        <f t="shared" si="5"/>
        <v>19.18</v>
      </c>
      <c r="AA15" s="24">
        <f t="shared" si="6"/>
        <v>121</v>
      </c>
      <c r="AB15" s="24">
        <f t="shared" si="6"/>
        <v>114.75999999999999</v>
      </c>
      <c r="AC15" s="28">
        <f t="shared" si="7"/>
        <v>711843</v>
      </c>
      <c r="AD15" s="28">
        <f t="shared" si="7"/>
        <v>675133</v>
      </c>
    </row>
    <row r="16" spans="1:30">
      <c r="A16" s="22" t="s">
        <v>27</v>
      </c>
      <c r="B16" s="22" t="s">
        <v>52</v>
      </c>
      <c r="C16" s="23" t="s">
        <v>53</v>
      </c>
      <c r="D16" s="16">
        <v>6005</v>
      </c>
      <c r="E16" s="24">
        <v>69</v>
      </c>
      <c r="F16" s="24"/>
      <c r="G16" s="24"/>
      <c r="H16" s="24"/>
      <c r="I16" s="24"/>
      <c r="J16" s="24"/>
      <c r="K16" s="24">
        <f t="shared" si="0"/>
        <v>69</v>
      </c>
      <c r="L16" s="24">
        <f t="shared" si="1"/>
        <v>49.68</v>
      </c>
      <c r="M16" s="25"/>
      <c r="N16" s="26">
        <v>3</v>
      </c>
      <c r="O16" s="26">
        <v>5</v>
      </c>
      <c r="P16" s="25"/>
      <c r="Q16" s="25">
        <v>21</v>
      </c>
      <c r="R16" s="25">
        <f t="shared" si="2"/>
        <v>29</v>
      </c>
      <c r="S16" s="25">
        <f t="shared" si="3"/>
        <v>33.29</v>
      </c>
      <c r="T16" s="24"/>
      <c r="U16" s="27">
        <v>1</v>
      </c>
      <c r="V16" s="27">
        <v>1</v>
      </c>
      <c r="W16" s="24"/>
      <c r="X16" s="24">
        <v>7</v>
      </c>
      <c r="Y16" s="24">
        <f t="shared" si="4"/>
        <v>9</v>
      </c>
      <c r="Z16" s="24">
        <f t="shared" si="5"/>
        <v>23.290000000000003</v>
      </c>
      <c r="AA16" s="24">
        <f t="shared" si="6"/>
        <v>107</v>
      </c>
      <c r="AB16" s="24">
        <f t="shared" si="6"/>
        <v>106.25999999999999</v>
      </c>
      <c r="AC16" s="28">
        <f t="shared" si="7"/>
        <v>642535</v>
      </c>
      <c r="AD16" s="28">
        <f t="shared" si="7"/>
        <v>638091</v>
      </c>
    </row>
    <row r="17" spans="1:30">
      <c r="A17" s="22" t="s">
        <v>27</v>
      </c>
      <c r="B17" s="22" t="s">
        <v>54</v>
      </c>
      <c r="C17" s="23" t="s">
        <v>55</v>
      </c>
      <c r="D17" s="16">
        <v>5990</v>
      </c>
      <c r="E17" s="24">
        <v>27</v>
      </c>
      <c r="F17" s="24"/>
      <c r="G17" s="24"/>
      <c r="H17" s="24"/>
      <c r="I17" s="24"/>
      <c r="J17" s="24"/>
      <c r="K17" s="24">
        <f t="shared" si="0"/>
        <v>27</v>
      </c>
      <c r="L17" s="24">
        <f t="shared" si="1"/>
        <v>19.439999999999998</v>
      </c>
      <c r="M17" s="25"/>
      <c r="N17" s="26"/>
      <c r="O17" s="26">
        <v>1</v>
      </c>
      <c r="P17" s="25"/>
      <c r="Q17" s="25">
        <v>6</v>
      </c>
      <c r="R17" s="25">
        <f t="shared" si="2"/>
        <v>7</v>
      </c>
      <c r="S17" s="25">
        <f t="shared" si="3"/>
        <v>8.4699999999999989</v>
      </c>
      <c r="T17" s="24"/>
      <c r="U17" s="27"/>
      <c r="V17" s="27"/>
      <c r="W17" s="24"/>
      <c r="X17" s="24">
        <v>8</v>
      </c>
      <c r="Y17" s="24">
        <f t="shared" si="4"/>
        <v>8</v>
      </c>
      <c r="Z17" s="24">
        <f t="shared" si="5"/>
        <v>21.92</v>
      </c>
      <c r="AA17" s="24">
        <f t="shared" si="6"/>
        <v>42</v>
      </c>
      <c r="AB17" s="24">
        <f t="shared" si="6"/>
        <v>49.83</v>
      </c>
      <c r="AC17" s="28">
        <f t="shared" si="7"/>
        <v>251580</v>
      </c>
      <c r="AD17" s="28">
        <f t="shared" si="7"/>
        <v>298482</v>
      </c>
    </row>
    <row r="18" spans="1:30">
      <c r="A18" s="22" t="s">
        <v>27</v>
      </c>
      <c r="B18" s="22" t="s">
        <v>56</v>
      </c>
      <c r="C18" s="23" t="s">
        <v>57</v>
      </c>
      <c r="D18" s="16">
        <v>5924</v>
      </c>
      <c r="E18" s="24">
        <v>193</v>
      </c>
      <c r="F18" s="24"/>
      <c r="G18" s="24"/>
      <c r="H18" s="24"/>
      <c r="I18" s="24"/>
      <c r="J18" s="24"/>
      <c r="K18" s="24">
        <f t="shared" si="0"/>
        <v>193</v>
      </c>
      <c r="L18" s="24">
        <f t="shared" si="1"/>
        <v>138.96</v>
      </c>
      <c r="M18" s="25"/>
      <c r="N18" s="26"/>
      <c r="O18" s="26">
        <v>17</v>
      </c>
      <c r="P18" s="25"/>
      <c r="Q18" s="25">
        <v>29</v>
      </c>
      <c r="R18" s="25">
        <f t="shared" si="2"/>
        <v>46</v>
      </c>
      <c r="S18" s="25">
        <f t="shared" si="3"/>
        <v>55.66</v>
      </c>
      <c r="T18" s="24"/>
      <c r="U18" s="27"/>
      <c r="V18" s="27">
        <v>4</v>
      </c>
      <c r="W18" s="24"/>
      <c r="X18" s="24">
        <v>21</v>
      </c>
      <c r="Y18" s="24">
        <f t="shared" si="4"/>
        <v>25</v>
      </c>
      <c r="Z18" s="24">
        <f t="shared" si="5"/>
        <v>68.5</v>
      </c>
      <c r="AA18" s="24">
        <f t="shared" si="6"/>
        <v>264</v>
      </c>
      <c r="AB18" s="24">
        <f t="shared" si="6"/>
        <v>263.12</v>
      </c>
      <c r="AC18" s="28">
        <f t="shared" si="7"/>
        <v>1563936</v>
      </c>
      <c r="AD18" s="28">
        <f t="shared" si="7"/>
        <v>1558723</v>
      </c>
    </row>
    <row r="19" spans="1:30">
      <c r="A19" s="22" t="s">
        <v>27</v>
      </c>
      <c r="B19" s="22" t="s">
        <v>58</v>
      </c>
      <c r="C19" s="23" t="s">
        <v>59</v>
      </c>
      <c r="D19" s="16">
        <v>5896</v>
      </c>
      <c r="E19" s="24">
        <v>59</v>
      </c>
      <c r="F19" s="24"/>
      <c r="G19" s="24"/>
      <c r="H19" s="24"/>
      <c r="I19" s="24"/>
      <c r="J19" s="24"/>
      <c r="K19" s="24">
        <f t="shared" si="0"/>
        <v>59</v>
      </c>
      <c r="L19" s="24">
        <f t="shared" si="1"/>
        <v>42.48</v>
      </c>
      <c r="M19" s="25"/>
      <c r="N19" s="26">
        <v>4</v>
      </c>
      <c r="O19" s="26">
        <v>4</v>
      </c>
      <c r="P19" s="25"/>
      <c r="Q19" s="25">
        <v>6</v>
      </c>
      <c r="R19" s="25">
        <f t="shared" si="2"/>
        <v>14</v>
      </c>
      <c r="S19" s="25">
        <f t="shared" si="3"/>
        <v>14.54</v>
      </c>
      <c r="T19" s="24"/>
      <c r="U19" s="27"/>
      <c r="V19" s="27"/>
      <c r="W19" s="24"/>
      <c r="X19" s="24">
        <v>4</v>
      </c>
      <c r="Y19" s="24">
        <f t="shared" si="4"/>
        <v>4</v>
      </c>
      <c r="Z19" s="24">
        <f t="shared" si="5"/>
        <v>10.96</v>
      </c>
      <c r="AA19" s="24">
        <f t="shared" si="6"/>
        <v>77</v>
      </c>
      <c r="AB19" s="24">
        <f t="shared" si="6"/>
        <v>67.97999999999999</v>
      </c>
      <c r="AC19" s="28">
        <f t="shared" si="7"/>
        <v>453992</v>
      </c>
      <c r="AD19" s="28">
        <f t="shared" si="7"/>
        <v>400810</v>
      </c>
    </row>
    <row r="20" spans="1:30">
      <c r="A20" s="22" t="s">
        <v>27</v>
      </c>
      <c r="B20" s="22" t="s">
        <v>60</v>
      </c>
      <c r="C20" s="23" t="s">
        <v>61</v>
      </c>
      <c r="D20" s="16">
        <v>5883</v>
      </c>
      <c r="E20" s="24">
        <v>25</v>
      </c>
      <c r="F20" s="24"/>
      <c r="G20" s="24"/>
      <c r="H20" s="24"/>
      <c r="I20" s="24"/>
      <c r="J20" s="24"/>
      <c r="K20" s="24">
        <f t="shared" si="0"/>
        <v>25</v>
      </c>
      <c r="L20" s="24">
        <f t="shared" si="1"/>
        <v>18</v>
      </c>
      <c r="M20" s="25"/>
      <c r="N20" s="26"/>
      <c r="O20" s="26">
        <v>2</v>
      </c>
      <c r="P20" s="25"/>
      <c r="Q20" s="25">
        <v>5</v>
      </c>
      <c r="R20" s="25">
        <f t="shared" si="2"/>
        <v>7</v>
      </c>
      <c r="S20" s="25">
        <f t="shared" si="3"/>
        <v>8.4699999999999989</v>
      </c>
      <c r="T20" s="24"/>
      <c r="U20" s="27"/>
      <c r="V20" s="27"/>
      <c r="W20" s="24"/>
      <c r="X20" s="24">
        <v>6</v>
      </c>
      <c r="Y20" s="24">
        <f t="shared" si="4"/>
        <v>6</v>
      </c>
      <c r="Z20" s="24">
        <f t="shared" si="5"/>
        <v>16.440000000000001</v>
      </c>
      <c r="AA20" s="24">
        <f t="shared" si="6"/>
        <v>38</v>
      </c>
      <c r="AB20" s="24">
        <f t="shared" si="6"/>
        <v>42.91</v>
      </c>
      <c r="AC20" s="28">
        <f t="shared" si="7"/>
        <v>223554</v>
      </c>
      <c r="AD20" s="28">
        <f t="shared" si="7"/>
        <v>252440</v>
      </c>
    </row>
    <row r="21" spans="1:30">
      <c r="A21" s="22" t="s">
        <v>27</v>
      </c>
      <c r="B21" s="22" t="s">
        <v>62</v>
      </c>
      <c r="C21" s="23" t="s">
        <v>63</v>
      </c>
      <c r="D21" s="16">
        <v>5883</v>
      </c>
      <c r="E21" s="24">
        <v>64</v>
      </c>
      <c r="F21" s="24"/>
      <c r="G21" s="24"/>
      <c r="H21" s="24"/>
      <c r="I21" s="24"/>
      <c r="J21" s="24"/>
      <c r="K21" s="24">
        <f t="shared" si="0"/>
        <v>64</v>
      </c>
      <c r="L21" s="24">
        <f t="shared" si="1"/>
        <v>46.08</v>
      </c>
      <c r="M21" s="25"/>
      <c r="N21" s="26"/>
      <c r="O21" s="26">
        <v>6</v>
      </c>
      <c r="P21" s="25"/>
      <c r="Q21" s="25">
        <v>5</v>
      </c>
      <c r="R21" s="25">
        <f t="shared" si="2"/>
        <v>11</v>
      </c>
      <c r="S21" s="25">
        <f t="shared" si="3"/>
        <v>13.309999999999999</v>
      </c>
      <c r="T21" s="24"/>
      <c r="U21" s="27"/>
      <c r="V21" s="27"/>
      <c r="W21" s="24"/>
      <c r="X21" s="24">
        <v>7</v>
      </c>
      <c r="Y21" s="24">
        <f t="shared" si="4"/>
        <v>7</v>
      </c>
      <c r="Z21" s="24">
        <f t="shared" si="5"/>
        <v>19.18</v>
      </c>
      <c r="AA21" s="24">
        <f t="shared" si="6"/>
        <v>82</v>
      </c>
      <c r="AB21" s="24">
        <f t="shared" si="6"/>
        <v>78.569999999999993</v>
      </c>
      <c r="AC21" s="28">
        <f t="shared" si="7"/>
        <v>482406</v>
      </c>
      <c r="AD21" s="28">
        <f t="shared" si="7"/>
        <v>462227</v>
      </c>
    </row>
    <row r="22" spans="1:30">
      <c r="A22" s="22" t="s">
        <v>27</v>
      </c>
      <c r="B22" s="22" t="s">
        <v>64</v>
      </c>
      <c r="C22" s="23" t="s">
        <v>65</v>
      </c>
      <c r="D22" s="16">
        <v>5897</v>
      </c>
      <c r="E22" s="24">
        <v>68</v>
      </c>
      <c r="F22" s="24"/>
      <c r="G22" s="24"/>
      <c r="H22" s="24"/>
      <c r="I22" s="24"/>
      <c r="J22" s="24"/>
      <c r="K22" s="24">
        <f t="shared" si="0"/>
        <v>68</v>
      </c>
      <c r="L22" s="24">
        <f t="shared" si="1"/>
        <v>48.96</v>
      </c>
      <c r="M22" s="25"/>
      <c r="N22" s="26"/>
      <c r="O22" s="26">
        <v>5</v>
      </c>
      <c r="P22" s="25"/>
      <c r="Q22" s="25">
        <v>21</v>
      </c>
      <c r="R22" s="25">
        <f t="shared" si="2"/>
        <v>26</v>
      </c>
      <c r="S22" s="25">
        <f t="shared" si="3"/>
        <v>31.46</v>
      </c>
      <c r="T22" s="24"/>
      <c r="U22" s="27"/>
      <c r="V22" s="27">
        <v>1</v>
      </c>
      <c r="W22" s="24"/>
      <c r="X22" s="24">
        <v>11</v>
      </c>
      <c r="Y22" s="24">
        <f t="shared" si="4"/>
        <v>12</v>
      </c>
      <c r="Z22" s="24">
        <f t="shared" si="5"/>
        <v>32.880000000000003</v>
      </c>
      <c r="AA22" s="24">
        <f t="shared" si="6"/>
        <v>106</v>
      </c>
      <c r="AB22" s="24">
        <f t="shared" si="6"/>
        <v>113.30000000000001</v>
      </c>
      <c r="AC22" s="28">
        <f t="shared" si="7"/>
        <v>625082</v>
      </c>
      <c r="AD22" s="28">
        <f t="shared" si="7"/>
        <v>668130</v>
      </c>
    </row>
    <row r="23" spans="1:30">
      <c r="A23" s="22" t="s">
        <v>27</v>
      </c>
      <c r="B23" s="22" t="s">
        <v>66</v>
      </c>
      <c r="C23" s="23" t="s">
        <v>67</v>
      </c>
      <c r="D23" s="16">
        <v>6050</v>
      </c>
      <c r="E23" s="24">
        <v>48</v>
      </c>
      <c r="F23" s="24"/>
      <c r="G23" s="24"/>
      <c r="H23" s="24"/>
      <c r="I23" s="24"/>
      <c r="J23" s="24"/>
      <c r="K23" s="24">
        <f t="shared" si="0"/>
        <v>48</v>
      </c>
      <c r="L23" s="24">
        <f t="shared" si="1"/>
        <v>34.56</v>
      </c>
      <c r="M23" s="25"/>
      <c r="N23" s="26">
        <v>2</v>
      </c>
      <c r="O23" s="26"/>
      <c r="P23" s="25"/>
      <c r="Q23" s="25">
        <v>7</v>
      </c>
      <c r="R23" s="25">
        <f t="shared" si="2"/>
        <v>9</v>
      </c>
      <c r="S23" s="25">
        <f t="shared" si="3"/>
        <v>9.69</v>
      </c>
      <c r="T23" s="24"/>
      <c r="U23" s="27"/>
      <c r="V23" s="27"/>
      <c r="W23" s="24"/>
      <c r="X23" s="24">
        <v>3</v>
      </c>
      <c r="Y23" s="24">
        <f t="shared" si="4"/>
        <v>3</v>
      </c>
      <c r="Z23" s="24">
        <f t="shared" si="5"/>
        <v>8.2200000000000006</v>
      </c>
      <c r="AA23" s="24">
        <f t="shared" si="6"/>
        <v>60</v>
      </c>
      <c r="AB23" s="24">
        <f t="shared" si="6"/>
        <v>52.47</v>
      </c>
      <c r="AC23" s="28">
        <f t="shared" si="7"/>
        <v>363000</v>
      </c>
      <c r="AD23" s="28">
        <f t="shared" si="7"/>
        <v>317444</v>
      </c>
    </row>
    <row r="24" spans="1:30">
      <c r="A24" s="22" t="s">
        <v>27</v>
      </c>
      <c r="B24" s="22" t="s">
        <v>68</v>
      </c>
      <c r="C24" s="23" t="s">
        <v>69</v>
      </c>
      <c r="D24" s="16">
        <v>5906</v>
      </c>
      <c r="E24" s="24">
        <v>45</v>
      </c>
      <c r="F24" s="24"/>
      <c r="G24" s="24"/>
      <c r="H24" s="24"/>
      <c r="I24" s="24"/>
      <c r="J24" s="24"/>
      <c r="K24" s="24">
        <f t="shared" si="0"/>
        <v>45</v>
      </c>
      <c r="L24" s="24">
        <f t="shared" si="1"/>
        <v>32.4</v>
      </c>
      <c r="M24" s="25"/>
      <c r="N24" s="26">
        <v>2</v>
      </c>
      <c r="O24" s="26"/>
      <c r="P24" s="25"/>
      <c r="Q24" s="25">
        <v>9</v>
      </c>
      <c r="R24" s="25">
        <f t="shared" si="2"/>
        <v>11</v>
      </c>
      <c r="S24" s="25">
        <f t="shared" si="3"/>
        <v>12.110000000000001</v>
      </c>
      <c r="T24" s="24"/>
      <c r="U24" s="27"/>
      <c r="V24" s="27"/>
      <c r="W24" s="24"/>
      <c r="X24" s="24">
        <v>4</v>
      </c>
      <c r="Y24" s="24">
        <f t="shared" si="4"/>
        <v>4</v>
      </c>
      <c r="Z24" s="24">
        <f t="shared" si="5"/>
        <v>10.96</v>
      </c>
      <c r="AA24" s="24">
        <f t="shared" si="6"/>
        <v>60</v>
      </c>
      <c r="AB24" s="24">
        <f t="shared" si="6"/>
        <v>55.47</v>
      </c>
      <c r="AC24" s="28">
        <f t="shared" si="7"/>
        <v>354360</v>
      </c>
      <c r="AD24" s="28">
        <f t="shared" si="7"/>
        <v>327606</v>
      </c>
    </row>
    <row r="25" spans="1:30">
      <c r="A25" s="22" t="s">
        <v>27</v>
      </c>
      <c r="B25" s="22" t="s">
        <v>70</v>
      </c>
      <c r="C25" s="23" t="s">
        <v>71</v>
      </c>
      <c r="D25" s="16">
        <v>5883</v>
      </c>
      <c r="E25" s="24">
        <v>22</v>
      </c>
      <c r="F25" s="24"/>
      <c r="G25" s="24"/>
      <c r="H25" s="24"/>
      <c r="I25" s="24"/>
      <c r="J25" s="24"/>
      <c r="K25" s="24">
        <f t="shared" si="0"/>
        <v>22</v>
      </c>
      <c r="L25" s="24">
        <f t="shared" si="1"/>
        <v>15.84</v>
      </c>
      <c r="M25" s="25"/>
      <c r="N25" s="26">
        <v>1</v>
      </c>
      <c r="O25" s="26">
        <v>1</v>
      </c>
      <c r="P25" s="25"/>
      <c r="Q25" s="25">
        <v>7</v>
      </c>
      <c r="R25" s="25">
        <f t="shared" si="2"/>
        <v>9</v>
      </c>
      <c r="S25" s="25">
        <f t="shared" si="3"/>
        <v>10.29</v>
      </c>
      <c r="T25" s="24"/>
      <c r="U25" s="27"/>
      <c r="V25" s="27"/>
      <c r="W25" s="24"/>
      <c r="X25" s="24">
        <v>2</v>
      </c>
      <c r="Y25" s="24">
        <f t="shared" si="4"/>
        <v>2</v>
      </c>
      <c r="Z25" s="24">
        <f t="shared" si="5"/>
        <v>5.48</v>
      </c>
      <c r="AA25" s="24">
        <f t="shared" si="6"/>
        <v>33</v>
      </c>
      <c r="AB25" s="24">
        <f t="shared" si="6"/>
        <v>31.61</v>
      </c>
      <c r="AC25" s="28">
        <f t="shared" si="7"/>
        <v>194139</v>
      </c>
      <c r="AD25" s="28">
        <f t="shared" si="7"/>
        <v>185962</v>
      </c>
    </row>
    <row r="26" spans="1:30">
      <c r="A26" s="22" t="s">
        <v>27</v>
      </c>
      <c r="B26" s="22" t="s">
        <v>72</v>
      </c>
      <c r="C26" s="23" t="s">
        <v>73</v>
      </c>
      <c r="D26" s="16">
        <v>5886</v>
      </c>
      <c r="E26" s="24">
        <v>119</v>
      </c>
      <c r="F26" s="24"/>
      <c r="G26" s="24"/>
      <c r="H26" s="24"/>
      <c r="I26" s="24"/>
      <c r="J26" s="24"/>
      <c r="K26" s="24">
        <f t="shared" si="0"/>
        <v>119</v>
      </c>
      <c r="L26" s="24">
        <f t="shared" si="1"/>
        <v>85.679999999999993</v>
      </c>
      <c r="M26" s="25"/>
      <c r="N26" s="26"/>
      <c r="O26" s="26">
        <v>6</v>
      </c>
      <c r="P26" s="25"/>
      <c r="Q26" s="25">
        <v>34</v>
      </c>
      <c r="R26" s="25">
        <f t="shared" si="2"/>
        <v>40</v>
      </c>
      <c r="S26" s="25">
        <f t="shared" si="3"/>
        <v>48.4</v>
      </c>
      <c r="T26" s="24"/>
      <c r="U26" s="27"/>
      <c r="V26" s="27"/>
      <c r="W26" s="24"/>
      <c r="X26" s="24">
        <v>22</v>
      </c>
      <c r="Y26" s="24">
        <f t="shared" si="4"/>
        <v>22</v>
      </c>
      <c r="Z26" s="24">
        <f t="shared" si="5"/>
        <v>60.28</v>
      </c>
      <c r="AA26" s="24">
        <f t="shared" si="6"/>
        <v>181</v>
      </c>
      <c r="AB26" s="24">
        <f t="shared" si="6"/>
        <v>194.36</v>
      </c>
      <c r="AC26" s="28">
        <f t="shared" si="7"/>
        <v>1065366</v>
      </c>
      <c r="AD26" s="28">
        <f t="shared" si="7"/>
        <v>1144003</v>
      </c>
    </row>
    <row r="27" spans="1:30" ht="12" thickBot="1">
      <c r="A27" s="22" t="s">
        <v>27</v>
      </c>
      <c r="B27" s="22" t="s">
        <v>74</v>
      </c>
      <c r="C27" s="23" t="s">
        <v>75</v>
      </c>
      <c r="D27" s="16">
        <v>5938</v>
      </c>
      <c r="E27" s="29">
        <v>239</v>
      </c>
      <c r="F27" s="29">
        <v>3</v>
      </c>
      <c r="G27" s="29"/>
      <c r="H27" s="29"/>
      <c r="I27" s="29"/>
      <c r="J27" s="29"/>
      <c r="K27" s="29">
        <f t="shared" si="0"/>
        <v>242</v>
      </c>
      <c r="L27" s="29">
        <f t="shared" si="1"/>
        <v>174.23999999999998</v>
      </c>
      <c r="M27" s="30">
        <v>2</v>
      </c>
      <c r="N27" s="31">
        <v>1</v>
      </c>
      <c r="O27" s="31">
        <v>9</v>
      </c>
      <c r="P27" s="30"/>
      <c r="Q27" s="30">
        <v>72</v>
      </c>
      <c r="R27" s="30">
        <f t="shared" si="2"/>
        <v>84</v>
      </c>
      <c r="S27" s="30">
        <f t="shared" si="3"/>
        <v>101.03999999999999</v>
      </c>
      <c r="T27" s="29">
        <v>2</v>
      </c>
      <c r="U27" s="32"/>
      <c r="V27" s="32">
        <v>11</v>
      </c>
      <c r="W27" s="29"/>
      <c r="X27" s="29">
        <v>25</v>
      </c>
      <c r="Y27" s="29">
        <f t="shared" si="4"/>
        <v>38</v>
      </c>
      <c r="Z27" s="29">
        <f t="shared" si="5"/>
        <v>104.12</v>
      </c>
      <c r="AA27" s="29">
        <f t="shared" si="6"/>
        <v>364</v>
      </c>
      <c r="AB27" s="29">
        <f t="shared" si="6"/>
        <v>379.4</v>
      </c>
      <c r="AC27" s="33">
        <f t="shared" si="7"/>
        <v>2161432</v>
      </c>
      <c r="AD27" s="33">
        <f t="shared" si="7"/>
        <v>2252877</v>
      </c>
    </row>
    <row r="28" spans="1:30" ht="12" thickBot="1">
      <c r="A28" s="34"/>
      <c r="B28" s="35"/>
      <c r="C28" s="36" t="s">
        <v>76</v>
      </c>
      <c r="D28" s="37"/>
      <c r="E28" s="38">
        <f>SUM(E4:E27)</f>
        <v>2622</v>
      </c>
      <c r="F28" s="38">
        <f t="shared" ref="F28:AB28" si="8">SUM(F4:F27)</f>
        <v>7</v>
      </c>
      <c r="G28" s="38">
        <f t="shared" si="8"/>
        <v>0</v>
      </c>
      <c r="H28" s="38">
        <f t="shared" si="8"/>
        <v>0</v>
      </c>
      <c r="I28" s="38">
        <f t="shared" si="8"/>
        <v>0</v>
      </c>
      <c r="J28" s="38">
        <f t="shared" si="8"/>
        <v>0</v>
      </c>
      <c r="K28" s="38">
        <f t="shared" si="8"/>
        <v>2629</v>
      </c>
      <c r="L28" s="38">
        <f t="shared" si="8"/>
        <v>1892.88</v>
      </c>
      <c r="M28" s="38">
        <f t="shared" si="8"/>
        <v>4</v>
      </c>
      <c r="N28" s="39">
        <f t="shared" si="8"/>
        <v>22</v>
      </c>
      <c r="O28" s="39">
        <f t="shared" si="8"/>
        <v>150</v>
      </c>
      <c r="P28" s="38">
        <f t="shared" si="8"/>
        <v>0</v>
      </c>
      <c r="Q28" s="38">
        <f t="shared" si="8"/>
        <v>821</v>
      </c>
      <c r="R28" s="38">
        <f t="shared" si="8"/>
        <v>997</v>
      </c>
      <c r="S28" s="38">
        <f t="shared" si="8"/>
        <v>1193.17</v>
      </c>
      <c r="T28" s="38">
        <f t="shared" si="8"/>
        <v>4</v>
      </c>
      <c r="U28" s="40">
        <f t="shared" si="8"/>
        <v>6</v>
      </c>
      <c r="V28" s="40">
        <f t="shared" si="8"/>
        <v>57</v>
      </c>
      <c r="W28" s="38">
        <f t="shared" si="8"/>
        <v>0</v>
      </c>
      <c r="X28" s="38">
        <f t="shared" si="8"/>
        <v>484</v>
      </c>
      <c r="Y28" s="38">
        <f t="shared" si="8"/>
        <v>551</v>
      </c>
      <c r="Z28" s="38">
        <f t="shared" si="8"/>
        <v>1501.5200000000004</v>
      </c>
      <c r="AA28" s="38">
        <f t="shared" si="8"/>
        <v>4177</v>
      </c>
      <c r="AB28" s="41">
        <f t="shared" si="8"/>
        <v>4587.57</v>
      </c>
      <c r="AC28" s="42">
        <f>SUM(AC4:AC27)</f>
        <v>24701270</v>
      </c>
      <c r="AD28" s="43">
        <f>SUM(AD4:AD27)</f>
        <v>27118379</v>
      </c>
    </row>
    <row r="29" spans="1:30">
      <c r="A29" s="14" t="s">
        <v>77</v>
      </c>
      <c r="B29" s="14" t="s">
        <v>78</v>
      </c>
      <c r="C29" s="15" t="s">
        <v>79</v>
      </c>
      <c r="D29" s="16">
        <v>5993</v>
      </c>
      <c r="E29" s="17">
        <v>72</v>
      </c>
      <c r="F29" s="17"/>
      <c r="G29" s="17"/>
      <c r="H29" s="17"/>
      <c r="I29" s="17"/>
      <c r="J29" s="17"/>
      <c r="K29" s="17">
        <f t="shared" si="0"/>
        <v>72</v>
      </c>
      <c r="L29" s="17">
        <f t="shared" si="1"/>
        <v>51.839999999999996</v>
      </c>
      <c r="M29" s="18"/>
      <c r="N29" s="19"/>
      <c r="O29" s="19">
        <v>8</v>
      </c>
      <c r="P29" s="18"/>
      <c r="Q29" s="18">
        <v>19</v>
      </c>
      <c r="R29" s="18">
        <f t="shared" si="2"/>
        <v>27</v>
      </c>
      <c r="S29" s="18">
        <f t="shared" si="3"/>
        <v>32.67</v>
      </c>
      <c r="T29" s="17"/>
      <c r="U29" s="20"/>
      <c r="V29" s="20">
        <v>1</v>
      </c>
      <c r="W29" s="17"/>
      <c r="X29" s="17">
        <v>10</v>
      </c>
      <c r="Y29" s="17">
        <f t="shared" si="4"/>
        <v>11</v>
      </c>
      <c r="Z29" s="17">
        <f t="shared" si="5"/>
        <v>30.14</v>
      </c>
      <c r="AA29" s="17">
        <f t="shared" si="6"/>
        <v>110</v>
      </c>
      <c r="AB29" s="17">
        <f t="shared" si="6"/>
        <v>114.65</v>
      </c>
      <c r="AC29" s="21">
        <f t="shared" si="7"/>
        <v>659230</v>
      </c>
      <c r="AD29" s="21">
        <f t="shared" si="7"/>
        <v>687097</v>
      </c>
    </row>
    <row r="30" spans="1:30">
      <c r="A30" s="22" t="s">
        <v>77</v>
      </c>
      <c r="B30" s="22" t="s">
        <v>80</v>
      </c>
      <c r="C30" s="23" t="s">
        <v>81</v>
      </c>
      <c r="D30" s="16">
        <v>5883</v>
      </c>
      <c r="E30" s="24">
        <v>29</v>
      </c>
      <c r="F30" s="24"/>
      <c r="G30" s="24"/>
      <c r="H30" s="24"/>
      <c r="I30" s="24"/>
      <c r="J30" s="24"/>
      <c r="K30" s="24">
        <f t="shared" si="0"/>
        <v>29</v>
      </c>
      <c r="L30" s="24">
        <f t="shared" si="1"/>
        <v>20.88</v>
      </c>
      <c r="M30" s="25"/>
      <c r="N30" s="26">
        <v>1</v>
      </c>
      <c r="O30" s="26"/>
      <c r="P30" s="25"/>
      <c r="Q30" s="25">
        <v>3</v>
      </c>
      <c r="R30" s="25">
        <f t="shared" si="2"/>
        <v>4</v>
      </c>
      <c r="S30" s="25">
        <f t="shared" si="3"/>
        <v>4.24</v>
      </c>
      <c r="T30" s="24"/>
      <c r="U30" s="27"/>
      <c r="V30" s="27"/>
      <c r="W30" s="24"/>
      <c r="X30" s="24">
        <v>1</v>
      </c>
      <c r="Y30" s="24">
        <f t="shared" si="4"/>
        <v>1</v>
      </c>
      <c r="Z30" s="24">
        <f t="shared" si="5"/>
        <v>2.74</v>
      </c>
      <c r="AA30" s="24">
        <f t="shared" si="6"/>
        <v>34</v>
      </c>
      <c r="AB30" s="24">
        <f t="shared" si="6"/>
        <v>27.86</v>
      </c>
      <c r="AC30" s="28">
        <f t="shared" si="7"/>
        <v>200022</v>
      </c>
      <c r="AD30" s="28">
        <f t="shared" si="7"/>
        <v>163900</v>
      </c>
    </row>
    <row r="31" spans="1:30">
      <c r="A31" s="22" t="s">
        <v>77</v>
      </c>
      <c r="B31" s="22" t="s">
        <v>82</v>
      </c>
      <c r="C31" s="23" t="s">
        <v>83</v>
      </c>
      <c r="D31" s="16">
        <v>5890</v>
      </c>
      <c r="E31" s="24">
        <v>35</v>
      </c>
      <c r="F31" s="24"/>
      <c r="G31" s="24"/>
      <c r="H31" s="24"/>
      <c r="I31" s="24"/>
      <c r="J31" s="24"/>
      <c r="K31" s="24">
        <f t="shared" si="0"/>
        <v>35</v>
      </c>
      <c r="L31" s="24">
        <f t="shared" si="1"/>
        <v>25.2</v>
      </c>
      <c r="M31" s="25"/>
      <c r="N31" s="26"/>
      <c r="O31" s="26">
        <v>3</v>
      </c>
      <c r="P31" s="25"/>
      <c r="Q31" s="25">
        <v>7</v>
      </c>
      <c r="R31" s="25">
        <f t="shared" si="2"/>
        <v>10</v>
      </c>
      <c r="S31" s="25">
        <f t="shared" si="3"/>
        <v>12.1</v>
      </c>
      <c r="T31" s="24"/>
      <c r="U31" s="27"/>
      <c r="V31" s="27">
        <v>2</v>
      </c>
      <c r="W31" s="24"/>
      <c r="X31" s="24">
        <v>3</v>
      </c>
      <c r="Y31" s="24">
        <f t="shared" si="4"/>
        <v>5</v>
      </c>
      <c r="Z31" s="24">
        <f t="shared" si="5"/>
        <v>13.700000000000001</v>
      </c>
      <c r="AA31" s="24">
        <f t="shared" si="6"/>
        <v>50</v>
      </c>
      <c r="AB31" s="24">
        <f t="shared" si="6"/>
        <v>51</v>
      </c>
      <c r="AC31" s="28">
        <f t="shared" si="7"/>
        <v>294500</v>
      </c>
      <c r="AD31" s="28">
        <f t="shared" si="7"/>
        <v>300390</v>
      </c>
    </row>
    <row r="32" spans="1:30">
      <c r="A32" s="22" t="s">
        <v>77</v>
      </c>
      <c r="B32" s="22" t="s">
        <v>84</v>
      </c>
      <c r="C32" s="23" t="s">
        <v>85</v>
      </c>
      <c r="D32" s="16">
        <v>5883</v>
      </c>
      <c r="E32" s="24">
        <v>51</v>
      </c>
      <c r="F32" s="24"/>
      <c r="G32" s="24"/>
      <c r="H32" s="24"/>
      <c r="I32" s="24"/>
      <c r="J32" s="24"/>
      <c r="K32" s="24">
        <f t="shared" si="0"/>
        <v>51</v>
      </c>
      <c r="L32" s="24">
        <f t="shared" si="1"/>
        <v>36.72</v>
      </c>
      <c r="M32" s="25"/>
      <c r="N32" s="26"/>
      <c r="O32" s="26">
        <v>2</v>
      </c>
      <c r="P32" s="25"/>
      <c r="Q32" s="25">
        <v>14</v>
      </c>
      <c r="R32" s="25">
        <f t="shared" si="2"/>
        <v>16</v>
      </c>
      <c r="S32" s="25">
        <f t="shared" si="3"/>
        <v>19.36</v>
      </c>
      <c r="T32" s="24"/>
      <c r="U32" s="27"/>
      <c r="V32" s="27">
        <v>1</v>
      </c>
      <c r="W32" s="24"/>
      <c r="X32" s="24">
        <v>9</v>
      </c>
      <c r="Y32" s="24">
        <f t="shared" si="4"/>
        <v>10</v>
      </c>
      <c r="Z32" s="24">
        <f t="shared" si="5"/>
        <v>27.400000000000002</v>
      </c>
      <c r="AA32" s="24">
        <f t="shared" si="6"/>
        <v>77</v>
      </c>
      <c r="AB32" s="24">
        <f t="shared" si="6"/>
        <v>83.48</v>
      </c>
      <c r="AC32" s="28">
        <f t="shared" si="7"/>
        <v>452991</v>
      </c>
      <c r="AD32" s="28">
        <f t="shared" si="7"/>
        <v>491113</v>
      </c>
    </row>
    <row r="33" spans="1:30">
      <c r="A33" s="22" t="s">
        <v>77</v>
      </c>
      <c r="B33" s="22" t="s">
        <v>86</v>
      </c>
      <c r="C33" s="23" t="s">
        <v>87</v>
      </c>
      <c r="D33" s="16">
        <v>5964</v>
      </c>
      <c r="E33" s="24">
        <v>45</v>
      </c>
      <c r="F33" s="24"/>
      <c r="G33" s="24"/>
      <c r="H33" s="24"/>
      <c r="I33" s="24"/>
      <c r="J33" s="24"/>
      <c r="K33" s="24">
        <f t="shared" si="0"/>
        <v>45</v>
      </c>
      <c r="L33" s="24">
        <f t="shared" si="1"/>
        <v>32.4</v>
      </c>
      <c r="M33" s="25"/>
      <c r="N33" s="26">
        <v>1</v>
      </c>
      <c r="O33" s="26">
        <v>2</v>
      </c>
      <c r="P33" s="25"/>
      <c r="Q33" s="25">
        <v>14</v>
      </c>
      <c r="R33" s="25">
        <f t="shared" si="2"/>
        <v>17</v>
      </c>
      <c r="S33" s="25">
        <f t="shared" si="3"/>
        <v>19.97</v>
      </c>
      <c r="T33" s="24"/>
      <c r="U33" s="27"/>
      <c r="V33" s="27"/>
      <c r="W33" s="24"/>
      <c r="X33" s="24">
        <v>8</v>
      </c>
      <c r="Y33" s="24">
        <f t="shared" si="4"/>
        <v>8</v>
      </c>
      <c r="Z33" s="24">
        <f t="shared" si="5"/>
        <v>21.92</v>
      </c>
      <c r="AA33" s="24">
        <f t="shared" si="6"/>
        <v>70</v>
      </c>
      <c r="AB33" s="24">
        <f t="shared" si="6"/>
        <v>74.289999999999992</v>
      </c>
      <c r="AC33" s="28">
        <f t="shared" si="7"/>
        <v>417480</v>
      </c>
      <c r="AD33" s="28">
        <f t="shared" si="7"/>
        <v>443066</v>
      </c>
    </row>
    <row r="34" spans="1:30">
      <c r="A34" s="22" t="s">
        <v>77</v>
      </c>
      <c r="B34" s="22" t="s">
        <v>88</v>
      </c>
      <c r="C34" s="23" t="s">
        <v>89</v>
      </c>
      <c r="D34" s="16">
        <v>5888</v>
      </c>
      <c r="E34" s="24">
        <v>64</v>
      </c>
      <c r="F34" s="24"/>
      <c r="G34" s="24"/>
      <c r="H34" s="24"/>
      <c r="I34" s="24"/>
      <c r="J34" s="24"/>
      <c r="K34" s="24">
        <f t="shared" si="0"/>
        <v>64</v>
      </c>
      <c r="L34" s="24">
        <f t="shared" si="1"/>
        <v>46.08</v>
      </c>
      <c r="M34" s="25"/>
      <c r="N34" s="26"/>
      <c r="O34" s="26">
        <v>4</v>
      </c>
      <c r="P34" s="25"/>
      <c r="Q34" s="25">
        <v>19</v>
      </c>
      <c r="R34" s="25">
        <f t="shared" si="2"/>
        <v>23</v>
      </c>
      <c r="S34" s="25">
        <f t="shared" si="3"/>
        <v>27.83</v>
      </c>
      <c r="T34" s="24"/>
      <c r="U34" s="27"/>
      <c r="V34" s="27">
        <v>3</v>
      </c>
      <c r="W34" s="24"/>
      <c r="X34" s="24">
        <v>9</v>
      </c>
      <c r="Y34" s="24">
        <f t="shared" si="4"/>
        <v>12</v>
      </c>
      <c r="Z34" s="24">
        <f t="shared" si="5"/>
        <v>32.880000000000003</v>
      </c>
      <c r="AA34" s="24">
        <f t="shared" si="6"/>
        <v>99</v>
      </c>
      <c r="AB34" s="24">
        <f t="shared" si="6"/>
        <v>106.78999999999999</v>
      </c>
      <c r="AC34" s="28">
        <f t="shared" si="7"/>
        <v>582912</v>
      </c>
      <c r="AD34" s="28">
        <f t="shared" si="7"/>
        <v>628780</v>
      </c>
    </row>
    <row r="35" spans="1:30">
      <c r="A35" s="22" t="s">
        <v>77</v>
      </c>
      <c r="B35" s="22" t="s">
        <v>90</v>
      </c>
      <c r="C35" s="23" t="s">
        <v>91</v>
      </c>
      <c r="D35" s="16">
        <v>5901</v>
      </c>
      <c r="E35" s="24">
        <v>50</v>
      </c>
      <c r="F35" s="24"/>
      <c r="G35" s="24"/>
      <c r="H35" s="24"/>
      <c r="I35" s="24"/>
      <c r="J35" s="24"/>
      <c r="K35" s="24">
        <f t="shared" si="0"/>
        <v>50</v>
      </c>
      <c r="L35" s="24">
        <f t="shared" si="1"/>
        <v>36</v>
      </c>
      <c r="M35" s="25"/>
      <c r="N35" s="26"/>
      <c r="O35" s="26">
        <v>1</v>
      </c>
      <c r="P35" s="25"/>
      <c r="Q35" s="25">
        <v>7</v>
      </c>
      <c r="R35" s="25">
        <f t="shared" si="2"/>
        <v>8</v>
      </c>
      <c r="S35" s="25">
        <f t="shared" si="3"/>
        <v>9.68</v>
      </c>
      <c r="T35" s="24"/>
      <c r="U35" s="27"/>
      <c r="V35" s="27"/>
      <c r="W35" s="24"/>
      <c r="X35" s="24">
        <v>4</v>
      </c>
      <c r="Y35" s="24">
        <f t="shared" si="4"/>
        <v>4</v>
      </c>
      <c r="Z35" s="24">
        <f t="shared" si="5"/>
        <v>10.96</v>
      </c>
      <c r="AA35" s="24">
        <f t="shared" si="6"/>
        <v>62</v>
      </c>
      <c r="AB35" s="24">
        <f t="shared" si="6"/>
        <v>56.64</v>
      </c>
      <c r="AC35" s="28">
        <f t="shared" si="7"/>
        <v>365862</v>
      </c>
      <c r="AD35" s="28">
        <f t="shared" si="7"/>
        <v>334233</v>
      </c>
    </row>
    <row r="36" spans="1:30">
      <c r="A36" s="22" t="s">
        <v>77</v>
      </c>
      <c r="B36" s="22" t="s">
        <v>92</v>
      </c>
      <c r="C36" s="23" t="s">
        <v>93</v>
      </c>
      <c r="D36" s="16">
        <v>5898</v>
      </c>
      <c r="E36" s="24">
        <v>62</v>
      </c>
      <c r="F36" s="24"/>
      <c r="G36" s="24"/>
      <c r="H36" s="24"/>
      <c r="I36" s="24"/>
      <c r="J36" s="24"/>
      <c r="K36" s="24">
        <f t="shared" si="0"/>
        <v>62</v>
      </c>
      <c r="L36" s="24">
        <f t="shared" si="1"/>
        <v>44.64</v>
      </c>
      <c r="M36" s="25"/>
      <c r="N36" s="26">
        <v>2</v>
      </c>
      <c r="O36" s="26">
        <v>2</v>
      </c>
      <c r="P36" s="25"/>
      <c r="Q36" s="25">
        <v>10</v>
      </c>
      <c r="R36" s="25">
        <f t="shared" si="2"/>
        <v>14</v>
      </c>
      <c r="S36" s="25">
        <f t="shared" si="3"/>
        <v>15.74</v>
      </c>
      <c r="T36" s="24"/>
      <c r="U36" s="27"/>
      <c r="V36" s="27"/>
      <c r="W36" s="24"/>
      <c r="X36" s="24">
        <v>6</v>
      </c>
      <c r="Y36" s="24">
        <f t="shared" si="4"/>
        <v>6</v>
      </c>
      <c r="Z36" s="24">
        <f t="shared" si="5"/>
        <v>16.440000000000001</v>
      </c>
      <c r="AA36" s="24">
        <f t="shared" si="6"/>
        <v>82</v>
      </c>
      <c r="AB36" s="24">
        <f t="shared" si="6"/>
        <v>76.819999999999993</v>
      </c>
      <c r="AC36" s="28">
        <f t="shared" si="7"/>
        <v>483636</v>
      </c>
      <c r="AD36" s="28">
        <f t="shared" si="7"/>
        <v>453084</v>
      </c>
    </row>
    <row r="37" spans="1:30">
      <c r="A37" s="22" t="s">
        <v>77</v>
      </c>
      <c r="B37" s="22" t="s">
        <v>94</v>
      </c>
      <c r="C37" s="23" t="s">
        <v>95</v>
      </c>
      <c r="D37" s="16">
        <v>5992</v>
      </c>
      <c r="E37" s="24">
        <v>45</v>
      </c>
      <c r="F37" s="24"/>
      <c r="G37" s="24"/>
      <c r="H37" s="24"/>
      <c r="I37" s="24"/>
      <c r="J37" s="24"/>
      <c r="K37" s="24">
        <f t="shared" si="0"/>
        <v>45</v>
      </c>
      <c r="L37" s="24">
        <f t="shared" si="1"/>
        <v>32.4</v>
      </c>
      <c r="M37" s="25"/>
      <c r="N37" s="26"/>
      <c r="O37" s="26">
        <v>3</v>
      </c>
      <c r="P37" s="25"/>
      <c r="Q37" s="25">
        <v>19</v>
      </c>
      <c r="R37" s="25">
        <f t="shared" si="2"/>
        <v>22</v>
      </c>
      <c r="S37" s="25">
        <f t="shared" si="3"/>
        <v>26.619999999999997</v>
      </c>
      <c r="T37" s="24"/>
      <c r="U37" s="27"/>
      <c r="V37" s="27"/>
      <c r="W37" s="24"/>
      <c r="X37" s="24">
        <v>4</v>
      </c>
      <c r="Y37" s="24">
        <f t="shared" si="4"/>
        <v>4</v>
      </c>
      <c r="Z37" s="24">
        <f t="shared" si="5"/>
        <v>10.96</v>
      </c>
      <c r="AA37" s="24">
        <f t="shared" si="6"/>
        <v>71</v>
      </c>
      <c r="AB37" s="24">
        <f t="shared" si="6"/>
        <v>69.97999999999999</v>
      </c>
      <c r="AC37" s="28">
        <f t="shared" si="7"/>
        <v>425432</v>
      </c>
      <c r="AD37" s="28">
        <f t="shared" si="7"/>
        <v>419320</v>
      </c>
    </row>
    <row r="38" spans="1:30">
      <c r="A38" s="22" t="s">
        <v>77</v>
      </c>
      <c r="B38" s="22" t="s">
        <v>96</v>
      </c>
      <c r="C38" s="23" t="s">
        <v>97</v>
      </c>
      <c r="D38" s="16">
        <v>6053</v>
      </c>
      <c r="E38" s="24">
        <v>33</v>
      </c>
      <c r="F38" s="24"/>
      <c r="G38" s="24"/>
      <c r="H38" s="24"/>
      <c r="I38" s="24"/>
      <c r="J38" s="24"/>
      <c r="K38" s="24">
        <f t="shared" si="0"/>
        <v>33</v>
      </c>
      <c r="L38" s="24">
        <f t="shared" si="1"/>
        <v>23.759999999999998</v>
      </c>
      <c r="M38" s="25"/>
      <c r="N38" s="26"/>
      <c r="O38" s="26">
        <v>4</v>
      </c>
      <c r="P38" s="25"/>
      <c r="Q38" s="25">
        <v>13</v>
      </c>
      <c r="R38" s="25">
        <f t="shared" si="2"/>
        <v>17</v>
      </c>
      <c r="S38" s="25">
        <f t="shared" si="3"/>
        <v>20.57</v>
      </c>
      <c r="T38" s="24"/>
      <c r="U38" s="27"/>
      <c r="V38" s="27"/>
      <c r="W38" s="24"/>
      <c r="X38" s="24">
        <v>3</v>
      </c>
      <c r="Y38" s="24">
        <f t="shared" si="4"/>
        <v>3</v>
      </c>
      <c r="Z38" s="24">
        <f t="shared" si="5"/>
        <v>8.2200000000000006</v>
      </c>
      <c r="AA38" s="24">
        <f t="shared" si="6"/>
        <v>53</v>
      </c>
      <c r="AB38" s="24">
        <f t="shared" si="6"/>
        <v>52.55</v>
      </c>
      <c r="AC38" s="28">
        <f t="shared" si="7"/>
        <v>320809</v>
      </c>
      <c r="AD38" s="28">
        <f t="shared" si="7"/>
        <v>318085</v>
      </c>
    </row>
    <row r="39" spans="1:30">
      <c r="A39" s="22" t="s">
        <v>77</v>
      </c>
      <c r="B39" s="22" t="s">
        <v>98</v>
      </c>
      <c r="C39" s="23" t="s">
        <v>99</v>
      </c>
      <c r="D39" s="16">
        <v>5890</v>
      </c>
      <c r="E39" s="24">
        <v>317</v>
      </c>
      <c r="F39" s="24">
        <v>1</v>
      </c>
      <c r="G39" s="24"/>
      <c r="H39" s="24"/>
      <c r="I39" s="24"/>
      <c r="J39" s="24"/>
      <c r="K39" s="24">
        <f t="shared" si="0"/>
        <v>318</v>
      </c>
      <c r="L39" s="24">
        <f t="shared" si="1"/>
        <v>228.95999999999998</v>
      </c>
      <c r="M39" s="25">
        <v>3</v>
      </c>
      <c r="N39" s="26">
        <v>5</v>
      </c>
      <c r="O39" s="26">
        <v>22</v>
      </c>
      <c r="P39" s="25"/>
      <c r="Q39" s="25">
        <v>114</v>
      </c>
      <c r="R39" s="25">
        <f t="shared" si="2"/>
        <v>144</v>
      </c>
      <c r="S39" s="25">
        <f t="shared" si="3"/>
        <v>171.24</v>
      </c>
      <c r="T39" s="24"/>
      <c r="U39" s="27"/>
      <c r="V39" s="27">
        <v>1</v>
      </c>
      <c r="W39" s="24"/>
      <c r="X39" s="24">
        <v>57</v>
      </c>
      <c r="Y39" s="24">
        <f t="shared" si="4"/>
        <v>58</v>
      </c>
      <c r="Z39" s="24">
        <f t="shared" si="5"/>
        <v>158.92000000000002</v>
      </c>
      <c r="AA39" s="24">
        <f t="shared" si="6"/>
        <v>520</v>
      </c>
      <c r="AB39" s="24">
        <f t="shared" si="6"/>
        <v>559.12</v>
      </c>
      <c r="AC39" s="28">
        <f t="shared" si="7"/>
        <v>3062800</v>
      </c>
      <c r="AD39" s="28">
        <f t="shared" si="7"/>
        <v>3293217</v>
      </c>
    </row>
    <row r="40" spans="1:30">
      <c r="A40" s="22" t="s">
        <v>77</v>
      </c>
      <c r="B40" s="22" t="s">
        <v>100</v>
      </c>
      <c r="C40" s="23" t="s">
        <v>101</v>
      </c>
      <c r="D40" s="16">
        <v>5943</v>
      </c>
      <c r="E40" s="24">
        <v>154</v>
      </c>
      <c r="F40" s="24"/>
      <c r="G40" s="24"/>
      <c r="H40" s="24"/>
      <c r="I40" s="24"/>
      <c r="J40" s="24"/>
      <c r="K40" s="24">
        <f t="shared" si="0"/>
        <v>154</v>
      </c>
      <c r="L40" s="24">
        <f t="shared" si="1"/>
        <v>110.88</v>
      </c>
      <c r="M40" s="25"/>
      <c r="N40" s="26"/>
      <c r="O40" s="26">
        <v>12</v>
      </c>
      <c r="P40" s="25"/>
      <c r="Q40" s="25">
        <v>45</v>
      </c>
      <c r="R40" s="25">
        <f t="shared" si="2"/>
        <v>57</v>
      </c>
      <c r="S40" s="25">
        <f t="shared" si="3"/>
        <v>68.97</v>
      </c>
      <c r="T40" s="24"/>
      <c r="U40" s="27"/>
      <c r="V40" s="27">
        <v>3</v>
      </c>
      <c r="W40" s="24"/>
      <c r="X40" s="24">
        <v>21</v>
      </c>
      <c r="Y40" s="24">
        <f t="shared" si="4"/>
        <v>24</v>
      </c>
      <c r="Z40" s="24">
        <f t="shared" si="5"/>
        <v>65.760000000000005</v>
      </c>
      <c r="AA40" s="24">
        <f t="shared" si="6"/>
        <v>235</v>
      </c>
      <c r="AB40" s="24">
        <f t="shared" si="6"/>
        <v>245.61</v>
      </c>
      <c r="AC40" s="28">
        <f t="shared" si="7"/>
        <v>1396605</v>
      </c>
      <c r="AD40" s="28">
        <f t="shared" si="7"/>
        <v>1459660</v>
      </c>
    </row>
    <row r="41" spans="1:30">
      <c r="A41" s="22" t="s">
        <v>77</v>
      </c>
      <c r="B41" s="22" t="s">
        <v>102</v>
      </c>
      <c r="C41" s="23" t="s">
        <v>103</v>
      </c>
      <c r="D41" s="16">
        <v>5883</v>
      </c>
      <c r="E41" s="24">
        <v>51</v>
      </c>
      <c r="F41" s="24"/>
      <c r="G41" s="24"/>
      <c r="H41" s="24"/>
      <c r="I41" s="24"/>
      <c r="J41" s="24"/>
      <c r="K41" s="24">
        <f t="shared" si="0"/>
        <v>51</v>
      </c>
      <c r="L41" s="24">
        <f t="shared" si="1"/>
        <v>36.72</v>
      </c>
      <c r="M41" s="25"/>
      <c r="N41" s="26">
        <v>1</v>
      </c>
      <c r="O41" s="26"/>
      <c r="P41" s="25"/>
      <c r="Q41" s="25">
        <v>5</v>
      </c>
      <c r="R41" s="25">
        <f t="shared" si="2"/>
        <v>6</v>
      </c>
      <c r="S41" s="25">
        <f t="shared" si="3"/>
        <v>6.66</v>
      </c>
      <c r="T41" s="24"/>
      <c r="U41" s="27"/>
      <c r="V41" s="27">
        <v>2</v>
      </c>
      <c r="W41" s="24"/>
      <c r="X41" s="24">
        <v>8</v>
      </c>
      <c r="Y41" s="24">
        <f t="shared" si="4"/>
        <v>10</v>
      </c>
      <c r="Z41" s="24">
        <f t="shared" si="5"/>
        <v>27.400000000000002</v>
      </c>
      <c r="AA41" s="24">
        <f t="shared" si="6"/>
        <v>67</v>
      </c>
      <c r="AB41" s="24">
        <f t="shared" si="6"/>
        <v>70.78</v>
      </c>
      <c r="AC41" s="28">
        <f t="shared" si="7"/>
        <v>394161</v>
      </c>
      <c r="AD41" s="28">
        <f t="shared" si="7"/>
        <v>416399</v>
      </c>
    </row>
    <row r="42" spans="1:30">
      <c r="A42" s="22" t="s">
        <v>77</v>
      </c>
      <c r="B42" s="22" t="s">
        <v>104</v>
      </c>
      <c r="C42" s="23" t="s">
        <v>105</v>
      </c>
      <c r="D42" s="16">
        <v>5883</v>
      </c>
      <c r="E42" s="24">
        <v>94</v>
      </c>
      <c r="F42" s="24"/>
      <c r="G42" s="24"/>
      <c r="H42" s="24"/>
      <c r="I42" s="24"/>
      <c r="J42" s="24"/>
      <c r="K42" s="24">
        <f t="shared" si="0"/>
        <v>94</v>
      </c>
      <c r="L42" s="24">
        <f t="shared" si="1"/>
        <v>67.679999999999993</v>
      </c>
      <c r="M42" s="25"/>
      <c r="N42" s="26"/>
      <c r="O42" s="26">
        <v>3</v>
      </c>
      <c r="P42" s="25"/>
      <c r="Q42" s="25">
        <v>37</v>
      </c>
      <c r="R42" s="25">
        <f t="shared" si="2"/>
        <v>40</v>
      </c>
      <c r="S42" s="25">
        <f t="shared" si="3"/>
        <v>48.4</v>
      </c>
      <c r="T42" s="24"/>
      <c r="U42" s="27"/>
      <c r="V42" s="27">
        <v>1</v>
      </c>
      <c r="W42" s="24"/>
      <c r="X42" s="24">
        <v>14</v>
      </c>
      <c r="Y42" s="24">
        <f t="shared" si="4"/>
        <v>15</v>
      </c>
      <c r="Z42" s="24">
        <f t="shared" si="5"/>
        <v>41.1</v>
      </c>
      <c r="AA42" s="24">
        <f t="shared" si="6"/>
        <v>149</v>
      </c>
      <c r="AB42" s="24">
        <f t="shared" si="6"/>
        <v>157.18</v>
      </c>
      <c r="AC42" s="28">
        <f t="shared" si="7"/>
        <v>876567</v>
      </c>
      <c r="AD42" s="28">
        <f t="shared" si="7"/>
        <v>924690</v>
      </c>
    </row>
    <row r="43" spans="1:30">
      <c r="A43" s="22" t="s">
        <v>77</v>
      </c>
      <c r="B43" s="22" t="s">
        <v>106</v>
      </c>
      <c r="C43" s="23" t="s">
        <v>107</v>
      </c>
      <c r="D43" s="16">
        <v>6058</v>
      </c>
      <c r="E43" s="24">
        <v>12</v>
      </c>
      <c r="F43" s="24"/>
      <c r="G43" s="24"/>
      <c r="H43" s="24"/>
      <c r="I43" s="24"/>
      <c r="J43" s="24"/>
      <c r="K43" s="24">
        <f t="shared" si="0"/>
        <v>12</v>
      </c>
      <c r="L43" s="24">
        <f t="shared" si="1"/>
        <v>8.64</v>
      </c>
      <c r="M43" s="25"/>
      <c r="N43" s="26"/>
      <c r="O43" s="26">
        <v>1</v>
      </c>
      <c r="P43" s="25"/>
      <c r="Q43" s="25">
        <v>1</v>
      </c>
      <c r="R43" s="25">
        <f t="shared" si="2"/>
        <v>2</v>
      </c>
      <c r="S43" s="25">
        <f t="shared" si="3"/>
        <v>2.42</v>
      </c>
      <c r="T43" s="24"/>
      <c r="U43" s="27"/>
      <c r="V43" s="27"/>
      <c r="W43" s="24"/>
      <c r="X43" s="24">
        <v>1</v>
      </c>
      <c r="Y43" s="24">
        <f t="shared" si="4"/>
        <v>1</v>
      </c>
      <c r="Z43" s="24">
        <f t="shared" si="5"/>
        <v>2.74</v>
      </c>
      <c r="AA43" s="24">
        <f t="shared" si="6"/>
        <v>15</v>
      </c>
      <c r="AB43" s="24">
        <f t="shared" si="6"/>
        <v>13.8</v>
      </c>
      <c r="AC43" s="28">
        <f t="shared" si="7"/>
        <v>90870</v>
      </c>
      <c r="AD43" s="28">
        <f t="shared" si="7"/>
        <v>83600</v>
      </c>
    </row>
    <row r="44" spans="1:30">
      <c r="A44" s="22" t="s">
        <v>77</v>
      </c>
      <c r="B44" s="22" t="s">
        <v>108</v>
      </c>
      <c r="C44" s="23" t="s">
        <v>109</v>
      </c>
      <c r="D44" s="16">
        <v>5883</v>
      </c>
      <c r="E44" s="24">
        <v>41</v>
      </c>
      <c r="F44" s="24"/>
      <c r="G44" s="24"/>
      <c r="H44" s="24"/>
      <c r="I44" s="24"/>
      <c r="J44" s="24"/>
      <c r="K44" s="24">
        <f t="shared" si="0"/>
        <v>41</v>
      </c>
      <c r="L44" s="24">
        <f t="shared" si="1"/>
        <v>29.52</v>
      </c>
      <c r="M44" s="25">
        <v>1</v>
      </c>
      <c r="N44" s="26"/>
      <c r="O44" s="26"/>
      <c r="P44" s="25"/>
      <c r="Q44" s="25">
        <v>17</v>
      </c>
      <c r="R44" s="25">
        <f t="shared" si="2"/>
        <v>18</v>
      </c>
      <c r="S44" s="25">
        <f t="shared" si="3"/>
        <v>21.78</v>
      </c>
      <c r="T44" s="24">
        <v>1</v>
      </c>
      <c r="U44" s="27">
        <v>1</v>
      </c>
      <c r="V44" s="27">
        <v>1</v>
      </c>
      <c r="W44" s="24"/>
      <c r="X44" s="24">
        <v>9</v>
      </c>
      <c r="Y44" s="24">
        <f t="shared" si="4"/>
        <v>12</v>
      </c>
      <c r="Z44" s="24">
        <f t="shared" si="5"/>
        <v>31.51</v>
      </c>
      <c r="AA44" s="24">
        <f t="shared" si="6"/>
        <v>71</v>
      </c>
      <c r="AB44" s="24">
        <f t="shared" si="6"/>
        <v>82.81</v>
      </c>
      <c r="AC44" s="28">
        <f t="shared" si="7"/>
        <v>417693</v>
      </c>
      <c r="AD44" s="28">
        <f t="shared" si="7"/>
        <v>487171</v>
      </c>
    </row>
    <row r="45" spans="1:30">
      <c r="A45" s="22" t="s">
        <v>77</v>
      </c>
      <c r="B45" s="22" t="s">
        <v>110</v>
      </c>
      <c r="C45" s="23" t="s">
        <v>111</v>
      </c>
      <c r="D45" s="16">
        <v>5883</v>
      </c>
      <c r="E45" s="24">
        <v>65</v>
      </c>
      <c r="F45" s="24"/>
      <c r="G45" s="24"/>
      <c r="H45" s="24"/>
      <c r="I45" s="24"/>
      <c r="J45" s="24"/>
      <c r="K45" s="24">
        <f t="shared" si="0"/>
        <v>65</v>
      </c>
      <c r="L45" s="24">
        <f t="shared" si="1"/>
        <v>46.8</v>
      </c>
      <c r="M45" s="25">
        <v>1</v>
      </c>
      <c r="N45" s="26"/>
      <c r="O45" s="26">
        <v>1</v>
      </c>
      <c r="P45" s="25"/>
      <c r="Q45" s="25">
        <v>13</v>
      </c>
      <c r="R45" s="25">
        <f t="shared" si="2"/>
        <v>15</v>
      </c>
      <c r="S45" s="25">
        <f t="shared" si="3"/>
        <v>18.149999999999999</v>
      </c>
      <c r="T45" s="24"/>
      <c r="U45" s="27"/>
      <c r="V45" s="27">
        <v>2</v>
      </c>
      <c r="W45" s="24"/>
      <c r="X45" s="24">
        <v>6</v>
      </c>
      <c r="Y45" s="24">
        <f t="shared" si="4"/>
        <v>8</v>
      </c>
      <c r="Z45" s="24">
        <f t="shared" si="5"/>
        <v>21.92</v>
      </c>
      <c r="AA45" s="24">
        <f t="shared" si="6"/>
        <v>88</v>
      </c>
      <c r="AB45" s="24">
        <f t="shared" si="6"/>
        <v>86.87</v>
      </c>
      <c r="AC45" s="28">
        <f t="shared" si="7"/>
        <v>517704</v>
      </c>
      <c r="AD45" s="28">
        <f t="shared" si="7"/>
        <v>511056</v>
      </c>
    </row>
    <row r="46" spans="1:30">
      <c r="A46" s="22" t="s">
        <v>77</v>
      </c>
      <c r="B46" s="22" t="s">
        <v>112</v>
      </c>
      <c r="C46" s="23" t="s">
        <v>113</v>
      </c>
      <c r="D46" s="16">
        <v>6050</v>
      </c>
      <c r="E46" s="24">
        <v>16</v>
      </c>
      <c r="F46" s="24"/>
      <c r="G46" s="24"/>
      <c r="H46" s="24"/>
      <c r="I46" s="24"/>
      <c r="J46" s="24"/>
      <c r="K46" s="24">
        <f t="shared" si="0"/>
        <v>16</v>
      </c>
      <c r="L46" s="24">
        <f t="shared" si="1"/>
        <v>11.52</v>
      </c>
      <c r="M46" s="25"/>
      <c r="N46" s="26"/>
      <c r="O46" s="26"/>
      <c r="P46" s="25"/>
      <c r="Q46" s="25">
        <v>10</v>
      </c>
      <c r="R46" s="25">
        <f t="shared" si="2"/>
        <v>10</v>
      </c>
      <c r="S46" s="25">
        <f t="shared" si="3"/>
        <v>12.1</v>
      </c>
      <c r="T46" s="24"/>
      <c r="U46" s="27"/>
      <c r="V46" s="27"/>
      <c r="W46" s="24"/>
      <c r="X46" s="24">
        <v>1</v>
      </c>
      <c r="Y46" s="24">
        <f t="shared" si="4"/>
        <v>1</v>
      </c>
      <c r="Z46" s="24">
        <f t="shared" si="5"/>
        <v>2.74</v>
      </c>
      <c r="AA46" s="24">
        <f t="shared" si="6"/>
        <v>27</v>
      </c>
      <c r="AB46" s="24">
        <f t="shared" si="6"/>
        <v>26.36</v>
      </c>
      <c r="AC46" s="28">
        <f t="shared" si="7"/>
        <v>163350</v>
      </c>
      <c r="AD46" s="28">
        <f t="shared" si="7"/>
        <v>159478</v>
      </c>
    </row>
    <row r="47" spans="1:30">
      <c r="A47" s="22" t="s">
        <v>77</v>
      </c>
      <c r="B47" s="22" t="s">
        <v>114</v>
      </c>
      <c r="C47" s="23" t="s">
        <v>115</v>
      </c>
      <c r="D47" s="16">
        <v>5883</v>
      </c>
      <c r="E47" s="24">
        <v>54</v>
      </c>
      <c r="F47" s="24"/>
      <c r="G47" s="24"/>
      <c r="H47" s="24"/>
      <c r="I47" s="24"/>
      <c r="J47" s="24"/>
      <c r="K47" s="24">
        <f t="shared" si="0"/>
        <v>54</v>
      </c>
      <c r="L47" s="24">
        <f t="shared" si="1"/>
        <v>38.879999999999995</v>
      </c>
      <c r="M47" s="25"/>
      <c r="N47" s="26">
        <v>1</v>
      </c>
      <c r="O47" s="26">
        <v>5</v>
      </c>
      <c r="P47" s="25"/>
      <c r="Q47" s="25">
        <v>15</v>
      </c>
      <c r="R47" s="25">
        <f t="shared" si="2"/>
        <v>21</v>
      </c>
      <c r="S47" s="25">
        <f t="shared" si="3"/>
        <v>24.81</v>
      </c>
      <c r="T47" s="24"/>
      <c r="U47" s="27"/>
      <c r="V47" s="27">
        <v>2</v>
      </c>
      <c r="W47" s="24"/>
      <c r="X47" s="24">
        <v>12</v>
      </c>
      <c r="Y47" s="24">
        <f t="shared" si="4"/>
        <v>14</v>
      </c>
      <c r="Z47" s="24">
        <f t="shared" si="5"/>
        <v>38.36</v>
      </c>
      <c r="AA47" s="24">
        <f t="shared" si="6"/>
        <v>89</v>
      </c>
      <c r="AB47" s="24">
        <f t="shared" si="6"/>
        <v>102.05</v>
      </c>
      <c r="AC47" s="28">
        <f t="shared" si="7"/>
        <v>523587</v>
      </c>
      <c r="AD47" s="28">
        <f t="shared" si="7"/>
        <v>600360</v>
      </c>
    </row>
    <row r="48" spans="1:30">
      <c r="A48" s="22" t="s">
        <v>77</v>
      </c>
      <c r="B48" s="22" t="s">
        <v>116</v>
      </c>
      <c r="C48" s="23" t="s">
        <v>117</v>
      </c>
      <c r="D48" s="16">
        <v>5883</v>
      </c>
      <c r="E48" s="24">
        <v>44</v>
      </c>
      <c r="F48" s="24"/>
      <c r="G48" s="24"/>
      <c r="H48" s="24"/>
      <c r="I48" s="24"/>
      <c r="J48" s="24"/>
      <c r="K48" s="24">
        <f t="shared" si="0"/>
        <v>44</v>
      </c>
      <c r="L48" s="24">
        <f t="shared" si="1"/>
        <v>31.68</v>
      </c>
      <c r="M48" s="25"/>
      <c r="N48" s="26">
        <v>1</v>
      </c>
      <c r="O48" s="26">
        <v>1</v>
      </c>
      <c r="P48" s="25"/>
      <c r="Q48" s="25">
        <v>33</v>
      </c>
      <c r="R48" s="25">
        <f t="shared" si="2"/>
        <v>35</v>
      </c>
      <c r="S48" s="25">
        <f t="shared" si="3"/>
        <v>41.75</v>
      </c>
      <c r="T48" s="24"/>
      <c r="U48" s="27">
        <v>1</v>
      </c>
      <c r="V48" s="27">
        <v>1</v>
      </c>
      <c r="W48" s="24"/>
      <c r="X48" s="24">
        <v>12</v>
      </c>
      <c r="Y48" s="24">
        <f t="shared" si="4"/>
        <v>14</v>
      </c>
      <c r="Z48" s="24">
        <f t="shared" si="5"/>
        <v>36.99</v>
      </c>
      <c r="AA48" s="24">
        <f t="shared" si="6"/>
        <v>93</v>
      </c>
      <c r="AB48" s="24">
        <f t="shared" si="6"/>
        <v>110.42000000000002</v>
      </c>
      <c r="AC48" s="28">
        <f t="shared" si="7"/>
        <v>547119</v>
      </c>
      <c r="AD48" s="28">
        <f t="shared" si="7"/>
        <v>649601</v>
      </c>
    </row>
    <row r="49" spans="1:30">
      <c r="A49" s="22" t="s">
        <v>77</v>
      </c>
      <c r="B49" s="22" t="s">
        <v>118</v>
      </c>
      <c r="C49" s="23" t="s">
        <v>119</v>
      </c>
      <c r="D49" s="16">
        <v>5967</v>
      </c>
      <c r="E49" s="24">
        <v>57</v>
      </c>
      <c r="F49" s="24"/>
      <c r="G49" s="24"/>
      <c r="H49" s="24"/>
      <c r="I49" s="24"/>
      <c r="J49" s="24"/>
      <c r="K49" s="24">
        <f t="shared" si="0"/>
        <v>57</v>
      </c>
      <c r="L49" s="24">
        <f t="shared" si="1"/>
        <v>41.04</v>
      </c>
      <c r="M49" s="25"/>
      <c r="N49" s="26"/>
      <c r="O49" s="26">
        <v>2</v>
      </c>
      <c r="P49" s="25"/>
      <c r="Q49" s="25">
        <v>26</v>
      </c>
      <c r="R49" s="25">
        <f t="shared" si="2"/>
        <v>28</v>
      </c>
      <c r="S49" s="25">
        <f t="shared" si="3"/>
        <v>33.879999999999995</v>
      </c>
      <c r="T49" s="24"/>
      <c r="U49" s="27"/>
      <c r="V49" s="27"/>
      <c r="W49" s="24"/>
      <c r="X49" s="24">
        <v>19</v>
      </c>
      <c r="Y49" s="24">
        <f t="shared" si="4"/>
        <v>19</v>
      </c>
      <c r="Z49" s="24">
        <f t="shared" si="5"/>
        <v>52.06</v>
      </c>
      <c r="AA49" s="24">
        <f t="shared" si="6"/>
        <v>104</v>
      </c>
      <c r="AB49" s="24">
        <f t="shared" si="6"/>
        <v>126.97999999999999</v>
      </c>
      <c r="AC49" s="28">
        <f t="shared" si="7"/>
        <v>620568</v>
      </c>
      <c r="AD49" s="28">
        <f t="shared" si="7"/>
        <v>757690</v>
      </c>
    </row>
    <row r="50" spans="1:30">
      <c r="A50" s="22" t="s">
        <v>77</v>
      </c>
      <c r="B50" s="22" t="s">
        <v>120</v>
      </c>
      <c r="C50" s="23" t="s">
        <v>121</v>
      </c>
      <c r="D50" s="16">
        <v>5883</v>
      </c>
      <c r="E50" s="24">
        <v>66</v>
      </c>
      <c r="F50" s="24"/>
      <c r="G50" s="24"/>
      <c r="H50" s="24"/>
      <c r="I50" s="24"/>
      <c r="J50" s="24"/>
      <c r="K50" s="24">
        <f t="shared" si="0"/>
        <v>66</v>
      </c>
      <c r="L50" s="24">
        <f t="shared" si="1"/>
        <v>47.519999999999996</v>
      </c>
      <c r="M50" s="25"/>
      <c r="N50" s="26">
        <v>2</v>
      </c>
      <c r="O50" s="26">
        <v>6</v>
      </c>
      <c r="P50" s="25"/>
      <c r="Q50" s="25">
        <v>28</v>
      </c>
      <c r="R50" s="25">
        <f t="shared" si="2"/>
        <v>36</v>
      </c>
      <c r="S50" s="25">
        <f t="shared" si="3"/>
        <v>42.36</v>
      </c>
      <c r="T50" s="24"/>
      <c r="U50" s="27"/>
      <c r="V50" s="27">
        <v>1</v>
      </c>
      <c r="W50" s="24"/>
      <c r="X50" s="24">
        <v>19</v>
      </c>
      <c r="Y50" s="24">
        <f t="shared" si="4"/>
        <v>20</v>
      </c>
      <c r="Z50" s="24">
        <f t="shared" si="5"/>
        <v>54.800000000000004</v>
      </c>
      <c r="AA50" s="24">
        <f t="shared" si="6"/>
        <v>122</v>
      </c>
      <c r="AB50" s="24">
        <f t="shared" si="6"/>
        <v>144.68</v>
      </c>
      <c r="AC50" s="28">
        <f t="shared" si="7"/>
        <v>717726</v>
      </c>
      <c r="AD50" s="28">
        <f t="shared" si="7"/>
        <v>851152</v>
      </c>
    </row>
    <row r="51" spans="1:30">
      <c r="A51" s="22" t="s">
        <v>77</v>
      </c>
      <c r="B51" s="22" t="s">
        <v>122</v>
      </c>
      <c r="C51" s="23" t="s">
        <v>123</v>
      </c>
      <c r="D51" s="16">
        <v>5883</v>
      </c>
      <c r="E51" s="24">
        <v>150</v>
      </c>
      <c r="F51" s="24"/>
      <c r="G51" s="24"/>
      <c r="H51" s="24"/>
      <c r="I51" s="24"/>
      <c r="J51" s="24"/>
      <c r="K51" s="24">
        <f t="shared" si="0"/>
        <v>150</v>
      </c>
      <c r="L51" s="24">
        <f t="shared" si="1"/>
        <v>108</v>
      </c>
      <c r="M51" s="25"/>
      <c r="N51" s="26"/>
      <c r="O51" s="26">
        <v>14</v>
      </c>
      <c r="P51" s="25"/>
      <c r="Q51" s="25">
        <v>41</v>
      </c>
      <c r="R51" s="25">
        <f t="shared" si="2"/>
        <v>55</v>
      </c>
      <c r="S51" s="25">
        <f t="shared" si="3"/>
        <v>66.55</v>
      </c>
      <c r="T51" s="24"/>
      <c r="U51" s="27"/>
      <c r="V51" s="27">
        <v>2</v>
      </c>
      <c r="W51" s="24"/>
      <c r="X51" s="24">
        <v>13</v>
      </c>
      <c r="Y51" s="24">
        <f t="shared" si="4"/>
        <v>15</v>
      </c>
      <c r="Z51" s="24">
        <f t="shared" si="5"/>
        <v>41.1</v>
      </c>
      <c r="AA51" s="24">
        <f t="shared" si="6"/>
        <v>220</v>
      </c>
      <c r="AB51" s="24">
        <f t="shared" si="6"/>
        <v>215.65</v>
      </c>
      <c r="AC51" s="28">
        <f t="shared" si="7"/>
        <v>1294260</v>
      </c>
      <c r="AD51" s="28">
        <f t="shared" si="7"/>
        <v>1268669</v>
      </c>
    </row>
    <row r="52" spans="1:30">
      <c r="A52" s="22" t="s">
        <v>77</v>
      </c>
      <c r="B52" s="22" t="s">
        <v>124</v>
      </c>
      <c r="C52" s="23" t="s">
        <v>125</v>
      </c>
      <c r="D52" s="16">
        <v>5883</v>
      </c>
      <c r="E52" s="24">
        <v>46</v>
      </c>
      <c r="F52" s="24"/>
      <c r="G52" s="24"/>
      <c r="H52" s="24"/>
      <c r="I52" s="24"/>
      <c r="J52" s="24"/>
      <c r="K52" s="24">
        <f t="shared" si="0"/>
        <v>46</v>
      </c>
      <c r="L52" s="24">
        <f t="shared" si="1"/>
        <v>33.119999999999997</v>
      </c>
      <c r="M52" s="25"/>
      <c r="N52" s="26"/>
      <c r="O52" s="26">
        <v>5</v>
      </c>
      <c r="P52" s="25"/>
      <c r="Q52" s="25">
        <v>23</v>
      </c>
      <c r="R52" s="25">
        <f t="shared" si="2"/>
        <v>28</v>
      </c>
      <c r="S52" s="25">
        <f t="shared" si="3"/>
        <v>33.879999999999995</v>
      </c>
      <c r="T52" s="24"/>
      <c r="U52" s="27"/>
      <c r="V52" s="27">
        <v>1</v>
      </c>
      <c r="W52" s="24"/>
      <c r="X52" s="24">
        <v>10</v>
      </c>
      <c r="Y52" s="24">
        <f t="shared" si="4"/>
        <v>11</v>
      </c>
      <c r="Z52" s="24">
        <f t="shared" si="5"/>
        <v>30.14</v>
      </c>
      <c r="AA52" s="24">
        <f t="shared" si="6"/>
        <v>85</v>
      </c>
      <c r="AB52" s="24">
        <f t="shared" si="6"/>
        <v>97.139999999999986</v>
      </c>
      <c r="AC52" s="28">
        <f t="shared" si="7"/>
        <v>500055</v>
      </c>
      <c r="AD52" s="28">
        <f t="shared" si="7"/>
        <v>571475</v>
      </c>
    </row>
    <row r="53" spans="1:30">
      <c r="A53" s="22" t="s">
        <v>77</v>
      </c>
      <c r="B53" s="22" t="s">
        <v>126</v>
      </c>
      <c r="C53" s="23" t="s">
        <v>127</v>
      </c>
      <c r="D53" s="16">
        <v>5983</v>
      </c>
      <c r="E53" s="24">
        <v>60</v>
      </c>
      <c r="F53" s="24"/>
      <c r="G53" s="24"/>
      <c r="H53" s="24"/>
      <c r="I53" s="24"/>
      <c r="J53" s="24"/>
      <c r="K53" s="24">
        <f t="shared" si="0"/>
        <v>60</v>
      </c>
      <c r="L53" s="24">
        <f t="shared" si="1"/>
        <v>43.199999999999996</v>
      </c>
      <c r="M53" s="25"/>
      <c r="N53" s="26">
        <v>5</v>
      </c>
      <c r="O53" s="26">
        <v>1</v>
      </c>
      <c r="P53" s="25"/>
      <c r="Q53" s="25">
        <v>14</v>
      </c>
      <c r="R53" s="25">
        <f t="shared" si="2"/>
        <v>20</v>
      </c>
      <c r="S53" s="25">
        <f t="shared" si="3"/>
        <v>21.2</v>
      </c>
      <c r="T53" s="24"/>
      <c r="U53" s="27"/>
      <c r="V53" s="27">
        <v>1</v>
      </c>
      <c r="W53" s="24"/>
      <c r="X53" s="24">
        <v>5</v>
      </c>
      <c r="Y53" s="24">
        <f t="shared" si="4"/>
        <v>6</v>
      </c>
      <c r="Z53" s="24">
        <f t="shared" si="5"/>
        <v>16.440000000000001</v>
      </c>
      <c r="AA53" s="24">
        <f t="shared" si="6"/>
        <v>86</v>
      </c>
      <c r="AB53" s="24">
        <f t="shared" si="6"/>
        <v>80.84</v>
      </c>
      <c r="AC53" s="28">
        <f t="shared" si="7"/>
        <v>514538</v>
      </c>
      <c r="AD53" s="28">
        <f t="shared" si="7"/>
        <v>483666</v>
      </c>
    </row>
    <row r="54" spans="1:30">
      <c r="A54" s="22" t="s">
        <v>77</v>
      </c>
      <c r="B54" s="22" t="s">
        <v>128</v>
      </c>
      <c r="C54" s="23" t="s">
        <v>129</v>
      </c>
      <c r="D54" s="16">
        <v>6053</v>
      </c>
      <c r="E54" s="24">
        <v>24</v>
      </c>
      <c r="F54" s="24"/>
      <c r="G54" s="24"/>
      <c r="H54" s="24"/>
      <c r="I54" s="24"/>
      <c r="J54" s="24"/>
      <c r="K54" s="24">
        <f t="shared" si="0"/>
        <v>24</v>
      </c>
      <c r="L54" s="24">
        <f t="shared" si="1"/>
        <v>17.28</v>
      </c>
      <c r="M54" s="25"/>
      <c r="N54" s="26"/>
      <c r="O54" s="26">
        <v>4</v>
      </c>
      <c r="P54" s="25"/>
      <c r="Q54" s="25">
        <v>6</v>
      </c>
      <c r="R54" s="25">
        <f t="shared" si="2"/>
        <v>10</v>
      </c>
      <c r="S54" s="25">
        <f t="shared" si="3"/>
        <v>12.1</v>
      </c>
      <c r="T54" s="24"/>
      <c r="U54" s="27"/>
      <c r="V54" s="27">
        <v>1</v>
      </c>
      <c r="W54" s="24"/>
      <c r="X54" s="24">
        <v>4</v>
      </c>
      <c r="Y54" s="24">
        <f t="shared" si="4"/>
        <v>5</v>
      </c>
      <c r="Z54" s="24">
        <f t="shared" si="5"/>
        <v>13.700000000000001</v>
      </c>
      <c r="AA54" s="24">
        <f t="shared" si="6"/>
        <v>39</v>
      </c>
      <c r="AB54" s="24">
        <f t="shared" si="6"/>
        <v>43.08</v>
      </c>
      <c r="AC54" s="28">
        <f t="shared" si="7"/>
        <v>236067</v>
      </c>
      <c r="AD54" s="28">
        <f t="shared" si="7"/>
        <v>260763</v>
      </c>
    </row>
    <row r="55" spans="1:30">
      <c r="A55" s="22" t="s">
        <v>77</v>
      </c>
      <c r="B55" s="22" t="s">
        <v>130</v>
      </c>
      <c r="C55" s="23" t="s">
        <v>131</v>
      </c>
      <c r="D55" s="16">
        <v>5883</v>
      </c>
      <c r="E55" s="24">
        <v>27</v>
      </c>
      <c r="F55" s="24"/>
      <c r="G55" s="24"/>
      <c r="H55" s="24"/>
      <c r="I55" s="24"/>
      <c r="J55" s="24"/>
      <c r="K55" s="24">
        <f t="shared" si="0"/>
        <v>27</v>
      </c>
      <c r="L55" s="24">
        <f t="shared" si="1"/>
        <v>19.439999999999998</v>
      </c>
      <c r="M55" s="25"/>
      <c r="N55" s="26"/>
      <c r="O55" s="26"/>
      <c r="P55" s="25"/>
      <c r="Q55" s="25">
        <v>6</v>
      </c>
      <c r="R55" s="25">
        <f t="shared" si="2"/>
        <v>6</v>
      </c>
      <c r="S55" s="25">
        <f t="shared" si="3"/>
        <v>7.26</v>
      </c>
      <c r="T55" s="24"/>
      <c r="U55" s="27"/>
      <c r="V55" s="27"/>
      <c r="W55" s="24"/>
      <c r="X55" s="24">
        <v>7</v>
      </c>
      <c r="Y55" s="24">
        <f t="shared" si="4"/>
        <v>7</v>
      </c>
      <c r="Z55" s="24">
        <f t="shared" si="5"/>
        <v>19.18</v>
      </c>
      <c r="AA55" s="24">
        <f t="shared" si="6"/>
        <v>40</v>
      </c>
      <c r="AB55" s="24">
        <f t="shared" si="6"/>
        <v>45.879999999999995</v>
      </c>
      <c r="AC55" s="28">
        <f t="shared" si="7"/>
        <v>235320</v>
      </c>
      <c r="AD55" s="28">
        <f t="shared" si="7"/>
        <v>269912</v>
      </c>
    </row>
    <row r="56" spans="1:30">
      <c r="A56" s="22" t="s">
        <v>77</v>
      </c>
      <c r="B56" s="22" t="s">
        <v>132</v>
      </c>
      <c r="C56" s="23" t="s">
        <v>133</v>
      </c>
      <c r="D56" s="16">
        <v>5906</v>
      </c>
      <c r="E56" s="24">
        <v>119</v>
      </c>
      <c r="F56" s="24"/>
      <c r="G56" s="24"/>
      <c r="H56" s="24"/>
      <c r="I56" s="24"/>
      <c r="J56" s="24"/>
      <c r="K56" s="24">
        <f t="shared" si="0"/>
        <v>119</v>
      </c>
      <c r="L56" s="24">
        <f t="shared" si="1"/>
        <v>85.679999999999993</v>
      </c>
      <c r="M56" s="25"/>
      <c r="N56" s="26">
        <v>9</v>
      </c>
      <c r="O56" s="26">
        <v>8</v>
      </c>
      <c r="P56" s="25"/>
      <c r="Q56" s="25">
        <v>56</v>
      </c>
      <c r="R56" s="25">
        <f t="shared" si="2"/>
        <v>73</v>
      </c>
      <c r="S56" s="25">
        <f t="shared" si="3"/>
        <v>82.929999999999993</v>
      </c>
      <c r="T56" s="24"/>
      <c r="U56" s="27"/>
      <c r="V56" s="27">
        <v>3</v>
      </c>
      <c r="W56" s="24"/>
      <c r="X56" s="24">
        <v>26</v>
      </c>
      <c r="Y56" s="24">
        <f t="shared" si="4"/>
        <v>29</v>
      </c>
      <c r="Z56" s="24">
        <f t="shared" si="5"/>
        <v>79.460000000000008</v>
      </c>
      <c r="AA56" s="24">
        <f t="shared" si="6"/>
        <v>221</v>
      </c>
      <c r="AB56" s="24">
        <f t="shared" si="6"/>
        <v>248.07</v>
      </c>
      <c r="AC56" s="28">
        <f t="shared" si="7"/>
        <v>1305226</v>
      </c>
      <c r="AD56" s="28">
        <f t="shared" si="7"/>
        <v>1465101</v>
      </c>
    </row>
    <row r="57" spans="1:30">
      <c r="A57" s="22" t="s">
        <v>77</v>
      </c>
      <c r="B57" s="22" t="s">
        <v>134</v>
      </c>
      <c r="C57" s="23" t="s">
        <v>135</v>
      </c>
      <c r="D57" s="16">
        <v>5883</v>
      </c>
      <c r="E57" s="24">
        <v>51</v>
      </c>
      <c r="F57" s="24"/>
      <c r="G57" s="24"/>
      <c r="H57" s="24"/>
      <c r="I57" s="24"/>
      <c r="J57" s="24"/>
      <c r="K57" s="24">
        <f t="shared" si="0"/>
        <v>51</v>
      </c>
      <c r="L57" s="24">
        <f t="shared" si="1"/>
        <v>36.72</v>
      </c>
      <c r="M57" s="25"/>
      <c r="N57" s="26">
        <v>5</v>
      </c>
      <c r="O57" s="26">
        <v>2</v>
      </c>
      <c r="P57" s="25"/>
      <c r="Q57" s="25">
        <v>15</v>
      </c>
      <c r="R57" s="25">
        <f t="shared" si="2"/>
        <v>22</v>
      </c>
      <c r="S57" s="25">
        <f t="shared" si="3"/>
        <v>23.62</v>
      </c>
      <c r="T57" s="24"/>
      <c r="U57" s="27"/>
      <c r="V57" s="27">
        <v>3</v>
      </c>
      <c r="W57" s="24"/>
      <c r="X57" s="24">
        <v>4</v>
      </c>
      <c r="Y57" s="24">
        <f t="shared" si="4"/>
        <v>7</v>
      </c>
      <c r="Z57" s="24">
        <f t="shared" si="5"/>
        <v>19.18</v>
      </c>
      <c r="AA57" s="24">
        <f t="shared" si="6"/>
        <v>80</v>
      </c>
      <c r="AB57" s="24">
        <f t="shared" si="6"/>
        <v>79.52</v>
      </c>
      <c r="AC57" s="28">
        <f t="shared" si="7"/>
        <v>470640</v>
      </c>
      <c r="AD57" s="28">
        <f t="shared" si="7"/>
        <v>467816</v>
      </c>
    </row>
    <row r="58" spans="1:30">
      <c r="A58" s="22" t="s">
        <v>77</v>
      </c>
      <c r="B58" s="22" t="s">
        <v>136</v>
      </c>
      <c r="C58" s="23" t="s">
        <v>137</v>
      </c>
      <c r="D58" s="16">
        <v>5883</v>
      </c>
      <c r="E58" s="24">
        <v>123</v>
      </c>
      <c r="F58" s="24"/>
      <c r="G58" s="24"/>
      <c r="H58" s="24"/>
      <c r="I58" s="24"/>
      <c r="J58" s="24"/>
      <c r="K58" s="24">
        <f t="shared" si="0"/>
        <v>123</v>
      </c>
      <c r="L58" s="24">
        <f t="shared" si="1"/>
        <v>88.56</v>
      </c>
      <c r="M58" s="25"/>
      <c r="N58" s="26"/>
      <c r="O58" s="26">
        <v>10</v>
      </c>
      <c r="P58" s="25"/>
      <c r="Q58" s="25">
        <v>33</v>
      </c>
      <c r="R58" s="25">
        <f t="shared" si="2"/>
        <v>43</v>
      </c>
      <c r="S58" s="25">
        <f t="shared" si="3"/>
        <v>52.03</v>
      </c>
      <c r="T58" s="24"/>
      <c r="U58" s="27">
        <v>1</v>
      </c>
      <c r="V58" s="27">
        <v>5</v>
      </c>
      <c r="W58" s="24"/>
      <c r="X58" s="24">
        <v>17</v>
      </c>
      <c r="Y58" s="24">
        <f t="shared" si="4"/>
        <v>23</v>
      </c>
      <c r="Z58" s="24">
        <f t="shared" si="5"/>
        <v>61.65</v>
      </c>
      <c r="AA58" s="24">
        <f t="shared" si="6"/>
        <v>189</v>
      </c>
      <c r="AB58" s="24">
        <f t="shared" si="6"/>
        <v>202.24</v>
      </c>
      <c r="AC58" s="28">
        <f t="shared" si="7"/>
        <v>1111887</v>
      </c>
      <c r="AD58" s="28">
        <f t="shared" si="7"/>
        <v>1189778</v>
      </c>
    </row>
    <row r="59" spans="1:30">
      <c r="A59" s="22" t="s">
        <v>77</v>
      </c>
      <c r="B59" s="22" t="s">
        <v>138</v>
      </c>
      <c r="C59" s="23" t="s">
        <v>139</v>
      </c>
      <c r="D59" s="16">
        <v>5995</v>
      </c>
      <c r="E59" s="24">
        <v>30</v>
      </c>
      <c r="F59" s="24"/>
      <c r="G59" s="24"/>
      <c r="H59" s="24"/>
      <c r="I59" s="24"/>
      <c r="J59" s="24"/>
      <c r="K59" s="24">
        <f t="shared" si="0"/>
        <v>30</v>
      </c>
      <c r="L59" s="24">
        <f t="shared" si="1"/>
        <v>21.599999999999998</v>
      </c>
      <c r="M59" s="25"/>
      <c r="N59" s="26">
        <v>1</v>
      </c>
      <c r="O59" s="26">
        <v>1</v>
      </c>
      <c r="P59" s="25"/>
      <c r="Q59" s="25">
        <v>15</v>
      </c>
      <c r="R59" s="25">
        <f t="shared" si="2"/>
        <v>17</v>
      </c>
      <c r="S59" s="25">
        <f t="shared" si="3"/>
        <v>19.97</v>
      </c>
      <c r="T59" s="24"/>
      <c r="U59" s="27"/>
      <c r="V59" s="27"/>
      <c r="W59" s="24"/>
      <c r="X59" s="24">
        <v>5</v>
      </c>
      <c r="Y59" s="24">
        <f t="shared" si="4"/>
        <v>5</v>
      </c>
      <c r="Z59" s="24">
        <f t="shared" si="5"/>
        <v>13.700000000000001</v>
      </c>
      <c r="AA59" s="24">
        <f t="shared" si="6"/>
        <v>52</v>
      </c>
      <c r="AB59" s="24">
        <f t="shared" si="6"/>
        <v>55.269999999999996</v>
      </c>
      <c r="AC59" s="28">
        <f t="shared" si="7"/>
        <v>311740</v>
      </c>
      <c r="AD59" s="28">
        <f t="shared" si="7"/>
        <v>331344</v>
      </c>
    </row>
    <row r="60" spans="1:30">
      <c r="A60" s="22" t="s">
        <v>77</v>
      </c>
      <c r="B60" s="22" t="s">
        <v>140</v>
      </c>
      <c r="C60" s="23" t="s">
        <v>141</v>
      </c>
      <c r="D60" s="16">
        <v>6058</v>
      </c>
      <c r="E60" s="24">
        <v>62</v>
      </c>
      <c r="F60" s="24"/>
      <c r="G60" s="24"/>
      <c r="H60" s="24"/>
      <c r="I60" s="24"/>
      <c r="J60" s="24"/>
      <c r="K60" s="24">
        <f t="shared" si="0"/>
        <v>62</v>
      </c>
      <c r="L60" s="24">
        <f t="shared" si="1"/>
        <v>44.64</v>
      </c>
      <c r="M60" s="25"/>
      <c r="N60" s="26">
        <v>1</v>
      </c>
      <c r="O60" s="26">
        <v>2</v>
      </c>
      <c r="P60" s="25"/>
      <c r="Q60" s="25">
        <v>12</v>
      </c>
      <c r="R60" s="25">
        <f t="shared" si="2"/>
        <v>15</v>
      </c>
      <c r="S60" s="25">
        <f t="shared" si="3"/>
        <v>17.549999999999997</v>
      </c>
      <c r="T60" s="24"/>
      <c r="U60" s="27"/>
      <c r="V60" s="27"/>
      <c r="W60" s="24"/>
      <c r="X60" s="24">
        <v>7</v>
      </c>
      <c r="Y60" s="24">
        <f t="shared" si="4"/>
        <v>7</v>
      </c>
      <c r="Z60" s="24">
        <f t="shared" si="5"/>
        <v>19.18</v>
      </c>
      <c r="AA60" s="24">
        <f t="shared" si="6"/>
        <v>84</v>
      </c>
      <c r="AB60" s="24">
        <f t="shared" si="6"/>
        <v>81.37</v>
      </c>
      <c r="AC60" s="28">
        <f t="shared" si="7"/>
        <v>508872</v>
      </c>
      <c r="AD60" s="28">
        <f t="shared" si="7"/>
        <v>492939</v>
      </c>
    </row>
    <row r="61" spans="1:30">
      <c r="A61" s="22" t="s">
        <v>77</v>
      </c>
      <c r="B61" s="22" t="s">
        <v>142</v>
      </c>
      <c r="C61" s="23" t="s">
        <v>143</v>
      </c>
      <c r="D61" s="16">
        <v>5883</v>
      </c>
      <c r="E61" s="24">
        <v>156</v>
      </c>
      <c r="F61" s="24"/>
      <c r="G61" s="24"/>
      <c r="H61" s="24"/>
      <c r="I61" s="24"/>
      <c r="J61" s="24"/>
      <c r="K61" s="24">
        <f t="shared" si="0"/>
        <v>156</v>
      </c>
      <c r="L61" s="24">
        <f t="shared" si="1"/>
        <v>112.32</v>
      </c>
      <c r="M61" s="25"/>
      <c r="N61" s="26"/>
      <c r="O61" s="26">
        <v>5</v>
      </c>
      <c r="P61" s="25"/>
      <c r="Q61" s="25">
        <v>33</v>
      </c>
      <c r="R61" s="25">
        <f t="shared" si="2"/>
        <v>38</v>
      </c>
      <c r="S61" s="25">
        <f t="shared" si="3"/>
        <v>45.98</v>
      </c>
      <c r="T61" s="24"/>
      <c r="U61" s="27"/>
      <c r="V61" s="27">
        <v>7</v>
      </c>
      <c r="W61" s="24"/>
      <c r="X61" s="24">
        <v>44</v>
      </c>
      <c r="Y61" s="24">
        <f t="shared" si="4"/>
        <v>51</v>
      </c>
      <c r="Z61" s="24">
        <f t="shared" si="5"/>
        <v>139.74</v>
      </c>
      <c r="AA61" s="24">
        <f t="shared" si="6"/>
        <v>245</v>
      </c>
      <c r="AB61" s="24">
        <f t="shared" si="6"/>
        <v>298.03999999999996</v>
      </c>
      <c r="AC61" s="28">
        <f t="shared" si="7"/>
        <v>1441335</v>
      </c>
      <c r="AD61" s="28">
        <f t="shared" si="7"/>
        <v>1753369</v>
      </c>
    </row>
    <row r="62" spans="1:30">
      <c r="A62" s="22" t="s">
        <v>77</v>
      </c>
      <c r="B62" s="22" t="s">
        <v>144</v>
      </c>
      <c r="C62" s="23" t="s">
        <v>145</v>
      </c>
      <c r="D62" s="16">
        <v>5888</v>
      </c>
      <c r="E62" s="24">
        <v>91</v>
      </c>
      <c r="F62" s="24"/>
      <c r="G62" s="24"/>
      <c r="H62" s="24"/>
      <c r="I62" s="24"/>
      <c r="J62" s="24"/>
      <c r="K62" s="24">
        <f t="shared" si="0"/>
        <v>91</v>
      </c>
      <c r="L62" s="24">
        <f t="shared" si="1"/>
        <v>65.52</v>
      </c>
      <c r="M62" s="25"/>
      <c r="N62" s="26">
        <v>3</v>
      </c>
      <c r="O62" s="26">
        <v>8</v>
      </c>
      <c r="P62" s="25"/>
      <c r="Q62" s="25">
        <v>26</v>
      </c>
      <c r="R62" s="25">
        <f t="shared" si="2"/>
        <v>37</v>
      </c>
      <c r="S62" s="25">
        <f t="shared" si="3"/>
        <v>42.97</v>
      </c>
      <c r="T62" s="24"/>
      <c r="U62" s="27">
        <v>1</v>
      </c>
      <c r="V62" s="27">
        <v>1</v>
      </c>
      <c r="W62" s="24"/>
      <c r="X62" s="24">
        <v>6</v>
      </c>
      <c r="Y62" s="24">
        <f t="shared" si="4"/>
        <v>8</v>
      </c>
      <c r="Z62" s="24">
        <f t="shared" si="5"/>
        <v>20.55</v>
      </c>
      <c r="AA62" s="24">
        <f t="shared" si="6"/>
        <v>136</v>
      </c>
      <c r="AB62" s="24">
        <f t="shared" si="6"/>
        <v>129.04</v>
      </c>
      <c r="AC62" s="28">
        <f t="shared" si="7"/>
        <v>800768</v>
      </c>
      <c r="AD62" s="28">
        <f t="shared" si="7"/>
        <v>759788</v>
      </c>
    </row>
    <row r="63" spans="1:30">
      <c r="A63" s="22" t="s">
        <v>77</v>
      </c>
      <c r="B63" s="22" t="s">
        <v>146</v>
      </c>
      <c r="C63" s="23" t="s">
        <v>147</v>
      </c>
      <c r="D63" s="16">
        <v>5958</v>
      </c>
      <c r="E63" s="24">
        <v>25</v>
      </c>
      <c r="F63" s="24">
        <v>1</v>
      </c>
      <c r="G63" s="24"/>
      <c r="H63" s="24"/>
      <c r="I63" s="24"/>
      <c r="J63" s="24"/>
      <c r="K63" s="24">
        <f t="shared" si="0"/>
        <v>26</v>
      </c>
      <c r="L63" s="24">
        <f t="shared" si="1"/>
        <v>18.72</v>
      </c>
      <c r="M63" s="25"/>
      <c r="N63" s="26"/>
      <c r="O63" s="26">
        <v>1</v>
      </c>
      <c r="P63" s="25"/>
      <c r="Q63" s="25">
        <v>10</v>
      </c>
      <c r="R63" s="25">
        <f t="shared" si="2"/>
        <v>11</v>
      </c>
      <c r="S63" s="25">
        <f t="shared" si="3"/>
        <v>13.309999999999999</v>
      </c>
      <c r="T63" s="24"/>
      <c r="U63" s="27">
        <v>2</v>
      </c>
      <c r="V63" s="27"/>
      <c r="W63" s="24"/>
      <c r="X63" s="24">
        <v>1</v>
      </c>
      <c r="Y63" s="24">
        <f t="shared" si="4"/>
        <v>3</v>
      </c>
      <c r="Z63" s="24">
        <f t="shared" si="5"/>
        <v>5.48</v>
      </c>
      <c r="AA63" s="24">
        <f t="shared" si="6"/>
        <v>40</v>
      </c>
      <c r="AB63" s="24">
        <f t="shared" si="6"/>
        <v>37.51</v>
      </c>
      <c r="AC63" s="28">
        <f t="shared" si="7"/>
        <v>238320</v>
      </c>
      <c r="AD63" s="28">
        <f t="shared" si="7"/>
        <v>223485</v>
      </c>
    </row>
    <row r="64" spans="1:30">
      <c r="A64" s="22" t="s">
        <v>77</v>
      </c>
      <c r="B64" s="22" t="s">
        <v>148</v>
      </c>
      <c r="C64" s="23" t="s">
        <v>149</v>
      </c>
      <c r="D64" s="16">
        <v>5883</v>
      </c>
      <c r="E64" s="24">
        <v>54</v>
      </c>
      <c r="F64" s="24"/>
      <c r="G64" s="24"/>
      <c r="H64" s="24"/>
      <c r="I64" s="24"/>
      <c r="J64" s="24"/>
      <c r="K64" s="24">
        <f t="shared" si="0"/>
        <v>54</v>
      </c>
      <c r="L64" s="24">
        <f t="shared" si="1"/>
        <v>38.879999999999995</v>
      </c>
      <c r="M64" s="25"/>
      <c r="N64" s="26"/>
      <c r="O64" s="26">
        <v>2</v>
      </c>
      <c r="P64" s="25"/>
      <c r="Q64" s="25">
        <v>19</v>
      </c>
      <c r="R64" s="25">
        <f t="shared" si="2"/>
        <v>21</v>
      </c>
      <c r="S64" s="25">
        <f t="shared" si="3"/>
        <v>25.41</v>
      </c>
      <c r="T64" s="24"/>
      <c r="U64" s="27"/>
      <c r="V64" s="27">
        <v>6</v>
      </c>
      <c r="W64" s="24"/>
      <c r="X64" s="24">
        <v>12</v>
      </c>
      <c r="Y64" s="24">
        <f t="shared" si="4"/>
        <v>18</v>
      </c>
      <c r="Z64" s="24">
        <f t="shared" si="5"/>
        <v>49.320000000000007</v>
      </c>
      <c r="AA64" s="24">
        <f t="shared" si="6"/>
        <v>93</v>
      </c>
      <c r="AB64" s="24">
        <f t="shared" si="6"/>
        <v>113.61</v>
      </c>
      <c r="AC64" s="28">
        <f t="shared" si="7"/>
        <v>547119</v>
      </c>
      <c r="AD64" s="28">
        <f t="shared" si="7"/>
        <v>668368</v>
      </c>
    </row>
    <row r="65" spans="1:30">
      <c r="A65" s="22" t="s">
        <v>77</v>
      </c>
      <c r="B65" s="22" t="s">
        <v>150</v>
      </c>
      <c r="C65" s="23" t="s">
        <v>151</v>
      </c>
      <c r="D65" s="16">
        <v>5883</v>
      </c>
      <c r="E65" s="24">
        <v>47</v>
      </c>
      <c r="F65" s="24"/>
      <c r="G65" s="24"/>
      <c r="H65" s="24"/>
      <c r="I65" s="24"/>
      <c r="J65" s="24"/>
      <c r="K65" s="24">
        <f t="shared" si="0"/>
        <v>47</v>
      </c>
      <c r="L65" s="24">
        <f t="shared" si="1"/>
        <v>33.839999999999996</v>
      </c>
      <c r="M65" s="25"/>
      <c r="N65" s="26"/>
      <c r="O65" s="26">
        <v>2</v>
      </c>
      <c r="P65" s="25"/>
      <c r="Q65" s="25">
        <v>6</v>
      </c>
      <c r="R65" s="25">
        <f t="shared" si="2"/>
        <v>8</v>
      </c>
      <c r="S65" s="25">
        <f t="shared" si="3"/>
        <v>9.68</v>
      </c>
      <c r="T65" s="24"/>
      <c r="U65" s="27"/>
      <c r="V65" s="27">
        <v>1</v>
      </c>
      <c r="W65" s="24"/>
      <c r="X65" s="24">
        <v>4</v>
      </c>
      <c r="Y65" s="24">
        <f t="shared" si="4"/>
        <v>5</v>
      </c>
      <c r="Z65" s="24">
        <f t="shared" si="5"/>
        <v>13.700000000000001</v>
      </c>
      <c r="AA65" s="24">
        <f t="shared" si="6"/>
        <v>60</v>
      </c>
      <c r="AB65" s="24">
        <f t="shared" si="6"/>
        <v>57.22</v>
      </c>
      <c r="AC65" s="28">
        <f t="shared" si="7"/>
        <v>352980</v>
      </c>
      <c r="AD65" s="28">
        <f t="shared" si="7"/>
        <v>336625</v>
      </c>
    </row>
    <row r="66" spans="1:30">
      <c r="A66" s="22" t="s">
        <v>77</v>
      </c>
      <c r="B66" s="22" t="s">
        <v>152</v>
      </c>
      <c r="C66" s="23" t="s">
        <v>153</v>
      </c>
      <c r="D66" s="16">
        <v>5924</v>
      </c>
      <c r="E66" s="24">
        <v>468</v>
      </c>
      <c r="F66" s="24"/>
      <c r="G66" s="24"/>
      <c r="H66" s="24"/>
      <c r="I66" s="24"/>
      <c r="J66" s="24"/>
      <c r="K66" s="24">
        <f t="shared" si="0"/>
        <v>468</v>
      </c>
      <c r="L66" s="24">
        <f t="shared" si="1"/>
        <v>336.96</v>
      </c>
      <c r="M66" s="25"/>
      <c r="N66" s="26">
        <v>3</v>
      </c>
      <c r="O66" s="26">
        <v>26</v>
      </c>
      <c r="P66" s="25"/>
      <c r="Q66" s="25">
        <v>138</v>
      </c>
      <c r="R66" s="25">
        <f t="shared" si="2"/>
        <v>167</v>
      </c>
      <c r="S66" s="25">
        <f t="shared" si="3"/>
        <v>200.27</v>
      </c>
      <c r="T66" s="24"/>
      <c r="U66" s="27">
        <v>1</v>
      </c>
      <c r="V66" s="27">
        <v>5</v>
      </c>
      <c r="W66" s="24"/>
      <c r="X66" s="24">
        <v>67</v>
      </c>
      <c r="Y66" s="24">
        <f t="shared" si="4"/>
        <v>73</v>
      </c>
      <c r="Z66" s="24">
        <f t="shared" si="5"/>
        <v>198.65000000000003</v>
      </c>
      <c r="AA66" s="24">
        <f t="shared" si="6"/>
        <v>708</v>
      </c>
      <c r="AB66" s="24">
        <f t="shared" si="6"/>
        <v>735.88000000000011</v>
      </c>
      <c r="AC66" s="28">
        <f t="shared" si="7"/>
        <v>4194192</v>
      </c>
      <c r="AD66" s="28">
        <f t="shared" si="7"/>
        <v>4359353</v>
      </c>
    </row>
    <row r="67" spans="1:30">
      <c r="A67" s="22" t="s">
        <v>77</v>
      </c>
      <c r="B67" s="22" t="s">
        <v>154</v>
      </c>
      <c r="C67" s="23" t="s">
        <v>155</v>
      </c>
      <c r="D67" s="16">
        <v>5955</v>
      </c>
      <c r="E67" s="24">
        <v>385</v>
      </c>
      <c r="F67" s="24"/>
      <c r="G67" s="24"/>
      <c r="H67" s="24"/>
      <c r="I67" s="24"/>
      <c r="J67" s="24"/>
      <c r="K67" s="24">
        <f t="shared" si="0"/>
        <v>385</v>
      </c>
      <c r="L67" s="24">
        <f t="shared" si="1"/>
        <v>277.2</v>
      </c>
      <c r="M67" s="25"/>
      <c r="N67" s="26"/>
      <c r="O67" s="26">
        <v>31</v>
      </c>
      <c r="P67" s="25"/>
      <c r="Q67" s="25">
        <v>248</v>
      </c>
      <c r="R67" s="25">
        <f t="shared" si="2"/>
        <v>279</v>
      </c>
      <c r="S67" s="25">
        <f t="shared" si="3"/>
        <v>337.59</v>
      </c>
      <c r="T67" s="24"/>
      <c r="U67" s="27"/>
      <c r="V67" s="27">
        <v>5</v>
      </c>
      <c r="W67" s="24"/>
      <c r="X67" s="24">
        <v>90</v>
      </c>
      <c r="Y67" s="24">
        <f t="shared" si="4"/>
        <v>95</v>
      </c>
      <c r="Z67" s="24">
        <f t="shared" si="5"/>
        <v>260.3</v>
      </c>
      <c r="AA67" s="24">
        <f t="shared" si="6"/>
        <v>759</v>
      </c>
      <c r="AB67" s="24">
        <f t="shared" si="6"/>
        <v>875.08999999999992</v>
      </c>
      <c r="AC67" s="28">
        <f t="shared" si="7"/>
        <v>4519845</v>
      </c>
      <c r="AD67" s="28">
        <f t="shared" si="7"/>
        <v>5211161</v>
      </c>
    </row>
    <row r="68" spans="1:30">
      <c r="A68" s="22" t="s">
        <v>77</v>
      </c>
      <c r="B68" s="22" t="s">
        <v>156</v>
      </c>
      <c r="C68" s="23" t="s">
        <v>157</v>
      </c>
      <c r="D68" s="16">
        <v>5883</v>
      </c>
      <c r="E68" s="24">
        <v>49</v>
      </c>
      <c r="F68" s="24"/>
      <c r="G68" s="24"/>
      <c r="H68" s="24"/>
      <c r="I68" s="24"/>
      <c r="J68" s="24"/>
      <c r="K68" s="24">
        <f t="shared" si="0"/>
        <v>49</v>
      </c>
      <c r="L68" s="24">
        <f t="shared" si="1"/>
        <v>35.28</v>
      </c>
      <c r="M68" s="25"/>
      <c r="N68" s="26"/>
      <c r="O68" s="26">
        <v>1</v>
      </c>
      <c r="P68" s="25"/>
      <c r="Q68" s="25">
        <v>12</v>
      </c>
      <c r="R68" s="25">
        <f t="shared" si="2"/>
        <v>13</v>
      </c>
      <c r="S68" s="25">
        <f t="shared" si="3"/>
        <v>15.73</v>
      </c>
      <c r="T68" s="24"/>
      <c r="U68" s="27"/>
      <c r="V68" s="27">
        <v>1</v>
      </c>
      <c r="W68" s="24"/>
      <c r="X68" s="24">
        <v>5</v>
      </c>
      <c r="Y68" s="24">
        <f t="shared" si="4"/>
        <v>6</v>
      </c>
      <c r="Z68" s="24">
        <f t="shared" si="5"/>
        <v>16.440000000000001</v>
      </c>
      <c r="AA68" s="24">
        <f t="shared" si="6"/>
        <v>68</v>
      </c>
      <c r="AB68" s="24">
        <f t="shared" si="6"/>
        <v>67.45</v>
      </c>
      <c r="AC68" s="28">
        <f t="shared" si="7"/>
        <v>400044</v>
      </c>
      <c r="AD68" s="28">
        <f t="shared" si="7"/>
        <v>396808</v>
      </c>
    </row>
    <row r="69" spans="1:30">
      <c r="A69" s="22" t="s">
        <v>77</v>
      </c>
      <c r="B69" s="22" t="s">
        <v>158</v>
      </c>
      <c r="C69" s="23" t="s">
        <v>159</v>
      </c>
      <c r="D69" s="16">
        <v>5995</v>
      </c>
      <c r="E69" s="24">
        <v>55</v>
      </c>
      <c r="F69" s="24"/>
      <c r="G69" s="24"/>
      <c r="H69" s="24"/>
      <c r="I69" s="24"/>
      <c r="J69" s="24"/>
      <c r="K69" s="24">
        <f t="shared" ref="K69:K132" si="9">SUM(E69:J69)</f>
        <v>55</v>
      </c>
      <c r="L69" s="24">
        <f t="shared" ref="L69:L132" si="10">+K69*0.72</f>
        <v>39.6</v>
      </c>
      <c r="M69" s="25"/>
      <c r="N69" s="26"/>
      <c r="O69" s="26"/>
      <c r="P69" s="25"/>
      <c r="Q69" s="25">
        <v>10</v>
      </c>
      <c r="R69" s="25">
        <f t="shared" ref="R69:R132" si="11">SUM(M69:Q69)</f>
        <v>10</v>
      </c>
      <c r="S69" s="25">
        <f t="shared" ref="S69:S132" si="12">((+N69 +P69)*0.61+(+M69+O69+Q69)*1.21)</f>
        <v>12.1</v>
      </c>
      <c r="T69" s="24"/>
      <c r="U69" s="27">
        <v>2</v>
      </c>
      <c r="V69" s="27"/>
      <c r="W69" s="24"/>
      <c r="X69" s="24">
        <v>4</v>
      </c>
      <c r="Y69" s="24">
        <f t="shared" ref="Y69:Y132" si="13">SUM(T69:X69)</f>
        <v>6</v>
      </c>
      <c r="Z69" s="24">
        <f t="shared" ref="Z69:Z132" si="14">((+U69 +W69)*1.37+(+T69+V69+X69)*2.74)</f>
        <v>13.700000000000001</v>
      </c>
      <c r="AA69" s="24">
        <f t="shared" ref="AA69:AB130" si="15">+Y69+R69+K69</f>
        <v>71</v>
      </c>
      <c r="AB69" s="24">
        <f t="shared" si="15"/>
        <v>65.400000000000006</v>
      </c>
      <c r="AC69" s="28">
        <f t="shared" ref="AC69:AD132" si="16">ROUND((AA69*$D69),0)</f>
        <v>425645</v>
      </c>
      <c r="AD69" s="28">
        <f t="shared" si="16"/>
        <v>392073</v>
      </c>
    </row>
    <row r="70" spans="1:30">
      <c r="A70" s="22" t="s">
        <v>77</v>
      </c>
      <c r="B70" s="22" t="s">
        <v>160</v>
      </c>
      <c r="C70" s="23" t="s">
        <v>161</v>
      </c>
      <c r="D70" s="16">
        <v>5930</v>
      </c>
      <c r="E70" s="24">
        <v>29</v>
      </c>
      <c r="F70" s="24"/>
      <c r="G70" s="24"/>
      <c r="H70" s="24"/>
      <c r="I70" s="24"/>
      <c r="J70" s="24"/>
      <c r="K70" s="24">
        <f t="shared" si="9"/>
        <v>29</v>
      </c>
      <c r="L70" s="24">
        <f t="shared" si="10"/>
        <v>20.88</v>
      </c>
      <c r="M70" s="25"/>
      <c r="N70" s="26"/>
      <c r="O70" s="26"/>
      <c r="P70" s="25"/>
      <c r="Q70" s="25">
        <v>4</v>
      </c>
      <c r="R70" s="25">
        <f t="shared" si="11"/>
        <v>4</v>
      </c>
      <c r="S70" s="25">
        <f t="shared" si="12"/>
        <v>4.84</v>
      </c>
      <c r="T70" s="24"/>
      <c r="U70" s="27"/>
      <c r="V70" s="27">
        <v>1</v>
      </c>
      <c r="W70" s="24"/>
      <c r="X70" s="24">
        <v>9</v>
      </c>
      <c r="Y70" s="24">
        <f t="shared" si="13"/>
        <v>10</v>
      </c>
      <c r="Z70" s="24">
        <f t="shared" si="14"/>
        <v>27.400000000000002</v>
      </c>
      <c r="AA70" s="24">
        <f t="shared" si="15"/>
        <v>43</v>
      </c>
      <c r="AB70" s="24">
        <f t="shared" si="15"/>
        <v>53.120000000000005</v>
      </c>
      <c r="AC70" s="28">
        <f t="shared" si="16"/>
        <v>254990</v>
      </c>
      <c r="AD70" s="28">
        <f t="shared" si="16"/>
        <v>315002</v>
      </c>
    </row>
    <row r="71" spans="1:30">
      <c r="A71" s="22" t="s">
        <v>77</v>
      </c>
      <c r="B71" s="22" t="s">
        <v>162</v>
      </c>
      <c r="C71" s="23" t="s">
        <v>163</v>
      </c>
      <c r="D71" s="16">
        <v>5891</v>
      </c>
      <c r="E71" s="24">
        <v>48</v>
      </c>
      <c r="F71" s="24"/>
      <c r="G71" s="24"/>
      <c r="H71" s="24"/>
      <c r="I71" s="24"/>
      <c r="J71" s="24"/>
      <c r="K71" s="24">
        <f t="shared" si="9"/>
        <v>48</v>
      </c>
      <c r="L71" s="24">
        <f t="shared" si="10"/>
        <v>34.56</v>
      </c>
      <c r="M71" s="25"/>
      <c r="N71" s="26"/>
      <c r="O71" s="26">
        <v>6</v>
      </c>
      <c r="P71" s="25"/>
      <c r="Q71" s="25">
        <v>12</v>
      </c>
      <c r="R71" s="25">
        <f t="shared" si="11"/>
        <v>18</v>
      </c>
      <c r="S71" s="25">
        <f t="shared" si="12"/>
        <v>21.78</v>
      </c>
      <c r="T71" s="24"/>
      <c r="U71" s="27"/>
      <c r="V71" s="27">
        <v>1</v>
      </c>
      <c r="W71" s="24"/>
      <c r="X71" s="24">
        <v>7</v>
      </c>
      <c r="Y71" s="24">
        <f t="shared" si="13"/>
        <v>8</v>
      </c>
      <c r="Z71" s="24">
        <f t="shared" si="14"/>
        <v>21.92</v>
      </c>
      <c r="AA71" s="24">
        <f t="shared" si="15"/>
        <v>74</v>
      </c>
      <c r="AB71" s="24">
        <f t="shared" si="15"/>
        <v>78.260000000000005</v>
      </c>
      <c r="AC71" s="28">
        <f t="shared" si="16"/>
        <v>435934</v>
      </c>
      <c r="AD71" s="28">
        <f t="shared" si="16"/>
        <v>461030</v>
      </c>
    </row>
    <row r="72" spans="1:30">
      <c r="A72" s="22" t="s">
        <v>77</v>
      </c>
      <c r="B72" s="22" t="s">
        <v>164</v>
      </c>
      <c r="C72" s="23" t="s">
        <v>165</v>
      </c>
      <c r="D72" s="16">
        <v>5883</v>
      </c>
      <c r="E72" s="24">
        <v>43</v>
      </c>
      <c r="F72" s="24"/>
      <c r="G72" s="24"/>
      <c r="H72" s="24"/>
      <c r="I72" s="24"/>
      <c r="J72" s="24"/>
      <c r="K72" s="24">
        <f t="shared" si="9"/>
        <v>43</v>
      </c>
      <c r="L72" s="24">
        <f t="shared" si="10"/>
        <v>30.959999999999997</v>
      </c>
      <c r="M72" s="25"/>
      <c r="N72" s="26">
        <v>2</v>
      </c>
      <c r="O72" s="26"/>
      <c r="P72" s="25"/>
      <c r="Q72" s="25">
        <v>10</v>
      </c>
      <c r="R72" s="25">
        <f t="shared" si="11"/>
        <v>12</v>
      </c>
      <c r="S72" s="25">
        <f t="shared" si="12"/>
        <v>13.32</v>
      </c>
      <c r="T72" s="24"/>
      <c r="U72" s="27"/>
      <c r="V72" s="27"/>
      <c r="W72" s="24"/>
      <c r="X72" s="24">
        <v>9</v>
      </c>
      <c r="Y72" s="24">
        <f t="shared" si="13"/>
        <v>9</v>
      </c>
      <c r="Z72" s="24">
        <f t="shared" si="14"/>
        <v>24.660000000000004</v>
      </c>
      <c r="AA72" s="24">
        <f t="shared" si="15"/>
        <v>64</v>
      </c>
      <c r="AB72" s="24">
        <f t="shared" si="15"/>
        <v>68.94</v>
      </c>
      <c r="AC72" s="28">
        <f t="shared" si="16"/>
        <v>376512</v>
      </c>
      <c r="AD72" s="28">
        <f t="shared" si="16"/>
        <v>405574</v>
      </c>
    </row>
    <row r="73" spans="1:30">
      <c r="A73" s="22" t="s">
        <v>77</v>
      </c>
      <c r="B73" s="22" t="s">
        <v>166</v>
      </c>
      <c r="C73" s="23" t="s">
        <v>167</v>
      </c>
      <c r="D73" s="16">
        <v>6009</v>
      </c>
      <c r="E73" s="24">
        <v>49</v>
      </c>
      <c r="F73" s="24"/>
      <c r="G73" s="24"/>
      <c r="H73" s="24"/>
      <c r="I73" s="24"/>
      <c r="J73" s="24"/>
      <c r="K73" s="24">
        <f t="shared" si="9"/>
        <v>49</v>
      </c>
      <c r="L73" s="24">
        <f t="shared" si="10"/>
        <v>35.28</v>
      </c>
      <c r="M73" s="25"/>
      <c r="N73" s="26"/>
      <c r="O73" s="26">
        <v>1</v>
      </c>
      <c r="P73" s="25"/>
      <c r="Q73" s="25">
        <v>4</v>
      </c>
      <c r="R73" s="25">
        <f t="shared" si="11"/>
        <v>5</v>
      </c>
      <c r="S73" s="25">
        <f t="shared" si="12"/>
        <v>6.05</v>
      </c>
      <c r="T73" s="24"/>
      <c r="U73" s="27"/>
      <c r="V73" s="27"/>
      <c r="W73" s="24"/>
      <c r="X73" s="24">
        <v>6</v>
      </c>
      <c r="Y73" s="24">
        <f t="shared" si="13"/>
        <v>6</v>
      </c>
      <c r="Z73" s="24">
        <f t="shared" si="14"/>
        <v>16.440000000000001</v>
      </c>
      <c r="AA73" s="24">
        <f t="shared" si="15"/>
        <v>60</v>
      </c>
      <c r="AB73" s="24">
        <f t="shared" si="15"/>
        <v>57.77</v>
      </c>
      <c r="AC73" s="28">
        <f t="shared" si="16"/>
        <v>360540</v>
      </c>
      <c r="AD73" s="28">
        <f t="shared" si="16"/>
        <v>347140</v>
      </c>
    </row>
    <row r="74" spans="1:30">
      <c r="A74" s="22" t="s">
        <v>77</v>
      </c>
      <c r="B74" s="22" t="s">
        <v>168</v>
      </c>
      <c r="C74" s="23" t="s">
        <v>169</v>
      </c>
      <c r="D74" s="16">
        <v>5940</v>
      </c>
      <c r="E74" s="24">
        <v>66</v>
      </c>
      <c r="F74" s="24"/>
      <c r="G74" s="24"/>
      <c r="H74" s="24"/>
      <c r="I74" s="24"/>
      <c r="J74" s="24"/>
      <c r="K74" s="24">
        <f t="shared" si="9"/>
        <v>66</v>
      </c>
      <c r="L74" s="24">
        <f t="shared" si="10"/>
        <v>47.519999999999996</v>
      </c>
      <c r="M74" s="25"/>
      <c r="N74" s="26"/>
      <c r="O74" s="26">
        <v>1</v>
      </c>
      <c r="P74" s="25"/>
      <c r="Q74" s="25">
        <v>17</v>
      </c>
      <c r="R74" s="25">
        <f t="shared" si="11"/>
        <v>18</v>
      </c>
      <c r="S74" s="25">
        <f t="shared" si="12"/>
        <v>21.78</v>
      </c>
      <c r="T74" s="24"/>
      <c r="U74" s="27"/>
      <c r="V74" s="27">
        <v>1</v>
      </c>
      <c r="W74" s="24"/>
      <c r="X74" s="24">
        <v>12</v>
      </c>
      <c r="Y74" s="24">
        <f t="shared" si="13"/>
        <v>13</v>
      </c>
      <c r="Z74" s="24">
        <f t="shared" si="14"/>
        <v>35.620000000000005</v>
      </c>
      <c r="AA74" s="24">
        <f t="shared" si="15"/>
        <v>97</v>
      </c>
      <c r="AB74" s="24">
        <f t="shared" si="15"/>
        <v>104.92</v>
      </c>
      <c r="AC74" s="28">
        <f t="shared" si="16"/>
        <v>576180</v>
      </c>
      <c r="AD74" s="28">
        <f t="shared" si="16"/>
        <v>623225</v>
      </c>
    </row>
    <row r="75" spans="1:30">
      <c r="A75" s="22" t="s">
        <v>77</v>
      </c>
      <c r="B75" s="22" t="s">
        <v>170</v>
      </c>
      <c r="C75" s="23" t="s">
        <v>171</v>
      </c>
      <c r="D75" s="16">
        <v>5925</v>
      </c>
      <c r="E75" s="24">
        <v>26</v>
      </c>
      <c r="F75" s="24"/>
      <c r="G75" s="24"/>
      <c r="H75" s="24"/>
      <c r="I75" s="24"/>
      <c r="J75" s="24"/>
      <c r="K75" s="24">
        <f t="shared" si="9"/>
        <v>26</v>
      </c>
      <c r="L75" s="24">
        <f t="shared" si="10"/>
        <v>18.72</v>
      </c>
      <c r="M75" s="25"/>
      <c r="N75" s="26"/>
      <c r="O75" s="26"/>
      <c r="P75" s="25"/>
      <c r="Q75" s="25">
        <v>4</v>
      </c>
      <c r="R75" s="25">
        <f t="shared" si="11"/>
        <v>4</v>
      </c>
      <c r="S75" s="25">
        <f t="shared" si="12"/>
        <v>4.84</v>
      </c>
      <c r="T75" s="24"/>
      <c r="U75" s="27"/>
      <c r="V75" s="27">
        <v>1</v>
      </c>
      <c r="W75" s="24"/>
      <c r="X75" s="24">
        <v>6</v>
      </c>
      <c r="Y75" s="24">
        <f t="shared" si="13"/>
        <v>7</v>
      </c>
      <c r="Z75" s="24">
        <f t="shared" si="14"/>
        <v>19.18</v>
      </c>
      <c r="AA75" s="24">
        <f t="shared" si="15"/>
        <v>37</v>
      </c>
      <c r="AB75" s="24">
        <f t="shared" si="15"/>
        <v>42.739999999999995</v>
      </c>
      <c r="AC75" s="28">
        <f t="shared" si="16"/>
        <v>219225</v>
      </c>
      <c r="AD75" s="28">
        <f t="shared" si="16"/>
        <v>253235</v>
      </c>
    </row>
    <row r="76" spans="1:30">
      <c r="A76" s="22" t="s">
        <v>77</v>
      </c>
      <c r="B76" s="22" t="s">
        <v>172</v>
      </c>
      <c r="C76" s="23" t="s">
        <v>173</v>
      </c>
      <c r="D76" s="16">
        <v>5883</v>
      </c>
      <c r="E76" s="24">
        <v>43</v>
      </c>
      <c r="F76" s="24"/>
      <c r="G76" s="24"/>
      <c r="H76" s="24"/>
      <c r="I76" s="24"/>
      <c r="J76" s="24"/>
      <c r="K76" s="24">
        <f t="shared" si="9"/>
        <v>43</v>
      </c>
      <c r="L76" s="24">
        <f t="shared" si="10"/>
        <v>30.959999999999997</v>
      </c>
      <c r="M76" s="25"/>
      <c r="N76" s="26"/>
      <c r="O76" s="26">
        <v>2</v>
      </c>
      <c r="P76" s="25"/>
      <c r="Q76" s="25">
        <v>7</v>
      </c>
      <c r="R76" s="25">
        <f t="shared" si="11"/>
        <v>9</v>
      </c>
      <c r="S76" s="25">
        <f t="shared" si="12"/>
        <v>10.89</v>
      </c>
      <c r="T76" s="24"/>
      <c r="U76" s="27"/>
      <c r="V76" s="27">
        <v>2</v>
      </c>
      <c r="W76" s="24"/>
      <c r="X76" s="24">
        <v>7</v>
      </c>
      <c r="Y76" s="24">
        <f t="shared" si="13"/>
        <v>9</v>
      </c>
      <c r="Z76" s="24">
        <f t="shared" si="14"/>
        <v>24.660000000000004</v>
      </c>
      <c r="AA76" s="24">
        <f t="shared" si="15"/>
        <v>61</v>
      </c>
      <c r="AB76" s="24">
        <f t="shared" si="15"/>
        <v>66.510000000000005</v>
      </c>
      <c r="AC76" s="28">
        <f t="shared" si="16"/>
        <v>358863</v>
      </c>
      <c r="AD76" s="28">
        <f t="shared" si="16"/>
        <v>391278</v>
      </c>
    </row>
    <row r="77" spans="1:30">
      <c r="A77" s="22" t="s">
        <v>77</v>
      </c>
      <c r="B77" s="22" t="s">
        <v>174</v>
      </c>
      <c r="C77" s="23" t="s">
        <v>175</v>
      </c>
      <c r="D77" s="16">
        <v>5909</v>
      </c>
      <c r="E77" s="24">
        <v>49</v>
      </c>
      <c r="F77" s="24"/>
      <c r="G77" s="24"/>
      <c r="H77" s="24"/>
      <c r="I77" s="24"/>
      <c r="J77" s="24"/>
      <c r="K77" s="24">
        <f t="shared" si="9"/>
        <v>49</v>
      </c>
      <c r="L77" s="24">
        <f t="shared" si="10"/>
        <v>35.28</v>
      </c>
      <c r="M77" s="25"/>
      <c r="N77" s="26"/>
      <c r="O77" s="26">
        <v>3</v>
      </c>
      <c r="P77" s="25"/>
      <c r="Q77" s="25">
        <v>9</v>
      </c>
      <c r="R77" s="25">
        <f t="shared" si="11"/>
        <v>12</v>
      </c>
      <c r="S77" s="25">
        <f t="shared" si="12"/>
        <v>14.52</v>
      </c>
      <c r="T77" s="24"/>
      <c r="U77" s="27"/>
      <c r="V77" s="27">
        <v>1</v>
      </c>
      <c r="W77" s="24"/>
      <c r="X77" s="24">
        <v>7</v>
      </c>
      <c r="Y77" s="24">
        <f t="shared" si="13"/>
        <v>8</v>
      </c>
      <c r="Z77" s="24">
        <f t="shared" si="14"/>
        <v>21.92</v>
      </c>
      <c r="AA77" s="24">
        <f t="shared" si="15"/>
        <v>69</v>
      </c>
      <c r="AB77" s="24">
        <f t="shared" si="15"/>
        <v>71.72</v>
      </c>
      <c r="AC77" s="28">
        <f t="shared" si="16"/>
        <v>407721</v>
      </c>
      <c r="AD77" s="28">
        <f t="shared" si="16"/>
        <v>423793</v>
      </c>
    </row>
    <row r="78" spans="1:30">
      <c r="A78" s="22" t="s">
        <v>77</v>
      </c>
      <c r="B78" s="22" t="s">
        <v>176</v>
      </c>
      <c r="C78" s="23" t="s">
        <v>177</v>
      </c>
      <c r="D78" s="16">
        <v>5949</v>
      </c>
      <c r="E78" s="24">
        <v>44</v>
      </c>
      <c r="F78" s="24"/>
      <c r="G78" s="24"/>
      <c r="H78" s="24"/>
      <c r="I78" s="24"/>
      <c r="J78" s="24"/>
      <c r="K78" s="24">
        <f t="shared" si="9"/>
        <v>44</v>
      </c>
      <c r="L78" s="24">
        <f t="shared" si="10"/>
        <v>31.68</v>
      </c>
      <c r="M78" s="25"/>
      <c r="N78" s="26"/>
      <c r="O78" s="26">
        <v>6</v>
      </c>
      <c r="P78" s="25"/>
      <c r="Q78" s="25">
        <v>11</v>
      </c>
      <c r="R78" s="25">
        <f t="shared" si="11"/>
        <v>17</v>
      </c>
      <c r="S78" s="25">
        <f t="shared" si="12"/>
        <v>20.57</v>
      </c>
      <c r="T78" s="24"/>
      <c r="U78" s="27"/>
      <c r="V78" s="27">
        <v>2</v>
      </c>
      <c r="W78" s="24"/>
      <c r="X78" s="24">
        <v>5</v>
      </c>
      <c r="Y78" s="24">
        <f t="shared" si="13"/>
        <v>7</v>
      </c>
      <c r="Z78" s="24">
        <f t="shared" si="14"/>
        <v>19.18</v>
      </c>
      <c r="AA78" s="24">
        <f t="shared" si="15"/>
        <v>68</v>
      </c>
      <c r="AB78" s="24">
        <f t="shared" si="15"/>
        <v>71.430000000000007</v>
      </c>
      <c r="AC78" s="28">
        <f t="shared" si="16"/>
        <v>404532</v>
      </c>
      <c r="AD78" s="28">
        <f t="shared" si="16"/>
        <v>424937</v>
      </c>
    </row>
    <row r="79" spans="1:30">
      <c r="A79" s="22" t="s">
        <v>77</v>
      </c>
      <c r="B79" s="22" t="s">
        <v>178</v>
      </c>
      <c r="C79" s="23" t="s">
        <v>179</v>
      </c>
      <c r="D79" s="16">
        <v>5903</v>
      </c>
      <c r="E79" s="24">
        <v>137</v>
      </c>
      <c r="F79" s="24"/>
      <c r="G79" s="24"/>
      <c r="H79" s="24"/>
      <c r="I79" s="24"/>
      <c r="J79" s="24"/>
      <c r="K79" s="24">
        <f t="shared" si="9"/>
        <v>137</v>
      </c>
      <c r="L79" s="24">
        <f t="shared" si="10"/>
        <v>98.64</v>
      </c>
      <c r="M79" s="25"/>
      <c r="N79" s="26">
        <v>2</v>
      </c>
      <c r="O79" s="26">
        <v>15</v>
      </c>
      <c r="P79" s="25"/>
      <c r="Q79" s="25">
        <v>71</v>
      </c>
      <c r="R79" s="25">
        <f t="shared" si="11"/>
        <v>88</v>
      </c>
      <c r="S79" s="25">
        <f t="shared" si="12"/>
        <v>105.28</v>
      </c>
      <c r="T79" s="24"/>
      <c r="U79" s="27"/>
      <c r="V79" s="27"/>
      <c r="W79" s="24"/>
      <c r="X79" s="24">
        <v>22</v>
      </c>
      <c r="Y79" s="24">
        <f t="shared" si="13"/>
        <v>22</v>
      </c>
      <c r="Z79" s="24">
        <f t="shared" si="14"/>
        <v>60.28</v>
      </c>
      <c r="AA79" s="24">
        <f t="shared" si="15"/>
        <v>247</v>
      </c>
      <c r="AB79" s="24">
        <f t="shared" si="15"/>
        <v>264.2</v>
      </c>
      <c r="AC79" s="28">
        <f t="shared" si="16"/>
        <v>1458041</v>
      </c>
      <c r="AD79" s="28">
        <f t="shared" si="16"/>
        <v>1559573</v>
      </c>
    </row>
    <row r="80" spans="1:30">
      <c r="A80" s="22" t="s">
        <v>77</v>
      </c>
      <c r="B80" s="22" t="s">
        <v>180</v>
      </c>
      <c r="C80" s="23" t="s">
        <v>181</v>
      </c>
      <c r="D80" s="16">
        <v>5883</v>
      </c>
      <c r="E80" s="24">
        <v>45</v>
      </c>
      <c r="F80" s="24"/>
      <c r="G80" s="24"/>
      <c r="H80" s="24"/>
      <c r="I80" s="24"/>
      <c r="J80" s="24"/>
      <c r="K80" s="24">
        <f t="shared" si="9"/>
        <v>45</v>
      </c>
      <c r="L80" s="24">
        <f t="shared" si="10"/>
        <v>32.4</v>
      </c>
      <c r="M80" s="25"/>
      <c r="N80" s="26">
        <v>1</v>
      </c>
      <c r="O80" s="26">
        <v>3</v>
      </c>
      <c r="P80" s="25"/>
      <c r="Q80" s="25">
        <v>9</v>
      </c>
      <c r="R80" s="25">
        <f t="shared" si="11"/>
        <v>13</v>
      </c>
      <c r="S80" s="25">
        <f t="shared" si="12"/>
        <v>15.129999999999999</v>
      </c>
      <c r="T80" s="24"/>
      <c r="U80" s="27"/>
      <c r="V80" s="27"/>
      <c r="W80" s="24"/>
      <c r="X80" s="24">
        <v>7</v>
      </c>
      <c r="Y80" s="24">
        <f t="shared" si="13"/>
        <v>7</v>
      </c>
      <c r="Z80" s="24">
        <f t="shared" si="14"/>
        <v>19.18</v>
      </c>
      <c r="AA80" s="24">
        <f t="shared" si="15"/>
        <v>65</v>
      </c>
      <c r="AB80" s="24">
        <f t="shared" si="15"/>
        <v>66.710000000000008</v>
      </c>
      <c r="AC80" s="28">
        <f t="shared" si="16"/>
        <v>382395</v>
      </c>
      <c r="AD80" s="28">
        <f t="shared" si="16"/>
        <v>392455</v>
      </c>
    </row>
    <row r="81" spans="1:30">
      <c r="A81" s="22" t="s">
        <v>77</v>
      </c>
      <c r="B81" s="22" t="s">
        <v>182</v>
      </c>
      <c r="C81" s="23" t="s">
        <v>183</v>
      </c>
      <c r="D81" s="16">
        <v>5922</v>
      </c>
      <c r="E81" s="24">
        <v>47</v>
      </c>
      <c r="F81" s="24"/>
      <c r="G81" s="24"/>
      <c r="H81" s="24"/>
      <c r="I81" s="24"/>
      <c r="J81" s="24"/>
      <c r="K81" s="24">
        <f t="shared" si="9"/>
        <v>47</v>
      </c>
      <c r="L81" s="24">
        <f t="shared" si="10"/>
        <v>33.839999999999996</v>
      </c>
      <c r="M81" s="25"/>
      <c r="N81" s="26">
        <v>2</v>
      </c>
      <c r="O81" s="26"/>
      <c r="P81" s="25"/>
      <c r="Q81" s="25">
        <v>4</v>
      </c>
      <c r="R81" s="25">
        <f t="shared" si="11"/>
        <v>6</v>
      </c>
      <c r="S81" s="25">
        <f t="shared" si="12"/>
        <v>6.06</v>
      </c>
      <c r="T81" s="24"/>
      <c r="U81" s="27">
        <v>1</v>
      </c>
      <c r="V81" s="27"/>
      <c r="W81" s="24"/>
      <c r="X81" s="24">
        <v>7</v>
      </c>
      <c r="Y81" s="24">
        <f t="shared" si="13"/>
        <v>8</v>
      </c>
      <c r="Z81" s="24">
        <f t="shared" si="14"/>
        <v>20.55</v>
      </c>
      <c r="AA81" s="24">
        <f t="shared" si="15"/>
        <v>61</v>
      </c>
      <c r="AB81" s="24">
        <f t="shared" si="15"/>
        <v>60.449999999999996</v>
      </c>
      <c r="AC81" s="28">
        <f t="shared" si="16"/>
        <v>361242</v>
      </c>
      <c r="AD81" s="28">
        <f t="shared" si="16"/>
        <v>357985</v>
      </c>
    </row>
    <row r="82" spans="1:30">
      <c r="A82" s="22" t="s">
        <v>77</v>
      </c>
      <c r="B82" s="22" t="s">
        <v>184</v>
      </c>
      <c r="C82" s="23" t="s">
        <v>185</v>
      </c>
      <c r="D82" s="16">
        <v>5965</v>
      </c>
      <c r="E82" s="24">
        <v>101</v>
      </c>
      <c r="F82" s="24"/>
      <c r="G82" s="24"/>
      <c r="H82" s="24"/>
      <c r="I82" s="24"/>
      <c r="J82" s="24"/>
      <c r="K82" s="24">
        <f t="shared" si="9"/>
        <v>101</v>
      </c>
      <c r="L82" s="24">
        <f t="shared" si="10"/>
        <v>72.72</v>
      </c>
      <c r="M82" s="25"/>
      <c r="N82" s="26">
        <v>4</v>
      </c>
      <c r="O82" s="26">
        <v>4</v>
      </c>
      <c r="P82" s="25"/>
      <c r="Q82" s="25">
        <v>29</v>
      </c>
      <c r="R82" s="25">
        <f t="shared" si="11"/>
        <v>37</v>
      </c>
      <c r="S82" s="25">
        <f t="shared" si="12"/>
        <v>42.37</v>
      </c>
      <c r="T82" s="24"/>
      <c r="U82" s="27"/>
      <c r="V82" s="27">
        <v>1</v>
      </c>
      <c r="W82" s="24"/>
      <c r="X82" s="24">
        <v>13</v>
      </c>
      <c r="Y82" s="24">
        <f t="shared" si="13"/>
        <v>14</v>
      </c>
      <c r="Z82" s="24">
        <f t="shared" si="14"/>
        <v>38.36</v>
      </c>
      <c r="AA82" s="24">
        <f t="shared" si="15"/>
        <v>152</v>
      </c>
      <c r="AB82" s="24">
        <f t="shared" si="15"/>
        <v>153.44999999999999</v>
      </c>
      <c r="AC82" s="28">
        <f t="shared" si="16"/>
        <v>906680</v>
      </c>
      <c r="AD82" s="28">
        <f t="shared" si="16"/>
        <v>915329</v>
      </c>
    </row>
    <row r="83" spans="1:30">
      <c r="A83" s="22" t="s">
        <v>77</v>
      </c>
      <c r="B83" s="22" t="s">
        <v>186</v>
      </c>
      <c r="C83" s="23" t="s">
        <v>187</v>
      </c>
      <c r="D83" s="16">
        <v>6012</v>
      </c>
      <c r="E83" s="24">
        <v>8</v>
      </c>
      <c r="F83" s="24"/>
      <c r="G83" s="24"/>
      <c r="H83" s="24"/>
      <c r="I83" s="24"/>
      <c r="J83" s="24"/>
      <c r="K83" s="24">
        <f t="shared" si="9"/>
        <v>8</v>
      </c>
      <c r="L83" s="24">
        <f t="shared" si="10"/>
        <v>5.76</v>
      </c>
      <c r="M83" s="25"/>
      <c r="N83" s="26"/>
      <c r="O83" s="26"/>
      <c r="P83" s="25"/>
      <c r="Q83" s="25">
        <v>4</v>
      </c>
      <c r="R83" s="25">
        <f t="shared" si="11"/>
        <v>4</v>
      </c>
      <c r="S83" s="25">
        <f t="shared" si="12"/>
        <v>4.84</v>
      </c>
      <c r="T83" s="24"/>
      <c r="U83" s="27"/>
      <c r="V83" s="27"/>
      <c r="W83" s="24"/>
      <c r="X83" s="24">
        <v>6</v>
      </c>
      <c r="Y83" s="24">
        <f t="shared" si="13"/>
        <v>6</v>
      </c>
      <c r="Z83" s="24">
        <f t="shared" si="14"/>
        <v>16.440000000000001</v>
      </c>
      <c r="AA83" s="24">
        <f t="shared" si="15"/>
        <v>18</v>
      </c>
      <c r="AB83" s="24">
        <f t="shared" si="15"/>
        <v>27.04</v>
      </c>
      <c r="AC83" s="28">
        <f t="shared" si="16"/>
        <v>108216</v>
      </c>
      <c r="AD83" s="28">
        <f t="shared" si="16"/>
        <v>162564</v>
      </c>
    </row>
    <row r="84" spans="1:30">
      <c r="A84" s="22" t="s">
        <v>77</v>
      </c>
      <c r="B84" s="22" t="s">
        <v>188</v>
      </c>
      <c r="C84" s="23" t="s">
        <v>189</v>
      </c>
      <c r="D84" s="16">
        <v>5929</v>
      </c>
      <c r="E84" s="24">
        <v>42</v>
      </c>
      <c r="F84" s="24"/>
      <c r="G84" s="24"/>
      <c r="H84" s="24"/>
      <c r="I84" s="24"/>
      <c r="J84" s="24"/>
      <c r="K84" s="24">
        <f t="shared" si="9"/>
        <v>42</v>
      </c>
      <c r="L84" s="24">
        <f t="shared" si="10"/>
        <v>30.24</v>
      </c>
      <c r="M84" s="25"/>
      <c r="N84" s="26">
        <v>2</v>
      </c>
      <c r="O84" s="26">
        <v>2</v>
      </c>
      <c r="P84" s="25"/>
      <c r="Q84" s="25">
        <v>13</v>
      </c>
      <c r="R84" s="25">
        <f t="shared" si="11"/>
        <v>17</v>
      </c>
      <c r="S84" s="25">
        <f t="shared" si="12"/>
        <v>19.369999999999997</v>
      </c>
      <c r="T84" s="24"/>
      <c r="U84" s="27">
        <v>1</v>
      </c>
      <c r="V84" s="27"/>
      <c r="W84" s="24"/>
      <c r="X84" s="24">
        <v>12</v>
      </c>
      <c r="Y84" s="24">
        <f t="shared" si="13"/>
        <v>13</v>
      </c>
      <c r="Z84" s="24">
        <f t="shared" si="14"/>
        <v>34.25</v>
      </c>
      <c r="AA84" s="24">
        <f t="shared" si="15"/>
        <v>72</v>
      </c>
      <c r="AB84" s="24">
        <f t="shared" si="15"/>
        <v>83.86</v>
      </c>
      <c r="AC84" s="28">
        <f t="shared" si="16"/>
        <v>426888</v>
      </c>
      <c r="AD84" s="28">
        <f t="shared" si="16"/>
        <v>497206</v>
      </c>
    </row>
    <row r="85" spans="1:30">
      <c r="A85" s="22" t="s">
        <v>77</v>
      </c>
      <c r="B85" s="22" t="s">
        <v>190</v>
      </c>
      <c r="C85" s="23" t="s">
        <v>191</v>
      </c>
      <c r="D85" s="16">
        <v>5883</v>
      </c>
      <c r="E85" s="24">
        <v>752</v>
      </c>
      <c r="F85" s="24"/>
      <c r="G85" s="24"/>
      <c r="H85" s="24"/>
      <c r="I85" s="24"/>
      <c r="J85" s="24"/>
      <c r="K85" s="24">
        <f t="shared" si="9"/>
        <v>752</v>
      </c>
      <c r="L85" s="24">
        <f t="shared" si="10"/>
        <v>541.43999999999994</v>
      </c>
      <c r="M85" s="25">
        <v>3</v>
      </c>
      <c r="N85" s="26">
        <v>21</v>
      </c>
      <c r="O85" s="26">
        <v>68</v>
      </c>
      <c r="P85" s="25"/>
      <c r="Q85" s="25">
        <v>546</v>
      </c>
      <c r="R85" s="25">
        <f t="shared" si="11"/>
        <v>638</v>
      </c>
      <c r="S85" s="25">
        <f t="shared" si="12"/>
        <v>759.37999999999988</v>
      </c>
      <c r="T85" s="24">
        <v>2</v>
      </c>
      <c r="U85" s="27">
        <v>4</v>
      </c>
      <c r="V85" s="27">
        <v>30</v>
      </c>
      <c r="W85" s="24"/>
      <c r="X85" s="24">
        <v>395</v>
      </c>
      <c r="Y85" s="24">
        <f t="shared" si="13"/>
        <v>431</v>
      </c>
      <c r="Z85" s="24">
        <f t="shared" si="14"/>
        <v>1175.46</v>
      </c>
      <c r="AA85" s="24">
        <f t="shared" si="15"/>
        <v>1821</v>
      </c>
      <c r="AB85" s="24">
        <f t="shared" si="15"/>
        <v>2476.2799999999997</v>
      </c>
      <c r="AC85" s="28">
        <f t="shared" si="16"/>
        <v>10712943</v>
      </c>
      <c r="AD85" s="28">
        <f t="shared" si="16"/>
        <v>14567955</v>
      </c>
    </row>
    <row r="86" spans="1:30">
      <c r="A86" s="22" t="s">
        <v>77</v>
      </c>
      <c r="B86" s="22" t="s">
        <v>192</v>
      </c>
      <c r="C86" s="23" t="s">
        <v>193</v>
      </c>
      <c r="D86" s="16">
        <v>5883</v>
      </c>
      <c r="E86" s="24">
        <v>120</v>
      </c>
      <c r="F86" s="24">
        <v>1</v>
      </c>
      <c r="G86" s="24"/>
      <c r="H86" s="24"/>
      <c r="I86" s="24"/>
      <c r="J86" s="24"/>
      <c r="K86" s="24">
        <f t="shared" si="9"/>
        <v>121</v>
      </c>
      <c r="L86" s="24">
        <f t="shared" si="10"/>
        <v>87.11999999999999</v>
      </c>
      <c r="M86" s="25">
        <v>1</v>
      </c>
      <c r="N86" s="26">
        <v>9</v>
      </c>
      <c r="O86" s="26">
        <v>3</v>
      </c>
      <c r="P86" s="25"/>
      <c r="Q86" s="25">
        <v>73</v>
      </c>
      <c r="R86" s="25">
        <f t="shared" si="11"/>
        <v>86</v>
      </c>
      <c r="S86" s="25">
        <f t="shared" si="12"/>
        <v>98.66</v>
      </c>
      <c r="T86" s="24"/>
      <c r="U86" s="27">
        <v>6</v>
      </c>
      <c r="V86" s="27">
        <v>1</v>
      </c>
      <c r="W86" s="24"/>
      <c r="X86" s="24">
        <v>38</v>
      </c>
      <c r="Y86" s="24">
        <f t="shared" si="13"/>
        <v>45</v>
      </c>
      <c r="Z86" s="24">
        <f t="shared" si="14"/>
        <v>115.08000000000001</v>
      </c>
      <c r="AA86" s="24">
        <f t="shared" si="15"/>
        <v>252</v>
      </c>
      <c r="AB86" s="24">
        <f t="shared" si="15"/>
        <v>300.86</v>
      </c>
      <c r="AC86" s="28">
        <f t="shared" si="16"/>
        <v>1482516</v>
      </c>
      <c r="AD86" s="28">
        <f t="shared" si="16"/>
        <v>1769959</v>
      </c>
    </row>
    <row r="87" spans="1:30">
      <c r="A87" s="22" t="s">
        <v>77</v>
      </c>
      <c r="B87" s="22" t="s">
        <v>194</v>
      </c>
      <c r="C87" s="23" t="s">
        <v>195</v>
      </c>
      <c r="D87" s="16">
        <v>5890</v>
      </c>
      <c r="E87" s="24">
        <v>59</v>
      </c>
      <c r="F87" s="24"/>
      <c r="G87" s="24"/>
      <c r="H87" s="24"/>
      <c r="I87" s="24"/>
      <c r="J87" s="24"/>
      <c r="K87" s="24">
        <f t="shared" si="9"/>
        <v>59</v>
      </c>
      <c r="L87" s="24">
        <f t="shared" si="10"/>
        <v>42.48</v>
      </c>
      <c r="M87" s="25"/>
      <c r="N87" s="26">
        <v>1</v>
      </c>
      <c r="O87" s="26">
        <v>6</v>
      </c>
      <c r="P87" s="25"/>
      <c r="Q87" s="25">
        <v>24</v>
      </c>
      <c r="R87" s="25">
        <f t="shared" si="11"/>
        <v>31</v>
      </c>
      <c r="S87" s="25">
        <f t="shared" si="12"/>
        <v>36.909999999999997</v>
      </c>
      <c r="T87" s="24"/>
      <c r="U87" s="27"/>
      <c r="V87" s="27"/>
      <c r="W87" s="24"/>
      <c r="X87" s="24">
        <v>9</v>
      </c>
      <c r="Y87" s="24">
        <f t="shared" si="13"/>
        <v>9</v>
      </c>
      <c r="Z87" s="24">
        <f t="shared" si="14"/>
        <v>24.660000000000004</v>
      </c>
      <c r="AA87" s="24">
        <f t="shared" si="15"/>
        <v>99</v>
      </c>
      <c r="AB87" s="24">
        <f t="shared" si="15"/>
        <v>104.05</v>
      </c>
      <c r="AC87" s="28">
        <f t="shared" si="16"/>
        <v>583110</v>
      </c>
      <c r="AD87" s="28">
        <f t="shared" si="16"/>
        <v>612855</v>
      </c>
    </row>
    <row r="88" spans="1:30" ht="12" thickBot="1">
      <c r="A88" s="22" t="s">
        <v>77</v>
      </c>
      <c r="B88" s="22" t="s">
        <v>196</v>
      </c>
      <c r="C88" s="23" t="s">
        <v>197</v>
      </c>
      <c r="D88" s="16">
        <v>5952</v>
      </c>
      <c r="E88" s="24">
        <v>16</v>
      </c>
      <c r="F88" s="24"/>
      <c r="G88" s="24"/>
      <c r="H88" s="24"/>
      <c r="I88" s="24"/>
      <c r="J88" s="24"/>
      <c r="K88" s="24">
        <f t="shared" si="9"/>
        <v>16</v>
      </c>
      <c r="L88" s="24">
        <f t="shared" si="10"/>
        <v>11.52</v>
      </c>
      <c r="M88" s="25"/>
      <c r="N88" s="26"/>
      <c r="O88" s="26">
        <v>2</v>
      </c>
      <c r="P88" s="25"/>
      <c r="Q88" s="25">
        <v>2</v>
      </c>
      <c r="R88" s="25">
        <f t="shared" si="11"/>
        <v>4</v>
      </c>
      <c r="S88" s="25">
        <f t="shared" si="12"/>
        <v>4.84</v>
      </c>
      <c r="T88" s="24"/>
      <c r="U88" s="27">
        <v>1</v>
      </c>
      <c r="V88" s="27"/>
      <c r="W88" s="24"/>
      <c r="X88" s="24">
        <v>1</v>
      </c>
      <c r="Y88" s="24">
        <f t="shared" si="13"/>
        <v>2</v>
      </c>
      <c r="Z88" s="24">
        <f t="shared" si="14"/>
        <v>4.1100000000000003</v>
      </c>
      <c r="AA88" s="24">
        <f t="shared" si="15"/>
        <v>22</v>
      </c>
      <c r="AB88" s="24">
        <f t="shared" si="15"/>
        <v>20.47</v>
      </c>
      <c r="AC88" s="28">
        <f t="shared" si="16"/>
        <v>130944</v>
      </c>
      <c r="AD88" s="28">
        <f t="shared" si="16"/>
        <v>121837</v>
      </c>
    </row>
    <row r="89" spans="1:30" ht="12" thickBot="1">
      <c r="A89" s="34"/>
      <c r="B89" s="35"/>
      <c r="C89" s="36" t="s">
        <v>198</v>
      </c>
      <c r="D89" s="37"/>
      <c r="E89" s="38">
        <f>SUM(E29:E88)</f>
        <v>5203</v>
      </c>
      <c r="F89" s="38">
        <f t="shared" ref="F89:AB89" si="17">SUM(F29:F88)</f>
        <v>3</v>
      </c>
      <c r="G89" s="38">
        <f t="shared" si="17"/>
        <v>0</v>
      </c>
      <c r="H89" s="38">
        <f t="shared" si="17"/>
        <v>0</v>
      </c>
      <c r="I89" s="38">
        <f t="shared" si="17"/>
        <v>0</v>
      </c>
      <c r="J89" s="38">
        <f t="shared" si="17"/>
        <v>0</v>
      </c>
      <c r="K89" s="38">
        <f t="shared" si="17"/>
        <v>5206</v>
      </c>
      <c r="L89" s="38">
        <f t="shared" si="17"/>
        <v>3748.3199999999993</v>
      </c>
      <c r="M89" s="38">
        <f t="shared" si="17"/>
        <v>9</v>
      </c>
      <c r="N89" s="39">
        <f t="shared" si="17"/>
        <v>85</v>
      </c>
      <c r="O89" s="39">
        <f t="shared" si="17"/>
        <v>327</v>
      </c>
      <c r="P89" s="38">
        <f t="shared" si="17"/>
        <v>0</v>
      </c>
      <c r="Q89" s="38">
        <f t="shared" si="17"/>
        <v>2045</v>
      </c>
      <c r="R89" s="38">
        <f t="shared" si="17"/>
        <v>2466</v>
      </c>
      <c r="S89" s="38">
        <f t="shared" si="17"/>
        <v>2932.8599999999988</v>
      </c>
      <c r="T89" s="38">
        <f t="shared" si="17"/>
        <v>3</v>
      </c>
      <c r="U89" s="40">
        <f t="shared" si="17"/>
        <v>22</v>
      </c>
      <c r="V89" s="40">
        <f t="shared" si="17"/>
        <v>104</v>
      </c>
      <c r="W89" s="38">
        <f t="shared" si="17"/>
        <v>0</v>
      </c>
      <c r="X89" s="38">
        <f t="shared" si="17"/>
        <v>1145</v>
      </c>
      <c r="Y89" s="38">
        <f t="shared" si="17"/>
        <v>1274</v>
      </c>
      <c r="Z89" s="38">
        <f t="shared" si="17"/>
        <v>3460.6200000000008</v>
      </c>
      <c r="AA89" s="38">
        <f t="shared" si="17"/>
        <v>8946</v>
      </c>
      <c r="AB89" s="41">
        <f t="shared" si="17"/>
        <v>10141.799999999999</v>
      </c>
      <c r="AC89" s="42">
        <f>SUM(AC29:AC88)</f>
        <v>52887949</v>
      </c>
      <c r="AD89" s="43">
        <f>SUM(AD29:AD88)</f>
        <v>59938567</v>
      </c>
    </row>
    <row r="90" spans="1:30">
      <c r="A90" s="22" t="s">
        <v>199</v>
      </c>
      <c r="B90" s="22" t="s">
        <v>200</v>
      </c>
      <c r="C90" s="23" t="s">
        <v>201</v>
      </c>
      <c r="D90" s="16">
        <v>5964</v>
      </c>
      <c r="E90" s="24">
        <v>11</v>
      </c>
      <c r="F90" s="24"/>
      <c r="G90" s="24"/>
      <c r="H90" s="24"/>
      <c r="I90" s="24"/>
      <c r="J90" s="24"/>
      <c r="K90" s="24">
        <f t="shared" si="9"/>
        <v>11</v>
      </c>
      <c r="L90" s="24">
        <f t="shared" si="10"/>
        <v>7.92</v>
      </c>
      <c r="M90" s="25"/>
      <c r="N90" s="26"/>
      <c r="O90" s="26"/>
      <c r="P90" s="25"/>
      <c r="Q90" s="25">
        <v>6</v>
      </c>
      <c r="R90" s="25">
        <f t="shared" si="11"/>
        <v>6</v>
      </c>
      <c r="S90" s="25">
        <f t="shared" si="12"/>
        <v>7.26</v>
      </c>
      <c r="T90" s="24"/>
      <c r="U90" s="27"/>
      <c r="V90" s="27">
        <v>2</v>
      </c>
      <c r="W90" s="24"/>
      <c r="X90" s="24"/>
      <c r="Y90" s="24">
        <f t="shared" si="13"/>
        <v>2</v>
      </c>
      <c r="Z90" s="24">
        <f t="shared" si="14"/>
        <v>5.48</v>
      </c>
      <c r="AA90" s="24">
        <f t="shared" si="15"/>
        <v>19</v>
      </c>
      <c r="AB90" s="24">
        <f t="shared" si="15"/>
        <v>20.66</v>
      </c>
      <c r="AC90" s="28">
        <f t="shared" si="16"/>
        <v>113316</v>
      </c>
      <c r="AD90" s="28">
        <f t="shared" si="16"/>
        <v>123216</v>
      </c>
    </row>
    <row r="91" spans="1:30">
      <c r="A91" s="22" t="s">
        <v>199</v>
      </c>
      <c r="B91" s="22" t="s">
        <v>202</v>
      </c>
      <c r="C91" s="23" t="s">
        <v>203</v>
      </c>
      <c r="D91" s="16">
        <v>5920</v>
      </c>
      <c r="E91" s="24">
        <v>112</v>
      </c>
      <c r="F91" s="24">
        <v>1</v>
      </c>
      <c r="G91" s="24"/>
      <c r="H91" s="24"/>
      <c r="I91" s="24"/>
      <c r="J91" s="24"/>
      <c r="K91" s="24">
        <f t="shared" si="9"/>
        <v>113</v>
      </c>
      <c r="L91" s="24">
        <f t="shared" si="10"/>
        <v>81.36</v>
      </c>
      <c r="M91" s="25"/>
      <c r="N91" s="26">
        <v>13</v>
      </c>
      <c r="O91" s="26">
        <v>9</v>
      </c>
      <c r="P91" s="25"/>
      <c r="Q91" s="25">
        <v>56</v>
      </c>
      <c r="R91" s="25">
        <f t="shared" si="11"/>
        <v>78</v>
      </c>
      <c r="S91" s="25">
        <f t="shared" si="12"/>
        <v>86.579999999999984</v>
      </c>
      <c r="T91" s="24">
        <v>1</v>
      </c>
      <c r="U91" s="27">
        <v>5</v>
      </c>
      <c r="V91" s="27"/>
      <c r="W91" s="24"/>
      <c r="X91" s="24">
        <v>18</v>
      </c>
      <c r="Y91" s="24">
        <f t="shared" si="13"/>
        <v>24</v>
      </c>
      <c r="Z91" s="24">
        <f t="shared" si="14"/>
        <v>58.910000000000004</v>
      </c>
      <c r="AA91" s="24">
        <f t="shared" si="15"/>
        <v>215</v>
      </c>
      <c r="AB91" s="24">
        <f t="shared" si="15"/>
        <v>226.84999999999997</v>
      </c>
      <c r="AC91" s="28">
        <f t="shared" si="16"/>
        <v>1272800</v>
      </c>
      <c r="AD91" s="28">
        <f t="shared" si="16"/>
        <v>1342952</v>
      </c>
    </row>
    <row r="92" spans="1:30">
      <c r="A92" s="22" t="s">
        <v>199</v>
      </c>
      <c r="B92" s="22" t="s">
        <v>204</v>
      </c>
      <c r="C92" s="23" t="s">
        <v>205</v>
      </c>
      <c r="D92" s="16">
        <v>5883</v>
      </c>
      <c r="E92" s="24">
        <v>23</v>
      </c>
      <c r="F92" s="24"/>
      <c r="G92" s="24"/>
      <c r="H92" s="24"/>
      <c r="I92" s="24"/>
      <c r="J92" s="24"/>
      <c r="K92" s="24">
        <f t="shared" si="9"/>
        <v>23</v>
      </c>
      <c r="L92" s="24">
        <f t="shared" si="10"/>
        <v>16.559999999999999</v>
      </c>
      <c r="M92" s="25"/>
      <c r="N92" s="26"/>
      <c r="O92" s="26">
        <v>5</v>
      </c>
      <c r="P92" s="25"/>
      <c r="Q92" s="25">
        <v>9</v>
      </c>
      <c r="R92" s="25">
        <f t="shared" si="11"/>
        <v>14</v>
      </c>
      <c r="S92" s="25">
        <f t="shared" si="12"/>
        <v>16.939999999999998</v>
      </c>
      <c r="T92" s="24"/>
      <c r="U92" s="27"/>
      <c r="V92" s="27">
        <v>1</v>
      </c>
      <c r="W92" s="24"/>
      <c r="X92" s="24">
        <v>6</v>
      </c>
      <c r="Y92" s="24">
        <f t="shared" si="13"/>
        <v>7</v>
      </c>
      <c r="Z92" s="24">
        <f t="shared" si="14"/>
        <v>19.18</v>
      </c>
      <c r="AA92" s="24">
        <f t="shared" si="15"/>
        <v>44</v>
      </c>
      <c r="AB92" s="24">
        <f t="shared" si="15"/>
        <v>52.679999999999993</v>
      </c>
      <c r="AC92" s="28">
        <f t="shared" si="16"/>
        <v>258852</v>
      </c>
      <c r="AD92" s="28">
        <f t="shared" si="16"/>
        <v>309916</v>
      </c>
    </row>
    <row r="93" spans="1:30">
      <c r="A93" s="22" t="s">
        <v>199</v>
      </c>
      <c r="B93" s="22" t="s">
        <v>206</v>
      </c>
      <c r="C93" s="23" t="s">
        <v>207</v>
      </c>
      <c r="D93" s="16">
        <v>5927</v>
      </c>
      <c r="E93" s="24">
        <v>16</v>
      </c>
      <c r="F93" s="24"/>
      <c r="G93" s="24"/>
      <c r="H93" s="24"/>
      <c r="I93" s="24"/>
      <c r="J93" s="24"/>
      <c r="K93" s="24">
        <f t="shared" si="9"/>
        <v>16</v>
      </c>
      <c r="L93" s="24">
        <f t="shared" si="10"/>
        <v>11.52</v>
      </c>
      <c r="M93" s="25"/>
      <c r="N93" s="26"/>
      <c r="O93" s="26">
        <v>4</v>
      </c>
      <c r="P93" s="25"/>
      <c r="Q93" s="25">
        <v>13</v>
      </c>
      <c r="R93" s="25">
        <f t="shared" si="11"/>
        <v>17</v>
      </c>
      <c r="S93" s="25">
        <f t="shared" si="12"/>
        <v>20.57</v>
      </c>
      <c r="T93" s="24"/>
      <c r="U93" s="27"/>
      <c r="V93" s="27"/>
      <c r="W93" s="24"/>
      <c r="X93" s="24">
        <v>11</v>
      </c>
      <c r="Y93" s="24">
        <f t="shared" si="13"/>
        <v>11</v>
      </c>
      <c r="Z93" s="24">
        <f t="shared" si="14"/>
        <v>30.14</v>
      </c>
      <c r="AA93" s="24">
        <f t="shared" si="15"/>
        <v>44</v>
      </c>
      <c r="AB93" s="24">
        <f t="shared" si="15"/>
        <v>62.230000000000004</v>
      </c>
      <c r="AC93" s="28">
        <f t="shared" si="16"/>
        <v>260788</v>
      </c>
      <c r="AD93" s="28">
        <f t="shared" si="16"/>
        <v>368837</v>
      </c>
    </row>
    <row r="94" spans="1:30">
      <c r="A94" s="22" t="s">
        <v>199</v>
      </c>
      <c r="B94" s="22" t="s">
        <v>208</v>
      </c>
      <c r="C94" s="23" t="s">
        <v>209</v>
      </c>
      <c r="D94" s="16">
        <v>5897</v>
      </c>
      <c r="E94" s="24">
        <v>57</v>
      </c>
      <c r="F94" s="24"/>
      <c r="G94" s="24"/>
      <c r="H94" s="24"/>
      <c r="I94" s="24"/>
      <c r="J94" s="24"/>
      <c r="K94" s="24">
        <f t="shared" si="9"/>
        <v>57</v>
      </c>
      <c r="L94" s="24">
        <f t="shared" si="10"/>
        <v>41.04</v>
      </c>
      <c r="M94" s="25"/>
      <c r="N94" s="26"/>
      <c r="O94" s="26">
        <v>9</v>
      </c>
      <c r="P94" s="25"/>
      <c r="Q94" s="25">
        <v>11</v>
      </c>
      <c r="R94" s="25">
        <f t="shared" si="11"/>
        <v>20</v>
      </c>
      <c r="S94" s="25">
        <f t="shared" si="12"/>
        <v>24.2</v>
      </c>
      <c r="T94" s="24"/>
      <c r="U94" s="27"/>
      <c r="V94" s="27">
        <v>2</v>
      </c>
      <c r="W94" s="24"/>
      <c r="X94" s="24">
        <v>12</v>
      </c>
      <c r="Y94" s="24">
        <f t="shared" si="13"/>
        <v>14</v>
      </c>
      <c r="Z94" s="24">
        <f t="shared" si="14"/>
        <v>38.36</v>
      </c>
      <c r="AA94" s="24">
        <f t="shared" si="15"/>
        <v>91</v>
      </c>
      <c r="AB94" s="24">
        <f t="shared" si="15"/>
        <v>103.6</v>
      </c>
      <c r="AC94" s="28">
        <f t="shared" si="16"/>
        <v>536627</v>
      </c>
      <c r="AD94" s="28">
        <f t="shared" si="16"/>
        <v>610929</v>
      </c>
    </row>
    <row r="95" spans="1:30">
      <c r="A95" s="22" t="s">
        <v>199</v>
      </c>
      <c r="B95" s="22" t="s">
        <v>210</v>
      </c>
      <c r="C95" s="23" t="s">
        <v>211</v>
      </c>
      <c r="D95" s="16">
        <v>6011</v>
      </c>
      <c r="E95" s="24">
        <v>35</v>
      </c>
      <c r="F95" s="24"/>
      <c r="G95" s="24"/>
      <c r="H95" s="24"/>
      <c r="I95" s="24"/>
      <c r="J95" s="24"/>
      <c r="K95" s="24">
        <f t="shared" si="9"/>
        <v>35</v>
      </c>
      <c r="L95" s="24">
        <f t="shared" si="10"/>
        <v>25.2</v>
      </c>
      <c r="M95" s="25"/>
      <c r="N95" s="26"/>
      <c r="O95" s="26">
        <v>4</v>
      </c>
      <c r="P95" s="25"/>
      <c r="Q95" s="25">
        <v>4</v>
      </c>
      <c r="R95" s="25">
        <f t="shared" si="11"/>
        <v>8</v>
      </c>
      <c r="S95" s="25">
        <f t="shared" si="12"/>
        <v>9.68</v>
      </c>
      <c r="T95" s="24"/>
      <c r="U95" s="27"/>
      <c r="V95" s="27">
        <v>1</v>
      </c>
      <c r="W95" s="24"/>
      <c r="X95" s="24">
        <v>3</v>
      </c>
      <c r="Y95" s="24">
        <f t="shared" si="13"/>
        <v>4</v>
      </c>
      <c r="Z95" s="24">
        <f t="shared" si="14"/>
        <v>10.96</v>
      </c>
      <c r="AA95" s="24">
        <f t="shared" si="15"/>
        <v>47</v>
      </c>
      <c r="AB95" s="24">
        <f t="shared" si="15"/>
        <v>45.84</v>
      </c>
      <c r="AC95" s="28">
        <f t="shared" si="16"/>
        <v>282517</v>
      </c>
      <c r="AD95" s="28">
        <f t="shared" si="16"/>
        <v>275544</v>
      </c>
    </row>
    <row r="96" spans="1:30">
      <c r="A96" s="22" t="s">
        <v>199</v>
      </c>
      <c r="B96" s="22" t="s">
        <v>212</v>
      </c>
      <c r="C96" s="23" t="s">
        <v>213</v>
      </c>
      <c r="D96" s="16">
        <v>6001</v>
      </c>
      <c r="E96" s="24">
        <v>74</v>
      </c>
      <c r="F96" s="24"/>
      <c r="G96" s="24"/>
      <c r="H96" s="24"/>
      <c r="I96" s="24"/>
      <c r="J96" s="24"/>
      <c r="K96" s="24">
        <f t="shared" si="9"/>
        <v>74</v>
      </c>
      <c r="L96" s="24">
        <f t="shared" si="10"/>
        <v>53.28</v>
      </c>
      <c r="M96" s="25"/>
      <c r="N96" s="26">
        <v>3</v>
      </c>
      <c r="O96" s="26">
        <v>9</v>
      </c>
      <c r="P96" s="25"/>
      <c r="Q96" s="25">
        <v>31</v>
      </c>
      <c r="R96" s="25">
        <f t="shared" si="11"/>
        <v>43</v>
      </c>
      <c r="S96" s="25">
        <f t="shared" si="12"/>
        <v>50.23</v>
      </c>
      <c r="T96" s="24"/>
      <c r="U96" s="27"/>
      <c r="V96" s="27"/>
      <c r="W96" s="24"/>
      <c r="X96" s="24">
        <v>12</v>
      </c>
      <c r="Y96" s="24">
        <f t="shared" si="13"/>
        <v>12</v>
      </c>
      <c r="Z96" s="24">
        <f t="shared" si="14"/>
        <v>32.880000000000003</v>
      </c>
      <c r="AA96" s="24">
        <f t="shared" si="15"/>
        <v>129</v>
      </c>
      <c r="AB96" s="24">
        <f t="shared" si="15"/>
        <v>136.38999999999999</v>
      </c>
      <c r="AC96" s="28">
        <f t="shared" si="16"/>
        <v>774129</v>
      </c>
      <c r="AD96" s="28">
        <f t="shared" si="16"/>
        <v>818476</v>
      </c>
    </row>
    <row r="97" spans="1:30">
      <c r="A97" s="22" t="s">
        <v>199</v>
      </c>
      <c r="B97" s="22" t="s">
        <v>214</v>
      </c>
      <c r="C97" s="23" t="s">
        <v>215</v>
      </c>
      <c r="D97" s="16">
        <v>5932</v>
      </c>
      <c r="E97" s="24">
        <v>34</v>
      </c>
      <c r="F97" s="24"/>
      <c r="G97" s="24"/>
      <c r="H97" s="24"/>
      <c r="I97" s="24"/>
      <c r="J97" s="24"/>
      <c r="K97" s="24">
        <f t="shared" si="9"/>
        <v>34</v>
      </c>
      <c r="L97" s="24">
        <f t="shared" si="10"/>
        <v>24.48</v>
      </c>
      <c r="M97" s="25"/>
      <c r="N97" s="26"/>
      <c r="O97" s="26">
        <v>1</v>
      </c>
      <c r="P97" s="25"/>
      <c r="Q97" s="25">
        <v>15</v>
      </c>
      <c r="R97" s="25">
        <f t="shared" si="11"/>
        <v>16</v>
      </c>
      <c r="S97" s="25">
        <f t="shared" si="12"/>
        <v>19.36</v>
      </c>
      <c r="T97" s="24"/>
      <c r="U97" s="27"/>
      <c r="V97" s="27"/>
      <c r="W97" s="24"/>
      <c r="X97" s="24">
        <v>5</v>
      </c>
      <c r="Y97" s="24">
        <f t="shared" si="13"/>
        <v>5</v>
      </c>
      <c r="Z97" s="24">
        <f t="shared" si="14"/>
        <v>13.700000000000001</v>
      </c>
      <c r="AA97" s="24">
        <f t="shared" si="15"/>
        <v>55</v>
      </c>
      <c r="AB97" s="24">
        <f t="shared" si="15"/>
        <v>57.540000000000006</v>
      </c>
      <c r="AC97" s="28">
        <f t="shared" si="16"/>
        <v>326260</v>
      </c>
      <c r="AD97" s="28">
        <f t="shared" si="16"/>
        <v>341327</v>
      </c>
    </row>
    <row r="98" spans="1:30">
      <c r="A98" s="22" t="s">
        <v>199</v>
      </c>
      <c r="B98" s="22" t="s">
        <v>216</v>
      </c>
      <c r="C98" s="23" t="s">
        <v>217</v>
      </c>
      <c r="D98" s="16">
        <v>6006</v>
      </c>
      <c r="E98" s="24">
        <v>61</v>
      </c>
      <c r="F98" s="24"/>
      <c r="G98" s="24"/>
      <c r="H98" s="24"/>
      <c r="I98" s="24"/>
      <c r="J98" s="24"/>
      <c r="K98" s="24">
        <f t="shared" si="9"/>
        <v>61</v>
      </c>
      <c r="L98" s="24">
        <f t="shared" si="10"/>
        <v>43.92</v>
      </c>
      <c r="M98" s="25"/>
      <c r="N98" s="26"/>
      <c r="O98" s="26">
        <v>4</v>
      </c>
      <c r="P98" s="25"/>
      <c r="Q98" s="25">
        <v>20</v>
      </c>
      <c r="R98" s="25">
        <f t="shared" si="11"/>
        <v>24</v>
      </c>
      <c r="S98" s="25">
        <f t="shared" si="12"/>
        <v>29.04</v>
      </c>
      <c r="T98" s="24"/>
      <c r="U98" s="27"/>
      <c r="V98" s="27"/>
      <c r="W98" s="24"/>
      <c r="X98" s="24">
        <v>4</v>
      </c>
      <c r="Y98" s="24">
        <f t="shared" si="13"/>
        <v>4</v>
      </c>
      <c r="Z98" s="24">
        <f t="shared" si="14"/>
        <v>10.96</v>
      </c>
      <c r="AA98" s="24">
        <f t="shared" si="15"/>
        <v>89</v>
      </c>
      <c r="AB98" s="24">
        <f t="shared" si="15"/>
        <v>83.92</v>
      </c>
      <c r="AC98" s="28">
        <f t="shared" si="16"/>
        <v>534534</v>
      </c>
      <c r="AD98" s="28">
        <f t="shared" si="16"/>
        <v>504024</v>
      </c>
    </row>
    <row r="99" spans="1:30">
      <c r="A99" s="22" t="s">
        <v>199</v>
      </c>
      <c r="B99" s="22" t="s">
        <v>218</v>
      </c>
      <c r="C99" s="23" t="s">
        <v>219</v>
      </c>
      <c r="D99" s="16">
        <v>5901</v>
      </c>
      <c r="E99" s="24">
        <v>114</v>
      </c>
      <c r="F99" s="24"/>
      <c r="G99" s="24"/>
      <c r="H99" s="24"/>
      <c r="I99" s="24"/>
      <c r="J99" s="24"/>
      <c r="K99" s="24">
        <f t="shared" si="9"/>
        <v>114</v>
      </c>
      <c r="L99" s="24">
        <f t="shared" si="10"/>
        <v>82.08</v>
      </c>
      <c r="M99" s="25">
        <v>1</v>
      </c>
      <c r="N99" s="26">
        <v>3</v>
      </c>
      <c r="O99" s="26">
        <v>5</v>
      </c>
      <c r="P99" s="25"/>
      <c r="Q99" s="25">
        <v>41</v>
      </c>
      <c r="R99" s="25">
        <f t="shared" si="11"/>
        <v>50</v>
      </c>
      <c r="S99" s="25">
        <f t="shared" si="12"/>
        <v>58.699999999999996</v>
      </c>
      <c r="T99" s="24"/>
      <c r="U99" s="27"/>
      <c r="V99" s="27">
        <v>1</v>
      </c>
      <c r="W99" s="24"/>
      <c r="X99" s="24">
        <v>15</v>
      </c>
      <c r="Y99" s="24">
        <f t="shared" si="13"/>
        <v>16</v>
      </c>
      <c r="Z99" s="24">
        <f t="shared" si="14"/>
        <v>43.84</v>
      </c>
      <c r="AA99" s="24">
        <f t="shared" si="15"/>
        <v>180</v>
      </c>
      <c r="AB99" s="24">
        <f t="shared" si="15"/>
        <v>184.62</v>
      </c>
      <c r="AC99" s="28">
        <f t="shared" si="16"/>
        <v>1062180</v>
      </c>
      <c r="AD99" s="28">
        <f t="shared" si="16"/>
        <v>1089443</v>
      </c>
    </row>
    <row r="100" spans="1:30">
      <c r="A100" s="22" t="s">
        <v>199</v>
      </c>
      <c r="B100" s="22" t="s">
        <v>220</v>
      </c>
      <c r="C100" s="23" t="s">
        <v>221</v>
      </c>
      <c r="D100" s="16">
        <v>5910</v>
      </c>
      <c r="E100" s="24">
        <v>431</v>
      </c>
      <c r="F100" s="24"/>
      <c r="G100" s="24"/>
      <c r="H100" s="24"/>
      <c r="I100" s="24"/>
      <c r="J100" s="24"/>
      <c r="K100" s="24">
        <f t="shared" si="9"/>
        <v>431</v>
      </c>
      <c r="L100" s="24">
        <f t="shared" si="10"/>
        <v>310.32</v>
      </c>
      <c r="M100" s="25"/>
      <c r="N100" s="26">
        <v>1</v>
      </c>
      <c r="O100" s="26">
        <v>11</v>
      </c>
      <c r="P100" s="25"/>
      <c r="Q100" s="25">
        <v>129</v>
      </c>
      <c r="R100" s="25">
        <f t="shared" si="11"/>
        <v>141</v>
      </c>
      <c r="S100" s="25">
        <f t="shared" si="12"/>
        <v>170.01000000000002</v>
      </c>
      <c r="T100" s="24"/>
      <c r="U100" s="27"/>
      <c r="V100" s="27">
        <v>5</v>
      </c>
      <c r="W100" s="24"/>
      <c r="X100" s="24">
        <v>53</v>
      </c>
      <c r="Y100" s="24">
        <f t="shared" si="13"/>
        <v>58</v>
      </c>
      <c r="Z100" s="24">
        <f t="shared" si="14"/>
        <v>158.92000000000002</v>
      </c>
      <c r="AA100" s="24">
        <f t="shared" si="15"/>
        <v>630</v>
      </c>
      <c r="AB100" s="24">
        <f t="shared" si="15"/>
        <v>639.25</v>
      </c>
      <c r="AC100" s="28">
        <f t="shared" si="16"/>
        <v>3723300</v>
      </c>
      <c r="AD100" s="28">
        <f t="shared" si="16"/>
        <v>3777968</v>
      </c>
    </row>
    <row r="101" spans="1:30">
      <c r="A101" s="22" t="s">
        <v>199</v>
      </c>
      <c r="B101" s="22" t="s">
        <v>222</v>
      </c>
      <c r="C101" s="23" t="s">
        <v>223</v>
      </c>
      <c r="D101" s="16">
        <v>6050</v>
      </c>
      <c r="E101" s="24">
        <v>11</v>
      </c>
      <c r="F101" s="24"/>
      <c r="G101" s="24"/>
      <c r="H101" s="24"/>
      <c r="I101" s="24"/>
      <c r="J101" s="24"/>
      <c r="K101" s="24">
        <f t="shared" si="9"/>
        <v>11</v>
      </c>
      <c r="L101" s="24">
        <f t="shared" si="10"/>
        <v>7.92</v>
      </c>
      <c r="M101" s="25"/>
      <c r="N101" s="26"/>
      <c r="O101" s="26">
        <v>1</v>
      </c>
      <c r="P101" s="25"/>
      <c r="Q101" s="25">
        <v>2</v>
      </c>
      <c r="R101" s="25">
        <f t="shared" si="11"/>
        <v>3</v>
      </c>
      <c r="S101" s="25">
        <f t="shared" si="12"/>
        <v>3.63</v>
      </c>
      <c r="T101" s="24"/>
      <c r="U101" s="27">
        <v>1</v>
      </c>
      <c r="V101" s="27"/>
      <c r="W101" s="24"/>
      <c r="X101" s="24"/>
      <c r="Y101" s="24">
        <f t="shared" si="13"/>
        <v>1</v>
      </c>
      <c r="Z101" s="24">
        <f t="shared" si="14"/>
        <v>1.37</v>
      </c>
      <c r="AA101" s="24">
        <f t="shared" si="15"/>
        <v>15</v>
      </c>
      <c r="AB101" s="24">
        <f t="shared" si="15"/>
        <v>12.92</v>
      </c>
      <c r="AC101" s="28">
        <f t="shared" si="16"/>
        <v>90750</v>
      </c>
      <c r="AD101" s="28">
        <f t="shared" si="16"/>
        <v>78166</v>
      </c>
    </row>
    <row r="102" spans="1:30">
      <c r="A102" s="22" t="s">
        <v>199</v>
      </c>
      <c r="B102" s="22" t="s">
        <v>224</v>
      </c>
      <c r="C102" s="23" t="s">
        <v>225</v>
      </c>
      <c r="D102" s="16">
        <v>5898</v>
      </c>
      <c r="E102" s="24">
        <v>6</v>
      </c>
      <c r="F102" s="24">
        <v>21</v>
      </c>
      <c r="G102" s="24">
        <v>0</v>
      </c>
      <c r="H102" s="24">
        <v>0</v>
      </c>
      <c r="I102" s="24">
        <v>0</v>
      </c>
      <c r="J102" s="24">
        <v>0</v>
      </c>
      <c r="K102" s="24">
        <f t="shared" si="9"/>
        <v>27</v>
      </c>
      <c r="L102" s="24">
        <f t="shared" si="10"/>
        <v>19.439999999999998</v>
      </c>
      <c r="M102" s="25">
        <v>6</v>
      </c>
      <c r="N102" s="26">
        <v>0</v>
      </c>
      <c r="O102" s="26">
        <v>1</v>
      </c>
      <c r="P102" s="25">
        <v>0</v>
      </c>
      <c r="Q102" s="25">
        <v>3</v>
      </c>
      <c r="R102" s="25">
        <f t="shared" si="11"/>
        <v>10</v>
      </c>
      <c r="S102" s="25">
        <f t="shared" si="12"/>
        <v>12.1</v>
      </c>
      <c r="T102" s="24">
        <v>0</v>
      </c>
      <c r="U102" s="27">
        <v>0</v>
      </c>
      <c r="V102" s="27">
        <v>0</v>
      </c>
      <c r="W102" s="24">
        <v>0</v>
      </c>
      <c r="X102" s="24">
        <v>4</v>
      </c>
      <c r="Y102" s="24">
        <f t="shared" si="13"/>
        <v>4</v>
      </c>
      <c r="Z102" s="24">
        <f t="shared" si="14"/>
        <v>10.96</v>
      </c>
      <c r="AA102" s="24">
        <f t="shared" si="15"/>
        <v>41</v>
      </c>
      <c r="AB102" s="44">
        <f t="shared" si="15"/>
        <v>42.5</v>
      </c>
      <c r="AC102" s="28">
        <f t="shared" si="16"/>
        <v>241818</v>
      </c>
      <c r="AD102" s="28">
        <f t="shared" si="16"/>
        <v>250665</v>
      </c>
    </row>
    <row r="103" spans="1:30">
      <c r="A103" s="22" t="s">
        <v>199</v>
      </c>
      <c r="B103" s="22" t="s">
        <v>226</v>
      </c>
      <c r="C103" s="23" t="s">
        <v>227</v>
      </c>
      <c r="D103" s="16">
        <v>5954</v>
      </c>
      <c r="E103" s="24">
        <v>1</v>
      </c>
      <c r="F103" s="24">
        <v>15</v>
      </c>
      <c r="G103" s="24"/>
      <c r="H103" s="24"/>
      <c r="I103" s="24"/>
      <c r="J103" s="24"/>
      <c r="K103" s="24">
        <f t="shared" si="9"/>
        <v>16</v>
      </c>
      <c r="L103" s="24">
        <f t="shared" si="10"/>
        <v>11.52</v>
      </c>
      <c r="M103" s="25">
        <v>8</v>
      </c>
      <c r="N103" s="26"/>
      <c r="O103" s="26"/>
      <c r="P103" s="25"/>
      <c r="Q103" s="25">
        <v>1</v>
      </c>
      <c r="R103" s="25">
        <f t="shared" si="11"/>
        <v>9</v>
      </c>
      <c r="S103" s="25">
        <f t="shared" si="12"/>
        <v>10.89</v>
      </c>
      <c r="T103" s="24"/>
      <c r="U103" s="27"/>
      <c r="V103" s="27"/>
      <c r="W103" s="24"/>
      <c r="X103" s="24">
        <v>1</v>
      </c>
      <c r="Y103" s="24">
        <f t="shared" si="13"/>
        <v>1</v>
      </c>
      <c r="Z103" s="24">
        <f t="shared" si="14"/>
        <v>2.74</v>
      </c>
      <c r="AA103" s="24">
        <f t="shared" si="15"/>
        <v>26</v>
      </c>
      <c r="AB103" s="24">
        <f t="shared" si="15"/>
        <v>25.15</v>
      </c>
      <c r="AC103" s="28">
        <f t="shared" si="16"/>
        <v>154804</v>
      </c>
      <c r="AD103" s="28">
        <f t="shared" si="16"/>
        <v>149743</v>
      </c>
    </row>
    <row r="104" spans="1:30">
      <c r="A104" s="22" t="s">
        <v>199</v>
      </c>
      <c r="B104" s="22" t="s">
        <v>228</v>
      </c>
      <c r="C104" s="23" t="s">
        <v>229</v>
      </c>
      <c r="D104" s="16">
        <v>5883</v>
      </c>
      <c r="E104" s="24">
        <v>74</v>
      </c>
      <c r="F104" s="24"/>
      <c r="G104" s="24"/>
      <c r="H104" s="24">
        <v>1</v>
      </c>
      <c r="I104" s="24"/>
      <c r="J104" s="24"/>
      <c r="K104" s="24">
        <f t="shared" si="9"/>
        <v>75</v>
      </c>
      <c r="L104" s="24">
        <f t="shared" si="10"/>
        <v>54</v>
      </c>
      <c r="M104" s="25"/>
      <c r="N104" s="26">
        <v>3</v>
      </c>
      <c r="O104" s="26">
        <v>5</v>
      </c>
      <c r="P104" s="25"/>
      <c r="Q104" s="25">
        <v>11</v>
      </c>
      <c r="R104" s="25">
        <f t="shared" si="11"/>
        <v>19</v>
      </c>
      <c r="S104" s="25">
        <f t="shared" si="12"/>
        <v>21.189999999999998</v>
      </c>
      <c r="T104" s="24"/>
      <c r="U104" s="27"/>
      <c r="V104" s="27"/>
      <c r="W104" s="24"/>
      <c r="X104" s="24">
        <v>12</v>
      </c>
      <c r="Y104" s="24">
        <f t="shared" si="13"/>
        <v>12</v>
      </c>
      <c r="Z104" s="24">
        <f t="shared" si="14"/>
        <v>32.880000000000003</v>
      </c>
      <c r="AA104" s="24">
        <f t="shared" si="15"/>
        <v>106</v>
      </c>
      <c r="AB104" s="24">
        <f t="shared" si="15"/>
        <v>108.07</v>
      </c>
      <c r="AC104" s="28">
        <f t="shared" si="16"/>
        <v>623598</v>
      </c>
      <c r="AD104" s="28">
        <f t="shared" si="16"/>
        <v>635776</v>
      </c>
    </row>
    <row r="105" spans="1:30">
      <c r="A105" s="22" t="s">
        <v>199</v>
      </c>
      <c r="B105" s="22" t="s">
        <v>230</v>
      </c>
      <c r="C105" s="23" t="s">
        <v>231</v>
      </c>
      <c r="D105" s="16">
        <v>5965</v>
      </c>
      <c r="E105" s="24">
        <v>85</v>
      </c>
      <c r="F105" s="24"/>
      <c r="G105" s="24"/>
      <c r="H105" s="24">
        <v>3</v>
      </c>
      <c r="I105" s="24"/>
      <c r="J105" s="24"/>
      <c r="K105" s="24">
        <f t="shared" si="9"/>
        <v>88</v>
      </c>
      <c r="L105" s="24">
        <f t="shared" si="10"/>
        <v>63.36</v>
      </c>
      <c r="M105" s="25"/>
      <c r="N105" s="26">
        <v>1</v>
      </c>
      <c r="O105" s="26">
        <v>2</v>
      </c>
      <c r="P105" s="25"/>
      <c r="Q105" s="25">
        <v>20</v>
      </c>
      <c r="R105" s="25">
        <f t="shared" si="11"/>
        <v>23</v>
      </c>
      <c r="S105" s="25">
        <f t="shared" si="12"/>
        <v>27.229999999999997</v>
      </c>
      <c r="T105" s="24"/>
      <c r="U105" s="27"/>
      <c r="V105" s="27">
        <v>3</v>
      </c>
      <c r="W105" s="24"/>
      <c r="X105" s="24">
        <v>4</v>
      </c>
      <c r="Y105" s="24">
        <f t="shared" si="13"/>
        <v>7</v>
      </c>
      <c r="Z105" s="24">
        <f t="shared" si="14"/>
        <v>19.18</v>
      </c>
      <c r="AA105" s="24">
        <f t="shared" si="15"/>
        <v>118</v>
      </c>
      <c r="AB105" s="24">
        <f t="shared" si="15"/>
        <v>109.77</v>
      </c>
      <c r="AC105" s="28">
        <f t="shared" si="16"/>
        <v>703870</v>
      </c>
      <c r="AD105" s="28">
        <f t="shared" si="16"/>
        <v>654778</v>
      </c>
    </row>
    <row r="106" spans="1:30">
      <c r="A106" s="22" t="s">
        <v>199</v>
      </c>
      <c r="B106" s="22" t="s">
        <v>232</v>
      </c>
      <c r="C106" s="23" t="s">
        <v>233</v>
      </c>
      <c r="D106" s="16">
        <v>5883</v>
      </c>
      <c r="E106" s="24">
        <v>31</v>
      </c>
      <c r="F106" s="24">
        <v>1</v>
      </c>
      <c r="G106" s="24"/>
      <c r="H106" s="24"/>
      <c r="I106" s="24"/>
      <c r="J106" s="24"/>
      <c r="K106" s="24">
        <f t="shared" si="9"/>
        <v>32</v>
      </c>
      <c r="L106" s="24">
        <f t="shared" si="10"/>
        <v>23.04</v>
      </c>
      <c r="M106" s="25"/>
      <c r="N106" s="26"/>
      <c r="O106" s="26">
        <v>5</v>
      </c>
      <c r="P106" s="25"/>
      <c r="Q106" s="25">
        <v>13</v>
      </c>
      <c r="R106" s="25">
        <f t="shared" si="11"/>
        <v>18</v>
      </c>
      <c r="S106" s="25">
        <f t="shared" si="12"/>
        <v>21.78</v>
      </c>
      <c r="T106" s="24"/>
      <c r="U106" s="27"/>
      <c r="V106" s="27"/>
      <c r="W106" s="24"/>
      <c r="X106" s="24">
        <v>1</v>
      </c>
      <c r="Y106" s="24">
        <f t="shared" si="13"/>
        <v>1</v>
      </c>
      <c r="Z106" s="24">
        <f t="shared" si="14"/>
        <v>2.74</v>
      </c>
      <c r="AA106" s="24">
        <f t="shared" si="15"/>
        <v>51</v>
      </c>
      <c r="AB106" s="24">
        <f t="shared" si="15"/>
        <v>47.56</v>
      </c>
      <c r="AC106" s="28">
        <f t="shared" si="16"/>
        <v>300033</v>
      </c>
      <c r="AD106" s="28">
        <f t="shared" si="16"/>
        <v>279795</v>
      </c>
    </row>
    <row r="107" spans="1:30">
      <c r="A107" s="22" t="s">
        <v>199</v>
      </c>
      <c r="B107" s="22" t="s">
        <v>234</v>
      </c>
      <c r="C107" s="23" t="s">
        <v>235</v>
      </c>
      <c r="D107" s="16">
        <v>6058</v>
      </c>
      <c r="E107" s="24">
        <v>5</v>
      </c>
      <c r="F107" s="24"/>
      <c r="G107" s="24"/>
      <c r="H107" s="24"/>
      <c r="I107" s="24"/>
      <c r="J107" s="24"/>
      <c r="K107" s="24">
        <f t="shared" si="9"/>
        <v>5</v>
      </c>
      <c r="L107" s="24">
        <f t="shared" si="10"/>
        <v>3.5999999999999996</v>
      </c>
      <c r="M107" s="25"/>
      <c r="N107" s="26"/>
      <c r="O107" s="26"/>
      <c r="P107" s="25"/>
      <c r="Q107" s="25">
        <v>1</v>
      </c>
      <c r="R107" s="25">
        <f t="shared" si="11"/>
        <v>1</v>
      </c>
      <c r="S107" s="25">
        <f t="shared" si="12"/>
        <v>1.21</v>
      </c>
      <c r="T107" s="24"/>
      <c r="U107" s="27"/>
      <c r="V107" s="27"/>
      <c r="W107" s="24"/>
      <c r="X107" s="24">
        <v>1</v>
      </c>
      <c r="Y107" s="24">
        <f t="shared" si="13"/>
        <v>1</v>
      </c>
      <c r="Z107" s="24">
        <f t="shared" si="14"/>
        <v>2.74</v>
      </c>
      <c r="AA107" s="24">
        <f t="shared" si="15"/>
        <v>7</v>
      </c>
      <c r="AB107" s="24">
        <f t="shared" si="15"/>
        <v>7.55</v>
      </c>
      <c r="AC107" s="28">
        <f t="shared" si="16"/>
        <v>42406</v>
      </c>
      <c r="AD107" s="28">
        <f t="shared" si="16"/>
        <v>45738</v>
      </c>
    </row>
    <row r="108" spans="1:30">
      <c r="A108" s="22" t="s">
        <v>199</v>
      </c>
      <c r="B108" s="22" t="s">
        <v>236</v>
      </c>
      <c r="C108" s="23" t="s">
        <v>237</v>
      </c>
      <c r="D108" s="16">
        <v>5943</v>
      </c>
      <c r="E108" s="24">
        <v>29</v>
      </c>
      <c r="F108" s="24"/>
      <c r="G108" s="24"/>
      <c r="H108" s="24"/>
      <c r="I108" s="24"/>
      <c r="J108" s="24"/>
      <c r="K108" s="24">
        <f t="shared" si="9"/>
        <v>29</v>
      </c>
      <c r="L108" s="24">
        <f t="shared" si="10"/>
        <v>20.88</v>
      </c>
      <c r="M108" s="25"/>
      <c r="N108" s="26"/>
      <c r="O108" s="26">
        <v>6</v>
      </c>
      <c r="P108" s="25"/>
      <c r="Q108" s="25">
        <v>8</v>
      </c>
      <c r="R108" s="25">
        <f t="shared" si="11"/>
        <v>14</v>
      </c>
      <c r="S108" s="25">
        <f t="shared" si="12"/>
        <v>16.939999999999998</v>
      </c>
      <c r="T108" s="24"/>
      <c r="U108" s="27"/>
      <c r="V108" s="27">
        <v>2</v>
      </c>
      <c r="W108" s="24"/>
      <c r="X108" s="24">
        <v>1</v>
      </c>
      <c r="Y108" s="24">
        <f t="shared" si="13"/>
        <v>3</v>
      </c>
      <c r="Z108" s="24">
        <f t="shared" si="14"/>
        <v>8.2200000000000006</v>
      </c>
      <c r="AA108" s="24">
        <f t="shared" si="15"/>
        <v>46</v>
      </c>
      <c r="AB108" s="24">
        <f t="shared" si="15"/>
        <v>46.039999999999992</v>
      </c>
      <c r="AC108" s="28">
        <f t="shared" si="16"/>
        <v>273378</v>
      </c>
      <c r="AD108" s="28">
        <f t="shared" si="16"/>
        <v>273616</v>
      </c>
    </row>
    <row r="109" spans="1:30">
      <c r="A109" s="22" t="s">
        <v>199</v>
      </c>
      <c r="B109" s="22" t="s">
        <v>238</v>
      </c>
      <c r="C109" s="23" t="s">
        <v>239</v>
      </c>
      <c r="D109" s="16">
        <v>5972</v>
      </c>
      <c r="E109" s="24">
        <v>31</v>
      </c>
      <c r="F109" s="24"/>
      <c r="G109" s="24"/>
      <c r="H109" s="24"/>
      <c r="I109" s="24"/>
      <c r="J109" s="24"/>
      <c r="K109" s="24">
        <f t="shared" si="9"/>
        <v>31</v>
      </c>
      <c r="L109" s="24">
        <f t="shared" si="10"/>
        <v>22.32</v>
      </c>
      <c r="M109" s="25"/>
      <c r="N109" s="26"/>
      <c r="O109" s="26">
        <v>3</v>
      </c>
      <c r="P109" s="25"/>
      <c r="Q109" s="25">
        <v>6</v>
      </c>
      <c r="R109" s="25">
        <f t="shared" si="11"/>
        <v>9</v>
      </c>
      <c r="S109" s="25">
        <f t="shared" si="12"/>
        <v>10.89</v>
      </c>
      <c r="T109" s="24">
        <v>1</v>
      </c>
      <c r="U109" s="27"/>
      <c r="V109" s="27"/>
      <c r="W109" s="24"/>
      <c r="X109" s="24">
        <v>2</v>
      </c>
      <c r="Y109" s="24">
        <f t="shared" si="13"/>
        <v>3</v>
      </c>
      <c r="Z109" s="24">
        <f t="shared" si="14"/>
        <v>8.2200000000000006</v>
      </c>
      <c r="AA109" s="24">
        <f t="shared" si="15"/>
        <v>43</v>
      </c>
      <c r="AB109" s="24">
        <f t="shared" si="15"/>
        <v>41.43</v>
      </c>
      <c r="AC109" s="28">
        <f t="shared" si="16"/>
        <v>256796</v>
      </c>
      <c r="AD109" s="28">
        <f t="shared" si="16"/>
        <v>247420</v>
      </c>
    </row>
    <row r="110" spans="1:30">
      <c r="A110" s="22" t="s">
        <v>199</v>
      </c>
      <c r="B110" s="22" t="s">
        <v>240</v>
      </c>
      <c r="C110" s="23" t="s">
        <v>241</v>
      </c>
      <c r="D110" s="16">
        <v>6053</v>
      </c>
      <c r="E110" s="24">
        <v>13</v>
      </c>
      <c r="F110" s="24"/>
      <c r="G110" s="24"/>
      <c r="H110" s="24"/>
      <c r="I110" s="24"/>
      <c r="J110" s="24"/>
      <c r="K110" s="24">
        <f t="shared" si="9"/>
        <v>13</v>
      </c>
      <c r="L110" s="24">
        <f t="shared" si="10"/>
        <v>9.36</v>
      </c>
      <c r="M110" s="25"/>
      <c r="N110" s="26"/>
      <c r="O110" s="26">
        <v>4</v>
      </c>
      <c r="P110" s="25"/>
      <c r="Q110" s="25">
        <v>9</v>
      </c>
      <c r="R110" s="25">
        <f t="shared" si="11"/>
        <v>13</v>
      </c>
      <c r="S110" s="25">
        <f t="shared" si="12"/>
        <v>15.73</v>
      </c>
      <c r="T110" s="24"/>
      <c r="U110" s="27">
        <v>1</v>
      </c>
      <c r="V110" s="27">
        <v>2</v>
      </c>
      <c r="W110" s="24"/>
      <c r="X110" s="24">
        <v>2</v>
      </c>
      <c r="Y110" s="24">
        <f t="shared" si="13"/>
        <v>5</v>
      </c>
      <c r="Z110" s="24">
        <f t="shared" si="14"/>
        <v>12.330000000000002</v>
      </c>
      <c r="AA110" s="24">
        <f t="shared" si="15"/>
        <v>31</v>
      </c>
      <c r="AB110" s="24">
        <f t="shared" si="15"/>
        <v>37.42</v>
      </c>
      <c r="AC110" s="28">
        <f t="shared" si="16"/>
        <v>187643</v>
      </c>
      <c r="AD110" s="28">
        <f t="shared" si="16"/>
        <v>226503</v>
      </c>
    </row>
    <row r="111" spans="1:30">
      <c r="A111" s="22" t="s">
        <v>199</v>
      </c>
      <c r="B111" s="22" t="s">
        <v>242</v>
      </c>
      <c r="C111" s="23" t="s">
        <v>243</v>
      </c>
      <c r="D111" s="16">
        <v>5920</v>
      </c>
      <c r="E111" s="24">
        <v>17</v>
      </c>
      <c r="F111" s="24">
        <v>1</v>
      </c>
      <c r="G111" s="24"/>
      <c r="H111" s="24"/>
      <c r="I111" s="24"/>
      <c r="J111" s="24"/>
      <c r="K111" s="24">
        <f t="shared" si="9"/>
        <v>18</v>
      </c>
      <c r="L111" s="24">
        <f t="shared" si="10"/>
        <v>12.959999999999999</v>
      </c>
      <c r="M111" s="25"/>
      <c r="N111" s="26">
        <v>1</v>
      </c>
      <c r="O111" s="26">
        <v>2</v>
      </c>
      <c r="P111" s="25"/>
      <c r="Q111" s="25">
        <v>19</v>
      </c>
      <c r="R111" s="25">
        <f t="shared" si="11"/>
        <v>22</v>
      </c>
      <c r="S111" s="25">
        <f t="shared" si="12"/>
        <v>26.02</v>
      </c>
      <c r="T111" s="24">
        <v>1</v>
      </c>
      <c r="U111" s="27"/>
      <c r="V111" s="27">
        <v>2</v>
      </c>
      <c r="W111" s="24"/>
      <c r="X111" s="24">
        <v>6</v>
      </c>
      <c r="Y111" s="24">
        <f t="shared" si="13"/>
        <v>9</v>
      </c>
      <c r="Z111" s="24">
        <f t="shared" si="14"/>
        <v>24.660000000000004</v>
      </c>
      <c r="AA111" s="24">
        <f t="shared" si="15"/>
        <v>49</v>
      </c>
      <c r="AB111" s="24">
        <f t="shared" si="15"/>
        <v>63.640000000000008</v>
      </c>
      <c r="AC111" s="28">
        <f t="shared" si="16"/>
        <v>290080</v>
      </c>
      <c r="AD111" s="28">
        <f t="shared" si="16"/>
        <v>376749</v>
      </c>
    </row>
    <row r="112" spans="1:30">
      <c r="A112" s="22" t="s">
        <v>199</v>
      </c>
      <c r="B112" s="22" t="s">
        <v>244</v>
      </c>
      <c r="C112" s="23" t="s">
        <v>245</v>
      </c>
      <c r="D112" s="16">
        <v>5883</v>
      </c>
      <c r="E112" s="24">
        <v>13</v>
      </c>
      <c r="F112" s="24"/>
      <c r="G112" s="24"/>
      <c r="H112" s="24"/>
      <c r="I112" s="24"/>
      <c r="J112" s="24"/>
      <c r="K112" s="24">
        <f t="shared" si="9"/>
        <v>13</v>
      </c>
      <c r="L112" s="24">
        <f t="shared" si="10"/>
        <v>9.36</v>
      </c>
      <c r="M112" s="25"/>
      <c r="N112" s="26"/>
      <c r="O112" s="26">
        <v>1</v>
      </c>
      <c r="P112" s="25"/>
      <c r="Q112" s="25">
        <v>11</v>
      </c>
      <c r="R112" s="25">
        <f t="shared" si="11"/>
        <v>12</v>
      </c>
      <c r="S112" s="25">
        <f t="shared" si="12"/>
        <v>14.52</v>
      </c>
      <c r="T112" s="24"/>
      <c r="U112" s="27"/>
      <c r="V112" s="27"/>
      <c r="W112" s="24"/>
      <c r="X112" s="24">
        <v>3</v>
      </c>
      <c r="Y112" s="24">
        <f t="shared" si="13"/>
        <v>3</v>
      </c>
      <c r="Z112" s="24">
        <f t="shared" si="14"/>
        <v>8.2200000000000006</v>
      </c>
      <c r="AA112" s="24">
        <f t="shared" si="15"/>
        <v>28</v>
      </c>
      <c r="AB112" s="24">
        <f t="shared" si="15"/>
        <v>32.1</v>
      </c>
      <c r="AC112" s="28">
        <f t="shared" si="16"/>
        <v>164724</v>
      </c>
      <c r="AD112" s="28">
        <f t="shared" si="16"/>
        <v>188844</v>
      </c>
    </row>
    <row r="113" spans="1:30">
      <c r="A113" s="22" t="s">
        <v>199</v>
      </c>
      <c r="B113" s="22" t="s">
        <v>246</v>
      </c>
      <c r="C113" s="23" t="s">
        <v>247</v>
      </c>
      <c r="D113" s="16">
        <v>5897</v>
      </c>
      <c r="E113" s="24">
        <v>77</v>
      </c>
      <c r="F113" s="24"/>
      <c r="G113" s="24"/>
      <c r="H113" s="24"/>
      <c r="I113" s="24"/>
      <c r="J113" s="24"/>
      <c r="K113" s="24">
        <f t="shared" si="9"/>
        <v>77</v>
      </c>
      <c r="L113" s="24">
        <f t="shared" si="10"/>
        <v>55.44</v>
      </c>
      <c r="M113" s="25">
        <v>1</v>
      </c>
      <c r="N113" s="26"/>
      <c r="O113" s="26">
        <v>1</v>
      </c>
      <c r="P113" s="25"/>
      <c r="Q113" s="25">
        <v>30</v>
      </c>
      <c r="R113" s="25">
        <f t="shared" si="11"/>
        <v>32</v>
      </c>
      <c r="S113" s="25">
        <f t="shared" si="12"/>
        <v>38.72</v>
      </c>
      <c r="T113" s="24"/>
      <c r="U113" s="27"/>
      <c r="V113" s="27">
        <v>3</v>
      </c>
      <c r="W113" s="24"/>
      <c r="X113" s="24">
        <v>5</v>
      </c>
      <c r="Y113" s="24">
        <f t="shared" si="13"/>
        <v>8</v>
      </c>
      <c r="Z113" s="24">
        <f t="shared" si="14"/>
        <v>21.92</v>
      </c>
      <c r="AA113" s="24">
        <f t="shared" si="15"/>
        <v>117</v>
      </c>
      <c r="AB113" s="24">
        <f t="shared" si="15"/>
        <v>116.08</v>
      </c>
      <c r="AC113" s="28">
        <f t="shared" si="16"/>
        <v>689949</v>
      </c>
      <c r="AD113" s="28">
        <f t="shared" si="16"/>
        <v>684524</v>
      </c>
    </row>
    <row r="114" spans="1:30">
      <c r="A114" s="22" t="s">
        <v>199</v>
      </c>
      <c r="B114" s="22" t="s">
        <v>248</v>
      </c>
      <c r="C114" s="23" t="s">
        <v>249</v>
      </c>
      <c r="D114" s="16">
        <v>6050</v>
      </c>
      <c r="E114" s="24">
        <v>10</v>
      </c>
      <c r="F114" s="24"/>
      <c r="G114" s="24"/>
      <c r="H114" s="24"/>
      <c r="I114" s="24"/>
      <c r="J114" s="24"/>
      <c r="K114" s="24">
        <f t="shared" si="9"/>
        <v>10</v>
      </c>
      <c r="L114" s="24">
        <f t="shared" si="10"/>
        <v>7.1999999999999993</v>
      </c>
      <c r="M114" s="25"/>
      <c r="N114" s="26"/>
      <c r="O114" s="26"/>
      <c r="P114" s="25"/>
      <c r="Q114" s="25">
        <v>5</v>
      </c>
      <c r="R114" s="25">
        <f t="shared" si="11"/>
        <v>5</v>
      </c>
      <c r="S114" s="25">
        <f t="shared" si="12"/>
        <v>6.05</v>
      </c>
      <c r="T114" s="24"/>
      <c r="U114" s="27"/>
      <c r="V114" s="27"/>
      <c r="W114" s="24"/>
      <c r="X114" s="24">
        <v>2</v>
      </c>
      <c r="Y114" s="24">
        <f t="shared" si="13"/>
        <v>2</v>
      </c>
      <c r="Z114" s="24">
        <f t="shared" si="14"/>
        <v>5.48</v>
      </c>
      <c r="AA114" s="24">
        <f t="shared" si="15"/>
        <v>17</v>
      </c>
      <c r="AB114" s="24">
        <f t="shared" si="15"/>
        <v>18.73</v>
      </c>
      <c r="AC114" s="28">
        <f t="shared" si="16"/>
        <v>102850</v>
      </c>
      <c r="AD114" s="28">
        <f t="shared" si="16"/>
        <v>113317</v>
      </c>
    </row>
    <row r="115" spans="1:30">
      <c r="A115" s="22" t="s">
        <v>199</v>
      </c>
      <c r="B115" s="22" t="s">
        <v>250</v>
      </c>
      <c r="C115" s="23" t="s">
        <v>251</v>
      </c>
      <c r="D115" s="16">
        <v>6053</v>
      </c>
      <c r="E115" s="24">
        <v>27</v>
      </c>
      <c r="F115" s="24"/>
      <c r="G115" s="24"/>
      <c r="H115" s="24"/>
      <c r="I115" s="24"/>
      <c r="J115" s="24"/>
      <c r="K115" s="24">
        <f t="shared" si="9"/>
        <v>27</v>
      </c>
      <c r="L115" s="24">
        <f t="shared" si="10"/>
        <v>19.439999999999998</v>
      </c>
      <c r="M115" s="25"/>
      <c r="N115" s="26">
        <v>1</v>
      </c>
      <c r="O115" s="26">
        <v>4</v>
      </c>
      <c r="P115" s="25"/>
      <c r="Q115" s="25">
        <v>9</v>
      </c>
      <c r="R115" s="25">
        <f t="shared" si="11"/>
        <v>14</v>
      </c>
      <c r="S115" s="25">
        <f t="shared" si="12"/>
        <v>16.34</v>
      </c>
      <c r="T115" s="24"/>
      <c r="U115" s="27"/>
      <c r="V115" s="27"/>
      <c r="W115" s="24"/>
      <c r="X115" s="24">
        <v>5</v>
      </c>
      <c r="Y115" s="24">
        <f t="shared" si="13"/>
        <v>5</v>
      </c>
      <c r="Z115" s="24">
        <f t="shared" si="14"/>
        <v>13.700000000000001</v>
      </c>
      <c r="AA115" s="24">
        <f t="shared" si="15"/>
        <v>46</v>
      </c>
      <c r="AB115" s="24">
        <f t="shared" si="15"/>
        <v>49.48</v>
      </c>
      <c r="AC115" s="28">
        <f t="shared" si="16"/>
        <v>278438</v>
      </c>
      <c r="AD115" s="28">
        <f t="shared" si="16"/>
        <v>299502</v>
      </c>
    </row>
    <row r="116" spans="1:30">
      <c r="A116" s="22" t="s">
        <v>199</v>
      </c>
      <c r="B116" s="22" t="s">
        <v>252</v>
      </c>
      <c r="C116" s="23" t="s">
        <v>253</v>
      </c>
      <c r="D116" s="16">
        <v>5934</v>
      </c>
      <c r="E116" s="24">
        <v>24</v>
      </c>
      <c r="F116" s="24"/>
      <c r="G116" s="24"/>
      <c r="H116" s="24"/>
      <c r="I116" s="24"/>
      <c r="J116" s="24"/>
      <c r="K116" s="24">
        <f t="shared" si="9"/>
        <v>24</v>
      </c>
      <c r="L116" s="24">
        <f t="shared" si="10"/>
        <v>17.28</v>
      </c>
      <c r="M116" s="25"/>
      <c r="N116" s="26"/>
      <c r="O116" s="26">
        <v>3</v>
      </c>
      <c r="P116" s="25"/>
      <c r="Q116" s="25">
        <v>4</v>
      </c>
      <c r="R116" s="25">
        <f t="shared" si="11"/>
        <v>7</v>
      </c>
      <c r="S116" s="25">
        <f t="shared" si="12"/>
        <v>8.4699999999999989</v>
      </c>
      <c r="T116" s="24"/>
      <c r="U116" s="27"/>
      <c r="V116" s="27"/>
      <c r="W116" s="24"/>
      <c r="X116" s="24">
        <v>1</v>
      </c>
      <c r="Y116" s="24">
        <f t="shared" si="13"/>
        <v>1</v>
      </c>
      <c r="Z116" s="24">
        <f t="shared" si="14"/>
        <v>2.74</v>
      </c>
      <c r="AA116" s="24">
        <f t="shared" si="15"/>
        <v>32</v>
      </c>
      <c r="AB116" s="24">
        <f t="shared" si="15"/>
        <v>28.490000000000002</v>
      </c>
      <c r="AC116" s="28">
        <f t="shared" si="16"/>
        <v>189888</v>
      </c>
      <c r="AD116" s="28">
        <f t="shared" si="16"/>
        <v>169060</v>
      </c>
    </row>
    <row r="117" spans="1:30">
      <c r="A117" s="22" t="s">
        <v>199</v>
      </c>
      <c r="B117" s="22" t="s">
        <v>254</v>
      </c>
      <c r="C117" s="23" t="s">
        <v>255</v>
      </c>
      <c r="D117" s="16">
        <v>6003</v>
      </c>
      <c r="E117" s="24">
        <v>64</v>
      </c>
      <c r="F117" s="24"/>
      <c r="G117" s="24"/>
      <c r="H117" s="24"/>
      <c r="I117" s="24"/>
      <c r="J117" s="24"/>
      <c r="K117" s="24">
        <f t="shared" si="9"/>
        <v>64</v>
      </c>
      <c r="L117" s="24">
        <f t="shared" si="10"/>
        <v>46.08</v>
      </c>
      <c r="M117" s="25"/>
      <c r="N117" s="26"/>
      <c r="O117" s="26">
        <v>1</v>
      </c>
      <c r="P117" s="25"/>
      <c r="Q117" s="25">
        <v>14</v>
      </c>
      <c r="R117" s="25">
        <f t="shared" si="11"/>
        <v>15</v>
      </c>
      <c r="S117" s="25">
        <f t="shared" si="12"/>
        <v>18.149999999999999</v>
      </c>
      <c r="T117" s="24"/>
      <c r="U117" s="27"/>
      <c r="V117" s="27"/>
      <c r="W117" s="24"/>
      <c r="X117" s="24">
        <v>7</v>
      </c>
      <c r="Y117" s="24">
        <f t="shared" si="13"/>
        <v>7</v>
      </c>
      <c r="Z117" s="24">
        <f t="shared" si="14"/>
        <v>19.18</v>
      </c>
      <c r="AA117" s="24">
        <f t="shared" si="15"/>
        <v>86</v>
      </c>
      <c r="AB117" s="24">
        <f t="shared" si="15"/>
        <v>83.41</v>
      </c>
      <c r="AC117" s="28">
        <f t="shared" si="16"/>
        <v>516258</v>
      </c>
      <c r="AD117" s="28">
        <f t="shared" si="16"/>
        <v>500710</v>
      </c>
    </row>
    <row r="118" spans="1:30">
      <c r="A118" s="22" t="s">
        <v>199</v>
      </c>
      <c r="B118" s="22" t="s">
        <v>256</v>
      </c>
      <c r="C118" s="23" t="s">
        <v>257</v>
      </c>
      <c r="D118" s="16">
        <v>5903</v>
      </c>
      <c r="E118" s="24">
        <v>24</v>
      </c>
      <c r="F118" s="24"/>
      <c r="G118" s="24"/>
      <c r="H118" s="24">
        <v>1</v>
      </c>
      <c r="I118" s="24"/>
      <c r="J118" s="24"/>
      <c r="K118" s="24">
        <f t="shared" si="9"/>
        <v>25</v>
      </c>
      <c r="L118" s="24">
        <f t="shared" si="10"/>
        <v>18</v>
      </c>
      <c r="M118" s="25"/>
      <c r="N118" s="26"/>
      <c r="O118" s="26">
        <v>3</v>
      </c>
      <c r="P118" s="25"/>
      <c r="Q118" s="25">
        <v>9</v>
      </c>
      <c r="R118" s="25">
        <f t="shared" si="11"/>
        <v>12</v>
      </c>
      <c r="S118" s="25">
        <f t="shared" si="12"/>
        <v>14.52</v>
      </c>
      <c r="T118" s="24"/>
      <c r="U118" s="27"/>
      <c r="V118" s="27"/>
      <c r="W118" s="24"/>
      <c r="X118" s="24">
        <v>2</v>
      </c>
      <c r="Y118" s="24">
        <f t="shared" si="13"/>
        <v>2</v>
      </c>
      <c r="Z118" s="24">
        <f t="shared" si="14"/>
        <v>5.48</v>
      </c>
      <c r="AA118" s="24">
        <f t="shared" si="15"/>
        <v>39</v>
      </c>
      <c r="AB118" s="24">
        <f t="shared" si="15"/>
        <v>38</v>
      </c>
      <c r="AC118" s="28">
        <f t="shared" si="16"/>
        <v>230217</v>
      </c>
      <c r="AD118" s="28">
        <f t="shared" si="16"/>
        <v>224314</v>
      </c>
    </row>
    <row r="119" spans="1:30">
      <c r="A119" s="22" t="s">
        <v>199</v>
      </c>
      <c r="B119" s="22" t="s">
        <v>258</v>
      </c>
      <c r="C119" s="23" t="s">
        <v>259</v>
      </c>
      <c r="D119" s="16">
        <v>5897</v>
      </c>
      <c r="E119" s="24">
        <v>13</v>
      </c>
      <c r="F119" s="24"/>
      <c r="G119" s="24"/>
      <c r="H119" s="24"/>
      <c r="I119" s="24"/>
      <c r="J119" s="24"/>
      <c r="K119" s="24">
        <f t="shared" si="9"/>
        <v>13</v>
      </c>
      <c r="L119" s="24">
        <f t="shared" si="10"/>
        <v>9.36</v>
      </c>
      <c r="M119" s="25"/>
      <c r="N119" s="26"/>
      <c r="O119" s="26">
        <v>2</v>
      </c>
      <c r="P119" s="25"/>
      <c r="Q119" s="25">
        <v>2</v>
      </c>
      <c r="R119" s="25">
        <f t="shared" si="11"/>
        <v>4</v>
      </c>
      <c r="S119" s="25">
        <f t="shared" si="12"/>
        <v>4.84</v>
      </c>
      <c r="T119" s="24"/>
      <c r="U119" s="27"/>
      <c r="V119" s="27">
        <v>4</v>
      </c>
      <c r="W119" s="24"/>
      <c r="X119" s="24">
        <v>3</v>
      </c>
      <c r="Y119" s="24">
        <f t="shared" si="13"/>
        <v>7</v>
      </c>
      <c r="Z119" s="24">
        <f t="shared" si="14"/>
        <v>19.18</v>
      </c>
      <c r="AA119" s="24">
        <f t="shared" si="15"/>
        <v>24</v>
      </c>
      <c r="AB119" s="24">
        <f t="shared" si="15"/>
        <v>33.379999999999995</v>
      </c>
      <c r="AC119" s="28">
        <f t="shared" si="16"/>
        <v>141528</v>
      </c>
      <c r="AD119" s="28">
        <f t="shared" si="16"/>
        <v>196842</v>
      </c>
    </row>
    <row r="120" spans="1:30">
      <c r="A120" s="22" t="s">
        <v>199</v>
      </c>
      <c r="B120" s="22" t="s">
        <v>260</v>
      </c>
      <c r="C120" s="23" t="s">
        <v>261</v>
      </c>
      <c r="D120" s="16">
        <v>5883</v>
      </c>
      <c r="E120" s="24">
        <v>38</v>
      </c>
      <c r="F120" s="24"/>
      <c r="G120" s="24"/>
      <c r="H120" s="24"/>
      <c r="I120" s="24"/>
      <c r="J120" s="24"/>
      <c r="K120" s="24">
        <f t="shared" si="9"/>
        <v>38</v>
      </c>
      <c r="L120" s="24">
        <f t="shared" si="10"/>
        <v>27.36</v>
      </c>
      <c r="M120" s="25"/>
      <c r="N120" s="26"/>
      <c r="O120" s="26">
        <v>2</v>
      </c>
      <c r="P120" s="25"/>
      <c r="Q120" s="25">
        <v>4</v>
      </c>
      <c r="R120" s="25">
        <f t="shared" si="11"/>
        <v>6</v>
      </c>
      <c r="S120" s="25">
        <f t="shared" si="12"/>
        <v>7.26</v>
      </c>
      <c r="T120" s="24"/>
      <c r="U120" s="27"/>
      <c r="V120" s="27"/>
      <c r="W120" s="24"/>
      <c r="X120" s="24">
        <v>2</v>
      </c>
      <c r="Y120" s="24">
        <f t="shared" si="13"/>
        <v>2</v>
      </c>
      <c r="Z120" s="24">
        <f t="shared" si="14"/>
        <v>5.48</v>
      </c>
      <c r="AA120" s="24">
        <f t="shared" si="15"/>
        <v>46</v>
      </c>
      <c r="AB120" s="24">
        <f t="shared" si="15"/>
        <v>40.1</v>
      </c>
      <c r="AC120" s="28">
        <f t="shared" si="16"/>
        <v>270618</v>
      </c>
      <c r="AD120" s="28">
        <f t="shared" si="16"/>
        <v>235908</v>
      </c>
    </row>
    <row r="121" spans="1:30">
      <c r="A121" s="22" t="s">
        <v>199</v>
      </c>
      <c r="B121" s="22" t="s">
        <v>262</v>
      </c>
      <c r="C121" s="23" t="s">
        <v>263</v>
      </c>
      <c r="D121" s="16">
        <v>5950</v>
      </c>
      <c r="E121" s="24">
        <v>22</v>
      </c>
      <c r="F121" s="24"/>
      <c r="G121" s="24"/>
      <c r="H121" s="24"/>
      <c r="I121" s="24"/>
      <c r="J121" s="24"/>
      <c r="K121" s="24">
        <f t="shared" si="9"/>
        <v>22</v>
      </c>
      <c r="L121" s="24">
        <f t="shared" si="10"/>
        <v>15.84</v>
      </c>
      <c r="M121" s="25"/>
      <c r="N121" s="26"/>
      <c r="O121" s="26">
        <v>2</v>
      </c>
      <c r="P121" s="25"/>
      <c r="Q121" s="25">
        <v>7</v>
      </c>
      <c r="R121" s="25">
        <f t="shared" si="11"/>
        <v>9</v>
      </c>
      <c r="S121" s="25">
        <f t="shared" si="12"/>
        <v>10.89</v>
      </c>
      <c r="T121" s="24"/>
      <c r="U121" s="27"/>
      <c r="V121" s="27"/>
      <c r="W121" s="24"/>
      <c r="X121" s="24">
        <v>4</v>
      </c>
      <c r="Y121" s="24">
        <f t="shared" si="13"/>
        <v>4</v>
      </c>
      <c r="Z121" s="24">
        <f t="shared" si="14"/>
        <v>10.96</v>
      </c>
      <c r="AA121" s="24">
        <f t="shared" si="15"/>
        <v>35</v>
      </c>
      <c r="AB121" s="24">
        <f t="shared" si="15"/>
        <v>37.69</v>
      </c>
      <c r="AC121" s="28">
        <f t="shared" si="16"/>
        <v>208250</v>
      </c>
      <c r="AD121" s="28">
        <f t="shared" si="16"/>
        <v>224256</v>
      </c>
    </row>
    <row r="122" spans="1:30">
      <c r="A122" s="22" t="s">
        <v>199</v>
      </c>
      <c r="B122" s="22" t="s">
        <v>264</v>
      </c>
      <c r="C122" s="23" t="s">
        <v>265</v>
      </c>
      <c r="D122" s="16">
        <v>6006</v>
      </c>
      <c r="E122" s="24">
        <v>11</v>
      </c>
      <c r="F122" s="24"/>
      <c r="G122" s="24"/>
      <c r="H122" s="24"/>
      <c r="I122" s="24"/>
      <c r="J122" s="24"/>
      <c r="K122" s="24">
        <f t="shared" si="9"/>
        <v>11</v>
      </c>
      <c r="L122" s="24">
        <f t="shared" si="10"/>
        <v>7.92</v>
      </c>
      <c r="M122" s="25"/>
      <c r="N122" s="26"/>
      <c r="O122" s="26">
        <v>1</v>
      </c>
      <c r="P122" s="25"/>
      <c r="Q122" s="25">
        <v>3</v>
      </c>
      <c r="R122" s="25">
        <f t="shared" si="11"/>
        <v>4</v>
      </c>
      <c r="S122" s="25">
        <f t="shared" si="12"/>
        <v>4.84</v>
      </c>
      <c r="T122" s="24"/>
      <c r="U122" s="27"/>
      <c r="V122" s="27"/>
      <c r="W122" s="24"/>
      <c r="X122" s="24">
        <v>2</v>
      </c>
      <c r="Y122" s="24">
        <f t="shared" si="13"/>
        <v>2</v>
      </c>
      <c r="Z122" s="24">
        <f t="shared" si="14"/>
        <v>5.48</v>
      </c>
      <c r="AA122" s="24">
        <f t="shared" si="15"/>
        <v>17</v>
      </c>
      <c r="AB122" s="24">
        <f t="shared" si="15"/>
        <v>18.240000000000002</v>
      </c>
      <c r="AC122" s="28">
        <f t="shared" si="16"/>
        <v>102102</v>
      </c>
      <c r="AD122" s="28">
        <f t="shared" si="16"/>
        <v>109549</v>
      </c>
    </row>
    <row r="123" spans="1:30">
      <c r="A123" s="22" t="s">
        <v>199</v>
      </c>
      <c r="B123" s="22" t="s">
        <v>266</v>
      </c>
      <c r="C123" s="23" t="s">
        <v>267</v>
      </c>
      <c r="D123" s="16">
        <v>5898</v>
      </c>
      <c r="E123" s="24">
        <v>33</v>
      </c>
      <c r="F123" s="24">
        <v>1</v>
      </c>
      <c r="G123" s="24"/>
      <c r="H123" s="24"/>
      <c r="I123" s="24"/>
      <c r="J123" s="24"/>
      <c r="K123" s="24">
        <f t="shared" si="9"/>
        <v>34</v>
      </c>
      <c r="L123" s="24">
        <f t="shared" si="10"/>
        <v>24.48</v>
      </c>
      <c r="M123" s="25"/>
      <c r="N123" s="26"/>
      <c r="O123" s="26">
        <v>7</v>
      </c>
      <c r="P123" s="25"/>
      <c r="Q123" s="25">
        <f>6+1</f>
        <v>7</v>
      </c>
      <c r="R123" s="25">
        <f t="shared" si="11"/>
        <v>14</v>
      </c>
      <c r="S123" s="25">
        <f t="shared" si="12"/>
        <v>16.939999999999998</v>
      </c>
      <c r="T123" s="24"/>
      <c r="U123" s="27"/>
      <c r="V123" s="27"/>
      <c r="W123" s="24"/>
      <c r="X123" s="24">
        <v>1</v>
      </c>
      <c r="Y123" s="24">
        <f t="shared" si="13"/>
        <v>1</v>
      </c>
      <c r="Z123" s="24">
        <f t="shared" si="14"/>
        <v>2.74</v>
      </c>
      <c r="AA123" s="24">
        <f t="shared" si="15"/>
        <v>49</v>
      </c>
      <c r="AB123" s="24">
        <f t="shared" si="15"/>
        <v>44.16</v>
      </c>
      <c r="AC123" s="28">
        <f t="shared" si="16"/>
        <v>289002</v>
      </c>
      <c r="AD123" s="28">
        <f t="shared" si="16"/>
        <v>260456</v>
      </c>
    </row>
    <row r="124" spans="1:30">
      <c r="A124" s="22" t="s">
        <v>199</v>
      </c>
      <c r="B124" s="22" t="s">
        <v>268</v>
      </c>
      <c r="C124" s="23" t="s">
        <v>269</v>
      </c>
      <c r="D124" s="16">
        <v>5929</v>
      </c>
      <c r="E124" s="24">
        <v>35</v>
      </c>
      <c r="F124" s="24"/>
      <c r="G124" s="24"/>
      <c r="H124" s="24"/>
      <c r="I124" s="24"/>
      <c r="J124" s="24"/>
      <c r="K124" s="24">
        <f t="shared" si="9"/>
        <v>35</v>
      </c>
      <c r="L124" s="24">
        <f t="shared" si="10"/>
        <v>25.2</v>
      </c>
      <c r="M124" s="25"/>
      <c r="N124" s="26"/>
      <c r="O124" s="26">
        <v>5</v>
      </c>
      <c r="P124" s="25"/>
      <c r="Q124" s="25">
        <v>9</v>
      </c>
      <c r="R124" s="25">
        <f t="shared" si="11"/>
        <v>14</v>
      </c>
      <c r="S124" s="25">
        <f t="shared" si="12"/>
        <v>16.939999999999998</v>
      </c>
      <c r="T124" s="24"/>
      <c r="U124" s="27"/>
      <c r="V124" s="27"/>
      <c r="W124" s="24"/>
      <c r="X124" s="24">
        <v>5</v>
      </c>
      <c r="Y124" s="24">
        <f t="shared" si="13"/>
        <v>5</v>
      </c>
      <c r="Z124" s="24">
        <f t="shared" si="14"/>
        <v>13.700000000000001</v>
      </c>
      <c r="AA124" s="24">
        <f t="shared" si="15"/>
        <v>54</v>
      </c>
      <c r="AB124" s="24">
        <f t="shared" si="15"/>
        <v>55.84</v>
      </c>
      <c r="AC124" s="28">
        <f t="shared" si="16"/>
        <v>320166</v>
      </c>
      <c r="AD124" s="28">
        <f t="shared" si="16"/>
        <v>331075</v>
      </c>
    </row>
    <row r="125" spans="1:30">
      <c r="A125" s="22" t="s">
        <v>199</v>
      </c>
      <c r="B125" s="22" t="s">
        <v>270</v>
      </c>
      <c r="C125" s="23" t="s">
        <v>271</v>
      </c>
      <c r="D125" s="16">
        <v>5945</v>
      </c>
      <c r="E125" s="24">
        <v>32</v>
      </c>
      <c r="F125" s="24"/>
      <c r="G125" s="24"/>
      <c r="H125" s="24"/>
      <c r="I125" s="24"/>
      <c r="J125" s="24"/>
      <c r="K125" s="24">
        <f t="shared" si="9"/>
        <v>32</v>
      </c>
      <c r="L125" s="24">
        <f t="shared" si="10"/>
        <v>23.04</v>
      </c>
      <c r="M125" s="25"/>
      <c r="N125" s="26"/>
      <c r="O125" s="26">
        <v>2</v>
      </c>
      <c r="P125" s="25"/>
      <c r="Q125" s="25">
        <v>21</v>
      </c>
      <c r="R125" s="25">
        <f t="shared" si="11"/>
        <v>23</v>
      </c>
      <c r="S125" s="25">
        <f t="shared" si="12"/>
        <v>27.83</v>
      </c>
      <c r="T125" s="24"/>
      <c r="U125" s="27"/>
      <c r="V125" s="27"/>
      <c r="W125" s="24"/>
      <c r="X125" s="24">
        <v>8</v>
      </c>
      <c r="Y125" s="24">
        <f t="shared" si="13"/>
        <v>8</v>
      </c>
      <c r="Z125" s="24">
        <f t="shared" si="14"/>
        <v>21.92</v>
      </c>
      <c r="AA125" s="24">
        <f t="shared" si="15"/>
        <v>63</v>
      </c>
      <c r="AB125" s="24">
        <f t="shared" si="15"/>
        <v>72.789999999999992</v>
      </c>
      <c r="AC125" s="28">
        <f t="shared" si="16"/>
        <v>374535</v>
      </c>
      <c r="AD125" s="28">
        <f t="shared" si="16"/>
        <v>432737</v>
      </c>
    </row>
    <row r="126" spans="1:30">
      <c r="A126" s="22" t="s">
        <v>199</v>
      </c>
      <c r="B126" s="22" t="s">
        <v>272</v>
      </c>
      <c r="C126" s="23" t="s">
        <v>273</v>
      </c>
      <c r="D126" s="16">
        <v>6012</v>
      </c>
      <c r="E126" s="24">
        <v>63</v>
      </c>
      <c r="F126" s="24"/>
      <c r="G126" s="24"/>
      <c r="H126" s="24"/>
      <c r="I126" s="24"/>
      <c r="J126" s="24"/>
      <c r="K126" s="24">
        <f t="shared" si="9"/>
        <v>63</v>
      </c>
      <c r="L126" s="24">
        <f t="shared" si="10"/>
        <v>45.36</v>
      </c>
      <c r="M126" s="25"/>
      <c r="N126" s="26"/>
      <c r="O126" s="26"/>
      <c r="P126" s="25"/>
      <c r="Q126" s="25">
        <v>14</v>
      </c>
      <c r="R126" s="25">
        <f t="shared" si="11"/>
        <v>14</v>
      </c>
      <c r="S126" s="25">
        <f t="shared" si="12"/>
        <v>16.939999999999998</v>
      </c>
      <c r="T126" s="24"/>
      <c r="U126" s="27"/>
      <c r="V126" s="27">
        <v>2</v>
      </c>
      <c r="W126" s="24"/>
      <c r="X126" s="24">
        <v>7</v>
      </c>
      <c r="Y126" s="24">
        <f t="shared" si="13"/>
        <v>9</v>
      </c>
      <c r="Z126" s="24">
        <f t="shared" si="14"/>
        <v>24.660000000000004</v>
      </c>
      <c r="AA126" s="24">
        <f t="shared" si="15"/>
        <v>86</v>
      </c>
      <c r="AB126" s="24">
        <f t="shared" si="15"/>
        <v>86.960000000000008</v>
      </c>
      <c r="AC126" s="28">
        <f t="shared" si="16"/>
        <v>517032</v>
      </c>
      <c r="AD126" s="28">
        <f t="shared" si="16"/>
        <v>522804</v>
      </c>
    </row>
    <row r="127" spans="1:30">
      <c r="A127" s="22" t="s">
        <v>199</v>
      </c>
      <c r="B127" s="22" t="s">
        <v>274</v>
      </c>
      <c r="C127" s="23" t="s">
        <v>275</v>
      </c>
      <c r="D127" s="16">
        <v>5883</v>
      </c>
      <c r="E127" s="24">
        <f>159+9</f>
        <v>168</v>
      </c>
      <c r="F127" s="24">
        <f>1+3</f>
        <v>4</v>
      </c>
      <c r="G127" s="24"/>
      <c r="H127" s="24">
        <v>1</v>
      </c>
      <c r="I127" s="24"/>
      <c r="J127" s="24"/>
      <c r="K127" s="24">
        <f t="shared" si="9"/>
        <v>173</v>
      </c>
      <c r="L127" s="24">
        <f t="shared" si="10"/>
        <v>124.56</v>
      </c>
      <c r="M127" s="25"/>
      <c r="N127" s="26"/>
      <c r="O127" s="26">
        <v>22</v>
      </c>
      <c r="P127" s="25"/>
      <c r="Q127" s="25">
        <f>46+1</f>
        <v>47</v>
      </c>
      <c r="R127" s="25">
        <f t="shared" si="11"/>
        <v>69</v>
      </c>
      <c r="S127" s="25">
        <f t="shared" si="12"/>
        <v>83.49</v>
      </c>
      <c r="T127" s="24"/>
      <c r="U127" s="27"/>
      <c r="V127" s="27">
        <v>4</v>
      </c>
      <c r="W127" s="24"/>
      <c r="X127" s="24">
        <f>16+1</f>
        <v>17</v>
      </c>
      <c r="Y127" s="24">
        <f t="shared" si="13"/>
        <v>21</v>
      </c>
      <c r="Z127" s="24">
        <f t="shared" si="14"/>
        <v>57.540000000000006</v>
      </c>
      <c r="AA127" s="24">
        <f t="shared" si="15"/>
        <v>263</v>
      </c>
      <c r="AB127" s="24">
        <f t="shared" si="15"/>
        <v>265.59000000000003</v>
      </c>
      <c r="AC127" s="28">
        <f t="shared" si="16"/>
        <v>1547229</v>
      </c>
      <c r="AD127" s="28">
        <f t="shared" si="16"/>
        <v>1562466</v>
      </c>
    </row>
    <row r="128" spans="1:30">
      <c r="A128" s="22" t="s">
        <v>199</v>
      </c>
      <c r="B128" s="22" t="s">
        <v>276</v>
      </c>
      <c r="C128" s="23" t="s">
        <v>277</v>
      </c>
      <c r="D128" s="16">
        <v>5883</v>
      </c>
      <c r="E128" s="24">
        <v>92</v>
      </c>
      <c r="F128" s="24"/>
      <c r="G128" s="24"/>
      <c r="H128" s="24"/>
      <c r="I128" s="24"/>
      <c r="J128" s="24"/>
      <c r="K128" s="24">
        <f t="shared" si="9"/>
        <v>92</v>
      </c>
      <c r="L128" s="24">
        <f t="shared" si="10"/>
        <v>66.239999999999995</v>
      </c>
      <c r="M128" s="25"/>
      <c r="N128" s="26"/>
      <c r="O128" s="26">
        <v>3</v>
      </c>
      <c r="P128" s="25"/>
      <c r="Q128" s="25">
        <v>22</v>
      </c>
      <c r="R128" s="25">
        <f t="shared" si="11"/>
        <v>25</v>
      </c>
      <c r="S128" s="25">
        <f t="shared" si="12"/>
        <v>30.25</v>
      </c>
      <c r="T128" s="24"/>
      <c r="U128" s="27"/>
      <c r="V128" s="27">
        <v>2</v>
      </c>
      <c r="W128" s="24"/>
      <c r="X128" s="24">
        <v>4</v>
      </c>
      <c r="Y128" s="24">
        <f t="shared" si="13"/>
        <v>6</v>
      </c>
      <c r="Z128" s="24">
        <f t="shared" si="14"/>
        <v>16.440000000000001</v>
      </c>
      <c r="AA128" s="24">
        <f t="shared" si="15"/>
        <v>123</v>
      </c>
      <c r="AB128" s="24">
        <f t="shared" si="15"/>
        <v>112.92999999999999</v>
      </c>
      <c r="AC128" s="28">
        <f t="shared" si="16"/>
        <v>723609</v>
      </c>
      <c r="AD128" s="28">
        <f t="shared" si="16"/>
        <v>664367</v>
      </c>
    </row>
    <row r="129" spans="1:30">
      <c r="A129" s="22" t="s">
        <v>199</v>
      </c>
      <c r="B129" s="22" t="s">
        <v>278</v>
      </c>
      <c r="C129" s="23" t="s">
        <v>279</v>
      </c>
      <c r="D129" s="16">
        <v>5883</v>
      </c>
      <c r="E129" s="24">
        <v>118</v>
      </c>
      <c r="F129" s="24">
        <v>2</v>
      </c>
      <c r="G129" s="24"/>
      <c r="H129" s="24">
        <v>3</v>
      </c>
      <c r="I129" s="24"/>
      <c r="J129" s="24"/>
      <c r="K129" s="24">
        <f t="shared" si="9"/>
        <v>123</v>
      </c>
      <c r="L129" s="24">
        <f t="shared" si="10"/>
        <v>88.56</v>
      </c>
      <c r="M129" s="25">
        <v>1</v>
      </c>
      <c r="N129" s="26"/>
      <c r="O129" s="26">
        <v>19</v>
      </c>
      <c r="P129" s="25"/>
      <c r="Q129" s="25">
        <v>57</v>
      </c>
      <c r="R129" s="25">
        <f t="shared" si="11"/>
        <v>77</v>
      </c>
      <c r="S129" s="25">
        <f t="shared" si="12"/>
        <v>93.17</v>
      </c>
      <c r="T129" s="24"/>
      <c r="U129" s="27"/>
      <c r="V129" s="27">
        <v>1</v>
      </c>
      <c r="W129" s="24"/>
      <c r="X129" s="24">
        <v>20</v>
      </c>
      <c r="Y129" s="24">
        <f t="shared" si="13"/>
        <v>21</v>
      </c>
      <c r="Z129" s="24">
        <f t="shared" si="14"/>
        <v>57.540000000000006</v>
      </c>
      <c r="AA129" s="24">
        <f t="shared" si="15"/>
        <v>221</v>
      </c>
      <c r="AB129" s="24">
        <f t="shared" si="15"/>
        <v>239.27</v>
      </c>
      <c r="AC129" s="28">
        <f t="shared" si="16"/>
        <v>1300143</v>
      </c>
      <c r="AD129" s="28">
        <f t="shared" si="16"/>
        <v>1407625</v>
      </c>
    </row>
    <row r="130" spans="1:30">
      <c r="A130" s="22" t="s">
        <v>199</v>
      </c>
      <c r="B130" s="22" t="s">
        <v>280</v>
      </c>
      <c r="C130" s="23" t="s">
        <v>281</v>
      </c>
      <c r="D130" s="16">
        <v>6058</v>
      </c>
      <c r="E130" s="24">
        <v>15</v>
      </c>
      <c r="F130" s="24"/>
      <c r="G130" s="24"/>
      <c r="H130" s="24"/>
      <c r="I130" s="24"/>
      <c r="J130" s="24"/>
      <c r="K130" s="24">
        <f t="shared" si="9"/>
        <v>15</v>
      </c>
      <c r="L130" s="24">
        <f t="shared" si="10"/>
        <v>10.799999999999999</v>
      </c>
      <c r="M130" s="25"/>
      <c r="N130" s="26"/>
      <c r="O130" s="26">
        <v>1</v>
      </c>
      <c r="P130" s="25"/>
      <c r="Q130" s="25">
        <v>2</v>
      </c>
      <c r="R130" s="25">
        <f t="shared" si="11"/>
        <v>3</v>
      </c>
      <c r="S130" s="25">
        <f t="shared" si="12"/>
        <v>3.63</v>
      </c>
      <c r="T130" s="24"/>
      <c r="U130" s="27"/>
      <c r="V130" s="27">
        <v>1</v>
      </c>
      <c r="W130" s="24"/>
      <c r="X130" s="24">
        <v>2</v>
      </c>
      <c r="Y130" s="24">
        <f t="shared" si="13"/>
        <v>3</v>
      </c>
      <c r="Z130" s="24">
        <f t="shared" si="14"/>
        <v>8.2200000000000006</v>
      </c>
      <c r="AA130" s="24">
        <f t="shared" si="15"/>
        <v>21</v>
      </c>
      <c r="AB130" s="24">
        <f t="shared" si="15"/>
        <v>22.65</v>
      </c>
      <c r="AC130" s="28">
        <f t="shared" si="16"/>
        <v>127218</v>
      </c>
      <c r="AD130" s="28">
        <f t="shared" si="16"/>
        <v>137214</v>
      </c>
    </row>
    <row r="131" spans="1:30">
      <c r="A131" s="22" t="s">
        <v>199</v>
      </c>
      <c r="B131" s="22" t="s">
        <v>282</v>
      </c>
      <c r="C131" s="23" t="s">
        <v>283</v>
      </c>
      <c r="D131" s="16">
        <v>5883</v>
      </c>
      <c r="E131" s="24">
        <v>13</v>
      </c>
      <c r="F131" s="24"/>
      <c r="G131" s="24"/>
      <c r="H131" s="24"/>
      <c r="I131" s="24"/>
      <c r="J131" s="24"/>
      <c r="K131" s="24">
        <f t="shared" si="9"/>
        <v>13</v>
      </c>
      <c r="L131" s="24">
        <f t="shared" si="10"/>
        <v>9.36</v>
      </c>
      <c r="M131" s="25"/>
      <c r="N131" s="26">
        <v>1</v>
      </c>
      <c r="O131" s="26"/>
      <c r="P131" s="25"/>
      <c r="Q131" s="25">
        <v>1</v>
      </c>
      <c r="R131" s="25">
        <f t="shared" si="11"/>
        <v>2</v>
      </c>
      <c r="S131" s="25">
        <f t="shared" si="12"/>
        <v>1.8199999999999998</v>
      </c>
      <c r="T131" s="24"/>
      <c r="U131" s="27"/>
      <c r="V131" s="27"/>
      <c r="W131" s="24"/>
      <c r="X131" s="24">
        <v>2</v>
      </c>
      <c r="Y131" s="24">
        <f t="shared" si="13"/>
        <v>2</v>
      </c>
      <c r="Z131" s="24">
        <f t="shared" si="14"/>
        <v>5.48</v>
      </c>
      <c r="AA131" s="24">
        <f t="shared" ref="AA131:AB194" si="18">+Y131+R131+K131</f>
        <v>17</v>
      </c>
      <c r="AB131" s="24">
        <f t="shared" si="18"/>
        <v>16.66</v>
      </c>
      <c r="AC131" s="28">
        <f t="shared" si="16"/>
        <v>100011</v>
      </c>
      <c r="AD131" s="28">
        <f t="shared" si="16"/>
        <v>98011</v>
      </c>
    </row>
    <row r="132" spans="1:30">
      <c r="A132" s="22" t="s">
        <v>199</v>
      </c>
      <c r="B132" s="22" t="s">
        <v>284</v>
      </c>
      <c r="C132" s="23" t="s">
        <v>285</v>
      </c>
      <c r="D132" s="16">
        <v>6058</v>
      </c>
      <c r="E132" s="24">
        <v>6</v>
      </c>
      <c r="F132" s="24"/>
      <c r="G132" s="24"/>
      <c r="H132" s="24"/>
      <c r="I132" s="24"/>
      <c r="J132" s="24"/>
      <c r="K132" s="24">
        <f t="shared" si="9"/>
        <v>6</v>
      </c>
      <c r="L132" s="24">
        <f t="shared" si="10"/>
        <v>4.32</v>
      </c>
      <c r="M132" s="25"/>
      <c r="N132" s="26"/>
      <c r="O132" s="26"/>
      <c r="P132" s="25"/>
      <c r="Q132" s="25">
        <v>2</v>
      </c>
      <c r="R132" s="25">
        <f t="shared" si="11"/>
        <v>2</v>
      </c>
      <c r="S132" s="25">
        <f t="shared" si="12"/>
        <v>2.42</v>
      </c>
      <c r="T132" s="24"/>
      <c r="U132" s="27">
        <v>1</v>
      </c>
      <c r="V132" s="27"/>
      <c r="W132" s="24"/>
      <c r="X132" s="24">
        <v>2</v>
      </c>
      <c r="Y132" s="24">
        <f t="shared" si="13"/>
        <v>3</v>
      </c>
      <c r="Z132" s="24">
        <f t="shared" si="14"/>
        <v>6.8500000000000005</v>
      </c>
      <c r="AA132" s="24">
        <f t="shared" si="18"/>
        <v>11</v>
      </c>
      <c r="AB132" s="24">
        <f t="shared" si="18"/>
        <v>13.59</v>
      </c>
      <c r="AC132" s="28">
        <f t="shared" si="16"/>
        <v>66638</v>
      </c>
      <c r="AD132" s="28">
        <f t="shared" si="16"/>
        <v>82328</v>
      </c>
    </row>
    <row r="133" spans="1:30">
      <c r="A133" s="22" t="s">
        <v>199</v>
      </c>
      <c r="B133" s="22" t="s">
        <v>286</v>
      </c>
      <c r="C133" s="23" t="s">
        <v>287</v>
      </c>
      <c r="D133" s="16">
        <v>5907</v>
      </c>
      <c r="E133" s="24">
        <v>28</v>
      </c>
      <c r="F133" s="24"/>
      <c r="G133" s="24"/>
      <c r="H133" s="24">
        <v>2</v>
      </c>
      <c r="I133" s="24"/>
      <c r="J133" s="24"/>
      <c r="K133" s="24">
        <f t="shared" ref="K133:K196" si="19">SUM(E133:J133)</f>
        <v>30</v>
      </c>
      <c r="L133" s="24">
        <f t="shared" ref="L133:L196" si="20">+K133*0.72</f>
        <v>21.599999999999998</v>
      </c>
      <c r="M133" s="25"/>
      <c r="N133" s="26"/>
      <c r="O133" s="26"/>
      <c r="P133" s="25"/>
      <c r="Q133" s="25">
        <v>10</v>
      </c>
      <c r="R133" s="25">
        <f t="shared" ref="R133:R196" si="21">SUM(M133:Q133)</f>
        <v>10</v>
      </c>
      <c r="S133" s="25">
        <f t="shared" ref="S133:S196" si="22">((+N133 +P133)*0.61+(+M133+O133+Q133)*1.21)</f>
        <v>12.1</v>
      </c>
      <c r="T133" s="24"/>
      <c r="U133" s="27"/>
      <c r="V133" s="27"/>
      <c r="W133" s="24"/>
      <c r="X133" s="24">
        <v>2</v>
      </c>
      <c r="Y133" s="24">
        <f t="shared" ref="Y133:Y196" si="23">SUM(T133:X133)</f>
        <v>2</v>
      </c>
      <c r="Z133" s="24">
        <f t="shared" ref="Z133:Z196" si="24">((+U133 +W133)*1.37+(+T133+V133+X133)*2.74)</f>
        <v>5.48</v>
      </c>
      <c r="AA133" s="24">
        <f t="shared" si="18"/>
        <v>42</v>
      </c>
      <c r="AB133" s="24">
        <f t="shared" si="18"/>
        <v>39.179999999999993</v>
      </c>
      <c r="AC133" s="28">
        <f t="shared" ref="AC133:AD196" si="25">ROUND((AA133*$D133),0)</f>
        <v>248094</v>
      </c>
      <c r="AD133" s="28">
        <f t="shared" si="25"/>
        <v>231436</v>
      </c>
    </row>
    <row r="134" spans="1:30">
      <c r="A134" s="22" t="s">
        <v>199</v>
      </c>
      <c r="B134" s="22" t="s">
        <v>288</v>
      </c>
      <c r="C134" s="23" t="s">
        <v>289</v>
      </c>
      <c r="D134" s="16">
        <v>5883</v>
      </c>
      <c r="E134" s="24">
        <v>102</v>
      </c>
      <c r="F134" s="24"/>
      <c r="G134" s="24"/>
      <c r="H134" s="24"/>
      <c r="I134" s="24"/>
      <c r="J134" s="24"/>
      <c r="K134" s="24">
        <f t="shared" si="19"/>
        <v>102</v>
      </c>
      <c r="L134" s="24">
        <f t="shared" si="20"/>
        <v>73.44</v>
      </c>
      <c r="M134" s="25"/>
      <c r="N134" s="26"/>
      <c r="O134" s="26">
        <v>5</v>
      </c>
      <c r="P134" s="25"/>
      <c r="Q134" s="25">
        <v>38</v>
      </c>
      <c r="R134" s="25">
        <f t="shared" si="21"/>
        <v>43</v>
      </c>
      <c r="S134" s="25">
        <f t="shared" si="22"/>
        <v>52.03</v>
      </c>
      <c r="T134" s="24">
        <v>1</v>
      </c>
      <c r="U134" s="27"/>
      <c r="V134" s="27">
        <v>2</v>
      </c>
      <c r="W134" s="24"/>
      <c r="X134" s="24">
        <v>25</v>
      </c>
      <c r="Y134" s="24">
        <f t="shared" si="23"/>
        <v>28</v>
      </c>
      <c r="Z134" s="24">
        <f t="shared" si="24"/>
        <v>76.72</v>
      </c>
      <c r="AA134" s="24">
        <f t="shared" si="18"/>
        <v>173</v>
      </c>
      <c r="AB134" s="24">
        <f t="shared" si="18"/>
        <v>202.19</v>
      </c>
      <c r="AC134" s="28">
        <f t="shared" si="25"/>
        <v>1017759</v>
      </c>
      <c r="AD134" s="28">
        <f t="shared" si="25"/>
        <v>1189484</v>
      </c>
    </row>
    <row r="135" spans="1:30" ht="12" thickBot="1">
      <c r="A135" s="22" t="s">
        <v>199</v>
      </c>
      <c r="B135" s="22" t="s">
        <v>290</v>
      </c>
      <c r="C135" s="23" t="s">
        <v>291</v>
      </c>
      <c r="D135" s="16">
        <v>5935</v>
      </c>
      <c r="E135" s="24">
        <v>30</v>
      </c>
      <c r="F135" s="24">
        <v>1</v>
      </c>
      <c r="G135" s="24"/>
      <c r="H135" s="24"/>
      <c r="I135" s="24"/>
      <c r="J135" s="24"/>
      <c r="K135" s="24">
        <f t="shared" si="19"/>
        <v>31</v>
      </c>
      <c r="L135" s="24">
        <f t="shared" si="20"/>
        <v>22.32</v>
      </c>
      <c r="M135" s="25">
        <v>1</v>
      </c>
      <c r="N135" s="26"/>
      <c r="O135" s="26">
        <v>1</v>
      </c>
      <c r="P135" s="25"/>
      <c r="Q135" s="25">
        <v>6</v>
      </c>
      <c r="R135" s="25">
        <f t="shared" si="21"/>
        <v>8</v>
      </c>
      <c r="S135" s="25">
        <f t="shared" si="22"/>
        <v>9.68</v>
      </c>
      <c r="T135" s="24"/>
      <c r="U135" s="27"/>
      <c r="V135" s="27">
        <v>2</v>
      </c>
      <c r="W135" s="24"/>
      <c r="X135" s="24">
        <v>10</v>
      </c>
      <c r="Y135" s="24">
        <f t="shared" si="23"/>
        <v>12</v>
      </c>
      <c r="Z135" s="24">
        <f t="shared" si="24"/>
        <v>32.880000000000003</v>
      </c>
      <c r="AA135" s="24">
        <f t="shared" si="18"/>
        <v>51</v>
      </c>
      <c r="AB135" s="24">
        <f t="shared" si="18"/>
        <v>64.88</v>
      </c>
      <c r="AC135" s="28">
        <f t="shared" si="25"/>
        <v>302685</v>
      </c>
      <c r="AD135" s="28">
        <f t="shared" si="25"/>
        <v>385063</v>
      </c>
    </row>
    <row r="136" spans="1:30" ht="12" thickBot="1">
      <c r="A136" s="34"/>
      <c r="B136" s="35"/>
      <c r="C136" s="36" t="s">
        <v>292</v>
      </c>
      <c r="D136" s="37"/>
      <c r="E136" s="38">
        <f t="shared" ref="E136:AD136" si="26">SUM(E90:E135)</f>
        <v>2329</v>
      </c>
      <c r="F136" s="38">
        <f t="shared" si="26"/>
        <v>47</v>
      </c>
      <c r="G136" s="38">
        <f t="shared" si="26"/>
        <v>0</v>
      </c>
      <c r="H136" s="38">
        <f t="shared" si="26"/>
        <v>11</v>
      </c>
      <c r="I136" s="38">
        <f t="shared" si="26"/>
        <v>0</v>
      </c>
      <c r="J136" s="38">
        <f t="shared" si="26"/>
        <v>0</v>
      </c>
      <c r="K136" s="38">
        <f t="shared" si="26"/>
        <v>2387</v>
      </c>
      <c r="L136" s="38">
        <f t="shared" si="26"/>
        <v>1718.6399999999994</v>
      </c>
      <c r="M136" s="38">
        <f t="shared" si="26"/>
        <v>18</v>
      </c>
      <c r="N136" s="39">
        <f t="shared" si="26"/>
        <v>27</v>
      </c>
      <c r="O136" s="39">
        <f t="shared" si="26"/>
        <v>175</v>
      </c>
      <c r="P136" s="38">
        <f t="shared" si="26"/>
        <v>0</v>
      </c>
      <c r="Q136" s="38">
        <f t="shared" si="26"/>
        <v>762</v>
      </c>
      <c r="R136" s="38">
        <f t="shared" si="26"/>
        <v>982</v>
      </c>
      <c r="S136" s="38">
        <f t="shared" si="26"/>
        <v>1172.0200000000004</v>
      </c>
      <c r="T136" s="38">
        <f t="shared" si="26"/>
        <v>4</v>
      </c>
      <c r="U136" s="40">
        <f t="shared" si="26"/>
        <v>8</v>
      </c>
      <c r="V136" s="40">
        <f t="shared" si="26"/>
        <v>42</v>
      </c>
      <c r="W136" s="38">
        <f t="shared" si="26"/>
        <v>0</v>
      </c>
      <c r="X136" s="38">
        <f t="shared" si="26"/>
        <v>314</v>
      </c>
      <c r="Y136" s="38">
        <f t="shared" si="26"/>
        <v>368</v>
      </c>
      <c r="Z136" s="38">
        <f t="shared" si="26"/>
        <v>997.36000000000013</v>
      </c>
      <c r="AA136" s="38">
        <f t="shared" si="26"/>
        <v>3737</v>
      </c>
      <c r="AB136" s="41">
        <f t="shared" si="26"/>
        <v>3888.0199999999991</v>
      </c>
      <c r="AC136" s="42">
        <f t="shared" si="26"/>
        <v>22139422</v>
      </c>
      <c r="AD136" s="43">
        <f t="shared" si="26"/>
        <v>23033473</v>
      </c>
    </row>
    <row r="137" spans="1:30">
      <c r="A137" s="22" t="s">
        <v>293</v>
      </c>
      <c r="B137" s="22" t="s">
        <v>294</v>
      </c>
      <c r="C137" s="23" t="s">
        <v>295</v>
      </c>
      <c r="D137" s="16">
        <v>5948</v>
      </c>
      <c r="E137" s="24">
        <v>32</v>
      </c>
      <c r="F137" s="24"/>
      <c r="G137" s="24"/>
      <c r="H137" s="24"/>
      <c r="I137" s="24"/>
      <c r="J137" s="24"/>
      <c r="K137" s="24">
        <f t="shared" si="19"/>
        <v>32</v>
      </c>
      <c r="L137" s="24">
        <f t="shared" si="20"/>
        <v>23.04</v>
      </c>
      <c r="M137" s="25"/>
      <c r="N137" s="26"/>
      <c r="O137" s="26">
        <v>1</v>
      </c>
      <c r="P137" s="25"/>
      <c r="Q137" s="25">
        <v>7</v>
      </c>
      <c r="R137" s="25">
        <f t="shared" si="21"/>
        <v>8</v>
      </c>
      <c r="S137" s="25">
        <f t="shared" si="22"/>
        <v>9.68</v>
      </c>
      <c r="T137" s="24"/>
      <c r="U137" s="27"/>
      <c r="V137" s="27"/>
      <c r="W137" s="24"/>
      <c r="X137" s="24">
        <v>7</v>
      </c>
      <c r="Y137" s="24">
        <f t="shared" si="23"/>
        <v>7</v>
      </c>
      <c r="Z137" s="24">
        <f t="shared" si="24"/>
        <v>19.18</v>
      </c>
      <c r="AA137" s="24">
        <f t="shared" si="18"/>
        <v>47</v>
      </c>
      <c r="AB137" s="24">
        <f t="shared" si="18"/>
        <v>51.9</v>
      </c>
      <c r="AC137" s="28">
        <f t="shared" si="25"/>
        <v>279556</v>
      </c>
      <c r="AD137" s="28">
        <f t="shared" si="25"/>
        <v>308701</v>
      </c>
    </row>
    <row r="138" spans="1:30">
      <c r="A138" s="22" t="s">
        <v>293</v>
      </c>
      <c r="B138" s="22" t="s">
        <v>296</v>
      </c>
      <c r="C138" s="23" t="s">
        <v>297</v>
      </c>
      <c r="D138" s="16">
        <v>5940</v>
      </c>
      <c r="E138" s="24">
        <v>61</v>
      </c>
      <c r="F138" s="24"/>
      <c r="G138" s="24"/>
      <c r="H138" s="24"/>
      <c r="I138" s="24"/>
      <c r="J138" s="24"/>
      <c r="K138" s="24">
        <f t="shared" si="19"/>
        <v>61</v>
      </c>
      <c r="L138" s="24">
        <f t="shared" si="20"/>
        <v>43.92</v>
      </c>
      <c r="M138" s="25"/>
      <c r="N138" s="26">
        <v>1</v>
      </c>
      <c r="O138" s="26">
        <v>2</v>
      </c>
      <c r="P138" s="25"/>
      <c r="Q138" s="25">
        <v>6</v>
      </c>
      <c r="R138" s="25">
        <f t="shared" si="21"/>
        <v>9</v>
      </c>
      <c r="S138" s="25">
        <f t="shared" si="22"/>
        <v>10.29</v>
      </c>
      <c r="T138" s="24"/>
      <c r="U138" s="27"/>
      <c r="V138" s="27">
        <v>5</v>
      </c>
      <c r="W138" s="24"/>
      <c r="X138" s="24">
        <v>6</v>
      </c>
      <c r="Y138" s="24">
        <f t="shared" si="23"/>
        <v>11</v>
      </c>
      <c r="Z138" s="24">
        <f t="shared" si="24"/>
        <v>30.14</v>
      </c>
      <c r="AA138" s="24">
        <f t="shared" si="18"/>
        <v>81</v>
      </c>
      <c r="AB138" s="24">
        <f t="shared" si="18"/>
        <v>84.35</v>
      </c>
      <c r="AC138" s="28">
        <f t="shared" si="25"/>
        <v>481140</v>
      </c>
      <c r="AD138" s="28">
        <f t="shared" si="25"/>
        <v>501039</v>
      </c>
    </row>
    <row r="139" spans="1:30">
      <c r="A139" s="22" t="s">
        <v>293</v>
      </c>
      <c r="B139" s="22" t="s">
        <v>298</v>
      </c>
      <c r="C139" s="23" t="s">
        <v>299</v>
      </c>
      <c r="D139" s="16">
        <v>6014</v>
      </c>
      <c r="E139" s="24">
        <v>14</v>
      </c>
      <c r="F139" s="24"/>
      <c r="G139" s="24"/>
      <c r="H139" s="24"/>
      <c r="I139" s="24"/>
      <c r="J139" s="24"/>
      <c r="K139" s="24">
        <f t="shared" si="19"/>
        <v>14</v>
      </c>
      <c r="L139" s="24">
        <f t="shared" si="20"/>
        <v>10.08</v>
      </c>
      <c r="M139" s="25"/>
      <c r="N139" s="26"/>
      <c r="O139" s="26"/>
      <c r="P139" s="25"/>
      <c r="Q139" s="25">
        <v>1</v>
      </c>
      <c r="R139" s="25">
        <f t="shared" si="21"/>
        <v>1</v>
      </c>
      <c r="S139" s="25">
        <f t="shared" si="22"/>
        <v>1.21</v>
      </c>
      <c r="T139" s="24"/>
      <c r="U139" s="27"/>
      <c r="V139" s="27"/>
      <c r="W139" s="24"/>
      <c r="X139" s="24">
        <v>1</v>
      </c>
      <c r="Y139" s="24">
        <f t="shared" si="23"/>
        <v>1</v>
      </c>
      <c r="Z139" s="24">
        <f t="shared" si="24"/>
        <v>2.74</v>
      </c>
      <c r="AA139" s="24">
        <f t="shared" si="18"/>
        <v>16</v>
      </c>
      <c r="AB139" s="24">
        <f t="shared" si="18"/>
        <v>14.030000000000001</v>
      </c>
      <c r="AC139" s="28">
        <f t="shared" si="25"/>
        <v>96224</v>
      </c>
      <c r="AD139" s="28">
        <f t="shared" si="25"/>
        <v>84376</v>
      </c>
    </row>
    <row r="140" spans="1:30">
      <c r="A140" s="22" t="s">
        <v>293</v>
      </c>
      <c r="B140" s="22" t="s">
        <v>300</v>
      </c>
      <c r="C140" s="23" t="s">
        <v>301</v>
      </c>
      <c r="D140" s="16">
        <v>5957</v>
      </c>
      <c r="E140" s="24">
        <v>225</v>
      </c>
      <c r="F140" s="24"/>
      <c r="G140" s="24"/>
      <c r="H140" s="24"/>
      <c r="I140" s="24"/>
      <c r="J140" s="24"/>
      <c r="K140" s="24">
        <f t="shared" si="19"/>
        <v>225</v>
      </c>
      <c r="L140" s="24">
        <f t="shared" si="20"/>
        <v>162</v>
      </c>
      <c r="M140" s="25"/>
      <c r="N140" s="26">
        <v>1</v>
      </c>
      <c r="O140" s="26">
        <v>24</v>
      </c>
      <c r="P140" s="25"/>
      <c r="Q140" s="25">
        <v>81</v>
      </c>
      <c r="R140" s="25">
        <f t="shared" si="21"/>
        <v>106</v>
      </c>
      <c r="S140" s="25">
        <f t="shared" si="22"/>
        <v>127.66</v>
      </c>
      <c r="T140" s="24"/>
      <c r="U140" s="27">
        <v>1</v>
      </c>
      <c r="V140" s="27">
        <v>4</v>
      </c>
      <c r="W140" s="24"/>
      <c r="X140" s="24">
        <v>60</v>
      </c>
      <c r="Y140" s="24">
        <f t="shared" si="23"/>
        <v>65</v>
      </c>
      <c r="Z140" s="24">
        <f t="shared" si="24"/>
        <v>176.73000000000002</v>
      </c>
      <c r="AA140" s="24">
        <f t="shared" si="18"/>
        <v>396</v>
      </c>
      <c r="AB140" s="24">
        <f t="shared" si="18"/>
        <v>466.39</v>
      </c>
      <c r="AC140" s="28">
        <f t="shared" si="25"/>
        <v>2358972</v>
      </c>
      <c r="AD140" s="28">
        <f t="shared" si="25"/>
        <v>2778285</v>
      </c>
    </row>
    <row r="141" spans="1:30">
      <c r="A141" s="22" t="s">
        <v>293</v>
      </c>
      <c r="B141" s="22" t="s">
        <v>302</v>
      </c>
      <c r="C141" s="23" t="s">
        <v>303</v>
      </c>
      <c r="D141" s="16">
        <v>5942</v>
      </c>
      <c r="E141" s="24">
        <v>30</v>
      </c>
      <c r="F141" s="24"/>
      <c r="G141" s="24"/>
      <c r="H141" s="24"/>
      <c r="I141" s="24"/>
      <c r="J141" s="24"/>
      <c r="K141" s="24">
        <f t="shared" si="19"/>
        <v>30</v>
      </c>
      <c r="L141" s="24">
        <f t="shared" si="20"/>
        <v>21.599999999999998</v>
      </c>
      <c r="M141" s="25"/>
      <c r="N141" s="26">
        <v>4</v>
      </c>
      <c r="O141" s="26">
        <v>2</v>
      </c>
      <c r="P141" s="25"/>
      <c r="Q141" s="25">
        <v>10</v>
      </c>
      <c r="R141" s="25">
        <f t="shared" si="21"/>
        <v>16</v>
      </c>
      <c r="S141" s="25">
        <f t="shared" si="22"/>
        <v>16.96</v>
      </c>
      <c r="T141" s="24"/>
      <c r="U141" s="27">
        <v>1</v>
      </c>
      <c r="V141" s="27"/>
      <c r="W141" s="24"/>
      <c r="X141" s="24">
        <v>7</v>
      </c>
      <c r="Y141" s="24">
        <f t="shared" si="23"/>
        <v>8</v>
      </c>
      <c r="Z141" s="24">
        <f t="shared" si="24"/>
        <v>20.55</v>
      </c>
      <c r="AA141" s="24">
        <f t="shared" si="18"/>
        <v>54</v>
      </c>
      <c r="AB141" s="24">
        <f t="shared" si="18"/>
        <v>59.11</v>
      </c>
      <c r="AC141" s="28">
        <f t="shared" si="25"/>
        <v>320868</v>
      </c>
      <c r="AD141" s="28">
        <f t="shared" si="25"/>
        <v>351232</v>
      </c>
    </row>
    <row r="142" spans="1:30">
      <c r="A142" s="22" t="s">
        <v>293</v>
      </c>
      <c r="B142" s="22" t="s">
        <v>304</v>
      </c>
      <c r="C142" s="23" t="s">
        <v>305</v>
      </c>
      <c r="D142" s="16">
        <v>5883</v>
      </c>
      <c r="E142" s="24">
        <v>63</v>
      </c>
      <c r="F142" s="24"/>
      <c r="G142" s="24"/>
      <c r="H142" s="24"/>
      <c r="I142" s="24"/>
      <c r="J142" s="24"/>
      <c r="K142" s="24">
        <f t="shared" si="19"/>
        <v>63</v>
      </c>
      <c r="L142" s="24">
        <f t="shared" si="20"/>
        <v>45.36</v>
      </c>
      <c r="M142" s="25"/>
      <c r="N142" s="26">
        <v>11</v>
      </c>
      <c r="O142" s="26">
        <v>2</v>
      </c>
      <c r="P142" s="25"/>
      <c r="Q142" s="25">
        <v>19</v>
      </c>
      <c r="R142" s="25">
        <f t="shared" si="21"/>
        <v>32</v>
      </c>
      <c r="S142" s="25">
        <f t="shared" si="22"/>
        <v>32.119999999999997</v>
      </c>
      <c r="T142" s="24"/>
      <c r="U142" s="27"/>
      <c r="V142" s="27"/>
      <c r="W142" s="24"/>
      <c r="X142" s="24">
        <v>14</v>
      </c>
      <c r="Y142" s="24">
        <f t="shared" si="23"/>
        <v>14</v>
      </c>
      <c r="Z142" s="24">
        <f t="shared" si="24"/>
        <v>38.36</v>
      </c>
      <c r="AA142" s="24">
        <f t="shared" si="18"/>
        <v>109</v>
      </c>
      <c r="AB142" s="24">
        <f t="shared" si="18"/>
        <v>115.83999999999999</v>
      </c>
      <c r="AC142" s="28">
        <f t="shared" si="25"/>
        <v>641247</v>
      </c>
      <c r="AD142" s="28">
        <f t="shared" si="25"/>
        <v>681487</v>
      </c>
    </row>
    <row r="143" spans="1:30">
      <c r="A143" s="22" t="s">
        <v>293</v>
      </c>
      <c r="B143" s="22" t="s">
        <v>306</v>
      </c>
      <c r="C143" s="23" t="s">
        <v>307</v>
      </c>
      <c r="D143" s="16">
        <v>5883</v>
      </c>
      <c r="E143" s="24">
        <v>88</v>
      </c>
      <c r="F143" s="24"/>
      <c r="G143" s="24"/>
      <c r="H143" s="24"/>
      <c r="I143" s="24"/>
      <c r="J143" s="24"/>
      <c r="K143" s="24">
        <f t="shared" si="19"/>
        <v>88</v>
      </c>
      <c r="L143" s="24">
        <f t="shared" si="20"/>
        <v>63.36</v>
      </c>
      <c r="M143" s="25"/>
      <c r="N143" s="26">
        <v>13</v>
      </c>
      <c r="O143" s="26">
        <v>5</v>
      </c>
      <c r="P143" s="25"/>
      <c r="Q143" s="25">
        <v>48</v>
      </c>
      <c r="R143" s="25">
        <f t="shared" si="21"/>
        <v>66</v>
      </c>
      <c r="S143" s="25">
        <f t="shared" si="22"/>
        <v>72.06</v>
      </c>
      <c r="T143" s="24"/>
      <c r="U143" s="27">
        <v>1</v>
      </c>
      <c r="V143" s="27"/>
      <c r="W143" s="24"/>
      <c r="X143" s="24">
        <v>23</v>
      </c>
      <c r="Y143" s="24">
        <f t="shared" si="23"/>
        <v>24</v>
      </c>
      <c r="Z143" s="24">
        <f t="shared" si="24"/>
        <v>64.39</v>
      </c>
      <c r="AA143" s="24">
        <f t="shared" si="18"/>
        <v>178</v>
      </c>
      <c r="AB143" s="24">
        <f t="shared" si="18"/>
        <v>199.81</v>
      </c>
      <c r="AC143" s="28">
        <f t="shared" si="25"/>
        <v>1047174</v>
      </c>
      <c r="AD143" s="28">
        <f t="shared" si="25"/>
        <v>1175482</v>
      </c>
    </row>
    <row r="144" spans="1:30">
      <c r="A144" s="22" t="s">
        <v>293</v>
      </c>
      <c r="B144" s="22" t="s">
        <v>308</v>
      </c>
      <c r="C144" s="23" t="s">
        <v>309</v>
      </c>
      <c r="D144" s="16">
        <v>5929</v>
      </c>
      <c r="E144" s="24">
        <v>450</v>
      </c>
      <c r="F144" s="24"/>
      <c r="G144" s="24"/>
      <c r="H144" s="24"/>
      <c r="I144" s="24"/>
      <c r="J144" s="24"/>
      <c r="K144" s="24">
        <f t="shared" si="19"/>
        <v>450</v>
      </c>
      <c r="L144" s="24">
        <f t="shared" si="20"/>
        <v>324</v>
      </c>
      <c r="M144" s="25"/>
      <c r="N144" s="26">
        <v>93</v>
      </c>
      <c r="O144" s="26">
        <v>10</v>
      </c>
      <c r="P144" s="25"/>
      <c r="Q144" s="25">
        <v>186</v>
      </c>
      <c r="R144" s="25">
        <f t="shared" si="21"/>
        <v>289</v>
      </c>
      <c r="S144" s="25">
        <f t="shared" si="22"/>
        <v>293.89</v>
      </c>
      <c r="T144" s="24"/>
      <c r="U144" s="27">
        <v>4</v>
      </c>
      <c r="V144" s="27">
        <v>2</v>
      </c>
      <c r="W144" s="24"/>
      <c r="X144" s="24">
        <v>115</v>
      </c>
      <c r="Y144" s="24">
        <f t="shared" si="23"/>
        <v>121</v>
      </c>
      <c r="Z144" s="24">
        <f t="shared" si="24"/>
        <v>326.06000000000006</v>
      </c>
      <c r="AA144" s="24">
        <f t="shared" si="18"/>
        <v>860</v>
      </c>
      <c r="AB144" s="24">
        <f t="shared" si="18"/>
        <v>943.95</v>
      </c>
      <c r="AC144" s="28">
        <f t="shared" si="25"/>
        <v>5098940</v>
      </c>
      <c r="AD144" s="28">
        <f t="shared" si="25"/>
        <v>5596680</v>
      </c>
    </row>
    <row r="145" spans="1:30">
      <c r="A145" s="22" t="s">
        <v>293</v>
      </c>
      <c r="B145" s="22" t="s">
        <v>310</v>
      </c>
      <c r="C145" s="23" t="s">
        <v>311</v>
      </c>
      <c r="D145" s="16">
        <v>5883</v>
      </c>
      <c r="E145" s="24">
        <v>64</v>
      </c>
      <c r="F145" s="24"/>
      <c r="G145" s="24"/>
      <c r="H145" s="24"/>
      <c r="I145" s="24"/>
      <c r="J145" s="24"/>
      <c r="K145" s="24">
        <f t="shared" si="19"/>
        <v>64</v>
      </c>
      <c r="L145" s="24">
        <f t="shared" si="20"/>
        <v>46.08</v>
      </c>
      <c r="M145" s="25"/>
      <c r="N145" s="26"/>
      <c r="O145" s="26">
        <v>11</v>
      </c>
      <c r="P145" s="25"/>
      <c r="Q145" s="25">
        <v>28</v>
      </c>
      <c r="R145" s="25">
        <f t="shared" si="21"/>
        <v>39</v>
      </c>
      <c r="S145" s="25">
        <f t="shared" si="22"/>
        <v>47.19</v>
      </c>
      <c r="T145" s="24"/>
      <c r="U145" s="27"/>
      <c r="V145" s="27">
        <v>6</v>
      </c>
      <c r="W145" s="24"/>
      <c r="X145" s="24">
        <v>18</v>
      </c>
      <c r="Y145" s="24">
        <f t="shared" si="23"/>
        <v>24</v>
      </c>
      <c r="Z145" s="24">
        <f t="shared" si="24"/>
        <v>65.760000000000005</v>
      </c>
      <c r="AA145" s="24">
        <f t="shared" si="18"/>
        <v>127</v>
      </c>
      <c r="AB145" s="24">
        <f t="shared" si="18"/>
        <v>159.03</v>
      </c>
      <c r="AC145" s="28">
        <f t="shared" si="25"/>
        <v>747141</v>
      </c>
      <c r="AD145" s="28">
        <f t="shared" si="25"/>
        <v>935573</v>
      </c>
    </row>
    <row r="146" spans="1:30">
      <c r="A146" s="22" t="s">
        <v>293</v>
      </c>
      <c r="B146" s="22" t="s">
        <v>312</v>
      </c>
      <c r="C146" s="23" t="s">
        <v>313</v>
      </c>
      <c r="D146" s="16">
        <v>5883</v>
      </c>
      <c r="E146" s="24">
        <v>1059</v>
      </c>
      <c r="F146" s="24"/>
      <c r="G146" s="24"/>
      <c r="H146" s="24">
        <v>52</v>
      </c>
      <c r="I146" s="24"/>
      <c r="J146" s="24">
        <v>9</v>
      </c>
      <c r="K146" s="24">
        <f t="shared" si="19"/>
        <v>1120</v>
      </c>
      <c r="L146" s="24">
        <f t="shared" si="20"/>
        <v>806.4</v>
      </c>
      <c r="M146" s="25"/>
      <c r="N146" s="26"/>
      <c r="O146" s="26">
        <v>129</v>
      </c>
      <c r="P146" s="25"/>
      <c r="Q146" s="25">
        <v>253</v>
      </c>
      <c r="R146" s="25">
        <f t="shared" si="21"/>
        <v>382</v>
      </c>
      <c r="S146" s="25">
        <f t="shared" si="22"/>
        <v>462.21999999999997</v>
      </c>
      <c r="T146" s="24"/>
      <c r="U146" s="27"/>
      <c r="V146" s="27">
        <v>27</v>
      </c>
      <c r="W146" s="24"/>
      <c r="X146" s="24">
        <v>307</v>
      </c>
      <c r="Y146" s="24">
        <f t="shared" si="23"/>
        <v>334</v>
      </c>
      <c r="Z146" s="24">
        <f t="shared" si="24"/>
        <v>915.16000000000008</v>
      </c>
      <c r="AA146" s="24">
        <f t="shared" si="18"/>
        <v>1836</v>
      </c>
      <c r="AB146" s="24">
        <f t="shared" si="18"/>
        <v>2183.7800000000002</v>
      </c>
      <c r="AC146" s="28">
        <f t="shared" si="25"/>
        <v>10801188</v>
      </c>
      <c r="AD146" s="28">
        <f t="shared" si="25"/>
        <v>12847178</v>
      </c>
    </row>
    <row r="147" spans="1:30">
      <c r="A147" s="22" t="s">
        <v>293</v>
      </c>
      <c r="B147" s="22" t="s">
        <v>314</v>
      </c>
      <c r="C147" s="23" t="s">
        <v>315</v>
      </c>
      <c r="D147" s="16">
        <v>6058</v>
      </c>
      <c r="E147" s="24">
        <v>24</v>
      </c>
      <c r="F147" s="24"/>
      <c r="G147" s="24"/>
      <c r="H147" s="24"/>
      <c r="I147" s="24"/>
      <c r="J147" s="24"/>
      <c r="K147" s="24">
        <f t="shared" si="19"/>
        <v>24</v>
      </c>
      <c r="L147" s="24">
        <f t="shared" si="20"/>
        <v>17.28</v>
      </c>
      <c r="M147" s="25"/>
      <c r="N147" s="26"/>
      <c r="O147" s="26">
        <v>2</v>
      </c>
      <c r="P147" s="25"/>
      <c r="Q147" s="25">
        <v>10</v>
      </c>
      <c r="R147" s="25">
        <f t="shared" si="21"/>
        <v>12</v>
      </c>
      <c r="S147" s="25">
        <f t="shared" si="22"/>
        <v>14.52</v>
      </c>
      <c r="T147" s="24"/>
      <c r="U147" s="27"/>
      <c r="V147" s="27">
        <v>1</v>
      </c>
      <c r="W147" s="24"/>
      <c r="X147" s="24">
        <v>4</v>
      </c>
      <c r="Y147" s="24">
        <f t="shared" si="23"/>
        <v>5</v>
      </c>
      <c r="Z147" s="24">
        <f t="shared" si="24"/>
        <v>13.700000000000001</v>
      </c>
      <c r="AA147" s="24">
        <f t="shared" si="18"/>
        <v>41</v>
      </c>
      <c r="AB147" s="24">
        <f t="shared" si="18"/>
        <v>45.5</v>
      </c>
      <c r="AC147" s="28">
        <f t="shared" si="25"/>
        <v>248378</v>
      </c>
      <c r="AD147" s="28">
        <f t="shared" si="25"/>
        <v>275639</v>
      </c>
    </row>
    <row r="148" spans="1:30">
      <c r="A148" s="22" t="s">
        <v>293</v>
      </c>
      <c r="B148" s="22" t="s">
        <v>316</v>
      </c>
      <c r="C148" s="23" t="s">
        <v>317</v>
      </c>
      <c r="D148" s="16">
        <v>5929</v>
      </c>
      <c r="E148" s="24">
        <v>38</v>
      </c>
      <c r="F148" s="24"/>
      <c r="G148" s="24"/>
      <c r="H148" s="24"/>
      <c r="I148" s="24"/>
      <c r="J148" s="24"/>
      <c r="K148" s="24">
        <f t="shared" si="19"/>
        <v>38</v>
      </c>
      <c r="L148" s="24">
        <f t="shared" si="20"/>
        <v>27.36</v>
      </c>
      <c r="M148" s="25"/>
      <c r="N148" s="26"/>
      <c r="O148" s="26">
        <v>4</v>
      </c>
      <c r="P148" s="25"/>
      <c r="Q148" s="25">
        <v>5</v>
      </c>
      <c r="R148" s="25">
        <f t="shared" si="21"/>
        <v>9</v>
      </c>
      <c r="S148" s="25">
        <f t="shared" si="22"/>
        <v>10.89</v>
      </c>
      <c r="T148" s="24">
        <v>1</v>
      </c>
      <c r="U148" s="27">
        <v>1</v>
      </c>
      <c r="V148" s="27">
        <v>1</v>
      </c>
      <c r="W148" s="24"/>
      <c r="X148" s="24">
        <v>10</v>
      </c>
      <c r="Y148" s="24">
        <f t="shared" si="23"/>
        <v>13</v>
      </c>
      <c r="Z148" s="24">
        <f t="shared" si="24"/>
        <v>34.25</v>
      </c>
      <c r="AA148" s="24">
        <f t="shared" si="18"/>
        <v>60</v>
      </c>
      <c r="AB148" s="24">
        <f t="shared" si="18"/>
        <v>72.5</v>
      </c>
      <c r="AC148" s="28">
        <f t="shared" si="25"/>
        <v>355740</v>
      </c>
      <c r="AD148" s="28">
        <f t="shared" si="25"/>
        <v>429853</v>
      </c>
    </row>
    <row r="149" spans="1:30">
      <c r="A149" s="22" t="s">
        <v>293</v>
      </c>
      <c r="B149" s="22" t="s">
        <v>318</v>
      </c>
      <c r="C149" s="23" t="s">
        <v>319</v>
      </c>
      <c r="D149" s="16">
        <v>5883</v>
      </c>
      <c r="E149" s="24">
        <v>36</v>
      </c>
      <c r="F149" s="24"/>
      <c r="G149" s="24"/>
      <c r="H149" s="24"/>
      <c r="I149" s="24"/>
      <c r="J149" s="24"/>
      <c r="K149" s="24">
        <f t="shared" si="19"/>
        <v>36</v>
      </c>
      <c r="L149" s="24">
        <f t="shared" si="20"/>
        <v>25.919999999999998</v>
      </c>
      <c r="M149" s="25"/>
      <c r="N149" s="26">
        <v>2</v>
      </c>
      <c r="O149" s="26">
        <v>2</v>
      </c>
      <c r="P149" s="25"/>
      <c r="Q149" s="25">
        <v>14</v>
      </c>
      <c r="R149" s="25">
        <f t="shared" si="21"/>
        <v>18</v>
      </c>
      <c r="S149" s="25">
        <f t="shared" si="22"/>
        <v>20.58</v>
      </c>
      <c r="T149" s="24"/>
      <c r="U149" s="27"/>
      <c r="V149" s="27"/>
      <c r="W149" s="24"/>
      <c r="X149" s="24">
        <v>5</v>
      </c>
      <c r="Y149" s="24">
        <f t="shared" si="23"/>
        <v>5</v>
      </c>
      <c r="Z149" s="24">
        <f t="shared" si="24"/>
        <v>13.700000000000001</v>
      </c>
      <c r="AA149" s="24">
        <f t="shared" si="18"/>
        <v>59</v>
      </c>
      <c r="AB149" s="24">
        <f t="shared" si="18"/>
        <v>60.2</v>
      </c>
      <c r="AC149" s="28">
        <f t="shared" si="25"/>
        <v>347097</v>
      </c>
      <c r="AD149" s="28">
        <f t="shared" si="25"/>
        <v>354157</v>
      </c>
    </row>
    <row r="150" spans="1:30">
      <c r="A150" s="22" t="s">
        <v>293</v>
      </c>
      <c r="B150" s="22" t="s">
        <v>320</v>
      </c>
      <c r="C150" s="23" t="s">
        <v>321</v>
      </c>
      <c r="D150" s="16">
        <v>5883</v>
      </c>
      <c r="E150" s="24">
        <v>54</v>
      </c>
      <c r="F150" s="24"/>
      <c r="G150" s="24"/>
      <c r="H150" s="24"/>
      <c r="I150" s="24"/>
      <c r="J150" s="24"/>
      <c r="K150" s="24">
        <f t="shared" si="19"/>
        <v>54</v>
      </c>
      <c r="L150" s="24">
        <f t="shared" si="20"/>
        <v>38.879999999999995</v>
      </c>
      <c r="M150" s="25"/>
      <c r="N150" s="26">
        <v>1</v>
      </c>
      <c r="O150" s="26">
        <v>6</v>
      </c>
      <c r="P150" s="25"/>
      <c r="Q150" s="25">
        <v>33</v>
      </c>
      <c r="R150" s="25">
        <f t="shared" si="21"/>
        <v>40</v>
      </c>
      <c r="S150" s="25">
        <f t="shared" si="22"/>
        <v>47.8</v>
      </c>
      <c r="T150" s="24"/>
      <c r="U150" s="27"/>
      <c r="V150" s="27">
        <v>1</v>
      </c>
      <c r="W150" s="24"/>
      <c r="X150" s="24">
        <v>7</v>
      </c>
      <c r="Y150" s="24">
        <f t="shared" si="23"/>
        <v>8</v>
      </c>
      <c r="Z150" s="24">
        <f t="shared" si="24"/>
        <v>21.92</v>
      </c>
      <c r="AA150" s="24">
        <f t="shared" si="18"/>
        <v>102</v>
      </c>
      <c r="AB150" s="24">
        <f t="shared" si="18"/>
        <v>108.6</v>
      </c>
      <c r="AC150" s="28">
        <f t="shared" si="25"/>
        <v>600066</v>
      </c>
      <c r="AD150" s="28">
        <f t="shared" si="25"/>
        <v>638894</v>
      </c>
    </row>
    <row r="151" spans="1:30">
      <c r="A151" s="22" t="s">
        <v>293</v>
      </c>
      <c r="B151" s="22" t="s">
        <v>322</v>
      </c>
      <c r="C151" s="23" t="s">
        <v>323</v>
      </c>
      <c r="D151" s="16">
        <v>5883</v>
      </c>
      <c r="E151" s="24">
        <v>120</v>
      </c>
      <c r="F151" s="24"/>
      <c r="G151" s="24"/>
      <c r="H151" s="24"/>
      <c r="I151" s="24"/>
      <c r="J151" s="24"/>
      <c r="K151" s="24">
        <f t="shared" si="19"/>
        <v>120</v>
      </c>
      <c r="L151" s="24">
        <f t="shared" si="20"/>
        <v>86.399999999999991</v>
      </c>
      <c r="M151" s="25"/>
      <c r="N151" s="26">
        <v>9</v>
      </c>
      <c r="O151" s="26">
        <v>6</v>
      </c>
      <c r="P151" s="25"/>
      <c r="Q151" s="25">
        <v>66</v>
      </c>
      <c r="R151" s="25">
        <f t="shared" si="21"/>
        <v>81</v>
      </c>
      <c r="S151" s="25">
        <f t="shared" si="22"/>
        <v>92.61</v>
      </c>
      <c r="T151" s="24"/>
      <c r="U151" s="27">
        <v>2</v>
      </c>
      <c r="V151" s="27">
        <v>5</v>
      </c>
      <c r="W151" s="24"/>
      <c r="X151" s="24">
        <v>40</v>
      </c>
      <c r="Y151" s="24">
        <f t="shared" si="23"/>
        <v>47</v>
      </c>
      <c r="Z151" s="24">
        <f t="shared" si="24"/>
        <v>126.04</v>
      </c>
      <c r="AA151" s="24">
        <f t="shared" si="18"/>
        <v>248</v>
      </c>
      <c r="AB151" s="24">
        <f t="shared" si="18"/>
        <v>305.05</v>
      </c>
      <c r="AC151" s="28">
        <f t="shared" si="25"/>
        <v>1458984</v>
      </c>
      <c r="AD151" s="28">
        <f t="shared" si="25"/>
        <v>1794609</v>
      </c>
    </row>
    <row r="152" spans="1:30">
      <c r="A152" s="22" t="s">
        <v>293</v>
      </c>
      <c r="B152" s="22" t="s">
        <v>324</v>
      </c>
      <c r="C152" s="23" t="s">
        <v>325</v>
      </c>
      <c r="D152" s="16">
        <v>5883</v>
      </c>
      <c r="E152" s="24">
        <v>344</v>
      </c>
      <c r="F152" s="24"/>
      <c r="G152" s="24"/>
      <c r="H152" s="24"/>
      <c r="I152" s="24"/>
      <c r="J152" s="24"/>
      <c r="K152" s="24">
        <f t="shared" si="19"/>
        <v>344</v>
      </c>
      <c r="L152" s="24">
        <f t="shared" si="20"/>
        <v>247.67999999999998</v>
      </c>
      <c r="M152" s="25"/>
      <c r="N152" s="26">
        <v>17</v>
      </c>
      <c r="O152" s="26">
        <v>21</v>
      </c>
      <c r="P152" s="25">
        <v>1</v>
      </c>
      <c r="Q152" s="25">
        <v>206</v>
      </c>
      <c r="R152" s="25">
        <f t="shared" si="21"/>
        <v>245</v>
      </c>
      <c r="S152" s="25">
        <f t="shared" si="22"/>
        <v>285.65000000000003</v>
      </c>
      <c r="T152" s="24"/>
      <c r="U152" s="27">
        <v>4</v>
      </c>
      <c r="V152" s="27">
        <v>6</v>
      </c>
      <c r="W152" s="24"/>
      <c r="X152" s="24">
        <v>91</v>
      </c>
      <c r="Y152" s="24">
        <f t="shared" si="23"/>
        <v>101</v>
      </c>
      <c r="Z152" s="24">
        <f t="shared" si="24"/>
        <v>271.26000000000005</v>
      </c>
      <c r="AA152" s="24">
        <f t="shared" si="18"/>
        <v>690</v>
      </c>
      <c r="AB152" s="24">
        <f t="shared" si="18"/>
        <v>804.59</v>
      </c>
      <c r="AC152" s="28">
        <f t="shared" si="25"/>
        <v>4059270</v>
      </c>
      <c r="AD152" s="28">
        <f t="shared" si="25"/>
        <v>4733403</v>
      </c>
    </row>
    <row r="153" spans="1:30">
      <c r="A153" s="22" t="s">
        <v>293</v>
      </c>
      <c r="B153" s="22" t="s">
        <v>326</v>
      </c>
      <c r="C153" s="23" t="s">
        <v>327</v>
      </c>
      <c r="D153" s="16">
        <v>6003</v>
      </c>
      <c r="E153" s="24">
        <v>34</v>
      </c>
      <c r="F153" s="24"/>
      <c r="G153" s="24"/>
      <c r="H153" s="24"/>
      <c r="I153" s="24"/>
      <c r="J153" s="24"/>
      <c r="K153" s="24">
        <f t="shared" si="19"/>
        <v>34</v>
      </c>
      <c r="L153" s="24">
        <f t="shared" si="20"/>
        <v>24.48</v>
      </c>
      <c r="M153" s="25"/>
      <c r="N153" s="26">
        <v>1</v>
      </c>
      <c r="O153" s="26">
        <v>5</v>
      </c>
      <c r="P153" s="25"/>
      <c r="Q153" s="25">
        <v>6</v>
      </c>
      <c r="R153" s="25">
        <f t="shared" si="21"/>
        <v>12</v>
      </c>
      <c r="S153" s="25">
        <f t="shared" si="22"/>
        <v>13.919999999999998</v>
      </c>
      <c r="T153" s="24"/>
      <c r="U153" s="27"/>
      <c r="V153" s="27"/>
      <c r="W153" s="24"/>
      <c r="X153" s="24">
        <v>7</v>
      </c>
      <c r="Y153" s="24">
        <f t="shared" si="23"/>
        <v>7</v>
      </c>
      <c r="Z153" s="24">
        <f t="shared" si="24"/>
        <v>19.18</v>
      </c>
      <c r="AA153" s="24">
        <f t="shared" si="18"/>
        <v>53</v>
      </c>
      <c r="AB153" s="24">
        <f t="shared" si="18"/>
        <v>57.58</v>
      </c>
      <c r="AC153" s="28">
        <f t="shared" si="25"/>
        <v>318159</v>
      </c>
      <c r="AD153" s="28">
        <f t="shared" si="25"/>
        <v>345653</v>
      </c>
    </row>
    <row r="154" spans="1:30">
      <c r="A154" s="22" t="s">
        <v>293</v>
      </c>
      <c r="B154" s="22" t="s">
        <v>328</v>
      </c>
      <c r="C154" s="23" t="s">
        <v>329</v>
      </c>
      <c r="D154" s="16">
        <v>5883</v>
      </c>
      <c r="E154" s="24">
        <v>140</v>
      </c>
      <c r="F154" s="24"/>
      <c r="G154" s="24"/>
      <c r="H154" s="24"/>
      <c r="I154" s="24"/>
      <c r="J154" s="24"/>
      <c r="K154" s="24">
        <f t="shared" si="19"/>
        <v>140</v>
      </c>
      <c r="L154" s="24">
        <f t="shared" si="20"/>
        <v>100.8</v>
      </c>
      <c r="M154" s="25"/>
      <c r="N154" s="26">
        <v>8</v>
      </c>
      <c r="O154" s="26">
        <v>4</v>
      </c>
      <c r="P154" s="25"/>
      <c r="Q154" s="25">
        <v>66</v>
      </c>
      <c r="R154" s="25">
        <f t="shared" si="21"/>
        <v>78</v>
      </c>
      <c r="S154" s="25">
        <f t="shared" si="22"/>
        <v>89.58</v>
      </c>
      <c r="T154" s="24"/>
      <c r="U154" s="27">
        <v>1</v>
      </c>
      <c r="V154" s="27"/>
      <c r="W154" s="24"/>
      <c r="X154" s="24">
        <v>30</v>
      </c>
      <c r="Y154" s="24">
        <f t="shared" si="23"/>
        <v>31</v>
      </c>
      <c r="Z154" s="24">
        <f t="shared" si="24"/>
        <v>83.570000000000007</v>
      </c>
      <c r="AA154" s="24">
        <f t="shared" si="18"/>
        <v>249</v>
      </c>
      <c r="AB154" s="24">
        <f t="shared" si="18"/>
        <v>273.95</v>
      </c>
      <c r="AC154" s="28">
        <f t="shared" si="25"/>
        <v>1464867</v>
      </c>
      <c r="AD154" s="28">
        <f t="shared" si="25"/>
        <v>1611648</v>
      </c>
    </row>
    <row r="155" spans="1:30">
      <c r="A155" s="22" t="s">
        <v>293</v>
      </c>
      <c r="B155" s="22" t="s">
        <v>330</v>
      </c>
      <c r="C155" s="23" t="s">
        <v>331</v>
      </c>
      <c r="D155" s="16">
        <v>6016</v>
      </c>
      <c r="E155" s="24">
        <v>142</v>
      </c>
      <c r="F155" s="24"/>
      <c r="G155" s="24"/>
      <c r="H155" s="24">
        <v>1</v>
      </c>
      <c r="I155" s="24"/>
      <c r="J155" s="24"/>
      <c r="K155" s="24">
        <f t="shared" si="19"/>
        <v>143</v>
      </c>
      <c r="L155" s="24">
        <f t="shared" si="20"/>
        <v>102.96</v>
      </c>
      <c r="M155" s="25"/>
      <c r="N155" s="26">
        <v>8</v>
      </c>
      <c r="O155" s="26">
        <v>4</v>
      </c>
      <c r="P155" s="25"/>
      <c r="Q155" s="25">
        <v>55</v>
      </c>
      <c r="R155" s="25">
        <f t="shared" si="21"/>
        <v>67</v>
      </c>
      <c r="S155" s="25">
        <f t="shared" si="22"/>
        <v>76.27</v>
      </c>
      <c r="T155" s="24"/>
      <c r="U155" s="27">
        <v>1</v>
      </c>
      <c r="V155" s="27">
        <v>3</v>
      </c>
      <c r="W155" s="24"/>
      <c r="X155" s="24">
        <v>40</v>
      </c>
      <c r="Y155" s="24">
        <f t="shared" si="23"/>
        <v>44</v>
      </c>
      <c r="Z155" s="24">
        <f t="shared" si="24"/>
        <v>119.19000000000001</v>
      </c>
      <c r="AA155" s="24">
        <f t="shared" si="18"/>
        <v>254</v>
      </c>
      <c r="AB155" s="24">
        <f t="shared" si="18"/>
        <v>298.42</v>
      </c>
      <c r="AC155" s="28">
        <f t="shared" si="25"/>
        <v>1528064</v>
      </c>
      <c r="AD155" s="28">
        <f t="shared" si="25"/>
        <v>1795295</v>
      </c>
    </row>
    <row r="156" spans="1:30">
      <c r="A156" s="22" t="s">
        <v>293</v>
      </c>
      <c r="B156" s="22" t="s">
        <v>332</v>
      </c>
      <c r="C156" s="23" t="s">
        <v>333</v>
      </c>
      <c r="D156" s="16">
        <v>5883</v>
      </c>
      <c r="E156" s="24">
        <v>35</v>
      </c>
      <c r="F156" s="24"/>
      <c r="G156" s="24"/>
      <c r="H156" s="24"/>
      <c r="I156" s="24"/>
      <c r="J156" s="24"/>
      <c r="K156" s="24">
        <f t="shared" si="19"/>
        <v>35</v>
      </c>
      <c r="L156" s="24">
        <f t="shared" si="20"/>
        <v>25.2</v>
      </c>
      <c r="M156" s="25"/>
      <c r="N156" s="26"/>
      <c r="O156" s="26">
        <v>2</v>
      </c>
      <c r="P156" s="25"/>
      <c r="Q156" s="25">
        <v>7</v>
      </c>
      <c r="R156" s="25">
        <f t="shared" si="21"/>
        <v>9</v>
      </c>
      <c r="S156" s="25">
        <f t="shared" si="22"/>
        <v>10.89</v>
      </c>
      <c r="T156" s="24"/>
      <c r="U156" s="27"/>
      <c r="V156" s="27"/>
      <c r="W156" s="24"/>
      <c r="X156" s="24">
        <v>2</v>
      </c>
      <c r="Y156" s="24">
        <f t="shared" si="23"/>
        <v>2</v>
      </c>
      <c r="Z156" s="24">
        <f t="shared" si="24"/>
        <v>5.48</v>
      </c>
      <c r="AA156" s="24">
        <f t="shared" si="18"/>
        <v>46</v>
      </c>
      <c r="AB156" s="24">
        <f t="shared" si="18"/>
        <v>41.57</v>
      </c>
      <c r="AC156" s="28">
        <f t="shared" si="25"/>
        <v>270618</v>
      </c>
      <c r="AD156" s="28">
        <f t="shared" si="25"/>
        <v>244556</v>
      </c>
    </row>
    <row r="157" spans="1:30">
      <c r="A157" s="22" t="s">
        <v>293</v>
      </c>
      <c r="B157" s="22" t="s">
        <v>334</v>
      </c>
      <c r="C157" s="23" t="s">
        <v>335</v>
      </c>
      <c r="D157" s="16">
        <v>5883</v>
      </c>
      <c r="E157" s="24">
        <v>83</v>
      </c>
      <c r="F157" s="24"/>
      <c r="G157" s="24"/>
      <c r="H157" s="24"/>
      <c r="I157" s="24"/>
      <c r="J157" s="24"/>
      <c r="K157" s="24">
        <f t="shared" si="19"/>
        <v>83</v>
      </c>
      <c r="L157" s="24">
        <f t="shared" si="20"/>
        <v>59.76</v>
      </c>
      <c r="M157" s="25"/>
      <c r="N157" s="26">
        <v>6</v>
      </c>
      <c r="O157" s="26"/>
      <c r="P157" s="25"/>
      <c r="Q157" s="25">
        <v>29</v>
      </c>
      <c r="R157" s="25">
        <f t="shared" si="21"/>
        <v>35</v>
      </c>
      <c r="S157" s="25">
        <f t="shared" si="22"/>
        <v>38.75</v>
      </c>
      <c r="T157" s="24"/>
      <c r="U157" s="27"/>
      <c r="V157" s="27"/>
      <c r="W157" s="24"/>
      <c r="X157" s="24">
        <v>17</v>
      </c>
      <c r="Y157" s="24">
        <f t="shared" si="23"/>
        <v>17</v>
      </c>
      <c r="Z157" s="24">
        <f t="shared" si="24"/>
        <v>46.580000000000005</v>
      </c>
      <c r="AA157" s="24">
        <f t="shared" si="18"/>
        <v>135</v>
      </c>
      <c r="AB157" s="24">
        <f t="shared" si="18"/>
        <v>145.09</v>
      </c>
      <c r="AC157" s="28">
        <f t="shared" si="25"/>
        <v>794205</v>
      </c>
      <c r="AD157" s="28">
        <f t="shared" si="25"/>
        <v>853564</v>
      </c>
    </row>
    <row r="158" spans="1:30" ht="12" thickBot="1">
      <c r="A158" s="22" t="s">
        <v>293</v>
      </c>
      <c r="B158" s="22" t="s">
        <v>336</v>
      </c>
      <c r="C158" s="23" t="s">
        <v>337</v>
      </c>
      <c r="D158" s="16">
        <v>5883</v>
      </c>
      <c r="E158" s="24">
        <v>51</v>
      </c>
      <c r="F158" s="24"/>
      <c r="G158" s="24"/>
      <c r="H158" s="24"/>
      <c r="I158" s="24"/>
      <c r="J158" s="24"/>
      <c r="K158" s="24">
        <f t="shared" si="19"/>
        <v>51</v>
      </c>
      <c r="L158" s="24">
        <f t="shared" si="20"/>
        <v>36.72</v>
      </c>
      <c r="M158" s="25">
        <v>1</v>
      </c>
      <c r="N158" s="26">
        <v>2</v>
      </c>
      <c r="O158" s="26">
        <v>2</v>
      </c>
      <c r="P158" s="25"/>
      <c r="Q158" s="25">
        <v>23</v>
      </c>
      <c r="R158" s="25">
        <f t="shared" si="21"/>
        <v>28</v>
      </c>
      <c r="S158" s="25">
        <f t="shared" si="22"/>
        <v>32.68</v>
      </c>
      <c r="T158" s="24"/>
      <c r="U158" s="27"/>
      <c r="V158" s="27">
        <v>1</v>
      </c>
      <c r="W158" s="24"/>
      <c r="X158" s="24">
        <v>13</v>
      </c>
      <c r="Y158" s="24">
        <f t="shared" si="23"/>
        <v>14</v>
      </c>
      <c r="Z158" s="24">
        <f t="shared" si="24"/>
        <v>38.36</v>
      </c>
      <c r="AA158" s="24">
        <f t="shared" si="18"/>
        <v>93</v>
      </c>
      <c r="AB158" s="24">
        <f t="shared" si="18"/>
        <v>107.75999999999999</v>
      </c>
      <c r="AC158" s="28">
        <f t="shared" si="25"/>
        <v>547119</v>
      </c>
      <c r="AD158" s="28">
        <f t="shared" si="25"/>
        <v>633952</v>
      </c>
    </row>
    <row r="159" spans="1:30" ht="12" thickBot="1">
      <c r="A159" s="34"/>
      <c r="B159" s="35"/>
      <c r="C159" s="36" t="s">
        <v>338</v>
      </c>
      <c r="D159" s="37"/>
      <c r="E159" s="38">
        <f>SUM(E137:E158)</f>
        <v>3187</v>
      </c>
      <c r="F159" s="38">
        <f t="shared" ref="F159:AB159" si="27">SUM(F137:F158)</f>
        <v>0</v>
      </c>
      <c r="G159" s="38">
        <f t="shared" si="27"/>
        <v>0</v>
      </c>
      <c r="H159" s="38">
        <f t="shared" si="27"/>
        <v>53</v>
      </c>
      <c r="I159" s="38">
        <f t="shared" si="27"/>
        <v>0</v>
      </c>
      <c r="J159" s="38">
        <f t="shared" si="27"/>
        <v>9</v>
      </c>
      <c r="K159" s="38">
        <f t="shared" si="27"/>
        <v>3249</v>
      </c>
      <c r="L159" s="38">
        <f t="shared" si="27"/>
        <v>2339.2800000000002</v>
      </c>
      <c r="M159" s="38">
        <f t="shared" si="27"/>
        <v>1</v>
      </c>
      <c r="N159" s="39">
        <f t="shared" si="27"/>
        <v>177</v>
      </c>
      <c r="O159" s="39">
        <f t="shared" si="27"/>
        <v>244</v>
      </c>
      <c r="P159" s="38">
        <f t="shared" si="27"/>
        <v>1</v>
      </c>
      <c r="Q159" s="38">
        <f t="shared" si="27"/>
        <v>1159</v>
      </c>
      <c r="R159" s="38">
        <f t="shared" si="27"/>
        <v>1582</v>
      </c>
      <c r="S159" s="38">
        <f t="shared" si="27"/>
        <v>1807.42</v>
      </c>
      <c r="T159" s="38">
        <f t="shared" si="27"/>
        <v>1</v>
      </c>
      <c r="U159" s="40">
        <f t="shared" si="27"/>
        <v>16</v>
      </c>
      <c r="V159" s="40">
        <f t="shared" si="27"/>
        <v>62</v>
      </c>
      <c r="W159" s="38">
        <f t="shared" si="27"/>
        <v>0</v>
      </c>
      <c r="X159" s="38">
        <f t="shared" si="27"/>
        <v>824</v>
      </c>
      <c r="Y159" s="38">
        <f t="shared" si="27"/>
        <v>903</v>
      </c>
      <c r="Z159" s="38">
        <f t="shared" si="27"/>
        <v>2452.3000000000006</v>
      </c>
      <c r="AA159" s="38">
        <f t="shared" si="27"/>
        <v>5734</v>
      </c>
      <c r="AB159" s="41">
        <f t="shared" si="27"/>
        <v>6599.0000000000009</v>
      </c>
      <c r="AC159" s="42">
        <f>SUM(AC137:AC158)</f>
        <v>33865017</v>
      </c>
      <c r="AD159" s="43">
        <f>SUM(AD137:AD158)</f>
        <v>38971256</v>
      </c>
    </row>
    <row r="160" spans="1:30">
      <c r="A160" s="22" t="s">
        <v>339</v>
      </c>
      <c r="B160" s="22" t="s">
        <v>340</v>
      </c>
      <c r="C160" s="23" t="s">
        <v>341</v>
      </c>
      <c r="D160" s="16">
        <v>5883</v>
      </c>
      <c r="E160" s="24">
        <v>38</v>
      </c>
      <c r="F160" s="24"/>
      <c r="G160" s="24"/>
      <c r="H160" s="24"/>
      <c r="I160" s="24"/>
      <c r="J160" s="24"/>
      <c r="K160" s="24">
        <f t="shared" si="19"/>
        <v>38</v>
      </c>
      <c r="L160" s="24">
        <f t="shared" si="20"/>
        <v>27.36</v>
      </c>
      <c r="M160" s="25"/>
      <c r="N160" s="26">
        <v>1</v>
      </c>
      <c r="O160" s="26">
        <v>1</v>
      </c>
      <c r="P160" s="25"/>
      <c r="Q160" s="25">
        <v>8</v>
      </c>
      <c r="R160" s="25">
        <f t="shared" si="21"/>
        <v>10</v>
      </c>
      <c r="S160" s="25">
        <f t="shared" si="22"/>
        <v>11.5</v>
      </c>
      <c r="T160" s="24"/>
      <c r="U160" s="27"/>
      <c r="V160" s="27"/>
      <c r="W160" s="24"/>
      <c r="X160" s="24">
        <v>8</v>
      </c>
      <c r="Y160" s="24">
        <f t="shared" si="23"/>
        <v>8</v>
      </c>
      <c r="Z160" s="24">
        <f t="shared" si="24"/>
        <v>21.92</v>
      </c>
      <c r="AA160" s="24">
        <f t="shared" si="18"/>
        <v>56</v>
      </c>
      <c r="AB160" s="24">
        <f t="shared" si="18"/>
        <v>60.78</v>
      </c>
      <c r="AC160" s="28">
        <f t="shared" si="25"/>
        <v>329448</v>
      </c>
      <c r="AD160" s="28">
        <f t="shared" si="25"/>
        <v>357569</v>
      </c>
    </row>
    <row r="161" spans="1:30">
      <c r="A161" s="22" t="s">
        <v>339</v>
      </c>
      <c r="B161" s="22" t="s">
        <v>342</v>
      </c>
      <c r="C161" s="23" t="s">
        <v>343</v>
      </c>
      <c r="D161" s="16">
        <v>5900</v>
      </c>
      <c r="E161" s="24">
        <v>100</v>
      </c>
      <c r="F161" s="24"/>
      <c r="G161" s="24"/>
      <c r="H161" s="24"/>
      <c r="I161" s="24"/>
      <c r="J161" s="24"/>
      <c r="K161" s="24">
        <f t="shared" si="19"/>
        <v>100</v>
      </c>
      <c r="L161" s="24">
        <f t="shared" si="20"/>
        <v>72</v>
      </c>
      <c r="M161" s="25"/>
      <c r="N161" s="26">
        <v>1</v>
      </c>
      <c r="O161" s="26">
        <v>2</v>
      </c>
      <c r="P161" s="25"/>
      <c r="Q161" s="25">
        <v>25</v>
      </c>
      <c r="R161" s="25">
        <f t="shared" si="21"/>
        <v>28</v>
      </c>
      <c r="S161" s="25">
        <f t="shared" si="22"/>
        <v>33.28</v>
      </c>
      <c r="T161" s="24"/>
      <c r="U161" s="27"/>
      <c r="V161" s="27">
        <v>2</v>
      </c>
      <c r="W161" s="24"/>
      <c r="X161" s="24">
        <v>16</v>
      </c>
      <c r="Y161" s="24">
        <f t="shared" si="23"/>
        <v>18</v>
      </c>
      <c r="Z161" s="24">
        <f t="shared" si="24"/>
        <v>49.320000000000007</v>
      </c>
      <c r="AA161" s="24">
        <f t="shared" si="18"/>
        <v>146</v>
      </c>
      <c r="AB161" s="24">
        <f t="shared" si="18"/>
        <v>154.60000000000002</v>
      </c>
      <c r="AC161" s="28">
        <f t="shared" si="25"/>
        <v>861400</v>
      </c>
      <c r="AD161" s="28">
        <f t="shared" si="25"/>
        <v>912140</v>
      </c>
    </row>
    <row r="162" spans="1:30">
      <c r="A162" s="22" t="s">
        <v>339</v>
      </c>
      <c r="B162" s="22" t="s">
        <v>344</v>
      </c>
      <c r="C162" s="23" t="s">
        <v>345</v>
      </c>
      <c r="D162" s="16">
        <v>5887</v>
      </c>
      <c r="E162" s="24">
        <v>64</v>
      </c>
      <c r="F162" s="24"/>
      <c r="G162" s="24"/>
      <c r="H162" s="24"/>
      <c r="I162" s="24"/>
      <c r="J162" s="24"/>
      <c r="K162" s="24">
        <f t="shared" si="19"/>
        <v>64</v>
      </c>
      <c r="L162" s="24">
        <f t="shared" si="20"/>
        <v>46.08</v>
      </c>
      <c r="M162" s="25"/>
      <c r="N162" s="26">
        <v>2</v>
      </c>
      <c r="O162" s="26">
        <v>1</v>
      </c>
      <c r="P162" s="25"/>
      <c r="Q162" s="25">
        <v>5</v>
      </c>
      <c r="R162" s="25">
        <f t="shared" si="21"/>
        <v>8</v>
      </c>
      <c r="S162" s="25">
        <f t="shared" si="22"/>
        <v>8.48</v>
      </c>
      <c r="T162" s="24">
        <v>1</v>
      </c>
      <c r="U162" s="27"/>
      <c r="V162" s="27">
        <v>1</v>
      </c>
      <c r="W162" s="24"/>
      <c r="X162" s="24">
        <v>4</v>
      </c>
      <c r="Y162" s="24">
        <f t="shared" si="23"/>
        <v>6</v>
      </c>
      <c r="Z162" s="24">
        <f t="shared" si="24"/>
        <v>16.440000000000001</v>
      </c>
      <c r="AA162" s="24">
        <f t="shared" si="18"/>
        <v>78</v>
      </c>
      <c r="AB162" s="24">
        <f t="shared" si="18"/>
        <v>71</v>
      </c>
      <c r="AC162" s="28">
        <f t="shared" si="25"/>
        <v>459186</v>
      </c>
      <c r="AD162" s="28">
        <f t="shared" si="25"/>
        <v>417977</v>
      </c>
    </row>
    <row r="163" spans="1:30">
      <c r="A163" s="22" t="s">
        <v>339</v>
      </c>
      <c r="B163" s="22" t="s">
        <v>346</v>
      </c>
      <c r="C163" s="23" t="s">
        <v>347</v>
      </c>
      <c r="D163" s="16">
        <v>5948</v>
      </c>
      <c r="E163" s="24">
        <v>148</v>
      </c>
      <c r="F163" s="24"/>
      <c r="G163" s="24"/>
      <c r="H163" s="24"/>
      <c r="I163" s="24"/>
      <c r="J163" s="24"/>
      <c r="K163" s="24">
        <f t="shared" si="19"/>
        <v>148</v>
      </c>
      <c r="L163" s="24">
        <f t="shared" si="20"/>
        <v>106.56</v>
      </c>
      <c r="M163" s="25"/>
      <c r="N163" s="26">
        <v>2</v>
      </c>
      <c r="O163" s="26">
        <v>2</v>
      </c>
      <c r="P163" s="25"/>
      <c r="Q163" s="25">
        <v>41</v>
      </c>
      <c r="R163" s="25">
        <f t="shared" si="21"/>
        <v>45</v>
      </c>
      <c r="S163" s="25">
        <f t="shared" si="22"/>
        <v>53.25</v>
      </c>
      <c r="T163" s="24"/>
      <c r="U163" s="27">
        <v>3</v>
      </c>
      <c r="V163" s="27">
        <v>3</v>
      </c>
      <c r="W163" s="24"/>
      <c r="X163" s="24">
        <v>12</v>
      </c>
      <c r="Y163" s="24">
        <f t="shared" si="23"/>
        <v>18</v>
      </c>
      <c r="Z163" s="24">
        <f t="shared" si="24"/>
        <v>45.21</v>
      </c>
      <c r="AA163" s="24">
        <f t="shared" si="18"/>
        <v>211</v>
      </c>
      <c r="AB163" s="24">
        <f t="shared" si="18"/>
        <v>205.02</v>
      </c>
      <c r="AC163" s="28">
        <f t="shared" si="25"/>
        <v>1255028</v>
      </c>
      <c r="AD163" s="28">
        <f t="shared" si="25"/>
        <v>1219459</v>
      </c>
    </row>
    <row r="164" spans="1:30">
      <c r="A164" s="22" t="s">
        <v>339</v>
      </c>
      <c r="B164" s="22" t="s">
        <v>348</v>
      </c>
      <c r="C164" s="23" t="s">
        <v>349</v>
      </c>
      <c r="D164" s="16">
        <v>5883</v>
      </c>
      <c r="E164" s="24">
        <v>1399</v>
      </c>
      <c r="F164" s="24">
        <v>1</v>
      </c>
      <c r="G164" s="24"/>
      <c r="H164" s="24"/>
      <c r="I164" s="24"/>
      <c r="J164" s="24"/>
      <c r="K164" s="24">
        <f t="shared" si="19"/>
        <v>1400</v>
      </c>
      <c r="L164" s="24">
        <f t="shared" si="20"/>
        <v>1008</v>
      </c>
      <c r="M164" s="25">
        <v>3</v>
      </c>
      <c r="N164" s="26">
        <v>9</v>
      </c>
      <c r="O164" s="26">
        <v>85</v>
      </c>
      <c r="P164" s="25"/>
      <c r="Q164" s="25">
        <v>444</v>
      </c>
      <c r="R164" s="25">
        <f t="shared" si="21"/>
        <v>541</v>
      </c>
      <c r="S164" s="25">
        <f t="shared" si="22"/>
        <v>649.21</v>
      </c>
      <c r="T164" s="24">
        <v>7</v>
      </c>
      <c r="U164" s="27">
        <v>1</v>
      </c>
      <c r="V164" s="27">
        <v>28</v>
      </c>
      <c r="W164" s="24"/>
      <c r="X164" s="24">
        <v>426</v>
      </c>
      <c r="Y164" s="24">
        <f t="shared" si="23"/>
        <v>462</v>
      </c>
      <c r="Z164" s="24">
        <f t="shared" si="24"/>
        <v>1264.51</v>
      </c>
      <c r="AA164" s="24">
        <f t="shared" si="18"/>
        <v>2403</v>
      </c>
      <c r="AB164" s="24">
        <f t="shared" si="18"/>
        <v>2921.7200000000003</v>
      </c>
      <c r="AC164" s="28">
        <f t="shared" si="25"/>
        <v>14136849</v>
      </c>
      <c r="AD164" s="28">
        <f t="shared" si="25"/>
        <v>17188479</v>
      </c>
    </row>
    <row r="165" spans="1:30">
      <c r="A165" s="22" t="s">
        <v>339</v>
      </c>
      <c r="B165" s="22" t="s">
        <v>350</v>
      </c>
      <c r="C165" s="23" t="s">
        <v>351</v>
      </c>
      <c r="D165" s="16">
        <v>5883</v>
      </c>
      <c r="E165" s="24">
        <v>66</v>
      </c>
      <c r="F165" s="24"/>
      <c r="G165" s="24"/>
      <c r="H165" s="24"/>
      <c r="I165" s="24"/>
      <c r="J165" s="24"/>
      <c r="K165" s="24">
        <f t="shared" si="19"/>
        <v>66</v>
      </c>
      <c r="L165" s="24">
        <f t="shared" si="20"/>
        <v>47.519999999999996</v>
      </c>
      <c r="M165" s="25">
        <v>3</v>
      </c>
      <c r="N165" s="26"/>
      <c r="O165" s="26">
        <v>6</v>
      </c>
      <c r="P165" s="25"/>
      <c r="Q165" s="25">
        <v>14</v>
      </c>
      <c r="R165" s="25">
        <f t="shared" si="21"/>
        <v>23</v>
      </c>
      <c r="S165" s="25">
        <f t="shared" si="22"/>
        <v>27.83</v>
      </c>
      <c r="T165" s="24"/>
      <c r="U165" s="27"/>
      <c r="V165" s="27">
        <v>2</v>
      </c>
      <c r="W165" s="24"/>
      <c r="X165" s="24">
        <v>9</v>
      </c>
      <c r="Y165" s="24">
        <f t="shared" si="23"/>
        <v>11</v>
      </c>
      <c r="Z165" s="24">
        <f t="shared" si="24"/>
        <v>30.14</v>
      </c>
      <c r="AA165" s="24">
        <f t="shared" si="18"/>
        <v>100</v>
      </c>
      <c r="AB165" s="24">
        <f t="shared" si="18"/>
        <v>105.49</v>
      </c>
      <c r="AC165" s="28">
        <f t="shared" si="25"/>
        <v>588300</v>
      </c>
      <c r="AD165" s="28">
        <f t="shared" si="25"/>
        <v>620598</v>
      </c>
    </row>
    <row r="166" spans="1:30">
      <c r="A166" s="22" t="s">
        <v>339</v>
      </c>
      <c r="B166" s="22" t="s">
        <v>352</v>
      </c>
      <c r="C166" s="23" t="s">
        <v>353</v>
      </c>
      <c r="D166" s="16">
        <v>5944</v>
      </c>
      <c r="E166" s="24">
        <v>41</v>
      </c>
      <c r="F166" s="24"/>
      <c r="G166" s="24"/>
      <c r="H166" s="24"/>
      <c r="I166" s="24"/>
      <c r="J166" s="24"/>
      <c r="K166" s="24">
        <f t="shared" si="19"/>
        <v>41</v>
      </c>
      <c r="L166" s="24">
        <f t="shared" si="20"/>
        <v>29.52</v>
      </c>
      <c r="M166" s="25"/>
      <c r="N166" s="26"/>
      <c r="O166" s="26"/>
      <c r="P166" s="25"/>
      <c r="Q166" s="25">
        <v>8</v>
      </c>
      <c r="R166" s="25">
        <f t="shared" si="21"/>
        <v>8</v>
      </c>
      <c r="S166" s="25">
        <f t="shared" si="22"/>
        <v>9.68</v>
      </c>
      <c r="T166" s="24"/>
      <c r="U166" s="27"/>
      <c r="V166" s="27"/>
      <c r="W166" s="24"/>
      <c r="X166" s="24">
        <v>6</v>
      </c>
      <c r="Y166" s="24">
        <f t="shared" si="23"/>
        <v>6</v>
      </c>
      <c r="Z166" s="24">
        <f t="shared" si="24"/>
        <v>16.440000000000001</v>
      </c>
      <c r="AA166" s="24">
        <f t="shared" si="18"/>
        <v>55</v>
      </c>
      <c r="AB166" s="24">
        <f t="shared" si="18"/>
        <v>55.64</v>
      </c>
      <c r="AC166" s="28">
        <f t="shared" si="25"/>
        <v>326920</v>
      </c>
      <c r="AD166" s="28">
        <f t="shared" si="25"/>
        <v>330724</v>
      </c>
    </row>
    <row r="167" spans="1:30">
      <c r="A167" s="22" t="s">
        <v>339</v>
      </c>
      <c r="B167" s="22" t="s">
        <v>354</v>
      </c>
      <c r="C167" s="23" t="s">
        <v>355</v>
      </c>
      <c r="D167" s="16">
        <v>5919</v>
      </c>
      <c r="E167" s="24">
        <v>113</v>
      </c>
      <c r="F167" s="24"/>
      <c r="G167" s="24"/>
      <c r="H167" s="24"/>
      <c r="I167" s="24"/>
      <c r="J167" s="24"/>
      <c r="K167" s="24">
        <f t="shared" si="19"/>
        <v>113</v>
      </c>
      <c r="L167" s="24">
        <f t="shared" si="20"/>
        <v>81.36</v>
      </c>
      <c r="M167" s="25">
        <v>1</v>
      </c>
      <c r="N167" s="26"/>
      <c r="O167" s="26">
        <v>9</v>
      </c>
      <c r="P167" s="25"/>
      <c r="Q167" s="25">
        <v>16</v>
      </c>
      <c r="R167" s="25">
        <f t="shared" si="21"/>
        <v>26</v>
      </c>
      <c r="S167" s="25">
        <f t="shared" si="22"/>
        <v>31.46</v>
      </c>
      <c r="T167" s="24">
        <v>2</v>
      </c>
      <c r="U167" s="27"/>
      <c r="V167" s="27">
        <v>3</v>
      </c>
      <c r="W167" s="24"/>
      <c r="X167" s="24">
        <v>16</v>
      </c>
      <c r="Y167" s="24">
        <f t="shared" si="23"/>
        <v>21</v>
      </c>
      <c r="Z167" s="24">
        <f t="shared" si="24"/>
        <v>57.540000000000006</v>
      </c>
      <c r="AA167" s="24">
        <f t="shared" si="18"/>
        <v>160</v>
      </c>
      <c r="AB167" s="24">
        <f t="shared" si="18"/>
        <v>170.36</v>
      </c>
      <c r="AC167" s="28">
        <f t="shared" si="25"/>
        <v>947040</v>
      </c>
      <c r="AD167" s="28">
        <f t="shared" si="25"/>
        <v>1008361</v>
      </c>
    </row>
    <row r="168" spans="1:30">
      <c r="A168" s="22" t="s">
        <v>339</v>
      </c>
      <c r="B168" s="22" t="s">
        <v>356</v>
      </c>
      <c r="C168" s="23" t="s">
        <v>357</v>
      </c>
      <c r="D168" s="16">
        <v>5883</v>
      </c>
      <c r="E168" s="24">
        <v>216</v>
      </c>
      <c r="F168" s="24">
        <v>1</v>
      </c>
      <c r="G168" s="24"/>
      <c r="H168" s="24"/>
      <c r="I168" s="24"/>
      <c r="J168" s="24"/>
      <c r="K168" s="24">
        <f t="shared" si="19"/>
        <v>217</v>
      </c>
      <c r="L168" s="24">
        <f t="shared" si="20"/>
        <v>156.23999999999998</v>
      </c>
      <c r="M168" s="25"/>
      <c r="N168" s="26">
        <v>5</v>
      </c>
      <c r="O168" s="26">
        <v>14</v>
      </c>
      <c r="P168" s="25"/>
      <c r="Q168" s="25">
        <v>98</v>
      </c>
      <c r="R168" s="25">
        <f t="shared" si="21"/>
        <v>117</v>
      </c>
      <c r="S168" s="25">
        <f t="shared" si="22"/>
        <v>138.57</v>
      </c>
      <c r="T168" s="24">
        <v>1</v>
      </c>
      <c r="U168" s="27"/>
      <c r="V168" s="27">
        <v>4</v>
      </c>
      <c r="W168" s="24"/>
      <c r="X168" s="24">
        <v>63</v>
      </c>
      <c r="Y168" s="24">
        <f t="shared" si="23"/>
        <v>68</v>
      </c>
      <c r="Z168" s="24">
        <f t="shared" si="24"/>
        <v>186.32000000000002</v>
      </c>
      <c r="AA168" s="24">
        <f t="shared" si="18"/>
        <v>402</v>
      </c>
      <c r="AB168" s="24">
        <f t="shared" si="18"/>
        <v>481.13</v>
      </c>
      <c r="AC168" s="28">
        <f t="shared" si="25"/>
        <v>2364966</v>
      </c>
      <c r="AD168" s="28">
        <f t="shared" si="25"/>
        <v>2830488</v>
      </c>
    </row>
    <row r="169" spans="1:30">
      <c r="A169" s="22" t="s">
        <v>339</v>
      </c>
      <c r="B169" s="22" t="s">
        <v>358</v>
      </c>
      <c r="C169" s="23" t="s">
        <v>359</v>
      </c>
      <c r="D169" s="16">
        <v>5956</v>
      </c>
      <c r="E169" s="24">
        <v>41</v>
      </c>
      <c r="F169" s="24">
        <v>1</v>
      </c>
      <c r="G169" s="24"/>
      <c r="H169" s="24"/>
      <c r="I169" s="24"/>
      <c r="J169" s="24"/>
      <c r="K169" s="24">
        <f t="shared" si="19"/>
        <v>42</v>
      </c>
      <c r="L169" s="24">
        <f t="shared" si="20"/>
        <v>30.24</v>
      </c>
      <c r="M169" s="25"/>
      <c r="N169" s="26"/>
      <c r="O169" s="26">
        <v>4</v>
      </c>
      <c r="P169" s="25"/>
      <c r="Q169" s="25">
        <v>11</v>
      </c>
      <c r="R169" s="25">
        <f t="shared" si="21"/>
        <v>15</v>
      </c>
      <c r="S169" s="25">
        <f t="shared" si="22"/>
        <v>18.149999999999999</v>
      </c>
      <c r="T169" s="24"/>
      <c r="U169" s="27"/>
      <c r="V169" s="27">
        <v>1</v>
      </c>
      <c r="W169" s="24"/>
      <c r="X169" s="24">
        <v>9</v>
      </c>
      <c r="Y169" s="24">
        <f t="shared" si="23"/>
        <v>10</v>
      </c>
      <c r="Z169" s="24">
        <f t="shared" si="24"/>
        <v>27.400000000000002</v>
      </c>
      <c r="AA169" s="24">
        <f t="shared" si="18"/>
        <v>67</v>
      </c>
      <c r="AB169" s="24">
        <f t="shared" si="18"/>
        <v>75.789999999999992</v>
      </c>
      <c r="AC169" s="28">
        <f t="shared" si="25"/>
        <v>399052</v>
      </c>
      <c r="AD169" s="28">
        <f t="shared" si="25"/>
        <v>451405</v>
      </c>
    </row>
    <row r="170" spans="1:30">
      <c r="A170" s="22" t="s">
        <v>339</v>
      </c>
      <c r="B170" s="22" t="s">
        <v>360</v>
      </c>
      <c r="C170" s="23" t="s">
        <v>361</v>
      </c>
      <c r="D170" s="16">
        <v>5983</v>
      </c>
      <c r="E170" s="24">
        <v>40</v>
      </c>
      <c r="F170" s="24"/>
      <c r="G170" s="24"/>
      <c r="H170" s="24"/>
      <c r="I170" s="24"/>
      <c r="J170" s="24"/>
      <c r="K170" s="24">
        <f t="shared" si="19"/>
        <v>40</v>
      </c>
      <c r="L170" s="24">
        <f t="shared" si="20"/>
        <v>28.799999999999997</v>
      </c>
      <c r="M170" s="25">
        <v>1</v>
      </c>
      <c r="N170" s="26">
        <v>1</v>
      </c>
      <c r="O170" s="26"/>
      <c r="P170" s="25"/>
      <c r="Q170" s="25">
        <v>5</v>
      </c>
      <c r="R170" s="25">
        <f t="shared" si="21"/>
        <v>7</v>
      </c>
      <c r="S170" s="25">
        <f t="shared" si="22"/>
        <v>7.87</v>
      </c>
      <c r="T170" s="24"/>
      <c r="U170" s="27"/>
      <c r="V170" s="27"/>
      <c r="W170" s="24"/>
      <c r="X170" s="24">
        <v>1</v>
      </c>
      <c r="Y170" s="24">
        <f t="shared" si="23"/>
        <v>1</v>
      </c>
      <c r="Z170" s="24">
        <f t="shared" si="24"/>
        <v>2.74</v>
      </c>
      <c r="AA170" s="24">
        <f t="shared" si="18"/>
        <v>48</v>
      </c>
      <c r="AB170" s="24">
        <f t="shared" si="18"/>
        <v>39.409999999999997</v>
      </c>
      <c r="AC170" s="28">
        <f t="shared" si="25"/>
        <v>287184</v>
      </c>
      <c r="AD170" s="28">
        <f t="shared" si="25"/>
        <v>235790</v>
      </c>
    </row>
    <row r="171" spans="1:30">
      <c r="A171" s="22" t="s">
        <v>339</v>
      </c>
      <c r="B171" s="22" t="s">
        <v>362</v>
      </c>
      <c r="C171" s="23" t="s">
        <v>363</v>
      </c>
      <c r="D171" s="16">
        <v>5883</v>
      </c>
      <c r="E171" s="24">
        <v>73</v>
      </c>
      <c r="F171" s="24"/>
      <c r="G171" s="24"/>
      <c r="H171" s="24"/>
      <c r="I171" s="24"/>
      <c r="J171" s="24"/>
      <c r="K171" s="24">
        <f t="shared" si="19"/>
        <v>73</v>
      </c>
      <c r="L171" s="24">
        <f t="shared" si="20"/>
        <v>52.559999999999995</v>
      </c>
      <c r="M171" s="25"/>
      <c r="N171" s="26">
        <v>1</v>
      </c>
      <c r="O171" s="26">
        <v>4</v>
      </c>
      <c r="P171" s="25"/>
      <c r="Q171" s="25">
        <v>9</v>
      </c>
      <c r="R171" s="25">
        <f t="shared" si="21"/>
        <v>14</v>
      </c>
      <c r="S171" s="25">
        <f t="shared" si="22"/>
        <v>16.34</v>
      </c>
      <c r="T171" s="24"/>
      <c r="U171" s="27"/>
      <c r="V171" s="27">
        <v>1</v>
      </c>
      <c r="W171" s="24"/>
      <c r="X171" s="24">
        <v>14</v>
      </c>
      <c r="Y171" s="24">
        <f t="shared" si="23"/>
        <v>15</v>
      </c>
      <c r="Z171" s="24">
        <f t="shared" si="24"/>
        <v>41.1</v>
      </c>
      <c r="AA171" s="24">
        <f t="shared" si="18"/>
        <v>102</v>
      </c>
      <c r="AB171" s="24">
        <f t="shared" si="18"/>
        <v>110</v>
      </c>
      <c r="AC171" s="28">
        <f t="shared" si="25"/>
        <v>600066</v>
      </c>
      <c r="AD171" s="28">
        <f t="shared" si="25"/>
        <v>647130</v>
      </c>
    </row>
    <row r="172" spans="1:30">
      <c r="A172" s="22" t="s">
        <v>339</v>
      </c>
      <c r="B172" s="22" t="s">
        <v>364</v>
      </c>
      <c r="C172" s="23" t="s">
        <v>365</v>
      </c>
      <c r="D172" s="16">
        <v>5900</v>
      </c>
      <c r="E172" s="24">
        <v>917</v>
      </c>
      <c r="F172" s="24">
        <v>1</v>
      </c>
      <c r="G172" s="24"/>
      <c r="H172" s="24"/>
      <c r="I172" s="24"/>
      <c r="J172" s="24"/>
      <c r="K172" s="24">
        <f t="shared" si="19"/>
        <v>918</v>
      </c>
      <c r="L172" s="24">
        <f t="shared" si="20"/>
        <v>660.95999999999992</v>
      </c>
      <c r="M172" s="25"/>
      <c r="N172" s="26">
        <v>22</v>
      </c>
      <c r="O172" s="26">
        <v>71</v>
      </c>
      <c r="P172" s="25"/>
      <c r="Q172" s="25">
        <v>266</v>
      </c>
      <c r="R172" s="25">
        <f t="shared" si="21"/>
        <v>359</v>
      </c>
      <c r="S172" s="25">
        <f t="shared" si="22"/>
        <v>421.19</v>
      </c>
      <c r="T172" s="24">
        <v>3</v>
      </c>
      <c r="U172" s="27">
        <v>4</v>
      </c>
      <c r="V172" s="27">
        <v>16</v>
      </c>
      <c r="W172" s="24"/>
      <c r="X172" s="24">
        <v>208</v>
      </c>
      <c r="Y172" s="24">
        <f t="shared" si="23"/>
        <v>231</v>
      </c>
      <c r="Z172" s="24">
        <f t="shared" si="24"/>
        <v>627.46</v>
      </c>
      <c r="AA172" s="24">
        <f t="shared" si="18"/>
        <v>1508</v>
      </c>
      <c r="AB172" s="24">
        <f t="shared" si="18"/>
        <v>1709.6100000000001</v>
      </c>
      <c r="AC172" s="28">
        <f t="shared" si="25"/>
        <v>8897200</v>
      </c>
      <c r="AD172" s="28">
        <f t="shared" si="25"/>
        <v>10086699</v>
      </c>
    </row>
    <row r="173" spans="1:30">
      <c r="A173" s="22" t="s">
        <v>339</v>
      </c>
      <c r="B173" s="22" t="s">
        <v>366</v>
      </c>
      <c r="C173" s="23" t="s">
        <v>367</v>
      </c>
      <c r="D173" s="16">
        <v>5883</v>
      </c>
      <c r="E173" s="24">
        <v>59</v>
      </c>
      <c r="F173" s="24"/>
      <c r="G173" s="24"/>
      <c r="H173" s="24"/>
      <c r="I173" s="24"/>
      <c r="J173" s="24"/>
      <c r="K173" s="24">
        <f t="shared" si="19"/>
        <v>59</v>
      </c>
      <c r="L173" s="24">
        <f t="shared" si="20"/>
        <v>42.48</v>
      </c>
      <c r="M173" s="25"/>
      <c r="N173" s="26">
        <v>2</v>
      </c>
      <c r="O173" s="26">
        <v>3</v>
      </c>
      <c r="P173" s="25"/>
      <c r="Q173" s="25">
        <v>11</v>
      </c>
      <c r="R173" s="25">
        <f t="shared" si="21"/>
        <v>16</v>
      </c>
      <c r="S173" s="25">
        <f t="shared" si="22"/>
        <v>18.159999999999997</v>
      </c>
      <c r="T173" s="24"/>
      <c r="U173" s="27"/>
      <c r="V173" s="27">
        <v>1</v>
      </c>
      <c r="W173" s="24"/>
      <c r="X173" s="24">
        <v>9</v>
      </c>
      <c r="Y173" s="24">
        <f t="shared" si="23"/>
        <v>10</v>
      </c>
      <c r="Z173" s="24">
        <f t="shared" si="24"/>
        <v>27.400000000000002</v>
      </c>
      <c r="AA173" s="24">
        <f t="shared" si="18"/>
        <v>85</v>
      </c>
      <c r="AB173" s="24">
        <f t="shared" si="18"/>
        <v>88.039999999999992</v>
      </c>
      <c r="AC173" s="28">
        <f t="shared" si="25"/>
        <v>500055</v>
      </c>
      <c r="AD173" s="28">
        <f t="shared" si="25"/>
        <v>517939</v>
      </c>
    </row>
    <row r="174" spans="1:30">
      <c r="A174" s="22" t="s">
        <v>339</v>
      </c>
      <c r="B174" s="22" t="s">
        <v>368</v>
      </c>
      <c r="C174" s="23" t="s">
        <v>369</v>
      </c>
      <c r="D174" s="16">
        <v>5924</v>
      </c>
      <c r="E174" s="24">
        <v>89</v>
      </c>
      <c r="F174" s="24"/>
      <c r="G174" s="24"/>
      <c r="H174" s="24"/>
      <c r="I174" s="24"/>
      <c r="J174" s="24"/>
      <c r="K174" s="24">
        <f t="shared" si="19"/>
        <v>89</v>
      </c>
      <c r="L174" s="24">
        <f t="shared" si="20"/>
        <v>64.08</v>
      </c>
      <c r="M174" s="25"/>
      <c r="N174" s="26"/>
      <c r="O174" s="26">
        <v>3</v>
      </c>
      <c r="P174" s="25"/>
      <c r="Q174" s="25">
        <v>23</v>
      </c>
      <c r="R174" s="25">
        <f t="shared" si="21"/>
        <v>26</v>
      </c>
      <c r="S174" s="25">
        <f t="shared" si="22"/>
        <v>31.46</v>
      </c>
      <c r="T174" s="24"/>
      <c r="U174" s="27"/>
      <c r="V174" s="27">
        <v>2</v>
      </c>
      <c r="W174" s="24"/>
      <c r="X174" s="24">
        <v>19</v>
      </c>
      <c r="Y174" s="24">
        <f t="shared" si="23"/>
        <v>21</v>
      </c>
      <c r="Z174" s="24">
        <f t="shared" si="24"/>
        <v>57.540000000000006</v>
      </c>
      <c r="AA174" s="24">
        <f t="shared" si="18"/>
        <v>136</v>
      </c>
      <c r="AB174" s="24">
        <f t="shared" si="18"/>
        <v>153.07999999999998</v>
      </c>
      <c r="AC174" s="28">
        <f t="shared" si="25"/>
        <v>805664</v>
      </c>
      <c r="AD174" s="28">
        <f t="shared" si="25"/>
        <v>906846</v>
      </c>
    </row>
    <row r="175" spans="1:30">
      <c r="A175" s="22" t="s">
        <v>339</v>
      </c>
      <c r="B175" s="22" t="s">
        <v>370</v>
      </c>
      <c r="C175" s="23" t="s">
        <v>371</v>
      </c>
      <c r="D175" s="16">
        <v>5884</v>
      </c>
      <c r="E175" s="24">
        <v>355</v>
      </c>
      <c r="F175" s="24">
        <v>5</v>
      </c>
      <c r="G175" s="24"/>
      <c r="H175" s="24"/>
      <c r="I175" s="24"/>
      <c r="J175" s="24"/>
      <c r="K175" s="24">
        <f t="shared" si="19"/>
        <v>360</v>
      </c>
      <c r="L175" s="24">
        <f t="shared" si="20"/>
        <v>259.2</v>
      </c>
      <c r="M175" s="25"/>
      <c r="N175" s="26">
        <v>30</v>
      </c>
      <c r="O175" s="26">
        <v>9</v>
      </c>
      <c r="P175" s="25"/>
      <c r="Q175" s="25">
        <v>102</v>
      </c>
      <c r="R175" s="25">
        <f t="shared" si="21"/>
        <v>141</v>
      </c>
      <c r="S175" s="25">
        <f t="shared" si="22"/>
        <v>152.61000000000001</v>
      </c>
      <c r="T175" s="24">
        <v>2</v>
      </c>
      <c r="U175" s="27">
        <v>3</v>
      </c>
      <c r="V175" s="27">
        <v>3</v>
      </c>
      <c r="W175" s="24"/>
      <c r="X175" s="24">
        <v>99</v>
      </c>
      <c r="Y175" s="24">
        <f t="shared" si="23"/>
        <v>107</v>
      </c>
      <c r="Z175" s="24">
        <f t="shared" si="24"/>
        <v>289.07000000000005</v>
      </c>
      <c r="AA175" s="24">
        <f t="shared" si="18"/>
        <v>608</v>
      </c>
      <c r="AB175" s="24">
        <f t="shared" si="18"/>
        <v>700.88000000000011</v>
      </c>
      <c r="AC175" s="28">
        <f t="shared" si="25"/>
        <v>3577472</v>
      </c>
      <c r="AD175" s="28">
        <f t="shared" si="25"/>
        <v>4123978</v>
      </c>
    </row>
    <row r="176" spans="1:30">
      <c r="A176" s="22" t="s">
        <v>339</v>
      </c>
      <c r="B176" s="22" t="s">
        <v>372</v>
      </c>
      <c r="C176" s="23" t="s">
        <v>373</v>
      </c>
      <c r="D176" s="16">
        <v>5883</v>
      </c>
      <c r="E176" s="24">
        <v>32</v>
      </c>
      <c r="F176" s="24"/>
      <c r="G176" s="24"/>
      <c r="H176" s="24"/>
      <c r="I176" s="24"/>
      <c r="J176" s="24"/>
      <c r="K176" s="24">
        <f t="shared" si="19"/>
        <v>32</v>
      </c>
      <c r="L176" s="24">
        <f t="shared" si="20"/>
        <v>23.04</v>
      </c>
      <c r="M176" s="25"/>
      <c r="N176" s="26">
        <v>1</v>
      </c>
      <c r="O176" s="26"/>
      <c r="P176" s="25"/>
      <c r="Q176" s="25">
        <v>11</v>
      </c>
      <c r="R176" s="25">
        <f t="shared" si="21"/>
        <v>12</v>
      </c>
      <c r="S176" s="25">
        <f t="shared" si="22"/>
        <v>13.919999999999998</v>
      </c>
      <c r="T176" s="24"/>
      <c r="U176" s="27"/>
      <c r="V176" s="27"/>
      <c r="W176" s="24"/>
      <c r="X176" s="24">
        <v>6</v>
      </c>
      <c r="Y176" s="24">
        <f t="shared" si="23"/>
        <v>6</v>
      </c>
      <c r="Z176" s="24">
        <f t="shared" si="24"/>
        <v>16.440000000000001</v>
      </c>
      <c r="AA176" s="24">
        <f t="shared" si="18"/>
        <v>50</v>
      </c>
      <c r="AB176" s="24">
        <f t="shared" si="18"/>
        <v>53.4</v>
      </c>
      <c r="AC176" s="28">
        <f t="shared" si="25"/>
        <v>294150</v>
      </c>
      <c r="AD176" s="28">
        <f t="shared" si="25"/>
        <v>314152</v>
      </c>
    </row>
    <row r="177" spans="1:30">
      <c r="A177" s="22" t="s">
        <v>339</v>
      </c>
      <c r="B177" s="22" t="s">
        <v>374</v>
      </c>
      <c r="C177" s="23" t="s">
        <v>375</v>
      </c>
      <c r="D177" s="16">
        <v>5883</v>
      </c>
      <c r="E177" s="24">
        <v>25</v>
      </c>
      <c r="F177" s="24"/>
      <c r="G177" s="24"/>
      <c r="H177" s="24"/>
      <c r="I177" s="24"/>
      <c r="J177" s="24"/>
      <c r="K177" s="24">
        <f t="shared" si="19"/>
        <v>25</v>
      </c>
      <c r="L177" s="24">
        <f t="shared" si="20"/>
        <v>18</v>
      </c>
      <c r="M177" s="25"/>
      <c r="N177" s="26"/>
      <c r="O177" s="26">
        <v>2</v>
      </c>
      <c r="P177" s="25"/>
      <c r="Q177" s="25">
        <v>5</v>
      </c>
      <c r="R177" s="25">
        <f t="shared" si="21"/>
        <v>7</v>
      </c>
      <c r="S177" s="25">
        <f t="shared" si="22"/>
        <v>8.4699999999999989</v>
      </c>
      <c r="T177" s="24"/>
      <c r="U177" s="27"/>
      <c r="V177" s="27"/>
      <c r="W177" s="24"/>
      <c r="X177" s="24">
        <v>10</v>
      </c>
      <c r="Y177" s="24">
        <f t="shared" si="23"/>
        <v>10</v>
      </c>
      <c r="Z177" s="24">
        <f t="shared" si="24"/>
        <v>27.400000000000002</v>
      </c>
      <c r="AA177" s="24">
        <f t="shared" si="18"/>
        <v>42</v>
      </c>
      <c r="AB177" s="24">
        <f t="shared" si="18"/>
        <v>53.870000000000005</v>
      </c>
      <c r="AC177" s="28">
        <f t="shared" si="25"/>
        <v>247086</v>
      </c>
      <c r="AD177" s="28">
        <f t="shared" si="25"/>
        <v>316917</v>
      </c>
    </row>
    <row r="178" spans="1:30">
      <c r="A178" s="22" t="s">
        <v>339</v>
      </c>
      <c r="B178" s="22" t="s">
        <v>376</v>
      </c>
      <c r="C178" s="23" t="s">
        <v>377</v>
      </c>
      <c r="D178" s="16">
        <v>5985</v>
      </c>
      <c r="E178" s="24">
        <v>167</v>
      </c>
      <c r="F178" s="24"/>
      <c r="G178" s="24"/>
      <c r="H178" s="24"/>
      <c r="I178" s="24"/>
      <c r="J178" s="24"/>
      <c r="K178" s="24">
        <f t="shared" si="19"/>
        <v>167</v>
      </c>
      <c r="L178" s="24">
        <f t="shared" si="20"/>
        <v>120.24</v>
      </c>
      <c r="M178" s="25"/>
      <c r="N178" s="26">
        <v>9</v>
      </c>
      <c r="O178" s="26"/>
      <c r="P178" s="25"/>
      <c r="Q178" s="25">
        <v>42</v>
      </c>
      <c r="R178" s="25">
        <f t="shared" si="21"/>
        <v>51</v>
      </c>
      <c r="S178" s="25">
        <f t="shared" si="22"/>
        <v>56.31</v>
      </c>
      <c r="T178" s="24">
        <v>1</v>
      </c>
      <c r="U178" s="27"/>
      <c r="V178" s="27">
        <v>2</v>
      </c>
      <c r="W178" s="24"/>
      <c r="X178" s="24">
        <v>31</v>
      </c>
      <c r="Y178" s="24">
        <f t="shared" si="23"/>
        <v>34</v>
      </c>
      <c r="Z178" s="24">
        <f t="shared" si="24"/>
        <v>93.160000000000011</v>
      </c>
      <c r="AA178" s="24">
        <f t="shared" si="18"/>
        <v>252</v>
      </c>
      <c r="AB178" s="24">
        <f t="shared" si="18"/>
        <v>269.71000000000004</v>
      </c>
      <c r="AC178" s="28">
        <f t="shared" si="25"/>
        <v>1508220</v>
      </c>
      <c r="AD178" s="28">
        <f t="shared" si="25"/>
        <v>1614214</v>
      </c>
    </row>
    <row r="179" spans="1:30">
      <c r="A179" s="22" t="s">
        <v>339</v>
      </c>
      <c r="B179" s="22" t="s">
        <v>378</v>
      </c>
      <c r="C179" s="23" t="s">
        <v>379</v>
      </c>
      <c r="D179" s="16">
        <v>5972</v>
      </c>
      <c r="E179" s="24">
        <v>48</v>
      </c>
      <c r="F179" s="24"/>
      <c r="G179" s="24"/>
      <c r="H179" s="24"/>
      <c r="I179" s="24"/>
      <c r="J179" s="24"/>
      <c r="K179" s="24">
        <f t="shared" si="19"/>
        <v>48</v>
      </c>
      <c r="L179" s="24">
        <f t="shared" si="20"/>
        <v>34.56</v>
      </c>
      <c r="M179" s="25"/>
      <c r="N179" s="26"/>
      <c r="O179" s="26">
        <v>1</v>
      </c>
      <c r="P179" s="25"/>
      <c r="Q179" s="25">
        <v>13</v>
      </c>
      <c r="R179" s="25">
        <f t="shared" si="21"/>
        <v>14</v>
      </c>
      <c r="S179" s="25">
        <f t="shared" si="22"/>
        <v>16.939999999999998</v>
      </c>
      <c r="T179" s="24"/>
      <c r="U179" s="27"/>
      <c r="V179" s="27"/>
      <c r="W179" s="24"/>
      <c r="X179" s="24">
        <v>14</v>
      </c>
      <c r="Y179" s="24">
        <f t="shared" si="23"/>
        <v>14</v>
      </c>
      <c r="Z179" s="24">
        <f t="shared" si="24"/>
        <v>38.36</v>
      </c>
      <c r="AA179" s="24">
        <f t="shared" si="18"/>
        <v>76</v>
      </c>
      <c r="AB179" s="24">
        <f t="shared" si="18"/>
        <v>89.86</v>
      </c>
      <c r="AC179" s="28">
        <f t="shared" si="25"/>
        <v>453872</v>
      </c>
      <c r="AD179" s="28">
        <f t="shared" si="25"/>
        <v>536644</v>
      </c>
    </row>
    <row r="180" spans="1:30">
      <c r="A180" s="22" t="s">
        <v>339</v>
      </c>
      <c r="B180" s="22" t="s">
        <v>380</v>
      </c>
      <c r="C180" s="23" t="s">
        <v>381</v>
      </c>
      <c r="D180" s="16">
        <v>5907</v>
      </c>
      <c r="E180" s="24">
        <v>108</v>
      </c>
      <c r="F180" s="24">
        <v>1</v>
      </c>
      <c r="G180" s="24"/>
      <c r="H180" s="24"/>
      <c r="I180" s="24"/>
      <c r="J180" s="24"/>
      <c r="K180" s="24">
        <f t="shared" si="19"/>
        <v>109</v>
      </c>
      <c r="L180" s="24">
        <f t="shared" si="20"/>
        <v>78.48</v>
      </c>
      <c r="M180" s="25">
        <v>1</v>
      </c>
      <c r="N180" s="26">
        <v>5</v>
      </c>
      <c r="O180" s="26">
        <v>1</v>
      </c>
      <c r="P180" s="25"/>
      <c r="Q180" s="25">
        <v>40</v>
      </c>
      <c r="R180" s="25">
        <f t="shared" si="21"/>
        <v>47</v>
      </c>
      <c r="S180" s="25">
        <f t="shared" si="22"/>
        <v>53.87</v>
      </c>
      <c r="T180" s="24">
        <v>1</v>
      </c>
      <c r="U180" s="27">
        <v>3</v>
      </c>
      <c r="V180" s="27">
        <v>4</v>
      </c>
      <c r="W180" s="24"/>
      <c r="X180" s="24">
        <v>13</v>
      </c>
      <c r="Y180" s="24">
        <f t="shared" si="23"/>
        <v>21</v>
      </c>
      <c r="Z180" s="24">
        <f t="shared" si="24"/>
        <v>53.430000000000007</v>
      </c>
      <c r="AA180" s="24">
        <f t="shared" si="18"/>
        <v>177</v>
      </c>
      <c r="AB180" s="24">
        <f t="shared" si="18"/>
        <v>185.78000000000003</v>
      </c>
      <c r="AC180" s="28">
        <f t="shared" si="25"/>
        <v>1045539</v>
      </c>
      <c r="AD180" s="28">
        <f t="shared" si="25"/>
        <v>1097402</v>
      </c>
    </row>
    <row r="181" spans="1:30">
      <c r="A181" s="22" t="s">
        <v>339</v>
      </c>
      <c r="B181" s="22" t="s">
        <v>382</v>
      </c>
      <c r="C181" s="23" t="s">
        <v>383</v>
      </c>
      <c r="D181" s="16">
        <v>5883</v>
      </c>
      <c r="E181" s="24">
        <v>72</v>
      </c>
      <c r="F181" s="24"/>
      <c r="G181" s="24"/>
      <c r="H181" s="24"/>
      <c r="I181" s="24"/>
      <c r="J181" s="24"/>
      <c r="K181" s="24">
        <f t="shared" si="19"/>
        <v>72</v>
      </c>
      <c r="L181" s="24">
        <f t="shared" si="20"/>
        <v>51.839999999999996</v>
      </c>
      <c r="M181" s="25"/>
      <c r="N181" s="26"/>
      <c r="O181" s="26">
        <v>4</v>
      </c>
      <c r="P181" s="25"/>
      <c r="Q181" s="25">
        <v>25</v>
      </c>
      <c r="R181" s="25">
        <f t="shared" si="21"/>
        <v>29</v>
      </c>
      <c r="S181" s="25">
        <f t="shared" si="22"/>
        <v>35.089999999999996</v>
      </c>
      <c r="T181" s="24">
        <v>1</v>
      </c>
      <c r="U181" s="27">
        <v>1</v>
      </c>
      <c r="V181" s="27">
        <v>2</v>
      </c>
      <c r="W181" s="24"/>
      <c r="X181" s="24">
        <v>15</v>
      </c>
      <c r="Y181" s="24">
        <f t="shared" si="23"/>
        <v>19</v>
      </c>
      <c r="Z181" s="24">
        <f t="shared" si="24"/>
        <v>50.690000000000005</v>
      </c>
      <c r="AA181" s="24">
        <f t="shared" si="18"/>
        <v>120</v>
      </c>
      <c r="AB181" s="24">
        <f t="shared" si="18"/>
        <v>137.62</v>
      </c>
      <c r="AC181" s="28">
        <f t="shared" si="25"/>
        <v>705960</v>
      </c>
      <c r="AD181" s="28">
        <f t="shared" si="25"/>
        <v>809618</v>
      </c>
    </row>
    <row r="182" spans="1:30">
      <c r="A182" s="22" t="s">
        <v>339</v>
      </c>
      <c r="B182" s="22" t="s">
        <v>384</v>
      </c>
      <c r="C182" s="23" t="s">
        <v>385</v>
      </c>
      <c r="D182" s="16">
        <v>5883</v>
      </c>
      <c r="E182" s="24">
        <v>61</v>
      </c>
      <c r="F182" s="24"/>
      <c r="G182" s="24"/>
      <c r="H182" s="24"/>
      <c r="I182" s="24"/>
      <c r="J182" s="24"/>
      <c r="K182" s="24">
        <f t="shared" si="19"/>
        <v>61</v>
      </c>
      <c r="L182" s="24">
        <f t="shared" si="20"/>
        <v>43.92</v>
      </c>
      <c r="M182" s="25">
        <v>1</v>
      </c>
      <c r="N182" s="26">
        <v>1</v>
      </c>
      <c r="O182" s="26"/>
      <c r="P182" s="25"/>
      <c r="Q182" s="25">
        <v>14</v>
      </c>
      <c r="R182" s="25">
        <f t="shared" si="21"/>
        <v>16</v>
      </c>
      <c r="S182" s="25">
        <f t="shared" si="22"/>
        <v>18.759999999999998</v>
      </c>
      <c r="T182" s="24"/>
      <c r="U182" s="27"/>
      <c r="V182" s="27"/>
      <c r="W182" s="24"/>
      <c r="X182" s="24">
        <v>16</v>
      </c>
      <c r="Y182" s="24">
        <f t="shared" si="23"/>
        <v>16</v>
      </c>
      <c r="Z182" s="24">
        <f t="shared" si="24"/>
        <v>43.84</v>
      </c>
      <c r="AA182" s="24">
        <f t="shared" si="18"/>
        <v>93</v>
      </c>
      <c r="AB182" s="24">
        <f t="shared" si="18"/>
        <v>106.52000000000001</v>
      </c>
      <c r="AC182" s="28">
        <f t="shared" si="25"/>
        <v>547119</v>
      </c>
      <c r="AD182" s="28">
        <f t="shared" si="25"/>
        <v>626657</v>
      </c>
    </row>
    <row r="183" spans="1:30">
      <c r="A183" s="22" t="s">
        <v>339</v>
      </c>
      <c r="B183" s="22" t="s">
        <v>386</v>
      </c>
      <c r="C183" s="23" t="s">
        <v>387</v>
      </c>
      <c r="D183" s="16">
        <v>5932</v>
      </c>
      <c r="E183" s="24">
        <v>54</v>
      </c>
      <c r="F183" s="24"/>
      <c r="G183" s="24"/>
      <c r="H183" s="24"/>
      <c r="I183" s="24"/>
      <c r="J183" s="24"/>
      <c r="K183" s="24">
        <f t="shared" si="19"/>
        <v>54</v>
      </c>
      <c r="L183" s="24">
        <f t="shared" si="20"/>
        <v>38.879999999999995</v>
      </c>
      <c r="M183" s="25"/>
      <c r="N183" s="26"/>
      <c r="O183" s="26">
        <v>1</v>
      </c>
      <c r="P183" s="25"/>
      <c r="Q183" s="25">
        <v>14</v>
      </c>
      <c r="R183" s="25">
        <f t="shared" si="21"/>
        <v>15</v>
      </c>
      <c r="S183" s="25">
        <f t="shared" si="22"/>
        <v>18.149999999999999</v>
      </c>
      <c r="T183" s="24"/>
      <c r="U183" s="27"/>
      <c r="V183" s="27"/>
      <c r="W183" s="24"/>
      <c r="X183" s="24">
        <v>4</v>
      </c>
      <c r="Y183" s="24">
        <f t="shared" si="23"/>
        <v>4</v>
      </c>
      <c r="Z183" s="24">
        <f t="shared" si="24"/>
        <v>10.96</v>
      </c>
      <c r="AA183" s="24">
        <f t="shared" si="18"/>
        <v>73</v>
      </c>
      <c r="AB183" s="24">
        <f t="shared" si="18"/>
        <v>67.989999999999995</v>
      </c>
      <c r="AC183" s="28">
        <f t="shared" si="25"/>
        <v>433036</v>
      </c>
      <c r="AD183" s="28">
        <f t="shared" si="25"/>
        <v>403317</v>
      </c>
    </row>
    <row r="184" spans="1:30">
      <c r="A184" s="22" t="s">
        <v>339</v>
      </c>
      <c r="B184" s="22" t="s">
        <v>388</v>
      </c>
      <c r="C184" s="23" t="s">
        <v>389</v>
      </c>
      <c r="D184" s="16">
        <v>5895</v>
      </c>
      <c r="E184" s="24">
        <v>14</v>
      </c>
      <c r="F184" s="24"/>
      <c r="G184" s="24"/>
      <c r="H184" s="24"/>
      <c r="I184" s="24"/>
      <c r="J184" s="24"/>
      <c r="K184" s="24">
        <f t="shared" si="19"/>
        <v>14</v>
      </c>
      <c r="L184" s="24">
        <f t="shared" si="20"/>
        <v>10.08</v>
      </c>
      <c r="M184" s="25"/>
      <c r="N184" s="26"/>
      <c r="O184" s="26">
        <v>1</v>
      </c>
      <c r="P184" s="25"/>
      <c r="Q184" s="25">
        <v>7</v>
      </c>
      <c r="R184" s="25">
        <f t="shared" si="21"/>
        <v>8</v>
      </c>
      <c r="S184" s="25">
        <f t="shared" si="22"/>
        <v>9.68</v>
      </c>
      <c r="T184" s="24"/>
      <c r="U184" s="27"/>
      <c r="V184" s="27"/>
      <c r="W184" s="24"/>
      <c r="X184" s="24">
        <v>8</v>
      </c>
      <c r="Y184" s="24">
        <f t="shared" si="23"/>
        <v>8</v>
      </c>
      <c r="Z184" s="24">
        <f t="shared" si="24"/>
        <v>21.92</v>
      </c>
      <c r="AA184" s="24">
        <f t="shared" si="18"/>
        <v>30</v>
      </c>
      <c r="AB184" s="24">
        <f t="shared" si="18"/>
        <v>41.68</v>
      </c>
      <c r="AC184" s="28">
        <f t="shared" si="25"/>
        <v>176850</v>
      </c>
      <c r="AD184" s="28">
        <f t="shared" si="25"/>
        <v>245704</v>
      </c>
    </row>
    <row r="185" spans="1:30">
      <c r="A185" s="22" t="s">
        <v>339</v>
      </c>
      <c r="B185" s="22" t="s">
        <v>390</v>
      </c>
      <c r="C185" s="23" t="s">
        <v>391</v>
      </c>
      <c r="D185" s="16">
        <v>5883</v>
      </c>
      <c r="E185" s="24">
        <v>46</v>
      </c>
      <c r="F185" s="24">
        <v>1</v>
      </c>
      <c r="G185" s="24"/>
      <c r="H185" s="24"/>
      <c r="I185" s="24"/>
      <c r="J185" s="24"/>
      <c r="K185" s="24">
        <f t="shared" si="19"/>
        <v>47</v>
      </c>
      <c r="L185" s="24">
        <f t="shared" si="20"/>
        <v>33.839999999999996</v>
      </c>
      <c r="M185" s="25"/>
      <c r="N185" s="26"/>
      <c r="O185" s="26">
        <v>2</v>
      </c>
      <c r="P185" s="25"/>
      <c r="Q185" s="25">
        <v>5</v>
      </c>
      <c r="R185" s="25">
        <f t="shared" si="21"/>
        <v>7</v>
      </c>
      <c r="S185" s="25">
        <f t="shared" si="22"/>
        <v>8.4699999999999989</v>
      </c>
      <c r="T185" s="24">
        <v>1</v>
      </c>
      <c r="U185" s="27"/>
      <c r="V185" s="27">
        <v>2</v>
      </c>
      <c r="W185" s="24"/>
      <c r="X185" s="24">
        <v>13</v>
      </c>
      <c r="Y185" s="24">
        <f t="shared" si="23"/>
        <v>16</v>
      </c>
      <c r="Z185" s="24">
        <f t="shared" si="24"/>
        <v>43.84</v>
      </c>
      <c r="AA185" s="24">
        <f t="shared" si="18"/>
        <v>70</v>
      </c>
      <c r="AB185" s="24">
        <f t="shared" si="18"/>
        <v>86.15</v>
      </c>
      <c r="AC185" s="28">
        <f t="shared" si="25"/>
        <v>411810</v>
      </c>
      <c r="AD185" s="28">
        <f t="shared" si="25"/>
        <v>506820</v>
      </c>
    </row>
    <row r="186" spans="1:30">
      <c r="A186" s="22" t="s">
        <v>339</v>
      </c>
      <c r="B186" s="22" t="s">
        <v>392</v>
      </c>
      <c r="C186" s="23" t="s">
        <v>393</v>
      </c>
      <c r="D186" s="16">
        <v>5925</v>
      </c>
      <c r="E186" s="24">
        <v>19</v>
      </c>
      <c r="F186" s="24"/>
      <c r="G186" s="24"/>
      <c r="H186" s="24"/>
      <c r="I186" s="24"/>
      <c r="J186" s="24"/>
      <c r="K186" s="24">
        <f t="shared" si="19"/>
        <v>19</v>
      </c>
      <c r="L186" s="24">
        <f t="shared" si="20"/>
        <v>13.68</v>
      </c>
      <c r="M186" s="25"/>
      <c r="N186" s="26"/>
      <c r="O186" s="26"/>
      <c r="P186" s="25"/>
      <c r="Q186" s="25">
        <v>9</v>
      </c>
      <c r="R186" s="25">
        <f t="shared" si="21"/>
        <v>9</v>
      </c>
      <c r="S186" s="25">
        <f t="shared" si="22"/>
        <v>10.89</v>
      </c>
      <c r="T186" s="24"/>
      <c r="U186" s="27"/>
      <c r="V186" s="27"/>
      <c r="W186" s="24"/>
      <c r="X186" s="24">
        <v>10</v>
      </c>
      <c r="Y186" s="24">
        <f t="shared" si="23"/>
        <v>10</v>
      </c>
      <c r="Z186" s="24">
        <f t="shared" si="24"/>
        <v>27.400000000000002</v>
      </c>
      <c r="AA186" s="24">
        <f t="shared" si="18"/>
        <v>38</v>
      </c>
      <c r="AB186" s="24">
        <f t="shared" si="18"/>
        <v>51.970000000000006</v>
      </c>
      <c r="AC186" s="28">
        <f t="shared" si="25"/>
        <v>225150</v>
      </c>
      <c r="AD186" s="28">
        <f t="shared" si="25"/>
        <v>307922</v>
      </c>
    </row>
    <row r="187" spans="1:30">
      <c r="A187" s="22" t="s">
        <v>339</v>
      </c>
      <c r="B187" s="22" t="s">
        <v>394</v>
      </c>
      <c r="C187" s="23" t="s">
        <v>395</v>
      </c>
      <c r="D187" s="16">
        <v>5934</v>
      </c>
      <c r="E187" s="24">
        <v>71</v>
      </c>
      <c r="F187" s="24"/>
      <c r="G187" s="24"/>
      <c r="H187" s="24"/>
      <c r="I187" s="24"/>
      <c r="J187" s="24"/>
      <c r="K187" s="24">
        <f t="shared" si="19"/>
        <v>71</v>
      </c>
      <c r="L187" s="24">
        <f t="shared" si="20"/>
        <v>51.12</v>
      </c>
      <c r="M187" s="25"/>
      <c r="N187" s="26">
        <v>1</v>
      </c>
      <c r="O187" s="26">
        <v>4</v>
      </c>
      <c r="P187" s="25"/>
      <c r="Q187" s="25">
        <v>17</v>
      </c>
      <c r="R187" s="25">
        <f t="shared" si="21"/>
        <v>22</v>
      </c>
      <c r="S187" s="25">
        <f t="shared" si="22"/>
        <v>26.02</v>
      </c>
      <c r="T187" s="24">
        <v>2</v>
      </c>
      <c r="U187" s="27"/>
      <c r="V187" s="27">
        <v>2</v>
      </c>
      <c r="W187" s="24"/>
      <c r="X187" s="24">
        <v>7</v>
      </c>
      <c r="Y187" s="24">
        <f t="shared" si="23"/>
        <v>11</v>
      </c>
      <c r="Z187" s="24">
        <f t="shared" si="24"/>
        <v>30.14</v>
      </c>
      <c r="AA187" s="24">
        <f t="shared" si="18"/>
        <v>104</v>
      </c>
      <c r="AB187" s="24">
        <f t="shared" si="18"/>
        <v>107.28</v>
      </c>
      <c r="AC187" s="28">
        <f t="shared" si="25"/>
        <v>617136</v>
      </c>
      <c r="AD187" s="28">
        <f t="shared" si="25"/>
        <v>636600</v>
      </c>
    </row>
    <row r="188" spans="1:30">
      <c r="A188" s="22" t="s">
        <v>339</v>
      </c>
      <c r="B188" s="22" t="s">
        <v>396</v>
      </c>
      <c r="C188" s="23" t="s">
        <v>397</v>
      </c>
      <c r="D188" s="16">
        <v>5883</v>
      </c>
      <c r="E188" s="24">
        <v>183</v>
      </c>
      <c r="F188" s="24">
        <v>1</v>
      </c>
      <c r="G188" s="24"/>
      <c r="H188" s="24"/>
      <c r="I188" s="24"/>
      <c r="J188" s="24"/>
      <c r="K188" s="24">
        <f t="shared" si="19"/>
        <v>184</v>
      </c>
      <c r="L188" s="24">
        <f t="shared" si="20"/>
        <v>132.47999999999999</v>
      </c>
      <c r="M188" s="25"/>
      <c r="N188" s="26">
        <v>1</v>
      </c>
      <c r="O188" s="26">
        <v>9</v>
      </c>
      <c r="P188" s="25"/>
      <c r="Q188" s="25">
        <v>42</v>
      </c>
      <c r="R188" s="25">
        <f t="shared" si="21"/>
        <v>52</v>
      </c>
      <c r="S188" s="25">
        <f t="shared" si="22"/>
        <v>62.32</v>
      </c>
      <c r="T188" s="24"/>
      <c r="U188" s="27"/>
      <c r="V188" s="27">
        <v>2</v>
      </c>
      <c r="W188" s="24"/>
      <c r="X188" s="24">
        <v>31</v>
      </c>
      <c r="Y188" s="24">
        <f t="shared" si="23"/>
        <v>33</v>
      </c>
      <c r="Z188" s="24">
        <f t="shared" si="24"/>
        <v>90.42</v>
      </c>
      <c r="AA188" s="24">
        <f t="shared" si="18"/>
        <v>269</v>
      </c>
      <c r="AB188" s="24">
        <f t="shared" si="18"/>
        <v>285.22000000000003</v>
      </c>
      <c r="AC188" s="28">
        <f t="shared" si="25"/>
        <v>1582527</v>
      </c>
      <c r="AD188" s="28">
        <f t="shared" si="25"/>
        <v>1677949</v>
      </c>
    </row>
    <row r="189" spans="1:30">
      <c r="A189" s="22" t="s">
        <v>339</v>
      </c>
      <c r="B189" s="22" t="s">
        <v>398</v>
      </c>
      <c r="C189" s="23" t="s">
        <v>399</v>
      </c>
      <c r="D189" s="16">
        <v>5883</v>
      </c>
      <c r="E189" s="24">
        <v>125</v>
      </c>
      <c r="F189" s="24"/>
      <c r="G189" s="24"/>
      <c r="H189" s="24"/>
      <c r="I189" s="24"/>
      <c r="J189" s="24"/>
      <c r="K189" s="24">
        <f t="shared" si="19"/>
        <v>125</v>
      </c>
      <c r="L189" s="24">
        <f t="shared" si="20"/>
        <v>90</v>
      </c>
      <c r="M189" s="25">
        <v>1</v>
      </c>
      <c r="N189" s="26">
        <v>3</v>
      </c>
      <c r="O189" s="26">
        <v>5</v>
      </c>
      <c r="P189" s="25"/>
      <c r="Q189" s="25">
        <v>72</v>
      </c>
      <c r="R189" s="25">
        <f t="shared" si="21"/>
        <v>81</v>
      </c>
      <c r="S189" s="25">
        <f t="shared" si="22"/>
        <v>96.21</v>
      </c>
      <c r="T189" s="24"/>
      <c r="U189" s="27">
        <v>1</v>
      </c>
      <c r="V189" s="27">
        <v>2</v>
      </c>
      <c r="W189" s="24"/>
      <c r="X189" s="24">
        <v>29</v>
      </c>
      <c r="Y189" s="24">
        <f t="shared" si="23"/>
        <v>32</v>
      </c>
      <c r="Z189" s="24">
        <f t="shared" si="24"/>
        <v>86.310000000000016</v>
      </c>
      <c r="AA189" s="24">
        <f t="shared" si="18"/>
        <v>238</v>
      </c>
      <c r="AB189" s="24">
        <f t="shared" si="18"/>
        <v>272.52</v>
      </c>
      <c r="AC189" s="28">
        <f t="shared" si="25"/>
        <v>1400154</v>
      </c>
      <c r="AD189" s="28">
        <f t="shared" si="25"/>
        <v>1603235</v>
      </c>
    </row>
    <row r="190" spans="1:30">
      <c r="A190" s="22" t="s">
        <v>339</v>
      </c>
      <c r="B190" s="22" t="s">
        <v>400</v>
      </c>
      <c r="C190" s="23" t="s">
        <v>401</v>
      </c>
      <c r="D190" s="16">
        <v>5915</v>
      </c>
      <c r="E190" s="24">
        <v>60</v>
      </c>
      <c r="F190" s="24"/>
      <c r="G190" s="24"/>
      <c r="H190" s="24"/>
      <c r="I190" s="24"/>
      <c r="J190" s="24"/>
      <c r="K190" s="24">
        <f t="shared" si="19"/>
        <v>60</v>
      </c>
      <c r="L190" s="24">
        <f t="shared" si="20"/>
        <v>43.199999999999996</v>
      </c>
      <c r="M190" s="25"/>
      <c r="N190" s="26"/>
      <c r="O190" s="26">
        <v>1</v>
      </c>
      <c r="P190" s="25"/>
      <c r="Q190" s="25">
        <v>18</v>
      </c>
      <c r="R190" s="25">
        <f t="shared" si="21"/>
        <v>19</v>
      </c>
      <c r="S190" s="25">
        <f t="shared" si="22"/>
        <v>22.99</v>
      </c>
      <c r="T190" s="24">
        <v>1</v>
      </c>
      <c r="U190" s="27"/>
      <c r="V190" s="27">
        <v>3</v>
      </c>
      <c r="W190" s="24"/>
      <c r="X190" s="24">
        <v>10</v>
      </c>
      <c r="Y190" s="24">
        <f t="shared" si="23"/>
        <v>14</v>
      </c>
      <c r="Z190" s="24">
        <f t="shared" si="24"/>
        <v>38.36</v>
      </c>
      <c r="AA190" s="24">
        <f t="shared" si="18"/>
        <v>93</v>
      </c>
      <c r="AB190" s="24">
        <f t="shared" si="18"/>
        <v>104.54999999999998</v>
      </c>
      <c r="AC190" s="28">
        <f t="shared" si="25"/>
        <v>550095</v>
      </c>
      <c r="AD190" s="28">
        <f t="shared" si="25"/>
        <v>618413</v>
      </c>
    </row>
    <row r="191" spans="1:30" ht="12" thickBot="1">
      <c r="A191" s="22" t="s">
        <v>339</v>
      </c>
      <c r="B191" s="22" t="s">
        <v>402</v>
      </c>
      <c r="C191" s="23" t="s">
        <v>403</v>
      </c>
      <c r="D191" s="16">
        <v>5899</v>
      </c>
      <c r="E191" s="24">
        <v>88</v>
      </c>
      <c r="F191" s="24">
        <v>1</v>
      </c>
      <c r="G191" s="24"/>
      <c r="H191" s="24"/>
      <c r="I191" s="24"/>
      <c r="J191" s="24"/>
      <c r="K191" s="24">
        <f t="shared" si="19"/>
        <v>89</v>
      </c>
      <c r="L191" s="24">
        <f t="shared" si="20"/>
        <v>64.08</v>
      </c>
      <c r="M191" s="25"/>
      <c r="N191" s="26">
        <v>6</v>
      </c>
      <c r="O191" s="26">
        <v>2</v>
      </c>
      <c r="P191" s="25"/>
      <c r="Q191" s="25">
        <v>20</v>
      </c>
      <c r="R191" s="25">
        <f t="shared" si="21"/>
        <v>28</v>
      </c>
      <c r="S191" s="25">
        <f t="shared" si="22"/>
        <v>30.279999999999998</v>
      </c>
      <c r="T191" s="24">
        <v>1</v>
      </c>
      <c r="U191" s="27">
        <v>2</v>
      </c>
      <c r="V191" s="27">
        <v>2</v>
      </c>
      <c r="W191" s="24"/>
      <c r="X191" s="24">
        <v>11</v>
      </c>
      <c r="Y191" s="24">
        <f t="shared" si="23"/>
        <v>16</v>
      </c>
      <c r="Z191" s="24">
        <f t="shared" si="24"/>
        <v>41.1</v>
      </c>
      <c r="AA191" s="24">
        <f t="shared" si="18"/>
        <v>133</v>
      </c>
      <c r="AB191" s="24">
        <f t="shared" si="18"/>
        <v>135.45999999999998</v>
      </c>
      <c r="AC191" s="28">
        <f t="shared" si="25"/>
        <v>784567</v>
      </c>
      <c r="AD191" s="28">
        <f t="shared" si="25"/>
        <v>799079</v>
      </c>
    </row>
    <row r="192" spans="1:30" ht="12" thickBot="1">
      <c r="A192" s="34"/>
      <c r="B192" s="35"/>
      <c r="C192" s="36" t="s">
        <v>404</v>
      </c>
      <c r="D192" s="37"/>
      <c r="E192" s="38">
        <f>SUM(E160:E191)</f>
        <v>4932</v>
      </c>
      <c r="F192" s="38">
        <f t="shared" ref="F192:AB192" si="28">SUM(F160:F191)</f>
        <v>13</v>
      </c>
      <c r="G192" s="38">
        <f t="shared" si="28"/>
        <v>0</v>
      </c>
      <c r="H192" s="38">
        <f t="shared" si="28"/>
        <v>0</v>
      </c>
      <c r="I192" s="38">
        <f t="shared" si="28"/>
        <v>0</v>
      </c>
      <c r="J192" s="38">
        <f t="shared" si="28"/>
        <v>0</v>
      </c>
      <c r="K192" s="38">
        <f t="shared" si="28"/>
        <v>4945</v>
      </c>
      <c r="L192" s="38">
        <f t="shared" si="28"/>
        <v>3560.3999999999992</v>
      </c>
      <c r="M192" s="38">
        <f t="shared" si="28"/>
        <v>11</v>
      </c>
      <c r="N192" s="39">
        <f t="shared" si="28"/>
        <v>103</v>
      </c>
      <c r="O192" s="39">
        <f t="shared" si="28"/>
        <v>247</v>
      </c>
      <c r="P192" s="38">
        <f t="shared" si="28"/>
        <v>0</v>
      </c>
      <c r="Q192" s="38">
        <f t="shared" si="28"/>
        <v>1440</v>
      </c>
      <c r="R192" s="38">
        <f t="shared" si="28"/>
        <v>1801</v>
      </c>
      <c r="S192" s="38">
        <f t="shared" si="28"/>
        <v>2117.41</v>
      </c>
      <c r="T192" s="38">
        <f t="shared" si="28"/>
        <v>24</v>
      </c>
      <c r="U192" s="40">
        <f t="shared" si="28"/>
        <v>18</v>
      </c>
      <c r="V192" s="40">
        <f t="shared" si="28"/>
        <v>88</v>
      </c>
      <c r="W192" s="38">
        <f t="shared" si="28"/>
        <v>0</v>
      </c>
      <c r="X192" s="38">
        <f t="shared" si="28"/>
        <v>1147</v>
      </c>
      <c r="Y192" s="38">
        <f t="shared" si="28"/>
        <v>1277</v>
      </c>
      <c r="Z192" s="38">
        <f t="shared" si="28"/>
        <v>3474.3200000000006</v>
      </c>
      <c r="AA192" s="38">
        <f t="shared" si="28"/>
        <v>8023</v>
      </c>
      <c r="AB192" s="41">
        <f t="shared" si="28"/>
        <v>9152.1299999999974</v>
      </c>
      <c r="AC192" s="42">
        <f>SUM(AC160:AC191)</f>
        <v>47319101</v>
      </c>
      <c r="AD192" s="43">
        <f>SUM(AD160:AD191)</f>
        <v>53970225</v>
      </c>
    </row>
    <row r="193" spans="1:30">
      <c r="A193" s="22" t="s">
        <v>405</v>
      </c>
      <c r="B193" s="22" t="s">
        <v>406</v>
      </c>
      <c r="C193" s="23" t="s">
        <v>407</v>
      </c>
      <c r="D193" s="16">
        <v>5883</v>
      </c>
      <c r="E193" s="24">
        <v>3</v>
      </c>
      <c r="F193" s="24"/>
      <c r="G193" s="24"/>
      <c r="H193" s="24">
        <v>23</v>
      </c>
      <c r="I193" s="24"/>
      <c r="J193" s="24">
        <v>2</v>
      </c>
      <c r="K193" s="24">
        <f t="shared" si="19"/>
        <v>28</v>
      </c>
      <c r="L193" s="24">
        <f t="shared" si="20"/>
        <v>20.16</v>
      </c>
      <c r="M193" s="25"/>
      <c r="N193" s="26"/>
      <c r="O193" s="26"/>
      <c r="P193" s="25"/>
      <c r="Q193" s="25">
        <v>22</v>
      </c>
      <c r="R193" s="25">
        <f t="shared" si="21"/>
        <v>22</v>
      </c>
      <c r="S193" s="25">
        <f t="shared" si="22"/>
        <v>26.619999999999997</v>
      </c>
      <c r="T193" s="24"/>
      <c r="U193" s="27"/>
      <c r="V193" s="27">
        <v>2</v>
      </c>
      <c r="W193" s="24"/>
      <c r="X193" s="24">
        <v>2</v>
      </c>
      <c r="Y193" s="24">
        <f t="shared" si="23"/>
        <v>4</v>
      </c>
      <c r="Z193" s="24">
        <f t="shared" si="24"/>
        <v>10.96</v>
      </c>
      <c r="AA193" s="24">
        <f t="shared" si="18"/>
        <v>54</v>
      </c>
      <c r="AB193" s="24">
        <f t="shared" si="18"/>
        <v>57.739999999999995</v>
      </c>
      <c r="AC193" s="28">
        <f t="shared" si="25"/>
        <v>317682</v>
      </c>
      <c r="AD193" s="28">
        <f t="shared" si="25"/>
        <v>339684</v>
      </c>
    </row>
    <row r="194" spans="1:30">
      <c r="A194" s="22" t="s">
        <v>405</v>
      </c>
      <c r="B194" s="22" t="s">
        <v>408</v>
      </c>
      <c r="C194" s="23" t="s">
        <v>409</v>
      </c>
      <c r="D194" s="16">
        <v>5903</v>
      </c>
      <c r="E194" s="24">
        <v>106</v>
      </c>
      <c r="F194" s="24"/>
      <c r="G194" s="24"/>
      <c r="H194" s="24"/>
      <c r="I194" s="24"/>
      <c r="J194" s="24"/>
      <c r="K194" s="24">
        <f t="shared" si="19"/>
        <v>106</v>
      </c>
      <c r="L194" s="24">
        <f t="shared" si="20"/>
        <v>76.319999999999993</v>
      </c>
      <c r="M194" s="25"/>
      <c r="N194" s="26">
        <v>7</v>
      </c>
      <c r="O194" s="26">
        <v>3</v>
      </c>
      <c r="P194" s="25"/>
      <c r="Q194" s="25">
        <v>27</v>
      </c>
      <c r="R194" s="25">
        <f t="shared" si="21"/>
        <v>37</v>
      </c>
      <c r="S194" s="25">
        <f t="shared" si="22"/>
        <v>40.569999999999993</v>
      </c>
      <c r="T194" s="24"/>
      <c r="U194" s="27">
        <v>1</v>
      </c>
      <c r="V194" s="27"/>
      <c r="W194" s="24"/>
      <c r="X194" s="24">
        <v>12</v>
      </c>
      <c r="Y194" s="24">
        <f t="shared" si="23"/>
        <v>13</v>
      </c>
      <c r="Z194" s="24">
        <f t="shared" si="24"/>
        <v>34.25</v>
      </c>
      <c r="AA194" s="24">
        <f t="shared" si="18"/>
        <v>156</v>
      </c>
      <c r="AB194" s="24">
        <f t="shared" si="18"/>
        <v>151.13999999999999</v>
      </c>
      <c r="AC194" s="28">
        <f t="shared" si="25"/>
        <v>920868</v>
      </c>
      <c r="AD194" s="28">
        <f t="shared" si="25"/>
        <v>892179</v>
      </c>
    </row>
    <row r="195" spans="1:30">
      <c r="A195" s="22" t="s">
        <v>405</v>
      </c>
      <c r="B195" s="22" t="s">
        <v>410</v>
      </c>
      <c r="C195" s="23" t="s">
        <v>411</v>
      </c>
      <c r="D195" s="16">
        <v>5973</v>
      </c>
      <c r="E195" s="24">
        <v>247</v>
      </c>
      <c r="F195" s="24">
        <v>1</v>
      </c>
      <c r="G195" s="24"/>
      <c r="H195" s="24">
        <v>3</v>
      </c>
      <c r="I195" s="24"/>
      <c r="J195" s="24"/>
      <c r="K195" s="24">
        <f t="shared" si="19"/>
        <v>251</v>
      </c>
      <c r="L195" s="24">
        <f t="shared" si="20"/>
        <v>180.72</v>
      </c>
      <c r="M195" s="25"/>
      <c r="N195" s="26">
        <v>12</v>
      </c>
      <c r="O195" s="26">
        <v>8</v>
      </c>
      <c r="P195" s="25"/>
      <c r="Q195" s="25">
        <v>101</v>
      </c>
      <c r="R195" s="25">
        <f t="shared" si="21"/>
        <v>121</v>
      </c>
      <c r="S195" s="25">
        <f t="shared" si="22"/>
        <v>139.20999999999998</v>
      </c>
      <c r="T195" s="24"/>
      <c r="U195" s="27">
        <v>6</v>
      </c>
      <c r="V195" s="27"/>
      <c r="W195" s="24">
        <v>1</v>
      </c>
      <c r="X195" s="24">
        <v>49</v>
      </c>
      <c r="Y195" s="24">
        <f t="shared" si="23"/>
        <v>56</v>
      </c>
      <c r="Z195" s="24">
        <f t="shared" si="24"/>
        <v>143.85000000000002</v>
      </c>
      <c r="AA195" s="24">
        <f t="shared" ref="AA195:AB258" si="29">+Y195+R195+K195</f>
        <v>428</v>
      </c>
      <c r="AB195" s="24">
        <f t="shared" si="29"/>
        <v>463.78</v>
      </c>
      <c r="AC195" s="28">
        <f t="shared" si="25"/>
        <v>2556444</v>
      </c>
      <c r="AD195" s="28">
        <f t="shared" si="25"/>
        <v>2770158</v>
      </c>
    </row>
    <row r="196" spans="1:30">
      <c r="A196" s="22" t="s">
        <v>405</v>
      </c>
      <c r="B196" s="22" t="s">
        <v>412</v>
      </c>
      <c r="C196" s="23" t="s">
        <v>413</v>
      </c>
      <c r="D196" s="16">
        <v>5883</v>
      </c>
      <c r="E196" s="24">
        <v>366</v>
      </c>
      <c r="F196" s="24"/>
      <c r="G196" s="24"/>
      <c r="H196" s="24"/>
      <c r="I196" s="24"/>
      <c r="J196" s="24"/>
      <c r="K196" s="24">
        <f t="shared" si="19"/>
        <v>366</v>
      </c>
      <c r="L196" s="24">
        <f t="shared" si="20"/>
        <v>263.52</v>
      </c>
      <c r="M196" s="25"/>
      <c r="N196" s="26">
        <v>34</v>
      </c>
      <c r="O196" s="26">
        <v>1</v>
      </c>
      <c r="P196" s="25"/>
      <c r="Q196" s="25">
        <v>129</v>
      </c>
      <c r="R196" s="25">
        <f t="shared" si="21"/>
        <v>164</v>
      </c>
      <c r="S196" s="25">
        <f t="shared" si="22"/>
        <v>178.04</v>
      </c>
      <c r="T196" s="24"/>
      <c r="U196" s="27">
        <v>13</v>
      </c>
      <c r="V196" s="27"/>
      <c r="W196" s="24"/>
      <c r="X196" s="24">
        <v>56</v>
      </c>
      <c r="Y196" s="24">
        <f t="shared" si="23"/>
        <v>69</v>
      </c>
      <c r="Z196" s="24">
        <f t="shared" si="24"/>
        <v>171.25</v>
      </c>
      <c r="AA196" s="24">
        <f t="shared" si="29"/>
        <v>599</v>
      </c>
      <c r="AB196" s="24">
        <f t="shared" si="29"/>
        <v>612.80999999999995</v>
      </c>
      <c r="AC196" s="28">
        <f t="shared" si="25"/>
        <v>3523917</v>
      </c>
      <c r="AD196" s="28">
        <f t="shared" si="25"/>
        <v>3605161</v>
      </c>
    </row>
    <row r="197" spans="1:30">
      <c r="A197" s="22" t="s">
        <v>405</v>
      </c>
      <c r="B197" s="22" t="s">
        <v>414</v>
      </c>
      <c r="C197" s="23" t="s">
        <v>415</v>
      </c>
      <c r="D197" s="16">
        <v>5962</v>
      </c>
      <c r="E197" s="24">
        <v>33</v>
      </c>
      <c r="F197" s="24"/>
      <c r="G197" s="24"/>
      <c r="H197" s="24"/>
      <c r="I197" s="24"/>
      <c r="J197" s="24"/>
      <c r="K197" s="24">
        <f t="shared" ref="K197:K260" si="30">SUM(E197:J197)</f>
        <v>33</v>
      </c>
      <c r="L197" s="24">
        <f t="shared" ref="L197:L260" si="31">+K197*0.72</f>
        <v>23.759999999999998</v>
      </c>
      <c r="M197" s="25"/>
      <c r="N197" s="26"/>
      <c r="O197" s="26">
        <v>1</v>
      </c>
      <c r="P197" s="25"/>
      <c r="Q197" s="25">
        <v>12</v>
      </c>
      <c r="R197" s="25">
        <f t="shared" ref="R197:R260" si="32">SUM(M197:Q197)</f>
        <v>13</v>
      </c>
      <c r="S197" s="25">
        <f t="shared" ref="S197:S260" si="33">((+N197 +P197)*0.61+(+M197+O197+Q197)*1.21)</f>
        <v>15.73</v>
      </c>
      <c r="T197" s="24"/>
      <c r="U197" s="27">
        <v>1</v>
      </c>
      <c r="V197" s="27"/>
      <c r="W197" s="24"/>
      <c r="X197" s="24">
        <v>4</v>
      </c>
      <c r="Y197" s="24">
        <f t="shared" ref="Y197:Y260" si="34">SUM(T197:X197)</f>
        <v>5</v>
      </c>
      <c r="Z197" s="24">
        <f t="shared" ref="Z197:Z260" si="35">((+U197 +W197)*1.37+(+T197+V197+X197)*2.74)</f>
        <v>12.330000000000002</v>
      </c>
      <c r="AA197" s="24">
        <f t="shared" si="29"/>
        <v>51</v>
      </c>
      <c r="AB197" s="24">
        <f t="shared" si="29"/>
        <v>51.82</v>
      </c>
      <c r="AC197" s="28">
        <f t="shared" ref="AC197:AD260" si="36">ROUND((AA197*$D197),0)</f>
        <v>304062</v>
      </c>
      <c r="AD197" s="28">
        <f t="shared" si="36"/>
        <v>308951</v>
      </c>
    </row>
    <row r="198" spans="1:30">
      <c r="A198" s="22" t="s">
        <v>405</v>
      </c>
      <c r="B198" s="22" t="s">
        <v>416</v>
      </c>
      <c r="C198" s="23" t="s">
        <v>417</v>
      </c>
      <c r="D198" s="16">
        <v>5883</v>
      </c>
      <c r="E198" s="24">
        <v>4</v>
      </c>
      <c r="F198" s="24"/>
      <c r="G198" s="24"/>
      <c r="H198" s="24">
        <v>94</v>
      </c>
      <c r="I198" s="24"/>
      <c r="J198" s="24"/>
      <c r="K198" s="24">
        <f t="shared" si="30"/>
        <v>98</v>
      </c>
      <c r="L198" s="24">
        <f t="shared" si="31"/>
        <v>70.56</v>
      </c>
      <c r="M198" s="25"/>
      <c r="N198" s="26">
        <v>3</v>
      </c>
      <c r="O198" s="26">
        <v>1</v>
      </c>
      <c r="P198" s="25"/>
      <c r="Q198" s="25">
        <v>37</v>
      </c>
      <c r="R198" s="25">
        <f t="shared" si="32"/>
        <v>41</v>
      </c>
      <c r="S198" s="25">
        <f t="shared" si="33"/>
        <v>47.809999999999995</v>
      </c>
      <c r="T198" s="24"/>
      <c r="U198" s="27">
        <v>1</v>
      </c>
      <c r="V198" s="27"/>
      <c r="W198" s="24"/>
      <c r="X198" s="24">
        <v>6</v>
      </c>
      <c r="Y198" s="24">
        <f t="shared" si="34"/>
        <v>7</v>
      </c>
      <c r="Z198" s="24">
        <f t="shared" si="35"/>
        <v>17.810000000000002</v>
      </c>
      <c r="AA198" s="24">
        <f t="shared" si="29"/>
        <v>146</v>
      </c>
      <c r="AB198" s="24">
        <f t="shared" si="29"/>
        <v>136.18</v>
      </c>
      <c r="AC198" s="28">
        <f t="shared" si="36"/>
        <v>858918</v>
      </c>
      <c r="AD198" s="28">
        <f t="shared" si="36"/>
        <v>801147</v>
      </c>
    </row>
    <row r="199" spans="1:30">
      <c r="A199" s="22" t="s">
        <v>405</v>
      </c>
      <c r="B199" s="22" t="s">
        <v>418</v>
      </c>
      <c r="C199" s="23" t="s">
        <v>419</v>
      </c>
      <c r="D199" s="16">
        <v>5883</v>
      </c>
      <c r="E199" s="24">
        <v>27</v>
      </c>
      <c r="F199" s="24"/>
      <c r="G199" s="24"/>
      <c r="H199" s="24"/>
      <c r="I199" s="24"/>
      <c r="J199" s="24"/>
      <c r="K199" s="24">
        <f t="shared" si="30"/>
        <v>27</v>
      </c>
      <c r="L199" s="24">
        <f t="shared" si="31"/>
        <v>19.439999999999998</v>
      </c>
      <c r="M199" s="25"/>
      <c r="N199" s="26">
        <v>1</v>
      </c>
      <c r="O199" s="26"/>
      <c r="P199" s="25"/>
      <c r="Q199" s="25">
        <v>4</v>
      </c>
      <c r="R199" s="25">
        <f t="shared" si="32"/>
        <v>5</v>
      </c>
      <c r="S199" s="25">
        <f t="shared" si="33"/>
        <v>5.45</v>
      </c>
      <c r="T199" s="24"/>
      <c r="U199" s="27"/>
      <c r="V199" s="27"/>
      <c r="W199" s="24"/>
      <c r="X199" s="24">
        <v>1</v>
      </c>
      <c r="Y199" s="24">
        <f t="shared" si="34"/>
        <v>1</v>
      </c>
      <c r="Z199" s="24">
        <f t="shared" si="35"/>
        <v>2.74</v>
      </c>
      <c r="AA199" s="24">
        <f t="shared" si="29"/>
        <v>33</v>
      </c>
      <c r="AB199" s="24">
        <f t="shared" si="29"/>
        <v>27.63</v>
      </c>
      <c r="AC199" s="28">
        <f t="shared" si="36"/>
        <v>194139</v>
      </c>
      <c r="AD199" s="28">
        <f t="shared" si="36"/>
        <v>162547</v>
      </c>
    </row>
    <row r="200" spans="1:30">
      <c r="A200" s="22" t="s">
        <v>405</v>
      </c>
      <c r="B200" s="22" t="s">
        <v>420</v>
      </c>
      <c r="C200" s="23" t="s">
        <v>421</v>
      </c>
      <c r="D200" s="16">
        <v>5883</v>
      </c>
      <c r="E200" s="24">
        <v>88</v>
      </c>
      <c r="F200" s="24">
        <v>1</v>
      </c>
      <c r="G200" s="24"/>
      <c r="H200" s="24"/>
      <c r="I200" s="24"/>
      <c r="J200" s="24"/>
      <c r="K200" s="24">
        <f t="shared" si="30"/>
        <v>89</v>
      </c>
      <c r="L200" s="24">
        <f t="shared" si="31"/>
        <v>64.08</v>
      </c>
      <c r="M200" s="25"/>
      <c r="N200" s="26">
        <v>4</v>
      </c>
      <c r="O200" s="26"/>
      <c r="P200" s="25"/>
      <c r="Q200" s="25">
        <v>21</v>
      </c>
      <c r="R200" s="25">
        <f t="shared" si="32"/>
        <v>25</v>
      </c>
      <c r="S200" s="25">
        <f t="shared" si="33"/>
        <v>27.85</v>
      </c>
      <c r="T200" s="24"/>
      <c r="U200" s="27">
        <v>2</v>
      </c>
      <c r="V200" s="27"/>
      <c r="W200" s="24">
        <v>1</v>
      </c>
      <c r="X200" s="24">
        <v>12</v>
      </c>
      <c r="Y200" s="24">
        <f t="shared" si="34"/>
        <v>15</v>
      </c>
      <c r="Z200" s="24">
        <f t="shared" si="35"/>
        <v>36.99</v>
      </c>
      <c r="AA200" s="24">
        <f t="shared" si="29"/>
        <v>129</v>
      </c>
      <c r="AB200" s="24">
        <f t="shared" si="29"/>
        <v>128.92000000000002</v>
      </c>
      <c r="AC200" s="28">
        <f t="shared" si="36"/>
        <v>758907</v>
      </c>
      <c r="AD200" s="28">
        <f t="shared" si="36"/>
        <v>758436</v>
      </c>
    </row>
    <row r="201" spans="1:30">
      <c r="A201" s="22" t="s">
        <v>405</v>
      </c>
      <c r="B201" s="22" t="s">
        <v>422</v>
      </c>
      <c r="C201" s="23" t="s">
        <v>423</v>
      </c>
      <c r="D201" s="16">
        <v>5883</v>
      </c>
      <c r="E201" s="24">
        <v>230</v>
      </c>
      <c r="F201" s="24"/>
      <c r="G201" s="24"/>
      <c r="H201" s="24">
        <v>1</v>
      </c>
      <c r="I201" s="24"/>
      <c r="J201" s="24"/>
      <c r="K201" s="24">
        <f t="shared" si="30"/>
        <v>231</v>
      </c>
      <c r="L201" s="24">
        <f t="shared" si="31"/>
        <v>166.32</v>
      </c>
      <c r="M201" s="25"/>
      <c r="N201" s="26">
        <v>1</v>
      </c>
      <c r="O201" s="26">
        <v>1</v>
      </c>
      <c r="P201" s="25"/>
      <c r="Q201" s="25">
        <v>52</v>
      </c>
      <c r="R201" s="25">
        <f t="shared" si="32"/>
        <v>54</v>
      </c>
      <c r="S201" s="25">
        <f t="shared" si="33"/>
        <v>64.739999999999995</v>
      </c>
      <c r="T201" s="24"/>
      <c r="U201" s="27">
        <v>3</v>
      </c>
      <c r="V201" s="27">
        <v>1</v>
      </c>
      <c r="W201" s="24"/>
      <c r="X201" s="24">
        <v>17</v>
      </c>
      <c r="Y201" s="24">
        <f t="shared" si="34"/>
        <v>21</v>
      </c>
      <c r="Z201" s="24">
        <f t="shared" si="35"/>
        <v>53.430000000000007</v>
      </c>
      <c r="AA201" s="24">
        <f t="shared" si="29"/>
        <v>306</v>
      </c>
      <c r="AB201" s="24">
        <f t="shared" si="29"/>
        <v>284.49</v>
      </c>
      <c r="AC201" s="28">
        <f t="shared" si="36"/>
        <v>1800198</v>
      </c>
      <c r="AD201" s="28">
        <f t="shared" si="36"/>
        <v>1673655</v>
      </c>
    </row>
    <row r="202" spans="1:30">
      <c r="A202" s="22" t="s">
        <v>405</v>
      </c>
      <c r="B202" s="22" t="s">
        <v>424</v>
      </c>
      <c r="C202" s="23" t="s">
        <v>425</v>
      </c>
      <c r="D202" s="16">
        <v>5883</v>
      </c>
      <c r="E202" s="24">
        <v>123</v>
      </c>
      <c r="F202" s="24"/>
      <c r="G202" s="24"/>
      <c r="H202" s="24"/>
      <c r="I202" s="24"/>
      <c r="J202" s="24"/>
      <c r="K202" s="24">
        <f t="shared" si="30"/>
        <v>123</v>
      </c>
      <c r="L202" s="24">
        <f t="shared" si="31"/>
        <v>88.56</v>
      </c>
      <c r="M202" s="25"/>
      <c r="N202" s="26">
        <v>12</v>
      </c>
      <c r="O202" s="26"/>
      <c r="P202" s="25"/>
      <c r="Q202" s="25">
        <v>56</v>
      </c>
      <c r="R202" s="25">
        <f t="shared" si="32"/>
        <v>68</v>
      </c>
      <c r="S202" s="25">
        <f t="shared" si="33"/>
        <v>75.079999999999984</v>
      </c>
      <c r="T202" s="24"/>
      <c r="U202" s="27"/>
      <c r="V202" s="27"/>
      <c r="W202" s="24"/>
      <c r="X202" s="24">
        <v>15</v>
      </c>
      <c r="Y202" s="24">
        <f t="shared" si="34"/>
        <v>15</v>
      </c>
      <c r="Z202" s="24">
        <f t="shared" si="35"/>
        <v>41.1</v>
      </c>
      <c r="AA202" s="24">
        <f t="shared" si="29"/>
        <v>206</v>
      </c>
      <c r="AB202" s="24">
        <f t="shared" si="29"/>
        <v>204.73999999999998</v>
      </c>
      <c r="AC202" s="28">
        <f t="shared" si="36"/>
        <v>1211898</v>
      </c>
      <c r="AD202" s="28">
        <f t="shared" si="36"/>
        <v>1204485</v>
      </c>
    </row>
    <row r="203" spans="1:30">
      <c r="A203" s="22" t="s">
        <v>405</v>
      </c>
      <c r="B203" s="22" t="s">
        <v>426</v>
      </c>
      <c r="C203" s="23" t="s">
        <v>427</v>
      </c>
      <c r="D203" s="16">
        <v>5883</v>
      </c>
      <c r="E203" s="24">
        <v>7</v>
      </c>
      <c r="F203" s="24"/>
      <c r="G203" s="24"/>
      <c r="H203" s="24">
        <v>144</v>
      </c>
      <c r="I203" s="24"/>
      <c r="J203" s="24">
        <v>3</v>
      </c>
      <c r="K203" s="24">
        <f t="shared" si="30"/>
        <v>154</v>
      </c>
      <c r="L203" s="24">
        <f t="shared" si="31"/>
        <v>110.88</v>
      </c>
      <c r="M203" s="25"/>
      <c r="N203" s="26">
        <v>3</v>
      </c>
      <c r="O203" s="26">
        <v>4</v>
      </c>
      <c r="P203" s="25"/>
      <c r="Q203" s="25">
        <v>30</v>
      </c>
      <c r="R203" s="25">
        <f t="shared" si="32"/>
        <v>37</v>
      </c>
      <c r="S203" s="25">
        <f t="shared" si="33"/>
        <v>42.97</v>
      </c>
      <c r="T203" s="24">
        <v>1</v>
      </c>
      <c r="U203" s="27">
        <v>1</v>
      </c>
      <c r="V203" s="27"/>
      <c r="W203" s="24"/>
      <c r="X203" s="24">
        <v>17</v>
      </c>
      <c r="Y203" s="24">
        <f t="shared" si="34"/>
        <v>19</v>
      </c>
      <c r="Z203" s="24">
        <f t="shared" si="35"/>
        <v>50.690000000000005</v>
      </c>
      <c r="AA203" s="24">
        <f t="shared" si="29"/>
        <v>210</v>
      </c>
      <c r="AB203" s="24">
        <f t="shared" si="29"/>
        <v>204.54</v>
      </c>
      <c r="AC203" s="28">
        <f t="shared" si="36"/>
        <v>1235430</v>
      </c>
      <c r="AD203" s="28">
        <f t="shared" si="36"/>
        <v>1203309</v>
      </c>
    </row>
    <row r="204" spans="1:30">
      <c r="A204" s="22" t="s">
        <v>405</v>
      </c>
      <c r="B204" s="22" t="s">
        <v>428</v>
      </c>
      <c r="C204" s="23" t="s">
        <v>429</v>
      </c>
      <c r="D204" s="16">
        <v>5883</v>
      </c>
      <c r="E204" s="24">
        <v>75</v>
      </c>
      <c r="F204" s="24"/>
      <c r="G204" s="24"/>
      <c r="H204" s="24"/>
      <c r="I204" s="24"/>
      <c r="J204" s="24"/>
      <c r="K204" s="24">
        <f t="shared" si="30"/>
        <v>75</v>
      </c>
      <c r="L204" s="24">
        <f t="shared" si="31"/>
        <v>54</v>
      </c>
      <c r="M204" s="25"/>
      <c r="N204" s="26">
        <v>5</v>
      </c>
      <c r="O204" s="26"/>
      <c r="P204" s="25"/>
      <c r="Q204" s="25">
        <v>14</v>
      </c>
      <c r="R204" s="25">
        <f t="shared" si="32"/>
        <v>19</v>
      </c>
      <c r="S204" s="25">
        <f t="shared" si="33"/>
        <v>19.989999999999998</v>
      </c>
      <c r="T204" s="24"/>
      <c r="U204" s="27"/>
      <c r="V204" s="27"/>
      <c r="W204" s="24"/>
      <c r="X204" s="24">
        <v>4</v>
      </c>
      <c r="Y204" s="24">
        <f t="shared" si="34"/>
        <v>4</v>
      </c>
      <c r="Z204" s="24">
        <f t="shared" si="35"/>
        <v>10.96</v>
      </c>
      <c r="AA204" s="24">
        <f t="shared" si="29"/>
        <v>98</v>
      </c>
      <c r="AB204" s="24">
        <f t="shared" si="29"/>
        <v>84.95</v>
      </c>
      <c r="AC204" s="28">
        <f t="shared" si="36"/>
        <v>576534</v>
      </c>
      <c r="AD204" s="28">
        <f t="shared" si="36"/>
        <v>499761</v>
      </c>
    </row>
    <row r="205" spans="1:30">
      <c r="A205" s="22" t="s">
        <v>405</v>
      </c>
      <c r="B205" s="22" t="s">
        <v>430</v>
      </c>
      <c r="C205" s="23" t="s">
        <v>431</v>
      </c>
      <c r="D205" s="16">
        <v>5883</v>
      </c>
      <c r="E205" s="24">
        <v>38</v>
      </c>
      <c r="F205" s="24"/>
      <c r="G205" s="24"/>
      <c r="H205" s="24">
        <v>2</v>
      </c>
      <c r="I205" s="24"/>
      <c r="J205" s="24"/>
      <c r="K205" s="24">
        <f t="shared" si="30"/>
        <v>40</v>
      </c>
      <c r="L205" s="24">
        <f t="shared" si="31"/>
        <v>28.799999999999997</v>
      </c>
      <c r="M205" s="25"/>
      <c r="N205" s="26">
        <v>2</v>
      </c>
      <c r="O205" s="26"/>
      <c r="P205" s="25"/>
      <c r="Q205" s="25">
        <v>15</v>
      </c>
      <c r="R205" s="25">
        <f t="shared" si="32"/>
        <v>17</v>
      </c>
      <c r="S205" s="25">
        <f t="shared" si="33"/>
        <v>19.369999999999997</v>
      </c>
      <c r="T205" s="24"/>
      <c r="U205" s="27"/>
      <c r="V205" s="27"/>
      <c r="W205" s="24"/>
      <c r="X205" s="24">
        <v>3</v>
      </c>
      <c r="Y205" s="24">
        <f t="shared" si="34"/>
        <v>3</v>
      </c>
      <c r="Z205" s="24">
        <f t="shared" si="35"/>
        <v>8.2200000000000006</v>
      </c>
      <c r="AA205" s="24">
        <f t="shared" si="29"/>
        <v>60</v>
      </c>
      <c r="AB205" s="24">
        <f t="shared" si="29"/>
        <v>56.389999999999993</v>
      </c>
      <c r="AC205" s="28">
        <f t="shared" si="36"/>
        <v>352980</v>
      </c>
      <c r="AD205" s="28">
        <f t="shared" si="36"/>
        <v>331742</v>
      </c>
    </row>
    <row r="206" spans="1:30">
      <c r="A206" s="22" t="s">
        <v>405</v>
      </c>
      <c r="B206" s="22" t="s">
        <v>432</v>
      </c>
      <c r="C206" s="23" t="s">
        <v>433</v>
      </c>
      <c r="D206" s="16">
        <v>5906</v>
      </c>
      <c r="E206" s="24">
        <v>30</v>
      </c>
      <c r="F206" s="24"/>
      <c r="G206" s="24"/>
      <c r="H206" s="24"/>
      <c r="I206" s="24"/>
      <c r="J206" s="24"/>
      <c r="K206" s="24">
        <f t="shared" si="30"/>
        <v>30</v>
      </c>
      <c r="L206" s="24">
        <f t="shared" si="31"/>
        <v>21.599999999999998</v>
      </c>
      <c r="M206" s="25"/>
      <c r="N206" s="26"/>
      <c r="O206" s="26"/>
      <c r="P206" s="25"/>
      <c r="Q206" s="25">
        <v>11</v>
      </c>
      <c r="R206" s="25">
        <f t="shared" si="32"/>
        <v>11</v>
      </c>
      <c r="S206" s="25">
        <f t="shared" si="33"/>
        <v>13.309999999999999</v>
      </c>
      <c r="T206" s="24"/>
      <c r="U206" s="27"/>
      <c r="V206" s="27"/>
      <c r="W206" s="24"/>
      <c r="X206" s="24">
        <v>5</v>
      </c>
      <c r="Y206" s="24">
        <f t="shared" si="34"/>
        <v>5</v>
      </c>
      <c r="Z206" s="24">
        <f t="shared" si="35"/>
        <v>13.700000000000001</v>
      </c>
      <c r="AA206" s="24">
        <f t="shared" si="29"/>
        <v>46</v>
      </c>
      <c r="AB206" s="24">
        <f t="shared" si="29"/>
        <v>48.61</v>
      </c>
      <c r="AC206" s="28">
        <f t="shared" si="36"/>
        <v>271676</v>
      </c>
      <c r="AD206" s="28">
        <f t="shared" si="36"/>
        <v>287091</v>
      </c>
    </row>
    <row r="207" spans="1:30">
      <c r="A207" s="22" t="s">
        <v>405</v>
      </c>
      <c r="B207" s="22" t="s">
        <v>434</v>
      </c>
      <c r="C207" s="23" t="s">
        <v>435</v>
      </c>
      <c r="D207" s="16">
        <v>6030</v>
      </c>
      <c r="E207" s="24">
        <v>21</v>
      </c>
      <c r="F207" s="24"/>
      <c r="G207" s="24"/>
      <c r="H207" s="24">
        <v>32</v>
      </c>
      <c r="I207" s="24"/>
      <c r="J207" s="24"/>
      <c r="K207" s="24">
        <f t="shared" si="30"/>
        <v>53</v>
      </c>
      <c r="L207" s="24">
        <f t="shared" si="31"/>
        <v>38.159999999999997</v>
      </c>
      <c r="M207" s="25"/>
      <c r="N207" s="26">
        <v>1</v>
      </c>
      <c r="O207" s="26"/>
      <c r="P207" s="25"/>
      <c r="Q207" s="25">
        <v>14</v>
      </c>
      <c r="R207" s="25">
        <f t="shared" si="32"/>
        <v>15</v>
      </c>
      <c r="S207" s="25">
        <f t="shared" si="33"/>
        <v>17.549999999999997</v>
      </c>
      <c r="T207" s="24"/>
      <c r="U207" s="27"/>
      <c r="V207" s="27"/>
      <c r="W207" s="24"/>
      <c r="X207" s="24">
        <v>7</v>
      </c>
      <c r="Y207" s="24">
        <f t="shared" si="34"/>
        <v>7</v>
      </c>
      <c r="Z207" s="24">
        <f t="shared" si="35"/>
        <v>19.18</v>
      </c>
      <c r="AA207" s="24">
        <f t="shared" si="29"/>
        <v>75</v>
      </c>
      <c r="AB207" s="24">
        <f t="shared" si="29"/>
        <v>74.889999999999986</v>
      </c>
      <c r="AC207" s="28">
        <f t="shared" si="36"/>
        <v>452250</v>
      </c>
      <c r="AD207" s="28">
        <f t="shared" si="36"/>
        <v>451587</v>
      </c>
    </row>
    <row r="208" spans="1:30">
      <c r="A208" s="22" t="s">
        <v>405</v>
      </c>
      <c r="B208" s="22" t="s">
        <v>436</v>
      </c>
      <c r="C208" s="23" t="s">
        <v>437</v>
      </c>
      <c r="D208" s="16">
        <v>5883</v>
      </c>
      <c r="E208" s="24">
        <v>87</v>
      </c>
      <c r="F208" s="24"/>
      <c r="G208" s="24"/>
      <c r="H208" s="24"/>
      <c r="I208" s="24"/>
      <c r="J208" s="24"/>
      <c r="K208" s="24">
        <f t="shared" si="30"/>
        <v>87</v>
      </c>
      <c r="L208" s="24">
        <f t="shared" si="31"/>
        <v>62.64</v>
      </c>
      <c r="M208" s="25"/>
      <c r="N208" s="26">
        <v>9</v>
      </c>
      <c r="O208" s="26"/>
      <c r="P208" s="25"/>
      <c r="Q208" s="25">
        <v>43</v>
      </c>
      <c r="R208" s="25">
        <f t="shared" si="32"/>
        <v>52</v>
      </c>
      <c r="S208" s="25">
        <f t="shared" si="33"/>
        <v>57.52</v>
      </c>
      <c r="T208" s="24"/>
      <c r="U208" s="27">
        <v>6</v>
      </c>
      <c r="V208" s="27"/>
      <c r="W208" s="24"/>
      <c r="X208" s="24">
        <v>15</v>
      </c>
      <c r="Y208" s="24">
        <f t="shared" si="34"/>
        <v>21</v>
      </c>
      <c r="Z208" s="24">
        <f t="shared" si="35"/>
        <v>49.32</v>
      </c>
      <c r="AA208" s="24">
        <f t="shared" si="29"/>
        <v>160</v>
      </c>
      <c r="AB208" s="24">
        <f t="shared" si="29"/>
        <v>169.48000000000002</v>
      </c>
      <c r="AC208" s="28">
        <f t="shared" si="36"/>
        <v>941280</v>
      </c>
      <c r="AD208" s="28">
        <f t="shared" si="36"/>
        <v>997051</v>
      </c>
    </row>
    <row r="209" spans="1:30">
      <c r="A209" s="22" t="s">
        <v>405</v>
      </c>
      <c r="B209" s="22" t="s">
        <v>438</v>
      </c>
      <c r="C209" s="23" t="s">
        <v>439</v>
      </c>
      <c r="D209" s="16">
        <v>5951</v>
      </c>
      <c r="E209" s="24">
        <v>2384</v>
      </c>
      <c r="F209" s="24">
        <v>2</v>
      </c>
      <c r="G209" s="24"/>
      <c r="H209" s="24"/>
      <c r="I209" s="24"/>
      <c r="J209" s="24"/>
      <c r="K209" s="24">
        <f t="shared" si="30"/>
        <v>2386</v>
      </c>
      <c r="L209" s="24">
        <f t="shared" si="31"/>
        <v>1717.9199999999998</v>
      </c>
      <c r="M209" s="25"/>
      <c r="N209" s="26">
        <v>177</v>
      </c>
      <c r="O209" s="26">
        <v>3</v>
      </c>
      <c r="P209" s="25"/>
      <c r="Q209" s="25">
        <v>1466</v>
      </c>
      <c r="R209" s="25">
        <f t="shared" si="32"/>
        <v>1646</v>
      </c>
      <c r="S209" s="25">
        <f t="shared" si="33"/>
        <v>1885.46</v>
      </c>
      <c r="T209" s="24"/>
      <c r="U209" s="27">
        <v>54</v>
      </c>
      <c r="V209" s="27">
        <v>11</v>
      </c>
      <c r="W209" s="24"/>
      <c r="X209" s="24">
        <v>964</v>
      </c>
      <c r="Y209" s="24">
        <f t="shared" si="34"/>
        <v>1029</v>
      </c>
      <c r="Z209" s="24">
        <f t="shared" si="35"/>
        <v>2745.48</v>
      </c>
      <c r="AA209" s="24">
        <f t="shared" si="29"/>
        <v>5061</v>
      </c>
      <c r="AB209" s="24">
        <f t="shared" si="29"/>
        <v>6348.8600000000006</v>
      </c>
      <c r="AC209" s="28">
        <f t="shared" si="36"/>
        <v>30118011</v>
      </c>
      <c r="AD209" s="28">
        <f t="shared" si="36"/>
        <v>37782066</v>
      </c>
    </row>
    <row r="210" spans="1:30">
      <c r="A210" s="22" t="s">
        <v>405</v>
      </c>
      <c r="B210" s="22" t="s">
        <v>440</v>
      </c>
      <c r="C210" s="23" t="s">
        <v>441</v>
      </c>
      <c r="D210" s="16">
        <v>5883</v>
      </c>
      <c r="E210" s="24">
        <v>44</v>
      </c>
      <c r="F210" s="24"/>
      <c r="G210" s="24"/>
      <c r="H210" s="24"/>
      <c r="I210" s="24"/>
      <c r="J210" s="24"/>
      <c r="K210" s="24">
        <f t="shared" si="30"/>
        <v>44</v>
      </c>
      <c r="L210" s="24">
        <f t="shared" si="31"/>
        <v>31.68</v>
      </c>
      <c r="M210" s="25"/>
      <c r="N210" s="26"/>
      <c r="O210" s="26">
        <v>4</v>
      </c>
      <c r="P210" s="25"/>
      <c r="Q210" s="25">
        <v>11</v>
      </c>
      <c r="R210" s="25">
        <f t="shared" si="32"/>
        <v>15</v>
      </c>
      <c r="S210" s="25">
        <f t="shared" si="33"/>
        <v>18.149999999999999</v>
      </c>
      <c r="T210" s="24"/>
      <c r="U210" s="27"/>
      <c r="V210" s="27"/>
      <c r="W210" s="24"/>
      <c r="X210" s="24">
        <v>3</v>
      </c>
      <c r="Y210" s="24">
        <f t="shared" si="34"/>
        <v>3</v>
      </c>
      <c r="Z210" s="24">
        <f t="shared" si="35"/>
        <v>8.2200000000000006</v>
      </c>
      <c r="AA210" s="24">
        <f t="shared" si="29"/>
        <v>62</v>
      </c>
      <c r="AB210" s="24">
        <f t="shared" si="29"/>
        <v>58.05</v>
      </c>
      <c r="AC210" s="28">
        <f t="shared" si="36"/>
        <v>364746</v>
      </c>
      <c r="AD210" s="28">
        <f t="shared" si="36"/>
        <v>341508</v>
      </c>
    </row>
    <row r="211" spans="1:30">
      <c r="A211" s="22" t="s">
        <v>405</v>
      </c>
      <c r="B211" s="22" t="s">
        <v>442</v>
      </c>
      <c r="C211" s="23" t="s">
        <v>443</v>
      </c>
      <c r="D211" s="16">
        <v>5883</v>
      </c>
      <c r="E211" s="24">
        <v>14</v>
      </c>
      <c r="F211" s="24"/>
      <c r="G211" s="24"/>
      <c r="H211" s="24">
        <v>2</v>
      </c>
      <c r="I211" s="24"/>
      <c r="J211" s="24"/>
      <c r="K211" s="24">
        <f t="shared" si="30"/>
        <v>16</v>
      </c>
      <c r="L211" s="24">
        <f t="shared" si="31"/>
        <v>11.52</v>
      </c>
      <c r="M211" s="25"/>
      <c r="N211" s="26"/>
      <c r="O211" s="26">
        <v>1</v>
      </c>
      <c r="P211" s="25"/>
      <c r="Q211" s="25">
        <v>6</v>
      </c>
      <c r="R211" s="25">
        <f t="shared" si="32"/>
        <v>7</v>
      </c>
      <c r="S211" s="25">
        <f t="shared" si="33"/>
        <v>8.4699999999999989</v>
      </c>
      <c r="T211" s="24"/>
      <c r="U211" s="27"/>
      <c r="V211" s="27"/>
      <c r="W211" s="24"/>
      <c r="X211" s="24">
        <v>4</v>
      </c>
      <c r="Y211" s="24">
        <f t="shared" si="34"/>
        <v>4</v>
      </c>
      <c r="Z211" s="24">
        <f t="shared" si="35"/>
        <v>10.96</v>
      </c>
      <c r="AA211" s="24">
        <f t="shared" si="29"/>
        <v>27</v>
      </c>
      <c r="AB211" s="24">
        <f t="shared" si="29"/>
        <v>30.95</v>
      </c>
      <c r="AC211" s="28">
        <f t="shared" si="36"/>
        <v>158841</v>
      </c>
      <c r="AD211" s="28">
        <f t="shared" si="36"/>
        <v>182079</v>
      </c>
    </row>
    <row r="212" spans="1:30">
      <c r="A212" s="22" t="s">
        <v>405</v>
      </c>
      <c r="B212" s="22" t="s">
        <v>444</v>
      </c>
      <c r="C212" s="23" t="s">
        <v>445</v>
      </c>
      <c r="D212" s="16">
        <v>5883</v>
      </c>
      <c r="E212" s="24">
        <v>50</v>
      </c>
      <c r="F212" s="24">
        <v>1</v>
      </c>
      <c r="G212" s="24"/>
      <c r="H212" s="24">
        <v>1</v>
      </c>
      <c r="I212" s="24"/>
      <c r="J212" s="24"/>
      <c r="K212" s="24">
        <f t="shared" si="30"/>
        <v>52</v>
      </c>
      <c r="L212" s="24">
        <f t="shared" si="31"/>
        <v>37.44</v>
      </c>
      <c r="M212" s="25"/>
      <c r="N212" s="26">
        <v>1</v>
      </c>
      <c r="O212" s="26"/>
      <c r="P212" s="25"/>
      <c r="Q212" s="25">
        <v>19</v>
      </c>
      <c r="R212" s="25">
        <f t="shared" si="32"/>
        <v>20</v>
      </c>
      <c r="S212" s="25">
        <f t="shared" si="33"/>
        <v>23.599999999999998</v>
      </c>
      <c r="T212" s="24"/>
      <c r="U212" s="27"/>
      <c r="V212" s="27"/>
      <c r="W212" s="24"/>
      <c r="X212" s="24">
        <v>10</v>
      </c>
      <c r="Y212" s="24">
        <f t="shared" si="34"/>
        <v>10</v>
      </c>
      <c r="Z212" s="24">
        <f t="shared" si="35"/>
        <v>27.400000000000002</v>
      </c>
      <c r="AA212" s="24">
        <f t="shared" si="29"/>
        <v>82</v>
      </c>
      <c r="AB212" s="24">
        <f t="shared" si="29"/>
        <v>88.44</v>
      </c>
      <c r="AC212" s="28">
        <f t="shared" si="36"/>
        <v>482406</v>
      </c>
      <c r="AD212" s="28">
        <f t="shared" si="36"/>
        <v>520293</v>
      </c>
    </row>
    <row r="213" spans="1:30">
      <c r="A213" s="22" t="s">
        <v>405</v>
      </c>
      <c r="B213" s="22" t="s">
        <v>446</v>
      </c>
      <c r="C213" s="23" t="s">
        <v>447</v>
      </c>
      <c r="D213" s="16">
        <v>5886</v>
      </c>
      <c r="E213" s="24">
        <v>20</v>
      </c>
      <c r="F213" s="24"/>
      <c r="G213" s="24"/>
      <c r="H213" s="24"/>
      <c r="I213" s="24"/>
      <c r="J213" s="24"/>
      <c r="K213" s="24">
        <f t="shared" si="30"/>
        <v>20</v>
      </c>
      <c r="L213" s="24">
        <f t="shared" si="31"/>
        <v>14.399999999999999</v>
      </c>
      <c r="M213" s="25"/>
      <c r="N213" s="26"/>
      <c r="O213" s="26">
        <v>1</v>
      </c>
      <c r="P213" s="25"/>
      <c r="Q213" s="25">
        <v>3</v>
      </c>
      <c r="R213" s="25">
        <f t="shared" si="32"/>
        <v>4</v>
      </c>
      <c r="S213" s="25">
        <f t="shared" si="33"/>
        <v>4.84</v>
      </c>
      <c r="T213" s="24"/>
      <c r="U213" s="27"/>
      <c r="V213" s="27"/>
      <c r="W213" s="24"/>
      <c r="X213" s="24">
        <v>1</v>
      </c>
      <c r="Y213" s="24">
        <f t="shared" si="34"/>
        <v>1</v>
      </c>
      <c r="Z213" s="24">
        <f t="shared" si="35"/>
        <v>2.74</v>
      </c>
      <c r="AA213" s="24">
        <f t="shared" si="29"/>
        <v>25</v>
      </c>
      <c r="AB213" s="24">
        <f t="shared" si="29"/>
        <v>21.979999999999997</v>
      </c>
      <c r="AC213" s="28">
        <f t="shared" si="36"/>
        <v>147150</v>
      </c>
      <c r="AD213" s="28">
        <f t="shared" si="36"/>
        <v>129374</v>
      </c>
    </row>
    <row r="214" spans="1:30">
      <c r="A214" s="22" t="s">
        <v>405</v>
      </c>
      <c r="B214" s="22" t="s">
        <v>448</v>
      </c>
      <c r="C214" s="23" t="s">
        <v>449</v>
      </c>
      <c r="D214" s="16">
        <v>5907</v>
      </c>
      <c r="E214" s="24">
        <v>46</v>
      </c>
      <c r="F214" s="24"/>
      <c r="G214" s="24"/>
      <c r="H214" s="24">
        <v>1</v>
      </c>
      <c r="I214" s="24"/>
      <c r="J214" s="24"/>
      <c r="K214" s="24">
        <f t="shared" si="30"/>
        <v>47</v>
      </c>
      <c r="L214" s="24">
        <f t="shared" si="31"/>
        <v>33.839999999999996</v>
      </c>
      <c r="M214" s="25"/>
      <c r="N214" s="26">
        <v>2</v>
      </c>
      <c r="O214" s="26">
        <v>4</v>
      </c>
      <c r="P214" s="25"/>
      <c r="Q214" s="25">
        <v>9</v>
      </c>
      <c r="R214" s="25">
        <f t="shared" si="32"/>
        <v>15</v>
      </c>
      <c r="S214" s="25">
        <f t="shared" si="33"/>
        <v>16.95</v>
      </c>
      <c r="T214" s="24"/>
      <c r="U214" s="27"/>
      <c r="V214" s="27"/>
      <c r="W214" s="24"/>
      <c r="X214" s="24">
        <v>5</v>
      </c>
      <c r="Y214" s="24">
        <f t="shared" si="34"/>
        <v>5</v>
      </c>
      <c r="Z214" s="24">
        <f t="shared" si="35"/>
        <v>13.700000000000001</v>
      </c>
      <c r="AA214" s="24">
        <f t="shared" si="29"/>
        <v>67</v>
      </c>
      <c r="AB214" s="24">
        <f t="shared" si="29"/>
        <v>64.489999999999995</v>
      </c>
      <c r="AC214" s="28">
        <f t="shared" si="36"/>
        <v>395769</v>
      </c>
      <c r="AD214" s="28">
        <f t="shared" si="36"/>
        <v>380942</v>
      </c>
    </row>
    <row r="215" spans="1:30">
      <c r="A215" s="22" t="s">
        <v>405</v>
      </c>
      <c r="B215" s="22" t="s">
        <v>450</v>
      </c>
      <c r="C215" s="23" t="s">
        <v>451</v>
      </c>
      <c r="D215" s="16">
        <v>5883</v>
      </c>
      <c r="E215" s="24">
        <v>241</v>
      </c>
      <c r="F215" s="24"/>
      <c r="G215" s="24"/>
      <c r="H215" s="24"/>
      <c r="I215" s="24"/>
      <c r="J215" s="24"/>
      <c r="K215" s="24">
        <f t="shared" si="30"/>
        <v>241</v>
      </c>
      <c r="L215" s="24">
        <f t="shared" si="31"/>
        <v>173.51999999999998</v>
      </c>
      <c r="M215" s="25"/>
      <c r="N215" s="26">
        <v>16</v>
      </c>
      <c r="O215" s="26"/>
      <c r="P215" s="25"/>
      <c r="Q215" s="25">
        <v>63</v>
      </c>
      <c r="R215" s="25">
        <f t="shared" si="32"/>
        <v>79</v>
      </c>
      <c r="S215" s="25">
        <f t="shared" si="33"/>
        <v>85.990000000000009</v>
      </c>
      <c r="T215" s="24"/>
      <c r="U215" s="27"/>
      <c r="V215" s="27"/>
      <c r="W215" s="24"/>
      <c r="X215" s="24">
        <v>21</v>
      </c>
      <c r="Y215" s="24">
        <f t="shared" si="34"/>
        <v>21</v>
      </c>
      <c r="Z215" s="24">
        <f t="shared" si="35"/>
        <v>57.540000000000006</v>
      </c>
      <c r="AA215" s="24">
        <f t="shared" si="29"/>
        <v>341</v>
      </c>
      <c r="AB215" s="24">
        <f t="shared" si="29"/>
        <v>317.05</v>
      </c>
      <c r="AC215" s="28">
        <f t="shared" si="36"/>
        <v>2006103</v>
      </c>
      <c r="AD215" s="28">
        <f t="shared" si="36"/>
        <v>1865205</v>
      </c>
    </row>
    <row r="216" spans="1:30">
      <c r="A216" s="22" t="s">
        <v>405</v>
      </c>
      <c r="B216" s="22" t="s">
        <v>452</v>
      </c>
      <c r="C216" s="23" t="s">
        <v>453</v>
      </c>
      <c r="D216" s="16">
        <v>5883</v>
      </c>
      <c r="E216" s="24">
        <v>76</v>
      </c>
      <c r="F216" s="24"/>
      <c r="G216" s="24"/>
      <c r="H216" s="24"/>
      <c r="I216" s="24"/>
      <c r="J216" s="24"/>
      <c r="K216" s="24">
        <f t="shared" si="30"/>
        <v>76</v>
      </c>
      <c r="L216" s="24">
        <f t="shared" si="31"/>
        <v>54.72</v>
      </c>
      <c r="M216" s="25"/>
      <c r="N216" s="26">
        <v>1</v>
      </c>
      <c r="O216" s="26">
        <v>3</v>
      </c>
      <c r="P216" s="25"/>
      <c r="Q216" s="25">
        <v>14</v>
      </c>
      <c r="R216" s="25">
        <f t="shared" si="32"/>
        <v>18</v>
      </c>
      <c r="S216" s="25">
        <f t="shared" si="33"/>
        <v>21.18</v>
      </c>
      <c r="T216" s="24"/>
      <c r="U216" s="27"/>
      <c r="V216" s="27"/>
      <c r="W216" s="24"/>
      <c r="X216" s="24">
        <v>2</v>
      </c>
      <c r="Y216" s="24">
        <f t="shared" si="34"/>
        <v>2</v>
      </c>
      <c r="Z216" s="24">
        <f t="shared" si="35"/>
        <v>5.48</v>
      </c>
      <c r="AA216" s="24">
        <f t="shared" si="29"/>
        <v>96</v>
      </c>
      <c r="AB216" s="24">
        <f t="shared" si="29"/>
        <v>81.38</v>
      </c>
      <c r="AC216" s="28">
        <f t="shared" si="36"/>
        <v>564768</v>
      </c>
      <c r="AD216" s="28">
        <f t="shared" si="36"/>
        <v>478759</v>
      </c>
    </row>
    <row r="217" spans="1:30">
      <c r="A217" s="22" t="s">
        <v>405</v>
      </c>
      <c r="B217" s="22" t="s">
        <v>454</v>
      </c>
      <c r="C217" s="23" t="s">
        <v>455</v>
      </c>
      <c r="D217" s="16">
        <v>5883</v>
      </c>
      <c r="E217" s="24">
        <v>326</v>
      </c>
      <c r="F217" s="24"/>
      <c r="G217" s="24"/>
      <c r="H217" s="24"/>
      <c r="I217" s="24"/>
      <c r="J217" s="24"/>
      <c r="K217" s="24">
        <f t="shared" si="30"/>
        <v>326</v>
      </c>
      <c r="L217" s="24">
        <f t="shared" si="31"/>
        <v>234.72</v>
      </c>
      <c r="M217" s="25"/>
      <c r="N217" s="26">
        <v>18</v>
      </c>
      <c r="O217" s="26"/>
      <c r="P217" s="25"/>
      <c r="Q217" s="25">
        <v>100</v>
      </c>
      <c r="R217" s="25">
        <f t="shared" si="32"/>
        <v>118</v>
      </c>
      <c r="S217" s="25">
        <f t="shared" si="33"/>
        <v>131.97999999999999</v>
      </c>
      <c r="T217" s="24"/>
      <c r="U217" s="27"/>
      <c r="V217" s="27"/>
      <c r="W217" s="24"/>
      <c r="X217" s="24">
        <v>32</v>
      </c>
      <c r="Y217" s="24">
        <f t="shared" si="34"/>
        <v>32</v>
      </c>
      <c r="Z217" s="24">
        <f t="shared" si="35"/>
        <v>87.68</v>
      </c>
      <c r="AA217" s="24">
        <f t="shared" si="29"/>
        <v>476</v>
      </c>
      <c r="AB217" s="24">
        <f t="shared" si="29"/>
        <v>454.38</v>
      </c>
      <c r="AC217" s="28">
        <f t="shared" si="36"/>
        <v>2800308</v>
      </c>
      <c r="AD217" s="28">
        <f t="shared" si="36"/>
        <v>2673118</v>
      </c>
    </row>
    <row r="218" spans="1:30">
      <c r="A218" s="22" t="s">
        <v>405</v>
      </c>
      <c r="B218" s="22" t="s">
        <v>456</v>
      </c>
      <c r="C218" s="23" t="s">
        <v>457</v>
      </c>
      <c r="D218" s="16">
        <v>5883</v>
      </c>
      <c r="E218" s="24">
        <v>226</v>
      </c>
      <c r="F218" s="24"/>
      <c r="G218" s="24"/>
      <c r="H218" s="24"/>
      <c r="I218" s="24"/>
      <c r="J218" s="24"/>
      <c r="K218" s="24">
        <f t="shared" si="30"/>
        <v>226</v>
      </c>
      <c r="L218" s="24">
        <f t="shared" si="31"/>
        <v>162.72</v>
      </c>
      <c r="M218" s="25"/>
      <c r="N218" s="26">
        <v>13</v>
      </c>
      <c r="O218" s="26">
        <v>3</v>
      </c>
      <c r="P218" s="25"/>
      <c r="Q218" s="25">
        <v>38</v>
      </c>
      <c r="R218" s="25">
        <f t="shared" si="32"/>
        <v>54</v>
      </c>
      <c r="S218" s="25">
        <f t="shared" si="33"/>
        <v>57.54</v>
      </c>
      <c r="T218" s="24"/>
      <c r="U218" s="27">
        <v>1</v>
      </c>
      <c r="V218" s="27"/>
      <c r="W218" s="24"/>
      <c r="X218" s="24">
        <v>12</v>
      </c>
      <c r="Y218" s="24">
        <f t="shared" si="34"/>
        <v>13</v>
      </c>
      <c r="Z218" s="24">
        <f t="shared" si="35"/>
        <v>34.25</v>
      </c>
      <c r="AA218" s="24">
        <f t="shared" si="29"/>
        <v>293</v>
      </c>
      <c r="AB218" s="24">
        <f t="shared" si="29"/>
        <v>254.51</v>
      </c>
      <c r="AC218" s="28">
        <f t="shared" si="36"/>
        <v>1723719</v>
      </c>
      <c r="AD218" s="28">
        <f t="shared" si="36"/>
        <v>1497282</v>
      </c>
    </row>
    <row r="219" spans="1:30">
      <c r="A219" s="22" t="s">
        <v>405</v>
      </c>
      <c r="B219" s="22" t="s">
        <v>458</v>
      </c>
      <c r="C219" s="23" t="s">
        <v>459</v>
      </c>
      <c r="D219" s="16">
        <v>5883</v>
      </c>
      <c r="E219" s="24">
        <v>32</v>
      </c>
      <c r="F219" s="24"/>
      <c r="G219" s="24"/>
      <c r="H219" s="24"/>
      <c r="I219" s="24"/>
      <c r="J219" s="24"/>
      <c r="K219" s="24">
        <f t="shared" si="30"/>
        <v>32</v>
      </c>
      <c r="L219" s="24">
        <f t="shared" si="31"/>
        <v>23.04</v>
      </c>
      <c r="M219" s="25"/>
      <c r="N219" s="26"/>
      <c r="O219" s="26"/>
      <c r="P219" s="25"/>
      <c r="Q219" s="25">
        <v>3</v>
      </c>
      <c r="R219" s="25">
        <f t="shared" si="32"/>
        <v>3</v>
      </c>
      <c r="S219" s="25">
        <f t="shared" si="33"/>
        <v>3.63</v>
      </c>
      <c r="T219" s="24"/>
      <c r="U219" s="27"/>
      <c r="V219" s="27"/>
      <c r="W219" s="24"/>
      <c r="X219" s="24">
        <v>4</v>
      </c>
      <c r="Y219" s="24">
        <f t="shared" si="34"/>
        <v>4</v>
      </c>
      <c r="Z219" s="24">
        <f t="shared" si="35"/>
        <v>10.96</v>
      </c>
      <c r="AA219" s="24">
        <f t="shared" si="29"/>
        <v>39</v>
      </c>
      <c r="AB219" s="24">
        <f t="shared" si="29"/>
        <v>37.629999999999995</v>
      </c>
      <c r="AC219" s="28">
        <f t="shared" si="36"/>
        <v>229437</v>
      </c>
      <c r="AD219" s="28">
        <f t="shared" si="36"/>
        <v>221377</v>
      </c>
    </row>
    <row r="220" spans="1:30">
      <c r="A220" s="22" t="s">
        <v>405</v>
      </c>
      <c r="B220" s="22" t="s">
        <v>460</v>
      </c>
      <c r="C220" s="23" t="s">
        <v>461</v>
      </c>
      <c r="D220" s="16">
        <v>5883</v>
      </c>
      <c r="E220" s="24">
        <v>42</v>
      </c>
      <c r="F220" s="24"/>
      <c r="G220" s="24"/>
      <c r="H220" s="24"/>
      <c r="I220" s="24"/>
      <c r="J220" s="24"/>
      <c r="K220" s="24">
        <f t="shared" si="30"/>
        <v>42</v>
      </c>
      <c r="L220" s="24">
        <f t="shared" si="31"/>
        <v>30.24</v>
      </c>
      <c r="M220" s="25"/>
      <c r="N220" s="26"/>
      <c r="O220" s="26"/>
      <c r="P220" s="25"/>
      <c r="Q220" s="25">
        <v>12</v>
      </c>
      <c r="R220" s="25">
        <f t="shared" si="32"/>
        <v>12</v>
      </c>
      <c r="S220" s="25">
        <f t="shared" si="33"/>
        <v>14.52</v>
      </c>
      <c r="T220" s="24"/>
      <c r="U220" s="27"/>
      <c r="V220" s="27"/>
      <c r="W220" s="24">
        <v>1</v>
      </c>
      <c r="X220" s="24">
        <v>6</v>
      </c>
      <c r="Y220" s="24">
        <f t="shared" si="34"/>
        <v>7</v>
      </c>
      <c r="Z220" s="24">
        <f t="shared" si="35"/>
        <v>17.810000000000002</v>
      </c>
      <c r="AA220" s="24">
        <f t="shared" si="29"/>
        <v>61</v>
      </c>
      <c r="AB220" s="24">
        <f t="shared" si="29"/>
        <v>62.569999999999993</v>
      </c>
      <c r="AC220" s="28">
        <f t="shared" si="36"/>
        <v>358863</v>
      </c>
      <c r="AD220" s="28">
        <f t="shared" si="36"/>
        <v>368099</v>
      </c>
    </row>
    <row r="221" spans="1:30">
      <c r="A221" s="22" t="s">
        <v>405</v>
      </c>
      <c r="B221" s="22" t="s">
        <v>462</v>
      </c>
      <c r="C221" s="23" t="s">
        <v>463</v>
      </c>
      <c r="D221" s="16">
        <v>5943</v>
      </c>
      <c r="E221" s="24">
        <v>36</v>
      </c>
      <c r="F221" s="24"/>
      <c r="G221" s="24"/>
      <c r="H221" s="24"/>
      <c r="I221" s="24"/>
      <c r="J221" s="24"/>
      <c r="K221" s="24">
        <f t="shared" si="30"/>
        <v>36</v>
      </c>
      <c r="L221" s="24">
        <f t="shared" si="31"/>
        <v>25.919999999999998</v>
      </c>
      <c r="M221" s="25"/>
      <c r="N221" s="26"/>
      <c r="O221" s="26">
        <v>1</v>
      </c>
      <c r="P221" s="25"/>
      <c r="Q221" s="25">
        <v>4</v>
      </c>
      <c r="R221" s="25">
        <f t="shared" si="32"/>
        <v>5</v>
      </c>
      <c r="S221" s="25">
        <f t="shared" si="33"/>
        <v>6.05</v>
      </c>
      <c r="T221" s="24"/>
      <c r="U221" s="27"/>
      <c r="V221" s="27"/>
      <c r="W221" s="24"/>
      <c r="X221" s="24">
        <v>5</v>
      </c>
      <c r="Y221" s="24">
        <f t="shared" si="34"/>
        <v>5</v>
      </c>
      <c r="Z221" s="24">
        <f t="shared" si="35"/>
        <v>13.700000000000001</v>
      </c>
      <c r="AA221" s="24">
        <f t="shared" si="29"/>
        <v>46</v>
      </c>
      <c r="AB221" s="24">
        <f t="shared" si="29"/>
        <v>45.67</v>
      </c>
      <c r="AC221" s="28">
        <f t="shared" si="36"/>
        <v>273378</v>
      </c>
      <c r="AD221" s="28">
        <f t="shared" si="36"/>
        <v>271417</v>
      </c>
    </row>
    <row r="222" spans="1:30">
      <c r="A222" s="22" t="s">
        <v>405</v>
      </c>
      <c r="B222" s="22" t="s">
        <v>464</v>
      </c>
      <c r="C222" s="23" t="s">
        <v>465</v>
      </c>
      <c r="D222" s="16">
        <v>5883</v>
      </c>
      <c r="E222" s="24">
        <v>44</v>
      </c>
      <c r="F222" s="24"/>
      <c r="G222" s="24"/>
      <c r="H222" s="24"/>
      <c r="I222" s="24"/>
      <c r="J222" s="24"/>
      <c r="K222" s="24">
        <f t="shared" si="30"/>
        <v>44</v>
      </c>
      <c r="L222" s="24">
        <f t="shared" si="31"/>
        <v>31.68</v>
      </c>
      <c r="M222" s="25"/>
      <c r="N222" s="26">
        <v>2</v>
      </c>
      <c r="O222" s="26">
        <v>1</v>
      </c>
      <c r="P222" s="25"/>
      <c r="Q222" s="25">
        <v>12</v>
      </c>
      <c r="R222" s="25">
        <f t="shared" si="32"/>
        <v>15</v>
      </c>
      <c r="S222" s="25">
        <f t="shared" si="33"/>
        <v>16.95</v>
      </c>
      <c r="T222" s="24"/>
      <c r="U222" s="27"/>
      <c r="V222" s="27"/>
      <c r="W222" s="24"/>
      <c r="X222" s="24">
        <v>6</v>
      </c>
      <c r="Y222" s="24">
        <f t="shared" si="34"/>
        <v>6</v>
      </c>
      <c r="Z222" s="24">
        <f t="shared" si="35"/>
        <v>16.440000000000001</v>
      </c>
      <c r="AA222" s="24">
        <f t="shared" si="29"/>
        <v>65</v>
      </c>
      <c r="AB222" s="24">
        <f t="shared" si="29"/>
        <v>65.069999999999993</v>
      </c>
      <c r="AC222" s="28">
        <f t="shared" si="36"/>
        <v>382395</v>
      </c>
      <c r="AD222" s="28">
        <f t="shared" si="36"/>
        <v>382807</v>
      </c>
    </row>
    <row r="223" spans="1:30">
      <c r="A223" s="22" t="s">
        <v>405</v>
      </c>
      <c r="B223" s="22" t="s">
        <v>466</v>
      </c>
      <c r="C223" s="23" t="s">
        <v>467</v>
      </c>
      <c r="D223" s="16">
        <v>5883</v>
      </c>
      <c r="E223" s="24">
        <v>39</v>
      </c>
      <c r="F223" s="24"/>
      <c r="G223" s="24"/>
      <c r="H223" s="24"/>
      <c r="I223" s="24"/>
      <c r="J223" s="24"/>
      <c r="K223" s="24">
        <f t="shared" si="30"/>
        <v>39</v>
      </c>
      <c r="L223" s="24">
        <f t="shared" si="31"/>
        <v>28.08</v>
      </c>
      <c r="M223" s="25"/>
      <c r="N223" s="26">
        <v>2</v>
      </c>
      <c r="O223" s="26"/>
      <c r="P223" s="25"/>
      <c r="Q223" s="25">
        <v>14</v>
      </c>
      <c r="R223" s="25">
        <f t="shared" si="32"/>
        <v>16</v>
      </c>
      <c r="S223" s="25">
        <f t="shared" si="33"/>
        <v>18.159999999999997</v>
      </c>
      <c r="T223" s="24"/>
      <c r="U223" s="27"/>
      <c r="V223" s="27"/>
      <c r="W223" s="24"/>
      <c r="X223" s="24">
        <v>2</v>
      </c>
      <c r="Y223" s="24">
        <f t="shared" si="34"/>
        <v>2</v>
      </c>
      <c r="Z223" s="24">
        <f t="shared" si="35"/>
        <v>5.48</v>
      </c>
      <c r="AA223" s="24">
        <f t="shared" si="29"/>
        <v>57</v>
      </c>
      <c r="AB223" s="24">
        <f t="shared" si="29"/>
        <v>51.72</v>
      </c>
      <c r="AC223" s="28">
        <f t="shared" si="36"/>
        <v>335331</v>
      </c>
      <c r="AD223" s="28">
        <f t="shared" si="36"/>
        <v>304269</v>
      </c>
    </row>
    <row r="224" spans="1:30">
      <c r="A224" s="22" t="s">
        <v>405</v>
      </c>
      <c r="B224" s="22" t="s">
        <v>468</v>
      </c>
      <c r="C224" s="23" t="s">
        <v>469</v>
      </c>
      <c r="D224" s="16">
        <v>5883</v>
      </c>
      <c r="E224" s="24">
        <v>96</v>
      </c>
      <c r="F224" s="24"/>
      <c r="G224" s="24"/>
      <c r="H224" s="24"/>
      <c r="I224" s="24"/>
      <c r="J224" s="24"/>
      <c r="K224" s="24">
        <f t="shared" si="30"/>
        <v>96</v>
      </c>
      <c r="L224" s="24">
        <f t="shared" si="31"/>
        <v>69.12</v>
      </c>
      <c r="M224" s="25"/>
      <c r="N224" s="26">
        <v>1</v>
      </c>
      <c r="O224" s="26">
        <v>5</v>
      </c>
      <c r="P224" s="25"/>
      <c r="Q224" s="25">
        <v>37</v>
      </c>
      <c r="R224" s="25">
        <f t="shared" si="32"/>
        <v>43</v>
      </c>
      <c r="S224" s="25">
        <f t="shared" si="33"/>
        <v>51.43</v>
      </c>
      <c r="T224" s="24">
        <v>1</v>
      </c>
      <c r="U224" s="27"/>
      <c r="V224" s="27"/>
      <c r="W224" s="24"/>
      <c r="X224" s="24">
        <v>9</v>
      </c>
      <c r="Y224" s="24">
        <f t="shared" si="34"/>
        <v>10</v>
      </c>
      <c r="Z224" s="24">
        <f t="shared" si="35"/>
        <v>27.400000000000002</v>
      </c>
      <c r="AA224" s="24">
        <f t="shared" si="29"/>
        <v>149</v>
      </c>
      <c r="AB224" s="24">
        <f t="shared" si="29"/>
        <v>147.94999999999999</v>
      </c>
      <c r="AC224" s="28">
        <f t="shared" si="36"/>
        <v>876567</v>
      </c>
      <c r="AD224" s="28">
        <f t="shared" si="36"/>
        <v>870390</v>
      </c>
    </row>
    <row r="225" spans="1:30">
      <c r="A225" s="22" t="s">
        <v>405</v>
      </c>
      <c r="B225" s="22" t="s">
        <v>470</v>
      </c>
      <c r="C225" s="23" t="s">
        <v>471</v>
      </c>
      <c r="D225" s="16">
        <v>5883</v>
      </c>
      <c r="E225" s="24">
        <v>281</v>
      </c>
      <c r="F225" s="24"/>
      <c r="G225" s="24"/>
      <c r="H225" s="24"/>
      <c r="I225" s="24"/>
      <c r="J225" s="24"/>
      <c r="K225" s="24">
        <f t="shared" si="30"/>
        <v>281</v>
      </c>
      <c r="L225" s="24">
        <f t="shared" si="31"/>
        <v>202.32</v>
      </c>
      <c r="M225" s="25"/>
      <c r="N225" s="26">
        <v>11</v>
      </c>
      <c r="O225" s="26"/>
      <c r="P225" s="25"/>
      <c r="Q225" s="25">
        <v>93</v>
      </c>
      <c r="R225" s="25">
        <f t="shared" si="32"/>
        <v>104</v>
      </c>
      <c r="S225" s="25">
        <f t="shared" si="33"/>
        <v>119.24</v>
      </c>
      <c r="T225" s="24"/>
      <c r="U225" s="27"/>
      <c r="V225" s="27"/>
      <c r="W225" s="24"/>
      <c r="X225" s="24">
        <v>24</v>
      </c>
      <c r="Y225" s="24">
        <f t="shared" si="34"/>
        <v>24</v>
      </c>
      <c r="Z225" s="24">
        <f t="shared" si="35"/>
        <v>65.760000000000005</v>
      </c>
      <c r="AA225" s="24">
        <f t="shared" si="29"/>
        <v>409</v>
      </c>
      <c r="AB225" s="24">
        <f t="shared" si="29"/>
        <v>387.32</v>
      </c>
      <c r="AC225" s="28">
        <f t="shared" si="36"/>
        <v>2406147</v>
      </c>
      <c r="AD225" s="28">
        <f t="shared" si="36"/>
        <v>2278604</v>
      </c>
    </row>
    <row r="226" spans="1:30">
      <c r="A226" s="22" t="s">
        <v>405</v>
      </c>
      <c r="B226" s="22" t="s">
        <v>472</v>
      </c>
      <c r="C226" s="23" t="s">
        <v>473</v>
      </c>
      <c r="D226" s="16">
        <v>5883</v>
      </c>
      <c r="E226" s="24">
        <v>45</v>
      </c>
      <c r="F226" s="24"/>
      <c r="G226" s="24"/>
      <c r="H226" s="24"/>
      <c r="I226" s="24"/>
      <c r="J226" s="24"/>
      <c r="K226" s="24">
        <f t="shared" si="30"/>
        <v>45</v>
      </c>
      <c r="L226" s="24">
        <f t="shared" si="31"/>
        <v>32.4</v>
      </c>
      <c r="M226" s="25"/>
      <c r="N226" s="26"/>
      <c r="O226" s="26"/>
      <c r="P226" s="25"/>
      <c r="Q226" s="25">
        <v>26</v>
      </c>
      <c r="R226" s="25">
        <f t="shared" si="32"/>
        <v>26</v>
      </c>
      <c r="S226" s="25">
        <f t="shared" si="33"/>
        <v>31.46</v>
      </c>
      <c r="T226" s="24"/>
      <c r="U226" s="27">
        <v>1</v>
      </c>
      <c r="V226" s="27"/>
      <c r="W226" s="24"/>
      <c r="X226" s="24">
        <v>8</v>
      </c>
      <c r="Y226" s="24">
        <f t="shared" si="34"/>
        <v>9</v>
      </c>
      <c r="Z226" s="24">
        <f t="shared" si="35"/>
        <v>23.290000000000003</v>
      </c>
      <c r="AA226" s="24">
        <f t="shared" si="29"/>
        <v>80</v>
      </c>
      <c r="AB226" s="24">
        <f t="shared" si="29"/>
        <v>87.15</v>
      </c>
      <c r="AC226" s="28">
        <f t="shared" si="36"/>
        <v>470640</v>
      </c>
      <c r="AD226" s="28">
        <f t="shared" si="36"/>
        <v>512703</v>
      </c>
    </row>
    <row r="227" spans="1:30">
      <c r="A227" s="22" t="s">
        <v>405</v>
      </c>
      <c r="B227" s="22" t="s">
        <v>474</v>
      </c>
      <c r="C227" s="23" t="s">
        <v>475</v>
      </c>
      <c r="D227" s="16">
        <v>5883</v>
      </c>
      <c r="E227" s="24">
        <v>229</v>
      </c>
      <c r="F227" s="24"/>
      <c r="G227" s="24"/>
      <c r="H227" s="24"/>
      <c r="I227" s="24"/>
      <c r="J227" s="24"/>
      <c r="K227" s="24">
        <f t="shared" si="30"/>
        <v>229</v>
      </c>
      <c r="L227" s="24">
        <f t="shared" si="31"/>
        <v>164.88</v>
      </c>
      <c r="M227" s="25"/>
      <c r="N227" s="26">
        <v>9</v>
      </c>
      <c r="O227" s="26"/>
      <c r="P227" s="25"/>
      <c r="Q227" s="25">
        <v>46</v>
      </c>
      <c r="R227" s="25">
        <f t="shared" si="32"/>
        <v>55</v>
      </c>
      <c r="S227" s="25">
        <f t="shared" si="33"/>
        <v>61.15</v>
      </c>
      <c r="T227" s="24"/>
      <c r="U227" s="27">
        <v>1</v>
      </c>
      <c r="V227" s="27"/>
      <c r="W227" s="24"/>
      <c r="X227" s="24">
        <v>11</v>
      </c>
      <c r="Y227" s="24">
        <f t="shared" si="34"/>
        <v>12</v>
      </c>
      <c r="Z227" s="24">
        <f t="shared" si="35"/>
        <v>31.51</v>
      </c>
      <c r="AA227" s="24">
        <f t="shared" si="29"/>
        <v>296</v>
      </c>
      <c r="AB227" s="24">
        <f t="shared" si="29"/>
        <v>257.53999999999996</v>
      </c>
      <c r="AC227" s="28">
        <f t="shared" si="36"/>
        <v>1741368</v>
      </c>
      <c r="AD227" s="28">
        <f t="shared" si="36"/>
        <v>1515108</v>
      </c>
    </row>
    <row r="228" spans="1:30">
      <c r="A228" s="22" t="s">
        <v>405</v>
      </c>
      <c r="B228" s="22" t="s">
        <v>476</v>
      </c>
      <c r="C228" s="23" t="s">
        <v>477</v>
      </c>
      <c r="D228" s="16">
        <v>5883</v>
      </c>
      <c r="E228" s="24">
        <v>70</v>
      </c>
      <c r="F228" s="24"/>
      <c r="G228" s="24"/>
      <c r="H228" s="24"/>
      <c r="I228" s="24"/>
      <c r="J228" s="24"/>
      <c r="K228" s="24">
        <f t="shared" si="30"/>
        <v>70</v>
      </c>
      <c r="L228" s="24">
        <f t="shared" si="31"/>
        <v>50.4</v>
      </c>
      <c r="M228" s="25"/>
      <c r="N228" s="26"/>
      <c r="O228" s="26">
        <v>1</v>
      </c>
      <c r="P228" s="25"/>
      <c r="Q228" s="25">
        <v>9</v>
      </c>
      <c r="R228" s="25">
        <f t="shared" si="32"/>
        <v>10</v>
      </c>
      <c r="S228" s="25">
        <f t="shared" si="33"/>
        <v>12.1</v>
      </c>
      <c r="T228" s="24"/>
      <c r="U228" s="27"/>
      <c r="V228" s="27">
        <v>1</v>
      </c>
      <c r="W228" s="24"/>
      <c r="X228" s="24">
        <v>4</v>
      </c>
      <c r="Y228" s="24">
        <f t="shared" si="34"/>
        <v>5</v>
      </c>
      <c r="Z228" s="24">
        <f t="shared" si="35"/>
        <v>13.700000000000001</v>
      </c>
      <c r="AA228" s="24">
        <f t="shared" si="29"/>
        <v>85</v>
      </c>
      <c r="AB228" s="24">
        <f t="shared" si="29"/>
        <v>76.2</v>
      </c>
      <c r="AC228" s="28">
        <f t="shared" si="36"/>
        <v>500055</v>
      </c>
      <c r="AD228" s="28">
        <f t="shared" si="36"/>
        <v>448285</v>
      </c>
    </row>
    <row r="229" spans="1:30">
      <c r="A229" s="22" t="s">
        <v>405</v>
      </c>
      <c r="B229" s="22" t="s">
        <v>478</v>
      </c>
      <c r="C229" s="23" t="s">
        <v>479</v>
      </c>
      <c r="D229" s="16">
        <v>5883</v>
      </c>
      <c r="E229" s="24">
        <v>6</v>
      </c>
      <c r="F229" s="24"/>
      <c r="G229" s="24"/>
      <c r="H229" s="24">
        <v>42</v>
      </c>
      <c r="I229" s="24"/>
      <c r="J229" s="24">
        <v>2</v>
      </c>
      <c r="K229" s="24">
        <f t="shared" si="30"/>
        <v>50</v>
      </c>
      <c r="L229" s="24">
        <f t="shared" si="31"/>
        <v>36</v>
      </c>
      <c r="M229" s="25"/>
      <c r="N229" s="26">
        <v>1</v>
      </c>
      <c r="O229" s="26"/>
      <c r="P229" s="25"/>
      <c r="Q229" s="25">
        <v>7</v>
      </c>
      <c r="R229" s="25">
        <f t="shared" si="32"/>
        <v>8</v>
      </c>
      <c r="S229" s="25">
        <f t="shared" si="33"/>
        <v>9.0799999999999983</v>
      </c>
      <c r="T229" s="24"/>
      <c r="U229" s="27"/>
      <c r="V229" s="27"/>
      <c r="W229" s="24"/>
      <c r="X229" s="24">
        <v>8</v>
      </c>
      <c r="Y229" s="24">
        <f t="shared" si="34"/>
        <v>8</v>
      </c>
      <c r="Z229" s="24">
        <f t="shared" si="35"/>
        <v>21.92</v>
      </c>
      <c r="AA229" s="24">
        <f t="shared" si="29"/>
        <v>66</v>
      </c>
      <c r="AB229" s="24">
        <f t="shared" si="29"/>
        <v>67</v>
      </c>
      <c r="AC229" s="28">
        <f t="shared" si="36"/>
        <v>388278</v>
      </c>
      <c r="AD229" s="28">
        <f t="shared" si="36"/>
        <v>394161</v>
      </c>
    </row>
    <row r="230" spans="1:30">
      <c r="A230" s="22" t="s">
        <v>405</v>
      </c>
      <c r="B230" s="22" t="s">
        <v>480</v>
      </c>
      <c r="C230" s="23" t="s">
        <v>481</v>
      </c>
      <c r="D230" s="16">
        <v>5883</v>
      </c>
      <c r="E230" s="24">
        <v>82</v>
      </c>
      <c r="F230" s="24"/>
      <c r="G230" s="24"/>
      <c r="H230" s="24">
        <v>1</v>
      </c>
      <c r="I230" s="24"/>
      <c r="J230" s="24"/>
      <c r="K230" s="24">
        <f t="shared" si="30"/>
        <v>83</v>
      </c>
      <c r="L230" s="24">
        <f t="shared" si="31"/>
        <v>59.76</v>
      </c>
      <c r="M230" s="25"/>
      <c r="N230" s="26">
        <v>4</v>
      </c>
      <c r="O230" s="26">
        <v>3</v>
      </c>
      <c r="P230" s="25"/>
      <c r="Q230" s="25">
        <v>33</v>
      </c>
      <c r="R230" s="25">
        <f t="shared" si="32"/>
        <v>40</v>
      </c>
      <c r="S230" s="25">
        <f t="shared" si="33"/>
        <v>46</v>
      </c>
      <c r="T230" s="24"/>
      <c r="U230" s="27"/>
      <c r="V230" s="27"/>
      <c r="W230" s="24"/>
      <c r="X230" s="24">
        <v>8</v>
      </c>
      <c r="Y230" s="24">
        <f t="shared" si="34"/>
        <v>8</v>
      </c>
      <c r="Z230" s="24">
        <f t="shared" si="35"/>
        <v>21.92</v>
      </c>
      <c r="AA230" s="24">
        <f t="shared" si="29"/>
        <v>131</v>
      </c>
      <c r="AB230" s="24">
        <f t="shared" si="29"/>
        <v>127.68</v>
      </c>
      <c r="AC230" s="28">
        <f t="shared" si="36"/>
        <v>770673</v>
      </c>
      <c r="AD230" s="28">
        <f t="shared" si="36"/>
        <v>751141</v>
      </c>
    </row>
    <row r="231" spans="1:30">
      <c r="A231" s="22" t="s">
        <v>405</v>
      </c>
      <c r="B231" s="22" t="s">
        <v>482</v>
      </c>
      <c r="C231" s="23" t="s">
        <v>483</v>
      </c>
      <c r="D231" s="16">
        <v>5883</v>
      </c>
      <c r="E231" s="24">
        <v>124</v>
      </c>
      <c r="F231" s="24"/>
      <c r="G231" s="24"/>
      <c r="H231" s="24"/>
      <c r="I231" s="24"/>
      <c r="J231" s="24"/>
      <c r="K231" s="24">
        <f t="shared" si="30"/>
        <v>124</v>
      </c>
      <c r="L231" s="24">
        <f t="shared" si="31"/>
        <v>89.28</v>
      </c>
      <c r="M231" s="25"/>
      <c r="N231" s="26">
        <v>12</v>
      </c>
      <c r="O231" s="26">
        <v>1</v>
      </c>
      <c r="P231" s="25"/>
      <c r="Q231" s="25">
        <v>46</v>
      </c>
      <c r="R231" s="25">
        <f t="shared" si="32"/>
        <v>59</v>
      </c>
      <c r="S231" s="25">
        <f t="shared" si="33"/>
        <v>64.19</v>
      </c>
      <c r="T231" s="24"/>
      <c r="U231" s="27">
        <v>1</v>
      </c>
      <c r="V231" s="27"/>
      <c r="W231" s="24"/>
      <c r="X231" s="24">
        <v>8</v>
      </c>
      <c r="Y231" s="24">
        <f t="shared" si="34"/>
        <v>9</v>
      </c>
      <c r="Z231" s="24">
        <f t="shared" si="35"/>
        <v>23.290000000000003</v>
      </c>
      <c r="AA231" s="24">
        <f t="shared" si="29"/>
        <v>192</v>
      </c>
      <c r="AB231" s="24">
        <f t="shared" si="29"/>
        <v>176.76</v>
      </c>
      <c r="AC231" s="28">
        <f t="shared" si="36"/>
        <v>1129536</v>
      </c>
      <c r="AD231" s="28">
        <f t="shared" si="36"/>
        <v>1039879</v>
      </c>
    </row>
    <row r="232" spans="1:30">
      <c r="A232" s="22" t="s">
        <v>405</v>
      </c>
      <c r="B232" s="22" t="s">
        <v>484</v>
      </c>
      <c r="C232" s="23" t="s">
        <v>485</v>
      </c>
      <c r="D232" s="16">
        <v>5884</v>
      </c>
      <c r="E232" s="24">
        <v>191</v>
      </c>
      <c r="F232" s="24"/>
      <c r="G232" s="24"/>
      <c r="H232" s="24"/>
      <c r="I232" s="24"/>
      <c r="J232" s="24"/>
      <c r="K232" s="24">
        <f t="shared" si="30"/>
        <v>191</v>
      </c>
      <c r="L232" s="24">
        <f t="shared" si="31"/>
        <v>137.51999999999998</v>
      </c>
      <c r="M232" s="25"/>
      <c r="N232" s="26">
        <v>3</v>
      </c>
      <c r="O232" s="26">
        <v>4</v>
      </c>
      <c r="P232" s="25"/>
      <c r="Q232" s="25">
        <v>47</v>
      </c>
      <c r="R232" s="25">
        <f t="shared" si="32"/>
        <v>54</v>
      </c>
      <c r="S232" s="25">
        <f t="shared" si="33"/>
        <v>63.54</v>
      </c>
      <c r="T232" s="24"/>
      <c r="U232" s="27"/>
      <c r="V232" s="27"/>
      <c r="W232" s="24"/>
      <c r="X232" s="24">
        <v>11</v>
      </c>
      <c r="Y232" s="24">
        <f t="shared" si="34"/>
        <v>11</v>
      </c>
      <c r="Z232" s="24">
        <f t="shared" si="35"/>
        <v>30.14</v>
      </c>
      <c r="AA232" s="24">
        <f t="shared" si="29"/>
        <v>256</v>
      </c>
      <c r="AB232" s="24">
        <f t="shared" si="29"/>
        <v>231.2</v>
      </c>
      <c r="AC232" s="28">
        <f t="shared" si="36"/>
        <v>1506304</v>
      </c>
      <c r="AD232" s="28">
        <f t="shared" si="36"/>
        <v>1360381</v>
      </c>
    </row>
    <row r="233" spans="1:30">
      <c r="A233" s="22" t="s">
        <v>405</v>
      </c>
      <c r="B233" s="22" t="s">
        <v>486</v>
      </c>
      <c r="C233" s="23" t="s">
        <v>487</v>
      </c>
      <c r="D233" s="16">
        <v>5883</v>
      </c>
      <c r="E233" s="24">
        <v>41</v>
      </c>
      <c r="F233" s="24"/>
      <c r="G233" s="24"/>
      <c r="H233" s="24"/>
      <c r="I233" s="24"/>
      <c r="J233" s="24"/>
      <c r="K233" s="24">
        <f t="shared" si="30"/>
        <v>41</v>
      </c>
      <c r="L233" s="24">
        <f t="shared" si="31"/>
        <v>29.52</v>
      </c>
      <c r="M233" s="25"/>
      <c r="N233" s="26">
        <v>1</v>
      </c>
      <c r="O233" s="26">
        <v>4</v>
      </c>
      <c r="P233" s="25"/>
      <c r="Q233" s="25">
        <v>14</v>
      </c>
      <c r="R233" s="25">
        <f t="shared" si="32"/>
        <v>19</v>
      </c>
      <c r="S233" s="25">
        <f t="shared" si="33"/>
        <v>22.39</v>
      </c>
      <c r="T233" s="24"/>
      <c r="U233" s="27"/>
      <c r="V233" s="27"/>
      <c r="W233" s="24"/>
      <c r="X233" s="24">
        <v>6</v>
      </c>
      <c r="Y233" s="24">
        <f t="shared" si="34"/>
        <v>6</v>
      </c>
      <c r="Z233" s="24">
        <f t="shared" si="35"/>
        <v>16.440000000000001</v>
      </c>
      <c r="AA233" s="24">
        <f t="shared" si="29"/>
        <v>66</v>
      </c>
      <c r="AB233" s="24">
        <f t="shared" si="29"/>
        <v>68.349999999999994</v>
      </c>
      <c r="AC233" s="28">
        <f t="shared" si="36"/>
        <v>388278</v>
      </c>
      <c r="AD233" s="28">
        <f t="shared" si="36"/>
        <v>402103</v>
      </c>
    </row>
    <row r="234" spans="1:30">
      <c r="A234" s="22" t="s">
        <v>405</v>
      </c>
      <c r="B234" s="22" t="s">
        <v>488</v>
      </c>
      <c r="C234" s="23" t="s">
        <v>489</v>
      </c>
      <c r="D234" s="16">
        <v>5883</v>
      </c>
      <c r="E234" s="24">
        <v>59</v>
      </c>
      <c r="F234" s="24"/>
      <c r="G234" s="24"/>
      <c r="H234" s="24"/>
      <c r="I234" s="24"/>
      <c r="J234" s="24"/>
      <c r="K234" s="24">
        <f t="shared" si="30"/>
        <v>59</v>
      </c>
      <c r="L234" s="24">
        <f t="shared" si="31"/>
        <v>42.48</v>
      </c>
      <c r="M234" s="25"/>
      <c r="N234" s="26">
        <v>4</v>
      </c>
      <c r="O234" s="26"/>
      <c r="P234" s="25"/>
      <c r="Q234" s="25">
        <v>16</v>
      </c>
      <c r="R234" s="25">
        <f t="shared" si="32"/>
        <v>20</v>
      </c>
      <c r="S234" s="25">
        <f t="shared" si="33"/>
        <v>21.8</v>
      </c>
      <c r="T234" s="24"/>
      <c r="U234" s="27"/>
      <c r="V234" s="27"/>
      <c r="W234" s="24"/>
      <c r="X234" s="24">
        <v>9</v>
      </c>
      <c r="Y234" s="24">
        <f t="shared" si="34"/>
        <v>9</v>
      </c>
      <c r="Z234" s="24">
        <f t="shared" si="35"/>
        <v>24.660000000000004</v>
      </c>
      <c r="AA234" s="24">
        <f t="shared" si="29"/>
        <v>88</v>
      </c>
      <c r="AB234" s="24">
        <f t="shared" si="29"/>
        <v>88.94</v>
      </c>
      <c r="AC234" s="28">
        <f t="shared" si="36"/>
        <v>517704</v>
      </c>
      <c r="AD234" s="28">
        <f t="shared" si="36"/>
        <v>523234</v>
      </c>
    </row>
    <row r="235" spans="1:30">
      <c r="A235" s="22" t="s">
        <v>405</v>
      </c>
      <c r="B235" s="22" t="s">
        <v>490</v>
      </c>
      <c r="C235" s="23" t="s">
        <v>491</v>
      </c>
      <c r="D235" s="16">
        <v>5951</v>
      </c>
      <c r="E235" s="24">
        <v>127</v>
      </c>
      <c r="F235" s="24"/>
      <c r="G235" s="24"/>
      <c r="H235" s="24"/>
      <c r="I235" s="24"/>
      <c r="J235" s="24"/>
      <c r="K235" s="24">
        <f t="shared" si="30"/>
        <v>127</v>
      </c>
      <c r="L235" s="24">
        <f t="shared" si="31"/>
        <v>91.44</v>
      </c>
      <c r="M235" s="25"/>
      <c r="N235" s="26">
        <v>5</v>
      </c>
      <c r="O235" s="26"/>
      <c r="P235" s="25"/>
      <c r="Q235" s="25">
        <v>35</v>
      </c>
      <c r="R235" s="25">
        <f t="shared" si="32"/>
        <v>40</v>
      </c>
      <c r="S235" s="25">
        <f t="shared" si="33"/>
        <v>45.4</v>
      </c>
      <c r="T235" s="24"/>
      <c r="U235" s="27"/>
      <c r="V235" s="27"/>
      <c r="W235" s="24"/>
      <c r="X235" s="24">
        <v>13</v>
      </c>
      <c r="Y235" s="24">
        <f t="shared" si="34"/>
        <v>13</v>
      </c>
      <c r="Z235" s="24">
        <f t="shared" si="35"/>
        <v>35.620000000000005</v>
      </c>
      <c r="AA235" s="24">
        <f t="shared" si="29"/>
        <v>180</v>
      </c>
      <c r="AB235" s="24">
        <f t="shared" si="29"/>
        <v>172.46</v>
      </c>
      <c r="AC235" s="28">
        <f t="shared" si="36"/>
        <v>1071180</v>
      </c>
      <c r="AD235" s="28">
        <f t="shared" si="36"/>
        <v>1026309</v>
      </c>
    </row>
    <row r="236" spans="1:30">
      <c r="A236" s="22" t="s">
        <v>405</v>
      </c>
      <c r="B236" s="22" t="s">
        <v>492</v>
      </c>
      <c r="C236" s="23" t="s">
        <v>493</v>
      </c>
      <c r="D236" s="16">
        <v>5883</v>
      </c>
      <c r="E236" s="24">
        <v>55</v>
      </c>
      <c r="F236" s="24"/>
      <c r="G236" s="24"/>
      <c r="H236" s="24"/>
      <c r="I236" s="24"/>
      <c r="J236" s="24"/>
      <c r="K236" s="24">
        <f t="shared" si="30"/>
        <v>55</v>
      </c>
      <c r="L236" s="24">
        <f t="shared" si="31"/>
        <v>39.6</v>
      </c>
      <c r="M236" s="25"/>
      <c r="N236" s="26"/>
      <c r="O236" s="26">
        <v>1</v>
      </c>
      <c r="P236" s="25"/>
      <c r="Q236" s="25">
        <v>20</v>
      </c>
      <c r="R236" s="25">
        <f t="shared" si="32"/>
        <v>21</v>
      </c>
      <c r="S236" s="25">
        <f t="shared" si="33"/>
        <v>25.41</v>
      </c>
      <c r="T236" s="24"/>
      <c r="U236" s="27"/>
      <c r="V236" s="27"/>
      <c r="W236" s="24"/>
      <c r="X236" s="24">
        <v>3</v>
      </c>
      <c r="Y236" s="24">
        <f t="shared" si="34"/>
        <v>3</v>
      </c>
      <c r="Z236" s="24">
        <f t="shared" si="35"/>
        <v>8.2200000000000006</v>
      </c>
      <c r="AA236" s="24">
        <f t="shared" si="29"/>
        <v>79</v>
      </c>
      <c r="AB236" s="24">
        <f t="shared" si="29"/>
        <v>73.23</v>
      </c>
      <c r="AC236" s="28">
        <f t="shared" si="36"/>
        <v>464757</v>
      </c>
      <c r="AD236" s="28">
        <f t="shared" si="36"/>
        <v>430812</v>
      </c>
    </row>
    <row r="237" spans="1:30">
      <c r="A237" s="22" t="s">
        <v>405</v>
      </c>
      <c r="B237" s="22" t="s">
        <v>494</v>
      </c>
      <c r="C237" s="23" t="s">
        <v>495</v>
      </c>
      <c r="D237" s="16">
        <v>5883</v>
      </c>
      <c r="E237" s="24">
        <v>422</v>
      </c>
      <c r="F237" s="24"/>
      <c r="G237" s="24"/>
      <c r="H237" s="24"/>
      <c r="I237" s="24"/>
      <c r="J237" s="24"/>
      <c r="K237" s="24">
        <f t="shared" si="30"/>
        <v>422</v>
      </c>
      <c r="L237" s="24">
        <f t="shared" si="31"/>
        <v>303.83999999999997</v>
      </c>
      <c r="M237" s="25"/>
      <c r="N237" s="26">
        <v>21</v>
      </c>
      <c r="O237" s="26">
        <v>2</v>
      </c>
      <c r="P237" s="25"/>
      <c r="Q237" s="25">
        <v>179</v>
      </c>
      <c r="R237" s="25">
        <f t="shared" si="32"/>
        <v>202</v>
      </c>
      <c r="S237" s="25">
        <f t="shared" si="33"/>
        <v>231.82</v>
      </c>
      <c r="T237" s="24"/>
      <c r="U237" s="27">
        <v>1</v>
      </c>
      <c r="V237" s="27"/>
      <c r="W237" s="24"/>
      <c r="X237" s="24">
        <v>63</v>
      </c>
      <c r="Y237" s="24">
        <f t="shared" si="34"/>
        <v>64</v>
      </c>
      <c r="Z237" s="24">
        <f t="shared" si="35"/>
        <v>173.99</v>
      </c>
      <c r="AA237" s="24">
        <f t="shared" si="29"/>
        <v>688</v>
      </c>
      <c r="AB237" s="24">
        <f t="shared" si="29"/>
        <v>709.65</v>
      </c>
      <c r="AC237" s="28">
        <f t="shared" si="36"/>
        <v>4047504</v>
      </c>
      <c r="AD237" s="28">
        <f t="shared" si="36"/>
        <v>4174871</v>
      </c>
    </row>
    <row r="238" spans="1:30">
      <c r="A238" s="22" t="s">
        <v>405</v>
      </c>
      <c r="B238" s="22" t="s">
        <v>496</v>
      </c>
      <c r="C238" s="23" t="s">
        <v>497</v>
      </c>
      <c r="D238" s="16">
        <v>5949</v>
      </c>
      <c r="E238" s="24">
        <v>74</v>
      </c>
      <c r="F238" s="24"/>
      <c r="G238" s="24"/>
      <c r="H238" s="24">
        <v>2</v>
      </c>
      <c r="I238" s="24"/>
      <c r="J238" s="24"/>
      <c r="K238" s="24">
        <f t="shared" si="30"/>
        <v>76</v>
      </c>
      <c r="L238" s="24">
        <f t="shared" si="31"/>
        <v>54.72</v>
      </c>
      <c r="M238" s="25"/>
      <c r="N238" s="26">
        <v>3</v>
      </c>
      <c r="O238" s="26"/>
      <c r="P238" s="25"/>
      <c r="Q238" s="25">
        <v>31</v>
      </c>
      <c r="R238" s="25">
        <f t="shared" si="32"/>
        <v>34</v>
      </c>
      <c r="S238" s="25">
        <f t="shared" si="33"/>
        <v>39.339999999999996</v>
      </c>
      <c r="T238" s="24"/>
      <c r="U238" s="27"/>
      <c r="V238" s="27"/>
      <c r="W238" s="24"/>
      <c r="X238" s="24">
        <v>20</v>
      </c>
      <c r="Y238" s="24">
        <f t="shared" si="34"/>
        <v>20</v>
      </c>
      <c r="Z238" s="24">
        <f t="shared" si="35"/>
        <v>54.800000000000004</v>
      </c>
      <c r="AA238" s="24">
        <f t="shared" si="29"/>
        <v>130</v>
      </c>
      <c r="AB238" s="24">
        <f t="shared" si="29"/>
        <v>148.86000000000001</v>
      </c>
      <c r="AC238" s="28">
        <f t="shared" si="36"/>
        <v>773370</v>
      </c>
      <c r="AD238" s="28">
        <f t="shared" si="36"/>
        <v>885568</v>
      </c>
    </row>
    <row r="239" spans="1:30">
      <c r="A239" s="22" t="s">
        <v>405</v>
      </c>
      <c r="B239" s="22" t="s">
        <v>498</v>
      </c>
      <c r="C239" s="23" t="s">
        <v>499</v>
      </c>
      <c r="D239" s="16">
        <v>5933</v>
      </c>
      <c r="E239" s="24">
        <v>52</v>
      </c>
      <c r="F239" s="24"/>
      <c r="G239" s="24"/>
      <c r="H239" s="24"/>
      <c r="I239" s="24"/>
      <c r="J239" s="24"/>
      <c r="K239" s="24">
        <f t="shared" si="30"/>
        <v>52</v>
      </c>
      <c r="L239" s="24">
        <f t="shared" si="31"/>
        <v>37.44</v>
      </c>
      <c r="M239" s="25"/>
      <c r="N239" s="26">
        <v>4</v>
      </c>
      <c r="O239" s="26">
        <v>1</v>
      </c>
      <c r="P239" s="25"/>
      <c r="Q239" s="25">
        <v>10</v>
      </c>
      <c r="R239" s="25">
        <f t="shared" si="32"/>
        <v>15</v>
      </c>
      <c r="S239" s="25">
        <f t="shared" si="33"/>
        <v>15.749999999999998</v>
      </c>
      <c r="T239" s="24"/>
      <c r="U239" s="27"/>
      <c r="V239" s="27"/>
      <c r="W239" s="24"/>
      <c r="X239" s="24">
        <v>1</v>
      </c>
      <c r="Y239" s="24">
        <f t="shared" si="34"/>
        <v>1</v>
      </c>
      <c r="Z239" s="24">
        <f t="shared" si="35"/>
        <v>2.74</v>
      </c>
      <c r="AA239" s="24">
        <f t="shared" si="29"/>
        <v>68</v>
      </c>
      <c r="AB239" s="24">
        <f t="shared" si="29"/>
        <v>55.929999999999993</v>
      </c>
      <c r="AC239" s="28">
        <f t="shared" si="36"/>
        <v>403444</v>
      </c>
      <c r="AD239" s="28">
        <f t="shared" si="36"/>
        <v>331833</v>
      </c>
    </row>
    <row r="240" spans="1:30">
      <c r="A240" s="22" t="s">
        <v>405</v>
      </c>
      <c r="B240" s="22" t="s">
        <v>500</v>
      </c>
      <c r="C240" s="23" t="s">
        <v>501</v>
      </c>
      <c r="D240" s="16">
        <v>5883</v>
      </c>
      <c r="E240" s="24">
        <v>20</v>
      </c>
      <c r="F240" s="24"/>
      <c r="G240" s="24"/>
      <c r="H240" s="24">
        <v>2</v>
      </c>
      <c r="I240" s="24"/>
      <c r="J240" s="24"/>
      <c r="K240" s="24">
        <f t="shared" si="30"/>
        <v>22</v>
      </c>
      <c r="L240" s="24">
        <f t="shared" si="31"/>
        <v>15.84</v>
      </c>
      <c r="M240" s="25"/>
      <c r="N240" s="26"/>
      <c r="O240" s="26">
        <v>3</v>
      </c>
      <c r="P240" s="25"/>
      <c r="Q240" s="25">
        <v>5</v>
      </c>
      <c r="R240" s="25">
        <f t="shared" si="32"/>
        <v>8</v>
      </c>
      <c r="S240" s="25">
        <f t="shared" si="33"/>
        <v>9.68</v>
      </c>
      <c r="T240" s="24"/>
      <c r="U240" s="27"/>
      <c r="V240" s="27"/>
      <c r="W240" s="24"/>
      <c r="X240" s="24">
        <v>3</v>
      </c>
      <c r="Y240" s="24">
        <f t="shared" si="34"/>
        <v>3</v>
      </c>
      <c r="Z240" s="24">
        <f t="shared" si="35"/>
        <v>8.2200000000000006</v>
      </c>
      <c r="AA240" s="24">
        <f t="shared" si="29"/>
        <v>33</v>
      </c>
      <c r="AB240" s="24">
        <f t="shared" si="29"/>
        <v>33.739999999999995</v>
      </c>
      <c r="AC240" s="28">
        <f t="shared" si="36"/>
        <v>194139</v>
      </c>
      <c r="AD240" s="28">
        <f t="shared" si="36"/>
        <v>198492</v>
      </c>
    </row>
    <row r="241" spans="1:30">
      <c r="A241" s="22" t="s">
        <v>405</v>
      </c>
      <c r="B241" s="22" t="s">
        <v>502</v>
      </c>
      <c r="C241" s="23" t="s">
        <v>503</v>
      </c>
      <c r="D241" s="16">
        <v>5883</v>
      </c>
      <c r="E241" s="24">
        <v>235</v>
      </c>
      <c r="F241" s="24"/>
      <c r="G241" s="24"/>
      <c r="H241" s="24"/>
      <c r="I241" s="24"/>
      <c r="J241" s="24"/>
      <c r="K241" s="24">
        <f t="shared" si="30"/>
        <v>235</v>
      </c>
      <c r="L241" s="24">
        <f t="shared" si="31"/>
        <v>169.2</v>
      </c>
      <c r="M241" s="25"/>
      <c r="N241" s="26">
        <v>9</v>
      </c>
      <c r="O241" s="26">
        <v>6</v>
      </c>
      <c r="P241" s="25"/>
      <c r="Q241" s="25">
        <v>51</v>
      </c>
      <c r="R241" s="25">
        <f t="shared" si="32"/>
        <v>66</v>
      </c>
      <c r="S241" s="25">
        <f t="shared" si="33"/>
        <v>74.459999999999994</v>
      </c>
      <c r="T241" s="24"/>
      <c r="U241" s="27"/>
      <c r="V241" s="27"/>
      <c r="W241" s="24"/>
      <c r="X241" s="24">
        <v>16</v>
      </c>
      <c r="Y241" s="24">
        <f t="shared" si="34"/>
        <v>16</v>
      </c>
      <c r="Z241" s="24">
        <f t="shared" si="35"/>
        <v>43.84</v>
      </c>
      <c r="AA241" s="24">
        <f t="shared" si="29"/>
        <v>317</v>
      </c>
      <c r="AB241" s="24">
        <f t="shared" si="29"/>
        <v>287.5</v>
      </c>
      <c r="AC241" s="28">
        <f t="shared" si="36"/>
        <v>1864911</v>
      </c>
      <c r="AD241" s="28">
        <f t="shared" si="36"/>
        <v>1691363</v>
      </c>
    </row>
    <row r="242" spans="1:30">
      <c r="A242" s="22" t="s">
        <v>405</v>
      </c>
      <c r="B242" s="22" t="s">
        <v>504</v>
      </c>
      <c r="C242" s="23" t="s">
        <v>505</v>
      </c>
      <c r="D242" s="16">
        <v>5883</v>
      </c>
      <c r="E242" s="24">
        <v>38</v>
      </c>
      <c r="F242" s="24"/>
      <c r="G242" s="24"/>
      <c r="H242" s="24"/>
      <c r="I242" s="24"/>
      <c r="J242" s="24"/>
      <c r="K242" s="24">
        <f t="shared" si="30"/>
        <v>38</v>
      </c>
      <c r="L242" s="24">
        <f t="shared" si="31"/>
        <v>27.36</v>
      </c>
      <c r="M242" s="25"/>
      <c r="N242" s="26"/>
      <c r="O242" s="26"/>
      <c r="P242" s="25"/>
      <c r="Q242" s="25">
        <v>11</v>
      </c>
      <c r="R242" s="25">
        <f t="shared" si="32"/>
        <v>11</v>
      </c>
      <c r="S242" s="25">
        <f t="shared" si="33"/>
        <v>13.309999999999999</v>
      </c>
      <c r="T242" s="24"/>
      <c r="U242" s="27"/>
      <c r="V242" s="27"/>
      <c r="W242" s="24"/>
      <c r="X242" s="24">
        <v>6</v>
      </c>
      <c r="Y242" s="24">
        <f t="shared" si="34"/>
        <v>6</v>
      </c>
      <c r="Z242" s="24">
        <f t="shared" si="35"/>
        <v>16.440000000000001</v>
      </c>
      <c r="AA242" s="24">
        <f t="shared" si="29"/>
        <v>55</v>
      </c>
      <c r="AB242" s="24">
        <f t="shared" si="29"/>
        <v>57.11</v>
      </c>
      <c r="AC242" s="28">
        <f t="shared" si="36"/>
        <v>323565</v>
      </c>
      <c r="AD242" s="28">
        <f t="shared" si="36"/>
        <v>335978</v>
      </c>
    </row>
    <row r="243" spans="1:30">
      <c r="A243" s="22" t="s">
        <v>405</v>
      </c>
      <c r="B243" s="22" t="s">
        <v>506</v>
      </c>
      <c r="C243" s="23" t="s">
        <v>507</v>
      </c>
      <c r="D243" s="16">
        <v>5883</v>
      </c>
      <c r="E243" s="24">
        <v>310</v>
      </c>
      <c r="F243" s="24"/>
      <c r="G243" s="24"/>
      <c r="H243" s="24"/>
      <c r="I243" s="24"/>
      <c r="J243" s="24"/>
      <c r="K243" s="24">
        <f t="shared" si="30"/>
        <v>310</v>
      </c>
      <c r="L243" s="24">
        <f t="shared" si="31"/>
        <v>223.2</v>
      </c>
      <c r="M243" s="25"/>
      <c r="N243" s="26">
        <v>29</v>
      </c>
      <c r="O243" s="26"/>
      <c r="P243" s="25"/>
      <c r="Q243" s="25">
        <v>89</v>
      </c>
      <c r="R243" s="25">
        <f t="shared" si="32"/>
        <v>118</v>
      </c>
      <c r="S243" s="25">
        <f t="shared" si="33"/>
        <v>125.38</v>
      </c>
      <c r="T243" s="24"/>
      <c r="U243" s="27">
        <v>7</v>
      </c>
      <c r="V243" s="27"/>
      <c r="W243" s="24"/>
      <c r="X243" s="24">
        <v>60</v>
      </c>
      <c r="Y243" s="24">
        <f t="shared" si="34"/>
        <v>67</v>
      </c>
      <c r="Z243" s="24">
        <f t="shared" si="35"/>
        <v>173.99</v>
      </c>
      <c r="AA243" s="24">
        <f t="shared" si="29"/>
        <v>495</v>
      </c>
      <c r="AB243" s="24">
        <f t="shared" si="29"/>
        <v>522.56999999999994</v>
      </c>
      <c r="AC243" s="28">
        <f t="shared" si="36"/>
        <v>2912085</v>
      </c>
      <c r="AD243" s="28">
        <f t="shared" si="36"/>
        <v>3074279</v>
      </c>
    </row>
    <row r="244" spans="1:30">
      <c r="A244" s="22" t="s">
        <v>405</v>
      </c>
      <c r="B244" s="22" t="s">
        <v>508</v>
      </c>
      <c r="C244" s="23" t="s">
        <v>509</v>
      </c>
      <c r="D244" s="16">
        <v>5883</v>
      </c>
      <c r="E244" s="24">
        <v>531</v>
      </c>
      <c r="F244" s="24"/>
      <c r="G244" s="24"/>
      <c r="H244" s="24">
        <v>4</v>
      </c>
      <c r="I244" s="24"/>
      <c r="J244" s="24"/>
      <c r="K244" s="24">
        <f t="shared" si="30"/>
        <v>535</v>
      </c>
      <c r="L244" s="24">
        <f t="shared" si="31"/>
        <v>385.2</v>
      </c>
      <c r="M244" s="25"/>
      <c r="N244" s="26">
        <v>24</v>
      </c>
      <c r="O244" s="26">
        <v>11</v>
      </c>
      <c r="P244" s="25"/>
      <c r="Q244" s="25">
        <v>202</v>
      </c>
      <c r="R244" s="25">
        <f t="shared" si="32"/>
        <v>237</v>
      </c>
      <c r="S244" s="25">
        <f t="shared" si="33"/>
        <v>272.37</v>
      </c>
      <c r="T244" s="24">
        <v>1</v>
      </c>
      <c r="U244" s="27">
        <v>2</v>
      </c>
      <c r="V244" s="27"/>
      <c r="W244" s="24"/>
      <c r="X244" s="24">
        <v>74</v>
      </c>
      <c r="Y244" s="24">
        <f t="shared" si="34"/>
        <v>77</v>
      </c>
      <c r="Z244" s="24">
        <f t="shared" si="35"/>
        <v>208.24000000000004</v>
      </c>
      <c r="AA244" s="24">
        <f t="shared" si="29"/>
        <v>849</v>
      </c>
      <c r="AB244" s="24">
        <f t="shared" si="29"/>
        <v>865.81</v>
      </c>
      <c r="AC244" s="28">
        <f t="shared" si="36"/>
        <v>4994667</v>
      </c>
      <c r="AD244" s="28">
        <f t="shared" si="36"/>
        <v>5093560</v>
      </c>
    </row>
    <row r="245" spans="1:30">
      <c r="A245" s="22" t="s">
        <v>405</v>
      </c>
      <c r="B245" s="22" t="s">
        <v>510</v>
      </c>
      <c r="C245" s="23" t="s">
        <v>511</v>
      </c>
      <c r="D245" s="16">
        <v>5883</v>
      </c>
      <c r="E245" s="24">
        <v>146</v>
      </c>
      <c r="F245" s="24"/>
      <c r="G245" s="24"/>
      <c r="H245" s="24"/>
      <c r="I245" s="24"/>
      <c r="J245" s="24"/>
      <c r="K245" s="24">
        <f t="shared" si="30"/>
        <v>146</v>
      </c>
      <c r="L245" s="24">
        <f t="shared" si="31"/>
        <v>105.11999999999999</v>
      </c>
      <c r="M245" s="25"/>
      <c r="N245" s="26">
        <v>6</v>
      </c>
      <c r="O245" s="26">
        <v>1</v>
      </c>
      <c r="P245" s="25"/>
      <c r="Q245" s="25">
        <v>50</v>
      </c>
      <c r="R245" s="25">
        <f t="shared" si="32"/>
        <v>57</v>
      </c>
      <c r="S245" s="25">
        <f t="shared" si="33"/>
        <v>65.37</v>
      </c>
      <c r="T245" s="24"/>
      <c r="U245" s="27">
        <v>1</v>
      </c>
      <c r="V245" s="27"/>
      <c r="W245" s="24"/>
      <c r="X245" s="24">
        <v>15</v>
      </c>
      <c r="Y245" s="24">
        <f t="shared" si="34"/>
        <v>16</v>
      </c>
      <c r="Z245" s="24">
        <f t="shared" si="35"/>
        <v>42.47</v>
      </c>
      <c r="AA245" s="24">
        <f t="shared" si="29"/>
        <v>219</v>
      </c>
      <c r="AB245" s="24">
        <f t="shared" si="29"/>
        <v>212.95999999999998</v>
      </c>
      <c r="AC245" s="28">
        <f t="shared" si="36"/>
        <v>1288377</v>
      </c>
      <c r="AD245" s="28">
        <f t="shared" si="36"/>
        <v>1252844</v>
      </c>
    </row>
    <row r="246" spans="1:30" ht="12" thickBot="1">
      <c r="A246" s="22" t="s">
        <v>405</v>
      </c>
      <c r="B246" s="22" t="s">
        <v>512</v>
      </c>
      <c r="C246" s="23" t="s">
        <v>513</v>
      </c>
      <c r="D246" s="16">
        <v>5975</v>
      </c>
      <c r="E246" s="24">
        <v>39</v>
      </c>
      <c r="F246" s="24"/>
      <c r="G246" s="24"/>
      <c r="H246" s="24"/>
      <c r="I246" s="24"/>
      <c r="J246" s="24"/>
      <c r="K246" s="24">
        <f t="shared" si="30"/>
        <v>39</v>
      </c>
      <c r="L246" s="24">
        <f t="shared" si="31"/>
        <v>28.08</v>
      </c>
      <c r="M246" s="25"/>
      <c r="N246" s="26">
        <v>2</v>
      </c>
      <c r="O246" s="26"/>
      <c r="P246" s="25"/>
      <c r="Q246" s="25">
        <v>25</v>
      </c>
      <c r="R246" s="25">
        <f t="shared" si="32"/>
        <v>27</v>
      </c>
      <c r="S246" s="25">
        <f t="shared" si="33"/>
        <v>31.47</v>
      </c>
      <c r="T246" s="24"/>
      <c r="U246" s="27"/>
      <c r="V246" s="27"/>
      <c r="W246" s="24"/>
      <c r="X246" s="24">
        <v>7</v>
      </c>
      <c r="Y246" s="24">
        <f t="shared" si="34"/>
        <v>7</v>
      </c>
      <c r="Z246" s="24">
        <f t="shared" si="35"/>
        <v>19.18</v>
      </c>
      <c r="AA246" s="24">
        <f t="shared" si="29"/>
        <v>73</v>
      </c>
      <c r="AB246" s="24">
        <f t="shared" si="29"/>
        <v>78.72999999999999</v>
      </c>
      <c r="AC246" s="28">
        <f t="shared" si="36"/>
        <v>436175</v>
      </c>
      <c r="AD246" s="28">
        <f t="shared" si="36"/>
        <v>470412</v>
      </c>
    </row>
    <row r="247" spans="1:30" ht="12" thickBot="1">
      <c r="A247" s="34"/>
      <c r="B247" s="35"/>
      <c r="C247" s="36" t="s">
        <v>514</v>
      </c>
      <c r="D247" s="37"/>
      <c r="E247" s="38">
        <f>SUM(E193:E246)</f>
        <v>8378</v>
      </c>
      <c r="F247" s="38">
        <f t="shared" ref="F247:AB247" si="37">SUM(F193:F246)</f>
        <v>5</v>
      </c>
      <c r="G247" s="38">
        <f t="shared" si="37"/>
        <v>0</v>
      </c>
      <c r="H247" s="38">
        <f t="shared" si="37"/>
        <v>354</v>
      </c>
      <c r="I247" s="38">
        <f t="shared" si="37"/>
        <v>0</v>
      </c>
      <c r="J247" s="38">
        <f t="shared" si="37"/>
        <v>7</v>
      </c>
      <c r="K247" s="38">
        <f t="shared" si="37"/>
        <v>8744</v>
      </c>
      <c r="L247" s="38">
        <f t="shared" si="37"/>
        <v>6295.6799999999967</v>
      </c>
      <c r="M247" s="38">
        <f t="shared" si="37"/>
        <v>0</v>
      </c>
      <c r="N247" s="39">
        <f t="shared" si="37"/>
        <v>475</v>
      </c>
      <c r="O247" s="39">
        <f t="shared" si="37"/>
        <v>83</v>
      </c>
      <c r="P247" s="38">
        <f t="shared" si="37"/>
        <v>0</v>
      </c>
      <c r="Q247" s="38">
        <f t="shared" si="37"/>
        <v>3444</v>
      </c>
      <c r="R247" s="38">
        <f t="shared" si="37"/>
        <v>4002</v>
      </c>
      <c r="S247" s="38">
        <f t="shared" si="37"/>
        <v>4557.4199999999992</v>
      </c>
      <c r="T247" s="38">
        <f t="shared" si="37"/>
        <v>3</v>
      </c>
      <c r="U247" s="40">
        <f t="shared" si="37"/>
        <v>103</v>
      </c>
      <c r="V247" s="40">
        <f t="shared" si="37"/>
        <v>15</v>
      </c>
      <c r="W247" s="38">
        <f t="shared" si="37"/>
        <v>3</v>
      </c>
      <c r="X247" s="38">
        <f t="shared" si="37"/>
        <v>1689</v>
      </c>
      <c r="Y247" s="38">
        <f t="shared" si="37"/>
        <v>1813</v>
      </c>
      <c r="Z247" s="38">
        <f t="shared" si="37"/>
        <v>4822.3999999999996</v>
      </c>
      <c r="AA247" s="38">
        <f t="shared" si="37"/>
        <v>14559</v>
      </c>
      <c r="AB247" s="41">
        <f t="shared" si="37"/>
        <v>15675.499999999996</v>
      </c>
      <c r="AC247" s="42">
        <f>SUM(AC193:AC246)</f>
        <v>86088132</v>
      </c>
      <c r="AD247" s="43">
        <f>SUM(AD193:AD246)</f>
        <v>92747849</v>
      </c>
    </row>
    <row r="248" spans="1:30">
      <c r="A248" s="22" t="s">
        <v>515</v>
      </c>
      <c r="B248" s="22" t="s">
        <v>516</v>
      </c>
      <c r="C248" s="23" t="s">
        <v>517</v>
      </c>
      <c r="D248" s="16">
        <v>5934</v>
      </c>
      <c r="E248" s="24">
        <v>41</v>
      </c>
      <c r="F248" s="24"/>
      <c r="G248" s="24"/>
      <c r="H248" s="24"/>
      <c r="I248" s="24"/>
      <c r="J248" s="24"/>
      <c r="K248" s="24">
        <f t="shared" si="30"/>
        <v>41</v>
      </c>
      <c r="L248" s="24">
        <f t="shared" si="31"/>
        <v>29.52</v>
      </c>
      <c r="M248" s="25"/>
      <c r="N248" s="26">
        <v>1</v>
      </c>
      <c r="O248" s="26">
        <v>1</v>
      </c>
      <c r="P248" s="25"/>
      <c r="Q248" s="25">
        <v>12</v>
      </c>
      <c r="R248" s="25">
        <f t="shared" si="32"/>
        <v>14</v>
      </c>
      <c r="S248" s="25">
        <f t="shared" si="33"/>
        <v>16.34</v>
      </c>
      <c r="T248" s="24"/>
      <c r="U248" s="27"/>
      <c r="V248" s="27"/>
      <c r="W248" s="24"/>
      <c r="X248" s="24">
        <v>4</v>
      </c>
      <c r="Y248" s="24">
        <f t="shared" si="34"/>
        <v>4</v>
      </c>
      <c r="Z248" s="24">
        <f t="shared" si="35"/>
        <v>10.96</v>
      </c>
      <c r="AA248" s="24">
        <f t="shared" si="29"/>
        <v>59</v>
      </c>
      <c r="AB248" s="24">
        <f t="shared" si="29"/>
        <v>56.82</v>
      </c>
      <c r="AC248" s="28">
        <f t="shared" si="36"/>
        <v>350106</v>
      </c>
      <c r="AD248" s="28">
        <f t="shared" si="36"/>
        <v>337170</v>
      </c>
    </row>
    <row r="249" spans="1:30">
      <c r="A249" s="22" t="s">
        <v>515</v>
      </c>
      <c r="B249" s="22" t="s">
        <v>518</v>
      </c>
      <c r="C249" s="23" t="s">
        <v>519</v>
      </c>
      <c r="D249" s="16">
        <v>5953</v>
      </c>
      <c r="E249" s="24"/>
      <c r="F249" s="24"/>
      <c r="G249" s="24"/>
      <c r="H249" s="24">
        <v>19</v>
      </c>
      <c r="I249" s="24"/>
      <c r="J249" s="24"/>
      <c r="K249" s="24">
        <f t="shared" si="30"/>
        <v>19</v>
      </c>
      <c r="L249" s="24">
        <f t="shared" si="31"/>
        <v>13.68</v>
      </c>
      <c r="M249" s="25"/>
      <c r="N249" s="26"/>
      <c r="O249" s="26">
        <v>1</v>
      </c>
      <c r="P249" s="25"/>
      <c r="Q249" s="25">
        <v>3</v>
      </c>
      <c r="R249" s="25">
        <f t="shared" si="32"/>
        <v>4</v>
      </c>
      <c r="S249" s="25">
        <f t="shared" si="33"/>
        <v>4.84</v>
      </c>
      <c r="T249" s="24"/>
      <c r="U249" s="27">
        <v>1</v>
      </c>
      <c r="V249" s="27">
        <v>1</v>
      </c>
      <c r="W249" s="24"/>
      <c r="X249" s="24">
        <v>5</v>
      </c>
      <c r="Y249" s="24">
        <f t="shared" si="34"/>
        <v>7</v>
      </c>
      <c r="Z249" s="24">
        <f t="shared" si="35"/>
        <v>17.810000000000002</v>
      </c>
      <c r="AA249" s="24">
        <f t="shared" si="29"/>
        <v>30</v>
      </c>
      <c r="AB249" s="24">
        <f t="shared" si="29"/>
        <v>36.33</v>
      </c>
      <c r="AC249" s="28">
        <f t="shared" si="36"/>
        <v>178590</v>
      </c>
      <c r="AD249" s="28">
        <f t="shared" si="36"/>
        <v>216272</v>
      </c>
    </row>
    <row r="250" spans="1:30">
      <c r="A250" s="22" t="s">
        <v>515</v>
      </c>
      <c r="B250" s="22" t="s">
        <v>520</v>
      </c>
      <c r="C250" s="23" t="s">
        <v>521</v>
      </c>
      <c r="D250" s="16">
        <v>5883</v>
      </c>
      <c r="E250" s="24">
        <v>5</v>
      </c>
      <c r="F250" s="24">
        <v>1</v>
      </c>
      <c r="G250" s="24"/>
      <c r="H250" s="24">
        <v>14</v>
      </c>
      <c r="I250" s="24"/>
      <c r="J250" s="24"/>
      <c r="K250" s="24">
        <f t="shared" si="30"/>
        <v>20</v>
      </c>
      <c r="L250" s="24">
        <f t="shared" si="31"/>
        <v>14.399999999999999</v>
      </c>
      <c r="M250" s="25"/>
      <c r="N250" s="26"/>
      <c r="O250" s="26"/>
      <c r="P250" s="25"/>
      <c r="Q250" s="25">
        <v>6</v>
      </c>
      <c r="R250" s="25">
        <f t="shared" si="32"/>
        <v>6</v>
      </c>
      <c r="S250" s="25">
        <f t="shared" si="33"/>
        <v>7.26</v>
      </c>
      <c r="T250" s="24"/>
      <c r="U250" s="27"/>
      <c r="V250" s="27"/>
      <c r="W250" s="24"/>
      <c r="X250" s="24">
        <v>3</v>
      </c>
      <c r="Y250" s="24">
        <f t="shared" si="34"/>
        <v>3</v>
      </c>
      <c r="Z250" s="24">
        <f t="shared" si="35"/>
        <v>8.2200000000000006</v>
      </c>
      <c r="AA250" s="24">
        <f t="shared" si="29"/>
        <v>29</v>
      </c>
      <c r="AB250" s="24">
        <f t="shared" si="29"/>
        <v>29.88</v>
      </c>
      <c r="AC250" s="28">
        <f t="shared" si="36"/>
        <v>170607</v>
      </c>
      <c r="AD250" s="28">
        <f t="shared" si="36"/>
        <v>175784</v>
      </c>
    </row>
    <row r="251" spans="1:30">
      <c r="A251" s="22" t="s">
        <v>515</v>
      </c>
      <c r="B251" s="22" t="s">
        <v>522</v>
      </c>
      <c r="C251" s="23" t="s">
        <v>523</v>
      </c>
      <c r="D251" s="16">
        <v>5950</v>
      </c>
      <c r="E251" s="24">
        <v>2</v>
      </c>
      <c r="F251" s="24"/>
      <c r="G251" s="24"/>
      <c r="H251" s="24">
        <v>29</v>
      </c>
      <c r="I251" s="24"/>
      <c r="J251" s="24"/>
      <c r="K251" s="24">
        <f t="shared" si="30"/>
        <v>31</v>
      </c>
      <c r="L251" s="24">
        <f t="shared" si="31"/>
        <v>22.32</v>
      </c>
      <c r="M251" s="25"/>
      <c r="N251" s="26"/>
      <c r="O251" s="26">
        <v>1</v>
      </c>
      <c r="P251" s="25"/>
      <c r="Q251" s="25">
        <v>6</v>
      </c>
      <c r="R251" s="25">
        <f t="shared" si="32"/>
        <v>7</v>
      </c>
      <c r="S251" s="25">
        <f t="shared" si="33"/>
        <v>8.4699999999999989</v>
      </c>
      <c r="T251" s="24"/>
      <c r="U251" s="27"/>
      <c r="V251" s="27"/>
      <c r="W251" s="24"/>
      <c r="X251" s="24">
        <v>1</v>
      </c>
      <c r="Y251" s="24">
        <f t="shared" si="34"/>
        <v>1</v>
      </c>
      <c r="Z251" s="24">
        <f t="shared" si="35"/>
        <v>2.74</v>
      </c>
      <c r="AA251" s="24">
        <f t="shared" si="29"/>
        <v>39</v>
      </c>
      <c r="AB251" s="24">
        <f t="shared" si="29"/>
        <v>33.53</v>
      </c>
      <c r="AC251" s="28">
        <f t="shared" si="36"/>
        <v>232050</v>
      </c>
      <c r="AD251" s="28">
        <f t="shared" si="36"/>
        <v>199504</v>
      </c>
    </row>
    <row r="252" spans="1:30">
      <c r="A252" s="22" t="s">
        <v>515</v>
      </c>
      <c r="B252" s="22" t="s">
        <v>524</v>
      </c>
      <c r="C252" s="23" t="s">
        <v>525</v>
      </c>
      <c r="D252" s="16">
        <v>5883</v>
      </c>
      <c r="E252" s="24">
        <v>51</v>
      </c>
      <c r="F252" s="24"/>
      <c r="G252" s="24"/>
      <c r="H252" s="24">
        <v>2</v>
      </c>
      <c r="I252" s="24"/>
      <c r="J252" s="24"/>
      <c r="K252" s="24">
        <f t="shared" si="30"/>
        <v>53</v>
      </c>
      <c r="L252" s="24">
        <f t="shared" si="31"/>
        <v>38.159999999999997</v>
      </c>
      <c r="M252" s="25"/>
      <c r="N252" s="26">
        <v>1</v>
      </c>
      <c r="O252" s="26">
        <v>3</v>
      </c>
      <c r="P252" s="25"/>
      <c r="Q252" s="25">
        <v>25</v>
      </c>
      <c r="R252" s="25">
        <f t="shared" si="32"/>
        <v>29</v>
      </c>
      <c r="S252" s="25">
        <f t="shared" si="33"/>
        <v>34.489999999999995</v>
      </c>
      <c r="T252" s="24"/>
      <c r="U252" s="27"/>
      <c r="V252" s="27">
        <v>1</v>
      </c>
      <c r="W252" s="24"/>
      <c r="X252" s="24">
        <v>6</v>
      </c>
      <c r="Y252" s="24">
        <f t="shared" si="34"/>
        <v>7</v>
      </c>
      <c r="Z252" s="24">
        <f t="shared" si="35"/>
        <v>19.18</v>
      </c>
      <c r="AA252" s="24">
        <f t="shared" si="29"/>
        <v>89</v>
      </c>
      <c r="AB252" s="24">
        <f t="shared" si="29"/>
        <v>91.829999999999984</v>
      </c>
      <c r="AC252" s="28">
        <f t="shared" si="36"/>
        <v>523587</v>
      </c>
      <c r="AD252" s="28">
        <f t="shared" si="36"/>
        <v>540236</v>
      </c>
    </row>
    <row r="253" spans="1:30">
      <c r="A253" s="22" t="s">
        <v>515</v>
      </c>
      <c r="B253" s="22" t="s">
        <v>526</v>
      </c>
      <c r="C253" s="23" t="s">
        <v>527</v>
      </c>
      <c r="D253" s="16">
        <v>5883</v>
      </c>
      <c r="E253" s="24"/>
      <c r="F253" s="24"/>
      <c r="G253" s="24"/>
      <c r="H253" s="24">
        <v>42</v>
      </c>
      <c r="I253" s="24"/>
      <c r="J253" s="24">
        <v>3</v>
      </c>
      <c r="K253" s="24">
        <f t="shared" si="30"/>
        <v>45</v>
      </c>
      <c r="L253" s="24">
        <f t="shared" si="31"/>
        <v>32.4</v>
      </c>
      <c r="M253" s="25"/>
      <c r="N253" s="26">
        <v>3</v>
      </c>
      <c r="O253" s="26"/>
      <c r="P253" s="25"/>
      <c r="Q253" s="25">
        <v>8</v>
      </c>
      <c r="R253" s="25">
        <f t="shared" si="32"/>
        <v>11</v>
      </c>
      <c r="S253" s="25">
        <f t="shared" si="33"/>
        <v>11.51</v>
      </c>
      <c r="T253" s="24"/>
      <c r="U253" s="27"/>
      <c r="V253" s="27"/>
      <c r="W253" s="24"/>
      <c r="X253" s="24">
        <v>7</v>
      </c>
      <c r="Y253" s="24">
        <f t="shared" si="34"/>
        <v>7</v>
      </c>
      <c r="Z253" s="24">
        <f t="shared" si="35"/>
        <v>19.18</v>
      </c>
      <c r="AA253" s="24">
        <f t="shared" si="29"/>
        <v>63</v>
      </c>
      <c r="AB253" s="24">
        <f t="shared" si="29"/>
        <v>63.089999999999996</v>
      </c>
      <c r="AC253" s="28">
        <f t="shared" si="36"/>
        <v>370629</v>
      </c>
      <c r="AD253" s="28">
        <f t="shared" si="36"/>
        <v>371158</v>
      </c>
    </row>
    <row r="254" spans="1:30">
      <c r="A254" s="22" t="s">
        <v>515</v>
      </c>
      <c r="B254" s="22" t="s">
        <v>528</v>
      </c>
      <c r="C254" s="23" t="s">
        <v>529</v>
      </c>
      <c r="D254" s="16">
        <v>5883</v>
      </c>
      <c r="E254" s="24"/>
      <c r="F254" s="24"/>
      <c r="G254" s="24"/>
      <c r="H254" s="24">
        <v>32</v>
      </c>
      <c r="I254" s="24"/>
      <c r="J254" s="24">
        <v>6</v>
      </c>
      <c r="K254" s="24">
        <f t="shared" si="30"/>
        <v>38</v>
      </c>
      <c r="L254" s="24">
        <f t="shared" si="31"/>
        <v>27.36</v>
      </c>
      <c r="M254" s="25"/>
      <c r="N254" s="26"/>
      <c r="O254" s="26">
        <v>2</v>
      </c>
      <c r="P254" s="25"/>
      <c r="Q254" s="25">
        <v>15</v>
      </c>
      <c r="R254" s="25">
        <f t="shared" si="32"/>
        <v>17</v>
      </c>
      <c r="S254" s="25">
        <f t="shared" si="33"/>
        <v>20.57</v>
      </c>
      <c r="T254" s="24"/>
      <c r="U254" s="27">
        <v>1</v>
      </c>
      <c r="V254" s="27">
        <v>2</v>
      </c>
      <c r="W254" s="24"/>
      <c r="X254" s="24">
        <v>9</v>
      </c>
      <c r="Y254" s="24">
        <f t="shared" si="34"/>
        <v>12</v>
      </c>
      <c r="Z254" s="24">
        <f t="shared" si="35"/>
        <v>31.51</v>
      </c>
      <c r="AA254" s="24">
        <f t="shared" si="29"/>
        <v>67</v>
      </c>
      <c r="AB254" s="24">
        <f t="shared" si="29"/>
        <v>79.44</v>
      </c>
      <c r="AC254" s="28">
        <f t="shared" si="36"/>
        <v>394161</v>
      </c>
      <c r="AD254" s="28">
        <f t="shared" si="36"/>
        <v>467346</v>
      </c>
    </row>
    <row r="255" spans="1:30">
      <c r="A255" s="22" t="s">
        <v>515</v>
      </c>
      <c r="B255" s="22" t="s">
        <v>530</v>
      </c>
      <c r="C255" s="23" t="s">
        <v>531</v>
      </c>
      <c r="D255" s="16">
        <v>5900</v>
      </c>
      <c r="E255" s="24">
        <v>24</v>
      </c>
      <c r="F255" s="24"/>
      <c r="G255" s="24"/>
      <c r="H255" s="24">
        <v>2</v>
      </c>
      <c r="I255" s="24"/>
      <c r="J255" s="24"/>
      <c r="K255" s="24">
        <f t="shared" si="30"/>
        <v>26</v>
      </c>
      <c r="L255" s="24">
        <f t="shared" si="31"/>
        <v>18.72</v>
      </c>
      <c r="M255" s="25"/>
      <c r="N255" s="26"/>
      <c r="O255" s="26">
        <v>1</v>
      </c>
      <c r="P255" s="25"/>
      <c r="Q255" s="25">
        <v>10</v>
      </c>
      <c r="R255" s="25">
        <f t="shared" si="32"/>
        <v>11</v>
      </c>
      <c r="S255" s="25">
        <f t="shared" si="33"/>
        <v>13.309999999999999</v>
      </c>
      <c r="T255" s="24"/>
      <c r="U255" s="27"/>
      <c r="V255" s="27">
        <v>2</v>
      </c>
      <c r="W255" s="24"/>
      <c r="X255" s="24">
        <v>4</v>
      </c>
      <c r="Y255" s="24">
        <f t="shared" si="34"/>
        <v>6</v>
      </c>
      <c r="Z255" s="24">
        <f t="shared" si="35"/>
        <v>16.440000000000001</v>
      </c>
      <c r="AA255" s="24">
        <f t="shared" si="29"/>
        <v>43</v>
      </c>
      <c r="AB255" s="24">
        <f t="shared" si="29"/>
        <v>48.47</v>
      </c>
      <c r="AC255" s="28">
        <f t="shared" si="36"/>
        <v>253700</v>
      </c>
      <c r="AD255" s="28">
        <f t="shared" si="36"/>
        <v>285973</v>
      </c>
    </row>
    <row r="256" spans="1:30">
      <c r="A256" s="22" t="s">
        <v>515</v>
      </c>
      <c r="B256" s="22" t="s">
        <v>532</v>
      </c>
      <c r="C256" s="23" t="s">
        <v>533</v>
      </c>
      <c r="D256" s="16">
        <v>5934</v>
      </c>
      <c r="E256" s="24">
        <v>2</v>
      </c>
      <c r="F256" s="24">
        <v>2</v>
      </c>
      <c r="G256" s="24">
        <v>1</v>
      </c>
      <c r="H256" s="24">
        <v>111</v>
      </c>
      <c r="I256" s="24"/>
      <c r="J256" s="24"/>
      <c r="K256" s="24">
        <f t="shared" si="30"/>
        <v>116</v>
      </c>
      <c r="L256" s="24">
        <f t="shared" si="31"/>
        <v>83.52</v>
      </c>
      <c r="M256" s="25"/>
      <c r="N256" s="26"/>
      <c r="O256" s="26">
        <v>4</v>
      </c>
      <c r="P256" s="25"/>
      <c r="Q256" s="25">
        <v>30</v>
      </c>
      <c r="R256" s="25">
        <f t="shared" si="32"/>
        <v>34</v>
      </c>
      <c r="S256" s="25">
        <f t="shared" si="33"/>
        <v>41.14</v>
      </c>
      <c r="T256" s="24"/>
      <c r="U256" s="27"/>
      <c r="V256" s="27"/>
      <c r="W256" s="24"/>
      <c r="X256" s="24">
        <v>10</v>
      </c>
      <c r="Y256" s="24">
        <f t="shared" si="34"/>
        <v>10</v>
      </c>
      <c r="Z256" s="24">
        <f t="shared" si="35"/>
        <v>27.400000000000002</v>
      </c>
      <c r="AA256" s="24">
        <f t="shared" si="29"/>
        <v>160</v>
      </c>
      <c r="AB256" s="24">
        <f t="shared" si="29"/>
        <v>152.06</v>
      </c>
      <c r="AC256" s="28">
        <f t="shared" si="36"/>
        <v>949440</v>
      </c>
      <c r="AD256" s="28">
        <f t="shared" si="36"/>
        <v>902324</v>
      </c>
    </row>
    <row r="257" spans="1:30">
      <c r="A257" s="22" t="s">
        <v>515</v>
      </c>
      <c r="B257" s="22" t="s">
        <v>534</v>
      </c>
      <c r="C257" s="23" t="s">
        <v>535</v>
      </c>
      <c r="D257" s="16">
        <v>5883</v>
      </c>
      <c r="E257" s="24">
        <v>88</v>
      </c>
      <c r="F257" s="24">
        <v>1</v>
      </c>
      <c r="G257" s="24"/>
      <c r="H257" s="24"/>
      <c r="I257" s="24"/>
      <c r="J257" s="24"/>
      <c r="K257" s="24">
        <f t="shared" si="30"/>
        <v>89</v>
      </c>
      <c r="L257" s="24">
        <f t="shared" si="31"/>
        <v>64.08</v>
      </c>
      <c r="M257" s="25"/>
      <c r="N257" s="26"/>
      <c r="O257" s="26">
        <v>13</v>
      </c>
      <c r="P257" s="25"/>
      <c r="Q257" s="25">
        <v>59</v>
      </c>
      <c r="R257" s="25">
        <f t="shared" si="32"/>
        <v>72</v>
      </c>
      <c r="S257" s="25">
        <f t="shared" si="33"/>
        <v>87.12</v>
      </c>
      <c r="T257" s="24"/>
      <c r="U257" s="27"/>
      <c r="V257" s="27">
        <v>6</v>
      </c>
      <c r="W257" s="24"/>
      <c r="X257" s="24">
        <v>31</v>
      </c>
      <c r="Y257" s="24">
        <f t="shared" si="34"/>
        <v>37</v>
      </c>
      <c r="Z257" s="24">
        <f t="shared" si="35"/>
        <v>101.38000000000001</v>
      </c>
      <c r="AA257" s="24">
        <f t="shared" si="29"/>
        <v>198</v>
      </c>
      <c r="AB257" s="24">
        <f t="shared" si="29"/>
        <v>252.57999999999998</v>
      </c>
      <c r="AC257" s="28">
        <f t="shared" si="36"/>
        <v>1164834</v>
      </c>
      <c r="AD257" s="28">
        <f t="shared" si="36"/>
        <v>1485928</v>
      </c>
    </row>
    <row r="258" spans="1:30">
      <c r="A258" s="22" t="s">
        <v>515</v>
      </c>
      <c r="B258" s="22" t="s">
        <v>536</v>
      </c>
      <c r="C258" s="23" t="s">
        <v>537</v>
      </c>
      <c r="D258" s="16">
        <v>5892</v>
      </c>
      <c r="E258" s="24"/>
      <c r="F258" s="24"/>
      <c r="G258" s="24">
        <v>2</v>
      </c>
      <c r="H258" s="24">
        <v>44</v>
      </c>
      <c r="I258" s="24"/>
      <c r="J258" s="24"/>
      <c r="K258" s="24">
        <f t="shared" si="30"/>
        <v>46</v>
      </c>
      <c r="L258" s="24">
        <f t="shared" si="31"/>
        <v>33.119999999999997</v>
      </c>
      <c r="M258" s="25"/>
      <c r="N258" s="26">
        <v>1</v>
      </c>
      <c r="O258" s="26">
        <v>1</v>
      </c>
      <c r="P258" s="25"/>
      <c r="Q258" s="25">
        <v>4</v>
      </c>
      <c r="R258" s="25">
        <f t="shared" si="32"/>
        <v>6</v>
      </c>
      <c r="S258" s="25">
        <f t="shared" si="33"/>
        <v>6.66</v>
      </c>
      <c r="T258" s="24"/>
      <c r="U258" s="27"/>
      <c r="V258" s="27">
        <v>1</v>
      </c>
      <c r="W258" s="24"/>
      <c r="X258" s="24">
        <v>3</v>
      </c>
      <c r="Y258" s="24">
        <f t="shared" si="34"/>
        <v>4</v>
      </c>
      <c r="Z258" s="24">
        <f t="shared" si="35"/>
        <v>10.96</v>
      </c>
      <c r="AA258" s="24">
        <f t="shared" si="29"/>
        <v>56</v>
      </c>
      <c r="AB258" s="24">
        <f t="shared" si="29"/>
        <v>50.739999999999995</v>
      </c>
      <c r="AC258" s="28">
        <f t="shared" si="36"/>
        <v>329952</v>
      </c>
      <c r="AD258" s="28">
        <f t="shared" si="36"/>
        <v>298960</v>
      </c>
    </row>
    <row r="259" spans="1:30">
      <c r="A259" s="22" t="s">
        <v>515</v>
      </c>
      <c r="B259" s="22" t="s">
        <v>538</v>
      </c>
      <c r="C259" s="23" t="s">
        <v>539</v>
      </c>
      <c r="D259" s="16">
        <v>5914</v>
      </c>
      <c r="E259" s="24">
        <v>4</v>
      </c>
      <c r="F259" s="24">
        <v>1</v>
      </c>
      <c r="G259" s="24"/>
      <c r="H259" s="24">
        <v>27</v>
      </c>
      <c r="I259" s="24"/>
      <c r="J259" s="24"/>
      <c r="K259" s="24">
        <f t="shared" si="30"/>
        <v>32</v>
      </c>
      <c r="L259" s="24">
        <f t="shared" si="31"/>
        <v>23.04</v>
      </c>
      <c r="M259" s="25">
        <v>1</v>
      </c>
      <c r="N259" s="26"/>
      <c r="O259" s="26"/>
      <c r="P259" s="25"/>
      <c r="Q259" s="25">
        <v>7</v>
      </c>
      <c r="R259" s="25">
        <f t="shared" si="32"/>
        <v>8</v>
      </c>
      <c r="S259" s="25">
        <f t="shared" si="33"/>
        <v>9.68</v>
      </c>
      <c r="T259" s="24"/>
      <c r="U259" s="27"/>
      <c r="V259" s="27">
        <v>1</v>
      </c>
      <c r="W259" s="24"/>
      <c r="X259" s="24">
        <v>4</v>
      </c>
      <c r="Y259" s="24">
        <f t="shared" si="34"/>
        <v>5</v>
      </c>
      <c r="Z259" s="24">
        <f t="shared" si="35"/>
        <v>13.700000000000001</v>
      </c>
      <c r="AA259" s="24">
        <f t="shared" ref="AA259:AB322" si="38">+Y259+R259+K259</f>
        <v>45</v>
      </c>
      <c r="AB259" s="24">
        <f t="shared" si="38"/>
        <v>46.42</v>
      </c>
      <c r="AC259" s="28">
        <f t="shared" si="36"/>
        <v>266130</v>
      </c>
      <c r="AD259" s="28">
        <f t="shared" si="36"/>
        <v>274528</v>
      </c>
    </row>
    <row r="260" spans="1:30">
      <c r="A260" s="22" t="s">
        <v>515</v>
      </c>
      <c r="B260" s="22" t="s">
        <v>540</v>
      </c>
      <c r="C260" s="23" t="s">
        <v>541</v>
      </c>
      <c r="D260" s="16">
        <v>5883</v>
      </c>
      <c r="E260" s="24"/>
      <c r="F260" s="24"/>
      <c r="G260" s="24"/>
      <c r="H260" s="24">
        <v>32</v>
      </c>
      <c r="I260" s="24"/>
      <c r="J260" s="24">
        <v>3</v>
      </c>
      <c r="K260" s="24">
        <f t="shared" si="30"/>
        <v>35</v>
      </c>
      <c r="L260" s="24">
        <f t="shared" si="31"/>
        <v>25.2</v>
      </c>
      <c r="M260" s="25"/>
      <c r="N260" s="26"/>
      <c r="O260" s="26"/>
      <c r="P260" s="25"/>
      <c r="Q260" s="25">
        <v>14</v>
      </c>
      <c r="R260" s="25">
        <f t="shared" si="32"/>
        <v>14</v>
      </c>
      <c r="S260" s="25">
        <f t="shared" si="33"/>
        <v>16.939999999999998</v>
      </c>
      <c r="T260" s="24"/>
      <c r="U260" s="27"/>
      <c r="V260" s="27"/>
      <c r="W260" s="24"/>
      <c r="X260" s="24">
        <v>10</v>
      </c>
      <c r="Y260" s="24">
        <f t="shared" si="34"/>
        <v>10</v>
      </c>
      <c r="Z260" s="24">
        <f t="shared" si="35"/>
        <v>27.400000000000002</v>
      </c>
      <c r="AA260" s="24">
        <f t="shared" si="38"/>
        <v>59</v>
      </c>
      <c r="AB260" s="24">
        <f t="shared" si="38"/>
        <v>69.540000000000006</v>
      </c>
      <c r="AC260" s="28">
        <f t="shared" si="36"/>
        <v>347097</v>
      </c>
      <c r="AD260" s="28">
        <f t="shared" si="36"/>
        <v>409104</v>
      </c>
    </row>
    <row r="261" spans="1:30">
      <c r="A261" s="22" t="s">
        <v>515</v>
      </c>
      <c r="B261" s="22" t="s">
        <v>542</v>
      </c>
      <c r="C261" s="23" t="s">
        <v>543</v>
      </c>
      <c r="D261" s="16">
        <v>5930</v>
      </c>
      <c r="E261" s="24">
        <v>2</v>
      </c>
      <c r="F261" s="24"/>
      <c r="G261" s="24"/>
      <c r="H261" s="24">
        <v>68</v>
      </c>
      <c r="I261" s="24"/>
      <c r="J261" s="24">
        <v>1</v>
      </c>
      <c r="K261" s="24">
        <f t="shared" ref="K261:K324" si="39">SUM(E261:J261)</f>
        <v>71</v>
      </c>
      <c r="L261" s="24">
        <f t="shared" ref="L261:L324" si="40">+K261*0.72</f>
        <v>51.12</v>
      </c>
      <c r="M261" s="25"/>
      <c r="N261" s="26">
        <v>1</v>
      </c>
      <c r="O261" s="26">
        <v>8</v>
      </c>
      <c r="P261" s="25"/>
      <c r="Q261" s="25">
        <v>17</v>
      </c>
      <c r="R261" s="25">
        <f t="shared" ref="R261:R324" si="41">SUM(M261:Q261)</f>
        <v>26</v>
      </c>
      <c r="S261" s="25">
        <f t="shared" ref="S261:S324" si="42">((+N261 +P261)*0.61+(+M261+O261+Q261)*1.21)</f>
        <v>30.86</v>
      </c>
      <c r="T261" s="24"/>
      <c r="U261" s="27">
        <v>1</v>
      </c>
      <c r="V261" s="27">
        <v>1</v>
      </c>
      <c r="W261" s="24"/>
      <c r="X261" s="24">
        <v>7</v>
      </c>
      <c r="Y261" s="24">
        <f t="shared" ref="Y261:Y324" si="43">SUM(T261:X261)</f>
        <v>9</v>
      </c>
      <c r="Z261" s="24">
        <f t="shared" ref="Z261:Z324" si="44">((+U261 +W261)*1.37+(+T261+V261+X261)*2.74)</f>
        <v>23.290000000000003</v>
      </c>
      <c r="AA261" s="24">
        <f t="shared" si="38"/>
        <v>106</v>
      </c>
      <c r="AB261" s="24">
        <f t="shared" si="38"/>
        <v>105.27000000000001</v>
      </c>
      <c r="AC261" s="28">
        <f t="shared" ref="AC261:AD324" si="45">ROUND((AA261*$D261),0)</f>
        <v>628580</v>
      </c>
      <c r="AD261" s="28">
        <f t="shared" si="45"/>
        <v>624251</v>
      </c>
    </row>
    <row r="262" spans="1:30">
      <c r="A262" s="22" t="s">
        <v>515</v>
      </c>
      <c r="B262" s="22" t="s">
        <v>544</v>
      </c>
      <c r="C262" s="23" t="s">
        <v>545</v>
      </c>
      <c r="D262" s="16">
        <v>5883</v>
      </c>
      <c r="E262" s="24">
        <v>2</v>
      </c>
      <c r="F262" s="24">
        <v>2</v>
      </c>
      <c r="G262" s="24"/>
      <c r="H262" s="24">
        <v>18</v>
      </c>
      <c r="I262" s="24"/>
      <c r="J262" s="24"/>
      <c r="K262" s="24">
        <f t="shared" si="39"/>
        <v>22</v>
      </c>
      <c r="L262" s="24">
        <f t="shared" si="40"/>
        <v>15.84</v>
      </c>
      <c r="M262" s="25"/>
      <c r="N262" s="26"/>
      <c r="O262" s="26">
        <v>1</v>
      </c>
      <c r="P262" s="25"/>
      <c r="Q262" s="25">
        <v>6</v>
      </c>
      <c r="R262" s="25">
        <f t="shared" si="41"/>
        <v>7</v>
      </c>
      <c r="S262" s="25">
        <f t="shared" si="42"/>
        <v>8.4699999999999989</v>
      </c>
      <c r="T262" s="24"/>
      <c r="U262" s="27"/>
      <c r="V262" s="27"/>
      <c r="W262" s="24"/>
      <c r="X262" s="24">
        <v>7</v>
      </c>
      <c r="Y262" s="24">
        <f t="shared" si="43"/>
        <v>7</v>
      </c>
      <c r="Z262" s="24">
        <f t="shared" si="44"/>
        <v>19.18</v>
      </c>
      <c r="AA262" s="24">
        <f t="shared" si="38"/>
        <v>36</v>
      </c>
      <c r="AB262" s="24">
        <f t="shared" si="38"/>
        <v>43.489999999999995</v>
      </c>
      <c r="AC262" s="28">
        <f t="shared" si="45"/>
        <v>211788</v>
      </c>
      <c r="AD262" s="28">
        <f t="shared" si="45"/>
        <v>255852</v>
      </c>
    </row>
    <row r="263" spans="1:30">
      <c r="A263" s="22" t="s">
        <v>515</v>
      </c>
      <c r="B263" s="22" t="s">
        <v>546</v>
      </c>
      <c r="C263" s="23" t="s">
        <v>547</v>
      </c>
      <c r="D263" s="16">
        <v>5986</v>
      </c>
      <c r="E263" s="24">
        <v>1</v>
      </c>
      <c r="F263" s="24"/>
      <c r="G263" s="24"/>
      <c r="H263" s="24">
        <v>28</v>
      </c>
      <c r="I263" s="24"/>
      <c r="J263" s="24"/>
      <c r="K263" s="24">
        <f t="shared" si="39"/>
        <v>29</v>
      </c>
      <c r="L263" s="24">
        <f t="shared" si="40"/>
        <v>20.88</v>
      </c>
      <c r="M263" s="25"/>
      <c r="N263" s="26"/>
      <c r="O263" s="26">
        <v>1</v>
      </c>
      <c r="P263" s="25"/>
      <c r="Q263" s="25">
        <v>8</v>
      </c>
      <c r="R263" s="25">
        <f t="shared" si="41"/>
        <v>9</v>
      </c>
      <c r="S263" s="25">
        <f t="shared" si="42"/>
        <v>10.89</v>
      </c>
      <c r="T263" s="24"/>
      <c r="U263" s="27"/>
      <c r="V263" s="27">
        <v>1</v>
      </c>
      <c r="W263" s="24"/>
      <c r="X263" s="24">
        <v>7</v>
      </c>
      <c r="Y263" s="24">
        <f t="shared" si="43"/>
        <v>8</v>
      </c>
      <c r="Z263" s="24">
        <f t="shared" si="44"/>
        <v>21.92</v>
      </c>
      <c r="AA263" s="24">
        <f t="shared" si="38"/>
        <v>46</v>
      </c>
      <c r="AB263" s="24">
        <f t="shared" si="38"/>
        <v>53.69</v>
      </c>
      <c r="AC263" s="28">
        <f t="shared" si="45"/>
        <v>275356</v>
      </c>
      <c r="AD263" s="28">
        <f t="shared" si="45"/>
        <v>321388</v>
      </c>
    </row>
    <row r="264" spans="1:30">
      <c r="A264" s="22" t="s">
        <v>515</v>
      </c>
      <c r="B264" s="22" t="s">
        <v>548</v>
      </c>
      <c r="C264" s="23" t="s">
        <v>549</v>
      </c>
      <c r="D264" s="16">
        <v>5883</v>
      </c>
      <c r="E264" s="24">
        <v>4</v>
      </c>
      <c r="F264" s="24"/>
      <c r="G264" s="24"/>
      <c r="H264" s="24">
        <v>23</v>
      </c>
      <c r="I264" s="24"/>
      <c r="J264" s="24"/>
      <c r="K264" s="24">
        <f t="shared" si="39"/>
        <v>27</v>
      </c>
      <c r="L264" s="24">
        <f t="shared" si="40"/>
        <v>19.439999999999998</v>
      </c>
      <c r="M264" s="25"/>
      <c r="N264" s="26"/>
      <c r="O264" s="26">
        <v>1</v>
      </c>
      <c r="P264" s="25"/>
      <c r="Q264" s="25">
        <v>9</v>
      </c>
      <c r="R264" s="25">
        <f t="shared" si="41"/>
        <v>10</v>
      </c>
      <c r="S264" s="25">
        <f t="shared" si="42"/>
        <v>12.1</v>
      </c>
      <c r="T264" s="24"/>
      <c r="U264" s="27"/>
      <c r="V264" s="27"/>
      <c r="W264" s="24"/>
      <c r="X264" s="24">
        <v>6</v>
      </c>
      <c r="Y264" s="24">
        <f t="shared" si="43"/>
        <v>6</v>
      </c>
      <c r="Z264" s="24">
        <f t="shared" si="44"/>
        <v>16.440000000000001</v>
      </c>
      <c r="AA264" s="24">
        <f t="shared" si="38"/>
        <v>43</v>
      </c>
      <c r="AB264" s="24">
        <f t="shared" si="38"/>
        <v>47.98</v>
      </c>
      <c r="AC264" s="28">
        <f t="shared" si="45"/>
        <v>252969</v>
      </c>
      <c r="AD264" s="28">
        <f t="shared" si="45"/>
        <v>282266</v>
      </c>
    </row>
    <row r="265" spans="1:30">
      <c r="A265" s="22" t="s">
        <v>515</v>
      </c>
      <c r="B265" s="22" t="s">
        <v>550</v>
      </c>
      <c r="C265" s="23" t="s">
        <v>551</v>
      </c>
      <c r="D265" s="16">
        <v>5883</v>
      </c>
      <c r="E265" s="24">
        <v>3</v>
      </c>
      <c r="F265" s="24"/>
      <c r="G265" s="24">
        <v>2</v>
      </c>
      <c r="H265" s="24">
        <v>150</v>
      </c>
      <c r="I265" s="24"/>
      <c r="J265" s="24">
        <v>4</v>
      </c>
      <c r="K265" s="24">
        <f t="shared" si="39"/>
        <v>159</v>
      </c>
      <c r="L265" s="24">
        <f t="shared" si="40"/>
        <v>114.47999999999999</v>
      </c>
      <c r="M265" s="25"/>
      <c r="N265" s="26">
        <v>11</v>
      </c>
      <c r="O265" s="26">
        <v>3</v>
      </c>
      <c r="P265" s="25"/>
      <c r="Q265" s="25">
        <v>22</v>
      </c>
      <c r="R265" s="25">
        <f t="shared" si="41"/>
        <v>36</v>
      </c>
      <c r="S265" s="25">
        <f t="shared" si="42"/>
        <v>36.96</v>
      </c>
      <c r="T265" s="24"/>
      <c r="U265" s="27">
        <v>4</v>
      </c>
      <c r="V265" s="27">
        <v>2</v>
      </c>
      <c r="W265" s="24"/>
      <c r="X265" s="24">
        <v>20</v>
      </c>
      <c r="Y265" s="24">
        <f t="shared" si="43"/>
        <v>26</v>
      </c>
      <c r="Z265" s="24">
        <f t="shared" si="44"/>
        <v>65.760000000000005</v>
      </c>
      <c r="AA265" s="24">
        <f t="shared" si="38"/>
        <v>221</v>
      </c>
      <c r="AB265" s="24">
        <f t="shared" si="38"/>
        <v>217.2</v>
      </c>
      <c r="AC265" s="28">
        <f t="shared" si="45"/>
        <v>1300143</v>
      </c>
      <c r="AD265" s="28">
        <f t="shared" si="45"/>
        <v>1277788</v>
      </c>
    </row>
    <row r="266" spans="1:30">
      <c r="A266" s="22" t="s">
        <v>515</v>
      </c>
      <c r="B266" s="22" t="s">
        <v>552</v>
      </c>
      <c r="C266" s="23" t="s">
        <v>553</v>
      </c>
      <c r="D266" s="16">
        <v>6008</v>
      </c>
      <c r="E266" s="24">
        <v>4</v>
      </c>
      <c r="F266" s="24"/>
      <c r="G266" s="24">
        <v>1</v>
      </c>
      <c r="H266" s="24">
        <v>40</v>
      </c>
      <c r="I266" s="24"/>
      <c r="J266" s="24"/>
      <c r="K266" s="24">
        <f t="shared" si="39"/>
        <v>45</v>
      </c>
      <c r="L266" s="24">
        <f t="shared" si="40"/>
        <v>32.4</v>
      </c>
      <c r="M266" s="25"/>
      <c r="N266" s="26"/>
      <c r="O266" s="26">
        <v>2</v>
      </c>
      <c r="P266" s="25"/>
      <c r="Q266" s="25">
        <v>9</v>
      </c>
      <c r="R266" s="25">
        <f t="shared" si="41"/>
        <v>11</v>
      </c>
      <c r="S266" s="25">
        <f t="shared" si="42"/>
        <v>13.309999999999999</v>
      </c>
      <c r="T266" s="24"/>
      <c r="U266" s="27"/>
      <c r="V266" s="27">
        <v>1</v>
      </c>
      <c r="W266" s="24"/>
      <c r="X266" s="24">
        <v>9</v>
      </c>
      <c r="Y266" s="24">
        <f t="shared" si="43"/>
        <v>10</v>
      </c>
      <c r="Z266" s="24">
        <f t="shared" si="44"/>
        <v>27.400000000000002</v>
      </c>
      <c r="AA266" s="24">
        <f t="shared" si="38"/>
        <v>66</v>
      </c>
      <c r="AB266" s="24">
        <f t="shared" si="38"/>
        <v>73.11</v>
      </c>
      <c r="AC266" s="28">
        <f t="shared" si="45"/>
        <v>396528</v>
      </c>
      <c r="AD266" s="28">
        <f t="shared" si="45"/>
        <v>439245</v>
      </c>
    </row>
    <row r="267" spans="1:30">
      <c r="A267" s="22" t="s">
        <v>515</v>
      </c>
      <c r="B267" s="22" t="s">
        <v>554</v>
      </c>
      <c r="C267" s="23" t="s">
        <v>555</v>
      </c>
      <c r="D267" s="16">
        <v>5918</v>
      </c>
      <c r="E267" s="24">
        <v>1</v>
      </c>
      <c r="F267" s="24"/>
      <c r="G267" s="24"/>
      <c r="H267" s="24">
        <v>34</v>
      </c>
      <c r="I267" s="24"/>
      <c r="J267" s="24">
        <v>2</v>
      </c>
      <c r="K267" s="24">
        <f t="shared" si="39"/>
        <v>37</v>
      </c>
      <c r="L267" s="24">
        <f t="shared" si="40"/>
        <v>26.64</v>
      </c>
      <c r="M267" s="25"/>
      <c r="N267" s="26"/>
      <c r="O267" s="26">
        <v>2</v>
      </c>
      <c r="P267" s="25"/>
      <c r="Q267" s="25">
        <v>5</v>
      </c>
      <c r="R267" s="25">
        <f t="shared" si="41"/>
        <v>7</v>
      </c>
      <c r="S267" s="25">
        <f t="shared" si="42"/>
        <v>8.4699999999999989</v>
      </c>
      <c r="T267" s="24"/>
      <c r="U267" s="27"/>
      <c r="V267" s="27"/>
      <c r="W267" s="24"/>
      <c r="X267" s="24">
        <v>6</v>
      </c>
      <c r="Y267" s="24">
        <f t="shared" si="43"/>
        <v>6</v>
      </c>
      <c r="Z267" s="24">
        <f t="shared" si="44"/>
        <v>16.440000000000001</v>
      </c>
      <c r="AA267" s="24">
        <f t="shared" si="38"/>
        <v>50</v>
      </c>
      <c r="AB267" s="24">
        <f t="shared" si="38"/>
        <v>51.55</v>
      </c>
      <c r="AC267" s="28">
        <f t="shared" si="45"/>
        <v>295900</v>
      </c>
      <c r="AD267" s="28">
        <f t="shared" si="45"/>
        <v>305073</v>
      </c>
    </row>
    <row r="268" spans="1:30">
      <c r="A268" s="22" t="s">
        <v>515</v>
      </c>
      <c r="B268" s="22" t="s">
        <v>556</v>
      </c>
      <c r="C268" s="23" t="s">
        <v>557</v>
      </c>
      <c r="D268" s="16">
        <v>5923</v>
      </c>
      <c r="E268" s="24"/>
      <c r="F268" s="24"/>
      <c r="G268" s="24"/>
      <c r="H268" s="24">
        <v>62</v>
      </c>
      <c r="I268" s="24"/>
      <c r="J268" s="24">
        <v>7</v>
      </c>
      <c r="K268" s="24">
        <f t="shared" si="39"/>
        <v>69</v>
      </c>
      <c r="L268" s="24">
        <f t="shared" si="40"/>
        <v>49.68</v>
      </c>
      <c r="M268" s="25"/>
      <c r="N268" s="26">
        <v>6</v>
      </c>
      <c r="O268" s="26">
        <v>7</v>
      </c>
      <c r="P268" s="25"/>
      <c r="Q268" s="25">
        <v>25</v>
      </c>
      <c r="R268" s="25">
        <f t="shared" si="41"/>
        <v>38</v>
      </c>
      <c r="S268" s="25">
        <f t="shared" si="42"/>
        <v>42.379999999999995</v>
      </c>
      <c r="T268" s="24"/>
      <c r="U268" s="27"/>
      <c r="V268" s="27">
        <v>1</v>
      </c>
      <c r="W268" s="24"/>
      <c r="X268" s="24">
        <v>17</v>
      </c>
      <c r="Y268" s="24">
        <f t="shared" si="43"/>
        <v>18</v>
      </c>
      <c r="Z268" s="24">
        <f t="shared" si="44"/>
        <v>49.320000000000007</v>
      </c>
      <c r="AA268" s="24">
        <f t="shared" si="38"/>
        <v>125</v>
      </c>
      <c r="AB268" s="24">
        <f t="shared" si="38"/>
        <v>141.38</v>
      </c>
      <c r="AC268" s="28">
        <f t="shared" si="45"/>
        <v>740375</v>
      </c>
      <c r="AD268" s="28">
        <f t="shared" si="45"/>
        <v>837394</v>
      </c>
    </row>
    <row r="269" spans="1:30">
      <c r="A269" s="22" t="s">
        <v>515</v>
      </c>
      <c r="B269" s="22" t="s">
        <v>558</v>
      </c>
      <c r="C269" s="23" t="s">
        <v>559</v>
      </c>
      <c r="D269" s="16">
        <v>5904</v>
      </c>
      <c r="E269" s="24">
        <v>1</v>
      </c>
      <c r="F269" s="24"/>
      <c r="G269" s="24"/>
      <c r="H269" s="24">
        <v>37</v>
      </c>
      <c r="I269" s="24"/>
      <c r="J269" s="24">
        <v>1</v>
      </c>
      <c r="K269" s="24">
        <f t="shared" si="39"/>
        <v>39</v>
      </c>
      <c r="L269" s="24">
        <f t="shared" si="40"/>
        <v>28.08</v>
      </c>
      <c r="M269" s="25"/>
      <c r="N269" s="26">
        <v>2</v>
      </c>
      <c r="O269" s="26">
        <v>2</v>
      </c>
      <c r="P269" s="25"/>
      <c r="Q269" s="25">
        <v>2</v>
      </c>
      <c r="R269" s="25">
        <f t="shared" si="41"/>
        <v>6</v>
      </c>
      <c r="S269" s="25">
        <f t="shared" si="42"/>
        <v>6.06</v>
      </c>
      <c r="T269" s="24"/>
      <c r="U269" s="27">
        <v>1</v>
      </c>
      <c r="V269" s="27"/>
      <c r="W269" s="24"/>
      <c r="X269" s="24">
        <v>7</v>
      </c>
      <c r="Y269" s="24">
        <f t="shared" si="43"/>
        <v>8</v>
      </c>
      <c r="Z269" s="24">
        <f t="shared" si="44"/>
        <v>20.55</v>
      </c>
      <c r="AA269" s="24">
        <f t="shared" si="38"/>
        <v>53</v>
      </c>
      <c r="AB269" s="24">
        <f t="shared" si="38"/>
        <v>54.69</v>
      </c>
      <c r="AC269" s="28">
        <f t="shared" si="45"/>
        <v>312912</v>
      </c>
      <c r="AD269" s="28">
        <f t="shared" si="45"/>
        <v>322890</v>
      </c>
    </row>
    <row r="270" spans="1:30">
      <c r="A270" s="22" t="s">
        <v>515</v>
      </c>
      <c r="B270" s="22" t="s">
        <v>560</v>
      </c>
      <c r="C270" s="23" t="s">
        <v>561</v>
      </c>
      <c r="D270" s="16">
        <v>5924</v>
      </c>
      <c r="E270" s="24">
        <v>1</v>
      </c>
      <c r="F270" s="24"/>
      <c r="G270" s="24"/>
      <c r="H270" s="24">
        <v>24</v>
      </c>
      <c r="I270" s="24"/>
      <c r="J270" s="24"/>
      <c r="K270" s="24">
        <f t="shared" si="39"/>
        <v>25</v>
      </c>
      <c r="L270" s="24">
        <f t="shared" si="40"/>
        <v>18</v>
      </c>
      <c r="M270" s="25"/>
      <c r="N270" s="26">
        <v>3</v>
      </c>
      <c r="O270" s="26"/>
      <c r="P270" s="25"/>
      <c r="Q270" s="25">
        <v>8</v>
      </c>
      <c r="R270" s="25">
        <f t="shared" si="41"/>
        <v>11</v>
      </c>
      <c r="S270" s="25">
        <f t="shared" si="42"/>
        <v>11.51</v>
      </c>
      <c r="T270" s="24"/>
      <c r="U270" s="27">
        <v>1</v>
      </c>
      <c r="V270" s="27"/>
      <c r="W270" s="24"/>
      <c r="X270" s="24">
        <v>9</v>
      </c>
      <c r="Y270" s="24">
        <f t="shared" si="43"/>
        <v>10</v>
      </c>
      <c r="Z270" s="24">
        <f t="shared" si="44"/>
        <v>26.030000000000005</v>
      </c>
      <c r="AA270" s="24">
        <f t="shared" si="38"/>
        <v>46</v>
      </c>
      <c r="AB270" s="24">
        <f t="shared" si="38"/>
        <v>55.540000000000006</v>
      </c>
      <c r="AC270" s="28">
        <f t="shared" si="45"/>
        <v>272504</v>
      </c>
      <c r="AD270" s="28">
        <f t="shared" si="45"/>
        <v>329019</v>
      </c>
    </row>
    <row r="271" spans="1:30">
      <c r="A271" s="22" t="s">
        <v>515</v>
      </c>
      <c r="B271" s="22" t="s">
        <v>562</v>
      </c>
      <c r="C271" s="23" t="s">
        <v>563</v>
      </c>
      <c r="D271" s="16">
        <v>5883</v>
      </c>
      <c r="E271" s="24">
        <v>6</v>
      </c>
      <c r="F271" s="24"/>
      <c r="G271" s="24"/>
      <c r="H271" s="24">
        <v>4</v>
      </c>
      <c r="I271" s="24"/>
      <c r="J271" s="24"/>
      <c r="K271" s="24">
        <f t="shared" si="39"/>
        <v>10</v>
      </c>
      <c r="L271" s="24">
        <f t="shared" si="40"/>
        <v>7.1999999999999993</v>
      </c>
      <c r="M271" s="25"/>
      <c r="N271" s="26"/>
      <c r="O271" s="26">
        <v>2</v>
      </c>
      <c r="P271" s="25"/>
      <c r="Q271" s="25">
        <v>10</v>
      </c>
      <c r="R271" s="25">
        <f t="shared" si="41"/>
        <v>12</v>
      </c>
      <c r="S271" s="25">
        <f t="shared" si="42"/>
        <v>14.52</v>
      </c>
      <c r="T271" s="24"/>
      <c r="U271" s="27"/>
      <c r="V271" s="27">
        <v>1</v>
      </c>
      <c r="W271" s="24"/>
      <c r="X271" s="24">
        <v>5</v>
      </c>
      <c r="Y271" s="24">
        <f t="shared" si="43"/>
        <v>6</v>
      </c>
      <c r="Z271" s="24">
        <f t="shared" si="44"/>
        <v>16.440000000000001</v>
      </c>
      <c r="AA271" s="24">
        <f t="shared" si="38"/>
        <v>28</v>
      </c>
      <c r="AB271" s="24">
        <f t="shared" si="38"/>
        <v>38.159999999999997</v>
      </c>
      <c r="AC271" s="28">
        <f t="shared" si="45"/>
        <v>164724</v>
      </c>
      <c r="AD271" s="28">
        <f t="shared" si="45"/>
        <v>224495</v>
      </c>
    </row>
    <row r="272" spans="1:30">
      <c r="A272" s="22" t="s">
        <v>515</v>
      </c>
      <c r="B272" s="22" t="s">
        <v>564</v>
      </c>
      <c r="C272" s="23" t="s">
        <v>565</v>
      </c>
      <c r="D272" s="16">
        <v>5883</v>
      </c>
      <c r="E272" s="24">
        <v>116</v>
      </c>
      <c r="F272" s="24"/>
      <c r="G272" s="24"/>
      <c r="H272" s="24"/>
      <c r="I272" s="24"/>
      <c r="J272" s="24"/>
      <c r="K272" s="24">
        <f t="shared" si="39"/>
        <v>116</v>
      </c>
      <c r="L272" s="24">
        <f t="shared" si="40"/>
        <v>83.52</v>
      </c>
      <c r="M272" s="25"/>
      <c r="N272" s="26"/>
      <c r="O272" s="26">
        <v>4</v>
      </c>
      <c r="P272" s="25"/>
      <c r="Q272" s="25">
        <v>18</v>
      </c>
      <c r="R272" s="25">
        <f t="shared" si="41"/>
        <v>22</v>
      </c>
      <c r="S272" s="25">
        <f t="shared" si="42"/>
        <v>26.619999999999997</v>
      </c>
      <c r="T272" s="24"/>
      <c r="U272" s="27"/>
      <c r="V272" s="27">
        <v>2</v>
      </c>
      <c r="W272" s="24"/>
      <c r="X272" s="24">
        <v>14</v>
      </c>
      <c r="Y272" s="24">
        <f t="shared" si="43"/>
        <v>16</v>
      </c>
      <c r="Z272" s="24">
        <f t="shared" si="44"/>
        <v>43.84</v>
      </c>
      <c r="AA272" s="24">
        <f t="shared" si="38"/>
        <v>154</v>
      </c>
      <c r="AB272" s="24">
        <f t="shared" si="38"/>
        <v>153.98000000000002</v>
      </c>
      <c r="AC272" s="28">
        <f t="shared" si="45"/>
        <v>905982</v>
      </c>
      <c r="AD272" s="28">
        <f t="shared" si="45"/>
        <v>905864</v>
      </c>
    </row>
    <row r="273" spans="1:30">
      <c r="A273" s="22" t="s">
        <v>515</v>
      </c>
      <c r="B273" s="22" t="s">
        <v>566</v>
      </c>
      <c r="C273" s="23" t="s">
        <v>567</v>
      </c>
      <c r="D273" s="16">
        <v>5883</v>
      </c>
      <c r="E273" s="24">
        <v>2</v>
      </c>
      <c r="F273" s="24">
        <v>3</v>
      </c>
      <c r="G273" s="24"/>
      <c r="H273" s="24">
        <v>74</v>
      </c>
      <c r="I273" s="24"/>
      <c r="J273" s="24">
        <v>4</v>
      </c>
      <c r="K273" s="24">
        <f t="shared" si="39"/>
        <v>83</v>
      </c>
      <c r="L273" s="24">
        <f t="shared" si="40"/>
        <v>59.76</v>
      </c>
      <c r="M273" s="25"/>
      <c r="N273" s="26">
        <v>3</v>
      </c>
      <c r="O273" s="26">
        <v>9</v>
      </c>
      <c r="P273" s="25"/>
      <c r="Q273" s="25">
        <v>17</v>
      </c>
      <c r="R273" s="25">
        <f t="shared" si="41"/>
        <v>29</v>
      </c>
      <c r="S273" s="25">
        <f t="shared" si="42"/>
        <v>33.29</v>
      </c>
      <c r="T273" s="24"/>
      <c r="U273" s="27"/>
      <c r="V273" s="27">
        <v>3</v>
      </c>
      <c r="W273" s="24"/>
      <c r="X273" s="24">
        <v>7</v>
      </c>
      <c r="Y273" s="24">
        <f t="shared" si="43"/>
        <v>10</v>
      </c>
      <c r="Z273" s="24">
        <f t="shared" si="44"/>
        <v>27.400000000000002</v>
      </c>
      <c r="AA273" s="24">
        <f t="shared" si="38"/>
        <v>122</v>
      </c>
      <c r="AB273" s="24">
        <f t="shared" si="38"/>
        <v>120.44999999999999</v>
      </c>
      <c r="AC273" s="28">
        <f t="shared" si="45"/>
        <v>717726</v>
      </c>
      <c r="AD273" s="28">
        <f t="shared" si="45"/>
        <v>708607</v>
      </c>
    </row>
    <row r="274" spans="1:30">
      <c r="A274" s="22" t="s">
        <v>515</v>
      </c>
      <c r="B274" s="22" t="s">
        <v>568</v>
      </c>
      <c r="C274" s="23" t="s">
        <v>569</v>
      </c>
      <c r="D274" s="16">
        <v>5913</v>
      </c>
      <c r="E274" s="24">
        <v>1</v>
      </c>
      <c r="F274" s="24"/>
      <c r="G274" s="24"/>
      <c r="H274" s="24">
        <v>43</v>
      </c>
      <c r="I274" s="24"/>
      <c r="J274" s="24">
        <v>11</v>
      </c>
      <c r="K274" s="24">
        <f t="shared" si="39"/>
        <v>55</v>
      </c>
      <c r="L274" s="24">
        <f t="shared" si="40"/>
        <v>39.6</v>
      </c>
      <c r="M274" s="25"/>
      <c r="N274" s="26">
        <v>2</v>
      </c>
      <c r="O274" s="26">
        <v>2</v>
      </c>
      <c r="P274" s="25"/>
      <c r="Q274" s="25">
        <v>8</v>
      </c>
      <c r="R274" s="25">
        <f t="shared" si="41"/>
        <v>12</v>
      </c>
      <c r="S274" s="25">
        <f t="shared" si="42"/>
        <v>13.32</v>
      </c>
      <c r="T274" s="24"/>
      <c r="U274" s="27">
        <v>1</v>
      </c>
      <c r="V274" s="27"/>
      <c r="W274" s="24"/>
      <c r="X274" s="24">
        <v>8</v>
      </c>
      <c r="Y274" s="24">
        <f t="shared" si="43"/>
        <v>9</v>
      </c>
      <c r="Z274" s="24">
        <f t="shared" si="44"/>
        <v>23.290000000000003</v>
      </c>
      <c r="AA274" s="24">
        <f t="shared" si="38"/>
        <v>76</v>
      </c>
      <c r="AB274" s="24">
        <f t="shared" si="38"/>
        <v>76.210000000000008</v>
      </c>
      <c r="AC274" s="28">
        <f t="shared" si="45"/>
        <v>449388</v>
      </c>
      <c r="AD274" s="28">
        <f t="shared" si="45"/>
        <v>450630</v>
      </c>
    </row>
    <row r="275" spans="1:30">
      <c r="A275" s="22" t="s">
        <v>515</v>
      </c>
      <c r="B275" s="22" t="s">
        <v>570</v>
      </c>
      <c r="C275" s="23" t="s">
        <v>571</v>
      </c>
      <c r="D275" s="16">
        <v>5883</v>
      </c>
      <c r="E275" s="24"/>
      <c r="F275" s="24"/>
      <c r="G275" s="24"/>
      <c r="H275" s="24">
        <v>73</v>
      </c>
      <c r="I275" s="24"/>
      <c r="J275" s="24">
        <v>2</v>
      </c>
      <c r="K275" s="24">
        <f t="shared" si="39"/>
        <v>75</v>
      </c>
      <c r="L275" s="24">
        <f t="shared" si="40"/>
        <v>54</v>
      </c>
      <c r="M275" s="25"/>
      <c r="N275" s="26">
        <v>2</v>
      </c>
      <c r="O275" s="26">
        <v>2</v>
      </c>
      <c r="P275" s="25"/>
      <c r="Q275" s="25">
        <v>18</v>
      </c>
      <c r="R275" s="25">
        <f t="shared" si="41"/>
        <v>22</v>
      </c>
      <c r="S275" s="25">
        <f t="shared" si="42"/>
        <v>25.419999999999998</v>
      </c>
      <c r="T275" s="24"/>
      <c r="U275" s="27">
        <v>1</v>
      </c>
      <c r="V275" s="27"/>
      <c r="W275" s="24"/>
      <c r="X275" s="24">
        <v>13</v>
      </c>
      <c r="Y275" s="24">
        <f t="shared" si="43"/>
        <v>14</v>
      </c>
      <c r="Z275" s="24">
        <f t="shared" si="44"/>
        <v>36.99</v>
      </c>
      <c r="AA275" s="24">
        <f t="shared" si="38"/>
        <v>111</v>
      </c>
      <c r="AB275" s="24">
        <f t="shared" si="38"/>
        <v>116.41</v>
      </c>
      <c r="AC275" s="28">
        <f t="shared" si="45"/>
        <v>653013</v>
      </c>
      <c r="AD275" s="28">
        <f t="shared" si="45"/>
        <v>684840</v>
      </c>
    </row>
    <row r="276" spans="1:30">
      <c r="A276" s="22" t="s">
        <v>515</v>
      </c>
      <c r="B276" s="22" t="s">
        <v>572</v>
      </c>
      <c r="C276" s="23" t="s">
        <v>573</v>
      </c>
      <c r="D276" s="16">
        <v>5883</v>
      </c>
      <c r="E276" s="24">
        <v>1042</v>
      </c>
      <c r="F276" s="24">
        <v>1</v>
      </c>
      <c r="G276" s="24"/>
      <c r="H276" s="24">
        <v>9</v>
      </c>
      <c r="I276" s="24"/>
      <c r="J276" s="24"/>
      <c r="K276" s="24">
        <f t="shared" si="39"/>
        <v>1052</v>
      </c>
      <c r="L276" s="24">
        <f t="shared" si="40"/>
        <v>757.43999999999994</v>
      </c>
      <c r="M276" s="25"/>
      <c r="N276" s="26">
        <v>8</v>
      </c>
      <c r="O276" s="26">
        <v>58</v>
      </c>
      <c r="P276" s="25"/>
      <c r="Q276" s="25">
        <v>482</v>
      </c>
      <c r="R276" s="25">
        <f t="shared" si="41"/>
        <v>548</v>
      </c>
      <c r="S276" s="25">
        <f t="shared" si="42"/>
        <v>658.28</v>
      </c>
      <c r="T276" s="24">
        <v>1</v>
      </c>
      <c r="U276" s="27">
        <v>11</v>
      </c>
      <c r="V276" s="27">
        <v>17</v>
      </c>
      <c r="W276" s="24"/>
      <c r="X276" s="24">
        <v>185</v>
      </c>
      <c r="Y276" s="24">
        <f t="shared" si="43"/>
        <v>214</v>
      </c>
      <c r="Z276" s="24">
        <f t="shared" si="44"/>
        <v>571.29000000000008</v>
      </c>
      <c r="AA276" s="24">
        <f t="shared" si="38"/>
        <v>1814</v>
      </c>
      <c r="AB276" s="24">
        <f t="shared" si="38"/>
        <v>1987.0100000000002</v>
      </c>
      <c r="AC276" s="28">
        <f t="shared" si="45"/>
        <v>10671762</v>
      </c>
      <c r="AD276" s="28">
        <f t="shared" si="45"/>
        <v>11689580</v>
      </c>
    </row>
    <row r="277" spans="1:30">
      <c r="A277" s="22" t="s">
        <v>515</v>
      </c>
      <c r="B277" s="22" t="s">
        <v>574</v>
      </c>
      <c r="C277" s="23" t="s">
        <v>575</v>
      </c>
      <c r="D277" s="16">
        <v>5936</v>
      </c>
      <c r="E277" s="24"/>
      <c r="F277" s="24"/>
      <c r="G277" s="24">
        <v>1</v>
      </c>
      <c r="H277" s="24">
        <v>50</v>
      </c>
      <c r="I277" s="24"/>
      <c r="J277" s="24">
        <v>3</v>
      </c>
      <c r="K277" s="24">
        <f t="shared" si="39"/>
        <v>54</v>
      </c>
      <c r="L277" s="24">
        <f t="shared" si="40"/>
        <v>38.879999999999995</v>
      </c>
      <c r="M277" s="25"/>
      <c r="N277" s="26">
        <v>3</v>
      </c>
      <c r="O277" s="26">
        <v>5</v>
      </c>
      <c r="P277" s="25"/>
      <c r="Q277" s="25">
        <v>17</v>
      </c>
      <c r="R277" s="25">
        <f t="shared" si="41"/>
        <v>25</v>
      </c>
      <c r="S277" s="25">
        <f t="shared" si="42"/>
        <v>28.449999999999996</v>
      </c>
      <c r="T277" s="24"/>
      <c r="U277" s="27"/>
      <c r="V277" s="27">
        <v>2</v>
      </c>
      <c r="W277" s="24"/>
      <c r="X277" s="24">
        <v>5</v>
      </c>
      <c r="Y277" s="24">
        <f t="shared" si="43"/>
        <v>7</v>
      </c>
      <c r="Z277" s="24">
        <f t="shared" si="44"/>
        <v>19.18</v>
      </c>
      <c r="AA277" s="24">
        <f t="shared" si="38"/>
        <v>86</v>
      </c>
      <c r="AB277" s="24">
        <f t="shared" si="38"/>
        <v>86.509999999999991</v>
      </c>
      <c r="AC277" s="28">
        <f t="shared" si="45"/>
        <v>510496</v>
      </c>
      <c r="AD277" s="28">
        <f t="shared" si="45"/>
        <v>513523</v>
      </c>
    </row>
    <row r="278" spans="1:30">
      <c r="A278" s="22" t="s">
        <v>515</v>
      </c>
      <c r="B278" s="22" t="s">
        <v>576</v>
      </c>
      <c r="C278" s="23" t="s">
        <v>577</v>
      </c>
      <c r="D278" s="16">
        <v>5883</v>
      </c>
      <c r="E278" s="24"/>
      <c r="F278" s="24"/>
      <c r="G278" s="24"/>
      <c r="H278" s="24">
        <v>51</v>
      </c>
      <c r="I278" s="24"/>
      <c r="J278" s="24"/>
      <c r="K278" s="24">
        <f t="shared" si="39"/>
        <v>51</v>
      </c>
      <c r="L278" s="24">
        <f t="shared" si="40"/>
        <v>36.72</v>
      </c>
      <c r="M278" s="25"/>
      <c r="N278" s="26">
        <v>2</v>
      </c>
      <c r="O278" s="26"/>
      <c r="P278" s="25"/>
      <c r="Q278" s="25">
        <v>5</v>
      </c>
      <c r="R278" s="25">
        <f t="shared" si="41"/>
        <v>7</v>
      </c>
      <c r="S278" s="25">
        <f t="shared" si="42"/>
        <v>7.27</v>
      </c>
      <c r="T278" s="24"/>
      <c r="U278" s="27"/>
      <c r="V278" s="27">
        <v>1</v>
      </c>
      <c r="W278" s="24"/>
      <c r="X278" s="24">
        <v>6</v>
      </c>
      <c r="Y278" s="24">
        <f t="shared" si="43"/>
        <v>7</v>
      </c>
      <c r="Z278" s="24">
        <f t="shared" si="44"/>
        <v>19.18</v>
      </c>
      <c r="AA278" s="24">
        <f t="shared" si="38"/>
        <v>65</v>
      </c>
      <c r="AB278" s="24">
        <f t="shared" si="38"/>
        <v>63.17</v>
      </c>
      <c r="AC278" s="28">
        <f t="shared" si="45"/>
        <v>382395</v>
      </c>
      <c r="AD278" s="28">
        <f t="shared" si="45"/>
        <v>371629</v>
      </c>
    </row>
    <row r="279" spans="1:30">
      <c r="A279" s="22" t="s">
        <v>515</v>
      </c>
      <c r="B279" s="22" t="s">
        <v>578</v>
      </c>
      <c r="C279" s="23" t="s">
        <v>579</v>
      </c>
      <c r="D279" s="16">
        <v>5892</v>
      </c>
      <c r="E279" s="24">
        <v>6</v>
      </c>
      <c r="F279" s="24"/>
      <c r="G279" s="24">
        <v>3</v>
      </c>
      <c r="H279" s="24">
        <v>48</v>
      </c>
      <c r="I279" s="24"/>
      <c r="J279" s="24">
        <v>1</v>
      </c>
      <c r="K279" s="24">
        <f t="shared" si="39"/>
        <v>58</v>
      </c>
      <c r="L279" s="24">
        <f t="shared" si="40"/>
        <v>41.76</v>
      </c>
      <c r="M279" s="25"/>
      <c r="N279" s="26"/>
      <c r="O279" s="26">
        <v>5</v>
      </c>
      <c r="P279" s="25"/>
      <c r="Q279" s="25">
        <v>23</v>
      </c>
      <c r="R279" s="25">
        <f t="shared" si="41"/>
        <v>28</v>
      </c>
      <c r="S279" s="25">
        <f t="shared" si="42"/>
        <v>33.879999999999995</v>
      </c>
      <c r="T279" s="24"/>
      <c r="U279" s="27"/>
      <c r="V279" s="27">
        <v>1</v>
      </c>
      <c r="W279" s="24"/>
      <c r="X279" s="24">
        <v>17</v>
      </c>
      <c r="Y279" s="24">
        <f t="shared" si="43"/>
        <v>18</v>
      </c>
      <c r="Z279" s="24">
        <f t="shared" si="44"/>
        <v>49.320000000000007</v>
      </c>
      <c r="AA279" s="24">
        <f t="shared" si="38"/>
        <v>104</v>
      </c>
      <c r="AB279" s="24">
        <f t="shared" si="38"/>
        <v>124.96000000000001</v>
      </c>
      <c r="AC279" s="28">
        <f t="shared" si="45"/>
        <v>612768</v>
      </c>
      <c r="AD279" s="28">
        <f t="shared" si="45"/>
        <v>736264</v>
      </c>
    </row>
    <row r="280" spans="1:30">
      <c r="A280" s="22" t="s">
        <v>515</v>
      </c>
      <c r="B280" s="22" t="s">
        <v>580</v>
      </c>
      <c r="C280" s="23" t="s">
        <v>581</v>
      </c>
      <c r="D280" s="16">
        <v>5906</v>
      </c>
      <c r="E280" s="24">
        <v>2</v>
      </c>
      <c r="F280" s="24"/>
      <c r="G280" s="24"/>
      <c r="H280" s="24">
        <v>48</v>
      </c>
      <c r="I280" s="24"/>
      <c r="J280" s="24">
        <v>10</v>
      </c>
      <c r="K280" s="24">
        <f t="shared" si="39"/>
        <v>60</v>
      </c>
      <c r="L280" s="24">
        <f t="shared" si="40"/>
        <v>43.199999999999996</v>
      </c>
      <c r="M280" s="25"/>
      <c r="N280" s="26">
        <v>1</v>
      </c>
      <c r="O280" s="26">
        <v>1</v>
      </c>
      <c r="P280" s="25"/>
      <c r="Q280" s="25">
        <v>21</v>
      </c>
      <c r="R280" s="25">
        <f t="shared" si="41"/>
        <v>23</v>
      </c>
      <c r="S280" s="25">
        <f t="shared" si="42"/>
        <v>27.229999999999997</v>
      </c>
      <c r="T280" s="24"/>
      <c r="U280" s="27"/>
      <c r="V280" s="27">
        <v>1</v>
      </c>
      <c r="W280" s="24"/>
      <c r="X280" s="24">
        <v>12</v>
      </c>
      <c r="Y280" s="24">
        <f t="shared" si="43"/>
        <v>13</v>
      </c>
      <c r="Z280" s="24">
        <f t="shared" si="44"/>
        <v>35.620000000000005</v>
      </c>
      <c r="AA280" s="24">
        <f t="shared" si="38"/>
        <v>96</v>
      </c>
      <c r="AB280" s="24">
        <f t="shared" si="38"/>
        <v>106.05</v>
      </c>
      <c r="AC280" s="28">
        <f t="shared" si="45"/>
        <v>566976</v>
      </c>
      <c r="AD280" s="28">
        <f t="shared" si="45"/>
        <v>626331</v>
      </c>
    </row>
    <row r="281" spans="1:30">
      <c r="A281" s="22" t="s">
        <v>515</v>
      </c>
      <c r="B281" s="22" t="s">
        <v>582</v>
      </c>
      <c r="C281" s="23" t="s">
        <v>583</v>
      </c>
      <c r="D281" s="16">
        <v>5912</v>
      </c>
      <c r="E281" s="24">
        <v>2</v>
      </c>
      <c r="F281" s="24"/>
      <c r="G281" s="24"/>
      <c r="H281" s="24">
        <v>62</v>
      </c>
      <c r="I281" s="24"/>
      <c r="J281" s="24"/>
      <c r="K281" s="24">
        <f t="shared" si="39"/>
        <v>64</v>
      </c>
      <c r="L281" s="24">
        <f t="shared" si="40"/>
        <v>46.08</v>
      </c>
      <c r="M281" s="25"/>
      <c r="N281" s="26"/>
      <c r="O281" s="26">
        <v>1</v>
      </c>
      <c r="P281" s="25"/>
      <c r="Q281" s="25">
        <v>7</v>
      </c>
      <c r="R281" s="25">
        <f t="shared" si="41"/>
        <v>8</v>
      </c>
      <c r="S281" s="25">
        <f t="shared" si="42"/>
        <v>9.68</v>
      </c>
      <c r="T281" s="24"/>
      <c r="U281" s="27"/>
      <c r="V281" s="27">
        <v>3</v>
      </c>
      <c r="W281" s="24"/>
      <c r="X281" s="24">
        <v>11</v>
      </c>
      <c r="Y281" s="24">
        <f t="shared" si="43"/>
        <v>14</v>
      </c>
      <c r="Z281" s="24">
        <f t="shared" si="44"/>
        <v>38.36</v>
      </c>
      <c r="AA281" s="24">
        <f t="shared" si="38"/>
        <v>86</v>
      </c>
      <c r="AB281" s="24">
        <f t="shared" si="38"/>
        <v>94.12</v>
      </c>
      <c r="AC281" s="28">
        <f t="shared" si="45"/>
        <v>508432</v>
      </c>
      <c r="AD281" s="28">
        <f t="shared" si="45"/>
        <v>556437</v>
      </c>
    </row>
    <row r="282" spans="1:30">
      <c r="A282" s="22" t="s">
        <v>515</v>
      </c>
      <c r="B282" s="22" t="s">
        <v>584</v>
      </c>
      <c r="C282" s="23" t="s">
        <v>585</v>
      </c>
      <c r="D282" s="16">
        <v>5883</v>
      </c>
      <c r="E282" s="24">
        <v>1</v>
      </c>
      <c r="F282" s="24"/>
      <c r="G282" s="24"/>
      <c r="H282" s="24">
        <v>6</v>
      </c>
      <c r="I282" s="24"/>
      <c r="J282" s="24"/>
      <c r="K282" s="24">
        <f t="shared" si="39"/>
        <v>7</v>
      </c>
      <c r="L282" s="24">
        <f t="shared" si="40"/>
        <v>5.04</v>
      </c>
      <c r="M282" s="25"/>
      <c r="N282" s="26"/>
      <c r="O282" s="26"/>
      <c r="P282" s="25"/>
      <c r="Q282" s="25">
        <v>6</v>
      </c>
      <c r="R282" s="25">
        <f t="shared" si="41"/>
        <v>6</v>
      </c>
      <c r="S282" s="25">
        <f t="shared" si="42"/>
        <v>7.26</v>
      </c>
      <c r="T282" s="24"/>
      <c r="U282" s="27"/>
      <c r="V282" s="27"/>
      <c r="W282" s="24"/>
      <c r="X282" s="24">
        <v>5</v>
      </c>
      <c r="Y282" s="24">
        <f t="shared" si="43"/>
        <v>5</v>
      </c>
      <c r="Z282" s="24">
        <f t="shared" si="44"/>
        <v>13.700000000000001</v>
      </c>
      <c r="AA282" s="24">
        <f t="shared" si="38"/>
        <v>18</v>
      </c>
      <c r="AB282" s="24">
        <f t="shared" si="38"/>
        <v>26</v>
      </c>
      <c r="AC282" s="28">
        <f t="shared" si="45"/>
        <v>105894</v>
      </c>
      <c r="AD282" s="28">
        <f t="shared" si="45"/>
        <v>152958</v>
      </c>
    </row>
    <row r="283" spans="1:30" ht="12" thickBot="1">
      <c r="A283" s="22" t="s">
        <v>515</v>
      </c>
      <c r="B283" s="22" t="s">
        <v>586</v>
      </c>
      <c r="C283" s="23" t="s">
        <v>587</v>
      </c>
      <c r="D283" s="16">
        <v>5883</v>
      </c>
      <c r="E283" s="24">
        <v>3</v>
      </c>
      <c r="F283" s="24"/>
      <c r="G283" s="24"/>
      <c r="H283" s="24">
        <v>23</v>
      </c>
      <c r="I283" s="24"/>
      <c r="J283" s="24"/>
      <c r="K283" s="24">
        <f t="shared" si="39"/>
        <v>26</v>
      </c>
      <c r="L283" s="24">
        <f t="shared" si="40"/>
        <v>18.72</v>
      </c>
      <c r="M283" s="25">
        <v>1</v>
      </c>
      <c r="N283" s="26"/>
      <c r="O283" s="26">
        <v>1</v>
      </c>
      <c r="P283" s="25"/>
      <c r="Q283" s="25">
        <v>8</v>
      </c>
      <c r="R283" s="25">
        <f t="shared" si="41"/>
        <v>10</v>
      </c>
      <c r="S283" s="25">
        <f t="shared" si="42"/>
        <v>12.1</v>
      </c>
      <c r="T283" s="24"/>
      <c r="U283" s="27"/>
      <c r="V283" s="27">
        <v>2</v>
      </c>
      <c r="W283" s="24"/>
      <c r="X283" s="24">
        <v>4</v>
      </c>
      <c r="Y283" s="24">
        <f t="shared" si="43"/>
        <v>6</v>
      </c>
      <c r="Z283" s="24">
        <f t="shared" si="44"/>
        <v>16.440000000000001</v>
      </c>
      <c r="AA283" s="24">
        <f t="shared" si="38"/>
        <v>42</v>
      </c>
      <c r="AB283" s="24">
        <f t="shared" si="38"/>
        <v>47.26</v>
      </c>
      <c r="AC283" s="28">
        <f t="shared" si="45"/>
        <v>247086</v>
      </c>
      <c r="AD283" s="28">
        <f t="shared" si="45"/>
        <v>278031</v>
      </c>
    </row>
    <row r="284" spans="1:30" ht="12" thickBot="1">
      <c r="A284" s="34"/>
      <c r="B284" s="35"/>
      <c r="C284" s="36" t="s">
        <v>588</v>
      </c>
      <c r="D284" s="37"/>
      <c r="E284" s="38">
        <f t="shared" ref="E284:J284" si="46">SUM(E248:E283)</f>
        <v>1417</v>
      </c>
      <c r="F284" s="38">
        <f t="shared" si="46"/>
        <v>11</v>
      </c>
      <c r="G284" s="38">
        <f t="shared" si="46"/>
        <v>10</v>
      </c>
      <c r="H284" s="38">
        <f t="shared" si="46"/>
        <v>1329</v>
      </c>
      <c r="I284" s="38">
        <f t="shared" si="46"/>
        <v>0</v>
      </c>
      <c r="J284" s="38">
        <f t="shared" si="46"/>
        <v>58</v>
      </c>
      <c r="K284" s="38">
        <f>SUM(K248:K283)</f>
        <v>2825</v>
      </c>
      <c r="L284" s="38">
        <f t="shared" ref="L284:AB284" si="47">SUM(L248:L283)</f>
        <v>2034</v>
      </c>
      <c r="M284" s="38">
        <f t="shared" si="47"/>
        <v>2</v>
      </c>
      <c r="N284" s="39">
        <f t="shared" si="47"/>
        <v>50</v>
      </c>
      <c r="O284" s="39">
        <f t="shared" si="47"/>
        <v>144</v>
      </c>
      <c r="P284" s="38">
        <f t="shared" si="47"/>
        <v>0</v>
      </c>
      <c r="Q284" s="38">
        <f t="shared" si="47"/>
        <v>950</v>
      </c>
      <c r="R284" s="38">
        <f t="shared" si="47"/>
        <v>1146</v>
      </c>
      <c r="S284" s="38">
        <f t="shared" si="47"/>
        <v>1356.6599999999999</v>
      </c>
      <c r="T284" s="38">
        <f t="shared" si="47"/>
        <v>1</v>
      </c>
      <c r="U284" s="40">
        <f t="shared" si="47"/>
        <v>22</v>
      </c>
      <c r="V284" s="40">
        <f t="shared" si="47"/>
        <v>53</v>
      </c>
      <c r="W284" s="38">
        <f t="shared" si="47"/>
        <v>0</v>
      </c>
      <c r="X284" s="38">
        <f t="shared" si="47"/>
        <v>484</v>
      </c>
      <c r="Y284" s="38">
        <f t="shared" si="47"/>
        <v>560</v>
      </c>
      <c r="Z284" s="38">
        <f t="shared" si="47"/>
        <v>1504.2600000000002</v>
      </c>
      <c r="AA284" s="38">
        <f t="shared" si="47"/>
        <v>4531</v>
      </c>
      <c r="AB284" s="41">
        <f t="shared" si="47"/>
        <v>4894.920000000001</v>
      </c>
      <c r="AC284" s="42">
        <f>SUM(AC248:AC283)</f>
        <v>26714580</v>
      </c>
      <c r="AD284" s="43">
        <f>SUM(AD248:AD283)</f>
        <v>28858642</v>
      </c>
    </row>
    <row r="285" spans="1:30">
      <c r="A285" s="22" t="s">
        <v>589</v>
      </c>
      <c r="B285" s="22" t="s">
        <v>590</v>
      </c>
      <c r="C285" s="23" t="s">
        <v>591</v>
      </c>
      <c r="D285" s="16">
        <v>5971</v>
      </c>
      <c r="E285" s="24">
        <v>39</v>
      </c>
      <c r="F285" s="24"/>
      <c r="G285" s="24"/>
      <c r="H285" s="24"/>
      <c r="I285" s="24"/>
      <c r="J285" s="24"/>
      <c r="K285" s="24">
        <f t="shared" si="39"/>
        <v>39</v>
      </c>
      <c r="L285" s="24">
        <f t="shared" si="40"/>
        <v>28.08</v>
      </c>
      <c r="M285" s="25"/>
      <c r="N285" s="26">
        <v>2</v>
      </c>
      <c r="O285" s="26"/>
      <c r="P285" s="25"/>
      <c r="Q285" s="25">
        <v>3</v>
      </c>
      <c r="R285" s="25">
        <f t="shared" si="41"/>
        <v>5</v>
      </c>
      <c r="S285" s="25">
        <f t="shared" si="42"/>
        <v>4.8499999999999996</v>
      </c>
      <c r="T285" s="24"/>
      <c r="U285" s="27">
        <v>1</v>
      </c>
      <c r="V285" s="27"/>
      <c r="W285" s="24"/>
      <c r="X285" s="24">
        <v>5</v>
      </c>
      <c r="Y285" s="24">
        <f t="shared" si="43"/>
        <v>6</v>
      </c>
      <c r="Z285" s="24">
        <f t="shared" si="44"/>
        <v>15.07</v>
      </c>
      <c r="AA285" s="24">
        <f t="shared" si="38"/>
        <v>50</v>
      </c>
      <c r="AB285" s="24">
        <f t="shared" si="38"/>
        <v>48</v>
      </c>
      <c r="AC285" s="28">
        <f t="shared" si="45"/>
        <v>298550</v>
      </c>
      <c r="AD285" s="28">
        <f t="shared" si="45"/>
        <v>286608</v>
      </c>
    </row>
    <row r="286" spans="1:30">
      <c r="A286" s="22" t="s">
        <v>589</v>
      </c>
      <c r="B286" s="22" t="s">
        <v>592</v>
      </c>
      <c r="C286" s="23" t="s">
        <v>593</v>
      </c>
      <c r="D286" s="16">
        <v>5887</v>
      </c>
      <c r="E286" s="24">
        <v>153</v>
      </c>
      <c r="F286" s="24"/>
      <c r="G286" s="24"/>
      <c r="H286" s="24"/>
      <c r="I286" s="24"/>
      <c r="J286" s="24"/>
      <c r="K286" s="24">
        <f t="shared" si="39"/>
        <v>153</v>
      </c>
      <c r="L286" s="24">
        <f t="shared" si="40"/>
        <v>110.16</v>
      </c>
      <c r="M286" s="25"/>
      <c r="N286" s="26">
        <v>12</v>
      </c>
      <c r="O286" s="26">
        <v>3</v>
      </c>
      <c r="P286" s="25"/>
      <c r="Q286" s="25">
        <v>18</v>
      </c>
      <c r="R286" s="25">
        <f t="shared" si="41"/>
        <v>33</v>
      </c>
      <c r="S286" s="25">
        <f t="shared" si="42"/>
        <v>32.730000000000004</v>
      </c>
      <c r="T286" s="24"/>
      <c r="U286" s="27"/>
      <c r="V286" s="27">
        <v>1</v>
      </c>
      <c r="W286" s="24"/>
      <c r="X286" s="24">
        <v>24</v>
      </c>
      <c r="Y286" s="24">
        <f t="shared" si="43"/>
        <v>25</v>
      </c>
      <c r="Z286" s="24">
        <f t="shared" si="44"/>
        <v>68.5</v>
      </c>
      <c r="AA286" s="24">
        <f t="shared" si="38"/>
        <v>211</v>
      </c>
      <c r="AB286" s="24">
        <f t="shared" si="38"/>
        <v>211.39</v>
      </c>
      <c r="AC286" s="28">
        <f t="shared" si="45"/>
        <v>1242157</v>
      </c>
      <c r="AD286" s="28">
        <f t="shared" si="45"/>
        <v>1244453</v>
      </c>
    </row>
    <row r="287" spans="1:30">
      <c r="A287" s="22" t="s">
        <v>589</v>
      </c>
      <c r="B287" s="22" t="s">
        <v>594</v>
      </c>
      <c r="C287" s="23" t="s">
        <v>595</v>
      </c>
      <c r="D287" s="16">
        <v>5940</v>
      </c>
      <c r="E287" s="24">
        <v>70</v>
      </c>
      <c r="F287" s="24"/>
      <c r="G287" s="24"/>
      <c r="H287" s="24"/>
      <c r="I287" s="24"/>
      <c r="J287" s="24"/>
      <c r="K287" s="24">
        <f t="shared" si="39"/>
        <v>70</v>
      </c>
      <c r="L287" s="24">
        <f t="shared" si="40"/>
        <v>50.4</v>
      </c>
      <c r="M287" s="25"/>
      <c r="N287" s="26">
        <v>1</v>
      </c>
      <c r="O287" s="26">
        <v>4</v>
      </c>
      <c r="P287" s="25"/>
      <c r="Q287" s="25">
        <v>6</v>
      </c>
      <c r="R287" s="25">
        <f t="shared" si="41"/>
        <v>11</v>
      </c>
      <c r="S287" s="25">
        <f t="shared" si="42"/>
        <v>12.709999999999999</v>
      </c>
      <c r="T287" s="24"/>
      <c r="U287" s="27"/>
      <c r="V287" s="27">
        <v>1</v>
      </c>
      <c r="W287" s="24"/>
      <c r="X287" s="24">
        <v>3</v>
      </c>
      <c r="Y287" s="24">
        <f t="shared" si="43"/>
        <v>4</v>
      </c>
      <c r="Z287" s="24">
        <f t="shared" si="44"/>
        <v>10.96</v>
      </c>
      <c r="AA287" s="24">
        <f t="shared" si="38"/>
        <v>85</v>
      </c>
      <c r="AB287" s="24">
        <f t="shared" si="38"/>
        <v>74.069999999999993</v>
      </c>
      <c r="AC287" s="28">
        <f t="shared" si="45"/>
        <v>504900</v>
      </c>
      <c r="AD287" s="28">
        <f t="shared" si="45"/>
        <v>439976</v>
      </c>
    </row>
    <row r="288" spans="1:30">
      <c r="A288" s="22" t="s">
        <v>589</v>
      </c>
      <c r="B288" s="22" t="s">
        <v>596</v>
      </c>
      <c r="C288" s="23" t="s">
        <v>597</v>
      </c>
      <c r="D288" s="16">
        <v>5883</v>
      </c>
      <c r="E288" s="24">
        <v>18</v>
      </c>
      <c r="F288" s="24"/>
      <c r="G288" s="24"/>
      <c r="H288" s="24"/>
      <c r="I288" s="24"/>
      <c r="J288" s="24"/>
      <c r="K288" s="24">
        <f t="shared" si="39"/>
        <v>18</v>
      </c>
      <c r="L288" s="24">
        <f t="shared" si="40"/>
        <v>12.959999999999999</v>
      </c>
      <c r="M288" s="25"/>
      <c r="N288" s="26">
        <v>1</v>
      </c>
      <c r="O288" s="26"/>
      <c r="P288" s="25"/>
      <c r="Q288" s="25">
        <v>2</v>
      </c>
      <c r="R288" s="25">
        <f t="shared" si="41"/>
        <v>3</v>
      </c>
      <c r="S288" s="25">
        <f t="shared" si="42"/>
        <v>3.03</v>
      </c>
      <c r="T288" s="24"/>
      <c r="U288" s="27"/>
      <c r="V288" s="27"/>
      <c r="W288" s="24"/>
      <c r="X288" s="24">
        <v>1</v>
      </c>
      <c r="Y288" s="24">
        <f t="shared" si="43"/>
        <v>1</v>
      </c>
      <c r="Z288" s="24">
        <f t="shared" si="44"/>
        <v>2.74</v>
      </c>
      <c r="AA288" s="24">
        <f t="shared" si="38"/>
        <v>22</v>
      </c>
      <c r="AB288" s="24">
        <f t="shared" si="38"/>
        <v>18.729999999999997</v>
      </c>
      <c r="AC288" s="28">
        <f t="shared" si="45"/>
        <v>129426</v>
      </c>
      <c r="AD288" s="28">
        <f t="shared" si="45"/>
        <v>110189</v>
      </c>
    </row>
    <row r="289" spans="1:30">
      <c r="A289" s="22" t="s">
        <v>589</v>
      </c>
      <c r="B289" s="22" t="s">
        <v>598</v>
      </c>
      <c r="C289" s="23" t="s">
        <v>599</v>
      </c>
      <c r="D289" s="16">
        <v>5883</v>
      </c>
      <c r="E289" s="24">
        <v>77</v>
      </c>
      <c r="F289" s="24"/>
      <c r="G289" s="24"/>
      <c r="H289" s="24"/>
      <c r="I289" s="24"/>
      <c r="J289" s="24"/>
      <c r="K289" s="24">
        <f t="shared" si="39"/>
        <v>77</v>
      </c>
      <c r="L289" s="24">
        <f t="shared" si="40"/>
        <v>55.44</v>
      </c>
      <c r="M289" s="25"/>
      <c r="N289" s="26"/>
      <c r="O289" s="26">
        <v>5</v>
      </c>
      <c r="P289" s="25"/>
      <c r="Q289" s="25">
        <v>8</v>
      </c>
      <c r="R289" s="25">
        <f t="shared" si="41"/>
        <v>13</v>
      </c>
      <c r="S289" s="25">
        <f t="shared" si="42"/>
        <v>15.73</v>
      </c>
      <c r="T289" s="24"/>
      <c r="U289" s="27"/>
      <c r="V289" s="27">
        <v>2</v>
      </c>
      <c r="W289" s="24"/>
      <c r="X289" s="24">
        <v>9</v>
      </c>
      <c r="Y289" s="24">
        <f t="shared" si="43"/>
        <v>11</v>
      </c>
      <c r="Z289" s="24">
        <f t="shared" si="44"/>
        <v>30.14</v>
      </c>
      <c r="AA289" s="24">
        <f t="shared" si="38"/>
        <v>101</v>
      </c>
      <c r="AB289" s="24">
        <f t="shared" si="38"/>
        <v>101.31</v>
      </c>
      <c r="AC289" s="28">
        <f t="shared" si="45"/>
        <v>594183</v>
      </c>
      <c r="AD289" s="28">
        <f t="shared" si="45"/>
        <v>596007</v>
      </c>
    </row>
    <row r="290" spans="1:30">
      <c r="A290" s="22" t="s">
        <v>589</v>
      </c>
      <c r="B290" s="22" t="s">
        <v>600</v>
      </c>
      <c r="C290" s="23" t="s">
        <v>601</v>
      </c>
      <c r="D290" s="16">
        <v>5952</v>
      </c>
      <c r="E290" s="24">
        <v>861</v>
      </c>
      <c r="F290" s="24"/>
      <c r="G290" s="24"/>
      <c r="H290" s="24"/>
      <c r="I290" s="24"/>
      <c r="J290" s="24"/>
      <c r="K290" s="24">
        <f t="shared" si="39"/>
        <v>861</v>
      </c>
      <c r="L290" s="24">
        <f t="shared" si="40"/>
        <v>619.91999999999996</v>
      </c>
      <c r="M290" s="25"/>
      <c r="N290" s="26">
        <v>19</v>
      </c>
      <c r="O290" s="26">
        <v>29</v>
      </c>
      <c r="P290" s="25"/>
      <c r="Q290" s="25">
        <v>236</v>
      </c>
      <c r="R290" s="25">
        <f t="shared" si="41"/>
        <v>284</v>
      </c>
      <c r="S290" s="25">
        <f t="shared" si="42"/>
        <v>332.23999999999995</v>
      </c>
      <c r="T290" s="24"/>
      <c r="U290" s="27">
        <v>4</v>
      </c>
      <c r="V290" s="27">
        <v>5</v>
      </c>
      <c r="W290" s="24"/>
      <c r="X290" s="24">
        <v>249</v>
      </c>
      <c r="Y290" s="24">
        <f t="shared" si="43"/>
        <v>258</v>
      </c>
      <c r="Z290" s="24">
        <f t="shared" si="44"/>
        <v>701.44</v>
      </c>
      <c r="AA290" s="24">
        <f t="shared" si="38"/>
        <v>1403</v>
      </c>
      <c r="AB290" s="24">
        <f t="shared" si="38"/>
        <v>1653.6</v>
      </c>
      <c r="AC290" s="28">
        <f t="shared" si="45"/>
        <v>8350656</v>
      </c>
      <c r="AD290" s="28">
        <f t="shared" si="45"/>
        <v>9842227</v>
      </c>
    </row>
    <row r="291" spans="1:30">
      <c r="A291" s="22" t="s">
        <v>589</v>
      </c>
      <c r="B291" s="22" t="s">
        <v>602</v>
      </c>
      <c r="C291" s="23" t="s">
        <v>603</v>
      </c>
      <c r="D291" s="16">
        <v>5891</v>
      </c>
      <c r="E291" s="24">
        <v>33</v>
      </c>
      <c r="F291" s="24"/>
      <c r="G291" s="24"/>
      <c r="H291" s="24">
        <v>1</v>
      </c>
      <c r="I291" s="24"/>
      <c r="J291" s="24"/>
      <c r="K291" s="24">
        <f t="shared" si="39"/>
        <v>34</v>
      </c>
      <c r="L291" s="24">
        <f t="shared" si="40"/>
        <v>24.48</v>
      </c>
      <c r="M291" s="25"/>
      <c r="N291" s="26"/>
      <c r="O291" s="26">
        <v>4</v>
      </c>
      <c r="P291" s="25"/>
      <c r="Q291" s="25">
        <v>8</v>
      </c>
      <c r="R291" s="25">
        <f t="shared" si="41"/>
        <v>12</v>
      </c>
      <c r="S291" s="25">
        <f t="shared" si="42"/>
        <v>14.52</v>
      </c>
      <c r="T291" s="24"/>
      <c r="U291" s="27"/>
      <c r="V291" s="27">
        <v>1</v>
      </c>
      <c r="W291" s="24"/>
      <c r="X291" s="24">
        <v>7</v>
      </c>
      <c r="Y291" s="24">
        <f t="shared" si="43"/>
        <v>8</v>
      </c>
      <c r="Z291" s="24">
        <f t="shared" si="44"/>
        <v>21.92</v>
      </c>
      <c r="AA291" s="24">
        <f t="shared" si="38"/>
        <v>54</v>
      </c>
      <c r="AB291" s="24">
        <f t="shared" si="38"/>
        <v>60.92</v>
      </c>
      <c r="AC291" s="28">
        <f t="shared" si="45"/>
        <v>318114</v>
      </c>
      <c r="AD291" s="28">
        <f t="shared" si="45"/>
        <v>358880</v>
      </c>
    </row>
    <row r="292" spans="1:30">
      <c r="A292" s="22" t="s">
        <v>589</v>
      </c>
      <c r="B292" s="22" t="s">
        <v>604</v>
      </c>
      <c r="C292" s="23" t="s">
        <v>605</v>
      </c>
      <c r="D292" s="16">
        <v>6050</v>
      </c>
      <c r="E292" s="24">
        <v>12</v>
      </c>
      <c r="F292" s="24"/>
      <c r="G292" s="24"/>
      <c r="H292" s="24"/>
      <c r="I292" s="24"/>
      <c r="J292" s="24"/>
      <c r="K292" s="24">
        <f t="shared" si="39"/>
        <v>12</v>
      </c>
      <c r="L292" s="24">
        <f t="shared" si="40"/>
        <v>8.64</v>
      </c>
      <c r="M292" s="25"/>
      <c r="N292" s="26"/>
      <c r="O292" s="26">
        <v>3</v>
      </c>
      <c r="P292" s="25"/>
      <c r="Q292" s="25">
        <v>2</v>
      </c>
      <c r="R292" s="25">
        <f t="shared" si="41"/>
        <v>5</v>
      </c>
      <c r="S292" s="25">
        <f t="shared" si="42"/>
        <v>6.05</v>
      </c>
      <c r="T292" s="24"/>
      <c r="U292" s="27"/>
      <c r="V292" s="27"/>
      <c r="W292" s="24"/>
      <c r="X292" s="24">
        <v>1</v>
      </c>
      <c r="Y292" s="24">
        <f t="shared" si="43"/>
        <v>1</v>
      </c>
      <c r="Z292" s="24">
        <f t="shared" si="44"/>
        <v>2.74</v>
      </c>
      <c r="AA292" s="24">
        <f t="shared" si="38"/>
        <v>18</v>
      </c>
      <c r="AB292" s="24">
        <f t="shared" si="38"/>
        <v>17.43</v>
      </c>
      <c r="AC292" s="28">
        <f t="shared" si="45"/>
        <v>108900</v>
      </c>
      <c r="AD292" s="28">
        <f t="shared" si="45"/>
        <v>105452</v>
      </c>
    </row>
    <row r="293" spans="1:30">
      <c r="A293" s="22" t="s">
        <v>589</v>
      </c>
      <c r="B293" s="22" t="s">
        <v>606</v>
      </c>
      <c r="C293" s="23" t="s">
        <v>607</v>
      </c>
      <c r="D293" s="16">
        <v>5883</v>
      </c>
      <c r="E293" s="24">
        <v>22</v>
      </c>
      <c r="F293" s="24"/>
      <c r="G293" s="24"/>
      <c r="H293" s="24"/>
      <c r="I293" s="24"/>
      <c r="J293" s="24"/>
      <c r="K293" s="24">
        <f t="shared" si="39"/>
        <v>22</v>
      </c>
      <c r="L293" s="24">
        <f t="shared" si="40"/>
        <v>15.84</v>
      </c>
      <c r="M293" s="25"/>
      <c r="N293" s="26"/>
      <c r="O293" s="26">
        <v>1</v>
      </c>
      <c r="P293" s="25"/>
      <c r="Q293" s="25">
        <v>4</v>
      </c>
      <c r="R293" s="25">
        <f t="shared" si="41"/>
        <v>5</v>
      </c>
      <c r="S293" s="25">
        <f t="shared" si="42"/>
        <v>6.05</v>
      </c>
      <c r="T293" s="24"/>
      <c r="U293" s="27"/>
      <c r="V293" s="27">
        <v>1</v>
      </c>
      <c r="W293" s="24"/>
      <c r="X293" s="24">
        <v>1</v>
      </c>
      <c r="Y293" s="24">
        <f t="shared" si="43"/>
        <v>2</v>
      </c>
      <c r="Z293" s="24">
        <f t="shared" si="44"/>
        <v>5.48</v>
      </c>
      <c r="AA293" s="24">
        <f t="shared" si="38"/>
        <v>29</v>
      </c>
      <c r="AB293" s="24">
        <f t="shared" si="38"/>
        <v>27.37</v>
      </c>
      <c r="AC293" s="28">
        <f t="shared" si="45"/>
        <v>170607</v>
      </c>
      <c r="AD293" s="28">
        <f t="shared" si="45"/>
        <v>161018</v>
      </c>
    </row>
    <row r="294" spans="1:30">
      <c r="A294" s="22" t="s">
        <v>589</v>
      </c>
      <c r="B294" s="22" t="s">
        <v>608</v>
      </c>
      <c r="C294" s="23" t="s">
        <v>609</v>
      </c>
      <c r="D294" s="16">
        <v>5969</v>
      </c>
      <c r="E294" s="24">
        <v>21</v>
      </c>
      <c r="F294" s="24"/>
      <c r="G294" s="24"/>
      <c r="H294" s="24"/>
      <c r="I294" s="24"/>
      <c r="J294" s="24"/>
      <c r="K294" s="24">
        <f t="shared" si="39"/>
        <v>21</v>
      </c>
      <c r="L294" s="24">
        <f t="shared" si="40"/>
        <v>15.12</v>
      </c>
      <c r="M294" s="25"/>
      <c r="N294" s="26">
        <v>1</v>
      </c>
      <c r="O294" s="26">
        <v>2</v>
      </c>
      <c r="P294" s="25"/>
      <c r="Q294" s="25">
        <v>3</v>
      </c>
      <c r="R294" s="25">
        <f t="shared" si="41"/>
        <v>6</v>
      </c>
      <c r="S294" s="25">
        <f t="shared" si="42"/>
        <v>6.66</v>
      </c>
      <c r="T294" s="24"/>
      <c r="U294" s="27"/>
      <c r="V294" s="27">
        <v>1</v>
      </c>
      <c r="W294" s="24"/>
      <c r="X294" s="24">
        <v>1</v>
      </c>
      <c r="Y294" s="24">
        <f t="shared" si="43"/>
        <v>2</v>
      </c>
      <c r="Z294" s="24">
        <f t="shared" si="44"/>
        <v>5.48</v>
      </c>
      <c r="AA294" s="24">
        <f t="shared" si="38"/>
        <v>29</v>
      </c>
      <c r="AB294" s="24">
        <f t="shared" si="38"/>
        <v>27.259999999999998</v>
      </c>
      <c r="AC294" s="28">
        <f t="shared" si="45"/>
        <v>173101</v>
      </c>
      <c r="AD294" s="28">
        <f t="shared" si="45"/>
        <v>162715</v>
      </c>
    </row>
    <row r="295" spans="1:30">
      <c r="A295" s="22" t="s">
        <v>589</v>
      </c>
      <c r="B295" s="22" t="s">
        <v>610</v>
      </c>
      <c r="C295" s="23" t="s">
        <v>611</v>
      </c>
      <c r="D295" s="16">
        <v>5883</v>
      </c>
      <c r="E295" s="24">
        <v>59</v>
      </c>
      <c r="F295" s="24"/>
      <c r="G295" s="24"/>
      <c r="H295" s="24"/>
      <c r="I295" s="24"/>
      <c r="J295" s="24"/>
      <c r="K295" s="24">
        <f t="shared" si="39"/>
        <v>59</v>
      </c>
      <c r="L295" s="24">
        <f t="shared" si="40"/>
        <v>42.48</v>
      </c>
      <c r="M295" s="25"/>
      <c r="N295" s="26">
        <v>2</v>
      </c>
      <c r="O295" s="26">
        <v>3</v>
      </c>
      <c r="P295" s="25"/>
      <c r="Q295" s="25"/>
      <c r="R295" s="25">
        <f t="shared" si="41"/>
        <v>5</v>
      </c>
      <c r="S295" s="25">
        <f t="shared" si="42"/>
        <v>4.8499999999999996</v>
      </c>
      <c r="T295" s="24"/>
      <c r="U295" s="27"/>
      <c r="V295" s="27"/>
      <c r="W295" s="24"/>
      <c r="X295" s="24">
        <v>4</v>
      </c>
      <c r="Y295" s="24">
        <f t="shared" si="43"/>
        <v>4</v>
      </c>
      <c r="Z295" s="24">
        <f t="shared" si="44"/>
        <v>10.96</v>
      </c>
      <c r="AA295" s="24">
        <f t="shared" si="38"/>
        <v>68</v>
      </c>
      <c r="AB295" s="24">
        <f t="shared" si="38"/>
        <v>58.29</v>
      </c>
      <c r="AC295" s="28">
        <f t="shared" si="45"/>
        <v>400044</v>
      </c>
      <c r="AD295" s="28">
        <f t="shared" si="45"/>
        <v>342920</v>
      </c>
    </row>
    <row r="296" spans="1:30">
      <c r="A296" s="22" t="s">
        <v>589</v>
      </c>
      <c r="B296" s="22" t="s">
        <v>612</v>
      </c>
      <c r="C296" s="23" t="s">
        <v>613</v>
      </c>
      <c r="D296" s="16">
        <v>5883</v>
      </c>
      <c r="E296" s="24">
        <v>181</v>
      </c>
      <c r="F296" s="24"/>
      <c r="G296" s="24"/>
      <c r="H296" s="24"/>
      <c r="I296" s="24"/>
      <c r="J296" s="24"/>
      <c r="K296" s="24">
        <f t="shared" si="39"/>
        <v>181</v>
      </c>
      <c r="L296" s="24">
        <f t="shared" si="40"/>
        <v>130.32</v>
      </c>
      <c r="M296" s="25"/>
      <c r="N296" s="26">
        <v>1</v>
      </c>
      <c r="O296" s="26">
        <v>15</v>
      </c>
      <c r="P296" s="25"/>
      <c r="Q296" s="25">
        <v>38</v>
      </c>
      <c r="R296" s="25">
        <f t="shared" si="41"/>
        <v>54</v>
      </c>
      <c r="S296" s="25">
        <f t="shared" si="42"/>
        <v>64.739999999999995</v>
      </c>
      <c r="T296" s="24"/>
      <c r="U296" s="27"/>
      <c r="V296" s="27">
        <v>1</v>
      </c>
      <c r="W296" s="24"/>
      <c r="X296" s="24">
        <v>17</v>
      </c>
      <c r="Y296" s="24">
        <f t="shared" si="43"/>
        <v>18</v>
      </c>
      <c r="Z296" s="24">
        <f t="shared" si="44"/>
        <v>49.320000000000007</v>
      </c>
      <c r="AA296" s="24">
        <f t="shared" si="38"/>
        <v>253</v>
      </c>
      <c r="AB296" s="24">
        <f t="shared" si="38"/>
        <v>244.38</v>
      </c>
      <c r="AC296" s="28">
        <f t="shared" si="45"/>
        <v>1488399</v>
      </c>
      <c r="AD296" s="28">
        <f t="shared" si="45"/>
        <v>1437688</v>
      </c>
    </row>
    <row r="297" spans="1:30">
      <c r="A297" s="22" t="s">
        <v>589</v>
      </c>
      <c r="B297" s="22" t="s">
        <v>614</v>
      </c>
      <c r="C297" s="23" t="s">
        <v>615</v>
      </c>
      <c r="D297" s="16">
        <v>5948</v>
      </c>
      <c r="E297" s="24">
        <v>43</v>
      </c>
      <c r="F297" s="24"/>
      <c r="G297" s="24"/>
      <c r="H297" s="24"/>
      <c r="I297" s="24"/>
      <c r="J297" s="24"/>
      <c r="K297" s="24">
        <f t="shared" si="39"/>
        <v>43</v>
      </c>
      <c r="L297" s="24">
        <f t="shared" si="40"/>
        <v>30.959999999999997</v>
      </c>
      <c r="M297" s="25"/>
      <c r="N297" s="26"/>
      <c r="O297" s="26">
        <v>6</v>
      </c>
      <c r="P297" s="25"/>
      <c r="Q297" s="25">
        <v>13</v>
      </c>
      <c r="R297" s="25">
        <f t="shared" si="41"/>
        <v>19</v>
      </c>
      <c r="S297" s="25">
        <f t="shared" si="42"/>
        <v>22.99</v>
      </c>
      <c r="T297" s="24"/>
      <c r="U297" s="27"/>
      <c r="V297" s="27">
        <v>2</v>
      </c>
      <c r="W297" s="24"/>
      <c r="X297" s="24">
        <v>5</v>
      </c>
      <c r="Y297" s="24">
        <f t="shared" si="43"/>
        <v>7</v>
      </c>
      <c r="Z297" s="24">
        <f t="shared" si="44"/>
        <v>19.18</v>
      </c>
      <c r="AA297" s="24">
        <f t="shared" si="38"/>
        <v>69</v>
      </c>
      <c r="AB297" s="24">
        <f t="shared" si="38"/>
        <v>73.13</v>
      </c>
      <c r="AC297" s="28">
        <f t="shared" si="45"/>
        <v>410412</v>
      </c>
      <c r="AD297" s="28">
        <f t="shared" si="45"/>
        <v>434977</v>
      </c>
    </row>
    <row r="298" spans="1:30">
      <c r="A298" s="22" t="s">
        <v>589</v>
      </c>
      <c r="B298" s="22" t="s">
        <v>616</v>
      </c>
      <c r="C298" s="23" t="s">
        <v>617</v>
      </c>
      <c r="D298" s="16">
        <v>6024</v>
      </c>
      <c r="E298" s="24">
        <v>31</v>
      </c>
      <c r="F298" s="24"/>
      <c r="G298" s="24"/>
      <c r="H298" s="24"/>
      <c r="I298" s="24"/>
      <c r="J298" s="24"/>
      <c r="K298" s="24">
        <f t="shared" si="39"/>
        <v>31</v>
      </c>
      <c r="L298" s="24">
        <f t="shared" si="40"/>
        <v>22.32</v>
      </c>
      <c r="M298" s="25"/>
      <c r="N298" s="26"/>
      <c r="O298" s="26">
        <v>2</v>
      </c>
      <c r="P298" s="25"/>
      <c r="Q298" s="25">
        <v>5</v>
      </c>
      <c r="R298" s="25">
        <f t="shared" si="41"/>
        <v>7</v>
      </c>
      <c r="S298" s="25">
        <f t="shared" si="42"/>
        <v>8.4699999999999989</v>
      </c>
      <c r="T298" s="24"/>
      <c r="U298" s="27"/>
      <c r="V298" s="27"/>
      <c r="W298" s="24"/>
      <c r="X298" s="24">
        <v>4</v>
      </c>
      <c r="Y298" s="24">
        <f t="shared" si="43"/>
        <v>4</v>
      </c>
      <c r="Z298" s="24">
        <f t="shared" si="44"/>
        <v>10.96</v>
      </c>
      <c r="AA298" s="24">
        <f t="shared" si="38"/>
        <v>42</v>
      </c>
      <c r="AB298" s="24">
        <f t="shared" si="38"/>
        <v>41.75</v>
      </c>
      <c r="AC298" s="28">
        <f t="shared" si="45"/>
        <v>253008</v>
      </c>
      <c r="AD298" s="28">
        <f t="shared" si="45"/>
        <v>251502</v>
      </c>
    </row>
    <row r="299" spans="1:30">
      <c r="A299" s="22" t="s">
        <v>589</v>
      </c>
      <c r="B299" s="22" t="s">
        <v>618</v>
      </c>
      <c r="C299" s="23" t="s">
        <v>619</v>
      </c>
      <c r="D299" s="16">
        <v>5923</v>
      </c>
      <c r="E299" s="24">
        <v>101</v>
      </c>
      <c r="F299" s="24"/>
      <c r="G299" s="24"/>
      <c r="H299" s="24"/>
      <c r="I299" s="24"/>
      <c r="J299" s="24"/>
      <c r="K299" s="24">
        <f t="shared" si="39"/>
        <v>101</v>
      </c>
      <c r="L299" s="24">
        <f t="shared" si="40"/>
        <v>72.72</v>
      </c>
      <c r="M299" s="25"/>
      <c r="N299" s="26">
        <v>1</v>
      </c>
      <c r="O299" s="26">
        <v>10</v>
      </c>
      <c r="P299" s="25">
        <v>1</v>
      </c>
      <c r="Q299" s="25">
        <v>24</v>
      </c>
      <c r="R299" s="25">
        <f t="shared" si="41"/>
        <v>36</v>
      </c>
      <c r="S299" s="25">
        <f t="shared" si="42"/>
        <v>42.36</v>
      </c>
      <c r="T299" s="24"/>
      <c r="U299" s="27"/>
      <c r="V299" s="27">
        <v>4</v>
      </c>
      <c r="W299" s="24"/>
      <c r="X299" s="24">
        <v>14</v>
      </c>
      <c r="Y299" s="24">
        <f t="shared" si="43"/>
        <v>18</v>
      </c>
      <c r="Z299" s="24">
        <f t="shared" si="44"/>
        <v>49.320000000000007</v>
      </c>
      <c r="AA299" s="24">
        <f t="shared" si="38"/>
        <v>155</v>
      </c>
      <c r="AB299" s="24">
        <f t="shared" si="38"/>
        <v>164.4</v>
      </c>
      <c r="AC299" s="28">
        <f t="shared" si="45"/>
        <v>918065</v>
      </c>
      <c r="AD299" s="28">
        <f t="shared" si="45"/>
        <v>973741</v>
      </c>
    </row>
    <row r="300" spans="1:30">
      <c r="A300" s="22" t="s">
        <v>589</v>
      </c>
      <c r="B300" s="22" t="s">
        <v>620</v>
      </c>
      <c r="C300" s="23" t="s">
        <v>621</v>
      </c>
      <c r="D300" s="16">
        <v>6021</v>
      </c>
      <c r="E300" s="24">
        <v>35</v>
      </c>
      <c r="F300" s="24"/>
      <c r="G300" s="24"/>
      <c r="H300" s="24"/>
      <c r="I300" s="24"/>
      <c r="J300" s="24"/>
      <c r="K300" s="24">
        <f t="shared" si="39"/>
        <v>35</v>
      </c>
      <c r="L300" s="24">
        <f t="shared" si="40"/>
        <v>25.2</v>
      </c>
      <c r="M300" s="25"/>
      <c r="N300" s="26"/>
      <c r="O300" s="26">
        <v>1</v>
      </c>
      <c r="P300" s="25"/>
      <c r="Q300" s="25">
        <v>10</v>
      </c>
      <c r="R300" s="25">
        <f t="shared" si="41"/>
        <v>11</v>
      </c>
      <c r="S300" s="25">
        <f t="shared" si="42"/>
        <v>13.309999999999999</v>
      </c>
      <c r="T300" s="24"/>
      <c r="U300" s="27"/>
      <c r="V300" s="27">
        <v>1</v>
      </c>
      <c r="W300" s="24"/>
      <c r="X300" s="24">
        <v>1</v>
      </c>
      <c r="Y300" s="24">
        <f t="shared" si="43"/>
        <v>2</v>
      </c>
      <c r="Z300" s="24">
        <f t="shared" si="44"/>
        <v>5.48</v>
      </c>
      <c r="AA300" s="24">
        <f t="shared" si="38"/>
        <v>48</v>
      </c>
      <c r="AB300" s="24">
        <f t="shared" si="38"/>
        <v>43.989999999999995</v>
      </c>
      <c r="AC300" s="28">
        <f t="shared" si="45"/>
        <v>289008</v>
      </c>
      <c r="AD300" s="28">
        <f t="shared" si="45"/>
        <v>264864</v>
      </c>
    </row>
    <row r="301" spans="1:30">
      <c r="A301" s="22" t="s">
        <v>589</v>
      </c>
      <c r="B301" s="22" t="s">
        <v>622</v>
      </c>
      <c r="C301" s="23" t="s">
        <v>623</v>
      </c>
      <c r="D301" s="16">
        <v>5883</v>
      </c>
      <c r="E301" s="24">
        <v>217</v>
      </c>
      <c r="F301" s="24"/>
      <c r="G301" s="24"/>
      <c r="H301" s="24"/>
      <c r="I301" s="24"/>
      <c r="J301" s="24"/>
      <c r="K301" s="24">
        <f t="shared" si="39"/>
        <v>217</v>
      </c>
      <c r="L301" s="24">
        <f t="shared" si="40"/>
        <v>156.23999999999998</v>
      </c>
      <c r="M301" s="25"/>
      <c r="N301" s="26">
        <v>11</v>
      </c>
      <c r="O301" s="26">
        <v>5</v>
      </c>
      <c r="P301" s="25"/>
      <c r="Q301" s="25">
        <v>35</v>
      </c>
      <c r="R301" s="25">
        <f t="shared" si="41"/>
        <v>51</v>
      </c>
      <c r="S301" s="25">
        <f t="shared" si="42"/>
        <v>55.11</v>
      </c>
      <c r="T301" s="24"/>
      <c r="U301" s="27">
        <v>3</v>
      </c>
      <c r="V301" s="27">
        <v>1</v>
      </c>
      <c r="W301" s="24">
        <v>1</v>
      </c>
      <c r="X301" s="24">
        <v>34</v>
      </c>
      <c r="Y301" s="24">
        <f t="shared" si="43"/>
        <v>39</v>
      </c>
      <c r="Z301" s="24">
        <f t="shared" si="44"/>
        <v>101.38000000000001</v>
      </c>
      <c r="AA301" s="24">
        <f t="shared" si="38"/>
        <v>307</v>
      </c>
      <c r="AB301" s="24">
        <f t="shared" si="38"/>
        <v>312.73</v>
      </c>
      <c r="AC301" s="28">
        <f t="shared" si="45"/>
        <v>1806081</v>
      </c>
      <c r="AD301" s="28">
        <f t="shared" si="45"/>
        <v>1839791</v>
      </c>
    </row>
    <row r="302" spans="1:30">
      <c r="A302" s="22" t="s">
        <v>589</v>
      </c>
      <c r="B302" s="22" t="s">
        <v>624</v>
      </c>
      <c r="C302" s="23" t="s">
        <v>625</v>
      </c>
      <c r="D302" s="16">
        <v>5889</v>
      </c>
      <c r="E302" s="24">
        <v>48</v>
      </c>
      <c r="F302" s="24"/>
      <c r="G302" s="24"/>
      <c r="H302" s="24"/>
      <c r="I302" s="24"/>
      <c r="J302" s="24"/>
      <c r="K302" s="24">
        <f t="shared" si="39"/>
        <v>48</v>
      </c>
      <c r="L302" s="24">
        <f t="shared" si="40"/>
        <v>34.56</v>
      </c>
      <c r="M302" s="25"/>
      <c r="N302" s="26"/>
      <c r="O302" s="26">
        <v>3</v>
      </c>
      <c r="P302" s="25"/>
      <c r="Q302" s="25">
        <v>9</v>
      </c>
      <c r="R302" s="25">
        <f t="shared" si="41"/>
        <v>12</v>
      </c>
      <c r="S302" s="25">
        <f t="shared" si="42"/>
        <v>14.52</v>
      </c>
      <c r="T302" s="24"/>
      <c r="U302" s="27"/>
      <c r="V302" s="27">
        <v>1</v>
      </c>
      <c r="W302" s="24"/>
      <c r="X302" s="24">
        <v>5</v>
      </c>
      <c r="Y302" s="24">
        <f t="shared" si="43"/>
        <v>6</v>
      </c>
      <c r="Z302" s="24">
        <f t="shared" si="44"/>
        <v>16.440000000000001</v>
      </c>
      <c r="AA302" s="24">
        <f t="shared" si="38"/>
        <v>66</v>
      </c>
      <c r="AB302" s="24">
        <f t="shared" si="38"/>
        <v>65.52000000000001</v>
      </c>
      <c r="AC302" s="28">
        <f t="shared" si="45"/>
        <v>388674</v>
      </c>
      <c r="AD302" s="28">
        <f t="shared" si="45"/>
        <v>385847</v>
      </c>
    </row>
    <row r="303" spans="1:30">
      <c r="A303" s="22" t="s">
        <v>589</v>
      </c>
      <c r="B303" s="22" t="s">
        <v>626</v>
      </c>
      <c r="C303" s="23" t="s">
        <v>627</v>
      </c>
      <c r="D303" s="16">
        <v>5883</v>
      </c>
      <c r="E303" s="24">
        <v>41</v>
      </c>
      <c r="F303" s="24"/>
      <c r="G303" s="24"/>
      <c r="H303" s="24"/>
      <c r="I303" s="24"/>
      <c r="J303" s="24"/>
      <c r="K303" s="24">
        <f t="shared" si="39"/>
        <v>41</v>
      </c>
      <c r="L303" s="24">
        <f t="shared" si="40"/>
        <v>29.52</v>
      </c>
      <c r="M303" s="25"/>
      <c r="N303" s="26"/>
      <c r="O303" s="26"/>
      <c r="P303" s="25"/>
      <c r="Q303" s="25">
        <v>4</v>
      </c>
      <c r="R303" s="25">
        <f t="shared" si="41"/>
        <v>4</v>
      </c>
      <c r="S303" s="25">
        <f t="shared" si="42"/>
        <v>4.84</v>
      </c>
      <c r="T303" s="24"/>
      <c r="U303" s="27"/>
      <c r="V303" s="27"/>
      <c r="W303" s="24"/>
      <c r="X303" s="24">
        <v>10</v>
      </c>
      <c r="Y303" s="24">
        <f t="shared" si="43"/>
        <v>10</v>
      </c>
      <c r="Z303" s="24">
        <f t="shared" si="44"/>
        <v>27.400000000000002</v>
      </c>
      <c r="AA303" s="24">
        <f t="shared" si="38"/>
        <v>55</v>
      </c>
      <c r="AB303" s="24">
        <f t="shared" si="38"/>
        <v>61.760000000000005</v>
      </c>
      <c r="AC303" s="28">
        <f t="shared" si="45"/>
        <v>323565</v>
      </c>
      <c r="AD303" s="28">
        <f t="shared" si="45"/>
        <v>363334</v>
      </c>
    </row>
    <row r="304" spans="1:30">
      <c r="A304" s="22" t="s">
        <v>589</v>
      </c>
      <c r="B304" s="22" t="s">
        <v>628</v>
      </c>
      <c r="C304" s="23" t="s">
        <v>629</v>
      </c>
      <c r="D304" s="16">
        <v>5883</v>
      </c>
      <c r="E304" s="24">
        <v>75</v>
      </c>
      <c r="F304" s="24"/>
      <c r="G304" s="24"/>
      <c r="H304" s="24"/>
      <c r="I304" s="24"/>
      <c r="J304" s="24"/>
      <c r="K304" s="24">
        <f t="shared" si="39"/>
        <v>75</v>
      </c>
      <c r="L304" s="24">
        <f t="shared" si="40"/>
        <v>54</v>
      </c>
      <c r="M304" s="25"/>
      <c r="N304" s="26"/>
      <c r="O304" s="26">
        <v>7</v>
      </c>
      <c r="P304" s="25"/>
      <c r="Q304" s="25">
        <v>26</v>
      </c>
      <c r="R304" s="25">
        <f t="shared" si="41"/>
        <v>33</v>
      </c>
      <c r="S304" s="25">
        <f t="shared" si="42"/>
        <v>39.93</v>
      </c>
      <c r="T304" s="24"/>
      <c r="U304" s="27"/>
      <c r="V304" s="27">
        <v>2</v>
      </c>
      <c r="W304" s="24"/>
      <c r="X304" s="24">
        <v>9</v>
      </c>
      <c r="Y304" s="24">
        <f t="shared" si="43"/>
        <v>11</v>
      </c>
      <c r="Z304" s="24">
        <f t="shared" si="44"/>
        <v>30.14</v>
      </c>
      <c r="AA304" s="24">
        <f t="shared" si="38"/>
        <v>119</v>
      </c>
      <c r="AB304" s="24">
        <f t="shared" si="38"/>
        <v>124.07</v>
      </c>
      <c r="AC304" s="28">
        <f t="shared" si="45"/>
        <v>700077</v>
      </c>
      <c r="AD304" s="28">
        <f t="shared" si="45"/>
        <v>729904</v>
      </c>
    </row>
    <row r="305" spans="1:30">
      <c r="A305" s="22" t="s">
        <v>589</v>
      </c>
      <c r="B305" s="22" t="s">
        <v>630</v>
      </c>
      <c r="C305" s="23" t="s">
        <v>631</v>
      </c>
      <c r="D305" s="16">
        <v>6050</v>
      </c>
      <c r="E305" s="24">
        <v>37</v>
      </c>
      <c r="F305" s="24"/>
      <c r="G305" s="24"/>
      <c r="H305" s="24"/>
      <c r="I305" s="24"/>
      <c r="J305" s="24"/>
      <c r="K305" s="24">
        <f t="shared" si="39"/>
        <v>37</v>
      </c>
      <c r="L305" s="24">
        <f t="shared" si="40"/>
        <v>26.64</v>
      </c>
      <c r="M305" s="25"/>
      <c r="N305" s="26"/>
      <c r="O305" s="26"/>
      <c r="P305" s="25"/>
      <c r="Q305" s="25">
        <v>6</v>
      </c>
      <c r="R305" s="25">
        <f t="shared" si="41"/>
        <v>6</v>
      </c>
      <c r="S305" s="25">
        <f t="shared" si="42"/>
        <v>7.26</v>
      </c>
      <c r="T305" s="24"/>
      <c r="U305" s="27"/>
      <c r="V305" s="27">
        <v>1</v>
      </c>
      <c r="W305" s="24"/>
      <c r="X305" s="24">
        <v>2</v>
      </c>
      <c r="Y305" s="24">
        <f t="shared" si="43"/>
        <v>3</v>
      </c>
      <c r="Z305" s="24">
        <f t="shared" si="44"/>
        <v>8.2200000000000006</v>
      </c>
      <c r="AA305" s="24">
        <f t="shared" si="38"/>
        <v>46</v>
      </c>
      <c r="AB305" s="24">
        <f t="shared" si="38"/>
        <v>42.120000000000005</v>
      </c>
      <c r="AC305" s="28">
        <f t="shared" si="45"/>
        <v>278300</v>
      </c>
      <c r="AD305" s="28">
        <f t="shared" si="45"/>
        <v>254826</v>
      </c>
    </row>
    <row r="306" spans="1:30">
      <c r="A306" s="22" t="s">
        <v>589</v>
      </c>
      <c r="B306" s="22" t="s">
        <v>632</v>
      </c>
      <c r="C306" s="23" t="s">
        <v>633</v>
      </c>
      <c r="D306" s="16">
        <v>5883</v>
      </c>
      <c r="E306" s="24">
        <v>52</v>
      </c>
      <c r="F306" s="24"/>
      <c r="G306" s="24"/>
      <c r="H306" s="24"/>
      <c r="I306" s="24"/>
      <c r="J306" s="24"/>
      <c r="K306" s="24">
        <f t="shared" si="39"/>
        <v>52</v>
      </c>
      <c r="L306" s="24">
        <f t="shared" si="40"/>
        <v>37.44</v>
      </c>
      <c r="M306" s="25"/>
      <c r="N306" s="26">
        <v>2</v>
      </c>
      <c r="O306" s="26"/>
      <c r="P306" s="25"/>
      <c r="Q306" s="25">
        <v>9</v>
      </c>
      <c r="R306" s="25">
        <f t="shared" si="41"/>
        <v>11</v>
      </c>
      <c r="S306" s="25">
        <f t="shared" si="42"/>
        <v>12.110000000000001</v>
      </c>
      <c r="T306" s="24"/>
      <c r="U306" s="27"/>
      <c r="V306" s="27"/>
      <c r="W306" s="24"/>
      <c r="X306" s="24">
        <v>8</v>
      </c>
      <c r="Y306" s="24">
        <f t="shared" si="43"/>
        <v>8</v>
      </c>
      <c r="Z306" s="24">
        <f t="shared" si="44"/>
        <v>21.92</v>
      </c>
      <c r="AA306" s="24">
        <f t="shared" si="38"/>
        <v>71</v>
      </c>
      <c r="AB306" s="24">
        <f t="shared" si="38"/>
        <v>71.47</v>
      </c>
      <c r="AC306" s="28">
        <f t="shared" si="45"/>
        <v>417693</v>
      </c>
      <c r="AD306" s="28">
        <f t="shared" si="45"/>
        <v>420458</v>
      </c>
    </row>
    <row r="307" spans="1:30">
      <c r="A307" s="22" t="s">
        <v>589</v>
      </c>
      <c r="B307" s="22" t="s">
        <v>634</v>
      </c>
      <c r="C307" s="23" t="s">
        <v>635</v>
      </c>
      <c r="D307" s="16">
        <v>5883</v>
      </c>
      <c r="E307" s="24">
        <v>65</v>
      </c>
      <c r="F307" s="24"/>
      <c r="G307" s="24"/>
      <c r="H307" s="24"/>
      <c r="I307" s="24"/>
      <c r="J307" s="24"/>
      <c r="K307" s="24">
        <f t="shared" si="39"/>
        <v>65</v>
      </c>
      <c r="L307" s="24">
        <f t="shared" si="40"/>
        <v>46.8</v>
      </c>
      <c r="M307" s="25"/>
      <c r="N307" s="26">
        <v>1</v>
      </c>
      <c r="O307" s="26">
        <v>8</v>
      </c>
      <c r="P307" s="25"/>
      <c r="Q307" s="25">
        <v>25</v>
      </c>
      <c r="R307" s="25">
        <f t="shared" si="41"/>
        <v>34</v>
      </c>
      <c r="S307" s="25">
        <f t="shared" si="42"/>
        <v>40.54</v>
      </c>
      <c r="T307" s="24"/>
      <c r="U307" s="27"/>
      <c r="V307" s="27">
        <v>4</v>
      </c>
      <c r="W307" s="24"/>
      <c r="X307" s="24">
        <v>10</v>
      </c>
      <c r="Y307" s="24">
        <f t="shared" si="43"/>
        <v>14</v>
      </c>
      <c r="Z307" s="24">
        <f t="shared" si="44"/>
        <v>38.36</v>
      </c>
      <c r="AA307" s="24">
        <f t="shared" si="38"/>
        <v>113</v>
      </c>
      <c r="AB307" s="24">
        <f t="shared" si="38"/>
        <v>125.7</v>
      </c>
      <c r="AC307" s="28">
        <f t="shared" si="45"/>
        <v>664779</v>
      </c>
      <c r="AD307" s="28">
        <f t="shared" si="45"/>
        <v>739493</v>
      </c>
    </row>
    <row r="308" spans="1:30">
      <c r="A308" s="22" t="s">
        <v>589</v>
      </c>
      <c r="B308" s="22" t="s">
        <v>636</v>
      </c>
      <c r="C308" s="23" t="s">
        <v>637</v>
      </c>
      <c r="D308" s="16">
        <v>5895</v>
      </c>
      <c r="E308" s="24">
        <v>43</v>
      </c>
      <c r="F308" s="24"/>
      <c r="G308" s="24"/>
      <c r="H308" s="24"/>
      <c r="I308" s="24"/>
      <c r="J308" s="24"/>
      <c r="K308" s="24">
        <f t="shared" si="39"/>
        <v>43</v>
      </c>
      <c r="L308" s="24">
        <f t="shared" si="40"/>
        <v>30.959999999999997</v>
      </c>
      <c r="M308" s="25"/>
      <c r="N308" s="26"/>
      <c r="O308" s="26">
        <v>1</v>
      </c>
      <c r="P308" s="25"/>
      <c r="Q308" s="25">
        <v>2</v>
      </c>
      <c r="R308" s="25">
        <f t="shared" si="41"/>
        <v>3</v>
      </c>
      <c r="S308" s="25">
        <f t="shared" si="42"/>
        <v>3.63</v>
      </c>
      <c r="T308" s="24"/>
      <c r="U308" s="27"/>
      <c r="V308" s="27"/>
      <c r="W308" s="24"/>
      <c r="X308" s="24">
        <v>13</v>
      </c>
      <c r="Y308" s="24">
        <f t="shared" si="43"/>
        <v>13</v>
      </c>
      <c r="Z308" s="24">
        <f t="shared" si="44"/>
        <v>35.620000000000005</v>
      </c>
      <c r="AA308" s="24">
        <f t="shared" si="38"/>
        <v>59</v>
      </c>
      <c r="AB308" s="24">
        <f t="shared" si="38"/>
        <v>70.210000000000008</v>
      </c>
      <c r="AC308" s="28">
        <f t="shared" si="45"/>
        <v>347805</v>
      </c>
      <c r="AD308" s="28">
        <f t="shared" si="45"/>
        <v>413888</v>
      </c>
    </row>
    <row r="309" spans="1:30">
      <c r="A309" s="22" t="s">
        <v>589</v>
      </c>
      <c r="B309" s="22" t="s">
        <v>638</v>
      </c>
      <c r="C309" s="23" t="s">
        <v>639</v>
      </c>
      <c r="D309" s="16">
        <v>5883</v>
      </c>
      <c r="E309" s="24">
        <v>20</v>
      </c>
      <c r="F309" s="24"/>
      <c r="G309" s="24"/>
      <c r="H309" s="24"/>
      <c r="I309" s="24"/>
      <c r="J309" s="24"/>
      <c r="K309" s="24">
        <f t="shared" si="39"/>
        <v>20</v>
      </c>
      <c r="L309" s="24">
        <f t="shared" si="40"/>
        <v>14.399999999999999</v>
      </c>
      <c r="M309" s="25"/>
      <c r="N309" s="26"/>
      <c r="O309" s="26">
        <v>1</v>
      </c>
      <c r="P309" s="25"/>
      <c r="Q309" s="25">
        <v>9</v>
      </c>
      <c r="R309" s="25">
        <f t="shared" si="41"/>
        <v>10</v>
      </c>
      <c r="S309" s="25">
        <f t="shared" si="42"/>
        <v>12.1</v>
      </c>
      <c r="T309" s="24"/>
      <c r="U309" s="27"/>
      <c r="V309" s="27">
        <v>1</v>
      </c>
      <c r="W309" s="24"/>
      <c r="X309" s="24">
        <v>10</v>
      </c>
      <c r="Y309" s="24">
        <f t="shared" si="43"/>
        <v>11</v>
      </c>
      <c r="Z309" s="24">
        <f t="shared" si="44"/>
        <v>30.14</v>
      </c>
      <c r="AA309" s="24">
        <f t="shared" si="38"/>
        <v>41</v>
      </c>
      <c r="AB309" s="24">
        <f t="shared" si="38"/>
        <v>56.64</v>
      </c>
      <c r="AC309" s="28">
        <f t="shared" si="45"/>
        <v>241203</v>
      </c>
      <c r="AD309" s="28">
        <f t="shared" si="45"/>
        <v>333213</v>
      </c>
    </row>
    <row r="310" spans="1:30">
      <c r="A310" s="22" t="s">
        <v>589</v>
      </c>
      <c r="B310" s="22" t="s">
        <v>640</v>
      </c>
      <c r="C310" s="23" t="s">
        <v>641</v>
      </c>
      <c r="D310" s="16">
        <v>5883</v>
      </c>
      <c r="E310" s="24">
        <v>26</v>
      </c>
      <c r="F310" s="24"/>
      <c r="G310" s="24"/>
      <c r="H310" s="24"/>
      <c r="I310" s="24"/>
      <c r="J310" s="24"/>
      <c r="K310" s="24">
        <f t="shared" si="39"/>
        <v>26</v>
      </c>
      <c r="L310" s="24">
        <f t="shared" si="40"/>
        <v>18.72</v>
      </c>
      <c r="M310" s="25"/>
      <c r="N310" s="26"/>
      <c r="O310" s="26">
        <v>1</v>
      </c>
      <c r="P310" s="25"/>
      <c r="Q310" s="25">
        <v>10</v>
      </c>
      <c r="R310" s="25">
        <f t="shared" si="41"/>
        <v>11</v>
      </c>
      <c r="S310" s="25">
        <f t="shared" si="42"/>
        <v>13.309999999999999</v>
      </c>
      <c r="T310" s="24"/>
      <c r="U310" s="27"/>
      <c r="V310" s="27"/>
      <c r="W310" s="24"/>
      <c r="X310" s="24">
        <v>2</v>
      </c>
      <c r="Y310" s="24">
        <f t="shared" si="43"/>
        <v>2</v>
      </c>
      <c r="Z310" s="24">
        <f t="shared" si="44"/>
        <v>5.48</v>
      </c>
      <c r="AA310" s="24">
        <f t="shared" si="38"/>
        <v>39</v>
      </c>
      <c r="AB310" s="24">
        <f t="shared" si="38"/>
        <v>37.51</v>
      </c>
      <c r="AC310" s="28">
        <f t="shared" si="45"/>
        <v>229437</v>
      </c>
      <c r="AD310" s="28">
        <f t="shared" si="45"/>
        <v>220671</v>
      </c>
    </row>
    <row r="311" spans="1:30">
      <c r="A311" s="22" t="s">
        <v>589</v>
      </c>
      <c r="B311" s="22" t="s">
        <v>642</v>
      </c>
      <c r="C311" s="23" t="s">
        <v>643</v>
      </c>
      <c r="D311" s="16">
        <v>5915</v>
      </c>
      <c r="E311" s="24">
        <v>66</v>
      </c>
      <c r="F311" s="24"/>
      <c r="G311" s="24"/>
      <c r="H311" s="24"/>
      <c r="I311" s="24"/>
      <c r="J311" s="24"/>
      <c r="K311" s="24">
        <f t="shared" si="39"/>
        <v>66</v>
      </c>
      <c r="L311" s="24">
        <f t="shared" si="40"/>
        <v>47.519999999999996</v>
      </c>
      <c r="M311" s="25"/>
      <c r="N311" s="26">
        <v>1</v>
      </c>
      <c r="O311" s="26">
        <v>5</v>
      </c>
      <c r="P311" s="25"/>
      <c r="Q311" s="25">
        <v>6</v>
      </c>
      <c r="R311" s="25">
        <f t="shared" si="41"/>
        <v>12</v>
      </c>
      <c r="S311" s="25">
        <f t="shared" si="42"/>
        <v>13.919999999999998</v>
      </c>
      <c r="T311" s="24"/>
      <c r="U311" s="27"/>
      <c r="V311" s="27"/>
      <c r="W311" s="24">
        <v>1</v>
      </c>
      <c r="X311" s="24">
        <v>9</v>
      </c>
      <c r="Y311" s="24">
        <f t="shared" si="43"/>
        <v>10</v>
      </c>
      <c r="Z311" s="24">
        <f t="shared" si="44"/>
        <v>26.030000000000005</v>
      </c>
      <c r="AA311" s="24">
        <f t="shared" si="38"/>
        <v>88</v>
      </c>
      <c r="AB311" s="24">
        <f t="shared" si="38"/>
        <v>87.47</v>
      </c>
      <c r="AC311" s="28">
        <f t="shared" si="45"/>
        <v>520520</v>
      </c>
      <c r="AD311" s="28">
        <f t="shared" si="45"/>
        <v>517385</v>
      </c>
    </row>
    <row r="312" spans="1:30">
      <c r="A312" s="22" t="s">
        <v>589</v>
      </c>
      <c r="B312" s="22" t="s">
        <v>644</v>
      </c>
      <c r="C312" s="23" t="s">
        <v>645</v>
      </c>
      <c r="D312" s="16">
        <v>5883</v>
      </c>
      <c r="E312" s="24">
        <v>36</v>
      </c>
      <c r="F312" s="24"/>
      <c r="G312" s="24"/>
      <c r="H312" s="24"/>
      <c r="I312" s="24"/>
      <c r="J312" s="24"/>
      <c r="K312" s="24">
        <f t="shared" si="39"/>
        <v>36</v>
      </c>
      <c r="L312" s="24">
        <f t="shared" si="40"/>
        <v>25.919999999999998</v>
      </c>
      <c r="M312" s="25"/>
      <c r="N312" s="26">
        <v>4</v>
      </c>
      <c r="O312" s="26"/>
      <c r="P312" s="25"/>
      <c r="Q312" s="25">
        <v>8</v>
      </c>
      <c r="R312" s="25">
        <f t="shared" si="41"/>
        <v>12</v>
      </c>
      <c r="S312" s="25">
        <f t="shared" si="42"/>
        <v>12.12</v>
      </c>
      <c r="T312" s="24"/>
      <c r="U312" s="27"/>
      <c r="V312" s="27">
        <v>2</v>
      </c>
      <c r="W312" s="24"/>
      <c r="X312" s="24">
        <v>7</v>
      </c>
      <c r="Y312" s="24">
        <f t="shared" si="43"/>
        <v>9</v>
      </c>
      <c r="Z312" s="24">
        <f t="shared" si="44"/>
        <v>24.660000000000004</v>
      </c>
      <c r="AA312" s="24">
        <f t="shared" si="38"/>
        <v>57</v>
      </c>
      <c r="AB312" s="24">
        <f t="shared" si="38"/>
        <v>62.7</v>
      </c>
      <c r="AC312" s="28">
        <f t="shared" si="45"/>
        <v>335331</v>
      </c>
      <c r="AD312" s="28">
        <f t="shared" si="45"/>
        <v>368864</v>
      </c>
    </row>
    <row r="313" spans="1:30">
      <c r="A313" s="22" t="s">
        <v>589</v>
      </c>
      <c r="B313" s="22" t="s">
        <v>646</v>
      </c>
      <c r="C313" s="23" t="s">
        <v>647</v>
      </c>
      <c r="D313" s="16">
        <v>5883</v>
      </c>
      <c r="E313" s="24">
        <v>17</v>
      </c>
      <c r="F313" s="24"/>
      <c r="G313" s="24"/>
      <c r="H313" s="24"/>
      <c r="I313" s="24"/>
      <c r="J313" s="24"/>
      <c r="K313" s="24">
        <f t="shared" si="39"/>
        <v>17</v>
      </c>
      <c r="L313" s="24">
        <f t="shared" si="40"/>
        <v>12.24</v>
      </c>
      <c r="M313" s="25"/>
      <c r="N313" s="26">
        <v>1</v>
      </c>
      <c r="O313" s="26"/>
      <c r="P313" s="25"/>
      <c r="Q313" s="25">
        <v>2</v>
      </c>
      <c r="R313" s="25">
        <f t="shared" si="41"/>
        <v>3</v>
      </c>
      <c r="S313" s="25">
        <f t="shared" si="42"/>
        <v>3.03</v>
      </c>
      <c r="T313" s="24"/>
      <c r="U313" s="27"/>
      <c r="V313" s="27"/>
      <c r="W313" s="24"/>
      <c r="X313" s="24">
        <v>1</v>
      </c>
      <c r="Y313" s="24">
        <f t="shared" si="43"/>
        <v>1</v>
      </c>
      <c r="Z313" s="24">
        <f t="shared" si="44"/>
        <v>2.74</v>
      </c>
      <c r="AA313" s="24">
        <f t="shared" si="38"/>
        <v>21</v>
      </c>
      <c r="AB313" s="24">
        <f t="shared" si="38"/>
        <v>18.009999999999998</v>
      </c>
      <c r="AC313" s="28">
        <f t="shared" si="45"/>
        <v>123543</v>
      </c>
      <c r="AD313" s="28">
        <f t="shared" si="45"/>
        <v>105953</v>
      </c>
    </row>
    <row r="314" spans="1:30">
      <c r="A314" s="22" t="s">
        <v>589</v>
      </c>
      <c r="B314" s="22" t="s">
        <v>648</v>
      </c>
      <c r="C314" s="23" t="s">
        <v>649</v>
      </c>
      <c r="D314" s="16">
        <v>6053</v>
      </c>
      <c r="E314" s="24">
        <v>61</v>
      </c>
      <c r="F314" s="24">
        <v>1</v>
      </c>
      <c r="G314" s="24"/>
      <c r="H314" s="24">
        <v>1</v>
      </c>
      <c r="I314" s="24"/>
      <c r="J314" s="24"/>
      <c r="K314" s="24">
        <f t="shared" si="39"/>
        <v>63</v>
      </c>
      <c r="L314" s="24">
        <f t="shared" si="40"/>
        <v>45.36</v>
      </c>
      <c r="M314" s="25"/>
      <c r="N314" s="26"/>
      <c r="O314" s="26">
        <v>1</v>
      </c>
      <c r="P314" s="25"/>
      <c r="Q314" s="25">
        <v>11</v>
      </c>
      <c r="R314" s="25">
        <f t="shared" si="41"/>
        <v>12</v>
      </c>
      <c r="S314" s="25">
        <f t="shared" si="42"/>
        <v>14.52</v>
      </c>
      <c r="T314" s="24"/>
      <c r="U314" s="27"/>
      <c r="V314" s="27">
        <v>1</v>
      </c>
      <c r="W314" s="24"/>
      <c r="X314" s="24">
        <v>6</v>
      </c>
      <c r="Y314" s="24">
        <f t="shared" si="43"/>
        <v>7</v>
      </c>
      <c r="Z314" s="24">
        <f t="shared" si="44"/>
        <v>19.18</v>
      </c>
      <c r="AA314" s="24">
        <f t="shared" si="38"/>
        <v>82</v>
      </c>
      <c r="AB314" s="24">
        <f t="shared" si="38"/>
        <v>79.06</v>
      </c>
      <c r="AC314" s="28">
        <f t="shared" si="45"/>
        <v>496346</v>
      </c>
      <c r="AD314" s="28">
        <f t="shared" si="45"/>
        <v>478550</v>
      </c>
    </row>
    <row r="315" spans="1:30" ht="12" thickBot="1">
      <c r="A315" s="22" t="s">
        <v>589</v>
      </c>
      <c r="B315" s="22" t="s">
        <v>650</v>
      </c>
      <c r="C315" s="23" t="s">
        <v>651</v>
      </c>
      <c r="D315" s="16">
        <v>5883</v>
      </c>
      <c r="E315" s="24">
        <v>39</v>
      </c>
      <c r="F315" s="24"/>
      <c r="G315" s="24"/>
      <c r="H315" s="24"/>
      <c r="I315" s="24"/>
      <c r="J315" s="24"/>
      <c r="K315" s="24">
        <f t="shared" si="39"/>
        <v>39</v>
      </c>
      <c r="L315" s="24">
        <f t="shared" si="40"/>
        <v>28.08</v>
      </c>
      <c r="M315" s="25"/>
      <c r="N315" s="26"/>
      <c r="O315" s="26">
        <v>6</v>
      </c>
      <c r="P315" s="25"/>
      <c r="Q315" s="25">
        <v>5</v>
      </c>
      <c r="R315" s="25">
        <f t="shared" si="41"/>
        <v>11</v>
      </c>
      <c r="S315" s="25">
        <f t="shared" si="42"/>
        <v>13.309999999999999</v>
      </c>
      <c r="T315" s="24"/>
      <c r="U315" s="27"/>
      <c r="V315" s="27"/>
      <c r="W315" s="24"/>
      <c r="X315" s="24">
        <v>5</v>
      </c>
      <c r="Y315" s="24">
        <f t="shared" si="43"/>
        <v>5</v>
      </c>
      <c r="Z315" s="24">
        <f t="shared" si="44"/>
        <v>13.700000000000001</v>
      </c>
      <c r="AA315" s="24">
        <f t="shared" si="38"/>
        <v>55</v>
      </c>
      <c r="AB315" s="24">
        <f t="shared" si="38"/>
        <v>55.089999999999996</v>
      </c>
      <c r="AC315" s="28">
        <f t="shared" si="45"/>
        <v>323565</v>
      </c>
      <c r="AD315" s="28">
        <f t="shared" si="45"/>
        <v>324094</v>
      </c>
    </row>
    <row r="316" spans="1:30" ht="12" thickBot="1">
      <c r="A316" s="34"/>
      <c r="B316" s="35"/>
      <c r="C316" s="36" t="s">
        <v>652</v>
      </c>
      <c r="D316" s="37"/>
      <c r="E316" s="38">
        <f>SUM(E285:E315)</f>
        <v>2599</v>
      </c>
      <c r="F316" s="38">
        <f t="shared" ref="F316:AB316" si="48">SUM(F285:F315)</f>
        <v>1</v>
      </c>
      <c r="G316" s="38">
        <f t="shared" si="48"/>
        <v>0</v>
      </c>
      <c r="H316" s="38">
        <f t="shared" si="48"/>
        <v>2</v>
      </c>
      <c r="I316" s="38">
        <f t="shared" si="48"/>
        <v>0</v>
      </c>
      <c r="J316" s="38">
        <f t="shared" si="48"/>
        <v>0</v>
      </c>
      <c r="K316" s="38">
        <f t="shared" si="48"/>
        <v>2602</v>
      </c>
      <c r="L316" s="38">
        <f t="shared" si="48"/>
        <v>1873.4400000000003</v>
      </c>
      <c r="M316" s="38">
        <f t="shared" si="48"/>
        <v>0</v>
      </c>
      <c r="N316" s="39">
        <f t="shared" si="48"/>
        <v>60</v>
      </c>
      <c r="O316" s="39">
        <f t="shared" si="48"/>
        <v>126</v>
      </c>
      <c r="P316" s="38">
        <f t="shared" si="48"/>
        <v>1</v>
      </c>
      <c r="Q316" s="38">
        <f t="shared" si="48"/>
        <v>547</v>
      </c>
      <c r="R316" s="38">
        <f t="shared" si="48"/>
        <v>734</v>
      </c>
      <c r="S316" s="38">
        <f t="shared" si="48"/>
        <v>851.53999999999974</v>
      </c>
      <c r="T316" s="38">
        <f t="shared" si="48"/>
        <v>0</v>
      </c>
      <c r="U316" s="40">
        <f t="shared" si="48"/>
        <v>8</v>
      </c>
      <c r="V316" s="40">
        <f t="shared" si="48"/>
        <v>33</v>
      </c>
      <c r="W316" s="38">
        <f t="shared" si="48"/>
        <v>2</v>
      </c>
      <c r="X316" s="38">
        <f t="shared" si="48"/>
        <v>477</v>
      </c>
      <c r="Y316" s="38">
        <f t="shared" si="48"/>
        <v>520</v>
      </c>
      <c r="Z316" s="38">
        <f t="shared" si="48"/>
        <v>1411.1000000000008</v>
      </c>
      <c r="AA316" s="38">
        <f t="shared" si="48"/>
        <v>3856</v>
      </c>
      <c r="AB316" s="41">
        <f t="shared" si="48"/>
        <v>4136.08</v>
      </c>
      <c r="AC316" s="42">
        <f>SUM(AC285:AC315)</f>
        <v>22846449</v>
      </c>
      <c r="AD316" s="43">
        <f>SUM(AD285:AD315)</f>
        <v>24509488</v>
      </c>
    </row>
    <row r="317" spans="1:30">
      <c r="A317" s="22" t="s">
        <v>653</v>
      </c>
      <c r="B317" s="22" t="s">
        <v>654</v>
      </c>
      <c r="C317" s="23" t="s">
        <v>655</v>
      </c>
      <c r="D317" s="16">
        <v>5883</v>
      </c>
      <c r="E317" s="24">
        <v>67</v>
      </c>
      <c r="F317" s="24">
        <v>1</v>
      </c>
      <c r="G317" s="24"/>
      <c r="H317" s="24"/>
      <c r="I317" s="24"/>
      <c r="J317" s="24"/>
      <c r="K317" s="24">
        <f t="shared" si="39"/>
        <v>68</v>
      </c>
      <c r="L317" s="24">
        <f t="shared" si="40"/>
        <v>48.96</v>
      </c>
      <c r="M317" s="25"/>
      <c r="N317" s="26">
        <v>1</v>
      </c>
      <c r="O317" s="26">
        <v>3</v>
      </c>
      <c r="P317" s="25"/>
      <c r="Q317" s="25">
        <v>6</v>
      </c>
      <c r="R317" s="25">
        <f t="shared" si="41"/>
        <v>10</v>
      </c>
      <c r="S317" s="25">
        <f t="shared" si="42"/>
        <v>11.5</v>
      </c>
      <c r="T317" s="24"/>
      <c r="U317" s="27"/>
      <c r="V317" s="27"/>
      <c r="W317" s="24"/>
      <c r="X317" s="24">
        <v>9</v>
      </c>
      <c r="Y317" s="24">
        <f t="shared" si="43"/>
        <v>9</v>
      </c>
      <c r="Z317" s="24">
        <f t="shared" si="44"/>
        <v>24.660000000000004</v>
      </c>
      <c r="AA317" s="24">
        <f t="shared" si="38"/>
        <v>87</v>
      </c>
      <c r="AB317" s="24">
        <f t="shared" si="38"/>
        <v>85.12</v>
      </c>
      <c r="AC317" s="28">
        <f t="shared" si="45"/>
        <v>511821</v>
      </c>
      <c r="AD317" s="28">
        <f t="shared" si="45"/>
        <v>500761</v>
      </c>
    </row>
    <row r="318" spans="1:30">
      <c r="A318" s="22" t="s">
        <v>653</v>
      </c>
      <c r="B318" s="22" t="s">
        <v>656</v>
      </c>
      <c r="C318" s="23" t="s">
        <v>657</v>
      </c>
      <c r="D318" s="16">
        <v>5883</v>
      </c>
      <c r="E318" s="24">
        <v>70</v>
      </c>
      <c r="F318" s="24"/>
      <c r="G318" s="24"/>
      <c r="H318" s="24"/>
      <c r="I318" s="24"/>
      <c r="J318" s="24"/>
      <c r="K318" s="24">
        <f t="shared" si="39"/>
        <v>70</v>
      </c>
      <c r="L318" s="24">
        <f t="shared" si="40"/>
        <v>50.4</v>
      </c>
      <c r="M318" s="25"/>
      <c r="N318" s="26"/>
      <c r="O318" s="26">
        <v>8</v>
      </c>
      <c r="P318" s="25"/>
      <c r="Q318" s="25">
        <v>13</v>
      </c>
      <c r="R318" s="25">
        <f t="shared" si="41"/>
        <v>21</v>
      </c>
      <c r="S318" s="25">
        <f t="shared" si="42"/>
        <v>25.41</v>
      </c>
      <c r="T318" s="24"/>
      <c r="U318" s="27"/>
      <c r="V318" s="27"/>
      <c r="W318" s="24"/>
      <c r="X318" s="24">
        <v>7</v>
      </c>
      <c r="Y318" s="24">
        <f t="shared" si="43"/>
        <v>7</v>
      </c>
      <c r="Z318" s="24">
        <f t="shared" si="44"/>
        <v>19.18</v>
      </c>
      <c r="AA318" s="24">
        <f t="shared" si="38"/>
        <v>98</v>
      </c>
      <c r="AB318" s="24">
        <f t="shared" si="38"/>
        <v>94.990000000000009</v>
      </c>
      <c r="AC318" s="28">
        <f t="shared" si="45"/>
        <v>576534</v>
      </c>
      <c r="AD318" s="28">
        <f t="shared" si="45"/>
        <v>558826</v>
      </c>
    </row>
    <row r="319" spans="1:30">
      <c r="A319" s="22" t="s">
        <v>653</v>
      </c>
      <c r="B319" s="22" t="s">
        <v>658</v>
      </c>
      <c r="C319" s="23" t="s">
        <v>659</v>
      </c>
      <c r="D319" s="16">
        <v>5883</v>
      </c>
      <c r="E319" s="24">
        <v>136</v>
      </c>
      <c r="F319" s="24"/>
      <c r="G319" s="24"/>
      <c r="H319" s="24"/>
      <c r="I319" s="24"/>
      <c r="J319" s="24"/>
      <c r="K319" s="24">
        <f t="shared" si="39"/>
        <v>136</v>
      </c>
      <c r="L319" s="24">
        <f t="shared" si="40"/>
        <v>97.92</v>
      </c>
      <c r="M319" s="25"/>
      <c r="N319" s="26">
        <v>4</v>
      </c>
      <c r="O319" s="26">
        <v>9</v>
      </c>
      <c r="P319" s="25"/>
      <c r="Q319" s="25">
        <v>44</v>
      </c>
      <c r="R319" s="25">
        <f t="shared" si="41"/>
        <v>57</v>
      </c>
      <c r="S319" s="25">
        <f t="shared" si="42"/>
        <v>66.569999999999993</v>
      </c>
      <c r="T319" s="24"/>
      <c r="U319" s="27">
        <v>1</v>
      </c>
      <c r="V319" s="27"/>
      <c r="W319" s="24"/>
      <c r="X319" s="24">
        <v>9</v>
      </c>
      <c r="Y319" s="24">
        <f t="shared" si="43"/>
        <v>10</v>
      </c>
      <c r="Z319" s="24">
        <f t="shared" si="44"/>
        <v>26.030000000000005</v>
      </c>
      <c r="AA319" s="24">
        <f t="shared" si="38"/>
        <v>203</v>
      </c>
      <c r="AB319" s="24">
        <f t="shared" si="38"/>
        <v>190.51999999999998</v>
      </c>
      <c r="AC319" s="28">
        <f t="shared" si="45"/>
        <v>1194249</v>
      </c>
      <c r="AD319" s="28">
        <f t="shared" si="45"/>
        <v>1120829</v>
      </c>
    </row>
    <row r="320" spans="1:30">
      <c r="A320" s="22" t="s">
        <v>653</v>
      </c>
      <c r="B320" s="22" t="s">
        <v>660</v>
      </c>
      <c r="C320" s="23" t="s">
        <v>661</v>
      </c>
      <c r="D320" s="16">
        <v>5895</v>
      </c>
      <c r="E320" s="24">
        <v>8</v>
      </c>
      <c r="F320" s="24"/>
      <c r="G320" s="24"/>
      <c r="H320" s="24"/>
      <c r="I320" s="24"/>
      <c r="J320" s="24"/>
      <c r="K320" s="24">
        <f t="shared" si="39"/>
        <v>8</v>
      </c>
      <c r="L320" s="24">
        <f t="shared" si="40"/>
        <v>5.76</v>
      </c>
      <c r="M320" s="25"/>
      <c r="N320" s="26"/>
      <c r="O320" s="26"/>
      <c r="P320" s="25"/>
      <c r="Q320" s="25"/>
      <c r="R320" s="25">
        <f t="shared" si="41"/>
        <v>0</v>
      </c>
      <c r="S320" s="25">
        <f t="shared" si="42"/>
        <v>0</v>
      </c>
      <c r="T320" s="24"/>
      <c r="U320" s="27"/>
      <c r="V320" s="27"/>
      <c r="W320" s="24"/>
      <c r="X320" s="24">
        <v>1</v>
      </c>
      <c r="Y320" s="24">
        <f t="shared" si="43"/>
        <v>1</v>
      </c>
      <c r="Z320" s="24">
        <f t="shared" si="44"/>
        <v>2.74</v>
      </c>
      <c r="AA320" s="24">
        <f t="shared" si="38"/>
        <v>9</v>
      </c>
      <c r="AB320" s="24">
        <f t="shared" si="38"/>
        <v>8.5</v>
      </c>
      <c r="AC320" s="28">
        <f t="shared" si="45"/>
        <v>53055</v>
      </c>
      <c r="AD320" s="28">
        <f t="shared" si="45"/>
        <v>50108</v>
      </c>
    </row>
    <row r="321" spans="1:30">
      <c r="A321" s="22" t="s">
        <v>653</v>
      </c>
      <c r="B321" s="22" t="s">
        <v>662</v>
      </c>
      <c r="C321" s="23" t="s">
        <v>663</v>
      </c>
      <c r="D321" s="16">
        <v>5930</v>
      </c>
      <c r="E321" s="24">
        <v>47</v>
      </c>
      <c r="F321" s="24"/>
      <c r="G321" s="24"/>
      <c r="H321" s="24"/>
      <c r="I321" s="24"/>
      <c r="J321" s="24"/>
      <c r="K321" s="24">
        <f t="shared" si="39"/>
        <v>47</v>
      </c>
      <c r="L321" s="24">
        <f t="shared" si="40"/>
        <v>33.839999999999996</v>
      </c>
      <c r="M321" s="25"/>
      <c r="N321" s="26"/>
      <c r="O321" s="26">
        <v>1</v>
      </c>
      <c r="P321" s="25"/>
      <c r="Q321" s="25">
        <v>8</v>
      </c>
      <c r="R321" s="25">
        <f t="shared" si="41"/>
        <v>9</v>
      </c>
      <c r="S321" s="25">
        <f t="shared" si="42"/>
        <v>10.89</v>
      </c>
      <c r="T321" s="24"/>
      <c r="U321" s="27"/>
      <c r="V321" s="27">
        <v>2</v>
      </c>
      <c r="W321" s="24"/>
      <c r="X321" s="24">
        <v>7</v>
      </c>
      <c r="Y321" s="24">
        <f t="shared" si="43"/>
        <v>9</v>
      </c>
      <c r="Z321" s="24">
        <f t="shared" si="44"/>
        <v>24.660000000000004</v>
      </c>
      <c r="AA321" s="24">
        <f t="shared" si="38"/>
        <v>65</v>
      </c>
      <c r="AB321" s="24">
        <f t="shared" si="38"/>
        <v>69.39</v>
      </c>
      <c r="AC321" s="28">
        <f t="shared" si="45"/>
        <v>385450</v>
      </c>
      <c r="AD321" s="28">
        <f t="shared" si="45"/>
        <v>411483</v>
      </c>
    </row>
    <row r="322" spans="1:30">
      <c r="A322" s="22" t="s">
        <v>653</v>
      </c>
      <c r="B322" s="22" t="s">
        <v>664</v>
      </c>
      <c r="C322" s="23" t="s">
        <v>665</v>
      </c>
      <c r="D322" s="16">
        <v>5883</v>
      </c>
      <c r="E322" s="24">
        <v>2</v>
      </c>
      <c r="F322" s="24"/>
      <c r="G322" s="24"/>
      <c r="H322" s="24">
        <v>67</v>
      </c>
      <c r="I322" s="24"/>
      <c r="J322" s="24">
        <v>47</v>
      </c>
      <c r="K322" s="24">
        <f t="shared" si="39"/>
        <v>116</v>
      </c>
      <c r="L322" s="24">
        <f t="shared" si="40"/>
        <v>83.52</v>
      </c>
      <c r="M322" s="25">
        <v>3</v>
      </c>
      <c r="N322" s="26">
        <v>8</v>
      </c>
      <c r="O322" s="26">
        <v>1</v>
      </c>
      <c r="P322" s="25"/>
      <c r="Q322" s="25">
        <v>42</v>
      </c>
      <c r="R322" s="25">
        <f t="shared" si="41"/>
        <v>54</v>
      </c>
      <c r="S322" s="25">
        <f t="shared" si="42"/>
        <v>60.54</v>
      </c>
      <c r="T322" s="24"/>
      <c r="U322" s="27"/>
      <c r="V322" s="27">
        <v>1</v>
      </c>
      <c r="W322" s="24"/>
      <c r="X322" s="24">
        <v>13</v>
      </c>
      <c r="Y322" s="24">
        <f t="shared" si="43"/>
        <v>14</v>
      </c>
      <c r="Z322" s="24">
        <f t="shared" si="44"/>
        <v>38.36</v>
      </c>
      <c r="AA322" s="24">
        <f t="shared" si="38"/>
        <v>184</v>
      </c>
      <c r="AB322" s="24">
        <f t="shared" si="38"/>
        <v>182.42000000000002</v>
      </c>
      <c r="AC322" s="28">
        <f t="shared" si="45"/>
        <v>1082472</v>
      </c>
      <c r="AD322" s="28">
        <f t="shared" si="45"/>
        <v>1073177</v>
      </c>
    </row>
    <row r="323" spans="1:30">
      <c r="A323" s="22" t="s">
        <v>653</v>
      </c>
      <c r="B323" s="22" t="s">
        <v>666</v>
      </c>
      <c r="C323" s="23" t="s">
        <v>667</v>
      </c>
      <c r="D323" s="16">
        <v>5894</v>
      </c>
      <c r="E323" s="24">
        <v>9</v>
      </c>
      <c r="F323" s="24"/>
      <c r="G323" s="24"/>
      <c r="H323" s="24"/>
      <c r="I323" s="24"/>
      <c r="J323" s="24"/>
      <c r="K323" s="24">
        <f t="shared" si="39"/>
        <v>9</v>
      </c>
      <c r="L323" s="24">
        <f t="shared" si="40"/>
        <v>6.4799999999999995</v>
      </c>
      <c r="M323" s="25"/>
      <c r="N323" s="26"/>
      <c r="O323" s="26"/>
      <c r="P323" s="25"/>
      <c r="Q323" s="25">
        <v>1</v>
      </c>
      <c r="R323" s="25">
        <f t="shared" si="41"/>
        <v>1</v>
      </c>
      <c r="S323" s="25">
        <f t="shared" si="42"/>
        <v>1.21</v>
      </c>
      <c r="T323" s="24"/>
      <c r="U323" s="27"/>
      <c r="V323" s="27"/>
      <c r="W323" s="24"/>
      <c r="X323" s="24">
        <v>4</v>
      </c>
      <c r="Y323" s="24">
        <f t="shared" si="43"/>
        <v>4</v>
      </c>
      <c r="Z323" s="24">
        <f t="shared" si="44"/>
        <v>10.96</v>
      </c>
      <c r="AA323" s="24">
        <f t="shared" ref="AA323:AB371" si="49">+Y323+R323+K323</f>
        <v>14</v>
      </c>
      <c r="AB323" s="24">
        <f t="shared" si="49"/>
        <v>18.650000000000002</v>
      </c>
      <c r="AC323" s="28">
        <f t="shared" si="45"/>
        <v>82516</v>
      </c>
      <c r="AD323" s="28">
        <f t="shared" si="45"/>
        <v>109923</v>
      </c>
    </row>
    <row r="324" spans="1:30">
      <c r="A324" s="22" t="s">
        <v>653</v>
      </c>
      <c r="B324" s="22" t="s">
        <v>668</v>
      </c>
      <c r="C324" s="23" t="s">
        <v>669</v>
      </c>
      <c r="D324" s="16">
        <v>5907</v>
      </c>
      <c r="E324" s="24">
        <v>50</v>
      </c>
      <c r="F324" s="24"/>
      <c r="G324" s="24"/>
      <c r="H324" s="24"/>
      <c r="I324" s="24"/>
      <c r="J324" s="24"/>
      <c r="K324" s="24">
        <f t="shared" si="39"/>
        <v>50</v>
      </c>
      <c r="L324" s="24">
        <f t="shared" si="40"/>
        <v>36</v>
      </c>
      <c r="M324" s="25"/>
      <c r="N324" s="26"/>
      <c r="O324" s="26"/>
      <c r="P324" s="25"/>
      <c r="Q324" s="25">
        <v>7</v>
      </c>
      <c r="R324" s="25">
        <f t="shared" si="41"/>
        <v>7</v>
      </c>
      <c r="S324" s="25">
        <f t="shared" si="42"/>
        <v>8.4699999999999989</v>
      </c>
      <c r="T324" s="24"/>
      <c r="U324" s="27"/>
      <c r="V324" s="27">
        <v>1</v>
      </c>
      <c r="W324" s="24"/>
      <c r="X324" s="24">
        <v>6</v>
      </c>
      <c r="Y324" s="24">
        <f t="shared" si="43"/>
        <v>7</v>
      </c>
      <c r="Z324" s="24">
        <f t="shared" si="44"/>
        <v>19.18</v>
      </c>
      <c r="AA324" s="24">
        <f t="shared" si="49"/>
        <v>64</v>
      </c>
      <c r="AB324" s="24">
        <f t="shared" si="49"/>
        <v>63.65</v>
      </c>
      <c r="AC324" s="28">
        <f t="shared" si="45"/>
        <v>378048</v>
      </c>
      <c r="AD324" s="28">
        <f t="shared" si="45"/>
        <v>375981</v>
      </c>
    </row>
    <row r="325" spans="1:30">
      <c r="A325" s="22" t="s">
        <v>653</v>
      </c>
      <c r="B325" s="22" t="s">
        <v>670</v>
      </c>
      <c r="C325" s="23" t="s">
        <v>671</v>
      </c>
      <c r="D325" s="16">
        <v>5920</v>
      </c>
      <c r="E325" s="24">
        <v>59</v>
      </c>
      <c r="F325" s="24"/>
      <c r="G325" s="24"/>
      <c r="H325" s="24"/>
      <c r="I325" s="24"/>
      <c r="J325" s="24"/>
      <c r="K325" s="24">
        <f t="shared" ref="K325:K373" si="50">SUM(E325:J325)</f>
        <v>59</v>
      </c>
      <c r="L325" s="24">
        <f t="shared" ref="L325:L373" si="51">+K325*0.72</f>
        <v>42.48</v>
      </c>
      <c r="M325" s="25"/>
      <c r="N325" s="26"/>
      <c r="O325" s="26">
        <v>1</v>
      </c>
      <c r="P325" s="25"/>
      <c r="Q325" s="25">
        <v>24</v>
      </c>
      <c r="R325" s="25">
        <f t="shared" ref="R325:R373" si="52">SUM(M325:Q325)</f>
        <v>25</v>
      </c>
      <c r="S325" s="25">
        <f t="shared" ref="S325:S373" si="53">((+N325 +P325)*0.61+(+M325+O325+Q325)*1.21)</f>
        <v>30.25</v>
      </c>
      <c r="T325" s="24"/>
      <c r="U325" s="27"/>
      <c r="V325" s="27">
        <v>1</v>
      </c>
      <c r="W325" s="24"/>
      <c r="X325" s="24">
        <v>7</v>
      </c>
      <c r="Y325" s="24">
        <f t="shared" ref="Y325:Y373" si="54">SUM(T325:X325)</f>
        <v>8</v>
      </c>
      <c r="Z325" s="24">
        <f t="shared" ref="Z325:Z373" si="55">((+U325 +W325)*1.37+(+T325+V325+X325)*2.74)</f>
        <v>21.92</v>
      </c>
      <c r="AA325" s="24">
        <f t="shared" si="49"/>
        <v>92</v>
      </c>
      <c r="AB325" s="24">
        <f t="shared" si="49"/>
        <v>94.65</v>
      </c>
      <c r="AC325" s="28">
        <f t="shared" ref="AC325:AD373" si="56">ROUND((AA325*$D325),0)</f>
        <v>544640</v>
      </c>
      <c r="AD325" s="28">
        <f t="shared" si="56"/>
        <v>560328</v>
      </c>
    </row>
    <row r="326" spans="1:30">
      <c r="A326" s="22" t="s">
        <v>653</v>
      </c>
      <c r="B326" s="22" t="s">
        <v>672</v>
      </c>
      <c r="C326" s="23" t="s">
        <v>673</v>
      </c>
      <c r="D326" s="16">
        <v>5883</v>
      </c>
      <c r="E326" s="24">
        <v>42</v>
      </c>
      <c r="F326" s="24"/>
      <c r="G326" s="24"/>
      <c r="H326" s="24"/>
      <c r="I326" s="24"/>
      <c r="J326" s="24"/>
      <c r="K326" s="24">
        <f t="shared" si="50"/>
        <v>42</v>
      </c>
      <c r="L326" s="24">
        <f t="shared" si="51"/>
        <v>30.24</v>
      </c>
      <c r="M326" s="25"/>
      <c r="N326" s="26"/>
      <c r="O326" s="26">
        <v>7</v>
      </c>
      <c r="P326" s="25"/>
      <c r="Q326" s="25">
        <v>9</v>
      </c>
      <c r="R326" s="25">
        <f t="shared" si="52"/>
        <v>16</v>
      </c>
      <c r="S326" s="25">
        <f t="shared" si="53"/>
        <v>19.36</v>
      </c>
      <c r="T326" s="24"/>
      <c r="U326" s="27"/>
      <c r="V326" s="27">
        <v>1</v>
      </c>
      <c r="W326" s="24"/>
      <c r="X326" s="24">
        <v>5</v>
      </c>
      <c r="Y326" s="24">
        <f t="shared" si="54"/>
        <v>6</v>
      </c>
      <c r="Z326" s="24">
        <f t="shared" si="55"/>
        <v>16.440000000000001</v>
      </c>
      <c r="AA326" s="24">
        <f t="shared" si="49"/>
        <v>64</v>
      </c>
      <c r="AB326" s="24">
        <f t="shared" si="49"/>
        <v>66.039999999999992</v>
      </c>
      <c r="AC326" s="28">
        <f t="shared" si="56"/>
        <v>376512</v>
      </c>
      <c r="AD326" s="28">
        <f t="shared" si="56"/>
        <v>388513</v>
      </c>
    </row>
    <row r="327" spans="1:30">
      <c r="A327" s="22" t="s">
        <v>653</v>
      </c>
      <c r="B327" s="22" t="s">
        <v>674</v>
      </c>
      <c r="C327" s="23" t="s">
        <v>675</v>
      </c>
      <c r="D327" s="16">
        <v>5883</v>
      </c>
      <c r="E327" s="24">
        <v>30</v>
      </c>
      <c r="F327" s="24"/>
      <c r="G327" s="24"/>
      <c r="H327" s="24"/>
      <c r="I327" s="24"/>
      <c r="J327" s="24"/>
      <c r="K327" s="24">
        <f t="shared" si="50"/>
        <v>30</v>
      </c>
      <c r="L327" s="24">
        <f t="shared" si="51"/>
        <v>21.599999999999998</v>
      </c>
      <c r="M327" s="25"/>
      <c r="N327" s="26"/>
      <c r="O327" s="26">
        <v>1</v>
      </c>
      <c r="P327" s="25"/>
      <c r="Q327" s="25">
        <v>18</v>
      </c>
      <c r="R327" s="25">
        <f t="shared" si="52"/>
        <v>19</v>
      </c>
      <c r="S327" s="25">
        <f t="shared" si="53"/>
        <v>22.99</v>
      </c>
      <c r="T327" s="24">
        <v>1</v>
      </c>
      <c r="U327" s="27"/>
      <c r="V327" s="27"/>
      <c r="W327" s="24"/>
      <c r="X327" s="24">
        <v>6</v>
      </c>
      <c r="Y327" s="24">
        <f t="shared" si="54"/>
        <v>7</v>
      </c>
      <c r="Z327" s="24">
        <f t="shared" si="55"/>
        <v>19.18</v>
      </c>
      <c r="AA327" s="24">
        <f t="shared" si="49"/>
        <v>56</v>
      </c>
      <c r="AB327" s="24">
        <f t="shared" si="49"/>
        <v>63.769999999999996</v>
      </c>
      <c r="AC327" s="28">
        <f t="shared" si="56"/>
        <v>329448</v>
      </c>
      <c r="AD327" s="28">
        <f t="shared" si="56"/>
        <v>375159</v>
      </c>
    </row>
    <row r="328" spans="1:30">
      <c r="A328" s="22" t="s">
        <v>653</v>
      </c>
      <c r="B328" s="22" t="s">
        <v>676</v>
      </c>
      <c r="C328" s="23" t="s">
        <v>677</v>
      </c>
      <c r="D328" s="16">
        <v>5957</v>
      </c>
      <c r="E328" s="24">
        <v>27</v>
      </c>
      <c r="F328" s="24"/>
      <c r="G328" s="24"/>
      <c r="H328" s="24"/>
      <c r="I328" s="24"/>
      <c r="J328" s="24"/>
      <c r="K328" s="24">
        <f t="shared" si="50"/>
        <v>27</v>
      </c>
      <c r="L328" s="24">
        <f t="shared" si="51"/>
        <v>19.439999999999998</v>
      </c>
      <c r="M328" s="25"/>
      <c r="N328" s="26"/>
      <c r="O328" s="26">
        <v>2</v>
      </c>
      <c r="P328" s="25"/>
      <c r="Q328" s="25">
        <v>7</v>
      </c>
      <c r="R328" s="25">
        <f t="shared" si="52"/>
        <v>9</v>
      </c>
      <c r="S328" s="25">
        <f t="shared" si="53"/>
        <v>10.89</v>
      </c>
      <c r="T328" s="24"/>
      <c r="U328" s="27"/>
      <c r="V328" s="27"/>
      <c r="W328" s="24"/>
      <c r="X328" s="24">
        <v>2</v>
      </c>
      <c r="Y328" s="24">
        <f t="shared" si="54"/>
        <v>2</v>
      </c>
      <c r="Z328" s="24">
        <f t="shared" si="55"/>
        <v>5.48</v>
      </c>
      <c r="AA328" s="24">
        <f t="shared" si="49"/>
        <v>38</v>
      </c>
      <c r="AB328" s="24">
        <f t="shared" si="49"/>
        <v>35.81</v>
      </c>
      <c r="AC328" s="28">
        <f t="shared" si="56"/>
        <v>226366</v>
      </c>
      <c r="AD328" s="28">
        <f t="shared" si="56"/>
        <v>213320</v>
      </c>
    </row>
    <row r="329" spans="1:30">
      <c r="A329" s="22" t="s">
        <v>653</v>
      </c>
      <c r="B329" s="22" t="s">
        <v>678</v>
      </c>
      <c r="C329" s="23" t="s">
        <v>679</v>
      </c>
      <c r="D329" s="16">
        <v>5886</v>
      </c>
      <c r="E329" s="24">
        <v>37</v>
      </c>
      <c r="F329" s="24"/>
      <c r="G329" s="24"/>
      <c r="H329" s="24"/>
      <c r="I329" s="24"/>
      <c r="J329" s="24"/>
      <c r="K329" s="24">
        <f t="shared" si="50"/>
        <v>37</v>
      </c>
      <c r="L329" s="24">
        <f t="shared" si="51"/>
        <v>26.64</v>
      </c>
      <c r="M329" s="25"/>
      <c r="N329" s="26">
        <v>3</v>
      </c>
      <c r="O329" s="26">
        <v>14</v>
      </c>
      <c r="P329" s="25"/>
      <c r="Q329" s="25">
        <v>27</v>
      </c>
      <c r="R329" s="25">
        <f t="shared" si="52"/>
        <v>44</v>
      </c>
      <c r="S329" s="25">
        <f t="shared" si="53"/>
        <v>51.44</v>
      </c>
      <c r="T329" s="24"/>
      <c r="U329" s="27"/>
      <c r="V329" s="27">
        <v>1</v>
      </c>
      <c r="W329" s="24"/>
      <c r="X329" s="24">
        <v>14</v>
      </c>
      <c r="Y329" s="24">
        <f t="shared" si="54"/>
        <v>15</v>
      </c>
      <c r="Z329" s="24">
        <f t="shared" si="55"/>
        <v>41.1</v>
      </c>
      <c r="AA329" s="24">
        <f t="shared" si="49"/>
        <v>96</v>
      </c>
      <c r="AB329" s="24">
        <f t="shared" si="49"/>
        <v>119.17999999999999</v>
      </c>
      <c r="AC329" s="28">
        <f t="shared" si="56"/>
        <v>565056</v>
      </c>
      <c r="AD329" s="28">
        <f t="shared" si="56"/>
        <v>701493</v>
      </c>
    </row>
    <row r="330" spans="1:30">
      <c r="A330" s="22" t="s">
        <v>653</v>
      </c>
      <c r="B330" s="22" t="s">
        <v>680</v>
      </c>
      <c r="C330" s="23" t="s">
        <v>681</v>
      </c>
      <c r="D330" s="16">
        <v>5883</v>
      </c>
      <c r="E330" s="24">
        <v>38</v>
      </c>
      <c r="F330" s="24"/>
      <c r="G330" s="24"/>
      <c r="H330" s="24"/>
      <c r="I330" s="24"/>
      <c r="J330" s="24"/>
      <c r="K330" s="24">
        <f t="shared" si="50"/>
        <v>38</v>
      </c>
      <c r="L330" s="24">
        <f t="shared" si="51"/>
        <v>27.36</v>
      </c>
      <c r="M330" s="25"/>
      <c r="N330" s="26">
        <v>1</v>
      </c>
      <c r="O330" s="26">
        <v>2</v>
      </c>
      <c r="P330" s="25"/>
      <c r="Q330" s="25">
        <v>7</v>
      </c>
      <c r="R330" s="25">
        <f t="shared" si="52"/>
        <v>10</v>
      </c>
      <c r="S330" s="25">
        <f t="shared" si="53"/>
        <v>11.5</v>
      </c>
      <c r="T330" s="24"/>
      <c r="U330" s="27"/>
      <c r="V330" s="27"/>
      <c r="W330" s="24"/>
      <c r="X330" s="24">
        <v>2</v>
      </c>
      <c r="Y330" s="24">
        <f t="shared" si="54"/>
        <v>2</v>
      </c>
      <c r="Z330" s="24">
        <f t="shared" si="55"/>
        <v>5.48</v>
      </c>
      <c r="AA330" s="24">
        <f t="shared" si="49"/>
        <v>50</v>
      </c>
      <c r="AB330" s="24">
        <f t="shared" si="49"/>
        <v>44.34</v>
      </c>
      <c r="AC330" s="28">
        <f t="shared" si="56"/>
        <v>294150</v>
      </c>
      <c r="AD330" s="28">
        <f t="shared" si="56"/>
        <v>260852</v>
      </c>
    </row>
    <row r="331" spans="1:30">
      <c r="A331" s="22" t="s">
        <v>653</v>
      </c>
      <c r="B331" s="22" t="s">
        <v>682</v>
      </c>
      <c r="C331" s="23" t="s">
        <v>683</v>
      </c>
      <c r="D331" s="16">
        <v>5883</v>
      </c>
      <c r="E331" s="24">
        <v>17</v>
      </c>
      <c r="F331" s="24"/>
      <c r="G331" s="24"/>
      <c r="H331" s="24">
        <v>1</v>
      </c>
      <c r="I331" s="24"/>
      <c r="J331" s="24"/>
      <c r="K331" s="24">
        <f t="shared" si="50"/>
        <v>18</v>
      </c>
      <c r="L331" s="24">
        <f t="shared" si="51"/>
        <v>12.959999999999999</v>
      </c>
      <c r="M331" s="25"/>
      <c r="N331" s="26"/>
      <c r="O331" s="26"/>
      <c r="P331" s="25"/>
      <c r="Q331" s="25">
        <v>10</v>
      </c>
      <c r="R331" s="25">
        <f t="shared" si="52"/>
        <v>10</v>
      </c>
      <c r="S331" s="25">
        <f t="shared" si="53"/>
        <v>12.1</v>
      </c>
      <c r="T331" s="24"/>
      <c r="U331" s="27"/>
      <c r="V331" s="27">
        <v>1</v>
      </c>
      <c r="W331" s="24"/>
      <c r="X331" s="24">
        <v>1</v>
      </c>
      <c r="Y331" s="24">
        <f t="shared" si="54"/>
        <v>2</v>
      </c>
      <c r="Z331" s="24">
        <f t="shared" si="55"/>
        <v>5.48</v>
      </c>
      <c r="AA331" s="24">
        <f t="shared" si="49"/>
        <v>30</v>
      </c>
      <c r="AB331" s="24">
        <f t="shared" si="49"/>
        <v>30.54</v>
      </c>
      <c r="AC331" s="28">
        <f t="shared" si="56"/>
        <v>176490</v>
      </c>
      <c r="AD331" s="28">
        <f t="shared" si="56"/>
        <v>179667</v>
      </c>
    </row>
    <row r="332" spans="1:30">
      <c r="A332" s="22" t="s">
        <v>653</v>
      </c>
      <c r="B332" s="22" t="s">
        <v>684</v>
      </c>
      <c r="C332" s="23" t="s">
        <v>685</v>
      </c>
      <c r="D332" s="16">
        <v>6058</v>
      </c>
      <c r="E332" s="24">
        <v>6</v>
      </c>
      <c r="F332" s="24"/>
      <c r="G332" s="24"/>
      <c r="H332" s="24"/>
      <c r="I332" s="24"/>
      <c r="J332" s="24"/>
      <c r="K332" s="24">
        <f t="shared" si="50"/>
        <v>6</v>
      </c>
      <c r="L332" s="24">
        <f t="shared" si="51"/>
        <v>4.32</v>
      </c>
      <c r="M332" s="25"/>
      <c r="N332" s="26"/>
      <c r="O332" s="26"/>
      <c r="P332" s="25"/>
      <c r="Q332" s="25">
        <v>2</v>
      </c>
      <c r="R332" s="25">
        <f t="shared" si="52"/>
        <v>2</v>
      </c>
      <c r="S332" s="25">
        <f t="shared" si="53"/>
        <v>2.42</v>
      </c>
      <c r="T332" s="24"/>
      <c r="U332" s="27"/>
      <c r="V332" s="27"/>
      <c r="W332" s="24"/>
      <c r="X332" s="24">
        <v>2</v>
      </c>
      <c r="Y332" s="24">
        <f t="shared" si="54"/>
        <v>2</v>
      </c>
      <c r="Z332" s="24">
        <f t="shared" si="55"/>
        <v>5.48</v>
      </c>
      <c r="AA332" s="24">
        <f t="shared" si="49"/>
        <v>10</v>
      </c>
      <c r="AB332" s="24">
        <f t="shared" si="49"/>
        <v>12.22</v>
      </c>
      <c r="AC332" s="28">
        <f t="shared" si="56"/>
        <v>60580</v>
      </c>
      <c r="AD332" s="28">
        <f t="shared" si="56"/>
        <v>74029</v>
      </c>
    </row>
    <row r="333" spans="1:30">
      <c r="A333" s="22" t="s">
        <v>653</v>
      </c>
      <c r="B333" s="22" t="s">
        <v>686</v>
      </c>
      <c r="C333" s="23" t="s">
        <v>687</v>
      </c>
      <c r="D333" s="16">
        <v>5883</v>
      </c>
      <c r="E333" s="24">
        <v>112</v>
      </c>
      <c r="F333" s="24"/>
      <c r="G333" s="24"/>
      <c r="H333" s="24">
        <v>1</v>
      </c>
      <c r="I333" s="24"/>
      <c r="J333" s="24"/>
      <c r="K333" s="24">
        <f t="shared" si="50"/>
        <v>113</v>
      </c>
      <c r="L333" s="24">
        <f t="shared" si="51"/>
        <v>81.36</v>
      </c>
      <c r="M333" s="25"/>
      <c r="N333" s="26"/>
      <c r="O333" s="26">
        <v>2</v>
      </c>
      <c r="P333" s="25"/>
      <c r="Q333" s="25">
        <v>37</v>
      </c>
      <c r="R333" s="25">
        <f t="shared" si="52"/>
        <v>39</v>
      </c>
      <c r="S333" s="25">
        <f t="shared" si="53"/>
        <v>47.19</v>
      </c>
      <c r="T333" s="24"/>
      <c r="U333" s="27"/>
      <c r="V333" s="27">
        <v>4</v>
      </c>
      <c r="W333" s="24"/>
      <c r="X333" s="24">
        <v>19</v>
      </c>
      <c r="Y333" s="24">
        <f t="shared" si="54"/>
        <v>23</v>
      </c>
      <c r="Z333" s="24">
        <f t="shared" si="55"/>
        <v>63.02</v>
      </c>
      <c r="AA333" s="24">
        <f t="shared" si="49"/>
        <v>175</v>
      </c>
      <c r="AB333" s="24">
        <f t="shared" si="49"/>
        <v>191.57</v>
      </c>
      <c r="AC333" s="28">
        <f t="shared" si="56"/>
        <v>1029525</v>
      </c>
      <c r="AD333" s="28">
        <f t="shared" si="56"/>
        <v>1127006</v>
      </c>
    </row>
    <row r="334" spans="1:30">
      <c r="A334" s="22" t="s">
        <v>653</v>
      </c>
      <c r="B334" s="22" t="s">
        <v>688</v>
      </c>
      <c r="C334" s="23" t="s">
        <v>689</v>
      </c>
      <c r="D334" s="16">
        <v>5883</v>
      </c>
      <c r="E334" s="24">
        <v>19</v>
      </c>
      <c r="F334" s="24"/>
      <c r="G334" s="24"/>
      <c r="H334" s="24">
        <v>1</v>
      </c>
      <c r="I334" s="24"/>
      <c r="J334" s="24"/>
      <c r="K334" s="24">
        <f t="shared" si="50"/>
        <v>20</v>
      </c>
      <c r="L334" s="24">
        <f t="shared" si="51"/>
        <v>14.399999999999999</v>
      </c>
      <c r="M334" s="25"/>
      <c r="N334" s="26"/>
      <c r="O334" s="26"/>
      <c r="P334" s="25"/>
      <c r="Q334" s="25">
        <v>1</v>
      </c>
      <c r="R334" s="25">
        <f t="shared" si="52"/>
        <v>1</v>
      </c>
      <c r="S334" s="25">
        <f t="shared" si="53"/>
        <v>1.21</v>
      </c>
      <c r="T334" s="24"/>
      <c r="U334" s="27"/>
      <c r="V334" s="27"/>
      <c r="W334" s="24"/>
      <c r="X334" s="24">
        <v>2</v>
      </c>
      <c r="Y334" s="24">
        <f t="shared" si="54"/>
        <v>2</v>
      </c>
      <c r="Z334" s="24">
        <f t="shared" si="55"/>
        <v>5.48</v>
      </c>
      <c r="AA334" s="24">
        <f t="shared" si="49"/>
        <v>23</v>
      </c>
      <c r="AB334" s="24">
        <f t="shared" si="49"/>
        <v>21.09</v>
      </c>
      <c r="AC334" s="28">
        <f t="shared" si="56"/>
        <v>135309</v>
      </c>
      <c r="AD334" s="28">
        <f t="shared" si="56"/>
        <v>124072</v>
      </c>
    </row>
    <row r="335" spans="1:30" ht="12" thickBot="1">
      <c r="A335" s="45" t="s">
        <v>653</v>
      </c>
      <c r="B335" s="45" t="s">
        <v>690</v>
      </c>
      <c r="C335" s="46" t="s">
        <v>691</v>
      </c>
      <c r="D335" s="47">
        <v>5883</v>
      </c>
      <c r="E335" s="29">
        <v>38</v>
      </c>
      <c r="F335" s="29"/>
      <c r="G335" s="29"/>
      <c r="H335" s="29"/>
      <c r="I335" s="29"/>
      <c r="J335" s="29"/>
      <c r="K335" s="29">
        <f t="shared" si="50"/>
        <v>38</v>
      </c>
      <c r="L335" s="29">
        <f t="shared" si="51"/>
        <v>27.36</v>
      </c>
      <c r="M335" s="30"/>
      <c r="N335" s="31"/>
      <c r="O335" s="31"/>
      <c r="P335" s="30"/>
      <c r="Q335" s="30">
        <v>10</v>
      </c>
      <c r="R335" s="30">
        <f t="shared" si="52"/>
        <v>10</v>
      </c>
      <c r="S335" s="30">
        <f t="shared" si="53"/>
        <v>12.1</v>
      </c>
      <c r="T335" s="29"/>
      <c r="U335" s="32"/>
      <c r="V335" s="32"/>
      <c r="W335" s="29"/>
      <c r="X335" s="29">
        <v>3</v>
      </c>
      <c r="Y335" s="29">
        <f t="shared" si="54"/>
        <v>3</v>
      </c>
      <c r="Z335" s="29">
        <f t="shared" si="55"/>
        <v>8.2200000000000006</v>
      </c>
      <c r="AA335" s="29">
        <f t="shared" si="49"/>
        <v>51</v>
      </c>
      <c r="AB335" s="29">
        <f t="shared" si="49"/>
        <v>47.68</v>
      </c>
      <c r="AC335" s="33">
        <f t="shared" si="56"/>
        <v>300033</v>
      </c>
      <c r="AD335" s="33">
        <f t="shared" si="56"/>
        <v>280501</v>
      </c>
    </row>
    <row r="336" spans="1:30" ht="12" thickBot="1">
      <c r="A336" s="34"/>
      <c r="B336" s="35"/>
      <c r="C336" s="36" t="s">
        <v>692</v>
      </c>
      <c r="D336" s="37"/>
      <c r="E336" s="38">
        <f>SUM(E317:E335)</f>
        <v>814</v>
      </c>
      <c r="F336" s="38">
        <f t="shared" ref="F336:AB336" si="57">SUM(F317:F335)</f>
        <v>1</v>
      </c>
      <c r="G336" s="38">
        <f t="shared" si="57"/>
        <v>0</v>
      </c>
      <c r="H336" s="38">
        <f t="shared" si="57"/>
        <v>70</v>
      </c>
      <c r="I336" s="38">
        <f t="shared" si="57"/>
        <v>0</v>
      </c>
      <c r="J336" s="38">
        <f t="shared" si="57"/>
        <v>47</v>
      </c>
      <c r="K336" s="38">
        <f t="shared" si="57"/>
        <v>932</v>
      </c>
      <c r="L336" s="38">
        <f t="shared" si="57"/>
        <v>671.04000000000008</v>
      </c>
      <c r="M336" s="38">
        <f t="shared" si="57"/>
        <v>3</v>
      </c>
      <c r="N336" s="39">
        <f t="shared" si="57"/>
        <v>17</v>
      </c>
      <c r="O336" s="39">
        <f t="shared" si="57"/>
        <v>51</v>
      </c>
      <c r="P336" s="38">
        <f t="shared" si="57"/>
        <v>0</v>
      </c>
      <c r="Q336" s="38">
        <f t="shared" si="57"/>
        <v>273</v>
      </c>
      <c r="R336" s="38">
        <f t="shared" si="57"/>
        <v>344</v>
      </c>
      <c r="S336" s="38">
        <f t="shared" si="57"/>
        <v>406.04</v>
      </c>
      <c r="T336" s="38">
        <f t="shared" si="57"/>
        <v>1</v>
      </c>
      <c r="U336" s="40">
        <f t="shared" si="57"/>
        <v>1</v>
      </c>
      <c r="V336" s="40">
        <f t="shared" si="57"/>
        <v>12</v>
      </c>
      <c r="W336" s="38">
        <f t="shared" si="57"/>
        <v>0</v>
      </c>
      <c r="X336" s="38">
        <f t="shared" si="57"/>
        <v>119</v>
      </c>
      <c r="Y336" s="38">
        <f t="shared" si="57"/>
        <v>133</v>
      </c>
      <c r="Z336" s="38">
        <f t="shared" si="57"/>
        <v>363.05000000000007</v>
      </c>
      <c r="AA336" s="38">
        <f t="shared" si="57"/>
        <v>1409</v>
      </c>
      <c r="AB336" s="41">
        <f t="shared" si="57"/>
        <v>1440.1299999999999</v>
      </c>
      <c r="AC336" s="42">
        <f>SUM(AC317:AC335)</f>
        <v>8302254</v>
      </c>
      <c r="AD336" s="43">
        <f>SUM(AD317:AD335)</f>
        <v>8486028</v>
      </c>
    </row>
    <row r="337" spans="1:30">
      <c r="A337" s="14" t="s">
        <v>693</v>
      </c>
      <c r="B337" s="14" t="s">
        <v>694</v>
      </c>
      <c r="C337" s="15" t="s">
        <v>695</v>
      </c>
      <c r="D337" s="48">
        <v>5883</v>
      </c>
      <c r="E337" s="17">
        <v>79</v>
      </c>
      <c r="F337" s="17"/>
      <c r="G337" s="17"/>
      <c r="H337" s="17"/>
      <c r="I337" s="17"/>
      <c r="J337" s="17"/>
      <c r="K337" s="17">
        <f t="shared" si="50"/>
        <v>79</v>
      </c>
      <c r="L337" s="17">
        <f t="shared" si="51"/>
        <v>56.879999999999995</v>
      </c>
      <c r="M337" s="18"/>
      <c r="N337" s="19">
        <v>1</v>
      </c>
      <c r="O337" s="19">
        <v>5</v>
      </c>
      <c r="P337" s="18"/>
      <c r="Q337" s="18">
        <v>8</v>
      </c>
      <c r="R337" s="18">
        <f t="shared" si="52"/>
        <v>14</v>
      </c>
      <c r="S337" s="18">
        <f t="shared" si="53"/>
        <v>16.34</v>
      </c>
      <c r="T337" s="17"/>
      <c r="U337" s="20"/>
      <c r="V337" s="20"/>
      <c r="W337" s="17"/>
      <c r="X337" s="17">
        <v>12</v>
      </c>
      <c r="Y337" s="17">
        <f t="shared" si="54"/>
        <v>12</v>
      </c>
      <c r="Z337" s="17">
        <f t="shared" si="55"/>
        <v>32.880000000000003</v>
      </c>
      <c r="AA337" s="17">
        <f t="shared" si="49"/>
        <v>105</v>
      </c>
      <c r="AB337" s="17">
        <f t="shared" si="49"/>
        <v>106.1</v>
      </c>
      <c r="AC337" s="21">
        <f t="shared" si="56"/>
        <v>617715</v>
      </c>
      <c r="AD337" s="21">
        <f t="shared" si="56"/>
        <v>624186</v>
      </c>
    </row>
    <row r="338" spans="1:30">
      <c r="A338" s="22" t="s">
        <v>693</v>
      </c>
      <c r="B338" s="22" t="s">
        <v>696</v>
      </c>
      <c r="C338" s="23" t="s">
        <v>697</v>
      </c>
      <c r="D338" s="16">
        <v>5883</v>
      </c>
      <c r="E338" s="24">
        <v>69</v>
      </c>
      <c r="F338" s="24"/>
      <c r="G338" s="24"/>
      <c r="H338" s="24"/>
      <c r="I338" s="24"/>
      <c r="J338" s="24"/>
      <c r="K338" s="24">
        <f t="shared" si="50"/>
        <v>69</v>
      </c>
      <c r="L338" s="24">
        <f t="shared" si="51"/>
        <v>49.68</v>
      </c>
      <c r="M338" s="25"/>
      <c r="N338" s="26"/>
      <c r="O338" s="26">
        <v>1</v>
      </c>
      <c r="P338" s="25"/>
      <c r="Q338" s="25">
        <v>13</v>
      </c>
      <c r="R338" s="25">
        <f t="shared" si="52"/>
        <v>14</v>
      </c>
      <c r="S338" s="25">
        <f t="shared" si="53"/>
        <v>16.939999999999998</v>
      </c>
      <c r="T338" s="24"/>
      <c r="U338" s="27">
        <v>1</v>
      </c>
      <c r="V338" s="27">
        <v>1</v>
      </c>
      <c r="W338" s="24"/>
      <c r="X338" s="24">
        <v>7</v>
      </c>
      <c r="Y338" s="24">
        <f t="shared" si="54"/>
        <v>9</v>
      </c>
      <c r="Z338" s="24">
        <f t="shared" si="55"/>
        <v>23.290000000000003</v>
      </c>
      <c r="AA338" s="24">
        <f t="shared" si="49"/>
        <v>92</v>
      </c>
      <c r="AB338" s="24">
        <f t="shared" si="49"/>
        <v>89.91</v>
      </c>
      <c r="AC338" s="28">
        <f t="shared" si="56"/>
        <v>541236</v>
      </c>
      <c r="AD338" s="28">
        <f t="shared" si="56"/>
        <v>528941</v>
      </c>
    </row>
    <row r="339" spans="1:30">
      <c r="A339" s="22" t="s">
        <v>693</v>
      </c>
      <c r="B339" s="22" t="s">
        <v>698</v>
      </c>
      <c r="C339" s="23" t="s">
        <v>699</v>
      </c>
      <c r="D339" s="16">
        <v>5883</v>
      </c>
      <c r="E339" s="24">
        <v>512</v>
      </c>
      <c r="F339" s="24"/>
      <c r="G339" s="24"/>
      <c r="H339" s="24">
        <v>5</v>
      </c>
      <c r="I339" s="24"/>
      <c r="J339" s="24">
        <v>2</v>
      </c>
      <c r="K339" s="24">
        <f t="shared" si="50"/>
        <v>519</v>
      </c>
      <c r="L339" s="24">
        <f t="shared" si="51"/>
        <v>373.68</v>
      </c>
      <c r="M339" s="25"/>
      <c r="N339" s="26">
        <v>2</v>
      </c>
      <c r="O339" s="26">
        <v>26</v>
      </c>
      <c r="P339" s="25"/>
      <c r="Q339" s="25">
        <v>110</v>
      </c>
      <c r="R339" s="25">
        <f t="shared" si="52"/>
        <v>138</v>
      </c>
      <c r="S339" s="25">
        <f t="shared" si="53"/>
        <v>165.78</v>
      </c>
      <c r="T339" s="24"/>
      <c r="U339" s="27"/>
      <c r="V339" s="27"/>
      <c r="W339" s="24"/>
      <c r="X339" s="24">
        <v>64</v>
      </c>
      <c r="Y339" s="24">
        <f t="shared" si="54"/>
        <v>64</v>
      </c>
      <c r="Z339" s="24">
        <f t="shared" si="55"/>
        <v>175.36</v>
      </c>
      <c r="AA339" s="24">
        <f t="shared" si="49"/>
        <v>721</v>
      </c>
      <c r="AB339" s="24">
        <f t="shared" si="49"/>
        <v>714.81999999999994</v>
      </c>
      <c r="AC339" s="28">
        <f t="shared" si="56"/>
        <v>4241643</v>
      </c>
      <c r="AD339" s="28">
        <f t="shared" si="56"/>
        <v>4205286</v>
      </c>
    </row>
    <row r="340" spans="1:30">
      <c r="A340" s="22" t="s">
        <v>693</v>
      </c>
      <c r="B340" s="22" t="s">
        <v>700</v>
      </c>
      <c r="C340" s="23" t="s">
        <v>701</v>
      </c>
      <c r="D340" s="16">
        <v>5883</v>
      </c>
      <c r="E340" s="24">
        <v>73</v>
      </c>
      <c r="F340" s="24"/>
      <c r="G340" s="24"/>
      <c r="H340" s="24"/>
      <c r="I340" s="24"/>
      <c r="J340" s="24"/>
      <c r="K340" s="24">
        <f t="shared" si="50"/>
        <v>73</v>
      </c>
      <c r="L340" s="24">
        <f t="shared" si="51"/>
        <v>52.559999999999995</v>
      </c>
      <c r="M340" s="25"/>
      <c r="N340" s="26"/>
      <c r="O340" s="26">
        <v>1</v>
      </c>
      <c r="P340" s="25"/>
      <c r="Q340" s="25">
        <v>10</v>
      </c>
      <c r="R340" s="25">
        <f t="shared" si="52"/>
        <v>11</v>
      </c>
      <c r="S340" s="25">
        <f t="shared" si="53"/>
        <v>13.309999999999999</v>
      </c>
      <c r="T340" s="24"/>
      <c r="U340" s="27"/>
      <c r="V340" s="27"/>
      <c r="W340" s="24"/>
      <c r="X340" s="24">
        <v>9</v>
      </c>
      <c r="Y340" s="24">
        <f t="shared" si="54"/>
        <v>9</v>
      </c>
      <c r="Z340" s="24">
        <f t="shared" si="55"/>
        <v>24.660000000000004</v>
      </c>
      <c r="AA340" s="24">
        <f t="shared" si="49"/>
        <v>93</v>
      </c>
      <c r="AB340" s="24">
        <f t="shared" si="49"/>
        <v>90.53</v>
      </c>
      <c r="AC340" s="28">
        <f t="shared" si="56"/>
        <v>547119</v>
      </c>
      <c r="AD340" s="28">
        <f t="shared" si="56"/>
        <v>532588</v>
      </c>
    </row>
    <row r="341" spans="1:30">
      <c r="A341" s="22" t="s">
        <v>693</v>
      </c>
      <c r="B341" s="22" t="s">
        <v>702</v>
      </c>
      <c r="C341" s="23" t="s">
        <v>703</v>
      </c>
      <c r="D341" s="16">
        <v>5942</v>
      </c>
      <c r="E341" s="24">
        <v>181</v>
      </c>
      <c r="F341" s="24"/>
      <c r="G341" s="24"/>
      <c r="H341" s="24"/>
      <c r="I341" s="24"/>
      <c r="J341" s="24"/>
      <c r="K341" s="24">
        <f t="shared" si="50"/>
        <v>181</v>
      </c>
      <c r="L341" s="24">
        <f t="shared" si="51"/>
        <v>130.32</v>
      </c>
      <c r="M341" s="25"/>
      <c r="N341" s="26">
        <v>2</v>
      </c>
      <c r="O341" s="26">
        <v>5</v>
      </c>
      <c r="P341" s="25"/>
      <c r="Q341" s="25">
        <v>18</v>
      </c>
      <c r="R341" s="25">
        <f t="shared" si="52"/>
        <v>25</v>
      </c>
      <c r="S341" s="25">
        <f t="shared" si="53"/>
        <v>29.049999999999997</v>
      </c>
      <c r="T341" s="24"/>
      <c r="U341" s="27"/>
      <c r="V341" s="27">
        <v>1</v>
      </c>
      <c r="W341" s="24"/>
      <c r="X341" s="24">
        <v>12</v>
      </c>
      <c r="Y341" s="24">
        <f t="shared" si="54"/>
        <v>13</v>
      </c>
      <c r="Z341" s="24">
        <f t="shared" si="55"/>
        <v>35.620000000000005</v>
      </c>
      <c r="AA341" s="24">
        <f t="shared" si="49"/>
        <v>219</v>
      </c>
      <c r="AB341" s="24">
        <f t="shared" si="49"/>
        <v>194.99</v>
      </c>
      <c r="AC341" s="28">
        <f t="shared" si="56"/>
        <v>1301298</v>
      </c>
      <c r="AD341" s="28">
        <f t="shared" si="56"/>
        <v>1158631</v>
      </c>
    </row>
    <row r="342" spans="1:30">
      <c r="A342" s="22" t="s">
        <v>693</v>
      </c>
      <c r="B342" s="22" t="s">
        <v>704</v>
      </c>
      <c r="C342" s="23" t="s">
        <v>705</v>
      </c>
      <c r="D342" s="16">
        <v>5883</v>
      </c>
      <c r="E342" s="24">
        <v>83</v>
      </c>
      <c r="F342" s="24"/>
      <c r="G342" s="24"/>
      <c r="H342" s="24"/>
      <c r="I342" s="24"/>
      <c r="J342" s="24"/>
      <c r="K342" s="24">
        <f t="shared" si="50"/>
        <v>83</v>
      </c>
      <c r="L342" s="24">
        <f t="shared" si="51"/>
        <v>59.76</v>
      </c>
      <c r="M342" s="25"/>
      <c r="N342" s="26"/>
      <c r="O342" s="26">
        <v>2</v>
      </c>
      <c r="P342" s="25"/>
      <c r="Q342" s="25">
        <v>13</v>
      </c>
      <c r="R342" s="25">
        <f t="shared" si="52"/>
        <v>15</v>
      </c>
      <c r="S342" s="25">
        <f t="shared" si="53"/>
        <v>18.149999999999999</v>
      </c>
      <c r="T342" s="24"/>
      <c r="U342" s="27"/>
      <c r="V342" s="27">
        <v>2</v>
      </c>
      <c r="W342" s="24"/>
      <c r="X342" s="24">
        <v>6</v>
      </c>
      <c r="Y342" s="24">
        <f t="shared" si="54"/>
        <v>8</v>
      </c>
      <c r="Z342" s="24">
        <f t="shared" si="55"/>
        <v>21.92</v>
      </c>
      <c r="AA342" s="24">
        <f t="shared" si="49"/>
        <v>106</v>
      </c>
      <c r="AB342" s="24">
        <f t="shared" si="49"/>
        <v>99.83</v>
      </c>
      <c r="AC342" s="28">
        <f t="shared" si="56"/>
        <v>623598</v>
      </c>
      <c r="AD342" s="28">
        <f t="shared" si="56"/>
        <v>587300</v>
      </c>
    </row>
    <row r="343" spans="1:30">
      <c r="A343" s="22" t="s">
        <v>693</v>
      </c>
      <c r="B343" s="22" t="s">
        <v>706</v>
      </c>
      <c r="C343" s="23" t="s">
        <v>707</v>
      </c>
      <c r="D343" s="16">
        <v>5883</v>
      </c>
      <c r="E343" s="24">
        <v>167</v>
      </c>
      <c r="F343" s="24"/>
      <c r="G343" s="24"/>
      <c r="H343" s="24"/>
      <c r="I343" s="24"/>
      <c r="J343" s="24"/>
      <c r="K343" s="24">
        <f t="shared" si="50"/>
        <v>167</v>
      </c>
      <c r="L343" s="24">
        <f t="shared" si="51"/>
        <v>120.24</v>
      </c>
      <c r="M343" s="25"/>
      <c r="N343" s="26">
        <v>4</v>
      </c>
      <c r="O343" s="26">
        <v>7</v>
      </c>
      <c r="P343" s="25"/>
      <c r="Q343" s="25">
        <v>27</v>
      </c>
      <c r="R343" s="25">
        <f t="shared" si="52"/>
        <v>38</v>
      </c>
      <c r="S343" s="25">
        <f t="shared" si="53"/>
        <v>43.58</v>
      </c>
      <c r="T343" s="24"/>
      <c r="U343" s="27"/>
      <c r="V343" s="27"/>
      <c r="W343" s="24"/>
      <c r="X343" s="24">
        <v>19</v>
      </c>
      <c r="Y343" s="24">
        <f t="shared" si="54"/>
        <v>19</v>
      </c>
      <c r="Z343" s="24">
        <f t="shared" si="55"/>
        <v>52.06</v>
      </c>
      <c r="AA343" s="24">
        <f t="shared" si="49"/>
        <v>224</v>
      </c>
      <c r="AB343" s="24">
        <f t="shared" si="49"/>
        <v>215.88</v>
      </c>
      <c r="AC343" s="28">
        <f t="shared" si="56"/>
        <v>1317792</v>
      </c>
      <c r="AD343" s="28">
        <f t="shared" si="56"/>
        <v>1270022</v>
      </c>
    </row>
    <row r="344" spans="1:30">
      <c r="A344" s="22" t="s">
        <v>693</v>
      </c>
      <c r="B344" s="22" t="s">
        <v>708</v>
      </c>
      <c r="C344" s="23" t="s">
        <v>709</v>
      </c>
      <c r="D344" s="16">
        <v>5883</v>
      </c>
      <c r="E344" s="24">
        <v>32</v>
      </c>
      <c r="F344" s="24"/>
      <c r="G344" s="24"/>
      <c r="H344" s="24">
        <v>1</v>
      </c>
      <c r="I344" s="24"/>
      <c r="J344" s="24"/>
      <c r="K344" s="24">
        <f t="shared" si="50"/>
        <v>33</v>
      </c>
      <c r="L344" s="24">
        <f t="shared" si="51"/>
        <v>23.759999999999998</v>
      </c>
      <c r="M344" s="25"/>
      <c r="N344" s="26">
        <v>1</v>
      </c>
      <c r="O344" s="26">
        <v>4</v>
      </c>
      <c r="P344" s="25"/>
      <c r="Q344" s="25">
        <v>7</v>
      </c>
      <c r="R344" s="25">
        <f t="shared" si="52"/>
        <v>12</v>
      </c>
      <c r="S344" s="25">
        <f t="shared" si="53"/>
        <v>13.919999999999998</v>
      </c>
      <c r="T344" s="24"/>
      <c r="U344" s="27">
        <v>1</v>
      </c>
      <c r="V344" s="27">
        <v>1</v>
      </c>
      <c r="W344" s="24"/>
      <c r="X344" s="24">
        <v>3</v>
      </c>
      <c r="Y344" s="24">
        <f t="shared" si="54"/>
        <v>5</v>
      </c>
      <c r="Z344" s="24">
        <f t="shared" si="55"/>
        <v>12.330000000000002</v>
      </c>
      <c r="AA344" s="24">
        <f t="shared" si="49"/>
        <v>50</v>
      </c>
      <c r="AB344" s="24">
        <f t="shared" si="49"/>
        <v>50.01</v>
      </c>
      <c r="AC344" s="28">
        <f t="shared" si="56"/>
        <v>294150</v>
      </c>
      <c r="AD344" s="28">
        <f t="shared" si="56"/>
        <v>294209</v>
      </c>
    </row>
    <row r="345" spans="1:30">
      <c r="A345" s="22" t="s">
        <v>693</v>
      </c>
      <c r="B345" s="22" t="s">
        <v>710</v>
      </c>
      <c r="C345" s="23" t="s">
        <v>711</v>
      </c>
      <c r="D345" s="16">
        <v>5883</v>
      </c>
      <c r="E345" s="24">
        <v>83</v>
      </c>
      <c r="F345" s="24"/>
      <c r="G345" s="24"/>
      <c r="H345" s="24"/>
      <c r="I345" s="24"/>
      <c r="J345" s="24"/>
      <c r="K345" s="24">
        <f t="shared" si="50"/>
        <v>83</v>
      </c>
      <c r="L345" s="24">
        <f t="shared" si="51"/>
        <v>59.76</v>
      </c>
      <c r="M345" s="25"/>
      <c r="N345" s="26">
        <v>2</v>
      </c>
      <c r="O345" s="26">
        <v>6</v>
      </c>
      <c r="P345" s="25"/>
      <c r="Q345" s="25">
        <v>20</v>
      </c>
      <c r="R345" s="25">
        <f t="shared" si="52"/>
        <v>28</v>
      </c>
      <c r="S345" s="25">
        <f t="shared" si="53"/>
        <v>32.68</v>
      </c>
      <c r="T345" s="24"/>
      <c r="U345" s="27"/>
      <c r="V345" s="27"/>
      <c r="W345" s="24"/>
      <c r="X345" s="24">
        <v>6</v>
      </c>
      <c r="Y345" s="24">
        <f t="shared" si="54"/>
        <v>6</v>
      </c>
      <c r="Z345" s="24">
        <f t="shared" si="55"/>
        <v>16.440000000000001</v>
      </c>
      <c r="AA345" s="24">
        <f t="shared" si="49"/>
        <v>117</v>
      </c>
      <c r="AB345" s="24">
        <f t="shared" si="49"/>
        <v>108.88</v>
      </c>
      <c r="AC345" s="28">
        <f t="shared" si="56"/>
        <v>688311</v>
      </c>
      <c r="AD345" s="28">
        <f t="shared" si="56"/>
        <v>640541</v>
      </c>
    </row>
    <row r="346" spans="1:30">
      <c r="A346" s="22" t="s">
        <v>693</v>
      </c>
      <c r="B346" s="22" t="s">
        <v>712</v>
      </c>
      <c r="C346" s="23" t="s">
        <v>713</v>
      </c>
      <c r="D346" s="16">
        <v>5883</v>
      </c>
      <c r="E346" s="24">
        <v>152</v>
      </c>
      <c r="F346" s="24"/>
      <c r="G346" s="24"/>
      <c r="H346" s="24"/>
      <c r="I346" s="24"/>
      <c r="J346" s="24"/>
      <c r="K346" s="24">
        <f t="shared" si="50"/>
        <v>152</v>
      </c>
      <c r="L346" s="24">
        <f t="shared" si="51"/>
        <v>109.44</v>
      </c>
      <c r="M346" s="25"/>
      <c r="N346" s="26"/>
      <c r="O346" s="26">
        <v>5</v>
      </c>
      <c r="P346" s="25"/>
      <c r="Q346" s="25">
        <v>38</v>
      </c>
      <c r="R346" s="25">
        <f t="shared" si="52"/>
        <v>43</v>
      </c>
      <c r="S346" s="25">
        <f t="shared" si="53"/>
        <v>52.03</v>
      </c>
      <c r="T346" s="24"/>
      <c r="U346" s="27"/>
      <c r="V346" s="27">
        <v>3</v>
      </c>
      <c r="W346" s="24"/>
      <c r="X346" s="24">
        <v>35</v>
      </c>
      <c r="Y346" s="24">
        <f t="shared" si="54"/>
        <v>38</v>
      </c>
      <c r="Z346" s="24">
        <f t="shared" si="55"/>
        <v>104.12</v>
      </c>
      <c r="AA346" s="24">
        <f t="shared" si="49"/>
        <v>233</v>
      </c>
      <c r="AB346" s="24">
        <f t="shared" si="49"/>
        <v>265.59000000000003</v>
      </c>
      <c r="AC346" s="28">
        <f t="shared" si="56"/>
        <v>1370739</v>
      </c>
      <c r="AD346" s="28">
        <f t="shared" si="56"/>
        <v>1562466</v>
      </c>
    </row>
    <row r="347" spans="1:30">
      <c r="A347" s="22" t="s">
        <v>693</v>
      </c>
      <c r="B347" s="22" t="s">
        <v>714</v>
      </c>
      <c r="C347" s="23" t="s">
        <v>715</v>
      </c>
      <c r="D347" s="16">
        <v>5883</v>
      </c>
      <c r="E347" s="24">
        <v>215</v>
      </c>
      <c r="F347" s="24"/>
      <c r="G347" s="24"/>
      <c r="H347" s="24">
        <v>2</v>
      </c>
      <c r="I347" s="24"/>
      <c r="J347" s="24">
        <v>2</v>
      </c>
      <c r="K347" s="24">
        <f t="shared" si="50"/>
        <v>219</v>
      </c>
      <c r="L347" s="24">
        <f t="shared" si="51"/>
        <v>157.68</v>
      </c>
      <c r="M347" s="25"/>
      <c r="N347" s="26">
        <v>3</v>
      </c>
      <c r="O347" s="26">
        <v>5</v>
      </c>
      <c r="P347" s="25"/>
      <c r="Q347" s="25">
        <v>91</v>
      </c>
      <c r="R347" s="25">
        <f t="shared" si="52"/>
        <v>99</v>
      </c>
      <c r="S347" s="25">
        <f t="shared" si="53"/>
        <v>117.99</v>
      </c>
      <c r="T347" s="24"/>
      <c r="U347" s="27"/>
      <c r="V347" s="27">
        <v>1</v>
      </c>
      <c r="W347" s="24"/>
      <c r="X347" s="24">
        <v>32</v>
      </c>
      <c r="Y347" s="24">
        <f t="shared" si="54"/>
        <v>33</v>
      </c>
      <c r="Z347" s="24">
        <f t="shared" si="55"/>
        <v>90.42</v>
      </c>
      <c r="AA347" s="24">
        <f t="shared" si="49"/>
        <v>351</v>
      </c>
      <c r="AB347" s="24">
        <f t="shared" si="49"/>
        <v>366.09000000000003</v>
      </c>
      <c r="AC347" s="28">
        <f t="shared" si="56"/>
        <v>2064933</v>
      </c>
      <c r="AD347" s="28">
        <f t="shared" si="56"/>
        <v>2153707</v>
      </c>
    </row>
    <row r="348" spans="1:30">
      <c r="A348" s="22" t="s">
        <v>693</v>
      </c>
      <c r="B348" s="22" t="s">
        <v>716</v>
      </c>
      <c r="C348" s="23" t="s">
        <v>717</v>
      </c>
      <c r="D348" s="16">
        <v>5883</v>
      </c>
      <c r="E348" s="24">
        <v>20</v>
      </c>
      <c r="F348" s="24"/>
      <c r="G348" s="24"/>
      <c r="H348" s="24"/>
      <c r="I348" s="24"/>
      <c r="J348" s="24"/>
      <c r="K348" s="24">
        <f t="shared" si="50"/>
        <v>20</v>
      </c>
      <c r="L348" s="24">
        <f t="shared" si="51"/>
        <v>14.399999999999999</v>
      </c>
      <c r="M348" s="25"/>
      <c r="N348" s="26"/>
      <c r="O348" s="26"/>
      <c r="P348" s="25"/>
      <c r="Q348" s="25">
        <v>3</v>
      </c>
      <c r="R348" s="25">
        <f t="shared" si="52"/>
        <v>3</v>
      </c>
      <c r="S348" s="25">
        <f t="shared" si="53"/>
        <v>3.63</v>
      </c>
      <c r="T348" s="24"/>
      <c r="U348" s="27"/>
      <c r="V348" s="27"/>
      <c r="W348" s="24"/>
      <c r="X348" s="24">
        <v>3</v>
      </c>
      <c r="Y348" s="24">
        <f t="shared" si="54"/>
        <v>3</v>
      </c>
      <c r="Z348" s="24">
        <f t="shared" si="55"/>
        <v>8.2200000000000006</v>
      </c>
      <c r="AA348" s="24">
        <f t="shared" si="49"/>
        <v>26</v>
      </c>
      <c r="AB348" s="24">
        <f t="shared" si="49"/>
        <v>26.25</v>
      </c>
      <c r="AC348" s="28">
        <f t="shared" si="56"/>
        <v>152958</v>
      </c>
      <c r="AD348" s="28">
        <f t="shared" si="56"/>
        <v>154429</v>
      </c>
    </row>
    <row r="349" spans="1:30">
      <c r="A349" s="22" t="s">
        <v>693</v>
      </c>
      <c r="B349" s="22" t="s">
        <v>718</v>
      </c>
      <c r="C349" s="23" t="s">
        <v>719</v>
      </c>
      <c r="D349" s="16">
        <v>5883</v>
      </c>
      <c r="E349" s="24">
        <v>24</v>
      </c>
      <c r="F349" s="24"/>
      <c r="G349" s="24"/>
      <c r="H349" s="24"/>
      <c r="I349" s="24"/>
      <c r="J349" s="24"/>
      <c r="K349" s="24">
        <f t="shared" si="50"/>
        <v>24</v>
      </c>
      <c r="L349" s="24">
        <f t="shared" si="51"/>
        <v>17.28</v>
      </c>
      <c r="M349" s="25"/>
      <c r="N349" s="26">
        <v>3</v>
      </c>
      <c r="O349" s="26">
        <v>1</v>
      </c>
      <c r="P349" s="25"/>
      <c r="Q349" s="25">
        <v>4</v>
      </c>
      <c r="R349" s="25">
        <f t="shared" si="52"/>
        <v>8</v>
      </c>
      <c r="S349" s="25">
        <f t="shared" si="53"/>
        <v>7.88</v>
      </c>
      <c r="T349" s="24"/>
      <c r="U349" s="27"/>
      <c r="V349" s="27"/>
      <c r="W349" s="24"/>
      <c r="X349" s="24">
        <v>8</v>
      </c>
      <c r="Y349" s="24">
        <f t="shared" si="54"/>
        <v>8</v>
      </c>
      <c r="Z349" s="24">
        <f t="shared" si="55"/>
        <v>21.92</v>
      </c>
      <c r="AA349" s="24">
        <f t="shared" si="49"/>
        <v>40</v>
      </c>
      <c r="AB349" s="24">
        <f t="shared" si="49"/>
        <v>47.08</v>
      </c>
      <c r="AC349" s="28">
        <f t="shared" si="56"/>
        <v>235320</v>
      </c>
      <c r="AD349" s="28">
        <f t="shared" si="56"/>
        <v>276972</v>
      </c>
    </row>
    <row r="350" spans="1:30">
      <c r="A350" s="22" t="s">
        <v>693</v>
      </c>
      <c r="B350" s="22" t="s">
        <v>720</v>
      </c>
      <c r="C350" s="23" t="s">
        <v>721</v>
      </c>
      <c r="D350" s="16">
        <v>5883</v>
      </c>
      <c r="E350" s="24">
        <v>261</v>
      </c>
      <c r="F350" s="24">
        <v>1</v>
      </c>
      <c r="G350" s="24"/>
      <c r="H350" s="24">
        <v>2</v>
      </c>
      <c r="I350" s="24"/>
      <c r="J350" s="24">
        <v>1</v>
      </c>
      <c r="K350" s="24">
        <f t="shared" si="50"/>
        <v>265</v>
      </c>
      <c r="L350" s="24">
        <f t="shared" si="51"/>
        <v>190.79999999999998</v>
      </c>
      <c r="M350" s="25"/>
      <c r="N350" s="26"/>
      <c r="O350" s="26">
        <v>9</v>
      </c>
      <c r="P350" s="25"/>
      <c r="Q350" s="25">
        <v>75</v>
      </c>
      <c r="R350" s="25">
        <f t="shared" si="52"/>
        <v>84</v>
      </c>
      <c r="S350" s="25">
        <f t="shared" si="53"/>
        <v>101.64</v>
      </c>
      <c r="T350" s="24"/>
      <c r="U350" s="27"/>
      <c r="V350" s="27">
        <v>1</v>
      </c>
      <c r="W350" s="24"/>
      <c r="X350" s="24">
        <v>36</v>
      </c>
      <c r="Y350" s="24">
        <f t="shared" si="54"/>
        <v>37</v>
      </c>
      <c r="Z350" s="24">
        <f t="shared" si="55"/>
        <v>101.38000000000001</v>
      </c>
      <c r="AA350" s="24">
        <f t="shared" si="49"/>
        <v>386</v>
      </c>
      <c r="AB350" s="24">
        <f t="shared" si="49"/>
        <v>393.82</v>
      </c>
      <c r="AC350" s="28">
        <f t="shared" si="56"/>
        <v>2270838</v>
      </c>
      <c r="AD350" s="28">
        <f t="shared" si="56"/>
        <v>2316843</v>
      </c>
    </row>
    <row r="351" spans="1:30">
      <c r="A351" s="22" t="s">
        <v>693</v>
      </c>
      <c r="B351" s="22" t="s">
        <v>722</v>
      </c>
      <c r="C351" s="23" t="s">
        <v>723</v>
      </c>
      <c r="D351" s="16">
        <v>5927</v>
      </c>
      <c r="E351" s="24">
        <v>23</v>
      </c>
      <c r="F351" s="24"/>
      <c r="G351" s="24"/>
      <c r="H351" s="24"/>
      <c r="I351" s="24"/>
      <c r="J351" s="24"/>
      <c r="K351" s="24">
        <f t="shared" si="50"/>
        <v>23</v>
      </c>
      <c r="L351" s="24">
        <f t="shared" si="51"/>
        <v>16.559999999999999</v>
      </c>
      <c r="M351" s="25"/>
      <c r="N351" s="26">
        <v>2</v>
      </c>
      <c r="O351" s="26">
        <v>5</v>
      </c>
      <c r="P351" s="25"/>
      <c r="Q351" s="25">
        <v>5</v>
      </c>
      <c r="R351" s="25">
        <f t="shared" si="52"/>
        <v>12</v>
      </c>
      <c r="S351" s="25">
        <f t="shared" si="53"/>
        <v>13.32</v>
      </c>
      <c r="T351" s="24"/>
      <c r="U351" s="27"/>
      <c r="V351" s="27"/>
      <c r="W351" s="24"/>
      <c r="X351" s="24">
        <v>4</v>
      </c>
      <c r="Y351" s="24">
        <f t="shared" si="54"/>
        <v>4</v>
      </c>
      <c r="Z351" s="24">
        <f t="shared" si="55"/>
        <v>10.96</v>
      </c>
      <c r="AA351" s="24">
        <f t="shared" si="49"/>
        <v>39</v>
      </c>
      <c r="AB351" s="24">
        <f t="shared" si="49"/>
        <v>40.840000000000003</v>
      </c>
      <c r="AC351" s="28">
        <f t="shared" si="56"/>
        <v>231153</v>
      </c>
      <c r="AD351" s="28">
        <f t="shared" si="56"/>
        <v>242059</v>
      </c>
    </row>
    <row r="352" spans="1:30">
      <c r="A352" s="22" t="s">
        <v>693</v>
      </c>
      <c r="B352" s="22" t="s">
        <v>724</v>
      </c>
      <c r="C352" s="23" t="s">
        <v>725</v>
      </c>
      <c r="D352" s="16">
        <v>6058</v>
      </c>
      <c r="E352" s="24">
        <v>7</v>
      </c>
      <c r="F352" s="24"/>
      <c r="G352" s="24"/>
      <c r="H352" s="24"/>
      <c r="I352" s="24"/>
      <c r="J352" s="24"/>
      <c r="K352" s="24">
        <f t="shared" si="50"/>
        <v>7</v>
      </c>
      <c r="L352" s="24">
        <f t="shared" si="51"/>
        <v>5.04</v>
      </c>
      <c r="M352" s="25"/>
      <c r="N352" s="26"/>
      <c r="O352" s="26"/>
      <c r="P352" s="25"/>
      <c r="Q352" s="25">
        <v>1</v>
      </c>
      <c r="R352" s="25">
        <f t="shared" si="52"/>
        <v>1</v>
      </c>
      <c r="S352" s="25">
        <f t="shared" si="53"/>
        <v>1.21</v>
      </c>
      <c r="T352" s="24"/>
      <c r="U352" s="27"/>
      <c r="V352" s="27"/>
      <c r="W352" s="24"/>
      <c r="X352" s="24">
        <v>1</v>
      </c>
      <c r="Y352" s="24">
        <f t="shared" si="54"/>
        <v>1</v>
      </c>
      <c r="Z352" s="24">
        <f t="shared" si="55"/>
        <v>2.74</v>
      </c>
      <c r="AA352" s="24">
        <f t="shared" si="49"/>
        <v>9</v>
      </c>
      <c r="AB352" s="24">
        <f t="shared" si="49"/>
        <v>8.99</v>
      </c>
      <c r="AC352" s="28">
        <f t="shared" si="56"/>
        <v>54522</v>
      </c>
      <c r="AD352" s="28">
        <f t="shared" si="56"/>
        <v>54461</v>
      </c>
    </row>
    <row r="353" spans="1:30">
      <c r="A353" s="22" t="s">
        <v>693</v>
      </c>
      <c r="B353" s="22" t="s">
        <v>726</v>
      </c>
      <c r="C353" s="23" t="s">
        <v>727</v>
      </c>
      <c r="D353" s="16">
        <v>5883</v>
      </c>
      <c r="E353" s="24">
        <v>141</v>
      </c>
      <c r="F353" s="24"/>
      <c r="G353" s="24"/>
      <c r="H353" s="24">
        <v>3</v>
      </c>
      <c r="I353" s="24"/>
      <c r="J353" s="24">
        <v>1</v>
      </c>
      <c r="K353" s="24">
        <f t="shared" si="50"/>
        <v>145</v>
      </c>
      <c r="L353" s="24">
        <f t="shared" si="51"/>
        <v>104.39999999999999</v>
      </c>
      <c r="M353" s="25"/>
      <c r="N353" s="26">
        <v>1</v>
      </c>
      <c r="O353" s="26">
        <v>2</v>
      </c>
      <c r="P353" s="25"/>
      <c r="Q353" s="25">
        <v>15</v>
      </c>
      <c r="R353" s="25">
        <f t="shared" si="52"/>
        <v>18</v>
      </c>
      <c r="S353" s="25">
        <f t="shared" si="53"/>
        <v>21.18</v>
      </c>
      <c r="T353" s="24"/>
      <c r="U353" s="27"/>
      <c r="V353" s="27"/>
      <c r="W353" s="24"/>
      <c r="X353" s="24">
        <v>7</v>
      </c>
      <c r="Y353" s="24">
        <f t="shared" si="54"/>
        <v>7</v>
      </c>
      <c r="Z353" s="24">
        <f t="shared" si="55"/>
        <v>19.18</v>
      </c>
      <c r="AA353" s="24">
        <f t="shared" si="49"/>
        <v>170</v>
      </c>
      <c r="AB353" s="24">
        <f t="shared" si="49"/>
        <v>144.76</v>
      </c>
      <c r="AC353" s="28">
        <f t="shared" si="56"/>
        <v>1000110</v>
      </c>
      <c r="AD353" s="28">
        <f t="shared" si="56"/>
        <v>851623</v>
      </c>
    </row>
    <row r="354" spans="1:30">
      <c r="A354" s="22" t="s">
        <v>693</v>
      </c>
      <c r="B354" s="22" t="s">
        <v>728</v>
      </c>
      <c r="C354" s="23" t="s">
        <v>729</v>
      </c>
      <c r="D354" s="16">
        <v>5883</v>
      </c>
      <c r="E354" s="24">
        <v>27</v>
      </c>
      <c r="F354" s="24"/>
      <c r="G354" s="24"/>
      <c r="H354" s="24"/>
      <c r="I354" s="24"/>
      <c r="J354" s="24"/>
      <c r="K354" s="24">
        <f t="shared" si="50"/>
        <v>27</v>
      </c>
      <c r="L354" s="24">
        <f t="shared" si="51"/>
        <v>19.439999999999998</v>
      </c>
      <c r="M354" s="25"/>
      <c r="N354" s="26"/>
      <c r="O354" s="26">
        <v>3</v>
      </c>
      <c r="P354" s="25"/>
      <c r="Q354" s="25">
        <v>5</v>
      </c>
      <c r="R354" s="25">
        <f t="shared" si="52"/>
        <v>8</v>
      </c>
      <c r="S354" s="25">
        <f t="shared" si="53"/>
        <v>9.68</v>
      </c>
      <c r="T354" s="24"/>
      <c r="U354" s="27"/>
      <c r="V354" s="27"/>
      <c r="W354" s="24"/>
      <c r="X354" s="24">
        <v>4</v>
      </c>
      <c r="Y354" s="24">
        <f t="shared" si="54"/>
        <v>4</v>
      </c>
      <c r="Z354" s="24">
        <f t="shared" si="55"/>
        <v>10.96</v>
      </c>
      <c r="AA354" s="24">
        <f t="shared" si="49"/>
        <v>39</v>
      </c>
      <c r="AB354" s="24">
        <f t="shared" si="49"/>
        <v>40.08</v>
      </c>
      <c r="AC354" s="28">
        <f t="shared" si="56"/>
        <v>229437</v>
      </c>
      <c r="AD354" s="28">
        <f t="shared" si="56"/>
        <v>235791</v>
      </c>
    </row>
    <row r="355" spans="1:30">
      <c r="A355" s="22" t="s">
        <v>693</v>
      </c>
      <c r="B355" s="22" t="s">
        <v>730</v>
      </c>
      <c r="C355" s="23" t="s">
        <v>731</v>
      </c>
      <c r="D355" s="16">
        <v>5883</v>
      </c>
      <c r="E355" s="24">
        <v>20</v>
      </c>
      <c r="F355" s="24"/>
      <c r="G355" s="24"/>
      <c r="H355" s="24"/>
      <c r="I355" s="24"/>
      <c r="J355" s="24"/>
      <c r="K355" s="24">
        <f t="shared" si="50"/>
        <v>20</v>
      </c>
      <c r="L355" s="24">
        <f t="shared" si="51"/>
        <v>14.399999999999999</v>
      </c>
      <c r="M355" s="25"/>
      <c r="N355" s="26"/>
      <c r="O355" s="26">
        <v>2</v>
      </c>
      <c r="P355" s="25"/>
      <c r="Q355" s="25">
        <v>3</v>
      </c>
      <c r="R355" s="25">
        <f t="shared" si="52"/>
        <v>5</v>
      </c>
      <c r="S355" s="25">
        <f t="shared" si="53"/>
        <v>6.05</v>
      </c>
      <c r="T355" s="24"/>
      <c r="U355" s="27"/>
      <c r="V355" s="27"/>
      <c r="W355" s="24"/>
      <c r="X355" s="24">
        <v>4</v>
      </c>
      <c r="Y355" s="24">
        <f t="shared" si="54"/>
        <v>4</v>
      </c>
      <c r="Z355" s="24">
        <f t="shared" si="55"/>
        <v>10.96</v>
      </c>
      <c r="AA355" s="24">
        <f t="shared" si="49"/>
        <v>29</v>
      </c>
      <c r="AB355" s="24">
        <f t="shared" si="49"/>
        <v>31.41</v>
      </c>
      <c r="AC355" s="28">
        <f t="shared" si="56"/>
        <v>170607</v>
      </c>
      <c r="AD355" s="28">
        <f t="shared" si="56"/>
        <v>184785</v>
      </c>
    </row>
    <row r="356" spans="1:30">
      <c r="A356" s="22" t="s">
        <v>693</v>
      </c>
      <c r="B356" s="22" t="s">
        <v>732</v>
      </c>
      <c r="C356" s="23" t="s">
        <v>733</v>
      </c>
      <c r="D356" s="16">
        <v>5883</v>
      </c>
      <c r="E356" s="24">
        <v>21</v>
      </c>
      <c r="F356" s="24"/>
      <c r="G356" s="24"/>
      <c r="H356" s="24"/>
      <c r="I356" s="24"/>
      <c r="J356" s="24"/>
      <c r="K356" s="24">
        <f t="shared" si="50"/>
        <v>21</v>
      </c>
      <c r="L356" s="24">
        <f t="shared" si="51"/>
        <v>15.12</v>
      </c>
      <c r="M356" s="25"/>
      <c r="N356" s="26"/>
      <c r="O356" s="26">
        <v>2</v>
      </c>
      <c r="P356" s="25"/>
      <c r="Q356" s="25">
        <v>2</v>
      </c>
      <c r="R356" s="25">
        <f t="shared" si="52"/>
        <v>4</v>
      </c>
      <c r="S356" s="25">
        <f t="shared" si="53"/>
        <v>4.84</v>
      </c>
      <c r="T356" s="24"/>
      <c r="U356" s="27"/>
      <c r="V356" s="27"/>
      <c r="W356" s="24"/>
      <c r="X356" s="24">
        <v>4</v>
      </c>
      <c r="Y356" s="24">
        <f t="shared" si="54"/>
        <v>4</v>
      </c>
      <c r="Z356" s="24">
        <f t="shared" si="55"/>
        <v>10.96</v>
      </c>
      <c r="AA356" s="24">
        <f t="shared" si="49"/>
        <v>29</v>
      </c>
      <c r="AB356" s="24">
        <f t="shared" si="49"/>
        <v>30.92</v>
      </c>
      <c r="AC356" s="28">
        <f t="shared" si="56"/>
        <v>170607</v>
      </c>
      <c r="AD356" s="28">
        <f t="shared" si="56"/>
        <v>181902</v>
      </c>
    </row>
    <row r="357" spans="1:30">
      <c r="A357" s="22" t="s">
        <v>693</v>
      </c>
      <c r="B357" s="22" t="s">
        <v>734</v>
      </c>
      <c r="C357" s="23" t="s">
        <v>735</v>
      </c>
      <c r="D357" s="16">
        <v>5883</v>
      </c>
      <c r="E357" s="24">
        <v>179</v>
      </c>
      <c r="F357" s="24"/>
      <c r="G357" s="24"/>
      <c r="H357" s="24">
        <v>5</v>
      </c>
      <c r="I357" s="24"/>
      <c r="J357" s="24"/>
      <c r="K357" s="24">
        <f t="shared" si="50"/>
        <v>184</v>
      </c>
      <c r="L357" s="24">
        <f t="shared" si="51"/>
        <v>132.47999999999999</v>
      </c>
      <c r="M357" s="25"/>
      <c r="N357" s="26"/>
      <c r="O357" s="26">
        <v>6</v>
      </c>
      <c r="P357" s="25"/>
      <c r="Q357" s="25">
        <v>42</v>
      </c>
      <c r="R357" s="25">
        <f t="shared" si="52"/>
        <v>48</v>
      </c>
      <c r="S357" s="25">
        <f t="shared" si="53"/>
        <v>58.08</v>
      </c>
      <c r="T357" s="24"/>
      <c r="U357" s="27"/>
      <c r="V357" s="27"/>
      <c r="W357" s="24"/>
      <c r="X357" s="24">
        <v>27</v>
      </c>
      <c r="Y357" s="24">
        <f t="shared" si="54"/>
        <v>27</v>
      </c>
      <c r="Z357" s="24">
        <f t="shared" si="55"/>
        <v>73.98</v>
      </c>
      <c r="AA357" s="24">
        <f t="shared" si="49"/>
        <v>259</v>
      </c>
      <c r="AB357" s="24">
        <f t="shared" si="49"/>
        <v>264.53999999999996</v>
      </c>
      <c r="AC357" s="28">
        <f t="shared" si="56"/>
        <v>1523697</v>
      </c>
      <c r="AD357" s="28">
        <f t="shared" si="56"/>
        <v>1556289</v>
      </c>
    </row>
    <row r="358" spans="1:30">
      <c r="A358" s="22" t="s">
        <v>693</v>
      </c>
      <c r="B358" s="22" t="s">
        <v>736</v>
      </c>
      <c r="C358" s="23" t="s">
        <v>737</v>
      </c>
      <c r="D358" s="16">
        <v>5883</v>
      </c>
      <c r="E358" s="24">
        <v>49</v>
      </c>
      <c r="F358" s="24"/>
      <c r="G358" s="24"/>
      <c r="H358" s="24">
        <v>1</v>
      </c>
      <c r="I358" s="24"/>
      <c r="J358" s="24"/>
      <c r="K358" s="24">
        <f t="shared" si="50"/>
        <v>50</v>
      </c>
      <c r="L358" s="24">
        <f t="shared" si="51"/>
        <v>36</v>
      </c>
      <c r="M358" s="25"/>
      <c r="N358" s="26"/>
      <c r="O358" s="26"/>
      <c r="P358" s="25"/>
      <c r="Q358" s="25">
        <v>7</v>
      </c>
      <c r="R358" s="25">
        <f t="shared" si="52"/>
        <v>7</v>
      </c>
      <c r="S358" s="25">
        <f t="shared" si="53"/>
        <v>8.4699999999999989</v>
      </c>
      <c r="T358" s="24"/>
      <c r="U358" s="27"/>
      <c r="V358" s="27"/>
      <c r="W358" s="24"/>
      <c r="X358" s="24">
        <v>11</v>
      </c>
      <c r="Y358" s="24">
        <f t="shared" si="54"/>
        <v>11</v>
      </c>
      <c r="Z358" s="24">
        <f t="shared" si="55"/>
        <v>30.14</v>
      </c>
      <c r="AA358" s="24">
        <f t="shared" si="49"/>
        <v>68</v>
      </c>
      <c r="AB358" s="24">
        <f t="shared" si="49"/>
        <v>74.61</v>
      </c>
      <c r="AC358" s="28">
        <f t="shared" si="56"/>
        <v>400044</v>
      </c>
      <c r="AD358" s="28">
        <f t="shared" si="56"/>
        <v>438931</v>
      </c>
    </row>
    <row r="359" spans="1:30">
      <c r="A359" s="22" t="s">
        <v>693</v>
      </c>
      <c r="B359" s="22" t="s">
        <v>738</v>
      </c>
      <c r="C359" s="23" t="s">
        <v>739</v>
      </c>
      <c r="D359" s="16">
        <v>6050</v>
      </c>
      <c r="E359" s="24">
        <v>50</v>
      </c>
      <c r="F359" s="24"/>
      <c r="G359" s="24"/>
      <c r="H359" s="24"/>
      <c r="I359" s="24"/>
      <c r="J359" s="24"/>
      <c r="K359" s="24">
        <f t="shared" si="50"/>
        <v>50</v>
      </c>
      <c r="L359" s="24">
        <f t="shared" si="51"/>
        <v>36</v>
      </c>
      <c r="M359" s="25"/>
      <c r="N359" s="26">
        <v>1</v>
      </c>
      <c r="O359" s="26">
        <v>1</v>
      </c>
      <c r="P359" s="25"/>
      <c r="Q359" s="25">
        <v>6</v>
      </c>
      <c r="R359" s="25">
        <f t="shared" si="52"/>
        <v>8</v>
      </c>
      <c r="S359" s="25">
        <f t="shared" si="53"/>
        <v>9.0799999999999983</v>
      </c>
      <c r="T359" s="24"/>
      <c r="U359" s="27">
        <v>1</v>
      </c>
      <c r="V359" s="27"/>
      <c r="W359" s="24"/>
      <c r="X359" s="24">
        <v>4</v>
      </c>
      <c r="Y359" s="24">
        <f t="shared" si="54"/>
        <v>5</v>
      </c>
      <c r="Z359" s="24">
        <f t="shared" si="55"/>
        <v>12.330000000000002</v>
      </c>
      <c r="AA359" s="24">
        <f t="shared" si="49"/>
        <v>63</v>
      </c>
      <c r="AB359" s="24">
        <f t="shared" si="49"/>
        <v>57.41</v>
      </c>
      <c r="AC359" s="28">
        <f t="shared" si="56"/>
        <v>381150</v>
      </c>
      <c r="AD359" s="28">
        <f t="shared" si="56"/>
        <v>347331</v>
      </c>
    </row>
    <row r="360" spans="1:30">
      <c r="A360" s="22" t="s">
        <v>693</v>
      </c>
      <c r="B360" s="22" t="s">
        <v>740</v>
      </c>
      <c r="C360" s="23" t="s">
        <v>741</v>
      </c>
      <c r="D360" s="16">
        <v>5883</v>
      </c>
      <c r="E360" s="24">
        <v>181</v>
      </c>
      <c r="F360" s="24"/>
      <c r="G360" s="24"/>
      <c r="H360" s="24"/>
      <c r="I360" s="24"/>
      <c r="J360" s="24"/>
      <c r="K360" s="24">
        <f t="shared" si="50"/>
        <v>181</v>
      </c>
      <c r="L360" s="24">
        <f t="shared" si="51"/>
        <v>130.32</v>
      </c>
      <c r="M360" s="25"/>
      <c r="N360" s="26">
        <v>9</v>
      </c>
      <c r="O360" s="26">
        <v>8</v>
      </c>
      <c r="P360" s="25"/>
      <c r="Q360" s="25">
        <v>71</v>
      </c>
      <c r="R360" s="25">
        <f t="shared" si="52"/>
        <v>88</v>
      </c>
      <c r="S360" s="25">
        <f t="shared" si="53"/>
        <v>101.08</v>
      </c>
      <c r="T360" s="24"/>
      <c r="U360" s="27">
        <v>2</v>
      </c>
      <c r="V360" s="27">
        <v>1</v>
      </c>
      <c r="W360" s="24"/>
      <c r="X360" s="24">
        <v>21</v>
      </c>
      <c r="Y360" s="24">
        <f t="shared" si="54"/>
        <v>24</v>
      </c>
      <c r="Z360" s="24">
        <f t="shared" si="55"/>
        <v>63.02</v>
      </c>
      <c r="AA360" s="24">
        <f t="shared" si="49"/>
        <v>293</v>
      </c>
      <c r="AB360" s="24">
        <f t="shared" si="49"/>
        <v>294.41999999999996</v>
      </c>
      <c r="AC360" s="28">
        <f t="shared" si="56"/>
        <v>1723719</v>
      </c>
      <c r="AD360" s="28">
        <f t="shared" si="56"/>
        <v>1732073</v>
      </c>
    </row>
    <row r="361" spans="1:30">
      <c r="A361" s="22" t="s">
        <v>693</v>
      </c>
      <c r="B361" s="22" t="s">
        <v>742</v>
      </c>
      <c r="C361" s="23" t="s">
        <v>743</v>
      </c>
      <c r="D361" s="16">
        <v>5883</v>
      </c>
      <c r="E361" s="24">
        <v>412</v>
      </c>
      <c r="F361" s="24"/>
      <c r="G361" s="24"/>
      <c r="H361" s="24"/>
      <c r="I361" s="24"/>
      <c r="J361" s="24"/>
      <c r="K361" s="24">
        <f t="shared" si="50"/>
        <v>412</v>
      </c>
      <c r="L361" s="24">
        <f t="shared" si="51"/>
        <v>296.64</v>
      </c>
      <c r="M361" s="25"/>
      <c r="N361" s="26">
        <v>24</v>
      </c>
      <c r="O361" s="26">
        <v>5</v>
      </c>
      <c r="P361" s="25"/>
      <c r="Q361" s="25">
        <v>90</v>
      </c>
      <c r="R361" s="25">
        <f t="shared" si="52"/>
        <v>119</v>
      </c>
      <c r="S361" s="25">
        <f t="shared" si="53"/>
        <v>129.59</v>
      </c>
      <c r="T361" s="24"/>
      <c r="U361" s="27">
        <v>3</v>
      </c>
      <c r="V361" s="27">
        <v>2</v>
      </c>
      <c r="W361" s="24"/>
      <c r="X361" s="24">
        <v>29</v>
      </c>
      <c r="Y361" s="24">
        <f t="shared" si="54"/>
        <v>34</v>
      </c>
      <c r="Z361" s="24">
        <f t="shared" si="55"/>
        <v>89.050000000000011</v>
      </c>
      <c r="AA361" s="24">
        <f t="shared" si="49"/>
        <v>565</v>
      </c>
      <c r="AB361" s="24">
        <f t="shared" si="49"/>
        <v>515.28</v>
      </c>
      <c r="AC361" s="28">
        <f t="shared" si="56"/>
        <v>3323895</v>
      </c>
      <c r="AD361" s="28">
        <f t="shared" si="56"/>
        <v>3031392</v>
      </c>
    </row>
    <row r="362" spans="1:30">
      <c r="A362" s="22" t="s">
        <v>693</v>
      </c>
      <c r="B362" s="22" t="s">
        <v>744</v>
      </c>
      <c r="C362" s="23" t="s">
        <v>745</v>
      </c>
      <c r="D362" s="16">
        <v>5883</v>
      </c>
      <c r="E362" s="24">
        <v>47</v>
      </c>
      <c r="F362" s="24"/>
      <c r="G362" s="24"/>
      <c r="H362" s="24">
        <v>1</v>
      </c>
      <c r="I362" s="24"/>
      <c r="J362" s="24"/>
      <c r="K362" s="24">
        <f t="shared" si="50"/>
        <v>48</v>
      </c>
      <c r="L362" s="24">
        <f t="shared" si="51"/>
        <v>34.56</v>
      </c>
      <c r="M362" s="25"/>
      <c r="N362" s="26"/>
      <c r="O362" s="26"/>
      <c r="P362" s="25"/>
      <c r="Q362" s="25">
        <v>14</v>
      </c>
      <c r="R362" s="25">
        <f t="shared" si="52"/>
        <v>14</v>
      </c>
      <c r="S362" s="25">
        <f t="shared" si="53"/>
        <v>16.939999999999998</v>
      </c>
      <c r="T362" s="24"/>
      <c r="U362" s="27"/>
      <c r="V362" s="27"/>
      <c r="W362" s="24"/>
      <c r="X362" s="24">
        <v>6</v>
      </c>
      <c r="Y362" s="24">
        <f t="shared" si="54"/>
        <v>6</v>
      </c>
      <c r="Z362" s="24">
        <f t="shared" si="55"/>
        <v>16.440000000000001</v>
      </c>
      <c r="AA362" s="24">
        <f t="shared" si="49"/>
        <v>68</v>
      </c>
      <c r="AB362" s="24">
        <f t="shared" si="49"/>
        <v>67.94</v>
      </c>
      <c r="AC362" s="28">
        <f t="shared" si="56"/>
        <v>400044</v>
      </c>
      <c r="AD362" s="28">
        <f t="shared" si="56"/>
        <v>399691</v>
      </c>
    </row>
    <row r="363" spans="1:30">
      <c r="A363" s="22" t="s">
        <v>693</v>
      </c>
      <c r="B363" s="22" t="s">
        <v>746</v>
      </c>
      <c r="C363" s="23" t="s">
        <v>747</v>
      </c>
      <c r="D363" s="16">
        <v>5883</v>
      </c>
      <c r="E363" s="24">
        <v>20</v>
      </c>
      <c r="F363" s="24"/>
      <c r="G363" s="24"/>
      <c r="H363" s="24"/>
      <c r="I363" s="24"/>
      <c r="J363" s="24"/>
      <c r="K363" s="24">
        <f t="shared" si="50"/>
        <v>20</v>
      </c>
      <c r="L363" s="24">
        <f t="shared" si="51"/>
        <v>14.399999999999999</v>
      </c>
      <c r="M363" s="25"/>
      <c r="N363" s="26"/>
      <c r="O363" s="26"/>
      <c r="P363" s="25"/>
      <c r="Q363" s="25">
        <v>2</v>
      </c>
      <c r="R363" s="25">
        <f t="shared" si="52"/>
        <v>2</v>
      </c>
      <c r="S363" s="25">
        <f t="shared" si="53"/>
        <v>2.42</v>
      </c>
      <c r="T363" s="24"/>
      <c r="U363" s="27"/>
      <c r="V363" s="27"/>
      <c r="W363" s="24"/>
      <c r="X363" s="24">
        <v>1</v>
      </c>
      <c r="Y363" s="24">
        <f t="shared" si="54"/>
        <v>1</v>
      </c>
      <c r="Z363" s="24">
        <f t="shared" si="55"/>
        <v>2.74</v>
      </c>
      <c r="AA363" s="24">
        <f t="shared" si="49"/>
        <v>23</v>
      </c>
      <c r="AB363" s="24">
        <f t="shared" si="49"/>
        <v>19.559999999999999</v>
      </c>
      <c r="AC363" s="28">
        <f t="shared" si="56"/>
        <v>135309</v>
      </c>
      <c r="AD363" s="28">
        <f t="shared" si="56"/>
        <v>115071</v>
      </c>
    </row>
    <row r="364" spans="1:30">
      <c r="A364" s="22" t="s">
        <v>693</v>
      </c>
      <c r="B364" s="22" t="s">
        <v>748</v>
      </c>
      <c r="C364" s="23" t="s">
        <v>749</v>
      </c>
      <c r="D364" s="16">
        <v>5891</v>
      </c>
      <c r="E364" s="24">
        <v>52</v>
      </c>
      <c r="F364" s="24"/>
      <c r="G364" s="24"/>
      <c r="H364" s="24"/>
      <c r="I364" s="24"/>
      <c r="J364" s="24"/>
      <c r="K364" s="24">
        <f t="shared" si="50"/>
        <v>52</v>
      </c>
      <c r="L364" s="24">
        <f t="shared" si="51"/>
        <v>37.44</v>
      </c>
      <c r="M364" s="25"/>
      <c r="N364" s="26">
        <v>1</v>
      </c>
      <c r="O364" s="26"/>
      <c r="P364" s="25"/>
      <c r="Q364" s="25">
        <v>10</v>
      </c>
      <c r="R364" s="25">
        <f t="shared" si="52"/>
        <v>11</v>
      </c>
      <c r="S364" s="25">
        <f t="shared" si="53"/>
        <v>12.709999999999999</v>
      </c>
      <c r="T364" s="24"/>
      <c r="U364" s="27"/>
      <c r="V364" s="27">
        <v>2</v>
      </c>
      <c r="W364" s="24"/>
      <c r="X364" s="24">
        <v>9</v>
      </c>
      <c r="Y364" s="24">
        <f t="shared" si="54"/>
        <v>11</v>
      </c>
      <c r="Z364" s="24">
        <f t="shared" si="55"/>
        <v>30.14</v>
      </c>
      <c r="AA364" s="24">
        <f t="shared" si="49"/>
        <v>74</v>
      </c>
      <c r="AB364" s="24">
        <f t="shared" si="49"/>
        <v>80.289999999999992</v>
      </c>
      <c r="AC364" s="28">
        <f t="shared" si="56"/>
        <v>435934</v>
      </c>
      <c r="AD364" s="28">
        <f t="shared" si="56"/>
        <v>472988</v>
      </c>
    </row>
    <row r="365" spans="1:30">
      <c r="A365" s="22" t="s">
        <v>693</v>
      </c>
      <c r="B365" s="22" t="s">
        <v>750</v>
      </c>
      <c r="C365" s="23" t="s">
        <v>751</v>
      </c>
      <c r="D365" s="16">
        <v>5883</v>
      </c>
      <c r="E365" s="24">
        <v>27</v>
      </c>
      <c r="F365" s="24"/>
      <c r="G365" s="24"/>
      <c r="H365" s="24"/>
      <c r="I365" s="24"/>
      <c r="J365" s="24"/>
      <c r="K365" s="24">
        <f t="shared" si="50"/>
        <v>27</v>
      </c>
      <c r="L365" s="24">
        <f t="shared" si="51"/>
        <v>19.439999999999998</v>
      </c>
      <c r="M365" s="25"/>
      <c r="N365" s="26"/>
      <c r="O365" s="26"/>
      <c r="P365" s="25"/>
      <c r="Q365" s="25">
        <v>3</v>
      </c>
      <c r="R365" s="25">
        <f t="shared" si="52"/>
        <v>3</v>
      </c>
      <c r="S365" s="25">
        <f t="shared" si="53"/>
        <v>3.63</v>
      </c>
      <c r="T365" s="24">
        <v>1</v>
      </c>
      <c r="U365" s="27"/>
      <c r="V365" s="27"/>
      <c r="W365" s="24"/>
      <c r="X365" s="24">
        <v>6</v>
      </c>
      <c r="Y365" s="24">
        <f t="shared" si="54"/>
        <v>7</v>
      </c>
      <c r="Z365" s="24">
        <f t="shared" si="55"/>
        <v>19.18</v>
      </c>
      <c r="AA365" s="24">
        <f t="shared" si="49"/>
        <v>37</v>
      </c>
      <c r="AB365" s="24">
        <f t="shared" si="49"/>
        <v>42.25</v>
      </c>
      <c r="AC365" s="28">
        <f t="shared" si="56"/>
        <v>217671</v>
      </c>
      <c r="AD365" s="28">
        <f t="shared" si="56"/>
        <v>248557</v>
      </c>
    </row>
    <row r="366" spans="1:30">
      <c r="A366" s="22" t="s">
        <v>693</v>
      </c>
      <c r="B366" s="22" t="s">
        <v>752</v>
      </c>
      <c r="C366" s="23" t="s">
        <v>753</v>
      </c>
      <c r="D366" s="16">
        <v>5884</v>
      </c>
      <c r="E366" s="24">
        <v>82</v>
      </c>
      <c r="F366" s="24"/>
      <c r="G366" s="24"/>
      <c r="H366" s="24"/>
      <c r="I366" s="24"/>
      <c r="J366" s="24"/>
      <c r="K366" s="24">
        <f t="shared" si="50"/>
        <v>82</v>
      </c>
      <c r="L366" s="24">
        <f t="shared" si="51"/>
        <v>59.04</v>
      </c>
      <c r="M366" s="25"/>
      <c r="N366" s="26"/>
      <c r="O366" s="26">
        <v>2</v>
      </c>
      <c r="P366" s="25"/>
      <c r="Q366" s="25">
        <v>13</v>
      </c>
      <c r="R366" s="25">
        <f t="shared" si="52"/>
        <v>15</v>
      </c>
      <c r="S366" s="25">
        <f t="shared" si="53"/>
        <v>18.149999999999999</v>
      </c>
      <c r="T366" s="24"/>
      <c r="U366" s="27"/>
      <c r="V366" s="27"/>
      <c r="W366" s="24"/>
      <c r="X366" s="24">
        <v>14</v>
      </c>
      <c r="Y366" s="24">
        <f t="shared" si="54"/>
        <v>14</v>
      </c>
      <c r="Z366" s="24">
        <f t="shared" si="55"/>
        <v>38.36</v>
      </c>
      <c r="AA366" s="24">
        <f t="shared" si="49"/>
        <v>111</v>
      </c>
      <c r="AB366" s="24">
        <f t="shared" si="49"/>
        <v>115.55</v>
      </c>
      <c r="AC366" s="28">
        <f t="shared" si="56"/>
        <v>653124</v>
      </c>
      <c r="AD366" s="28">
        <f t="shared" si="56"/>
        <v>679896</v>
      </c>
    </row>
    <row r="367" spans="1:30">
      <c r="A367" s="22" t="s">
        <v>693</v>
      </c>
      <c r="B367" s="22" t="s">
        <v>754</v>
      </c>
      <c r="C367" s="23" t="s">
        <v>755</v>
      </c>
      <c r="D367" s="16">
        <v>6007</v>
      </c>
      <c r="E367" s="24">
        <v>49</v>
      </c>
      <c r="F367" s="24"/>
      <c r="G367" s="24"/>
      <c r="H367" s="24"/>
      <c r="I367" s="24"/>
      <c r="J367" s="24"/>
      <c r="K367" s="24">
        <f t="shared" si="50"/>
        <v>49</v>
      </c>
      <c r="L367" s="24">
        <f t="shared" si="51"/>
        <v>35.28</v>
      </c>
      <c r="M367" s="25"/>
      <c r="N367" s="26"/>
      <c r="O367" s="26"/>
      <c r="P367" s="25"/>
      <c r="Q367" s="25">
        <v>15</v>
      </c>
      <c r="R367" s="25">
        <f t="shared" si="52"/>
        <v>15</v>
      </c>
      <c r="S367" s="25">
        <f t="shared" si="53"/>
        <v>18.149999999999999</v>
      </c>
      <c r="T367" s="24"/>
      <c r="U367" s="27">
        <v>1</v>
      </c>
      <c r="V367" s="27"/>
      <c r="W367" s="24"/>
      <c r="X367" s="24">
        <v>9</v>
      </c>
      <c r="Y367" s="24">
        <f t="shared" si="54"/>
        <v>10</v>
      </c>
      <c r="Z367" s="24">
        <f t="shared" si="55"/>
        <v>26.030000000000005</v>
      </c>
      <c r="AA367" s="24">
        <f t="shared" si="49"/>
        <v>74</v>
      </c>
      <c r="AB367" s="24">
        <f t="shared" si="49"/>
        <v>79.460000000000008</v>
      </c>
      <c r="AC367" s="28">
        <f t="shared" si="56"/>
        <v>444518</v>
      </c>
      <c r="AD367" s="28">
        <f t="shared" si="56"/>
        <v>477316</v>
      </c>
    </row>
    <row r="368" spans="1:30">
      <c r="A368" s="22" t="s">
        <v>693</v>
      </c>
      <c r="B368" s="22" t="s">
        <v>756</v>
      </c>
      <c r="C368" s="23" t="s">
        <v>757</v>
      </c>
      <c r="D368" s="16">
        <v>5906</v>
      </c>
      <c r="E368" s="24">
        <v>88</v>
      </c>
      <c r="F368" s="24"/>
      <c r="G368" s="24"/>
      <c r="H368" s="24">
        <v>4</v>
      </c>
      <c r="I368" s="24"/>
      <c r="J368" s="24"/>
      <c r="K368" s="24">
        <f t="shared" si="50"/>
        <v>92</v>
      </c>
      <c r="L368" s="24">
        <f t="shared" si="51"/>
        <v>66.239999999999995</v>
      </c>
      <c r="M368" s="25"/>
      <c r="N368" s="26">
        <v>2</v>
      </c>
      <c r="O368" s="26">
        <v>2</v>
      </c>
      <c r="P368" s="25"/>
      <c r="Q368" s="25">
        <v>14</v>
      </c>
      <c r="R368" s="25">
        <f t="shared" si="52"/>
        <v>18</v>
      </c>
      <c r="S368" s="25">
        <f t="shared" si="53"/>
        <v>20.58</v>
      </c>
      <c r="T368" s="24"/>
      <c r="U368" s="27"/>
      <c r="V368" s="27"/>
      <c r="W368" s="24"/>
      <c r="X368" s="24">
        <v>12</v>
      </c>
      <c r="Y368" s="24">
        <f t="shared" si="54"/>
        <v>12</v>
      </c>
      <c r="Z368" s="24">
        <f t="shared" si="55"/>
        <v>32.880000000000003</v>
      </c>
      <c r="AA368" s="24">
        <f t="shared" si="49"/>
        <v>122</v>
      </c>
      <c r="AB368" s="24">
        <f t="shared" si="49"/>
        <v>119.69999999999999</v>
      </c>
      <c r="AC368" s="28">
        <f t="shared" si="56"/>
        <v>720532</v>
      </c>
      <c r="AD368" s="28">
        <f t="shared" si="56"/>
        <v>706948</v>
      </c>
    </row>
    <row r="369" spans="1:30">
      <c r="A369" s="22" t="s">
        <v>693</v>
      </c>
      <c r="B369" s="22" t="s">
        <v>758</v>
      </c>
      <c r="C369" s="23" t="s">
        <v>759</v>
      </c>
      <c r="D369" s="16">
        <v>5883</v>
      </c>
      <c r="E369" s="24">
        <v>37</v>
      </c>
      <c r="F369" s="24"/>
      <c r="G369" s="24"/>
      <c r="H369" s="24"/>
      <c r="I369" s="24"/>
      <c r="J369" s="24"/>
      <c r="K369" s="24">
        <f t="shared" si="50"/>
        <v>37</v>
      </c>
      <c r="L369" s="24">
        <f t="shared" si="51"/>
        <v>26.64</v>
      </c>
      <c r="M369" s="25"/>
      <c r="N369" s="26"/>
      <c r="O369" s="26"/>
      <c r="P369" s="25"/>
      <c r="Q369" s="25">
        <v>4</v>
      </c>
      <c r="R369" s="25">
        <f t="shared" si="52"/>
        <v>4</v>
      </c>
      <c r="S369" s="25">
        <f t="shared" si="53"/>
        <v>4.84</v>
      </c>
      <c r="T369" s="24"/>
      <c r="U369" s="27"/>
      <c r="V369" s="27">
        <v>2</v>
      </c>
      <c r="W369" s="24"/>
      <c r="X369" s="24">
        <v>17</v>
      </c>
      <c r="Y369" s="24">
        <f t="shared" si="54"/>
        <v>19</v>
      </c>
      <c r="Z369" s="24">
        <f t="shared" si="55"/>
        <v>52.06</v>
      </c>
      <c r="AA369" s="24">
        <f t="shared" si="49"/>
        <v>60</v>
      </c>
      <c r="AB369" s="24">
        <f t="shared" si="49"/>
        <v>83.54</v>
      </c>
      <c r="AC369" s="28">
        <f t="shared" si="56"/>
        <v>352980</v>
      </c>
      <c r="AD369" s="28">
        <f t="shared" si="56"/>
        <v>491466</v>
      </c>
    </row>
    <row r="370" spans="1:30">
      <c r="A370" s="22" t="s">
        <v>693</v>
      </c>
      <c r="B370" s="22" t="s">
        <v>760</v>
      </c>
      <c r="C370" s="23" t="s">
        <v>761</v>
      </c>
      <c r="D370" s="16">
        <v>5883</v>
      </c>
      <c r="E370" s="24">
        <v>35</v>
      </c>
      <c r="F370" s="24"/>
      <c r="G370" s="24"/>
      <c r="H370" s="24"/>
      <c r="I370" s="24"/>
      <c r="J370" s="24"/>
      <c r="K370" s="24">
        <f t="shared" si="50"/>
        <v>35</v>
      </c>
      <c r="L370" s="24">
        <f t="shared" si="51"/>
        <v>25.2</v>
      </c>
      <c r="M370" s="25"/>
      <c r="N370" s="26">
        <v>1</v>
      </c>
      <c r="O370" s="26">
        <v>1</v>
      </c>
      <c r="P370" s="25"/>
      <c r="Q370" s="25">
        <v>10</v>
      </c>
      <c r="R370" s="25">
        <f t="shared" si="52"/>
        <v>12</v>
      </c>
      <c r="S370" s="25">
        <f t="shared" si="53"/>
        <v>13.919999999999998</v>
      </c>
      <c r="T370" s="24"/>
      <c r="U370" s="27">
        <v>1</v>
      </c>
      <c r="V370" s="27"/>
      <c r="W370" s="24"/>
      <c r="X370" s="24">
        <v>6</v>
      </c>
      <c r="Y370" s="24">
        <f t="shared" si="54"/>
        <v>7</v>
      </c>
      <c r="Z370" s="24">
        <f t="shared" si="55"/>
        <v>17.810000000000002</v>
      </c>
      <c r="AA370" s="24">
        <f t="shared" si="49"/>
        <v>54</v>
      </c>
      <c r="AB370" s="24">
        <f t="shared" si="49"/>
        <v>56.93</v>
      </c>
      <c r="AC370" s="28">
        <f t="shared" si="56"/>
        <v>317682</v>
      </c>
      <c r="AD370" s="28">
        <f t="shared" si="56"/>
        <v>334919</v>
      </c>
    </row>
    <row r="371" spans="1:30" ht="12" thickBot="1">
      <c r="A371" s="45" t="s">
        <v>693</v>
      </c>
      <c r="B371" s="45" t="s">
        <v>762</v>
      </c>
      <c r="C371" s="46" t="s">
        <v>763</v>
      </c>
      <c r="D371" s="47">
        <v>5913</v>
      </c>
      <c r="E371" s="29">
        <v>39</v>
      </c>
      <c r="F371" s="29"/>
      <c r="G371" s="29"/>
      <c r="H371" s="29">
        <v>2</v>
      </c>
      <c r="I371" s="29"/>
      <c r="J371" s="29"/>
      <c r="K371" s="29">
        <f t="shared" si="50"/>
        <v>41</v>
      </c>
      <c r="L371" s="29">
        <f t="shared" si="51"/>
        <v>29.52</v>
      </c>
      <c r="M371" s="30"/>
      <c r="N371" s="31">
        <v>1</v>
      </c>
      <c r="O371" s="31"/>
      <c r="P371" s="30"/>
      <c r="Q371" s="30">
        <v>1</v>
      </c>
      <c r="R371" s="30">
        <f t="shared" si="52"/>
        <v>2</v>
      </c>
      <c r="S371" s="30">
        <f t="shared" si="53"/>
        <v>1.8199999999999998</v>
      </c>
      <c r="T371" s="29"/>
      <c r="U371" s="32"/>
      <c r="V371" s="32"/>
      <c r="W371" s="29"/>
      <c r="X371" s="29">
        <v>3</v>
      </c>
      <c r="Y371" s="29">
        <f t="shared" si="54"/>
        <v>3</v>
      </c>
      <c r="Z371" s="29">
        <f t="shared" si="55"/>
        <v>8.2200000000000006</v>
      </c>
      <c r="AA371" s="29">
        <f t="shared" si="49"/>
        <v>46</v>
      </c>
      <c r="AB371" s="29">
        <f t="shared" si="49"/>
        <v>39.56</v>
      </c>
      <c r="AC371" s="33">
        <f t="shared" si="56"/>
        <v>271998</v>
      </c>
      <c r="AD371" s="33">
        <f t="shared" si="56"/>
        <v>233918</v>
      </c>
    </row>
    <row r="372" spans="1:30" ht="12" thickBot="1">
      <c r="A372" s="34"/>
      <c r="B372" s="35"/>
      <c r="C372" s="36" t="s">
        <v>764</v>
      </c>
      <c r="D372" s="37"/>
      <c r="E372" s="38">
        <f>SUM(E337:E371)</f>
        <v>3537</v>
      </c>
      <c r="F372" s="38">
        <f t="shared" ref="F372:AB372" si="58">SUM(F337:F371)</f>
        <v>1</v>
      </c>
      <c r="G372" s="38">
        <f t="shared" si="58"/>
        <v>0</v>
      </c>
      <c r="H372" s="38">
        <f t="shared" si="58"/>
        <v>26</v>
      </c>
      <c r="I372" s="38">
        <f t="shared" si="58"/>
        <v>0</v>
      </c>
      <c r="J372" s="38">
        <f t="shared" si="58"/>
        <v>6</v>
      </c>
      <c r="K372" s="38">
        <f t="shared" si="58"/>
        <v>3570</v>
      </c>
      <c r="L372" s="38">
        <f t="shared" si="58"/>
        <v>2570.3999999999996</v>
      </c>
      <c r="M372" s="38">
        <f t="shared" si="58"/>
        <v>0</v>
      </c>
      <c r="N372" s="39">
        <f t="shared" si="58"/>
        <v>60</v>
      </c>
      <c r="O372" s="39">
        <f t="shared" si="58"/>
        <v>116</v>
      </c>
      <c r="P372" s="38">
        <f t="shared" si="58"/>
        <v>0</v>
      </c>
      <c r="Q372" s="38">
        <f t="shared" si="58"/>
        <v>770</v>
      </c>
      <c r="R372" s="38">
        <f t="shared" si="58"/>
        <v>946</v>
      </c>
      <c r="S372" s="38">
        <f t="shared" si="58"/>
        <v>1108.6600000000001</v>
      </c>
      <c r="T372" s="38">
        <f t="shared" si="58"/>
        <v>1</v>
      </c>
      <c r="U372" s="40">
        <f t="shared" si="58"/>
        <v>10</v>
      </c>
      <c r="V372" s="40">
        <f t="shared" si="58"/>
        <v>17</v>
      </c>
      <c r="W372" s="38">
        <f t="shared" si="58"/>
        <v>0</v>
      </c>
      <c r="X372" s="38">
        <f t="shared" si="58"/>
        <v>451</v>
      </c>
      <c r="Y372" s="38">
        <f t="shared" si="58"/>
        <v>479</v>
      </c>
      <c r="Z372" s="38">
        <f t="shared" si="58"/>
        <v>1298.7600000000002</v>
      </c>
      <c r="AA372" s="38">
        <f t="shared" si="58"/>
        <v>4995</v>
      </c>
      <c r="AB372" s="41">
        <f t="shared" si="58"/>
        <v>4977.8200000000006</v>
      </c>
      <c r="AC372" s="42">
        <f>SUM(AC337:AC371)</f>
        <v>29426383</v>
      </c>
      <c r="AD372" s="43">
        <f>SUM(AD337:AD371)</f>
        <v>29323528</v>
      </c>
    </row>
    <row r="373" spans="1:30" ht="12" thickBo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50"/>
      <c r="AC373" s="51">
        <f t="shared" si="56"/>
        <v>0</v>
      </c>
      <c r="AD373" s="52">
        <f t="shared" si="56"/>
        <v>0</v>
      </c>
    </row>
    <row r="374" spans="1:30" ht="12" thickBot="1">
      <c r="A374" s="53"/>
      <c r="B374" s="54"/>
      <c r="C374" s="55" t="s">
        <v>765</v>
      </c>
      <c r="D374" s="54"/>
      <c r="E374" s="56">
        <f t="shared" ref="E374:AD374" si="59">+E372+E336+E316+E284+E247+E192+E159+E136+E89+E28</f>
        <v>35018</v>
      </c>
      <c r="F374" s="56">
        <f t="shared" si="59"/>
        <v>89</v>
      </c>
      <c r="G374" s="56">
        <f t="shared" si="59"/>
        <v>10</v>
      </c>
      <c r="H374" s="56">
        <f t="shared" si="59"/>
        <v>1845</v>
      </c>
      <c r="I374" s="56">
        <f t="shared" si="59"/>
        <v>0</v>
      </c>
      <c r="J374" s="56">
        <f t="shared" si="59"/>
        <v>127</v>
      </c>
      <c r="K374" s="56">
        <f t="shared" si="59"/>
        <v>37089</v>
      </c>
      <c r="L374" s="56">
        <f t="shared" si="59"/>
        <v>26704.079999999994</v>
      </c>
      <c r="M374" s="56">
        <f t="shared" si="59"/>
        <v>48</v>
      </c>
      <c r="N374" s="56">
        <f t="shared" si="59"/>
        <v>1076</v>
      </c>
      <c r="O374" s="56">
        <f t="shared" si="59"/>
        <v>1663</v>
      </c>
      <c r="P374" s="56">
        <f t="shared" si="59"/>
        <v>2</v>
      </c>
      <c r="Q374" s="56">
        <f t="shared" si="59"/>
        <v>12211</v>
      </c>
      <c r="R374" s="56">
        <f t="shared" si="59"/>
        <v>15000</v>
      </c>
      <c r="S374" s="56">
        <f t="shared" si="59"/>
        <v>17503.199999999997</v>
      </c>
      <c r="T374" s="56">
        <f t="shared" si="59"/>
        <v>42</v>
      </c>
      <c r="U374" s="56">
        <f t="shared" si="59"/>
        <v>214</v>
      </c>
      <c r="V374" s="56">
        <f t="shared" si="59"/>
        <v>483</v>
      </c>
      <c r="W374" s="56">
        <f t="shared" si="59"/>
        <v>5</v>
      </c>
      <c r="X374" s="56">
        <f t="shared" si="59"/>
        <v>7134</v>
      </c>
      <c r="Y374" s="56">
        <f t="shared" si="59"/>
        <v>7878</v>
      </c>
      <c r="Z374" s="56">
        <f t="shared" si="59"/>
        <v>21285.690000000006</v>
      </c>
      <c r="AA374" s="56">
        <f t="shared" si="59"/>
        <v>59967</v>
      </c>
      <c r="AB374" s="56">
        <f t="shared" si="59"/>
        <v>65492.969999999994</v>
      </c>
      <c r="AC374" s="57">
        <f t="shared" si="59"/>
        <v>354290557</v>
      </c>
      <c r="AD374" s="58">
        <f t="shared" si="59"/>
        <v>386957435</v>
      </c>
    </row>
  </sheetData>
  <sheetProtection password="CAC7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2010-11 SPED Receipts</vt:lpstr>
      <vt:lpstr>Sheet2</vt:lpstr>
      <vt:lpstr>Sheet3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jlee</dc:creator>
  <cp:lastModifiedBy>jlee</cp:lastModifiedBy>
  <dcterms:created xsi:type="dcterms:W3CDTF">2011-04-05T20:57:50Z</dcterms:created>
  <dcterms:modified xsi:type="dcterms:W3CDTF">2011-04-05T21:01:25Z</dcterms:modified>
</cp:coreProperties>
</file>