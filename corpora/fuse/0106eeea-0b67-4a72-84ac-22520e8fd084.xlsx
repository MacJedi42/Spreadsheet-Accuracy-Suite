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128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achelor 3rd year sem 2\Research project semester 2\"/>
    </mc:Choice>
  </mc:AlternateContent>
  <bookViews>
    <workbookView xWindow="0" yWindow="0" windowWidth="19200" windowHeight="8235" firstSheet="2" activeTab="5"/>
  </bookViews>
  <sheets>
    <sheet name="OVERVIEW" sheetId="2" r:id="rId1"/>
    <sheet name="TEST 1 (T1)" sheetId="3" r:id="rId2"/>
    <sheet name="TEST 2 (T2)" sheetId="4" r:id="rId3"/>
    <sheet name="TEST 3 (T3)" sheetId="5" r:id="rId4"/>
    <sheet name="TEST 4 (FINAL)" sheetId="6" r:id="rId5"/>
    <sheet name="Master mix data" sheetId="1" r:id="rId6"/>
    <sheet name="Master mix calculations" sheetId="7" r:id="rId7"/>
  </sheets>
  <externalReferences>
    <externalReference r:id="rId8"/>
  </externalReferences>
  <definedNames>
    <definedName name="randdata">[1]Sheet1!$D$2:$D$2001</definedName>
    <definedName name="test4data">'[1]TEST 4 (FINAL)'!$J$13:$J$75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7" l="1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N53" i="7"/>
  <c r="K6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K26" i="7"/>
  <c r="L6" i="7"/>
  <c r="M6" i="7"/>
  <c r="N6" i="7"/>
  <c r="L7" i="7"/>
  <c r="M7" i="7"/>
  <c r="N7" i="7"/>
  <c r="L8" i="7"/>
  <c r="M8" i="7"/>
  <c r="N8" i="7"/>
  <c r="L9" i="7"/>
  <c r="M9" i="7"/>
  <c r="N9" i="7"/>
  <c r="L10" i="7"/>
  <c r="M10" i="7"/>
  <c r="N10" i="7"/>
  <c r="L11" i="7"/>
  <c r="M11" i="7"/>
  <c r="N11" i="7"/>
  <c r="L12" i="7"/>
  <c r="M12" i="7"/>
  <c r="N12" i="7"/>
  <c r="L13" i="7"/>
  <c r="M13" i="7"/>
  <c r="N13" i="7"/>
  <c r="L14" i="7"/>
  <c r="M14" i="7"/>
  <c r="N14" i="7"/>
  <c r="L15" i="7"/>
  <c r="M15" i="7"/>
  <c r="N15" i="7"/>
  <c r="L16" i="7"/>
  <c r="M16" i="7"/>
  <c r="N16" i="7"/>
  <c r="L17" i="7"/>
  <c r="M17" i="7"/>
  <c r="N17" i="7"/>
  <c r="L18" i="7"/>
  <c r="M18" i="7"/>
  <c r="N18" i="7"/>
  <c r="L19" i="7"/>
  <c r="M19" i="7"/>
  <c r="N19" i="7"/>
  <c r="L20" i="7"/>
  <c r="M20" i="7"/>
  <c r="N20" i="7"/>
  <c r="L21" i="7"/>
  <c r="M21" i="7"/>
  <c r="N21" i="7"/>
  <c r="L22" i="7"/>
  <c r="M22" i="7"/>
  <c r="N22" i="7"/>
  <c r="L23" i="7"/>
  <c r="M23" i="7"/>
  <c r="N23" i="7"/>
  <c r="L24" i="7"/>
  <c r="M24" i="7"/>
  <c r="N24" i="7"/>
  <c r="L25" i="7"/>
  <c r="M25" i="7"/>
  <c r="N25" i="7"/>
  <c r="L26" i="7"/>
  <c r="M26" i="7"/>
  <c r="N26" i="7"/>
  <c r="L27" i="7"/>
  <c r="M27" i="7"/>
  <c r="N27" i="7"/>
  <c r="L28" i="7"/>
  <c r="M28" i="7"/>
  <c r="N28" i="7"/>
  <c r="L29" i="7"/>
  <c r="M29" i="7"/>
  <c r="N29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7" i="7"/>
  <c r="K28" i="7"/>
  <c r="K29" i="7"/>
  <c r="B4" i="7"/>
  <c r="C4" i="7"/>
  <c r="D4" i="7"/>
  <c r="E4" i="7"/>
  <c r="F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H78" i="6"/>
  <c r="G78" i="6"/>
  <c r="F78" i="6"/>
  <c r="E78" i="6"/>
  <c r="H77" i="6"/>
  <c r="G77" i="6"/>
  <c r="F77" i="6"/>
  <c r="E77" i="6"/>
  <c r="H76" i="6"/>
  <c r="G76" i="6"/>
  <c r="F76" i="6"/>
  <c r="E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R27" i="6"/>
  <c r="Q27" i="6"/>
  <c r="P27" i="6"/>
  <c r="O27" i="6"/>
  <c r="I27" i="6"/>
  <c r="R26" i="6"/>
  <c r="Q26" i="6"/>
  <c r="P26" i="6"/>
  <c r="O26" i="6"/>
  <c r="I26" i="6"/>
  <c r="R25" i="6"/>
  <c r="Q25" i="6"/>
  <c r="P25" i="6"/>
  <c r="O25" i="6"/>
  <c r="I25" i="6"/>
  <c r="S24" i="6"/>
  <c r="I24" i="6"/>
  <c r="S23" i="6"/>
  <c r="I23" i="6"/>
  <c r="S22" i="6"/>
  <c r="I22" i="6"/>
  <c r="S21" i="6"/>
  <c r="I21" i="6"/>
  <c r="S20" i="6"/>
  <c r="I20" i="6"/>
  <c r="S19" i="6"/>
  <c r="I19" i="6"/>
  <c r="S18" i="6"/>
  <c r="I18" i="6"/>
  <c r="S17" i="6"/>
  <c r="S16" i="6"/>
  <c r="I16" i="6"/>
  <c r="S15" i="6"/>
  <c r="I15" i="6"/>
  <c r="S14" i="6"/>
  <c r="I14" i="6"/>
  <c r="S13" i="6"/>
  <c r="I13" i="6"/>
  <c r="I32" i="5"/>
  <c r="H32" i="5"/>
  <c r="G32" i="5"/>
  <c r="F32" i="5"/>
  <c r="I31" i="5"/>
  <c r="H31" i="5"/>
  <c r="G31" i="5"/>
  <c r="F31" i="5"/>
  <c r="R31" i="5"/>
  <c r="Q31" i="5"/>
  <c r="P31" i="5"/>
  <c r="O31" i="5"/>
  <c r="I30" i="5"/>
  <c r="H30" i="5"/>
  <c r="G30" i="5"/>
  <c r="F30" i="5"/>
  <c r="R30" i="5"/>
  <c r="Q30" i="5"/>
  <c r="P30" i="5"/>
  <c r="O30" i="5"/>
  <c r="J29" i="5"/>
  <c r="R29" i="5"/>
  <c r="Q29" i="5"/>
  <c r="P29" i="5"/>
  <c r="O29" i="5"/>
  <c r="J28" i="5"/>
  <c r="S28" i="5"/>
  <c r="J27" i="5"/>
  <c r="S27" i="5"/>
  <c r="J26" i="5"/>
  <c r="S26" i="5"/>
  <c r="J25" i="5"/>
  <c r="S25" i="5"/>
  <c r="J24" i="5"/>
  <c r="S24" i="5"/>
  <c r="J23" i="5"/>
  <c r="S23" i="5"/>
  <c r="J22" i="5"/>
  <c r="S22" i="5"/>
  <c r="S31" i="5" s="1"/>
  <c r="J21" i="5"/>
  <c r="J20" i="5"/>
  <c r="J19" i="5"/>
  <c r="J31" i="5" s="1"/>
  <c r="J18" i="5"/>
  <c r="R17" i="5"/>
  <c r="Q17" i="5"/>
  <c r="P17" i="5"/>
  <c r="O17" i="5"/>
  <c r="J17" i="5"/>
  <c r="R16" i="5"/>
  <c r="Q16" i="5"/>
  <c r="P16" i="5"/>
  <c r="O16" i="5"/>
  <c r="J16" i="5"/>
  <c r="R15" i="5"/>
  <c r="Q15" i="5"/>
  <c r="P15" i="5"/>
  <c r="O15" i="5"/>
  <c r="J15" i="5"/>
  <c r="S14" i="5"/>
  <c r="J14" i="5"/>
  <c r="S13" i="5"/>
  <c r="J13" i="5"/>
  <c r="S12" i="5"/>
  <c r="J12" i="5"/>
  <c r="S11" i="5"/>
  <c r="J11" i="5"/>
  <c r="S10" i="5"/>
  <c r="J10" i="5"/>
  <c r="S9" i="5"/>
  <c r="J9" i="5"/>
  <c r="S8" i="5"/>
  <c r="J8" i="5"/>
  <c r="S7" i="5"/>
  <c r="S17" i="5" s="1"/>
  <c r="J7" i="5"/>
  <c r="J32" i="5" s="1"/>
  <c r="I35" i="4"/>
  <c r="H35" i="4"/>
  <c r="G35" i="4"/>
  <c r="F35" i="4"/>
  <c r="I34" i="4"/>
  <c r="H34" i="4"/>
  <c r="G34" i="4"/>
  <c r="F34" i="4"/>
  <c r="I33" i="4"/>
  <c r="H33" i="4"/>
  <c r="G33" i="4"/>
  <c r="F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R13" i="4"/>
  <c r="Q13" i="4"/>
  <c r="P13" i="4"/>
  <c r="O13" i="4"/>
  <c r="J13" i="4"/>
  <c r="R12" i="4"/>
  <c r="Q12" i="4"/>
  <c r="P12" i="4"/>
  <c r="O12" i="4"/>
  <c r="J12" i="4"/>
  <c r="R11" i="4"/>
  <c r="Q11" i="4"/>
  <c r="P11" i="4"/>
  <c r="O11" i="4"/>
  <c r="J11" i="4"/>
  <c r="S10" i="4"/>
  <c r="J10" i="4"/>
  <c r="S9" i="4"/>
  <c r="S13" i="4" s="1"/>
  <c r="J9" i="4"/>
  <c r="J34" i="4" s="1"/>
  <c r="J5" i="4"/>
  <c r="H31" i="3"/>
  <c r="G31" i="3"/>
  <c r="F31" i="3"/>
  <c r="E31" i="3"/>
  <c r="H30" i="3"/>
  <c r="G30" i="3"/>
  <c r="F30" i="3"/>
  <c r="E30" i="3"/>
  <c r="H29" i="3"/>
  <c r="G29" i="3"/>
  <c r="F29" i="3"/>
  <c r="E29" i="3"/>
  <c r="I28" i="3"/>
  <c r="I27" i="3"/>
  <c r="I26" i="3"/>
  <c r="I24" i="3"/>
  <c r="I23" i="3"/>
  <c r="I21" i="3"/>
  <c r="I20" i="3"/>
  <c r="I19" i="3"/>
  <c r="I18" i="3"/>
  <c r="I17" i="3"/>
  <c r="I15" i="3"/>
  <c r="I14" i="3"/>
  <c r="I13" i="3"/>
  <c r="I12" i="3"/>
  <c r="S11" i="3"/>
  <c r="R11" i="3"/>
  <c r="Q11" i="3"/>
  <c r="P11" i="3"/>
  <c r="I11" i="3"/>
  <c r="S10" i="3"/>
  <c r="R10" i="3"/>
  <c r="Q10" i="3"/>
  <c r="P10" i="3"/>
  <c r="I10" i="3"/>
  <c r="S9" i="3"/>
  <c r="R9" i="3"/>
  <c r="Q9" i="3"/>
  <c r="P9" i="3"/>
  <c r="I9" i="3"/>
  <c r="I8" i="3"/>
  <c r="I7" i="3"/>
  <c r="T6" i="3"/>
  <c r="T11" i="3" s="1"/>
  <c r="I6" i="3"/>
  <c r="I5" i="3"/>
  <c r="I78" i="6" l="1"/>
  <c r="S27" i="6"/>
  <c r="J35" i="4"/>
  <c r="I31" i="3"/>
  <c r="T9" i="3"/>
  <c r="T10" i="3"/>
  <c r="I30" i="3"/>
  <c r="S11" i="4"/>
  <c r="S12" i="4"/>
  <c r="J33" i="4"/>
  <c r="S15" i="5"/>
  <c r="S16" i="5"/>
  <c r="J30" i="5"/>
  <c r="S25" i="6"/>
  <c r="S26" i="6"/>
  <c r="I77" i="6"/>
  <c r="I29" i="3"/>
  <c r="S29" i="5"/>
  <c r="S30" i="5"/>
  <c r="I76" i="6"/>
  <c r="I77" i="2"/>
  <c r="I76" i="2"/>
  <c r="I75" i="2"/>
  <c r="I74" i="2"/>
  <c r="G74" i="2"/>
  <c r="E74" i="2"/>
  <c r="C74" i="2"/>
  <c r="I73" i="2"/>
  <c r="G73" i="2"/>
  <c r="E73" i="2"/>
  <c r="C73" i="2"/>
  <c r="I72" i="2"/>
  <c r="G72" i="2"/>
  <c r="E72" i="2"/>
  <c r="C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P3" i="2" s="1"/>
  <c r="I32" i="2"/>
  <c r="G32" i="2"/>
  <c r="E32" i="2"/>
  <c r="C32" i="2"/>
  <c r="I31" i="2"/>
  <c r="G31" i="2"/>
  <c r="E31" i="2"/>
  <c r="C31" i="2"/>
  <c r="I30" i="2"/>
  <c r="G30" i="2"/>
  <c r="E30" i="2"/>
  <c r="C30" i="2"/>
  <c r="I29" i="2"/>
  <c r="G29" i="2"/>
  <c r="E29" i="2"/>
  <c r="C29" i="2"/>
  <c r="I28" i="2"/>
  <c r="G28" i="2"/>
  <c r="E28" i="2"/>
  <c r="C28" i="2"/>
  <c r="I27" i="2"/>
  <c r="G27" i="2"/>
  <c r="E27" i="2"/>
  <c r="C27" i="2"/>
  <c r="I26" i="2"/>
  <c r="G26" i="2"/>
  <c r="E26" i="2"/>
  <c r="C26" i="2"/>
  <c r="I25" i="2"/>
  <c r="G25" i="2"/>
  <c r="E25" i="2"/>
  <c r="C25" i="2"/>
  <c r="I24" i="2"/>
  <c r="G24" i="2"/>
  <c r="E24" i="2"/>
  <c r="C24" i="2"/>
  <c r="I23" i="2"/>
  <c r="G23" i="2"/>
  <c r="E23" i="2"/>
  <c r="C23" i="2"/>
  <c r="I22" i="2"/>
  <c r="G22" i="2"/>
  <c r="E22" i="2"/>
  <c r="C22" i="2"/>
  <c r="I21" i="2"/>
  <c r="G21" i="2"/>
  <c r="E21" i="2"/>
  <c r="C21" i="2"/>
  <c r="I20" i="2"/>
  <c r="G20" i="2"/>
  <c r="E20" i="2"/>
  <c r="C20" i="2"/>
  <c r="I19" i="2"/>
  <c r="G19" i="2"/>
  <c r="E19" i="2"/>
  <c r="C19" i="2"/>
  <c r="I18" i="2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N3" i="2" s="1"/>
  <c r="E9" i="2"/>
  <c r="C9" i="2"/>
  <c r="L3" i="2" s="1"/>
  <c r="I8" i="2"/>
  <c r="G8" i="2"/>
  <c r="E8" i="2"/>
  <c r="C8" i="2"/>
  <c r="M3" i="2"/>
  <c r="O2" i="2"/>
  <c r="L2" i="2"/>
  <c r="N2" i="2" l="1"/>
  <c r="P2" i="2"/>
  <c r="O3" i="2"/>
  <c r="M2" i="2"/>
  <c r="C13" i="1" l="1"/>
  <c r="B13" i="1"/>
</calcChain>
</file>

<file path=xl/comments1.xml><?xml version="1.0" encoding="utf-8"?>
<comments xmlns="http://schemas.openxmlformats.org/spreadsheetml/2006/main">
  <authors>
    <author>Jess</author>
  </authors>
  <commentList>
    <comment ref="I29" authorId="0" shapeId="0">
      <text>
        <r>
          <rPr>
            <b/>
            <sz val="9"/>
            <color indexed="81"/>
            <rFont val="Tahoma"/>
            <family val="2"/>
          </rPr>
          <t>Jess:</t>
        </r>
        <r>
          <rPr>
            <sz val="9"/>
            <color indexed="81"/>
            <rFont val="Tahoma"/>
            <family val="2"/>
          </rPr>
          <t xml:space="preserve">
Not sure whether this formula is relevant or whether it would be better to continue the 260/280 formula for the median, Stdev and Average.</t>
        </r>
      </text>
    </comment>
  </commentList>
</comments>
</file>

<file path=xl/sharedStrings.xml><?xml version="1.0" encoding="utf-8"?>
<sst xmlns="http://schemas.openxmlformats.org/spreadsheetml/2006/main" count="379" uniqueCount="133">
  <si>
    <t>Master mix</t>
  </si>
  <si>
    <t># of samples</t>
  </si>
  <si>
    <t>N + 1ul</t>
  </si>
  <si>
    <t>Polymerase</t>
  </si>
  <si>
    <t>Primer F</t>
  </si>
  <si>
    <t>Primer R</t>
  </si>
  <si>
    <t>Water</t>
  </si>
  <si>
    <t>Template</t>
  </si>
  <si>
    <t>*Vortex master mix</t>
  </si>
  <si>
    <t>[DNA] = VDNA/Vcuvette x 50 x A260</t>
  </si>
  <si>
    <t>[DNA] = 20/2000 x 50 x 0.1</t>
  </si>
  <si>
    <t>=1/100 x 50 x 0.1</t>
  </si>
  <si>
    <t>=0.5 x 0.1</t>
  </si>
  <si>
    <t>=0.05 ug/ul</t>
  </si>
  <si>
    <t>http://www.endmemo.com/sconvert/ug_ulng_ul.php</t>
  </si>
  <si>
    <t>CONVERSION WEBSITE</t>
  </si>
  <si>
    <t>=50 ng/ul</t>
  </si>
  <si>
    <t>Example:</t>
  </si>
  <si>
    <t>TOTAL</t>
  </si>
  <si>
    <t>T1</t>
  </si>
  <si>
    <t>T2</t>
  </si>
  <si>
    <t>T3</t>
  </si>
  <si>
    <t>T4</t>
  </si>
  <si>
    <t>T4-Extension</t>
  </si>
  <si>
    <t>NOTE: All samples were tested using 2ml of deionised H2O</t>
  </si>
  <si>
    <t>RSD%</t>
  </si>
  <si>
    <t>TEST 1</t>
  </si>
  <si>
    <t>TEST 2</t>
  </si>
  <si>
    <t>TEST 3</t>
  </si>
  <si>
    <t>TEST 4</t>
  </si>
  <si>
    <t>v (ul)</t>
  </si>
  <si>
    <t>Blood storage</t>
  </si>
  <si>
    <t>Date</t>
  </si>
  <si>
    <t>Time</t>
  </si>
  <si>
    <t>Collection (on wet ice)</t>
  </si>
  <si>
    <t>Refrigerated (at 4 d C)</t>
  </si>
  <si>
    <t>Frozen (-20 d C frost freeze)</t>
  </si>
  <si>
    <t>Thawed (at 4 d C)</t>
  </si>
  <si>
    <t>t-Test: Two-Sample Assuming Equal Variances</t>
  </si>
  <si>
    <t>(Compare Test 1 &amp; 2)</t>
  </si>
  <si>
    <t>(Compare Test 2 &amp; 4 extension)</t>
  </si>
  <si>
    <t>(Compare Test 3 &amp; 4)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</si>
  <si>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</si>
  <si>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</si>
  <si>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</si>
  <si>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</si>
  <si>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</si>
  <si>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</si>
  <si>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</si>
  <si>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</si>
  <si>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</si>
  <si>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</si>
  <si>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</si>
  <si>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</si>
  <si>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</si>
  <si>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(Compare test 2 &amp; 3)</t>
  </si>
  <si>
    <t>(Compare Test 1 &amp; 3)</t>
  </si>
  <si>
    <t>(Compare Test 2 &amp; 4)</t>
  </si>
  <si>
    <t>(Compare Test 1 &amp; 4)</t>
  </si>
  <si>
    <t>(Top 24)</t>
  </si>
  <si>
    <t>EXTENSION</t>
  </si>
  <si>
    <t>(Above)</t>
  </si>
  <si>
    <t>Sample</t>
  </si>
  <si>
    <t>id.</t>
  </si>
  <si>
    <t>Relative Standard Deviation</t>
  </si>
  <si>
    <t>FG3 experiment</t>
  </si>
  <si>
    <t>Sample id.</t>
  </si>
  <si>
    <t>NLIS tag</t>
  </si>
  <si>
    <t>260/280</t>
  </si>
  <si>
    <t>Repeat</t>
  </si>
  <si>
    <t>Fresh 400</t>
  </si>
  <si>
    <t>Median</t>
  </si>
  <si>
    <t>STDEV</t>
  </si>
  <si>
    <t>Fresh 500</t>
  </si>
  <si>
    <t>AV</t>
  </si>
  <si>
    <t>Red mark</t>
  </si>
  <si>
    <r>
      <t xml:space="preserve">Fresh 1000 </t>
    </r>
    <r>
      <rPr>
        <b/>
        <sz val="11"/>
        <color rgb="FFFF0000"/>
        <rFont val="Calibri"/>
        <family val="2"/>
        <scheme val="minor"/>
      </rPr>
      <t>V</t>
    </r>
  </si>
  <si>
    <t>ANALYSE THIS BY T-TEST</t>
  </si>
  <si>
    <t>Additional FG3 incorporated into samples</t>
  </si>
  <si>
    <t>FG3 replaced with fresh FG3 (total)</t>
  </si>
  <si>
    <r>
      <t xml:space="preserve">Add. 1000 </t>
    </r>
    <r>
      <rPr>
        <b/>
        <sz val="11"/>
        <color rgb="FFFF0000"/>
        <rFont val="Calibri"/>
        <family val="2"/>
        <scheme val="minor"/>
      </rPr>
      <t>V</t>
    </r>
  </si>
  <si>
    <t>FG3 (ul)</t>
  </si>
  <si>
    <t xml:space="preserve">Sample id. </t>
  </si>
  <si>
    <t>Non-vortexed</t>
  </si>
  <si>
    <t>Vortexed*</t>
  </si>
  <si>
    <t>Add. 400</t>
  </si>
  <si>
    <t>Additional FG3</t>
  </si>
  <si>
    <t>"</t>
  </si>
  <si>
    <t>NOTE: Cross reference sample id. In the table opposite (left)</t>
  </si>
  <si>
    <t>*Vortexing speed was at maximum rate for at least 50 secs.</t>
  </si>
  <si>
    <t>Add. 500</t>
  </si>
  <si>
    <t xml:space="preserve">TEST 2 (volume used in this UV spectrophotometer was doubled as the samples contained greater liquid content than tests 1, 3 and 4) </t>
  </si>
  <si>
    <t>NOTE: 'Red mark' indicates sample with DNA pellet which was particularly difficult to breakup by vortexing.</t>
  </si>
  <si>
    <t>Lower volume</t>
  </si>
  <si>
    <t>Solid DNA pellet</t>
  </si>
  <si>
    <t>v</t>
  </si>
  <si>
    <t>*</t>
  </si>
  <si>
    <t>IMPORTANT: TEST 2 samples were placed in rotating incubator for 1000 mins @ 64 d C at speed 6 on 10/09/2012</t>
  </si>
  <si>
    <t>600 ul FG3</t>
  </si>
  <si>
    <t>TABLE 3a: Increased volume of test 3 (50ul/2ml H2O) in quartz cell</t>
  </si>
  <si>
    <t>Not enough volume</t>
  </si>
  <si>
    <t>(Comparison between 20 and 50 ul i.e. table 3b and table 3c)</t>
  </si>
  <si>
    <t>No repeat capable</t>
  </si>
  <si>
    <t>* Highlight red to visually indicate odd readings.</t>
  </si>
  <si>
    <t>NOTE:</t>
  </si>
  <si>
    <t xml:space="preserve">TEST 4 UV spectrometer will be conducted on 24th Sept., as DNA was still present following 48 hrs heat treatment @ 55 d C, </t>
  </si>
  <si>
    <t xml:space="preserve">which requires further time to push beyond an expected threshold for dissolving the DNA pellets. The samples were </t>
  </si>
  <si>
    <t xml:space="preserve">placed into the refrigerator over the weekend. It is important to note that FG3 buffer was not increased, as the protocol advices further incubation if low buffer.  </t>
  </si>
  <si>
    <t>Denotes samples used in tests 1 - 4</t>
  </si>
  <si>
    <t>Table 4a: Normal protease mix</t>
  </si>
  <si>
    <t>Table 4b: Double protease mix</t>
  </si>
  <si>
    <t>(260/280 comparison i.e. J v's S. Only samples 5 - 62)</t>
  </si>
  <si>
    <t>Compare 280 (Column H v's R)</t>
  </si>
  <si>
    <t>Compare 260 (Column F v's P)</t>
  </si>
  <si>
    <t>Table 3c: These are samples (below) which are from table 3a for t-test comparison with table 3b.</t>
  </si>
  <si>
    <t>TABLE 3b: Lower volume of test 3 (i.e. 20ul/2ml H2O) added to quartz cell</t>
  </si>
  <si>
    <t>N/A</t>
  </si>
  <si>
    <t>N/A - No data recorded for samples 25 - 63 in Test 1-3</t>
  </si>
  <si>
    <t>260 (nm)</t>
  </si>
  <si>
    <t>Test 1</t>
  </si>
  <si>
    <t>Test 2</t>
  </si>
  <si>
    <t>Test 3</t>
  </si>
  <si>
    <t>Test 4</t>
  </si>
  <si>
    <t>=20/2000*50</t>
  </si>
  <si>
    <t>Base calculation</t>
  </si>
  <si>
    <t>Table 2a: Test occurred using 100 ul of sample.</t>
  </si>
  <si>
    <t>Table 2b: Test using 150 ul of sample</t>
  </si>
  <si>
    <t>Table 2c: Repeat tests using 150 ul of sample</t>
  </si>
  <si>
    <t>Table 1b: Test 1 repeats using 50 ul of sample.</t>
  </si>
  <si>
    <t xml:space="preserve">Table 1c: Test 1 displaying detailed data relating to increasing/replacing FG3 level </t>
  </si>
  <si>
    <t>Table 1a: Test 1 using 50 ul of sample and an additional analysis to determine FG3 affectiveness</t>
  </si>
  <si>
    <t>Table 5b: Calculations based on master mix data.</t>
  </si>
  <si>
    <t>Table 5a: UV absorbance readings for 260 nanometres.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</si>
</sst>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quotePrefix="1"/>
    <xf numFmtId="0" fontId="0" fillId="0" borderId="1" xfId="0" applyFill="1" applyBorder="1"/>
    <xf numFmtId="0" fontId="2" fillId="0" borderId="0" xfId="0" applyFont="1" applyAlignment="1">
      <alignment horizontal="left"/>
    </xf>
    <xf numFmtId="0" fontId="0" fillId="0" borderId="15" xfId="0" applyBorder="1"/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18" fontId="0" fillId="0" borderId="4" xfId="0" applyNumberFormat="1" applyBorder="1"/>
    <xf numFmtId="0" fontId="4" fillId="0" borderId="0" xfId="0" applyFont="1"/>
    <xf numFmtId="0" fontId="5" fillId="0" borderId="16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5" xfId="0" applyFill="1" applyBorder="1" applyAlignment="1"/>
    <xf numFmtId="0" fontId="0" fillId="0" borderId="11" xfId="0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/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0" xfId="0" applyFont="1"/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0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0" fontId="7" fillId="0" borderId="7" xfId="0" applyFont="1" applyBorder="1"/>
    <xf numFmtId="0" fontId="0" fillId="0" borderId="14" xfId="0" applyBorder="1"/>
    <xf numFmtId="0" fontId="0" fillId="0" borderId="1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1" xfId="0" applyFill="1" applyBorder="1" applyAlignment="1">
      <alignment horizontal="left"/>
    </xf>
    <xf numFmtId="2" fontId="0" fillId="0" borderId="4" xfId="0" applyNumberFormat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17" xfId="0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0" fontId="0" fillId="0" borderId="0" xfId="0" applyFill="1"/>
    <xf numFmtId="0" fontId="2" fillId="0" borderId="9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2" fillId="0" borderId="10" xfId="0" applyNumberFormat="1" applyFont="1" applyFill="1" applyBorder="1" applyAlignment="1">
      <alignment horizontal="center"/>
    </xf>
    <xf numFmtId="2" fontId="2" fillId="0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0" fillId="3" borderId="2" xfId="0" applyFill="1" applyBorder="1"/>
    <xf numFmtId="0" fontId="0" fillId="3" borderId="7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3" borderId="9" xfId="0" applyFill="1" applyBorder="1"/>
    <xf numFmtId="2" fontId="0" fillId="3" borderId="3" xfId="0" applyNumberFormat="1" applyFill="1" applyBorder="1"/>
    <xf numFmtId="0" fontId="0" fillId="3" borderId="4" xfId="0" applyFill="1" applyBorder="1"/>
    <xf numFmtId="0" fontId="0" fillId="3" borderId="11" xfId="0" applyFill="1" applyBorder="1"/>
    <xf numFmtId="2" fontId="0" fillId="3" borderId="4" xfId="0" applyNumberFormat="1" applyFill="1" applyBorder="1"/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165" fontId="0" fillId="3" borderId="15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0" fillId="0" borderId="13" xfId="0" applyBorder="1"/>
    <xf numFmtId="0" fontId="7" fillId="0" borderId="0" xfId="0" applyFont="1"/>
    <xf numFmtId="0" fontId="2" fillId="0" borderId="0" xfId="0" applyFont="1" applyAlignment="1"/>
    <xf numFmtId="0" fontId="0" fillId="7" borderId="1" xfId="0" applyFill="1" applyBorder="1" applyAlignment="1"/>
    <xf numFmtId="0" fontId="8" fillId="8" borderId="5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3" fillId="0" borderId="5" xfId="0" applyFont="1" applyBorder="1" applyAlignment="1"/>
    <xf numFmtId="0" fontId="0" fillId="7" borderId="1" xfId="0" applyFill="1" applyBorder="1"/>
    <xf numFmtId="0" fontId="3" fillId="0" borderId="1" xfId="0" applyFont="1" applyBorder="1" applyAlignment="1"/>
    <xf numFmtId="0" fontId="1" fillId="0" borderId="3" xfId="0" applyFont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7" borderId="0" xfId="0" applyFill="1" applyBorder="1"/>
    <xf numFmtId="164" fontId="0" fillId="5" borderId="9" xfId="0" applyNumberForma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left"/>
    </xf>
    <xf numFmtId="0" fontId="1" fillId="10" borderId="6" xfId="0" applyFont="1" applyFill="1" applyBorder="1" applyAlignment="1">
      <alignment horizontal="left"/>
    </xf>
    <xf numFmtId="0" fontId="0" fillId="0" borderId="1" xfId="0" quotePrefix="1" applyBorder="1"/>
    <xf numFmtId="0" fontId="0" fillId="0" borderId="0" xfId="0" quotePrefix="1" applyBorder="1"/>
    <xf numFmtId="0" fontId="0" fillId="7" borderId="7" xfId="0" applyFill="1" applyBorder="1"/>
    <xf numFmtId="0" fontId="0" fillId="7" borderId="14" xfId="0" applyFill="1" applyBorder="1"/>
    <xf numFmtId="0" fontId="0" fillId="7" borderId="9" xfId="0" applyFill="1" applyBorder="1"/>
    <xf numFmtId="0" fontId="0" fillId="7" borderId="11" xfId="0" applyFill="1" applyBorder="1"/>
    <xf numFmtId="0" fontId="0" fillId="7" borderId="15" xfId="0" applyFill="1" applyBorder="1"/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5e78b19b79c5bbe/Documents/Copy%20of%20Copy%20of%20Sheep%20DNA%20-%20UV%20spectrometer.draf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ll curve"/>
      <sheetName val="bell curve (T1)"/>
      <sheetName val="Sheet1"/>
      <sheetName val="OVERVIEW"/>
      <sheetName val="Sheet5"/>
      <sheetName val="Sheet6"/>
      <sheetName val="Sheet2"/>
      <sheetName val="1st PRACTICE TEST"/>
      <sheetName val="TEST 1 (T1)"/>
      <sheetName val="TEST 2 (T2)"/>
      <sheetName val="TEST 3 (T3)"/>
      <sheetName val="TEST 4 (FINAL)"/>
      <sheetName val="RESEARCH TEST"/>
      <sheetName val="CALCULATIONS"/>
      <sheetName val="BLOOD VOLUME"/>
      <sheetName val="Sheet7"/>
    </sheetNames>
    <sheetDataSet>
      <sheetData sheetId="0" refreshError="1"/>
      <sheetData sheetId="1" refreshError="1"/>
      <sheetData sheetId="2" refreshError="1">
        <row r="2">
          <cell r="D2">
            <v>41.427467457064267</v>
          </cell>
        </row>
        <row r="3">
          <cell r="D3">
            <v>40.84108690076755</v>
          </cell>
        </row>
        <row r="4">
          <cell r="D4">
            <v>20.184371614440352</v>
          </cell>
        </row>
        <row r="5">
          <cell r="D5">
            <v>24.144051672014029</v>
          </cell>
        </row>
        <row r="6">
          <cell r="D6">
            <v>18.37675728893737</v>
          </cell>
        </row>
        <row r="7">
          <cell r="D7">
            <v>20.503843656801109</v>
          </cell>
        </row>
        <row r="8">
          <cell r="D8">
            <v>26.231565116635466</v>
          </cell>
        </row>
        <row r="9">
          <cell r="D9">
            <v>2.2603253036359092</v>
          </cell>
        </row>
        <row r="10">
          <cell r="D10">
            <v>48.653483241108916</v>
          </cell>
        </row>
        <row r="11">
          <cell r="D11">
            <v>16.90364269816564</v>
          </cell>
        </row>
        <row r="12">
          <cell r="D12">
            <v>56.339045857843303</v>
          </cell>
        </row>
        <row r="13">
          <cell r="D13">
            <v>61.669802474993048</v>
          </cell>
        </row>
        <row r="14">
          <cell r="D14">
            <v>37.881633349938056</v>
          </cell>
        </row>
        <row r="15">
          <cell r="D15">
            <v>27.297946864681762</v>
          </cell>
        </row>
        <row r="16">
          <cell r="D16">
            <v>50.734518080575072</v>
          </cell>
        </row>
        <row r="17">
          <cell r="D17">
            <v>30.217643820473313</v>
          </cell>
        </row>
        <row r="18">
          <cell r="D18">
            <v>12.004281036664906</v>
          </cell>
        </row>
        <row r="19">
          <cell r="D19">
            <v>15.03302894675835</v>
          </cell>
        </row>
        <row r="20">
          <cell r="D20">
            <v>1.9784725845092908</v>
          </cell>
        </row>
        <row r="21">
          <cell r="D21">
            <v>30.997631146809908</v>
          </cell>
        </row>
        <row r="22">
          <cell r="D22">
            <v>42.01441572618387</v>
          </cell>
        </row>
        <row r="23">
          <cell r="D23">
            <v>34.300868206768428</v>
          </cell>
        </row>
        <row r="24">
          <cell r="D24">
            <v>34.342862258225978</v>
          </cell>
        </row>
        <row r="25">
          <cell r="D25">
            <v>40.737195454179528</v>
          </cell>
        </row>
        <row r="26">
          <cell r="D26">
            <v>31.601644195488007</v>
          </cell>
        </row>
        <row r="27">
          <cell r="D27">
            <v>6.20966964834588</v>
          </cell>
        </row>
        <row r="28">
          <cell r="D28">
            <v>8.9059048185881693</v>
          </cell>
        </row>
        <row r="29">
          <cell r="D29">
            <v>-15.510822586016729</v>
          </cell>
        </row>
        <row r="30">
          <cell r="D30">
            <v>23.1849509500571</v>
          </cell>
        </row>
        <row r="31">
          <cell r="D31">
            <v>22.899491584761563</v>
          </cell>
        </row>
        <row r="32">
          <cell r="D32">
            <v>45.642902141347804</v>
          </cell>
        </row>
        <row r="33">
          <cell r="D33">
            <v>27.568027891451493</v>
          </cell>
        </row>
        <row r="34">
          <cell r="D34">
            <v>27.890555564594251</v>
          </cell>
        </row>
        <row r="35">
          <cell r="D35">
            <v>32.41061827066369</v>
          </cell>
        </row>
        <row r="36">
          <cell r="D36">
            <v>43.362299547201474</v>
          </cell>
        </row>
        <row r="37">
          <cell r="D37">
            <v>33.152835996842441</v>
          </cell>
        </row>
        <row r="38">
          <cell r="D38">
            <v>19.084094071380605</v>
          </cell>
        </row>
        <row r="39">
          <cell r="D39">
            <v>28.154057801592899</v>
          </cell>
        </row>
        <row r="40">
          <cell r="D40">
            <v>39.250088412067271</v>
          </cell>
        </row>
        <row r="41">
          <cell r="D41">
            <v>23.724311526670135</v>
          </cell>
        </row>
        <row r="42">
          <cell r="D42">
            <v>38.165239299841232</v>
          </cell>
        </row>
        <row r="43">
          <cell r="D43">
            <v>2.4005837657605298</v>
          </cell>
        </row>
        <row r="44">
          <cell r="D44">
            <v>27.604127748012615</v>
          </cell>
        </row>
        <row r="45">
          <cell r="D45">
            <v>46.563632155452069</v>
          </cell>
        </row>
        <row r="46">
          <cell r="D46">
            <v>49.473126977867651</v>
          </cell>
        </row>
        <row r="47">
          <cell r="D47">
            <v>15.913885483772901</v>
          </cell>
        </row>
        <row r="48">
          <cell r="D48">
            <v>54.162368105156929</v>
          </cell>
        </row>
        <row r="49">
          <cell r="D49">
            <v>23.77221647046008</v>
          </cell>
        </row>
        <row r="50">
          <cell r="D50">
            <v>15.928913176143396</v>
          </cell>
        </row>
        <row r="51">
          <cell r="D51">
            <v>30.624026017043434</v>
          </cell>
        </row>
        <row r="52">
          <cell r="D52">
            <v>33.334403915549956</v>
          </cell>
        </row>
        <row r="53">
          <cell r="D53">
            <v>29.910093747393148</v>
          </cell>
        </row>
        <row r="54">
          <cell r="D54">
            <v>19.371490339248339</v>
          </cell>
        </row>
        <row r="55">
          <cell r="D55">
            <v>36.510673672413759</v>
          </cell>
        </row>
        <row r="56">
          <cell r="D56">
            <v>54.820981769447826</v>
          </cell>
        </row>
        <row r="57">
          <cell r="D57">
            <v>27.64927761486797</v>
          </cell>
        </row>
        <row r="58">
          <cell r="D58">
            <v>25.863520233046074</v>
          </cell>
        </row>
        <row r="59">
          <cell r="D59">
            <v>33.234753617697606</v>
          </cell>
        </row>
        <row r="60">
          <cell r="D60">
            <v>5.050667222989432</v>
          </cell>
        </row>
        <row r="61">
          <cell r="D61">
            <v>31.089533834373469</v>
          </cell>
        </row>
        <row r="62">
          <cell r="D62">
            <v>22.823468158802825</v>
          </cell>
        </row>
        <row r="63">
          <cell r="D63">
            <v>23.278389801729645</v>
          </cell>
        </row>
        <row r="64">
          <cell r="D64">
            <v>2.6963287516118726</v>
          </cell>
        </row>
        <row r="65">
          <cell r="D65">
            <v>55.159739350350719</v>
          </cell>
        </row>
        <row r="66">
          <cell r="D66">
            <v>18.630591710510998</v>
          </cell>
        </row>
        <row r="67">
          <cell r="D67">
            <v>35.104181851151225</v>
          </cell>
        </row>
        <row r="68">
          <cell r="D68">
            <v>46.148066369099979</v>
          </cell>
        </row>
        <row r="69">
          <cell r="D69">
            <v>31.218989055427301</v>
          </cell>
        </row>
        <row r="70">
          <cell r="D70">
            <v>36.279831620166988</v>
          </cell>
        </row>
        <row r="71">
          <cell r="D71">
            <v>38.939900144104286</v>
          </cell>
        </row>
        <row r="72">
          <cell r="D72">
            <v>41.075852850466617</v>
          </cell>
        </row>
        <row r="73">
          <cell r="D73">
            <v>38.989408041747083</v>
          </cell>
        </row>
        <row r="74">
          <cell r="D74">
            <v>42.047743808374435</v>
          </cell>
        </row>
        <row r="75">
          <cell r="D75">
            <v>38.218537515448588</v>
          </cell>
        </row>
        <row r="76">
          <cell r="D76">
            <v>26.853711580773961</v>
          </cell>
        </row>
        <row r="77">
          <cell r="D77">
            <v>2.4582901044632308</v>
          </cell>
        </row>
        <row r="78">
          <cell r="D78">
            <v>17.068513180905938</v>
          </cell>
        </row>
        <row r="79">
          <cell r="D79">
            <v>2.9493283013871405</v>
          </cell>
        </row>
        <row r="80">
          <cell r="D80">
            <v>24.426772657810943</v>
          </cell>
        </row>
        <row r="81">
          <cell r="D81">
            <v>38.815938379483669</v>
          </cell>
        </row>
        <row r="82">
          <cell r="D82">
            <v>22.938663769540653</v>
          </cell>
        </row>
        <row r="83">
          <cell r="D83">
            <v>23.120498847223644</v>
          </cell>
        </row>
        <row r="84">
          <cell r="D84">
            <v>42.763462703673213</v>
          </cell>
        </row>
        <row r="85">
          <cell r="D85">
            <v>47.118120609051402</v>
          </cell>
        </row>
        <row r="86">
          <cell r="D86">
            <v>36.105026163026196</v>
          </cell>
        </row>
        <row r="87">
          <cell r="D87">
            <v>20.050808824138585</v>
          </cell>
        </row>
        <row r="88">
          <cell r="D88">
            <v>20.450645625809557</v>
          </cell>
        </row>
        <row r="89">
          <cell r="D89">
            <v>26.874149242397834</v>
          </cell>
        </row>
        <row r="90">
          <cell r="D90">
            <v>26.400643353239502</v>
          </cell>
        </row>
        <row r="91">
          <cell r="D91">
            <v>25.988700910492298</v>
          </cell>
        </row>
        <row r="92">
          <cell r="D92">
            <v>59.566994179025642</v>
          </cell>
        </row>
        <row r="93">
          <cell r="D93">
            <v>5.9167966214808985</v>
          </cell>
        </row>
        <row r="94">
          <cell r="D94">
            <v>58.029360695676587</v>
          </cell>
        </row>
        <row r="95">
          <cell r="D95">
            <v>53.912574463087367</v>
          </cell>
        </row>
        <row r="96">
          <cell r="D96">
            <v>40.714019413057031</v>
          </cell>
        </row>
        <row r="97">
          <cell r="D97">
            <v>31.832519642606712</v>
          </cell>
        </row>
        <row r="98">
          <cell r="D98">
            <v>6.7978201328551222</v>
          </cell>
        </row>
        <row r="99">
          <cell r="D99">
            <v>24.814420331225847</v>
          </cell>
        </row>
        <row r="100">
          <cell r="D100">
            <v>28.344191504951596</v>
          </cell>
        </row>
        <row r="101">
          <cell r="D101">
            <v>17.938549779413734</v>
          </cell>
        </row>
        <row r="102">
          <cell r="D102">
            <v>40.247359472645257</v>
          </cell>
        </row>
        <row r="103">
          <cell r="D103">
            <v>36.029336685786802</v>
          </cell>
        </row>
        <row r="104">
          <cell r="D104">
            <v>3.734642109797278</v>
          </cell>
        </row>
        <row r="105">
          <cell r="D105">
            <v>52.118000835074781</v>
          </cell>
        </row>
        <row r="106">
          <cell r="D106">
            <v>16.73566649233544</v>
          </cell>
        </row>
        <row r="107">
          <cell r="D107">
            <v>24.885751777677797</v>
          </cell>
        </row>
        <row r="108">
          <cell r="D108">
            <v>48.020049310256582</v>
          </cell>
        </row>
        <row r="109">
          <cell r="D109">
            <v>37.026290495081412</v>
          </cell>
        </row>
        <row r="110">
          <cell r="D110">
            <v>4.3670074047477101</v>
          </cell>
        </row>
        <row r="111">
          <cell r="D111">
            <v>48.719671877282963</v>
          </cell>
        </row>
        <row r="112">
          <cell r="D112">
            <v>38.405365126485776</v>
          </cell>
        </row>
        <row r="113">
          <cell r="D113">
            <v>21.666753282173886</v>
          </cell>
        </row>
        <row r="114">
          <cell r="D114">
            <v>62.947356695716735</v>
          </cell>
        </row>
        <row r="115">
          <cell r="D115">
            <v>32.822911359566206</v>
          </cell>
        </row>
        <row r="116">
          <cell r="D116">
            <v>42.452823604939113</v>
          </cell>
        </row>
        <row r="117">
          <cell r="D117">
            <v>26.357263414596673</v>
          </cell>
        </row>
        <row r="118">
          <cell r="D118">
            <v>0.73805346137669403</v>
          </cell>
        </row>
        <row r="119">
          <cell r="D119">
            <v>43.601607199483624</v>
          </cell>
        </row>
        <row r="120">
          <cell r="D120">
            <v>26.601279743821578</v>
          </cell>
        </row>
        <row r="121">
          <cell r="D121">
            <v>27.987434088076043</v>
          </cell>
        </row>
        <row r="122">
          <cell r="D122">
            <v>33.536676654856819</v>
          </cell>
        </row>
        <row r="123">
          <cell r="D123">
            <v>36.795097796679329</v>
          </cell>
        </row>
        <row r="124">
          <cell r="D124">
            <v>27.061327499590334</v>
          </cell>
        </row>
        <row r="125">
          <cell r="D125">
            <v>2.9493283013871405</v>
          </cell>
        </row>
        <row r="126">
          <cell r="D126">
            <v>49.191942156179721</v>
          </cell>
        </row>
        <row r="127">
          <cell r="D127">
            <v>27.192702925780395</v>
          </cell>
        </row>
        <row r="128">
          <cell r="D128">
            <v>28.890448122619091</v>
          </cell>
        </row>
        <row r="129">
          <cell r="D129">
            <v>26.522668215287922</v>
          </cell>
        </row>
        <row r="130">
          <cell r="D130">
            <v>41.631176175864312</v>
          </cell>
        </row>
        <row r="131">
          <cell r="D131">
            <v>26.894586904021708</v>
          </cell>
        </row>
        <row r="132">
          <cell r="D132">
            <v>46.529235437359603</v>
          </cell>
        </row>
        <row r="133">
          <cell r="D133">
            <v>13.686915053953271</v>
          </cell>
        </row>
        <row r="134">
          <cell r="D134">
            <v>13.356072057698839</v>
          </cell>
        </row>
        <row r="135">
          <cell r="D135">
            <v>34.22778352953992</v>
          </cell>
        </row>
        <row r="136">
          <cell r="D136">
            <v>35.233035964510236</v>
          </cell>
        </row>
        <row r="137">
          <cell r="D137">
            <v>36.451831908065287</v>
          </cell>
        </row>
        <row r="138">
          <cell r="D138">
            <v>44.999215984811599</v>
          </cell>
        </row>
        <row r="139">
          <cell r="D139">
            <v>23.969262912309205</v>
          </cell>
        </row>
        <row r="140">
          <cell r="D140">
            <v>65.939002903091023</v>
          </cell>
        </row>
        <row r="141">
          <cell r="D141">
            <v>36.657026698666414</v>
          </cell>
        </row>
        <row r="142">
          <cell r="D142">
            <v>20.84687578131161</v>
          </cell>
        </row>
        <row r="143">
          <cell r="D143">
            <v>28.482496367068052</v>
          </cell>
        </row>
        <row r="144">
          <cell r="D144">
            <v>18.712609515981967</v>
          </cell>
        </row>
        <row r="145">
          <cell r="D145">
            <v>36.241744768725766</v>
          </cell>
        </row>
        <row r="146">
          <cell r="D146">
            <v>27.097577633075161</v>
          </cell>
        </row>
        <row r="147">
          <cell r="D147">
            <v>33.890378440950371</v>
          </cell>
        </row>
        <row r="148">
          <cell r="D148">
            <v>49.082674135210254</v>
          </cell>
        </row>
        <row r="149">
          <cell r="D149">
            <v>26.874149242397834</v>
          </cell>
        </row>
        <row r="150">
          <cell r="D150">
            <v>33.206651832964781</v>
          </cell>
        </row>
        <row r="151">
          <cell r="D151">
            <v>34.855172988572122</v>
          </cell>
        </row>
        <row r="152">
          <cell r="D152">
            <v>49.22086211527494</v>
          </cell>
        </row>
        <row r="153">
          <cell r="D153">
            <v>22.622815070784782</v>
          </cell>
        </row>
        <row r="154">
          <cell r="D154">
            <v>48.195505967400095</v>
          </cell>
        </row>
        <row r="155">
          <cell r="D155">
            <v>56.803635316195141</v>
          </cell>
        </row>
        <row r="156">
          <cell r="D156">
            <v>15.494111943557073</v>
          </cell>
        </row>
        <row r="157">
          <cell r="D157">
            <v>31.233782983694255</v>
          </cell>
        </row>
        <row r="158">
          <cell r="D158">
            <v>17.369200607803577</v>
          </cell>
        </row>
        <row r="159">
          <cell r="D159">
            <v>48.683772389953447</v>
          </cell>
        </row>
        <row r="160">
          <cell r="D160">
            <v>16.373699475438116</v>
          </cell>
        </row>
        <row r="161">
          <cell r="D161">
            <v>36.435234656713874</v>
          </cell>
        </row>
        <row r="162">
          <cell r="D162">
            <v>17.922119502421992</v>
          </cell>
        </row>
        <row r="163">
          <cell r="D163">
            <v>40.295615062590514</v>
          </cell>
        </row>
        <row r="164">
          <cell r="D164">
            <v>28.10227905265856</v>
          </cell>
        </row>
        <row r="165">
          <cell r="D165">
            <v>25.287391902433228</v>
          </cell>
        </row>
        <row r="166">
          <cell r="D166">
            <v>42.519613348807979</v>
          </cell>
        </row>
        <row r="167">
          <cell r="D167">
            <v>39.375185602333659</v>
          </cell>
        </row>
        <row r="168">
          <cell r="D168">
            <v>28.191209596619956</v>
          </cell>
        </row>
        <row r="169">
          <cell r="D169">
            <v>41.43230971349476</v>
          </cell>
        </row>
        <row r="170">
          <cell r="D170">
            <v>35.083376845936073</v>
          </cell>
        </row>
        <row r="171">
          <cell r="D171">
            <v>21.778559313410369</v>
          </cell>
        </row>
        <row r="172">
          <cell r="D172">
            <v>-7.7048572798958048E-2</v>
          </cell>
        </row>
        <row r="173">
          <cell r="D173">
            <v>22.886016753936019</v>
          </cell>
        </row>
        <row r="174">
          <cell r="D174">
            <v>16.543579188968579</v>
          </cell>
        </row>
        <row r="175">
          <cell r="D175">
            <v>18.107895174993246</v>
          </cell>
        </row>
        <row r="176">
          <cell r="D176">
            <v>38.627107076130414</v>
          </cell>
        </row>
        <row r="177">
          <cell r="D177">
            <v>31.429476933230035</v>
          </cell>
        </row>
        <row r="178">
          <cell r="D178">
            <v>51.308375559896376</v>
          </cell>
        </row>
        <row r="179">
          <cell r="D179">
            <v>-0.95707023801514879</v>
          </cell>
        </row>
        <row r="180">
          <cell r="D180">
            <v>31.92300304811306</v>
          </cell>
        </row>
        <row r="181">
          <cell r="D181">
            <v>39.855170096647271</v>
          </cell>
        </row>
        <row r="182">
          <cell r="D182">
            <v>15.605183287610998</v>
          </cell>
        </row>
        <row r="183">
          <cell r="D183">
            <v>38.93567569280458</v>
          </cell>
        </row>
        <row r="184">
          <cell r="D184">
            <v>45.454254509790189</v>
          </cell>
        </row>
        <row r="185">
          <cell r="D185">
            <v>43.071530397268361</v>
          </cell>
        </row>
        <row r="186">
          <cell r="D186">
            <v>10.137374116042338</v>
          </cell>
        </row>
        <row r="187">
          <cell r="D187">
            <v>-3.750217326611164</v>
          </cell>
        </row>
        <row r="188">
          <cell r="D188">
            <v>6.2246305509725062</v>
          </cell>
        </row>
        <row r="189">
          <cell r="D189">
            <v>17.662040239796625</v>
          </cell>
        </row>
        <row r="190">
          <cell r="D190">
            <v>22.843104343500272</v>
          </cell>
        </row>
        <row r="191">
          <cell r="D191">
            <v>15.907206509386015</v>
          </cell>
        </row>
        <row r="192">
          <cell r="D192">
            <v>31.481890184731128</v>
          </cell>
        </row>
        <row r="193">
          <cell r="D193">
            <v>30.879763946317325</v>
          </cell>
        </row>
        <row r="194">
          <cell r="D194">
            <v>71.756122435093857</v>
          </cell>
        </row>
        <row r="195">
          <cell r="D195">
            <v>33.86069039980066</v>
          </cell>
        </row>
        <row r="196">
          <cell r="D196">
            <v>41.745420032752008</v>
          </cell>
        </row>
        <row r="197">
          <cell r="D197">
            <v>32.092815971899654</v>
          </cell>
        </row>
        <row r="198">
          <cell r="D198">
            <v>19.252788266957396</v>
          </cell>
        </row>
        <row r="199">
          <cell r="D199">
            <v>57.036330783834273</v>
          </cell>
        </row>
        <row r="200">
          <cell r="D200">
            <v>54.480220496228867</v>
          </cell>
        </row>
        <row r="201">
          <cell r="D201">
            <v>9.2692410252348054</v>
          </cell>
        </row>
        <row r="202">
          <cell r="D202">
            <v>24.184375979874858</v>
          </cell>
        </row>
        <row r="203">
          <cell r="D203">
            <v>14.093197065907589</v>
          </cell>
        </row>
        <row r="204">
          <cell r="D204">
            <v>27.342061490507149</v>
          </cell>
        </row>
        <row r="205">
          <cell r="D205">
            <v>28.530835444193144</v>
          </cell>
        </row>
        <row r="206">
          <cell r="D206">
            <v>26.833273919150088</v>
          </cell>
        </row>
        <row r="207">
          <cell r="D207">
            <v>24.719545500060121</v>
          </cell>
        </row>
        <row r="208">
          <cell r="D208">
            <v>39.331972638050502</v>
          </cell>
        </row>
        <row r="209">
          <cell r="D209">
            <v>34.542630382137759</v>
          </cell>
        </row>
        <row r="210">
          <cell r="D210">
            <v>31.823369447696678</v>
          </cell>
        </row>
        <row r="211">
          <cell r="D211">
            <v>34.572802648930519</v>
          </cell>
        </row>
        <row r="212">
          <cell r="D212">
            <v>26.829850944776808</v>
          </cell>
        </row>
        <row r="213">
          <cell r="D213">
            <v>40.333418057620293</v>
          </cell>
        </row>
        <row r="214">
          <cell r="D214">
            <v>46.000127086430439</v>
          </cell>
        </row>
        <row r="215">
          <cell r="D215">
            <v>52.168560671183513</v>
          </cell>
        </row>
        <row r="216">
          <cell r="D216">
            <v>9.9357024844302941</v>
          </cell>
        </row>
        <row r="217">
          <cell r="D217">
            <v>41.90828682317624</v>
          </cell>
        </row>
        <row r="218">
          <cell r="D218">
            <v>51.076147620464326</v>
          </cell>
        </row>
        <row r="219">
          <cell r="D219">
            <v>47.664393924154865</v>
          </cell>
        </row>
        <row r="220">
          <cell r="D220">
            <v>12.700564116497844</v>
          </cell>
        </row>
        <row r="221">
          <cell r="D221">
            <v>13.34418348329018</v>
          </cell>
        </row>
        <row r="222">
          <cell r="D222">
            <v>14.190643302212266</v>
          </cell>
        </row>
        <row r="223">
          <cell r="D223">
            <v>49.287785438631545</v>
          </cell>
        </row>
        <row r="224">
          <cell r="D224">
            <v>53.969612904351379</v>
          </cell>
        </row>
        <row r="225">
          <cell r="D225">
            <v>18.08717365695793</v>
          </cell>
        </row>
        <row r="226">
          <cell r="D226">
            <v>36.784745386379655</v>
          </cell>
        </row>
        <row r="227">
          <cell r="D227">
            <v>29.355638688665749</v>
          </cell>
        </row>
        <row r="228">
          <cell r="D228">
            <v>32.107743479654346</v>
          </cell>
        </row>
        <row r="229">
          <cell r="D229">
            <v>43.139221802679458</v>
          </cell>
        </row>
        <row r="230">
          <cell r="D230">
            <v>20.773373668183922</v>
          </cell>
        </row>
        <row r="231">
          <cell r="D231">
            <v>59.421526116879249</v>
          </cell>
        </row>
        <row r="232">
          <cell r="D232">
            <v>18.493188509936772</v>
          </cell>
        </row>
        <row r="233">
          <cell r="D233">
            <v>25.864672356127812</v>
          </cell>
        </row>
        <row r="234">
          <cell r="D234">
            <v>35.644928314949539</v>
          </cell>
        </row>
        <row r="235">
          <cell r="D235">
            <v>10.751305441684963</v>
          </cell>
        </row>
        <row r="236">
          <cell r="D236">
            <v>48.416746993965717</v>
          </cell>
        </row>
        <row r="237">
          <cell r="D237">
            <v>30.35636611848895</v>
          </cell>
        </row>
        <row r="238">
          <cell r="D238">
            <v>9.6047926984319929</v>
          </cell>
        </row>
        <row r="239">
          <cell r="D239">
            <v>59.49873506079166</v>
          </cell>
        </row>
        <row r="240">
          <cell r="D240">
            <v>27.437003111416743</v>
          </cell>
        </row>
        <row r="241">
          <cell r="D241">
            <v>35.567852950524866</v>
          </cell>
        </row>
        <row r="242">
          <cell r="D242">
            <v>25.347669646274881</v>
          </cell>
        </row>
        <row r="243">
          <cell r="D243">
            <v>35.350034898332524</v>
          </cell>
        </row>
        <row r="244">
          <cell r="D244">
            <v>20.650847883056485</v>
          </cell>
        </row>
        <row r="245">
          <cell r="D245">
            <v>24.179633908060168</v>
          </cell>
        </row>
        <row r="246">
          <cell r="D246">
            <v>19.112312738165201</v>
          </cell>
        </row>
        <row r="247">
          <cell r="D247">
            <v>42.896507873459996</v>
          </cell>
        </row>
        <row r="248">
          <cell r="D248">
            <v>6.1871615046620718</v>
          </cell>
        </row>
        <row r="249">
          <cell r="D249">
            <v>13.280566252255085</v>
          </cell>
        </row>
        <row r="250">
          <cell r="D250">
            <v>3.2158193794239196</v>
          </cell>
        </row>
        <row r="251">
          <cell r="D251">
            <v>58.353290953440592</v>
          </cell>
        </row>
        <row r="252">
          <cell r="D252">
            <v>32.553898968698377</v>
          </cell>
        </row>
        <row r="253">
          <cell r="D253">
            <v>61.872843296354404</v>
          </cell>
        </row>
        <row r="254">
          <cell r="D254">
            <v>53.043239156890195</v>
          </cell>
        </row>
        <row r="255">
          <cell r="D255">
            <v>29.635571202656138</v>
          </cell>
        </row>
        <row r="256">
          <cell r="D256">
            <v>23.665536552065532</v>
          </cell>
        </row>
        <row r="257">
          <cell r="D257">
            <v>59.887718529083941</v>
          </cell>
        </row>
        <row r="258">
          <cell r="D258">
            <v>42.517876815467389</v>
          </cell>
        </row>
        <row r="259">
          <cell r="D259">
            <v>17.419860628528113</v>
          </cell>
        </row>
        <row r="260">
          <cell r="D260">
            <v>35.334005359803996</v>
          </cell>
        </row>
        <row r="261">
          <cell r="D261">
            <v>41.987833408124061</v>
          </cell>
        </row>
        <row r="262">
          <cell r="D262">
            <v>15.454639204930572</v>
          </cell>
        </row>
        <row r="263">
          <cell r="D263">
            <v>20.197813050393961</v>
          </cell>
        </row>
        <row r="264">
          <cell r="D264">
            <v>10.26988496787817</v>
          </cell>
        </row>
        <row r="265">
          <cell r="D265">
            <v>35.338931103414325</v>
          </cell>
        </row>
        <row r="266">
          <cell r="D266">
            <v>14.140116860975468</v>
          </cell>
        </row>
        <row r="267">
          <cell r="D267">
            <v>35.008772702034548</v>
          </cell>
        </row>
        <row r="268">
          <cell r="D268">
            <v>14.093197065907589</v>
          </cell>
        </row>
        <row r="269">
          <cell r="D269">
            <v>25.665522037346818</v>
          </cell>
        </row>
        <row r="270">
          <cell r="D270">
            <v>34.062929744235589</v>
          </cell>
        </row>
        <row r="271">
          <cell r="D271">
            <v>42.681745452049654</v>
          </cell>
        </row>
        <row r="272">
          <cell r="D272">
            <v>35.293330405787856</v>
          </cell>
        </row>
        <row r="273">
          <cell r="D273">
            <v>25.777261278839433</v>
          </cell>
        </row>
        <row r="274">
          <cell r="D274">
            <v>23.346214786628479</v>
          </cell>
        </row>
        <row r="275">
          <cell r="D275">
            <v>29.58270712038393</v>
          </cell>
        </row>
        <row r="276">
          <cell r="D276">
            <v>4.7483768422389403</v>
          </cell>
        </row>
        <row r="277">
          <cell r="D277">
            <v>57.950548797911324</v>
          </cell>
        </row>
        <row r="278">
          <cell r="D278">
            <v>19.554611119500805</v>
          </cell>
        </row>
        <row r="279">
          <cell r="D279">
            <v>40.575547576580902</v>
          </cell>
        </row>
        <row r="280">
          <cell r="D280">
            <v>45.782459311161801</v>
          </cell>
        </row>
        <row r="281">
          <cell r="D281">
            <v>38.025064324896448</v>
          </cell>
        </row>
        <row r="282">
          <cell r="D282">
            <v>54.196564454017789</v>
          </cell>
        </row>
        <row r="283">
          <cell r="D283">
            <v>46.424308749741613</v>
          </cell>
        </row>
        <row r="284">
          <cell r="D284">
            <v>41.380948400459602</v>
          </cell>
        </row>
        <row r="285">
          <cell r="D285">
            <v>51.987092937091802</v>
          </cell>
        </row>
        <row r="286">
          <cell r="D286">
            <v>25.237483266327217</v>
          </cell>
        </row>
        <row r="287">
          <cell r="D287">
            <v>15.967250489124126</v>
          </cell>
        </row>
        <row r="288">
          <cell r="D288">
            <v>26.412047702005111</v>
          </cell>
        </row>
        <row r="289">
          <cell r="D289">
            <v>9.9903698897869617</v>
          </cell>
        </row>
        <row r="290">
          <cell r="D290">
            <v>38.772441558789069</v>
          </cell>
        </row>
        <row r="291">
          <cell r="D291">
            <v>42.657500775025255</v>
          </cell>
        </row>
        <row r="292">
          <cell r="D292">
            <v>7.7761563010462851</v>
          </cell>
        </row>
        <row r="293">
          <cell r="D293">
            <v>37.50413771759122</v>
          </cell>
        </row>
        <row r="294">
          <cell r="D294">
            <v>32.16867242349872</v>
          </cell>
        </row>
        <row r="295">
          <cell r="D295">
            <v>11.863020728382253</v>
          </cell>
        </row>
        <row r="296">
          <cell r="D296">
            <v>65.912287005543476</v>
          </cell>
        </row>
        <row r="297">
          <cell r="D297">
            <v>39.528601644000446</v>
          </cell>
        </row>
        <row r="298">
          <cell r="D298">
            <v>21.631104256383878</v>
          </cell>
        </row>
        <row r="299">
          <cell r="D299">
            <v>32.079023889790733</v>
          </cell>
        </row>
        <row r="300">
          <cell r="D300">
            <v>12.554160997937288</v>
          </cell>
        </row>
        <row r="301">
          <cell r="D301">
            <v>31.28948563008089</v>
          </cell>
        </row>
        <row r="302">
          <cell r="D302">
            <v>53.57815821553595</v>
          </cell>
        </row>
        <row r="303">
          <cell r="D303">
            <v>29.142128574952949</v>
          </cell>
        </row>
        <row r="304">
          <cell r="D304">
            <v>45.30361024249396</v>
          </cell>
        </row>
        <row r="305">
          <cell r="D305">
            <v>35.487237729675144</v>
          </cell>
        </row>
        <row r="306">
          <cell r="D306">
            <v>19.782831674300724</v>
          </cell>
        </row>
        <row r="307">
          <cell r="D307">
            <v>48.828138421326003</v>
          </cell>
        </row>
        <row r="308">
          <cell r="D308">
            <v>43.053730930527308</v>
          </cell>
        </row>
        <row r="309">
          <cell r="D309">
            <v>31.022593813580897</v>
          </cell>
        </row>
        <row r="310">
          <cell r="D310">
            <v>19.95322900834617</v>
          </cell>
        </row>
        <row r="311">
          <cell r="D311">
            <v>57.141190681708395</v>
          </cell>
        </row>
        <row r="312">
          <cell r="D312">
            <v>21.652760830833358</v>
          </cell>
        </row>
        <row r="313">
          <cell r="D313">
            <v>29.364638606652079</v>
          </cell>
        </row>
        <row r="314">
          <cell r="D314">
            <v>12.520465572155445</v>
          </cell>
        </row>
        <row r="315">
          <cell r="D315">
            <v>29.981024455381885</v>
          </cell>
        </row>
        <row r="316">
          <cell r="D316">
            <v>19.454910729340554</v>
          </cell>
        </row>
        <row r="317">
          <cell r="D317">
            <v>37.765903421249277</v>
          </cell>
        </row>
        <row r="318">
          <cell r="D318">
            <v>32.568943358504839</v>
          </cell>
        </row>
        <row r="319">
          <cell r="D319">
            <v>48.395207301568007</v>
          </cell>
        </row>
        <row r="320">
          <cell r="D320">
            <v>28.327327094624707</v>
          </cell>
        </row>
        <row r="321">
          <cell r="D321">
            <v>47.253570209617465</v>
          </cell>
        </row>
        <row r="322">
          <cell r="D322">
            <v>40.16617653897265</v>
          </cell>
        </row>
        <row r="323">
          <cell r="D323">
            <v>36.44545348752581</v>
          </cell>
        </row>
        <row r="324">
          <cell r="D324">
            <v>59.185491162046674</v>
          </cell>
        </row>
        <row r="325">
          <cell r="D325">
            <v>20.4772613387413</v>
          </cell>
        </row>
        <row r="326">
          <cell r="D326">
            <v>31.811915006623167</v>
          </cell>
        </row>
        <row r="327">
          <cell r="D327">
            <v>31.679287272735564</v>
          </cell>
        </row>
        <row r="328">
          <cell r="D328">
            <v>-2.611318614159245</v>
          </cell>
        </row>
        <row r="329">
          <cell r="D329">
            <v>34.846657296228841</v>
          </cell>
        </row>
        <row r="330">
          <cell r="D330">
            <v>30.085767471204235</v>
          </cell>
        </row>
        <row r="331">
          <cell r="D331">
            <v>51.090106676932919</v>
          </cell>
        </row>
        <row r="332">
          <cell r="D332">
            <v>50.056067862355121</v>
          </cell>
        </row>
        <row r="333">
          <cell r="D333">
            <v>58.444926482028677</v>
          </cell>
        </row>
        <row r="334">
          <cell r="D334">
            <v>22.96556333888384</v>
          </cell>
        </row>
        <row r="335">
          <cell r="D335">
            <v>24.911432434195376</v>
          </cell>
        </row>
        <row r="336">
          <cell r="D336">
            <v>16.556436214663336</v>
          </cell>
        </row>
        <row r="337">
          <cell r="D337">
            <v>20.365321728017079</v>
          </cell>
        </row>
        <row r="338">
          <cell r="D338">
            <v>47.586583872547635</v>
          </cell>
        </row>
        <row r="339">
          <cell r="D339">
            <v>44.447198751735414</v>
          </cell>
        </row>
        <row r="340">
          <cell r="D340">
            <v>46.333808646799298</v>
          </cell>
        </row>
        <row r="341">
          <cell r="D341">
            <v>32.804327113334693</v>
          </cell>
        </row>
        <row r="342">
          <cell r="D342">
            <v>4.3761575996577449</v>
          </cell>
        </row>
        <row r="343">
          <cell r="D343">
            <v>22.598119562989268</v>
          </cell>
        </row>
        <row r="344">
          <cell r="D344">
            <v>41.014506470723063</v>
          </cell>
        </row>
        <row r="345">
          <cell r="D345">
            <v>27.020502268650489</v>
          </cell>
        </row>
        <row r="346">
          <cell r="D346">
            <v>49.028440863188735</v>
          </cell>
        </row>
        <row r="347">
          <cell r="D347">
            <v>10.582360784568664</v>
          </cell>
        </row>
        <row r="348">
          <cell r="D348">
            <v>34.045030092878733</v>
          </cell>
        </row>
        <row r="349">
          <cell r="D349">
            <v>32.306810311255504</v>
          </cell>
        </row>
        <row r="350">
          <cell r="D350">
            <v>2.7074826388379734</v>
          </cell>
        </row>
        <row r="351">
          <cell r="D351">
            <v>26.629732174709716</v>
          </cell>
        </row>
        <row r="352">
          <cell r="D352">
            <v>28.273327586706728</v>
          </cell>
        </row>
        <row r="353">
          <cell r="D353">
            <v>37.420583748011268</v>
          </cell>
        </row>
        <row r="354">
          <cell r="D354">
            <v>11.192785648658173</v>
          </cell>
        </row>
        <row r="355">
          <cell r="D355">
            <v>27.729358517766741</v>
          </cell>
        </row>
        <row r="356">
          <cell r="D356">
            <v>37.325408362998132</v>
          </cell>
        </row>
        <row r="357">
          <cell r="D357">
            <v>39.242941909473302</v>
          </cell>
        </row>
        <row r="358">
          <cell r="D358">
            <v>33.589741106360634</v>
          </cell>
        </row>
        <row r="359">
          <cell r="D359">
            <v>27.44944270121232</v>
          </cell>
        </row>
        <row r="360">
          <cell r="D360">
            <v>49.869390528241638</v>
          </cell>
        </row>
        <row r="361">
          <cell r="D361">
            <v>22.257842515413358</v>
          </cell>
        </row>
        <row r="362">
          <cell r="D362">
            <v>12.128777119236474</v>
          </cell>
        </row>
        <row r="363">
          <cell r="D363">
            <v>4.2608785017400805</v>
          </cell>
        </row>
        <row r="364">
          <cell r="D364">
            <v>40.221745605871547</v>
          </cell>
        </row>
        <row r="365">
          <cell r="D365">
            <v>15.205112721836485</v>
          </cell>
        </row>
        <row r="366">
          <cell r="D366">
            <v>28.90731253294598</v>
          </cell>
        </row>
        <row r="367">
          <cell r="D367">
            <v>34.084385949453463</v>
          </cell>
        </row>
        <row r="368">
          <cell r="D368">
            <v>27.408751049760212</v>
          </cell>
        </row>
        <row r="369">
          <cell r="D369">
            <v>10.234386219011867</v>
          </cell>
        </row>
        <row r="370">
          <cell r="D370">
            <v>48.043425720610685</v>
          </cell>
        </row>
        <row r="371">
          <cell r="D371">
            <v>33.583846911464207</v>
          </cell>
        </row>
        <row r="372">
          <cell r="D372">
            <v>33.059363750297962</v>
          </cell>
        </row>
        <row r="373">
          <cell r="D373">
            <v>13.298499298483875</v>
          </cell>
        </row>
        <row r="374">
          <cell r="D374">
            <v>39.838940188887136</v>
          </cell>
        </row>
        <row r="375">
          <cell r="D375">
            <v>32.119248013035758</v>
          </cell>
        </row>
        <row r="376">
          <cell r="D376">
            <v>25.742730981259228</v>
          </cell>
        </row>
        <row r="377">
          <cell r="D377">
            <v>30.378941051916627</v>
          </cell>
        </row>
        <row r="378">
          <cell r="D378">
            <v>31.330427743072505</v>
          </cell>
        </row>
        <row r="379">
          <cell r="D379">
            <v>9.5724664623994613</v>
          </cell>
        </row>
        <row r="380">
          <cell r="D380">
            <v>39.019162872640663</v>
          </cell>
        </row>
        <row r="381">
          <cell r="D381">
            <v>21.999633365616319</v>
          </cell>
        </row>
        <row r="382">
          <cell r="D382">
            <v>33.631050562943528</v>
          </cell>
        </row>
        <row r="383">
          <cell r="D383">
            <v>22.023527396485406</v>
          </cell>
        </row>
        <row r="384">
          <cell r="D384">
            <v>4.6866631189041073</v>
          </cell>
        </row>
        <row r="385">
          <cell r="D385">
            <v>53.051855033849279</v>
          </cell>
        </row>
        <row r="386">
          <cell r="D386">
            <v>45.235117360156437</v>
          </cell>
        </row>
        <row r="387">
          <cell r="D387">
            <v>6.1344643967495358</v>
          </cell>
        </row>
        <row r="388">
          <cell r="D388">
            <v>39.583870157051933</v>
          </cell>
        </row>
        <row r="389">
          <cell r="D389">
            <v>51.59757515084857</v>
          </cell>
        </row>
        <row r="390">
          <cell r="D390">
            <v>32.902007113742911</v>
          </cell>
        </row>
        <row r="391">
          <cell r="D391">
            <v>24.932471203514069</v>
          </cell>
        </row>
        <row r="392">
          <cell r="D392">
            <v>12.187318329737536</v>
          </cell>
        </row>
        <row r="393">
          <cell r="D393">
            <v>40.407688252802473</v>
          </cell>
        </row>
        <row r="394">
          <cell r="D394">
            <v>21.582648297207015</v>
          </cell>
        </row>
        <row r="395">
          <cell r="D395">
            <v>30.347332805630685</v>
          </cell>
        </row>
        <row r="396">
          <cell r="D396">
            <v>9.518433559609548</v>
          </cell>
        </row>
        <row r="397">
          <cell r="D397">
            <v>16.582150266052849</v>
          </cell>
        </row>
        <row r="398">
          <cell r="D398">
            <v>30.077886281427709</v>
          </cell>
        </row>
        <row r="399">
          <cell r="D399">
            <v>15.087662957243083</v>
          </cell>
        </row>
        <row r="400">
          <cell r="D400">
            <v>9.5913345650424162</v>
          </cell>
        </row>
        <row r="401">
          <cell r="D401">
            <v>2.1056402568356134</v>
          </cell>
        </row>
        <row r="402">
          <cell r="D402">
            <v>43.863623364681189</v>
          </cell>
        </row>
        <row r="403">
          <cell r="D403">
            <v>40.348545934606591</v>
          </cell>
        </row>
        <row r="404">
          <cell r="D404">
            <v>31.924155171194798</v>
          </cell>
        </row>
        <row r="405">
          <cell r="D405">
            <v>38.078028591784459</v>
          </cell>
        </row>
        <row r="406">
          <cell r="D406">
            <v>-1.1948417261883151</v>
          </cell>
        </row>
        <row r="407">
          <cell r="D407">
            <v>18.30806403736824</v>
          </cell>
        </row>
        <row r="408">
          <cell r="D408">
            <v>48.312254439682874</v>
          </cell>
        </row>
        <row r="409">
          <cell r="D409">
            <v>41.969566413175926</v>
          </cell>
        </row>
        <row r="410">
          <cell r="D410">
            <v>18.785710890646442</v>
          </cell>
        </row>
        <row r="411">
          <cell r="D411">
            <v>18.990755404323863</v>
          </cell>
        </row>
        <row r="412">
          <cell r="D412">
            <v>32.369075049977255</v>
          </cell>
        </row>
        <row r="413">
          <cell r="D413">
            <v>17.739082209349363</v>
          </cell>
        </row>
        <row r="414">
          <cell r="D414">
            <v>35.290859185264708</v>
          </cell>
        </row>
        <row r="415">
          <cell r="D415">
            <v>45.873426942311198</v>
          </cell>
        </row>
        <row r="416">
          <cell r="D416">
            <v>27.7958978000961</v>
          </cell>
        </row>
        <row r="417">
          <cell r="D417">
            <v>-13.995496877119876</v>
          </cell>
        </row>
        <row r="418">
          <cell r="D418">
            <v>4.9438704225431138</v>
          </cell>
        </row>
        <row r="419">
          <cell r="D419">
            <v>35.830921054188366</v>
          </cell>
        </row>
        <row r="420">
          <cell r="D420">
            <v>39.967677420194377</v>
          </cell>
        </row>
        <row r="421">
          <cell r="D421">
            <v>13.450846704248761</v>
          </cell>
        </row>
        <row r="422">
          <cell r="D422">
            <v>41.766692566174243</v>
          </cell>
        </row>
        <row r="423">
          <cell r="D423">
            <v>39.614493254615809</v>
          </cell>
        </row>
        <row r="424">
          <cell r="D424">
            <v>36.531178123781501</v>
          </cell>
        </row>
        <row r="425">
          <cell r="D425">
            <v>7.7056931212646305</v>
          </cell>
        </row>
        <row r="426">
          <cell r="D426">
            <v>16.170892418180301</v>
          </cell>
        </row>
        <row r="427">
          <cell r="D427">
            <v>21.417527352927209</v>
          </cell>
        </row>
        <row r="428">
          <cell r="D428">
            <v>26.237275639736254</v>
          </cell>
        </row>
        <row r="429">
          <cell r="D429">
            <v>33.959305456623042</v>
          </cell>
        </row>
        <row r="430">
          <cell r="D430">
            <v>52.864843751016451</v>
          </cell>
        </row>
        <row r="431">
          <cell r="D431">
            <v>37.283230639744943</v>
          </cell>
        </row>
        <row r="432">
          <cell r="D432">
            <v>17.412179807983193</v>
          </cell>
        </row>
        <row r="433">
          <cell r="D433">
            <v>-10.146804676420288</v>
          </cell>
        </row>
        <row r="434">
          <cell r="D434">
            <v>16.162643884812496</v>
          </cell>
        </row>
        <row r="435">
          <cell r="D435">
            <v>14.955118710535316</v>
          </cell>
        </row>
        <row r="436">
          <cell r="D436">
            <v>29.444435653139408</v>
          </cell>
        </row>
        <row r="437">
          <cell r="D437">
            <v>27.412140629261557</v>
          </cell>
        </row>
        <row r="438">
          <cell r="D438">
            <v>40.636960746068326</v>
          </cell>
        </row>
        <row r="439">
          <cell r="D439">
            <v>31.353203045731789</v>
          </cell>
        </row>
        <row r="440">
          <cell r="D440">
            <v>35.479807370669732</v>
          </cell>
        </row>
        <row r="441">
          <cell r="D441">
            <v>22.468130023984486</v>
          </cell>
        </row>
        <row r="442">
          <cell r="D442">
            <v>0.28855848513921956</v>
          </cell>
        </row>
        <row r="443">
          <cell r="D443">
            <v>33.017369698840412</v>
          </cell>
        </row>
        <row r="444">
          <cell r="D444">
            <v>20.625734939361791</v>
          </cell>
        </row>
        <row r="445">
          <cell r="D445">
            <v>13.683074643680811</v>
          </cell>
        </row>
        <row r="446">
          <cell r="D446">
            <v>46.114805076653283</v>
          </cell>
        </row>
        <row r="447">
          <cell r="D447">
            <v>17.278266371526115</v>
          </cell>
        </row>
        <row r="448">
          <cell r="D448">
            <v>35.509545504127345</v>
          </cell>
        </row>
        <row r="449">
          <cell r="D449">
            <v>22.00340698614491</v>
          </cell>
        </row>
        <row r="450">
          <cell r="D450">
            <v>32.359841367887384</v>
          </cell>
        </row>
        <row r="451">
          <cell r="D451">
            <v>41.73232924295371</v>
          </cell>
        </row>
        <row r="452">
          <cell r="D452">
            <v>30.383449359627775</v>
          </cell>
        </row>
        <row r="453">
          <cell r="D453">
            <v>18.174350970142768</v>
          </cell>
        </row>
        <row r="454">
          <cell r="D454">
            <v>49.934376949026046</v>
          </cell>
        </row>
        <row r="455">
          <cell r="D455">
            <v>39.16142502708135</v>
          </cell>
        </row>
        <row r="456">
          <cell r="D456">
            <v>23.593470418431025</v>
          </cell>
        </row>
        <row r="457">
          <cell r="D457">
            <v>20.232744086437378</v>
          </cell>
        </row>
        <row r="458">
          <cell r="D458">
            <v>41.483838000889591</v>
          </cell>
        </row>
        <row r="459">
          <cell r="D459">
            <v>29.880823142142617</v>
          </cell>
        </row>
        <row r="460">
          <cell r="D460">
            <v>28.625259444587755</v>
          </cell>
        </row>
        <row r="461">
          <cell r="D461">
            <v>32.124991931008481</v>
          </cell>
        </row>
        <row r="462">
          <cell r="D462">
            <v>35.525658529835709</v>
          </cell>
        </row>
        <row r="463">
          <cell r="D463">
            <v>39.19856012467244</v>
          </cell>
        </row>
        <row r="464">
          <cell r="D464">
            <v>32.207777818533941</v>
          </cell>
        </row>
        <row r="465">
          <cell r="D465">
            <v>56.603933982027229</v>
          </cell>
        </row>
        <row r="466">
          <cell r="D466">
            <v>22.062482514596923</v>
          </cell>
        </row>
        <row r="467">
          <cell r="D467">
            <v>49.134302607220889</v>
          </cell>
        </row>
        <row r="468">
          <cell r="D468">
            <v>20.679868026767508</v>
          </cell>
        </row>
        <row r="469">
          <cell r="D469">
            <v>51.423053550119221</v>
          </cell>
        </row>
        <row r="470">
          <cell r="D470">
            <v>27.616550640372225</v>
          </cell>
        </row>
        <row r="471">
          <cell r="D471">
            <v>34.292486093912885</v>
          </cell>
        </row>
        <row r="472">
          <cell r="D472">
            <v>39.346365827854243</v>
          </cell>
        </row>
        <row r="473">
          <cell r="D473">
            <v>15.500957892303632</v>
          </cell>
        </row>
        <row r="474">
          <cell r="D474">
            <v>46.67203190975124</v>
          </cell>
        </row>
        <row r="475">
          <cell r="D475">
            <v>28.723022932175809</v>
          </cell>
        </row>
        <row r="476">
          <cell r="D476">
            <v>12.059015231765443</v>
          </cell>
        </row>
        <row r="477">
          <cell r="D477">
            <v>28.030246313895987</v>
          </cell>
        </row>
        <row r="478">
          <cell r="D478">
            <v>24.583377909747469</v>
          </cell>
        </row>
        <row r="479">
          <cell r="D479">
            <v>17.491759787802948</v>
          </cell>
        </row>
        <row r="480">
          <cell r="D480">
            <v>19.212130010377223</v>
          </cell>
        </row>
        <row r="481">
          <cell r="D481">
            <v>24.073989230695588</v>
          </cell>
        </row>
        <row r="482">
          <cell r="D482">
            <v>21.846952011132089</v>
          </cell>
        </row>
        <row r="483">
          <cell r="D483">
            <v>17.079433304028498</v>
          </cell>
        </row>
        <row r="484">
          <cell r="D484">
            <v>-2.7961926251882687</v>
          </cell>
        </row>
        <row r="485">
          <cell r="D485">
            <v>31.928730268649815</v>
          </cell>
        </row>
        <row r="486">
          <cell r="D486">
            <v>4.6334984827844892</v>
          </cell>
        </row>
        <row r="487">
          <cell r="D487">
            <v>22.065003827427972</v>
          </cell>
        </row>
        <row r="488">
          <cell r="D488">
            <v>28.583666131593418</v>
          </cell>
        </row>
        <row r="489">
          <cell r="D489">
            <v>28.74887056305306</v>
          </cell>
        </row>
        <row r="490">
          <cell r="D490">
            <v>7.322453570945072</v>
          </cell>
        </row>
        <row r="491">
          <cell r="D491">
            <v>35.055224968895345</v>
          </cell>
        </row>
        <row r="492">
          <cell r="D492">
            <v>14.089423445378998</v>
          </cell>
        </row>
        <row r="493">
          <cell r="D493">
            <v>36.569649016249969</v>
          </cell>
        </row>
        <row r="494">
          <cell r="D494">
            <v>0.1660660948837176</v>
          </cell>
        </row>
        <row r="495">
          <cell r="D495">
            <v>31.829079970797466</v>
          </cell>
        </row>
        <row r="496">
          <cell r="D496">
            <v>33.774147589182576</v>
          </cell>
        </row>
        <row r="497">
          <cell r="D497">
            <v>49.749836886716366</v>
          </cell>
        </row>
        <row r="498">
          <cell r="D498">
            <v>29.276977067824191</v>
          </cell>
        </row>
        <row r="499">
          <cell r="D499">
            <v>26.091907762205665</v>
          </cell>
        </row>
        <row r="500">
          <cell r="D500">
            <v>50.989654902154143</v>
          </cell>
        </row>
        <row r="501">
          <cell r="D501">
            <v>22.140275868768185</v>
          </cell>
        </row>
        <row r="502">
          <cell r="D502">
            <v>44.266699468929801</v>
          </cell>
        </row>
        <row r="503">
          <cell r="D503">
            <v>21.776021303143352</v>
          </cell>
        </row>
        <row r="504">
          <cell r="D504">
            <v>46.394821077823508</v>
          </cell>
        </row>
        <row r="505">
          <cell r="D505">
            <v>28.484750520923626</v>
          </cell>
        </row>
        <row r="506">
          <cell r="D506">
            <v>37.009359295010654</v>
          </cell>
        </row>
        <row r="507">
          <cell r="D507">
            <v>29.100551959394579</v>
          </cell>
        </row>
        <row r="508">
          <cell r="D508">
            <v>31.1633198039126</v>
          </cell>
        </row>
        <row r="509">
          <cell r="D509">
            <v>10.550268312639673</v>
          </cell>
        </row>
        <row r="510">
          <cell r="D510">
            <v>36.900057879169253</v>
          </cell>
        </row>
        <row r="511">
          <cell r="D511">
            <v>31.015781259706273</v>
          </cell>
        </row>
        <row r="512">
          <cell r="D512">
            <v>27.517200896367285</v>
          </cell>
        </row>
        <row r="513">
          <cell r="D513">
            <v>35.14218521541261</v>
          </cell>
        </row>
        <row r="514">
          <cell r="D514">
            <v>53.642209579906194</v>
          </cell>
        </row>
        <row r="515">
          <cell r="D515">
            <v>50.647557834057807</v>
          </cell>
        </row>
        <row r="516">
          <cell r="D516">
            <v>22.005911601539992</v>
          </cell>
        </row>
        <row r="517">
          <cell r="D517">
            <v>10.638965092497529</v>
          </cell>
        </row>
        <row r="518">
          <cell r="D518">
            <v>36.227785712257173</v>
          </cell>
        </row>
        <row r="519">
          <cell r="D519">
            <v>16.184049997722468</v>
          </cell>
        </row>
        <row r="520">
          <cell r="D520">
            <v>12.465531007823301</v>
          </cell>
        </row>
        <row r="521">
          <cell r="D521">
            <v>45.212375452369088</v>
          </cell>
        </row>
        <row r="522">
          <cell r="D522">
            <v>43.041308038167699</v>
          </cell>
        </row>
        <row r="523">
          <cell r="D523">
            <v>27.244782228562144</v>
          </cell>
        </row>
        <row r="524">
          <cell r="D524">
            <v>27.027314822525113</v>
          </cell>
        </row>
        <row r="525">
          <cell r="D525">
            <v>13.340209493529983</v>
          </cell>
        </row>
        <row r="526">
          <cell r="D526">
            <v>38.372270808398753</v>
          </cell>
        </row>
        <row r="527">
          <cell r="D527">
            <v>18.233226129363175</v>
          </cell>
        </row>
        <row r="528">
          <cell r="D528">
            <v>25.826719084174329</v>
          </cell>
        </row>
        <row r="529">
          <cell r="D529">
            <v>46.136979271617747</v>
          </cell>
        </row>
        <row r="530">
          <cell r="D530">
            <v>52.661001452728669</v>
          </cell>
        </row>
        <row r="531">
          <cell r="D531">
            <v>24.379585703767589</v>
          </cell>
        </row>
        <row r="532">
          <cell r="D532">
            <v>34.404125150789696</v>
          </cell>
        </row>
        <row r="533">
          <cell r="D533">
            <v>20.824568006859408</v>
          </cell>
        </row>
        <row r="534">
          <cell r="D534">
            <v>14.259603712756871</v>
          </cell>
        </row>
        <row r="535">
          <cell r="D535">
            <v>16.846787928697267</v>
          </cell>
        </row>
        <row r="536">
          <cell r="D536">
            <v>25.403272108045712</v>
          </cell>
        </row>
        <row r="537">
          <cell r="D537">
            <v>25.384737954122102</v>
          </cell>
        </row>
        <row r="538">
          <cell r="D538">
            <v>20.421358323123059</v>
          </cell>
        </row>
        <row r="539">
          <cell r="D539">
            <v>29.759299203173214</v>
          </cell>
        </row>
        <row r="540">
          <cell r="D540">
            <v>16.132989238534719</v>
          </cell>
        </row>
        <row r="541">
          <cell r="D541">
            <v>28.259836058445217</v>
          </cell>
        </row>
        <row r="542">
          <cell r="D542">
            <v>40.365209975701873</v>
          </cell>
        </row>
        <row r="543">
          <cell r="D543">
            <v>35.653644376524426</v>
          </cell>
        </row>
        <row r="544">
          <cell r="D544">
            <v>16.498429322113225</v>
          </cell>
        </row>
        <row r="545">
          <cell r="D545">
            <v>38.161148428029264</v>
          </cell>
        </row>
        <row r="546">
          <cell r="D546">
            <v>13.894363998409972</v>
          </cell>
        </row>
        <row r="547">
          <cell r="D547">
            <v>21.215254613620345</v>
          </cell>
        </row>
        <row r="548">
          <cell r="D548">
            <v>37.15576241357121</v>
          </cell>
        </row>
        <row r="549">
          <cell r="D549">
            <v>19.410462154795823</v>
          </cell>
        </row>
        <row r="550">
          <cell r="D550">
            <v>39.077370134422381</v>
          </cell>
        </row>
        <row r="551">
          <cell r="D551">
            <v>47.28035289690888</v>
          </cell>
        </row>
        <row r="552">
          <cell r="D552">
            <v>57.643449555602274</v>
          </cell>
        </row>
        <row r="553">
          <cell r="D553">
            <v>31.233782983694255</v>
          </cell>
        </row>
        <row r="554">
          <cell r="D554">
            <v>42.791380816610399</v>
          </cell>
        </row>
        <row r="555">
          <cell r="D555">
            <v>50.046650508469611</v>
          </cell>
        </row>
        <row r="556">
          <cell r="D556">
            <v>30.713357299468043</v>
          </cell>
        </row>
        <row r="557">
          <cell r="D557">
            <v>33.778889660997265</v>
          </cell>
        </row>
        <row r="558">
          <cell r="D558">
            <v>53.013250561893074</v>
          </cell>
        </row>
        <row r="559">
          <cell r="D559">
            <v>31.275843824895674</v>
          </cell>
        </row>
        <row r="560">
          <cell r="D560">
            <v>35.879777751828442</v>
          </cell>
        </row>
        <row r="561">
          <cell r="D561">
            <v>47.292508630293014</v>
          </cell>
        </row>
        <row r="562">
          <cell r="D562">
            <v>37.953231955365482</v>
          </cell>
        </row>
        <row r="563">
          <cell r="D563">
            <v>38.806103589698978</v>
          </cell>
        </row>
        <row r="564">
          <cell r="D564">
            <v>39.548939121008516</v>
          </cell>
        </row>
        <row r="565">
          <cell r="D565">
            <v>5.485869194038969</v>
          </cell>
        </row>
        <row r="566">
          <cell r="D566">
            <v>69.94157867366448</v>
          </cell>
        </row>
        <row r="567">
          <cell r="D567">
            <v>37.903239832079635</v>
          </cell>
        </row>
        <row r="568">
          <cell r="D568">
            <v>23.155763831986405</v>
          </cell>
        </row>
        <row r="569">
          <cell r="D569">
            <v>11.307062900417804</v>
          </cell>
        </row>
        <row r="570">
          <cell r="D570">
            <v>21.223002223909134</v>
          </cell>
        </row>
        <row r="571">
          <cell r="D571">
            <v>37.104684956947494</v>
          </cell>
        </row>
        <row r="572">
          <cell r="D572">
            <v>40.356126570535707</v>
          </cell>
        </row>
        <row r="573">
          <cell r="D573">
            <v>31.578818800520821</v>
          </cell>
        </row>
        <row r="574">
          <cell r="D574">
            <v>53.06474545441597</v>
          </cell>
        </row>
        <row r="575">
          <cell r="D575">
            <v>41.7208748018802</v>
          </cell>
        </row>
        <row r="576">
          <cell r="D576">
            <v>0.47597050643526018</v>
          </cell>
        </row>
        <row r="577">
          <cell r="D577">
            <v>13.825570562225039</v>
          </cell>
        </row>
        <row r="578">
          <cell r="D578">
            <v>27.374838557310795</v>
          </cell>
        </row>
        <row r="579">
          <cell r="D579">
            <v>49.844745112754026</v>
          </cell>
        </row>
        <row r="580">
          <cell r="D580">
            <v>33.498990541878811</v>
          </cell>
        </row>
        <row r="581">
          <cell r="D581">
            <v>-4.8506451465946157</v>
          </cell>
        </row>
        <row r="582">
          <cell r="D582">
            <v>31.223547455446351</v>
          </cell>
        </row>
        <row r="583">
          <cell r="D583">
            <v>37.745783010908781</v>
          </cell>
        </row>
        <row r="584">
          <cell r="D584">
            <v>24.176077354199151</v>
          </cell>
        </row>
        <row r="585">
          <cell r="D585">
            <v>40.313748478050911</v>
          </cell>
        </row>
        <row r="586">
          <cell r="D586">
            <v>36.942936894733066</v>
          </cell>
        </row>
        <row r="587">
          <cell r="D587">
            <v>24.465677683614558</v>
          </cell>
        </row>
        <row r="588">
          <cell r="D588">
            <v>40.984718244957548</v>
          </cell>
        </row>
        <row r="589">
          <cell r="D589">
            <v>24.727760638555992</v>
          </cell>
        </row>
        <row r="590">
          <cell r="D590">
            <v>16.639889999627485</v>
          </cell>
        </row>
        <row r="591">
          <cell r="D591">
            <v>15.895484909337029</v>
          </cell>
        </row>
        <row r="592">
          <cell r="D592">
            <v>42.094463234210707</v>
          </cell>
        </row>
        <row r="593">
          <cell r="D593">
            <v>4.8271219502603344</v>
          </cell>
        </row>
        <row r="594">
          <cell r="D594">
            <v>44.566885972748423</v>
          </cell>
        </row>
        <row r="595">
          <cell r="D595">
            <v>40.572491945798902</v>
          </cell>
        </row>
        <row r="596">
          <cell r="D596">
            <v>41.124742942978628</v>
          </cell>
        </row>
        <row r="597">
          <cell r="D597">
            <v>23.775806419193032</v>
          </cell>
        </row>
        <row r="598">
          <cell r="D598">
            <v>24.860037726288283</v>
          </cell>
        </row>
        <row r="599">
          <cell r="D599">
            <v>7.7024538186869904</v>
          </cell>
        </row>
        <row r="600">
          <cell r="D600">
            <v>24.746495161711209</v>
          </cell>
        </row>
        <row r="601">
          <cell r="D601">
            <v>43.380432962661871</v>
          </cell>
        </row>
        <row r="602">
          <cell r="D602">
            <v>23.928721537780802</v>
          </cell>
        </row>
        <row r="603">
          <cell r="D603">
            <v>29.510757868801193</v>
          </cell>
        </row>
        <row r="604">
          <cell r="D604">
            <v>18.821443403616286</v>
          </cell>
        </row>
        <row r="605">
          <cell r="D605">
            <v>45.90605373219114</v>
          </cell>
        </row>
        <row r="606">
          <cell r="D606">
            <v>54.299954977526795</v>
          </cell>
        </row>
        <row r="607">
          <cell r="D607">
            <v>55.023688642089837</v>
          </cell>
        </row>
        <row r="608">
          <cell r="D608">
            <v>14.572313293550906</v>
          </cell>
        </row>
        <row r="609">
          <cell r="D609">
            <v>29.461283366030329</v>
          </cell>
        </row>
        <row r="610">
          <cell r="D610">
            <v>22.085090842896534</v>
          </cell>
        </row>
        <row r="611">
          <cell r="D611">
            <v>36.356155599973135</v>
          </cell>
        </row>
        <row r="612">
          <cell r="D612">
            <v>33.729147999250927</v>
          </cell>
        </row>
        <row r="613">
          <cell r="D613">
            <v>45.949700829809444</v>
          </cell>
        </row>
        <row r="614">
          <cell r="D614">
            <v>43.078610110118461</v>
          </cell>
        </row>
        <row r="615">
          <cell r="D615">
            <v>39.627617439286041</v>
          </cell>
        </row>
        <row r="616">
          <cell r="D616">
            <v>22.414765018633261</v>
          </cell>
        </row>
        <row r="617">
          <cell r="D617">
            <v>39.085902524201629</v>
          </cell>
        </row>
        <row r="618">
          <cell r="D618">
            <v>-2.9360695676587056E-2</v>
          </cell>
        </row>
        <row r="619">
          <cell r="D619">
            <v>25.346517523193143</v>
          </cell>
        </row>
        <row r="620">
          <cell r="D620">
            <v>35.860976438929356</v>
          </cell>
        </row>
        <row r="621">
          <cell r="D621">
            <v>15.781341237065135</v>
          </cell>
        </row>
        <row r="622">
          <cell r="D622">
            <v>26.819632113964872</v>
          </cell>
        </row>
        <row r="623">
          <cell r="D623">
            <v>29.262366811352877</v>
          </cell>
        </row>
        <row r="624">
          <cell r="D624">
            <v>44.861629112441733</v>
          </cell>
        </row>
        <row r="625">
          <cell r="D625">
            <v>27.600754865947238</v>
          </cell>
        </row>
        <row r="626">
          <cell r="D626">
            <v>18.256736119205016</v>
          </cell>
        </row>
        <row r="627">
          <cell r="D627">
            <v>-1.9806898525494034</v>
          </cell>
        </row>
        <row r="628">
          <cell r="D628">
            <v>25.174750999398384</v>
          </cell>
        </row>
        <row r="629">
          <cell r="D629">
            <v>28.358818458858877</v>
          </cell>
        </row>
        <row r="630">
          <cell r="D630">
            <v>39.326195325205845</v>
          </cell>
        </row>
        <row r="631">
          <cell r="D631">
            <v>17.313765120392418</v>
          </cell>
        </row>
        <row r="632">
          <cell r="D632">
            <v>44.847536476485402</v>
          </cell>
        </row>
        <row r="633">
          <cell r="D633">
            <v>42.235523173261754</v>
          </cell>
        </row>
        <row r="634">
          <cell r="D634">
            <v>62.054244240702246</v>
          </cell>
        </row>
        <row r="635">
          <cell r="D635">
            <v>35.043002445767343</v>
          </cell>
        </row>
        <row r="636">
          <cell r="D636">
            <v>34.843000557752021</v>
          </cell>
        </row>
        <row r="637">
          <cell r="D637">
            <v>26.360686388969953</v>
          </cell>
        </row>
        <row r="638">
          <cell r="D638">
            <v>54.324800762246014</v>
          </cell>
        </row>
        <row r="639">
          <cell r="D639">
            <v>50.8902049735334</v>
          </cell>
        </row>
        <row r="640">
          <cell r="D640">
            <v>28.313835566363196</v>
          </cell>
        </row>
        <row r="641">
          <cell r="D641">
            <v>27.115711048535559</v>
          </cell>
        </row>
        <row r="642">
          <cell r="D642">
            <v>10.206367921458877</v>
          </cell>
        </row>
        <row r="643">
          <cell r="D643">
            <v>40.253370549593456</v>
          </cell>
        </row>
        <row r="644">
          <cell r="D644">
            <v>27.714698168987525</v>
          </cell>
        </row>
        <row r="645">
          <cell r="D645">
            <v>47.22438309154677</v>
          </cell>
        </row>
        <row r="646">
          <cell r="D646">
            <v>36.51708548782517</v>
          </cell>
        </row>
        <row r="647">
          <cell r="D647">
            <v>46.201498164195073</v>
          </cell>
        </row>
        <row r="648">
          <cell r="D648">
            <v>29.135382810822193</v>
          </cell>
        </row>
        <row r="649">
          <cell r="D649">
            <v>38.752805374091622</v>
          </cell>
        </row>
        <row r="650">
          <cell r="D650">
            <v>18.741295710973645</v>
          </cell>
        </row>
        <row r="651">
          <cell r="D651">
            <v>44.837484620033138</v>
          </cell>
        </row>
        <row r="652">
          <cell r="D652">
            <v>44.757336927390497</v>
          </cell>
        </row>
        <row r="653">
          <cell r="D653">
            <v>22.176592791996882</v>
          </cell>
        </row>
        <row r="654">
          <cell r="D654">
            <v>0.82354433352884371</v>
          </cell>
        </row>
        <row r="655">
          <cell r="D655">
            <v>37.013266495026983</v>
          </cell>
        </row>
        <row r="656">
          <cell r="D656">
            <v>29.749163859541113</v>
          </cell>
        </row>
        <row r="657">
          <cell r="D657">
            <v>20.24887380958171</v>
          </cell>
        </row>
        <row r="658">
          <cell r="D658">
            <v>35.552958837642109</v>
          </cell>
        </row>
        <row r="659">
          <cell r="D659">
            <v>19.466014524258753</v>
          </cell>
        </row>
        <row r="660">
          <cell r="D660">
            <v>24.662072925460961</v>
          </cell>
        </row>
        <row r="661">
          <cell r="D661">
            <v>17.917644589582778</v>
          </cell>
        </row>
        <row r="662">
          <cell r="D662">
            <v>51.764148772057524</v>
          </cell>
        </row>
        <row r="663">
          <cell r="D663">
            <v>47.80378411960919</v>
          </cell>
        </row>
        <row r="664">
          <cell r="D664">
            <v>39.217161068339919</v>
          </cell>
        </row>
        <row r="665">
          <cell r="D665">
            <v>22.653671932452198</v>
          </cell>
        </row>
        <row r="666">
          <cell r="D666">
            <v>32.005571868970947</v>
          </cell>
        </row>
        <row r="667">
          <cell r="D667">
            <v>14.015887937379375</v>
          </cell>
        </row>
        <row r="668">
          <cell r="D668">
            <v>18.646454274679854</v>
          </cell>
        </row>
        <row r="669">
          <cell r="D669">
            <v>41.05538179397081</v>
          </cell>
        </row>
        <row r="670">
          <cell r="D670">
            <v>29.316299529526987</v>
          </cell>
        </row>
        <row r="671">
          <cell r="D671">
            <v>20.903162837957098</v>
          </cell>
        </row>
        <row r="672">
          <cell r="D672">
            <v>29.397232001660086</v>
          </cell>
        </row>
        <row r="673">
          <cell r="D673">
            <v>33.543739670270952</v>
          </cell>
        </row>
        <row r="674">
          <cell r="D674">
            <v>6.8924611999173067</v>
          </cell>
        </row>
        <row r="675">
          <cell r="D675">
            <v>34.023590585096827</v>
          </cell>
        </row>
        <row r="676">
          <cell r="D676">
            <v>1.3034954329705215</v>
          </cell>
        </row>
        <row r="677">
          <cell r="D677">
            <v>33.985487036219638</v>
          </cell>
        </row>
        <row r="678">
          <cell r="D678">
            <v>36.245551784126292</v>
          </cell>
        </row>
        <row r="679">
          <cell r="D679">
            <v>37.115154249298939</v>
          </cell>
        </row>
        <row r="680">
          <cell r="D680">
            <v>17.662040239796625</v>
          </cell>
        </row>
        <row r="681">
          <cell r="D681">
            <v>5.1183252335285943</v>
          </cell>
        </row>
        <row r="682">
          <cell r="D682">
            <v>37.924846314221213</v>
          </cell>
        </row>
        <row r="683">
          <cell r="D683">
            <v>47.806355524748142</v>
          </cell>
        </row>
        <row r="684">
          <cell r="D684">
            <v>12.810333060546327</v>
          </cell>
        </row>
        <row r="685">
          <cell r="D685">
            <v>33.723237106918532</v>
          </cell>
        </row>
        <row r="686">
          <cell r="D686">
            <v>37.632006682228166</v>
          </cell>
        </row>
        <row r="687">
          <cell r="D687">
            <v>38.946963159518418</v>
          </cell>
        </row>
        <row r="688">
          <cell r="D688">
            <v>13.945758706317065</v>
          </cell>
        </row>
        <row r="689">
          <cell r="D689">
            <v>35.369771267645774</v>
          </cell>
        </row>
        <row r="690">
          <cell r="D690">
            <v>47.36350612802562</v>
          </cell>
        </row>
        <row r="691">
          <cell r="D691">
            <v>32.706814087286148</v>
          </cell>
        </row>
        <row r="692">
          <cell r="D692">
            <v>37.83043901126257</v>
          </cell>
        </row>
        <row r="693">
          <cell r="D693">
            <v>50.268659617089725</v>
          </cell>
        </row>
        <row r="694">
          <cell r="D694">
            <v>14.919586566797079</v>
          </cell>
        </row>
        <row r="695">
          <cell r="D695">
            <v>35.373478098430496</v>
          </cell>
        </row>
        <row r="696">
          <cell r="D696">
            <v>37.725645903132317</v>
          </cell>
        </row>
        <row r="697">
          <cell r="D697">
            <v>36.523497303236582</v>
          </cell>
        </row>
        <row r="698">
          <cell r="D698">
            <v>27.722596056200018</v>
          </cell>
        </row>
        <row r="699">
          <cell r="D699">
            <v>20.649512088179108</v>
          </cell>
        </row>
        <row r="700">
          <cell r="D700">
            <v>24.766415202820099</v>
          </cell>
        </row>
        <row r="701">
          <cell r="D701">
            <v>6.913366389748262</v>
          </cell>
        </row>
        <row r="702">
          <cell r="D702">
            <v>31.793614616803097</v>
          </cell>
        </row>
        <row r="703">
          <cell r="D703">
            <v>25.0082942602412</v>
          </cell>
        </row>
        <row r="704">
          <cell r="D704">
            <v>26.671843108219036</v>
          </cell>
        </row>
        <row r="705">
          <cell r="D705">
            <v>37.67745710293093</v>
          </cell>
        </row>
        <row r="706">
          <cell r="D706">
            <v>24.837813439015918</v>
          </cell>
        </row>
        <row r="707">
          <cell r="D707">
            <v>64.591185871817288</v>
          </cell>
        </row>
        <row r="708">
          <cell r="D708">
            <v>24.087046625621952</v>
          </cell>
        </row>
        <row r="709">
          <cell r="D709">
            <v>16.591801384041901</v>
          </cell>
        </row>
        <row r="710">
          <cell r="D710">
            <v>39.056064206128212</v>
          </cell>
        </row>
        <row r="711">
          <cell r="D711">
            <v>35.943795721326751</v>
          </cell>
        </row>
        <row r="712">
          <cell r="D712">
            <v>27.193838351426166</v>
          </cell>
        </row>
        <row r="713">
          <cell r="D713">
            <v>67.144958518387284</v>
          </cell>
        </row>
        <row r="714">
          <cell r="D714">
            <v>39.148568001386593</v>
          </cell>
        </row>
        <row r="715">
          <cell r="D715">
            <v>53.366501517215511</v>
          </cell>
        </row>
        <row r="716">
          <cell r="D716">
            <v>28.022348426683493</v>
          </cell>
        </row>
        <row r="717">
          <cell r="D717">
            <v>27.511557163010366</v>
          </cell>
        </row>
        <row r="718">
          <cell r="D718">
            <v>36.345970164033133</v>
          </cell>
        </row>
        <row r="719">
          <cell r="D719">
            <v>24.635073171501972</v>
          </cell>
        </row>
        <row r="720">
          <cell r="D720">
            <v>39.892104825006754</v>
          </cell>
        </row>
        <row r="721">
          <cell r="D721">
            <v>44.00682057553604</v>
          </cell>
        </row>
        <row r="722">
          <cell r="D722">
            <v>29.881958567788388</v>
          </cell>
        </row>
        <row r="723">
          <cell r="D723">
            <v>25.892256520345654</v>
          </cell>
        </row>
        <row r="724">
          <cell r="D724">
            <v>30.895626510486181</v>
          </cell>
        </row>
        <row r="725">
          <cell r="D725">
            <v>27.294557285180417</v>
          </cell>
        </row>
        <row r="726">
          <cell r="D726">
            <v>9.4967936825960351</v>
          </cell>
        </row>
        <row r="727">
          <cell r="D727">
            <v>43.192887361878093</v>
          </cell>
        </row>
        <row r="728">
          <cell r="D728">
            <v>6.6344524193518737</v>
          </cell>
        </row>
        <row r="729">
          <cell r="D729">
            <v>18.914097475798371</v>
          </cell>
        </row>
        <row r="730">
          <cell r="D730">
            <v>45.366158837627154</v>
          </cell>
        </row>
        <row r="731">
          <cell r="D731">
            <v>33.570856306281712</v>
          </cell>
        </row>
        <row r="732">
          <cell r="D732">
            <v>34.04384457492506</v>
          </cell>
        </row>
        <row r="733">
          <cell r="D733">
            <v>45.655725772170626</v>
          </cell>
        </row>
        <row r="734">
          <cell r="D734">
            <v>30.085767471204235</v>
          </cell>
        </row>
        <row r="735">
          <cell r="D735">
            <v>24.298052123939669</v>
          </cell>
        </row>
        <row r="736">
          <cell r="D736">
            <v>10.350700557959499</v>
          </cell>
        </row>
        <row r="737">
          <cell r="D737">
            <v>28.132668386118894</v>
          </cell>
        </row>
        <row r="738">
          <cell r="D738">
            <v>13.498000263420181</v>
          </cell>
        </row>
        <row r="739">
          <cell r="D739">
            <v>45.435319617403366</v>
          </cell>
        </row>
        <row r="740">
          <cell r="D740">
            <v>36.217633671189105</v>
          </cell>
        </row>
        <row r="741">
          <cell r="D741">
            <v>17.928097184498256</v>
          </cell>
        </row>
        <row r="742">
          <cell r="D742">
            <v>18.429237330182332</v>
          </cell>
        </row>
        <row r="743">
          <cell r="D743">
            <v>-13.679180650156923</v>
          </cell>
        </row>
        <row r="744">
          <cell r="D744">
            <v>42.880678704163074</v>
          </cell>
        </row>
        <row r="745">
          <cell r="D745">
            <v>51.044956810077565</v>
          </cell>
        </row>
        <row r="746">
          <cell r="D746">
            <v>29.117416369721468</v>
          </cell>
        </row>
        <row r="747">
          <cell r="D747">
            <v>37.765903421249277</v>
          </cell>
        </row>
        <row r="748">
          <cell r="D748">
            <v>64.80678316502599</v>
          </cell>
        </row>
        <row r="749">
          <cell r="D749">
            <v>37.279256649984745</v>
          </cell>
        </row>
        <row r="750">
          <cell r="D750">
            <v>29.427571242812519</v>
          </cell>
        </row>
        <row r="751">
          <cell r="D751">
            <v>12.509912792624164</v>
          </cell>
        </row>
        <row r="752">
          <cell r="D752">
            <v>4.0874255369126331</v>
          </cell>
        </row>
        <row r="753">
          <cell r="D753">
            <v>5.0633572743245168</v>
          </cell>
        </row>
        <row r="754">
          <cell r="D754">
            <v>9.518433559609548</v>
          </cell>
        </row>
        <row r="755">
          <cell r="D755">
            <v>23.869061599069937</v>
          </cell>
        </row>
        <row r="756">
          <cell r="D756">
            <v>13.322343237045061</v>
          </cell>
        </row>
        <row r="757">
          <cell r="D757">
            <v>17.038791744884293</v>
          </cell>
        </row>
        <row r="758">
          <cell r="D758">
            <v>39.382398894671496</v>
          </cell>
        </row>
        <row r="759">
          <cell r="D759">
            <v>28.716277168045053</v>
          </cell>
        </row>
        <row r="760">
          <cell r="D760">
            <v>38.285677905472767</v>
          </cell>
        </row>
        <row r="761">
          <cell r="D761">
            <v>23.587459341482827</v>
          </cell>
        </row>
        <row r="762">
          <cell r="D762">
            <v>49.673930342809399</v>
          </cell>
        </row>
        <row r="763">
          <cell r="D763">
            <v>-2.2455779767333297</v>
          </cell>
        </row>
        <row r="764">
          <cell r="D764">
            <v>35.921187393027139</v>
          </cell>
        </row>
        <row r="765">
          <cell r="D765">
            <v>24.022844984328003</v>
          </cell>
        </row>
        <row r="766">
          <cell r="D766">
            <v>13.669516325675431</v>
          </cell>
        </row>
        <row r="767">
          <cell r="D767">
            <v>13.938144675516014</v>
          </cell>
        </row>
        <row r="768">
          <cell r="D768">
            <v>-9.5526431149628479</v>
          </cell>
        </row>
        <row r="769">
          <cell r="D769">
            <v>34.184720842180468</v>
          </cell>
        </row>
        <row r="770">
          <cell r="D770">
            <v>22.222878084498007</v>
          </cell>
        </row>
        <row r="771">
          <cell r="D771">
            <v>31.157642675683746</v>
          </cell>
        </row>
        <row r="772">
          <cell r="D772">
            <v>23.322003504476015</v>
          </cell>
        </row>
        <row r="773">
          <cell r="D773">
            <v>46.055095045634516</v>
          </cell>
        </row>
        <row r="774">
          <cell r="D774">
            <v>47.106098455155006</v>
          </cell>
        </row>
        <row r="775">
          <cell r="D775">
            <v>34.952619224876798</v>
          </cell>
        </row>
        <row r="776">
          <cell r="D776">
            <v>34.160810113875414</v>
          </cell>
        </row>
        <row r="777">
          <cell r="D777">
            <v>19.272374359346941</v>
          </cell>
        </row>
        <row r="778">
          <cell r="D778">
            <v>5.9668889293825487</v>
          </cell>
        </row>
        <row r="779">
          <cell r="D779">
            <v>17.208604668670887</v>
          </cell>
        </row>
        <row r="780">
          <cell r="D780">
            <v>56.250616236960923</v>
          </cell>
        </row>
        <row r="781">
          <cell r="D781">
            <v>41.941381141263264</v>
          </cell>
        </row>
        <row r="782">
          <cell r="D782">
            <v>14.552276370390246</v>
          </cell>
        </row>
        <row r="783">
          <cell r="D783">
            <v>21.363561239881165</v>
          </cell>
        </row>
        <row r="784">
          <cell r="D784">
            <v>21.357116029597819</v>
          </cell>
        </row>
        <row r="785">
          <cell r="D785">
            <v>30.979497731349511</v>
          </cell>
        </row>
        <row r="786">
          <cell r="D786">
            <v>2.8347838906520337</v>
          </cell>
        </row>
        <row r="787">
          <cell r="D787">
            <v>24.437392227086093</v>
          </cell>
        </row>
        <row r="788">
          <cell r="D788">
            <v>51.895791357223061</v>
          </cell>
        </row>
        <row r="789">
          <cell r="D789">
            <v>11.661683045489553</v>
          </cell>
        </row>
        <row r="790">
          <cell r="D790">
            <v>33.888007405043027</v>
          </cell>
        </row>
        <row r="791">
          <cell r="D791">
            <v>29.876314834431469</v>
          </cell>
        </row>
        <row r="792">
          <cell r="D792">
            <v>23.600683710768863</v>
          </cell>
        </row>
        <row r="793">
          <cell r="D793">
            <v>26.396068255784485</v>
          </cell>
        </row>
        <row r="794">
          <cell r="D794">
            <v>35.197403636156196</v>
          </cell>
        </row>
        <row r="795">
          <cell r="D795">
            <v>32.741628241277795</v>
          </cell>
        </row>
        <row r="796">
          <cell r="D796">
            <v>24.5539737250092</v>
          </cell>
        </row>
        <row r="797">
          <cell r="D797">
            <v>18.736987772494103</v>
          </cell>
        </row>
        <row r="798">
          <cell r="D798">
            <v>33.323851136018675</v>
          </cell>
        </row>
        <row r="799">
          <cell r="D799">
            <v>26.252136357747077</v>
          </cell>
        </row>
        <row r="800">
          <cell r="D800">
            <v>21.224304623914577</v>
          </cell>
        </row>
        <row r="801">
          <cell r="D801">
            <v>65.504068091016961</v>
          </cell>
        </row>
        <row r="802">
          <cell r="D802">
            <v>41.852150043454458</v>
          </cell>
        </row>
        <row r="803">
          <cell r="D803">
            <v>34.249339919373597</v>
          </cell>
        </row>
        <row r="804">
          <cell r="D804">
            <v>45.551433587119391</v>
          </cell>
        </row>
        <row r="805">
          <cell r="D805">
            <v>44.278287489491049</v>
          </cell>
        </row>
        <row r="806">
          <cell r="D806">
            <v>46.226043395066881</v>
          </cell>
        </row>
        <row r="807">
          <cell r="D807">
            <v>25.927872151263728</v>
          </cell>
        </row>
        <row r="808">
          <cell r="D808">
            <v>42.647114969853646</v>
          </cell>
        </row>
        <row r="809">
          <cell r="D809">
            <v>24.371303775527849</v>
          </cell>
        </row>
        <row r="810">
          <cell r="D810">
            <v>25.781869771166384</v>
          </cell>
        </row>
        <row r="811">
          <cell r="D811">
            <v>36.000366634383681</v>
          </cell>
        </row>
        <row r="812">
          <cell r="D812">
            <v>43.142795053976442</v>
          </cell>
        </row>
        <row r="813">
          <cell r="D813">
            <v>36.957263294792938</v>
          </cell>
        </row>
        <row r="814">
          <cell r="D814">
            <v>1.7115807680092985</v>
          </cell>
        </row>
        <row r="815">
          <cell r="D815">
            <v>60.749439804480062</v>
          </cell>
        </row>
        <row r="816">
          <cell r="D816">
            <v>29.845942198407101</v>
          </cell>
        </row>
        <row r="817">
          <cell r="D817">
            <v>34.843000557752021</v>
          </cell>
        </row>
        <row r="818">
          <cell r="D818">
            <v>36.832633632733632</v>
          </cell>
        </row>
        <row r="819">
          <cell r="D819">
            <v>35.788375987343898</v>
          </cell>
        </row>
        <row r="820">
          <cell r="D820">
            <v>30.478274098485599</v>
          </cell>
        </row>
        <row r="821">
          <cell r="D821">
            <v>34.639258444080042</v>
          </cell>
        </row>
        <row r="822">
          <cell r="D822">
            <v>31.446575107660465</v>
          </cell>
        </row>
        <row r="823">
          <cell r="D823">
            <v>32.225042967324043</v>
          </cell>
        </row>
        <row r="824">
          <cell r="D824">
            <v>16.445097711633935</v>
          </cell>
        </row>
        <row r="825">
          <cell r="D825">
            <v>47.921701412409675</v>
          </cell>
        </row>
        <row r="826">
          <cell r="D826">
            <v>3.6653143556613941</v>
          </cell>
        </row>
        <row r="827">
          <cell r="D827">
            <v>40.690876766806468</v>
          </cell>
        </row>
        <row r="828">
          <cell r="D828">
            <v>38.620160942768052</v>
          </cell>
        </row>
        <row r="829">
          <cell r="D829">
            <v>37.411299973613495</v>
          </cell>
        </row>
        <row r="830">
          <cell r="D830">
            <v>29.809925829025815</v>
          </cell>
        </row>
        <row r="831">
          <cell r="D831">
            <v>35.61756121739927</v>
          </cell>
        </row>
        <row r="832">
          <cell r="D832">
            <v>41.083734040243144</v>
          </cell>
        </row>
        <row r="833">
          <cell r="D833">
            <v>23.766222090947849</v>
          </cell>
        </row>
        <row r="834">
          <cell r="D834">
            <v>25.417164374770437</v>
          </cell>
        </row>
        <row r="835">
          <cell r="D835">
            <v>56.783464813546743</v>
          </cell>
        </row>
        <row r="836">
          <cell r="D836">
            <v>50.068657729074403</v>
          </cell>
        </row>
        <row r="837">
          <cell r="D837">
            <v>24.290955713653602</v>
          </cell>
        </row>
        <row r="838">
          <cell r="D838">
            <v>39.740325132064754</v>
          </cell>
        </row>
        <row r="839">
          <cell r="D839">
            <v>43.08929646913748</v>
          </cell>
        </row>
        <row r="840">
          <cell r="D840">
            <v>61.408253838002565</v>
          </cell>
        </row>
        <row r="841">
          <cell r="D841">
            <v>38.951204308254091</v>
          </cell>
        </row>
        <row r="842">
          <cell r="D842">
            <v>27.765458374327864</v>
          </cell>
        </row>
        <row r="843">
          <cell r="D843">
            <v>36.492757323620935</v>
          </cell>
        </row>
        <row r="844">
          <cell r="D844">
            <v>15.138623531815028</v>
          </cell>
        </row>
        <row r="845">
          <cell r="D845">
            <v>46.598129058160339</v>
          </cell>
        </row>
        <row r="846">
          <cell r="D846">
            <v>48.844902647037088</v>
          </cell>
        </row>
        <row r="847">
          <cell r="D847">
            <v>4.8965164941400872</v>
          </cell>
        </row>
        <row r="848">
          <cell r="D848">
            <v>23.279608714555252</v>
          </cell>
        </row>
        <row r="849">
          <cell r="D849">
            <v>36.193555968524379</v>
          </cell>
        </row>
        <row r="850">
          <cell r="D850">
            <v>22.926424548976684</v>
          </cell>
        </row>
        <row r="851">
          <cell r="D851">
            <v>39.501017479782604</v>
          </cell>
        </row>
        <row r="852">
          <cell r="D852">
            <v>36.444167784956335</v>
          </cell>
        </row>
        <row r="853">
          <cell r="D853">
            <v>40.992549342426173</v>
          </cell>
        </row>
        <row r="854">
          <cell r="D854">
            <v>43.445886911653361</v>
          </cell>
        </row>
        <row r="855">
          <cell r="D855">
            <v>11.913981302954198</v>
          </cell>
        </row>
        <row r="856">
          <cell r="D856">
            <v>15.752688436945391</v>
          </cell>
        </row>
        <row r="857">
          <cell r="D857">
            <v>18.478678438081261</v>
          </cell>
        </row>
        <row r="858">
          <cell r="D858">
            <v>48.57126506640634</v>
          </cell>
        </row>
        <row r="859">
          <cell r="D859">
            <v>20.023758977871694</v>
          </cell>
        </row>
        <row r="860">
          <cell r="D860">
            <v>51.308375559896376</v>
          </cell>
        </row>
        <row r="861">
          <cell r="D861">
            <v>30.518932355065772</v>
          </cell>
        </row>
        <row r="862">
          <cell r="D862">
            <v>45.084873831323421</v>
          </cell>
        </row>
        <row r="863">
          <cell r="D863">
            <v>14.25402676914382</v>
          </cell>
        </row>
        <row r="864">
          <cell r="D864">
            <v>54.810428989916545</v>
          </cell>
        </row>
        <row r="865">
          <cell r="D865">
            <v>32.290680588111172</v>
          </cell>
        </row>
        <row r="866">
          <cell r="D866">
            <v>41.835686371590782</v>
          </cell>
        </row>
        <row r="867">
          <cell r="D867">
            <v>36.34850817430015</v>
          </cell>
        </row>
        <row r="868">
          <cell r="D868">
            <v>23.033956036605559</v>
          </cell>
        </row>
        <row r="869">
          <cell r="D869">
            <v>16.9681949856149</v>
          </cell>
        </row>
        <row r="870">
          <cell r="D870">
            <v>30.048598978741211</v>
          </cell>
        </row>
        <row r="871">
          <cell r="D871">
            <v>18.197927749728478</v>
          </cell>
        </row>
        <row r="872">
          <cell r="D872">
            <v>24.573977253297926</v>
          </cell>
        </row>
        <row r="873">
          <cell r="D873">
            <v>44.839488312349204</v>
          </cell>
        </row>
        <row r="874">
          <cell r="D874">
            <v>-0.30386654297763016</v>
          </cell>
        </row>
        <row r="875">
          <cell r="D875">
            <v>8.5417003452712379</v>
          </cell>
        </row>
        <row r="876">
          <cell r="D876">
            <v>38.178881105026448</v>
          </cell>
        </row>
        <row r="877">
          <cell r="D877">
            <v>23.866673865726625</v>
          </cell>
        </row>
        <row r="878">
          <cell r="D878">
            <v>-12.64367246121401</v>
          </cell>
        </row>
        <row r="879">
          <cell r="D879">
            <v>13.804465003162477</v>
          </cell>
        </row>
        <row r="880">
          <cell r="D880">
            <v>7.6573373467035708</v>
          </cell>
        </row>
        <row r="881">
          <cell r="D881">
            <v>-1.8571288263919996</v>
          </cell>
        </row>
        <row r="882">
          <cell r="D882">
            <v>10.468350691784508</v>
          </cell>
        </row>
        <row r="883">
          <cell r="D883">
            <v>25.754235514640641</v>
          </cell>
        </row>
        <row r="884">
          <cell r="D884">
            <v>21.729068113203539</v>
          </cell>
        </row>
        <row r="885">
          <cell r="D885">
            <v>7.7249285674988641</v>
          </cell>
        </row>
        <row r="886">
          <cell r="D886">
            <v>11.735886450927865</v>
          </cell>
        </row>
        <row r="887">
          <cell r="D887">
            <v>23.422371792074955</v>
          </cell>
        </row>
        <row r="888">
          <cell r="D888">
            <v>48.033006520567142</v>
          </cell>
        </row>
        <row r="889">
          <cell r="D889">
            <v>51.13545691301988</v>
          </cell>
        </row>
        <row r="890">
          <cell r="D890">
            <v>-0.99313669970433693</v>
          </cell>
        </row>
        <row r="891">
          <cell r="D891">
            <v>0.73805346137669403</v>
          </cell>
        </row>
        <row r="892">
          <cell r="D892">
            <v>20.400018999956956</v>
          </cell>
        </row>
        <row r="893">
          <cell r="D893">
            <v>73.292820862028748</v>
          </cell>
        </row>
        <row r="894">
          <cell r="D894">
            <v>3.6503534530347679</v>
          </cell>
        </row>
        <row r="895">
          <cell r="D895">
            <v>49.601563655327482</v>
          </cell>
        </row>
        <row r="896">
          <cell r="D896">
            <v>49.568569521856261</v>
          </cell>
        </row>
        <row r="897">
          <cell r="D897">
            <v>31.113361075498688</v>
          </cell>
        </row>
        <row r="898">
          <cell r="D898">
            <v>34.054581026251981</v>
          </cell>
        </row>
        <row r="899">
          <cell r="D899">
            <v>17.824806845605053</v>
          </cell>
        </row>
        <row r="900">
          <cell r="D900">
            <v>11.046649689073092</v>
          </cell>
        </row>
        <row r="901">
          <cell r="D901">
            <v>34.164383365172398</v>
          </cell>
        </row>
        <row r="902">
          <cell r="D902">
            <v>30.511017770417311</v>
          </cell>
        </row>
        <row r="903">
          <cell r="D903">
            <v>37.955936939992171</v>
          </cell>
        </row>
        <row r="904">
          <cell r="D904">
            <v>49.81712755366425</v>
          </cell>
        </row>
        <row r="905">
          <cell r="D905">
            <v>17.410643643874209</v>
          </cell>
        </row>
        <row r="906">
          <cell r="D906">
            <v>41.047517301630251</v>
          </cell>
        </row>
        <row r="907">
          <cell r="D907">
            <v>54.721398261339345</v>
          </cell>
        </row>
        <row r="908">
          <cell r="D908">
            <v>25.917519740964053</v>
          </cell>
        </row>
        <row r="909">
          <cell r="D909">
            <v>36.303976112575583</v>
          </cell>
        </row>
        <row r="910">
          <cell r="D910">
            <v>48.626032656378811</v>
          </cell>
        </row>
        <row r="911">
          <cell r="D911">
            <v>37.456349655853046</v>
          </cell>
        </row>
        <row r="912">
          <cell r="D912">
            <v>34.592121582344589</v>
          </cell>
        </row>
        <row r="913">
          <cell r="D913">
            <v>3.3408497799464385</v>
          </cell>
        </row>
        <row r="914">
          <cell r="D914">
            <v>5.8508751442823268</v>
          </cell>
        </row>
        <row r="915">
          <cell r="D915">
            <v>36.256972830327868</v>
          </cell>
        </row>
        <row r="916">
          <cell r="D916">
            <v>27.304742721120419</v>
          </cell>
        </row>
        <row r="917">
          <cell r="D917">
            <v>30.771063638170745</v>
          </cell>
        </row>
        <row r="918">
          <cell r="D918">
            <v>28.861244307112429</v>
          </cell>
        </row>
        <row r="919">
          <cell r="D919">
            <v>20.404026384589088</v>
          </cell>
        </row>
        <row r="920">
          <cell r="D920">
            <v>32.478743809409934</v>
          </cell>
        </row>
        <row r="921">
          <cell r="D921">
            <v>29.787417685342007</v>
          </cell>
        </row>
        <row r="922">
          <cell r="D922">
            <v>3.6851509095904476</v>
          </cell>
        </row>
        <row r="923">
          <cell r="D923">
            <v>21.878543559982063</v>
          </cell>
        </row>
        <row r="924">
          <cell r="D924">
            <v>19.233168779695916</v>
          </cell>
        </row>
        <row r="925">
          <cell r="D925">
            <v>48.06169271555882</v>
          </cell>
        </row>
        <row r="926">
          <cell r="D926">
            <v>45.38081918640637</v>
          </cell>
        </row>
        <row r="927">
          <cell r="D927">
            <v>40.494481524960065</v>
          </cell>
        </row>
        <row r="928">
          <cell r="D928">
            <v>27.167807048753275</v>
          </cell>
        </row>
        <row r="929">
          <cell r="D929">
            <v>15.434001174075092</v>
          </cell>
        </row>
        <row r="930">
          <cell r="D930">
            <v>25.151508168532018</v>
          </cell>
        </row>
        <row r="931">
          <cell r="D931">
            <v>19.930119756967542</v>
          </cell>
        </row>
        <row r="932">
          <cell r="D932">
            <v>24.225852410817424</v>
          </cell>
        </row>
        <row r="933">
          <cell r="D933">
            <v>28.5982930855007</v>
          </cell>
        </row>
        <row r="934">
          <cell r="D934">
            <v>32.369075049977255</v>
          </cell>
        </row>
        <row r="935">
          <cell r="D935">
            <v>17.602931316472677</v>
          </cell>
        </row>
        <row r="936">
          <cell r="D936">
            <v>15.302625747885031</v>
          </cell>
        </row>
        <row r="937">
          <cell r="D937">
            <v>23.796143896201102</v>
          </cell>
        </row>
        <row r="938">
          <cell r="D938">
            <v>25.15731887624861</v>
          </cell>
        </row>
        <row r="939">
          <cell r="D939">
            <v>37.882985842251401</v>
          </cell>
        </row>
        <row r="940">
          <cell r="D940">
            <v>20.358642753630193</v>
          </cell>
        </row>
        <row r="941">
          <cell r="D941">
            <v>52.522279154713033</v>
          </cell>
        </row>
        <row r="942">
          <cell r="D942">
            <v>34.440208309914851</v>
          </cell>
        </row>
        <row r="943">
          <cell r="D943">
            <v>55.810672194096696</v>
          </cell>
        </row>
        <row r="944">
          <cell r="D944">
            <v>35.94002210079816</v>
          </cell>
        </row>
        <row r="945">
          <cell r="D945">
            <v>15.683327287937573</v>
          </cell>
        </row>
        <row r="946">
          <cell r="D946">
            <v>15.020672844142609</v>
          </cell>
        </row>
        <row r="947">
          <cell r="D947">
            <v>51.372694083242095</v>
          </cell>
        </row>
        <row r="948">
          <cell r="D948">
            <v>23.1849509500571</v>
          </cell>
        </row>
        <row r="949">
          <cell r="D949">
            <v>41.506412934317268</v>
          </cell>
        </row>
        <row r="950">
          <cell r="D950">
            <v>27.330757326357343</v>
          </cell>
        </row>
        <row r="951">
          <cell r="D951">
            <v>36.206246019859464</v>
          </cell>
        </row>
        <row r="952">
          <cell r="D952">
            <v>14.006437188621931</v>
          </cell>
        </row>
        <row r="953">
          <cell r="D953">
            <v>31.162184378266829</v>
          </cell>
        </row>
        <row r="954">
          <cell r="D954">
            <v>30.648905196634587</v>
          </cell>
        </row>
        <row r="955">
          <cell r="D955">
            <v>35.421666898631884</v>
          </cell>
        </row>
        <row r="956">
          <cell r="D956">
            <v>28.720785475756202</v>
          </cell>
        </row>
        <row r="957">
          <cell r="D957">
            <v>32.665070497368106</v>
          </cell>
        </row>
        <row r="958">
          <cell r="D958">
            <v>31.018052110997814</v>
          </cell>
        </row>
        <row r="959">
          <cell r="D959">
            <v>23.451341843478076</v>
          </cell>
        </row>
        <row r="960">
          <cell r="D960">
            <v>62.947356695716735</v>
          </cell>
        </row>
        <row r="961">
          <cell r="D961">
            <v>25.019949070546318</v>
          </cell>
        </row>
        <row r="962">
          <cell r="D962">
            <v>29.631062894944989</v>
          </cell>
        </row>
        <row r="963">
          <cell r="D963">
            <v>41.921511192462276</v>
          </cell>
        </row>
        <row r="964">
          <cell r="D964">
            <v>26.285297465577969</v>
          </cell>
        </row>
        <row r="965">
          <cell r="D965">
            <v>11.300116767055442</v>
          </cell>
        </row>
        <row r="966">
          <cell r="D966">
            <v>45.492191084307706</v>
          </cell>
        </row>
        <row r="967">
          <cell r="D967">
            <v>24.352418975448927</v>
          </cell>
        </row>
        <row r="968">
          <cell r="D968">
            <v>24.033548040782989</v>
          </cell>
        </row>
        <row r="969">
          <cell r="D969">
            <v>45.866881547412049</v>
          </cell>
        </row>
        <row r="970">
          <cell r="D970">
            <v>23.546550623363146</v>
          </cell>
        </row>
        <row r="971">
          <cell r="D971">
            <v>6.4864463469384646</v>
          </cell>
        </row>
        <row r="972">
          <cell r="D972">
            <v>30.139867163738018</v>
          </cell>
        </row>
        <row r="973">
          <cell r="D973">
            <v>38.380552736638492</v>
          </cell>
        </row>
        <row r="974">
          <cell r="D974">
            <v>33.723237106918532</v>
          </cell>
        </row>
        <row r="975">
          <cell r="D975">
            <v>47.096514126909824</v>
          </cell>
        </row>
        <row r="976">
          <cell r="D976">
            <v>26.680943210821169</v>
          </cell>
        </row>
        <row r="977">
          <cell r="D977">
            <v>47.994068099891592</v>
          </cell>
        </row>
        <row r="978">
          <cell r="D978">
            <v>22.051195047883084</v>
          </cell>
        </row>
        <row r="979">
          <cell r="D979">
            <v>40.202209605789903</v>
          </cell>
        </row>
        <row r="980">
          <cell r="D980">
            <v>23.877427014489513</v>
          </cell>
        </row>
        <row r="981">
          <cell r="D981">
            <v>54.133180987086234</v>
          </cell>
        </row>
        <row r="982">
          <cell r="D982">
            <v>47.039041552310664</v>
          </cell>
        </row>
        <row r="983">
          <cell r="D983">
            <v>13.435084324695708</v>
          </cell>
        </row>
        <row r="984">
          <cell r="D984">
            <v>12.839186229897678</v>
          </cell>
        </row>
        <row r="985">
          <cell r="D985">
            <v>34.132123918883735</v>
          </cell>
        </row>
        <row r="986">
          <cell r="D986">
            <v>-9.6953060078667477</v>
          </cell>
        </row>
        <row r="987">
          <cell r="D987">
            <v>48.889785354916967</v>
          </cell>
        </row>
        <row r="988">
          <cell r="D988">
            <v>40.768152500462747</v>
          </cell>
        </row>
        <row r="989">
          <cell r="D989">
            <v>55.066968396116863</v>
          </cell>
        </row>
        <row r="990">
          <cell r="D990">
            <v>37.7605435443038</v>
          </cell>
        </row>
        <row r="991">
          <cell r="D991">
            <v>-2.9739869233671925</v>
          </cell>
        </row>
        <row r="992">
          <cell r="D992">
            <v>33.834609004819868</v>
          </cell>
        </row>
        <row r="993">
          <cell r="D993">
            <v>15.396064599557576</v>
          </cell>
        </row>
        <row r="994">
          <cell r="D994">
            <v>22.311474679740058</v>
          </cell>
        </row>
        <row r="995">
          <cell r="D995">
            <v>11.323292808177939</v>
          </cell>
        </row>
        <row r="996">
          <cell r="D996">
            <v>37.934297062978658</v>
          </cell>
        </row>
        <row r="997">
          <cell r="D997">
            <v>25.143359819780017</v>
          </cell>
        </row>
        <row r="998">
          <cell r="D998">
            <v>57.673504940343264</v>
          </cell>
        </row>
        <row r="999">
          <cell r="D999">
            <v>34.901424886201312</v>
          </cell>
        </row>
        <row r="1000">
          <cell r="D1000">
            <v>24.483343570867873</v>
          </cell>
        </row>
        <row r="1001">
          <cell r="D1001">
            <v>23.767424306337489</v>
          </cell>
        </row>
        <row r="1002">
          <cell r="D1002">
            <v>10.104046033851773</v>
          </cell>
        </row>
        <row r="1003">
          <cell r="D1003">
            <v>50.278277340206841</v>
          </cell>
        </row>
        <row r="1004">
          <cell r="D1004">
            <v>30.647769770988816</v>
          </cell>
        </row>
        <row r="1005">
          <cell r="D1005">
            <v>17.242700832915943</v>
          </cell>
        </row>
        <row r="1006">
          <cell r="D1006">
            <v>35.815893361817871</v>
          </cell>
        </row>
        <row r="1007">
          <cell r="D1007">
            <v>19.966804023787518</v>
          </cell>
        </row>
        <row r="1008">
          <cell r="D1008">
            <v>43.313442849561397</v>
          </cell>
        </row>
        <row r="1009">
          <cell r="D1009">
            <v>36.240475763592258</v>
          </cell>
        </row>
        <row r="1010">
          <cell r="D1010">
            <v>20.497198077286157</v>
          </cell>
        </row>
        <row r="1011">
          <cell r="D1011">
            <v>11.591587209299178</v>
          </cell>
        </row>
        <row r="1012">
          <cell r="D1012">
            <v>3.2993065592600033</v>
          </cell>
        </row>
        <row r="1013">
          <cell r="D1013">
            <v>35.009991614860155</v>
          </cell>
        </row>
        <row r="1014">
          <cell r="D1014">
            <v>10.495701091898809</v>
          </cell>
        </row>
        <row r="1015">
          <cell r="D1015">
            <v>67.447916796576465</v>
          </cell>
        </row>
        <row r="1016">
          <cell r="D1016">
            <v>38.846862030894954</v>
          </cell>
        </row>
        <row r="1017">
          <cell r="D1017">
            <v>24.435021191178748</v>
          </cell>
        </row>
        <row r="1018">
          <cell r="D1018">
            <v>41.575974452556693</v>
          </cell>
        </row>
        <row r="1019">
          <cell r="D1019">
            <v>13.401555873273537</v>
          </cell>
        </row>
        <row r="1020">
          <cell r="D1020">
            <v>9.1969745223686914</v>
          </cell>
        </row>
        <row r="1021">
          <cell r="D1021">
            <v>25.309432517909954</v>
          </cell>
        </row>
        <row r="1022">
          <cell r="D1022">
            <v>25.469226980116218</v>
          </cell>
        </row>
        <row r="1023">
          <cell r="D1023">
            <v>51.383447232004983</v>
          </cell>
        </row>
        <row r="1024">
          <cell r="D1024">
            <v>11.509636193572078</v>
          </cell>
        </row>
        <row r="1025">
          <cell r="D1025">
            <v>30.284166405366705</v>
          </cell>
        </row>
        <row r="1026">
          <cell r="D1026">
            <v>5.2729434905850212</v>
          </cell>
        </row>
        <row r="1027">
          <cell r="D1027">
            <v>37.834479790766636</v>
          </cell>
        </row>
        <row r="1028">
          <cell r="D1028">
            <v>46.979465100779635</v>
          </cell>
        </row>
        <row r="1029">
          <cell r="D1029">
            <v>38.973846031425637</v>
          </cell>
        </row>
        <row r="1030">
          <cell r="D1030">
            <v>48.752933169729658</v>
          </cell>
        </row>
        <row r="1031">
          <cell r="D1031">
            <v>21.180323577576928</v>
          </cell>
        </row>
        <row r="1032">
          <cell r="D1032">
            <v>38.799090666592747</v>
          </cell>
        </row>
        <row r="1033">
          <cell r="D1033">
            <v>27.457340588424813</v>
          </cell>
        </row>
        <row r="1034">
          <cell r="D1034">
            <v>55.564752357171528</v>
          </cell>
        </row>
        <row r="1035">
          <cell r="D1035">
            <v>31.20309309638651</v>
          </cell>
        </row>
        <row r="1036">
          <cell r="D1036">
            <v>43.906802934092411</v>
          </cell>
        </row>
        <row r="1037">
          <cell r="D1037">
            <v>2.9763113579101628</v>
          </cell>
        </row>
        <row r="1038">
          <cell r="D1038">
            <v>1.9846172409452265</v>
          </cell>
        </row>
        <row r="1039">
          <cell r="D1039">
            <v>35.00144252764494</v>
          </cell>
        </row>
        <row r="1040">
          <cell r="D1040">
            <v>27.215344648951941</v>
          </cell>
        </row>
        <row r="1041">
          <cell r="D1041">
            <v>6.6380590655207925</v>
          </cell>
        </row>
        <row r="1042">
          <cell r="D1042">
            <v>38.822968000025867</v>
          </cell>
        </row>
        <row r="1043">
          <cell r="D1043">
            <v>13.474423483834471</v>
          </cell>
        </row>
        <row r="1044">
          <cell r="D1044">
            <v>6.7802544302176102</v>
          </cell>
        </row>
        <row r="1045">
          <cell r="D1045">
            <v>9.3630138256266946</v>
          </cell>
        </row>
        <row r="1046">
          <cell r="D1046">
            <v>41.504809980464415</v>
          </cell>
        </row>
        <row r="1047">
          <cell r="D1047">
            <v>24.090619876918936</v>
          </cell>
        </row>
        <row r="1048">
          <cell r="D1048">
            <v>44.761344312022629</v>
          </cell>
        </row>
        <row r="1049">
          <cell r="D1049">
            <v>26.638848974747816</v>
          </cell>
        </row>
        <row r="1050">
          <cell r="D1050">
            <v>18.316846888686996</v>
          </cell>
        </row>
        <row r="1051">
          <cell r="D1051">
            <v>38.76823380492533</v>
          </cell>
        </row>
        <row r="1052">
          <cell r="D1052">
            <v>28.890448122619091</v>
          </cell>
        </row>
        <row r="1053">
          <cell r="D1053">
            <v>44.451105951751742</v>
          </cell>
        </row>
        <row r="1054">
          <cell r="D1054">
            <v>1.3300777510303305</v>
          </cell>
        </row>
        <row r="1055">
          <cell r="D1055">
            <v>6.8364913945551962</v>
          </cell>
        </row>
        <row r="1056">
          <cell r="D1056">
            <v>44.721437440060981</v>
          </cell>
        </row>
        <row r="1057">
          <cell r="D1057">
            <v>29.094941620909594</v>
          </cell>
        </row>
        <row r="1058">
          <cell r="D1058">
            <v>43.856109518495941</v>
          </cell>
        </row>
        <row r="1059">
          <cell r="D1059">
            <v>28.023483852329264</v>
          </cell>
        </row>
        <row r="1060">
          <cell r="D1060">
            <v>35.773381689845337</v>
          </cell>
        </row>
        <row r="1061">
          <cell r="D1061">
            <v>12.150483785993856</v>
          </cell>
        </row>
        <row r="1062">
          <cell r="D1062">
            <v>9.1354611682654649</v>
          </cell>
        </row>
        <row r="1063">
          <cell r="D1063">
            <v>22.048673735052034</v>
          </cell>
        </row>
        <row r="1064">
          <cell r="D1064">
            <v>35.321665954624223</v>
          </cell>
        </row>
        <row r="1065">
          <cell r="D1065">
            <v>43.35865950616062</v>
          </cell>
        </row>
        <row r="1066">
          <cell r="D1066">
            <v>16.344412172751618</v>
          </cell>
        </row>
        <row r="1067">
          <cell r="D1067">
            <v>28.462259074675785</v>
          </cell>
        </row>
        <row r="1068">
          <cell r="D1068">
            <v>11.26755676691937</v>
          </cell>
        </row>
        <row r="1069">
          <cell r="D1069">
            <v>26.119391741807704</v>
          </cell>
        </row>
        <row r="1070">
          <cell r="D1070">
            <v>22.367511274846038</v>
          </cell>
        </row>
        <row r="1071">
          <cell r="D1071">
            <v>25.206125481580784</v>
          </cell>
        </row>
        <row r="1072">
          <cell r="D1072">
            <v>29.72104537737232</v>
          </cell>
        </row>
        <row r="1073">
          <cell r="D1073">
            <v>31.925290596840568</v>
          </cell>
        </row>
        <row r="1074">
          <cell r="D1074">
            <v>21.825429016170347</v>
          </cell>
        </row>
        <row r="1075">
          <cell r="D1075">
            <v>22.420976464813066</v>
          </cell>
        </row>
        <row r="1076">
          <cell r="D1076">
            <v>20.649512088179108</v>
          </cell>
        </row>
        <row r="1077">
          <cell r="D1077">
            <v>55.450207946436421</v>
          </cell>
        </row>
        <row r="1078">
          <cell r="D1078">
            <v>10.208939326597829</v>
          </cell>
        </row>
        <row r="1079">
          <cell r="D1079">
            <v>15.253936024604627</v>
          </cell>
        </row>
        <row r="1080">
          <cell r="D1080">
            <v>61.446724730471033</v>
          </cell>
        </row>
        <row r="1081">
          <cell r="D1081">
            <v>28.850006932706492</v>
          </cell>
        </row>
        <row r="1082">
          <cell r="D1082">
            <v>28.563428839201151</v>
          </cell>
        </row>
        <row r="1083">
          <cell r="D1083">
            <v>24.671456884474537</v>
          </cell>
        </row>
        <row r="1084">
          <cell r="D1084">
            <v>20.142644721958277</v>
          </cell>
        </row>
        <row r="1085">
          <cell r="D1085">
            <v>40.86130749572385</v>
          </cell>
        </row>
        <row r="1086">
          <cell r="D1086">
            <v>26.745762657245905</v>
          </cell>
        </row>
        <row r="1087">
          <cell r="D1087">
            <v>12.650538598340063</v>
          </cell>
        </row>
        <row r="1088">
          <cell r="D1088">
            <v>48.917970626829629</v>
          </cell>
        </row>
        <row r="1089">
          <cell r="D1089">
            <v>13.655924612798117</v>
          </cell>
        </row>
        <row r="1090">
          <cell r="D1090">
            <v>38.654991794195666</v>
          </cell>
        </row>
        <row r="1091">
          <cell r="D1091">
            <v>27.701173245854079</v>
          </cell>
        </row>
        <row r="1092">
          <cell r="D1092">
            <v>-2.1702391456492478</v>
          </cell>
        </row>
        <row r="1093">
          <cell r="D1093">
            <v>69.085601316241082</v>
          </cell>
        </row>
        <row r="1094">
          <cell r="D1094">
            <v>22.272820115475952</v>
          </cell>
        </row>
        <row r="1095">
          <cell r="D1095">
            <v>29.682791551571427</v>
          </cell>
        </row>
        <row r="1096">
          <cell r="D1096">
            <v>61.156590083104675</v>
          </cell>
        </row>
        <row r="1097">
          <cell r="D1097">
            <v>16.337900172724403</v>
          </cell>
        </row>
        <row r="1098">
          <cell r="D1098">
            <v>51.466333304146247</v>
          </cell>
        </row>
        <row r="1099">
          <cell r="D1099">
            <v>29.276977067824191</v>
          </cell>
        </row>
        <row r="1100">
          <cell r="D1100">
            <v>16.048667186900275</v>
          </cell>
        </row>
        <row r="1101">
          <cell r="D1101">
            <v>10.134836105775321</v>
          </cell>
        </row>
        <row r="1102">
          <cell r="D1102">
            <v>32.739290600242384</v>
          </cell>
        </row>
        <row r="1103">
          <cell r="D1103">
            <v>33.032530970698645</v>
          </cell>
        </row>
        <row r="1104">
          <cell r="D1104">
            <v>50.439975310113368</v>
          </cell>
        </row>
        <row r="1105">
          <cell r="D1105">
            <v>42.28618319398629</v>
          </cell>
        </row>
        <row r="1106">
          <cell r="D1106">
            <v>28.074143873053799</v>
          </cell>
        </row>
        <row r="1107">
          <cell r="D1107">
            <v>25.762300376212806</v>
          </cell>
        </row>
        <row r="1108">
          <cell r="D1108">
            <v>36.756309652927484</v>
          </cell>
        </row>
        <row r="1109">
          <cell r="D1109">
            <v>29.835806854775001</v>
          </cell>
        </row>
        <row r="1110">
          <cell r="D1110">
            <v>29.6141984846181</v>
          </cell>
        </row>
        <row r="1111">
          <cell r="D1111">
            <v>10.420929973637612</v>
          </cell>
        </row>
        <row r="1112">
          <cell r="D1112">
            <v>21.748103190206166</v>
          </cell>
        </row>
        <row r="1113">
          <cell r="D1113">
            <v>20.15072628096641</v>
          </cell>
        </row>
        <row r="1114">
          <cell r="D1114">
            <v>35.451338242345628</v>
          </cell>
        </row>
        <row r="1115">
          <cell r="D1115">
            <v>-29.886112738400698</v>
          </cell>
        </row>
        <row r="1116">
          <cell r="D1116">
            <v>43.230590172292068</v>
          </cell>
        </row>
        <row r="1117">
          <cell r="D1117">
            <v>17.268982597128343</v>
          </cell>
        </row>
        <row r="1118">
          <cell r="D1118">
            <v>46.185869364129758</v>
          </cell>
        </row>
        <row r="1119">
          <cell r="D1119">
            <v>34.60783386958974</v>
          </cell>
        </row>
        <row r="1120">
          <cell r="D1120">
            <v>71.382099869428203</v>
          </cell>
        </row>
        <row r="1121">
          <cell r="D1121">
            <v>31.595933672387218</v>
          </cell>
        </row>
        <row r="1122">
          <cell r="D1122">
            <v>37.030214392533708</v>
          </cell>
        </row>
        <row r="1123">
          <cell r="D1123">
            <v>9.3024355279376323</v>
          </cell>
        </row>
        <row r="1124">
          <cell r="D1124">
            <v>61.983714271176723</v>
          </cell>
        </row>
        <row r="1125">
          <cell r="D1125">
            <v>24.279133928988813</v>
          </cell>
        </row>
        <row r="1126">
          <cell r="D1126">
            <v>43.586880060960539</v>
          </cell>
        </row>
        <row r="1127">
          <cell r="D1127">
            <v>28.266581822575972</v>
          </cell>
        </row>
        <row r="1128">
          <cell r="D1128">
            <v>17.219458002049578</v>
          </cell>
        </row>
        <row r="1129">
          <cell r="D1129">
            <v>19.784200864050035</v>
          </cell>
        </row>
        <row r="1130">
          <cell r="D1130">
            <v>18.962403158051529</v>
          </cell>
        </row>
        <row r="1131">
          <cell r="D1131">
            <v>37.180674988034298</v>
          </cell>
        </row>
        <row r="1132">
          <cell r="D1132">
            <v>6.7837274968987913</v>
          </cell>
        </row>
        <row r="1133">
          <cell r="D1133">
            <v>22.811195543366921</v>
          </cell>
        </row>
        <row r="1134">
          <cell r="D1134">
            <v>21.567336748425078</v>
          </cell>
        </row>
        <row r="1135">
          <cell r="D1135">
            <v>16.126410448763636</v>
          </cell>
        </row>
        <row r="1136">
          <cell r="D1136">
            <v>17.733071132401165</v>
          </cell>
        </row>
        <row r="1137">
          <cell r="D1137">
            <v>25.016459306429169</v>
          </cell>
        </row>
        <row r="1138">
          <cell r="D1138">
            <v>34.321255776084399</v>
          </cell>
        </row>
        <row r="1139">
          <cell r="D1139">
            <v>26.512415989604051</v>
          </cell>
        </row>
        <row r="1140">
          <cell r="D1140">
            <v>28.003213165065063</v>
          </cell>
        </row>
        <row r="1141">
          <cell r="D1141">
            <v>30.512153196063082</v>
          </cell>
        </row>
        <row r="1142">
          <cell r="D1142">
            <v>58.470173005211109</v>
          </cell>
        </row>
        <row r="1143">
          <cell r="D1143">
            <v>33.714955178678792</v>
          </cell>
        </row>
        <row r="1144">
          <cell r="D1144">
            <v>35.283478918567198</v>
          </cell>
        </row>
        <row r="1145">
          <cell r="D1145">
            <v>29.587215428095078</v>
          </cell>
        </row>
        <row r="1146">
          <cell r="D1146">
            <v>40.663125628228954</v>
          </cell>
        </row>
        <row r="1147">
          <cell r="D1147">
            <v>42.480174005053414</v>
          </cell>
        </row>
        <row r="1148">
          <cell r="D1148">
            <v>38.948382441575632</v>
          </cell>
        </row>
        <row r="1149">
          <cell r="D1149">
            <v>34.732513623956947</v>
          </cell>
        </row>
        <row r="1150">
          <cell r="D1150">
            <v>-12.519710696593393</v>
          </cell>
        </row>
        <row r="1151">
          <cell r="D1151">
            <v>48.293586706271526</v>
          </cell>
        </row>
        <row r="1152">
          <cell r="D1152">
            <v>28.547699854520033</v>
          </cell>
        </row>
        <row r="1153">
          <cell r="D1153">
            <v>47.737695668050947</v>
          </cell>
        </row>
        <row r="1154">
          <cell r="D1154">
            <v>32.468358004238326</v>
          </cell>
        </row>
        <row r="1155">
          <cell r="D1155">
            <v>-1.1116217053277069</v>
          </cell>
        </row>
        <row r="1156">
          <cell r="D1156">
            <v>42.807109801291517</v>
          </cell>
        </row>
        <row r="1157">
          <cell r="D1157">
            <v>41.22456021519065</v>
          </cell>
        </row>
        <row r="1158">
          <cell r="D1158">
            <v>19.815642135976304</v>
          </cell>
        </row>
        <row r="1159">
          <cell r="D1159">
            <v>31.411260030589801</v>
          </cell>
        </row>
        <row r="1160">
          <cell r="D1160">
            <v>29.205044513677421</v>
          </cell>
        </row>
        <row r="1161">
          <cell r="D1161">
            <v>41.974542249094156</v>
          </cell>
        </row>
        <row r="1162">
          <cell r="D1162">
            <v>8.9687539675687731</v>
          </cell>
        </row>
        <row r="1163">
          <cell r="D1163">
            <v>27.634617266088753</v>
          </cell>
        </row>
        <row r="1164">
          <cell r="D1164">
            <v>47.253570209617465</v>
          </cell>
        </row>
        <row r="1165">
          <cell r="D1165">
            <v>50.90730314796383</v>
          </cell>
        </row>
        <row r="1166">
          <cell r="D1166">
            <v>21.270790285647308</v>
          </cell>
        </row>
        <row r="1167">
          <cell r="D1167">
            <v>42.877172242609959</v>
          </cell>
        </row>
        <row r="1168">
          <cell r="D1168">
            <v>32.799685226135807</v>
          </cell>
        </row>
        <row r="1169">
          <cell r="D1169">
            <v>53.537216102544335</v>
          </cell>
        </row>
        <row r="1170">
          <cell r="D1170">
            <v>12.107003662735224</v>
          </cell>
        </row>
        <row r="1171">
          <cell r="D1171">
            <v>36.653169590957987</v>
          </cell>
        </row>
        <row r="1172">
          <cell r="D1172">
            <v>49.108454976343637</v>
          </cell>
        </row>
        <row r="1173">
          <cell r="D1173">
            <v>22.332663725982457</v>
          </cell>
        </row>
        <row r="1174">
          <cell r="D1174">
            <v>42.188369614090334</v>
          </cell>
        </row>
        <row r="1175">
          <cell r="D1175">
            <v>68.813099161256105</v>
          </cell>
        </row>
        <row r="1176">
          <cell r="D1176">
            <v>30.531355247425381</v>
          </cell>
        </row>
        <row r="1177">
          <cell r="D1177">
            <v>-13.238902658573352</v>
          </cell>
        </row>
        <row r="1178">
          <cell r="D1178">
            <v>39.017726893147483</v>
          </cell>
        </row>
        <row r="1179">
          <cell r="D1179">
            <v>23.458588530687848</v>
          </cell>
        </row>
        <row r="1180">
          <cell r="D1180">
            <v>39.073095590814773</v>
          </cell>
        </row>
        <row r="1181">
          <cell r="D1181">
            <v>15.145636454921259</v>
          </cell>
        </row>
        <row r="1182">
          <cell r="D1182">
            <v>45.399653894177391</v>
          </cell>
        </row>
        <row r="1183">
          <cell r="D1183">
            <v>58.230130665746401</v>
          </cell>
        </row>
        <row r="1184">
          <cell r="D1184">
            <v>25.697798181071448</v>
          </cell>
        </row>
        <row r="1185">
          <cell r="D1185">
            <v>21.123301833748883</v>
          </cell>
        </row>
        <row r="1186">
          <cell r="D1186">
            <v>14.823208966394304</v>
          </cell>
        </row>
        <row r="1187">
          <cell r="D1187">
            <v>17.04660614491695</v>
          </cell>
        </row>
        <row r="1188">
          <cell r="D1188">
            <v>50.249424170855491</v>
          </cell>
        </row>
        <row r="1189">
          <cell r="D1189">
            <v>22.887235666761626</v>
          </cell>
        </row>
        <row r="1190">
          <cell r="D1190">
            <v>34.164383365172398</v>
          </cell>
        </row>
        <row r="1191">
          <cell r="D1191">
            <v>49.40804037246744</v>
          </cell>
        </row>
        <row r="1192">
          <cell r="D1192">
            <v>36.168242655598078</v>
          </cell>
        </row>
        <row r="1193">
          <cell r="D1193">
            <v>33.770591035321559</v>
          </cell>
        </row>
        <row r="1194">
          <cell r="D1194">
            <v>22.204110166470855</v>
          </cell>
        </row>
        <row r="1195">
          <cell r="D1195">
            <v>25.674739022000722</v>
          </cell>
        </row>
        <row r="1196">
          <cell r="D1196">
            <v>58.975103468859743</v>
          </cell>
        </row>
        <row r="1197">
          <cell r="D1197">
            <v>17.402979520765257</v>
          </cell>
        </row>
        <row r="1198">
          <cell r="D1198">
            <v>43.684727035728429</v>
          </cell>
        </row>
        <row r="1199">
          <cell r="D1199">
            <v>60.50966462399083</v>
          </cell>
        </row>
        <row r="1200">
          <cell r="D1200">
            <v>50.371782981623255</v>
          </cell>
        </row>
        <row r="1201">
          <cell r="D1201">
            <v>15.135117070261913</v>
          </cell>
        </row>
        <row r="1202">
          <cell r="D1202">
            <v>13.439024919583971</v>
          </cell>
        </row>
        <row r="1203">
          <cell r="D1203">
            <v>41.57437149870384</v>
          </cell>
        </row>
        <row r="1204">
          <cell r="D1204">
            <v>28.88709193798968</v>
          </cell>
        </row>
        <row r="1205">
          <cell r="D1205">
            <v>37.200361265039646</v>
          </cell>
        </row>
        <row r="1206">
          <cell r="D1206">
            <v>39.785875737383321</v>
          </cell>
        </row>
        <row r="1207">
          <cell r="D1207">
            <v>19.074209189288013</v>
          </cell>
        </row>
        <row r="1208">
          <cell r="D1208">
            <v>8.8599534748063888</v>
          </cell>
        </row>
        <row r="1209">
          <cell r="D1209">
            <v>30.531355247425381</v>
          </cell>
        </row>
        <row r="1210">
          <cell r="D1210">
            <v>24.831952638991424</v>
          </cell>
        </row>
        <row r="1211">
          <cell r="D1211">
            <v>24.719545500060121</v>
          </cell>
        </row>
        <row r="1212">
          <cell r="D1212">
            <v>37.860060262668412</v>
          </cell>
        </row>
        <row r="1213">
          <cell r="D1213">
            <v>24.129808759133994</v>
          </cell>
        </row>
        <row r="1214">
          <cell r="D1214">
            <v>51.929920916340052</v>
          </cell>
        </row>
        <row r="1215">
          <cell r="D1215">
            <v>37.433808117297303</v>
          </cell>
        </row>
        <row r="1216">
          <cell r="D1216">
            <v>27.299082290327533</v>
          </cell>
        </row>
        <row r="1217">
          <cell r="D1217">
            <v>53.674402236450987</v>
          </cell>
        </row>
        <row r="1218">
          <cell r="D1218">
            <v>10.300274301338504</v>
          </cell>
        </row>
        <row r="1219">
          <cell r="D1219">
            <v>46.755752853690865</v>
          </cell>
        </row>
        <row r="1220">
          <cell r="D1220">
            <v>43.340559485572157</v>
          </cell>
        </row>
        <row r="1221">
          <cell r="D1221">
            <v>32.739290600242384</v>
          </cell>
        </row>
        <row r="1222">
          <cell r="D1222">
            <v>25.128231942793718</v>
          </cell>
        </row>
        <row r="1223">
          <cell r="D1223">
            <v>27.618804794227799</v>
          </cell>
        </row>
        <row r="1224">
          <cell r="D1224">
            <v>18.202335872823824</v>
          </cell>
        </row>
        <row r="1225">
          <cell r="D1225">
            <v>30.40939717512083</v>
          </cell>
        </row>
        <row r="1226">
          <cell r="D1226">
            <v>37.881633349938056</v>
          </cell>
        </row>
        <row r="1227">
          <cell r="D1227">
            <v>28.361055915278484</v>
          </cell>
        </row>
        <row r="1228">
          <cell r="D1228">
            <v>40.706305197640177</v>
          </cell>
        </row>
        <row r="1229">
          <cell r="D1229">
            <v>4.2143260502634803</v>
          </cell>
        </row>
        <row r="1230">
          <cell r="D1230">
            <v>32.734648713043498</v>
          </cell>
        </row>
        <row r="1231">
          <cell r="D1231">
            <v>48.240455465023842</v>
          </cell>
        </row>
        <row r="1232">
          <cell r="D1232">
            <v>37.161005408464916</v>
          </cell>
        </row>
        <row r="1233">
          <cell r="D1233">
            <v>39.43726666925977</v>
          </cell>
        </row>
        <row r="1234">
          <cell r="D1234">
            <v>42.765199237013803</v>
          </cell>
        </row>
        <row r="1235">
          <cell r="D1235">
            <v>33.587386767889257</v>
          </cell>
        </row>
        <row r="1236">
          <cell r="D1236">
            <v>44.061855324483986</v>
          </cell>
        </row>
        <row r="1237">
          <cell r="D1237">
            <v>7.2822461451360141</v>
          </cell>
        </row>
        <row r="1238">
          <cell r="D1238">
            <v>59.826405544212321</v>
          </cell>
        </row>
        <row r="1239">
          <cell r="D1239">
            <v>16.663884215112375</v>
          </cell>
        </row>
        <row r="1240">
          <cell r="D1240">
            <v>10.137374116042338</v>
          </cell>
        </row>
        <row r="1241">
          <cell r="D1241">
            <v>57.903662397715379</v>
          </cell>
        </row>
        <row r="1242">
          <cell r="D1242">
            <v>26.068982182622676</v>
          </cell>
        </row>
        <row r="1243">
          <cell r="D1243">
            <v>61.872843296354404</v>
          </cell>
        </row>
        <row r="1244">
          <cell r="D1244">
            <v>37.20562095736932</v>
          </cell>
        </row>
        <row r="1245">
          <cell r="D1245">
            <v>24.125049989883337</v>
          </cell>
        </row>
        <row r="1246">
          <cell r="D1246">
            <v>9.5022036518494133</v>
          </cell>
        </row>
        <row r="1247">
          <cell r="D1247">
            <v>39.498112125924308</v>
          </cell>
        </row>
        <row r="1248">
          <cell r="D1248">
            <v>54.424718219073839</v>
          </cell>
        </row>
        <row r="1249">
          <cell r="D1249">
            <v>9.815046812131186</v>
          </cell>
        </row>
        <row r="1250">
          <cell r="D1250">
            <v>57.666024489029951</v>
          </cell>
        </row>
        <row r="1251">
          <cell r="D1251">
            <v>31.642736585403327</v>
          </cell>
        </row>
        <row r="1252">
          <cell r="D1252">
            <v>19.567050709296382</v>
          </cell>
        </row>
        <row r="1253">
          <cell r="D1253">
            <v>37.428531727531663</v>
          </cell>
        </row>
        <row r="1254">
          <cell r="D1254">
            <v>24.881076495606976</v>
          </cell>
        </row>
        <row r="1255">
          <cell r="D1255">
            <v>48.34965669624944</v>
          </cell>
        </row>
        <row r="1256">
          <cell r="D1256">
            <v>19.923323900528885</v>
          </cell>
        </row>
        <row r="1257">
          <cell r="D1257">
            <v>25.309432517909954</v>
          </cell>
        </row>
        <row r="1258">
          <cell r="D1258">
            <v>60.064310611873225</v>
          </cell>
        </row>
        <row r="1259">
          <cell r="D1259">
            <v>46.993758105967572</v>
          </cell>
        </row>
        <row r="1260">
          <cell r="D1260">
            <v>51.379907375579933</v>
          </cell>
        </row>
        <row r="1261">
          <cell r="D1261">
            <v>42.250684445119987</v>
          </cell>
        </row>
        <row r="1262">
          <cell r="D1262">
            <v>34.702207777676449</v>
          </cell>
        </row>
        <row r="1263">
          <cell r="D1263">
            <v>33.367281166969406</v>
          </cell>
        </row>
        <row r="1264">
          <cell r="D1264">
            <v>11.955925262103847</v>
          </cell>
        </row>
        <row r="1265">
          <cell r="D1265">
            <v>27.464119747427503</v>
          </cell>
        </row>
        <row r="1266">
          <cell r="D1266">
            <v>16.607830922570429</v>
          </cell>
        </row>
        <row r="1267">
          <cell r="D1267">
            <v>21.721437384966521</v>
          </cell>
        </row>
        <row r="1268">
          <cell r="D1268">
            <v>38.880640943856633</v>
          </cell>
        </row>
        <row r="1269">
          <cell r="D1269">
            <v>21.233354634208808</v>
          </cell>
        </row>
        <row r="1270">
          <cell r="D1270">
            <v>-7.2860663670289796</v>
          </cell>
        </row>
        <row r="1271">
          <cell r="D1271">
            <v>27.012570986566061</v>
          </cell>
        </row>
        <row r="1272">
          <cell r="D1272">
            <v>3.9200504387772526</v>
          </cell>
        </row>
        <row r="1273">
          <cell r="D1273">
            <v>15.339026158293564</v>
          </cell>
        </row>
        <row r="1274">
          <cell r="D1274">
            <v>28.383564058962293</v>
          </cell>
        </row>
        <row r="1275">
          <cell r="D1275">
            <v>29.364638606652079</v>
          </cell>
        </row>
        <row r="1276">
          <cell r="D1276">
            <v>48.34431351673993</v>
          </cell>
        </row>
        <row r="1277">
          <cell r="D1277">
            <v>43.00764600725779</v>
          </cell>
        </row>
        <row r="1278">
          <cell r="D1278">
            <v>32.71609786168392</v>
          </cell>
        </row>
        <row r="1279">
          <cell r="D1279">
            <v>30.125206814958801</v>
          </cell>
        </row>
        <row r="1280">
          <cell r="D1280">
            <v>49.878674302639411</v>
          </cell>
        </row>
        <row r="1281">
          <cell r="D1281">
            <v>58.512250543848495</v>
          </cell>
        </row>
        <row r="1282">
          <cell r="D1282">
            <v>20.039988885631828</v>
          </cell>
        </row>
        <row r="1283">
          <cell r="D1283">
            <v>5.9515272882927093</v>
          </cell>
        </row>
        <row r="1284">
          <cell r="D1284">
            <v>6.4060982850642176</v>
          </cell>
        </row>
        <row r="1285">
          <cell r="D1285">
            <v>23.473048510235458</v>
          </cell>
        </row>
        <row r="1286">
          <cell r="D1286">
            <v>45.69853799799057</v>
          </cell>
        </row>
        <row r="1287">
          <cell r="D1287">
            <v>38.270583423358403</v>
          </cell>
        </row>
        <row r="1288">
          <cell r="D1288">
            <v>32.196273285152529</v>
          </cell>
        </row>
        <row r="1289">
          <cell r="D1289">
            <v>10.425905809555843</v>
          </cell>
        </row>
        <row r="1290">
          <cell r="D1290">
            <v>35.638700171333767</v>
          </cell>
        </row>
        <row r="1291">
          <cell r="D1291">
            <v>11.973524359613293</v>
          </cell>
        </row>
        <row r="1292">
          <cell r="D1292">
            <v>16.730891025648816</v>
          </cell>
        </row>
        <row r="1293">
          <cell r="D1293">
            <v>27.16441746925193</v>
          </cell>
        </row>
        <row r="1294">
          <cell r="D1294">
            <v>28.048246149868646</v>
          </cell>
        </row>
        <row r="1295">
          <cell r="D1295">
            <v>50.443248007562943</v>
          </cell>
        </row>
        <row r="1296">
          <cell r="D1296">
            <v>63.280771097110119</v>
          </cell>
        </row>
        <row r="1297">
          <cell r="D1297">
            <v>2.2662028010963695</v>
          </cell>
        </row>
        <row r="1298">
          <cell r="D1298">
            <v>16.830958759400346</v>
          </cell>
        </row>
        <row r="1299">
          <cell r="D1299">
            <v>21.434208091458459</v>
          </cell>
        </row>
        <row r="1300">
          <cell r="D1300">
            <v>13.306447278004271</v>
          </cell>
        </row>
        <row r="1301">
          <cell r="D1301">
            <v>42.959924735263485</v>
          </cell>
        </row>
        <row r="1302">
          <cell r="D1302">
            <v>41.356904092666809</v>
          </cell>
        </row>
        <row r="1303">
          <cell r="D1303">
            <v>23.92753601982713</v>
          </cell>
        </row>
        <row r="1304">
          <cell r="D1304">
            <v>2.1176624107320094</v>
          </cell>
        </row>
        <row r="1305">
          <cell r="D1305">
            <v>4.4355336819571676</v>
          </cell>
        </row>
        <row r="1306">
          <cell r="D1306">
            <v>11.346468849300436</v>
          </cell>
        </row>
        <row r="1307">
          <cell r="D1307">
            <v>32.151423972144585</v>
          </cell>
        </row>
        <row r="1308">
          <cell r="D1308">
            <v>35.194949113069015</v>
          </cell>
        </row>
        <row r="1309">
          <cell r="D1309">
            <v>51.660157140853698</v>
          </cell>
        </row>
        <row r="1310">
          <cell r="D1310">
            <v>13.622930479326897</v>
          </cell>
        </row>
        <row r="1311">
          <cell r="D1311">
            <v>17.625706619131961</v>
          </cell>
        </row>
        <row r="1312">
          <cell r="D1312">
            <v>-16.917147432919592</v>
          </cell>
        </row>
        <row r="1313">
          <cell r="D1313">
            <v>46.692937099582196</v>
          </cell>
        </row>
        <row r="1314">
          <cell r="D1314">
            <v>24.573977253297926</v>
          </cell>
        </row>
        <row r="1315">
          <cell r="D1315">
            <v>26.21096048065192</v>
          </cell>
        </row>
        <row r="1316">
          <cell r="D1316">
            <v>19.471574770435836</v>
          </cell>
        </row>
        <row r="1317">
          <cell r="D1317">
            <v>36.965060997389628</v>
          </cell>
        </row>
        <row r="1318">
          <cell r="D1318">
            <v>29.157857559634067</v>
          </cell>
        </row>
        <row r="1319">
          <cell r="D1319">
            <v>17.705887706646536</v>
          </cell>
        </row>
        <row r="1320">
          <cell r="D1320">
            <v>33.806139876495763</v>
          </cell>
        </row>
        <row r="1321">
          <cell r="D1321">
            <v>31.370267825290284</v>
          </cell>
        </row>
        <row r="1322">
          <cell r="D1322">
            <v>21.066163207869067</v>
          </cell>
        </row>
        <row r="1323">
          <cell r="D1323">
            <v>54.007816637844371</v>
          </cell>
        </row>
        <row r="1324">
          <cell r="D1324">
            <v>29.5838425460297</v>
          </cell>
        </row>
        <row r="1325">
          <cell r="D1325">
            <v>25.330287615433008</v>
          </cell>
        </row>
        <row r="1326">
          <cell r="D1326">
            <v>54.142932289691089</v>
          </cell>
        </row>
        <row r="1327">
          <cell r="D1327">
            <v>26.293278839970299</v>
          </cell>
        </row>
        <row r="1328">
          <cell r="D1328">
            <v>41.108963865989608</v>
          </cell>
        </row>
        <row r="1329">
          <cell r="D1329">
            <v>20.933234920134055</v>
          </cell>
        </row>
        <row r="1330">
          <cell r="D1330">
            <v>35.972698982986003</v>
          </cell>
        </row>
        <row r="1331">
          <cell r="D1331">
            <v>22.132762022582938</v>
          </cell>
        </row>
        <row r="1332">
          <cell r="D1332">
            <v>11.960299990327258</v>
          </cell>
        </row>
        <row r="1333">
          <cell r="D1333">
            <v>33.625139670611134</v>
          </cell>
        </row>
        <row r="1334">
          <cell r="D1334">
            <v>37.784704734148363</v>
          </cell>
        </row>
        <row r="1335">
          <cell r="D1335">
            <v>11.450126531784917</v>
          </cell>
        </row>
        <row r="1336">
          <cell r="D1336">
            <v>43.640345250927567</v>
          </cell>
        </row>
        <row r="1337">
          <cell r="D1337">
            <v>29.862823306169958</v>
          </cell>
        </row>
        <row r="1338">
          <cell r="D1338">
            <v>39.411252064022847</v>
          </cell>
        </row>
        <row r="1339">
          <cell r="D1339">
            <v>12.167815724527827</v>
          </cell>
        </row>
        <row r="1340">
          <cell r="D1340">
            <v>28.770226583655131</v>
          </cell>
        </row>
        <row r="1341">
          <cell r="D1341">
            <v>25.883056233127718</v>
          </cell>
        </row>
        <row r="1342">
          <cell r="D1342">
            <v>42.751273575417144</v>
          </cell>
        </row>
        <row r="1343">
          <cell r="D1343">
            <v>41.825834884370124</v>
          </cell>
        </row>
        <row r="1344">
          <cell r="D1344">
            <v>29.16684078018443</v>
          </cell>
        </row>
        <row r="1345">
          <cell r="D1345">
            <v>12.97637236380433</v>
          </cell>
        </row>
        <row r="1346">
          <cell r="D1346">
            <v>32.858961123819427</v>
          </cell>
        </row>
        <row r="1347">
          <cell r="D1347">
            <v>1.2098562120663701</v>
          </cell>
        </row>
        <row r="1348">
          <cell r="D1348">
            <v>-0.23827901449840283</v>
          </cell>
        </row>
        <row r="1349">
          <cell r="D1349">
            <v>29.120789251786846</v>
          </cell>
        </row>
        <row r="1350">
          <cell r="D1350">
            <v>23.440488510099385</v>
          </cell>
        </row>
        <row r="1351">
          <cell r="D1351">
            <v>25.695493934907972</v>
          </cell>
        </row>
        <row r="1352">
          <cell r="D1352">
            <v>28.797192942742186</v>
          </cell>
        </row>
        <row r="1353">
          <cell r="D1353">
            <v>38.199385556394191</v>
          </cell>
        </row>
        <row r="1354">
          <cell r="D1354">
            <v>18.71835343395469</v>
          </cell>
        </row>
        <row r="1355">
          <cell r="D1355">
            <v>26.827580093485267</v>
          </cell>
        </row>
        <row r="1356">
          <cell r="D1356">
            <v>55.918404050957179</v>
          </cell>
        </row>
        <row r="1357">
          <cell r="D1357">
            <v>34.873423286084289</v>
          </cell>
        </row>
        <row r="1358">
          <cell r="D1358">
            <v>24.952307757443123</v>
          </cell>
        </row>
        <row r="1359">
          <cell r="D1359">
            <v>28.42515737195663</v>
          </cell>
        </row>
        <row r="1360">
          <cell r="D1360">
            <v>35.734677033273329</v>
          </cell>
        </row>
        <row r="1361">
          <cell r="D1361">
            <v>6.4973998649329587</v>
          </cell>
        </row>
        <row r="1362">
          <cell r="D1362">
            <v>24.747663982228914</v>
          </cell>
        </row>
        <row r="1363">
          <cell r="D1363">
            <v>23.729103690792726</v>
          </cell>
        </row>
        <row r="1364">
          <cell r="D1364">
            <v>52.176375071216171</v>
          </cell>
        </row>
        <row r="1365">
          <cell r="D1365">
            <v>15.29915268120385</v>
          </cell>
        </row>
        <row r="1366">
          <cell r="D1366">
            <v>30.923945361886581</v>
          </cell>
        </row>
        <row r="1367">
          <cell r="D1367">
            <v>34.276890688719504</v>
          </cell>
        </row>
        <row r="1368">
          <cell r="D1368">
            <v>47.221978660767491</v>
          </cell>
        </row>
        <row r="1369">
          <cell r="D1369">
            <v>31.62219873916365</v>
          </cell>
        </row>
        <row r="1370">
          <cell r="D1370">
            <v>40.010790199861731</v>
          </cell>
        </row>
        <row r="1371">
          <cell r="D1371">
            <v>22.429659131516019</v>
          </cell>
        </row>
        <row r="1372">
          <cell r="D1372">
            <v>6.5805530960496981</v>
          </cell>
        </row>
        <row r="1373">
          <cell r="D1373">
            <v>29.490520576408926</v>
          </cell>
        </row>
        <row r="1374">
          <cell r="D1374">
            <v>12.437980238477394</v>
          </cell>
        </row>
        <row r="1375">
          <cell r="D1375">
            <v>6.1269171556923538</v>
          </cell>
        </row>
        <row r="1376">
          <cell r="D1376">
            <v>25.292033789632114</v>
          </cell>
        </row>
        <row r="1377">
          <cell r="D1377">
            <v>8.5653773094727512</v>
          </cell>
        </row>
        <row r="1378">
          <cell r="D1378">
            <v>13.15647090814673</v>
          </cell>
        </row>
        <row r="1379">
          <cell r="D1379">
            <v>29.437689889008652</v>
          </cell>
        </row>
        <row r="1380">
          <cell r="D1380">
            <v>36.170780665865095</v>
          </cell>
        </row>
        <row r="1381">
          <cell r="D1381">
            <v>-10.469532718794653</v>
          </cell>
        </row>
        <row r="1382">
          <cell r="D1382">
            <v>47.000871213689607</v>
          </cell>
        </row>
        <row r="1383">
          <cell r="D1383">
            <v>12.962112753488327</v>
          </cell>
        </row>
        <row r="1384">
          <cell r="D1384">
            <v>51.95657002414373</v>
          </cell>
        </row>
        <row r="1385">
          <cell r="D1385">
            <v>32.559692978979001</v>
          </cell>
        </row>
        <row r="1386">
          <cell r="D1386">
            <v>42.531635502704376</v>
          </cell>
        </row>
        <row r="1387">
          <cell r="D1387">
            <v>49.151534361139056</v>
          </cell>
        </row>
        <row r="1388">
          <cell r="D1388">
            <v>41.275454000018726</v>
          </cell>
        </row>
        <row r="1389">
          <cell r="D1389">
            <v>37.964051893872238</v>
          </cell>
        </row>
        <row r="1390">
          <cell r="D1390">
            <v>28.201328242816089</v>
          </cell>
        </row>
        <row r="1391">
          <cell r="D1391">
            <v>19.181239753837872</v>
          </cell>
        </row>
        <row r="1392">
          <cell r="D1392">
            <v>26.412047702005111</v>
          </cell>
        </row>
        <row r="1393">
          <cell r="D1393">
            <v>17.299872853667694</v>
          </cell>
        </row>
        <row r="1394">
          <cell r="D1394">
            <v>56.837430926592788</v>
          </cell>
        </row>
        <row r="1395">
          <cell r="D1395">
            <v>36.832633632733632</v>
          </cell>
        </row>
        <row r="1396">
          <cell r="D1396">
            <v>-5.0619678961957106</v>
          </cell>
        </row>
        <row r="1397">
          <cell r="D1397">
            <v>29.343265888614042</v>
          </cell>
        </row>
        <row r="1398">
          <cell r="D1398">
            <v>27.412140629261557</v>
          </cell>
        </row>
        <row r="1399">
          <cell r="D1399">
            <v>35.041766835505769</v>
          </cell>
        </row>
        <row r="1400">
          <cell r="D1400">
            <v>20.178978342622941</v>
          </cell>
        </row>
        <row r="1401">
          <cell r="D1401">
            <v>15.930582919740118</v>
          </cell>
        </row>
        <row r="1402">
          <cell r="D1402">
            <v>25.667826283510294</v>
          </cell>
        </row>
        <row r="1403">
          <cell r="D1403">
            <v>35.258866897951521</v>
          </cell>
        </row>
        <row r="1404">
          <cell r="D1404">
            <v>16.372063126713329</v>
          </cell>
        </row>
        <row r="1405">
          <cell r="D1405">
            <v>-3.6564445262192748</v>
          </cell>
        </row>
        <row r="1406">
          <cell r="D1406">
            <v>55.264666037968709</v>
          </cell>
        </row>
        <row r="1407">
          <cell r="D1407">
            <v>29.534368043258837</v>
          </cell>
        </row>
        <row r="1408">
          <cell r="D1408">
            <v>21.783618636508436</v>
          </cell>
        </row>
        <row r="1409">
          <cell r="D1409">
            <v>10.114298259535644</v>
          </cell>
        </row>
        <row r="1410">
          <cell r="D1410">
            <v>10.300274301338504</v>
          </cell>
        </row>
        <row r="1411">
          <cell r="D1411">
            <v>41.033374573366018</v>
          </cell>
        </row>
        <row r="1412">
          <cell r="D1412">
            <v>38.311759300453559</v>
          </cell>
        </row>
        <row r="1413">
          <cell r="D1413">
            <v>70.222629915864673</v>
          </cell>
        </row>
        <row r="1414">
          <cell r="D1414">
            <v>67.144958518387284</v>
          </cell>
        </row>
        <row r="1415">
          <cell r="D1415">
            <v>-3.7772003831341863</v>
          </cell>
        </row>
        <row r="1416">
          <cell r="D1416">
            <v>24.513966668431749</v>
          </cell>
        </row>
        <row r="1417">
          <cell r="D1417">
            <v>14.451691016123732</v>
          </cell>
        </row>
        <row r="1418">
          <cell r="D1418">
            <v>18.83857497291865</v>
          </cell>
        </row>
        <row r="1419">
          <cell r="D1419">
            <v>65.40628790599294</v>
          </cell>
        </row>
        <row r="1420">
          <cell r="D1420">
            <v>25.725449135033159</v>
          </cell>
        </row>
        <row r="1421">
          <cell r="D1421">
            <v>35.495903698942129</v>
          </cell>
        </row>
        <row r="1422">
          <cell r="D1422">
            <v>22.250362064100045</v>
          </cell>
        </row>
        <row r="1423">
          <cell r="D1423">
            <v>35.153205523150973</v>
          </cell>
        </row>
        <row r="1424">
          <cell r="D1424">
            <v>29.244383672816184</v>
          </cell>
        </row>
        <row r="1425">
          <cell r="D1425">
            <v>34.164383365172398</v>
          </cell>
        </row>
        <row r="1426">
          <cell r="D1426">
            <v>81.337511931546032</v>
          </cell>
        </row>
        <row r="1427">
          <cell r="D1427">
            <v>48.83655392905348</v>
          </cell>
        </row>
        <row r="1428">
          <cell r="D1428">
            <v>47.031895049716695</v>
          </cell>
        </row>
        <row r="1429">
          <cell r="D1429">
            <v>15.617105256891591</v>
          </cell>
        </row>
        <row r="1430">
          <cell r="D1430">
            <v>-0.61457243145559914</v>
          </cell>
        </row>
        <row r="1431">
          <cell r="D1431">
            <v>35.749637935899955</v>
          </cell>
        </row>
        <row r="1432">
          <cell r="D1432">
            <v>37.795457882911251</v>
          </cell>
        </row>
        <row r="1433">
          <cell r="D1433">
            <v>25.272297420318864</v>
          </cell>
        </row>
        <row r="1434">
          <cell r="D1434">
            <v>43.369546234411246</v>
          </cell>
        </row>
        <row r="1435">
          <cell r="D1435">
            <v>47.49932307218296</v>
          </cell>
        </row>
        <row r="1436">
          <cell r="D1436">
            <v>45.341112683676329</v>
          </cell>
        </row>
        <row r="1437">
          <cell r="D1437">
            <v>18.100498210859769</v>
          </cell>
        </row>
        <row r="1438">
          <cell r="D1438">
            <v>34.046232308268372</v>
          </cell>
        </row>
        <row r="1439">
          <cell r="D1439">
            <v>28.876973291793547</v>
          </cell>
        </row>
        <row r="1440">
          <cell r="D1440">
            <v>29.659181377113782</v>
          </cell>
        </row>
        <row r="1441">
          <cell r="D1441">
            <v>32.741628241277795</v>
          </cell>
        </row>
        <row r="1442">
          <cell r="D1442">
            <v>29.105060267105728</v>
          </cell>
        </row>
        <row r="1443">
          <cell r="D1443">
            <v>8.071834497153759</v>
          </cell>
        </row>
        <row r="1444">
          <cell r="D1444">
            <v>42.169868855038658</v>
          </cell>
        </row>
        <row r="1445">
          <cell r="D1445">
            <v>41.702891663343507</v>
          </cell>
        </row>
        <row r="1446">
          <cell r="D1446">
            <v>53.799699795948982</v>
          </cell>
        </row>
        <row r="1447">
          <cell r="D1447">
            <v>26.447429568819643</v>
          </cell>
        </row>
        <row r="1448">
          <cell r="D1448">
            <v>46.275300831170171</v>
          </cell>
        </row>
        <row r="1449">
          <cell r="D1449">
            <v>28.051619031934024</v>
          </cell>
        </row>
        <row r="1450">
          <cell r="D1450">
            <v>33.807325394449435</v>
          </cell>
        </row>
        <row r="1451">
          <cell r="D1451">
            <v>31.746728216607153</v>
          </cell>
        </row>
        <row r="1452">
          <cell r="D1452">
            <v>23.883387999129809</v>
          </cell>
        </row>
        <row r="1453">
          <cell r="D1453">
            <v>6.1344643967495358</v>
          </cell>
        </row>
        <row r="1454">
          <cell r="D1454">
            <v>26.67752023644789</v>
          </cell>
        </row>
        <row r="1455">
          <cell r="D1455">
            <v>26.404066327612782</v>
          </cell>
        </row>
        <row r="1456">
          <cell r="D1456">
            <v>-3.2436839091096772</v>
          </cell>
        </row>
        <row r="1457">
          <cell r="D1457">
            <v>19.712952904777922</v>
          </cell>
        </row>
        <row r="1458">
          <cell r="D1458">
            <v>52.044665696306765</v>
          </cell>
        </row>
        <row r="1459">
          <cell r="D1459">
            <v>42.915843504310033</v>
          </cell>
        </row>
        <row r="1460">
          <cell r="D1460">
            <v>21.452157835123217</v>
          </cell>
        </row>
        <row r="1461">
          <cell r="D1461">
            <v>20.350627984365929</v>
          </cell>
        </row>
        <row r="1462">
          <cell r="D1462">
            <v>18.410319135231475</v>
          </cell>
        </row>
        <row r="1463">
          <cell r="D1463">
            <v>58.361572881680331</v>
          </cell>
        </row>
        <row r="1464">
          <cell r="D1464">
            <v>34.3921029968933</v>
          </cell>
        </row>
        <row r="1465">
          <cell r="D1465">
            <v>19.988510690544899</v>
          </cell>
        </row>
        <row r="1466">
          <cell r="D1466">
            <v>11.829692646191688</v>
          </cell>
        </row>
        <row r="1467">
          <cell r="D1467">
            <v>6.0205210937092488</v>
          </cell>
        </row>
        <row r="1468">
          <cell r="D1468">
            <v>17.395315397656304</v>
          </cell>
        </row>
        <row r="1469">
          <cell r="D1469">
            <v>-7.8599238463502843</v>
          </cell>
        </row>
        <row r="1470">
          <cell r="D1470">
            <v>44.781347840311355</v>
          </cell>
        </row>
        <row r="1471">
          <cell r="D1471">
            <v>11.049020724980437</v>
          </cell>
        </row>
        <row r="1472">
          <cell r="D1472">
            <v>53.898415037387167</v>
          </cell>
        </row>
        <row r="1473">
          <cell r="D1473">
            <v>1.0603807652878459</v>
          </cell>
        </row>
        <row r="1474">
          <cell r="D1474">
            <v>19.844328330967983</v>
          </cell>
        </row>
        <row r="1475">
          <cell r="D1475">
            <v>43.957663324048553</v>
          </cell>
        </row>
        <row r="1476">
          <cell r="D1476">
            <v>37.587975543582616</v>
          </cell>
        </row>
        <row r="1477">
          <cell r="D1477">
            <v>20.582087841743487</v>
          </cell>
        </row>
        <row r="1478">
          <cell r="D1478">
            <v>27.473153060285767</v>
          </cell>
        </row>
        <row r="1479">
          <cell r="D1479">
            <v>31.477331784712078</v>
          </cell>
        </row>
        <row r="1480">
          <cell r="D1480">
            <v>14.780196371342754</v>
          </cell>
        </row>
        <row r="1481">
          <cell r="D1481">
            <v>33.145806376300243</v>
          </cell>
        </row>
        <row r="1482">
          <cell r="D1482">
            <v>68.638377191295149</v>
          </cell>
        </row>
        <row r="1483">
          <cell r="D1483">
            <v>43.385876326787184</v>
          </cell>
        </row>
        <row r="1484">
          <cell r="D1484">
            <v>24.02760375357866</v>
          </cell>
        </row>
        <row r="1485">
          <cell r="D1485">
            <v>-7.5040680910169613</v>
          </cell>
        </row>
        <row r="1486">
          <cell r="D1486">
            <v>38.417771321409418</v>
          </cell>
        </row>
        <row r="1487">
          <cell r="D1487">
            <v>4.8009403706637386</v>
          </cell>
        </row>
        <row r="1488">
          <cell r="D1488">
            <v>37.39939470176887</v>
          </cell>
        </row>
        <row r="1489">
          <cell r="D1489">
            <v>4.7659425448764523</v>
          </cell>
        </row>
        <row r="1490">
          <cell r="D1490">
            <v>15.087662957243083</v>
          </cell>
        </row>
        <row r="1491">
          <cell r="D1491">
            <v>31.873728914573803</v>
          </cell>
        </row>
        <row r="1492">
          <cell r="D1492">
            <v>12.297154063529888</v>
          </cell>
        </row>
        <row r="1493">
          <cell r="D1493">
            <v>25.970350428364327</v>
          </cell>
        </row>
        <row r="1494">
          <cell r="D1494">
            <v>28.720785475756202</v>
          </cell>
        </row>
        <row r="1495">
          <cell r="D1495">
            <v>33.703133394014003</v>
          </cell>
        </row>
        <row r="1496">
          <cell r="D1496">
            <v>8.4254194011955406</v>
          </cell>
        </row>
        <row r="1497">
          <cell r="D1497">
            <v>46.83533283351062</v>
          </cell>
        </row>
        <row r="1498">
          <cell r="D1498">
            <v>18.744167669960007</v>
          </cell>
        </row>
        <row r="1499">
          <cell r="D1499">
            <v>28.002094436855259</v>
          </cell>
        </row>
        <row r="1500">
          <cell r="D1500">
            <v>30.07902170707348</v>
          </cell>
        </row>
        <row r="1501">
          <cell r="D1501">
            <v>37.578641676876941</v>
          </cell>
        </row>
        <row r="1502">
          <cell r="D1502">
            <v>39.245813868459663</v>
          </cell>
        </row>
        <row r="1503">
          <cell r="D1503">
            <v>18.769948511093389</v>
          </cell>
        </row>
        <row r="1504">
          <cell r="D1504">
            <v>17.402979520765257</v>
          </cell>
        </row>
        <row r="1505">
          <cell r="D1505">
            <v>44.685604742475334</v>
          </cell>
        </row>
        <row r="1506">
          <cell r="D1506">
            <v>17.704384937409486</v>
          </cell>
        </row>
        <row r="1507">
          <cell r="D1507">
            <v>45.166991821410193</v>
          </cell>
        </row>
        <row r="1508">
          <cell r="D1508">
            <v>25.622843391014612</v>
          </cell>
        </row>
        <row r="1509">
          <cell r="D1509">
            <v>42.002794310750687</v>
          </cell>
        </row>
        <row r="1510">
          <cell r="D1510">
            <v>32.950913903690889</v>
          </cell>
        </row>
        <row r="1511">
          <cell r="D1511">
            <v>24.399639324364216</v>
          </cell>
        </row>
        <row r="1512">
          <cell r="D1512">
            <v>33.482493475143201</v>
          </cell>
        </row>
        <row r="1513">
          <cell r="D1513">
            <v>35.794620828395637</v>
          </cell>
        </row>
        <row r="1514">
          <cell r="D1514">
            <v>20.401354794834333</v>
          </cell>
        </row>
        <row r="1515">
          <cell r="D1515">
            <v>18.626267074595489</v>
          </cell>
        </row>
        <row r="1516">
          <cell r="D1516">
            <v>20.967164110019439</v>
          </cell>
        </row>
        <row r="1517">
          <cell r="D1517">
            <v>13.957146357646707</v>
          </cell>
        </row>
        <row r="1518">
          <cell r="D1518">
            <v>30.986293587788168</v>
          </cell>
        </row>
        <row r="1519">
          <cell r="D1519">
            <v>41.28821084109768</v>
          </cell>
        </row>
        <row r="1520">
          <cell r="D1520">
            <v>2.0936181029392174</v>
          </cell>
        </row>
        <row r="1521">
          <cell r="D1521">
            <v>60.761194799400982</v>
          </cell>
        </row>
        <row r="1522">
          <cell r="D1522">
            <v>56.987841429785476</v>
          </cell>
        </row>
        <row r="1523">
          <cell r="D1523">
            <v>31.398720256178422</v>
          </cell>
        </row>
        <row r="1524">
          <cell r="D1524">
            <v>25.123590055594832</v>
          </cell>
        </row>
        <row r="1525">
          <cell r="D1525">
            <v>38.986569477632656</v>
          </cell>
        </row>
        <row r="1526">
          <cell r="D1526">
            <v>32.486842065854034</v>
          </cell>
        </row>
        <row r="1527">
          <cell r="D1527">
            <v>27.865776569618902</v>
          </cell>
        </row>
        <row r="1528">
          <cell r="D1528">
            <v>38.762623466440346</v>
          </cell>
        </row>
        <row r="1529">
          <cell r="D1529">
            <v>24.353604493402599</v>
          </cell>
        </row>
        <row r="1530">
          <cell r="D1530">
            <v>8.6566454944695579</v>
          </cell>
        </row>
        <row r="1531">
          <cell r="D1531">
            <v>38.4081035059844</v>
          </cell>
        </row>
        <row r="1532">
          <cell r="D1532">
            <v>19.467400411444032</v>
          </cell>
        </row>
        <row r="1533">
          <cell r="D1533">
            <v>20.421358323123059</v>
          </cell>
        </row>
        <row r="1534">
          <cell r="D1534">
            <v>44.723407737505113</v>
          </cell>
        </row>
        <row r="1535">
          <cell r="D1535">
            <v>31.237189260631567</v>
          </cell>
        </row>
        <row r="1536">
          <cell r="D1536">
            <v>30.695257278879581</v>
          </cell>
        </row>
        <row r="1537">
          <cell r="D1537">
            <v>32.404840957819033</v>
          </cell>
        </row>
        <row r="1538">
          <cell r="D1538">
            <v>10.231814813872916</v>
          </cell>
        </row>
        <row r="1539">
          <cell r="D1539">
            <v>15.528375082161801</v>
          </cell>
        </row>
        <row r="1540">
          <cell r="D1540">
            <v>64.322156783513492</v>
          </cell>
        </row>
        <row r="1541">
          <cell r="D1541">
            <v>21.62983525125037</v>
          </cell>
        </row>
        <row r="1542">
          <cell r="D1542">
            <v>47.885701740464356</v>
          </cell>
        </row>
        <row r="1543">
          <cell r="D1543">
            <v>32.674337574329911</v>
          </cell>
        </row>
        <row r="1544">
          <cell r="D1544">
            <v>20.342613215101665</v>
          </cell>
        </row>
        <row r="1545">
          <cell r="D1545">
            <v>42.079435541840212</v>
          </cell>
        </row>
        <row r="1546">
          <cell r="D1546">
            <v>21.815293672538246</v>
          </cell>
        </row>
        <row r="1547">
          <cell r="D1547">
            <v>29.983278609237459</v>
          </cell>
        </row>
        <row r="1548">
          <cell r="D1548">
            <v>14.615926996297276</v>
          </cell>
        </row>
        <row r="1549">
          <cell r="D1549">
            <v>35.543023863241615</v>
          </cell>
        </row>
        <row r="1550">
          <cell r="D1550">
            <v>33.151667176324736</v>
          </cell>
        </row>
        <row r="1551">
          <cell r="D1551">
            <v>38.193908797396944</v>
          </cell>
        </row>
        <row r="1552">
          <cell r="D1552">
            <v>3.6253740888278116</v>
          </cell>
        </row>
        <row r="1553">
          <cell r="D1553">
            <v>9.2968919791965163</v>
          </cell>
        </row>
        <row r="1554">
          <cell r="D1554">
            <v>30.067750937795608</v>
          </cell>
        </row>
        <row r="1555">
          <cell r="D1555">
            <v>28.150684919527521</v>
          </cell>
        </row>
        <row r="1556">
          <cell r="D1556">
            <v>21.207507003331557</v>
          </cell>
        </row>
        <row r="1557">
          <cell r="D1557">
            <v>54.58200806588502</v>
          </cell>
        </row>
        <row r="1558">
          <cell r="D1558">
            <v>38.765428635682838</v>
          </cell>
        </row>
        <row r="1559">
          <cell r="D1559">
            <v>12.882332404436966</v>
          </cell>
        </row>
        <row r="1560">
          <cell r="D1560">
            <v>-6.8505972370039672</v>
          </cell>
        </row>
        <row r="1561">
          <cell r="D1561">
            <v>46.85416754128164</v>
          </cell>
        </row>
        <row r="1562">
          <cell r="D1562">
            <v>26.486201015135521</v>
          </cell>
        </row>
        <row r="1563">
          <cell r="D1563">
            <v>38.424667362463879</v>
          </cell>
        </row>
        <row r="1564">
          <cell r="D1564">
            <v>-8.6437682803953066</v>
          </cell>
        </row>
        <row r="1565">
          <cell r="D1565">
            <v>11.907335723439246</v>
          </cell>
        </row>
        <row r="1566">
          <cell r="D1566">
            <v>9.6690778269057773</v>
          </cell>
        </row>
        <row r="1567">
          <cell r="D1567">
            <v>29.434317006943274</v>
          </cell>
        </row>
        <row r="1568">
          <cell r="D1568">
            <v>44.390661233550418</v>
          </cell>
        </row>
        <row r="1569">
          <cell r="D1569">
            <v>39.763835121906595</v>
          </cell>
        </row>
        <row r="1570">
          <cell r="D1570">
            <v>30.720136458470733</v>
          </cell>
        </row>
        <row r="1571">
          <cell r="D1571">
            <v>11.609687229887641</v>
          </cell>
        </row>
        <row r="1572">
          <cell r="D1572">
            <v>38.311759300453559</v>
          </cell>
        </row>
        <row r="1573">
          <cell r="D1573">
            <v>17.536007993116073</v>
          </cell>
        </row>
        <row r="1574">
          <cell r="D1574">
            <v>19.237376533559654</v>
          </cell>
        </row>
        <row r="1575">
          <cell r="D1575">
            <v>38.951204308254091</v>
          </cell>
        </row>
        <row r="1576">
          <cell r="D1576">
            <v>43.234163423589052</v>
          </cell>
        </row>
        <row r="1577">
          <cell r="D1577">
            <v>15.88713619135342</v>
          </cell>
        </row>
        <row r="1578">
          <cell r="D1578">
            <v>43.522628327358689</v>
          </cell>
        </row>
        <row r="1579">
          <cell r="D1579">
            <v>37.520083768939912</v>
          </cell>
        </row>
        <row r="1580">
          <cell r="D1580">
            <v>14.619567037338129</v>
          </cell>
        </row>
        <row r="1581">
          <cell r="D1581">
            <v>19.921971408215541</v>
          </cell>
        </row>
        <row r="1582">
          <cell r="D1582">
            <v>4.6690306265227264</v>
          </cell>
        </row>
        <row r="1583">
          <cell r="D1583">
            <v>36.535018534053961</v>
          </cell>
        </row>
        <row r="1584">
          <cell r="D1584">
            <v>28.06514395506747</v>
          </cell>
        </row>
        <row r="1585">
          <cell r="D1585">
            <v>25.927872151263728</v>
          </cell>
        </row>
        <row r="1586">
          <cell r="D1586">
            <v>51.568254453290137</v>
          </cell>
        </row>
        <row r="1587">
          <cell r="D1587">
            <v>20.521092108155244</v>
          </cell>
        </row>
        <row r="1588">
          <cell r="D1588">
            <v>15.530078220630458</v>
          </cell>
        </row>
        <row r="1589">
          <cell r="D1589">
            <v>19.227558441210931</v>
          </cell>
        </row>
        <row r="1590">
          <cell r="D1590">
            <v>31.414666307527114</v>
          </cell>
        </row>
        <row r="1591">
          <cell r="D1591">
            <v>2.5894651614216855</v>
          </cell>
        </row>
        <row r="1592">
          <cell r="D1592">
            <v>46.540656483561179</v>
          </cell>
        </row>
        <row r="1593">
          <cell r="D1593">
            <v>33.051198704109993</v>
          </cell>
        </row>
        <row r="1594">
          <cell r="D1594">
            <v>60.950076195062138</v>
          </cell>
        </row>
        <row r="1595">
          <cell r="D1595">
            <v>34.160810113875414</v>
          </cell>
        </row>
        <row r="1596">
          <cell r="D1596">
            <v>30.118444353392078</v>
          </cell>
        </row>
        <row r="1597">
          <cell r="D1597">
            <v>17.583194947159427</v>
          </cell>
        </row>
        <row r="1598">
          <cell r="D1598">
            <v>41.688214617128324</v>
          </cell>
        </row>
        <row r="1599">
          <cell r="D1599">
            <v>22.398601900616995</v>
          </cell>
        </row>
        <row r="1600">
          <cell r="D1600">
            <v>36.527337713509041</v>
          </cell>
        </row>
        <row r="1601">
          <cell r="D1601">
            <v>53.818400924232265</v>
          </cell>
        </row>
        <row r="1602">
          <cell r="D1602">
            <v>10.658567882323041</v>
          </cell>
        </row>
        <row r="1603">
          <cell r="D1603">
            <v>20.837692191529641</v>
          </cell>
        </row>
        <row r="1604">
          <cell r="D1604">
            <v>7.1370452419650974</v>
          </cell>
        </row>
        <row r="1605">
          <cell r="D1605">
            <v>29.687299859282575</v>
          </cell>
        </row>
        <row r="1606">
          <cell r="D1606">
            <v>59.120838689981611</v>
          </cell>
        </row>
        <row r="1607">
          <cell r="D1607">
            <v>12.706775562677649</v>
          </cell>
        </row>
        <row r="1608">
          <cell r="D1608">
            <v>34.175153211371253</v>
          </cell>
        </row>
        <row r="1609">
          <cell r="D1609">
            <v>68.469532718794653</v>
          </cell>
        </row>
        <row r="1610">
          <cell r="D1610">
            <v>29.24212951896061</v>
          </cell>
        </row>
        <row r="1611">
          <cell r="D1611">
            <v>11.825251128224409</v>
          </cell>
        </row>
        <row r="1612">
          <cell r="D1612">
            <v>33.896322728154701</v>
          </cell>
        </row>
        <row r="1613">
          <cell r="D1613">
            <v>15.397801132898167</v>
          </cell>
        </row>
        <row r="1614">
          <cell r="D1614">
            <v>25.642462878276092</v>
          </cell>
        </row>
        <row r="1615">
          <cell r="D1615">
            <v>21.470107578787974</v>
          </cell>
        </row>
        <row r="1616">
          <cell r="D1616">
            <v>37.567988712729857</v>
          </cell>
        </row>
        <row r="1617">
          <cell r="D1617">
            <v>4.7965990373122622</v>
          </cell>
        </row>
        <row r="1618">
          <cell r="D1618">
            <v>16.55161065566881</v>
          </cell>
        </row>
        <row r="1619">
          <cell r="D1619">
            <v>18.094570621091407</v>
          </cell>
        </row>
        <row r="1620">
          <cell r="D1620">
            <v>30.592367678449591</v>
          </cell>
        </row>
        <row r="1621">
          <cell r="D1621">
            <v>24.366595098585094</v>
          </cell>
        </row>
        <row r="1622">
          <cell r="D1622">
            <v>7.174380708787794</v>
          </cell>
        </row>
        <row r="1623">
          <cell r="D1623">
            <v>23.713524983035313</v>
          </cell>
        </row>
        <row r="1624">
          <cell r="D1624">
            <v>5.4249569476305624</v>
          </cell>
        </row>
        <row r="1625">
          <cell r="D1625">
            <v>39.097273478095303</v>
          </cell>
        </row>
        <row r="1626">
          <cell r="D1626">
            <v>23.109528631793182</v>
          </cell>
        </row>
        <row r="1627">
          <cell r="D1627">
            <v>46.063944686697141</v>
          </cell>
        </row>
        <row r="1628">
          <cell r="D1628">
            <v>38.90177989779113</v>
          </cell>
        </row>
        <row r="1629">
          <cell r="D1629">
            <v>7.2553966681007296</v>
          </cell>
        </row>
        <row r="1630">
          <cell r="D1630">
            <v>38.470268060090348</v>
          </cell>
        </row>
        <row r="1631">
          <cell r="D1631">
            <v>-2.5886101012438303</v>
          </cell>
        </row>
        <row r="1632">
          <cell r="D1632">
            <v>20.980221504945803</v>
          </cell>
        </row>
        <row r="1633">
          <cell r="D1633">
            <v>38.877835774614141</v>
          </cell>
        </row>
        <row r="1634">
          <cell r="D1634">
            <v>18.236164878093405</v>
          </cell>
        </row>
        <row r="1635">
          <cell r="D1635">
            <v>32.054912792254072</v>
          </cell>
        </row>
        <row r="1636">
          <cell r="D1636">
            <v>31.451116810243548</v>
          </cell>
        </row>
        <row r="1637">
          <cell r="D1637">
            <v>37.573315194803399</v>
          </cell>
        </row>
        <row r="1638">
          <cell r="D1638">
            <v>41.563017242246133</v>
          </cell>
        </row>
        <row r="1639">
          <cell r="D1639">
            <v>42.907060652991277</v>
          </cell>
        </row>
        <row r="1640">
          <cell r="D1640">
            <v>36.52092589809763</v>
          </cell>
        </row>
        <row r="1641">
          <cell r="D1641">
            <v>28.124803893778335</v>
          </cell>
        </row>
        <row r="1642">
          <cell r="D1642">
            <v>45.625837361789308</v>
          </cell>
        </row>
        <row r="1643">
          <cell r="D1643">
            <v>22.049926042749576</v>
          </cell>
        </row>
        <row r="1644">
          <cell r="D1644">
            <v>5.9745697499274684</v>
          </cell>
        </row>
        <row r="1645">
          <cell r="D1645">
            <v>14.733443550634547</v>
          </cell>
        </row>
        <row r="1646">
          <cell r="D1646">
            <v>34.384889704555462</v>
          </cell>
        </row>
        <row r="1647">
          <cell r="D1647">
            <v>54.726607861361117</v>
          </cell>
        </row>
        <row r="1648">
          <cell r="D1648">
            <v>42.660973841706436</v>
          </cell>
        </row>
        <row r="1649">
          <cell r="D1649">
            <v>10.343153316902317</v>
          </cell>
        </row>
        <row r="1650">
          <cell r="D1650">
            <v>17.51466866994997</v>
          </cell>
        </row>
        <row r="1651">
          <cell r="D1651">
            <v>44.130448391437312</v>
          </cell>
        </row>
        <row r="1652">
          <cell r="D1652">
            <v>4.4218417844640499</v>
          </cell>
        </row>
        <row r="1653">
          <cell r="D1653">
            <v>32.864788528971985</v>
          </cell>
        </row>
        <row r="1654">
          <cell r="D1654">
            <v>35.994088398460008</v>
          </cell>
        </row>
        <row r="1655">
          <cell r="D1655">
            <v>8.1828724463357503</v>
          </cell>
        </row>
        <row r="1656">
          <cell r="D1656">
            <v>44.404286341299667</v>
          </cell>
        </row>
        <row r="1657">
          <cell r="D1657">
            <v>31.650734657231624</v>
          </cell>
        </row>
        <row r="1658">
          <cell r="D1658">
            <v>-2.0854161709357868</v>
          </cell>
        </row>
        <row r="1659">
          <cell r="D1659">
            <v>15.848598509141084</v>
          </cell>
        </row>
        <row r="1660">
          <cell r="D1660">
            <v>38.282939525974143</v>
          </cell>
        </row>
        <row r="1661">
          <cell r="D1661">
            <v>37.019778495054197</v>
          </cell>
        </row>
        <row r="1662">
          <cell r="D1662">
            <v>4.7703506679717975</v>
          </cell>
        </row>
        <row r="1663">
          <cell r="D1663">
            <v>24.192674605550565</v>
          </cell>
        </row>
        <row r="1664">
          <cell r="D1664">
            <v>29.589452884514685</v>
          </cell>
        </row>
        <row r="1665">
          <cell r="D1665">
            <v>40.494481524960065</v>
          </cell>
        </row>
        <row r="1666">
          <cell r="D1666">
            <v>20.616484559835953</v>
          </cell>
        </row>
        <row r="1667">
          <cell r="D1667">
            <v>14.921389889881539</v>
          </cell>
        </row>
        <row r="1668">
          <cell r="D1668">
            <v>56.095129713234201</v>
          </cell>
        </row>
        <row r="1669">
          <cell r="D1669">
            <v>45.05014316451161</v>
          </cell>
        </row>
        <row r="1670">
          <cell r="D1670">
            <v>44.490244741658898</v>
          </cell>
        </row>
        <row r="1671">
          <cell r="D1671">
            <v>36.573489426522428</v>
          </cell>
        </row>
        <row r="1672">
          <cell r="D1672">
            <v>35.464946652658909</v>
          </cell>
        </row>
        <row r="1673">
          <cell r="D1673">
            <v>46.898916669673781</v>
          </cell>
        </row>
        <row r="1674">
          <cell r="D1674">
            <v>25.033924824450878</v>
          </cell>
        </row>
        <row r="1675">
          <cell r="D1675">
            <v>15.344235758315335</v>
          </cell>
        </row>
        <row r="1676">
          <cell r="D1676">
            <v>10.021493910429854</v>
          </cell>
        </row>
        <row r="1677">
          <cell r="D1677">
            <v>30.172544045925861</v>
          </cell>
        </row>
        <row r="1678">
          <cell r="D1678">
            <v>10.579889564045516</v>
          </cell>
        </row>
        <row r="1679">
          <cell r="D1679">
            <v>44.025788862794798</v>
          </cell>
        </row>
        <row r="1680">
          <cell r="D1680">
            <v>28.521852223642782</v>
          </cell>
        </row>
        <row r="1681">
          <cell r="D1681">
            <v>37.555999953705395</v>
          </cell>
        </row>
        <row r="1682">
          <cell r="D1682">
            <v>41.724147499329774</v>
          </cell>
        </row>
        <row r="1683">
          <cell r="D1683">
            <v>53.528132697378169</v>
          </cell>
        </row>
        <row r="1684">
          <cell r="D1684">
            <v>29.228654688135066</v>
          </cell>
        </row>
        <row r="1685">
          <cell r="D1685">
            <v>38.518740716703178</v>
          </cell>
        </row>
        <row r="1686">
          <cell r="D1686">
            <v>18.659411484990414</v>
          </cell>
        </row>
        <row r="1687">
          <cell r="D1687">
            <v>52.5465906214813</v>
          </cell>
        </row>
        <row r="1688">
          <cell r="D1688">
            <v>20.007495675239625</v>
          </cell>
        </row>
        <row r="1689">
          <cell r="D1689">
            <v>22.930097984889471</v>
          </cell>
        </row>
        <row r="1690">
          <cell r="D1690">
            <v>25.972637977091836</v>
          </cell>
        </row>
        <row r="1691">
          <cell r="D1691">
            <v>31.524067907984318</v>
          </cell>
        </row>
        <row r="1692">
          <cell r="D1692">
            <v>37.492182353438693</v>
          </cell>
        </row>
        <row r="1693">
          <cell r="D1693">
            <v>36.554253980288195</v>
          </cell>
        </row>
        <row r="1694">
          <cell r="D1694">
            <v>20.964559310008553</v>
          </cell>
        </row>
        <row r="1695">
          <cell r="D1695">
            <v>56.18182280077599</v>
          </cell>
        </row>
        <row r="1696">
          <cell r="D1696">
            <v>47.479453123381973</v>
          </cell>
        </row>
        <row r="1697">
          <cell r="D1697">
            <v>37.423221942894088</v>
          </cell>
        </row>
        <row r="1698">
          <cell r="D1698">
            <v>30.050853132596785</v>
          </cell>
        </row>
        <row r="1699">
          <cell r="D1699">
            <v>29.042127630945288</v>
          </cell>
        </row>
        <row r="1700">
          <cell r="D1700">
            <v>14.670293847806533</v>
          </cell>
        </row>
        <row r="1701">
          <cell r="D1701">
            <v>29.646808577062075</v>
          </cell>
        </row>
        <row r="1702">
          <cell r="D1702">
            <v>35.313033380229172</v>
          </cell>
        </row>
        <row r="1703">
          <cell r="D1703">
            <v>24.664410566496372</v>
          </cell>
        </row>
        <row r="1704">
          <cell r="D1704">
            <v>46.221601877099602</v>
          </cell>
        </row>
        <row r="1705">
          <cell r="D1705">
            <v>30.009176332422612</v>
          </cell>
        </row>
        <row r="1706">
          <cell r="D1706">
            <v>26.827580093485267</v>
          </cell>
        </row>
        <row r="1707">
          <cell r="D1707">
            <v>43.818707261929376</v>
          </cell>
        </row>
        <row r="1708">
          <cell r="D1708">
            <v>31.084992131790386</v>
          </cell>
        </row>
        <row r="1709">
          <cell r="D1709">
            <v>10.582360784568664</v>
          </cell>
        </row>
        <row r="1710">
          <cell r="D1710">
            <v>31.109954798561375</v>
          </cell>
        </row>
        <row r="1711">
          <cell r="D1711">
            <v>50.521859536096599</v>
          </cell>
        </row>
        <row r="1712">
          <cell r="D1712">
            <v>7.0344561953825178</v>
          </cell>
        </row>
        <row r="1713">
          <cell r="D1713">
            <v>8.3894197292502213</v>
          </cell>
        </row>
        <row r="1714">
          <cell r="D1714">
            <v>36.137886717009678</v>
          </cell>
        </row>
        <row r="1715">
          <cell r="D1715">
            <v>34.027163836393811</v>
          </cell>
        </row>
        <row r="1716">
          <cell r="D1716">
            <v>47.115716178272123</v>
          </cell>
        </row>
        <row r="1717">
          <cell r="D1717">
            <v>12.215403417034395</v>
          </cell>
        </row>
        <row r="1718">
          <cell r="D1718">
            <v>59.241460967408784</v>
          </cell>
        </row>
        <row r="1719">
          <cell r="D1719">
            <v>28.850006932706492</v>
          </cell>
        </row>
        <row r="1720">
          <cell r="D1720">
            <v>53.582699918119033</v>
          </cell>
        </row>
        <row r="1721">
          <cell r="D1721">
            <v>24.057325189600306</v>
          </cell>
        </row>
        <row r="1722">
          <cell r="D1722">
            <v>45.433215740471496</v>
          </cell>
        </row>
        <row r="1723">
          <cell r="D1723">
            <v>21.903823478036429</v>
          </cell>
        </row>
        <row r="1724">
          <cell r="D1724">
            <v>8.4792519347538473</v>
          </cell>
        </row>
        <row r="1725">
          <cell r="D1725">
            <v>12.549953244073549</v>
          </cell>
        </row>
        <row r="1726">
          <cell r="D1726">
            <v>26.539766389718352</v>
          </cell>
        </row>
        <row r="1727">
          <cell r="D1727">
            <v>14.331937005366854</v>
          </cell>
        </row>
        <row r="1728">
          <cell r="D1728">
            <v>33.401343936342528</v>
          </cell>
        </row>
        <row r="1729">
          <cell r="D1729">
            <v>18.787146870139622</v>
          </cell>
        </row>
        <row r="1730">
          <cell r="D1730">
            <v>12.94985683548839</v>
          </cell>
        </row>
        <row r="1731">
          <cell r="D1731">
            <v>21.831757344401922</v>
          </cell>
        </row>
        <row r="1732">
          <cell r="D1732">
            <v>16.996480442143366</v>
          </cell>
        </row>
        <row r="1733">
          <cell r="D1733">
            <v>40.717091741274999</v>
          </cell>
        </row>
        <row r="1734">
          <cell r="D1734">
            <v>15.662989810929503</v>
          </cell>
        </row>
        <row r="1735">
          <cell r="D1735">
            <v>21.887393201044688</v>
          </cell>
        </row>
        <row r="1736">
          <cell r="D1736">
            <v>21.244976049641991</v>
          </cell>
        </row>
        <row r="1737">
          <cell r="D1737">
            <v>37.488208363678496</v>
          </cell>
        </row>
        <row r="1738">
          <cell r="D1738">
            <v>20.777314263072185</v>
          </cell>
        </row>
        <row r="1739">
          <cell r="D1739">
            <v>38.848281312952167</v>
          </cell>
        </row>
        <row r="1740">
          <cell r="D1740">
            <v>25.145697460815427</v>
          </cell>
        </row>
        <row r="1741">
          <cell r="D1741">
            <v>18.891338870575055</v>
          </cell>
        </row>
        <row r="1742">
          <cell r="D1742">
            <v>14.864351448617526</v>
          </cell>
        </row>
        <row r="1743">
          <cell r="D1743">
            <v>53.238398788475024</v>
          </cell>
        </row>
        <row r="1744">
          <cell r="D1744">
            <v>31.924155171194798</v>
          </cell>
        </row>
        <row r="1745">
          <cell r="D1745">
            <v>24.953476577960828</v>
          </cell>
        </row>
        <row r="1746">
          <cell r="D1746">
            <v>28.314954294572999</v>
          </cell>
        </row>
        <row r="1747">
          <cell r="D1747">
            <v>19.866135182341168</v>
          </cell>
        </row>
        <row r="1748">
          <cell r="D1748">
            <v>22.521428239591842</v>
          </cell>
        </row>
        <row r="1749">
          <cell r="D1749">
            <v>33.772962071228903</v>
          </cell>
        </row>
        <row r="1750">
          <cell r="D1750">
            <v>30.711086448176502</v>
          </cell>
        </row>
        <row r="1751">
          <cell r="D1751">
            <v>4.0921676087273227</v>
          </cell>
        </row>
        <row r="1752">
          <cell r="D1752">
            <v>16.846787928697267</v>
          </cell>
        </row>
        <row r="1753">
          <cell r="D1753">
            <v>71.914280548575334</v>
          </cell>
        </row>
        <row r="1754">
          <cell r="D1754">
            <v>32.493771501780429</v>
          </cell>
        </row>
        <row r="1755">
          <cell r="D1755">
            <v>65.679324378928868</v>
          </cell>
        </row>
        <row r="1756">
          <cell r="D1756">
            <v>23.966875178965893</v>
          </cell>
        </row>
        <row r="1757">
          <cell r="D1757">
            <v>34.200266155065947</v>
          </cell>
        </row>
        <row r="1758">
          <cell r="D1758">
            <v>43.903062708435755</v>
          </cell>
        </row>
        <row r="1759">
          <cell r="D1759">
            <v>8.461352283396991</v>
          </cell>
        </row>
        <row r="1760">
          <cell r="D1760">
            <v>29.879704413932814</v>
          </cell>
        </row>
        <row r="1761">
          <cell r="D1761">
            <v>8.997173003584976</v>
          </cell>
        </row>
        <row r="1762">
          <cell r="D1762">
            <v>16.033773074017518</v>
          </cell>
        </row>
        <row r="1763">
          <cell r="D1763">
            <v>33.434271280069879</v>
          </cell>
        </row>
        <row r="1764">
          <cell r="D1764">
            <v>21.27984029594154</v>
          </cell>
        </row>
        <row r="1765">
          <cell r="D1765">
            <v>21.574984174098063</v>
          </cell>
        </row>
        <row r="1766">
          <cell r="D1766">
            <v>38.853891651437152</v>
          </cell>
        </row>
        <row r="1767">
          <cell r="D1767">
            <v>36.440344072119842</v>
          </cell>
        </row>
        <row r="1768">
          <cell r="D1768">
            <v>31.180367886035128</v>
          </cell>
        </row>
        <row r="1769">
          <cell r="D1769">
            <v>42.333603912133185</v>
          </cell>
        </row>
        <row r="1770">
          <cell r="D1770">
            <v>11.234896582167494</v>
          </cell>
        </row>
        <row r="1771">
          <cell r="D1771">
            <v>32.80200616973525</v>
          </cell>
        </row>
        <row r="1772">
          <cell r="D1772">
            <v>38.346122623674091</v>
          </cell>
        </row>
        <row r="1773">
          <cell r="D1773">
            <v>43.959566831748816</v>
          </cell>
        </row>
        <row r="1774">
          <cell r="D1774">
            <v>29.433198278733471</v>
          </cell>
        </row>
        <row r="1775">
          <cell r="D1775">
            <v>26.761675313722662</v>
          </cell>
        </row>
        <row r="1776">
          <cell r="D1776">
            <v>36.353600892270151</v>
          </cell>
        </row>
        <row r="1777">
          <cell r="D1777">
            <v>47.248694558315037</v>
          </cell>
        </row>
        <row r="1778">
          <cell r="D1778">
            <v>37.690831749140671</v>
          </cell>
        </row>
        <row r="1779">
          <cell r="D1779">
            <v>29.266858421628058</v>
          </cell>
        </row>
        <row r="1780">
          <cell r="D1780">
            <v>10.550268312639673</v>
          </cell>
        </row>
        <row r="1781">
          <cell r="D1781">
            <v>34.406529581568975</v>
          </cell>
        </row>
        <row r="1782">
          <cell r="D1782">
            <v>63.246574748249259</v>
          </cell>
        </row>
        <row r="1783">
          <cell r="D1783">
            <v>36.268393876529444</v>
          </cell>
        </row>
        <row r="1784">
          <cell r="D1784">
            <v>60.043338632298401</v>
          </cell>
        </row>
        <row r="1785">
          <cell r="D1785">
            <v>32.799685226135807</v>
          </cell>
        </row>
        <row r="1786">
          <cell r="D1786">
            <v>37.92618210909859</v>
          </cell>
        </row>
        <row r="1787">
          <cell r="D1787">
            <v>27.401971890757522</v>
          </cell>
        </row>
        <row r="1788">
          <cell r="D1788">
            <v>20.002085705986246</v>
          </cell>
        </row>
        <row r="1789">
          <cell r="D1789">
            <v>24.316970318890526</v>
          </cell>
        </row>
        <row r="1790">
          <cell r="D1790">
            <v>21.459855353104103</v>
          </cell>
        </row>
        <row r="1791">
          <cell r="D1791">
            <v>34.707050034106942</v>
          </cell>
        </row>
        <row r="1792">
          <cell r="D1792">
            <v>11.174051125502956</v>
          </cell>
        </row>
        <row r="1793">
          <cell r="D1793">
            <v>-14.333185822120868</v>
          </cell>
        </row>
        <row r="1794">
          <cell r="D1794">
            <v>35.354960641942853</v>
          </cell>
        </row>
        <row r="1795">
          <cell r="D1795">
            <v>37.339918434853644</v>
          </cell>
        </row>
        <row r="1796">
          <cell r="D1796">
            <v>41.585692360289613</v>
          </cell>
        </row>
        <row r="1797">
          <cell r="D1797">
            <v>18.632027690004179</v>
          </cell>
        </row>
        <row r="1798">
          <cell r="D1798">
            <v>11.836371620578575</v>
          </cell>
        </row>
        <row r="1799">
          <cell r="D1799">
            <v>29.385977929818182</v>
          </cell>
        </row>
        <row r="1800">
          <cell r="D1800">
            <v>52.818692038003064</v>
          </cell>
        </row>
        <row r="1801">
          <cell r="D1801">
            <v>17.376881428348497</v>
          </cell>
        </row>
        <row r="1802">
          <cell r="D1802">
            <v>-10.346105272124987</v>
          </cell>
        </row>
        <row r="1803">
          <cell r="D1803">
            <v>25.095655245221678</v>
          </cell>
        </row>
        <row r="1804">
          <cell r="D1804">
            <v>44.588559244633871</v>
          </cell>
        </row>
        <row r="1805">
          <cell r="D1805">
            <v>22.475577080425865</v>
          </cell>
        </row>
        <row r="1806">
          <cell r="D1806">
            <v>31.566262328673474</v>
          </cell>
        </row>
        <row r="1807">
          <cell r="D1807">
            <v>36.831331232728189</v>
          </cell>
        </row>
        <row r="1808">
          <cell r="D1808">
            <v>38.098432858536398</v>
          </cell>
        </row>
        <row r="1809">
          <cell r="D1809">
            <v>44.57476716252495</v>
          </cell>
        </row>
        <row r="1810">
          <cell r="D1810">
            <v>44.159134586428991</v>
          </cell>
        </row>
        <row r="1811">
          <cell r="D1811">
            <v>20.933234920134055</v>
          </cell>
        </row>
        <row r="1812">
          <cell r="D1812">
            <v>34.891690281032425</v>
          </cell>
        </row>
        <row r="1813">
          <cell r="D1813">
            <v>10.678170672148553</v>
          </cell>
        </row>
        <row r="1814">
          <cell r="D1814">
            <v>39.794725378445946</v>
          </cell>
        </row>
        <row r="1815">
          <cell r="D1815">
            <v>21.637482676923355</v>
          </cell>
        </row>
        <row r="1816">
          <cell r="D1816">
            <v>48.206058746931376</v>
          </cell>
        </row>
        <row r="1817">
          <cell r="D1817">
            <v>32.087072053926931</v>
          </cell>
        </row>
        <row r="1818">
          <cell r="D1818">
            <v>21.741758164538624</v>
          </cell>
        </row>
        <row r="1819">
          <cell r="D1819">
            <v>43.336952839403239</v>
          </cell>
        </row>
        <row r="1820">
          <cell r="D1820">
            <v>34.557107059121336</v>
          </cell>
        </row>
        <row r="1821">
          <cell r="D1821">
            <v>1.3233987766434439</v>
          </cell>
        </row>
        <row r="1822">
          <cell r="D1822">
            <v>66.182651888724649</v>
          </cell>
        </row>
        <row r="1823">
          <cell r="D1823">
            <v>31.517221959237759</v>
          </cell>
        </row>
        <row r="1824">
          <cell r="D1824">
            <v>30.401499287908337</v>
          </cell>
        </row>
        <row r="1825">
          <cell r="D1825">
            <v>40.080852641180172</v>
          </cell>
        </row>
        <row r="1826">
          <cell r="D1826">
            <v>27.680869163717944</v>
          </cell>
        </row>
        <row r="1827">
          <cell r="D1827">
            <v>15.500957892303632</v>
          </cell>
        </row>
        <row r="1828">
          <cell r="D1828">
            <v>18.56416931023341</v>
          </cell>
        </row>
        <row r="1829">
          <cell r="D1829">
            <v>20.641597503530647</v>
          </cell>
        </row>
        <row r="1830">
          <cell r="D1830">
            <v>27.509303009154792</v>
          </cell>
        </row>
        <row r="1831">
          <cell r="D1831">
            <v>30.217643820473313</v>
          </cell>
        </row>
        <row r="1832">
          <cell r="D1832">
            <v>25.58362111392762</v>
          </cell>
        </row>
        <row r="1833">
          <cell r="D1833">
            <v>22.399837510878569</v>
          </cell>
        </row>
        <row r="1834">
          <cell r="D1834">
            <v>53.402167240441486</v>
          </cell>
        </row>
        <row r="1835">
          <cell r="D1835">
            <v>25.300148743512182</v>
          </cell>
        </row>
        <row r="1836">
          <cell r="D1836">
            <v>15.690106446940263</v>
          </cell>
        </row>
        <row r="1837">
          <cell r="D1837">
            <v>34.578847120750652</v>
          </cell>
        </row>
        <row r="1838">
          <cell r="D1838">
            <v>37.897829862826256</v>
          </cell>
        </row>
        <row r="1839">
          <cell r="D1839">
            <v>43.046651217677208</v>
          </cell>
        </row>
        <row r="1840">
          <cell r="D1840">
            <v>35.995340706157549</v>
          </cell>
        </row>
        <row r="1841">
          <cell r="D1841">
            <v>32.006707294616717</v>
          </cell>
        </row>
        <row r="1842">
          <cell r="D1842">
            <v>16.818285405501229</v>
          </cell>
        </row>
        <row r="1843">
          <cell r="D1843">
            <v>43.460480470688708</v>
          </cell>
        </row>
        <row r="1844">
          <cell r="D1844">
            <v>31.945928627696048</v>
          </cell>
        </row>
        <row r="1845">
          <cell r="D1845">
            <v>28.156311955448473</v>
          </cell>
        </row>
        <row r="1846">
          <cell r="D1846">
            <v>38.719226830361549</v>
          </cell>
        </row>
        <row r="1847">
          <cell r="D1847">
            <v>31.208770224615364</v>
          </cell>
        </row>
        <row r="1848">
          <cell r="D1848">
            <v>18.679548592766878</v>
          </cell>
        </row>
        <row r="1849">
          <cell r="D1849">
            <v>24.383125560192639</v>
          </cell>
        </row>
        <row r="1850">
          <cell r="D1850">
            <v>20.716769360255057</v>
          </cell>
        </row>
        <row r="1851">
          <cell r="D1851">
            <v>30.602553114389593</v>
          </cell>
        </row>
        <row r="1852">
          <cell r="D1852">
            <v>29.292706052505309</v>
          </cell>
        </row>
        <row r="1853">
          <cell r="D1853">
            <v>42.60563853891108</v>
          </cell>
        </row>
        <row r="1854">
          <cell r="D1854">
            <v>29.232027570200444</v>
          </cell>
        </row>
        <row r="1855">
          <cell r="D1855">
            <v>21.76967627747581</v>
          </cell>
        </row>
        <row r="1856">
          <cell r="D1856">
            <v>33.155173637877851</v>
          </cell>
        </row>
        <row r="1857">
          <cell r="D1857">
            <v>17.83382346102735</v>
          </cell>
        </row>
        <row r="1858">
          <cell r="D1858">
            <v>24.371303775527849</v>
          </cell>
        </row>
        <row r="1859">
          <cell r="D1859">
            <v>45.513296643370268</v>
          </cell>
        </row>
        <row r="1860">
          <cell r="D1860">
            <v>20.310504045736707</v>
          </cell>
        </row>
        <row r="1861">
          <cell r="D1861">
            <v>35.378420539476792</v>
          </cell>
        </row>
        <row r="1862">
          <cell r="D1862">
            <v>22.556092116659784</v>
          </cell>
        </row>
        <row r="1863">
          <cell r="D1863">
            <v>21.779828318543878</v>
          </cell>
        </row>
        <row r="1864">
          <cell r="D1864">
            <v>30.486171985698093</v>
          </cell>
        </row>
        <row r="1865">
          <cell r="D1865">
            <v>32.915982867647472</v>
          </cell>
        </row>
        <row r="1866">
          <cell r="D1866">
            <v>44.592533234394068</v>
          </cell>
        </row>
        <row r="1867">
          <cell r="D1867">
            <v>15.11581483428381</v>
          </cell>
        </row>
        <row r="1868">
          <cell r="D1868">
            <v>21.546882389365237</v>
          </cell>
        </row>
        <row r="1869">
          <cell r="D1869">
            <v>20.87045256089732</v>
          </cell>
        </row>
        <row r="1870">
          <cell r="D1870">
            <v>40.337959760203375</v>
          </cell>
        </row>
        <row r="1871">
          <cell r="D1871">
            <v>36.377812174422615</v>
          </cell>
        </row>
        <row r="1872">
          <cell r="D1872">
            <v>15.73241774968119</v>
          </cell>
        </row>
        <row r="1873">
          <cell r="D1873">
            <v>25.391700784920431</v>
          </cell>
        </row>
        <row r="1874">
          <cell r="D1874">
            <v>2.6794977361569181</v>
          </cell>
        </row>
        <row r="1875">
          <cell r="D1875">
            <v>34.460662668974692</v>
          </cell>
        </row>
        <row r="1876">
          <cell r="D1876">
            <v>33.781243999468643</v>
          </cell>
        </row>
        <row r="1877">
          <cell r="D1877">
            <v>38.904618461905557</v>
          </cell>
        </row>
        <row r="1878">
          <cell r="D1878">
            <v>16.172528766905089</v>
          </cell>
        </row>
        <row r="1879">
          <cell r="D1879">
            <v>46.65583539686304</v>
          </cell>
        </row>
        <row r="1880">
          <cell r="D1880">
            <v>49.692130548013665</v>
          </cell>
        </row>
        <row r="1881">
          <cell r="D1881">
            <v>27.088510925344963</v>
          </cell>
        </row>
        <row r="1882">
          <cell r="D1882">
            <v>29.276977067824191</v>
          </cell>
        </row>
        <row r="1883">
          <cell r="D1883">
            <v>20.227384209491902</v>
          </cell>
        </row>
        <row r="1884">
          <cell r="D1884">
            <v>-1.8061014620761853</v>
          </cell>
        </row>
        <row r="1885">
          <cell r="D1885">
            <v>29.201671631612044</v>
          </cell>
        </row>
        <row r="1886">
          <cell r="D1886">
            <v>43.376792921621018</v>
          </cell>
        </row>
        <row r="1887">
          <cell r="D1887">
            <v>13.25665552395003</v>
          </cell>
        </row>
        <row r="1888">
          <cell r="D1888">
            <v>41.339304995157363</v>
          </cell>
        </row>
        <row r="1889">
          <cell r="D1889">
            <v>16.485505506674599</v>
          </cell>
        </row>
        <row r="1890">
          <cell r="D1890">
            <v>10.75618109298739</v>
          </cell>
        </row>
        <row r="1891">
          <cell r="D1891">
            <v>50.29430687873537</v>
          </cell>
        </row>
        <row r="1892">
          <cell r="D1892">
            <v>38.887687261834799</v>
          </cell>
        </row>
        <row r="1893">
          <cell r="D1893">
            <v>13.715935197664294</v>
          </cell>
        </row>
        <row r="1894">
          <cell r="D1894">
            <v>36.988487500051633</v>
          </cell>
        </row>
        <row r="1895">
          <cell r="D1895">
            <v>15.39436146108892</v>
          </cell>
        </row>
        <row r="1896">
          <cell r="D1896">
            <v>32.738138477160646</v>
          </cell>
        </row>
        <row r="1897">
          <cell r="D1897">
            <v>30.165781584359138</v>
          </cell>
        </row>
        <row r="1898">
          <cell r="D1898">
            <v>29.772790731434725</v>
          </cell>
        </row>
        <row r="1899">
          <cell r="D1899">
            <v>30.677157258291118</v>
          </cell>
        </row>
        <row r="1900">
          <cell r="D1900">
            <v>56.756615336511459</v>
          </cell>
        </row>
        <row r="1901">
          <cell r="D1901">
            <v>20.056218793391963</v>
          </cell>
        </row>
        <row r="1902">
          <cell r="D1902">
            <v>50.201535924501513</v>
          </cell>
        </row>
        <row r="1903">
          <cell r="D1903">
            <v>51.812838495337928</v>
          </cell>
        </row>
        <row r="1904">
          <cell r="D1904">
            <v>30.022684558120091</v>
          </cell>
        </row>
        <row r="1905">
          <cell r="D1905">
            <v>36.102504850195146</v>
          </cell>
        </row>
        <row r="1906">
          <cell r="D1906">
            <v>29.180332308445941</v>
          </cell>
        </row>
        <row r="1907">
          <cell r="D1907">
            <v>28.782582686270871</v>
          </cell>
        </row>
        <row r="1908">
          <cell r="D1908">
            <v>37.072008074759651</v>
          </cell>
        </row>
        <row r="1909">
          <cell r="D1909">
            <v>27.129302761412873</v>
          </cell>
        </row>
        <row r="1910">
          <cell r="D1910">
            <v>40.380371247560106</v>
          </cell>
        </row>
        <row r="1911">
          <cell r="D1911">
            <v>29.245502401025988</v>
          </cell>
        </row>
        <row r="1912">
          <cell r="D1912">
            <v>29.994532681079363</v>
          </cell>
        </row>
        <row r="1913">
          <cell r="D1913">
            <v>21.102546920841633</v>
          </cell>
        </row>
        <row r="1914">
          <cell r="D1914">
            <v>38.092989494411086</v>
          </cell>
        </row>
        <row r="1915">
          <cell r="D1915">
            <v>-7.5286467167607043</v>
          </cell>
        </row>
        <row r="1916">
          <cell r="D1916">
            <v>28.999432287177115</v>
          </cell>
        </row>
        <row r="1917">
          <cell r="D1917">
            <v>23.735098070304957</v>
          </cell>
        </row>
        <row r="1918">
          <cell r="D1918">
            <v>24.762892043831016</v>
          </cell>
        </row>
        <row r="1919">
          <cell r="D1919">
            <v>10.350700557959499</v>
          </cell>
        </row>
        <row r="1920">
          <cell r="D1920">
            <v>17.948985676893244</v>
          </cell>
        </row>
        <row r="1921">
          <cell r="D1921">
            <v>31.791327068075589</v>
          </cell>
        </row>
        <row r="1922">
          <cell r="D1922">
            <v>19.826562259098864</v>
          </cell>
        </row>
        <row r="1923">
          <cell r="D1923">
            <v>39.889149378840557</v>
          </cell>
        </row>
        <row r="1924">
          <cell r="D1924">
            <v>34.378878627607264</v>
          </cell>
        </row>
        <row r="1925">
          <cell r="D1925">
            <v>-1.7455899541309918</v>
          </cell>
        </row>
        <row r="1926">
          <cell r="D1926">
            <v>56.132131231337553</v>
          </cell>
        </row>
        <row r="1927">
          <cell r="D1927">
            <v>18.744167669960007</v>
          </cell>
        </row>
        <row r="1928">
          <cell r="D1928">
            <v>29.029771528329547</v>
          </cell>
        </row>
        <row r="1929">
          <cell r="D1929">
            <v>33.45190377245126</v>
          </cell>
        </row>
        <row r="1930">
          <cell r="D1930">
            <v>34.996550178906546</v>
          </cell>
        </row>
        <row r="1931">
          <cell r="D1931">
            <v>34.132123918883735</v>
          </cell>
        </row>
        <row r="1932">
          <cell r="D1932">
            <v>8.071834497153759</v>
          </cell>
        </row>
        <row r="1933">
          <cell r="D1933">
            <v>13.132359810610069</v>
          </cell>
        </row>
        <row r="1934">
          <cell r="D1934">
            <v>39.865489112075011</v>
          </cell>
        </row>
        <row r="1935">
          <cell r="D1935">
            <v>-7.8599238463502843</v>
          </cell>
        </row>
        <row r="1936">
          <cell r="D1936">
            <v>35.388305421569385</v>
          </cell>
        </row>
        <row r="1937">
          <cell r="D1937">
            <v>42.721685718883236</v>
          </cell>
        </row>
        <row r="1938">
          <cell r="D1938">
            <v>35.505821975906656</v>
          </cell>
        </row>
        <row r="1939">
          <cell r="D1939">
            <v>27.034110678963771</v>
          </cell>
        </row>
        <row r="1940">
          <cell r="D1940">
            <v>46.816564915483468</v>
          </cell>
        </row>
        <row r="1941">
          <cell r="D1941">
            <v>33.918897661582378</v>
          </cell>
        </row>
        <row r="1942">
          <cell r="D1942">
            <v>32.601353081717207</v>
          </cell>
        </row>
        <row r="1943">
          <cell r="D1943">
            <v>26.297853937425316</v>
          </cell>
        </row>
        <row r="1944">
          <cell r="D1944">
            <v>21.337813793619716</v>
          </cell>
        </row>
        <row r="1945">
          <cell r="D1945">
            <v>27.031839827672229</v>
          </cell>
        </row>
        <row r="1946">
          <cell r="D1946">
            <v>33.65467743483714</v>
          </cell>
        </row>
        <row r="1947">
          <cell r="D1947">
            <v>66.266539807023946</v>
          </cell>
        </row>
        <row r="1948">
          <cell r="D1948">
            <v>26.51128056395828</v>
          </cell>
        </row>
        <row r="1949">
          <cell r="D1949">
            <v>16.65107728172552</v>
          </cell>
        </row>
        <row r="1950">
          <cell r="D1950">
            <v>55.834516132657882</v>
          </cell>
        </row>
        <row r="1951">
          <cell r="D1951">
            <v>-2.7261969736136962</v>
          </cell>
        </row>
        <row r="1952">
          <cell r="D1952">
            <v>35.456297380827891</v>
          </cell>
        </row>
        <row r="1953">
          <cell r="D1953">
            <v>19.991232372607556</v>
          </cell>
        </row>
        <row r="1954">
          <cell r="D1954">
            <v>24.09773298464097</v>
          </cell>
        </row>
        <row r="1955">
          <cell r="D1955">
            <v>10.587269830743026</v>
          </cell>
        </row>
        <row r="1956">
          <cell r="D1956">
            <v>10.160416577677097</v>
          </cell>
        </row>
        <row r="1957">
          <cell r="D1957">
            <v>9.917435489482159</v>
          </cell>
        </row>
        <row r="1958">
          <cell r="D1958">
            <v>47.699725698661496</v>
          </cell>
        </row>
        <row r="1959">
          <cell r="D1959">
            <v>25.333777379550156</v>
          </cell>
        </row>
        <row r="1960">
          <cell r="D1960">
            <v>41.895062453890205</v>
          </cell>
        </row>
        <row r="1961">
          <cell r="D1961">
            <v>25.721992765787945</v>
          </cell>
        </row>
        <row r="1962">
          <cell r="D1962">
            <v>46.676707191822061</v>
          </cell>
        </row>
        <row r="1963">
          <cell r="D1963">
            <v>43.813096923444391</v>
          </cell>
        </row>
        <row r="1964">
          <cell r="D1964">
            <v>35.965151741928821</v>
          </cell>
        </row>
        <row r="1965">
          <cell r="D1965">
            <v>57.903662397715379</v>
          </cell>
        </row>
        <row r="1966">
          <cell r="D1966">
            <v>22.379950864641614</v>
          </cell>
        </row>
        <row r="1967">
          <cell r="D1967">
            <v>10.597154712835618</v>
          </cell>
        </row>
        <row r="1968">
          <cell r="D1968">
            <v>17.265910268910375</v>
          </cell>
        </row>
        <row r="1969">
          <cell r="D1969">
            <v>18.98651425558819</v>
          </cell>
        </row>
        <row r="1970">
          <cell r="D1970">
            <v>29.15562010321446</v>
          </cell>
        </row>
        <row r="1971">
          <cell r="D1971">
            <v>43.969017580506261</v>
          </cell>
        </row>
        <row r="1972">
          <cell r="D1972">
            <v>24.697271120479854</v>
          </cell>
        </row>
        <row r="1973">
          <cell r="D1973">
            <v>46.447050657528962</v>
          </cell>
        </row>
        <row r="1974">
          <cell r="D1974">
            <v>12.314319027704187</v>
          </cell>
        </row>
        <row r="1975">
          <cell r="D1975">
            <v>26.438296071345576</v>
          </cell>
        </row>
        <row r="1976">
          <cell r="D1976">
            <v>13.075855687297008</v>
          </cell>
        </row>
        <row r="1977">
          <cell r="D1977">
            <v>27.596246558236089</v>
          </cell>
        </row>
        <row r="1978">
          <cell r="D1978">
            <v>39.131469826956163</v>
          </cell>
        </row>
        <row r="1979">
          <cell r="D1979">
            <v>40.209723451975151</v>
          </cell>
        </row>
        <row r="1980">
          <cell r="D1980">
            <v>27.19951547965502</v>
          </cell>
        </row>
        <row r="1981">
          <cell r="D1981">
            <v>24.167778728523444</v>
          </cell>
        </row>
        <row r="1982">
          <cell r="D1982">
            <v>40.853526490563127</v>
          </cell>
        </row>
        <row r="1983">
          <cell r="D1983">
            <v>28.504987813315893</v>
          </cell>
        </row>
        <row r="1984">
          <cell r="D1984">
            <v>31.489871559123458</v>
          </cell>
        </row>
        <row r="1985">
          <cell r="D1985">
            <v>17.808309778869443</v>
          </cell>
        </row>
        <row r="1986">
          <cell r="D1986">
            <v>43.52813848122787</v>
          </cell>
        </row>
        <row r="1987">
          <cell r="D1987">
            <v>48.940545560257306</v>
          </cell>
        </row>
        <row r="1988">
          <cell r="D1988">
            <v>26.010491064429516</v>
          </cell>
        </row>
        <row r="1989">
          <cell r="D1989">
            <v>38.364022275030948</v>
          </cell>
        </row>
        <row r="1990">
          <cell r="D1990">
            <v>36.325599292153129</v>
          </cell>
        </row>
        <row r="1991">
          <cell r="D1991">
            <v>22.495413634354918</v>
          </cell>
        </row>
        <row r="1992">
          <cell r="D1992">
            <v>39.043273970177324</v>
          </cell>
        </row>
        <row r="1993">
          <cell r="D1993">
            <v>28.442021782283518</v>
          </cell>
        </row>
        <row r="1994">
          <cell r="D1994">
            <v>37.831774806139947</v>
          </cell>
        </row>
        <row r="1995">
          <cell r="D1995">
            <v>43.901159200735492</v>
          </cell>
        </row>
        <row r="1996">
          <cell r="D1996">
            <v>76.712455748114735</v>
          </cell>
        </row>
        <row r="1997">
          <cell r="D1997">
            <v>24.830783818473719</v>
          </cell>
        </row>
        <row r="1998">
          <cell r="D1998">
            <v>-4.5535643658658955</v>
          </cell>
        </row>
        <row r="1999">
          <cell r="D1999">
            <v>18.261144242300361</v>
          </cell>
        </row>
        <row r="2000">
          <cell r="D2000">
            <v>26.168615783039058</v>
          </cell>
        </row>
        <row r="2001">
          <cell r="D2001">
            <v>25.745035227422704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I4" t="str">
            <v>260/280</v>
          </cell>
        </row>
        <row r="5">
          <cell r="I5">
            <v>1.1891891891891893</v>
          </cell>
        </row>
        <row r="6">
          <cell r="I6">
            <v>1.1666666666666667</v>
          </cell>
        </row>
        <row r="7">
          <cell r="I7">
            <v>1.25</v>
          </cell>
        </row>
        <row r="8">
          <cell r="I8">
            <v>1.4</v>
          </cell>
        </row>
        <row r="9">
          <cell r="I9">
            <v>0.5</v>
          </cell>
        </row>
        <row r="10">
          <cell r="I10">
            <v>1.2</v>
          </cell>
        </row>
        <row r="11">
          <cell r="I11">
            <v>1.25</v>
          </cell>
        </row>
        <row r="12">
          <cell r="I12">
            <v>1.3333333333333333</v>
          </cell>
        </row>
        <row r="13">
          <cell r="I13">
            <v>1.4666666666666666</v>
          </cell>
        </row>
        <row r="14">
          <cell r="I14">
            <v>2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1</v>
          </cell>
        </row>
        <row r="18">
          <cell r="I18">
            <v>1.3333333333333333</v>
          </cell>
        </row>
        <row r="19">
          <cell r="I19">
            <v>1.3333333333333333</v>
          </cell>
        </row>
        <row r="20">
          <cell r="I20">
            <v>2</v>
          </cell>
        </row>
        <row r="21">
          <cell r="I21">
            <v>1.2307692307692308</v>
          </cell>
        </row>
        <row r="22">
          <cell r="I22">
            <v>0</v>
          </cell>
        </row>
        <row r="23">
          <cell r="I23">
            <v>1.75</v>
          </cell>
        </row>
        <row r="24">
          <cell r="I24">
            <v>1.5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1.4</v>
          </cell>
        </row>
        <row r="28">
          <cell r="I28">
            <v>2</v>
          </cell>
        </row>
        <row r="29">
          <cell r="I29">
            <v>1.25</v>
          </cell>
        </row>
        <row r="30">
          <cell r="I30">
            <v>0.65919541994412656</v>
          </cell>
        </row>
        <row r="31">
          <cell r="I31">
            <v>1.0959704897204896</v>
          </cell>
        </row>
      </sheetData>
      <sheetData sheetId="9" refreshError="1">
        <row r="7">
          <cell r="I7" t="str">
            <v>260/280</v>
          </cell>
        </row>
        <row r="8">
          <cell r="I8">
            <v>1.0465116279069768</v>
          </cell>
        </row>
        <row r="9">
          <cell r="I9">
            <v>1.1071428571428572</v>
          </cell>
        </row>
        <row r="10">
          <cell r="I10">
            <v>1.2307692307692308</v>
          </cell>
        </row>
        <row r="11">
          <cell r="I11">
            <v>1.0999999999999999</v>
          </cell>
        </row>
        <row r="12">
          <cell r="I12">
            <v>0.875</v>
          </cell>
        </row>
        <row r="13">
          <cell r="I13">
            <v>0.87096774193548387</v>
          </cell>
        </row>
        <row r="14">
          <cell r="I14">
            <v>0.8928571428571429</v>
          </cell>
        </row>
        <row r="15">
          <cell r="I15">
            <v>0.95238095238095233</v>
          </cell>
        </row>
        <row r="16">
          <cell r="I16">
            <v>0.64285714285714279</v>
          </cell>
        </row>
        <row r="17">
          <cell r="I17">
            <v>0.25</v>
          </cell>
        </row>
        <row r="18">
          <cell r="I18">
            <v>0.66666666666666674</v>
          </cell>
        </row>
        <row r="19">
          <cell r="I19">
            <v>2.75</v>
          </cell>
        </row>
        <row r="20">
          <cell r="I20">
            <v>0.88888888888888895</v>
          </cell>
        </row>
        <row r="21">
          <cell r="I21">
            <v>0.7142857142857143</v>
          </cell>
        </row>
        <row r="22">
          <cell r="I22">
            <v>0.4</v>
          </cell>
        </row>
        <row r="23">
          <cell r="I23">
            <v>2.6666666666666665</v>
          </cell>
        </row>
        <row r="24">
          <cell r="I24">
            <v>1.25</v>
          </cell>
        </row>
        <row r="25">
          <cell r="I25">
            <v>0.90322580645161288</v>
          </cell>
        </row>
        <row r="26">
          <cell r="I26">
            <v>0.92857142857142849</v>
          </cell>
        </row>
        <row r="27">
          <cell r="I27">
            <v>5.2631578947368425E-2</v>
          </cell>
        </row>
        <row r="28">
          <cell r="I28">
            <v>0.14285714285714285</v>
          </cell>
        </row>
        <row r="29">
          <cell r="I29">
            <v>0.52380952380952372</v>
          </cell>
        </row>
        <row r="30">
          <cell r="I30">
            <v>0.7142857142857143</v>
          </cell>
        </row>
        <row r="31">
          <cell r="I31">
            <v>1.1428571428571428</v>
          </cell>
        </row>
        <row r="32">
          <cell r="I32">
            <v>0.89087301587301593</v>
          </cell>
        </row>
        <row r="33">
          <cell r="I33">
            <v>0.63201929574976745</v>
          </cell>
        </row>
        <row r="34">
          <cell r="I34">
            <v>0.94638470708906908</v>
          </cell>
        </row>
      </sheetData>
      <sheetData sheetId="10" refreshError="1">
        <row r="5">
          <cell r="I5" t="str">
            <v>260/280</v>
          </cell>
        </row>
        <row r="10">
          <cell r="I10">
            <v>1.2</v>
          </cell>
        </row>
        <row r="11">
          <cell r="I11">
            <v>1.4285714285714286</v>
          </cell>
        </row>
        <row r="12">
          <cell r="I12">
            <v>1.5</v>
          </cell>
        </row>
        <row r="13">
          <cell r="I13">
            <v>1.3846153846153846</v>
          </cell>
        </row>
        <row r="14">
          <cell r="I14">
            <v>1.5</v>
          </cell>
        </row>
        <row r="15">
          <cell r="I15">
            <v>1.4</v>
          </cell>
        </row>
        <row r="16">
          <cell r="I16">
            <v>1.4444444444444444</v>
          </cell>
        </row>
        <row r="17">
          <cell r="I17">
            <v>1.4999999999999998</v>
          </cell>
        </row>
        <row r="18">
          <cell r="I18">
            <v>1.4</v>
          </cell>
        </row>
        <row r="20">
          <cell r="I20">
            <v>1.5555555555555558</v>
          </cell>
          <cell r="Q20">
            <v>0</v>
          </cell>
        </row>
        <row r="21">
          <cell r="Q21">
            <v>1.3809523809523809</v>
          </cell>
        </row>
        <row r="22">
          <cell r="I22">
            <v>1.4705882352941175</v>
          </cell>
          <cell r="Q22">
            <v>1.153846153846154</v>
          </cell>
        </row>
        <row r="23">
          <cell r="I23">
            <v>1.5</v>
          </cell>
          <cell r="Q23">
            <v>1.5454545454545456</v>
          </cell>
        </row>
        <row r="24">
          <cell r="I24">
            <v>1.4444444444444444</v>
          </cell>
          <cell r="Q24">
            <v>1.3636363636363638</v>
          </cell>
        </row>
        <row r="25">
          <cell r="I25">
            <v>1.4615384615384617</v>
          </cell>
          <cell r="Q25">
            <v>1.4897959183673468</v>
          </cell>
        </row>
        <row r="26">
          <cell r="I26">
            <v>1.4</v>
          </cell>
          <cell r="Q26">
            <v>1.1666666666666667</v>
          </cell>
        </row>
        <row r="27">
          <cell r="I27">
            <v>2</v>
          </cell>
          <cell r="Q27">
            <v>1</v>
          </cell>
        </row>
        <row r="30">
          <cell r="I30">
            <v>1.4444444444444444</v>
          </cell>
        </row>
        <row r="31">
          <cell r="I31">
            <v>0.18750377488090414</v>
          </cell>
        </row>
        <row r="32">
          <cell r="I32">
            <v>1.4213091297124907</v>
          </cell>
        </row>
      </sheetData>
      <sheetData sheetId="11" refreshError="1">
        <row r="11">
          <cell r="J11" t="str">
            <v>260/280</v>
          </cell>
        </row>
        <row r="13">
          <cell r="J13">
            <v>1.25</v>
          </cell>
        </row>
        <row r="14">
          <cell r="J14">
            <v>1.2222222222222223</v>
          </cell>
        </row>
        <row r="15">
          <cell r="J15">
            <v>1.4375</v>
          </cell>
        </row>
        <row r="16">
          <cell r="J16">
            <v>1.4444444444444444</v>
          </cell>
        </row>
        <row r="17">
          <cell r="J17">
            <v>0</v>
          </cell>
        </row>
        <row r="18">
          <cell r="J18">
            <v>1.3333333333333335</v>
          </cell>
        </row>
        <row r="19">
          <cell r="J19">
            <v>1</v>
          </cell>
        </row>
        <row r="20">
          <cell r="J20">
            <v>1.4166666666666667</v>
          </cell>
        </row>
        <row r="21">
          <cell r="J21">
            <v>0.75</v>
          </cell>
        </row>
        <row r="22">
          <cell r="J22">
            <v>1.3333333333333333</v>
          </cell>
        </row>
        <row r="23">
          <cell r="J23">
            <v>1.0909090909090911</v>
          </cell>
        </row>
        <row r="24">
          <cell r="J24">
            <v>1.4117647058823528</v>
          </cell>
        </row>
        <row r="25">
          <cell r="J25">
            <v>1.4</v>
          </cell>
        </row>
        <row r="26">
          <cell r="J26">
            <v>1.1818181818181819</v>
          </cell>
        </row>
        <row r="27">
          <cell r="J27">
            <v>1.4999999999999998</v>
          </cell>
        </row>
        <row r="28">
          <cell r="J28">
            <v>1.3333333333333333</v>
          </cell>
        </row>
        <row r="29">
          <cell r="J29">
            <v>1.2727272727272729</v>
          </cell>
        </row>
        <row r="30">
          <cell r="J30">
            <v>1.173913043478261</v>
          </cell>
        </row>
        <row r="31">
          <cell r="J31">
            <v>1.2222222222222223</v>
          </cell>
        </row>
        <row r="32">
          <cell r="J32">
            <v>0.8666666666666667</v>
          </cell>
        </row>
        <row r="33">
          <cell r="J33">
            <v>0.36363636363636365</v>
          </cell>
        </row>
        <row r="34">
          <cell r="J34">
            <v>0.83333333333333337</v>
          </cell>
        </row>
        <row r="35">
          <cell r="J35">
            <v>1.2142857142857144</v>
          </cell>
        </row>
        <row r="36">
          <cell r="J36">
            <v>1</v>
          </cell>
        </row>
        <row r="37">
          <cell r="J37">
            <v>1.2</v>
          </cell>
        </row>
        <row r="38">
          <cell r="J38">
            <v>1</v>
          </cell>
        </row>
        <row r="39">
          <cell r="J39">
            <v>1.2</v>
          </cell>
        </row>
        <row r="40">
          <cell r="J40">
            <v>1.25</v>
          </cell>
        </row>
        <row r="41">
          <cell r="J41">
            <v>0.42857142857142855</v>
          </cell>
        </row>
        <row r="42">
          <cell r="J42">
            <v>1</v>
          </cell>
        </row>
        <row r="43">
          <cell r="J43">
            <v>1.1666666666666667</v>
          </cell>
        </row>
        <row r="44">
          <cell r="J44">
            <v>1.3333333333333335</v>
          </cell>
        </row>
        <row r="45">
          <cell r="J45">
            <v>0.89999999999999991</v>
          </cell>
        </row>
        <row r="46">
          <cell r="J46">
            <v>1.0999999999999999</v>
          </cell>
        </row>
        <row r="47">
          <cell r="J47">
            <v>0.8571428571428571</v>
          </cell>
        </row>
        <row r="48">
          <cell r="J48">
            <v>0.81818181818181812</v>
          </cell>
        </row>
        <row r="49">
          <cell r="J49">
            <v>0.83333333333333337</v>
          </cell>
        </row>
        <row r="50">
          <cell r="J50">
            <v>1.0999999999999999</v>
          </cell>
        </row>
        <row r="51">
          <cell r="J51">
            <v>0.4</v>
          </cell>
        </row>
        <row r="52">
          <cell r="J52">
            <v>-0.25</v>
          </cell>
        </row>
        <row r="53">
          <cell r="J53">
            <v>0.625</v>
          </cell>
        </row>
        <row r="54">
          <cell r="J54">
            <v>1.2727272727272729</v>
          </cell>
        </row>
        <row r="55">
          <cell r="J55">
            <v>1.1428571428571428</v>
          </cell>
        </row>
        <row r="56">
          <cell r="J56">
            <v>0.88888888888888895</v>
          </cell>
        </row>
        <row r="57">
          <cell r="J57">
            <v>3</v>
          </cell>
        </row>
        <row r="58">
          <cell r="J58">
            <v>1</v>
          </cell>
        </row>
        <row r="59">
          <cell r="J59">
            <v>1</v>
          </cell>
        </row>
        <row r="60">
          <cell r="J60">
            <v>0.75</v>
          </cell>
        </row>
        <row r="61">
          <cell r="J61">
            <v>1.1875</v>
          </cell>
        </row>
        <row r="62">
          <cell r="J62">
            <v>1</v>
          </cell>
        </row>
        <row r="63">
          <cell r="J63">
            <v>1.25</v>
          </cell>
        </row>
        <row r="64">
          <cell r="J64">
            <v>1.2857142857142856</v>
          </cell>
        </row>
        <row r="65">
          <cell r="J65">
            <v>1.1176470588235292</v>
          </cell>
        </row>
        <row r="66">
          <cell r="J66">
            <v>1.2307692307692308</v>
          </cell>
        </row>
        <row r="67">
          <cell r="J67">
            <v>1.2999999999999998</v>
          </cell>
        </row>
        <row r="68">
          <cell r="J68">
            <v>1</v>
          </cell>
        </row>
        <row r="69">
          <cell r="J69">
            <v>1.25</v>
          </cell>
        </row>
        <row r="70">
          <cell r="J70">
            <v>0.875</v>
          </cell>
        </row>
        <row r="71">
          <cell r="J71">
            <v>1</v>
          </cell>
        </row>
        <row r="72">
          <cell r="J72">
            <v>1.1499999999999999</v>
          </cell>
        </row>
        <row r="73">
          <cell r="J73">
            <v>1.2857142857142856</v>
          </cell>
        </row>
        <row r="74">
          <cell r="J74">
            <v>1.4000000000000001</v>
          </cell>
        </row>
        <row r="75">
          <cell r="J75">
            <v>0.5714285714285714</v>
          </cell>
        </row>
        <row r="76">
          <cell r="J76">
            <v>1.1583333333333332</v>
          </cell>
        </row>
        <row r="77">
          <cell r="J77">
            <v>0.39630391174297702</v>
          </cell>
        </row>
        <row r="78">
          <cell r="J78">
            <v>1.0963320339104103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zoomScale="80" zoomScaleNormal="80" workbookViewId="0">
      <selection activeCell="G9" sqref="G9"/>
    </sheetView>
  </sheetViews>
  <sheetFormatPr defaultRowHeight="15" x14ac:dyDescent="0.25"/>
  <cols>
    <col min="1" max="1" width="13.42578125" style="60" customWidth="1"/>
    <col min="8" max="8" width="11.5703125" bestFit="1" customWidth="1"/>
    <col min="11" max="11" width="26" bestFit="1" customWidth="1"/>
    <col min="12" max="12" width="13.7109375" bestFit="1" customWidth="1"/>
    <col min="15" max="15" width="28.140625" customWidth="1"/>
    <col min="19" max="19" width="26.5703125" customWidth="1"/>
  </cols>
  <sheetData>
    <row r="1" spans="1:19" ht="15.75" thickBot="1" x14ac:dyDescent="0.3">
      <c r="L1" s="67" t="s">
        <v>19</v>
      </c>
      <c r="M1" s="67" t="s">
        <v>20</v>
      </c>
      <c r="N1" s="67" t="s">
        <v>21</v>
      </c>
      <c r="O1" s="67" t="s">
        <v>22</v>
      </c>
      <c r="P1" s="221" t="s">
        <v>23</v>
      </c>
      <c r="Q1" s="222"/>
    </row>
    <row r="2" spans="1:19" ht="15.75" thickBot="1" x14ac:dyDescent="0.3">
      <c r="B2" s="14" t="s">
        <v>24</v>
      </c>
      <c r="J2" s="221" t="s">
        <v>64</v>
      </c>
      <c r="K2" s="222"/>
      <c r="L2" s="8">
        <f>STDEV(C9:C32)/AVERAGE(F9:F32)</f>
        <v>1.3183908398882531E-2</v>
      </c>
      <c r="M2" s="1">
        <f>STDEV(E9:E32)/AVERAGE(G9:G32)</f>
        <v>0.46400771076337294</v>
      </c>
      <c r="N2" s="1">
        <f>STDEV(G9:G32)/AVERAGE(H9:H32)</f>
        <v>6.8644219915971168E-3</v>
      </c>
      <c r="O2" s="1">
        <f>STDEV(I9:I32)/AVERAGE(I9:I32)</f>
        <v>0.3179142995787918</v>
      </c>
      <c r="P2" s="219">
        <f>STDEV(I33:I71)/AVERAGE(I33:I71)</f>
        <v>0.42956751451126252</v>
      </c>
      <c r="Q2" s="220"/>
    </row>
    <row r="3" spans="1:19" ht="15.75" thickBot="1" x14ac:dyDescent="0.3">
      <c r="J3" s="221" t="s">
        <v>25</v>
      </c>
      <c r="K3" s="222"/>
      <c r="L3" s="10">
        <f>STDEV(C9:C32)/AVERAGE(F10:F33)*100</f>
        <v>1.3183908398882531</v>
      </c>
      <c r="M3" s="3">
        <f>STDEV(E9:E32)/AVERAGE(G10:G33)*100</f>
        <v>44.467405614823242</v>
      </c>
      <c r="N3" s="3">
        <f>STDEV(G9:G32)/AVERAGE(H10:H33)*100</f>
        <v>0.68644219915971172</v>
      </c>
      <c r="O3" s="3">
        <f>STDEV(I10:I33)/AVERAGE(I10:I33)*100</f>
        <v>31.796942034399102</v>
      </c>
      <c r="P3" s="217">
        <f>STDEV(I33:I71)/AVERAGE(I33:I71)*100</f>
        <v>42.956751451126252</v>
      </c>
      <c r="Q3" s="218"/>
    </row>
    <row r="6" spans="1:19" ht="15.75" thickBot="1" x14ac:dyDescent="0.3"/>
    <row r="7" spans="1:19" ht="19.5" thickBot="1" x14ac:dyDescent="0.35">
      <c r="A7" s="23" t="s">
        <v>62</v>
      </c>
      <c r="B7" s="228" t="s">
        <v>26</v>
      </c>
      <c r="C7" s="229"/>
      <c r="D7" s="228" t="s">
        <v>27</v>
      </c>
      <c r="E7" s="229"/>
      <c r="F7" s="228" t="s">
        <v>28</v>
      </c>
      <c r="G7" s="229"/>
      <c r="H7" s="228" t="s">
        <v>29</v>
      </c>
      <c r="I7" s="229"/>
    </row>
    <row r="8" spans="1:19" ht="15.75" thickBot="1" x14ac:dyDescent="0.3">
      <c r="A8" s="29" t="s">
        <v>63</v>
      </c>
      <c r="B8" s="16" t="s">
        <v>30</v>
      </c>
      <c r="C8" s="16" t="str">
        <f>'[1]TEST 1 (T1)'!I4</f>
        <v>260/280</v>
      </c>
      <c r="D8" s="17" t="s">
        <v>30</v>
      </c>
      <c r="E8" s="16" t="str">
        <f>'[1]TEST 2 (T2)'!I7</f>
        <v>260/280</v>
      </c>
      <c r="F8" s="18" t="s">
        <v>30</v>
      </c>
      <c r="G8" s="16" t="str">
        <f>'[1]TEST 3 (T3)'!I5</f>
        <v>260/280</v>
      </c>
      <c r="H8" s="16" t="s">
        <v>30</v>
      </c>
      <c r="I8" s="16" t="str">
        <f>'[1]TEST 4 (FINAL)'!J11</f>
        <v>260/280</v>
      </c>
      <c r="K8" s="223" t="s">
        <v>31</v>
      </c>
      <c r="L8" s="230" t="s">
        <v>32</v>
      </c>
      <c r="M8" s="223" t="s">
        <v>33</v>
      </c>
    </row>
    <row r="9" spans="1:19" ht="15.75" thickBot="1" x14ac:dyDescent="0.3">
      <c r="A9" s="23">
        <v>1</v>
      </c>
      <c r="B9" s="61">
        <v>50</v>
      </c>
      <c r="C9" s="21">
        <f>'[1]TEST 1 (T1)'!I5</f>
        <v>1.1891891891891893</v>
      </c>
      <c r="D9" s="20">
        <v>150</v>
      </c>
      <c r="E9" s="22">
        <f>'[1]TEST 2 (T2)'!I8</f>
        <v>1.0465116279069768</v>
      </c>
      <c r="F9" s="23">
        <v>50</v>
      </c>
      <c r="G9" s="24">
        <f>'[1]TEST 3 (T3)'!Q20</f>
        <v>0</v>
      </c>
      <c r="H9" s="23">
        <v>50</v>
      </c>
      <c r="I9" s="21">
        <f>'[1]TEST 4 (FINAL)'!J13</f>
        <v>1.25</v>
      </c>
      <c r="K9" s="224"/>
      <c r="L9" s="231"/>
      <c r="M9" s="224"/>
    </row>
    <row r="10" spans="1:19" x14ac:dyDescent="0.25">
      <c r="A10" s="29">
        <v>2</v>
      </c>
      <c r="B10" s="62">
        <v>50</v>
      </c>
      <c r="C10" s="27">
        <f>'[1]TEST 1 (T1)'!I6</f>
        <v>1.1666666666666667</v>
      </c>
      <c r="D10" s="26">
        <v>150</v>
      </c>
      <c r="E10" s="28">
        <f>'[1]TEST 2 (T2)'!I9</f>
        <v>1.1071428571428572</v>
      </c>
      <c r="F10" s="29">
        <v>50</v>
      </c>
      <c r="G10" s="30">
        <f>'[1]TEST 3 (T3)'!Q21</f>
        <v>1.3809523809523809</v>
      </c>
      <c r="H10" s="29">
        <v>50</v>
      </c>
      <c r="I10" s="27">
        <f>'[1]TEST 4 (FINAL)'!J14</f>
        <v>1.2222222222222223</v>
      </c>
      <c r="K10" s="1" t="s">
        <v>34</v>
      </c>
      <c r="L10" s="31">
        <v>41018</v>
      </c>
      <c r="M10" s="1"/>
    </row>
    <row r="11" spans="1:19" x14ac:dyDescent="0.25">
      <c r="A11" s="29">
        <v>3</v>
      </c>
      <c r="B11" s="62">
        <v>50</v>
      </c>
      <c r="C11" s="27">
        <f>'[1]TEST 1 (T1)'!I7</f>
        <v>1.25</v>
      </c>
      <c r="D11" s="26">
        <v>150</v>
      </c>
      <c r="E11" s="28">
        <f>'[1]TEST 2 (T2)'!I10</f>
        <v>1.2307692307692308</v>
      </c>
      <c r="F11" s="29">
        <v>50</v>
      </c>
      <c r="G11" s="30">
        <f>'[1]TEST 3 (T3)'!Q22</f>
        <v>1.153846153846154</v>
      </c>
      <c r="H11" s="29">
        <v>50</v>
      </c>
      <c r="I11" s="27">
        <f>'[1]TEST 4 (FINAL)'!J15</f>
        <v>1.4375</v>
      </c>
      <c r="K11" s="2" t="s">
        <v>35</v>
      </c>
      <c r="L11" s="32">
        <v>41018</v>
      </c>
      <c r="M11" s="2"/>
    </row>
    <row r="12" spans="1:19" x14ac:dyDescent="0.25">
      <c r="A12" s="29">
        <v>4</v>
      </c>
      <c r="B12" s="62">
        <v>50</v>
      </c>
      <c r="C12" s="27">
        <f>'[1]TEST 1 (T1)'!I8</f>
        <v>1.4</v>
      </c>
      <c r="D12" s="26">
        <v>150</v>
      </c>
      <c r="E12" s="28">
        <f>'[1]TEST 2 (T2)'!I11</f>
        <v>1.0999999999999999</v>
      </c>
      <c r="F12" s="29">
        <v>50</v>
      </c>
      <c r="G12" s="30">
        <f>'[1]TEST 3 (T3)'!Q23</f>
        <v>1.5454545454545456</v>
      </c>
      <c r="H12" s="29">
        <v>50</v>
      </c>
      <c r="I12" s="27">
        <f>'[1]TEST 4 (FINAL)'!J16</f>
        <v>1.4444444444444444</v>
      </c>
      <c r="K12" s="2" t="s">
        <v>36</v>
      </c>
      <c r="L12" s="32">
        <v>41023</v>
      </c>
      <c r="M12" s="2"/>
    </row>
    <row r="13" spans="1:19" ht="15.75" thickBot="1" x14ac:dyDescent="0.3">
      <c r="A13" s="29">
        <v>5</v>
      </c>
      <c r="B13" s="62">
        <v>50</v>
      </c>
      <c r="C13" s="27">
        <f>'[1]TEST 1 (T1)'!I9</f>
        <v>0.5</v>
      </c>
      <c r="D13" s="26">
        <v>150</v>
      </c>
      <c r="E13" s="28">
        <f>'[1]TEST 2 (T2)'!I12</f>
        <v>0.875</v>
      </c>
      <c r="F13" s="29">
        <v>50</v>
      </c>
      <c r="G13" s="30">
        <f>'[1]TEST 3 (T3)'!I10</f>
        <v>1.2</v>
      </c>
      <c r="H13" s="29">
        <v>50</v>
      </c>
      <c r="I13" s="27">
        <f>'[1]TEST 4 (FINAL)'!J17</f>
        <v>0</v>
      </c>
      <c r="K13" s="3" t="s">
        <v>37</v>
      </c>
      <c r="L13" s="33">
        <v>41150</v>
      </c>
      <c r="M13" s="34">
        <v>0.5</v>
      </c>
    </row>
    <row r="14" spans="1:19" x14ac:dyDescent="0.25">
      <c r="A14" s="29">
        <v>6</v>
      </c>
      <c r="B14" s="62">
        <v>50</v>
      </c>
      <c r="C14" s="27">
        <f>'[1]TEST 1 (T1)'!I10</f>
        <v>1.2</v>
      </c>
      <c r="D14" s="26">
        <v>150</v>
      </c>
      <c r="E14" s="28">
        <f>'[1]TEST 2 (T2)'!I13</f>
        <v>0.87096774193548387</v>
      </c>
      <c r="F14" s="29">
        <v>50</v>
      </c>
      <c r="G14" s="30">
        <f>'[1]TEST 3 (T3)'!I11</f>
        <v>1.4285714285714286</v>
      </c>
      <c r="H14" s="29">
        <v>50</v>
      </c>
      <c r="I14" s="27">
        <f>'[1]TEST 4 (FINAL)'!J18</f>
        <v>1.3333333333333335</v>
      </c>
    </row>
    <row r="15" spans="1:19" x14ac:dyDescent="0.25">
      <c r="A15" s="29">
        <v>7</v>
      </c>
      <c r="B15" s="62">
        <v>50</v>
      </c>
      <c r="C15" s="27">
        <f>'[1]TEST 1 (T1)'!I11</f>
        <v>1.25</v>
      </c>
      <c r="D15" s="26">
        <v>150</v>
      </c>
      <c r="E15" s="28">
        <f>'[1]TEST 2 (T2)'!I14</f>
        <v>0.8928571428571429</v>
      </c>
      <c r="F15" s="29">
        <v>50</v>
      </c>
      <c r="G15" s="30">
        <f>'[1]TEST 3 (T3)'!I12</f>
        <v>1.5</v>
      </c>
      <c r="H15" s="29">
        <v>50</v>
      </c>
      <c r="I15" s="27">
        <f>'[1]TEST 4 (FINAL)'!J19</f>
        <v>1</v>
      </c>
      <c r="K15" t="s">
        <v>38</v>
      </c>
      <c r="O15" t="s">
        <v>38</v>
      </c>
      <c r="S15" t="s">
        <v>38</v>
      </c>
    </row>
    <row r="16" spans="1:19" ht="15.75" thickBot="1" x14ac:dyDescent="0.3">
      <c r="A16" s="29">
        <v>8</v>
      </c>
      <c r="B16" s="62">
        <v>50</v>
      </c>
      <c r="C16" s="27">
        <f>'[1]TEST 1 (T1)'!I12</f>
        <v>1.3333333333333333</v>
      </c>
      <c r="D16" s="26">
        <v>150</v>
      </c>
      <c r="E16" s="28">
        <f>'[1]TEST 2 (T2)'!I15</f>
        <v>0.95238095238095233</v>
      </c>
      <c r="F16" s="29">
        <v>50</v>
      </c>
      <c r="G16" s="30">
        <f>'[1]TEST 3 (T3)'!I13</f>
        <v>1.3846153846153846</v>
      </c>
      <c r="H16" s="29">
        <v>50</v>
      </c>
      <c r="I16" s="27">
        <f>'[1]TEST 4 (FINAL)'!J20</f>
        <v>1.4166666666666667</v>
      </c>
      <c r="K16" s="35" t="s">
        <v>39</v>
      </c>
      <c r="O16" s="35" t="s">
        <v>40</v>
      </c>
      <c r="S16" s="35" t="s">
        <v>41</v>
      </c>
    </row>
    <row r="17" spans="1:21" x14ac:dyDescent="0.25">
      <c r="A17" s="29">
        <v>9</v>
      </c>
      <c r="B17" s="62">
        <v>50</v>
      </c>
      <c r="C17" s="27">
        <f>'[1]TEST 1 (T1)'!I13</f>
        <v>1.4666666666666666</v>
      </c>
      <c r="D17" s="26">
        <v>150</v>
      </c>
      <c r="E17" s="28">
        <f>'[1]TEST 2 (T2)'!I16</f>
        <v>0.64285714285714279</v>
      </c>
      <c r="F17" s="29">
        <v>50</v>
      </c>
      <c r="G17" s="30">
        <f>'[1]TEST 3 (T3)'!I14</f>
        <v>1.5</v>
      </c>
      <c r="H17" s="29">
        <v>50</v>
      </c>
      <c r="I17" s="27">
        <f>'[1]TEST 4 (FINAL)'!J21</f>
        <v>0.75</v>
      </c>
      <c r="K17" s="36"/>
      <c r="L17" s="36" t="s">
        <v>42</v>
      </c>
      <c r="M17" s="36" t="s">
        <v>43</v>
      </c>
      <c r="O17" s="36"/>
      <c r="P17" s="36" t="s">
        <v>42</v>
      </c>
      <c r="Q17" s="36" t="s">
        <v>43</v>
      </c>
      <c r="S17" s="36"/>
      <c r="T17" s="36" t="s">
        <v>42</v>
      </c>
      <c r="U17" s="36" t="s">
        <v>43</v>
      </c>
    </row>
    <row r="18" spans="1:21" x14ac:dyDescent="0.25">
      <c r="A18" s="29">
        <v>10</v>
      </c>
      <c r="B18" s="62">
        <v>50</v>
      </c>
      <c r="C18" s="27">
        <f>'[1]TEST 1 (T1)'!I14</f>
        <v>2</v>
      </c>
      <c r="D18" s="26">
        <v>150</v>
      </c>
      <c r="E18" s="28">
        <f>'[1]TEST 2 (T2)'!I17</f>
        <v>0.25</v>
      </c>
      <c r="F18" s="29">
        <v>50</v>
      </c>
      <c r="G18" s="30">
        <f>'[1]TEST 3 (T3)'!I15</f>
        <v>1.4</v>
      </c>
      <c r="H18" s="29">
        <v>50</v>
      </c>
      <c r="I18" s="27">
        <f>'[1]TEST 4 (FINAL)'!J22</f>
        <v>1.3333333333333333</v>
      </c>
      <c r="K18" s="37" t="s">
        <v>44</v>
      </c>
      <c r="L18" s="37">
        <v>1.0959704897204896</v>
      </c>
      <c r="M18" s="37">
        <v>0.94638470708906908</v>
      </c>
      <c r="O18" s="37" t="s">
        <v>44</v>
      </c>
      <c r="P18" s="37">
        <v>0.94638470708906908</v>
      </c>
      <c r="Q18" s="37">
        <v>1.0492429788244266</v>
      </c>
      <c r="S18" s="37" t="s">
        <v>44</v>
      </c>
      <c r="T18" s="37">
        <v>1.3620879159744703</v>
      </c>
      <c r="U18" s="37">
        <v>1.1271712470121997</v>
      </c>
    </row>
    <row r="19" spans="1:21" x14ac:dyDescent="0.25">
      <c r="A19" s="29">
        <v>11</v>
      </c>
      <c r="B19" s="62">
        <v>50</v>
      </c>
      <c r="C19" s="27">
        <f>'[1]TEST 1 (T1)'!I15</f>
        <v>0</v>
      </c>
      <c r="D19" s="26">
        <v>150</v>
      </c>
      <c r="E19" s="28">
        <f>'[1]TEST 2 (T2)'!I18</f>
        <v>0.66666666666666674</v>
      </c>
      <c r="F19" s="29">
        <v>50</v>
      </c>
      <c r="G19" s="30">
        <f>'[1]TEST 3 (T3)'!I16</f>
        <v>1.4444444444444444</v>
      </c>
      <c r="H19" s="29">
        <v>50</v>
      </c>
      <c r="I19" s="27">
        <f>'[1]TEST 4 (FINAL)'!J23</f>
        <v>1.0909090909090911</v>
      </c>
      <c r="K19" s="37" t="s">
        <v>45</v>
      </c>
      <c r="L19" s="37">
        <v>0.43453860167531344</v>
      </c>
      <c r="M19" s="37">
        <v>0.39944839020003203</v>
      </c>
      <c r="O19" s="37" t="s">
        <v>45</v>
      </c>
      <c r="P19" s="37">
        <v>0.39944839020003203</v>
      </c>
      <c r="Q19" s="37">
        <v>0.20314914808517601</v>
      </c>
      <c r="S19" s="37" t="s">
        <v>45</v>
      </c>
      <c r="T19" s="37">
        <v>0.11780072319680535</v>
      </c>
      <c r="U19" s="37">
        <v>0.12841032020743331</v>
      </c>
    </row>
    <row r="20" spans="1:21" x14ac:dyDescent="0.25">
      <c r="A20" s="29">
        <v>12</v>
      </c>
      <c r="B20" s="62">
        <v>50</v>
      </c>
      <c r="C20" s="27">
        <f>'[1]TEST 1 (T1)'!I16</f>
        <v>0</v>
      </c>
      <c r="D20" s="26">
        <v>150</v>
      </c>
      <c r="E20" s="28">
        <f>'[1]TEST 2 (T2)'!I19</f>
        <v>2.75</v>
      </c>
      <c r="F20" s="29">
        <v>50</v>
      </c>
      <c r="G20" s="30">
        <f>'[1]TEST 3 (T3)'!I17</f>
        <v>1.4999999999999998</v>
      </c>
      <c r="H20" s="29">
        <v>50</v>
      </c>
      <c r="I20" s="27">
        <f>'[1]TEST 4 (FINAL)'!J24</f>
        <v>1.4117647058823528</v>
      </c>
      <c r="K20" s="37" t="s">
        <v>46</v>
      </c>
      <c r="L20" s="37">
        <v>24</v>
      </c>
      <c r="M20" s="37">
        <v>24</v>
      </c>
      <c r="O20" s="37" t="s">
        <v>46</v>
      </c>
      <c r="P20" s="37">
        <v>24</v>
      </c>
      <c r="Q20" s="37">
        <v>39</v>
      </c>
      <c r="S20" s="37" t="s">
        <v>46</v>
      </c>
      <c r="T20" s="37">
        <v>24</v>
      </c>
      <c r="U20" s="37">
        <v>24</v>
      </c>
    </row>
    <row r="21" spans="1:21" x14ac:dyDescent="0.25">
      <c r="A21" s="29">
        <v>13</v>
      </c>
      <c r="B21" s="62">
        <v>50</v>
      </c>
      <c r="C21" s="27">
        <f>'[1]TEST 1 (T1)'!I17</f>
        <v>1</v>
      </c>
      <c r="D21" s="26">
        <v>150</v>
      </c>
      <c r="E21" s="28">
        <f>'[1]TEST 2 (T2)'!I20</f>
        <v>0.88888888888888895</v>
      </c>
      <c r="F21" s="29">
        <v>50</v>
      </c>
      <c r="G21" s="30">
        <f>'[1]TEST 3 (T3)'!I18</f>
        <v>1.4</v>
      </c>
      <c r="H21" s="29">
        <v>50</v>
      </c>
      <c r="I21" s="27">
        <f>'[1]TEST 4 (FINAL)'!J25</f>
        <v>1.4</v>
      </c>
      <c r="K21" s="37" t="s">
        <v>47</v>
      </c>
      <c r="L21" s="37">
        <v>0.41699349593767271</v>
      </c>
      <c r="M21" s="37"/>
      <c r="O21" s="37" t="s">
        <v>47</v>
      </c>
      <c r="P21" s="37">
        <v>0.27716361642356435</v>
      </c>
      <c r="Q21" s="37"/>
      <c r="S21" s="37" t="s">
        <v>47</v>
      </c>
      <c r="T21" s="37">
        <v>0.12310552170211933</v>
      </c>
      <c r="U21" s="37"/>
    </row>
    <row r="22" spans="1:21" x14ac:dyDescent="0.25">
      <c r="A22" s="29">
        <v>14</v>
      </c>
      <c r="B22" s="62">
        <v>50</v>
      </c>
      <c r="C22" s="27">
        <f>'[1]TEST 1 (T1)'!I18</f>
        <v>1.3333333333333333</v>
      </c>
      <c r="D22" s="26">
        <v>150</v>
      </c>
      <c r="E22" s="28">
        <f>'[1]TEST 2 (T2)'!I21</f>
        <v>0.7142857142857143</v>
      </c>
      <c r="F22" s="29">
        <v>50</v>
      </c>
      <c r="G22" s="30">
        <f>'[1]TEST 3 (T3)'!Q24</f>
        <v>1.3636363636363638</v>
      </c>
      <c r="H22" s="29">
        <v>50</v>
      </c>
      <c r="I22" s="27">
        <f>'[1]TEST 4 (FINAL)'!J26</f>
        <v>1.1818181818181819</v>
      </c>
      <c r="K22" s="37" t="s">
        <v>48</v>
      </c>
      <c r="L22" s="37">
        <v>0</v>
      </c>
      <c r="M22" s="37"/>
      <c r="O22" s="37" t="s">
        <v>48</v>
      </c>
      <c r="P22" s="37">
        <v>0</v>
      </c>
      <c r="Q22" s="37"/>
      <c r="S22" s="37" t="s">
        <v>48</v>
      </c>
      <c r="T22" s="37">
        <v>0</v>
      </c>
      <c r="U22" s="37"/>
    </row>
    <row r="23" spans="1:21" x14ac:dyDescent="0.25">
      <c r="A23" s="29">
        <v>15</v>
      </c>
      <c r="B23" s="62">
        <v>50</v>
      </c>
      <c r="C23" s="27">
        <f>'[1]TEST 1 (T1)'!I19</f>
        <v>1.3333333333333333</v>
      </c>
      <c r="D23" s="26">
        <v>150</v>
      </c>
      <c r="E23" s="28">
        <f>'[1]TEST 2 (T2)'!I22</f>
        <v>0.4</v>
      </c>
      <c r="F23" s="29">
        <v>50</v>
      </c>
      <c r="G23" s="30">
        <f>'[1]TEST 3 (T3)'!I20</f>
        <v>1.5555555555555558</v>
      </c>
      <c r="H23" s="29">
        <v>50</v>
      </c>
      <c r="I23" s="27">
        <f>'[1]TEST 4 (FINAL)'!J27</f>
        <v>1.4999999999999998</v>
      </c>
      <c r="K23" s="37" t="s">
        <v>49</v>
      </c>
      <c r="L23" s="37">
        <v>46</v>
      </c>
      <c r="M23" s="37"/>
      <c r="O23" s="37" t="s">
        <v>49</v>
      </c>
      <c r="P23" s="37">
        <v>61</v>
      </c>
      <c r="Q23" s="37"/>
      <c r="S23" s="37" t="s">
        <v>49</v>
      </c>
      <c r="T23" s="37">
        <v>46</v>
      </c>
      <c r="U23" s="37"/>
    </row>
    <row r="24" spans="1:21" x14ac:dyDescent="0.25">
      <c r="A24" s="29">
        <v>16</v>
      </c>
      <c r="B24" s="62">
        <v>50</v>
      </c>
      <c r="C24" s="27">
        <f>'[1]TEST 1 (T1)'!I20</f>
        <v>2</v>
      </c>
      <c r="D24" s="26">
        <v>150</v>
      </c>
      <c r="E24" s="28">
        <f>'[1]TEST 2 (T2)'!I23</f>
        <v>2.6666666666666665</v>
      </c>
      <c r="F24" s="29">
        <v>50</v>
      </c>
      <c r="G24" s="30">
        <f>'[1]TEST 3 (T3)'!Q25</f>
        <v>1.4897959183673468</v>
      </c>
      <c r="H24" s="29">
        <v>50</v>
      </c>
      <c r="I24" s="27">
        <f>'[1]TEST 4 (FINAL)'!J28</f>
        <v>1.3333333333333333</v>
      </c>
      <c r="K24" s="37" t="s">
        <v>50</v>
      </c>
      <c r="L24" s="37">
        <v>0.80244689416594428</v>
      </c>
      <c r="M24" s="37"/>
      <c r="O24" s="37" t="s">
        <v>50</v>
      </c>
      <c r="P24" s="37">
        <v>-0.75307592311307425</v>
      </c>
      <c r="Q24" s="37"/>
      <c r="S24" s="37" t="s">
        <v>50</v>
      </c>
      <c r="T24" s="37">
        <v>2.3193467962616832</v>
      </c>
      <c r="U24" s="37"/>
    </row>
    <row r="25" spans="1:21" x14ac:dyDescent="0.25">
      <c r="A25" s="29">
        <v>17</v>
      </c>
      <c r="B25" s="62">
        <v>50</v>
      </c>
      <c r="C25" s="27">
        <f>'[1]TEST 1 (T1)'!I21</f>
        <v>1.2307692307692308</v>
      </c>
      <c r="D25" s="26">
        <v>150</v>
      </c>
      <c r="E25" s="28">
        <f>'[1]TEST 2 (T2)'!I24</f>
        <v>1.25</v>
      </c>
      <c r="F25" s="29">
        <v>50</v>
      </c>
      <c r="G25" s="30">
        <f>'[1]TEST 3 (T3)'!I22</f>
        <v>1.4705882352941175</v>
      </c>
      <c r="H25" s="29">
        <v>50</v>
      </c>
      <c r="I25" s="27">
        <f>'[1]TEST 4 (FINAL)'!J29</f>
        <v>1.2727272727272729</v>
      </c>
      <c r="K25" s="37" t="s">
        <v>51</v>
      </c>
      <c r="L25" s="37">
        <v>0.21321049813545162</v>
      </c>
      <c r="M25" s="37"/>
      <c r="O25" s="37" t="s">
        <v>51</v>
      </c>
      <c r="P25" s="37">
        <v>0.22715049419708427</v>
      </c>
      <c r="Q25" s="37"/>
      <c r="S25" s="37" t="s">
        <v>51</v>
      </c>
      <c r="T25" s="37">
        <v>1.2435107537447289E-2</v>
      </c>
      <c r="U25" s="37"/>
    </row>
    <row r="26" spans="1:21" x14ac:dyDescent="0.25">
      <c r="A26" s="29">
        <v>18</v>
      </c>
      <c r="B26" s="62">
        <v>50</v>
      </c>
      <c r="C26" s="27">
        <f>'[1]TEST 1 (T1)'!I22</f>
        <v>0</v>
      </c>
      <c r="D26" s="26">
        <v>150</v>
      </c>
      <c r="E26" s="28">
        <f>'[1]TEST 2 (T2)'!I25</f>
        <v>0.90322580645161288</v>
      </c>
      <c r="F26" s="29">
        <v>50</v>
      </c>
      <c r="G26" s="30">
        <f>'[1]TEST 3 (T3)'!I23</f>
        <v>1.5</v>
      </c>
      <c r="H26" s="29">
        <v>50</v>
      </c>
      <c r="I26" s="27">
        <f>'[1]TEST 4 (FINAL)'!J30</f>
        <v>1.173913043478261</v>
      </c>
      <c r="K26" s="37" t="s">
        <v>52</v>
      </c>
      <c r="L26" s="37">
        <v>1.678660413556865</v>
      </c>
      <c r="M26" s="37"/>
      <c r="O26" s="37" t="s">
        <v>52</v>
      </c>
      <c r="P26" s="37">
        <v>1.6702194837737363</v>
      </c>
      <c r="Q26" s="37"/>
      <c r="S26" s="37" t="s">
        <v>52</v>
      </c>
      <c r="T26" s="37">
        <v>1.678660413556865</v>
      </c>
      <c r="U26" s="37"/>
    </row>
    <row r="27" spans="1:21" x14ac:dyDescent="0.25">
      <c r="A27" s="29">
        <v>19</v>
      </c>
      <c r="B27" s="62">
        <v>50</v>
      </c>
      <c r="C27" s="27">
        <f>'[1]TEST 1 (T1)'!I23</f>
        <v>1.75</v>
      </c>
      <c r="D27" s="26">
        <v>150</v>
      </c>
      <c r="E27" s="28">
        <f>'[1]TEST 2 (T2)'!I26</f>
        <v>0.92857142857142849</v>
      </c>
      <c r="F27" s="29">
        <v>50</v>
      </c>
      <c r="G27" s="30">
        <f>'[1]TEST 3 (T3)'!I24</f>
        <v>1.4444444444444444</v>
      </c>
      <c r="H27" s="29">
        <v>50</v>
      </c>
      <c r="I27" s="27">
        <f>'[1]TEST 4 (FINAL)'!J31</f>
        <v>1.2222222222222223</v>
      </c>
      <c r="K27" s="37" t="s">
        <v>53</v>
      </c>
      <c r="L27" s="37">
        <v>0.42642099627090324</v>
      </c>
      <c r="M27" s="37"/>
      <c r="O27" s="37" t="s">
        <v>53</v>
      </c>
      <c r="P27" s="37">
        <v>0.45430098839416855</v>
      </c>
      <c r="Q27" s="37"/>
      <c r="S27" s="37" t="s">
        <v>53</v>
      </c>
      <c r="T27" s="37">
        <v>2.4870215074894578E-2</v>
      </c>
      <c r="U27" s="37"/>
    </row>
    <row r="28" spans="1:21" ht="15.75" thickBot="1" x14ac:dyDescent="0.3">
      <c r="A28" s="29">
        <v>20</v>
      </c>
      <c r="B28" s="62">
        <v>50</v>
      </c>
      <c r="C28" s="27">
        <f>'[1]TEST 1 (T1)'!I24</f>
        <v>1.5</v>
      </c>
      <c r="D28" s="26">
        <v>150</v>
      </c>
      <c r="E28" s="28">
        <f>'[1]TEST 2 (T2)'!I27</f>
        <v>5.2631578947368425E-2</v>
      </c>
      <c r="F28" s="29">
        <v>50</v>
      </c>
      <c r="G28" s="30">
        <f>'[1]TEST 3 (T3)'!I25</f>
        <v>1.4615384615384617</v>
      </c>
      <c r="H28" s="29">
        <v>50</v>
      </c>
      <c r="I28" s="27">
        <f>'[1]TEST 4 (FINAL)'!J32</f>
        <v>0.8666666666666667</v>
      </c>
      <c r="K28" s="38" t="s">
        <v>54</v>
      </c>
      <c r="L28" s="38">
        <v>2.0128955989194299</v>
      </c>
      <c r="M28" s="38"/>
      <c r="O28" s="38" t="s">
        <v>54</v>
      </c>
      <c r="P28" s="38">
        <v>1.9996235849949404</v>
      </c>
      <c r="Q28" s="38"/>
      <c r="S28" s="38" t="s">
        <v>54</v>
      </c>
      <c r="T28" s="38">
        <v>2.0128955989194299</v>
      </c>
      <c r="U28" s="38"/>
    </row>
    <row r="29" spans="1:21" x14ac:dyDescent="0.25">
      <c r="A29" s="29">
        <v>21</v>
      </c>
      <c r="B29" s="62">
        <v>50</v>
      </c>
      <c r="C29" s="27">
        <f>'[1]TEST 1 (T1)'!I25</f>
        <v>0</v>
      </c>
      <c r="D29" s="26">
        <v>150</v>
      </c>
      <c r="E29" s="28">
        <f>'[1]TEST 2 (T2)'!I28</f>
        <v>0.14285714285714285</v>
      </c>
      <c r="F29" s="29">
        <v>50</v>
      </c>
      <c r="G29" s="30">
        <f>'[1]TEST 3 (T3)'!I26</f>
        <v>1.4</v>
      </c>
      <c r="H29" s="29">
        <v>50</v>
      </c>
      <c r="I29" s="27">
        <f>'[1]TEST 4 (FINAL)'!J33</f>
        <v>0.36363636363636365</v>
      </c>
    </row>
    <row r="30" spans="1:21" x14ac:dyDescent="0.25">
      <c r="A30" s="29">
        <v>22</v>
      </c>
      <c r="B30" s="62">
        <v>50</v>
      </c>
      <c r="C30" s="27">
        <f>'[1]TEST 1 (T1)'!I26</f>
        <v>0</v>
      </c>
      <c r="D30" s="26">
        <v>150</v>
      </c>
      <c r="E30" s="28">
        <f>'[1]TEST 2 (T2)'!I29</f>
        <v>0.52380952380952372</v>
      </c>
      <c r="F30" s="29">
        <v>50</v>
      </c>
      <c r="G30" s="30">
        <f>'[1]TEST 3 (T3)'!I27</f>
        <v>2</v>
      </c>
      <c r="H30" s="29">
        <v>50</v>
      </c>
      <c r="I30" s="27">
        <f>'[1]TEST 4 (FINAL)'!J34</f>
        <v>0.83333333333333337</v>
      </c>
      <c r="K30" t="s">
        <v>38</v>
      </c>
      <c r="O30" t="s">
        <v>38</v>
      </c>
    </row>
    <row r="31" spans="1:21" ht="15.75" thickBot="1" x14ac:dyDescent="0.3">
      <c r="A31" s="29">
        <v>23</v>
      </c>
      <c r="B31" s="62">
        <v>50</v>
      </c>
      <c r="C31" s="27">
        <f>'[1]TEST 1 (T1)'!I27</f>
        <v>1.4</v>
      </c>
      <c r="D31" s="26">
        <v>150</v>
      </c>
      <c r="E31" s="28">
        <f>'[1]TEST 2 (T2)'!I30</f>
        <v>0.7142857142857143</v>
      </c>
      <c r="F31" s="29">
        <v>50</v>
      </c>
      <c r="G31" s="30">
        <f>'[1]TEST 3 (T3)'!Q26</f>
        <v>1.1666666666666667</v>
      </c>
      <c r="H31" s="29">
        <v>50</v>
      </c>
      <c r="I31" s="27">
        <f>'[1]TEST 4 (FINAL)'!J35</f>
        <v>1.2142857142857144</v>
      </c>
      <c r="K31" s="35" t="s">
        <v>55</v>
      </c>
      <c r="O31" s="35" t="s">
        <v>56</v>
      </c>
    </row>
    <row r="32" spans="1:21" ht="15.75" thickBot="1" x14ac:dyDescent="0.3">
      <c r="A32" s="29">
        <v>24</v>
      </c>
      <c r="B32" s="63">
        <v>50</v>
      </c>
      <c r="C32" s="40">
        <f>'[1]TEST 1 (T1)'!I28</f>
        <v>2</v>
      </c>
      <c r="D32" s="39">
        <v>150</v>
      </c>
      <c r="E32" s="41">
        <f>'[1]TEST 2 (T2)'!I31</f>
        <v>1.1428571428571428</v>
      </c>
      <c r="F32" s="42">
        <v>50</v>
      </c>
      <c r="G32" s="43">
        <f>'[1]TEST 3 (T3)'!Q27</f>
        <v>1</v>
      </c>
      <c r="H32" s="42">
        <v>50</v>
      </c>
      <c r="I32" s="40">
        <f>'[1]TEST 4 (FINAL)'!J36</f>
        <v>1</v>
      </c>
      <c r="K32" s="36"/>
      <c r="L32" s="36" t="s">
        <v>42</v>
      </c>
      <c r="M32" s="36" t="s">
        <v>43</v>
      </c>
      <c r="O32" s="36"/>
      <c r="P32" s="36" t="s">
        <v>42</v>
      </c>
      <c r="Q32" s="36" t="s">
        <v>43</v>
      </c>
    </row>
    <row r="33" spans="1:17" x14ac:dyDescent="0.25">
      <c r="A33" s="29">
        <v>25</v>
      </c>
      <c r="B33" s="64"/>
      <c r="C33" s="9"/>
      <c r="D33" s="8"/>
      <c r="E33" s="9"/>
      <c r="F33" s="8"/>
      <c r="G33" s="9"/>
      <c r="H33" s="44">
        <v>50</v>
      </c>
      <c r="I33" s="27">
        <f>'[1]TEST 4 (FINAL)'!J37</f>
        <v>1.2</v>
      </c>
      <c r="K33" s="37" t="s">
        <v>44</v>
      </c>
      <c r="L33" s="37">
        <v>0.94638470708906908</v>
      </c>
      <c r="M33" s="37">
        <v>1.3620879159744703</v>
      </c>
      <c r="O33" s="37" t="s">
        <v>44</v>
      </c>
      <c r="P33" s="37">
        <v>1.0959704897204896</v>
      </c>
      <c r="Q33" s="37">
        <v>1.3620879159744703</v>
      </c>
    </row>
    <row r="34" spans="1:17" x14ac:dyDescent="0.25">
      <c r="A34" s="29">
        <v>26</v>
      </c>
      <c r="B34" s="64"/>
      <c r="C34" s="9"/>
      <c r="D34" s="8"/>
      <c r="E34" s="9"/>
      <c r="F34" s="8"/>
      <c r="G34" s="9"/>
      <c r="H34" s="44">
        <v>50</v>
      </c>
      <c r="I34" s="27">
        <f>'[1]TEST 4 (FINAL)'!J38</f>
        <v>1</v>
      </c>
      <c r="K34" s="37" t="s">
        <v>45</v>
      </c>
      <c r="L34" s="37">
        <v>0.39944839020003203</v>
      </c>
      <c r="M34" s="37">
        <v>0.11780072319680535</v>
      </c>
      <c r="O34" s="37" t="s">
        <v>45</v>
      </c>
      <c r="P34" s="37">
        <v>0.43453860167531344</v>
      </c>
      <c r="Q34" s="37">
        <v>0.11780072319680535</v>
      </c>
    </row>
    <row r="35" spans="1:17" x14ac:dyDescent="0.25">
      <c r="A35" s="29">
        <v>27</v>
      </c>
      <c r="B35" s="64"/>
      <c r="C35" s="9"/>
      <c r="D35" s="8"/>
      <c r="E35" s="9"/>
      <c r="F35" s="8"/>
      <c r="G35" s="9"/>
      <c r="H35" s="44">
        <v>50</v>
      </c>
      <c r="I35" s="27">
        <f>'[1]TEST 4 (FINAL)'!J39</f>
        <v>1.2</v>
      </c>
      <c r="K35" s="37" t="s">
        <v>46</v>
      </c>
      <c r="L35" s="37">
        <v>24</v>
      </c>
      <c r="M35" s="37">
        <v>24</v>
      </c>
      <c r="O35" s="37" t="s">
        <v>46</v>
      </c>
      <c r="P35" s="37">
        <v>24</v>
      </c>
      <c r="Q35" s="37">
        <v>24</v>
      </c>
    </row>
    <row r="36" spans="1:17" x14ac:dyDescent="0.25">
      <c r="A36" s="29">
        <v>28</v>
      </c>
      <c r="B36" s="64"/>
      <c r="C36" s="9"/>
      <c r="D36" s="8"/>
      <c r="E36" s="9"/>
      <c r="F36" s="8"/>
      <c r="G36" s="9"/>
      <c r="H36" s="44">
        <v>50</v>
      </c>
      <c r="I36" s="27">
        <f>'[1]TEST 4 (FINAL)'!J40</f>
        <v>1.25</v>
      </c>
      <c r="K36" s="37" t="s">
        <v>47</v>
      </c>
      <c r="L36" s="37">
        <v>0.25862455669841866</v>
      </c>
      <c r="M36" s="37"/>
      <c r="O36" s="37" t="s">
        <v>47</v>
      </c>
      <c r="P36" s="37">
        <v>0.27616966243605939</v>
      </c>
      <c r="Q36" s="37"/>
    </row>
    <row r="37" spans="1:17" x14ac:dyDescent="0.25">
      <c r="A37" s="29">
        <v>29</v>
      </c>
      <c r="B37" s="64"/>
      <c r="C37" s="9"/>
      <c r="D37" s="8"/>
      <c r="E37" s="9"/>
      <c r="F37" s="8"/>
      <c r="G37" s="9"/>
      <c r="H37" s="44">
        <v>50</v>
      </c>
      <c r="I37" s="27">
        <f>'[1]TEST 4 (FINAL)'!J41</f>
        <v>0.42857142857142855</v>
      </c>
      <c r="K37" s="37" t="s">
        <v>48</v>
      </c>
      <c r="L37" s="37">
        <v>0</v>
      </c>
      <c r="M37" s="37"/>
      <c r="O37" s="37" t="s">
        <v>48</v>
      </c>
      <c r="P37" s="37">
        <v>0</v>
      </c>
      <c r="Q37" s="37"/>
    </row>
    <row r="38" spans="1:17" x14ac:dyDescent="0.25">
      <c r="A38" s="29">
        <v>30</v>
      </c>
      <c r="B38" s="64"/>
      <c r="C38" s="9"/>
      <c r="D38" s="8"/>
      <c r="E38" s="9"/>
      <c r="F38" s="8"/>
      <c r="G38" s="9"/>
      <c r="H38" s="44">
        <v>50</v>
      </c>
      <c r="I38" s="27">
        <f>'[1]TEST 4 (FINAL)'!J42</f>
        <v>1</v>
      </c>
      <c r="K38" s="37" t="s">
        <v>49</v>
      </c>
      <c r="L38" s="37">
        <v>46</v>
      </c>
      <c r="M38" s="37"/>
      <c r="O38" s="37" t="s">
        <v>49</v>
      </c>
      <c r="P38" s="37">
        <v>46</v>
      </c>
      <c r="Q38" s="37"/>
    </row>
    <row r="39" spans="1:17" x14ac:dyDescent="0.25">
      <c r="A39" s="29">
        <v>31</v>
      </c>
      <c r="B39" s="64"/>
      <c r="C39" s="9"/>
      <c r="D39" s="8"/>
      <c r="E39" s="9"/>
      <c r="F39" s="8"/>
      <c r="G39" s="9"/>
      <c r="H39" s="44">
        <v>50</v>
      </c>
      <c r="I39" s="27">
        <f>'[1]TEST 4 (FINAL)'!J43</f>
        <v>1.1666666666666667</v>
      </c>
      <c r="K39" s="37" t="s">
        <v>50</v>
      </c>
      <c r="L39" s="37">
        <v>-2.8316470529486497</v>
      </c>
      <c r="M39" s="37"/>
      <c r="O39" s="37" t="s">
        <v>50</v>
      </c>
      <c r="P39" s="37">
        <v>-1.7541872617611847</v>
      </c>
      <c r="Q39" s="37"/>
    </row>
    <row r="40" spans="1:17" x14ac:dyDescent="0.25">
      <c r="A40" s="29">
        <v>32</v>
      </c>
      <c r="B40" s="64"/>
      <c r="C40" s="9"/>
      <c r="D40" s="8"/>
      <c r="E40" s="9"/>
      <c r="F40" s="8"/>
      <c r="G40" s="9"/>
      <c r="H40" s="44">
        <v>50</v>
      </c>
      <c r="I40" s="27">
        <f>'[1]TEST 4 (FINAL)'!J44</f>
        <v>1.3333333333333335</v>
      </c>
      <c r="K40" s="37" t="s">
        <v>51</v>
      </c>
      <c r="L40" s="37">
        <v>3.423904747038469E-3</v>
      </c>
      <c r="M40" s="37"/>
      <c r="O40" s="37" t="s">
        <v>51</v>
      </c>
      <c r="P40" s="37">
        <v>4.3029305378806615E-2</v>
      </c>
      <c r="Q40" s="37"/>
    </row>
    <row r="41" spans="1:17" x14ac:dyDescent="0.25">
      <c r="A41" s="29">
        <v>33</v>
      </c>
      <c r="B41" s="64"/>
      <c r="C41" s="9"/>
      <c r="D41" s="8"/>
      <c r="E41" s="9"/>
      <c r="F41" s="8"/>
      <c r="G41" s="9"/>
      <c r="H41" s="44">
        <v>50</v>
      </c>
      <c r="I41" s="27">
        <f>'[1]TEST 4 (FINAL)'!J45</f>
        <v>0.89999999999999991</v>
      </c>
      <c r="K41" s="37" t="s">
        <v>52</v>
      </c>
      <c r="L41" s="37">
        <v>1.678660413556865</v>
      </c>
      <c r="M41" s="37"/>
      <c r="O41" s="37" t="s">
        <v>52</v>
      </c>
      <c r="P41" s="37">
        <v>1.678660413556865</v>
      </c>
      <c r="Q41" s="37"/>
    </row>
    <row r="42" spans="1:17" x14ac:dyDescent="0.25">
      <c r="A42" s="29">
        <v>34</v>
      </c>
      <c r="B42" s="64"/>
      <c r="C42" s="9"/>
      <c r="D42" s="8"/>
      <c r="E42" s="9"/>
      <c r="F42" s="8"/>
      <c r="G42" s="9"/>
      <c r="H42" s="44">
        <v>50</v>
      </c>
      <c r="I42" s="27">
        <f>'[1]TEST 4 (FINAL)'!J46</f>
        <v>1.0999999999999999</v>
      </c>
      <c r="K42" s="37" t="s">
        <v>53</v>
      </c>
      <c r="L42" s="37">
        <v>6.8478094940769381E-3</v>
      </c>
      <c r="M42" s="37"/>
      <c r="O42" s="37" t="s">
        <v>53</v>
      </c>
      <c r="P42" s="37">
        <v>8.605861075761323E-2</v>
      </c>
      <c r="Q42" s="37"/>
    </row>
    <row r="43" spans="1:17" ht="15.75" thickBot="1" x14ac:dyDescent="0.3">
      <c r="A43" s="29">
        <v>35</v>
      </c>
      <c r="B43" s="64"/>
      <c r="C43" s="9"/>
      <c r="D43" s="8"/>
      <c r="E43" s="9"/>
      <c r="F43" s="8"/>
      <c r="G43" s="9"/>
      <c r="H43" s="44">
        <v>50</v>
      </c>
      <c r="I43" s="27">
        <f>'[1]TEST 4 (FINAL)'!J47</f>
        <v>0.8571428571428571</v>
      </c>
      <c r="K43" s="38" t="s">
        <v>54</v>
      </c>
      <c r="L43" s="38">
        <v>2.0128955989194299</v>
      </c>
      <c r="M43" s="38"/>
      <c r="O43" s="38" t="s">
        <v>54</v>
      </c>
      <c r="P43" s="38">
        <v>2.0128955989194299</v>
      </c>
      <c r="Q43" s="38"/>
    </row>
    <row r="44" spans="1:17" x14ac:dyDescent="0.25">
      <c r="A44" s="29">
        <v>36</v>
      </c>
      <c r="B44" s="64"/>
      <c r="C44" s="9"/>
      <c r="D44" s="8"/>
      <c r="E44" s="9"/>
      <c r="F44" s="8"/>
      <c r="G44" s="9"/>
      <c r="H44" s="44">
        <v>50</v>
      </c>
      <c r="I44" s="27">
        <f>'[1]TEST 4 (FINAL)'!J48</f>
        <v>0.81818181818181812</v>
      </c>
    </row>
    <row r="45" spans="1:17" x14ac:dyDescent="0.25">
      <c r="A45" s="29">
        <v>37</v>
      </c>
      <c r="B45" s="64"/>
      <c r="C45" s="9"/>
      <c r="D45" s="8"/>
      <c r="E45" s="9"/>
      <c r="F45" s="8"/>
      <c r="G45" s="9"/>
      <c r="H45" s="44">
        <v>50</v>
      </c>
      <c r="I45" s="27">
        <f>'[1]TEST 4 (FINAL)'!J49</f>
        <v>0.83333333333333337</v>
      </c>
      <c r="K45" t="s">
        <v>38</v>
      </c>
      <c r="O45" t="s">
        <v>38</v>
      </c>
    </row>
    <row r="46" spans="1:17" ht="15.75" thickBot="1" x14ac:dyDescent="0.3">
      <c r="A46" s="29">
        <v>38</v>
      </c>
      <c r="B46" s="64"/>
      <c r="C46" s="9"/>
      <c r="D46" s="8"/>
      <c r="E46" s="9"/>
      <c r="F46" s="8"/>
      <c r="G46" s="9"/>
      <c r="H46" s="44">
        <v>50</v>
      </c>
      <c r="I46" s="27">
        <f>'[1]TEST 4 (FINAL)'!J50</f>
        <v>1.0999999999999999</v>
      </c>
      <c r="K46" s="35" t="s">
        <v>57</v>
      </c>
      <c r="O46" s="35" t="s">
        <v>58</v>
      </c>
    </row>
    <row r="47" spans="1:17" x14ac:dyDescent="0.25">
      <c r="A47" s="29">
        <v>39</v>
      </c>
      <c r="B47" s="64"/>
      <c r="C47" s="9"/>
      <c r="D47" s="8"/>
      <c r="E47" s="9"/>
      <c r="F47" s="8"/>
      <c r="G47" s="9"/>
      <c r="H47" s="44">
        <v>50</v>
      </c>
      <c r="I47" s="27">
        <f>'[1]TEST 4 (FINAL)'!J51</f>
        <v>0.4</v>
      </c>
      <c r="K47" s="36"/>
      <c r="L47" s="36" t="s">
        <v>42</v>
      </c>
      <c r="M47" s="36" t="s">
        <v>43</v>
      </c>
      <c r="O47" s="36"/>
      <c r="P47" s="36" t="s">
        <v>42</v>
      </c>
      <c r="Q47" s="36" t="s">
        <v>43</v>
      </c>
    </row>
    <row r="48" spans="1:17" x14ac:dyDescent="0.25">
      <c r="A48" s="29">
        <v>40</v>
      </c>
      <c r="B48" s="64"/>
      <c r="C48" s="9"/>
      <c r="D48" s="8"/>
      <c r="E48" s="9"/>
      <c r="F48" s="8"/>
      <c r="G48" s="9"/>
      <c r="H48" s="44">
        <v>50</v>
      </c>
      <c r="I48" s="27">
        <f>'[1]TEST 4 (FINAL)'!J52</f>
        <v>-0.25</v>
      </c>
      <c r="K48" s="37" t="s">
        <v>44</v>
      </c>
      <c r="L48" s="37">
        <v>0.94638470708906908</v>
      </c>
      <c r="M48" s="37">
        <v>1.1271712470121997</v>
      </c>
      <c r="O48" s="37" t="s">
        <v>44</v>
      </c>
      <c r="P48" s="37">
        <v>1.0959704897204896</v>
      </c>
      <c r="Q48" s="37">
        <v>1.1271712470121997</v>
      </c>
    </row>
    <row r="49" spans="1:17" x14ac:dyDescent="0.25">
      <c r="A49" s="29">
        <v>41</v>
      </c>
      <c r="B49" s="64"/>
      <c r="C49" s="9"/>
      <c r="D49" s="8"/>
      <c r="E49" s="9"/>
      <c r="F49" s="8"/>
      <c r="G49" s="9"/>
      <c r="H49" s="44">
        <v>50</v>
      </c>
      <c r="I49" s="27">
        <f>'[1]TEST 4 (FINAL)'!J53</f>
        <v>0.625</v>
      </c>
      <c r="K49" s="37" t="s">
        <v>45</v>
      </c>
      <c r="L49" s="37">
        <v>0.39944839020003203</v>
      </c>
      <c r="M49" s="37">
        <v>0.12841032020743331</v>
      </c>
      <c r="O49" s="37" t="s">
        <v>45</v>
      </c>
      <c r="P49" s="37">
        <v>0.43453860167531344</v>
      </c>
      <c r="Q49" s="37">
        <v>0.12841032020743331</v>
      </c>
    </row>
    <row r="50" spans="1:17" x14ac:dyDescent="0.25">
      <c r="A50" s="29">
        <v>42</v>
      </c>
      <c r="B50" s="64"/>
      <c r="C50" s="9"/>
      <c r="D50" s="8"/>
      <c r="E50" s="9"/>
      <c r="F50" s="8"/>
      <c r="G50" s="9"/>
      <c r="H50" s="44">
        <v>50</v>
      </c>
      <c r="I50" s="27">
        <f>'[1]TEST 4 (FINAL)'!J54</f>
        <v>1.2727272727272729</v>
      </c>
      <c r="K50" s="37" t="s">
        <v>46</v>
      </c>
      <c r="L50" s="37">
        <v>24</v>
      </c>
      <c r="M50" s="37">
        <v>24</v>
      </c>
      <c r="O50" s="37" t="s">
        <v>46</v>
      </c>
      <c r="P50" s="37">
        <v>24</v>
      </c>
      <c r="Q50" s="37">
        <v>24</v>
      </c>
    </row>
    <row r="51" spans="1:17" x14ac:dyDescent="0.25">
      <c r="A51" s="29">
        <v>43</v>
      </c>
      <c r="B51" s="64"/>
      <c r="C51" s="9"/>
      <c r="D51" s="8"/>
      <c r="E51" s="9"/>
      <c r="F51" s="8"/>
      <c r="G51" s="9"/>
      <c r="H51" s="44">
        <v>50</v>
      </c>
      <c r="I51" s="27">
        <f>'[1]TEST 4 (FINAL)'!J55</f>
        <v>1.1428571428571428</v>
      </c>
      <c r="K51" s="37" t="s">
        <v>47</v>
      </c>
      <c r="L51" s="37">
        <v>0.26392935520373267</v>
      </c>
      <c r="M51" s="37"/>
      <c r="O51" s="37" t="s">
        <v>47</v>
      </c>
      <c r="P51" s="37">
        <v>0.28147446094137335</v>
      </c>
      <c r="Q51" s="37"/>
    </row>
    <row r="52" spans="1:17" x14ac:dyDescent="0.25">
      <c r="A52" s="29">
        <v>44</v>
      </c>
      <c r="B52" s="64"/>
      <c r="C52" s="9"/>
      <c r="D52" s="8"/>
      <c r="E52" s="9"/>
      <c r="F52" s="8"/>
      <c r="G52" s="9"/>
      <c r="H52" s="44">
        <v>50</v>
      </c>
      <c r="I52" s="27">
        <f>'[1]TEST 4 (FINAL)'!J56</f>
        <v>0.88888888888888895</v>
      </c>
      <c r="K52" s="37" t="s">
        <v>48</v>
      </c>
      <c r="L52" s="37">
        <v>0</v>
      </c>
      <c r="M52" s="37"/>
      <c r="O52" s="37" t="s">
        <v>48</v>
      </c>
      <c r="P52" s="37">
        <v>0</v>
      </c>
      <c r="Q52" s="37"/>
    </row>
    <row r="53" spans="1:17" x14ac:dyDescent="0.25">
      <c r="A53" s="29">
        <v>45</v>
      </c>
      <c r="B53" s="64"/>
      <c r="C53" s="9"/>
      <c r="D53" s="8"/>
      <c r="E53" s="9"/>
      <c r="F53" s="8"/>
      <c r="G53" s="9"/>
      <c r="H53" s="44">
        <v>50</v>
      </c>
      <c r="I53" s="27">
        <f>'[1]TEST 4 (FINAL)'!J57</f>
        <v>3</v>
      </c>
      <c r="K53" s="37" t="s">
        <v>49</v>
      </c>
      <c r="L53" s="37">
        <v>46</v>
      </c>
      <c r="M53" s="37"/>
      <c r="O53" s="37" t="s">
        <v>49</v>
      </c>
      <c r="P53" s="37">
        <v>46</v>
      </c>
      <c r="Q53" s="37"/>
    </row>
    <row r="54" spans="1:17" x14ac:dyDescent="0.25">
      <c r="A54" s="29">
        <v>46</v>
      </c>
      <c r="B54" s="64"/>
      <c r="C54" s="9"/>
      <c r="D54" s="8"/>
      <c r="E54" s="9"/>
      <c r="F54" s="8"/>
      <c r="G54" s="9"/>
      <c r="H54" s="44">
        <v>50</v>
      </c>
      <c r="I54" s="27">
        <f>'[1]TEST 4 (FINAL)'!J58</f>
        <v>1</v>
      </c>
      <c r="K54" s="37" t="s">
        <v>50</v>
      </c>
      <c r="L54" s="37">
        <v>-1.2190257163647478</v>
      </c>
      <c r="M54" s="37"/>
      <c r="O54" s="37" t="s">
        <v>50</v>
      </c>
      <c r="P54" s="37">
        <v>-0.20372121616648897</v>
      </c>
      <c r="Q54" s="37"/>
    </row>
    <row r="55" spans="1:17" x14ac:dyDescent="0.25">
      <c r="A55" s="29">
        <v>47</v>
      </c>
      <c r="B55" s="64"/>
      <c r="C55" s="9"/>
      <c r="D55" s="8"/>
      <c r="E55" s="9"/>
      <c r="F55" s="8"/>
      <c r="G55" s="9"/>
      <c r="H55" s="44">
        <v>50</v>
      </c>
      <c r="I55" s="27">
        <f>'[1]TEST 4 (FINAL)'!J59</f>
        <v>1</v>
      </c>
      <c r="K55" s="37" t="s">
        <v>51</v>
      </c>
      <c r="L55" s="37">
        <v>0.11452444037086851</v>
      </c>
      <c r="M55" s="37"/>
      <c r="O55" s="37" t="s">
        <v>51</v>
      </c>
      <c r="P55" s="37">
        <v>0.41973497221973799</v>
      </c>
      <c r="Q55" s="37"/>
    </row>
    <row r="56" spans="1:17" x14ac:dyDescent="0.25">
      <c r="A56" s="29">
        <v>48</v>
      </c>
      <c r="B56" s="64"/>
      <c r="C56" s="9"/>
      <c r="D56" s="8"/>
      <c r="E56" s="9"/>
      <c r="F56" s="8"/>
      <c r="G56" s="9"/>
      <c r="H56" s="44">
        <v>50</v>
      </c>
      <c r="I56" s="27">
        <f>'[1]TEST 4 (FINAL)'!J60</f>
        <v>0.75</v>
      </c>
      <c r="K56" s="37" t="s">
        <v>52</v>
      </c>
      <c r="L56" s="37">
        <v>1.678660413556865</v>
      </c>
      <c r="M56" s="37"/>
      <c r="O56" s="37" t="s">
        <v>52</v>
      </c>
      <c r="P56" s="37">
        <v>1.678660413556865</v>
      </c>
      <c r="Q56" s="37"/>
    </row>
    <row r="57" spans="1:17" x14ac:dyDescent="0.25">
      <c r="A57" s="29">
        <v>49</v>
      </c>
      <c r="B57" s="64"/>
      <c r="C57" s="9"/>
      <c r="D57" s="8"/>
      <c r="E57" s="9"/>
      <c r="F57" s="8"/>
      <c r="G57" s="9"/>
      <c r="H57" s="44">
        <v>50</v>
      </c>
      <c r="I57" s="27">
        <f>'[1]TEST 4 (FINAL)'!J61</f>
        <v>1.1875</v>
      </c>
      <c r="K57" s="37" t="s">
        <v>53</v>
      </c>
      <c r="L57" s="37">
        <v>0.22904888074173702</v>
      </c>
      <c r="M57" s="37"/>
      <c r="O57" s="37" t="s">
        <v>53</v>
      </c>
      <c r="P57" s="37">
        <v>0.83946994443947598</v>
      </c>
      <c r="Q57" s="37"/>
    </row>
    <row r="58" spans="1:17" ht="15.75" thickBot="1" x14ac:dyDescent="0.3">
      <c r="A58" s="29">
        <v>50</v>
      </c>
      <c r="B58" s="64"/>
      <c r="C58" s="9"/>
      <c r="D58" s="8"/>
      <c r="E58" s="9"/>
      <c r="F58" s="8"/>
      <c r="G58" s="9"/>
      <c r="H58" s="44">
        <v>50</v>
      </c>
      <c r="I58" s="27">
        <f>'[1]TEST 4 (FINAL)'!J62</f>
        <v>1</v>
      </c>
      <c r="K58" s="38" t="s">
        <v>54</v>
      </c>
      <c r="L58" s="38">
        <v>2.0128955989194299</v>
      </c>
      <c r="M58" s="38"/>
      <c r="O58" s="38" t="s">
        <v>54</v>
      </c>
      <c r="P58" s="38">
        <v>2.0128955989194299</v>
      </c>
      <c r="Q58" s="38"/>
    </row>
    <row r="59" spans="1:17" x14ac:dyDescent="0.25">
      <c r="A59" s="29">
        <v>51</v>
      </c>
      <c r="B59" s="64"/>
      <c r="C59" s="9"/>
      <c r="D59" s="8"/>
      <c r="E59" s="9"/>
      <c r="F59" s="8"/>
      <c r="G59" s="9"/>
      <c r="H59" s="44">
        <v>50</v>
      </c>
      <c r="I59" s="27">
        <f>'[1]TEST 4 (FINAL)'!J63</f>
        <v>1.25</v>
      </c>
    </row>
    <row r="60" spans="1:17" x14ac:dyDescent="0.25">
      <c r="A60" s="29">
        <v>52</v>
      </c>
      <c r="B60" s="64"/>
      <c r="C60" s="9"/>
      <c r="D60" s="8"/>
      <c r="E60" s="9"/>
      <c r="F60" s="8"/>
      <c r="G60" s="9"/>
      <c r="H60" s="44">
        <v>50</v>
      </c>
      <c r="I60" s="27">
        <f>'[1]TEST 4 (FINAL)'!J64</f>
        <v>1.2857142857142856</v>
      </c>
    </row>
    <row r="61" spans="1:17" x14ac:dyDescent="0.25">
      <c r="A61" s="29">
        <v>53</v>
      </c>
      <c r="B61" s="64"/>
      <c r="C61" s="9"/>
      <c r="D61" s="8"/>
      <c r="E61" s="9"/>
      <c r="F61" s="8"/>
      <c r="G61" s="9"/>
      <c r="H61" s="44">
        <v>50</v>
      </c>
      <c r="I61" s="27">
        <f>'[1]TEST 4 (FINAL)'!J65</f>
        <v>1.1176470588235292</v>
      </c>
    </row>
    <row r="62" spans="1:17" x14ac:dyDescent="0.25">
      <c r="A62" s="29">
        <v>54</v>
      </c>
      <c r="B62" s="64"/>
      <c r="C62" s="9"/>
      <c r="D62" s="8"/>
      <c r="E62" s="9"/>
      <c r="F62" s="8"/>
      <c r="G62" s="9"/>
      <c r="H62" s="44">
        <v>50</v>
      </c>
      <c r="I62" s="27">
        <f>'[1]TEST 4 (FINAL)'!J66</f>
        <v>1.2307692307692308</v>
      </c>
    </row>
    <row r="63" spans="1:17" x14ac:dyDescent="0.25">
      <c r="A63" s="29">
        <v>55</v>
      </c>
      <c r="B63" s="64"/>
      <c r="C63" s="9"/>
      <c r="D63" s="8"/>
      <c r="E63" s="9"/>
      <c r="F63" s="8"/>
      <c r="G63" s="9"/>
      <c r="H63" s="44">
        <v>50</v>
      </c>
      <c r="I63" s="27">
        <f>'[1]TEST 4 (FINAL)'!J67</f>
        <v>1.2999999999999998</v>
      </c>
    </row>
    <row r="64" spans="1:17" x14ac:dyDescent="0.25">
      <c r="A64" s="29">
        <v>56</v>
      </c>
      <c r="B64" s="64"/>
      <c r="C64" s="9"/>
      <c r="D64" s="8"/>
      <c r="E64" s="9"/>
      <c r="F64" s="8"/>
      <c r="G64" s="9"/>
      <c r="H64" s="44">
        <v>50</v>
      </c>
      <c r="I64" s="27">
        <f>'[1]TEST 4 (FINAL)'!J68</f>
        <v>1</v>
      </c>
    </row>
    <row r="65" spans="1:9" x14ac:dyDescent="0.25">
      <c r="A65" s="29">
        <v>57</v>
      </c>
      <c r="B65" s="64"/>
      <c r="C65" s="9"/>
      <c r="D65" s="8"/>
      <c r="E65" s="9"/>
      <c r="F65" s="8"/>
      <c r="G65" s="9"/>
      <c r="H65" s="44">
        <v>50</v>
      </c>
      <c r="I65" s="27">
        <f>'[1]TEST 4 (FINAL)'!J69</f>
        <v>1.25</v>
      </c>
    </row>
    <row r="66" spans="1:9" x14ac:dyDescent="0.25">
      <c r="A66" s="29">
        <v>58</v>
      </c>
      <c r="B66" s="64"/>
      <c r="C66" s="9"/>
      <c r="D66" s="8"/>
      <c r="E66" s="9"/>
      <c r="F66" s="8"/>
      <c r="G66" s="9"/>
      <c r="H66" s="44">
        <v>50</v>
      </c>
      <c r="I66" s="27">
        <f>'[1]TEST 4 (FINAL)'!J70</f>
        <v>0.875</v>
      </c>
    </row>
    <row r="67" spans="1:9" x14ac:dyDescent="0.25">
      <c r="A67" s="29">
        <v>59</v>
      </c>
      <c r="B67" s="64"/>
      <c r="C67" s="9"/>
      <c r="D67" s="8"/>
      <c r="E67" s="9"/>
      <c r="F67" s="8"/>
      <c r="G67" s="9"/>
      <c r="H67" s="44">
        <v>50</v>
      </c>
      <c r="I67" s="27">
        <f>'[1]TEST 4 (FINAL)'!J71</f>
        <v>1</v>
      </c>
    </row>
    <row r="68" spans="1:9" x14ac:dyDescent="0.25">
      <c r="A68" s="29">
        <v>60</v>
      </c>
      <c r="B68" s="64"/>
      <c r="C68" s="9"/>
      <c r="D68" s="8"/>
      <c r="E68" s="9"/>
      <c r="F68" s="8"/>
      <c r="G68" s="9"/>
      <c r="H68" s="44">
        <v>50</v>
      </c>
      <c r="I68" s="27">
        <f>'[1]TEST 4 (FINAL)'!J72</f>
        <v>1.1499999999999999</v>
      </c>
    </row>
    <row r="69" spans="1:9" x14ac:dyDescent="0.25">
      <c r="A69" s="29">
        <v>61</v>
      </c>
      <c r="B69" s="64"/>
      <c r="C69" s="9"/>
      <c r="D69" s="8"/>
      <c r="E69" s="9"/>
      <c r="F69" s="8"/>
      <c r="G69" s="9"/>
      <c r="H69" s="44">
        <v>50</v>
      </c>
      <c r="I69" s="27">
        <f>'[1]TEST 4 (FINAL)'!J73</f>
        <v>1.2857142857142856</v>
      </c>
    </row>
    <row r="70" spans="1:9" x14ac:dyDescent="0.25">
      <c r="A70" s="29">
        <v>62</v>
      </c>
      <c r="B70" s="64"/>
      <c r="C70" s="9"/>
      <c r="D70" s="8"/>
      <c r="E70" s="9"/>
      <c r="F70" s="8"/>
      <c r="G70" s="9"/>
      <c r="H70" s="44">
        <v>50</v>
      </c>
      <c r="I70" s="27">
        <f>'[1]TEST 4 (FINAL)'!J74</f>
        <v>1.4000000000000001</v>
      </c>
    </row>
    <row r="71" spans="1:9" ht="15.75" thickBot="1" x14ac:dyDescent="0.3">
      <c r="A71" s="42">
        <v>63</v>
      </c>
      <c r="B71" s="15"/>
      <c r="C71" s="11"/>
      <c r="D71" s="10"/>
      <c r="E71" s="11"/>
      <c r="F71" s="10"/>
      <c r="G71" s="11"/>
      <c r="H71" s="45">
        <v>50</v>
      </c>
      <c r="I71" s="40">
        <f>'[1]TEST 4 (FINAL)'!J75</f>
        <v>0.5714285714285714</v>
      </c>
    </row>
    <row r="72" spans="1:9" x14ac:dyDescent="0.25">
      <c r="B72" s="225" t="s">
        <v>26</v>
      </c>
      <c r="C72" s="46">
        <f>'[1]TEST 1 (T1)'!I29</f>
        <v>1.25</v>
      </c>
      <c r="D72" s="225" t="s">
        <v>27</v>
      </c>
      <c r="E72" s="46">
        <f>'[1]TEST 2 (T2)'!I32</f>
        <v>0.89087301587301593</v>
      </c>
      <c r="F72" s="225" t="s">
        <v>28</v>
      </c>
      <c r="G72" s="47">
        <f>'[1]TEST 3 (T3)'!I30</f>
        <v>1.4444444444444444</v>
      </c>
      <c r="H72" s="225" t="s">
        <v>29</v>
      </c>
      <c r="I72" s="48">
        <f>MEDIAN(I9:I32)</f>
        <v>1.2222222222222223</v>
      </c>
    </row>
    <row r="73" spans="1:9" x14ac:dyDescent="0.25">
      <c r="B73" s="226"/>
      <c r="C73" s="46">
        <f>'[1]TEST 1 (T1)'!I30</f>
        <v>0.65919541994412656</v>
      </c>
      <c r="D73" s="226"/>
      <c r="E73" s="46">
        <f>'[1]TEST 2 (T2)'!I33</f>
        <v>0.63201929574976745</v>
      </c>
      <c r="F73" s="226"/>
      <c r="G73" s="47">
        <f>'[1]TEST 3 (T3)'!I31</f>
        <v>0.18750377488090414</v>
      </c>
      <c r="H73" s="226"/>
      <c r="I73" s="49">
        <f>STDEVA(I9:I32)</f>
        <v>0.35834385749923681</v>
      </c>
    </row>
    <row r="74" spans="1:9" ht="15.75" thickBot="1" x14ac:dyDescent="0.3">
      <c r="B74" s="227"/>
      <c r="C74" s="50">
        <f>'[1]TEST 1 (T1)'!I31</f>
        <v>1.0959704897204896</v>
      </c>
      <c r="D74" s="227"/>
      <c r="E74" s="50">
        <f>'[1]TEST 2 (T2)'!I34</f>
        <v>0.94638470708906908</v>
      </c>
      <c r="F74" s="227"/>
      <c r="G74" s="51">
        <f>'[1]TEST 3 (T3)'!I32</f>
        <v>1.4213091297124907</v>
      </c>
      <c r="H74" s="52" t="s">
        <v>59</v>
      </c>
      <c r="I74" s="53">
        <f>AVERAGE(I9:I32)</f>
        <v>1.1271712470121997</v>
      </c>
    </row>
    <row r="75" spans="1:9" x14ac:dyDescent="0.25">
      <c r="H75" s="54" t="s">
        <v>29</v>
      </c>
      <c r="I75" s="55">
        <f>'[1]TEST 4 (FINAL)'!J76</f>
        <v>1.1583333333333332</v>
      </c>
    </row>
    <row r="76" spans="1:9" x14ac:dyDescent="0.25">
      <c r="H76" s="56" t="s">
        <v>60</v>
      </c>
      <c r="I76" s="57">
        <f>'[1]TEST 4 (FINAL)'!J77</f>
        <v>0.39630391174297702</v>
      </c>
    </row>
    <row r="77" spans="1:9" ht="15.75" thickBot="1" x14ac:dyDescent="0.3">
      <c r="H77" s="58" t="s">
        <v>61</v>
      </c>
      <c r="I77" s="59">
        <f>'[1]TEST 4 (FINAL)'!J78</f>
        <v>1.0963320339104103</v>
      </c>
    </row>
  </sheetData>
  <mergeCells count="16">
    <mergeCell ref="P3:Q3"/>
    <mergeCell ref="P2:Q2"/>
    <mergeCell ref="P1:Q1"/>
    <mergeCell ref="M8:M9"/>
    <mergeCell ref="B72:B74"/>
    <mergeCell ref="D72:D74"/>
    <mergeCell ref="F72:F74"/>
    <mergeCell ref="H72:H73"/>
    <mergeCell ref="J2:K2"/>
    <mergeCell ref="J3:K3"/>
    <mergeCell ref="B7:C7"/>
    <mergeCell ref="D7:E7"/>
    <mergeCell ref="F7:G7"/>
    <mergeCell ref="H7:I7"/>
    <mergeCell ref="K8:K9"/>
    <mergeCell ref="L8:L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W31"/>
  <sheetViews>
    <sheetView zoomScale="80" zoomScaleNormal="80" workbookViewId="0">
      <selection activeCell="B4" sqref="B4"/>
    </sheetView>
  </sheetViews>
  <sheetFormatPr defaultRowHeight="15" x14ac:dyDescent="0.25"/>
  <cols>
    <col min="1" max="1" width="16.5703125" bestFit="1" customWidth="1"/>
    <col min="2" max="2" width="16.5703125" style="60" customWidth="1"/>
    <col min="3" max="3" width="10.5703125" bestFit="1" customWidth="1"/>
    <col min="14" max="14" width="17.28515625" customWidth="1"/>
    <col min="16" max="16" width="13" bestFit="1" customWidth="1"/>
    <col min="18" max="18" width="12.140625" bestFit="1" customWidth="1"/>
    <col min="21" max="21" width="12.140625" bestFit="1" customWidth="1"/>
    <col min="22" max="22" width="13.85546875" bestFit="1" customWidth="1"/>
    <col min="23" max="23" width="12" customWidth="1"/>
    <col min="24" max="24" width="15.28515625" customWidth="1"/>
  </cols>
  <sheetData>
    <row r="2" spans="1:23" ht="21" x14ac:dyDescent="0.35">
      <c r="A2" s="70" t="s">
        <v>26</v>
      </c>
    </row>
    <row r="3" spans="1:23" ht="21.75" thickBot="1" x14ac:dyDescent="0.4">
      <c r="B3" s="249" t="s">
        <v>130</v>
      </c>
      <c r="C3" s="70"/>
      <c r="N3" t="s">
        <v>128</v>
      </c>
    </row>
    <row r="4" spans="1:23" ht="15.75" thickBot="1" x14ac:dyDescent="0.3">
      <c r="A4" s="60"/>
      <c r="B4" s="16" t="s">
        <v>65</v>
      </c>
      <c r="C4" s="71" t="s">
        <v>66</v>
      </c>
      <c r="D4" s="17" t="s">
        <v>30</v>
      </c>
      <c r="E4" s="17">
        <v>230</v>
      </c>
      <c r="F4" s="17">
        <v>260</v>
      </c>
      <c r="G4" s="17">
        <v>270</v>
      </c>
      <c r="H4" s="17">
        <v>280</v>
      </c>
      <c r="I4" s="16" t="s">
        <v>68</v>
      </c>
      <c r="N4" s="72" t="s">
        <v>67</v>
      </c>
      <c r="O4" s="73" t="s">
        <v>30</v>
      </c>
      <c r="P4" s="73">
        <v>230</v>
      </c>
      <c r="Q4" s="73">
        <v>260</v>
      </c>
      <c r="R4" s="73">
        <v>270</v>
      </c>
      <c r="S4" s="73">
        <v>280</v>
      </c>
      <c r="T4" s="72" t="s">
        <v>68</v>
      </c>
    </row>
    <row r="5" spans="1:23" x14ac:dyDescent="0.25">
      <c r="A5" s="60"/>
      <c r="B5" s="23"/>
      <c r="C5" s="23">
        <v>1</v>
      </c>
      <c r="D5" s="20">
        <v>50</v>
      </c>
      <c r="E5" s="74">
        <v>7.9000000000000001E-2</v>
      </c>
      <c r="F5" s="74">
        <v>4.3999999999999997E-2</v>
      </c>
      <c r="G5" s="74">
        <v>4.1000000000000002E-2</v>
      </c>
      <c r="H5" s="75">
        <v>3.6999999999999998E-2</v>
      </c>
      <c r="I5" s="76">
        <f>F5/H5</f>
        <v>1.1891891891891893</v>
      </c>
      <c r="M5" t="s">
        <v>69</v>
      </c>
      <c r="N5" s="77">
        <v>5</v>
      </c>
      <c r="O5" s="20">
        <v>50</v>
      </c>
      <c r="P5" s="74">
        <v>2E-3</v>
      </c>
      <c r="Q5" s="74">
        <v>1E-3</v>
      </c>
      <c r="R5" s="74">
        <v>0</v>
      </c>
      <c r="S5" s="75">
        <v>0</v>
      </c>
      <c r="T5" s="23"/>
    </row>
    <row r="6" spans="1:23" x14ac:dyDescent="0.25">
      <c r="A6" s="60"/>
      <c r="B6" s="29"/>
      <c r="C6" s="29">
        <v>2</v>
      </c>
      <c r="D6" s="26">
        <v>50</v>
      </c>
      <c r="E6" s="78">
        <v>1.9E-2</v>
      </c>
      <c r="F6" s="78">
        <v>2.1000000000000001E-2</v>
      </c>
      <c r="G6" s="78">
        <v>1.7999999999999999E-2</v>
      </c>
      <c r="H6" s="79">
        <v>1.7999999999999999E-2</v>
      </c>
      <c r="I6" s="80">
        <f t="shared" ref="I6:I28" si="0">F6/H6</f>
        <v>1.1666666666666667</v>
      </c>
      <c r="M6" t="s">
        <v>69</v>
      </c>
      <c r="N6" s="81">
        <v>11</v>
      </c>
      <c r="O6" s="26">
        <v>50</v>
      </c>
      <c r="P6" s="78">
        <v>2.3E-2</v>
      </c>
      <c r="Q6" s="78">
        <v>5.0000000000000001E-3</v>
      </c>
      <c r="R6" s="78">
        <v>5.0000000000000001E-3</v>
      </c>
      <c r="S6" s="79">
        <v>5.0000000000000001E-3</v>
      </c>
      <c r="T6" s="80">
        <f>Q6/S6</f>
        <v>1</v>
      </c>
    </row>
    <row r="7" spans="1:23" x14ac:dyDescent="0.25">
      <c r="A7" s="60"/>
      <c r="B7" s="29"/>
      <c r="C7" s="29">
        <v>3</v>
      </c>
      <c r="D7" s="26">
        <v>50</v>
      </c>
      <c r="E7" s="78">
        <v>2.5000000000000001E-2</v>
      </c>
      <c r="F7" s="78">
        <v>0.01</v>
      </c>
      <c r="G7" s="78">
        <v>0.01</v>
      </c>
      <c r="H7" s="79">
        <v>8.0000000000000002E-3</v>
      </c>
      <c r="I7" s="80">
        <f t="shared" si="0"/>
        <v>1.25</v>
      </c>
      <c r="M7" t="s">
        <v>69</v>
      </c>
      <c r="N7" s="81">
        <v>21</v>
      </c>
      <c r="O7" s="26">
        <v>50</v>
      </c>
      <c r="P7" s="78">
        <v>0.01</v>
      </c>
      <c r="Q7" s="78">
        <v>0</v>
      </c>
      <c r="R7" s="78">
        <v>0</v>
      </c>
      <c r="S7" s="79">
        <v>0</v>
      </c>
      <c r="T7" s="29"/>
    </row>
    <row r="8" spans="1:23" ht="15.75" thickBot="1" x14ac:dyDescent="0.3">
      <c r="A8" s="60"/>
      <c r="B8" s="29"/>
      <c r="C8" s="29">
        <v>4</v>
      </c>
      <c r="D8" s="26">
        <v>50</v>
      </c>
      <c r="E8" s="78">
        <v>1.4999999999999999E-2</v>
      </c>
      <c r="F8" s="78">
        <v>7.0000000000000001E-3</v>
      </c>
      <c r="G8" s="78">
        <v>6.0000000000000001E-3</v>
      </c>
      <c r="H8" s="79">
        <v>5.0000000000000001E-3</v>
      </c>
      <c r="I8" s="80">
        <f t="shared" si="0"/>
        <v>1.4</v>
      </c>
      <c r="M8" t="s">
        <v>69</v>
      </c>
      <c r="N8" s="82">
        <v>22</v>
      </c>
      <c r="O8" s="39">
        <v>50</v>
      </c>
      <c r="P8" s="83">
        <v>1.0999999999999999E-2</v>
      </c>
      <c r="Q8" s="83">
        <v>0</v>
      </c>
      <c r="R8" s="83">
        <v>0</v>
      </c>
      <c r="S8" s="84">
        <v>0</v>
      </c>
      <c r="T8" s="42"/>
    </row>
    <row r="9" spans="1:23" x14ac:dyDescent="0.25">
      <c r="A9" s="60"/>
      <c r="B9" s="85" t="s">
        <v>70</v>
      </c>
      <c r="C9" s="81">
        <v>5</v>
      </c>
      <c r="D9" s="86">
        <v>50</v>
      </c>
      <c r="E9" s="87">
        <v>0</v>
      </c>
      <c r="F9" s="87">
        <v>-1E-3</v>
      </c>
      <c r="G9" s="87">
        <v>-2E-3</v>
      </c>
      <c r="H9" s="88">
        <v>-2E-3</v>
      </c>
      <c r="I9" s="89">
        <f t="shared" si="0"/>
        <v>0.5</v>
      </c>
      <c r="N9" s="90" t="s">
        <v>71</v>
      </c>
      <c r="O9" s="91"/>
      <c r="P9" s="92">
        <f>MEDIAN(P5:P8)</f>
        <v>1.0499999999999999E-2</v>
      </c>
      <c r="Q9" s="92">
        <f>MEDIAN(Q5:Q8)</f>
        <v>5.0000000000000001E-4</v>
      </c>
      <c r="R9" s="92">
        <f t="shared" ref="R9:T9" si="1">MEDIAN(R5:R8)</f>
        <v>0</v>
      </c>
      <c r="S9" s="93">
        <f t="shared" si="1"/>
        <v>0</v>
      </c>
      <c r="T9" s="90">
        <f t="shared" si="1"/>
        <v>1</v>
      </c>
    </row>
    <row r="10" spans="1:23" x14ac:dyDescent="0.25">
      <c r="A10" s="60"/>
      <c r="B10" s="29"/>
      <c r="C10" s="29">
        <v>6</v>
      </c>
      <c r="D10" s="26">
        <v>50</v>
      </c>
      <c r="E10" s="78">
        <v>3.3000000000000002E-2</v>
      </c>
      <c r="F10" s="78">
        <v>1.2E-2</v>
      </c>
      <c r="G10" s="78">
        <v>1.2E-2</v>
      </c>
      <c r="H10" s="79">
        <v>0.01</v>
      </c>
      <c r="I10" s="80">
        <f t="shared" si="0"/>
        <v>1.2</v>
      </c>
      <c r="N10" s="94" t="s">
        <v>72</v>
      </c>
      <c r="O10" s="95"/>
      <c r="P10" s="96">
        <f>STDEVA(P5:P8)</f>
        <v>8.6602540378443883E-3</v>
      </c>
      <c r="Q10" s="96">
        <f>STDEVA(Q5:Q8)</f>
        <v>2.3804761428476168E-3</v>
      </c>
      <c r="R10" s="96">
        <f t="shared" ref="R10:S10" si="2">STDEVA(R5:R8)</f>
        <v>2.5000000000000001E-3</v>
      </c>
      <c r="S10" s="97">
        <f t="shared" si="2"/>
        <v>2.5000000000000001E-3</v>
      </c>
      <c r="T10" s="94" t="e">
        <f>STDEVA(T5:T8)</f>
        <v>#DIV/0!</v>
      </c>
    </row>
    <row r="11" spans="1:23" ht="15.75" thickBot="1" x14ac:dyDescent="0.3">
      <c r="A11" s="60"/>
      <c r="B11" s="85" t="s">
        <v>73</v>
      </c>
      <c r="C11" s="85">
        <v>7</v>
      </c>
      <c r="D11" s="86">
        <v>50</v>
      </c>
      <c r="E11" s="87">
        <v>8.0000000000000002E-3</v>
      </c>
      <c r="F11" s="87">
        <v>5.0000000000000001E-3</v>
      </c>
      <c r="G11" s="87">
        <v>4.0000000000000001E-3</v>
      </c>
      <c r="H11" s="88">
        <v>4.0000000000000001E-3</v>
      </c>
      <c r="I11" s="89">
        <f t="shared" si="0"/>
        <v>1.25</v>
      </c>
      <c r="N11" s="98" t="s">
        <v>74</v>
      </c>
      <c r="O11" s="99"/>
      <c r="P11" s="100">
        <f>AVERAGE(P5:P8)</f>
        <v>1.15E-2</v>
      </c>
      <c r="Q11" s="100">
        <f>AVERAGE(Q5:Q8)</f>
        <v>1.5E-3</v>
      </c>
      <c r="R11" s="100">
        <f t="shared" ref="R11:T11" si="3">AVERAGE(R5:R8)</f>
        <v>1.25E-3</v>
      </c>
      <c r="S11" s="101">
        <f t="shared" si="3"/>
        <v>1.25E-3</v>
      </c>
      <c r="T11" s="98">
        <f t="shared" si="3"/>
        <v>1</v>
      </c>
    </row>
    <row r="12" spans="1:23" x14ac:dyDescent="0.25">
      <c r="A12" s="60"/>
      <c r="B12" s="29"/>
      <c r="C12" s="29">
        <v>8</v>
      </c>
      <c r="D12" s="26">
        <v>50</v>
      </c>
      <c r="E12" s="78">
        <v>3.3000000000000002E-2</v>
      </c>
      <c r="F12" s="78">
        <v>1.6E-2</v>
      </c>
      <c r="G12" s="78">
        <v>1.4999999999999999E-2</v>
      </c>
      <c r="H12" s="79">
        <v>1.2E-2</v>
      </c>
      <c r="I12" s="80">
        <f>F12/H12</f>
        <v>1.3333333333333333</v>
      </c>
    </row>
    <row r="13" spans="1:23" ht="15.75" thickBot="1" x14ac:dyDescent="0.3">
      <c r="A13" s="60" t="s">
        <v>75</v>
      </c>
      <c r="B13" s="29"/>
      <c r="C13" s="29">
        <v>9</v>
      </c>
      <c r="D13" s="26">
        <v>50</v>
      </c>
      <c r="E13" s="78">
        <v>3.6999999999999998E-2</v>
      </c>
      <c r="F13" s="78">
        <v>2.1999999999999999E-2</v>
      </c>
      <c r="G13" s="78">
        <v>1.9E-2</v>
      </c>
      <c r="H13" s="79">
        <v>1.4999999999999999E-2</v>
      </c>
      <c r="I13" s="80">
        <f t="shared" si="0"/>
        <v>1.4666666666666666</v>
      </c>
      <c r="N13" s="161" t="s">
        <v>129</v>
      </c>
    </row>
    <row r="14" spans="1:23" ht="21.75" thickBot="1" x14ac:dyDescent="0.4">
      <c r="A14" s="60"/>
      <c r="B14" s="102" t="s">
        <v>76</v>
      </c>
      <c r="C14" s="102">
        <v>10</v>
      </c>
      <c r="D14" s="103">
        <v>50</v>
      </c>
      <c r="E14" s="104">
        <v>3.0000000000000001E-3</v>
      </c>
      <c r="F14" s="104">
        <v>2E-3</v>
      </c>
      <c r="G14" s="104">
        <v>1E-3</v>
      </c>
      <c r="H14" s="105">
        <v>1E-3</v>
      </c>
      <c r="I14" s="106">
        <f t="shared" si="0"/>
        <v>2</v>
      </c>
      <c r="N14" s="107" t="s">
        <v>77</v>
      </c>
      <c r="O14" s="108"/>
      <c r="P14" s="108"/>
      <c r="Q14" s="241" t="s">
        <v>26</v>
      </c>
      <c r="R14" s="241"/>
      <c r="S14" s="241"/>
      <c r="T14" s="241"/>
      <c r="U14" s="108"/>
      <c r="V14" s="108"/>
      <c r="W14" s="7"/>
    </row>
    <row r="15" spans="1:23" ht="15.75" thickBot="1" x14ac:dyDescent="0.3">
      <c r="A15" s="60"/>
      <c r="B15" s="29"/>
      <c r="C15" s="81">
        <v>11</v>
      </c>
      <c r="D15" s="26">
        <v>50</v>
      </c>
      <c r="E15" s="78">
        <v>0.01</v>
      </c>
      <c r="F15" s="78">
        <v>0</v>
      </c>
      <c r="G15" s="78">
        <v>3.0000000000000001E-3</v>
      </c>
      <c r="H15" s="79">
        <v>4.0000000000000001E-3</v>
      </c>
      <c r="I15" s="80">
        <f t="shared" si="0"/>
        <v>0</v>
      </c>
      <c r="N15" s="26"/>
      <c r="O15" s="242" t="s">
        <v>78</v>
      </c>
      <c r="P15" s="243"/>
      <c r="Q15" s="243"/>
      <c r="R15" s="244"/>
      <c r="S15" s="64"/>
      <c r="T15" s="242" t="s">
        <v>79</v>
      </c>
      <c r="U15" s="243"/>
      <c r="V15" s="243"/>
      <c r="W15" s="244"/>
    </row>
    <row r="16" spans="1:23" ht="15.75" thickBot="1" x14ac:dyDescent="0.3">
      <c r="A16" s="60"/>
      <c r="B16" s="102" t="s">
        <v>80</v>
      </c>
      <c r="C16" s="102">
        <v>12</v>
      </c>
      <c r="D16" s="103">
        <v>50</v>
      </c>
      <c r="E16" s="104">
        <v>1.2999999999999999E-2</v>
      </c>
      <c r="F16" s="104">
        <v>4.0000000000000001E-3</v>
      </c>
      <c r="G16" s="104">
        <v>5.0000000000000001E-3</v>
      </c>
      <c r="H16" s="105">
        <v>0</v>
      </c>
      <c r="I16" s="106">
        <v>0</v>
      </c>
      <c r="N16" s="26"/>
      <c r="O16" s="20" t="s">
        <v>81</v>
      </c>
      <c r="P16" s="66" t="s">
        <v>82</v>
      </c>
      <c r="Q16" s="20" t="s">
        <v>81</v>
      </c>
      <c r="R16" s="66" t="s">
        <v>82</v>
      </c>
      <c r="S16" s="64"/>
      <c r="T16" s="20" t="s">
        <v>81</v>
      </c>
      <c r="U16" s="66" t="s">
        <v>82</v>
      </c>
      <c r="V16" s="20" t="s">
        <v>81</v>
      </c>
      <c r="W16" s="66" t="s">
        <v>82</v>
      </c>
    </row>
    <row r="17" spans="1:23" ht="15.75" thickBot="1" x14ac:dyDescent="0.3">
      <c r="A17" s="60"/>
      <c r="B17" s="102" t="s">
        <v>80</v>
      </c>
      <c r="C17" s="102">
        <v>13</v>
      </c>
      <c r="D17" s="103">
        <v>50</v>
      </c>
      <c r="E17" s="104">
        <v>1.4999999999999999E-2</v>
      </c>
      <c r="F17" s="104">
        <v>5.0000000000000001E-3</v>
      </c>
      <c r="G17" s="104">
        <v>5.0000000000000001E-3</v>
      </c>
      <c r="H17" s="105">
        <v>5.0000000000000001E-3</v>
      </c>
      <c r="I17" s="106">
        <f t="shared" si="0"/>
        <v>1</v>
      </c>
      <c r="N17" s="72" t="s">
        <v>83</v>
      </c>
      <c r="O17" s="62">
        <v>400</v>
      </c>
      <c r="P17" s="44">
        <v>15</v>
      </c>
      <c r="Q17" s="39">
        <v>500</v>
      </c>
      <c r="R17" s="109">
        <v>22</v>
      </c>
      <c r="S17" s="64"/>
      <c r="T17" s="39">
        <v>400</v>
      </c>
      <c r="U17" s="65">
        <v>5</v>
      </c>
      <c r="V17" s="39">
        <v>500</v>
      </c>
      <c r="W17" s="65">
        <v>7</v>
      </c>
    </row>
    <row r="18" spans="1:23" x14ac:dyDescent="0.25">
      <c r="A18" s="60"/>
      <c r="B18" s="29"/>
      <c r="C18" s="29">
        <v>14</v>
      </c>
      <c r="D18" s="26">
        <v>50</v>
      </c>
      <c r="E18" s="78">
        <v>0.01</v>
      </c>
      <c r="F18" s="78">
        <v>4.0000000000000001E-3</v>
      </c>
      <c r="G18" s="78">
        <v>4.0000000000000001E-3</v>
      </c>
      <c r="H18" s="79">
        <v>3.0000000000000001E-3</v>
      </c>
      <c r="I18" s="80">
        <f t="shared" si="0"/>
        <v>1.3333333333333333</v>
      </c>
      <c r="N18" s="23" t="s">
        <v>84</v>
      </c>
      <c r="O18" s="20">
        <v>400</v>
      </c>
      <c r="P18" s="245">
        <v>12</v>
      </c>
      <c r="Q18" s="20">
        <v>500</v>
      </c>
      <c r="R18" s="245">
        <v>13</v>
      </c>
      <c r="S18" s="64"/>
      <c r="T18" s="20">
        <v>400</v>
      </c>
      <c r="U18" s="245">
        <v>20</v>
      </c>
      <c r="V18" s="20">
        <v>500</v>
      </c>
      <c r="W18" s="245">
        <v>10</v>
      </c>
    </row>
    <row r="19" spans="1:23" x14ac:dyDescent="0.25">
      <c r="A19" s="60"/>
      <c r="B19" s="85" t="s">
        <v>85</v>
      </c>
      <c r="C19" s="85">
        <v>15</v>
      </c>
      <c r="D19" s="86">
        <v>50</v>
      </c>
      <c r="E19" s="87">
        <v>1.4E-2</v>
      </c>
      <c r="F19" s="87">
        <v>4.0000000000000001E-3</v>
      </c>
      <c r="G19" s="87">
        <v>4.0000000000000001E-3</v>
      </c>
      <c r="H19" s="88">
        <v>3.0000000000000001E-3</v>
      </c>
      <c r="I19" s="89">
        <f t="shared" si="0"/>
        <v>1.3333333333333333</v>
      </c>
      <c r="N19" s="29" t="s">
        <v>86</v>
      </c>
      <c r="O19" s="26">
        <v>100</v>
      </c>
      <c r="P19" s="246"/>
      <c r="Q19" s="26">
        <v>100</v>
      </c>
      <c r="R19" s="246"/>
      <c r="S19" s="64"/>
      <c r="T19" s="26">
        <v>100</v>
      </c>
      <c r="U19" s="246"/>
      <c r="V19" s="26">
        <v>100</v>
      </c>
      <c r="W19" s="246"/>
    </row>
    <row r="20" spans="1:23" ht="15.75" thickBot="1" x14ac:dyDescent="0.3">
      <c r="A20" s="60"/>
      <c r="B20" s="29"/>
      <c r="C20" s="29">
        <v>16</v>
      </c>
      <c r="D20" s="26">
        <v>50</v>
      </c>
      <c r="E20" s="78">
        <v>5.0999999999999997E-2</v>
      </c>
      <c r="F20" s="78">
        <v>8.0000000000000002E-3</v>
      </c>
      <c r="G20" s="78">
        <v>7.0000000000000001E-3</v>
      </c>
      <c r="H20" s="79">
        <v>4.0000000000000001E-3</v>
      </c>
      <c r="I20" s="80">
        <f t="shared" si="0"/>
        <v>2</v>
      </c>
      <c r="N20" s="110" t="s">
        <v>87</v>
      </c>
      <c r="O20" s="26">
        <v>500</v>
      </c>
      <c r="P20" s="246"/>
      <c r="Q20" s="26">
        <v>400</v>
      </c>
      <c r="R20" s="246"/>
      <c r="S20" s="64"/>
      <c r="T20" s="26">
        <v>500</v>
      </c>
      <c r="U20" s="246"/>
      <c r="V20" s="26">
        <v>400</v>
      </c>
      <c r="W20" s="246"/>
    </row>
    <row r="21" spans="1:23" x14ac:dyDescent="0.25">
      <c r="A21" s="60"/>
      <c r="B21" s="29"/>
      <c r="C21" s="29">
        <v>17</v>
      </c>
      <c r="D21" s="26">
        <v>50</v>
      </c>
      <c r="E21" s="78">
        <v>4.5999999999999999E-2</v>
      </c>
      <c r="F21" s="78">
        <v>1.6E-2</v>
      </c>
      <c r="G21" s="78">
        <v>1.6E-2</v>
      </c>
      <c r="H21" s="79">
        <v>1.2999999999999999E-2</v>
      </c>
      <c r="I21" s="80">
        <f t="shared" si="0"/>
        <v>1.2307692307692308</v>
      </c>
      <c r="N21" s="6" t="s">
        <v>88</v>
      </c>
      <c r="O21" s="108"/>
      <c r="P21" s="108"/>
      <c r="Q21" s="108"/>
      <c r="R21" s="108"/>
      <c r="S21" s="108"/>
      <c r="T21" s="108"/>
      <c r="U21" s="108"/>
      <c r="V21" s="108"/>
      <c r="W21" s="7"/>
    </row>
    <row r="22" spans="1:23" ht="15.75" thickBot="1" x14ac:dyDescent="0.3">
      <c r="A22" s="60"/>
      <c r="B22" s="29"/>
      <c r="C22" s="29">
        <v>18</v>
      </c>
      <c r="D22" s="26">
        <v>50</v>
      </c>
      <c r="E22" s="78">
        <v>0.01</v>
      </c>
      <c r="F22" s="78">
        <v>0</v>
      </c>
      <c r="G22" s="78">
        <v>0</v>
      </c>
      <c r="H22" s="79">
        <v>0</v>
      </c>
      <c r="I22" s="80">
        <v>0</v>
      </c>
      <c r="N22" s="111" t="s">
        <v>89</v>
      </c>
      <c r="O22" s="15"/>
      <c r="P22" s="15"/>
      <c r="Q22" s="15"/>
      <c r="R22" s="15"/>
      <c r="S22" s="15"/>
      <c r="T22" s="15"/>
      <c r="U22" s="15"/>
      <c r="V22" s="15"/>
      <c r="W22" s="11"/>
    </row>
    <row r="23" spans="1:23" x14ac:dyDescent="0.25">
      <c r="A23" s="60"/>
      <c r="B23" s="29"/>
      <c r="C23" s="29">
        <v>19</v>
      </c>
      <c r="D23" s="26">
        <v>50</v>
      </c>
      <c r="E23" s="78">
        <v>0.01</v>
      </c>
      <c r="F23" s="78">
        <v>7.0000000000000001E-3</v>
      </c>
      <c r="G23" s="78">
        <v>6.0000000000000001E-3</v>
      </c>
      <c r="H23" s="79">
        <v>4.0000000000000001E-3</v>
      </c>
      <c r="I23" s="80">
        <f t="shared" si="0"/>
        <v>1.75</v>
      </c>
    </row>
    <row r="24" spans="1:23" x14ac:dyDescent="0.25">
      <c r="A24" s="60"/>
      <c r="B24" s="102" t="s">
        <v>76</v>
      </c>
      <c r="C24" s="102">
        <v>20</v>
      </c>
      <c r="D24" s="103">
        <v>50</v>
      </c>
      <c r="E24" s="104">
        <v>4.0000000000000001E-3</v>
      </c>
      <c r="F24" s="104">
        <v>3.0000000000000001E-3</v>
      </c>
      <c r="G24" s="104">
        <v>2E-3</v>
      </c>
      <c r="H24" s="105">
        <v>2E-3</v>
      </c>
      <c r="I24" s="106">
        <f t="shared" si="0"/>
        <v>1.5</v>
      </c>
    </row>
    <row r="25" spans="1:23" x14ac:dyDescent="0.25">
      <c r="A25" s="60"/>
      <c r="B25" s="29"/>
      <c r="C25" s="81">
        <v>21</v>
      </c>
      <c r="D25" s="26">
        <v>50</v>
      </c>
      <c r="E25" s="78">
        <v>0.01</v>
      </c>
      <c r="F25" s="78">
        <v>0</v>
      </c>
      <c r="G25" s="78">
        <v>0</v>
      </c>
      <c r="H25" s="79">
        <v>0</v>
      </c>
      <c r="I25" s="80">
        <v>0</v>
      </c>
    </row>
    <row r="26" spans="1:23" x14ac:dyDescent="0.25">
      <c r="A26" s="60"/>
      <c r="B26" s="85" t="s">
        <v>90</v>
      </c>
      <c r="C26" s="81">
        <v>22</v>
      </c>
      <c r="D26" s="86">
        <v>50</v>
      </c>
      <c r="E26" s="87">
        <v>1.0999999999999999E-2</v>
      </c>
      <c r="F26" s="87">
        <v>0</v>
      </c>
      <c r="G26" s="87">
        <v>0</v>
      </c>
      <c r="H26" s="88">
        <v>1E-3</v>
      </c>
      <c r="I26" s="89">
        <f t="shared" si="0"/>
        <v>0</v>
      </c>
    </row>
    <row r="27" spans="1:23" x14ac:dyDescent="0.25">
      <c r="A27" s="60"/>
      <c r="B27" s="29"/>
      <c r="C27" s="29">
        <v>23</v>
      </c>
      <c r="D27" s="26">
        <v>50</v>
      </c>
      <c r="E27" s="78">
        <v>2.1999999999999999E-2</v>
      </c>
      <c r="F27" s="78">
        <v>7.0000000000000001E-3</v>
      </c>
      <c r="G27" s="78">
        <v>6.0000000000000001E-3</v>
      </c>
      <c r="H27" s="79">
        <v>5.0000000000000001E-3</v>
      </c>
      <c r="I27" s="80">
        <f t="shared" si="0"/>
        <v>1.4</v>
      </c>
    </row>
    <row r="28" spans="1:23" ht="15.75" thickBot="1" x14ac:dyDescent="0.3">
      <c r="A28" s="60" t="s">
        <v>75</v>
      </c>
      <c r="B28" s="42"/>
      <c r="C28" s="42">
        <v>24</v>
      </c>
      <c r="D28" s="39">
        <v>50</v>
      </c>
      <c r="E28" s="83">
        <v>1.7999999999999999E-2</v>
      </c>
      <c r="F28" s="83">
        <v>1.7999999999999999E-2</v>
      </c>
      <c r="G28" s="83">
        <v>1.0999999999999999E-2</v>
      </c>
      <c r="H28" s="84">
        <v>8.9999999999999993E-3</v>
      </c>
      <c r="I28" s="112">
        <f t="shared" si="0"/>
        <v>2</v>
      </c>
    </row>
    <row r="29" spans="1:23" x14ac:dyDescent="0.25">
      <c r="C29" s="90" t="s">
        <v>71</v>
      </c>
      <c r="D29" s="91"/>
      <c r="E29" s="113">
        <f>MEDIAN(E5:E28)</f>
        <v>1.4499999999999999E-2</v>
      </c>
      <c r="F29" s="113">
        <f t="shared" ref="F29:H29" si="4">MEDIAN(F5:F28)</f>
        <v>6.0000000000000001E-3</v>
      </c>
      <c r="G29" s="113">
        <f t="shared" si="4"/>
        <v>5.4999999999999997E-3</v>
      </c>
      <c r="H29" s="114">
        <f t="shared" si="4"/>
        <v>4.0000000000000001E-3</v>
      </c>
      <c r="I29" s="115">
        <f>MEDIAN(I5:I28)</f>
        <v>1.25</v>
      </c>
    </row>
    <row r="30" spans="1:23" x14ac:dyDescent="0.25">
      <c r="C30" s="94" t="s">
        <v>72</v>
      </c>
      <c r="D30" s="95"/>
      <c r="E30" s="116">
        <f>STDEVA(E5:E28)</f>
        <v>1.8145946167638663E-2</v>
      </c>
      <c r="F30" s="116">
        <f t="shared" ref="F30:H30" si="5">STDEVA(F5:F28)</f>
        <v>1.012064900250394E-2</v>
      </c>
      <c r="G30" s="116">
        <f t="shared" si="5"/>
        <v>9.1674242111220439E-3</v>
      </c>
      <c r="H30" s="117">
        <f t="shared" si="5"/>
        <v>8.2434646930115169E-3</v>
      </c>
      <c r="I30" s="118">
        <f>STDEVA(I5:I28)</f>
        <v>0.65919541994412656</v>
      </c>
    </row>
    <row r="31" spans="1:23" ht="15.75" thickBot="1" x14ac:dyDescent="0.3">
      <c r="C31" s="98" t="s">
        <v>74</v>
      </c>
      <c r="D31" s="99"/>
      <c r="E31" s="119">
        <f>AVERAGE(E5:E28)</f>
        <v>2.066666666666667E-2</v>
      </c>
      <c r="F31" s="119">
        <f t="shared" ref="F31:I31" si="6">AVERAGE(F5:F28)</f>
        <v>8.9166666666666682E-3</v>
      </c>
      <c r="G31" s="119">
        <f t="shared" si="6"/>
        <v>8.0416666666666692E-3</v>
      </c>
      <c r="H31" s="120">
        <f t="shared" si="6"/>
        <v>6.7083333333333344E-3</v>
      </c>
      <c r="I31" s="121">
        <f t="shared" si="6"/>
        <v>1.0959704897204896</v>
      </c>
    </row>
  </sheetData>
  <mergeCells count="7">
    <mergeCell ref="Q14:T14"/>
    <mergeCell ref="O15:R15"/>
    <mergeCell ref="T15:W15"/>
    <mergeCell ref="P18:P20"/>
    <mergeCell ref="R18:R20"/>
    <mergeCell ref="U18:U20"/>
    <mergeCell ref="W18:W2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5"/>
  <sheetViews>
    <sheetView topLeftCell="B1" zoomScale="80" zoomScaleNormal="80" workbookViewId="0">
      <selection activeCell="M8" sqref="M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6.5703125" style="60" customWidth="1"/>
    <col min="4" max="4" width="10.42578125" customWidth="1"/>
  </cols>
  <sheetData>
    <row r="2" spans="2:19" ht="21" x14ac:dyDescent="0.35">
      <c r="D2" s="70" t="s">
        <v>91</v>
      </c>
    </row>
    <row r="3" spans="2:19" ht="15.75" thickBot="1" x14ac:dyDescent="0.3">
      <c r="D3" t="s">
        <v>125</v>
      </c>
    </row>
    <row r="4" spans="2:19" ht="15.75" thickBot="1" x14ac:dyDescent="0.3">
      <c r="D4" s="71" t="s">
        <v>66</v>
      </c>
      <c r="E4" s="17" t="s">
        <v>30</v>
      </c>
      <c r="F4" s="17">
        <v>230</v>
      </c>
      <c r="G4" s="17">
        <v>260</v>
      </c>
      <c r="H4" s="17">
        <v>270</v>
      </c>
      <c r="I4" s="17">
        <v>280</v>
      </c>
      <c r="J4" s="16" t="s">
        <v>68</v>
      </c>
      <c r="M4" s="122" t="s">
        <v>92</v>
      </c>
    </row>
    <row r="5" spans="2:19" ht="15.75" thickBot="1" x14ac:dyDescent="0.3">
      <c r="B5" t="s">
        <v>93</v>
      </c>
      <c r="D5" s="123">
        <v>1</v>
      </c>
      <c r="E5" s="124">
        <v>100</v>
      </c>
      <c r="F5" s="125">
        <v>5.8000000000000003E-2</v>
      </c>
      <c r="G5" s="125">
        <v>1.7999999999999999E-2</v>
      </c>
      <c r="H5" s="125">
        <v>1.9E-2</v>
      </c>
      <c r="I5" s="126">
        <v>1.7000000000000001E-2</v>
      </c>
      <c r="J5" s="127">
        <f t="shared" ref="J5:J32" si="0">G5/I5</f>
        <v>1.0588235294117645</v>
      </c>
    </row>
    <row r="6" spans="2:19" x14ac:dyDescent="0.25">
      <c r="D6" s="62"/>
      <c r="E6" s="247"/>
      <c r="F6" s="62"/>
      <c r="G6" s="62"/>
      <c r="H6" s="62"/>
      <c r="I6" s="62"/>
      <c r="J6" s="156"/>
    </row>
    <row r="7" spans="2:19" ht="15.75" thickBot="1" x14ac:dyDescent="0.3">
      <c r="D7" s="248" t="s">
        <v>126</v>
      </c>
      <c r="E7" s="62"/>
      <c r="F7" s="62"/>
      <c r="G7" s="62"/>
      <c r="H7" s="62"/>
      <c r="I7" s="62"/>
      <c r="J7" s="62"/>
      <c r="M7" s="249" t="s">
        <v>127</v>
      </c>
    </row>
    <row r="8" spans="2:19" ht="15.75" thickBot="1" x14ac:dyDescent="0.3">
      <c r="C8" s="128" t="s">
        <v>94</v>
      </c>
      <c r="D8" s="71" t="s">
        <v>66</v>
      </c>
      <c r="E8" s="17" t="s">
        <v>30</v>
      </c>
      <c r="F8" s="17">
        <v>230</v>
      </c>
      <c r="G8" s="17">
        <v>260</v>
      </c>
      <c r="H8" s="17">
        <v>270</v>
      </c>
      <c r="I8" s="17">
        <v>280</v>
      </c>
      <c r="J8" s="16" t="s">
        <v>68</v>
      </c>
      <c r="M8" s="16" t="s">
        <v>67</v>
      </c>
      <c r="N8" s="17" t="s">
        <v>95</v>
      </c>
      <c r="O8" s="17">
        <v>230</v>
      </c>
      <c r="P8" s="17">
        <v>260</v>
      </c>
      <c r="Q8" s="17">
        <v>270</v>
      </c>
      <c r="R8" s="17">
        <v>280</v>
      </c>
      <c r="S8" s="16" t="s">
        <v>68</v>
      </c>
    </row>
    <row r="9" spans="2:19" x14ac:dyDescent="0.25">
      <c r="C9" s="129" t="s">
        <v>96</v>
      </c>
      <c r="D9" s="77">
        <v>1</v>
      </c>
      <c r="E9" s="20">
        <v>150</v>
      </c>
      <c r="F9" s="74">
        <v>0.1</v>
      </c>
      <c r="G9" s="74">
        <v>4.4999999999999998E-2</v>
      </c>
      <c r="H9" s="74">
        <v>4.5999999999999999E-2</v>
      </c>
      <c r="I9" s="75">
        <v>4.2999999999999997E-2</v>
      </c>
      <c r="J9" s="76">
        <f t="shared" si="0"/>
        <v>1.0465116279069768</v>
      </c>
      <c r="L9" t="s">
        <v>69</v>
      </c>
      <c r="M9" s="77">
        <v>1</v>
      </c>
      <c r="N9" s="20">
        <v>150</v>
      </c>
      <c r="O9" s="74">
        <v>0.1</v>
      </c>
      <c r="P9" s="74">
        <v>3.6999999999999998E-2</v>
      </c>
      <c r="Q9" s="74">
        <v>3.5000000000000003E-2</v>
      </c>
      <c r="R9" s="75">
        <v>3.1E-2</v>
      </c>
      <c r="S9" s="76">
        <f>P9/R9</f>
        <v>1.1935483870967742</v>
      </c>
    </row>
    <row r="10" spans="2:19" ht="15.75" thickBot="1" x14ac:dyDescent="0.3">
      <c r="C10" s="129"/>
      <c r="D10" s="29">
        <v>2</v>
      </c>
      <c r="E10" s="26">
        <v>150</v>
      </c>
      <c r="F10" s="78">
        <v>0.01</v>
      </c>
      <c r="G10" s="78">
        <v>3.1E-2</v>
      </c>
      <c r="H10" s="78">
        <v>3.1E-2</v>
      </c>
      <c r="I10" s="79">
        <v>2.8000000000000001E-2</v>
      </c>
      <c r="J10" s="80">
        <f t="shared" si="0"/>
        <v>1.1071428571428572</v>
      </c>
      <c r="L10" t="s">
        <v>69</v>
      </c>
      <c r="M10" s="82">
        <v>3</v>
      </c>
      <c r="N10" s="39">
        <v>150</v>
      </c>
      <c r="O10" s="83">
        <v>7.6999999999999999E-2</v>
      </c>
      <c r="P10" s="83">
        <v>2.5000000000000001E-2</v>
      </c>
      <c r="Q10" s="83">
        <v>2.7E-2</v>
      </c>
      <c r="R10" s="84">
        <v>2.5999999999999999E-2</v>
      </c>
      <c r="S10" s="112">
        <f>P10/R10</f>
        <v>0.96153846153846168</v>
      </c>
    </row>
    <row r="11" spans="2:19" x14ac:dyDescent="0.25">
      <c r="C11" s="129" t="s">
        <v>96</v>
      </c>
      <c r="D11" s="81">
        <v>3</v>
      </c>
      <c r="E11" s="26">
        <v>150</v>
      </c>
      <c r="F11" s="78">
        <v>0.155</v>
      </c>
      <c r="G11" s="78">
        <v>4.8000000000000001E-2</v>
      </c>
      <c r="H11" s="78">
        <v>4.3999999999999997E-2</v>
      </c>
      <c r="I11" s="79">
        <v>3.9E-2</v>
      </c>
      <c r="J11" s="80">
        <f t="shared" si="0"/>
        <v>1.2307692307692308</v>
      </c>
      <c r="M11" s="90" t="s">
        <v>71</v>
      </c>
      <c r="N11" s="91"/>
      <c r="O11" s="113">
        <f>MEDIAN(O9:O10)</f>
        <v>8.8499999999999995E-2</v>
      </c>
      <c r="P11" s="113">
        <f t="shared" ref="P11:S11" si="1">MEDIAN(P9:P10)</f>
        <v>3.1E-2</v>
      </c>
      <c r="Q11" s="113">
        <f t="shared" si="1"/>
        <v>3.1E-2</v>
      </c>
      <c r="R11" s="113">
        <f t="shared" si="1"/>
        <v>2.8499999999999998E-2</v>
      </c>
      <c r="S11" s="130">
        <f t="shared" si="1"/>
        <v>1.0775434243176178</v>
      </c>
    </row>
    <row r="12" spans="2:19" x14ac:dyDescent="0.25">
      <c r="C12" s="129"/>
      <c r="D12" s="29">
        <v>4</v>
      </c>
      <c r="E12" s="26">
        <v>150</v>
      </c>
      <c r="F12" s="78">
        <v>6.5000000000000002E-2</v>
      </c>
      <c r="G12" s="78">
        <v>1.0999999999999999E-2</v>
      </c>
      <c r="H12" s="78">
        <v>1.2E-2</v>
      </c>
      <c r="I12" s="79">
        <v>0.01</v>
      </c>
      <c r="J12" s="80">
        <f t="shared" si="0"/>
        <v>1.0999999999999999</v>
      </c>
      <c r="M12" s="94" t="s">
        <v>72</v>
      </c>
      <c r="N12" s="95"/>
      <c r="O12" s="116">
        <f>STDEVA(O9:O10)</f>
        <v>1.6263455967290726E-2</v>
      </c>
      <c r="P12" s="116">
        <f t="shared" ref="P12:S12" si="2">STDEVA(P9:P10)</f>
        <v>8.4852813742385836E-3</v>
      </c>
      <c r="Q12" s="116">
        <f t="shared" si="2"/>
        <v>5.6568542494923914E-3</v>
      </c>
      <c r="R12" s="116">
        <f t="shared" si="2"/>
        <v>3.5355339059327385E-3</v>
      </c>
      <c r="S12" s="131">
        <f t="shared" si="2"/>
        <v>0.16405579166487078</v>
      </c>
    </row>
    <row r="13" spans="2:19" ht="15.75" thickBot="1" x14ac:dyDescent="0.3">
      <c r="C13" s="129"/>
      <c r="D13" s="85">
        <v>5</v>
      </c>
      <c r="E13" s="26">
        <v>150</v>
      </c>
      <c r="F13" s="78">
        <v>0.13800000000000001</v>
      </c>
      <c r="G13" s="78">
        <v>2.8000000000000001E-2</v>
      </c>
      <c r="H13" s="78">
        <v>3.3000000000000002E-2</v>
      </c>
      <c r="I13" s="79">
        <v>3.2000000000000001E-2</v>
      </c>
      <c r="J13" s="80">
        <f t="shared" si="0"/>
        <v>0.875</v>
      </c>
      <c r="M13" s="98" t="s">
        <v>74</v>
      </c>
      <c r="N13" s="99"/>
      <c r="O13" s="119">
        <f>AVERAGE(O9:O10)</f>
        <v>8.8499999999999995E-2</v>
      </c>
      <c r="P13" s="119">
        <f t="shared" ref="P13:S13" si="3">AVERAGE(P9:P10)</f>
        <v>3.1E-2</v>
      </c>
      <c r="Q13" s="119">
        <f t="shared" si="3"/>
        <v>3.1E-2</v>
      </c>
      <c r="R13" s="119">
        <f t="shared" si="3"/>
        <v>2.8499999999999998E-2</v>
      </c>
      <c r="S13" s="132">
        <f t="shared" si="3"/>
        <v>1.0775434243176178</v>
      </c>
    </row>
    <row r="14" spans="2:19" x14ac:dyDescent="0.25">
      <c r="C14" s="129"/>
      <c r="D14" s="29">
        <v>6</v>
      </c>
      <c r="E14" s="26">
        <v>150</v>
      </c>
      <c r="F14" s="78">
        <v>0.14199999999999999</v>
      </c>
      <c r="G14" s="78">
        <v>2.7E-2</v>
      </c>
      <c r="H14" s="78">
        <v>3.3000000000000002E-2</v>
      </c>
      <c r="I14" s="79">
        <v>3.1E-2</v>
      </c>
      <c r="J14" s="80">
        <f t="shared" si="0"/>
        <v>0.87096774193548387</v>
      </c>
    </row>
    <row r="15" spans="2:19" x14ac:dyDescent="0.25">
      <c r="C15" s="129"/>
      <c r="D15" s="85">
        <v>7</v>
      </c>
      <c r="E15" s="26">
        <v>150</v>
      </c>
      <c r="F15" s="78">
        <v>0.122</v>
      </c>
      <c r="G15" s="78">
        <v>2.5000000000000001E-2</v>
      </c>
      <c r="H15" s="78">
        <v>2.9000000000000001E-2</v>
      </c>
      <c r="I15" s="79">
        <v>2.8000000000000001E-2</v>
      </c>
      <c r="J15" s="80">
        <f t="shared" si="0"/>
        <v>0.8928571428571429</v>
      </c>
    </row>
    <row r="16" spans="2:19" x14ac:dyDescent="0.25">
      <c r="C16" s="129"/>
      <c r="D16" s="29">
        <v>8</v>
      </c>
      <c r="E16" s="26">
        <v>150</v>
      </c>
      <c r="F16" s="78">
        <v>8.3000000000000004E-2</v>
      </c>
      <c r="G16" s="78">
        <v>0.02</v>
      </c>
      <c r="H16" s="78">
        <v>2.3E-2</v>
      </c>
      <c r="I16" s="79">
        <v>2.1000000000000001E-2</v>
      </c>
      <c r="J16" s="80">
        <f t="shared" si="0"/>
        <v>0.95238095238095233</v>
      </c>
      <c r="M16" s="133" t="s">
        <v>97</v>
      </c>
    </row>
    <row r="17" spans="2:10" x14ac:dyDescent="0.25">
      <c r="C17" s="129"/>
      <c r="D17" s="29">
        <v>9</v>
      </c>
      <c r="E17" s="26">
        <v>150</v>
      </c>
      <c r="F17" s="78">
        <v>8.4000000000000005E-2</v>
      </c>
      <c r="G17" s="78">
        <v>8.9999999999999993E-3</v>
      </c>
      <c r="H17" s="78">
        <v>1.4E-2</v>
      </c>
      <c r="I17" s="79">
        <v>1.4E-2</v>
      </c>
      <c r="J17" s="80">
        <f t="shared" si="0"/>
        <v>0.64285714285714279</v>
      </c>
    </row>
    <row r="18" spans="2:10" x14ac:dyDescent="0.25">
      <c r="C18" s="129"/>
      <c r="D18" s="102">
        <v>10</v>
      </c>
      <c r="E18" s="26">
        <v>150</v>
      </c>
      <c r="F18" s="78">
        <v>5.7000000000000002E-2</v>
      </c>
      <c r="G18" s="78">
        <v>2E-3</v>
      </c>
      <c r="H18" s="78">
        <v>7.0000000000000001E-3</v>
      </c>
      <c r="I18" s="79">
        <v>8.0000000000000002E-3</v>
      </c>
      <c r="J18" s="80">
        <f t="shared" si="0"/>
        <v>0.25</v>
      </c>
    </row>
    <row r="19" spans="2:10" x14ac:dyDescent="0.25">
      <c r="C19" s="129"/>
      <c r="D19" s="29">
        <v>11</v>
      </c>
      <c r="E19" s="26">
        <v>150</v>
      </c>
      <c r="F19" s="78">
        <v>7.0999999999999994E-2</v>
      </c>
      <c r="G19" s="78">
        <v>1.2E-2</v>
      </c>
      <c r="H19" s="78">
        <v>1.7000000000000001E-2</v>
      </c>
      <c r="I19" s="79">
        <v>1.7999999999999999E-2</v>
      </c>
      <c r="J19" s="80">
        <f t="shared" si="0"/>
        <v>0.66666666666666674</v>
      </c>
    </row>
    <row r="20" spans="2:10" x14ac:dyDescent="0.25">
      <c r="B20" s="134"/>
      <c r="C20" s="129" t="s">
        <v>96</v>
      </c>
      <c r="D20" s="189">
        <v>12</v>
      </c>
      <c r="E20" s="135">
        <v>150</v>
      </c>
      <c r="F20" s="136">
        <v>8.0000000000000002E-3</v>
      </c>
      <c r="G20" s="136">
        <v>-1.0999999999999999E-2</v>
      </c>
      <c r="H20" s="136">
        <v>-7.0000000000000001E-3</v>
      </c>
      <c r="I20" s="137">
        <v>-4.0000000000000001E-3</v>
      </c>
      <c r="J20" s="138">
        <f t="shared" si="0"/>
        <v>2.75</v>
      </c>
    </row>
    <row r="21" spans="2:10" x14ac:dyDescent="0.25">
      <c r="C21" s="129"/>
      <c r="D21" s="102">
        <v>13</v>
      </c>
      <c r="E21" s="26">
        <v>150</v>
      </c>
      <c r="F21" s="78">
        <v>7.8E-2</v>
      </c>
      <c r="G21" s="78">
        <v>1.6E-2</v>
      </c>
      <c r="H21" s="78">
        <v>1.9E-2</v>
      </c>
      <c r="I21" s="79">
        <v>1.7999999999999999E-2</v>
      </c>
      <c r="J21" s="80">
        <f t="shared" si="0"/>
        <v>0.88888888888888895</v>
      </c>
    </row>
    <row r="22" spans="2:10" x14ac:dyDescent="0.25">
      <c r="B22" t="s">
        <v>75</v>
      </c>
      <c r="C22" s="129"/>
      <c r="D22" s="29">
        <v>14</v>
      </c>
      <c r="E22" s="26">
        <v>150</v>
      </c>
      <c r="F22" s="78">
        <v>8.6999999999999994E-2</v>
      </c>
      <c r="G22" s="78">
        <v>0.01</v>
      </c>
      <c r="H22" s="78">
        <v>1.4E-2</v>
      </c>
      <c r="I22" s="79">
        <v>1.4E-2</v>
      </c>
      <c r="J22" s="80">
        <f t="shared" si="0"/>
        <v>0.7142857142857143</v>
      </c>
    </row>
    <row r="23" spans="2:10" x14ac:dyDescent="0.25">
      <c r="C23" s="129"/>
      <c r="D23" s="85">
        <v>15</v>
      </c>
      <c r="E23" s="26">
        <v>150</v>
      </c>
      <c r="F23" s="78">
        <v>6.8000000000000005E-2</v>
      </c>
      <c r="G23" s="78">
        <v>4.0000000000000001E-3</v>
      </c>
      <c r="H23" s="78">
        <v>8.0000000000000002E-3</v>
      </c>
      <c r="I23" s="79">
        <v>0.01</v>
      </c>
      <c r="J23" s="80">
        <f t="shared" si="0"/>
        <v>0.4</v>
      </c>
    </row>
    <row r="24" spans="2:10" x14ac:dyDescent="0.25">
      <c r="B24" t="s">
        <v>75</v>
      </c>
      <c r="C24" s="129"/>
      <c r="D24" s="139">
        <v>16</v>
      </c>
      <c r="E24" s="140">
        <v>150</v>
      </c>
      <c r="F24" s="141">
        <v>0.04</v>
      </c>
      <c r="G24" s="141">
        <v>-8.0000000000000002E-3</v>
      </c>
      <c r="H24" s="141">
        <v>-3.0000000000000001E-3</v>
      </c>
      <c r="I24" s="142">
        <v>-3.0000000000000001E-3</v>
      </c>
      <c r="J24" s="143">
        <f t="shared" si="0"/>
        <v>2.6666666666666665</v>
      </c>
    </row>
    <row r="25" spans="2:10" x14ac:dyDescent="0.25">
      <c r="C25" s="129"/>
      <c r="D25" s="29">
        <v>17</v>
      </c>
      <c r="E25" s="26">
        <v>150</v>
      </c>
      <c r="F25" s="78">
        <v>0.126</v>
      </c>
      <c r="G25" s="78">
        <v>3.5000000000000003E-2</v>
      </c>
      <c r="H25" s="78">
        <v>3.5999999999999997E-2</v>
      </c>
      <c r="I25" s="79">
        <v>2.8000000000000001E-2</v>
      </c>
      <c r="J25" s="80">
        <f t="shared" si="0"/>
        <v>1.25</v>
      </c>
    </row>
    <row r="26" spans="2:10" x14ac:dyDescent="0.25">
      <c r="C26" s="129" t="s">
        <v>96</v>
      </c>
      <c r="D26" s="29">
        <v>18</v>
      </c>
      <c r="E26" s="26">
        <v>150</v>
      </c>
      <c r="F26" s="78">
        <v>0.114</v>
      </c>
      <c r="G26" s="78">
        <v>2.8000000000000001E-2</v>
      </c>
      <c r="H26" s="78">
        <v>3.3000000000000002E-2</v>
      </c>
      <c r="I26" s="79">
        <v>3.1E-2</v>
      </c>
      <c r="J26" s="80">
        <f t="shared" si="0"/>
        <v>0.90322580645161288</v>
      </c>
    </row>
    <row r="27" spans="2:10" x14ac:dyDescent="0.25">
      <c r="C27" s="129"/>
      <c r="D27" s="29">
        <v>19</v>
      </c>
      <c r="E27" s="26">
        <v>150</v>
      </c>
      <c r="F27" s="78">
        <v>0.06</v>
      </c>
      <c r="G27" s="78">
        <v>1.2999999999999999E-2</v>
      </c>
      <c r="H27" s="78">
        <v>1.7999999999999999E-2</v>
      </c>
      <c r="I27" s="79">
        <v>1.4E-2</v>
      </c>
      <c r="J27" s="80">
        <f t="shared" si="0"/>
        <v>0.92857142857142849</v>
      </c>
    </row>
    <row r="28" spans="2:10" x14ac:dyDescent="0.25">
      <c r="C28" s="129"/>
      <c r="D28" s="102">
        <v>20</v>
      </c>
      <c r="E28" s="26">
        <v>150</v>
      </c>
      <c r="F28" s="78">
        <v>5.0999999999999997E-2</v>
      </c>
      <c r="G28" s="78">
        <v>1E-3</v>
      </c>
      <c r="H28" s="78">
        <v>1.4E-2</v>
      </c>
      <c r="I28" s="79">
        <v>1.9E-2</v>
      </c>
      <c r="J28" s="80">
        <f t="shared" si="0"/>
        <v>5.2631578947368425E-2</v>
      </c>
    </row>
    <row r="29" spans="2:10" x14ac:dyDescent="0.25">
      <c r="B29" t="s">
        <v>98</v>
      </c>
      <c r="C29" s="129" t="s">
        <v>96</v>
      </c>
      <c r="D29" s="29">
        <v>21</v>
      </c>
      <c r="E29" s="26">
        <v>150</v>
      </c>
      <c r="F29" s="78">
        <v>6.3E-2</v>
      </c>
      <c r="G29" s="78">
        <v>1E-3</v>
      </c>
      <c r="H29" s="78">
        <v>4.0000000000000001E-3</v>
      </c>
      <c r="I29" s="79">
        <v>7.0000000000000001E-3</v>
      </c>
      <c r="J29" s="80">
        <f>G29/I29</f>
        <v>0.14285714285714285</v>
      </c>
    </row>
    <row r="30" spans="2:10" x14ac:dyDescent="0.25">
      <c r="C30" s="129" t="s">
        <v>96</v>
      </c>
      <c r="D30" s="85">
        <v>22</v>
      </c>
      <c r="E30" s="26">
        <v>150</v>
      </c>
      <c r="F30" s="78">
        <v>0.10199999999999999</v>
      </c>
      <c r="G30" s="78">
        <v>1.0999999999999999E-2</v>
      </c>
      <c r="H30" s="78">
        <v>1.7999999999999999E-2</v>
      </c>
      <c r="I30" s="79">
        <v>2.1000000000000001E-2</v>
      </c>
      <c r="J30" s="80">
        <f t="shared" si="0"/>
        <v>0.52380952380952372</v>
      </c>
    </row>
    <row r="31" spans="2:10" x14ac:dyDescent="0.25">
      <c r="C31" s="129" t="s">
        <v>96</v>
      </c>
      <c r="D31" s="29">
        <v>23</v>
      </c>
      <c r="E31" s="26">
        <v>150</v>
      </c>
      <c r="F31" s="78">
        <v>5.8999999999999997E-2</v>
      </c>
      <c r="G31" s="78">
        <v>0.01</v>
      </c>
      <c r="H31" s="78">
        <v>1.4999999999999999E-2</v>
      </c>
      <c r="I31" s="79">
        <v>1.4E-2</v>
      </c>
      <c r="J31" s="80">
        <f t="shared" si="0"/>
        <v>0.7142857142857143</v>
      </c>
    </row>
    <row r="32" spans="2:10" ht="15.75" thickBot="1" x14ac:dyDescent="0.3">
      <c r="C32" s="129" t="s">
        <v>96</v>
      </c>
      <c r="D32" s="42">
        <v>24</v>
      </c>
      <c r="E32" s="39">
        <v>150</v>
      </c>
      <c r="F32" s="83">
        <v>6.2E-2</v>
      </c>
      <c r="G32" s="83">
        <v>8.0000000000000002E-3</v>
      </c>
      <c r="H32" s="83">
        <v>0.01</v>
      </c>
      <c r="I32" s="84">
        <v>7.0000000000000001E-3</v>
      </c>
      <c r="J32" s="112">
        <f t="shared" si="0"/>
        <v>1.1428571428571428</v>
      </c>
    </row>
    <row r="33" spans="4:10" x14ac:dyDescent="0.25">
      <c r="D33" s="144" t="s">
        <v>71</v>
      </c>
      <c r="E33" s="145"/>
      <c r="F33" s="113">
        <f>MEDIAN(F9:F32)</f>
        <v>7.4499999999999997E-2</v>
      </c>
      <c r="G33" s="113">
        <f t="shared" ref="G33:I33" si="4">MEDIAN(G9:G32)</f>
        <v>1.15E-2</v>
      </c>
      <c r="H33" s="113">
        <f t="shared" si="4"/>
        <v>1.7500000000000002E-2</v>
      </c>
      <c r="I33" s="114">
        <f t="shared" si="4"/>
        <v>1.7999999999999999E-2</v>
      </c>
      <c r="J33" s="146">
        <f>MEDIAN(J9:J32)</f>
        <v>0.89087301587301593</v>
      </c>
    </row>
    <row r="34" spans="4:10" x14ac:dyDescent="0.25">
      <c r="D34" s="147" t="s">
        <v>72</v>
      </c>
      <c r="E34" s="148"/>
      <c r="F34" s="116">
        <f>STDEVA(F9:F32)</f>
        <v>3.8313897088979663E-2</v>
      </c>
      <c r="G34" s="116">
        <f t="shared" ref="G34:J34" si="5">STDEVA(G9:G32)</f>
        <v>1.5193438705906724E-2</v>
      </c>
      <c r="H34" s="116">
        <f t="shared" si="5"/>
        <v>1.3771425994175157E-2</v>
      </c>
      <c r="I34" s="117">
        <f t="shared" si="5"/>
        <v>1.2099826325259763E-2</v>
      </c>
      <c r="J34" s="149">
        <f t="shared" si="5"/>
        <v>0.63201929574976745</v>
      </c>
    </row>
    <row r="35" spans="4:10" ht="15.75" thickBot="1" x14ac:dyDescent="0.3">
      <c r="D35" s="150" t="s">
        <v>74</v>
      </c>
      <c r="E35" s="151"/>
      <c r="F35" s="119">
        <f>AVERAGE(F9:F32)</f>
        <v>8.1041666666666679E-2</v>
      </c>
      <c r="G35" s="119">
        <f t="shared" ref="G35:J35" si="6">AVERAGE(G9:G32)</f>
        <v>1.5666666666666672E-2</v>
      </c>
      <c r="H35" s="119">
        <f t="shared" si="6"/>
        <v>1.9500000000000003E-2</v>
      </c>
      <c r="I35" s="120">
        <f t="shared" si="6"/>
        <v>1.8666666666666668E-2</v>
      </c>
      <c r="J35" s="152">
        <f t="shared" si="6"/>
        <v>0.94638470708906908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5"/>
  <sheetViews>
    <sheetView zoomScale="80" zoomScaleNormal="80" workbookViewId="0">
      <selection activeCell="G6" sqref="G6:G29"/>
    </sheetView>
  </sheetViews>
  <sheetFormatPr defaultRowHeight="15" x14ac:dyDescent="0.25"/>
  <cols>
    <col min="2" max="2" width="10.85546875" bestFit="1" customWidth="1"/>
    <col min="3" max="3" width="10.85546875" customWidth="1"/>
    <col min="12" max="12" width="11.5703125" bestFit="1" customWidth="1"/>
    <col min="13" max="13" width="11.42578125" customWidth="1"/>
    <col min="20" max="20" width="13.28515625" customWidth="1"/>
    <col min="21" max="21" width="12.140625" customWidth="1"/>
    <col min="22" max="22" width="31.140625" customWidth="1"/>
  </cols>
  <sheetData>
    <row r="2" spans="2:24" ht="21" x14ac:dyDescent="0.35">
      <c r="D2" s="70" t="s">
        <v>28</v>
      </c>
    </row>
    <row r="4" spans="2:24" ht="15.75" thickBot="1" x14ac:dyDescent="0.3">
      <c r="D4" t="s">
        <v>99</v>
      </c>
    </row>
    <row r="5" spans="2:24" ht="15.75" thickBot="1" x14ac:dyDescent="0.3">
      <c r="D5" s="71" t="s">
        <v>66</v>
      </c>
      <c r="E5" s="18" t="s">
        <v>30</v>
      </c>
      <c r="F5" s="18">
        <v>230</v>
      </c>
      <c r="G5" s="18">
        <v>260</v>
      </c>
      <c r="H5" s="18">
        <v>270</v>
      </c>
      <c r="I5" s="18">
        <v>280</v>
      </c>
      <c r="J5" s="19" t="s">
        <v>68</v>
      </c>
      <c r="K5" s="154"/>
      <c r="M5" t="s">
        <v>115</v>
      </c>
    </row>
    <row r="6" spans="2:24" ht="15.75" thickBot="1" x14ac:dyDescent="0.3">
      <c r="B6" t="s">
        <v>100</v>
      </c>
      <c r="D6" s="23">
        <v>1</v>
      </c>
      <c r="E6" s="23">
        <v>50</v>
      </c>
      <c r="F6" s="68"/>
      <c r="G6" s="68"/>
      <c r="H6" s="68"/>
      <c r="I6" s="66"/>
      <c r="J6" s="23"/>
      <c r="K6" s="62"/>
      <c r="M6" s="67" t="s">
        <v>66</v>
      </c>
      <c r="N6" s="18" t="s">
        <v>30</v>
      </c>
      <c r="O6" s="18">
        <v>230</v>
      </c>
      <c r="P6" s="18">
        <v>260</v>
      </c>
      <c r="Q6" s="18">
        <v>270</v>
      </c>
      <c r="R6" s="18">
        <v>280</v>
      </c>
      <c r="S6" s="19" t="s">
        <v>68</v>
      </c>
      <c r="T6" s="154"/>
      <c r="V6" t="s">
        <v>38</v>
      </c>
    </row>
    <row r="7" spans="2:24" ht="15.75" thickBot="1" x14ac:dyDescent="0.3">
      <c r="D7" s="29">
        <v>2</v>
      </c>
      <c r="E7" s="29">
        <v>50</v>
      </c>
      <c r="F7" s="78">
        <v>0.04</v>
      </c>
      <c r="G7" s="78">
        <v>2.9000000000000001E-2</v>
      </c>
      <c r="H7" s="78">
        <v>2.5999999999999999E-2</v>
      </c>
      <c r="I7" s="79">
        <v>2.1000000000000001E-2</v>
      </c>
      <c r="J7" s="80">
        <f>G7/I7</f>
        <v>1.3809523809523809</v>
      </c>
      <c r="K7" s="156"/>
      <c r="M7" s="191">
        <v>1</v>
      </c>
      <c r="N7" s="68">
        <v>20</v>
      </c>
      <c r="O7" s="74">
        <v>1.4E-2</v>
      </c>
      <c r="P7" s="74">
        <v>8.9999999999999993E-3</v>
      </c>
      <c r="Q7" s="74">
        <v>8.0000000000000002E-3</v>
      </c>
      <c r="R7" s="74">
        <v>7.0000000000000001E-3</v>
      </c>
      <c r="S7" s="155">
        <f t="shared" ref="S7:S14" si="0">P7/R7</f>
        <v>1.2857142857142856</v>
      </c>
      <c r="T7" s="156"/>
      <c r="V7" s="35" t="s">
        <v>101</v>
      </c>
    </row>
    <row r="8" spans="2:24" x14ac:dyDescent="0.25">
      <c r="D8" s="29">
        <v>3</v>
      </c>
      <c r="E8" s="29">
        <v>50</v>
      </c>
      <c r="F8" s="78">
        <v>2.9000000000000001E-2</v>
      </c>
      <c r="G8" s="78">
        <v>1.4999999999999999E-2</v>
      </c>
      <c r="H8" s="78">
        <v>1.4E-2</v>
      </c>
      <c r="I8" s="79">
        <v>1.2999999999999999E-2</v>
      </c>
      <c r="J8" s="80">
        <f>G8/I8</f>
        <v>1.153846153846154</v>
      </c>
      <c r="K8" s="156"/>
      <c r="M8" s="192">
        <v>2</v>
      </c>
      <c r="N8" s="62">
        <v>20</v>
      </c>
      <c r="O8" s="78">
        <v>1.4E-2</v>
      </c>
      <c r="P8" s="78">
        <v>0.01</v>
      </c>
      <c r="Q8" s="78">
        <v>8.9999999999999993E-3</v>
      </c>
      <c r="R8" s="78">
        <v>7.0000000000000001E-3</v>
      </c>
      <c r="S8" s="157">
        <f t="shared" si="0"/>
        <v>1.4285714285714286</v>
      </c>
      <c r="T8" s="156"/>
      <c r="V8" s="36"/>
      <c r="W8" s="36" t="s">
        <v>42</v>
      </c>
      <c r="X8" s="36" t="s">
        <v>43</v>
      </c>
    </row>
    <row r="9" spans="2:24" x14ac:dyDescent="0.25">
      <c r="D9" s="29">
        <v>4</v>
      </c>
      <c r="E9" s="29">
        <v>50</v>
      </c>
      <c r="F9" s="78">
        <v>3.9E-2</v>
      </c>
      <c r="G9" s="78">
        <v>1.7000000000000001E-2</v>
      </c>
      <c r="H9" s="78">
        <v>1.6E-2</v>
      </c>
      <c r="I9" s="79">
        <v>1.0999999999999999E-2</v>
      </c>
      <c r="J9" s="80">
        <f>G9/I9</f>
        <v>1.5454545454545456</v>
      </c>
      <c r="K9" s="156"/>
      <c r="M9" s="192">
        <v>3</v>
      </c>
      <c r="N9" s="62">
        <v>20</v>
      </c>
      <c r="O9" s="78">
        <v>7.0000000000000001E-3</v>
      </c>
      <c r="P9" s="78">
        <v>2E-3</v>
      </c>
      <c r="Q9" s="78">
        <v>2E-3</v>
      </c>
      <c r="R9" s="78">
        <v>2E-3</v>
      </c>
      <c r="S9" s="157">
        <f t="shared" si="0"/>
        <v>1</v>
      </c>
      <c r="T9" s="156"/>
      <c r="V9" s="37" t="s">
        <v>44</v>
      </c>
      <c r="W9" s="37">
        <v>2.3E-2</v>
      </c>
      <c r="X9" s="37">
        <v>6.6249999999999989E-3</v>
      </c>
    </row>
    <row r="10" spans="2:24" x14ac:dyDescent="0.25">
      <c r="D10" s="85">
        <v>5</v>
      </c>
      <c r="E10" s="29">
        <v>50</v>
      </c>
      <c r="F10" s="78">
        <v>2.5999999999999999E-2</v>
      </c>
      <c r="G10" s="78">
        <v>1.7999999999999999E-2</v>
      </c>
      <c r="H10" s="78">
        <v>1.7000000000000001E-2</v>
      </c>
      <c r="I10" s="79">
        <v>1.4999999999999999E-2</v>
      </c>
      <c r="J10" s="80">
        <f t="shared" ref="J10:J27" si="1">G10/I10</f>
        <v>1.2</v>
      </c>
      <c r="K10" s="156"/>
      <c r="M10" s="192">
        <v>4</v>
      </c>
      <c r="N10" s="62">
        <v>20</v>
      </c>
      <c r="O10" s="78">
        <v>8.0000000000000002E-3</v>
      </c>
      <c r="P10" s="78">
        <v>5.0000000000000001E-3</v>
      </c>
      <c r="Q10" s="78">
        <v>4.0000000000000001E-3</v>
      </c>
      <c r="R10" s="78">
        <v>3.0000000000000001E-3</v>
      </c>
      <c r="S10" s="157">
        <f t="shared" si="0"/>
        <v>1.6666666666666667</v>
      </c>
      <c r="T10" s="156"/>
      <c r="V10" s="37" t="s">
        <v>45</v>
      </c>
      <c r="W10" s="37">
        <v>5.6766666666666641E-4</v>
      </c>
      <c r="X10" s="37">
        <v>9.9821428571428805E-6</v>
      </c>
    </row>
    <row r="11" spans="2:24" x14ac:dyDescent="0.25">
      <c r="D11" s="29">
        <v>6</v>
      </c>
      <c r="E11" s="29">
        <v>50</v>
      </c>
      <c r="F11" s="78">
        <v>1.9E-2</v>
      </c>
      <c r="G11" s="78">
        <v>0.01</v>
      </c>
      <c r="H11" s="78">
        <v>8.9999999999999993E-3</v>
      </c>
      <c r="I11" s="79">
        <v>7.0000000000000001E-3</v>
      </c>
      <c r="J11" s="80">
        <f t="shared" si="1"/>
        <v>1.4285714285714286</v>
      </c>
      <c r="K11" s="156"/>
      <c r="M11" s="192">
        <v>14</v>
      </c>
      <c r="N11" s="62">
        <v>20</v>
      </c>
      <c r="O11" s="78">
        <v>1.0999999999999999E-2</v>
      </c>
      <c r="P11" s="78">
        <v>7.0000000000000001E-3</v>
      </c>
      <c r="Q11" s="78">
        <v>6.0000000000000001E-3</v>
      </c>
      <c r="R11" s="78">
        <v>5.0000000000000001E-3</v>
      </c>
      <c r="S11" s="157">
        <f t="shared" si="0"/>
        <v>1.4</v>
      </c>
      <c r="T11" s="156"/>
      <c r="V11" s="37" t="s">
        <v>46</v>
      </c>
      <c r="W11" s="37">
        <v>7</v>
      </c>
      <c r="X11" s="37">
        <v>8</v>
      </c>
    </row>
    <row r="12" spans="2:24" x14ac:dyDescent="0.25">
      <c r="D12" s="85">
        <v>7</v>
      </c>
      <c r="E12" s="29">
        <v>50</v>
      </c>
      <c r="F12" s="78">
        <v>2.3E-2</v>
      </c>
      <c r="G12" s="78">
        <v>1.2E-2</v>
      </c>
      <c r="H12" s="78">
        <v>1.0999999999999999E-2</v>
      </c>
      <c r="I12" s="79">
        <v>8.0000000000000002E-3</v>
      </c>
      <c r="J12" s="80">
        <f t="shared" si="1"/>
        <v>1.5</v>
      </c>
      <c r="K12" s="156"/>
      <c r="M12" s="192">
        <v>16</v>
      </c>
      <c r="N12" s="62">
        <v>20</v>
      </c>
      <c r="O12" s="78">
        <v>1.7999999999999999E-2</v>
      </c>
      <c r="P12" s="78">
        <v>1.0999999999999999E-2</v>
      </c>
      <c r="Q12" s="78">
        <v>0.01</v>
      </c>
      <c r="R12" s="78">
        <v>8.0000000000000002E-3</v>
      </c>
      <c r="S12" s="157">
        <f t="shared" si="0"/>
        <v>1.375</v>
      </c>
      <c r="T12" s="156"/>
      <c r="V12" s="37" t="s">
        <v>47</v>
      </c>
      <c r="W12" s="37">
        <v>2.6737499999999987E-4</v>
      </c>
      <c r="X12" s="37"/>
    </row>
    <row r="13" spans="2:24" x14ac:dyDescent="0.25">
      <c r="D13" s="29">
        <v>8</v>
      </c>
      <c r="E13" s="29">
        <v>50</v>
      </c>
      <c r="F13" s="78">
        <v>0.03</v>
      </c>
      <c r="G13" s="78">
        <v>1.7999999999999999E-2</v>
      </c>
      <c r="H13" s="78">
        <v>1.6E-2</v>
      </c>
      <c r="I13" s="79">
        <v>1.2999999999999999E-2</v>
      </c>
      <c r="J13" s="80">
        <f t="shared" si="1"/>
        <v>1.3846153846153846</v>
      </c>
      <c r="K13" s="156"/>
      <c r="M13" s="192">
        <v>23</v>
      </c>
      <c r="N13" s="62">
        <v>20</v>
      </c>
      <c r="O13" s="78">
        <v>1.2E-2</v>
      </c>
      <c r="P13" s="78">
        <v>5.0000000000000001E-3</v>
      </c>
      <c r="Q13" s="78">
        <v>5.0000000000000001E-3</v>
      </c>
      <c r="R13" s="78">
        <v>4.0000000000000001E-3</v>
      </c>
      <c r="S13" s="157">
        <f t="shared" si="0"/>
        <v>1.25</v>
      </c>
      <c r="T13" s="156"/>
      <c r="V13" s="37" t="s">
        <v>48</v>
      </c>
      <c r="W13" s="37">
        <v>0</v>
      </c>
      <c r="X13" s="37"/>
    </row>
    <row r="14" spans="2:24" ht="15.75" thickBot="1" x14ac:dyDescent="0.3">
      <c r="D14" s="29">
        <v>9</v>
      </c>
      <c r="E14" s="29">
        <v>50</v>
      </c>
      <c r="F14" s="78">
        <v>2.1999999999999999E-2</v>
      </c>
      <c r="G14" s="78">
        <v>1.2E-2</v>
      </c>
      <c r="H14" s="78">
        <v>1.0999999999999999E-2</v>
      </c>
      <c r="I14" s="79">
        <v>8.0000000000000002E-3</v>
      </c>
      <c r="J14" s="80">
        <f t="shared" si="1"/>
        <v>1.5</v>
      </c>
      <c r="K14" s="156"/>
      <c r="M14" s="193">
        <v>24</v>
      </c>
      <c r="N14" s="69">
        <v>20</v>
      </c>
      <c r="O14" s="83">
        <v>0.01</v>
      </c>
      <c r="P14" s="83">
        <v>4.0000000000000001E-3</v>
      </c>
      <c r="Q14" s="83">
        <v>4.0000000000000001E-3</v>
      </c>
      <c r="R14" s="83">
        <v>3.0000000000000001E-3</v>
      </c>
      <c r="S14" s="158">
        <f t="shared" si="0"/>
        <v>1.3333333333333333</v>
      </c>
      <c r="T14" s="156"/>
      <c r="V14" s="37" t="s">
        <v>49</v>
      </c>
      <c r="W14" s="37">
        <v>13</v>
      </c>
      <c r="X14" s="37"/>
    </row>
    <row r="15" spans="2:24" x14ac:dyDescent="0.25">
      <c r="D15" s="102">
        <v>10</v>
      </c>
      <c r="E15" s="29">
        <v>50</v>
      </c>
      <c r="F15" s="78">
        <v>2.5000000000000001E-2</v>
      </c>
      <c r="G15" s="78">
        <v>1.4E-2</v>
      </c>
      <c r="H15" s="78">
        <v>1.2999999999999999E-2</v>
      </c>
      <c r="I15" s="79">
        <v>0.01</v>
      </c>
      <c r="J15" s="80">
        <f t="shared" si="1"/>
        <v>1.4</v>
      </c>
      <c r="K15" s="156"/>
      <c r="M15" s="94" t="s">
        <v>71</v>
      </c>
      <c r="N15" s="94"/>
      <c r="O15" s="159">
        <f>MEDIAN(O7:O14)</f>
        <v>1.15E-2</v>
      </c>
      <c r="P15" s="159">
        <f t="shared" ref="P15:R15" si="2">MEDIAN(P7:P14)</f>
        <v>6.0000000000000001E-3</v>
      </c>
      <c r="Q15" s="159">
        <f t="shared" si="2"/>
        <v>5.4999999999999997E-3</v>
      </c>
      <c r="R15" s="159">
        <f t="shared" si="2"/>
        <v>4.5000000000000005E-3</v>
      </c>
      <c r="S15" s="131">
        <f>MEDIAN(S7:S14)</f>
        <v>1.3541666666666665</v>
      </c>
      <c r="T15" s="156"/>
      <c r="V15" s="37" t="s">
        <v>50</v>
      </c>
      <c r="W15" s="37">
        <v>1.9349479804586978</v>
      </c>
      <c r="X15" s="37"/>
    </row>
    <row r="16" spans="2:24" x14ac:dyDescent="0.25">
      <c r="D16" s="29">
        <v>11</v>
      </c>
      <c r="E16" s="29">
        <v>50</v>
      </c>
      <c r="F16" s="78">
        <v>0.02</v>
      </c>
      <c r="G16" s="78">
        <v>1.2999999999999999E-2</v>
      </c>
      <c r="H16" s="78">
        <v>1.2E-2</v>
      </c>
      <c r="I16" s="79">
        <v>8.9999999999999993E-3</v>
      </c>
      <c r="J16" s="80">
        <f t="shared" si="1"/>
        <v>1.4444444444444444</v>
      </c>
      <c r="K16" s="156"/>
      <c r="M16" s="94" t="s">
        <v>72</v>
      </c>
      <c r="N16" s="94"/>
      <c r="O16" s="159">
        <f>STDEVA(O7:O14)</f>
        <v>3.5757117173668071E-3</v>
      </c>
      <c r="P16" s="159">
        <f t="shared" ref="P16:R16" si="3">STDEVA(P7:P14)</f>
        <v>3.1594529363709284E-3</v>
      </c>
      <c r="Q16" s="159">
        <f t="shared" si="3"/>
        <v>2.7774602993176547E-3</v>
      </c>
      <c r="R16" s="159">
        <f t="shared" si="3"/>
        <v>2.2320714274285348E-3</v>
      </c>
      <c r="S16" s="131">
        <f>STDEVA(S7:S14)</f>
        <v>0.1874741505775073</v>
      </c>
      <c r="T16" s="156"/>
      <c r="V16" s="37" t="s">
        <v>51</v>
      </c>
      <c r="W16" s="37">
        <v>3.7528107562269708E-2</v>
      </c>
      <c r="X16" s="37"/>
    </row>
    <row r="17" spans="2:24" ht="15.75" thickBot="1" x14ac:dyDescent="0.3">
      <c r="D17" s="102">
        <v>12</v>
      </c>
      <c r="E17" s="29">
        <v>50</v>
      </c>
      <c r="F17" s="78">
        <v>2.5000000000000001E-2</v>
      </c>
      <c r="G17" s="78">
        <v>1.7999999999999999E-2</v>
      </c>
      <c r="H17" s="78">
        <v>1.6E-2</v>
      </c>
      <c r="I17" s="79">
        <v>1.2E-2</v>
      </c>
      <c r="J17" s="80">
        <f t="shared" si="1"/>
        <v>1.4999999999999998</v>
      </c>
      <c r="K17" s="156"/>
      <c r="M17" s="98" t="s">
        <v>74</v>
      </c>
      <c r="N17" s="98"/>
      <c r="O17" s="160">
        <f>AVERAGE(O7:O14)</f>
        <v>1.175E-2</v>
      </c>
      <c r="P17" s="160">
        <f t="shared" ref="P17:R17" si="4">AVERAGE(P7:P14)</f>
        <v>6.6249999999999989E-3</v>
      </c>
      <c r="Q17" s="160">
        <f t="shared" si="4"/>
        <v>6.0000000000000001E-3</v>
      </c>
      <c r="R17" s="160">
        <f t="shared" si="4"/>
        <v>4.8750000000000009E-3</v>
      </c>
      <c r="S17" s="132">
        <f>AVERAGE(S7:S14)</f>
        <v>1.3424107142857145</v>
      </c>
      <c r="T17" s="156"/>
      <c r="V17" s="37" t="s">
        <v>52</v>
      </c>
      <c r="W17" s="37">
        <v>1.7709333959868729</v>
      </c>
      <c r="X17" s="37"/>
    </row>
    <row r="18" spans="2:24" x14ac:dyDescent="0.25">
      <c r="D18" s="102">
        <v>13</v>
      </c>
      <c r="E18" s="29">
        <v>50</v>
      </c>
      <c r="F18" s="78">
        <v>1.6E-2</v>
      </c>
      <c r="G18" s="78">
        <v>7.0000000000000001E-3</v>
      </c>
      <c r="H18" s="78">
        <v>7.0000000000000001E-3</v>
      </c>
      <c r="I18" s="79">
        <v>5.0000000000000001E-3</v>
      </c>
      <c r="J18" s="80">
        <f t="shared" si="1"/>
        <v>1.4</v>
      </c>
      <c r="K18" s="156"/>
      <c r="V18" s="37" t="s">
        <v>53</v>
      </c>
      <c r="W18" s="37">
        <v>7.5056215124539416E-2</v>
      </c>
      <c r="X18" s="37"/>
    </row>
    <row r="19" spans="2:24" ht="15.75" thickBot="1" x14ac:dyDescent="0.3">
      <c r="D19" s="29">
        <v>14</v>
      </c>
      <c r="E19" s="29">
        <v>50</v>
      </c>
      <c r="F19" s="78">
        <v>2.8000000000000001E-2</v>
      </c>
      <c r="G19" s="78">
        <v>1.4999999999999999E-2</v>
      </c>
      <c r="H19" s="78">
        <v>1.4999999999999999E-2</v>
      </c>
      <c r="I19" s="79">
        <v>1.0999999999999999E-2</v>
      </c>
      <c r="J19" s="80">
        <f>G19/I19</f>
        <v>1.3636363636363638</v>
      </c>
      <c r="K19" s="156"/>
      <c r="M19" s="161" t="s">
        <v>114</v>
      </c>
      <c r="V19" s="38" t="s">
        <v>54</v>
      </c>
      <c r="W19" s="38">
        <v>2.1603686564627926</v>
      </c>
      <c r="X19" s="38"/>
    </row>
    <row r="20" spans="2:24" ht="15.75" thickBot="1" x14ac:dyDescent="0.3">
      <c r="D20" s="85">
        <v>15</v>
      </c>
      <c r="E20" s="29">
        <v>50</v>
      </c>
      <c r="F20" s="78">
        <v>0.02</v>
      </c>
      <c r="G20" s="78">
        <v>1.4E-2</v>
      </c>
      <c r="H20" s="78">
        <v>1.2E-2</v>
      </c>
      <c r="I20" s="79">
        <v>8.9999999999999993E-3</v>
      </c>
      <c r="J20" s="80">
        <f t="shared" si="1"/>
        <v>1.5555555555555558</v>
      </c>
      <c r="K20" s="156"/>
      <c r="M20" s="67" t="s">
        <v>66</v>
      </c>
      <c r="N20" s="18" t="s">
        <v>30</v>
      </c>
      <c r="O20" s="18">
        <v>230</v>
      </c>
      <c r="P20" s="18">
        <v>260</v>
      </c>
      <c r="Q20" s="18">
        <v>270</v>
      </c>
      <c r="R20" s="18">
        <v>280</v>
      </c>
      <c r="S20" s="19" t="s">
        <v>68</v>
      </c>
      <c r="T20" s="62"/>
    </row>
    <row r="21" spans="2:24" x14ac:dyDescent="0.25">
      <c r="B21" t="s">
        <v>102</v>
      </c>
      <c r="D21" s="29">
        <v>16</v>
      </c>
      <c r="E21" s="29">
        <v>50</v>
      </c>
      <c r="F21" s="141">
        <v>0.108</v>
      </c>
      <c r="G21" s="141">
        <v>7.2999999999999995E-2</v>
      </c>
      <c r="H21" s="141">
        <v>5.1999999999999998E-2</v>
      </c>
      <c r="I21" s="142">
        <v>4.9000000000000002E-2</v>
      </c>
      <c r="J21" s="80">
        <f>G21/I21</f>
        <v>1.4897959183673468</v>
      </c>
      <c r="K21" s="156"/>
      <c r="M21" s="191">
        <v>1</v>
      </c>
      <c r="N21" s="23">
        <v>50</v>
      </c>
      <c r="O21" s="68"/>
      <c r="P21" s="68"/>
      <c r="Q21" s="68"/>
      <c r="R21" s="66"/>
      <c r="S21" s="23"/>
      <c r="T21" s="156"/>
    </row>
    <row r="22" spans="2:24" x14ac:dyDescent="0.25">
      <c r="D22" s="29">
        <v>17</v>
      </c>
      <c r="E22" s="29">
        <v>50</v>
      </c>
      <c r="F22" s="78">
        <v>2.9000000000000001E-2</v>
      </c>
      <c r="G22" s="78">
        <v>2.5000000000000001E-2</v>
      </c>
      <c r="H22" s="78">
        <v>2.5999999999999999E-2</v>
      </c>
      <c r="I22" s="79">
        <v>1.7000000000000001E-2</v>
      </c>
      <c r="J22" s="80">
        <f t="shared" si="1"/>
        <v>1.4705882352941175</v>
      </c>
      <c r="K22" s="156"/>
      <c r="M22" s="192">
        <v>2</v>
      </c>
      <c r="N22" s="29">
        <v>50</v>
      </c>
      <c r="O22" s="78">
        <v>0.04</v>
      </c>
      <c r="P22" s="78">
        <v>2.9000000000000001E-2</v>
      </c>
      <c r="Q22" s="78">
        <v>2.5999999999999999E-2</v>
      </c>
      <c r="R22" s="79">
        <v>2.1000000000000001E-2</v>
      </c>
      <c r="S22" s="80">
        <f t="shared" ref="S22:S28" si="5">P22/R22</f>
        <v>1.3809523809523809</v>
      </c>
      <c r="T22" s="156"/>
    </row>
    <row r="23" spans="2:24" x14ac:dyDescent="0.25">
      <c r="D23" s="29">
        <v>18</v>
      </c>
      <c r="E23" s="29">
        <v>50</v>
      </c>
      <c r="F23" s="78">
        <v>1.9E-2</v>
      </c>
      <c r="G23" s="78">
        <v>1.2E-2</v>
      </c>
      <c r="H23" s="78">
        <v>1.2E-2</v>
      </c>
      <c r="I23" s="79">
        <v>8.0000000000000002E-3</v>
      </c>
      <c r="J23" s="80">
        <f t="shared" si="1"/>
        <v>1.5</v>
      </c>
      <c r="K23" s="156"/>
      <c r="M23" s="192">
        <v>3</v>
      </c>
      <c r="N23" s="29">
        <v>50</v>
      </c>
      <c r="O23" s="78">
        <v>2.9000000000000001E-2</v>
      </c>
      <c r="P23" s="78">
        <v>1.4999999999999999E-2</v>
      </c>
      <c r="Q23" s="78">
        <v>1.4E-2</v>
      </c>
      <c r="R23" s="79">
        <v>1.2999999999999999E-2</v>
      </c>
      <c r="S23" s="80">
        <f t="shared" si="5"/>
        <v>1.153846153846154</v>
      </c>
      <c r="T23" s="156"/>
    </row>
    <row r="24" spans="2:24" x14ac:dyDescent="0.25">
      <c r="D24" s="29">
        <v>19</v>
      </c>
      <c r="E24" s="29">
        <v>50</v>
      </c>
      <c r="F24" s="78">
        <v>2.1000000000000001E-2</v>
      </c>
      <c r="G24" s="78">
        <v>1.2999999999999999E-2</v>
      </c>
      <c r="H24" s="78">
        <v>1.0999999999999999E-2</v>
      </c>
      <c r="I24" s="79">
        <v>8.9999999999999993E-3</v>
      </c>
      <c r="J24" s="80">
        <f t="shared" si="1"/>
        <v>1.4444444444444444</v>
      </c>
      <c r="K24" s="156"/>
      <c r="M24" s="192">
        <v>4</v>
      </c>
      <c r="N24" s="29">
        <v>50</v>
      </c>
      <c r="O24" s="78">
        <v>3.9E-2</v>
      </c>
      <c r="P24" s="78">
        <v>1.7000000000000001E-2</v>
      </c>
      <c r="Q24" s="78">
        <v>1.6E-2</v>
      </c>
      <c r="R24" s="79">
        <v>1.0999999999999999E-2</v>
      </c>
      <c r="S24" s="80">
        <f t="shared" si="5"/>
        <v>1.5454545454545456</v>
      </c>
      <c r="T24" s="156"/>
    </row>
    <row r="25" spans="2:24" x14ac:dyDescent="0.25">
      <c r="D25" s="102">
        <v>20</v>
      </c>
      <c r="E25" s="29">
        <v>50</v>
      </c>
      <c r="F25" s="78">
        <v>3.1E-2</v>
      </c>
      <c r="G25" s="78">
        <v>1.9E-2</v>
      </c>
      <c r="H25" s="78">
        <v>1.7000000000000001E-2</v>
      </c>
      <c r="I25" s="79">
        <v>1.2999999999999999E-2</v>
      </c>
      <c r="J25" s="80">
        <f t="shared" si="1"/>
        <v>1.4615384615384617</v>
      </c>
      <c r="K25" s="156"/>
      <c r="M25" s="192">
        <v>14</v>
      </c>
      <c r="N25" s="29">
        <v>50</v>
      </c>
      <c r="O25" s="78">
        <v>2.8000000000000001E-2</v>
      </c>
      <c r="P25" s="78">
        <v>1.4999999999999999E-2</v>
      </c>
      <c r="Q25" s="78">
        <v>1.4999999999999999E-2</v>
      </c>
      <c r="R25" s="79">
        <v>1.0999999999999999E-2</v>
      </c>
      <c r="S25" s="80">
        <f t="shared" si="5"/>
        <v>1.3636363636363638</v>
      </c>
      <c r="T25" s="156"/>
    </row>
    <row r="26" spans="2:24" x14ac:dyDescent="0.25">
      <c r="D26" s="29">
        <v>21</v>
      </c>
      <c r="E26" s="29">
        <v>50</v>
      </c>
      <c r="F26" s="78">
        <v>2.5999999999999999E-2</v>
      </c>
      <c r="G26" s="78">
        <v>1.4E-2</v>
      </c>
      <c r="H26" s="78">
        <v>1.2999999999999999E-2</v>
      </c>
      <c r="I26" s="79">
        <v>0.01</v>
      </c>
      <c r="J26" s="80">
        <f t="shared" si="1"/>
        <v>1.4</v>
      </c>
      <c r="K26" s="156"/>
      <c r="M26" s="192">
        <v>16</v>
      </c>
      <c r="N26" s="29">
        <v>50</v>
      </c>
      <c r="O26" s="141">
        <v>0.108</v>
      </c>
      <c r="P26" s="141">
        <v>7.2999999999999995E-2</v>
      </c>
      <c r="Q26" s="141">
        <v>5.1999999999999998E-2</v>
      </c>
      <c r="R26" s="142">
        <v>4.9000000000000002E-2</v>
      </c>
      <c r="S26" s="80">
        <f t="shared" si="5"/>
        <v>1.4897959183673468</v>
      </c>
      <c r="T26" s="156"/>
    </row>
    <row r="27" spans="2:24" x14ac:dyDescent="0.25">
      <c r="D27" s="85">
        <v>22</v>
      </c>
      <c r="E27" s="29">
        <v>50</v>
      </c>
      <c r="F27" s="78">
        <v>1.9E-2</v>
      </c>
      <c r="G27" s="78">
        <v>0.02</v>
      </c>
      <c r="H27" s="78">
        <v>1.4E-2</v>
      </c>
      <c r="I27" s="79">
        <v>0.01</v>
      </c>
      <c r="J27" s="80">
        <f t="shared" si="1"/>
        <v>2</v>
      </c>
      <c r="K27" s="156"/>
      <c r="M27" s="192">
        <v>23</v>
      </c>
      <c r="N27" s="29">
        <v>50</v>
      </c>
      <c r="O27" s="78">
        <v>3.4000000000000002E-2</v>
      </c>
      <c r="P27" s="78">
        <v>1.4E-2</v>
      </c>
      <c r="Q27" s="78">
        <v>1.2999999999999999E-2</v>
      </c>
      <c r="R27" s="79">
        <v>1.2E-2</v>
      </c>
      <c r="S27" s="80">
        <f t="shared" si="5"/>
        <v>1.1666666666666667</v>
      </c>
      <c r="T27" s="156"/>
    </row>
    <row r="28" spans="2:24" ht="15.75" thickBot="1" x14ac:dyDescent="0.3">
      <c r="D28" s="29">
        <v>23</v>
      </c>
      <c r="E28" s="29">
        <v>50</v>
      </c>
      <c r="F28" s="78">
        <v>3.4000000000000002E-2</v>
      </c>
      <c r="G28" s="78">
        <v>1.4E-2</v>
      </c>
      <c r="H28" s="78">
        <v>1.2999999999999999E-2</v>
      </c>
      <c r="I28" s="79">
        <v>1.2E-2</v>
      </c>
      <c r="J28" s="80">
        <f>G28/I28</f>
        <v>1.1666666666666667</v>
      </c>
      <c r="K28" s="156"/>
      <c r="M28" s="193">
        <v>24</v>
      </c>
      <c r="N28" s="42">
        <v>50</v>
      </c>
      <c r="O28" s="162">
        <v>-2E-3</v>
      </c>
      <c r="P28" s="162">
        <v>-2E-3</v>
      </c>
      <c r="Q28" s="162">
        <v>-2E-3</v>
      </c>
      <c r="R28" s="163">
        <v>-2E-3</v>
      </c>
      <c r="S28" s="112">
        <f t="shared" si="5"/>
        <v>1</v>
      </c>
      <c r="T28" s="156"/>
    </row>
    <row r="29" spans="2:24" ht="15.75" thickBot="1" x14ac:dyDescent="0.3">
      <c r="B29" t="s">
        <v>102</v>
      </c>
      <c r="D29" s="42">
        <v>24</v>
      </c>
      <c r="E29" s="42">
        <v>50</v>
      </c>
      <c r="F29" s="162">
        <v>-2E-3</v>
      </c>
      <c r="G29" s="162">
        <v>-2E-3</v>
      </c>
      <c r="H29" s="162">
        <v>-2E-3</v>
      </c>
      <c r="I29" s="163">
        <v>-2E-3</v>
      </c>
      <c r="J29" s="112">
        <f>G29/I29</f>
        <v>1</v>
      </c>
      <c r="K29" s="156"/>
      <c r="M29" s="94" t="s">
        <v>71</v>
      </c>
      <c r="N29" s="94"/>
      <c r="O29" s="159">
        <f>MEDIAN(O21:O28)</f>
        <v>3.4000000000000002E-2</v>
      </c>
      <c r="P29" s="159">
        <f t="shared" ref="P29:R29" si="6">MEDIAN(P21:P28)</f>
        <v>1.4999999999999999E-2</v>
      </c>
      <c r="Q29" s="159">
        <f t="shared" si="6"/>
        <v>1.4999999999999999E-2</v>
      </c>
      <c r="R29" s="159">
        <f t="shared" si="6"/>
        <v>1.2E-2</v>
      </c>
      <c r="S29" s="131">
        <f>MEDIAN(S21:S28)</f>
        <v>1.3636363636363638</v>
      </c>
      <c r="T29" s="156"/>
    </row>
    <row r="30" spans="2:24" x14ac:dyDescent="0.25">
      <c r="D30" s="94" t="s">
        <v>71</v>
      </c>
      <c r="E30" s="90"/>
      <c r="F30" s="159">
        <f>MEDIAN(F6:F29)</f>
        <v>2.5000000000000001E-2</v>
      </c>
      <c r="G30" s="159">
        <f>MEDIAN(G6:G29)</f>
        <v>1.4E-2</v>
      </c>
      <c r="H30" s="159">
        <f>MEDIAN(H6:H29)</f>
        <v>1.2999999999999999E-2</v>
      </c>
      <c r="I30" s="159">
        <f>MEDIAN(I6:I29)</f>
        <v>0.01</v>
      </c>
      <c r="J30" s="131">
        <f>MEDIAN(J6:J29)</f>
        <v>1.4444444444444444</v>
      </c>
      <c r="K30" s="190"/>
      <c r="M30" s="94" t="s">
        <v>72</v>
      </c>
      <c r="N30" s="94"/>
      <c r="O30" s="159">
        <f>STDEVA(O21:O28)</f>
        <v>3.3385910914921095E-2</v>
      </c>
      <c r="P30" s="159">
        <f t="shared" ref="P30:R30" si="7">STDEVA(P21:P28)</f>
        <v>2.382575637134457E-2</v>
      </c>
      <c r="Q30" s="159">
        <f t="shared" si="7"/>
        <v>1.6657616590502685E-2</v>
      </c>
      <c r="R30" s="159">
        <f t="shared" si="7"/>
        <v>1.5873007936505961E-2</v>
      </c>
      <c r="S30" s="131">
        <f>STDEVA(S21:S28)</f>
        <v>0.19833137509892304</v>
      </c>
      <c r="T30" s="156"/>
    </row>
    <row r="31" spans="2:24" ht="15.75" thickBot="1" x14ac:dyDescent="0.3">
      <c r="D31" s="94" t="s">
        <v>72</v>
      </c>
      <c r="E31" s="94"/>
      <c r="F31" s="159">
        <f>STDEVA(F6:F29)</f>
        <v>1.9384399415805019E-2</v>
      </c>
      <c r="G31" s="159">
        <f t="shared" ref="G31:I31" si="8">STDEVA(G6:G29)</f>
        <v>1.3513424740654891E-2</v>
      </c>
      <c r="H31" s="159">
        <f t="shared" si="8"/>
        <v>9.7664425053079519E-3</v>
      </c>
      <c r="I31" s="159">
        <f t="shared" si="8"/>
        <v>9.1597590454526104E-3</v>
      </c>
      <c r="J31" s="131">
        <f>STDEVA(J6:J29)</f>
        <v>0.18750377488090414</v>
      </c>
      <c r="K31" s="190"/>
      <c r="M31" s="98" t="s">
        <v>74</v>
      </c>
      <c r="N31" s="98"/>
      <c r="O31" s="160">
        <f>AVERAGE(O21:O28)</f>
        <v>3.9428571428571431E-2</v>
      </c>
      <c r="P31" s="160">
        <f t="shared" ref="P31:R31" si="9">AVERAGE(P21:P28)</f>
        <v>2.3E-2</v>
      </c>
      <c r="Q31" s="160">
        <f t="shared" si="9"/>
        <v>1.9142857142857145E-2</v>
      </c>
      <c r="R31" s="160">
        <f t="shared" si="9"/>
        <v>1.6428571428571428E-2</v>
      </c>
      <c r="S31" s="132">
        <f>AVERAGE(S21:S28)</f>
        <v>1.3000502898462083</v>
      </c>
      <c r="T31" s="156"/>
    </row>
    <row r="32" spans="2:24" ht="15.75" thickBot="1" x14ac:dyDescent="0.3">
      <c r="D32" s="98" t="s">
        <v>74</v>
      </c>
      <c r="E32" s="98"/>
      <c r="F32" s="160">
        <f>AVERAGE(F6:F29)</f>
        <v>2.8130434782608706E-2</v>
      </c>
      <c r="G32" s="160">
        <f t="shared" ref="G32:J32" si="10">AVERAGE(G6:G29)</f>
        <v>1.7391304347826094E-2</v>
      </c>
      <c r="H32" s="160">
        <f t="shared" si="10"/>
        <v>1.5260869565217397E-2</v>
      </c>
      <c r="I32" s="160">
        <f t="shared" si="10"/>
        <v>1.2086956521739134E-2</v>
      </c>
      <c r="J32" s="132">
        <f t="shared" si="10"/>
        <v>1.4213091297124907</v>
      </c>
      <c r="K32" s="190"/>
      <c r="T32" s="156"/>
    </row>
    <row r="33" spans="4:20" ht="15.75" thickBot="1" x14ac:dyDescent="0.3">
      <c r="D33" s="4" t="s">
        <v>103</v>
      </c>
      <c r="E33" s="164"/>
      <c r="F33" s="164"/>
      <c r="G33" s="164"/>
      <c r="H33" s="164"/>
      <c r="I33" s="164"/>
      <c r="J33" s="5"/>
      <c r="K33" s="64"/>
      <c r="T33" s="156"/>
    </row>
    <row r="34" spans="4:20" x14ac:dyDescent="0.25">
      <c r="T34" s="156"/>
    </row>
    <row r="35" spans="4:20" x14ac:dyDescent="0.25">
      <c r="T35" s="1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B78"/>
  <sheetViews>
    <sheetView zoomScale="80" zoomScaleNormal="80" workbookViewId="0">
      <selection activeCell="F13" sqref="F13:F75"/>
    </sheetView>
  </sheetViews>
  <sheetFormatPr defaultRowHeight="15" x14ac:dyDescent="0.25"/>
  <cols>
    <col min="3" max="3" width="11.28515625" bestFit="1" customWidth="1"/>
    <col min="4" max="4" width="10.7109375" customWidth="1"/>
    <col min="5" max="5" width="15" bestFit="1" customWidth="1"/>
    <col min="6" max="6" width="11.7109375" bestFit="1" customWidth="1"/>
    <col min="13" max="13" width="11.7109375" bestFit="1" customWidth="1"/>
    <col min="16" max="16" width="12.28515625" customWidth="1"/>
    <col min="21" max="21" width="31.5703125" customWidth="1"/>
    <col min="22" max="22" width="13.7109375" bestFit="1" customWidth="1"/>
    <col min="23" max="23" width="13" bestFit="1" customWidth="1"/>
    <col min="24" max="24" width="30.5703125" customWidth="1"/>
    <col min="25" max="25" width="13" bestFit="1" customWidth="1"/>
  </cols>
  <sheetData>
    <row r="1" spans="3:28" x14ac:dyDescent="0.25">
      <c r="X1" t="s">
        <v>38</v>
      </c>
    </row>
    <row r="2" spans="3:28" ht="21.75" thickBot="1" x14ac:dyDescent="0.4">
      <c r="C2" s="165" t="s">
        <v>104</v>
      </c>
      <c r="D2" s="166" t="s">
        <v>105</v>
      </c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X2" s="35" t="s">
        <v>113</v>
      </c>
    </row>
    <row r="3" spans="3:28" ht="21" x14ac:dyDescent="0.35">
      <c r="C3" s="165"/>
      <c r="D3" s="166" t="s">
        <v>106</v>
      </c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X3" s="36"/>
      <c r="Y3" s="36" t="s">
        <v>42</v>
      </c>
      <c r="Z3" s="36" t="s">
        <v>43</v>
      </c>
    </row>
    <row r="4" spans="3:28" x14ac:dyDescent="0.25">
      <c r="D4" s="122" t="s">
        <v>107</v>
      </c>
      <c r="X4" s="37" t="s">
        <v>44</v>
      </c>
      <c r="Y4" s="37">
        <v>1.4272727272727272E-2</v>
      </c>
      <c r="Z4" s="37">
        <v>1.2083333333333335E-2</v>
      </c>
    </row>
    <row r="5" spans="3:28" x14ac:dyDescent="0.25">
      <c r="N5" s="60"/>
      <c r="O5" s="60"/>
      <c r="P5" s="60"/>
      <c r="Q5" s="60"/>
      <c r="R5" s="60"/>
      <c r="S5" s="60"/>
      <c r="T5" s="60"/>
      <c r="U5" s="60"/>
      <c r="V5" s="60"/>
      <c r="W5" s="60"/>
      <c r="X5" s="37" t="s">
        <v>45</v>
      </c>
      <c r="Y5" s="37">
        <v>4.5618181818181783E-5</v>
      </c>
      <c r="Z5" s="37">
        <v>9.3901515151515041E-5</v>
      </c>
      <c r="AA5" s="60"/>
      <c r="AB5" s="60"/>
    </row>
    <row r="6" spans="3:28" ht="15.75" thickBot="1" x14ac:dyDescent="0.3">
      <c r="N6" s="60"/>
      <c r="O6" s="60"/>
      <c r="P6" s="60"/>
      <c r="Q6" s="60"/>
      <c r="R6" s="60"/>
      <c r="S6" s="60"/>
      <c r="T6" s="60"/>
      <c r="U6" s="60"/>
      <c r="V6" s="60"/>
      <c r="W6" s="60"/>
      <c r="X6" s="37" t="s">
        <v>46</v>
      </c>
      <c r="Y6" s="37">
        <v>11</v>
      </c>
      <c r="Z6" s="37">
        <v>12</v>
      </c>
      <c r="AA6" s="60"/>
      <c r="AB6" s="60"/>
    </row>
    <row r="7" spans="3:28" ht="19.5" thickBot="1" x14ac:dyDescent="0.35">
      <c r="D7" s="167"/>
      <c r="E7" s="168" t="s">
        <v>108</v>
      </c>
      <c r="F7" s="169"/>
      <c r="G7" s="170"/>
      <c r="N7" s="60"/>
      <c r="T7" s="60"/>
      <c r="U7" s="60"/>
      <c r="V7" s="60"/>
      <c r="W7" s="60"/>
      <c r="X7" s="37" t="s">
        <v>47</v>
      </c>
      <c r="Y7" s="37">
        <v>7.0909451659451587E-5</v>
      </c>
      <c r="Z7" s="37"/>
      <c r="AA7" s="60"/>
      <c r="AB7" s="60"/>
    </row>
    <row r="8" spans="3:28" x14ac:dyDescent="0.25">
      <c r="N8" s="60"/>
      <c r="O8" s="60"/>
      <c r="P8" s="60"/>
      <c r="Q8" s="60"/>
      <c r="R8" s="60"/>
      <c r="S8" s="60"/>
      <c r="T8" s="60"/>
      <c r="U8" s="60"/>
      <c r="V8" s="60"/>
      <c r="W8" s="60"/>
      <c r="X8" s="37" t="s">
        <v>48</v>
      </c>
      <c r="Y8" s="37">
        <v>0</v>
      </c>
      <c r="Z8" s="37"/>
      <c r="AA8" s="60"/>
      <c r="AB8" s="60"/>
    </row>
    <row r="9" spans="3:28" x14ac:dyDescent="0.25">
      <c r="N9" s="60"/>
      <c r="O9" s="60"/>
      <c r="P9" s="60"/>
      <c r="Q9" s="60"/>
      <c r="R9" s="60"/>
      <c r="S9" s="60"/>
      <c r="T9" s="60"/>
      <c r="U9" s="60"/>
      <c r="V9" s="60"/>
      <c r="W9" s="60"/>
      <c r="X9" s="37" t="s">
        <v>49</v>
      </c>
      <c r="Y9" s="37">
        <v>21</v>
      </c>
      <c r="Z9" s="37"/>
      <c r="AA9" s="60"/>
      <c r="AB9" s="60"/>
    </row>
    <row r="10" spans="3:28" ht="21.75" thickBot="1" x14ac:dyDescent="0.4">
      <c r="D10" s="70" t="s">
        <v>109</v>
      </c>
      <c r="N10" s="60"/>
      <c r="O10" s="60"/>
      <c r="P10" s="171" t="s">
        <v>110</v>
      </c>
      <c r="Q10" s="60"/>
      <c r="R10" s="60"/>
      <c r="S10" s="60"/>
      <c r="T10" s="60"/>
      <c r="U10" s="60"/>
      <c r="V10" s="60"/>
      <c r="W10" s="60"/>
      <c r="X10" s="37" t="s">
        <v>50</v>
      </c>
      <c r="Y10" s="37">
        <v>0.62286638821876761</v>
      </c>
      <c r="Z10" s="37"/>
      <c r="AA10" s="60"/>
      <c r="AB10" s="60"/>
    </row>
    <row r="11" spans="3:28" ht="15.75" thickBot="1" x14ac:dyDescent="0.3">
      <c r="D11" s="153" t="s">
        <v>30</v>
      </c>
      <c r="E11" s="18">
        <v>230</v>
      </c>
      <c r="F11" s="18">
        <v>260</v>
      </c>
      <c r="G11" s="18">
        <v>270</v>
      </c>
      <c r="H11" s="172">
        <v>280</v>
      </c>
      <c r="I11" s="19" t="s">
        <v>68</v>
      </c>
      <c r="J11" s="154"/>
      <c r="K11" s="60"/>
      <c r="L11" s="60"/>
      <c r="M11" s="19" t="s">
        <v>66</v>
      </c>
      <c r="N11" s="19" t="s">
        <v>30</v>
      </c>
      <c r="O11" s="153">
        <v>230</v>
      </c>
      <c r="P11" s="18">
        <v>260</v>
      </c>
      <c r="Q11" s="18">
        <v>270</v>
      </c>
      <c r="R11" s="172">
        <v>280</v>
      </c>
      <c r="S11" s="19" t="s">
        <v>68</v>
      </c>
      <c r="T11" s="154"/>
      <c r="U11" s="37" t="s">
        <v>51</v>
      </c>
      <c r="V11" s="37">
        <v>0.27003908841040936</v>
      </c>
      <c r="W11" s="37"/>
      <c r="X11" s="60"/>
      <c r="Y11" s="60"/>
    </row>
    <row r="12" spans="3:28" ht="15.75" thickBot="1" x14ac:dyDescent="0.3">
      <c r="C12" s="71" t="s">
        <v>66</v>
      </c>
      <c r="D12" s="173"/>
      <c r="E12" s="174"/>
      <c r="F12" s="174"/>
      <c r="G12" s="174"/>
      <c r="H12" s="175"/>
      <c r="I12" s="25"/>
      <c r="J12" s="154"/>
      <c r="K12" s="60"/>
      <c r="L12" s="60"/>
      <c r="M12" s="25"/>
      <c r="N12" s="25"/>
      <c r="O12" s="176"/>
      <c r="P12" s="174"/>
      <c r="Q12" s="174"/>
      <c r="R12" s="175"/>
      <c r="S12" s="25"/>
      <c r="T12" s="154"/>
      <c r="U12" s="37" t="s">
        <v>52</v>
      </c>
      <c r="V12" s="37">
        <v>1.7207429028118781</v>
      </c>
      <c r="W12" s="37"/>
      <c r="X12" s="60"/>
      <c r="Y12" s="60"/>
    </row>
    <row r="13" spans="3:28" x14ac:dyDescent="0.25">
      <c r="C13" s="23">
        <v>1</v>
      </c>
      <c r="D13" s="23">
        <v>50</v>
      </c>
      <c r="E13" s="78">
        <v>4.4999999999999998E-2</v>
      </c>
      <c r="F13" s="78">
        <v>1.4999999999999999E-2</v>
      </c>
      <c r="G13" s="78">
        <v>1.4999999999999999E-2</v>
      </c>
      <c r="H13" s="177">
        <v>1.2E-2</v>
      </c>
      <c r="I13" s="76">
        <f>F13/H13</f>
        <v>1.25</v>
      </c>
      <c r="J13" s="156"/>
      <c r="K13" s="60"/>
      <c r="L13" s="60"/>
      <c r="M13" s="23">
        <v>1</v>
      </c>
      <c r="N13" s="23">
        <v>50</v>
      </c>
      <c r="O13" s="178">
        <v>5.1999999999999998E-2</v>
      </c>
      <c r="P13" s="74">
        <v>1.0999999999999999E-2</v>
      </c>
      <c r="Q13" s="74">
        <v>1.2999999999999999E-2</v>
      </c>
      <c r="R13" s="75">
        <v>1.0999999999999999E-2</v>
      </c>
      <c r="S13" s="76">
        <f>P13/R13</f>
        <v>1</v>
      </c>
      <c r="T13" s="156"/>
      <c r="U13" s="37" t="s">
        <v>53</v>
      </c>
      <c r="V13" s="37">
        <v>0.54007817682081871</v>
      </c>
      <c r="W13" s="37"/>
      <c r="X13" s="60"/>
      <c r="Y13" s="60"/>
    </row>
    <row r="14" spans="3:28" ht="15.75" thickBot="1" x14ac:dyDescent="0.3">
      <c r="C14" s="29">
        <v>2</v>
      </c>
      <c r="D14" s="29">
        <v>50</v>
      </c>
      <c r="E14" s="78">
        <v>6.3E-2</v>
      </c>
      <c r="F14" s="78">
        <v>2.1999999999999999E-2</v>
      </c>
      <c r="G14" s="78">
        <v>2.1999999999999999E-2</v>
      </c>
      <c r="H14" s="78">
        <v>1.7999999999999999E-2</v>
      </c>
      <c r="I14" s="80">
        <f>F14/H14</f>
        <v>1.2222222222222223</v>
      </c>
      <c r="J14" s="156"/>
      <c r="K14" s="60"/>
      <c r="L14" s="60"/>
      <c r="M14" s="29">
        <v>2</v>
      </c>
      <c r="N14" s="29">
        <v>50</v>
      </c>
      <c r="O14" s="179">
        <v>6.0999999999999999E-2</v>
      </c>
      <c r="P14" s="78">
        <v>1.9E-2</v>
      </c>
      <c r="Q14" s="78">
        <v>0.02</v>
      </c>
      <c r="R14" s="79">
        <v>1.7999999999999999E-2</v>
      </c>
      <c r="S14" s="80">
        <f t="shared" ref="S14:S24" si="0">P14/R14</f>
        <v>1.0555555555555556</v>
      </c>
      <c r="T14" s="156"/>
      <c r="U14" s="38" t="s">
        <v>54</v>
      </c>
      <c r="V14" s="38">
        <v>2.07961384472768</v>
      </c>
      <c r="W14" s="38"/>
      <c r="X14" s="60"/>
      <c r="Y14" s="60"/>
    </row>
    <row r="15" spans="3:28" x14ac:dyDescent="0.25">
      <c r="C15" s="29">
        <v>3</v>
      </c>
      <c r="D15" s="29">
        <v>50</v>
      </c>
      <c r="E15" s="78">
        <v>4.7E-2</v>
      </c>
      <c r="F15" s="78">
        <v>2.3E-2</v>
      </c>
      <c r="G15" s="78">
        <v>2.1999999999999999E-2</v>
      </c>
      <c r="H15" s="78">
        <v>1.6E-2</v>
      </c>
      <c r="I15" s="80">
        <f>F15/H15</f>
        <v>1.4375</v>
      </c>
      <c r="J15" s="156"/>
      <c r="K15" s="60"/>
      <c r="L15" s="60"/>
      <c r="M15" s="29">
        <v>3</v>
      </c>
      <c r="N15" s="29">
        <v>50</v>
      </c>
      <c r="O15" s="179">
        <v>7.0000000000000007E-2</v>
      </c>
      <c r="P15" s="180">
        <v>2.7E-2</v>
      </c>
      <c r="Q15" s="180">
        <v>2.8000000000000001E-2</v>
      </c>
      <c r="R15" s="79">
        <v>2.4E-2</v>
      </c>
      <c r="S15" s="80">
        <f t="shared" si="0"/>
        <v>1.125</v>
      </c>
      <c r="T15" s="156"/>
      <c r="X15" s="60"/>
      <c r="Y15" s="60"/>
    </row>
    <row r="16" spans="3:28" x14ac:dyDescent="0.25">
      <c r="C16" s="29">
        <v>4</v>
      </c>
      <c r="D16" s="29">
        <v>50</v>
      </c>
      <c r="E16" s="78">
        <v>3.5000000000000003E-2</v>
      </c>
      <c r="F16" s="78">
        <v>1.2999999999999999E-2</v>
      </c>
      <c r="G16" s="78">
        <v>1.2E-2</v>
      </c>
      <c r="H16" s="78">
        <v>8.9999999999999993E-3</v>
      </c>
      <c r="I16" s="80">
        <f>F16/H16</f>
        <v>1.4444444444444444</v>
      </c>
      <c r="J16" s="156"/>
      <c r="K16" s="60"/>
      <c r="L16" s="60"/>
      <c r="M16" s="29">
        <v>4</v>
      </c>
      <c r="N16" s="29">
        <v>50</v>
      </c>
      <c r="O16" s="179">
        <v>3.1E-2</v>
      </c>
      <c r="P16" s="180">
        <v>7.0000000000000001E-3</v>
      </c>
      <c r="Q16" s="180">
        <v>8.9999999999999993E-3</v>
      </c>
      <c r="R16" s="79">
        <v>8.0000000000000002E-3</v>
      </c>
      <c r="S16" s="80">
        <f t="shared" si="0"/>
        <v>0.875</v>
      </c>
      <c r="T16" s="156"/>
      <c r="U16" t="s">
        <v>38</v>
      </c>
      <c r="X16" s="60"/>
      <c r="Y16" s="60"/>
    </row>
    <row r="17" spans="3:25" ht="15.75" thickBot="1" x14ac:dyDescent="0.3">
      <c r="C17" s="85">
        <v>5</v>
      </c>
      <c r="D17" s="29">
        <v>50</v>
      </c>
      <c r="E17" s="177"/>
      <c r="F17" s="177"/>
      <c r="G17" s="177"/>
      <c r="H17" s="177"/>
      <c r="I17" s="80"/>
      <c r="J17" s="156"/>
      <c r="K17" s="60"/>
      <c r="L17" s="60"/>
      <c r="M17" s="85">
        <v>5</v>
      </c>
      <c r="N17" s="29">
        <v>50</v>
      </c>
      <c r="O17" s="179">
        <v>3.5000000000000003E-2</v>
      </c>
      <c r="P17" s="180">
        <v>6.0000000000000001E-3</v>
      </c>
      <c r="Q17" s="180">
        <v>8.0000000000000002E-3</v>
      </c>
      <c r="R17" s="79">
        <v>8.0000000000000002E-3</v>
      </c>
      <c r="S17" s="80">
        <f t="shared" si="0"/>
        <v>0.75</v>
      </c>
      <c r="T17" s="156"/>
      <c r="U17" s="35" t="s">
        <v>112</v>
      </c>
      <c r="X17" s="60"/>
      <c r="Y17" s="60"/>
    </row>
    <row r="18" spans="3:25" x14ac:dyDescent="0.25">
      <c r="C18" s="29">
        <v>6</v>
      </c>
      <c r="D18" s="29">
        <v>50</v>
      </c>
      <c r="E18" s="78">
        <v>3.9E-2</v>
      </c>
      <c r="F18" s="78">
        <v>1.2E-2</v>
      </c>
      <c r="G18" s="78">
        <v>1.2E-2</v>
      </c>
      <c r="H18" s="177">
        <v>8.9999999999999993E-3</v>
      </c>
      <c r="I18" s="80">
        <f t="shared" ref="I18:I75" si="1">F18/H18</f>
        <v>1.3333333333333335</v>
      </c>
      <c r="J18" s="156"/>
      <c r="K18" s="60"/>
      <c r="L18" s="60"/>
      <c r="M18" s="29">
        <v>6</v>
      </c>
      <c r="N18" s="29">
        <v>50</v>
      </c>
      <c r="O18" s="179">
        <v>3.6999999999999998E-2</v>
      </c>
      <c r="P18" s="180">
        <v>8.9999999999999993E-3</v>
      </c>
      <c r="Q18" s="180">
        <v>1.0999999999999999E-2</v>
      </c>
      <c r="R18" s="79">
        <v>0.01</v>
      </c>
      <c r="S18" s="80">
        <f t="shared" si="0"/>
        <v>0.89999999999999991</v>
      </c>
      <c r="T18" s="156"/>
      <c r="U18" s="36"/>
      <c r="V18" s="36" t="s">
        <v>42</v>
      </c>
      <c r="W18" s="36" t="s">
        <v>43</v>
      </c>
      <c r="X18" s="60"/>
      <c r="Y18" s="60"/>
    </row>
    <row r="19" spans="3:25" x14ac:dyDescent="0.25">
      <c r="C19" s="85">
        <v>7</v>
      </c>
      <c r="D19" s="29">
        <v>50</v>
      </c>
      <c r="E19" s="78">
        <v>3.5000000000000003E-2</v>
      </c>
      <c r="F19" s="78">
        <v>8.0000000000000002E-3</v>
      </c>
      <c r="G19" s="78">
        <v>8.9999999999999993E-3</v>
      </c>
      <c r="H19" s="78">
        <v>8.0000000000000002E-3</v>
      </c>
      <c r="I19" s="80">
        <f t="shared" si="1"/>
        <v>1</v>
      </c>
      <c r="J19" s="156"/>
      <c r="K19" s="60"/>
      <c r="L19" s="60"/>
      <c r="M19" s="85">
        <v>7</v>
      </c>
      <c r="N19" s="29">
        <v>50</v>
      </c>
      <c r="O19" s="179">
        <v>3.4000000000000002E-2</v>
      </c>
      <c r="P19" s="180">
        <v>1.4E-2</v>
      </c>
      <c r="Q19" s="180">
        <v>1.4E-2</v>
      </c>
      <c r="R19" s="79">
        <v>1.2E-2</v>
      </c>
      <c r="S19" s="80">
        <f t="shared" si="0"/>
        <v>1.1666666666666667</v>
      </c>
      <c r="T19" s="156"/>
      <c r="U19" s="37" t="s">
        <v>44</v>
      </c>
      <c r="V19" s="37">
        <v>1.1090909090909092E-2</v>
      </c>
      <c r="W19" s="37">
        <v>1.2333333333333335E-2</v>
      </c>
      <c r="X19" s="60"/>
      <c r="Y19" s="60"/>
    </row>
    <row r="20" spans="3:25" x14ac:dyDescent="0.25">
      <c r="C20" s="29">
        <v>8</v>
      </c>
      <c r="D20" s="29">
        <v>50</v>
      </c>
      <c r="E20" s="78">
        <v>3.9E-2</v>
      </c>
      <c r="F20" s="78">
        <v>1.7000000000000001E-2</v>
      </c>
      <c r="G20" s="78">
        <v>1.6E-2</v>
      </c>
      <c r="H20" s="78">
        <v>1.2E-2</v>
      </c>
      <c r="I20" s="80">
        <f t="shared" si="1"/>
        <v>1.4166666666666667</v>
      </c>
      <c r="J20" s="156"/>
      <c r="K20" s="60"/>
      <c r="L20" s="60"/>
      <c r="M20" s="29">
        <v>8</v>
      </c>
      <c r="N20" s="29">
        <v>50</v>
      </c>
      <c r="O20" s="179">
        <v>3.6999999999999998E-2</v>
      </c>
      <c r="P20" s="180">
        <v>3.0000000000000001E-3</v>
      </c>
      <c r="Q20" s="180">
        <v>5.0000000000000001E-3</v>
      </c>
      <c r="R20" s="79">
        <v>6.0000000000000001E-3</v>
      </c>
      <c r="S20" s="80">
        <f t="shared" si="0"/>
        <v>0.5</v>
      </c>
      <c r="T20" s="156"/>
      <c r="U20" s="37" t="s">
        <v>45</v>
      </c>
      <c r="V20" s="37">
        <v>2.0290909090909062E-5</v>
      </c>
      <c r="W20" s="37">
        <v>5.0606060606060551E-5</v>
      </c>
      <c r="X20" s="60"/>
      <c r="Y20" s="60"/>
    </row>
    <row r="21" spans="3:25" x14ac:dyDescent="0.25">
      <c r="C21" s="29">
        <v>9</v>
      </c>
      <c r="D21" s="29">
        <v>50</v>
      </c>
      <c r="E21" s="78">
        <v>3.4000000000000002E-2</v>
      </c>
      <c r="F21" s="78">
        <v>3.0000000000000001E-3</v>
      </c>
      <c r="G21" s="78">
        <v>5.0000000000000001E-3</v>
      </c>
      <c r="H21" s="78">
        <v>4.0000000000000001E-3</v>
      </c>
      <c r="I21" s="80">
        <f t="shared" si="1"/>
        <v>0.75</v>
      </c>
      <c r="J21" s="156"/>
      <c r="K21" s="60"/>
      <c r="L21" s="60"/>
      <c r="M21" s="29">
        <v>9</v>
      </c>
      <c r="N21" s="29">
        <v>50</v>
      </c>
      <c r="O21" s="179">
        <v>3.2000000000000001E-2</v>
      </c>
      <c r="P21" s="180">
        <v>-1E-3</v>
      </c>
      <c r="Q21" s="180">
        <v>3.0000000000000001E-3</v>
      </c>
      <c r="R21" s="79">
        <v>4.0000000000000001E-3</v>
      </c>
      <c r="S21" s="80">
        <f t="shared" si="0"/>
        <v>-0.25</v>
      </c>
      <c r="T21" s="156"/>
      <c r="U21" s="37" t="s">
        <v>46</v>
      </c>
      <c r="V21" s="37">
        <v>11</v>
      </c>
      <c r="W21" s="37">
        <v>12</v>
      </c>
      <c r="X21" s="60"/>
      <c r="Y21" s="60"/>
    </row>
    <row r="22" spans="3:25" x14ac:dyDescent="0.25">
      <c r="C22" s="102">
        <v>10</v>
      </c>
      <c r="D22" s="29">
        <v>50</v>
      </c>
      <c r="E22" s="180">
        <v>3.1E-2</v>
      </c>
      <c r="F22" s="180">
        <v>8.0000000000000002E-3</v>
      </c>
      <c r="G22" s="180">
        <v>8.0000000000000002E-3</v>
      </c>
      <c r="H22" s="180">
        <v>6.0000000000000001E-3</v>
      </c>
      <c r="I22" s="80">
        <f t="shared" si="1"/>
        <v>1.3333333333333333</v>
      </c>
      <c r="J22" s="156"/>
      <c r="K22" s="60"/>
      <c r="L22" s="60"/>
      <c r="M22" s="102">
        <v>10</v>
      </c>
      <c r="N22" s="29">
        <v>50</v>
      </c>
      <c r="O22" s="179">
        <v>0.03</v>
      </c>
      <c r="P22" s="180">
        <v>4.0000000000000001E-3</v>
      </c>
      <c r="Q22" s="180">
        <v>6.0000000000000001E-3</v>
      </c>
      <c r="R22" s="79">
        <v>6.0000000000000001E-3</v>
      </c>
      <c r="S22" s="80">
        <f t="shared" si="0"/>
        <v>0.66666666666666663</v>
      </c>
      <c r="T22" s="156"/>
      <c r="U22" s="37" t="s">
        <v>47</v>
      </c>
      <c r="V22" s="37">
        <v>3.6170274170274124E-5</v>
      </c>
      <c r="W22" s="37"/>
      <c r="X22" s="60"/>
      <c r="Y22" s="60"/>
    </row>
    <row r="23" spans="3:25" x14ac:dyDescent="0.25">
      <c r="C23" s="29">
        <v>11</v>
      </c>
      <c r="D23" s="29">
        <v>50</v>
      </c>
      <c r="E23" s="78">
        <v>4.5999999999999999E-2</v>
      </c>
      <c r="F23" s="78">
        <v>1.2E-2</v>
      </c>
      <c r="G23" s="78">
        <v>1.2999999999999999E-2</v>
      </c>
      <c r="H23" s="78">
        <v>1.0999999999999999E-2</v>
      </c>
      <c r="I23" s="80">
        <f t="shared" si="1"/>
        <v>1.0909090909090911</v>
      </c>
      <c r="J23" s="156"/>
      <c r="K23" s="60"/>
      <c r="L23" s="60"/>
      <c r="M23" s="29">
        <v>11</v>
      </c>
      <c r="N23" s="29">
        <v>50</v>
      </c>
      <c r="O23" s="179">
        <v>5.0999999999999997E-2</v>
      </c>
      <c r="P23" s="180">
        <v>1.4999999999999999E-2</v>
      </c>
      <c r="Q23" s="180">
        <v>1.6E-2</v>
      </c>
      <c r="R23" s="79">
        <v>1.4999999999999999E-2</v>
      </c>
      <c r="S23" s="80">
        <f t="shared" si="0"/>
        <v>1</v>
      </c>
      <c r="T23" s="156"/>
      <c r="U23" s="37" t="s">
        <v>48</v>
      </c>
      <c r="V23" s="37">
        <v>0</v>
      </c>
      <c r="W23" s="37"/>
      <c r="X23" s="60"/>
      <c r="Y23" s="60"/>
    </row>
    <row r="24" spans="3:25" ht="15.75" thickBot="1" x14ac:dyDescent="0.3">
      <c r="C24" s="102">
        <v>12</v>
      </c>
      <c r="D24" s="29">
        <v>50</v>
      </c>
      <c r="E24" s="180">
        <v>4.2000000000000003E-2</v>
      </c>
      <c r="F24" s="180">
        <v>2.4E-2</v>
      </c>
      <c r="G24" s="180">
        <v>2.3E-2</v>
      </c>
      <c r="H24" s="78">
        <v>1.7000000000000001E-2</v>
      </c>
      <c r="I24" s="80">
        <f t="shared" si="1"/>
        <v>1.4117647058823528</v>
      </c>
      <c r="J24" s="156"/>
      <c r="K24" s="60"/>
      <c r="L24" s="60"/>
      <c r="M24" s="102">
        <v>12</v>
      </c>
      <c r="N24" s="29">
        <v>50</v>
      </c>
      <c r="O24" s="179">
        <v>6.4000000000000001E-2</v>
      </c>
      <c r="P24" s="180">
        <v>3.1E-2</v>
      </c>
      <c r="Q24" s="180">
        <v>0.03</v>
      </c>
      <c r="R24" s="79">
        <v>2.5999999999999999E-2</v>
      </c>
      <c r="S24" s="80">
        <f t="shared" si="0"/>
        <v>1.1923076923076923</v>
      </c>
      <c r="T24" s="156"/>
      <c r="U24" s="37" t="s">
        <v>49</v>
      </c>
      <c r="V24" s="37">
        <v>21</v>
      </c>
      <c r="W24" s="37"/>
      <c r="X24" s="60"/>
      <c r="Y24" s="60"/>
    </row>
    <row r="25" spans="3:25" x14ac:dyDescent="0.25">
      <c r="C25" s="102">
        <v>13</v>
      </c>
      <c r="D25" s="29">
        <v>50</v>
      </c>
      <c r="E25" s="180">
        <v>2.8000000000000001E-2</v>
      </c>
      <c r="F25" s="180">
        <v>7.0000000000000001E-3</v>
      </c>
      <c r="G25" s="78">
        <v>7.0000000000000001E-3</v>
      </c>
      <c r="H25" s="78">
        <v>5.0000000000000001E-3</v>
      </c>
      <c r="I25" s="80">
        <f t="shared" si="1"/>
        <v>1.4</v>
      </c>
      <c r="J25" s="156"/>
      <c r="K25" s="60"/>
      <c r="L25" s="60"/>
      <c r="M25" s="23" t="s">
        <v>71</v>
      </c>
      <c r="N25" s="23"/>
      <c r="O25" s="181">
        <f>MEDIAN(O13:O24)</f>
        <v>3.6999999999999998E-2</v>
      </c>
      <c r="P25" s="181">
        <f t="shared" ref="P25:S25" si="2">MEDIAN(P13:P24)</f>
        <v>9.9999999999999985E-3</v>
      </c>
      <c r="Q25" s="181">
        <f t="shared" si="2"/>
        <v>1.2E-2</v>
      </c>
      <c r="R25" s="181">
        <f t="shared" si="2"/>
        <v>1.0499999999999999E-2</v>
      </c>
      <c r="S25" s="182">
        <f t="shared" si="2"/>
        <v>0.95</v>
      </c>
      <c r="T25" s="183"/>
      <c r="U25" s="37" t="s">
        <v>50</v>
      </c>
      <c r="V25" s="37">
        <v>-0.49489955587691631</v>
      </c>
      <c r="W25" s="37"/>
      <c r="X25" s="60"/>
      <c r="Y25" s="60"/>
    </row>
    <row r="26" spans="3:25" x14ac:dyDescent="0.25">
      <c r="C26" s="29">
        <v>14</v>
      </c>
      <c r="D26" s="29">
        <v>50</v>
      </c>
      <c r="E26" s="78">
        <v>4.9000000000000002E-2</v>
      </c>
      <c r="F26" s="78">
        <v>1.2999999999999999E-2</v>
      </c>
      <c r="G26" s="78">
        <v>1.4E-2</v>
      </c>
      <c r="H26" s="78">
        <v>1.0999999999999999E-2</v>
      </c>
      <c r="I26" s="80">
        <f t="shared" si="1"/>
        <v>1.1818181818181819</v>
      </c>
      <c r="J26" s="156"/>
      <c r="K26" s="60"/>
      <c r="L26" s="60"/>
      <c r="M26" s="29" t="s">
        <v>72</v>
      </c>
      <c r="N26" s="29"/>
      <c r="O26" s="183">
        <f>STDEVA(O13:O24)</f>
        <v>1.4343196042977083E-2</v>
      </c>
      <c r="P26" s="183">
        <f t="shared" ref="P26:S26" si="3">STDEVA(P13:P24)</f>
        <v>9.6902794155542815E-3</v>
      </c>
      <c r="Q26" s="183">
        <f t="shared" si="3"/>
        <v>8.6703080928097614E-3</v>
      </c>
      <c r="R26" s="183">
        <f t="shared" si="3"/>
        <v>7.1137936859358352E-3</v>
      </c>
      <c r="S26" s="184">
        <f t="shared" si="3"/>
        <v>0.3994970649016073</v>
      </c>
      <c r="T26" s="183"/>
      <c r="U26" s="37" t="s">
        <v>51</v>
      </c>
      <c r="V26" s="37">
        <v>0.31290464330835144</v>
      </c>
      <c r="W26" s="37"/>
      <c r="X26" s="60"/>
      <c r="Y26" s="60"/>
    </row>
    <row r="27" spans="3:25" ht="15.75" thickBot="1" x14ac:dyDescent="0.3">
      <c r="C27" s="85">
        <v>15</v>
      </c>
      <c r="D27" s="29">
        <v>50</v>
      </c>
      <c r="E27" s="78">
        <v>0.03</v>
      </c>
      <c r="F27" s="78">
        <v>8.9999999999999993E-3</v>
      </c>
      <c r="G27" s="78">
        <v>8.9999999999999993E-3</v>
      </c>
      <c r="H27" s="78">
        <v>6.0000000000000001E-3</v>
      </c>
      <c r="I27" s="80">
        <f t="shared" si="1"/>
        <v>1.4999999999999998</v>
      </c>
      <c r="J27" s="156"/>
      <c r="K27" s="60"/>
      <c r="L27" s="60"/>
      <c r="M27" s="42" t="s">
        <v>74</v>
      </c>
      <c r="N27" s="42"/>
      <c r="O27" s="185">
        <f>AVERAGE(O13:O24)</f>
        <v>4.4499999999999991E-2</v>
      </c>
      <c r="P27" s="185">
        <f t="shared" ref="P27:S27" si="4">AVERAGE(P13:P24)</f>
        <v>1.2083333333333335E-2</v>
      </c>
      <c r="Q27" s="185">
        <f t="shared" si="4"/>
        <v>1.3583333333333334E-2</v>
      </c>
      <c r="R27" s="185">
        <f t="shared" si="4"/>
        <v>1.2333333333333335E-2</v>
      </c>
      <c r="S27" s="186">
        <f t="shared" si="4"/>
        <v>0.83176638176638173</v>
      </c>
      <c r="T27" s="183"/>
      <c r="U27" s="37" t="s">
        <v>52</v>
      </c>
      <c r="V27" s="37">
        <v>1.7207429028118781</v>
      </c>
      <c r="W27" s="37"/>
      <c r="X27" s="60"/>
      <c r="Y27" s="60"/>
    </row>
    <row r="28" spans="3:25" x14ac:dyDescent="0.25">
      <c r="C28" s="29">
        <v>16</v>
      </c>
      <c r="D28" s="29">
        <v>50</v>
      </c>
      <c r="E28" s="180">
        <v>4.2000000000000003E-2</v>
      </c>
      <c r="F28" s="180">
        <v>1.6E-2</v>
      </c>
      <c r="G28" s="180">
        <v>1.4999999999999999E-2</v>
      </c>
      <c r="H28" s="78">
        <v>1.2E-2</v>
      </c>
      <c r="I28" s="80">
        <f t="shared" si="1"/>
        <v>1.3333333333333333</v>
      </c>
      <c r="J28" s="156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37" t="s">
        <v>53</v>
      </c>
      <c r="V28" s="37">
        <v>0.62580928661670288</v>
      </c>
      <c r="W28" s="37"/>
      <c r="X28" s="60"/>
      <c r="Y28" s="60"/>
    </row>
    <row r="29" spans="3:25" ht="15.75" thickBot="1" x14ac:dyDescent="0.3">
      <c r="C29" s="29">
        <v>17</v>
      </c>
      <c r="D29" s="29">
        <v>50</v>
      </c>
      <c r="E29" s="78">
        <v>3.5999999999999997E-2</v>
      </c>
      <c r="F29" s="78">
        <v>1.4E-2</v>
      </c>
      <c r="G29" s="78">
        <v>1.4E-2</v>
      </c>
      <c r="H29" s="78">
        <v>1.0999999999999999E-2</v>
      </c>
      <c r="I29" s="80">
        <f t="shared" si="1"/>
        <v>1.2727272727272729</v>
      </c>
      <c r="J29" s="156"/>
      <c r="U29" s="38" t="s">
        <v>54</v>
      </c>
      <c r="V29" s="38">
        <v>2.07961384472768</v>
      </c>
      <c r="W29" s="38"/>
      <c r="X29" s="60"/>
      <c r="Y29" s="60"/>
    </row>
    <row r="30" spans="3:25" x14ac:dyDescent="0.25">
      <c r="C30" s="29">
        <v>18</v>
      </c>
      <c r="D30" s="29">
        <v>50</v>
      </c>
      <c r="E30" s="78">
        <v>5.8000000000000003E-2</v>
      </c>
      <c r="F30" s="78">
        <v>2.7E-2</v>
      </c>
      <c r="G30" s="78">
        <v>2.7E-2</v>
      </c>
      <c r="H30" s="78">
        <v>2.3E-2</v>
      </c>
      <c r="I30" s="80">
        <f t="shared" si="1"/>
        <v>1.173913043478261</v>
      </c>
      <c r="J30" s="156"/>
      <c r="U30" s="60"/>
      <c r="X30" s="60"/>
      <c r="Y30" s="60"/>
    </row>
    <row r="31" spans="3:25" x14ac:dyDescent="0.25">
      <c r="C31" s="29">
        <v>19</v>
      </c>
      <c r="D31" s="29">
        <v>50</v>
      </c>
      <c r="E31" s="78">
        <v>3.7999999999999999E-2</v>
      </c>
      <c r="F31" s="78">
        <v>1.0999999999999999E-2</v>
      </c>
      <c r="G31" s="78">
        <v>1.2999999999999999E-2</v>
      </c>
      <c r="H31" s="78">
        <v>8.9999999999999993E-3</v>
      </c>
      <c r="I31" s="80">
        <f t="shared" si="1"/>
        <v>1.2222222222222223</v>
      </c>
      <c r="J31" s="156"/>
      <c r="K31" s="60"/>
      <c r="L31" s="60"/>
      <c r="P31" s="60"/>
      <c r="Q31" s="60"/>
      <c r="R31" s="60"/>
      <c r="S31" s="60"/>
      <c r="T31" s="60"/>
      <c r="U31" t="s">
        <v>38</v>
      </c>
      <c r="X31" s="60"/>
      <c r="Y31" s="60"/>
    </row>
    <row r="32" spans="3:25" ht="15.75" thickBot="1" x14ac:dyDescent="0.3">
      <c r="C32" s="102">
        <v>20</v>
      </c>
      <c r="D32" s="29">
        <v>50</v>
      </c>
      <c r="E32" s="78">
        <v>0.05</v>
      </c>
      <c r="F32" s="78">
        <v>1.2999999999999999E-2</v>
      </c>
      <c r="G32" s="78">
        <v>1.4999999999999999E-2</v>
      </c>
      <c r="H32" s="78">
        <v>1.4999999999999999E-2</v>
      </c>
      <c r="I32" s="80">
        <f t="shared" si="1"/>
        <v>0.8666666666666667</v>
      </c>
      <c r="J32" s="156"/>
      <c r="K32" s="60"/>
      <c r="L32" s="60"/>
      <c r="P32" s="60"/>
      <c r="Q32" s="60"/>
      <c r="R32" s="60"/>
      <c r="S32" s="60"/>
      <c r="T32" s="60"/>
      <c r="U32" t="s">
        <v>111</v>
      </c>
      <c r="X32" s="60"/>
      <c r="Y32" s="60"/>
    </row>
    <row r="33" spans="3:25" x14ac:dyDescent="0.25">
      <c r="C33" s="29">
        <v>21</v>
      </c>
      <c r="D33" s="29">
        <v>50</v>
      </c>
      <c r="E33" s="78">
        <v>8.2000000000000003E-2</v>
      </c>
      <c r="F33" s="78">
        <v>4.0000000000000001E-3</v>
      </c>
      <c r="G33" s="78">
        <v>8.0000000000000002E-3</v>
      </c>
      <c r="H33" s="78">
        <v>1.0999999999999999E-2</v>
      </c>
      <c r="I33" s="80">
        <f t="shared" si="1"/>
        <v>0.36363636363636365</v>
      </c>
      <c r="J33" s="156"/>
      <c r="K33" s="60"/>
      <c r="L33" s="60"/>
      <c r="P33" s="60"/>
      <c r="Q33" s="60"/>
      <c r="R33" s="60"/>
      <c r="S33" s="60"/>
      <c r="T33" s="60"/>
      <c r="U33" s="36"/>
      <c r="V33" s="36" t="s">
        <v>42</v>
      </c>
      <c r="W33" s="36" t="s">
        <v>43</v>
      </c>
      <c r="X33" s="60"/>
      <c r="Y33" s="60"/>
    </row>
    <row r="34" spans="3:25" x14ac:dyDescent="0.25">
      <c r="C34" s="85">
        <v>22</v>
      </c>
      <c r="D34" s="29">
        <v>50</v>
      </c>
      <c r="E34" s="78">
        <v>3.4000000000000002E-2</v>
      </c>
      <c r="F34" s="78">
        <v>0.01</v>
      </c>
      <c r="G34" s="78">
        <v>1.0999999999999999E-2</v>
      </c>
      <c r="H34" s="78">
        <v>1.2E-2</v>
      </c>
      <c r="I34" s="80">
        <f t="shared" si="1"/>
        <v>0.83333333333333337</v>
      </c>
      <c r="J34" s="156"/>
      <c r="K34" s="60"/>
      <c r="L34" s="60"/>
      <c r="P34" s="60"/>
      <c r="Q34" s="60"/>
      <c r="R34" s="60"/>
      <c r="S34" s="60"/>
      <c r="T34" s="60"/>
      <c r="U34" s="37" t="s">
        <v>44</v>
      </c>
      <c r="V34" s="37">
        <v>1.200914372483</v>
      </c>
      <c r="W34" s="37">
        <v>0.83176638176638173</v>
      </c>
      <c r="X34" s="60"/>
      <c r="Y34" s="60"/>
    </row>
    <row r="35" spans="3:25" x14ac:dyDescent="0.25">
      <c r="C35" s="187">
        <v>23</v>
      </c>
      <c r="D35" s="29">
        <v>50</v>
      </c>
      <c r="E35" s="78">
        <v>3.6999999999999998E-2</v>
      </c>
      <c r="F35" s="78">
        <v>1.7000000000000001E-2</v>
      </c>
      <c r="G35" s="78">
        <v>1.6E-2</v>
      </c>
      <c r="H35" s="78">
        <v>1.4E-2</v>
      </c>
      <c r="I35" s="80">
        <f t="shared" si="1"/>
        <v>1.2142857142857144</v>
      </c>
      <c r="J35" s="156"/>
      <c r="K35" s="60"/>
      <c r="L35" s="60"/>
      <c r="P35" s="60"/>
      <c r="Q35" s="60"/>
      <c r="R35" s="60"/>
      <c r="S35" s="60"/>
      <c r="T35" s="60"/>
      <c r="U35" s="37" t="s">
        <v>45</v>
      </c>
      <c r="V35" s="37">
        <v>4.8091427446359303E-2</v>
      </c>
      <c r="W35" s="37">
        <v>0.15959790486499903</v>
      </c>
      <c r="X35" s="60"/>
      <c r="Y35" s="60"/>
    </row>
    <row r="36" spans="3:25" x14ac:dyDescent="0.25">
      <c r="C36" s="187">
        <v>24</v>
      </c>
      <c r="D36" s="29">
        <v>50</v>
      </c>
      <c r="E36" s="78">
        <v>1.2999999999999999E-2</v>
      </c>
      <c r="F36" s="78">
        <v>3.0000000000000001E-3</v>
      </c>
      <c r="G36" s="78">
        <v>4.0000000000000001E-3</v>
      </c>
      <c r="H36" s="78">
        <v>3.0000000000000001E-3</v>
      </c>
      <c r="I36" s="80">
        <f t="shared" si="1"/>
        <v>1</v>
      </c>
      <c r="J36" s="156"/>
      <c r="K36" s="60"/>
      <c r="L36" s="60"/>
      <c r="P36" s="60"/>
      <c r="Q36" s="60"/>
      <c r="R36" s="60"/>
      <c r="S36" s="60"/>
      <c r="T36" s="60"/>
      <c r="U36" s="37" t="s">
        <v>46</v>
      </c>
      <c r="V36" s="37">
        <v>9</v>
      </c>
      <c r="W36" s="37">
        <v>12</v>
      </c>
      <c r="X36" s="60"/>
      <c r="Y36" s="60"/>
    </row>
    <row r="37" spans="3:25" x14ac:dyDescent="0.25">
      <c r="C37" s="187">
        <v>25</v>
      </c>
      <c r="D37" s="29">
        <v>50</v>
      </c>
      <c r="E37" s="78">
        <v>4.2000000000000003E-2</v>
      </c>
      <c r="F37" s="78">
        <v>1.7999999999999999E-2</v>
      </c>
      <c r="G37" s="78">
        <v>1.7999999999999999E-2</v>
      </c>
      <c r="H37" s="78">
        <v>1.4999999999999999E-2</v>
      </c>
      <c r="I37" s="80">
        <f t="shared" si="1"/>
        <v>1.2</v>
      </c>
      <c r="J37" s="156"/>
      <c r="K37" s="60"/>
      <c r="L37" s="60"/>
      <c r="P37" s="60"/>
      <c r="Q37" s="60"/>
      <c r="R37" s="60"/>
      <c r="S37" s="60"/>
      <c r="T37" s="60"/>
      <c r="U37" s="37" t="s">
        <v>47</v>
      </c>
      <c r="V37" s="37">
        <v>0.1126478091097823</v>
      </c>
      <c r="W37" s="37"/>
      <c r="X37" s="60"/>
      <c r="Y37" s="60"/>
    </row>
    <row r="38" spans="3:25" x14ac:dyDescent="0.25">
      <c r="C38" s="187">
        <v>26</v>
      </c>
      <c r="D38" s="29">
        <v>50</v>
      </c>
      <c r="E38" s="78">
        <v>1.9E-2</v>
      </c>
      <c r="F38" s="78">
        <v>7.0000000000000001E-3</v>
      </c>
      <c r="G38" s="78">
        <v>8.0000000000000002E-3</v>
      </c>
      <c r="H38" s="78">
        <v>7.0000000000000001E-3</v>
      </c>
      <c r="I38" s="80">
        <f t="shared" si="1"/>
        <v>1</v>
      </c>
      <c r="J38" s="156"/>
      <c r="K38" s="60"/>
      <c r="L38" s="60"/>
      <c r="P38" s="60"/>
      <c r="Q38" s="60"/>
      <c r="R38" s="60"/>
      <c r="S38" s="60"/>
      <c r="T38" s="60"/>
      <c r="U38" s="37" t="s">
        <v>48</v>
      </c>
      <c r="V38" s="37">
        <v>0</v>
      </c>
      <c r="W38" s="37"/>
      <c r="X38" s="60"/>
      <c r="Y38" s="60"/>
    </row>
    <row r="39" spans="3:25" x14ac:dyDescent="0.25">
      <c r="C39" s="187">
        <v>27</v>
      </c>
      <c r="D39" s="29">
        <v>50</v>
      </c>
      <c r="E39" s="78">
        <v>3.5999999999999997E-2</v>
      </c>
      <c r="F39" s="78">
        <v>1.7999999999999999E-2</v>
      </c>
      <c r="G39" s="78">
        <v>1.7999999999999999E-2</v>
      </c>
      <c r="H39" s="78">
        <v>1.4999999999999999E-2</v>
      </c>
      <c r="I39" s="80">
        <f t="shared" si="1"/>
        <v>1.2</v>
      </c>
      <c r="J39" s="156"/>
      <c r="K39" s="60"/>
      <c r="L39" s="60"/>
      <c r="P39" s="60"/>
      <c r="Q39" s="60"/>
      <c r="R39" s="60"/>
      <c r="S39" s="60"/>
      <c r="T39" s="60"/>
      <c r="U39" s="37" t="s">
        <v>49</v>
      </c>
      <c r="V39" s="37">
        <v>19</v>
      </c>
      <c r="W39" s="37"/>
      <c r="X39" s="60"/>
      <c r="Y39" s="60"/>
    </row>
    <row r="40" spans="3:25" x14ac:dyDescent="0.25">
      <c r="C40" s="187">
        <v>28</v>
      </c>
      <c r="D40" s="29">
        <v>50</v>
      </c>
      <c r="E40" s="78">
        <v>2.5000000000000001E-2</v>
      </c>
      <c r="F40" s="78">
        <v>0.01</v>
      </c>
      <c r="G40" s="78">
        <v>1.0999999999999999E-2</v>
      </c>
      <c r="H40" s="78">
        <v>8.0000000000000002E-3</v>
      </c>
      <c r="I40" s="80">
        <f t="shared" si="1"/>
        <v>1.25</v>
      </c>
      <c r="J40" s="156"/>
      <c r="K40" s="60"/>
      <c r="L40" s="60"/>
      <c r="P40" s="60"/>
      <c r="Q40" s="60"/>
      <c r="R40" s="60"/>
      <c r="S40" s="60"/>
      <c r="T40" s="60"/>
      <c r="U40" s="37" t="s">
        <v>50</v>
      </c>
      <c r="V40" s="37">
        <v>2.4942579463637298</v>
      </c>
      <c r="W40" s="37"/>
      <c r="X40" s="60"/>
      <c r="Y40" s="60"/>
    </row>
    <row r="41" spans="3:25" x14ac:dyDescent="0.25">
      <c r="C41" s="187">
        <v>29</v>
      </c>
      <c r="D41" s="29">
        <v>50</v>
      </c>
      <c r="E41" s="78">
        <v>3.6999999999999998E-2</v>
      </c>
      <c r="F41" s="78">
        <v>3.0000000000000001E-3</v>
      </c>
      <c r="G41" s="78">
        <v>6.0000000000000001E-3</v>
      </c>
      <c r="H41" s="78">
        <v>7.0000000000000001E-3</v>
      </c>
      <c r="I41" s="80">
        <f t="shared" si="1"/>
        <v>0.42857142857142855</v>
      </c>
      <c r="J41" s="156"/>
      <c r="K41" s="60"/>
      <c r="L41" s="60"/>
      <c r="P41" s="60"/>
      <c r="Q41" s="60"/>
      <c r="R41" s="60"/>
      <c r="S41" s="60"/>
      <c r="T41" s="60"/>
      <c r="U41" s="37" t="s">
        <v>51</v>
      </c>
      <c r="V41" s="37">
        <v>1.1002535536831096E-2</v>
      </c>
      <c r="W41" s="37"/>
      <c r="X41" s="60"/>
      <c r="Y41" s="60"/>
    </row>
    <row r="42" spans="3:25" x14ac:dyDescent="0.25">
      <c r="C42" s="187">
        <v>30</v>
      </c>
      <c r="D42" s="29">
        <v>50</v>
      </c>
      <c r="E42" s="78">
        <v>2.9000000000000001E-2</v>
      </c>
      <c r="F42" s="78">
        <v>4.0000000000000001E-3</v>
      </c>
      <c r="G42" s="78">
        <v>6.0000000000000001E-3</v>
      </c>
      <c r="H42" s="78">
        <v>4.0000000000000001E-3</v>
      </c>
      <c r="I42" s="80">
        <f t="shared" si="1"/>
        <v>1</v>
      </c>
      <c r="J42" s="156"/>
      <c r="K42" s="60"/>
      <c r="L42" s="60"/>
      <c r="P42" s="60"/>
      <c r="Q42" s="60"/>
      <c r="R42" s="60"/>
      <c r="S42" s="60"/>
      <c r="T42" s="60"/>
      <c r="U42" s="37" t="s">
        <v>52</v>
      </c>
      <c r="V42" s="37">
        <v>1.7291328115213698</v>
      </c>
      <c r="W42" s="37"/>
      <c r="X42" s="60"/>
      <c r="Y42" s="60"/>
    </row>
    <row r="43" spans="3:25" x14ac:dyDescent="0.25">
      <c r="C43" s="187">
        <v>31</v>
      </c>
      <c r="D43" s="29">
        <v>50</v>
      </c>
      <c r="E43" s="78">
        <v>3.5000000000000003E-2</v>
      </c>
      <c r="F43" s="78">
        <v>1.4E-2</v>
      </c>
      <c r="G43" s="78">
        <v>1.4999999999999999E-2</v>
      </c>
      <c r="H43" s="78">
        <v>1.2E-2</v>
      </c>
      <c r="I43" s="80">
        <f t="shared" si="1"/>
        <v>1.1666666666666667</v>
      </c>
      <c r="J43" s="156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37" t="s">
        <v>53</v>
      </c>
      <c r="V43" s="37">
        <v>2.2005071073662192E-2</v>
      </c>
      <c r="W43" s="37"/>
      <c r="X43" s="60"/>
      <c r="Y43" s="60"/>
    </row>
    <row r="44" spans="3:25" ht="15.75" thickBot="1" x14ac:dyDescent="0.3">
      <c r="C44" s="187">
        <v>32</v>
      </c>
      <c r="D44" s="29">
        <v>50</v>
      </c>
      <c r="E44" s="78">
        <v>0.03</v>
      </c>
      <c r="F44" s="78">
        <v>1.2E-2</v>
      </c>
      <c r="G44" s="78">
        <v>1.2E-2</v>
      </c>
      <c r="H44" s="78">
        <v>8.9999999999999993E-3</v>
      </c>
      <c r="I44" s="80">
        <f t="shared" si="1"/>
        <v>1.3333333333333335</v>
      </c>
      <c r="J44" s="156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38" t="s">
        <v>54</v>
      </c>
      <c r="V44" s="38">
        <v>2.0930240544083096</v>
      </c>
      <c r="W44" s="38"/>
      <c r="X44" s="60"/>
      <c r="Y44" s="60"/>
    </row>
    <row r="45" spans="3:25" x14ac:dyDescent="0.25">
      <c r="C45" s="187">
        <v>33</v>
      </c>
      <c r="D45" s="29">
        <v>50</v>
      </c>
      <c r="E45" s="78">
        <v>5.0999999999999997E-2</v>
      </c>
      <c r="F45" s="78">
        <v>8.9999999999999993E-3</v>
      </c>
      <c r="G45" s="78">
        <v>1.0999999999999999E-2</v>
      </c>
      <c r="H45" s="78">
        <v>0.01</v>
      </c>
      <c r="I45" s="80">
        <f t="shared" si="1"/>
        <v>0.89999999999999991</v>
      </c>
      <c r="J45" s="156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 spans="3:25" x14ac:dyDescent="0.25">
      <c r="C46" s="187">
        <v>34</v>
      </c>
      <c r="D46" s="29">
        <v>50</v>
      </c>
      <c r="E46" s="78">
        <v>3.5000000000000003E-2</v>
      </c>
      <c r="F46" s="78">
        <v>1.0999999999999999E-2</v>
      </c>
      <c r="G46" s="78">
        <v>1.2999999999999999E-2</v>
      </c>
      <c r="H46" s="78">
        <v>0.01</v>
      </c>
      <c r="I46" s="80">
        <f t="shared" si="1"/>
        <v>1.0999999999999999</v>
      </c>
      <c r="J46" s="156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 spans="3:25" x14ac:dyDescent="0.25">
      <c r="C47" s="187">
        <v>35</v>
      </c>
      <c r="D47" s="29">
        <v>50</v>
      </c>
      <c r="E47" s="78">
        <v>6.0999999999999999E-2</v>
      </c>
      <c r="F47" s="78">
        <v>1.2E-2</v>
      </c>
      <c r="G47" s="78">
        <v>1.4999999999999999E-2</v>
      </c>
      <c r="H47" s="78">
        <v>1.4E-2</v>
      </c>
      <c r="I47" s="80">
        <f t="shared" si="1"/>
        <v>0.8571428571428571</v>
      </c>
      <c r="J47" s="156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 spans="3:25" x14ac:dyDescent="0.25">
      <c r="C48" s="187">
        <v>36</v>
      </c>
      <c r="D48" s="29">
        <v>50</v>
      </c>
      <c r="E48" s="78">
        <v>5.1999999999999998E-2</v>
      </c>
      <c r="F48" s="78">
        <v>8.9999999999999993E-3</v>
      </c>
      <c r="G48" s="78">
        <v>1.2E-2</v>
      </c>
      <c r="H48" s="78">
        <v>1.0999999999999999E-2</v>
      </c>
      <c r="I48" s="80">
        <f t="shared" si="1"/>
        <v>0.81818181818181812</v>
      </c>
      <c r="J48" s="156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 spans="3:25" x14ac:dyDescent="0.25">
      <c r="C49" s="187">
        <v>37</v>
      </c>
      <c r="D49" s="29">
        <v>50</v>
      </c>
      <c r="E49" s="78">
        <v>4.2000000000000003E-2</v>
      </c>
      <c r="F49" s="78">
        <v>5.0000000000000001E-3</v>
      </c>
      <c r="G49" s="78">
        <v>8.0000000000000002E-3</v>
      </c>
      <c r="H49" s="78">
        <v>6.0000000000000001E-3</v>
      </c>
      <c r="I49" s="80">
        <f t="shared" si="1"/>
        <v>0.83333333333333337</v>
      </c>
      <c r="J49" s="156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spans="3:25" x14ac:dyDescent="0.25">
      <c r="C50" s="187">
        <v>38</v>
      </c>
      <c r="D50" s="29">
        <v>50</v>
      </c>
      <c r="E50" s="78">
        <v>3.7999999999999999E-2</v>
      </c>
      <c r="F50" s="78">
        <v>1.0999999999999999E-2</v>
      </c>
      <c r="G50" s="78">
        <v>1.2E-2</v>
      </c>
      <c r="H50" s="78">
        <v>0.01</v>
      </c>
      <c r="I50" s="80">
        <f t="shared" si="1"/>
        <v>1.0999999999999999</v>
      </c>
      <c r="J50" s="156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 spans="3:25" x14ac:dyDescent="0.25">
      <c r="C51" s="187">
        <v>39</v>
      </c>
      <c r="D51" s="29">
        <v>50</v>
      </c>
      <c r="E51" s="78">
        <v>3.3000000000000002E-2</v>
      </c>
      <c r="F51" s="78">
        <v>2E-3</v>
      </c>
      <c r="G51" s="78">
        <v>5.0000000000000001E-3</v>
      </c>
      <c r="H51" s="78">
        <v>5.0000000000000001E-3</v>
      </c>
      <c r="I51" s="80">
        <f t="shared" si="1"/>
        <v>0.4</v>
      </c>
      <c r="J51" s="156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 spans="3:25" x14ac:dyDescent="0.25">
      <c r="C52" s="187">
        <v>40</v>
      </c>
      <c r="D52" s="29">
        <v>50</v>
      </c>
      <c r="E52" s="78">
        <v>3.1E-2</v>
      </c>
      <c r="F52" s="78">
        <v>-1E-3</v>
      </c>
      <c r="G52" s="78">
        <v>3.0000000000000001E-3</v>
      </c>
      <c r="H52" s="78">
        <v>4.0000000000000001E-3</v>
      </c>
      <c r="I52" s="80">
        <f t="shared" si="1"/>
        <v>-0.25</v>
      </c>
      <c r="J52" s="156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spans="3:25" x14ac:dyDescent="0.25">
      <c r="C53" s="187">
        <v>41</v>
      </c>
      <c r="D53" s="29">
        <v>50</v>
      </c>
      <c r="E53" s="78">
        <v>4.7E-2</v>
      </c>
      <c r="F53" s="78">
        <v>5.0000000000000001E-3</v>
      </c>
      <c r="G53" s="78">
        <v>8.0000000000000002E-3</v>
      </c>
      <c r="H53" s="78">
        <v>8.0000000000000002E-3</v>
      </c>
      <c r="I53" s="80">
        <f t="shared" si="1"/>
        <v>0.625</v>
      </c>
      <c r="J53" s="156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 spans="3:25" x14ac:dyDescent="0.25">
      <c r="C54" s="187">
        <v>42</v>
      </c>
      <c r="D54" s="29">
        <v>50</v>
      </c>
      <c r="E54" s="78">
        <v>3.9E-2</v>
      </c>
      <c r="F54" s="78">
        <v>1.4E-2</v>
      </c>
      <c r="G54" s="78">
        <v>1.7000000000000001E-2</v>
      </c>
      <c r="H54" s="78">
        <v>1.0999999999999999E-2</v>
      </c>
      <c r="I54" s="80">
        <f t="shared" si="1"/>
        <v>1.2727272727272729</v>
      </c>
      <c r="J54" s="156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 spans="3:25" x14ac:dyDescent="0.25">
      <c r="C55" s="187">
        <v>43</v>
      </c>
      <c r="D55" s="29">
        <v>50</v>
      </c>
      <c r="E55" s="78">
        <v>5.0999999999999997E-2</v>
      </c>
      <c r="F55" s="78">
        <v>1.6E-2</v>
      </c>
      <c r="G55" s="78">
        <v>1.7000000000000001E-2</v>
      </c>
      <c r="H55" s="78">
        <v>1.4E-2</v>
      </c>
      <c r="I55" s="80">
        <f t="shared" si="1"/>
        <v>1.1428571428571428</v>
      </c>
      <c r="J55" s="156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 spans="3:25" x14ac:dyDescent="0.25">
      <c r="C56" s="187">
        <v>44</v>
      </c>
      <c r="D56" s="29">
        <v>50</v>
      </c>
      <c r="E56" s="78">
        <v>4.1000000000000002E-2</v>
      </c>
      <c r="F56" s="78">
        <v>8.0000000000000002E-3</v>
      </c>
      <c r="G56" s="78">
        <v>1.0999999999999999E-2</v>
      </c>
      <c r="H56" s="78">
        <v>8.9999999999999993E-3</v>
      </c>
      <c r="I56" s="80">
        <f t="shared" si="1"/>
        <v>0.88888888888888895</v>
      </c>
      <c r="J56" s="156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 spans="3:25" x14ac:dyDescent="0.25">
      <c r="C57" s="187">
        <v>45</v>
      </c>
      <c r="D57" s="29">
        <v>50</v>
      </c>
      <c r="E57" s="78">
        <v>1.7000000000000001E-2</v>
      </c>
      <c r="F57" s="78">
        <v>-6.0000000000000001E-3</v>
      </c>
      <c r="G57" s="78">
        <v>-3.0000000000000001E-3</v>
      </c>
      <c r="H57" s="78">
        <v>-2E-3</v>
      </c>
      <c r="I57" s="80">
        <f t="shared" si="1"/>
        <v>3</v>
      </c>
      <c r="J57" s="156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 spans="3:25" x14ac:dyDescent="0.25">
      <c r="C58" s="187">
        <v>46</v>
      </c>
      <c r="D58" s="29">
        <v>50</v>
      </c>
      <c r="E58" s="78">
        <v>0.05</v>
      </c>
      <c r="F58" s="78">
        <v>1.2E-2</v>
      </c>
      <c r="G58" s="78">
        <v>1.4E-2</v>
      </c>
      <c r="H58" s="78">
        <v>1.2E-2</v>
      </c>
      <c r="I58" s="80">
        <f t="shared" si="1"/>
        <v>1</v>
      </c>
      <c r="J58" s="156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 spans="3:25" x14ac:dyDescent="0.25">
      <c r="C59" s="187">
        <v>47</v>
      </c>
      <c r="D59" s="29">
        <v>50</v>
      </c>
      <c r="E59" s="78">
        <v>6.0999999999999999E-2</v>
      </c>
      <c r="F59" s="78">
        <v>1.6E-2</v>
      </c>
      <c r="G59" s="78">
        <v>1.7999999999999999E-2</v>
      </c>
      <c r="H59" s="78">
        <v>1.6E-2</v>
      </c>
      <c r="I59" s="80">
        <f t="shared" si="1"/>
        <v>1</v>
      </c>
      <c r="J59" s="156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 spans="3:25" x14ac:dyDescent="0.25">
      <c r="C60" s="187">
        <v>48</v>
      </c>
      <c r="D60" s="29">
        <v>50</v>
      </c>
      <c r="E60" s="78">
        <v>5.1999999999999998E-2</v>
      </c>
      <c r="F60" s="78">
        <v>6.0000000000000001E-3</v>
      </c>
      <c r="G60" s="78">
        <v>8.9999999999999993E-3</v>
      </c>
      <c r="H60" s="78">
        <v>8.0000000000000002E-3</v>
      </c>
      <c r="I60" s="80">
        <f t="shared" si="1"/>
        <v>0.75</v>
      </c>
      <c r="J60" s="156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 spans="3:25" x14ac:dyDescent="0.25">
      <c r="C61" s="187">
        <v>49</v>
      </c>
      <c r="D61" s="29">
        <v>50</v>
      </c>
      <c r="E61" s="78">
        <v>4.8000000000000001E-2</v>
      </c>
      <c r="F61" s="78">
        <v>1.9E-2</v>
      </c>
      <c r="G61" s="78">
        <v>1.9E-2</v>
      </c>
      <c r="H61" s="78">
        <v>1.6E-2</v>
      </c>
      <c r="I61" s="80">
        <f t="shared" si="1"/>
        <v>1.1875</v>
      </c>
      <c r="J61" s="156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 spans="3:25" x14ac:dyDescent="0.25">
      <c r="C62" s="187">
        <v>50</v>
      </c>
      <c r="D62" s="29">
        <v>50</v>
      </c>
      <c r="E62" s="78">
        <v>3.7999999999999999E-2</v>
      </c>
      <c r="F62" s="78">
        <v>1.0999999999999999E-2</v>
      </c>
      <c r="G62" s="78">
        <v>1.2E-2</v>
      </c>
      <c r="H62" s="78">
        <v>1.0999999999999999E-2</v>
      </c>
      <c r="I62" s="80">
        <f t="shared" si="1"/>
        <v>1</v>
      </c>
      <c r="J62" s="156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 spans="3:25" x14ac:dyDescent="0.25">
      <c r="C63" s="187">
        <v>51</v>
      </c>
      <c r="D63" s="29">
        <v>50</v>
      </c>
      <c r="E63" s="78">
        <v>6.5000000000000002E-2</v>
      </c>
      <c r="F63" s="78">
        <v>0.03</v>
      </c>
      <c r="G63" s="78">
        <v>2.9000000000000001E-2</v>
      </c>
      <c r="H63" s="78">
        <v>2.4E-2</v>
      </c>
      <c r="I63" s="80">
        <f t="shared" si="1"/>
        <v>1.25</v>
      </c>
      <c r="J63" s="156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 spans="3:25" x14ac:dyDescent="0.25">
      <c r="C64" s="187">
        <v>52</v>
      </c>
      <c r="D64" s="29">
        <v>50</v>
      </c>
      <c r="E64" s="78">
        <v>4.2000000000000003E-2</v>
      </c>
      <c r="F64" s="78">
        <v>1.7999999999999999E-2</v>
      </c>
      <c r="G64" s="78">
        <v>1.9E-2</v>
      </c>
      <c r="H64" s="78">
        <v>1.4E-2</v>
      </c>
      <c r="I64" s="80">
        <f t="shared" si="1"/>
        <v>1.2857142857142856</v>
      </c>
      <c r="J64" s="156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spans="3:25" x14ac:dyDescent="0.25">
      <c r="C65" s="187">
        <v>53</v>
      </c>
      <c r="D65" s="29">
        <v>50</v>
      </c>
      <c r="E65" s="78">
        <v>4.9000000000000002E-2</v>
      </c>
      <c r="F65" s="78">
        <v>1.9E-2</v>
      </c>
      <c r="G65" s="78">
        <v>0.02</v>
      </c>
      <c r="H65" s="78">
        <v>1.7000000000000001E-2</v>
      </c>
      <c r="I65" s="80">
        <f t="shared" si="1"/>
        <v>1.1176470588235292</v>
      </c>
      <c r="J65" s="156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 spans="3:25" x14ac:dyDescent="0.25">
      <c r="C66" s="187">
        <v>54</v>
      </c>
      <c r="D66" s="29">
        <v>50</v>
      </c>
      <c r="E66" s="78">
        <v>3.4000000000000002E-2</v>
      </c>
      <c r="F66" s="78">
        <v>1.6E-2</v>
      </c>
      <c r="G66" s="78">
        <v>1.6E-2</v>
      </c>
      <c r="H66" s="78">
        <v>1.2999999999999999E-2</v>
      </c>
      <c r="I66" s="80">
        <f t="shared" si="1"/>
        <v>1.2307692307692308</v>
      </c>
      <c r="J66" s="156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 spans="3:25" x14ac:dyDescent="0.25">
      <c r="C67" s="187">
        <v>55</v>
      </c>
      <c r="D67" s="29">
        <v>50</v>
      </c>
      <c r="E67" s="78">
        <v>4.4999999999999998E-2</v>
      </c>
      <c r="F67" s="78">
        <v>2.5999999999999999E-2</v>
      </c>
      <c r="G67" s="78">
        <v>2.5000000000000001E-2</v>
      </c>
      <c r="H67" s="78">
        <v>0.02</v>
      </c>
      <c r="I67" s="80">
        <f t="shared" si="1"/>
        <v>1.2999999999999998</v>
      </c>
      <c r="J67" s="156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 spans="3:25" x14ac:dyDescent="0.25">
      <c r="C68" s="187">
        <v>56</v>
      </c>
      <c r="D68" s="29">
        <v>50</v>
      </c>
      <c r="E68" s="78">
        <v>3.1E-2</v>
      </c>
      <c r="F68" s="78">
        <v>8.0000000000000002E-3</v>
      </c>
      <c r="G68" s="78">
        <v>8.9999999999999993E-3</v>
      </c>
      <c r="H68" s="78">
        <v>8.0000000000000002E-3</v>
      </c>
      <c r="I68" s="80">
        <f t="shared" si="1"/>
        <v>1</v>
      </c>
      <c r="J68" s="156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 spans="3:25" x14ac:dyDescent="0.25">
      <c r="C69" s="187">
        <v>57</v>
      </c>
      <c r="D69" s="29">
        <v>50</v>
      </c>
      <c r="E69" s="78">
        <v>3.6999999999999998E-2</v>
      </c>
      <c r="F69" s="78">
        <v>1.4999999999999999E-2</v>
      </c>
      <c r="G69" s="78">
        <v>1.4999999999999999E-2</v>
      </c>
      <c r="H69" s="78">
        <v>1.2E-2</v>
      </c>
      <c r="I69" s="80">
        <f t="shared" si="1"/>
        <v>1.25</v>
      </c>
      <c r="J69" s="156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 spans="3:25" x14ac:dyDescent="0.25">
      <c r="C70" s="187">
        <v>58</v>
      </c>
      <c r="D70" s="29">
        <v>50</v>
      </c>
      <c r="E70" s="78">
        <v>3.7999999999999999E-2</v>
      </c>
      <c r="F70" s="78">
        <v>7.0000000000000001E-3</v>
      </c>
      <c r="G70" s="78">
        <v>8.9999999999999993E-3</v>
      </c>
      <c r="H70" s="78">
        <v>8.0000000000000002E-3</v>
      </c>
      <c r="I70" s="80">
        <f t="shared" si="1"/>
        <v>0.875</v>
      </c>
      <c r="J70" s="156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 spans="3:25" x14ac:dyDescent="0.25">
      <c r="C71" s="187">
        <v>59</v>
      </c>
      <c r="D71" s="29">
        <v>50</v>
      </c>
      <c r="E71" s="78">
        <v>4.4999999999999998E-2</v>
      </c>
      <c r="F71" s="78">
        <v>1.2E-2</v>
      </c>
      <c r="G71" s="78">
        <v>1.4E-2</v>
      </c>
      <c r="H71" s="78">
        <v>1.2E-2</v>
      </c>
      <c r="I71" s="80">
        <f t="shared" si="1"/>
        <v>1</v>
      </c>
      <c r="J71" s="156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 spans="3:25" x14ac:dyDescent="0.25">
      <c r="C72" s="187">
        <v>60</v>
      </c>
      <c r="D72" s="29">
        <v>50</v>
      </c>
      <c r="E72" s="78">
        <v>6.2E-2</v>
      </c>
      <c r="F72" s="78">
        <v>2.3E-2</v>
      </c>
      <c r="G72" s="78">
        <v>2.4E-2</v>
      </c>
      <c r="H72" s="78">
        <v>0.02</v>
      </c>
      <c r="I72" s="80">
        <f t="shared" si="1"/>
        <v>1.1499999999999999</v>
      </c>
      <c r="J72" s="156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spans="3:25" x14ac:dyDescent="0.25">
      <c r="C73" s="187">
        <v>61</v>
      </c>
      <c r="D73" s="29">
        <v>50</v>
      </c>
      <c r="E73" s="78">
        <v>4.5999999999999999E-2</v>
      </c>
      <c r="F73" s="78">
        <v>1.7999999999999999E-2</v>
      </c>
      <c r="G73" s="78">
        <v>1.7999999999999999E-2</v>
      </c>
      <c r="H73" s="78">
        <v>1.4E-2</v>
      </c>
      <c r="I73" s="80">
        <f t="shared" si="1"/>
        <v>1.2857142857142856</v>
      </c>
      <c r="J73" s="156"/>
      <c r="U73" s="60"/>
    </row>
    <row r="74" spans="3:25" x14ac:dyDescent="0.25">
      <c r="C74" s="187">
        <v>62</v>
      </c>
      <c r="D74" s="29">
        <v>50</v>
      </c>
      <c r="E74" s="78">
        <v>0.04</v>
      </c>
      <c r="F74" s="78">
        <v>2.1000000000000001E-2</v>
      </c>
      <c r="G74" s="78">
        <v>0.02</v>
      </c>
      <c r="H74" s="78">
        <v>1.4999999999999999E-2</v>
      </c>
      <c r="I74" s="80">
        <f t="shared" si="1"/>
        <v>1.4000000000000001</v>
      </c>
      <c r="J74" s="156"/>
      <c r="U74" s="60"/>
    </row>
    <row r="75" spans="3:25" ht="15.75" thickBot="1" x14ac:dyDescent="0.3">
      <c r="C75" s="188">
        <v>63</v>
      </c>
      <c r="D75" s="42">
        <v>50</v>
      </c>
      <c r="E75" s="78">
        <v>4.9000000000000002E-2</v>
      </c>
      <c r="F75" s="78">
        <v>4.0000000000000001E-3</v>
      </c>
      <c r="G75" s="78">
        <v>7.0000000000000001E-3</v>
      </c>
      <c r="H75" s="78">
        <v>7.0000000000000001E-3</v>
      </c>
      <c r="I75" s="112">
        <f t="shared" si="1"/>
        <v>0.5714285714285714</v>
      </c>
      <c r="J75" s="156"/>
    </row>
    <row r="76" spans="3:25" x14ac:dyDescent="0.25">
      <c r="D76" s="23" t="s">
        <v>71</v>
      </c>
      <c r="E76" s="181">
        <f>MEDIAN(E14:E75)</f>
        <v>3.9E-2</v>
      </c>
      <c r="F76" s="181">
        <f>MEDIAN(F14:F75)</f>
        <v>1.2E-2</v>
      </c>
      <c r="G76" s="181">
        <f>MEDIAN(G14:G75)</f>
        <v>1.2999999999999999E-2</v>
      </c>
      <c r="H76" s="181">
        <f>MEDIAN(H14:H75)</f>
        <v>1.0999999999999999E-2</v>
      </c>
      <c r="I76" s="182">
        <f>MEDIAN(I13:I75)</f>
        <v>1.1583333333333332</v>
      </c>
      <c r="M76" s="183"/>
    </row>
    <row r="77" spans="3:25" x14ac:dyDescent="0.25">
      <c r="D77" s="29" t="s">
        <v>72</v>
      </c>
      <c r="E77" s="183">
        <f>STDEVA(E14:E75)</f>
        <v>1.2053523621497236E-2</v>
      </c>
      <c r="F77" s="183">
        <f>STDEVA(F14:F75)</f>
        <v>7.1037587218416888E-3</v>
      </c>
      <c r="G77" s="183">
        <f>STDEVA(G14:G75)</f>
        <v>6.1726082733456018E-3</v>
      </c>
      <c r="H77" s="183">
        <f>STDEVA(H14:H75)</f>
        <v>4.9033834643954655E-3</v>
      </c>
      <c r="I77" s="184">
        <f>STDEVA(I13:I75)</f>
        <v>0.39630391174297702</v>
      </c>
      <c r="M77" s="183"/>
    </row>
    <row r="78" spans="3:25" ht="15.75" thickBot="1" x14ac:dyDescent="0.3">
      <c r="D78" s="42" t="s">
        <v>74</v>
      </c>
      <c r="E78" s="185">
        <f>AVERAGE(E14:E75)</f>
        <v>4.1491803278688497E-2</v>
      </c>
      <c r="F78" s="185">
        <f>AVERAGE(F14:F75)</f>
        <v>1.2262295081967221E-2</v>
      </c>
      <c r="G78" s="185">
        <f>AVERAGE(G14:G75)</f>
        <v>1.3360655737704926E-2</v>
      </c>
      <c r="H78" s="185">
        <f>AVERAGE(H14:H75)</f>
        <v>1.1081967213114762E-2</v>
      </c>
      <c r="I78" s="186">
        <f>AVERAGE(I13:I75)</f>
        <v>1.0963320339104103</v>
      </c>
      <c r="M78" s="18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F17" sqref="F17"/>
    </sheetView>
  </sheetViews>
  <sheetFormatPr defaultRowHeight="15" x14ac:dyDescent="0.25"/>
  <cols>
    <col min="1" max="1" width="11.42578125" bestFit="1" customWidth="1"/>
    <col min="2" max="2" width="12" bestFit="1" customWidth="1"/>
  </cols>
  <sheetData>
    <row r="1" spans="1:10" x14ac:dyDescent="0.25">
      <c r="A1" t="s">
        <v>0</v>
      </c>
    </row>
    <row r="4" spans="1:10" x14ac:dyDescent="0.25">
      <c r="B4" t="s">
        <v>1</v>
      </c>
    </row>
    <row r="6" spans="1:10" ht="15.75" thickBot="1" x14ac:dyDescent="0.3">
      <c r="B6" t="s">
        <v>2</v>
      </c>
    </row>
    <row r="7" spans="1:10" ht="15.75" thickBot="1" x14ac:dyDescent="0.3">
      <c r="B7" s="4">
        <v>1</v>
      </c>
      <c r="C7" s="5">
        <v>10</v>
      </c>
      <c r="F7" s="12" t="s">
        <v>9</v>
      </c>
    </row>
    <row r="8" spans="1:10" x14ac:dyDescent="0.25">
      <c r="A8" s="1" t="s">
        <v>3</v>
      </c>
      <c r="B8" s="6">
        <v>25</v>
      </c>
      <c r="C8" s="7">
        <v>250</v>
      </c>
    </row>
    <row r="9" spans="1:10" x14ac:dyDescent="0.25">
      <c r="A9" s="2" t="s">
        <v>4</v>
      </c>
      <c r="B9" s="8">
        <v>1</v>
      </c>
      <c r="C9" s="9">
        <v>25</v>
      </c>
      <c r="E9" t="s">
        <v>17</v>
      </c>
      <c r="F9" s="12" t="s">
        <v>10</v>
      </c>
    </row>
    <row r="10" spans="1:10" x14ac:dyDescent="0.25">
      <c r="A10" s="2" t="s">
        <v>5</v>
      </c>
      <c r="B10" s="8">
        <v>1</v>
      </c>
      <c r="C10" s="9">
        <v>25</v>
      </c>
      <c r="F10" s="12" t="s">
        <v>11</v>
      </c>
    </row>
    <row r="11" spans="1:10" x14ac:dyDescent="0.25">
      <c r="A11" s="2" t="s">
        <v>6</v>
      </c>
      <c r="B11" s="8">
        <v>22</v>
      </c>
      <c r="C11" s="9">
        <v>220</v>
      </c>
      <c r="F11" s="12" t="s">
        <v>12</v>
      </c>
    </row>
    <row r="12" spans="1:10" ht="15.75" thickBot="1" x14ac:dyDescent="0.3">
      <c r="A12" s="3" t="s">
        <v>7</v>
      </c>
      <c r="B12" s="10">
        <v>1</v>
      </c>
      <c r="C12" s="11"/>
      <c r="F12" s="12" t="s">
        <v>13</v>
      </c>
      <c r="J12" t="s">
        <v>15</v>
      </c>
    </row>
    <row r="13" spans="1:10" ht="15.75" thickBot="1" x14ac:dyDescent="0.3">
      <c r="A13" s="13" t="s">
        <v>18</v>
      </c>
      <c r="B13" s="4">
        <f>SUM(B8:B12)</f>
        <v>50</v>
      </c>
      <c r="C13" s="5">
        <f>SUM(C8:C12)</f>
        <v>520</v>
      </c>
      <c r="F13" s="12" t="s">
        <v>16</v>
      </c>
      <c r="J13" t="s">
        <v>14</v>
      </c>
    </row>
    <row r="14" spans="1:10" x14ac:dyDescent="0.25">
      <c r="A14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3"/>
  <sheetViews>
    <sheetView workbookViewId="0">
      <selection activeCell="B4" sqref="B4"/>
    </sheetView>
  </sheetViews>
  <sheetFormatPr defaultRowHeight="15" x14ac:dyDescent="0.25"/>
  <cols>
    <col min="6" max="6" width="11.85546875" bestFit="1" customWidth="1"/>
    <col min="7" max="7" width="11.85546875" customWidth="1"/>
    <col min="10" max="10" width="7.5703125" bestFit="1" customWidth="1"/>
  </cols>
  <sheetData>
    <row r="1" spans="2:15" ht="15.75" thickBot="1" x14ac:dyDescent="0.3"/>
    <row r="2" spans="2:15" ht="15.75" thickBot="1" x14ac:dyDescent="0.3">
      <c r="D2" s="208" t="s">
        <v>124</v>
      </c>
      <c r="E2" s="209"/>
      <c r="F2" s="210" t="s">
        <v>123</v>
      </c>
      <c r="G2" s="211"/>
    </row>
    <row r="3" spans="2:15" ht="15.75" thickBot="1" x14ac:dyDescent="0.3">
      <c r="B3" t="s">
        <v>132</v>
      </c>
      <c r="J3" s="64" t="s">
        <v>131</v>
      </c>
      <c r="K3" s="64"/>
      <c r="L3" s="64"/>
      <c r="M3" s="64"/>
      <c r="N3" s="64"/>
      <c r="O3" s="64"/>
    </row>
    <row r="4" spans="2:15" ht="19.5" thickBot="1" x14ac:dyDescent="0.35">
      <c r="B4" s="19" t="str">
        <f>OVERVIEW!A7</f>
        <v>Sample</v>
      </c>
      <c r="C4" s="194" t="str">
        <f>OVERVIEW!B7</f>
        <v>TEST 1</v>
      </c>
      <c r="D4" s="194" t="str">
        <f>OVERVIEW!D7</f>
        <v>TEST 2</v>
      </c>
      <c r="E4" s="194" t="str">
        <f>OVERVIEW!F7</f>
        <v>TEST 3</v>
      </c>
      <c r="F4" s="196" t="str">
        <f>OVERVIEW!H7</f>
        <v>TEST 4</v>
      </c>
      <c r="J4" s="19" t="s">
        <v>62</v>
      </c>
      <c r="K4" s="206" t="s">
        <v>119</v>
      </c>
      <c r="L4" s="206" t="s">
        <v>120</v>
      </c>
      <c r="M4" s="206" t="s">
        <v>121</v>
      </c>
      <c r="N4" s="207" t="s">
        <v>122</v>
      </c>
    </row>
    <row r="5" spans="2:15" ht="15.75" customHeight="1" thickBot="1" x14ac:dyDescent="0.3">
      <c r="B5" s="197" t="str">
        <f>OVERVIEW!A8</f>
        <v>id.</v>
      </c>
      <c r="C5" s="19" t="s">
        <v>118</v>
      </c>
      <c r="D5" s="19" t="s">
        <v>118</v>
      </c>
      <c r="E5" s="19" t="s">
        <v>118</v>
      </c>
      <c r="F5" s="19" t="s">
        <v>118</v>
      </c>
      <c r="J5" s="197" t="s">
        <v>63</v>
      </c>
      <c r="K5" s="6"/>
      <c r="L5" s="108"/>
      <c r="M5" s="108"/>
      <c r="N5" s="7"/>
    </row>
    <row r="6" spans="2:15" ht="15.75" customHeight="1" x14ac:dyDescent="0.25">
      <c r="B6" s="198">
        <f>OVERVIEW!A9</f>
        <v>1</v>
      </c>
      <c r="C6" s="178">
        <v>4.3999999999999997E-2</v>
      </c>
      <c r="D6" s="74">
        <v>4.4999999999999998E-2</v>
      </c>
      <c r="E6" s="68"/>
      <c r="F6" s="75">
        <v>1.4999999999999999E-2</v>
      </c>
      <c r="J6" s="198">
        <v>1</v>
      </c>
      <c r="K6" s="6">
        <f t="shared" ref="K6:K29" si="0">0.5*C6</f>
        <v>2.1999999999999999E-2</v>
      </c>
      <c r="L6" s="108">
        <f t="shared" ref="L6:L29" si="1">0.5*D6</f>
        <v>2.2499999999999999E-2</v>
      </c>
      <c r="M6" s="108">
        <f t="shared" ref="M6:M29" si="2">0.5*E6</f>
        <v>0</v>
      </c>
      <c r="N6" s="7">
        <f t="shared" ref="N6:N29" si="3">0.5*F6</f>
        <v>7.4999999999999997E-3</v>
      </c>
    </row>
    <row r="7" spans="2:15" ht="15.75" customHeight="1" x14ac:dyDescent="0.25">
      <c r="B7" s="199">
        <f>OVERVIEW!A10</f>
        <v>2</v>
      </c>
      <c r="C7" s="179">
        <v>2.1000000000000001E-2</v>
      </c>
      <c r="D7" s="78">
        <v>3.1E-2</v>
      </c>
      <c r="E7" s="78">
        <v>2.9000000000000001E-2</v>
      </c>
      <c r="F7" s="79">
        <v>2.1999999999999999E-2</v>
      </c>
      <c r="J7" s="199">
        <v>2</v>
      </c>
      <c r="K7" s="8">
        <f t="shared" si="0"/>
        <v>1.0500000000000001E-2</v>
      </c>
      <c r="L7" s="64">
        <f t="shared" si="1"/>
        <v>1.55E-2</v>
      </c>
      <c r="M7" s="64">
        <f t="shared" si="2"/>
        <v>1.4500000000000001E-2</v>
      </c>
      <c r="N7" s="9">
        <f t="shared" si="3"/>
        <v>1.0999999999999999E-2</v>
      </c>
    </row>
    <row r="8" spans="2:15" ht="15.75" customHeight="1" x14ac:dyDescent="0.25">
      <c r="B8" s="199">
        <f>OVERVIEW!A11</f>
        <v>3</v>
      </c>
      <c r="C8" s="179">
        <v>0.01</v>
      </c>
      <c r="D8" s="78">
        <v>4.8000000000000001E-2</v>
      </c>
      <c r="E8" s="78">
        <v>1.4999999999999999E-2</v>
      </c>
      <c r="F8" s="79">
        <v>2.3E-2</v>
      </c>
      <c r="J8" s="199">
        <v>3</v>
      </c>
      <c r="K8" s="8">
        <f t="shared" si="0"/>
        <v>5.0000000000000001E-3</v>
      </c>
      <c r="L8" s="64">
        <f t="shared" si="1"/>
        <v>2.4E-2</v>
      </c>
      <c r="M8" s="64">
        <f t="shared" si="2"/>
        <v>7.4999999999999997E-3</v>
      </c>
      <c r="N8" s="9">
        <f t="shared" si="3"/>
        <v>1.15E-2</v>
      </c>
    </row>
    <row r="9" spans="2:15" ht="15.75" customHeight="1" x14ac:dyDescent="0.25">
      <c r="B9" s="199">
        <f>OVERVIEW!A12</f>
        <v>4</v>
      </c>
      <c r="C9" s="179">
        <v>7.0000000000000001E-3</v>
      </c>
      <c r="D9" s="78">
        <v>1.0999999999999999E-2</v>
      </c>
      <c r="E9" s="78">
        <v>1.7000000000000001E-2</v>
      </c>
      <c r="F9" s="79">
        <v>1.2999999999999999E-2</v>
      </c>
      <c r="J9" s="199">
        <v>4</v>
      </c>
      <c r="K9" s="8">
        <f t="shared" si="0"/>
        <v>3.5000000000000001E-3</v>
      </c>
      <c r="L9" s="64">
        <f t="shared" si="1"/>
        <v>5.4999999999999997E-3</v>
      </c>
      <c r="M9" s="64">
        <f t="shared" si="2"/>
        <v>8.5000000000000006E-3</v>
      </c>
      <c r="N9" s="9">
        <f t="shared" si="3"/>
        <v>6.4999999999999997E-3</v>
      </c>
    </row>
    <row r="10" spans="2:15" ht="15.75" customHeight="1" x14ac:dyDescent="0.25">
      <c r="B10" s="199">
        <f>OVERVIEW!A13</f>
        <v>5</v>
      </c>
      <c r="C10" s="202">
        <v>-1E-3</v>
      </c>
      <c r="D10" s="78">
        <v>2.8000000000000001E-2</v>
      </c>
      <c r="E10" s="78">
        <v>1.7999999999999999E-2</v>
      </c>
      <c r="F10" s="79"/>
      <c r="J10" s="199">
        <v>5</v>
      </c>
      <c r="K10" s="8">
        <f t="shared" si="0"/>
        <v>-5.0000000000000001E-4</v>
      </c>
      <c r="L10" s="64">
        <f t="shared" si="1"/>
        <v>1.4E-2</v>
      </c>
      <c r="M10" s="64">
        <f t="shared" si="2"/>
        <v>8.9999999999999993E-3</v>
      </c>
      <c r="N10" s="9">
        <f t="shared" si="3"/>
        <v>0</v>
      </c>
    </row>
    <row r="11" spans="2:15" ht="15.75" customHeight="1" x14ac:dyDescent="0.25">
      <c r="B11" s="199">
        <f>OVERVIEW!A14</f>
        <v>6</v>
      </c>
      <c r="C11" s="179">
        <v>1.2E-2</v>
      </c>
      <c r="D11" s="78">
        <v>2.7E-2</v>
      </c>
      <c r="E11" s="78">
        <v>0.01</v>
      </c>
      <c r="F11" s="79">
        <v>1.2E-2</v>
      </c>
      <c r="J11" s="199">
        <v>6</v>
      </c>
      <c r="K11" s="8">
        <f t="shared" si="0"/>
        <v>6.0000000000000001E-3</v>
      </c>
      <c r="L11" s="64">
        <f t="shared" si="1"/>
        <v>1.35E-2</v>
      </c>
      <c r="M11" s="64">
        <f t="shared" si="2"/>
        <v>5.0000000000000001E-3</v>
      </c>
      <c r="N11" s="9">
        <f t="shared" si="3"/>
        <v>6.0000000000000001E-3</v>
      </c>
    </row>
    <row r="12" spans="2:15" ht="15.75" customHeight="1" x14ac:dyDescent="0.25">
      <c r="B12" s="199">
        <f>OVERVIEW!A15</f>
        <v>7</v>
      </c>
      <c r="C12" s="202">
        <v>5.0000000000000001E-3</v>
      </c>
      <c r="D12" s="78">
        <v>2.5000000000000001E-2</v>
      </c>
      <c r="E12" s="78">
        <v>1.2E-2</v>
      </c>
      <c r="F12" s="79">
        <v>8.0000000000000002E-3</v>
      </c>
      <c r="J12" s="199">
        <v>7</v>
      </c>
      <c r="K12" s="8">
        <f t="shared" si="0"/>
        <v>2.5000000000000001E-3</v>
      </c>
      <c r="L12" s="64">
        <f t="shared" si="1"/>
        <v>1.2500000000000001E-2</v>
      </c>
      <c r="M12" s="64">
        <f t="shared" si="2"/>
        <v>6.0000000000000001E-3</v>
      </c>
      <c r="N12" s="9">
        <f t="shared" si="3"/>
        <v>4.0000000000000001E-3</v>
      </c>
    </row>
    <row r="13" spans="2:15" x14ac:dyDescent="0.25">
      <c r="B13" s="199">
        <f>OVERVIEW!A16</f>
        <v>8</v>
      </c>
      <c r="C13" s="179">
        <v>1.6E-2</v>
      </c>
      <c r="D13" s="78">
        <v>0.02</v>
      </c>
      <c r="E13" s="78">
        <v>1.7999999999999999E-2</v>
      </c>
      <c r="F13" s="79">
        <v>1.7000000000000001E-2</v>
      </c>
      <c r="J13" s="199">
        <v>8</v>
      </c>
      <c r="K13" s="8">
        <f t="shared" si="0"/>
        <v>8.0000000000000002E-3</v>
      </c>
      <c r="L13" s="64">
        <f t="shared" si="1"/>
        <v>0.01</v>
      </c>
      <c r="M13" s="64">
        <f t="shared" si="2"/>
        <v>8.9999999999999993E-3</v>
      </c>
      <c r="N13" s="9">
        <f t="shared" si="3"/>
        <v>8.5000000000000006E-3</v>
      </c>
    </row>
    <row r="14" spans="2:15" x14ac:dyDescent="0.25">
      <c r="B14" s="199">
        <f>OVERVIEW!A17</f>
        <v>9</v>
      </c>
      <c r="C14" s="179">
        <v>2.1999999999999999E-2</v>
      </c>
      <c r="D14" s="78">
        <v>8.9999999999999993E-3</v>
      </c>
      <c r="E14" s="78">
        <v>1.2E-2</v>
      </c>
      <c r="F14" s="79">
        <v>3.0000000000000001E-3</v>
      </c>
      <c r="J14" s="199">
        <v>9</v>
      </c>
      <c r="K14" s="8">
        <f t="shared" si="0"/>
        <v>1.0999999999999999E-2</v>
      </c>
      <c r="L14" s="64">
        <f t="shared" si="1"/>
        <v>4.4999999999999997E-3</v>
      </c>
      <c r="M14" s="64">
        <f t="shared" si="2"/>
        <v>6.0000000000000001E-3</v>
      </c>
      <c r="N14" s="9">
        <f t="shared" si="3"/>
        <v>1.5E-3</v>
      </c>
    </row>
    <row r="15" spans="2:15" x14ac:dyDescent="0.25">
      <c r="B15" s="199">
        <f>OVERVIEW!A18</f>
        <v>10</v>
      </c>
      <c r="C15" s="203">
        <v>2E-3</v>
      </c>
      <c r="D15" s="78">
        <v>2E-3</v>
      </c>
      <c r="E15" s="78">
        <v>1.4E-2</v>
      </c>
      <c r="F15" s="204">
        <v>8.0000000000000002E-3</v>
      </c>
      <c r="J15" s="199">
        <v>10</v>
      </c>
      <c r="K15" s="8">
        <f t="shared" si="0"/>
        <v>1E-3</v>
      </c>
      <c r="L15" s="64">
        <f t="shared" si="1"/>
        <v>1E-3</v>
      </c>
      <c r="M15" s="64">
        <f t="shared" si="2"/>
        <v>7.0000000000000001E-3</v>
      </c>
      <c r="N15" s="9">
        <f t="shared" si="3"/>
        <v>4.0000000000000001E-3</v>
      </c>
    </row>
    <row r="16" spans="2:15" x14ac:dyDescent="0.25">
      <c r="B16" s="199">
        <f>OVERVIEW!A19</f>
        <v>11</v>
      </c>
      <c r="C16" s="179">
        <v>0</v>
      </c>
      <c r="D16" s="78">
        <v>1.2E-2</v>
      </c>
      <c r="E16" s="78">
        <v>1.2999999999999999E-2</v>
      </c>
      <c r="F16" s="79">
        <v>1.2E-2</v>
      </c>
      <c r="J16" s="199">
        <v>11</v>
      </c>
      <c r="K16" s="8">
        <f t="shared" si="0"/>
        <v>0</v>
      </c>
      <c r="L16" s="64">
        <f t="shared" si="1"/>
        <v>6.0000000000000001E-3</v>
      </c>
      <c r="M16" s="64">
        <f t="shared" si="2"/>
        <v>6.4999999999999997E-3</v>
      </c>
      <c r="N16" s="9">
        <f t="shared" si="3"/>
        <v>6.0000000000000001E-3</v>
      </c>
    </row>
    <row r="17" spans="2:14" x14ac:dyDescent="0.25">
      <c r="B17" s="199">
        <f>OVERVIEW!A20</f>
        <v>12</v>
      </c>
      <c r="C17" s="203">
        <v>4.0000000000000001E-3</v>
      </c>
      <c r="D17" s="136">
        <v>-1.0999999999999999E-2</v>
      </c>
      <c r="E17" s="78">
        <v>1.7999999999999999E-2</v>
      </c>
      <c r="F17" s="204">
        <v>2.4E-2</v>
      </c>
      <c r="J17" s="199">
        <v>12</v>
      </c>
      <c r="K17" s="8">
        <f t="shared" si="0"/>
        <v>2E-3</v>
      </c>
      <c r="L17" s="64">
        <f t="shared" si="1"/>
        <v>-5.4999999999999997E-3</v>
      </c>
      <c r="M17" s="64">
        <f t="shared" si="2"/>
        <v>8.9999999999999993E-3</v>
      </c>
      <c r="N17" s="9">
        <f t="shared" si="3"/>
        <v>1.2E-2</v>
      </c>
    </row>
    <row r="18" spans="2:14" x14ac:dyDescent="0.25">
      <c r="B18" s="199">
        <f>OVERVIEW!A21</f>
        <v>13</v>
      </c>
      <c r="C18" s="203">
        <v>5.0000000000000001E-3</v>
      </c>
      <c r="D18" s="78">
        <v>1.6E-2</v>
      </c>
      <c r="E18" s="78">
        <v>7.0000000000000001E-3</v>
      </c>
      <c r="F18" s="204">
        <v>7.0000000000000001E-3</v>
      </c>
      <c r="J18" s="199">
        <v>13</v>
      </c>
      <c r="K18" s="8">
        <f t="shared" si="0"/>
        <v>2.5000000000000001E-3</v>
      </c>
      <c r="L18" s="64">
        <f t="shared" si="1"/>
        <v>8.0000000000000002E-3</v>
      </c>
      <c r="M18" s="64">
        <f t="shared" si="2"/>
        <v>3.5000000000000001E-3</v>
      </c>
      <c r="N18" s="9">
        <f t="shared" si="3"/>
        <v>3.5000000000000001E-3</v>
      </c>
    </row>
    <row r="19" spans="2:14" x14ac:dyDescent="0.25">
      <c r="B19" s="199">
        <f>OVERVIEW!A22</f>
        <v>14</v>
      </c>
      <c r="C19" s="179">
        <v>4.0000000000000001E-3</v>
      </c>
      <c r="D19" s="78">
        <v>0.01</v>
      </c>
      <c r="E19" s="78">
        <v>1.4999999999999999E-2</v>
      </c>
      <c r="F19" s="79">
        <v>1.2999999999999999E-2</v>
      </c>
      <c r="J19" s="199">
        <v>14</v>
      </c>
      <c r="K19" s="8">
        <f t="shared" si="0"/>
        <v>2E-3</v>
      </c>
      <c r="L19" s="64">
        <f t="shared" si="1"/>
        <v>5.0000000000000001E-3</v>
      </c>
      <c r="M19" s="64">
        <f t="shared" si="2"/>
        <v>7.4999999999999997E-3</v>
      </c>
      <c r="N19" s="9">
        <f t="shared" si="3"/>
        <v>6.4999999999999997E-3</v>
      </c>
    </row>
    <row r="20" spans="2:14" x14ac:dyDescent="0.25">
      <c r="B20" s="199">
        <f>OVERVIEW!A23</f>
        <v>15</v>
      </c>
      <c r="C20" s="202">
        <v>4.0000000000000001E-3</v>
      </c>
      <c r="D20" s="78">
        <v>4.0000000000000001E-3</v>
      </c>
      <c r="E20" s="78">
        <v>1.4E-2</v>
      </c>
      <c r="F20" s="79">
        <v>8.9999999999999993E-3</v>
      </c>
      <c r="J20" s="199">
        <v>15</v>
      </c>
      <c r="K20" s="8">
        <f t="shared" si="0"/>
        <v>2E-3</v>
      </c>
      <c r="L20" s="64">
        <f t="shared" si="1"/>
        <v>2E-3</v>
      </c>
      <c r="M20" s="64">
        <f t="shared" si="2"/>
        <v>7.0000000000000001E-3</v>
      </c>
      <c r="N20" s="9">
        <f t="shared" si="3"/>
        <v>4.4999999999999997E-3</v>
      </c>
    </row>
    <row r="21" spans="2:14" x14ac:dyDescent="0.25">
      <c r="B21" s="199">
        <f>OVERVIEW!A24</f>
        <v>16</v>
      </c>
      <c r="C21" s="179">
        <v>8.0000000000000002E-3</v>
      </c>
      <c r="D21" s="141">
        <v>-8.0000000000000002E-3</v>
      </c>
      <c r="E21" s="141">
        <v>7.2999999999999995E-2</v>
      </c>
      <c r="F21" s="204">
        <v>1.6E-2</v>
      </c>
      <c r="J21" s="199">
        <v>16</v>
      </c>
      <c r="K21" s="8">
        <f t="shared" si="0"/>
        <v>4.0000000000000001E-3</v>
      </c>
      <c r="L21" s="64">
        <f t="shared" si="1"/>
        <v>-4.0000000000000001E-3</v>
      </c>
      <c r="M21" s="64">
        <f t="shared" si="2"/>
        <v>3.6499999999999998E-2</v>
      </c>
      <c r="N21" s="9">
        <f t="shared" si="3"/>
        <v>8.0000000000000002E-3</v>
      </c>
    </row>
    <row r="22" spans="2:14" x14ac:dyDescent="0.25">
      <c r="B22" s="199">
        <f>OVERVIEW!A25</f>
        <v>17</v>
      </c>
      <c r="C22" s="179">
        <v>1.6E-2</v>
      </c>
      <c r="D22" s="78">
        <v>3.5000000000000003E-2</v>
      </c>
      <c r="E22" s="78">
        <v>2.5000000000000001E-2</v>
      </c>
      <c r="F22" s="79">
        <v>1.4E-2</v>
      </c>
      <c r="J22" s="199">
        <v>17</v>
      </c>
      <c r="K22" s="8">
        <f t="shared" si="0"/>
        <v>8.0000000000000002E-3</v>
      </c>
      <c r="L22" s="64">
        <f t="shared" si="1"/>
        <v>1.7500000000000002E-2</v>
      </c>
      <c r="M22" s="64">
        <f t="shared" si="2"/>
        <v>1.2500000000000001E-2</v>
      </c>
      <c r="N22" s="9">
        <f t="shared" si="3"/>
        <v>7.0000000000000001E-3</v>
      </c>
    </row>
    <row r="23" spans="2:14" x14ac:dyDescent="0.25">
      <c r="B23" s="199">
        <f>OVERVIEW!A26</f>
        <v>18</v>
      </c>
      <c r="C23" s="179">
        <v>0</v>
      </c>
      <c r="D23" s="78">
        <v>2.8000000000000001E-2</v>
      </c>
      <c r="E23" s="78">
        <v>1.2E-2</v>
      </c>
      <c r="F23" s="79">
        <v>2.7E-2</v>
      </c>
      <c r="J23" s="199">
        <v>18</v>
      </c>
      <c r="K23" s="8">
        <f t="shared" si="0"/>
        <v>0</v>
      </c>
      <c r="L23" s="64">
        <f t="shared" si="1"/>
        <v>1.4E-2</v>
      </c>
      <c r="M23" s="64">
        <f t="shared" si="2"/>
        <v>6.0000000000000001E-3</v>
      </c>
      <c r="N23" s="9">
        <f t="shared" si="3"/>
        <v>1.35E-2</v>
      </c>
    </row>
    <row r="24" spans="2:14" x14ac:dyDescent="0.25">
      <c r="B24" s="199">
        <f>OVERVIEW!A27</f>
        <v>19</v>
      </c>
      <c r="C24" s="179">
        <v>7.0000000000000001E-3</v>
      </c>
      <c r="D24" s="78">
        <v>1.2999999999999999E-2</v>
      </c>
      <c r="E24" s="78">
        <v>1.2999999999999999E-2</v>
      </c>
      <c r="F24" s="79">
        <v>1.0999999999999999E-2</v>
      </c>
      <c r="J24" s="199">
        <v>19</v>
      </c>
      <c r="K24" s="8">
        <f t="shared" si="0"/>
        <v>3.5000000000000001E-3</v>
      </c>
      <c r="L24" s="64">
        <f t="shared" si="1"/>
        <v>6.4999999999999997E-3</v>
      </c>
      <c r="M24" s="64">
        <f t="shared" si="2"/>
        <v>6.4999999999999997E-3</v>
      </c>
      <c r="N24" s="9">
        <f t="shared" si="3"/>
        <v>5.4999999999999997E-3</v>
      </c>
    </row>
    <row r="25" spans="2:14" x14ac:dyDescent="0.25">
      <c r="B25" s="199">
        <f>OVERVIEW!A28</f>
        <v>20</v>
      </c>
      <c r="C25" s="203">
        <v>3.0000000000000001E-3</v>
      </c>
      <c r="D25" s="78">
        <v>1E-3</v>
      </c>
      <c r="E25" s="78">
        <v>1.9E-2</v>
      </c>
      <c r="F25" s="79">
        <v>1.2999999999999999E-2</v>
      </c>
      <c r="J25" s="199">
        <v>20</v>
      </c>
      <c r="K25" s="8">
        <f t="shared" si="0"/>
        <v>1.5E-3</v>
      </c>
      <c r="L25" s="64">
        <f t="shared" si="1"/>
        <v>5.0000000000000001E-4</v>
      </c>
      <c r="M25" s="64">
        <f t="shared" si="2"/>
        <v>9.4999999999999998E-3</v>
      </c>
      <c r="N25" s="9">
        <f t="shared" si="3"/>
        <v>6.4999999999999997E-3</v>
      </c>
    </row>
    <row r="26" spans="2:14" x14ac:dyDescent="0.25">
      <c r="B26" s="199">
        <f>OVERVIEW!A29</f>
        <v>21</v>
      </c>
      <c r="C26" s="179">
        <v>0</v>
      </c>
      <c r="D26" s="78">
        <v>1E-3</v>
      </c>
      <c r="E26" s="78">
        <v>1.4E-2</v>
      </c>
      <c r="F26" s="79">
        <v>4.0000000000000001E-3</v>
      </c>
      <c r="J26" s="199">
        <v>21</v>
      </c>
      <c r="K26" s="8">
        <f t="shared" si="0"/>
        <v>0</v>
      </c>
      <c r="L26" s="64">
        <f t="shared" si="1"/>
        <v>5.0000000000000001E-4</v>
      </c>
      <c r="M26" s="64">
        <f t="shared" si="2"/>
        <v>7.0000000000000001E-3</v>
      </c>
      <c r="N26" s="9">
        <f t="shared" si="3"/>
        <v>2E-3</v>
      </c>
    </row>
    <row r="27" spans="2:14" x14ac:dyDescent="0.25">
      <c r="B27" s="199">
        <f>OVERVIEW!A30</f>
        <v>22</v>
      </c>
      <c r="C27" s="202">
        <v>0</v>
      </c>
      <c r="D27" s="78">
        <v>1.0999999999999999E-2</v>
      </c>
      <c r="E27" s="78">
        <v>0.02</v>
      </c>
      <c r="F27" s="79">
        <v>0.01</v>
      </c>
      <c r="J27" s="199">
        <v>22</v>
      </c>
      <c r="K27" s="8">
        <f t="shared" si="0"/>
        <v>0</v>
      </c>
      <c r="L27" s="64">
        <f t="shared" si="1"/>
        <v>5.4999999999999997E-3</v>
      </c>
      <c r="M27" s="64">
        <f t="shared" si="2"/>
        <v>0.01</v>
      </c>
      <c r="N27" s="9">
        <f t="shared" si="3"/>
        <v>5.0000000000000001E-3</v>
      </c>
    </row>
    <row r="28" spans="2:14" x14ac:dyDescent="0.25">
      <c r="B28" s="199">
        <f>OVERVIEW!A31</f>
        <v>23</v>
      </c>
      <c r="C28" s="179">
        <v>7.0000000000000001E-3</v>
      </c>
      <c r="D28" s="78">
        <v>0.01</v>
      </c>
      <c r="E28" s="78">
        <v>1.4E-2</v>
      </c>
      <c r="F28" s="79">
        <v>1.7000000000000001E-2</v>
      </c>
      <c r="J28" s="199">
        <v>23</v>
      </c>
      <c r="K28" s="8">
        <f t="shared" si="0"/>
        <v>3.5000000000000001E-3</v>
      </c>
      <c r="L28" s="64">
        <f t="shared" si="1"/>
        <v>5.0000000000000001E-3</v>
      </c>
      <c r="M28" s="64">
        <f t="shared" si="2"/>
        <v>7.0000000000000001E-3</v>
      </c>
      <c r="N28" s="9">
        <f t="shared" si="3"/>
        <v>8.5000000000000006E-3</v>
      </c>
    </row>
    <row r="29" spans="2:14" ht="15.75" thickBot="1" x14ac:dyDescent="0.3">
      <c r="B29" s="200">
        <f>OVERVIEW!A32</f>
        <v>24</v>
      </c>
      <c r="C29" s="205">
        <v>1.7999999999999999E-2</v>
      </c>
      <c r="D29" s="83">
        <v>8.0000000000000002E-3</v>
      </c>
      <c r="E29" s="162">
        <v>-2E-3</v>
      </c>
      <c r="F29" s="84">
        <v>3.0000000000000001E-3</v>
      </c>
      <c r="J29" s="200">
        <v>24</v>
      </c>
      <c r="K29" s="10">
        <f t="shared" si="0"/>
        <v>8.9999999999999993E-3</v>
      </c>
      <c r="L29" s="15">
        <f t="shared" si="1"/>
        <v>4.0000000000000001E-3</v>
      </c>
      <c r="M29" s="15">
        <f t="shared" si="2"/>
        <v>-1E-3</v>
      </c>
      <c r="N29" s="11">
        <f t="shared" si="3"/>
        <v>1.5E-3</v>
      </c>
    </row>
    <row r="50" spans="2:14" ht="15.75" thickBot="1" x14ac:dyDescent="0.3"/>
    <row r="51" spans="2:14" ht="19.5" thickBot="1" x14ac:dyDescent="0.35">
      <c r="B51" s="19" t="s">
        <v>62</v>
      </c>
      <c r="C51" s="194" t="s">
        <v>26</v>
      </c>
      <c r="D51" s="194" t="s">
        <v>27</v>
      </c>
      <c r="E51" s="194" t="s">
        <v>28</v>
      </c>
      <c r="F51" s="196" t="s">
        <v>29</v>
      </c>
      <c r="J51" s="19" t="s">
        <v>62</v>
      </c>
      <c r="K51" s="206" t="s">
        <v>119</v>
      </c>
      <c r="L51" s="206" t="s">
        <v>120</v>
      </c>
      <c r="M51" s="206" t="s">
        <v>121</v>
      </c>
      <c r="N51" s="207" t="s">
        <v>122</v>
      </c>
    </row>
    <row r="52" spans="2:14" ht="15.75" thickBot="1" x14ac:dyDescent="0.3">
      <c r="B52" s="197" t="s">
        <v>63</v>
      </c>
      <c r="C52" s="19" t="s">
        <v>118</v>
      </c>
      <c r="D52" s="19" t="s">
        <v>118</v>
      </c>
      <c r="E52" s="19" t="s">
        <v>118</v>
      </c>
      <c r="F52" s="19" t="s">
        <v>118</v>
      </c>
      <c r="J52" s="197" t="s">
        <v>63</v>
      </c>
      <c r="K52" s="6"/>
      <c r="L52" s="108"/>
      <c r="M52" s="108"/>
      <c r="N52" s="7"/>
    </row>
    <row r="53" spans="2:14" x14ac:dyDescent="0.25">
      <c r="B53" s="198">
        <f>OVERVIEW!A33</f>
        <v>25</v>
      </c>
      <c r="C53" s="232" t="s">
        <v>116</v>
      </c>
      <c r="D53" s="233"/>
      <c r="E53" s="234"/>
      <c r="F53" s="75">
        <v>1.7999999999999999E-2</v>
      </c>
      <c r="J53" s="198">
        <v>25</v>
      </c>
      <c r="K53" s="212"/>
      <c r="L53" s="213"/>
      <c r="M53" s="213"/>
      <c r="N53" s="7">
        <f t="shared" ref="N53:N91" si="4">0.5*F53</f>
        <v>8.9999999999999993E-3</v>
      </c>
    </row>
    <row r="54" spans="2:14" x14ac:dyDescent="0.25">
      <c r="B54" s="199">
        <f>OVERVIEW!A34</f>
        <v>26</v>
      </c>
      <c r="C54" s="235"/>
      <c r="D54" s="236"/>
      <c r="E54" s="237"/>
      <c r="F54" s="79">
        <v>7.0000000000000001E-3</v>
      </c>
      <c r="J54" s="199">
        <v>26</v>
      </c>
      <c r="K54" s="214"/>
      <c r="L54" s="201"/>
      <c r="M54" s="201"/>
      <c r="N54" s="9">
        <f t="shared" si="4"/>
        <v>3.5000000000000001E-3</v>
      </c>
    </row>
    <row r="55" spans="2:14" x14ac:dyDescent="0.25">
      <c r="B55" s="199">
        <f>OVERVIEW!A35</f>
        <v>27</v>
      </c>
      <c r="C55" s="235"/>
      <c r="D55" s="236"/>
      <c r="E55" s="237"/>
      <c r="F55" s="79">
        <v>1.7999999999999999E-2</v>
      </c>
      <c r="J55" s="199">
        <v>27</v>
      </c>
      <c r="K55" s="214"/>
      <c r="L55" s="201"/>
      <c r="M55" s="201"/>
      <c r="N55" s="9">
        <f t="shared" si="4"/>
        <v>8.9999999999999993E-3</v>
      </c>
    </row>
    <row r="56" spans="2:14" x14ac:dyDescent="0.25">
      <c r="B56" s="199">
        <f>OVERVIEW!A36</f>
        <v>28</v>
      </c>
      <c r="C56" s="235"/>
      <c r="D56" s="236"/>
      <c r="E56" s="237"/>
      <c r="F56" s="79">
        <v>0.01</v>
      </c>
      <c r="J56" s="199">
        <v>28</v>
      </c>
      <c r="K56" s="214"/>
      <c r="L56" s="201"/>
      <c r="M56" s="201"/>
      <c r="N56" s="9">
        <f t="shared" si="4"/>
        <v>5.0000000000000001E-3</v>
      </c>
    </row>
    <row r="57" spans="2:14" x14ac:dyDescent="0.25">
      <c r="B57" s="199">
        <f>OVERVIEW!A37</f>
        <v>29</v>
      </c>
      <c r="C57" s="235"/>
      <c r="D57" s="236"/>
      <c r="E57" s="237"/>
      <c r="F57" s="79">
        <v>3.0000000000000001E-3</v>
      </c>
      <c r="J57" s="199">
        <v>29</v>
      </c>
      <c r="K57" s="214"/>
      <c r="L57" s="201"/>
      <c r="M57" s="201"/>
      <c r="N57" s="9">
        <f t="shared" si="4"/>
        <v>1.5E-3</v>
      </c>
    </row>
    <row r="58" spans="2:14" x14ac:dyDescent="0.25">
      <c r="B58" s="199">
        <f>OVERVIEW!A38</f>
        <v>30</v>
      </c>
      <c r="C58" s="235"/>
      <c r="D58" s="236"/>
      <c r="E58" s="237"/>
      <c r="F58" s="79">
        <v>4.0000000000000001E-3</v>
      </c>
      <c r="J58" s="199">
        <v>30</v>
      </c>
      <c r="K58" s="214"/>
      <c r="L58" s="201"/>
      <c r="M58" s="201"/>
      <c r="N58" s="9">
        <f t="shared" si="4"/>
        <v>2E-3</v>
      </c>
    </row>
    <row r="59" spans="2:14" x14ac:dyDescent="0.25">
      <c r="B59" s="199">
        <f>OVERVIEW!A39</f>
        <v>31</v>
      </c>
      <c r="C59" s="235"/>
      <c r="D59" s="236"/>
      <c r="E59" s="237"/>
      <c r="F59" s="79">
        <v>1.4E-2</v>
      </c>
      <c r="J59" s="199">
        <v>31</v>
      </c>
      <c r="K59" s="214"/>
      <c r="L59" s="201"/>
      <c r="M59" s="201"/>
      <c r="N59" s="9">
        <f t="shared" si="4"/>
        <v>7.0000000000000001E-3</v>
      </c>
    </row>
    <row r="60" spans="2:14" x14ac:dyDescent="0.25">
      <c r="B60" s="199">
        <f>OVERVIEW!A40</f>
        <v>32</v>
      </c>
      <c r="C60" s="235"/>
      <c r="D60" s="236"/>
      <c r="E60" s="237"/>
      <c r="F60" s="79">
        <v>1.2E-2</v>
      </c>
      <c r="J60" s="199">
        <v>32</v>
      </c>
      <c r="K60" s="214"/>
      <c r="L60" s="201"/>
      <c r="M60" s="201"/>
      <c r="N60" s="9">
        <f t="shared" si="4"/>
        <v>6.0000000000000001E-3</v>
      </c>
    </row>
    <row r="61" spans="2:14" x14ac:dyDescent="0.25">
      <c r="B61" s="199">
        <f>OVERVIEW!A41</f>
        <v>33</v>
      </c>
      <c r="C61" s="235"/>
      <c r="D61" s="236"/>
      <c r="E61" s="237"/>
      <c r="F61" s="79">
        <v>8.9999999999999993E-3</v>
      </c>
      <c r="J61" s="199">
        <v>33</v>
      </c>
      <c r="K61" s="214"/>
      <c r="L61" s="201"/>
      <c r="M61" s="201"/>
      <c r="N61" s="9">
        <f t="shared" si="4"/>
        <v>4.4999999999999997E-3</v>
      </c>
    </row>
    <row r="62" spans="2:14" x14ac:dyDescent="0.25">
      <c r="B62" s="199">
        <f>OVERVIEW!A42</f>
        <v>34</v>
      </c>
      <c r="C62" s="235"/>
      <c r="D62" s="236"/>
      <c r="E62" s="237"/>
      <c r="F62" s="79">
        <v>1.0999999999999999E-2</v>
      </c>
      <c r="J62" s="199">
        <v>34</v>
      </c>
      <c r="K62" s="214"/>
      <c r="L62" s="201"/>
      <c r="M62" s="201"/>
      <c r="N62" s="9">
        <f t="shared" si="4"/>
        <v>5.4999999999999997E-3</v>
      </c>
    </row>
    <row r="63" spans="2:14" x14ac:dyDescent="0.25">
      <c r="B63" s="199">
        <f>OVERVIEW!A43</f>
        <v>35</v>
      </c>
      <c r="C63" s="235"/>
      <c r="D63" s="236"/>
      <c r="E63" s="237"/>
      <c r="F63" s="79">
        <v>1.2E-2</v>
      </c>
      <c r="J63" s="199">
        <v>35</v>
      </c>
      <c r="K63" s="214"/>
      <c r="L63" s="201"/>
      <c r="M63" s="201"/>
      <c r="N63" s="9">
        <f t="shared" si="4"/>
        <v>6.0000000000000001E-3</v>
      </c>
    </row>
    <row r="64" spans="2:14" x14ac:dyDescent="0.25">
      <c r="B64" s="199">
        <f>OVERVIEW!A44</f>
        <v>36</v>
      </c>
      <c r="C64" s="235"/>
      <c r="D64" s="236"/>
      <c r="E64" s="237"/>
      <c r="F64" s="79">
        <v>8.9999999999999993E-3</v>
      </c>
      <c r="J64" s="199">
        <v>36</v>
      </c>
      <c r="K64" s="214"/>
      <c r="L64" s="201"/>
      <c r="M64" s="201"/>
      <c r="N64" s="9">
        <f t="shared" si="4"/>
        <v>4.4999999999999997E-3</v>
      </c>
    </row>
    <row r="65" spans="2:14" x14ac:dyDescent="0.25">
      <c r="B65" s="199">
        <f>OVERVIEW!A45</f>
        <v>37</v>
      </c>
      <c r="C65" s="235"/>
      <c r="D65" s="236"/>
      <c r="E65" s="237"/>
      <c r="F65" s="79">
        <v>5.0000000000000001E-3</v>
      </c>
      <c r="J65" s="199">
        <v>37</v>
      </c>
      <c r="K65" s="214"/>
      <c r="L65" s="201"/>
      <c r="M65" s="201"/>
      <c r="N65" s="9">
        <f t="shared" si="4"/>
        <v>2.5000000000000001E-3</v>
      </c>
    </row>
    <row r="66" spans="2:14" x14ac:dyDescent="0.25">
      <c r="B66" s="199">
        <f>OVERVIEW!A46</f>
        <v>38</v>
      </c>
      <c r="C66" s="235"/>
      <c r="D66" s="236"/>
      <c r="E66" s="237"/>
      <c r="F66" s="79">
        <v>1.0999999999999999E-2</v>
      </c>
      <c r="J66" s="199">
        <v>38</v>
      </c>
      <c r="K66" s="214"/>
      <c r="L66" s="201"/>
      <c r="M66" s="201"/>
      <c r="N66" s="9">
        <f t="shared" si="4"/>
        <v>5.4999999999999997E-3</v>
      </c>
    </row>
    <row r="67" spans="2:14" x14ac:dyDescent="0.25">
      <c r="B67" s="199">
        <f>OVERVIEW!A47</f>
        <v>39</v>
      </c>
      <c r="C67" s="235"/>
      <c r="D67" s="236"/>
      <c r="E67" s="237"/>
      <c r="F67" s="79">
        <v>2E-3</v>
      </c>
      <c r="J67" s="199">
        <v>39</v>
      </c>
      <c r="K67" s="214"/>
      <c r="L67" s="201"/>
      <c r="M67" s="201"/>
      <c r="N67" s="9">
        <f t="shared" si="4"/>
        <v>1E-3</v>
      </c>
    </row>
    <row r="68" spans="2:14" x14ac:dyDescent="0.25">
      <c r="B68" s="199">
        <f>OVERVIEW!A48</f>
        <v>40</v>
      </c>
      <c r="C68" s="235"/>
      <c r="D68" s="236"/>
      <c r="E68" s="237"/>
      <c r="F68" s="79">
        <v>-1E-3</v>
      </c>
      <c r="J68" s="199">
        <v>40</v>
      </c>
      <c r="K68" s="214"/>
      <c r="L68" s="201"/>
      <c r="M68" s="201"/>
      <c r="N68" s="9">
        <f t="shared" si="4"/>
        <v>-5.0000000000000001E-4</v>
      </c>
    </row>
    <row r="69" spans="2:14" x14ac:dyDescent="0.25">
      <c r="B69" s="199">
        <f>OVERVIEW!A49</f>
        <v>41</v>
      </c>
      <c r="C69" s="235"/>
      <c r="D69" s="236"/>
      <c r="E69" s="237"/>
      <c r="F69" s="79">
        <v>5.0000000000000001E-3</v>
      </c>
      <c r="J69" s="199">
        <v>41</v>
      </c>
      <c r="K69" s="214"/>
      <c r="L69" s="201"/>
      <c r="M69" s="201"/>
      <c r="N69" s="9">
        <f t="shared" si="4"/>
        <v>2.5000000000000001E-3</v>
      </c>
    </row>
    <row r="70" spans="2:14" x14ac:dyDescent="0.25">
      <c r="B70" s="199">
        <f>OVERVIEW!A50</f>
        <v>42</v>
      </c>
      <c r="C70" s="235"/>
      <c r="D70" s="236"/>
      <c r="E70" s="237"/>
      <c r="F70" s="79">
        <v>1.4E-2</v>
      </c>
      <c r="J70" s="199">
        <v>42</v>
      </c>
      <c r="K70" s="214"/>
      <c r="L70" s="201"/>
      <c r="M70" s="201"/>
      <c r="N70" s="9">
        <f t="shared" si="4"/>
        <v>7.0000000000000001E-3</v>
      </c>
    </row>
    <row r="71" spans="2:14" x14ac:dyDescent="0.25">
      <c r="B71" s="199">
        <f>OVERVIEW!A51</f>
        <v>43</v>
      </c>
      <c r="C71" s="235"/>
      <c r="D71" s="236"/>
      <c r="E71" s="237"/>
      <c r="F71" s="79">
        <v>1.6E-2</v>
      </c>
      <c r="J71" s="199">
        <v>43</v>
      </c>
      <c r="K71" s="214"/>
      <c r="L71" s="201"/>
      <c r="M71" s="201"/>
      <c r="N71" s="9">
        <f t="shared" si="4"/>
        <v>8.0000000000000002E-3</v>
      </c>
    </row>
    <row r="72" spans="2:14" x14ac:dyDescent="0.25">
      <c r="B72" s="199">
        <f>OVERVIEW!A52</f>
        <v>44</v>
      </c>
      <c r="C72" s="235"/>
      <c r="D72" s="236"/>
      <c r="E72" s="237"/>
      <c r="F72" s="79">
        <v>8.0000000000000002E-3</v>
      </c>
      <c r="J72" s="199">
        <v>44</v>
      </c>
      <c r="K72" s="214"/>
      <c r="L72" s="201"/>
      <c r="M72" s="201"/>
      <c r="N72" s="9">
        <f t="shared" si="4"/>
        <v>4.0000000000000001E-3</v>
      </c>
    </row>
    <row r="73" spans="2:14" x14ac:dyDescent="0.25">
      <c r="B73" s="199">
        <f>OVERVIEW!A53</f>
        <v>45</v>
      </c>
      <c r="C73" s="235"/>
      <c r="D73" s="236"/>
      <c r="E73" s="237"/>
      <c r="F73" s="79">
        <v>-6.0000000000000001E-3</v>
      </c>
      <c r="J73" s="199">
        <v>45</v>
      </c>
      <c r="K73" s="214"/>
      <c r="L73" s="201"/>
      <c r="M73" s="201"/>
      <c r="N73" s="9">
        <f t="shared" si="4"/>
        <v>-3.0000000000000001E-3</v>
      </c>
    </row>
    <row r="74" spans="2:14" x14ac:dyDescent="0.25">
      <c r="B74" s="199">
        <f>OVERVIEW!A54</f>
        <v>46</v>
      </c>
      <c r="C74" s="235"/>
      <c r="D74" s="236"/>
      <c r="E74" s="237"/>
      <c r="F74" s="79">
        <v>1.2E-2</v>
      </c>
      <c r="J74" s="199">
        <v>46</v>
      </c>
      <c r="K74" s="214"/>
      <c r="L74" s="201"/>
      <c r="M74" s="201"/>
      <c r="N74" s="9">
        <f t="shared" si="4"/>
        <v>6.0000000000000001E-3</v>
      </c>
    </row>
    <row r="75" spans="2:14" x14ac:dyDescent="0.25">
      <c r="B75" s="199">
        <f>OVERVIEW!A55</f>
        <v>47</v>
      </c>
      <c r="C75" s="235"/>
      <c r="D75" s="236"/>
      <c r="E75" s="237"/>
      <c r="F75" s="79">
        <v>1.6E-2</v>
      </c>
      <c r="J75" s="199">
        <v>47</v>
      </c>
      <c r="K75" s="214"/>
      <c r="L75" s="201"/>
      <c r="M75" s="201"/>
      <c r="N75" s="9">
        <f t="shared" si="4"/>
        <v>8.0000000000000002E-3</v>
      </c>
    </row>
    <row r="76" spans="2:14" x14ac:dyDescent="0.25">
      <c r="B76" s="199">
        <f>OVERVIEW!A56</f>
        <v>48</v>
      </c>
      <c r="C76" s="235"/>
      <c r="D76" s="236"/>
      <c r="E76" s="237"/>
      <c r="F76" s="79">
        <v>6.0000000000000001E-3</v>
      </c>
      <c r="J76" s="199">
        <v>48</v>
      </c>
      <c r="K76" s="214"/>
      <c r="L76" s="201"/>
      <c r="M76" s="201"/>
      <c r="N76" s="9">
        <f t="shared" si="4"/>
        <v>3.0000000000000001E-3</v>
      </c>
    </row>
    <row r="77" spans="2:14" x14ac:dyDescent="0.25">
      <c r="B77" s="199">
        <f>OVERVIEW!A57</f>
        <v>49</v>
      </c>
      <c r="C77" s="235"/>
      <c r="D77" s="236"/>
      <c r="E77" s="237"/>
      <c r="F77" s="79">
        <v>1.9E-2</v>
      </c>
      <c r="J77" s="199">
        <v>49</v>
      </c>
      <c r="K77" s="214"/>
      <c r="L77" s="201"/>
      <c r="M77" s="201"/>
      <c r="N77" s="9">
        <f t="shared" si="4"/>
        <v>9.4999999999999998E-3</v>
      </c>
    </row>
    <row r="78" spans="2:14" x14ac:dyDescent="0.25">
      <c r="B78" s="199">
        <f>OVERVIEW!A58</f>
        <v>50</v>
      </c>
      <c r="C78" s="235"/>
      <c r="D78" s="236"/>
      <c r="E78" s="237"/>
      <c r="F78" s="79">
        <v>1.0999999999999999E-2</v>
      </c>
      <c r="J78" s="199">
        <v>50</v>
      </c>
      <c r="K78" s="214"/>
      <c r="L78" s="201"/>
      <c r="M78" s="201"/>
      <c r="N78" s="9">
        <f t="shared" si="4"/>
        <v>5.4999999999999997E-3</v>
      </c>
    </row>
    <row r="79" spans="2:14" x14ac:dyDescent="0.25">
      <c r="B79" s="199">
        <f>OVERVIEW!A59</f>
        <v>51</v>
      </c>
      <c r="C79" s="235"/>
      <c r="D79" s="236"/>
      <c r="E79" s="237"/>
      <c r="F79" s="79">
        <v>0.03</v>
      </c>
      <c r="J79" s="199">
        <v>51</v>
      </c>
      <c r="K79" s="214"/>
      <c r="L79" s="201"/>
      <c r="M79" s="201"/>
      <c r="N79" s="9">
        <f t="shared" si="4"/>
        <v>1.4999999999999999E-2</v>
      </c>
    </row>
    <row r="80" spans="2:14" x14ac:dyDescent="0.25">
      <c r="B80" s="199">
        <f>OVERVIEW!A60</f>
        <v>52</v>
      </c>
      <c r="C80" s="235"/>
      <c r="D80" s="236"/>
      <c r="E80" s="237"/>
      <c r="F80" s="79">
        <v>1.7999999999999999E-2</v>
      </c>
      <c r="J80" s="199">
        <v>52</v>
      </c>
      <c r="K80" s="214"/>
      <c r="L80" s="201"/>
      <c r="M80" s="201"/>
      <c r="N80" s="9">
        <f t="shared" si="4"/>
        <v>8.9999999999999993E-3</v>
      </c>
    </row>
    <row r="81" spans="2:14" x14ac:dyDescent="0.25">
      <c r="B81" s="199">
        <f>OVERVIEW!A61</f>
        <v>53</v>
      </c>
      <c r="C81" s="235"/>
      <c r="D81" s="236"/>
      <c r="E81" s="237"/>
      <c r="F81" s="79">
        <v>1.9E-2</v>
      </c>
      <c r="J81" s="199">
        <v>53</v>
      </c>
      <c r="K81" s="214"/>
      <c r="L81" s="201"/>
      <c r="M81" s="201"/>
      <c r="N81" s="9">
        <f t="shared" si="4"/>
        <v>9.4999999999999998E-3</v>
      </c>
    </row>
    <row r="82" spans="2:14" x14ac:dyDescent="0.25">
      <c r="B82" s="199">
        <f>OVERVIEW!A62</f>
        <v>54</v>
      </c>
      <c r="C82" s="235"/>
      <c r="D82" s="236"/>
      <c r="E82" s="237"/>
      <c r="F82" s="79">
        <v>1.6E-2</v>
      </c>
      <c r="J82" s="199">
        <v>54</v>
      </c>
      <c r="K82" s="214"/>
      <c r="L82" s="201"/>
      <c r="M82" s="201"/>
      <c r="N82" s="9">
        <f t="shared" si="4"/>
        <v>8.0000000000000002E-3</v>
      </c>
    </row>
    <row r="83" spans="2:14" x14ac:dyDescent="0.25">
      <c r="B83" s="199">
        <f>OVERVIEW!A63</f>
        <v>55</v>
      </c>
      <c r="C83" s="235"/>
      <c r="D83" s="236"/>
      <c r="E83" s="237"/>
      <c r="F83" s="79">
        <v>2.5999999999999999E-2</v>
      </c>
      <c r="J83" s="199">
        <v>55</v>
      </c>
      <c r="K83" s="214"/>
      <c r="L83" s="201"/>
      <c r="M83" s="201"/>
      <c r="N83" s="9">
        <f t="shared" si="4"/>
        <v>1.2999999999999999E-2</v>
      </c>
    </row>
    <row r="84" spans="2:14" x14ac:dyDescent="0.25">
      <c r="B84" s="199">
        <f>OVERVIEW!A64</f>
        <v>56</v>
      </c>
      <c r="C84" s="235"/>
      <c r="D84" s="236"/>
      <c r="E84" s="237"/>
      <c r="F84" s="79">
        <v>8.0000000000000002E-3</v>
      </c>
      <c r="J84" s="199">
        <v>56</v>
      </c>
      <c r="K84" s="214"/>
      <c r="L84" s="201"/>
      <c r="M84" s="201"/>
      <c r="N84" s="9">
        <f t="shared" si="4"/>
        <v>4.0000000000000001E-3</v>
      </c>
    </row>
    <row r="85" spans="2:14" x14ac:dyDescent="0.25">
      <c r="B85" s="199">
        <f>OVERVIEW!A65</f>
        <v>57</v>
      </c>
      <c r="C85" s="235"/>
      <c r="D85" s="236"/>
      <c r="E85" s="237"/>
      <c r="F85" s="79">
        <v>1.4999999999999999E-2</v>
      </c>
      <c r="J85" s="199">
        <v>57</v>
      </c>
      <c r="K85" s="214"/>
      <c r="L85" s="201"/>
      <c r="M85" s="201"/>
      <c r="N85" s="9">
        <f t="shared" si="4"/>
        <v>7.4999999999999997E-3</v>
      </c>
    </row>
    <row r="86" spans="2:14" x14ac:dyDescent="0.25">
      <c r="B86" s="199">
        <f>OVERVIEW!A66</f>
        <v>58</v>
      </c>
      <c r="C86" s="235"/>
      <c r="D86" s="236"/>
      <c r="E86" s="237"/>
      <c r="F86" s="79">
        <v>7.0000000000000001E-3</v>
      </c>
      <c r="J86" s="199">
        <v>58</v>
      </c>
      <c r="K86" s="214"/>
      <c r="L86" s="201"/>
      <c r="M86" s="201"/>
      <c r="N86" s="9">
        <f t="shared" si="4"/>
        <v>3.5000000000000001E-3</v>
      </c>
    </row>
    <row r="87" spans="2:14" x14ac:dyDescent="0.25">
      <c r="B87" s="199">
        <f>OVERVIEW!A67</f>
        <v>59</v>
      </c>
      <c r="C87" s="235"/>
      <c r="D87" s="236"/>
      <c r="E87" s="237"/>
      <c r="F87" s="79">
        <v>1.2E-2</v>
      </c>
      <c r="J87" s="199">
        <v>59</v>
      </c>
      <c r="K87" s="214"/>
      <c r="L87" s="201"/>
      <c r="M87" s="201"/>
      <c r="N87" s="9">
        <f t="shared" si="4"/>
        <v>6.0000000000000001E-3</v>
      </c>
    </row>
    <row r="88" spans="2:14" x14ac:dyDescent="0.25">
      <c r="B88" s="199">
        <f>OVERVIEW!A68</f>
        <v>60</v>
      </c>
      <c r="C88" s="235"/>
      <c r="D88" s="236"/>
      <c r="E88" s="237"/>
      <c r="F88" s="79">
        <v>2.3E-2</v>
      </c>
      <c r="J88" s="199">
        <v>60</v>
      </c>
      <c r="K88" s="214"/>
      <c r="L88" s="201"/>
      <c r="M88" s="201"/>
      <c r="N88" s="9">
        <f t="shared" si="4"/>
        <v>1.15E-2</v>
      </c>
    </row>
    <row r="89" spans="2:14" x14ac:dyDescent="0.25">
      <c r="B89" s="199">
        <f>OVERVIEW!A69</f>
        <v>61</v>
      </c>
      <c r="C89" s="235"/>
      <c r="D89" s="236"/>
      <c r="E89" s="237"/>
      <c r="F89" s="79">
        <v>1.7999999999999999E-2</v>
      </c>
      <c r="J89" s="199">
        <v>61</v>
      </c>
      <c r="K89" s="214"/>
      <c r="L89" s="201"/>
      <c r="M89" s="201"/>
      <c r="N89" s="9">
        <f t="shared" si="4"/>
        <v>8.9999999999999993E-3</v>
      </c>
    </row>
    <row r="90" spans="2:14" x14ac:dyDescent="0.25">
      <c r="B90" s="199">
        <f>OVERVIEW!A70</f>
        <v>62</v>
      </c>
      <c r="C90" s="235"/>
      <c r="D90" s="236"/>
      <c r="E90" s="237"/>
      <c r="F90" s="79">
        <v>2.1000000000000001E-2</v>
      </c>
      <c r="J90" s="199">
        <v>62</v>
      </c>
      <c r="K90" s="214"/>
      <c r="L90" s="201"/>
      <c r="M90" s="201"/>
      <c r="N90" s="9">
        <f t="shared" si="4"/>
        <v>1.0500000000000001E-2</v>
      </c>
    </row>
    <row r="91" spans="2:14" ht="15.75" thickBot="1" x14ac:dyDescent="0.3">
      <c r="B91" s="200">
        <f>OVERVIEW!A71</f>
        <v>63</v>
      </c>
      <c r="C91" s="238"/>
      <c r="D91" s="239"/>
      <c r="E91" s="240"/>
      <c r="F91" s="84">
        <v>4.0000000000000001E-3</v>
      </c>
      <c r="J91" s="200">
        <v>63</v>
      </c>
      <c r="K91" s="215"/>
      <c r="L91" s="216"/>
      <c r="M91" s="216"/>
      <c r="N91" s="11">
        <f t="shared" si="4"/>
        <v>2E-3</v>
      </c>
    </row>
    <row r="92" spans="2:14" ht="15.75" thickBot="1" x14ac:dyDescent="0.3"/>
    <row r="93" spans="2:14" ht="15.75" thickBot="1" x14ac:dyDescent="0.3">
      <c r="B93" s="195"/>
      <c r="C93" s="4" t="s">
        <v>117</v>
      </c>
      <c r="D93" s="164"/>
      <c r="E93" s="164"/>
      <c r="F93" s="164"/>
      <c r="G93" s="164"/>
      <c r="H93" s="5"/>
    </row>
  </sheetData>
  <mergeCells count="1">
    <mergeCell ref="C53:E9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TEST 1 (T1)</vt:lpstr>
      <vt:lpstr>TEST 2 (T2)</vt:lpstr>
      <vt:lpstr>TEST 3 (T3)</vt:lpstr>
      <vt:lpstr>TEST 4 (FINAL)</vt:lpstr>
      <vt:lpstr>Master mix data</vt:lpstr>
      <vt:lpstr>Master mix calculations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Jess</cp:lastModifiedBy>
  <cp:lastPrinted>2012-10-02T00:44:47Z</cp:lastPrinted>
  <dcterms:created xsi:type="dcterms:W3CDTF">2012-10-01T23:38:02Z</dcterms:created>
  <dcterms:modified xsi:type="dcterms:W3CDTF">2012-10-02T01:07:40Z</dcterms:modified>
</cp:coreProperties>
</file>