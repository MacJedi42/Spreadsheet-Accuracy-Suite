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585" yWindow="-15" windowWidth="12630" windowHeight="13755"/>
  </bookViews>
  <sheets>
    <sheet name="Commodities" sheetId="1" r:id="rId1"/>
  </sheets>
  <definedNames>
    <definedName name="_xlnm.Print_Area" localSheetId="0">Commodities!$A$1:$R$47</definedName>
    <definedName name="_xlnm.Print_Titles" localSheetId="0">Commodities!$1:$2</definedName>
  </definedNames>
  <calcPr calcId="145621"/>
</workbook>
</file>

<file path=xl/calcChain.xml><?xml version="1.0" encoding="utf-8"?>
<calcChain xmlns="http://schemas.openxmlformats.org/spreadsheetml/2006/main">
  <c r="P50" i="1" l="1"/>
  <c r="R50" i="1" s="1"/>
  <c r="P25" i="1"/>
  <c r="R25" i="1" s="1"/>
  <c r="P61" i="1"/>
  <c r="R61" i="1" s="1"/>
  <c r="P9" i="1"/>
  <c r="R9" i="1" s="1"/>
  <c r="P10" i="1"/>
  <c r="R10" i="1" s="1"/>
  <c r="P7" i="1"/>
  <c r="R7" i="1" s="1"/>
  <c r="P13" i="1"/>
  <c r="R13" i="1" s="1"/>
  <c r="P14" i="1"/>
  <c r="R14" i="1" s="1"/>
  <c r="P8" i="1"/>
  <c r="R8" i="1" s="1"/>
  <c r="P30" i="1"/>
  <c r="R30" i="1" s="1"/>
  <c r="P52" i="1"/>
  <c r="R52" i="1" s="1"/>
  <c r="P53" i="1"/>
  <c r="R53" i="1" s="1"/>
  <c r="P69" i="1"/>
  <c r="R69" i="1" s="1"/>
  <c r="P59" i="1"/>
  <c r="R59" i="1" s="1"/>
  <c r="P35" i="1"/>
  <c r="R35" i="1" s="1"/>
  <c r="P65" i="1"/>
  <c r="R65" i="1" s="1"/>
  <c r="P22" i="1"/>
  <c r="R22" i="1" s="1"/>
  <c r="P3" i="1"/>
  <c r="R3" i="1" s="1"/>
  <c r="P11" i="1"/>
  <c r="R11" i="1" s="1"/>
  <c r="P12" i="1"/>
  <c r="R12" i="1" s="1"/>
  <c r="P16" i="1"/>
  <c r="R16" i="1" s="1"/>
  <c r="P26" i="1"/>
  <c r="R26" i="1" s="1"/>
  <c r="P27" i="1"/>
  <c r="R27" i="1" s="1"/>
  <c r="P44" i="1"/>
  <c r="R44" i="1" s="1"/>
  <c r="P46" i="1"/>
  <c r="R46" i="1" s="1"/>
  <c r="P48" i="1"/>
  <c r="R48" i="1" s="1"/>
  <c r="P47" i="1"/>
  <c r="R47" i="1" s="1"/>
  <c r="P60" i="1"/>
  <c r="R60" i="1" s="1"/>
  <c r="P54" i="1"/>
  <c r="R54" i="1" s="1"/>
  <c r="P63" i="1"/>
  <c r="R63" i="1" s="1"/>
  <c r="P64" i="1"/>
  <c r="R64" i="1" s="1"/>
  <c r="P55" i="1"/>
  <c r="R55" i="1" s="1"/>
  <c r="P62" i="1"/>
  <c r="R62" i="1" s="1"/>
  <c r="P28" i="1"/>
  <c r="R28" i="1" s="1"/>
  <c r="P4" i="1"/>
  <c r="R4" i="1" s="1"/>
  <c r="P6" i="1"/>
  <c r="R6" i="1" s="1"/>
  <c r="P34" i="1"/>
  <c r="R34" i="1" s="1"/>
  <c r="P58" i="1"/>
  <c r="R58" i="1" s="1"/>
  <c r="P57" i="1"/>
  <c r="R57" i="1" s="1"/>
  <c r="P37" i="1"/>
  <c r="R37" i="1" s="1"/>
  <c r="P36" i="1"/>
  <c r="R36" i="1" s="1"/>
  <c r="P39" i="1"/>
  <c r="R39" i="1" s="1"/>
  <c r="P42" i="1"/>
  <c r="R42" i="1" s="1"/>
  <c r="P41" i="1"/>
  <c r="R41" i="1" s="1"/>
  <c r="P43" i="1"/>
  <c r="R43" i="1" s="1"/>
  <c r="P31" i="1"/>
  <c r="R31" i="1" s="1"/>
  <c r="P23" i="1"/>
  <c r="R23" i="1" s="1"/>
  <c r="P68" i="1"/>
  <c r="R68" i="1" s="1"/>
  <c r="P67" i="1"/>
  <c r="R67" i="1" s="1"/>
  <c r="P66" i="1"/>
  <c r="R66" i="1" s="1"/>
  <c r="P24" i="1"/>
  <c r="R24" i="1" s="1"/>
  <c r="P29" i="1"/>
  <c r="R29" i="1" s="1"/>
  <c r="P15" i="1"/>
  <c r="R15" i="1" s="1"/>
  <c r="P45" i="1"/>
  <c r="R45" i="1" s="1"/>
  <c r="P32" i="1"/>
  <c r="R32" i="1" s="1"/>
  <c r="P20" i="1"/>
  <c r="R20" i="1" s="1"/>
  <c r="P21" i="1"/>
  <c r="R21" i="1" s="1"/>
  <c r="P19" i="1"/>
  <c r="R19" i="1" s="1"/>
  <c r="P70" i="1"/>
  <c r="R70" i="1" s="1"/>
  <c r="P40" i="1"/>
  <c r="R40" i="1" s="1"/>
  <c r="P33" i="1"/>
  <c r="R33" i="1" s="1"/>
  <c r="P71" i="1"/>
  <c r="R71" i="1" s="1"/>
  <c r="P18" i="1"/>
  <c r="R18" i="1" s="1"/>
  <c r="P17" i="1"/>
  <c r="R17" i="1" s="1"/>
  <c r="P38" i="1"/>
  <c r="R38" i="1" s="1"/>
  <c r="P56" i="1"/>
  <c r="R56" i="1" s="1"/>
  <c r="P5" i="1"/>
  <c r="R5" i="1" s="1"/>
  <c r="P49" i="1"/>
  <c r="R49" i="1" s="1"/>
  <c r="P51" i="1"/>
  <c r="R51" i="1" s="1"/>
</calcChain>
</file>

<file path=xl/sharedStrings.xml><?xml version="1.0" encoding="utf-8"?>
<sst xmlns="http://schemas.openxmlformats.org/spreadsheetml/2006/main" count="243" uniqueCount="243">
  <si>
    <t>Commodity Name</t>
  </si>
  <si>
    <t>A061</t>
  </si>
  <si>
    <t>A070</t>
  </si>
  <si>
    <t>A099</t>
  </si>
  <si>
    <t>A110</t>
  </si>
  <si>
    <t>A130</t>
  </si>
  <si>
    <t>A160</t>
  </si>
  <si>
    <t>A204</t>
  </si>
  <si>
    <t>A210</t>
  </si>
  <si>
    <t>A237</t>
  </si>
  <si>
    <t>A239</t>
  </si>
  <si>
    <t>A241</t>
  </si>
  <si>
    <t>A243</t>
  </si>
  <si>
    <t>A252</t>
  </si>
  <si>
    <t>A350</t>
  </si>
  <si>
    <t>A375</t>
  </si>
  <si>
    <t>A408</t>
  </si>
  <si>
    <t>A409</t>
  </si>
  <si>
    <t>A433</t>
  </si>
  <si>
    <t>A434</t>
  </si>
  <si>
    <t>A470</t>
  </si>
  <si>
    <t>A517</t>
  </si>
  <si>
    <t>A537</t>
  </si>
  <si>
    <t>A548</t>
  </si>
  <si>
    <t>A549</t>
  </si>
  <si>
    <t>A563</t>
  </si>
  <si>
    <t>A568</t>
  </si>
  <si>
    <t>A608</t>
  </si>
  <si>
    <t>A632</t>
  </si>
  <si>
    <t>Pork Picnics, Boneless Bulk</t>
  </si>
  <si>
    <t>A672</t>
  </si>
  <si>
    <t>B027</t>
  </si>
  <si>
    <t>B037</t>
  </si>
  <si>
    <t>B473</t>
  </si>
  <si>
    <t>B670</t>
  </si>
  <si>
    <t>A594</t>
  </si>
  <si>
    <t>Processed Commodities</t>
  </si>
  <si>
    <t>Total Quantity ORDERED by FNS</t>
  </si>
  <si>
    <t>Total Quantity RECEIVED at Warehouse</t>
  </si>
  <si>
    <t>Delivered from Warehouse EXAMPLE:</t>
  </si>
  <si>
    <t>VARIANCE (OVER /SHORT)</t>
  </si>
  <si>
    <t>A345</t>
  </si>
  <si>
    <t>TOTAL Quantity Received from Distributor</t>
  </si>
  <si>
    <t>Quantity Delivered by Distributor June</t>
  </si>
  <si>
    <t>Quantity Delivered by Distributor May</t>
  </si>
  <si>
    <t>Quantity Delivered by Distributor Apr</t>
  </si>
  <si>
    <t>Quantity Delivered by Distributor Mar</t>
  </si>
  <si>
    <t>Quantity Delivered by Distributor Feb</t>
  </si>
  <si>
    <t>Quantity Delivered by Distributor Jan</t>
  </si>
  <si>
    <t>Quantity Delivered by Distributor Dec</t>
  </si>
  <si>
    <t>Quantity Delivered by Distributor Aug</t>
  </si>
  <si>
    <t>Quantity Delivered by Distributor Sept</t>
  </si>
  <si>
    <t>Quantity Delivered by Distributor Oct</t>
  </si>
  <si>
    <t>Quantity Delivered by Distributor Nov</t>
  </si>
  <si>
    <t>A416</t>
  </si>
  <si>
    <t>A693</t>
  </si>
  <si>
    <t>B065</t>
  </si>
  <si>
    <t>Beans, Green 6/#10 cans</t>
  </si>
  <si>
    <t>Tomato Sauce 6/#10 cans</t>
  </si>
  <si>
    <t>Pears, Diced 6/#10 cans</t>
  </si>
  <si>
    <t>Beef, Bulk Coarse Raw</t>
  </si>
  <si>
    <t>Apples, Sliced 6/#10 cans</t>
  </si>
  <si>
    <t>Applesauce, Unsweetened 6/#10 cans</t>
  </si>
  <si>
    <t>Beans, Green Frz 30lbs</t>
  </si>
  <si>
    <t>Beef, Ground Frz 4/10lbs</t>
  </si>
  <si>
    <t>Carrots, Frz 30lbs</t>
  </si>
  <si>
    <t>Cheese, American Sliced 6/5 lbs</t>
  </si>
  <si>
    <t>Cheese, Ched Rdu Fat Shrd 6/5lbs</t>
  </si>
  <si>
    <t>Cheese, Mozz Part Skim Shrd Frz 30lbs</t>
  </si>
  <si>
    <t>Chicken, Diced Frz 40lbs</t>
  </si>
  <si>
    <t>Chicken, Fajita Strips Ckd, Fzn 30lbs</t>
  </si>
  <si>
    <t>Corn, Whole Kernel 6/#10 cans</t>
  </si>
  <si>
    <t>Corn, Whole Kernel Frz 30lbs</t>
  </si>
  <si>
    <t>A288</t>
  </si>
  <si>
    <t>Cranberry Sauce, 6 #10 cans</t>
  </si>
  <si>
    <t>Eggs Whole, Pasteurized Frz 6/5lbs</t>
  </si>
  <si>
    <t>Fruit Mix, Sweetened 6/#10 cans</t>
  </si>
  <si>
    <t>Ham, Frz 4/10lb</t>
  </si>
  <si>
    <t>Oil, Veg Blend 6/1gal</t>
  </si>
  <si>
    <t>A357</t>
  </si>
  <si>
    <t>Peaches, Cling Diced 6/#10 cans</t>
  </si>
  <si>
    <t>Peaches, Cling Sliced 6/#10 cans</t>
  </si>
  <si>
    <t>Peaches,Cup Frz 96/4.4oz</t>
  </si>
  <si>
    <t>Peanut Butter, Smooth 6/5lbs</t>
  </si>
  <si>
    <t>Pears, Sliced 6/#10 cans</t>
  </si>
  <si>
    <t>A441</t>
  </si>
  <si>
    <t>Pears, Whole Fresh Danjou 45 lb carton</t>
  </si>
  <si>
    <t>Peas, Green Frz 30lbs</t>
  </si>
  <si>
    <t>Pork Roast, Frz 32-40lbs</t>
  </si>
  <si>
    <t>A173</t>
  </si>
  <si>
    <t>Potatoes, Fat Free Wedges Frz 6/5lbs</t>
  </si>
  <si>
    <t>Potatoes, Oven Fries 6/5lb</t>
  </si>
  <si>
    <t>Potatoes, Rounds 6/5lb</t>
  </si>
  <si>
    <t>Salsa ,6/#10 cans</t>
  </si>
  <si>
    <t>Spaghetti Sauce, Meatless 6/#10 cans</t>
  </si>
  <si>
    <t>A380</t>
  </si>
  <si>
    <t>Strawberries, SL Frz 30lb</t>
  </si>
  <si>
    <t>Strawberries, Whole Frz 30lb</t>
  </si>
  <si>
    <t>A230</t>
  </si>
  <si>
    <t>Sweet Potatoes Fresh 40lb carton</t>
  </si>
  <si>
    <t>Tomato Paste, no salt 6/#10 cans</t>
  </si>
  <si>
    <t>Tomatoes, Diced 6/#10 cans</t>
  </si>
  <si>
    <t>Turkey Breast Deli, Unsli 4/10lbs</t>
  </si>
  <si>
    <t>Turkey Hams, Cooked Frz 4/9-11 lbs</t>
  </si>
  <si>
    <t>Turkey Roasts, no bone 32-40lb container</t>
  </si>
  <si>
    <t>B428</t>
  </si>
  <si>
    <t>Whole Grain Rotini, Dry 20lbs</t>
  </si>
  <si>
    <t>B836</t>
  </si>
  <si>
    <t>Whole Grain Spaghetti, Dry 20lbs</t>
  </si>
  <si>
    <t>B119</t>
  </si>
  <si>
    <t>Cheese, American Rdu Fat Sliced 6/5lbs</t>
  </si>
  <si>
    <t>A752</t>
  </si>
  <si>
    <t>Catfish Strips, Breaded, Frz 4/10lbs</t>
  </si>
  <si>
    <t>A424</t>
  </si>
  <si>
    <t>Peaches, frz 30lb ctn</t>
  </si>
  <si>
    <t>A417</t>
  </si>
  <si>
    <t>Strawberries Cup Frzn 96/4.5 oz</t>
  </si>
  <si>
    <t>A346</t>
  </si>
  <si>
    <t>Apples, Sliced Frz 30lb</t>
  </si>
  <si>
    <t>A504</t>
  </si>
  <si>
    <t>Raisins 144/1.33 oz units</t>
  </si>
  <si>
    <t>A500</t>
  </si>
  <si>
    <t>Raisins 30lb cs</t>
  </si>
  <si>
    <t>A501</t>
  </si>
  <si>
    <t>Raisins 24/15 oz pkg</t>
  </si>
  <si>
    <t>A129</t>
  </si>
  <si>
    <t>Corn, Cob Frz 30 lbs</t>
  </si>
  <si>
    <t>A224</t>
  </si>
  <si>
    <t>Sweet Potatoes, frz  6/5 lb pkg</t>
  </si>
  <si>
    <t>A908</t>
  </si>
  <si>
    <t>Beans, Black 6/#10 cans</t>
  </si>
  <si>
    <t>A089</t>
  </si>
  <si>
    <t>Beans, Garbanzo 6/#10 cans</t>
  </si>
  <si>
    <t>A085</t>
  </si>
  <si>
    <t>Beans Refried 6/#10 cans</t>
  </si>
  <si>
    <t>A079</t>
  </si>
  <si>
    <t>Beans, Pinto 6/#10 cans</t>
  </si>
  <si>
    <t>A086</t>
  </si>
  <si>
    <t>Beans, Red Kidney 6/#10 cans</t>
  </si>
  <si>
    <t>A082</t>
  </si>
  <si>
    <t>Beans, Baby Lima 6/#10 cans</t>
  </si>
  <si>
    <t>B275</t>
  </si>
  <si>
    <t>Flour,Brd 50#</t>
  </si>
  <si>
    <t>B545</t>
  </si>
  <si>
    <t>Rice, Brown, LongGrain, Dry 25 lb</t>
  </si>
  <si>
    <t>B537</t>
  </si>
  <si>
    <t>Rice, LongGrain, Brown, QckCook  24/2 lb</t>
  </si>
  <si>
    <t>B426</t>
  </si>
  <si>
    <t>Whole Grain Macaroni, Dry 20lbs</t>
  </si>
  <si>
    <t>B477</t>
  </si>
  <si>
    <t>Sunflower Seed Butter 6/5 lb</t>
  </si>
  <si>
    <t>B151</t>
  </si>
  <si>
    <t>Pancakes, Whole Wheat Frzn 12lb</t>
  </si>
  <si>
    <t>B153</t>
  </si>
  <si>
    <t>Tortillas, Whole Wheat Frzn 27lb</t>
  </si>
  <si>
    <t>A494</t>
  </si>
  <si>
    <t>Chicken Roasted Pieces 30 lbs</t>
  </si>
  <si>
    <t>Commodity ID (Service Year 2011 and Prior)</t>
  </si>
  <si>
    <t>100105</t>
  </si>
  <si>
    <t>100121</t>
  </si>
  <si>
    <t>100125</t>
  </si>
  <si>
    <t>100126</t>
  </si>
  <si>
    <t>100154</t>
  </si>
  <si>
    <t>100193</t>
  </si>
  <si>
    <t>100253</t>
  </si>
  <si>
    <t>100254</t>
  </si>
  <si>
    <t>100256</t>
  </si>
  <si>
    <t>100261</t>
  </si>
  <si>
    <t>100280</t>
  </si>
  <si>
    <t>100282</t>
  </si>
  <si>
    <t>100293</t>
  </si>
  <si>
    <t>100299</t>
  </si>
  <si>
    <t>100327</t>
  </si>
  <si>
    <t>100329</t>
  </si>
  <si>
    <t>100330</t>
  </si>
  <si>
    <t>100334</t>
  </si>
  <si>
    <t>100336</t>
  </si>
  <si>
    <t>100340</t>
  </si>
  <si>
    <t>100343</t>
  </si>
  <si>
    <t>100353</t>
  </si>
  <si>
    <t>100358</t>
  </si>
  <si>
    <t>100373</t>
  </si>
  <si>
    <t>100410</t>
  </si>
  <si>
    <t>100427</t>
  </si>
  <si>
    <t>100434</t>
  </si>
  <si>
    <t>100466</t>
  </si>
  <si>
    <t>100499</t>
  </si>
  <si>
    <t>100500</t>
  </si>
  <si>
    <t>100519</t>
  </si>
  <si>
    <t>100919</t>
  </si>
  <si>
    <t>100935</t>
  </si>
  <si>
    <t>100938</t>
  </si>
  <si>
    <t>100982</t>
  </si>
  <si>
    <t>110146</t>
  </si>
  <si>
    <t>110147</t>
  </si>
  <si>
    <t>110161</t>
  </si>
  <si>
    <t>110186</t>
  </si>
  <si>
    <t>110187</t>
  </si>
  <si>
    <t>110189</t>
  </si>
  <si>
    <t>Chicken Leg Qtr Ctn-40lb</t>
  </si>
  <si>
    <t>Turkey Breat Deli Frz Ctn-40lb</t>
  </si>
  <si>
    <t>Turkey Roasts Frz Ctn-32-48lb</t>
  </si>
  <si>
    <t>Turkey Hams Smkd Frz Ctn-40lb</t>
  </si>
  <si>
    <t>Beef Coarse Ground Frz Ctn-60lb</t>
  </si>
  <si>
    <t>Pork Picnic Bnls Frz Ctn-60lb</t>
  </si>
  <si>
    <t>Strawberry Frz Ctn-30lb</t>
  </si>
  <si>
    <t>Strawberry Slices Frz Ctn-30lb</t>
  </si>
  <si>
    <t>Strawberry Frz Cup-96/4.5oz</t>
  </si>
  <si>
    <t>Apricot Frz Cup-96/4.5oz</t>
  </si>
  <si>
    <t>Raisins Box-144/1.33oz</t>
  </si>
  <si>
    <t>Cherries Dried Pkg-4/4lb</t>
  </si>
  <si>
    <t>Tomato Paste Can-6/No10</t>
  </si>
  <si>
    <t>Tomato Diced Can-6/No10</t>
  </si>
  <si>
    <t>Tomato Salsa Can-6/No10</t>
  </si>
  <si>
    <t>Tomato Sauce Can-6/No10</t>
  </si>
  <si>
    <t>Spaghetti Sauce Meatless CAN-6/No10</t>
  </si>
  <si>
    <t>Sweet Potatoes Random Cut Frz Pkg-6/5lb</t>
  </si>
  <si>
    <t>Potatoes Rounds Frz Pkg-6/5lb</t>
  </si>
  <si>
    <t>Beans Great Northern Can-6/10</t>
  </si>
  <si>
    <t>Flour Whole Wheat Bag-8/5lb</t>
  </si>
  <si>
    <t>Whole Grain Spaghetti Ctn-20lb</t>
  </si>
  <si>
    <t>Whole Grain Pasta Rotini Mac Ctn-20lb</t>
  </si>
  <si>
    <t>Oats Rolled Pkg-12/3lb</t>
  </si>
  <si>
    <t>Rice Brn US#1 Bag-25lb</t>
  </si>
  <si>
    <t>Rice Brn US No1 Long Parbld Pkg-24/2lb</t>
  </si>
  <si>
    <t>Whole Grain Pasta Macaroni Ctn-20lb</t>
  </si>
  <si>
    <t>Sunflower Seed Butter 6-5Lbs</t>
  </si>
  <si>
    <t>Whole Wheat 8 inch Tortillas-12/24 1.5oz</t>
  </si>
  <si>
    <t>Flour All Purp Enrch Unblch Bag-8/5lb</t>
  </si>
  <si>
    <t>Flour Bread Enrch Blch Bag-8/5lb</t>
  </si>
  <si>
    <t>Fruit Mix Dried Pkg-5/5lb</t>
  </si>
  <si>
    <t>Tomato Salsa Pouch-6/106oz</t>
  </si>
  <si>
    <t>Tomato Sauce Pouch-6/106oz</t>
  </si>
  <si>
    <t>Tomato Paste Pouch-6/111oz</t>
  </si>
  <si>
    <r>
      <t xml:space="preserve">Pears Bosc </t>
    </r>
    <r>
      <rPr>
        <b/>
        <sz val="9"/>
        <color indexed="10"/>
        <rFont val="Arial"/>
        <family val="2"/>
      </rPr>
      <t>Fresh</t>
    </r>
    <r>
      <rPr>
        <sz val="9"/>
        <color indexed="8"/>
        <rFont val="Arial"/>
        <family val="2"/>
      </rPr>
      <t xml:space="preserve"> Ctn-45lb</t>
    </r>
  </si>
  <si>
    <r>
      <t xml:space="preserve">Pears Bartlett </t>
    </r>
    <r>
      <rPr>
        <b/>
        <sz val="9"/>
        <color indexed="10"/>
        <rFont val="Arial"/>
        <family val="2"/>
      </rPr>
      <t>Fresh</t>
    </r>
    <r>
      <rPr>
        <sz val="9"/>
        <color indexed="8"/>
        <rFont val="Arial"/>
        <family val="2"/>
      </rPr>
      <t xml:space="preserve"> Ctn-45lb</t>
    </r>
  </si>
  <si>
    <r>
      <t xml:space="preserve">Potatoes Russet </t>
    </r>
    <r>
      <rPr>
        <b/>
        <sz val="9"/>
        <color indexed="10"/>
        <rFont val="Arial"/>
        <family val="2"/>
      </rPr>
      <t>Fresh</t>
    </r>
    <r>
      <rPr>
        <sz val="9"/>
        <color indexed="8"/>
        <rFont val="Arial"/>
        <family val="2"/>
      </rPr>
      <t xml:space="preserve"> Ctn-50lb</t>
    </r>
  </si>
  <si>
    <r>
      <t xml:space="preserve">Sweet Potato </t>
    </r>
    <r>
      <rPr>
        <b/>
        <sz val="9"/>
        <color indexed="10"/>
        <rFont val="Arial"/>
        <family val="2"/>
      </rPr>
      <t>Fresh</t>
    </r>
    <r>
      <rPr>
        <sz val="9"/>
        <color indexed="8"/>
        <rFont val="Arial"/>
        <family val="2"/>
      </rPr>
      <t xml:space="preserve"> Ctn-40lb</t>
    </r>
  </si>
  <si>
    <r>
      <t xml:space="preserve">Apples </t>
    </r>
    <r>
      <rPr>
        <b/>
        <sz val="9"/>
        <color indexed="10"/>
        <rFont val="Arial"/>
        <family val="2"/>
      </rPr>
      <t>Fresh</t>
    </r>
    <r>
      <rPr>
        <sz val="9"/>
        <color indexed="8"/>
        <rFont val="Arial"/>
        <family val="2"/>
      </rPr>
      <t xml:space="preserve"> Various 37-40 lbs ctn</t>
    </r>
  </si>
  <si>
    <r>
      <t xml:space="preserve">Carrots </t>
    </r>
    <r>
      <rPr>
        <b/>
        <sz val="9"/>
        <color indexed="10"/>
        <rFont val="Arial"/>
        <family val="2"/>
      </rPr>
      <t>Fresh</t>
    </r>
    <r>
      <rPr>
        <sz val="9"/>
        <color indexed="8"/>
        <rFont val="Arial"/>
        <family val="2"/>
      </rPr>
      <t xml:space="preserve"> Baby Cuts Bag-100/2oz</t>
    </r>
  </si>
  <si>
    <r>
      <t xml:space="preserve">Oranges, </t>
    </r>
    <r>
      <rPr>
        <b/>
        <sz val="9"/>
        <color rgb="FFFF0000"/>
        <rFont val="Arial"/>
        <family val="2"/>
      </rPr>
      <t>Fresh</t>
    </r>
    <r>
      <rPr>
        <sz val="9"/>
        <color indexed="8"/>
        <rFont val="Arial"/>
        <family val="2"/>
      </rPr>
      <t xml:space="preserve"> Whole 38-45lb case</t>
    </r>
  </si>
  <si>
    <t xml:space="preserve">                                                                                                     USDA COMMODITY TRACKING FORM</t>
  </si>
  <si>
    <t>Commodity ID (Service Year 2013 Going Forward)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</si>
</sst>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u/>
      <sz val="10"/>
      <color indexed="12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10"/>
      <name val="Arial"/>
      <family val="2"/>
    </font>
    <font>
      <sz val="10"/>
      <color indexed="8"/>
      <name val="Arial"/>
    </font>
    <font>
      <sz val="9"/>
      <color theme="1"/>
      <name val="Arial"/>
      <family val="2"/>
    </font>
    <font>
      <b/>
      <sz val="9"/>
      <color indexed="10"/>
      <name val="Arial"/>
      <family val="2"/>
    </font>
    <font>
      <b/>
      <sz val="9"/>
      <color rgb="FFFF0000"/>
      <name val="Arial"/>
      <family val="2"/>
    </font>
    <font>
      <u/>
      <sz val="9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31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/>
    <xf numFmtId="0" fontId="3" fillId="0" borderId="0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2" applyNumberFormat="1" applyFont="1" applyFill="1" applyBorder="1" applyAlignment="1">
      <alignment horizontal="center" wrapText="1"/>
    </xf>
    <xf numFmtId="0" fontId="4" fillId="0" borderId="1" xfId="2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3" fillId="0" borderId="0" xfId="0" applyFont="1"/>
    <xf numFmtId="0" fontId="3" fillId="0" borderId="1" xfId="0" applyFont="1" applyFill="1" applyBorder="1"/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0" fillId="0" borderId="1" xfId="1" applyFont="1" applyFill="1" applyBorder="1" applyAlignment="1" applyProtection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http://education.state.mn.us/MDE/index.html" TargetMode="Externa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247650</xdr:colOff>
          <xdr:row>30</xdr:row>
          <xdr:rowOff>76200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914400</xdr:colOff>
          <xdr:row>30</xdr:row>
          <xdr:rowOff>76200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914400</xdr:colOff>
          <xdr:row>30</xdr:row>
          <xdr:rowOff>76200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1</xdr:col>
          <xdr:colOff>247650</xdr:colOff>
          <xdr:row>71</xdr:row>
          <xdr:rowOff>76200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70</xdr:row>
          <xdr:rowOff>0</xdr:rowOff>
        </xdr:from>
        <xdr:to>
          <xdr:col>2</xdr:col>
          <xdr:colOff>914400</xdr:colOff>
          <xdr:row>71</xdr:row>
          <xdr:rowOff>76200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70</xdr:row>
          <xdr:rowOff>0</xdr:rowOff>
        </xdr:from>
        <xdr:to>
          <xdr:col>2</xdr:col>
          <xdr:colOff>914400</xdr:colOff>
          <xdr:row>71</xdr:row>
          <xdr:rowOff>76200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476251</xdr:colOff>
      <xdr:row>0</xdr:row>
      <xdr:rowOff>226486</xdr:rowOff>
    </xdr:from>
    <xdr:to>
      <xdr:col>2</xdr:col>
      <xdr:colOff>1257300</xdr:colOff>
      <xdr:row>0</xdr:row>
      <xdr:rowOff>781049</xdr:rowOff>
    </xdr:to>
    <xdr:pic>
      <xdr:nvPicPr>
        <xdr:cNvPr id="14" name="Picture 1">
          <a:hlinkClick xmlns:r="http://schemas.openxmlformats.org/officeDocument/2006/relationships" r:id="rId1"/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76251" y="226486"/>
          <a:ext cx="2124074" cy="554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168"/>
  <sheetViews>
    <sheetView tabSelected="1" workbookViewId="0">
      <pane xSplit="3" ySplit="2" topLeftCell="D96" activePane="bottomRight" state="frozen"/>
      <selection pane="topRight" activeCell="C1" sqref="C1"/>
      <selection pane="bottomLeft" activeCell="A3" sqref="A3"/>
      <selection pane="bottomRight" activeCell="H119" sqref="H119"/>
    </sheetView>
  </sheetViews>
  <sheetFormatPr defaultRowHeight="12" x14ac:dyDescent="0.2"/>
  <cols>
    <col min="1" max="1" width="10" style="25" customWidth="1"/>
    <col min="2" max="2" width="10.140625" style="25" customWidth="1"/>
    <col min="3" max="3" width="35.140625" style="29" bestFit="1" customWidth="1"/>
    <col min="4" max="4" width="8.85546875" style="25" bestFit="1" customWidth="1"/>
    <col min="5" max="14" width="9.5703125" style="25" bestFit="1" customWidth="1"/>
    <col min="15" max="15" width="9.5703125" style="25" customWidth="1"/>
    <col min="16" max="16" width="9.7109375" style="25" customWidth="1"/>
    <col min="17" max="17" width="10.7109375" style="26" customWidth="1"/>
    <col min="18" max="18" width="9" style="26" customWidth="1"/>
    <col min="19" max="16384" width="9.140625" style="8"/>
  </cols>
  <sheetData>
    <row r="1" spans="1:19" s="7" customFormat="1" ht="68.25" customHeight="1" x14ac:dyDescent="0.2">
      <c r="A1" s="17" t="s">
        <v>241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9" s="7" customFormat="1" ht="60" x14ac:dyDescent="0.2">
      <c r="A2" s="2" t="s">
        <v>157</v>
      </c>
      <c r="B2" s="2" t="s">
        <v>242</v>
      </c>
      <c r="C2" s="2" t="s">
        <v>0</v>
      </c>
      <c r="D2" s="9" t="s">
        <v>37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49</v>
      </c>
      <c r="J2" s="2" t="s">
        <v>48</v>
      </c>
      <c r="K2" s="2" t="s">
        <v>47</v>
      </c>
      <c r="L2" s="2" t="s">
        <v>46</v>
      </c>
      <c r="M2" s="2" t="s">
        <v>45</v>
      </c>
      <c r="N2" s="2" t="s">
        <v>44</v>
      </c>
      <c r="O2" s="2" t="s">
        <v>43</v>
      </c>
      <c r="P2" s="3" t="s">
        <v>42</v>
      </c>
      <c r="Q2" s="9" t="s">
        <v>38</v>
      </c>
      <c r="R2" s="2" t="s">
        <v>40</v>
      </c>
      <c r="S2" s="23"/>
    </row>
    <row r="3" spans="1:19" x14ac:dyDescent="0.2">
      <c r="A3" s="2"/>
      <c r="B3" s="2"/>
      <c r="C3" s="2" t="s">
        <v>39</v>
      </c>
      <c r="D3" s="9">
        <v>98</v>
      </c>
      <c r="E3" s="2">
        <v>6</v>
      </c>
      <c r="F3" s="2">
        <v>13</v>
      </c>
      <c r="G3" s="2">
        <v>14</v>
      </c>
      <c r="H3" s="2">
        <v>27</v>
      </c>
      <c r="I3" s="2">
        <v>18</v>
      </c>
      <c r="J3" s="2">
        <v>18</v>
      </c>
      <c r="K3" s="2"/>
      <c r="L3" s="2"/>
      <c r="M3" s="2"/>
      <c r="N3" s="2"/>
      <c r="O3" s="2"/>
      <c r="P3" s="3">
        <f t="shared" ref="P3:P28" si="0">SUM(E3:O3)</f>
        <v>96</v>
      </c>
      <c r="Q3" s="4">
        <v>98</v>
      </c>
      <c r="R3" s="1">
        <f t="shared" ref="R3:R28" si="1">P3-Q3</f>
        <v>-2</v>
      </c>
    </row>
    <row r="4" spans="1:19" x14ac:dyDescent="0.2">
      <c r="A4" s="15" t="s">
        <v>41</v>
      </c>
      <c r="B4" s="15">
        <v>100206</v>
      </c>
      <c r="C4" s="10" t="s">
        <v>61</v>
      </c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3">
        <f t="shared" si="0"/>
        <v>0</v>
      </c>
      <c r="Q4" s="4"/>
      <c r="R4" s="1">
        <f t="shared" si="1"/>
        <v>0</v>
      </c>
    </row>
    <row r="5" spans="1:19" x14ac:dyDescent="0.2">
      <c r="A5" s="11" t="s">
        <v>117</v>
      </c>
      <c r="B5" s="16">
        <v>100258</v>
      </c>
      <c r="C5" s="13" t="s">
        <v>118</v>
      </c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3">
        <f t="shared" si="0"/>
        <v>0</v>
      </c>
      <c r="Q5" s="4"/>
      <c r="R5" s="1">
        <f t="shared" si="1"/>
        <v>0</v>
      </c>
    </row>
    <row r="6" spans="1:19" x14ac:dyDescent="0.2">
      <c r="A6" s="15" t="s">
        <v>14</v>
      </c>
      <c r="B6" s="15">
        <v>100208</v>
      </c>
      <c r="C6" s="10" t="s">
        <v>62</v>
      </c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3">
        <f t="shared" si="0"/>
        <v>0</v>
      </c>
      <c r="Q6" s="4"/>
      <c r="R6" s="1">
        <f t="shared" si="1"/>
        <v>0</v>
      </c>
    </row>
    <row r="7" spans="1:19" x14ac:dyDescent="0.2">
      <c r="A7" s="11" t="s">
        <v>133</v>
      </c>
      <c r="B7" s="12">
        <v>100362</v>
      </c>
      <c r="C7" s="13" t="s">
        <v>134</v>
      </c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3">
        <f t="shared" si="0"/>
        <v>0</v>
      </c>
      <c r="Q7" s="4"/>
      <c r="R7" s="1">
        <f t="shared" si="1"/>
        <v>0</v>
      </c>
    </row>
    <row r="8" spans="1:19" x14ac:dyDescent="0.2">
      <c r="A8" s="11" t="s">
        <v>139</v>
      </c>
      <c r="B8" s="12">
        <v>100371</v>
      </c>
      <c r="C8" s="13" t="s">
        <v>140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3">
        <f t="shared" si="0"/>
        <v>0</v>
      </c>
      <c r="Q8" s="4"/>
      <c r="R8" s="1">
        <f t="shared" si="1"/>
        <v>0</v>
      </c>
    </row>
    <row r="9" spans="1:19" x14ac:dyDescent="0.2">
      <c r="A9" s="11" t="s">
        <v>129</v>
      </c>
      <c r="B9" s="12">
        <v>100359</v>
      </c>
      <c r="C9" s="13" t="s">
        <v>130</v>
      </c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3">
        <f t="shared" si="0"/>
        <v>0</v>
      </c>
      <c r="Q9" s="4"/>
      <c r="R9" s="1">
        <f t="shared" si="1"/>
        <v>0</v>
      </c>
    </row>
    <row r="10" spans="1:19" x14ac:dyDescent="0.2">
      <c r="A10" s="11" t="s">
        <v>131</v>
      </c>
      <c r="B10" s="12">
        <v>100360</v>
      </c>
      <c r="C10" s="13" t="s">
        <v>132</v>
      </c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3">
        <f t="shared" si="0"/>
        <v>0</v>
      </c>
      <c r="Q10" s="4"/>
      <c r="R10" s="1">
        <f t="shared" si="1"/>
        <v>0</v>
      </c>
    </row>
    <row r="11" spans="1:19" x14ac:dyDescent="0.2">
      <c r="A11" s="15" t="s">
        <v>1</v>
      </c>
      <c r="B11" s="15">
        <v>100307</v>
      </c>
      <c r="C11" s="10" t="s">
        <v>57</v>
      </c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3">
        <f t="shared" si="0"/>
        <v>0</v>
      </c>
      <c r="Q11" s="4"/>
      <c r="R11" s="1">
        <f t="shared" si="1"/>
        <v>0</v>
      </c>
    </row>
    <row r="12" spans="1:19" x14ac:dyDescent="0.2">
      <c r="A12" s="15" t="s">
        <v>2</v>
      </c>
      <c r="B12" s="15">
        <v>100351</v>
      </c>
      <c r="C12" s="10" t="s">
        <v>63</v>
      </c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3">
        <f t="shared" si="0"/>
        <v>0</v>
      </c>
      <c r="Q12" s="4"/>
      <c r="R12" s="1">
        <f t="shared" si="1"/>
        <v>0</v>
      </c>
    </row>
    <row r="13" spans="1:19" x14ac:dyDescent="0.2">
      <c r="A13" s="11" t="s">
        <v>135</v>
      </c>
      <c r="B13" s="12">
        <v>100365</v>
      </c>
      <c r="C13" s="13" t="s">
        <v>136</v>
      </c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3">
        <f t="shared" si="0"/>
        <v>0</v>
      </c>
      <c r="Q13" s="4"/>
      <c r="R13" s="1">
        <f t="shared" si="1"/>
        <v>0</v>
      </c>
    </row>
    <row r="14" spans="1:19" x14ac:dyDescent="0.2">
      <c r="A14" s="11" t="s">
        <v>137</v>
      </c>
      <c r="B14" s="12">
        <v>100370</v>
      </c>
      <c r="C14" s="13" t="s">
        <v>138</v>
      </c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3">
        <f t="shared" si="0"/>
        <v>0</v>
      </c>
      <c r="Q14" s="4"/>
      <c r="R14" s="1">
        <f t="shared" si="1"/>
        <v>0</v>
      </c>
    </row>
    <row r="15" spans="1:19" x14ac:dyDescent="0.2">
      <c r="A15" s="15" t="s">
        <v>27</v>
      </c>
      <c r="B15" s="15">
        <v>100158</v>
      </c>
      <c r="C15" s="10" t="s">
        <v>64</v>
      </c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3">
        <f t="shared" si="0"/>
        <v>0</v>
      </c>
      <c r="Q15" s="4"/>
      <c r="R15" s="1">
        <f t="shared" si="1"/>
        <v>0</v>
      </c>
    </row>
    <row r="16" spans="1:19" x14ac:dyDescent="0.2">
      <c r="A16" s="15" t="s">
        <v>3</v>
      </c>
      <c r="B16" s="15">
        <v>100352</v>
      </c>
      <c r="C16" s="10" t="s">
        <v>65</v>
      </c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3">
        <f t="shared" si="0"/>
        <v>0</v>
      </c>
      <c r="Q16" s="4"/>
      <c r="R16" s="1">
        <f t="shared" si="1"/>
        <v>0</v>
      </c>
    </row>
    <row r="17" spans="1:18" x14ac:dyDescent="0.2">
      <c r="A17" s="11" t="s">
        <v>111</v>
      </c>
      <c r="B17" s="12">
        <v>100201</v>
      </c>
      <c r="C17" s="13" t="s">
        <v>112</v>
      </c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3">
        <f t="shared" si="0"/>
        <v>0</v>
      </c>
      <c r="Q17" s="4"/>
      <c r="R17" s="1">
        <f t="shared" si="1"/>
        <v>0</v>
      </c>
    </row>
    <row r="18" spans="1:18" x14ac:dyDescent="0.2">
      <c r="A18" s="11" t="s">
        <v>109</v>
      </c>
      <c r="B18" s="12">
        <v>100036</v>
      </c>
      <c r="C18" s="13" t="s">
        <v>110</v>
      </c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3">
        <f t="shared" si="0"/>
        <v>0</v>
      </c>
      <c r="Q18" s="4"/>
      <c r="R18" s="1">
        <f t="shared" si="1"/>
        <v>0</v>
      </c>
    </row>
    <row r="19" spans="1:18" x14ac:dyDescent="0.2">
      <c r="A19" s="15" t="s">
        <v>56</v>
      </c>
      <c r="B19" s="15">
        <v>100018</v>
      </c>
      <c r="C19" s="10" t="s">
        <v>66</v>
      </c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3">
        <f t="shared" si="0"/>
        <v>0</v>
      </c>
      <c r="Q19" s="4"/>
      <c r="R19" s="1">
        <f t="shared" si="1"/>
        <v>0</v>
      </c>
    </row>
    <row r="20" spans="1:18" x14ac:dyDescent="0.2">
      <c r="A20" s="15" t="s">
        <v>31</v>
      </c>
      <c r="B20" s="15">
        <v>100012</v>
      </c>
      <c r="C20" s="10" t="s">
        <v>67</v>
      </c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3">
        <f t="shared" si="0"/>
        <v>0</v>
      </c>
      <c r="Q20" s="4"/>
      <c r="R20" s="1">
        <f t="shared" si="1"/>
        <v>0</v>
      </c>
    </row>
    <row r="21" spans="1:18" x14ac:dyDescent="0.2">
      <c r="A21" s="15" t="s">
        <v>32</v>
      </c>
      <c r="B21" s="15">
        <v>100021</v>
      </c>
      <c r="C21" s="10" t="s">
        <v>68</v>
      </c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3">
        <f t="shared" si="0"/>
        <v>0</v>
      </c>
      <c r="Q21" s="4"/>
      <c r="R21" s="1">
        <f t="shared" si="1"/>
        <v>0</v>
      </c>
    </row>
    <row r="22" spans="1:18" x14ac:dyDescent="0.2">
      <c r="A22" s="11" t="s">
        <v>155</v>
      </c>
      <c r="B22" s="12">
        <v>110080</v>
      </c>
      <c r="C22" s="13" t="s">
        <v>156</v>
      </c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3">
        <f t="shared" si="0"/>
        <v>0</v>
      </c>
      <c r="Q22" s="4"/>
      <c r="R22" s="1">
        <f t="shared" si="1"/>
        <v>0</v>
      </c>
    </row>
    <row r="23" spans="1:18" x14ac:dyDescent="0.2">
      <c r="A23" s="15" t="s">
        <v>21</v>
      </c>
      <c r="B23" s="15">
        <v>100101</v>
      </c>
      <c r="C23" s="10" t="s">
        <v>69</v>
      </c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3">
        <f t="shared" si="0"/>
        <v>0</v>
      </c>
      <c r="Q23" s="4"/>
      <c r="R23" s="1">
        <f t="shared" si="1"/>
        <v>0</v>
      </c>
    </row>
    <row r="24" spans="1:18" x14ac:dyDescent="0.2">
      <c r="A24" s="15" t="s">
        <v>25</v>
      </c>
      <c r="B24" s="15">
        <v>100117</v>
      </c>
      <c r="C24" s="10" t="s">
        <v>70</v>
      </c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3">
        <f t="shared" si="0"/>
        <v>0</v>
      </c>
      <c r="Q24" s="4"/>
      <c r="R24" s="1">
        <f t="shared" si="1"/>
        <v>0</v>
      </c>
    </row>
    <row r="25" spans="1:18" x14ac:dyDescent="0.2">
      <c r="A25" s="11" t="s">
        <v>125</v>
      </c>
      <c r="B25" s="12">
        <v>100349</v>
      </c>
      <c r="C25" s="13" t="s">
        <v>126</v>
      </c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3">
        <f t="shared" si="0"/>
        <v>0</v>
      </c>
      <c r="Q25" s="4"/>
      <c r="R25" s="1">
        <f t="shared" si="1"/>
        <v>0</v>
      </c>
    </row>
    <row r="26" spans="1:18" x14ac:dyDescent="0.2">
      <c r="A26" s="15" t="s">
        <v>4</v>
      </c>
      <c r="B26" s="15">
        <v>100313</v>
      </c>
      <c r="C26" s="10" t="s">
        <v>71</v>
      </c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3">
        <f t="shared" si="0"/>
        <v>0</v>
      </c>
      <c r="Q26" s="4"/>
      <c r="R26" s="1">
        <f t="shared" si="1"/>
        <v>0</v>
      </c>
    </row>
    <row r="27" spans="1:18" x14ac:dyDescent="0.2">
      <c r="A27" s="15" t="s">
        <v>5</v>
      </c>
      <c r="B27" s="15">
        <v>100348</v>
      </c>
      <c r="C27" s="10" t="s">
        <v>72</v>
      </c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3">
        <f t="shared" si="0"/>
        <v>0</v>
      </c>
      <c r="Q27" s="4"/>
      <c r="R27" s="1">
        <f t="shared" si="1"/>
        <v>0</v>
      </c>
    </row>
    <row r="28" spans="1:18" x14ac:dyDescent="0.2">
      <c r="A28" s="15" t="s">
        <v>73</v>
      </c>
      <c r="B28" s="15">
        <v>100214</v>
      </c>
      <c r="C28" s="10" t="s">
        <v>74</v>
      </c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3">
        <f t="shared" si="0"/>
        <v>0</v>
      </c>
      <c r="Q28" s="4"/>
      <c r="R28" s="1">
        <f t="shared" si="1"/>
        <v>0</v>
      </c>
    </row>
    <row r="29" spans="1:18" x14ac:dyDescent="0.2">
      <c r="A29" s="15" t="s">
        <v>26</v>
      </c>
      <c r="B29" s="15">
        <v>100046</v>
      </c>
      <c r="C29" s="10" t="s">
        <v>75</v>
      </c>
      <c r="D29" s="1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3">
        <f t="shared" ref="P29:P53" si="2">SUM(E29:O29)</f>
        <v>0</v>
      </c>
      <c r="Q29" s="4"/>
      <c r="R29" s="1">
        <f t="shared" ref="R29:R53" si="3">P29-Q29</f>
        <v>0</v>
      </c>
    </row>
    <row r="30" spans="1:18" x14ac:dyDescent="0.2">
      <c r="A30" s="11" t="s">
        <v>141</v>
      </c>
      <c r="B30" s="12">
        <v>100411</v>
      </c>
      <c r="C30" s="13" t="s">
        <v>142</v>
      </c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3">
        <f t="shared" si="2"/>
        <v>0</v>
      </c>
      <c r="Q30" s="4"/>
      <c r="R30" s="1">
        <f t="shared" si="3"/>
        <v>0</v>
      </c>
    </row>
    <row r="31" spans="1:18" x14ac:dyDescent="0.2">
      <c r="A31" s="15" t="s">
        <v>20</v>
      </c>
      <c r="B31" s="15">
        <v>100212</v>
      </c>
      <c r="C31" s="10" t="s">
        <v>76</v>
      </c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3">
        <f t="shared" si="2"/>
        <v>0</v>
      </c>
      <c r="Q31" s="4"/>
      <c r="R31" s="1">
        <f t="shared" si="3"/>
        <v>0</v>
      </c>
    </row>
    <row r="32" spans="1:18" x14ac:dyDescent="0.2">
      <c r="A32" s="15" t="s">
        <v>55</v>
      </c>
      <c r="B32" s="15">
        <v>100184</v>
      </c>
      <c r="C32" s="10" t="s">
        <v>77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3">
        <f t="shared" si="2"/>
        <v>0</v>
      </c>
      <c r="Q32" s="4"/>
      <c r="R32" s="1">
        <f t="shared" si="3"/>
        <v>0</v>
      </c>
    </row>
    <row r="33" spans="1:18" x14ac:dyDescent="0.2">
      <c r="A33" s="15" t="s">
        <v>34</v>
      </c>
      <c r="B33" s="15">
        <v>100439</v>
      </c>
      <c r="C33" s="10" t="s">
        <v>78</v>
      </c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3">
        <f t="shared" si="2"/>
        <v>0</v>
      </c>
      <c r="Q33" s="4"/>
      <c r="R33" s="1">
        <f t="shared" si="3"/>
        <v>0</v>
      </c>
    </row>
    <row r="34" spans="1:18" x14ac:dyDescent="0.2">
      <c r="A34" s="15" t="s">
        <v>79</v>
      </c>
      <c r="B34" s="18">
        <v>100283</v>
      </c>
      <c r="C34" s="10" t="s">
        <v>240</v>
      </c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3">
        <f t="shared" si="2"/>
        <v>0</v>
      </c>
      <c r="Q34" s="4"/>
      <c r="R34" s="1">
        <f t="shared" si="3"/>
        <v>0</v>
      </c>
    </row>
    <row r="35" spans="1:18" x14ac:dyDescent="0.2">
      <c r="A35" s="11" t="s">
        <v>151</v>
      </c>
      <c r="B35" s="12">
        <v>100937</v>
      </c>
      <c r="C35" s="13" t="s">
        <v>152</v>
      </c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3">
        <f t="shared" si="2"/>
        <v>0</v>
      </c>
      <c r="Q35" s="4"/>
      <c r="R35" s="1">
        <f t="shared" si="3"/>
        <v>0</v>
      </c>
    </row>
    <row r="36" spans="1:18" x14ac:dyDescent="0.2">
      <c r="A36" s="15" t="s">
        <v>17</v>
      </c>
      <c r="B36" s="15">
        <v>100220</v>
      </c>
      <c r="C36" s="10" t="s">
        <v>80</v>
      </c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3">
        <f t="shared" si="2"/>
        <v>0</v>
      </c>
      <c r="Q36" s="4"/>
      <c r="R36" s="1">
        <f t="shared" si="3"/>
        <v>0</v>
      </c>
    </row>
    <row r="37" spans="1:18" x14ac:dyDescent="0.2">
      <c r="A37" s="15" t="s">
        <v>16</v>
      </c>
      <c r="B37" s="15">
        <v>100219</v>
      </c>
      <c r="C37" s="10" t="s">
        <v>81</v>
      </c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3">
        <f t="shared" si="2"/>
        <v>0</v>
      </c>
      <c r="Q37" s="4"/>
      <c r="R37" s="1">
        <f t="shared" si="3"/>
        <v>0</v>
      </c>
    </row>
    <row r="38" spans="1:18" x14ac:dyDescent="0.2">
      <c r="A38" s="11" t="s">
        <v>113</v>
      </c>
      <c r="B38" s="12">
        <v>100239</v>
      </c>
      <c r="C38" s="13" t="s">
        <v>114</v>
      </c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3">
        <f t="shared" si="2"/>
        <v>0</v>
      </c>
      <c r="Q38" s="4"/>
      <c r="R38" s="1">
        <f t="shared" si="3"/>
        <v>0</v>
      </c>
    </row>
    <row r="39" spans="1:18" x14ac:dyDescent="0.2">
      <c r="A39" s="15" t="s">
        <v>54</v>
      </c>
      <c r="B39" s="15">
        <v>100241</v>
      </c>
      <c r="C39" s="10" t="s">
        <v>82</v>
      </c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3">
        <f t="shared" si="2"/>
        <v>0</v>
      </c>
      <c r="Q39" s="4"/>
      <c r="R39" s="1">
        <f t="shared" si="3"/>
        <v>0</v>
      </c>
    </row>
    <row r="40" spans="1:18" x14ac:dyDescent="0.2">
      <c r="A40" s="15" t="s">
        <v>33</v>
      </c>
      <c r="B40" s="15">
        <v>100396</v>
      </c>
      <c r="C40" s="10" t="s">
        <v>83</v>
      </c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3">
        <f t="shared" si="2"/>
        <v>0</v>
      </c>
      <c r="Q40" s="4"/>
      <c r="R40" s="1">
        <f t="shared" si="3"/>
        <v>0</v>
      </c>
    </row>
    <row r="41" spans="1:18" x14ac:dyDescent="0.2">
      <c r="A41" s="15" t="s">
        <v>19</v>
      </c>
      <c r="B41" s="15">
        <v>100225</v>
      </c>
      <c r="C41" s="10" t="s">
        <v>59</v>
      </c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3">
        <f t="shared" si="2"/>
        <v>0</v>
      </c>
      <c r="Q41" s="4"/>
      <c r="R41" s="1">
        <f t="shared" si="3"/>
        <v>0</v>
      </c>
    </row>
    <row r="42" spans="1:18" x14ac:dyDescent="0.2">
      <c r="A42" s="15" t="s">
        <v>18</v>
      </c>
      <c r="B42" s="15">
        <v>100224</v>
      </c>
      <c r="C42" s="10" t="s">
        <v>84</v>
      </c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3">
        <f t="shared" si="2"/>
        <v>0</v>
      </c>
      <c r="Q42" s="4"/>
      <c r="R42" s="1">
        <f t="shared" si="3"/>
        <v>0</v>
      </c>
    </row>
    <row r="43" spans="1:18" x14ac:dyDescent="0.2">
      <c r="A43" s="15" t="s">
        <v>85</v>
      </c>
      <c r="B43" s="15">
        <v>100279</v>
      </c>
      <c r="C43" s="10" t="s">
        <v>86</v>
      </c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3">
        <f t="shared" si="2"/>
        <v>0</v>
      </c>
      <c r="Q43" s="4"/>
      <c r="R43" s="1">
        <f t="shared" si="3"/>
        <v>0</v>
      </c>
    </row>
    <row r="44" spans="1:18" x14ac:dyDescent="0.2">
      <c r="A44" s="15" t="s">
        <v>6</v>
      </c>
      <c r="B44" s="15">
        <v>100350</v>
      </c>
      <c r="C44" s="10" t="s">
        <v>87</v>
      </c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3">
        <f t="shared" si="2"/>
        <v>0</v>
      </c>
      <c r="Q44" s="4"/>
      <c r="R44" s="1">
        <f t="shared" si="3"/>
        <v>0</v>
      </c>
    </row>
    <row r="45" spans="1:18" x14ac:dyDescent="0.2">
      <c r="A45" s="15" t="s">
        <v>30</v>
      </c>
      <c r="B45" s="15">
        <v>100173</v>
      </c>
      <c r="C45" s="10" t="s">
        <v>88</v>
      </c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3">
        <f t="shared" si="2"/>
        <v>0</v>
      </c>
      <c r="Q45" s="4"/>
      <c r="R45" s="1">
        <f t="shared" si="3"/>
        <v>0</v>
      </c>
    </row>
    <row r="46" spans="1:18" x14ac:dyDescent="0.2">
      <c r="A46" s="15" t="s">
        <v>89</v>
      </c>
      <c r="B46" s="15">
        <v>100356</v>
      </c>
      <c r="C46" s="10" t="s">
        <v>90</v>
      </c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3">
        <f t="shared" si="2"/>
        <v>0</v>
      </c>
      <c r="Q46" s="4"/>
      <c r="R46" s="1">
        <f t="shared" si="3"/>
        <v>0</v>
      </c>
    </row>
    <row r="47" spans="1:18" x14ac:dyDescent="0.2">
      <c r="A47" s="15" t="s">
        <v>8</v>
      </c>
      <c r="B47" s="15">
        <v>100357</v>
      </c>
      <c r="C47" s="10" t="s">
        <v>91</v>
      </c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3">
        <f t="shared" si="2"/>
        <v>0</v>
      </c>
      <c r="Q47" s="4"/>
      <c r="R47" s="1">
        <f t="shared" si="3"/>
        <v>0</v>
      </c>
    </row>
    <row r="48" spans="1:18" x14ac:dyDescent="0.2">
      <c r="A48" s="15" t="s">
        <v>7</v>
      </c>
      <c r="B48" s="15">
        <v>100358</v>
      </c>
      <c r="C48" s="10" t="s">
        <v>92</v>
      </c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3">
        <f t="shared" si="2"/>
        <v>0</v>
      </c>
      <c r="Q48" s="4"/>
      <c r="R48" s="1">
        <f t="shared" si="3"/>
        <v>0</v>
      </c>
    </row>
    <row r="49" spans="1:18" x14ac:dyDescent="0.2">
      <c r="A49" s="11" t="s">
        <v>119</v>
      </c>
      <c r="B49" s="12">
        <v>100293</v>
      </c>
      <c r="C49" s="13" t="s">
        <v>120</v>
      </c>
      <c r="D49" s="14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3">
        <f t="shared" si="2"/>
        <v>0</v>
      </c>
      <c r="Q49" s="4"/>
      <c r="R49" s="1">
        <f t="shared" si="3"/>
        <v>0</v>
      </c>
    </row>
    <row r="50" spans="1:18" x14ac:dyDescent="0.2">
      <c r="A50" s="11" t="s">
        <v>123</v>
      </c>
      <c r="B50" s="12">
        <v>100295</v>
      </c>
      <c r="C50" s="13" t="s">
        <v>124</v>
      </c>
      <c r="D50" s="14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3">
        <f t="shared" si="2"/>
        <v>0</v>
      </c>
      <c r="Q50" s="4"/>
      <c r="R50" s="1">
        <f t="shared" si="3"/>
        <v>0</v>
      </c>
    </row>
    <row r="51" spans="1:18" x14ac:dyDescent="0.2">
      <c r="A51" s="11" t="s">
        <v>121</v>
      </c>
      <c r="B51" s="12">
        <v>100294</v>
      </c>
      <c r="C51" s="13" t="s">
        <v>122</v>
      </c>
      <c r="D51" s="14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3">
        <f t="shared" si="2"/>
        <v>0</v>
      </c>
      <c r="Q51" s="4"/>
      <c r="R51" s="1">
        <f t="shared" si="3"/>
        <v>0</v>
      </c>
    </row>
    <row r="52" spans="1:18" x14ac:dyDescent="0.2">
      <c r="A52" s="11" t="s">
        <v>143</v>
      </c>
      <c r="B52" s="12">
        <v>100499</v>
      </c>
      <c r="C52" s="13" t="s">
        <v>144</v>
      </c>
      <c r="D52" s="14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3">
        <f t="shared" si="2"/>
        <v>0</v>
      </c>
      <c r="Q52" s="4"/>
      <c r="R52" s="1">
        <f t="shared" si="3"/>
        <v>0</v>
      </c>
    </row>
    <row r="53" spans="1:18" x14ac:dyDescent="0.2">
      <c r="A53" s="11" t="s">
        <v>145</v>
      </c>
      <c r="B53" s="12">
        <v>100500</v>
      </c>
      <c r="C53" s="13" t="s">
        <v>146</v>
      </c>
      <c r="D53" s="14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3">
        <f t="shared" si="2"/>
        <v>0</v>
      </c>
      <c r="Q53" s="4"/>
      <c r="R53" s="1">
        <f t="shared" si="3"/>
        <v>0</v>
      </c>
    </row>
    <row r="54" spans="1:18" x14ac:dyDescent="0.2">
      <c r="A54" s="15" t="s">
        <v>9</v>
      </c>
      <c r="B54" s="15">
        <v>100330</v>
      </c>
      <c r="C54" s="10" t="s">
        <v>93</v>
      </c>
      <c r="D54" s="14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3">
        <f t="shared" ref="P54:P71" si="4">SUM(E54:O54)</f>
        <v>0</v>
      </c>
      <c r="Q54" s="4"/>
      <c r="R54" s="1">
        <f t="shared" ref="R54:R71" si="5">P54-Q54</f>
        <v>0</v>
      </c>
    </row>
    <row r="55" spans="1:18" x14ac:dyDescent="0.2">
      <c r="A55" s="15" t="s">
        <v>12</v>
      </c>
      <c r="B55" s="15">
        <v>100336</v>
      </c>
      <c r="C55" s="10" t="s">
        <v>94</v>
      </c>
      <c r="D55" s="1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3">
        <f t="shared" si="4"/>
        <v>0</v>
      </c>
      <c r="Q55" s="4"/>
      <c r="R55" s="1">
        <f t="shared" si="5"/>
        <v>0</v>
      </c>
    </row>
    <row r="56" spans="1:18" x14ac:dyDescent="0.2">
      <c r="A56" s="11" t="s">
        <v>115</v>
      </c>
      <c r="B56" s="12">
        <v>100256</v>
      </c>
      <c r="C56" s="13" t="s">
        <v>116</v>
      </c>
      <c r="D56" s="14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3">
        <f t="shared" si="4"/>
        <v>0</v>
      </c>
      <c r="Q56" s="4"/>
      <c r="R56" s="1">
        <f t="shared" si="5"/>
        <v>0</v>
      </c>
    </row>
    <row r="57" spans="1:18" x14ac:dyDescent="0.2">
      <c r="A57" s="15" t="s">
        <v>95</v>
      </c>
      <c r="B57" s="15">
        <v>100254</v>
      </c>
      <c r="C57" s="10" t="s">
        <v>96</v>
      </c>
      <c r="D57" s="14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3">
        <f t="shared" si="4"/>
        <v>0</v>
      </c>
      <c r="Q57" s="4"/>
      <c r="R57" s="1">
        <f t="shared" si="5"/>
        <v>0</v>
      </c>
    </row>
    <row r="58" spans="1:18" x14ac:dyDescent="0.2">
      <c r="A58" s="15" t="s">
        <v>15</v>
      </c>
      <c r="B58" s="15">
        <v>100253</v>
      </c>
      <c r="C58" s="10" t="s">
        <v>97</v>
      </c>
      <c r="D58" s="1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3">
        <f t="shared" si="4"/>
        <v>0</v>
      </c>
      <c r="Q58" s="4"/>
      <c r="R58" s="1">
        <f t="shared" si="5"/>
        <v>0</v>
      </c>
    </row>
    <row r="59" spans="1:18" x14ac:dyDescent="0.2">
      <c r="A59" s="11" t="s">
        <v>149</v>
      </c>
      <c r="B59" s="12">
        <v>100935</v>
      </c>
      <c r="C59" s="13" t="s">
        <v>150</v>
      </c>
      <c r="D59" s="14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3">
        <f t="shared" si="4"/>
        <v>0</v>
      </c>
      <c r="Q59" s="4"/>
      <c r="R59" s="1">
        <f t="shared" si="5"/>
        <v>0</v>
      </c>
    </row>
    <row r="60" spans="1:18" x14ac:dyDescent="0.2">
      <c r="A60" s="15" t="s">
        <v>98</v>
      </c>
      <c r="B60" s="15">
        <v>100343</v>
      </c>
      <c r="C60" s="10" t="s">
        <v>99</v>
      </c>
      <c r="D60" s="14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3">
        <f t="shared" si="4"/>
        <v>0</v>
      </c>
      <c r="Q60" s="4"/>
      <c r="R60" s="1">
        <f t="shared" si="5"/>
        <v>0</v>
      </c>
    </row>
    <row r="61" spans="1:18" x14ac:dyDescent="0.2">
      <c r="A61" s="11" t="s">
        <v>127</v>
      </c>
      <c r="B61" s="12">
        <v>100353</v>
      </c>
      <c r="C61" s="13" t="s">
        <v>128</v>
      </c>
      <c r="D61" s="14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3">
        <f t="shared" si="4"/>
        <v>0</v>
      </c>
      <c r="Q61" s="4"/>
      <c r="R61" s="1">
        <f t="shared" si="5"/>
        <v>0</v>
      </c>
    </row>
    <row r="62" spans="1:18" x14ac:dyDescent="0.2">
      <c r="A62" s="15" t="s">
        <v>13</v>
      </c>
      <c r="B62" s="15">
        <v>100327</v>
      </c>
      <c r="C62" s="10" t="s">
        <v>100</v>
      </c>
      <c r="D62" s="14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3">
        <f t="shared" si="4"/>
        <v>0</v>
      </c>
      <c r="Q62" s="4"/>
      <c r="R62" s="1">
        <f t="shared" si="5"/>
        <v>0</v>
      </c>
    </row>
    <row r="63" spans="1:18" x14ac:dyDescent="0.2">
      <c r="A63" s="15" t="s">
        <v>10</v>
      </c>
      <c r="B63" s="15">
        <v>100334</v>
      </c>
      <c r="C63" s="10" t="s">
        <v>58</v>
      </c>
      <c r="D63" s="14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3">
        <f t="shared" si="4"/>
        <v>0</v>
      </c>
      <c r="Q63" s="4"/>
      <c r="R63" s="1">
        <f t="shared" si="5"/>
        <v>0</v>
      </c>
    </row>
    <row r="64" spans="1:18" x14ac:dyDescent="0.2">
      <c r="A64" s="15" t="s">
        <v>11</v>
      </c>
      <c r="B64" s="15">
        <v>100329</v>
      </c>
      <c r="C64" s="10" t="s">
        <v>101</v>
      </c>
      <c r="D64" s="14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3">
        <f t="shared" si="4"/>
        <v>0</v>
      </c>
      <c r="Q64" s="4"/>
      <c r="R64" s="1">
        <f t="shared" si="5"/>
        <v>0</v>
      </c>
    </row>
    <row r="65" spans="1:18" x14ac:dyDescent="0.2">
      <c r="A65" s="11" t="s">
        <v>153</v>
      </c>
      <c r="B65" s="12">
        <v>100938</v>
      </c>
      <c r="C65" s="13" t="s">
        <v>154</v>
      </c>
      <c r="D65" s="14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3">
        <f t="shared" si="4"/>
        <v>0</v>
      </c>
      <c r="Q65" s="4"/>
      <c r="R65" s="1">
        <f t="shared" si="5"/>
        <v>0</v>
      </c>
    </row>
    <row r="66" spans="1:18" x14ac:dyDescent="0.2">
      <c r="A66" s="15" t="s">
        <v>24</v>
      </c>
      <c r="B66" s="15">
        <v>100121</v>
      </c>
      <c r="C66" s="10" t="s">
        <v>102</v>
      </c>
      <c r="D66" s="14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3">
        <f t="shared" si="4"/>
        <v>0</v>
      </c>
      <c r="Q66" s="4"/>
      <c r="R66" s="1">
        <f t="shared" si="5"/>
        <v>0</v>
      </c>
    </row>
    <row r="67" spans="1:18" x14ac:dyDescent="0.2">
      <c r="A67" s="15" t="s">
        <v>23</v>
      </c>
      <c r="B67" s="15">
        <v>100126</v>
      </c>
      <c r="C67" s="10" t="s">
        <v>103</v>
      </c>
      <c r="D67" s="14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3">
        <f t="shared" si="4"/>
        <v>0</v>
      </c>
      <c r="Q67" s="4"/>
      <c r="R67" s="1">
        <f t="shared" si="5"/>
        <v>0</v>
      </c>
    </row>
    <row r="68" spans="1:18" x14ac:dyDescent="0.2">
      <c r="A68" s="15" t="s">
        <v>22</v>
      </c>
      <c r="B68" s="15">
        <v>100125</v>
      </c>
      <c r="C68" s="10" t="s">
        <v>104</v>
      </c>
      <c r="D68" s="14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3">
        <f t="shared" si="4"/>
        <v>0</v>
      </c>
      <c r="Q68" s="4"/>
      <c r="R68" s="1">
        <f t="shared" si="5"/>
        <v>0</v>
      </c>
    </row>
    <row r="69" spans="1:18" x14ac:dyDescent="0.2">
      <c r="A69" s="11" t="s">
        <v>147</v>
      </c>
      <c r="B69" s="12">
        <v>100919</v>
      </c>
      <c r="C69" s="13" t="s">
        <v>148</v>
      </c>
      <c r="D69" s="14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3">
        <f t="shared" si="4"/>
        <v>0</v>
      </c>
      <c r="Q69" s="4"/>
      <c r="R69" s="1">
        <f t="shared" si="5"/>
        <v>0</v>
      </c>
    </row>
    <row r="70" spans="1:18" x14ac:dyDescent="0.2">
      <c r="A70" s="15" t="s">
        <v>105</v>
      </c>
      <c r="B70" s="15">
        <v>100434</v>
      </c>
      <c r="C70" s="10" t="s">
        <v>106</v>
      </c>
      <c r="D70" s="1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3">
        <f t="shared" si="4"/>
        <v>0</v>
      </c>
      <c r="Q70" s="4"/>
      <c r="R70" s="1">
        <f t="shared" si="5"/>
        <v>0</v>
      </c>
    </row>
    <row r="71" spans="1:18" x14ac:dyDescent="0.2">
      <c r="A71" s="15" t="s">
        <v>107</v>
      </c>
      <c r="B71" s="15">
        <v>100427</v>
      </c>
      <c r="C71" s="10" t="s">
        <v>108</v>
      </c>
      <c r="D71" s="14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3">
        <f t="shared" si="4"/>
        <v>0</v>
      </c>
      <c r="Q71" s="4"/>
      <c r="R71" s="1">
        <f t="shared" si="5"/>
        <v>0</v>
      </c>
    </row>
    <row r="72" spans="1:18" x14ac:dyDescent="0.2">
      <c r="A72" s="15"/>
      <c r="B72" s="19" t="s">
        <v>158</v>
      </c>
      <c r="C72" s="30" t="s">
        <v>199</v>
      </c>
      <c r="D72" s="1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3"/>
      <c r="Q72" s="4"/>
      <c r="R72" s="1"/>
    </row>
    <row r="73" spans="1:18" x14ac:dyDescent="0.2">
      <c r="A73" s="15"/>
      <c r="B73" s="19" t="s">
        <v>159</v>
      </c>
      <c r="C73" s="30" t="s">
        <v>200</v>
      </c>
      <c r="D73" s="14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3"/>
      <c r="Q73" s="4"/>
      <c r="R73" s="1"/>
    </row>
    <row r="74" spans="1:18" x14ac:dyDescent="0.2">
      <c r="A74" s="15"/>
      <c r="B74" s="19" t="s">
        <v>160</v>
      </c>
      <c r="C74" s="30" t="s">
        <v>201</v>
      </c>
      <c r="D74" s="14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3"/>
      <c r="Q74" s="4"/>
      <c r="R74" s="1"/>
    </row>
    <row r="75" spans="1:18" x14ac:dyDescent="0.2">
      <c r="A75" s="15"/>
      <c r="B75" s="19" t="s">
        <v>161</v>
      </c>
      <c r="C75" s="30" t="s">
        <v>202</v>
      </c>
      <c r="D75" s="14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3"/>
      <c r="Q75" s="4"/>
      <c r="R75" s="1"/>
    </row>
    <row r="76" spans="1:18" x14ac:dyDescent="0.2">
      <c r="A76" s="15"/>
      <c r="B76" s="19" t="s">
        <v>162</v>
      </c>
      <c r="C76" s="30" t="s">
        <v>203</v>
      </c>
      <c r="D76" s="14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3"/>
      <c r="Q76" s="4"/>
      <c r="R76" s="1"/>
    </row>
    <row r="77" spans="1:18" x14ac:dyDescent="0.2">
      <c r="A77" s="15"/>
      <c r="B77" s="19" t="s">
        <v>163</v>
      </c>
      <c r="C77" s="30" t="s">
        <v>204</v>
      </c>
      <c r="D77" s="14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3"/>
      <c r="Q77" s="4"/>
      <c r="R77" s="1"/>
    </row>
    <row r="78" spans="1:18" x14ac:dyDescent="0.2">
      <c r="A78" s="15"/>
      <c r="B78" s="19" t="s">
        <v>164</v>
      </c>
      <c r="C78" s="30" t="s">
        <v>205</v>
      </c>
      <c r="D78" s="14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3"/>
      <c r="Q78" s="4"/>
      <c r="R78" s="1"/>
    </row>
    <row r="79" spans="1:18" x14ac:dyDescent="0.2">
      <c r="A79" s="15"/>
      <c r="B79" s="19" t="s">
        <v>165</v>
      </c>
      <c r="C79" s="30" t="s">
        <v>206</v>
      </c>
      <c r="D79" s="14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3"/>
      <c r="Q79" s="4"/>
      <c r="R79" s="1"/>
    </row>
    <row r="80" spans="1:18" x14ac:dyDescent="0.2">
      <c r="A80" s="15"/>
      <c r="B80" s="19" t="s">
        <v>166</v>
      </c>
      <c r="C80" s="30" t="s">
        <v>207</v>
      </c>
      <c r="D80" s="14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3"/>
      <c r="Q80" s="4"/>
      <c r="R80" s="1"/>
    </row>
    <row r="81" spans="1:18" x14ac:dyDescent="0.2">
      <c r="A81" s="15"/>
      <c r="B81" s="19" t="s">
        <v>167</v>
      </c>
      <c r="C81" s="30" t="s">
        <v>208</v>
      </c>
      <c r="D81" s="14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3"/>
      <c r="Q81" s="4"/>
      <c r="R81" s="1"/>
    </row>
    <row r="82" spans="1:18" x14ac:dyDescent="0.2">
      <c r="A82" s="15"/>
      <c r="B82" s="20" t="s">
        <v>168</v>
      </c>
      <c r="C82" s="30" t="s">
        <v>234</v>
      </c>
      <c r="D82" s="14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3"/>
      <c r="Q82" s="4"/>
      <c r="R82" s="1"/>
    </row>
    <row r="83" spans="1:18" x14ac:dyDescent="0.2">
      <c r="A83" s="15"/>
      <c r="B83" s="20" t="s">
        <v>169</v>
      </c>
      <c r="C83" s="30" t="s">
        <v>235</v>
      </c>
      <c r="D83" s="14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3"/>
      <c r="Q83" s="4"/>
      <c r="R83" s="1"/>
    </row>
    <row r="84" spans="1:18" x14ac:dyDescent="0.2">
      <c r="A84" s="15"/>
      <c r="B84" s="19" t="s">
        <v>170</v>
      </c>
      <c r="C84" s="30" t="s">
        <v>209</v>
      </c>
      <c r="D84" s="14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3"/>
      <c r="Q84" s="4"/>
      <c r="R84" s="1"/>
    </row>
    <row r="85" spans="1:18" x14ac:dyDescent="0.2">
      <c r="A85" s="15"/>
      <c r="B85" s="19" t="s">
        <v>171</v>
      </c>
      <c r="C85" s="30" t="s">
        <v>210</v>
      </c>
      <c r="D85" s="14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3"/>
      <c r="Q85" s="4"/>
      <c r="R85" s="1"/>
    </row>
    <row r="86" spans="1:18" x14ac:dyDescent="0.2">
      <c r="A86" s="15"/>
      <c r="B86" s="19" t="s">
        <v>172</v>
      </c>
      <c r="C86" s="30" t="s">
        <v>211</v>
      </c>
      <c r="D86" s="14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3"/>
      <c r="Q86" s="4"/>
      <c r="R86" s="1"/>
    </row>
    <row r="87" spans="1:18" x14ac:dyDescent="0.2">
      <c r="A87" s="15"/>
      <c r="B87" s="19" t="s">
        <v>173</v>
      </c>
      <c r="C87" s="30" t="s">
        <v>212</v>
      </c>
      <c r="D87" s="14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3"/>
      <c r="Q87" s="4"/>
      <c r="R87" s="1"/>
    </row>
    <row r="88" spans="1:18" x14ac:dyDescent="0.2">
      <c r="A88" s="15"/>
      <c r="B88" s="19" t="s">
        <v>174</v>
      </c>
      <c r="C88" s="30" t="s">
        <v>213</v>
      </c>
      <c r="D88" s="1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"/>
      <c r="Q88" s="4"/>
      <c r="R88" s="1"/>
    </row>
    <row r="89" spans="1:18" x14ac:dyDescent="0.2">
      <c r="A89" s="15"/>
      <c r="B89" s="19" t="s">
        <v>175</v>
      </c>
      <c r="C89" s="30" t="s">
        <v>214</v>
      </c>
      <c r="D89" s="1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3"/>
      <c r="Q89" s="4"/>
      <c r="R89" s="1"/>
    </row>
    <row r="90" spans="1:18" x14ac:dyDescent="0.2">
      <c r="A90" s="15"/>
      <c r="B90" s="19" t="s">
        <v>176</v>
      </c>
      <c r="C90" s="30" t="s">
        <v>215</v>
      </c>
      <c r="D90" s="14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"/>
      <c r="Q90" s="4"/>
      <c r="R90" s="1"/>
    </row>
    <row r="91" spans="1:18" x14ac:dyDescent="0.2">
      <c r="A91" s="15"/>
      <c r="B91" s="20" t="s">
        <v>177</v>
      </c>
      <c r="C91" s="30" t="s">
        <v>236</v>
      </c>
      <c r="D91" s="14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3"/>
      <c r="Q91" s="4"/>
      <c r="R91" s="1"/>
    </row>
    <row r="92" spans="1:18" x14ac:dyDescent="0.2">
      <c r="A92" s="15"/>
      <c r="B92" s="20" t="s">
        <v>178</v>
      </c>
      <c r="C92" s="30" t="s">
        <v>237</v>
      </c>
      <c r="D92" s="14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"/>
      <c r="Q92" s="4"/>
      <c r="R92" s="1"/>
    </row>
    <row r="93" spans="1:18" x14ac:dyDescent="0.2">
      <c r="A93" s="15"/>
      <c r="B93" s="19" t="s">
        <v>179</v>
      </c>
      <c r="C93" s="30" t="s">
        <v>216</v>
      </c>
      <c r="D93" s="14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3"/>
      <c r="Q93" s="4"/>
      <c r="R93" s="1"/>
    </row>
    <row r="94" spans="1:18" x14ac:dyDescent="0.2">
      <c r="A94" s="15"/>
      <c r="B94" s="19" t="s">
        <v>180</v>
      </c>
      <c r="C94" s="30" t="s">
        <v>217</v>
      </c>
      <c r="D94" s="14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3"/>
      <c r="Q94" s="4"/>
      <c r="R94" s="1"/>
    </row>
    <row r="95" spans="1:18" x14ac:dyDescent="0.2">
      <c r="A95" s="15"/>
      <c r="B95" s="19" t="s">
        <v>181</v>
      </c>
      <c r="C95" s="30" t="s">
        <v>218</v>
      </c>
      <c r="D95" s="14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3"/>
      <c r="Q95" s="4"/>
      <c r="R95" s="1"/>
    </row>
    <row r="96" spans="1:18" x14ac:dyDescent="0.2">
      <c r="A96" s="15"/>
      <c r="B96" s="19" t="s">
        <v>182</v>
      </c>
      <c r="C96" s="30" t="s">
        <v>219</v>
      </c>
      <c r="D96" s="14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3"/>
      <c r="Q96" s="4"/>
      <c r="R96" s="1"/>
    </row>
    <row r="97" spans="1:18" x14ac:dyDescent="0.2">
      <c r="A97" s="15"/>
      <c r="B97" s="19" t="s">
        <v>183</v>
      </c>
      <c r="C97" s="30" t="s">
        <v>220</v>
      </c>
      <c r="D97" s="14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3"/>
      <c r="Q97" s="4"/>
      <c r="R97" s="1"/>
    </row>
    <row r="98" spans="1:18" x14ac:dyDescent="0.2">
      <c r="A98" s="15"/>
      <c r="B98" s="19" t="s">
        <v>184</v>
      </c>
      <c r="C98" s="30" t="s">
        <v>221</v>
      </c>
      <c r="D98" s="14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3"/>
      <c r="Q98" s="4"/>
      <c r="R98" s="1"/>
    </row>
    <row r="99" spans="1:18" x14ac:dyDescent="0.2">
      <c r="A99" s="15"/>
      <c r="B99" s="19" t="s">
        <v>185</v>
      </c>
      <c r="C99" s="30" t="s">
        <v>222</v>
      </c>
      <c r="D99" s="14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3"/>
      <c r="Q99" s="4"/>
      <c r="R99" s="1"/>
    </row>
    <row r="100" spans="1:18" x14ac:dyDescent="0.2">
      <c r="A100" s="15"/>
      <c r="B100" s="19" t="s">
        <v>186</v>
      </c>
      <c r="C100" s="30" t="s">
        <v>223</v>
      </c>
      <c r="D100" s="14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3"/>
      <c r="Q100" s="4"/>
      <c r="R100" s="1"/>
    </row>
    <row r="101" spans="1:18" x14ac:dyDescent="0.2">
      <c r="A101" s="15"/>
      <c r="B101" s="19" t="s">
        <v>187</v>
      </c>
      <c r="C101" s="30" t="s">
        <v>224</v>
      </c>
      <c r="D101" s="1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3"/>
      <c r="Q101" s="4"/>
      <c r="R101" s="1"/>
    </row>
    <row r="102" spans="1:18" x14ac:dyDescent="0.2">
      <c r="A102" s="15"/>
      <c r="B102" s="20" t="s">
        <v>188</v>
      </c>
      <c r="C102" s="30" t="s">
        <v>238</v>
      </c>
      <c r="D102" s="1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3"/>
      <c r="Q102" s="4"/>
      <c r="R102" s="1"/>
    </row>
    <row r="103" spans="1:18" x14ac:dyDescent="0.2">
      <c r="A103" s="15"/>
      <c r="B103" s="19" t="s">
        <v>189</v>
      </c>
      <c r="C103" s="30" t="s">
        <v>225</v>
      </c>
      <c r="D103" s="14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3"/>
      <c r="Q103" s="4"/>
      <c r="R103" s="1"/>
    </row>
    <row r="104" spans="1:18" x14ac:dyDescent="0.2">
      <c r="A104" s="15"/>
      <c r="B104" s="19" t="s">
        <v>190</v>
      </c>
      <c r="C104" s="30" t="s">
        <v>226</v>
      </c>
      <c r="D104" s="14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3"/>
      <c r="Q104" s="4"/>
      <c r="R104" s="1"/>
    </row>
    <row r="105" spans="1:18" x14ac:dyDescent="0.2">
      <c r="A105" s="15"/>
      <c r="B105" s="19" t="s">
        <v>191</v>
      </c>
      <c r="C105" s="30" t="s">
        <v>227</v>
      </c>
      <c r="D105" s="14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3"/>
      <c r="Q105" s="4"/>
      <c r="R105" s="1"/>
    </row>
    <row r="106" spans="1:18" x14ac:dyDescent="0.2">
      <c r="A106" s="15"/>
      <c r="B106" s="20" t="s">
        <v>192</v>
      </c>
      <c r="C106" s="30" t="s">
        <v>239</v>
      </c>
      <c r="D106" s="14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3"/>
      <c r="Q106" s="4"/>
      <c r="R106" s="1"/>
    </row>
    <row r="107" spans="1:18" x14ac:dyDescent="0.2">
      <c r="A107" s="15"/>
      <c r="B107" s="19" t="s">
        <v>193</v>
      </c>
      <c r="C107" s="30" t="s">
        <v>228</v>
      </c>
      <c r="D107" s="14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3"/>
      <c r="Q107" s="4"/>
      <c r="R107" s="1"/>
    </row>
    <row r="108" spans="1:18" x14ac:dyDescent="0.2">
      <c r="A108" s="15"/>
      <c r="B108" s="19" t="s">
        <v>194</v>
      </c>
      <c r="C108" s="30" t="s">
        <v>229</v>
      </c>
      <c r="D108" s="14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3"/>
      <c r="Q108" s="4"/>
      <c r="R108" s="1"/>
    </row>
    <row r="109" spans="1:18" x14ac:dyDescent="0.2">
      <c r="A109" s="15"/>
      <c r="B109" s="19" t="s">
        <v>195</v>
      </c>
      <c r="C109" s="30" t="s">
        <v>230</v>
      </c>
      <c r="D109" s="14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3"/>
      <c r="Q109" s="4"/>
      <c r="R109" s="1"/>
    </row>
    <row r="110" spans="1:18" x14ac:dyDescent="0.2">
      <c r="A110" s="15"/>
      <c r="B110" s="19" t="s">
        <v>196</v>
      </c>
      <c r="C110" s="30" t="s">
        <v>231</v>
      </c>
      <c r="D110" s="14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3"/>
      <c r="Q110" s="4"/>
      <c r="R110" s="1"/>
    </row>
    <row r="111" spans="1:18" x14ac:dyDescent="0.2">
      <c r="A111" s="15"/>
      <c r="B111" s="19" t="s">
        <v>197</v>
      </c>
      <c r="C111" s="30" t="s">
        <v>232</v>
      </c>
      <c r="D111" s="14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3"/>
      <c r="Q111" s="4"/>
      <c r="R111" s="1"/>
    </row>
    <row r="112" spans="1:18" x14ac:dyDescent="0.2">
      <c r="A112" s="15"/>
      <c r="B112" s="19" t="s">
        <v>198</v>
      </c>
      <c r="C112" s="30" t="s">
        <v>233</v>
      </c>
      <c r="D112" s="14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3"/>
      <c r="Q112" s="4"/>
      <c r="R112" s="1"/>
    </row>
    <row r="113" spans="1:16" x14ac:dyDescent="0.2">
      <c r="A113" s="15"/>
      <c r="B113" s="15"/>
      <c r="C113" s="24"/>
      <c r="D113" s="6"/>
      <c r="P113" s="8"/>
    </row>
    <row r="114" spans="1:16" x14ac:dyDescent="0.2">
      <c r="A114" s="27"/>
      <c r="B114" s="15"/>
      <c r="C114" s="28" t="s">
        <v>36</v>
      </c>
      <c r="D114" s="6"/>
      <c r="P114" s="8"/>
    </row>
    <row r="115" spans="1:16" x14ac:dyDescent="0.2">
      <c r="A115" s="15" t="s">
        <v>35</v>
      </c>
      <c r="B115" s="15">
        <v>100154</v>
      </c>
      <c r="C115" s="21" t="s">
        <v>60</v>
      </c>
      <c r="D115" s="6"/>
    </row>
    <row r="116" spans="1:16" x14ac:dyDescent="0.2">
      <c r="A116" s="15"/>
      <c r="B116" s="15"/>
      <c r="C116" s="22"/>
      <c r="D116" s="6"/>
    </row>
    <row r="117" spans="1:16" x14ac:dyDescent="0.2">
      <c r="A117" s="15" t="s">
        <v>28</v>
      </c>
      <c r="B117" s="15">
        <v>100193</v>
      </c>
      <c r="C117" s="21" t="s">
        <v>29</v>
      </c>
      <c r="D117" s="6"/>
    </row>
    <row r="118" spans="1:16" x14ac:dyDescent="0.2">
      <c r="C118" s="5"/>
    </row>
    <row r="119" spans="1:16" x14ac:dyDescent="0.2">
      <c r="C119" s="5"/>
    </row>
    <row r="120" spans="1:16" x14ac:dyDescent="0.2">
      <c r="C120" s="5"/>
    </row>
    <row r="121" spans="1:16" x14ac:dyDescent="0.2">
      <c r="C121" s="5"/>
    </row>
    <row r="122" spans="1:16" x14ac:dyDescent="0.2">
      <c r="C122" s="5"/>
    </row>
    <row r="123" spans="1:16" x14ac:dyDescent="0.2">
      <c r="C123" s="5"/>
    </row>
    <row r="124" spans="1:16" x14ac:dyDescent="0.2">
      <c r="C124" s="5"/>
    </row>
    <row r="125" spans="1:16" x14ac:dyDescent="0.2">
      <c r="C125" s="5"/>
    </row>
    <row r="126" spans="1:16" x14ac:dyDescent="0.2">
      <c r="C126" s="5"/>
    </row>
    <row r="127" spans="1:16" x14ac:dyDescent="0.2">
      <c r="C127" s="5"/>
    </row>
    <row r="128" spans="1:16" x14ac:dyDescent="0.2">
      <c r="C128" s="5"/>
    </row>
    <row r="129" spans="3:3" x14ac:dyDescent="0.2">
      <c r="C129" s="5"/>
    </row>
    <row r="130" spans="3:3" x14ac:dyDescent="0.2">
      <c r="C130" s="5"/>
    </row>
    <row r="131" spans="3:3" x14ac:dyDescent="0.2">
      <c r="C131" s="5"/>
    </row>
    <row r="132" spans="3:3" x14ac:dyDescent="0.2">
      <c r="C132" s="5"/>
    </row>
    <row r="133" spans="3:3" x14ac:dyDescent="0.2">
      <c r="C133" s="5"/>
    </row>
    <row r="134" spans="3:3" x14ac:dyDescent="0.2">
      <c r="C134" s="5"/>
    </row>
    <row r="135" spans="3:3" x14ac:dyDescent="0.2">
      <c r="C135" s="5"/>
    </row>
    <row r="136" spans="3:3" x14ac:dyDescent="0.2">
      <c r="C136" s="5"/>
    </row>
    <row r="137" spans="3:3" x14ac:dyDescent="0.2">
      <c r="C137" s="5"/>
    </row>
    <row r="138" spans="3:3" x14ac:dyDescent="0.2">
      <c r="C138" s="5"/>
    </row>
    <row r="139" spans="3:3" x14ac:dyDescent="0.2">
      <c r="C139" s="5"/>
    </row>
    <row r="140" spans="3:3" x14ac:dyDescent="0.2">
      <c r="C140" s="5"/>
    </row>
    <row r="141" spans="3:3" x14ac:dyDescent="0.2">
      <c r="C141" s="5"/>
    </row>
    <row r="142" spans="3:3" x14ac:dyDescent="0.2">
      <c r="C142" s="5"/>
    </row>
    <row r="143" spans="3:3" x14ac:dyDescent="0.2">
      <c r="C143" s="5"/>
    </row>
    <row r="144" spans="3:3" x14ac:dyDescent="0.2">
      <c r="C144" s="5"/>
    </row>
    <row r="145" spans="3:3" x14ac:dyDescent="0.2">
      <c r="C145" s="5"/>
    </row>
    <row r="146" spans="3:3" x14ac:dyDescent="0.2">
      <c r="C146" s="5"/>
    </row>
    <row r="147" spans="3:3" x14ac:dyDescent="0.2">
      <c r="C147" s="5"/>
    </row>
    <row r="148" spans="3:3" x14ac:dyDescent="0.2">
      <c r="C148" s="5"/>
    </row>
    <row r="149" spans="3:3" x14ac:dyDescent="0.2">
      <c r="C149" s="5"/>
    </row>
    <row r="150" spans="3:3" x14ac:dyDescent="0.2">
      <c r="C150" s="5"/>
    </row>
    <row r="151" spans="3:3" x14ac:dyDescent="0.2">
      <c r="C151" s="5"/>
    </row>
    <row r="152" spans="3:3" x14ac:dyDescent="0.2">
      <c r="C152" s="5"/>
    </row>
    <row r="153" spans="3:3" x14ac:dyDescent="0.2">
      <c r="C153" s="5"/>
    </row>
    <row r="154" spans="3:3" x14ac:dyDescent="0.2">
      <c r="C154" s="5"/>
    </row>
    <row r="155" spans="3:3" x14ac:dyDescent="0.2">
      <c r="C155" s="5"/>
    </row>
    <row r="156" spans="3:3" x14ac:dyDescent="0.2">
      <c r="C156" s="5"/>
    </row>
    <row r="157" spans="3:3" x14ac:dyDescent="0.2">
      <c r="C157" s="5"/>
    </row>
    <row r="158" spans="3:3" x14ac:dyDescent="0.2">
      <c r="C158" s="5"/>
    </row>
    <row r="159" spans="3:3" x14ac:dyDescent="0.2">
      <c r="C159" s="5"/>
    </row>
    <row r="160" spans="3:3" x14ac:dyDescent="0.2">
      <c r="C160" s="5"/>
    </row>
    <row r="161" spans="3:3" x14ac:dyDescent="0.2">
      <c r="C161" s="5"/>
    </row>
    <row r="162" spans="3:3" x14ac:dyDescent="0.2">
      <c r="C162" s="5"/>
    </row>
    <row r="163" spans="3:3" x14ac:dyDescent="0.2">
      <c r="C163" s="5"/>
    </row>
    <row r="164" spans="3:3" x14ac:dyDescent="0.2">
      <c r="C164" s="5"/>
    </row>
    <row r="165" spans="3:3" x14ac:dyDescent="0.2">
      <c r="C165" s="5"/>
    </row>
    <row r="166" spans="3:3" x14ac:dyDescent="0.2">
      <c r="C166" s="5"/>
    </row>
    <row r="167" spans="3:3" x14ac:dyDescent="0.2">
      <c r="C167" s="5"/>
    </row>
    <row r="168" spans="3:3" x14ac:dyDescent="0.2">
      <c r="C168" s="5"/>
    </row>
  </sheetData>
  <sortState ref="A4:R84">
    <sortCondition ref="C4:C84"/>
  </sortState>
  <mergeCells count="1">
    <mergeCell ref="A1:R1"/>
  </mergeCells>
  <phoneticPr fontId="0" type="noConversion"/>
  <printOptions horizontalCentered="1"/>
  <pageMargins left="0" right="0" top="0.25" bottom="0" header="0.25" footer="0"/>
  <pageSetup paperSize="5" scale="90" orientation="landscape" r:id="rId1"/>
  <headerFooter alignWithMargins="0"/>
  <ignoredErrors>
    <ignoredError sqref="B72:B99 B100:B112" numberStoredAsText="1"/>
  </ignoredErrors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1</xdr:col>
                <xdr:colOff>247650</xdr:colOff>
                <xdr:row>30</xdr:row>
                <xdr:rowOff>76200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7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2</xdr:col>
                <xdr:colOff>914400</xdr:colOff>
                <xdr:row>30</xdr:row>
                <xdr:rowOff>76200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8" name="Control 3">
          <controlPr defaultSize="0" r:id="rId9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2</xdr:col>
                <xdr:colOff>914400</xdr:colOff>
                <xdr:row>30</xdr:row>
                <xdr:rowOff>76200</xdr:rowOff>
              </to>
            </anchor>
          </controlPr>
        </control>
      </mc:Choice>
      <mc:Fallback>
        <control shapeId="1027" r:id="rId8" name="Control 3"/>
      </mc:Fallback>
    </mc:AlternateContent>
    <mc:AlternateContent xmlns:mc="http://schemas.openxmlformats.org/markup-compatibility/2006">
      <mc:Choice Requires="x14">
        <control shapeId="1028" r:id="rId10" name="Control 4">
          <controlPr defaultSize="0" r:id="rId11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1</xdr:col>
                <xdr:colOff>247650</xdr:colOff>
                <xdr:row>71</xdr:row>
                <xdr:rowOff>76200</xdr:rowOff>
              </to>
            </anchor>
          </controlPr>
        </control>
      </mc:Choice>
      <mc:Fallback>
        <control shapeId="1028" r:id="rId10" name="Control 4"/>
      </mc:Fallback>
    </mc:AlternateContent>
    <mc:AlternateContent xmlns:mc="http://schemas.openxmlformats.org/markup-compatibility/2006">
      <mc:Choice Requires="x14">
        <control shapeId="1029" r:id="rId12" name="Control 5">
          <controlPr defaultSize="0" r:id="rId13">
            <anchor moveWithCells="1">
              <from>
                <xdr:col>2</xdr:col>
                <xdr:colOff>0</xdr:colOff>
                <xdr:row>70</xdr:row>
                <xdr:rowOff>0</xdr:rowOff>
              </from>
              <to>
                <xdr:col>2</xdr:col>
                <xdr:colOff>914400</xdr:colOff>
                <xdr:row>71</xdr:row>
                <xdr:rowOff>76200</xdr:rowOff>
              </to>
            </anchor>
          </controlPr>
        </control>
      </mc:Choice>
      <mc:Fallback>
        <control shapeId="1029" r:id="rId12" name="Control 5"/>
      </mc:Fallback>
    </mc:AlternateContent>
    <mc:AlternateContent xmlns:mc="http://schemas.openxmlformats.org/markup-compatibility/2006">
      <mc:Choice Requires="x14">
        <control shapeId="1030" r:id="rId14" name="Control 6">
          <controlPr defaultSize="0" r:id="rId15">
            <anchor moveWithCells="1">
              <from>
                <xdr:col>2</xdr:col>
                <xdr:colOff>0</xdr:colOff>
                <xdr:row>70</xdr:row>
                <xdr:rowOff>0</xdr:rowOff>
              </from>
              <to>
                <xdr:col>2</xdr:col>
                <xdr:colOff>914400</xdr:colOff>
                <xdr:row>71</xdr:row>
                <xdr:rowOff>76200</xdr:rowOff>
              </to>
            </anchor>
          </controlPr>
        </control>
      </mc:Choice>
      <mc:Fallback>
        <control shapeId="1030" r:id="rId14" name="Control 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Commodities</vt:lpstr>
      <vt:lpstr>Commodities!Print_Area</vt:lpstr>
      <vt:lpstr>Commodities!Print_Titles</vt:lpstr>
    </vt:vector>
  </TitlesOfParts>
  <Company>Food and Nutrition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USDA Commodity Tracking Form</dc:title>
  <dc:creator>Nathan Sorensen, RD</dc:creator>
  <cp:lastModifiedBy>Haugan, Mary</cp:lastModifiedBy>
  <cp:lastPrinted>2012-08-13T15:43:02Z</cp:lastPrinted>
  <dcterms:created xsi:type="dcterms:W3CDTF">2002-04-10T22:51:18Z</dcterms:created>
  <dcterms:modified xsi:type="dcterms:W3CDTF">2012-08-20T21:29:11Z</dcterms:modified>
</cp:coreProperties>
</file>