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/>
  </bookViews>
  <sheets>
    <sheet name="Example" sheetId="1" r:id="rId1"/>
  </sheets>
  <externalReferences>
    <externalReference r:id="rId2"/>
  </externalReferences>
  <definedNames>
    <definedName name="AAFOCUS">[1]M2!$E$24:$E$42</definedName>
    <definedName name="ASFOCUS">[1]M2!$A$24:$A$32</definedName>
    <definedName name="CATA">[1]M1!$A$4:$A$9</definedName>
    <definedName name="CATB">[1]M1!$B$4:$B$10</definedName>
    <definedName name="CATC">[1]M1!$C$4:$C$40</definedName>
    <definedName name="CATD">[1]M1!$D$4:$D$92</definedName>
    <definedName name="CATE">[1]M1!$E$4:$E$65</definedName>
    <definedName name="CATF">[1]M1!$F$4:$F$32</definedName>
    <definedName name="CATG">[1]M1!$G$4:$G$80</definedName>
    <definedName name="CATI">[1]M1!$I$4:$I$90</definedName>
    <definedName name="CATJ">[1]M1!$J$4:$J$312</definedName>
    <definedName name="CATK">[1]M1!$K$4:$K$126</definedName>
    <definedName name="CATL">[1]M1!$L$4:$L$184</definedName>
    <definedName name="CATM">[1]M1!$M$4:$M$41</definedName>
    <definedName name="CREDIT">[1]M2!$K$5:$K$9</definedName>
    <definedName name="ExampleLink">Example!$C$5</definedName>
    <definedName name="GPACredit">[1]M2!$K$25:$K$29</definedName>
    <definedName name="GPAGrade">[1]M2!$J$26:$J$30</definedName>
    <definedName name="GRADE">[1]M2!$J$5:$J$12</definedName>
    <definedName name="_xlnm.Print_Area" localSheetId="0">Example!$C$5:$L$50</definedName>
    <definedName name="STATUS">[1]M2!$L$5:$L$8</definedName>
  </definedNames>
  <calcPr calcId="145621"/>
</workbook>
</file>

<file path=xl/calcChain.xml><?xml version="1.0" encoding="utf-8"?>
<calcChain xmlns="http://schemas.openxmlformats.org/spreadsheetml/2006/main">
  <c r="K27" i="1" l="1"/>
  <c r="K20" i="1"/>
  <c r="K10" i="1"/>
  <c r="H34" i="1" s="1"/>
</calcChain>
</file>

<file path=xl/comments1.xml><?xml version="1.0" encoding="utf-8"?>
<comments xmlns="http://schemas.openxmlformats.org/spreadsheetml/2006/main">
  <authors>
    <author>user</author>
  </authors>
  <commentList>
    <comment ref="D8" authorId="0">
      <text>
        <r>
          <rPr>
            <b/>
            <u/>
            <sz val="8"/>
            <color indexed="81"/>
            <rFont val="Tahoma"/>
            <family val="2"/>
          </rPr>
          <t>ID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Enter the student's PeopleSoft ID number.</t>
        </r>
      </text>
    </comment>
    <comment ref="H34" authorId="0">
      <text>
        <r>
          <rPr>
            <b/>
            <u/>
            <sz val="8"/>
            <color indexed="81"/>
            <rFont val="Tahoma"/>
            <family val="2"/>
          </rPr>
          <t xml:space="preserve">Total Credits
</t>
        </r>
        <r>
          <rPr>
            <sz val="8"/>
            <color indexed="81"/>
            <rFont val="Tahoma"/>
            <family val="2"/>
          </rPr>
          <t>These are the total number of credits that have been entered in Category I, Category II, and Category III on this audit.</t>
        </r>
      </text>
    </comment>
    <comment ref="K34" authorId="0">
      <text>
        <r>
          <rPr>
            <b/>
            <u/>
            <sz val="8"/>
            <color indexed="81"/>
            <rFont val="Tahoma"/>
            <family val="2"/>
          </rPr>
          <t xml:space="preserve">Earned Credits
</t>
        </r>
        <r>
          <rPr>
            <sz val="8"/>
            <color indexed="81"/>
            <rFont val="Tahoma"/>
            <family val="2"/>
          </rPr>
          <t>Input in this cell the total credits that have actually been completed, do not include IPS (In Progress or Scheduled) courses in this total.</t>
        </r>
      </text>
    </comment>
    <comment ref="H35" authorId="0">
      <text>
        <r>
          <rPr>
            <b/>
            <u/>
            <sz val="8"/>
            <color indexed="81"/>
            <rFont val="Tahoma"/>
            <family val="2"/>
          </rPr>
          <t xml:space="preserve">Additional Credits
</t>
        </r>
        <r>
          <rPr>
            <sz val="8"/>
            <color indexed="81"/>
            <rFont val="Tahoma"/>
            <family val="2"/>
          </rPr>
          <t>Input in this cell additional credits that have been earned but that have not been recorded on the audit.</t>
        </r>
      </text>
    </comment>
    <comment ref="K35" authorId="0">
      <text>
        <r>
          <rPr>
            <b/>
            <u/>
            <sz val="8"/>
            <color indexed="81"/>
            <rFont val="Tahoma"/>
            <family val="2"/>
          </rPr>
          <t xml:space="preserve">Credits IPS
</t>
        </r>
        <r>
          <rPr>
            <sz val="8"/>
            <color indexed="81"/>
            <rFont val="Tahoma"/>
            <family val="2"/>
          </rPr>
          <t xml:space="preserve">Input in this cell the number of credits currently enrolled in or scheduled for an upcoming semester.  </t>
        </r>
      </text>
    </comment>
    <comment ref="K38" authorId="0">
      <text>
        <r>
          <rPr>
            <b/>
            <u/>
            <sz val="8"/>
            <color indexed="81"/>
            <rFont val="Tahoma"/>
            <family val="2"/>
          </rPr>
          <t xml:space="preserve">Cultural Studies
</t>
        </r>
        <r>
          <rPr>
            <sz val="8"/>
            <color indexed="81"/>
            <rFont val="Tahoma"/>
            <family val="2"/>
          </rPr>
          <t>A course that was used in Category I, II, or III may also be used here as long as it appears on the Cultural Studies Approved Course List.</t>
        </r>
      </text>
    </comment>
  </commentList>
</comments>
</file>

<file path=xl/sharedStrings.xml><?xml version="1.0" encoding="utf-8"?>
<sst xmlns="http://schemas.openxmlformats.org/spreadsheetml/2006/main" count="102" uniqueCount="77">
  <si>
    <t>EXAMPLE AUDIT</t>
  </si>
  <si>
    <t>Quick Links</t>
  </si>
  <si>
    <t>This audit is only an example to give you an idea of what an audit should look like.</t>
  </si>
  <si>
    <t>Main Menu</t>
  </si>
  <si>
    <t>Return To AA</t>
  </si>
  <si>
    <t>Return To AS</t>
  </si>
  <si>
    <t>Associate In Science</t>
  </si>
  <si>
    <t>2012 - 2013</t>
  </si>
  <si>
    <t>NAME:</t>
  </si>
  <si>
    <t>John S. Smith</t>
  </si>
  <si>
    <t>DATE:</t>
  </si>
  <si>
    <t>ID:</t>
  </si>
  <si>
    <t>000000000</t>
  </si>
  <si>
    <t>FOCUS:</t>
  </si>
  <si>
    <t>None</t>
  </si>
  <si>
    <t>CATEGORY I:  General Education Core</t>
  </si>
  <si>
    <t>Hours:</t>
  </si>
  <si>
    <t>/33</t>
  </si>
  <si>
    <t>Course</t>
  </si>
  <si>
    <t>Credit</t>
  </si>
  <si>
    <t>Grade</t>
  </si>
  <si>
    <t>Communication - Written (6)</t>
  </si>
  <si>
    <t>ENG 101</t>
  </si>
  <si>
    <t>B</t>
  </si>
  <si>
    <t>Communication - Oral (3)</t>
  </si>
  <si>
    <t>COM 252</t>
  </si>
  <si>
    <t>IPS</t>
  </si>
  <si>
    <t>Arts &amp; Humanities - Heritage (3)</t>
  </si>
  <si>
    <t>HIS 104</t>
  </si>
  <si>
    <t>A</t>
  </si>
  <si>
    <t>Arts &amp; Humanities - Humanities (3)</t>
  </si>
  <si>
    <t>ART 105</t>
  </si>
  <si>
    <t>Social &amp; Behavioral Sciences (6)</t>
  </si>
  <si>
    <t>ANT 220</t>
  </si>
  <si>
    <t>Natural Sciences (6)</t>
  </si>
  <si>
    <t>AST 192</t>
  </si>
  <si>
    <t>Quantitative Reasoning (6)</t>
  </si>
  <si>
    <t>MAT 150</t>
  </si>
  <si>
    <t>MA 113</t>
  </si>
  <si>
    <t>CATEGORY II:  Associate In Science Requirements</t>
  </si>
  <si>
    <t>/12</t>
  </si>
  <si>
    <t>Quantitative Reasoning/Natural Sciences (6)</t>
  </si>
  <si>
    <t>AST 191</t>
  </si>
  <si>
    <t>GER 101</t>
  </si>
  <si>
    <t>TRN</t>
  </si>
  <si>
    <t>General Education Core/Foreign Languages (6)</t>
  </si>
  <si>
    <t>SPA 101</t>
  </si>
  <si>
    <t>HIS 105</t>
  </si>
  <si>
    <t>CATEGORY III:  Electives</t>
  </si>
  <si>
    <t>/15</t>
  </si>
  <si>
    <t>Electives (15)</t>
  </si>
  <si>
    <t>AHS 115</t>
  </si>
  <si>
    <t>Credits Summary</t>
  </si>
  <si>
    <t>Total Credits:</t>
  </si>
  <si>
    <t>Earned Credits:</t>
  </si>
  <si>
    <t>Additional Credits:</t>
  </si>
  <si>
    <t>Credits IPS:</t>
  </si>
  <si>
    <t>Additional Graduation Requirements</t>
  </si>
  <si>
    <t>1.  Student must take one approved Cultural Studies course.</t>
  </si>
  <si>
    <t>ANT 160</t>
  </si>
  <si>
    <t>2.  Student must take Social &amp; Behavioral Science courses from at least two disciplines.</t>
  </si>
  <si>
    <t>Incomplete</t>
  </si>
  <si>
    <t>3.  Student must take at least one Science Lab.</t>
  </si>
  <si>
    <t>4.  Student must demonstrate Computer Literacy.</t>
  </si>
  <si>
    <t>5.  Student must earn a minimum of sixty (60) credit hours for a degree.</t>
  </si>
  <si>
    <t>/60</t>
  </si>
  <si>
    <t>6.  Student must earn at least fifteen (15) credit hours at BCTC.</t>
  </si>
  <si>
    <t>7.  Student must have a cumulative GPA of 2.0 to earn a degree.</t>
  </si>
  <si>
    <t>/4.0</t>
  </si>
  <si>
    <t>Notes</t>
  </si>
  <si>
    <t>Auditor:</t>
  </si>
  <si>
    <t>Nate Smith</t>
  </si>
  <si>
    <t>E-mail:</t>
  </si>
  <si>
    <t>nathan.smith@kctcs.edu</t>
  </si>
  <si>
    <t>Return To Main Menu</t>
  </si>
  <si>
    <t>Still have questions?</t>
  </si>
  <si>
    <t>Contact Nate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</si>
</sst>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 d\,\ yyyy;@"/>
    <numFmt numFmtId="165" formatCode="0.000"/>
  </numFmts>
  <fonts count="19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5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theme="0"/>
      <name val="Calibri"/>
      <family val="2"/>
    </font>
    <font>
      <b/>
      <u/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3" fillId="2" borderId="2" applyNumberFormat="0" applyAlignment="0" applyProtection="0"/>
    <xf numFmtId="0" fontId="5" fillId="3" borderId="0" applyNumberFormat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</cellStyleXfs>
  <cellXfs count="56">
    <xf numFmtId="0" fontId="0" fillId="0" borderId="0" xfId="0"/>
    <xf numFmtId="0" fontId="5" fillId="3" borderId="0" xfId="3" applyProtection="1"/>
    <xf numFmtId="0" fontId="6" fillId="3" borderId="0" xfId="3" applyFont="1" applyAlignment="1" applyProtection="1">
      <alignment horizontal="center"/>
    </xf>
    <xf numFmtId="0" fontId="5" fillId="3" borderId="0" xfId="3" applyAlignment="1" applyProtection="1">
      <alignment horizontal="center"/>
    </xf>
    <xf numFmtId="0" fontId="7" fillId="4" borderId="1" xfId="1" applyFont="1" applyFill="1" applyAlignment="1" applyProtection="1"/>
    <xf numFmtId="0" fontId="5" fillId="3" borderId="0" xfId="3"/>
    <xf numFmtId="0" fontId="5" fillId="3" borderId="0" xfId="3" applyAlignment="1" applyProtection="1">
      <alignment horizontal="center"/>
    </xf>
    <xf numFmtId="0" fontId="2" fillId="4" borderId="1" xfId="1" applyFont="1" applyFill="1" applyAlignment="1" applyProtection="1"/>
    <xf numFmtId="0" fontId="8" fillId="3" borderId="0" xfId="3" applyFont="1" applyProtection="1"/>
    <xf numFmtId="0" fontId="8" fillId="3" borderId="0" xfId="3" applyFont="1" applyAlignment="1" applyProtection="1">
      <alignment horizontal="center"/>
    </xf>
    <xf numFmtId="0" fontId="8" fillId="3" borderId="0" xfId="3" applyFont="1"/>
    <xf numFmtId="0" fontId="9" fillId="0" borderId="0" xfId="0" applyFont="1"/>
    <xf numFmtId="0" fontId="10" fillId="5" borderId="0" xfId="0" applyFont="1" applyFill="1" applyAlignment="1" applyProtection="1">
      <alignment horizontal="center"/>
    </xf>
    <xf numFmtId="0" fontId="5" fillId="3" borderId="0" xfId="3" applyProtection="1"/>
    <xf numFmtId="0" fontId="5" fillId="3" borderId="0" xfId="3" applyAlignment="1" applyProtection="1">
      <alignment vertical="top"/>
    </xf>
    <xf numFmtId="0" fontId="5" fillId="3" borderId="0" xfId="3" applyAlignment="1" applyProtection="1">
      <alignment horizontal="center" vertical="top"/>
    </xf>
    <xf numFmtId="0" fontId="4" fillId="5" borderId="0" xfId="0" applyFont="1" applyFill="1" applyAlignment="1" applyProtection="1">
      <alignment horizontal="center" vertical="top"/>
    </xf>
    <xf numFmtId="0" fontId="5" fillId="3" borderId="0" xfId="3" applyAlignment="1">
      <alignment vertical="top"/>
    </xf>
    <xf numFmtId="0" fontId="0" fillId="0" borderId="0" xfId="0" applyAlignment="1">
      <alignment vertical="top"/>
    </xf>
    <xf numFmtId="0" fontId="0" fillId="5" borderId="0" xfId="0" applyFill="1" applyProtection="1"/>
    <xf numFmtId="0" fontId="3" fillId="2" borderId="2" xfId="2" applyProtection="1"/>
    <xf numFmtId="164" fontId="3" fillId="2" borderId="3" xfId="2" applyNumberFormat="1" applyBorder="1" applyAlignment="1" applyProtection="1">
      <alignment horizontal="left"/>
    </xf>
    <xf numFmtId="164" fontId="3" fillId="2" borderId="4" xfId="2" applyNumberFormat="1" applyBorder="1" applyAlignment="1" applyProtection="1">
      <alignment horizontal="left"/>
    </xf>
    <xf numFmtId="49" fontId="3" fillId="2" borderId="3" xfId="2" applyNumberFormat="1" applyBorder="1" applyAlignment="1" applyProtection="1">
      <alignment horizontal="left"/>
    </xf>
    <xf numFmtId="49" fontId="3" fillId="2" borderId="4" xfId="2" applyNumberFormat="1" applyBorder="1" applyAlignment="1" applyProtection="1">
      <alignment horizontal="left"/>
    </xf>
    <xf numFmtId="0" fontId="3" fillId="2" borderId="3" xfId="2" applyBorder="1" applyAlignment="1" applyProtection="1">
      <alignment horizontal="left"/>
    </xf>
    <xf numFmtId="0" fontId="3" fillId="2" borderId="4" xfId="2" applyBorder="1" applyAlignment="1" applyProtection="1">
      <alignment horizontal="left"/>
    </xf>
    <xf numFmtId="0" fontId="0" fillId="5" borderId="0" xfId="0" applyFill="1" applyAlignment="1" applyProtection="1">
      <alignment horizontal="center"/>
    </xf>
    <xf numFmtId="0" fontId="5" fillId="6" borderId="0" xfId="3" applyFill="1" applyProtection="1"/>
    <xf numFmtId="0" fontId="5" fillId="6" borderId="0" xfId="3" applyFill="1" applyProtection="1"/>
    <xf numFmtId="0" fontId="3" fillId="2" borderId="2" xfId="2" applyProtection="1"/>
    <xf numFmtId="0" fontId="4" fillId="5" borderId="0" xfId="0" applyFont="1" applyFill="1" applyProtection="1"/>
    <xf numFmtId="0" fontId="11" fillId="5" borderId="0" xfId="0" applyFont="1" applyFill="1" applyProtection="1"/>
    <xf numFmtId="0" fontId="0" fillId="5" borderId="0" xfId="0" applyFill="1" applyProtection="1"/>
    <xf numFmtId="0" fontId="3" fillId="2" borderId="2" xfId="2" applyAlignment="1" applyProtection="1"/>
    <xf numFmtId="0" fontId="3" fillId="2" borderId="2" xfId="2" applyAlignment="1" applyProtection="1">
      <alignment horizontal="center"/>
    </xf>
    <xf numFmtId="0" fontId="0" fillId="5" borderId="0" xfId="0" applyFill="1" applyAlignment="1" applyProtection="1">
      <alignment horizontal="center"/>
    </xf>
    <xf numFmtId="0" fontId="0" fillId="5" borderId="0" xfId="0" applyFill="1" applyAlignment="1" applyProtection="1">
      <alignment horizontal="left"/>
    </xf>
    <xf numFmtId="0" fontId="5" fillId="6" borderId="0" xfId="0" applyFont="1" applyFill="1" applyProtection="1"/>
    <xf numFmtId="0" fontId="5" fillId="6" borderId="0" xfId="0" applyFont="1" applyFill="1" applyProtection="1"/>
    <xf numFmtId="0" fontId="3" fillId="2" borderId="2" xfId="2" applyAlignment="1" applyProtection="1">
      <alignment horizontal="center"/>
    </xf>
    <xf numFmtId="0" fontId="3" fillId="2" borderId="5" xfId="2" applyBorder="1" applyAlignment="1" applyProtection="1">
      <alignment horizontal="center"/>
    </xf>
    <xf numFmtId="0" fontId="3" fillId="2" borderId="3" xfId="2" applyBorder="1" applyAlignment="1" applyProtection="1">
      <alignment horizontal="center"/>
    </xf>
    <xf numFmtId="0" fontId="3" fillId="2" borderId="4" xfId="2" applyBorder="1" applyAlignment="1" applyProtection="1">
      <alignment horizontal="center"/>
    </xf>
    <xf numFmtId="165" fontId="3" fillId="2" borderId="2" xfId="2" applyNumberFormat="1" applyAlignment="1" applyProtection="1">
      <alignment horizontal="center"/>
    </xf>
    <xf numFmtId="0" fontId="3" fillId="2" borderId="3" xfId="2" applyBorder="1" applyProtection="1"/>
    <xf numFmtId="0" fontId="3" fillId="2" borderId="6" xfId="2" applyBorder="1" applyProtection="1"/>
    <xf numFmtId="0" fontId="3" fillId="2" borderId="4" xfId="2" applyBorder="1" applyProtection="1"/>
    <xf numFmtId="0" fontId="13" fillId="2" borderId="2" xfId="4" applyFont="1" applyFill="1" applyBorder="1" applyAlignment="1" applyProtection="1">
      <alignment horizontal="left"/>
    </xf>
    <xf numFmtId="0" fontId="14" fillId="2" borderId="2" xfId="2" applyFont="1" applyAlignment="1" applyProtection="1">
      <alignment horizontal="left"/>
    </xf>
    <xf numFmtId="0" fontId="5" fillId="3" borderId="0" xfId="3" applyAlignment="1">
      <alignment horizontal="center"/>
    </xf>
    <xf numFmtId="0" fontId="0" fillId="0" borderId="0" xfId="0" applyFill="1"/>
    <xf numFmtId="0" fontId="6" fillId="3" borderId="0" xfId="3" applyFont="1" applyAlignment="1">
      <alignment horizontal="center"/>
    </xf>
    <xf numFmtId="0" fontId="5" fillId="3" borderId="0" xfId="3" applyAlignment="1">
      <alignment horizontal="center"/>
    </xf>
    <xf numFmtId="0" fontId="15" fillId="3" borderId="0" xfId="4" applyFont="1" applyFill="1" applyAlignment="1" applyProtection="1">
      <alignment horizontal="center"/>
    </xf>
    <xf numFmtId="0" fontId="0" fillId="0" borderId="0" xfId="0" applyAlignment="1">
      <alignment horizontal="center"/>
    </xf>
  </cellXfs>
  <cellStyles count="5">
    <cellStyle name="Accent1" xfId="3" builtinId="29"/>
    <cellStyle name="Heading 1" xfId="1" builtinId="16"/>
    <cellStyle name="Hyperlink" xfId="4" builtinId="8"/>
    <cellStyle name="Normal" xfId="0" builtinId="0"/>
    <cellStyle name="Output" xfId="2" builtinId="21"/>
  </cellStyles>
  <dxfs count="46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600075</xdr:colOff>
      <xdr:row>0</xdr:row>
      <xdr:rowOff>47623</xdr:rowOff>
    </xdr:from>
    <xdr:to>
      <xdr:col>14</xdr:col>
      <xdr:colOff>838200</xdr:colOff>
      <xdr:row>3</xdr:row>
      <xdr:rowOff>209550</xdr:rowOff>
    </xdr:to>
    <xdr:sp macro="" textlink="">
      <xdr:nvSpPr>
        <xdr:cNvPr id="2" name="TextBox 1"/>
        <xdr:cNvSpPr txBox="1"/>
      </xdr:nvSpPr>
      <xdr:spPr>
        <a:xfrm>
          <a:off x="9496425" y="47623"/>
          <a:ext cx="2228850" cy="828677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In the audit program</a:t>
          </a:r>
          <a:r>
            <a:rPr lang="en-US" sz="1100" baseline="0">
              <a:solidFill>
                <a:schemeClr val="bg1"/>
              </a:solidFill>
            </a:rPr>
            <a:t> you can c</a:t>
          </a:r>
          <a:r>
            <a:rPr lang="en-US" sz="1100">
              <a:solidFill>
                <a:schemeClr val="bg1"/>
              </a:solidFill>
            </a:rPr>
            <a:t>lick</a:t>
          </a:r>
          <a:r>
            <a:rPr lang="en-US" sz="1100" baseline="0">
              <a:solidFill>
                <a:schemeClr val="bg1"/>
              </a:solidFill>
            </a:rPr>
            <a:t> on the "Quick Links" to quickly access different parts of the program. 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28574</xdr:colOff>
      <xdr:row>5</xdr:row>
      <xdr:rowOff>57150</xdr:rowOff>
    </xdr:from>
    <xdr:to>
      <xdr:col>1</xdr:col>
      <xdr:colOff>800100</xdr:colOff>
      <xdr:row>7</xdr:row>
      <xdr:rowOff>66675</xdr:rowOff>
    </xdr:to>
    <xdr:sp macro="" textlink="">
      <xdr:nvSpPr>
        <xdr:cNvPr id="3" name="TextBox 2"/>
        <xdr:cNvSpPr txBox="1"/>
      </xdr:nvSpPr>
      <xdr:spPr>
        <a:xfrm>
          <a:off x="28574" y="1238250"/>
          <a:ext cx="2200276" cy="447675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Enter the student's Peoplesoft ID number.</a:t>
          </a:r>
        </a:p>
      </xdr:txBody>
    </xdr:sp>
    <xdr:clientData/>
  </xdr:twoCellAnchor>
  <xdr:twoCellAnchor>
    <xdr:from>
      <xdr:col>0</xdr:col>
      <xdr:colOff>9523</xdr:colOff>
      <xdr:row>8</xdr:row>
      <xdr:rowOff>114300</xdr:rowOff>
    </xdr:from>
    <xdr:to>
      <xdr:col>1</xdr:col>
      <xdr:colOff>790574</xdr:colOff>
      <xdr:row>20</xdr:row>
      <xdr:rowOff>104775</xdr:rowOff>
    </xdr:to>
    <xdr:sp macro="" textlink="">
      <xdr:nvSpPr>
        <xdr:cNvPr id="4" name="TextBox 3"/>
        <xdr:cNvSpPr txBox="1"/>
      </xdr:nvSpPr>
      <xdr:spPr>
        <a:xfrm>
          <a:off x="9523" y="1924050"/>
          <a:ext cx="2209801" cy="2276475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The number</a:t>
          </a:r>
          <a:r>
            <a:rPr lang="en-US" sz="1100" baseline="0">
              <a:solidFill>
                <a:schemeClr val="bg1"/>
              </a:solidFill>
            </a:rPr>
            <a:t> in parentheses "Written (6)" is the number of credits the student needs in that category.  Since most courses are 3 credits, the student needs two English courses.  </a:t>
          </a:r>
        </a:p>
        <a:p>
          <a:endParaRPr lang="en-US" sz="1100" baseline="0">
            <a:solidFill>
              <a:schemeClr val="bg1"/>
            </a:solidFill>
          </a:endParaRPr>
        </a:p>
        <a:p>
          <a:r>
            <a:rPr lang="en-US" sz="1100" baseline="0">
              <a:solidFill>
                <a:schemeClr val="bg1"/>
              </a:solidFill>
            </a:rPr>
            <a:t>Exception:  If a student takes</a:t>
          </a:r>
        </a:p>
        <a:p>
          <a:r>
            <a:rPr lang="en-US" sz="1100" baseline="0">
              <a:solidFill>
                <a:schemeClr val="bg1"/>
              </a:solidFill>
            </a:rPr>
            <a:t>ENG 105, they do not need to take two ENG courses.  They will need to take additional electives however to reach 60 credit hours.</a:t>
          </a:r>
        </a:p>
      </xdr:txBody>
    </xdr:sp>
    <xdr:clientData/>
  </xdr:twoCellAnchor>
  <xdr:twoCellAnchor>
    <xdr:from>
      <xdr:col>12</xdr:col>
      <xdr:colOff>600075</xdr:colOff>
      <xdr:row>17</xdr:row>
      <xdr:rowOff>66674</xdr:rowOff>
    </xdr:from>
    <xdr:to>
      <xdr:col>14</xdr:col>
      <xdr:colOff>838200</xdr:colOff>
      <xdr:row>25</xdr:row>
      <xdr:rowOff>19049</xdr:rowOff>
    </xdr:to>
    <xdr:sp macro="" textlink="">
      <xdr:nvSpPr>
        <xdr:cNvPr id="5" name="TextBox 4"/>
        <xdr:cNvSpPr txBox="1"/>
      </xdr:nvSpPr>
      <xdr:spPr>
        <a:xfrm>
          <a:off x="9496425" y="3590924"/>
          <a:ext cx="2228850" cy="1476375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A</a:t>
          </a:r>
          <a:r>
            <a:rPr lang="en-US" sz="1100" baseline="0">
              <a:solidFill>
                <a:schemeClr val="bg1"/>
              </a:solidFill>
            </a:rPr>
            <a:t> grade of IPS indicates the course is in progress.  The student is currently taking the course or is enrolled in it for an upcoming semester.</a:t>
          </a:r>
        </a:p>
        <a:p>
          <a:endParaRPr lang="en-US" sz="1100" baseline="0">
            <a:solidFill>
              <a:schemeClr val="bg1"/>
            </a:solidFill>
          </a:endParaRPr>
        </a:p>
        <a:p>
          <a:r>
            <a:rPr lang="en-US" sz="1100" baseline="0">
              <a:solidFill>
                <a:schemeClr val="bg1"/>
              </a:solidFill>
            </a:rPr>
            <a:t>A grade of TRN indicates the course</a:t>
          </a:r>
        </a:p>
        <a:p>
          <a:r>
            <a:rPr lang="en-US" sz="1100" baseline="0">
              <a:solidFill>
                <a:schemeClr val="bg1"/>
              </a:solidFill>
            </a:rPr>
            <a:t>is transferred from another school.</a:t>
          </a:r>
        </a:p>
        <a:p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600075</xdr:colOff>
      <xdr:row>4</xdr:row>
      <xdr:rowOff>133350</xdr:rowOff>
    </xdr:from>
    <xdr:to>
      <xdr:col>14</xdr:col>
      <xdr:colOff>838200</xdr:colOff>
      <xdr:row>8</xdr:row>
      <xdr:rowOff>104775</xdr:rowOff>
    </xdr:to>
    <xdr:sp macro="" textlink="">
      <xdr:nvSpPr>
        <xdr:cNvPr id="6" name="TextBox 5"/>
        <xdr:cNvSpPr txBox="1"/>
      </xdr:nvSpPr>
      <xdr:spPr>
        <a:xfrm>
          <a:off x="9496425" y="1066800"/>
          <a:ext cx="2228850" cy="847725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Here you can select a student's</a:t>
          </a:r>
          <a:r>
            <a:rPr lang="en-US" sz="1100" baseline="0">
              <a:solidFill>
                <a:schemeClr val="bg1"/>
              </a:solidFill>
            </a:rPr>
            <a:t> focus area.  Select "None" if the student is not pursuing a focus.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600075</xdr:colOff>
      <xdr:row>9</xdr:row>
      <xdr:rowOff>19050</xdr:rowOff>
    </xdr:from>
    <xdr:to>
      <xdr:col>14</xdr:col>
      <xdr:colOff>838200</xdr:colOff>
      <xdr:row>16</xdr:row>
      <xdr:rowOff>28575</xdr:rowOff>
    </xdr:to>
    <xdr:sp macro="" textlink="">
      <xdr:nvSpPr>
        <xdr:cNvPr id="7" name="TextBox 6"/>
        <xdr:cNvSpPr txBox="1"/>
      </xdr:nvSpPr>
      <xdr:spPr>
        <a:xfrm>
          <a:off x="9496425" y="2019300"/>
          <a:ext cx="2228850" cy="1343025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A yellow field indicates</a:t>
          </a:r>
          <a:r>
            <a:rPr lang="en-US" sz="1100" baseline="0">
              <a:solidFill>
                <a:schemeClr val="bg1"/>
              </a:solidFill>
            </a:rPr>
            <a:t> a requirement that has not been met.</a:t>
          </a:r>
        </a:p>
        <a:p>
          <a:endParaRPr lang="en-US" sz="1100" baseline="0">
            <a:solidFill>
              <a:schemeClr val="bg1"/>
            </a:solidFill>
          </a:endParaRPr>
        </a:p>
        <a:p>
          <a:r>
            <a:rPr lang="en-US" sz="1100" baseline="0">
              <a:solidFill>
                <a:schemeClr val="bg1"/>
              </a:solidFill>
            </a:rPr>
            <a:t>Example:  This student only has 24 of the 33 required credits for Category I.</a:t>
          </a:r>
        </a:p>
        <a:p>
          <a:endParaRPr lang="en-US" sz="1100" baseline="0">
            <a:solidFill>
              <a:schemeClr val="bg1"/>
            </a:solidFill>
          </a:endParaRPr>
        </a:p>
        <a:p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600075</xdr:colOff>
      <xdr:row>26</xdr:row>
      <xdr:rowOff>19049</xdr:rowOff>
    </xdr:from>
    <xdr:to>
      <xdr:col>14</xdr:col>
      <xdr:colOff>838200</xdr:colOff>
      <xdr:row>39</xdr:row>
      <xdr:rowOff>95250</xdr:rowOff>
    </xdr:to>
    <xdr:sp macro="" textlink="">
      <xdr:nvSpPr>
        <xdr:cNvPr id="8" name="TextBox 7"/>
        <xdr:cNvSpPr txBox="1"/>
      </xdr:nvSpPr>
      <xdr:spPr>
        <a:xfrm>
          <a:off x="9496425" y="5257799"/>
          <a:ext cx="2228850" cy="2552701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A student only needs enough Elective hours to reach 15 credits, so it may not be necessary to fill in every Elective box.  Once enough credits are entered</a:t>
          </a:r>
          <a:r>
            <a:rPr lang="en-US" sz="1100" baseline="0">
              <a:solidFill>
                <a:schemeClr val="bg1"/>
              </a:solidFill>
            </a:rPr>
            <a:t> under Electives, the other boxes will turn white to indicate the student has the required number of credits in Electives.</a:t>
          </a:r>
        </a:p>
        <a:p>
          <a:endParaRPr lang="en-US" sz="1100">
            <a:solidFill>
              <a:schemeClr val="bg1"/>
            </a:solidFill>
          </a:endParaRPr>
        </a:p>
        <a:p>
          <a:r>
            <a:rPr lang="en-US" sz="1100">
              <a:solidFill>
                <a:schemeClr val="bg1"/>
              </a:solidFill>
            </a:rPr>
            <a:t>Example:  If</a:t>
          </a:r>
          <a:r>
            <a:rPr lang="en-US" sz="1100" baseline="0">
              <a:solidFill>
                <a:schemeClr val="bg1"/>
              </a:solidFill>
            </a:rPr>
            <a:t> a student takes a 9 credit Nursing course, that student only needs two additional 3 credit Electives to reach 15 credits.</a:t>
          </a:r>
        </a:p>
        <a:p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25</xdr:row>
      <xdr:rowOff>180975</xdr:rowOff>
    </xdr:from>
    <xdr:to>
      <xdr:col>1</xdr:col>
      <xdr:colOff>790575</xdr:colOff>
      <xdr:row>30</xdr:row>
      <xdr:rowOff>171450</xdr:rowOff>
    </xdr:to>
    <xdr:sp macro="" textlink="">
      <xdr:nvSpPr>
        <xdr:cNvPr id="9" name="TextBox 8"/>
        <xdr:cNvSpPr txBox="1"/>
      </xdr:nvSpPr>
      <xdr:spPr>
        <a:xfrm>
          <a:off x="0" y="5229225"/>
          <a:ext cx="2219325" cy="942975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There is no dropdown</a:t>
          </a:r>
          <a:r>
            <a:rPr lang="en-US" sz="1100" baseline="0">
              <a:solidFill>
                <a:schemeClr val="bg1"/>
              </a:solidFill>
            </a:rPr>
            <a:t> box for Elective Course since there are too many Elective options to list.  You must enter Electives in manually.</a:t>
          </a:r>
        </a:p>
        <a:p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33</xdr:row>
      <xdr:rowOff>47625</xdr:rowOff>
    </xdr:from>
    <xdr:to>
      <xdr:col>1</xdr:col>
      <xdr:colOff>790574</xdr:colOff>
      <xdr:row>38</xdr:row>
      <xdr:rowOff>0</xdr:rowOff>
    </xdr:to>
    <xdr:sp macro="" textlink="">
      <xdr:nvSpPr>
        <xdr:cNvPr id="10" name="TextBox 9"/>
        <xdr:cNvSpPr txBox="1"/>
      </xdr:nvSpPr>
      <xdr:spPr>
        <a:xfrm>
          <a:off x="0" y="6619875"/>
          <a:ext cx="2219324" cy="904875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A cell with a red triangle in it indicates</a:t>
          </a:r>
          <a:r>
            <a:rPr lang="en-US" sz="1100" baseline="0">
              <a:solidFill>
                <a:schemeClr val="bg1"/>
              </a:solidFill>
            </a:rPr>
            <a:t> there is a tooltip for that cell.  Hover your mouse over the cell to see the tooltip.</a:t>
          </a:r>
        </a:p>
        <a:p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800100</xdr:colOff>
      <xdr:row>6</xdr:row>
      <xdr:rowOff>33338</xdr:rowOff>
    </xdr:from>
    <xdr:to>
      <xdr:col>2</xdr:col>
      <xdr:colOff>504825</xdr:colOff>
      <xdr:row>7</xdr:row>
      <xdr:rowOff>95250</xdr:rowOff>
    </xdr:to>
    <xdr:cxnSp macro="">
      <xdr:nvCxnSpPr>
        <xdr:cNvPr id="11" name="Straight Arrow Connector 10"/>
        <xdr:cNvCxnSpPr>
          <a:stCxn id="3" idx="3"/>
        </xdr:cNvCxnSpPr>
      </xdr:nvCxnSpPr>
      <xdr:spPr>
        <a:xfrm>
          <a:off x="2228850" y="1462088"/>
          <a:ext cx="762000" cy="252412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27</xdr:row>
      <xdr:rowOff>47625</xdr:rowOff>
    </xdr:from>
    <xdr:to>
      <xdr:col>12</xdr:col>
      <xdr:colOff>600076</xdr:colOff>
      <xdr:row>28</xdr:row>
      <xdr:rowOff>142875</xdr:rowOff>
    </xdr:to>
    <xdr:cxnSp macro="">
      <xdr:nvCxnSpPr>
        <xdr:cNvPr id="12" name="Straight Arrow Connector 11"/>
        <xdr:cNvCxnSpPr/>
      </xdr:nvCxnSpPr>
      <xdr:spPr>
        <a:xfrm flipH="1">
          <a:off x="8924925" y="5476875"/>
          <a:ext cx="571501" cy="285750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781049</xdr:colOff>
      <xdr:row>34</xdr:row>
      <xdr:rowOff>85725</xdr:rowOff>
    </xdr:from>
    <xdr:to>
      <xdr:col>6</xdr:col>
      <xdr:colOff>438150</xdr:colOff>
      <xdr:row>34</xdr:row>
      <xdr:rowOff>138113</xdr:rowOff>
    </xdr:to>
    <xdr:cxnSp macro="">
      <xdr:nvCxnSpPr>
        <xdr:cNvPr id="13" name="Straight Arrow Connector 12"/>
        <xdr:cNvCxnSpPr/>
      </xdr:nvCxnSpPr>
      <xdr:spPr>
        <a:xfrm flipV="1">
          <a:off x="2209799" y="6848475"/>
          <a:ext cx="3971926" cy="52388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790574</xdr:colOff>
      <xdr:row>29</xdr:row>
      <xdr:rowOff>23813</xdr:rowOff>
    </xdr:from>
    <xdr:to>
      <xdr:col>4</xdr:col>
      <xdr:colOff>942975</xdr:colOff>
      <xdr:row>29</xdr:row>
      <xdr:rowOff>114300</xdr:rowOff>
    </xdr:to>
    <xdr:cxnSp macro="">
      <xdr:nvCxnSpPr>
        <xdr:cNvPr id="14" name="Straight Arrow Connector 13"/>
        <xdr:cNvCxnSpPr/>
      </xdr:nvCxnSpPr>
      <xdr:spPr>
        <a:xfrm>
          <a:off x="2219324" y="5834063"/>
          <a:ext cx="2371726" cy="90487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800099</xdr:colOff>
      <xdr:row>10</xdr:row>
      <xdr:rowOff>23813</xdr:rowOff>
    </xdr:from>
    <xdr:to>
      <xdr:col>4</xdr:col>
      <xdr:colOff>361950</xdr:colOff>
      <xdr:row>11</xdr:row>
      <xdr:rowOff>47625</xdr:rowOff>
    </xdr:to>
    <xdr:cxnSp macro="">
      <xdr:nvCxnSpPr>
        <xdr:cNvPr id="15" name="Straight Arrow Connector 14"/>
        <xdr:cNvCxnSpPr/>
      </xdr:nvCxnSpPr>
      <xdr:spPr>
        <a:xfrm>
          <a:off x="2228849" y="2214563"/>
          <a:ext cx="1781176" cy="214312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314325</xdr:colOff>
      <xdr:row>10</xdr:row>
      <xdr:rowOff>38100</xdr:rowOff>
    </xdr:from>
    <xdr:to>
      <xdr:col>12</xdr:col>
      <xdr:colOff>600077</xdr:colOff>
      <xdr:row>11</xdr:row>
      <xdr:rowOff>38101</xdr:rowOff>
    </xdr:to>
    <xdr:cxnSp macro="">
      <xdr:nvCxnSpPr>
        <xdr:cNvPr id="16" name="Straight Arrow Connector 15"/>
        <xdr:cNvCxnSpPr/>
      </xdr:nvCxnSpPr>
      <xdr:spPr>
        <a:xfrm flipH="1" flipV="1">
          <a:off x="8315325" y="2228850"/>
          <a:ext cx="1181102" cy="190501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5</xdr:row>
      <xdr:rowOff>200025</xdr:rowOff>
    </xdr:from>
    <xdr:to>
      <xdr:col>12</xdr:col>
      <xdr:colOff>590551</xdr:colOff>
      <xdr:row>7</xdr:row>
      <xdr:rowOff>104775</xdr:rowOff>
    </xdr:to>
    <xdr:cxnSp macro="">
      <xdr:nvCxnSpPr>
        <xdr:cNvPr id="17" name="Straight Arrow Connector 16"/>
        <xdr:cNvCxnSpPr/>
      </xdr:nvCxnSpPr>
      <xdr:spPr>
        <a:xfrm flipH="1">
          <a:off x="8467725" y="1381125"/>
          <a:ext cx="1019176" cy="342900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20</xdr:row>
      <xdr:rowOff>76200</xdr:rowOff>
    </xdr:from>
    <xdr:to>
      <xdr:col>12</xdr:col>
      <xdr:colOff>600076</xdr:colOff>
      <xdr:row>22</xdr:row>
      <xdr:rowOff>0</xdr:rowOff>
    </xdr:to>
    <xdr:cxnSp macro="">
      <xdr:nvCxnSpPr>
        <xdr:cNvPr id="18" name="Straight Arrow Connector 17"/>
        <xdr:cNvCxnSpPr/>
      </xdr:nvCxnSpPr>
      <xdr:spPr>
        <a:xfrm flipH="1">
          <a:off x="8905875" y="4171950"/>
          <a:ext cx="590551" cy="304800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600075</xdr:colOff>
      <xdr:row>40</xdr:row>
      <xdr:rowOff>19050</xdr:rowOff>
    </xdr:from>
    <xdr:to>
      <xdr:col>14</xdr:col>
      <xdr:colOff>838200</xdr:colOff>
      <xdr:row>45</xdr:row>
      <xdr:rowOff>66675</xdr:rowOff>
    </xdr:to>
    <xdr:sp macro="" textlink="">
      <xdr:nvSpPr>
        <xdr:cNvPr id="19" name="TextBox 18"/>
        <xdr:cNvSpPr txBox="1"/>
      </xdr:nvSpPr>
      <xdr:spPr>
        <a:xfrm>
          <a:off x="9496425" y="7924800"/>
          <a:ext cx="2228850" cy="1000125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Here you must</a:t>
          </a:r>
          <a:r>
            <a:rPr lang="en-US" sz="1100" baseline="0">
              <a:solidFill>
                <a:schemeClr val="bg1"/>
              </a:solidFill>
            </a:rPr>
            <a:t> manually input a student's total credits (include IPS courses), credits earned at BCTC, and GPA.</a:t>
          </a:r>
        </a:p>
        <a:p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28576</xdr:colOff>
      <xdr:row>41</xdr:row>
      <xdr:rowOff>0</xdr:rowOff>
    </xdr:from>
    <xdr:to>
      <xdr:col>13</xdr:col>
      <xdr:colOff>0</xdr:colOff>
      <xdr:row>41</xdr:row>
      <xdr:rowOff>161925</xdr:rowOff>
    </xdr:to>
    <xdr:cxnSp macro="">
      <xdr:nvCxnSpPr>
        <xdr:cNvPr id="20" name="Straight Arrow Connector 19"/>
        <xdr:cNvCxnSpPr/>
      </xdr:nvCxnSpPr>
      <xdr:spPr>
        <a:xfrm flipH="1">
          <a:off x="8924926" y="8096250"/>
          <a:ext cx="581024" cy="161925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819151</xdr:colOff>
      <xdr:row>1</xdr:row>
      <xdr:rowOff>133350</xdr:rowOff>
    </xdr:from>
    <xdr:to>
      <xdr:col>14</xdr:col>
      <xdr:colOff>1181100</xdr:colOff>
      <xdr:row>1</xdr:row>
      <xdr:rowOff>133350</xdr:rowOff>
    </xdr:to>
    <xdr:cxnSp macro="">
      <xdr:nvCxnSpPr>
        <xdr:cNvPr id="21" name="Straight Arrow Connector 20"/>
        <xdr:cNvCxnSpPr/>
      </xdr:nvCxnSpPr>
      <xdr:spPr>
        <a:xfrm>
          <a:off x="11706226" y="381000"/>
          <a:ext cx="361949" cy="0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A-AS%20Audit%202012-2013%20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Arts"/>
      <sheetName val="Science"/>
      <sheetName val="GPA"/>
      <sheetName val="Courses"/>
      <sheetName val="Focus"/>
      <sheetName val="Help"/>
      <sheetName val="M1"/>
      <sheetName val="M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A5" t="str">
            <v>ENG 101</v>
          </cell>
          <cell r="B5" t="str">
            <v>COM 181</v>
          </cell>
          <cell r="C5" t="str">
            <v>MA 110</v>
          </cell>
          <cell r="D5" t="str">
            <v>ANA 209</v>
          </cell>
          <cell r="E5" t="str">
            <v>AGR 101</v>
          </cell>
          <cell r="F5" t="str">
            <v>FLK 276</v>
          </cell>
          <cell r="G5" t="str">
            <v>ANT 130*</v>
          </cell>
          <cell r="I5" t="str">
            <v>ANT 101</v>
          </cell>
          <cell r="J5" t="str">
            <v>AGR 101</v>
          </cell>
          <cell r="K5" t="str">
            <v>ANA 209</v>
          </cell>
          <cell r="L5" t="str">
            <v>AGR 101</v>
          </cell>
          <cell r="M5" t="str">
            <v>AST 195L</v>
          </cell>
        </row>
        <row r="6">
          <cell r="A6" t="str">
            <v>ENG 102</v>
          </cell>
          <cell r="B6" t="str">
            <v>COM 252</v>
          </cell>
          <cell r="C6" t="str">
            <v>MA 111</v>
          </cell>
          <cell r="D6" t="str">
            <v>AST 101</v>
          </cell>
          <cell r="E6" t="str">
            <v>ANT 101</v>
          </cell>
          <cell r="F6" t="str">
            <v>HIS 101</v>
          </cell>
          <cell r="G6" t="str">
            <v>ART 100</v>
          </cell>
          <cell r="I6" t="str">
            <v>ANT 130*</v>
          </cell>
          <cell r="J6" t="str">
            <v>ANA 209</v>
          </cell>
          <cell r="K6" t="str">
            <v>AST 101</v>
          </cell>
          <cell r="L6" t="str">
            <v>ANT 101</v>
          </cell>
          <cell r="M6" t="str">
            <v>BIO 113L</v>
          </cell>
        </row>
        <row r="7">
          <cell r="A7" t="str">
            <v>ENG 105</v>
          </cell>
          <cell r="B7" t="str">
            <v>COM 281</v>
          </cell>
          <cell r="C7" t="str">
            <v>MA 112</v>
          </cell>
          <cell r="D7" t="str">
            <v>AST 155*</v>
          </cell>
          <cell r="E7" t="str">
            <v>ANT 130*</v>
          </cell>
          <cell r="F7" t="str">
            <v>HIS 102</v>
          </cell>
          <cell r="G7" t="str">
            <v>ART 104</v>
          </cell>
          <cell r="I7" t="str">
            <v>ANT 160</v>
          </cell>
          <cell r="J7" t="str">
            <v>ANT 101</v>
          </cell>
          <cell r="K7" t="str">
            <v>AST 155*</v>
          </cell>
          <cell r="L7" t="str">
            <v>ANT 130*</v>
          </cell>
          <cell r="M7" t="str">
            <v>BIO 115L</v>
          </cell>
        </row>
        <row r="8">
          <cell r="A8" t="str">
            <v>TRN ENG</v>
          </cell>
          <cell r="B8" t="str">
            <v>COM 287</v>
          </cell>
          <cell r="C8" t="str">
            <v>MA 113</v>
          </cell>
          <cell r="D8" t="str">
            <v>AST 191</v>
          </cell>
          <cell r="E8" t="str">
            <v>ANT 160</v>
          </cell>
          <cell r="F8" t="str">
            <v>HIS 104</v>
          </cell>
          <cell r="G8" t="str">
            <v>ART 105</v>
          </cell>
          <cell r="I8" t="str">
            <v>ANT 220</v>
          </cell>
          <cell r="J8" t="str">
            <v>ANT 130*</v>
          </cell>
          <cell r="K8" t="str">
            <v>AST 191</v>
          </cell>
          <cell r="L8" t="str">
            <v>ANT 160</v>
          </cell>
          <cell r="M8" t="str">
            <v>BIO 117L</v>
          </cell>
        </row>
        <row r="9">
          <cell r="A9" t="str">
            <v>TRN GEN I</v>
          </cell>
          <cell r="B9" t="str">
            <v>TRN COM</v>
          </cell>
          <cell r="C9" t="str">
            <v>MA 114</v>
          </cell>
          <cell r="D9" t="str">
            <v>AST 192</v>
          </cell>
          <cell r="E9" t="str">
            <v>ANT 220</v>
          </cell>
          <cell r="F9" t="str">
            <v>HIS 105</v>
          </cell>
          <cell r="G9" t="str">
            <v>ART 106</v>
          </cell>
          <cell r="I9" t="str">
            <v>ANT 221</v>
          </cell>
          <cell r="J9" t="str">
            <v>ANT 160</v>
          </cell>
          <cell r="K9" t="str">
            <v>AST 192</v>
          </cell>
          <cell r="L9" t="str">
            <v>ANT 220</v>
          </cell>
          <cell r="M9" t="str">
            <v>BIO 121L</v>
          </cell>
        </row>
        <row r="10">
          <cell r="B10" t="str">
            <v>TRN GEN I</v>
          </cell>
          <cell r="C10" t="str">
            <v>MA 123</v>
          </cell>
          <cell r="D10" t="str">
            <v>AST 195L</v>
          </cell>
          <cell r="E10" t="str">
            <v>ANT 221</v>
          </cell>
          <cell r="F10" t="str">
            <v>HIS 106</v>
          </cell>
          <cell r="G10" t="str">
            <v>ART 201</v>
          </cell>
          <cell r="I10" t="str">
            <v>ANT 235</v>
          </cell>
          <cell r="J10" t="str">
            <v>ANT 220</v>
          </cell>
          <cell r="K10" t="str">
            <v>AST 195L</v>
          </cell>
          <cell r="L10" t="str">
            <v>ANT 221</v>
          </cell>
          <cell r="M10" t="str">
            <v>BIO 135L</v>
          </cell>
        </row>
        <row r="11">
          <cell r="C11" t="str">
            <v>MA 162</v>
          </cell>
          <cell r="D11" t="str">
            <v>BIO 112</v>
          </cell>
          <cell r="E11" t="str">
            <v>ANT 235</v>
          </cell>
          <cell r="F11" t="str">
            <v>HIS 107</v>
          </cell>
          <cell r="G11" t="str">
            <v>ART 202</v>
          </cell>
          <cell r="I11" t="str">
            <v>ANT 241</v>
          </cell>
          <cell r="J11" t="str">
            <v>ANT 221</v>
          </cell>
          <cell r="K11" t="str">
            <v>BIO 112</v>
          </cell>
          <cell r="L11" t="str">
            <v>ANT 235</v>
          </cell>
          <cell r="M11" t="str">
            <v>BIO 137L</v>
          </cell>
        </row>
        <row r="12">
          <cell r="C12" t="str">
            <v>MA 193</v>
          </cell>
          <cell r="D12" t="str">
            <v>BIO 113L</v>
          </cell>
          <cell r="E12" t="str">
            <v>ANT 241</v>
          </cell>
          <cell r="F12" t="str">
            <v>HIS 108</v>
          </cell>
          <cell r="G12" t="str">
            <v>ART 203</v>
          </cell>
          <cell r="I12" t="str">
            <v>ANT 242</v>
          </cell>
          <cell r="J12" t="str">
            <v>ANT 235</v>
          </cell>
          <cell r="K12" t="str">
            <v>BIO 113L</v>
          </cell>
          <cell r="L12" t="str">
            <v>ANT 241</v>
          </cell>
          <cell r="M12" t="str">
            <v>BIO 139L</v>
          </cell>
        </row>
        <row r="13">
          <cell r="C13" t="str">
            <v>MA 194</v>
          </cell>
          <cell r="D13" t="str">
            <v>BIO 114</v>
          </cell>
          <cell r="E13" t="str">
            <v>ANT 242</v>
          </cell>
          <cell r="F13" t="str">
            <v>HIS 109</v>
          </cell>
          <cell r="G13" t="str">
            <v>ART 204</v>
          </cell>
          <cell r="I13" t="str">
            <v>ART 104</v>
          </cell>
          <cell r="J13" t="str">
            <v>ANT 241</v>
          </cell>
          <cell r="K13" t="str">
            <v>BIO 114</v>
          </cell>
          <cell r="L13" t="str">
            <v>ANT 242</v>
          </cell>
          <cell r="M13" t="str">
            <v>BIO 141L</v>
          </cell>
        </row>
        <row r="14">
          <cell r="C14" t="str">
            <v>MA 201</v>
          </cell>
          <cell r="D14" t="str">
            <v>BIO 115L</v>
          </cell>
          <cell r="E14" t="str">
            <v>COM 101</v>
          </cell>
          <cell r="F14" t="str">
            <v>HIS 120</v>
          </cell>
          <cell r="G14" t="str">
            <v>ENG 135</v>
          </cell>
          <cell r="I14" t="str">
            <v>ASL 101</v>
          </cell>
          <cell r="J14" t="str">
            <v>ANT 242</v>
          </cell>
          <cell r="K14" t="str">
            <v>BIO 115L</v>
          </cell>
          <cell r="L14" t="str">
            <v>ART 100</v>
          </cell>
          <cell r="M14" t="str">
            <v>BIO 143L</v>
          </cell>
        </row>
        <row r="15">
          <cell r="C15" t="str">
            <v>MA 202</v>
          </cell>
          <cell r="D15" t="str">
            <v>BIO 116</v>
          </cell>
          <cell r="E15" t="str">
            <v>COM 249*</v>
          </cell>
          <cell r="F15" t="str">
            <v>HIS 202</v>
          </cell>
          <cell r="G15" t="str">
            <v>ENG 161</v>
          </cell>
          <cell r="I15" t="str">
            <v>ASL 102</v>
          </cell>
          <cell r="J15" t="str">
            <v>ART 100</v>
          </cell>
          <cell r="K15" t="str">
            <v>BIO 116</v>
          </cell>
          <cell r="L15" t="str">
            <v>ART 104</v>
          </cell>
          <cell r="M15" t="str">
            <v>BIO 151L</v>
          </cell>
        </row>
        <row r="16">
          <cell r="C16" t="str">
            <v>MA 213</v>
          </cell>
          <cell r="D16" t="str">
            <v>BIO 117L</v>
          </cell>
          <cell r="E16" t="str">
            <v>COM 254</v>
          </cell>
          <cell r="F16" t="str">
            <v>HIS 203</v>
          </cell>
          <cell r="G16" t="str">
            <v>ENG 221</v>
          </cell>
          <cell r="I16" t="str">
            <v>ASL 201</v>
          </cell>
          <cell r="J16" t="str">
            <v>ART 104</v>
          </cell>
          <cell r="K16" t="str">
            <v>BIO 117L</v>
          </cell>
          <cell r="L16" t="str">
            <v>ART 105</v>
          </cell>
          <cell r="M16" t="str">
            <v>BIO 153L</v>
          </cell>
        </row>
        <row r="17">
          <cell r="C17" t="str">
            <v>MA 214</v>
          </cell>
          <cell r="D17" t="str">
            <v>BIO 118</v>
          </cell>
          <cell r="E17" t="str">
            <v>ECO 101</v>
          </cell>
          <cell r="F17" t="str">
            <v>HIS 206</v>
          </cell>
          <cell r="G17" t="str">
            <v>ENG 222</v>
          </cell>
          <cell r="I17" t="str">
            <v>ASL 202</v>
          </cell>
          <cell r="J17" t="str">
            <v>ART 105</v>
          </cell>
          <cell r="K17" t="str">
            <v>BIO 118</v>
          </cell>
          <cell r="L17" t="str">
            <v>ART 106</v>
          </cell>
          <cell r="M17" t="str">
            <v>BIO 209L</v>
          </cell>
        </row>
        <row r="18">
          <cell r="C18" t="str">
            <v>MA 241</v>
          </cell>
          <cell r="D18" t="str">
            <v>BIO 120</v>
          </cell>
          <cell r="E18" t="str">
            <v>ECO 150</v>
          </cell>
          <cell r="F18" t="str">
            <v>HIS 207</v>
          </cell>
          <cell r="G18" t="str">
            <v>ENG 230</v>
          </cell>
          <cell r="I18" t="str">
            <v>COM 249*</v>
          </cell>
          <cell r="J18" t="str">
            <v>ART 106</v>
          </cell>
          <cell r="K18" t="str">
            <v>BIO 120</v>
          </cell>
          <cell r="L18" t="str">
            <v>ART 201</v>
          </cell>
          <cell r="M18" t="str">
            <v>BIO 225L</v>
          </cell>
        </row>
        <row r="19">
          <cell r="C19" t="str">
            <v>MAT 146*</v>
          </cell>
          <cell r="D19" t="str">
            <v>BIO 121L</v>
          </cell>
          <cell r="E19" t="str">
            <v>ECO 201</v>
          </cell>
          <cell r="F19" t="str">
            <v>HIS 240</v>
          </cell>
          <cell r="G19" t="str">
            <v>ENG 231</v>
          </cell>
          <cell r="I19" t="str">
            <v>COM 254</v>
          </cell>
          <cell r="J19" t="str">
            <v>ART 201</v>
          </cell>
          <cell r="K19" t="str">
            <v>BIO 121L</v>
          </cell>
          <cell r="L19" t="str">
            <v>ART 202</v>
          </cell>
          <cell r="M19" t="str">
            <v>BIO 227L</v>
          </cell>
        </row>
        <row r="20">
          <cell r="C20" t="str">
            <v>MAT 150</v>
          </cell>
          <cell r="D20" t="str">
            <v>BIO 122</v>
          </cell>
          <cell r="E20" t="str">
            <v>ECO 202</v>
          </cell>
          <cell r="F20" t="str">
            <v>HIS 247</v>
          </cell>
          <cell r="G20" t="str">
            <v>ENG 232</v>
          </cell>
          <cell r="I20" t="str">
            <v>ECO 150</v>
          </cell>
          <cell r="J20" t="str">
            <v>ART 202</v>
          </cell>
          <cell r="K20" t="str">
            <v>BIO 122</v>
          </cell>
          <cell r="L20" t="str">
            <v>ART 203</v>
          </cell>
          <cell r="M20" t="str">
            <v>CHE 125L</v>
          </cell>
        </row>
        <row r="21">
          <cell r="C21" t="str">
            <v>MAT 154</v>
          </cell>
          <cell r="D21" t="str">
            <v>BIO 124</v>
          </cell>
          <cell r="E21" t="str">
            <v>FAM 252</v>
          </cell>
          <cell r="F21" t="str">
            <v>HIS 248</v>
          </cell>
          <cell r="G21" t="str">
            <v>ENG 233</v>
          </cell>
          <cell r="I21" t="str">
            <v>ENG 135</v>
          </cell>
          <cell r="J21" t="str">
            <v>ART 203</v>
          </cell>
          <cell r="K21" t="str">
            <v>BIO 124</v>
          </cell>
          <cell r="L21" t="str">
            <v>ART 204</v>
          </cell>
          <cell r="M21" t="str">
            <v>CHE 145L</v>
          </cell>
        </row>
        <row r="22">
          <cell r="C22" t="str">
            <v>MAT 155</v>
          </cell>
          <cell r="D22" t="str">
            <v>BIO 130</v>
          </cell>
          <cell r="E22" t="str">
            <v>FAM 253</v>
          </cell>
          <cell r="F22" t="str">
            <v>HIS 254</v>
          </cell>
          <cell r="G22" t="str">
            <v>ENG 234</v>
          </cell>
          <cell r="I22" t="str">
            <v>ENG 233</v>
          </cell>
          <cell r="J22" t="str">
            <v>ART 204</v>
          </cell>
          <cell r="K22" t="str">
            <v>BIO 130</v>
          </cell>
          <cell r="L22" t="str">
            <v>ASL 101</v>
          </cell>
          <cell r="M22" t="str">
            <v>CHE 155L</v>
          </cell>
        </row>
        <row r="23">
          <cell r="C23" t="str">
            <v>MAT 159</v>
          </cell>
          <cell r="D23" t="str">
            <v>BIO 135L</v>
          </cell>
          <cell r="E23" t="str">
            <v>FLK 280</v>
          </cell>
          <cell r="F23" t="str">
            <v>HIS 260</v>
          </cell>
          <cell r="G23" t="str">
            <v>ENG 251</v>
          </cell>
          <cell r="I23" t="str">
            <v>ENG 234</v>
          </cell>
          <cell r="J23" t="str">
            <v>ASL 101</v>
          </cell>
          <cell r="K23" t="str">
            <v>BIO 135L</v>
          </cell>
          <cell r="L23" t="str">
            <v>ASL 102</v>
          </cell>
          <cell r="M23" t="str">
            <v>CHE 175L</v>
          </cell>
        </row>
        <row r="24">
          <cell r="C24" t="str">
            <v>MAT 160</v>
          </cell>
          <cell r="D24" t="str">
            <v>BIO 137L</v>
          </cell>
          <cell r="E24" t="str">
            <v>GEN 140</v>
          </cell>
          <cell r="F24" t="str">
            <v>HIS 261</v>
          </cell>
          <cell r="G24" t="str">
            <v>ENG 252</v>
          </cell>
          <cell r="I24" t="str">
            <v>ENG 264</v>
          </cell>
          <cell r="J24" t="str">
            <v>ASL 102</v>
          </cell>
          <cell r="K24" t="str">
            <v>BIO 137L</v>
          </cell>
          <cell r="L24" t="str">
            <v>ASL 201</v>
          </cell>
          <cell r="M24" t="str">
            <v>CHE 185L</v>
          </cell>
        </row>
        <row r="25">
          <cell r="C25" t="str">
            <v>MAT 165</v>
          </cell>
          <cell r="D25" t="str">
            <v>BIO 139L</v>
          </cell>
          <cell r="E25" t="str">
            <v>GEN 225</v>
          </cell>
          <cell r="F25" t="str">
            <v>HIS 265</v>
          </cell>
          <cell r="G25" t="str">
            <v>ENG 261</v>
          </cell>
          <cell r="I25" t="str">
            <v>ENG 282*</v>
          </cell>
          <cell r="J25" t="str">
            <v>ASL 201</v>
          </cell>
          <cell r="K25" t="str">
            <v>BIO 139L</v>
          </cell>
          <cell r="L25" t="str">
            <v>ASL 202</v>
          </cell>
          <cell r="M25" t="str">
            <v>CHE 275L</v>
          </cell>
        </row>
        <row r="26">
          <cell r="C26" t="str">
            <v>MAT 170</v>
          </cell>
          <cell r="D26" t="str">
            <v>BIO 140</v>
          </cell>
          <cell r="E26" t="str">
            <v>GEO 152</v>
          </cell>
          <cell r="F26" t="str">
            <v>HIS 270</v>
          </cell>
          <cell r="G26" t="str">
            <v>ENG 262</v>
          </cell>
          <cell r="I26" t="str">
            <v>FRE 101</v>
          </cell>
          <cell r="J26" t="str">
            <v>ASL 202</v>
          </cell>
          <cell r="K26" t="str">
            <v>BIO 140</v>
          </cell>
          <cell r="L26" t="str">
            <v>COM 101</v>
          </cell>
          <cell r="M26" t="str">
            <v>CHE 285L</v>
          </cell>
        </row>
        <row r="27">
          <cell r="C27" t="str">
            <v>MAT 174</v>
          </cell>
          <cell r="D27" t="str">
            <v>BIO 141L</v>
          </cell>
          <cell r="E27" t="str">
            <v>GEO 160</v>
          </cell>
          <cell r="F27" t="str">
            <v>HIS 271</v>
          </cell>
          <cell r="G27" t="str">
            <v>ENG 264</v>
          </cell>
          <cell r="I27" t="str">
            <v>FRE 102</v>
          </cell>
          <cell r="J27" t="str">
            <v>AST 101</v>
          </cell>
          <cell r="K27" t="str">
            <v>BIO 141L</v>
          </cell>
          <cell r="L27" t="str">
            <v>COM 249*</v>
          </cell>
          <cell r="M27" t="str">
            <v>EST 150L</v>
          </cell>
        </row>
        <row r="28">
          <cell r="C28" t="str">
            <v>MAT 175</v>
          </cell>
          <cell r="D28" t="str">
            <v>BIO 142</v>
          </cell>
          <cell r="E28" t="str">
            <v>GEO 172</v>
          </cell>
          <cell r="F28" t="str">
            <v>HIS 295</v>
          </cell>
          <cell r="G28" t="str">
            <v>ENG 270</v>
          </cell>
          <cell r="I28" t="str">
            <v>FRE 201</v>
          </cell>
          <cell r="J28" t="str">
            <v>AST 155*</v>
          </cell>
          <cell r="K28" t="str">
            <v>BIO 142</v>
          </cell>
          <cell r="L28" t="str">
            <v>COM 254</v>
          </cell>
          <cell r="M28" t="str">
            <v>GLY 111L</v>
          </cell>
        </row>
        <row r="29">
          <cell r="C29" t="str">
            <v>MAT 184</v>
          </cell>
          <cell r="D29" t="str">
            <v>BIO 143L</v>
          </cell>
          <cell r="E29" t="str">
            <v>GEO 210</v>
          </cell>
          <cell r="F29" t="str">
            <v>HIS 296</v>
          </cell>
          <cell r="G29" t="str">
            <v>ENG 271</v>
          </cell>
          <cell r="I29" t="str">
            <v>FRE 202</v>
          </cell>
          <cell r="J29" t="str">
            <v>AST 191</v>
          </cell>
          <cell r="K29" t="str">
            <v>BIO 143L</v>
          </cell>
          <cell r="L29" t="str">
            <v>ECO 101</v>
          </cell>
          <cell r="M29" t="str">
            <v>GLY 112L</v>
          </cell>
        </row>
        <row r="30">
          <cell r="C30" t="str">
            <v>MAT 185</v>
          </cell>
          <cell r="D30" t="str">
            <v>BIO 144</v>
          </cell>
          <cell r="E30" t="str">
            <v>GEO 222</v>
          </cell>
          <cell r="F30" t="str">
            <v>TRN GEN I</v>
          </cell>
          <cell r="G30" t="str">
            <v>ENG 281*</v>
          </cell>
          <cell r="I30" t="str">
            <v>GEO 152</v>
          </cell>
          <cell r="J30" t="str">
            <v>AST 192</v>
          </cell>
          <cell r="K30" t="str">
            <v>BIO 144</v>
          </cell>
          <cell r="L30" t="str">
            <v>ECO 150</v>
          </cell>
          <cell r="M30" t="str">
            <v>GLY 220L</v>
          </cell>
        </row>
        <row r="31">
          <cell r="C31" t="str">
            <v>MAT 206</v>
          </cell>
          <cell r="D31" t="str">
            <v>BIO 150</v>
          </cell>
          <cell r="E31" t="str">
            <v>GEO 240</v>
          </cell>
          <cell r="F31" t="str">
            <v>TRN GEN II</v>
          </cell>
          <cell r="G31" t="str">
            <v>ENG 282*</v>
          </cell>
          <cell r="I31" t="str">
            <v>GEO 160</v>
          </cell>
          <cell r="J31" t="str">
            <v>AST 195L</v>
          </cell>
          <cell r="K31" t="str">
            <v>BIO 150</v>
          </cell>
          <cell r="L31" t="str">
            <v>ECO 201</v>
          </cell>
          <cell r="M31" t="str">
            <v>PH 217L</v>
          </cell>
        </row>
        <row r="32">
          <cell r="C32" t="str">
            <v>MAT 275</v>
          </cell>
          <cell r="D32" t="str">
            <v>BIO 151L</v>
          </cell>
          <cell r="E32" t="str">
            <v>HUM 135</v>
          </cell>
          <cell r="F32" t="str">
            <v>TRN HER</v>
          </cell>
          <cell r="G32" t="str">
            <v>FLK 276</v>
          </cell>
          <cell r="I32" t="str">
            <v>GER 101</v>
          </cell>
          <cell r="J32" t="str">
            <v>BIO 112</v>
          </cell>
          <cell r="K32" t="str">
            <v>BIO 151L</v>
          </cell>
          <cell r="L32" t="str">
            <v>ECO 202</v>
          </cell>
          <cell r="M32" t="str">
            <v>PHY 260L</v>
          </cell>
        </row>
        <row r="33">
          <cell r="C33" t="str">
            <v>MAT 285</v>
          </cell>
          <cell r="D33" t="str">
            <v>BIO 152</v>
          </cell>
          <cell r="E33" t="str">
            <v>HUM 202</v>
          </cell>
          <cell r="G33" t="str">
            <v>GEN 125</v>
          </cell>
          <cell r="I33" t="str">
            <v>GER 102</v>
          </cell>
          <cell r="J33" t="str">
            <v>BIO 113L</v>
          </cell>
          <cell r="K33" t="str">
            <v>BIO 152</v>
          </cell>
          <cell r="L33" t="str">
            <v>ENG 135</v>
          </cell>
          <cell r="M33" t="str">
            <v>PHY 161L</v>
          </cell>
        </row>
        <row r="34">
          <cell r="C34" t="str">
            <v>STA 200</v>
          </cell>
          <cell r="D34" t="str">
            <v>BIO 153L</v>
          </cell>
          <cell r="E34" t="str">
            <v>HUM 203</v>
          </cell>
          <cell r="G34" t="str">
            <v>HNR 101</v>
          </cell>
          <cell r="I34" t="str">
            <v>GER 201</v>
          </cell>
          <cell r="J34" t="str">
            <v>BIO 114</v>
          </cell>
          <cell r="K34" t="str">
            <v>BIO 153L</v>
          </cell>
          <cell r="L34" t="str">
            <v>ENG 161</v>
          </cell>
          <cell r="M34" t="str">
            <v>PHY 162L</v>
          </cell>
        </row>
        <row r="35">
          <cell r="C35" t="str">
            <v>STA 210</v>
          </cell>
          <cell r="D35" t="str">
            <v>BIO 155*</v>
          </cell>
          <cell r="E35" t="str">
            <v>HUM 204</v>
          </cell>
          <cell r="G35" t="str">
            <v>HON 101</v>
          </cell>
          <cell r="I35" t="str">
            <v>GER 202</v>
          </cell>
          <cell r="J35" t="str">
            <v>BIO 115L</v>
          </cell>
          <cell r="K35" t="str">
            <v>BIO 155*</v>
          </cell>
          <cell r="L35" t="str">
            <v>ENG 221</v>
          </cell>
          <cell r="M35" t="str">
            <v>PHY 202L</v>
          </cell>
        </row>
        <row r="36">
          <cell r="C36" t="str">
            <v>STA 220</v>
          </cell>
          <cell r="D36" t="str">
            <v>BIO 209L</v>
          </cell>
          <cell r="E36" t="str">
            <v>HUM 221</v>
          </cell>
          <cell r="G36" t="str">
            <v>HON 102</v>
          </cell>
          <cell r="I36" t="str">
            <v>HIS 101</v>
          </cell>
          <cell r="J36" t="str">
            <v>BIO 116</v>
          </cell>
          <cell r="K36" t="str">
            <v>BIO 209L</v>
          </cell>
          <cell r="L36" t="str">
            <v>ENG 222</v>
          </cell>
          <cell r="M36" t="str">
            <v>PHY 204L</v>
          </cell>
        </row>
        <row r="37">
          <cell r="C37" t="str">
            <v>STA 291</v>
          </cell>
          <cell r="D37" t="str">
            <v>BIO 220</v>
          </cell>
          <cell r="E37" t="str">
            <v>POL 101</v>
          </cell>
          <cell r="G37" t="str">
            <v>HON 201</v>
          </cell>
          <cell r="I37" t="str">
            <v>HIS 102</v>
          </cell>
          <cell r="J37" t="str">
            <v>BIO 117L</v>
          </cell>
          <cell r="K37" t="str">
            <v>BIO 220</v>
          </cell>
          <cell r="L37" t="str">
            <v>ENG 230</v>
          </cell>
          <cell r="M37" t="str">
            <v>PHY 211L</v>
          </cell>
        </row>
        <row r="38">
          <cell r="C38" t="str">
            <v>TRN GEN I</v>
          </cell>
          <cell r="D38" t="str">
            <v>BIO 225L</v>
          </cell>
          <cell r="E38" t="str">
            <v>POL 210</v>
          </cell>
          <cell r="G38" t="str">
            <v>HON 202</v>
          </cell>
          <cell r="I38" t="str">
            <v>HIS 206</v>
          </cell>
          <cell r="J38" t="str">
            <v>BIO 118</v>
          </cell>
          <cell r="K38" t="str">
            <v>BIO 225L</v>
          </cell>
          <cell r="L38" t="str">
            <v>ENG 231</v>
          </cell>
          <cell r="M38" t="str">
            <v>PHY 213L</v>
          </cell>
        </row>
        <row r="39">
          <cell r="C39" t="str">
            <v>TRN GEN II</v>
          </cell>
          <cell r="D39" t="str">
            <v>BIO 226</v>
          </cell>
          <cell r="E39" t="str">
            <v>POL 212</v>
          </cell>
          <cell r="G39" t="str">
            <v>HRS 101</v>
          </cell>
          <cell r="I39" t="str">
            <v>HIS 207</v>
          </cell>
          <cell r="J39" t="str">
            <v>BIO 120</v>
          </cell>
          <cell r="K39" t="str">
            <v>BIO 226</v>
          </cell>
          <cell r="L39" t="str">
            <v>ENG 232</v>
          </cell>
          <cell r="M39" t="str">
            <v>PHY 241L</v>
          </cell>
        </row>
        <row r="40">
          <cell r="C40" t="str">
            <v>TRN MATH</v>
          </cell>
          <cell r="D40" t="str">
            <v>BIO 227L</v>
          </cell>
          <cell r="E40" t="str">
            <v>POL 235</v>
          </cell>
          <cell r="G40" t="str">
            <v>HRS 102</v>
          </cell>
          <cell r="I40" t="str">
            <v>HIS 247</v>
          </cell>
          <cell r="J40" t="str">
            <v>BIO 121L</v>
          </cell>
          <cell r="K40" t="str">
            <v>BIO 227L</v>
          </cell>
          <cell r="L40" t="str">
            <v>ENG 233</v>
          </cell>
          <cell r="M40" t="str">
            <v>PHY 242L</v>
          </cell>
        </row>
        <row r="41">
          <cell r="D41" t="str">
            <v>CHE 120</v>
          </cell>
          <cell r="E41" t="str">
            <v>POL 255</v>
          </cell>
          <cell r="G41" t="str">
            <v>HRS 201</v>
          </cell>
          <cell r="I41" t="str">
            <v>HIS 248</v>
          </cell>
          <cell r="J41" t="str">
            <v>BIO 122</v>
          </cell>
          <cell r="K41" t="str">
            <v>CHE 120</v>
          </cell>
          <cell r="L41" t="str">
            <v>ENG 234</v>
          </cell>
          <cell r="M41" t="str">
            <v>TRN SCILAB</v>
          </cell>
        </row>
        <row r="42">
          <cell r="D42" t="str">
            <v>CHE 125L</v>
          </cell>
          <cell r="E42" t="str">
            <v>PSY 100</v>
          </cell>
          <cell r="G42" t="str">
            <v>HRS 202</v>
          </cell>
          <cell r="I42" t="str">
            <v>HIS 254</v>
          </cell>
          <cell r="J42" t="str">
            <v>BIO 124</v>
          </cell>
          <cell r="K42" t="str">
            <v>CHE 125L</v>
          </cell>
          <cell r="L42" t="str">
            <v>ENG 251</v>
          </cell>
        </row>
        <row r="43">
          <cell r="D43" t="str">
            <v>CHE 130</v>
          </cell>
          <cell r="E43" t="str">
            <v>PSY 110</v>
          </cell>
          <cell r="G43" t="str">
            <v>HUM 120</v>
          </cell>
          <cell r="I43" t="str">
            <v>HIS 260</v>
          </cell>
          <cell r="J43" t="str">
            <v>BIO 130</v>
          </cell>
          <cell r="K43" t="str">
            <v>CHE 130</v>
          </cell>
          <cell r="L43" t="str">
            <v>ENG 252</v>
          </cell>
        </row>
        <row r="44">
          <cell r="D44" t="str">
            <v>CHE 140</v>
          </cell>
          <cell r="E44" t="str">
            <v>PSY 180</v>
          </cell>
          <cell r="G44" t="str">
            <v>HUM 121</v>
          </cell>
          <cell r="I44" t="str">
            <v>HIS 261</v>
          </cell>
          <cell r="J44" t="str">
            <v>BIO 135L</v>
          </cell>
          <cell r="K44" t="str">
            <v>CHE 140</v>
          </cell>
          <cell r="L44" t="str">
            <v>ENG 261</v>
          </cell>
        </row>
        <row r="45">
          <cell r="D45" t="str">
            <v>CHE 145L</v>
          </cell>
          <cell r="E45" t="str">
            <v>PSY 185</v>
          </cell>
          <cell r="G45" t="str">
            <v>HUM 135</v>
          </cell>
          <cell r="I45" t="str">
            <v>HIS 265</v>
          </cell>
          <cell r="J45" t="str">
            <v>BIO 137L</v>
          </cell>
          <cell r="K45" t="str">
            <v>CHE 145L</v>
          </cell>
          <cell r="L45" t="str">
            <v>ENG 262</v>
          </cell>
        </row>
        <row r="46">
          <cell r="D46" t="str">
            <v>CHE 150</v>
          </cell>
          <cell r="E46" t="str">
            <v>PSY 223</v>
          </cell>
          <cell r="G46" t="str">
            <v>HUM 140</v>
          </cell>
          <cell r="I46" t="str">
            <v>HIS 295</v>
          </cell>
          <cell r="J46" t="str">
            <v>BIO 139L</v>
          </cell>
          <cell r="K46" t="str">
            <v>CHE 150</v>
          </cell>
          <cell r="L46" t="str">
            <v>ENG 264</v>
          </cell>
        </row>
        <row r="47">
          <cell r="D47" t="str">
            <v>CHE 155L</v>
          </cell>
          <cell r="E47" t="str">
            <v>PSY 230</v>
          </cell>
          <cell r="G47" t="str">
            <v>HUM 150</v>
          </cell>
          <cell r="I47" t="str">
            <v>HIS 296</v>
          </cell>
          <cell r="J47" t="str">
            <v>BIO 140</v>
          </cell>
          <cell r="K47" t="str">
            <v>CHE 155L</v>
          </cell>
          <cell r="L47" t="str">
            <v>ENG 270</v>
          </cell>
        </row>
        <row r="48">
          <cell r="D48" t="str">
            <v>CHE 170</v>
          </cell>
          <cell r="E48" t="str">
            <v>PSY 297</v>
          </cell>
          <cell r="G48" t="str">
            <v>HUM 202</v>
          </cell>
          <cell r="I48" t="str">
            <v>HUM 121</v>
          </cell>
          <cell r="J48" t="str">
            <v>BIO 141L</v>
          </cell>
          <cell r="K48" t="str">
            <v>CHE 170</v>
          </cell>
          <cell r="L48" t="str">
            <v>ENG 271</v>
          </cell>
        </row>
        <row r="49">
          <cell r="D49" t="str">
            <v>CHE 175L</v>
          </cell>
          <cell r="E49" t="str">
            <v>PSY 298</v>
          </cell>
          <cell r="G49" t="str">
            <v>HUM 203</v>
          </cell>
          <cell r="I49" t="str">
            <v>HUM 135</v>
          </cell>
          <cell r="J49" t="str">
            <v>BIO 142</v>
          </cell>
          <cell r="K49" t="str">
            <v>CHE 175L</v>
          </cell>
          <cell r="L49" t="str">
            <v>ENG 281*</v>
          </cell>
        </row>
        <row r="50">
          <cell r="D50" t="str">
            <v>CHE 180</v>
          </cell>
          <cell r="E50" t="str">
            <v>RAE 120</v>
          </cell>
          <cell r="G50" t="str">
            <v>HUM 204</v>
          </cell>
          <cell r="I50" t="str">
            <v>HUM 140</v>
          </cell>
          <cell r="J50" t="str">
            <v>BIO 143L</v>
          </cell>
          <cell r="K50" t="str">
            <v>CHE 180</v>
          </cell>
          <cell r="L50" t="str">
            <v>ENG 282*</v>
          </cell>
        </row>
        <row r="51">
          <cell r="D51" t="str">
            <v>CHE 185L</v>
          </cell>
          <cell r="E51" t="str">
            <v>REL 100</v>
          </cell>
          <cell r="G51" t="str">
            <v>HUM 220</v>
          </cell>
          <cell r="I51" t="str">
            <v>HUM 150</v>
          </cell>
          <cell r="J51" t="str">
            <v>BIO 144</v>
          </cell>
          <cell r="K51" t="str">
            <v>CHE 185L</v>
          </cell>
          <cell r="L51" t="str">
            <v>FAM 252</v>
          </cell>
        </row>
        <row r="52">
          <cell r="D52" t="str">
            <v>CHE 220</v>
          </cell>
          <cell r="E52" t="str">
            <v>REL 130*</v>
          </cell>
          <cell r="G52" t="str">
            <v>HUM 230</v>
          </cell>
          <cell r="I52" t="str">
            <v>HUM 202</v>
          </cell>
          <cell r="J52" t="str">
            <v>BIO 150</v>
          </cell>
          <cell r="K52" t="str">
            <v>CHE 220</v>
          </cell>
          <cell r="L52" t="str">
            <v>FAM 253</v>
          </cell>
        </row>
        <row r="53">
          <cell r="D53" t="str">
            <v>CHE 270</v>
          </cell>
          <cell r="E53" t="str">
            <v>SOC 101</v>
          </cell>
          <cell r="G53" t="str">
            <v>HUM 250</v>
          </cell>
          <cell r="I53" t="str">
            <v>HUM 203</v>
          </cell>
          <cell r="J53" t="str">
            <v>BIO 151L</v>
          </cell>
          <cell r="K53" t="str">
            <v>CHE 270</v>
          </cell>
          <cell r="L53" t="str">
            <v>FLK 276</v>
          </cell>
        </row>
        <row r="54">
          <cell r="D54" t="str">
            <v>CHE 275L</v>
          </cell>
          <cell r="E54" t="str">
            <v>SOC 151</v>
          </cell>
          <cell r="G54" t="str">
            <v>HUM 251</v>
          </cell>
          <cell r="I54" t="str">
            <v>HUM 204</v>
          </cell>
          <cell r="J54" t="str">
            <v>BIO 152</v>
          </cell>
          <cell r="K54" t="str">
            <v>CHE 275L</v>
          </cell>
          <cell r="L54" t="str">
            <v>FLK 280</v>
          </cell>
        </row>
        <row r="55">
          <cell r="D55" t="str">
            <v>CHE 280</v>
          </cell>
          <cell r="E55" t="str">
            <v>SOC 152</v>
          </cell>
          <cell r="G55" t="str">
            <v>HUM 281*</v>
          </cell>
          <cell r="I55" t="str">
            <v>HUM 221</v>
          </cell>
          <cell r="J55" t="str">
            <v>BIO 153L</v>
          </cell>
          <cell r="K55" t="str">
            <v>CHE 280</v>
          </cell>
          <cell r="L55" t="str">
            <v>FRE 101</v>
          </cell>
        </row>
        <row r="56">
          <cell r="D56" t="str">
            <v>CHE 285L</v>
          </cell>
          <cell r="E56" t="str">
            <v>SOC 220</v>
          </cell>
          <cell r="G56" t="str">
            <v>HUM 282*</v>
          </cell>
          <cell r="I56" t="str">
            <v>HUM 230</v>
          </cell>
          <cell r="J56" t="str">
            <v>BIO 155*</v>
          </cell>
          <cell r="K56" t="str">
            <v>CHE 285L</v>
          </cell>
          <cell r="L56" t="str">
            <v>FRE 102</v>
          </cell>
        </row>
        <row r="57">
          <cell r="D57" t="str">
            <v>EST 150L</v>
          </cell>
          <cell r="E57" t="str">
            <v>SOC 235</v>
          </cell>
          <cell r="G57" t="str">
            <v>MU 101</v>
          </cell>
          <cell r="I57" t="str">
            <v>HUM 250</v>
          </cell>
          <cell r="J57" t="str">
            <v>BIO 209L</v>
          </cell>
          <cell r="K57" t="str">
            <v>EST 150L</v>
          </cell>
          <cell r="L57" t="str">
            <v>FRE 201</v>
          </cell>
        </row>
        <row r="58">
          <cell r="D58" t="str">
            <v>EST 160</v>
          </cell>
          <cell r="E58" t="str">
            <v>SOC 249*</v>
          </cell>
          <cell r="G58" t="str">
            <v>MUS 100</v>
          </cell>
          <cell r="I58" t="str">
            <v>HUM 251</v>
          </cell>
          <cell r="J58" t="str">
            <v>BIO 220</v>
          </cell>
          <cell r="K58" t="str">
            <v>EST 160</v>
          </cell>
          <cell r="L58" t="str">
            <v>FRE 202</v>
          </cell>
        </row>
        <row r="59">
          <cell r="D59" t="str">
            <v>GEO 130</v>
          </cell>
          <cell r="E59" t="str">
            <v>SOC 260</v>
          </cell>
          <cell r="G59" t="str">
            <v>MUS 104</v>
          </cell>
          <cell r="I59" t="str">
            <v>HUM 282*</v>
          </cell>
          <cell r="J59" t="str">
            <v>BIO 225L</v>
          </cell>
          <cell r="K59" t="str">
            <v>GEO 130</v>
          </cell>
          <cell r="L59" t="str">
            <v>GEN 125</v>
          </cell>
        </row>
        <row r="60">
          <cell r="D60" t="str">
            <v>GEO 251</v>
          </cell>
          <cell r="E60" t="str">
            <v>SPA 115</v>
          </cell>
          <cell r="G60" t="str">
            <v>MUS 206</v>
          </cell>
          <cell r="I60" t="str">
            <v>JPN 101</v>
          </cell>
          <cell r="J60" t="str">
            <v>BIO 226</v>
          </cell>
          <cell r="K60" t="str">
            <v>GEO 251</v>
          </cell>
          <cell r="L60" t="str">
            <v>GEN 140</v>
          </cell>
        </row>
        <row r="61">
          <cell r="D61" t="str">
            <v>GLY 101</v>
          </cell>
          <cell r="E61" t="str">
            <v>SWK 275</v>
          </cell>
          <cell r="G61" t="str">
            <v>MUS 207</v>
          </cell>
          <cell r="I61" t="str">
            <v>JPN 102</v>
          </cell>
          <cell r="J61" t="str">
            <v>BIO 227L</v>
          </cell>
          <cell r="K61" t="str">
            <v>GLY 101</v>
          </cell>
          <cell r="L61" t="str">
            <v>GEN 225</v>
          </cell>
        </row>
        <row r="62">
          <cell r="D62" t="str">
            <v>GLY 102</v>
          </cell>
          <cell r="E62" t="str">
            <v>WGS 200</v>
          </cell>
          <cell r="G62" t="str">
            <v>MUS 208</v>
          </cell>
          <cell r="I62" t="str">
            <v>MU 101</v>
          </cell>
          <cell r="J62" t="str">
            <v>CHE 120</v>
          </cell>
          <cell r="K62" t="str">
            <v>GLY 102</v>
          </cell>
          <cell r="L62" t="str">
            <v>GEO 152</v>
          </cell>
        </row>
        <row r="63">
          <cell r="D63" t="str">
            <v>GLY 110</v>
          </cell>
          <cell r="E63" t="str">
            <v>TRN GEN I</v>
          </cell>
          <cell r="G63" t="str">
            <v>MUS 222</v>
          </cell>
          <cell r="I63" t="str">
            <v>MUS 104</v>
          </cell>
          <cell r="J63" t="str">
            <v>CHE 125L</v>
          </cell>
          <cell r="K63" t="str">
            <v>GLY 110</v>
          </cell>
          <cell r="L63" t="str">
            <v>GEO 160</v>
          </cell>
        </row>
        <row r="64">
          <cell r="D64" t="str">
            <v>GLY 111L</v>
          </cell>
          <cell r="E64" t="str">
            <v>TRN GEN II</v>
          </cell>
          <cell r="G64" t="str">
            <v>PHI 100</v>
          </cell>
          <cell r="I64" t="str">
            <v>MUS 208</v>
          </cell>
          <cell r="J64" t="str">
            <v>CHE 130</v>
          </cell>
          <cell r="K64" t="str">
            <v>GLY 111L</v>
          </cell>
          <cell r="L64" t="str">
            <v>GEO 172</v>
          </cell>
        </row>
        <row r="65">
          <cell r="D65" t="str">
            <v>GLY 112L</v>
          </cell>
          <cell r="E65" t="str">
            <v>TRN SOCIAL</v>
          </cell>
          <cell r="G65" t="str">
            <v>PHI 110</v>
          </cell>
          <cell r="I65" t="str">
            <v>POL 212</v>
          </cell>
          <cell r="J65" t="str">
            <v>CHE 140</v>
          </cell>
          <cell r="K65" t="str">
            <v>GLY 112L</v>
          </cell>
          <cell r="L65" t="str">
            <v>GEO 210</v>
          </cell>
        </row>
        <row r="66">
          <cell r="D66" t="str">
            <v>GLY 130</v>
          </cell>
          <cell r="G66" t="str">
            <v>PHI 120</v>
          </cell>
          <cell r="I66" t="str">
            <v>POL 235</v>
          </cell>
          <cell r="J66" t="str">
            <v>CHE 145L</v>
          </cell>
          <cell r="K66" t="str">
            <v>GLY 130</v>
          </cell>
          <cell r="L66" t="str">
            <v>GEO 222</v>
          </cell>
        </row>
        <row r="67">
          <cell r="D67" t="str">
            <v>GLY 220L</v>
          </cell>
          <cell r="G67" t="str">
            <v>PHI 130</v>
          </cell>
          <cell r="I67" t="str">
            <v>RAE 120</v>
          </cell>
          <cell r="J67" t="str">
            <v>CHE 150</v>
          </cell>
          <cell r="K67" t="str">
            <v>GLY 220L</v>
          </cell>
          <cell r="L67" t="str">
            <v>GEO 240</v>
          </cell>
        </row>
        <row r="68">
          <cell r="D68" t="str">
            <v>PGY 206</v>
          </cell>
          <cell r="G68" t="str">
            <v>PHI 140</v>
          </cell>
          <cell r="I68" t="str">
            <v>RAE 150</v>
          </cell>
          <cell r="J68" t="str">
            <v>CHE 155L</v>
          </cell>
          <cell r="K68" t="str">
            <v>MA 110</v>
          </cell>
          <cell r="L68" t="str">
            <v>GER 101</v>
          </cell>
        </row>
        <row r="69">
          <cell r="D69" t="str">
            <v>PH 217L</v>
          </cell>
          <cell r="G69" t="str">
            <v>PHI 150</v>
          </cell>
          <cell r="I69" t="str">
            <v>RAE 151</v>
          </cell>
          <cell r="J69" t="str">
            <v>CHE 170</v>
          </cell>
          <cell r="K69" t="str">
            <v>MA 111</v>
          </cell>
          <cell r="L69" t="str">
            <v>GER 102</v>
          </cell>
        </row>
        <row r="70">
          <cell r="D70" t="str">
            <v>PHY 151</v>
          </cell>
          <cell r="G70" t="str">
            <v>PHI 260</v>
          </cell>
          <cell r="I70" t="str">
            <v>REL 100</v>
          </cell>
          <cell r="J70" t="str">
            <v>CHE 175L</v>
          </cell>
          <cell r="K70" t="str">
            <v>MA 112</v>
          </cell>
          <cell r="L70" t="str">
            <v>GER 201</v>
          </cell>
        </row>
        <row r="71">
          <cell r="D71" t="str">
            <v>PHY 152</v>
          </cell>
          <cell r="G71" t="str">
            <v>PHI 270</v>
          </cell>
          <cell r="I71" t="str">
            <v>REL 101</v>
          </cell>
          <cell r="J71" t="str">
            <v>CHE 180</v>
          </cell>
          <cell r="K71" t="str">
            <v>MA 113</v>
          </cell>
          <cell r="L71" t="str">
            <v>GER 202</v>
          </cell>
        </row>
        <row r="72">
          <cell r="D72" t="str">
            <v>PHY 160L</v>
          </cell>
          <cell r="G72" t="str">
            <v>REL 101</v>
          </cell>
          <cell r="I72" t="str">
            <v>REL 130*</v>
          </cell>
          <cell r="J72" t="str">
            <v>CHE 185L</v>
          </cell>
          <cell r="K72" t="str">
            <v>MA 114</v>
          </cell>
          <cell r="L72" t="str">
            <v>HIS 101</v>
          </cell>
        </row>
        <row r="73">
          <cell r="D73" t="str">
            <v>PHY 161L</v>
          </cell>
          <cell r="G73" t="str">
            <v>REL 130*</v>
          </cell>
          <cell r="I73" t="str">
            <v>SED 101</v>
          </cell>
          <cell r="J73" t="str">
            <v>CHE 220</v>
          </cell>
          <cell r="K73" t="str">
            <v>MA 123</v>
          </cell>
          <cell r="L73" t="str">
            <v>HIS 102</v>
          </cell>
        </row>
        <row r="74">
          <cell r="D74" t="str">
            <v>PHY 162L</v>
          </cell>
          <cell r="G74" t="str">
            <v>THA 101</v>
          </cell>
          <cell r="I74" t="str">
            <v>SED 102</v>
          </cell>
          <cell r="J74" t="str">
            <v>CHE 270</v>
          </cell>
          <cell r="K74" t="str">
            <v>MA 162</v>
          </cell>
          <cell r="L74" t="str">
            <v>HIS 104</v>
          </cell>
        </row>
        <row r="75">
          <cell r="D75" t="str">
            <v>PHY 171</v>
          </cell>
          <cell r="G75" t="str">
            <v>THA 200</v>
          </cell>
          <cell r="I75" t="str">
            <v>SED 203</v>
          </cell>
          <cell r="J75" t="str">
            <v>CHE 275L</v>
          </cell>
          <cell r="K75" t="str">
            <v>MA 193</v>
          </cell>
          <cell r="L75" t="str">
            <v>HIS 105</v>
          </cell>
        </row>
        <row r="76">
          <cell r="D76" t="str">
            <v>PHY 172</v>
          </cell>
          <cell r="G76" t="str">
            <v>THA 283</v>
          </cell>
          <cell r="I76" t="str">
            <v>SED 204</v>
          </cell>
          <cell r="J76" t="str">
            <v>CHE 280</v>
          </cell>
          <cell r="K76" t="str">
            <v>MA 194</v>
          </cell>
          <cell r="L76" t="str">
            <v>HIS 106</v>
          </cell>
        </row>
        <row r="77">
          <cell r="D77" t="str">
            <v>PHY 201</v>
          </cell>
          <cell r="G77" t="str">
            <v>WGS 201</v>
          </cell>
          <cell r="I77" t="str">
            <v>SOC 235</v>
          </cell>
          <cell r="J77" t="str">
            <v>CHE 285L</v>
          </cell>
          <cell r="K77" t="str">
            <v>MA 201</v>
          </cell>
          <cell r="L77" t="str">
            <v>HIS 107</v>
          </cell>
        </row>
        <row r="78">
          <cell r="D78" t="str">
            <v>PHY 202L</v>
          </cell>
          <cell r="G78" t="str">
            <v>TRN GEN I</v>
          </cell>
          <cell r="I78" t="str">
            <v>SOC 249*</v>
          </cell>
          <cell r="J78" t="str">
            <v>COM 101</v>
          </cell>
          <cell r="K78" t="str">
            <v>MA 202</v>
          </cell>
          <cell r="L78" t="str">
            <v>HIS 108</v>
          </cell>
        </row>
        <row r="79">
          <cell r="D79" t="str">
            <v>PHY 203</v>
          </cell>
          <cell r="G79" t="str">
            <v>TRN GEN II</v>
          </cell>
          <cell r="I79" t="str">
            <v>SPA 101</v>
          </cell>
          <cell r="J79" t="str">
            <v>COM 181</v>
          </cell>
          <cell r="K79" t="str">
            <v>MA 213</v>
          </cell>
          <cell r="L79" t="str">
            <v>HIS 109</v>
          </cell>
        </row>
        <row r="80">
          <cell r="D80" t="str">
            <v>PHY 204L</v>
          </cell>
          <cell r="G80" t="str">
            <v>TRN HUM</v>
          </cell>
          <cell r="I80" t="str">
            <v>SPA 102</v>
          </cell>
          <cell r="J80" t="str">
            <v>COM 249*</v>
          </cell>
          <cell r="K80" t="str">
            <v>MA 214</v>
          </cell>
          <cell r="L80" t="str">
            <v>HIS 120</v>
          </cell>
        </row>
        <row r="81">
          <cell r="D81" t="str">
            <v>PHY 211L</v>
          </cell>
          <cell r="I81" t="str">
            <v>SPA 115</v>
          </cell>
          <cell r="J81" t="str">
            <v>COM 252</v>
          </cell>
          <cell r="K81" t="str">
            <v>MA 241</v>
          </cell>
          <cell r="L81" t="str">
            <v>HIS 202</v>
          </cell>
        </row>
        <row r="82">
          <cell r="D82" t="str">
            <v>PHY 213L</v>
          </cell>
          <cell r="I82" t="str">
            <v>SPA 201</v>
          </cell>
          <cell r="J82" t="str">
            <v>COM 254</v>
          </cell>
          <cell r="K82" t="str">
            <v>MAT 146*</v>
          </cell>
          <cell r="L82" t="str">
            <v>HIS 203</v>
          </cell>
        </row>
        <row r="83">
          <cell r="D83" t="str">
            <v>PHY 231</v>
          </cell>
          <cell r="I83" t="str">
            <v>SPA 202</v>
          </cell>
          <cell r="J83" t="str">
            <v>COM 281</v>
          </cell>
          <cell r="K83" t="str">
            <v>MAT 150</v>
          </cell>
          <cell r="L83" t="str">
            <v>HIS 206</v>
          </cell>
        </row>
        <row r="84">
          <cell r="D84" t="str">
            <v>PHY 232</v>
          </cell>
          <cell r="I84" t="str">
            <v>WGS 200</v>
          </cell>
          <cell r="J84" t="str">
            <v>COM 287</v>
          </cell>
          <cell r="K84" t="str">
            <v>MAT 154</v>
          </cell>
          <cell r="L84" t="str">
            <v>HIS 207</v>
          </cell>
        </row>
        <row r="85">
          <cell r="D85" t="str">
            <v>PHY 241L</v>
          </cell>
          <cell r="I85" t="str">
            <v>WGS 201</v>
          </cell>
          <cell r="J85" t="str">
            <v>ECO 101</v>
          </cell>
          <cell r="K85" t="str">
            <v>MAT 155</v>
          </cell>
          <cell r="L85" t="str">
            <v>HIS 240</v>
          </cell>
        </row>
        <row r="86">
          <cell r="D86" t="str">
            <v>PHY 242L</v>
          </cell>
          <cell r="I86" t="str">
            <v>TRN GEN I</v>
          </cell>
          <cell r="J86" t="str">
            <v>ECO 150</v>
          </cell>
          <cell r="K86" t="str">
            <v>MAT 159</v>
          </cell>
          <cell r="L86" t="str">
            <v>HIS 247</v>
          </cell>
        </row>
        <row r="87">
          <cell r="D87" t="str">
            <v>SCI 100</v>
          </cell>
          <cell r="I87" t="str">
            <v>TRN GEN II</v>
          </cell>
          <cell r="J87" t="str">
            <v>ECO 201</v>
          </cell>
          <cell r="K87" t="str">
            <v>MAT 160</v>
          </cell>
          <cell r="L87" t="str">
            <v>HIS 248</v>
          </cell>
        </row>
        <row r="88">
          <cell r="D88" t="str">
            <v>SCI 295</v>
          </cell>
          <cell r="I88" t="str">
            <v>TRN HER</v>
          </cell>
          <cell r="J88" t="str">
            <v>ECO 202</v>
          </cell>
          <cell r="K88" t="str">
            <v>MAT 165</v>
          </cell>
          <cell r="L88" t="str">
            <v>HIS 254</v>
          </cell>
        </row>
        <row r="89">
          <cell r="D89" t="str">
            <v>TRN GEN I</v>
          </cell>
          <cell r="I89" t="str">
            <v>TRN HUM</v>
          </cell>
          <cell r="J89" t="str">
            <v>ENG 101</v>
          </cell>
          <cell r="K89" t="str">
            <v>MAT 170</v>
          </cell>
          <cell r="L89" t="str">
            <v>HIS 260</v>
          </cell>
        </row>
        <row r="90">
          <cell r="D90" t="str">
            <v>TRN GEN II</v>
          </cell>
          <cell r="I90" t="str">
            <v>TRN SOCIAL</v>
          </cell>
          <cell r="J90" t="str">
            <v>ENG 102</v>
          </cell>
          <cell r="K90" t="str">
            <v>MAT 174</v>
          </cell>
          <cell r="L90" t="str">
            <v>HIS 261</v>
          </cell>
        </row>
        <row r="91">
          <cell r="D91" t="str">
            <v>TRN SCI</v>
          </cell>
          <cell r="J91" t="str">
            <v>ENG 105</v>
          </cell>
          <cell r="K91" t="str">
            <v>MAT 175</v>
          </cell>
          <cell r="L91" t="str">
            <v>HIS 265</v>
          </cell>
        </row>
        <row r="92">
          <cell r="D92" t="str">
            <v>TRN SCILAB</v>
          </cell>
          <cell r="J92" t="str">
            <v>ENG 135</v>
          </cell>
          <cell r="K92" t="str">
            <v>MAT 184</v>
          </cell>
          <cell r="L92" t="str">
            <v>HIS 270</v>
          </cell>
        </row>
        <row r="93">
          <cell r="J93" t="str">
            <v>ENG 161</v>
          </cell>
          <cell r="K93" t="str">
            <v>MAT 185</v>
          </cell>
          <cell r="L93" t="str">
            <v>HIS 271</v>
          </cell>
        </row>
        <row r="94">
          <cell r="J94" t="str">
            <v>ENG 221</v>
          </cell>
          <cell r="K94" t="str">
            <v>MAT 206</v>
          </cell>
          <cell r="L94" t="str">
            <v>HIS 295</v>
          </cell>
        </row>
        <row r="95">
          <cell r="J95" t="str">
            <v>ENG 222</v>
          </cell>
          <cell r="K95" t="str">
            <v>MAT 275</v>
          </cell>
          <cell r="L95" t="str">
            <v>HIS 296</v>
          </cell>
        </row>
        <row r="96">
          <cell r="J96" t="str">
            <v>ENG 230</v>
          </cell>
          <cell r="K96" t="str">
            <v>MAT 285</v>
          </cell>
          <cell r="L96" t="str">
            <v>HNR 101</v>
          </cell>
        </row>
        <row r="97">
          <cell r="J97" t="str">
            <v>ENG 231</v>
          </cell>
          <cell r="K97" t="str">
            <v>PGY 206</v>
          </cell>
          <cell r="L97" t="str">
            <v>HON 101</v>
          </cell>
        </row>
        <row r="98">
          <cell r="J98" t="str">
            <v>ENG 232</v>
          </cell>
          <cell r="K98" t="str">
            <v>PH 217L</v>
          </cell>
          <cell r="L98" t="str">
            <v>HON 102</v>
          </cell>
        </row>
        <row r="99">
          <cell r="J99" t="str">
            <v>ENG 233</v>
          </cell>
          <cell r="K99" t="str">
            <v>PHY 151</v>
          </cell>
          <cell r="L99" t="str">
            <v>HON 201</v>
          </cell>
        </row>
        <row r="100">
          <cell r="J100" t="str">
            <v>ENG 234</v>
          </cell>
          <cell r="K100" t="str">
            <v>PHY 152</v>
          </cell>
          <cell r="L100" t="str">
            <v>HON 202</v>
          </cell>
        </row>
        <row r="101">
          <cell r="J101" t="str">
            <v>ENG 251</v>
          </cell>
          <cell r="K101" t="str">
            <v>PHY 160L</v>
          </cell>
          <cell r="L101" t="str">
            <v>HRS 101</v>
          </cell>
        </row>
        <row r="102">
          <cell r="J102" t="str">
            <v>ENG 252</v>
          </cell>
          <cell r="K102" t="str">
            <v>PHY 161L</v>
          </cell>
          <cell r="L102" t="str">
            <v>HRS 102</v>
          </cell>
        </row>
        <row r="103">
          <cell r="J103" t="str">
            <v>ENG 261</v>
          </cell>
          <cell r="K103" t="str">
            <v>PHY 162L</v>
          </cell>
          <cell r="L103" t="str">
            <v>HRS 201</v>
          </cell>
        </row>
        <row r="104">
          <cell r="J104" t="str">
            <v>ENG 262</v>
          </cell>
          <cell r="K104" t="str">
            <v>PHY 171</v>
          </cell>
          <cell r="L104" t="str">
            <v>HRS 202</v>
          </cell>
        </row>
        <row r="105">
          <cell r="J105" t="str">
            <v>ENG 264</v>
          </cell>
          <cell r="K105" t="str">
            <v>PHY 172</v>
          </cell>
          <cell r="L105" t="str">
            <v>HUM 120</v>
          </cell>
        </row>
        <row r="106">
          <cell r="J106" t="str">
            <v>ENG 270</v>
          </cell>
          <cell r="K106" t="str">
            <v>PHY 201</v>
          </cell>
          <cell r="L106" t="str">
            <v>HUM 121</v>
          </cell>
        </row>
        <row r="107">
          <cell r="J107" t="str">
            <v>ENG 271</v>
          </cell>
          <cell r="K107" t="str">
            <v>PHY 202L</v>
          </cell>
          <cell r="L107" t="str">
            <v>HUM 135</v>
          </cell>
        </row>
        <row r="108">
          <cell r="J108" t="str">
            <v>ENG 281*</v>
          </cell>
          <cell r="K108" t="str">
            <v>PHY 203</v>
          </cell>
          <cell r="L108" t="str">
            <v>HUM 135</v>
          </cell>
        </row>
        <row r="109">
          <cell r="J109" t="str">
            <v>ENG 282*</v>
          </cell>
          <cell r="K109" t="str">
            <v>PHY 204L</v>
          </cell>
          <cell r="L109" t="str">
            <v>HUM 140</v>
          </cell>
        </row>
        <row r="110">
          <cell r="J110" t="str">
            <v>EST 150L</v>
          </cell>
          <cell r="K110" t="str">
            <v>PHY 211L</v>
          </cell>
          <cell r="L110" t="str">
            <v>HUM 150</v>
          </cell>
        </row>
        <row r="111">
          <cell r="J111" t="str">
            <v>EST 160</v>
          </cell>
          <cell r="K111" t="str">
            <v>PHY 213L</v>
          </cell>
          <cell r="L111" t="str">
            <v>HUM 202</v>
          </cell>
        </row>
        <row r="112">
          <cell r="J112" t="str">
            <v>FAM 252</v>
          </cell>
          <cell r="K112" t="str">
            <v>PHY 231</v>
          </cell>
          <cell r="L112" t="str">
            <v>HUM 203</v>
          </cell>
        </row>
        <row r="113">
          <cell r="J113" t="str">
            <v>FAM 253</v>
          </cell>
          <cell r="K113" t="str">
            <v>PHY 232</v>
          </cell>
          <cell r="L113" t="str">
            <v>HUM 204</v>
          </cell>
        </row>
        <row r="114">
          <cell r="J114" t="str">
            <v>FLK 276</v>
          </cell>
          <cell r="K114" t="str">
            <v>PHY 241L</v>
          </cell>
          <cell r="L114" t="str">
            <v>HUM 220</v>
          </cell>
        </row>
        <row r="115">
          <cell r="J115" t="str">
            <v>FLK 280</v>
          </cell>
          <cell r="K115" t="str">
            <v>PHY 242L</v>
          </cell>
          <cell r="L115" t="str">
            <v>HUM 221</v>
          </cell>
        </row>
        <row r="116">
          <cell r="J116" t="str">
            <v>FRE 101</v>
          </cell>
          <cell r="K116" t="str">
            <v>SCI 100</v>
          </cell>
          <cell r="L116" t="str">
            <v>HUM 230</v>
          </cell>
        </row>
        <row r="117">
          <cell r="J117" t="str">
            <v>FRE 102</v>
          </cell>
          <cell r="K117" t="str">
            <v>SCI 295</v>
          </cell>
          <cell r="L117" t="str">
            <v>HUM 250</v>
          </cell>
        </row>
        <row r="118">
          <cell r="J118" t="str">
            <v>FRE 201</v>
          </cell>
          <cell r="K118" t="str">
            <v>STA 200</v>
          </cell>
          <cell r="L118" t="str">
            <v>HUM 251</v>
          </cell>
        </row>
        <row r="119">
          <cell r="J119" t="str">
            <v>FRE 202</v>
          </cell>
          <cell r="K119" t="str">
            <v>STA 210</v>
          </cell>
          <cell r="L119" t="str">
            <v>HUM 281*</v>
          </cell>
        </row>
        <row r="120">
          <cell r="J120" t="str">
            <v>GEN 125</v>
          </cell>
          <cell r="K120" t="str">
            <v>STA 220</v>
          </cell>
          <cell r="L120" t="str">
            <v>HUM 282*</v>
          </cell>
        </row>
        <row r="121">
          <cell r="J121" t="str">
            <v>GEN 140</v>
          </cell>
          <cell r="K121" t="str">
            <v>STA 291</v>
          </cell>
          <cell r="L121" t="str">
            <v>JPN 101</v>
          </cell>
        </row>
        <row r="122">
          <cell r="J122" t="str">
            <v>GEN 225</v>
          </cell>
          <cell r="K122" t="str">
            <v>TRN GEN I</v>
          </cell>
          <cell r="L122" t="str">
            <v>JPN 102</v>
          </cell>
        </row>
        <row r="123">
          <cell r="J123" t="str">
            <v>GEO 130</v>
          </cell>
          <cell r="K123" t="str">
            <v>TRN GEN II</v>
          </cell>
          <cell r="L123" t="str">
            <v>MU 101</v>
          </cell>
        </row>
        <row r="124">
          <cell r="J124" t="str">
            <v>GEO 152</v>
          </cell>
          <cell r="K124" t="str">
            <v>TRN MATH</v>
          </cell>
          <cell r="L124" t="str">
            <v>MUS 100</v>
          </cell>
        </row>
        <row r="125">
          <cell r="J125" t="str">
            <v>GEO 160</v>
          </cell>
          <cell r="K125" t="str">
            <v>TRN SCI</v>
          </cell>
          <cell r="L125" t="str">
            <v>MUS 104</v>
          </cell>
        </row>
        <row r="126">
          <cell r="J126" t="str">
            <v>GEO 172</v>
          </cell>
          <cell r="K126" t="str">
            <v>TRN SCILAB</v>
          </cell>
          <cell r="L126" t="str">
            <v>MUS 206</v>
          </cell>
        </row>
        <row r="127">
          <cell r="J127" t="str">
            <v>GEO 210</v>
          </cell>
          <cell r="L127" t="str">
            <v>MUS 207</v>
          </cell>
        </row>
        <row r="128">
          <cell r="J128" t="str">
            <v>GEO 222</v>
          </cell>
          <cell r="L128" t="str">
            <v>MUS 208</v>
          </cell>
        </row>
        <row r="129">
          <cell r="J129" t="str">
            <v>GEO 240</v>
          </cell>
          <cell r="L129" t="str">
            <v>MUS 222</v>
          </cell>
        </row>
        <row r="130">
          <cell r="J130" t="str">
            <v>GEO 251</v>
          </cell>
          <cell r="L130" t="str">
            <v>PHI 100</v>
          </cell>
        </row>
        <row r="131">
          <cell r="J131" t="str">
            <v>GER 101</v>
          </cell>
          <cell r="L131" t="str">
            <v>PHI 110</v>
          </cell>
        </row>
        <row r="132">
          <cell r="J132" t="str">
            <v>GER 102</v>
          </cell>
          <cell r="L132" t="str">
            <v>PHI 120</v>
          </cell>
        </row>
        <row r="133">
          <cell r="J133" t="str">
            <v>GER 201</v>
          </cell>
          <cell r="L133" t="str">
            <v>PHI 130</v>
          </cell>
        </row>
        <row r="134">
          <cell r="J134" t="str">
            <v>GER 202</v>
          </cell>
          <cell r="L134" t="str">
            <v>PHI 140</v>
          </cell>
        </row>
        <row r="135">
          <cell r="J135" t="str">
            <v>GLY 101</v>
          </cell>
          <cell r="L135" t="str">
            <v>PHI 150</v>
          </cell>
        </row>
        <row r="136">
          <cell r="J136" t="str">
            <v>GLY 102</v>
          </cell>
          <cell r="L136" t="str">
            <v>PHI 260</v>
          </cell>
        </row>
        <row r="137">
          <cell r="J137" t="str">
            <v>GLY 110</v>
          </cell>
          <cell r="L137" t="str">
            <v>PHI 270</v>
          </cell>
        </row>
        <row r="138">
          <cell r="J138" t="str">
            <v>GLY 111L</v>
          </cell>
          <cell r="L138" t="str">
            <v>POL 101</v>
          </cell>
        </row>
        <row r="139">
          <cell r="J139" t="str">
            <v>GLY 112L</v>
          </cell>
          <cell r="L139" t="str">
            <v>POL 210</v>
          </cell>
        </row>
        <row r="140">
          <cell r="J140" t="str">
            <v>GLY 130</v>
          </cell>
          <cell r="L140" t="str">
            <v>POL 212</v>
          </cell>
        </row>
        <row r="141">
          <cell r="J141" t="str">
            <v>GLY 220L</v>
          </cell>
          <cell r="L141" t="str">
            <v>POL 235</v>
          </cell>
        </row>
        <row r="142">
          <cell r="J142" t="str">
            <v>HIS 101</v>
          </cell>
          <cell r="L142" t="str">
            <v>POL 255</v>
          </cell>
        </row>
        <row r="143">
          <cell r="J143" t="str">
            <v>HIS 102</v>
          </cell>
          <cell r="L143" t="str">
            <v>PSY 100</v>
          </cell>
        </row>
        <row r="144">
          <cell r="J144" t="str">
            <v>HIS 104</v>
          </cell>
          <cell r="L144" t="str">
            <v>PSY 110</v>
          </cell>
        </row>
        <row r="145">
          <cell r="J145" t="str">
            <v>HIS 105</v>
          </cell>
          <cell r="L145" t="str">
            <v>PSY 180</v>
          </cell>
        </row>
        <row r="146">
          <cell r="J146" t="str">
            <v>HIS 106</v>
          </cell>
          <cell r="L146" t="str">
            <v>PSY 185</v>
          </cell>
        </row>
        <row r="147">
          <cell r="J147" t="str">
            <v>HIS 107</v>
          </cell>
          <cell r="L147" t="str">
            <v>PSY 223</v>
          </cell>
        </row>
        <row r="148">
          <cell r="J148" t="str">
            <v>HIS 108</v>
          </cell>
          <cell r="L148" t="str">
            <v>PSY 230</v>
          </cell>
        </row>
        <row r="149">
          <cell r="J149" t="str">
            <v>HIS 109</v>
          </cell>
          <cell r="L149" t="str">
            <v>PSY 297</v>
          </cell>
        </row>
        <row r="150">
          <cell r="J150" t="str">
            <v>HIS 120</v>
          </cell>
          <cell r="L150" t="str">
            <v>PSY 298</v>
          </cell>
        </row>
        <row r="151">
          <cell r="J151" t="str">
            <v>HIS 202</v>
          </cell>
          <cell r="L151" t="str">
            <v>RAE 120</v>
          </cell>
        </row>
        <row r="152">
          <cell r="J152" t="str">
            <v>HIS 203</v>
          </cell>
          <cell r="L152" t="str">
            <v>RAE 150</v>
          </cell>
        </row>
        <row r="153">
          <cell r="J153" t="str">
            <v>HIS 206</v>
          </cell>
          <cell r="L153" t="str">
            <v>RAE 151</v>
          </cell>
        </row>
        <row r="154">
          <cell r="J154" t="str">
            <v>HIS 207</v>
          </cell>
          <cell r="L154" t="str">
            <v>REL 100</v>
          </cell>
        </row>
        <row r="155">
          <cell r="J155" t="str">
            <v>HIS 240</v>
          </cell>
          <cell r="L155" t="str">
            <v>REL 101</v>
          </cell>
        </row>
        <row r="156">
          <cell r="J156" t="str">
            <v>HIS 247</v>
          </cell>
          <cell r="L156" t="str">
            <v>REL 130*</v>
          </cell>
        </row>
        <row r="157">
          <cell r="J157" t="str">
            <v>HIS 248</v>
          </cell>
          <cell r="L157" t="str">
            <v>SED 101</v>
          </cell>
        </row>
        <row r="158">
          <cell r="J158" t="str">
            <v>HIS 254</v>
          </cell>
          <cell r="L158" t="str">
            <v>SED 102</v>
          </cell>
        </row>
        <row r="159">
          <cell r="J159" t="str">
            <v>HIS 260</v>
          </cell>
          <cell r="L159" t="str">
            <v>SED 203</v>
          </cell>
        </row>
        <row r="160">
          <cell r="J160" t="str">
            <v>HIS 261</v>
          </cell>
          <cell r="L160" t="str">
            <v>SED 204</v>
          </cell>
        </row>
        <row r="161">
          <cell r="J161" t="str">
            <v>HIS 265</v>
          </cell>
          <cell r="L161" t="str">
            <v>SOC 101</v>
          </cell>
        </row>
        <row r="162">
          <cell r="J162" t="str">
            <v>HIS 270</v>
          </cell>
          <cell r="L162" t="str">
            <v>SOC 151</v>
          </cell>
        </row>
        <row r="163">
          <cell r="J163" t="str">
            <v>HIS 271</v>
          </cell>
          <cell r="L163" t="str">
            <v>SOC 152</v>
          </cell>
        </row>
        <row r="164">
          <cell r="J164" t="str">
            <v>HIS 295</v>
          </cell>
          <cell r="L164" t="str">
            <v>SOC 220</v>
          </cell>
        </row>
        <row r="165">
          <cell r="J165" t="str">
            <v>HIS 296</v>
          </cell>
          <cell r="L165" t="str">
            <v>SOC 235</v>
          </cell>
        </row>
        <row r="166">
          <cell r="J166" t="str">
            <v>HNR 101</v>
          </cell>
          <cell r="L166" t="str">
            <v>SOC 249*</v>
          </cell>
        </row>
        <row r="167">
          <cell r="J167" t="str">
            <v>HON 101</v>
          </cell>
          <cell r="L167" t="str">
            <v>SOC 260</v>
          </cell>
        </row>
        <row r="168">
          <cell r="J168" t="str">
            <v>HON 102</v>
          </cell>
          <cell r="L168" t="str">
            <v>SPA 101</v>
          </cell>
        </row>
        <row r="169">
          <cell r="J169" t="str">
            <v>HON 201</v>
          </cell>
          <cell r="L169" t="str">
            <v>SPA 102</v>
          </cell>
        </row>
        <row r="170">
          <cell r="J170" t="str">
            <v>HON 202</v>
          </cell>
          <cell r="L170" t="str">
            <v>SPA 115</v>
          </cell>
        </row>
        <row r="171">
          <cell r="J171" t="str">
            <v>HRS 101</v>
          </cell>
          <cell r="L171" t="str">
            <v>SPA 201</v>
          </cell>
        </row>
        <row r="172">
          <cell r="J172" t="str">
            <v>HRS 102</v>
          </cell>
          <cell r="L172" t="str">
            <v>SPA 202</v>
          </cell>
        </row>
        <row r="173">
          <cell r="J173" t="str">
            <v>HRS 201</v>
          </cell>
          <cell r="L173" t="str">
            <v>SWK 275</v>
          </cell>
        </row>
        <row r="174">
          <cell r="J174" t="str">
            <v>HRS 202</v>
          </cell>
          <cell r="L174" t="str">
            <v>THA 101</v>
          </cell>
        </row>
        <row r="175">
          <cell r="J175" t="str">
            <v>HUM 120</v>
          </cell>
          <cell r="L175" t="str">
            <v>THA 200</v>
          </cell>
        </row>
        <row r="176">
          <cell r="J176" t="str">
            <v>HUM 121</v>
          </cell>
          <cell r="L176" t="str">
            <v>THA 283</v>
          </cell>
        </row>
        <row r="177">
          <cell r="J177" t="str">
            <v>HUM 135</v>
          </cell>
          <cell r="L177" t="str">
            <v>WGS 200</v>
          </cell>
        </row>
        <row r="178">
          <cell r="J178" t="str">
            <v>HUM 140</v>
          </cell>
          <cell r="L178" t="str">
            <v>WGS 201</v>
          </cell>
        </row>
        <row r="179">
          <cell r="J179" t="str">
            <v>HUM 150</v>
          </cell>
          <cell r="L179" t="str">
            <v>TRN FORLANG</v>
          </cell>
        </row>
        <row r="180">
          <cell r="J180" t="str">
            <v>HUM 202</v>
          </cell>
          <cell r="L180" t="str">
            <v>TRN GEN I</v>
          </cell>
        </row>
        <row r="181">
          <cell r="J181" t="str">
            <v>HUM 203</v>
          </cell>
          <cell r="L181" t="str">
            <v>TRN GEN II</v>
          </cell>
        </row>
        <row r="182">
          <cell r="J182" t="str">
            <v>HUM 204</v>
          </cell>
          <cell r="L182" t="str">
            <v>TRN HER</v>
          </cell>
        </row>
        <row r="183">
          <cell r="J183" t="str">
            <v>HUM 220</v>
          </cell>
          <cell r="L183" t="str">
            <v>TRN HUM</v>
          </cell>
        </row>
        <row r="184">
          <cell r="J184" t="str">
            <v>HUM 221</v>
          </cell>
          <cell r="L184" t="str">
            <v>TRN SOCIAL</v>
          </cell>
        </row>
        <row r="185">
          <cell r="J185" t="str">
            <v>HUM 230</v>
          </cell>
        </row>
        <row r="186">
          <cell r="J186" t="str">
            <v>HUM 250</v>
          </cell>
        </row>
        <row r="187">
          <cell r="J187" t="str">
            <v>HUM 251</v>
          </cell>
        </row>
        <row r="188">
          <cell r="J188" t="str">
            <v>HUM 281*</v>
          </cell>
        </row>
        <row r="189">
          <cell r="J189" t="str">
            <v>HUM 282*</v>
          </cell>
        </row>
        <row r="190">
          <cell r="J190" t="str">
            <v>JPN 101</v>
          </cell>
        </row>
        <row r="191">
          <cell r="J191" t="str">
            <v>JPN 102</v>
          </cell>
        </row>
        <row r="192">
          <cell r="J192" t="str">
            <v>MA 110</v>
          </cell>
        </row>
        <row r="193">
          <cell r="J193" t="str">
            <v>MA 111</v>
          </cell>
        </row>
        <row r="194">
          <cell r="J194" t="str">
            <v>MA 112</v>
          </cell>
        </row>
        <row r="195">
          <cell r="J195" t="str">
            <v>MA 113</v>
          </cell>
        </row>
        <row r="196">
          <cell r="J196" t="str">
            <v>MA 114</v>
          </cell>
        </row>
        <row r="197">
          <cell r="J197" t="str">
            <v>MA 123</v>
          </cell>
        </row>
        <row r="198">
          <cell r="J198" t="str">
            <v>MA 162</v>
          </cell>
        </row>
        <row r="199">
          <cell r="J199" t="str">
            <v>MA 193</v>
          </cell>
        </row>
        <row r="200">
          <cell r="J200" t="str">
            <v>MA 194</v>
          </cell>
        </row>
        <row r="201">
          <cell r="J201" t="str">
            <v>MA 201</v>
          </cell>
        </row>
        <row r="202">
          <cell r="J202" t="str">
            <v>MA 202</v>
          </cell>
        </row>
        <row r="203">
          <cell r="J203" t="str">
            <v>MA 213</v>
          </cell>
        </row>
        <row r="204">
          <cell r="J204" t="str">
            <v>MA 214</v>
          </cell>
        </row>
        <row r="205">
          <cell r="J205" t="str">
            <v>MA 241</v>
          </cell>
        </row>
        <row r="206">
          <cell r="J206" t="str">
            <v>MAT 146*</v>
          </cell>
        </row>
        <row r="207">
          <cell r="J207" t="str">
            <v>MAT 150</v>
          </cell>
        </row>
        <row r="208">
          <cell r="J208" t="str">
            <v>MAT 154</v>
          </cell>
        </row>
        <row r="209">
          <cell r="J209" t="str">
            <v>MAT 155</v>
          </cell>
        </row>
        <row r="210">
          <cell r="J210" t="str">
            <v>MAT 159</v>
          </cell>
        </row>
        <row r="211">
          <cell r="J211" t="str">
            <v>MAT 160</v>
          </cell>
        </row>
        <row r="212">
          <cell r="J212" t="str">
            <v>MAT 165</v>
          </cell>
        </row>
        <row r="213">
          <cell r="J213" t="str">
            <v>MAT 170</v>
          </cell>
        </row>
        <row r="214">
          <cell r="J214" t="str">
            <v>MAT 174</v>
          </cell>
        </row>
        <row r="215">
          <cell r="J215" t="str">
            <v>MAT 175</v>
          </cell>
        </row>
        <row r="216">
          <cell r="J216" t="str">
            <v>MAT 184</v>
          </cell>
        </row>
        <row r="217">
          <cell r="J217" t="str">
            <v>MAT 185</v>
          </cell>
        </row>
        <row r="218">
          <cell r="J218" t="str">
            <v>MAT 206</v>
          </cell>
        </row>
        <row r="219">
          <cell r="J219" t="str">
            <v>MAT 275</v>
          </cell>
        </row>
        <row r="220">
          <cell r="J220" t="str">
            <v>MAT 285</v>
          </cell>
        </row>
        <row r="221">
          <cell r="J221" t="str">
            <v>MU 101</v>
          </cell>
        </row>
        <row r="222">
          <cell r="J222" t="str">
            <v>MUS 100</v>
          </cell>
        </row>
        <row r="223">
          <cell r="J223" t="str">
            <v>MUS 104</v>
          </cell>
        </row>
        <row r="224">
          <cell r="J224" t="str">
            <v>MUS 206</v>
          </cell>
        </row>
        <row r="225">
          <cell r="J225" t="str">
            <v>MUS 207</v>
          </cell>
        </row>
        <row r="226">
          <cell r="J226" t="str">
            <v>MUS 208</v>
          </cell>
        </row>
        <row r="227">
          <cell r="J227" t="str">
            <v>MUS 222</v>
          </cell>
        </row>
        <row r="228">
          <cell r="J228" t="str">
            <v>PGY 206</v>
          </cell>
        </row>
        <row r="229">
          <cell r="J229" t="str">
            <v>PH 217L</v>
          </cell>
        </row>
        <row r="230">
          <cell r="J230" t="str">
            <v>PHI 100</v>
          </cell>
        </row>
        <row r="231">
          <cell r="J231" t="str">
            <v>PHI 110</v>
          </cell>
        </row>
        <row r="232">
          <cell r="J232" t="str">
            <v>PHI 120</v>
          </cell>
        </row>
        <row r="233">
          <cell r="J233" t="str">
            <v>PHI 130</v>
          </cell>
        </row>
        <row r="234">
          <cell r="J234" t="str">
            <v>PHI 140</v>
          </cell>
        </row>
        <row r="235">
          <cell r="J235" t="str">
            <v>PHI 150</v>
          </cell>
        </row>
        <row r="236">
          <cell r="J236" t="str">
            <v>PHI 260</v>
          </cell>
        </row>
        <row r="237">
          <cell r="J237" t="str">
            <v>PHI 270</v>
          </cell>
        </row>
        <row r="238">
          <cell r="J238" t="str">
            <v>PHY 151</v>
          </cell>
        </row>
        <row r="239">
          <cell r="J239" t="str">
            <v>PHY 152</v>
          </cell>
        </row>
        <row r="240">
          <cell r="J240" t="str">
            <v>PHY 160L</v>
          </cell>
        </row>
        <row r="241">
          <cell r="J241" t="str">
            <v>PHY 161L</v>
          </cell>
        </row>
        <row r="242">
          <cell r="J242" t="str">
            <v>PHY 162L</v>
          </cell>
        </row>
        <row r="243">
          <cell r="J243" t="str">
            <v>PHY 171</v>
          </cell>
        </row>
        <row r="244">
          <cell r="J244" t="str">
            <v>PHY 172</v>
          </cell>
        </row>
        <row r="245">
          <cell r="J245" t="str">
            <v>PHY 201</v>
          </cell>
        </row>
        <row r="246">
          <cell r="J246" t="str">
            <v>PHY 202L</v>
          </cell>
        </row>
        <row r="247">
          <cell r="J247" t="str">
            <v>PHY 203</v>
          </cell>
        </row>
        <row r="248">
          <cell r="J248" t="str">
            <v>PHY 204L</v>
          </cell>
        </row>
        <row r="249">
          <cell r="J249" t="str">
            <v>PHY 211L</v>
          </cell>
        </row>
        <row r="250">
          <cell r="J250" t="str">
            <v>PHY 213L</v>
          </cell>
        </row>
        <row r="251">
          <cell r="J251" t="str">
            <v>PHY 231</v>
          </cell>
        </row>
        <row r="252">
          <cell r="J252" t="str">
            <v>PHY 232</v>
          </cell>
        </row>
        <row r="253">
          <cell r="J253" t="str">
            <v>PHY 241L</v>
          </cell>
        </row>
        <row r="254">
          <cell r="J254" t="str">
            <v>PHY 242L</v>
          </cell>
        </row>
        <row r="255">
          <cell r="J255" t="str">
            <v>POL 101</v>
          </cell>
        </row>
        <row r="256">
          <cell r="J256" t="str">
            <v>POL 210</v>
          </cell>
        </row>
        <row r="257">
          <cell r="J257" t="str">
            <v>POL 212</v>
          </cell>
        </row>
        <row r="258">
          <cell r="J258" t="str">
            <v>POL 235</v>
          </cell>
        </row>
        <row r="259">
          <cell r="J259" t="str">
            <v>POL 255</v>
          </cell>
        </row>
        <row r="260">
          <cell r="J260" t="str">
            <v>PSY 100</v>
          </cell>
        </row>
        <row r="261">
          <cell r="J261" t="str">
            <v>PSY 110</v>
          </cell>
        </row>
        <row r="262">
          <cell r="J262" t="str">
            <v>PSY 180</v>
          </cell>
        </row>
        <row r="263">
          <cell r="J263" t="str">
            <v>PSY 185</v>
          </cell>
        </row>
        <row r="264">
          <cell r="J264" t="str">
            <v>PSY 223</v>
          </cell>
        </row>
        <row r="265">
          <cell r="J265" t="str">
            <v>PSY 230</v>
          </cell>
        </row>
        <row r="266">
          <cell r="J266" t="str">
            <v>PSY 297</v>
          </cell>
        </row>
        <row r="267">
          <cell r="J267" t="str">
            <v>PSY 298</v>
          </cell>
        </row>
        <row r="268">
          <cell r="J268" t="str">
            <v>RAE 120</v>
          </cell>
        </row>
        <row r="269">
          <cell r="J269" t="str">
            <v>RAE 150</v>
          </cell>
        </row>
        <row r="270">
          <cell r="J270" t="str">
            <v>RAE 151</v>
          </cell>
        </row>
        <row r="271">
          <cell r="J271" t="str">
            <v>REL 100</v>
          </cell>
        </row>
        <row r="272">
          <cell r="J272" t="str">
            <v>REL 101</v>
          </cell>
        </row>
        <row r="273">
          <cell r="J273" t="str">
            <v>REL 130*</v>
          </cell>
        </row>
        <row r="274">
          <cell r="J274" t="str">
            <v>SCI 100</v>
          </cell>
        </row>
        <row r="275">
          <cell r="J275" t="str">
            <v>SCI 295</v>
          </cell>
        </row>
        <row r="276">
          <cell r="J276" t="str">
            <v>SED 101</v>
          </cell>
        </row>
        <row r="277">
          <cell r="J277" t="str">
            <v>SED 102</v>
          </cell>
        </row>
        <row r="278">
          <cell r="J278" t="str">
            <v>SED 203</v>
          </cell>
        </row>
        <row r="279">
          <cell r="J279" t="str">
            <v>SED 204</v>
          </cell>
        </row>
        <row r="280">
          <cell r="J280" t="str">
            <v>SOC 101</v>
          </cell>
        </row>
        <row r="281">
          <cell r="J281" t="str">
            <v>SOC 151</v>
          </cell>
        </row>
        <row r="282">
          <cell r="J282" t="str">
            <v>SOC 152</v>
          </cell>
        </row>
        <row r="283">
          <cell r="J283" t="str">
            <v>SOC 220</v>
          </cell>
        </row>
        <row r="284">
          <cell r="J284" t="str">
            <v>SOC 235</v>
          </cell>
        </row>
        <row r="285">
          <cell r="J285" t="str">
            <v>SOC 249*</v>
          </cell>
        </row>
        <row r="286">
          <cell r="J286" t="str">
            <v>SOC 260</v>
          </cell>
        </row>
        <row r="287">
          <cell r="J287" t="str">
            <v>SPA 101</v>
          </cell>
        </row>
        <row r="288">
          <cell r="J288" t="str">
            <v>SPA 102</v>
          </cell>
        </row>
        <row r="289">
          <cell r="J289" t="str">
            <v>SPA 115</v>
          </cell>
        </row>
        <row r="290">
          <cell r="J290" t="str">
            <v>SPA 201</v>
          </cell>
        </row>
        <row r="291">
          <cell r="J291" t="str">
            <v>SPA 202</v>
          </cell>
        </row>
        <row r="292">
          <cell r="J292" t="str">
            <v>STA 200</v>
          </cell>
        </row>
        <row r="293">
          <cell r="J293" t="str">
            <v>STA 210</v>
          </cell>
        </row>
        <row r="294">
          <cell r="J294" t="str">
            <v>STA 220</v>
          </cell>
        </row>
        <row r="295">
          <cell r="J295" t="str">
            <v>STA 291</v>
          </cell>
        </row>
        <row r="296">
          <cell r="J296" t="str">
            <v>SWK 275</v>
          </cell>
        </row>
        <row r="297">
          <cell r="J297" t="str">
            <v>THA 101</v>
          </cell>
        </row>
        <row r="298">
          <cell r="J298" t="str">
            <v>THA 200</v>
          </cell>
        </row>
        <row r="299">
          <cell r="J299" t="str">
            <v>THA 283</v>
          </cell>
        </row>
        <row r="300">
          <cell r="J300" t="str">
            <v>WGS 200</v>
          </cell>
        </row>
        <row r="301">
          <cell r="J301" t="str">
            <v>WGS 201</v>
          </cell>
        </row>
        <row r="302">
          <cell r="J302" t="str">
            <v>TRN COM</v>
          </cell>
        </row>
        <row r="303">
          <cell r="J303" t="str">
            <v>TRN ENG</v>
          </cell>
        </row>
        <row r="304">
          <cell r="J304" t="str">
            <v>TRN FORLANG</v>
          </cell>
        </row>
        <row r="305">
          <cell r="J305" t="str">
            <v>TRN GEN I</v>
          </cell>
        </row>
        <row r="306">
          <cell r="J306" t="str">
            <v>TRN GEN II</v>
          </cell>
        </row>
        <row r="307">
          <cell r="J307" t="str">
            <v>TRN HER</v>
          </cell>
        </row>
        <row r="308">
          <cell r="J308" t="str">
            <v>TRN HUM</v>
          </cell>
        </row>
        <row r="309">
          <cell r="J309" t="str">
            <v>TRN MATH</v>
          </cell>
        </row>
        <row r="310">
          <cell r="J310" t="str">
            <v>TRN SCI</v>
          </cell>
        </row>
        <row r="311">
          <cell r="J311" t="str">
            <v>TRN SCILAB</v>
          </cell>
        </row>
        <row r="312">
          <cell r="J312" t="str">
            <v>TRN SOCIAL</v>
          </cell>
        </row>
      </sheetData>
      <sheetData sheetId="8">
        <row r="6">
          <cell r="J6" t="str">
            <v>A</v>
          </cell>
          <cell r="K6">
            <v>1</v>
          </cell>
          <cell r="L6" t="str">
            <v>Complete</v>
          </cell>
        </row>
        <row r="7">
          <cell r="J7" t="str">
            <v>B</v>
          </cell>
          <cell r="K7">
            <v>2</v>
          </cell>
          <cell r="L7" t="str">
            <v>Incomplete</v>
          </cell>
        </row>
        <row r="8">
          <cell r="J8" t="str">
            <v>C</v>
          </cell>
          <cell r="K8">
            <v>3</v>
          </cell>
          <cell r="L8" t="str">
            <v>IPS</v>
          </cell>
        </row>
        <row r="9">
          <cell r="J9" t="str">
            <v>D</v>
          </cell>
          <cell r="K9">
            <v>4</v>
          </cell>
        </row>
        <row r="10">
          <cell r="J10" t="str">
            <v>P</v>
          </cell>
        </row>
        <row r="11">
          <cell r="J11" t="str">
            <v>TRN</v>
          </cell>
        </row>
        <row r="12">
          <cell r="J12" t="str">
            <v>IPS</v>
          </cell>
        </row>
        <row r="25">
          <cell r="A25" t="str">
            <v>None</v>
          </cell>
          <cell r="E25" t="str">
            <v>None</v>
          </cell>
        </row>
        <row r="26">
          <cell r="A26" t="str">
            <v>Allied Health</v>
          </cell>
          <cell r="E26" t="str">
            <v>African American Studies</v>
          </cell>
          <cell r="J26" t="str">
            <v>A</v>
          </cell>
          <cell r="K26">
            <v>1</v>
          </cell>
        </row>
        <row r="27">
          <cell r="A27" t="str">
            <v>Chemistry</v>
          </cell>
          <cell r="E27" t="str">
            <v>Anthropology</v>
          </cell>
          <cell r="J27" t="str">
            <v>B</v>
          </cell>
          <cell r="K27">
            <v>2</v>
          </cell>
        </row>
        <row r="28">
          <cell r="A28" t="str">
            <v>Computer Science</v>
          </cell>
          <cell r="E28" t="str">
            <v>Communication</v>
          </cell>
          <cell r="J28" t="str">
            <v>C</v>
          </cell>
          <cell r="K28">
            <v>3</v>
          </cell>
        </row>
        <row r="29">
          <cell r="A29" t="str">
            <v>Mathematics</v>
          </cell>
          <cell r="E29" t="str">
            <v>Criminal Justice</v>
          </cell>
          <cell r="J29" t="str">
            <v>D</v>
          </cell>
          <cell r="K29">
            <v>4</v>
          </cell>
        </row>
        <row r="30">
          <cell r="A30" t="str">
            <v>Natural Sciences</v>
          </cell>
          <cell r="E30" t="str">
            <v>English</v>
          </cell>
          <cell r="J30" t="str">
            <v>E</v>
          </cell>
        </row>
        <row r="31">
          <cell r="A31" t="str">
            <v>Pre-Education</v>
          </cell>
          <cell r="E31" t="str">
            <v>Family Studies</v>
          </cell>
        </row>
        <row r="32">
          <cell r="A32" t="str">
            <v>Pre-Engineering</v>
          </cell>
          <cell r="E32" t="str">
            <v>Film Studies</v>
          </cell>
        </row>
        <row r="33">
          <cell r="E33" t="str">
            <v>Geography</v>
          </cell>
        </row>
        <row r="34">
          <cell r="E34" t="str">
            <v>History</v>
          </cell>
        </row>
        <row r="35">
          <cell r="E35" t="str">
            <v>Journalism</v>
          </cell>
        </row>
        <row r="36">
          <cell r="E36" t="str">
            <v>Peace &amp; Justice Studies</v>
          </cell>
        </row>
        <row r="37">
          <cell r="E37" t="str">
            <v>Philosophy</v>
          </cell>
        </row>
        <row r="38">
          <cell r="E38" t="str">
            <v>Political Science</v>
          </cell>
        </row>
        <row r="39">
          <cell r="E39" t="str">
            <v>Pre-Business</v>
          </cell>
        </row>
        <row r="40">
          <cell r="E40" t="str">
            <v>Social Work</v>
          </cell>
        </row>
        <row r="41">
          <cell r="E41" t="str">
            <v>Sociology</v>
          </cell>
        </row>
        <row r="42">
          <cell r="E42" t="str">
            <v>Women's Studies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nathan.smith@kctcs.edu" TargetMode="External"/><Relationship Id="rId1" Type="http://schemas.openxmlformats.org/officeDocument/2006/relationships/hyperlink" Target="mailto:nathan.smith@kctcs.edu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AA303"/>
  <sheetViews>
    <sheetView tabSelected="1" workbookViewId="0">
      <selection activeCell="A3" sqref="A3"/>
    </sheetView>
  </sheetViews>
  <sheetFormatPr defaultRowHeight="15" x14ac:dyDescent="0.25"/>
  <cols>
    <col min="1" max="1" width="21.42578125" customWidth="1"/>
    <col min="2" max="2" width="15.85546875" customWidth="1"/>
    <col min="3" max="4" width="8.7109375" customWidth="1"/>
    <col min="5" max="5" width="14.7109375" customWidth="1"/>
    <col min="6" max="6" width="16.7109375" customWidth="1"/>
    <col min="7" max="8" width="6.7109375" customWidth="1"/>
    <col min="9" max="9" width="3.7109375" customWidth="1"/>
    <col min="10" max="10" width="16.7109375" customWidth="1"/>
    <col min="11" max="12" width="6.7109375" customWidth="1"/>
    <col min="13" max="13" width="9.140625" style="55" customWidth="1"/>
    <col min="14" max="14" width="20.7109375" customWidth="1"/>
    <col min="15" max="15" width="18.85546875" customWidth="1"/>
    <col min="16" max="16" width="14.7109375" customWidth="1"/>
  </cols>
  <sheetData>
    <row r="1" spans="1:27" ht="19.5" thickBot="1" x14ac:dyDescent="0.3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3"/>
      <c r="N1" s="1"/>
      <c r="O1" s="1"/>
      <c r="P1" s="4" t="s">
        <v>1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6.5" thickTop="1" thickBot="1" x14ac:dyDescent="0.3">
      <c r="A2" s="1"/>
      <c r="B2" s="1"/>
      <c r="C2" s="6" t="s">
        <v>2</v>
      </c>
      <c r="D2" s="6"/>
      <c r="E2" s="6"/>
      <c r="F2" s="6"/>
      <c r="G2" s="6"/>
      <c r="H2" s="6"/>
      <c r="I2" s="6"/>
      <c r="J2" s="6"/>
      <c r="K2" s="6"/>
      <c r="L2" s="6"/>
      <c r="M2" s="3"/>
      <c r="N2" s="1"/>
      <c r="O2" s="1"/>
      <c r="P2" s="7" t="s">
        <v>3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6.5" thickTop="1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3"/>
      <c r="N3" s="1"/>
      <c r="O3" s="1"/>
      <c r="P3" s="7" t="s">
        <v>4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s="11" customFormat="1" ht="21" thickTop="1" thickBot="1" x14ac:dyDescent="0.35">
      <c r="A4" s="1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9"/>
      <c r="N4" s="8"/>
      <c r="O4" s="8"/>
      <c r="P4" s="7" t="s">
        <v>5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19.5" thickTop="1" x14ac:dyDescent="0.3">
      <c r="A5" s="1"/>
      <c r="B5" s="3"/>
      <c r="C5" s="12" t="s">
        <v>6</v>
      </c>
      <c r="D5" s="12"/>
      <c r="E5" s="12"/>
      <c r="F5" s="12"/>
      <c r="G5" s="12"/>
      <c r="H5" s="12"/>
      <c r="I5" s="12"/>
      <c r="J5" s="12"/>
      <c r="K5" s="12"/>
      <c r="L5" s="12"/>
      <c r="M5" s="3"/>
      <c r="N5" s="13"/>
      <c r="O5" s="13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s="18" customFormat="1" ht="20.100000000000001" customHeight="1" x14ac:dyDescent="0.25">
      <c r="A6" s="14"/>
      <c r="B6" s="15"/>
      <c r="C6" s="16" t="s">
        <v>7</v>
      </c>
      <c r="D6" s="16"/>
      <c r="E6" s="16"/>
      <c r="F6" s="16"/>
      <c r="G6" s="16"/>
      <c r="H6" s="16"/>
      <c r="I6" s="16"/>
      <c r="J6" s="16"/>
      <c r="K6" s="16"/>
      <c r="L6" s="16"/>
      <c r="M6" s="15"/>
      <c r="N6" s="1"/>
      <c r="O6" s="1"/>
      <c r="P6" s="5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spans="1:27" x14ac:dyDescent="0.25">
      <c r="A7" s="1"/>
      <c r="B7" s="3"/>
      <c r="C7" s="19" t="s">
        <v>8</v>
      </c>
      <c r="D7" s="20" t="s">
        <v>9</v>
      </c>
      <c r="E7" s="20"/>
      <c r="F7" s="20"/>
      <c r="G7" s="19"/>
      <c r="H7" s="19" t="s">
        <v>10</v>
      </c>
      <c r="I7" s="19"/>
      <c r="J7" s="21">
        <v>40948</v>
      </c>
      <c r="K7" s="22"/>
      <c r="L7" s="19"/>
      <c r="M7" s="3"/>
      <c r="N7" s="1"/>
      <c r="O7" s="1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x14ac:dyDescent="0.25">
      <c r="A8" s="1"/>
      <c r="B8" s="3"/>
      <c r="C8" s="19" t="s">
        <v>11</v>
      </c>
      <c r="D8" s="23" t="s">
        <v>12</v>
      </c>
      <c r="E8" s="24"/>
      <c r="F8" s="19"/>
      <c r="G8" s="19"/>
      <c r="H8" s="19" t="s">
        <v>13</v>
      </c>
      <c r="I8" s="19"/>
      <c r="J8" s="25" t="s">
        <v>14</v>
      </c>
      <c r="K8" s="26"/>
      <c r="L8" s="19"/>
      <c r="M8" s="3"/>
      <c r="N8" s="1"/>
      <c r="O8" s="1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x14ac:dyDescent="0.25">
      <c r="A9" s="1"/>
      <c r="B9" s="3"/>
      <c r="C9" s="27"/>
      <c r="D9" s="27"/>
      <c r="E9" s="27"/>
      <c r="F9" s="27"/>
      <c r="G9" s="27"/>
      <c r="H9" s="27"/>
      <c r="I9" s="27"/>
      <c r="J9" s="27"/>
      <c r="K9" s="27"/>
      <c r="L9" s="27"/>
      <c r="M9" s="3"/>
      <c r="N9" s="1"/>
      <c r="O9" s="1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x14ac:dyDescent="0.25">
      <c r="A10" s="1"/>
      <c r="B10" s="3"/>
      <c r="C10" s="28" t="s">
        <v>15</v>
      </c>
      <c r="D10" s="28"/>
      <c r="E10" s="28"/>
      <c r="F10" s="28"/>
      <c r="G10" s="28"/>
      <c r="H10" s="28"/>
      <c r="I10" s="28"/>
      <c r="J10" s="29" t="s">
        <v>16</v>
      </c>
      <c r="K10" s="30">
        <f>SUM(G12,G16,G17,G18,K18,K17,K16,K15,K14,K13,K12)</f>
        <v>24</v>
      </c>
      <c r="L10" s="29" t="s">
        <v>17</v>
      </c>
      <c r="M10" s="3"/>
      <c r="N10" s="1"/>
      <c r="O10" s="1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x14ac:dyDescent="0.25">
      <c r="A11" s="1"/>
      <c r="B11" s="3"/>
      <c r="C11" s="31"/>
      <c r="D11" s="19"/>
      <c r="E11" s="19"/>
      <c r="F11" s="32" t="s">
        <v>18</v>
      </c>
      <c r="G11" s="32" t="s">
        <v>19</v>
      </c>
      <c r="H11" s="32" t="s">
        <v>20</v>
      </c>
      <c r="I11" s="19"/>
      <c r="J11" s="32" t="s">
        <v>18</v>
      </c>
      <c r="K11" s="32" t="s">
        <v>19</v>
      </c>
      <c r="L11" s="32" t="s">
        <v>20</v>
      </c>
      <c r="M11" s="3"/>
      <c r="N11" s="1"/>
      <c r="O11" s="1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x14ac:dyDescent="0.25">
      <c r="A12" s="1"/>
      <c r="B12" s="3"/>
      <c r="C12" s="33" t="s">
        <v>21</v>
      </c>
      <c r="D12" s="33"/>
      <c r="E12" s="33"/>
      <c r="F12" s="34" t="s">
        <v>22</v>
      </c>
      <c r="G12" s="35">
        <v>3</v>
      </c>
      <c r="H12" s="35" t="s">
        <v>23</v>
      </c>
      <c r="I12" s="36"/>
      <c r="J12" s="34"/>
      <c r="K12" s="35"/>
      <c r="L12" s="35"/>
      <c r="M12" s="3"/>
      <c r="N12" s="13"/>
      <c r="O12" s="1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x14ac:dyDescent="0.25">
      <c r="A13" s="1"/>
      <c r="B13" s="3"/>
      <c r="C13" s="33" t="s">
        <v>24</v>
      </c>
      <c r="D13" s="33"/>
      <c r="E13" s="33"/>
      <c r="F13" s="19"/>
      <c r="G13" s="36"/>
      <c r="H13" s="36"/>
      <c r="I13" s="36"/>
      <c r="J13" s="34" t="s">
        <v>25</v>
      </c>
      <c r="K13" s="35">
        <v>3</v>
      </c>
      <c r="L13" s="35" t="s">
        <v>26</v>
      </c>
      <c r="M13" s="3"/>
      <c r="N13" s="13"/>
      <c r="O13" s="1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x14ac:dyDescent="0.25">
      <c r="A14" s="1"/>
      <c r="B14" s="3"/>
      <c r="C14" s="33" t="s">
        <v>27</v>
      </c>
      <c r="D14" s="33"/>
      <c r="E14" s="33"/>
      <c r="F14" s="19"/>
      <c r="G14" s="36"/>
      <c r="H14" s="36"/>
      <c r="I14" s="36"/>
      <c r="J14" s="34" t="s">
        <v>28</v>
      </c>
      <c r="K14" s="35">
        <v>3</v>
      </c>
      <c r="L14" s="35" t="s">
        <v>29</v>
      </c>
      <c r="M14" s="3"/>
      <c r="N14" s="13"/>
      <c r="O14" s="1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x14ac:dyDescent="0.25">
      <c r="A15" s="1"/>
      <c r="B15" s="3"/>
      <c r="C15" s="33" t="s">
        <v>30</v>
      </c>
      <c r="D15" s="33"/>
      <c r="E15" s="33"/>
      <c r="F15" s="19"/>
      <c r="G15" s="36"/>
      <c r="H15" s="36"/>
      <c r="I15" s="36"/>
      <c r="J15" s="34" t="s">
        <v>31</v>
      </c>
      <c r="K15" s="35">
        <v>3</v>
      </c>
      <c r="L15" s="35" t="s">
        <v>23</v>
      </c>
      <c r="M15" s="3"/>
      <c r="N15" s="1"/>
      <c r="O15" s="1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x14ac:dyDescent="0.25">
      <c r="A16" s="1"/>
      <c r="B16" s="3"/>
      <c r="C16" s="33" t="s">
        <v>32</v>
      </c>
      <c r="D16" s="33"/>
      <c r="E16" s="33"/>
      <c r="F16" s="30" t="s">
        <v>33</v>
      </c>
      <c r="G16" s="35">
        <v>3</v>
      </c>
      <c r="H16" s="35" t="s">
        <v>29</v>
      </c>
      <c r="I16" s="36"/>
      <c r="J16" s="34"/>
      <c r="K16" s="35"/>
      <c r="L16" s="35"/>
      <c r="M16" s="3"/>
      <c r="N16" s="1"/>
      <c r="O16" s="1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x14ac:dyDescent="0.25">
      <c r="A17" s="1"/>
      <c r="B17" s="3"/>
      <c r="C17" s="33" t="s">
        <v>34</v>
      </c>
      <c r="D17" s="33"/>
      <c r="E17" s="33"/>
      <c r="F17" s="30" t="s">
        <v>35</v>
      </c>
      <c r="G17" s="35">
        <v>3</v>
      </c>
      <c r="H17" s="35" t="s">
        <v>23</v>
      </c>
      <c r="I17" s="36"/>
      <c r="J17" s="34"/>
      <c r="K17" s="35"/>
      <c r="L17" s="35"/>
      <c r="M17" s="3"/>
      <c r="N17" s="1"/>
      <c r="O17" s="1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x14ac:dyDescent="0.25">
      <c r="A18" s="1"/>
      <c r="B18" s="3"/>
      <c r="C18" s="33" t="s">
        <v>36</v>
      </c>
      <c r="D18" s="33"/>
      <c r="E18" s="33"/>
      <c r="F18" s="30" t="s">
        <v>37</v>
      </c>
      <c r="G18" s="35">
        <v>3</v>
      </c>
      <c r="H18" s="35" t="s">
        <v>23</v>
      </c>
      <c r="I18" s="36"/>
      <c r="J18" s="34" t="s">
        <v>38</v>
      </c>
      <c r="K18" s="35">
        <v>3</v>
      </c>
      <c r="L18" s="35" t="s">
        <v>29</v>
      </c>
      <c r="M18" s="3"/>
      <c r="N18" s="1"/>
      <c r="O18" s="1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x14ac:dyDescent="0.25">
      <c r="A19" s="1"/>
      <c r="B19" s="3"/>
      <c r="C19" s="37"/>
      <c r="D19" s="36"/>
      <c r="E19" s="36"/>
      <c r="F19" s="36"/>
      <c r="G19" s="36"/>
      <c r="H19" s="36"/>
      <c r="I19" s="36"/>
      <c r="J19" s="19"/>
      <c r="K19" s="19"/>
      <c r="L19" s="19"/>
      <c r="M19" s="3"/>
      <c r="N19" s="1"/>
      <c r="O19" s="1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x14ac:dyDescent="0.25">
      <c r="A20" s="1"/>
      <c r="B20" s="3"/>
      <c r="C20" s="38" t="s">
        <v>39</v>
      </c>
      <c r="D20" s="38"/>
      <c r="E20" s="38"/>
      <c r="F20" s="38"/>
      <c r="G20" s="38"/>
      <c r="H20" s="38"/>
      <c r="I20" s="38"/>
      <c r="J20" s="39" t="s">
        <v>16</v>
      </c>
      <c r="K20" s="30">
        <f>SUM(K22:K25)</f>
        <v>12</v>
      </c>
      <c r="L20" s="39" t="s">
        <v>40</v>
      </c>
      <c r="M20" s="3"/>
      <c r="N20" s="1"/>
      <c r="O20" s="1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x14ac:dyDescent="0.25">
      <c r="A21" s="1"/>
      <c r="B21" s="3"/>
      <c r="C21" s="19"/>
      <c r="D21" s="19"/>
      <c r="E21" s="19"/>
      <c r="F21" s="32"/>
      <c r="G21" s="32"/>
      <c r="H21" s="32"/>
      <c r="I21" s="19"/>
      <c r="J21" s="32" t="s">
        <v>18</v>
      </c>
      <c r="K21" s="32" t="s">
        <v>19</v>
      </c>
      <c r="L21" s="32" t="s">
        <v>20</v>
      </c>
      <c r="M21" s="3"/>
      <c r="N21" s="1"/>
      <c r="O21" s="1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x14ac:dyDescent="0.25">
      <c r="A22" s="1"/>
      <c r="B22" s="3"/>
      <c r="C22" s="19" t="s">
        <v>41</v>
      </c>
      <c r="D22" s="19"/>
      <c r="E22" s="19"/>
      <c r="F22" s="19"/>
      <c r="G22" s="19"/>
      <c r="H22" s="19"/>
      <c r="I22" s="36"/>
      <c r="J22" s="34" t="s">
        <v>42</v>
      </c>
      <c r="K22" s="35">
        <v>3</v>
      </c>
      <c r="L22" s="35" t="s">
        <v>26</v>
      </c>
      <c r="M22" s="3"/>
      <c r="N22" s="1"/>
      <c r="O22" s="1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1"/>
      <c r="B23" s="3"/>
      <c r="C23" s="19"/>
      <c r="D23" s="19"/>
      <c r="E23" s="19"/>
      <c r="F23" s="19"/>
      <c r="G23" s="19"/>
      <c r="H23" s="19"/>
      <c r="I23" s="36"/>
      <c r="J23" s="34" t="s">
        <v>43</v>
      </c>
      <c r="K23" s="35">
        <v>3</v>
      </c>
      <c r="L23" s="35" t="s">
        <v>44</v>
      </c>
      <c r="M23" s="3"/>
      <c r="N23" s="1"/>
      <c r="O23" s="1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x14ac:dyDescent="0.25">
      <c r="A24" s="1"/>
      <c r="B24" s="3"/>
      <c r="C24" s="19" t="s">
        <v>45</v>
      </c>
      <c r="D24" s="19"/>
      <c r="E24" s="19"/>
      <c r="F24" s="19"/>
      <c r="G24" s="19"/>
      <c r="H24" s="19"/>
      <c r="I24" s="36"/>
      <c r="J24" s="34" t="s">
        <v>46</v>
      </c>
      <c r="K24" s="35">
        <v>3</v>
      </c>
      <c r="L24" s="35" t="s">
        <v>26</v>
      </c>
      <c r="M24" s="3"/>
      <c r="N24" s="1"/>
      <c r="O24" s="1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x14ac:dyDescent="0.25">
      <c r="A25" s="1"/>
      <c r="B25" s="3"/>
      <c r="C25" s="19"/>
      <c r="D25" s="19"/>
      <c r="E25" s="19"/>
      <c r="F25" s="19"/>
      <c r="G25" s="19"/>
      <c r="H25" s="19"/>
      <c r="I25" s="36"/>
      <c r="J25" s="34" t="s">
        <v>47</v>
      </c>
      <c r="K25" s="35">
        <v>3</v>
      </c>
      <c r="L25" s="35" t="s">
        <v>29</v>
      </c>
      <c r="M25" s="3"/>
      <c r="N25" s="1"/>
      <c r="O25" s="1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x14ac:dyDescent="0.25">
      <c r="A26" s="1"/>
      <c r="B26" s="3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3"/>
      <c r="N26" s="1"/>
      <c r="O26" s="1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x14ac:dyDescent="0.25">
      <c r="A27" s="1"/>
      <c r="B27" s="3"/>
      <c r="C27" s="38" t="s">
        <v>48</v>
      </c>
      <c r="D27" s="38"/>
      <c r="E27" s="38"/>
      <c r="F27" s="38"/>
      <c r="G27" s="38"/>
      <c r="H27" s="38"/>
      <c r="I27" s="38"/>
      <c r="J27" s="39" t="s">
        <v>16</v>
      </c>
      <c r="K27" s="30">
        <f>SUM(G29,G30,G31,G32,K32,K30,K31)</f>
        <v>3</v>
      </c>
      <c r="L27" s="39" t="s">
        <v>49</v>
      </c>
      <c r="M27" s="3"/>
      <c r="N27" s="1"/>
      <c r="O27" s="1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x14ac:dyDescent="0.25">
      <c r="A28" s="1"/>
      <c r="B28" s="3"/>
      <c r="C28" s="19"/>
      <c r="D28" s="19"/>
      <c r="E28" s="19"/>
      <c r="F28" s="32" t="s">
        <v>18</v>
      </c>
      <c r="G28" s="32" t="s">
        <v>19</v>
      </c>
      <c r="H28" s="32" t="s">
        <v>20</v>
      </c>
      <c r="I28" s="19"/>
      <c r="J28" s="32" t="s">
        <v>18</v>
      </c>
      <c r="K28" s="32" t="s">
        <v>19</v>
      </c>
      <c r="L28" s="32" t="s">
        <v>20</v>
      </c>
      <c r="M28" s="3"/>
      <c r="N28" s="1"/>
      <c r="O28" s="1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x14ac:dyDescent="0.25">
      <c r="A29" s="1"/>
      <c r="B29" s="3"/>
      <c r="C29" s="19" t="s">
        <v>50</v>
      </c>
      <c r="D29" s="19"/>
      <c r="E29" s="19"/>
      <c r="F29" s="30" t="s">
        <v>51</v>
      </c>
      <c r="G29" s="35">
        <v>3</v>
      </c>
      <c r="H29" s="35" t="s">
        <v>29</v>
      </c>
      <c r="I29" s="36"/>
      <c r="J29" s="34"/>
      <c r="K29" s="35"/>
      <c r="L29" s="35"/>
      <c r="M29" s="3"/>
      <c r="N29" s="1"/>
      <c r="O29" s="1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x14ac:dyDescent="0.25">
      <c r="A30" s="1"/>
      <c r="B30" s="3"/>
      <c r="C30" s="19"/>
      <c r="D30" s="19"/>
      <c r="E30" s="19"/>
      <c r="F30" s="30"/>
      <c r="G30" s="35"/>
      <c r="H30" s="35"/>
      <c r="I30" s="36"/>
      <c r="J30" s="34"/>
      <c r="K30" s="35"/>
      <c r="L30" s="35"/>
      <c r="M30" s="3"/>
      <c r="N30" s="1"/>
      <c r="O30" s="1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x14ac:dyDescent="0.25">
      <c r="A31" s="1"/>
      <c r="B31" s="3"/>
      <c r="C31" s="19"/>
      <c r="D31" s="19"/>
      <c r="E31" s="19"/>
      <c r="F31" s="30"/>
      <c r="G31" s="35"/>
      <c r="H31" s="35"/>
      <c r="I31" s="36"/>
      <c r="J31" s="34"/>
      <c r="K31" s="35"/>
      <c r="L31" s="35"/>
      <c r="M31" s="3"/>
      <c r="N31" s="1"/>
      <c r="O31" s="1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x14ac:dyDescent="0.25">
      <c r="A32" s="1"/>
      <c r="B32" s="3"/>
      <c r="C32" s="19"/>
      <c r="D32" s="19"/>
      <c r="E32" s="19"/>
      <c r="F32" s="30"/>
      <c r="G32" s="35"/>
      <c r="H32" s="35"/>
      <c r="I32" s="36"/>
      <c r="J32" s="34"/>
      <c r="K32" s="35"/>
      <c r="L32" s="35"/>
      <c r="M32" s="3"/>
      <c r="N32" s="1"/>
      <c r="O32" s="1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x14ac:dyDescent="0.25">
      <c r="A33" s="1"/>
      <c r="B33" s="3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3"/>
      <c r="N33" s="1"/>
      <c r="O33" s="1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x14ac:dyDescent="0.25">
      <c r="A34" s="1"/>
      <c r="B34" s="3"/>
      <c r="C34" s="31" t="s">
        <v>52</v>
      </c>
      <c r="D34" s="19"/>
      <c r="E34" s="19"/>
      <c r="F34" s="19" t="s">
        <v>53</v>
      </c>
      <c r="G34" s="19"/>
      <c r="H34" s="35">
        <f>SUM(K10,K20,K27)</f>
        <v>39</v>
      </c>
      <c r="I34" s="19"/>
      <c r="J34" s="19" t="s">
        <v>54</v>
      </c>
      <c r="K34" s="35"/>
      <c r="L34" s="19"/>
      <c r="M34" s="3"/>
      <c r="N34" s="1"/>
      <c r="O34" s="1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x14ac:dyDescent="0.25">
      <c r="A35" s="1"/>
      <c r="B35" s="3"/>
      <c r="C35" s="19"/>
      <c r="D35" s="19"/>
      <c r="E35" s="19"/>
      <c r="F35" s="19" t="s">
        <v>55</v>
      </c>
      <c r="G35" s="19"/>
      <c r="H35" s="35"/>
      <c r="I35" s="19"/>
      <c r="J35" s="19" t="s">
        <v>56</v>
      </c>
      <c r="K35" s="35"/>
      <c r="L35" s="19"/>
      <c r="M35" s="3"/>
      <c r="N35" s="1"/>
      <c r="O35" s="1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x14ac:dyDescent="0.25">
      <c r="A36" s="1"/>
      <c r="B36" s="3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3"/>
      <c r="N36" s="1"/>
      <c r="O36" s="1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x14ac:dyDescent="0.25">
      <c r="A37" s="1"/>
      <c r="B37" s="3"/>
      <c r="C37" s="39" t="s">
        <v>57</v>
      </c>
      <c r="D37" s="39"/>
      <c r="E37" s="39"/>
      <c r="F37" s="39"/>
      <c r="G37" s="39"/>
      <c r="H37" s="39"/>
      <c r="I37" s="39"/>
      <c r="J37" s="39"/>
      <c r="K37" s="39"/>
      <c r="L37" s="39"/>
      <c r="M37" s="3"/>
      <c r="N37" s="1"/>
      <c r="O37" s="1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x14ac:dyDescent="0.25">
      <c r="A38" s="1"/>
      <c r="B38" s="3"/>
      <c r="C38" s="19" t="s">
        <v>58</v>
      </c>
      <c r="D38" s="19"/>
      <c r="E38" s="19"/>
      <c r="F38" s="19"/>
      <c r="G38" s="19"/>
      <c r="H38" s="19"/>
      <c r="I38" s="19"/>
      <c r="J38" s="19"/>
      <c r="K38" s="40" t="s">
        <v>59</v>
      </c>
      <c r="L38" s="40"/>
      <c r="M38" s="3"/>
      <c r="N38" s="1"/>
      <c r="O38" s="1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x14ac:dyDescent="0.25">
      <c r="A39" s="1"/>
      <c r="B39" s="3"/>
      <c r="C39" s="19" t="s">
        <v>60</v>
      </c>
      <c r="D39" s="19"/>
      <c r="E39" s="19"/>
      <c r="F39" s="19"/>
      <c r="G39" s="19"/>
      <c r="H39" s="19"/>
      <c r="I39" s="19"/>
      <c r="J39" s="19"/>
      <c r="K39" s="41" t="s">
        <v>61</v>
      </c>
      <c r="L39" s="41"/>
      <c r="M39" s="3"/>
      <c r="N39" s="1"/>
      <c r="O39" s="1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x14ac:dyDescent="0.25">
      <c r="A40" s="1"/>
      <c r="B40" s="3"/>
      <c r="C40" s="19" t="s">
        <v>62</v>
      </c>
      <c r="D40" s="19"/>
      <c r="E40" s="19"/>
      <c r="F40" s="19"/>
      <c r="G40" s="19"/>
      <c r="H40" s="19"/>
      <c r="I40" s="19"/>
      <c r="J40" s="19"/>
      <c r="K40" s="40"/>
      <c r="L40" s="40"/>
      <c r="M40" s="3"/>
      <c r="N40" s="1"/>
      <c r="O40" s="1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x14ac:dyDescent="0.25">
      <c r="A41" s="1"/>
      <c r="B41" s="3"/>
      <c r="C41" s="19" t="s">
        <v>63</v>
      </c>
      <c r="D41" s="19"/>
      <c r="E41" s="19"/>
      <c r="F41" s="19"/>
      <c r="G41" s="19"/>
      <c r="H41" s="19"/>
      <c r="I41" s="19"/>
      <c r="J41" s="19"/>
      <c r="K41" s="42"/>
      <c r="L41" s="43"/>
      <c r="M41" s="3"/>
      <c r="N41" s="1"/>
      <c r="O41" s="1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x14ac:dyDescent="0.25">
      <c r="A42" s="1"/>
      <c r="B42" s="3"/>
      <c r="C42" s="19" t="s">
        <v>64</v>
      </c>
      <c r="D42" s="19"/>
      <c r="E42" s="19"/>
      <c r="F42" s="19"/>
      <c r="G42" s="19"/>
      <c r="H42" s="19"/>
      <c r="I42" s="19"/>
      <c r="J42" s="19"/>
      <c r="K42" s="35"/>
      <c r="L42" s="30" t="s">
        <v>65</v>
      </c>
      <c r="M42" s="3"/>
      <c r="N42" s="1"/>
      <c r="O42" s="1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x14ac:dyDescent="0.25">
      <c r="A43" s="1"/>
      <c r="B43" s="3"/>
      <c r="C43" s="19" t="s">
        <v>66</v>
      </c>
      <c r="D43" s="19"/>
      <c r="E43" s="19"/>
      <c r="F43" s="19"/>
      <c r="G43" s="19"/>
      <c r="H43" s="19"/>
      <c r="I43" s="19"/>
      <c r="J43" s="19"/>
      <c r="K43" s="35"/>
      <c r="L43" s="30" t="s">
        <v>49</v>
      </c>
      <c r="M43" s="3"/>
      <c r="N43" s="1"/>
      <c r="O43" s="1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x14ac:dyDescent="0.25">
      <c r="A44" s="1"/>
      <c r="B44" s="3"/>
      <c r="C44" s="19" t="s">
        <v>67</v>
      </c>
      <c r="D44" s="19"/>
      <c r="E44" s="19"/>
      <c r="F44" s="19"/>
      <c r="G44" s="19"/>
      <c r="H44" s="19"/>
      <c r="I44" s="19"/>
      <c r="J44" s="19"/>
      <c r="K44" s="44"/>
      <c r="L44" s="30" t="s">
        <v>68</v>
      </c>
      <c r="M44" s="3"/>
      <c r="N44" s="1"/>
      <c r="O44" s="1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x14ac:dyDescent="0.25">
      <c r="A45" s="1"/>
      <c r="B45" s="3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3"/>
      <c r="N45" s="1"/>
      <c r="O45" s="1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x14ac:dyDescent="0.25">
      <c r="A46" s="1"/>
      <c r="B46" s="3"/>
      <c r="C46" s="39" t="s">
        <v>69</v>
      </c>
      <c r="D46" s="39"/>
      <c r="E46" s="39"/>
      <c r="F46" s="39"/>
      <c r="G46" s="39"/>
      <c r="H46" s="39"/>
      <c r="I46" s="39"/>
      <c r="J46" s="39"/>
      <c r="K46" s="39"/>
      <c r="L46" s="39"/>
      <c r="M46" s="3"/>
      <c r="N46" s="1"/>
      <c r="O46" s="1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x14ac:dyDescent="0.25">
      <c r="A47" s="1"/>
      <c r="B47" s="3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3"/>
      <c r="N47" s="1"/>
      <c r="O47" s="1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x14ac:dyDescent="0.25">
      <c r="A48" s="1"/>
      <c r="B48" s="3"/>
      <c r="C48" s="45"/>
      <c r="D48" s="46"/>
      <c r="E48" s="46"/>
      <c r="F48" s="46"/>
      <c r="G48" s="46"/>
      <c r="H48" s="46"/>
      <c r="I48" s="46"/>
      <c r="J48" s="46"/>
      <c r="K48" s="46"/>
      <c r="L48" s="47"/>
      <c r="M48" s="3"/>
      <c r="N48" s="1"/>
      <c r="O48" s="1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x14ac:dyDescent="0.25">
      <c r="A49" s="1"/>
      <c r="B49" s="3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3"/>
      <c r="N49" s="1"/>
      <c r="O49" s="1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5.75" thickBot="1" x14ac:dyDescent="0.3">
      <c r="A50" s="1"/>
      <c r="B50" s="3"/>
      <c r="C50" s="19" t="s">
        <v>70</v>
      </c>
      <c r="D50" s="20" t="s">
        <v>71</v>
      </c>
      <c r="E50" s="20"/>
      <c r="F50" s="20"/>
      <c r="G50" s="19"/>
      <c r="H50" s="19" t="s">
        <v>72</v>
      </c>
      <c r="I50" s="48" t="s">
        <v>73</v>
      </c>
      <c r="J50" s="49"/>
      <c r="K50" s="49"/>
      <c r="L50" s="49"/>
      <c r="M50" s="3"/>
      <c r="N50" s="7" t="s">
        <v>74</v>
      </c>
      <c r="O50" s="1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s="51" customFormat="1" ht="15" customHeight="1" thickTop="1" x14ac:dyDescent="0.25">
      <c r="A51" s="5"/>
      <c r="B51" s="5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s="51" customFormat="1" x14ac:dyDescent="0.25">
      <c r="A52" s="5"/>
      <c r="B52" s="5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s="51" customFormat="1" ht="18.75" x14ac:dyDescent="0.3">
      <c r="A53" s="5"/>
      <c r="B53" s="5"/>
      <c r="C53" s="52" t="s">
        <v>75</v>
      </c>
      <c r="D53" s="52"/>
      <c r="E53" s="52"/>
      <c r="F53" s="52"/>
      <c r="G53" s="52"/>
      <c r="H53" s="52"/>
      <c r="I53" s="52"/>
      <c r="J53" s="52"/>
      <c r="K53" s="52"/>
      <c r="L53" s="52"/>
      <c r="M53" s="50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s="51" customFormat="1" x14ac:dyDescent="0.25">
      <c r="A54" s="5"/>
      <c r="B54" s="5"/>
      <c r="C54" s="53" t="s">
        <v>76</v>
      </c>
      <c r="D54" s="53"/>
      <c r="E54" s="53"/>
      <c r="F54" s="53"/>
      <c r="G54" s="53"/>
      <c r="H54" s="53"/>
      <c r="I54" s="53"/>
      <c r="J54" s="53"/>
      <c r="K54" s="53"/>
      <c r="L54" s="53"/>
      <c r="M54" s="50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s="51" customFormat="1" x14ac:dyDescent="0.25">
      <c r="A55" s="5"/>
      <c r="B55" s="5"/>
      <c r="C55" s="54" t="s">
        <v>73</v>
      </c>
      <c r="D55" s="54"/>
      <c r="E55" s="54"/>
      <c r="F55" s="54"/>
      <c r="G55" s="54"/>
      <c r="H55" s="54"/>
      <c r="I55" s="54"/>
      <c r="J55" s="54"/>
      <c r="K55" s="54"/>
      <c r="L55" s="54"/>
      <c r="M55" s="50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s="51" customFormat="1" x14ac:dyDescent="0.25">
      <c r="A56" s="5"/>
      <c r="B56" s="5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s="51" customFormat="1" x14ac:dyDescent="0.25">
      <c r="A57" s="5"/>
      <c r="B57" s="5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s="51" customFormat="1" x14ac:dyDescent="0.25">
      <c r="A58" s="5"/>
      <c r="B58" s="5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s="51" customForma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0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0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0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0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0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0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0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0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0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0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0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0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0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0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0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0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0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0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0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0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0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0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0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0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0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0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0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0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0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0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0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0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0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0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0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0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0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0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0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0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0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0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0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0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0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0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0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0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0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0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0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0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0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0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0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0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0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0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0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0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0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0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0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0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0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0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0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0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0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0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0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0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0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0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0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0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0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0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0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0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0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0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0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0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0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0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0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0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0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0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0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0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0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0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0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0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0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0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0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0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0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0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0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0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0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0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0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0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0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0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0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0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0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0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0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0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0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0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0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0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0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0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0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0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0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0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0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0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0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0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0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0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0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0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0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0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0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0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0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0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0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0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0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0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0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0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0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0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0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0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0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0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0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0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0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0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0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0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0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0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0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0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0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0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0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0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0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0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0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0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0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0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0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0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0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0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0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0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0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0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0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0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0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0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0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0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0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0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0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0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0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0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0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0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0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0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0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0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0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0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0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0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0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0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0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0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0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0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0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0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0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0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0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0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0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0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0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0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0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0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0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0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0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0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0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0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0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0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0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0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0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0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0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0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0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0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0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0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0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0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0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0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0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0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</sheetData>
  <sheetProtection password="CA97" sheet="1" objects="1" scenarios="1"/>
  <mergeCells count="35">
    <mergeCell ref="C54:L54"/>
    <mergeCell ref="C55:L55"/>
    <mergeCell ref="C47:L47"/>
    <mergeCell ref="C48:L48"/>
    <mergeCell ref="C49:L49"/>
    <mergeCell ref="D50:F50"/>
    <mergeCell ref="I50:L50"/>
    <mergeCell ref="C53:L53"/>
    <mergeCell ref="C33:L33"/>
    <mergeCell ref="C36:L36"/>
    <mergeCell ref="K38:L38"/>
    <mergeCell ref="K39:L39"/>
    <mergeCell ref="K40:L40"/>
    <mergeCell ref="K41:L41"/>
    <mergeCell ref="C15:E15"/>
    <mergeCell ref="C16:E16"/>
    <mergeCell ref="C17:E17"/>
    <mergeCell ref="C18:E18"/>
    <mergeCell ref="C20:I20"/>
    <mergeCell ref="C27:I27"/>
    <mergeCell ref="D8:E8"/>
    <mergeCell ref="J8:K8"/>
    <mergeCell ref="C9:L9"/>
    <mergeCell ref="C10:I10"/>
    <mergeCell ref="C12:E12"/>
    <mergeCell ref="N12:N14"/>
    <mergeCell ref="C13:E13"/>
    <mergeCell ref="C14:E14"/>
    <mergeCell ref="C1:L1"/>
    <mergeCell ref="C2:L2"/>
    <mergeCell ref="C5:L5"/>
    <mergeCell ref="N5:O5"/>
    <mergeCell ref="C6:L6"/>
    <mergeCell ref="D7:F7"/>
    <mergeCell ref="J7:K7"/>
  </mergeCells>
  <conditionalFormatting sqref="D7:F7 J7:K8 D8">
    <cfRule type="containsBlanks" dxfId="45" priority="46">
      <formula>LEN(TRIM(D7))=0</formula>
    </cfRule>
  </conditionalFormatting>
  <conditionalFormatting sqref="J12:L18 F12:H12 F16:H18">
    <cfRule type="containsBlanks" dxfId="44" priority="45">
      <formula>LEN(TRIM(F12))=0</formula>
    </cfRule>
  </conditionalFormatting>
  <conditionalFormatting sqref="J22:L25">
    <cfRule type="containsBlanks" dxfId="43" priority="44">
      <formula>LEN(TRIM(J22))=0</formula>
    </cfRule>
  </conditionalFormatting>
  <conditionalFormatting sqref="K10">
    <cfRule type="cellIs" dxfId="42" priority="43" operator="lessThan">
      <formula>33</formula>
    </cfRule>
  </conditionalFormatting>
  <conditionalFormatting sqref="K20">
    <cfRule type="cellIs" dxfId="41" priority="42" operator="lessThan">
      <formula>12</formula>
    </cfRule>
  </conditionalFormatting>
  <conditionalFormatting sqref="K27">
    <cfRule type="cellIs" dxfId="40" priority="41" operator="lessThan">
      <formula>15</formula>
    </cfRule>
  </conditionalFormatting>
  <conditionalFormatting sqref="K38:L38">
    <cfRule type="containsBlanks" dxfId="39" priority="40">
      <formula>LEN(TRIM(K38))=0</formula>
    </cfRule>
  </conditionalFormatting>
  <conditionalFormatting sqref="K39:L39">
    <cfRule type="containsText" dxfId="38" priority="38" operator="containsText" text="Incomplete">
      <formula>NOT(ISERROR(SEARCH("Incomplete",K39)))</formula>
    </cfRule>
    <cfRule type="containsBlanks" dxfId="37" priority="39">
      <formula>LEN(TRIM(K39))=0</formula>
    </cfRule>
  </conditionalFormatting>
  <conditionalFormatting sqref="K40:L40">
    <cfRule type="containsBlanks" dxfId="36" priority="37">
      <formula>LEN(TRIM(K40))=0</formula>
    </cfRule>
  </conditionalFormatting>
  <conditionalFormatting sqref="K41:L41">
    <cfRule type="containsBlanks" dxfId="35" priority="36">
      <formula>LEN(TRIM(K41))=0</formula>
    </cfRule>
  </conditionalFormatting>
  <conditionalFormatting sqref="K42:K44">
    <cfRule type="containsBlanks" dxfId="34" priority="35">
      <formula>LEN(TRIM(K42))=0</formula>
    </cfRule>
  </conditionalFormatting>
  <conditionalFormatting sqref="K42">
    <cfRule type="cellIs" dxfId="33" priority="34" operator="lessThan">
      <formula>60</formula>
    </cfRule>
  </conditionalFormatting>
  <conditionalFormatting sqref="K43">
    <cfRule type="cellIs" dxfId="32" priority="33" operator="lessThan">
      <formula>15</formula>
    </cfRule>
  </conditionalFormatting>
  <conditionalFormatting sqref="K44">
    <cfRule type="cellIs" dxfId="31" priority="32" operator="lessThan">
      <formula>2</formula>
    </cfRule>
  </conditionalFormatting>
  <conditionalFormatting sqref="H12 L12:L17 L19 H16:H18 L22:L25 L29:L32 H29:H32">
    <cfRule type="containsText" dxfId="30" priority="6" operator="containsText" text="IPS">
      <formula>NOT(ISERROR(SEARCH("IPS",H12)))</formula>
    </cfRule>
  </conditionalFormatting>
  <conditionalFormatting sqref="F29">
    <cfRule type="expression" dxfId="29" priority="29">
      <formula>SUM(K27)&gt;14</formula>
    </cfRule>
    <cfRule type="containsBlanks" dxfId="28" priority="30">
      <formula>LEN(TRIM(F29))=0</formula>
    </cfRule>
  </conditionalFormatting>
  <conditionalFormatting sqref="F30">
    <cfRule type="expression" dxfId="27" priority="27">
      <formula>SUM(K27)&gt;14</formula>
    </cfRule>
    <cfRule type="containsBlanks" dxfId="26" priority="28">
      <formula>LEN(TRIM(F30))=0</formula>
    </cfRule>
  </conditionalFormatting>
  <conditionalFormatting sqref="F31">
    <cfRule type="expression" dxfId="25" priority="25">
      <formula>SUM(K27)&gt;14</formula>
    </cfRule>
    <cfRule type="containsBlanks" dxfId="24" priority="26">
      <formula>LEN(TRIM(F31))=0</formula>
    </cfRule>
  </conditionalFormatting>
  <conditionalFormatting sqref="F32">
    <cfRule type="expression" dxfId="23" priority="23">
      <formula>SUM(K27)&gt;14</formula>
    </cfRule>
    <cfRule type="containsBlanks" dxfId="22" priority="24">
      <formula>LEN(TRIM(F32))=0</formula>
    </cfRule>
  </conditionalFormatting>
  <conditionalFormatting sqref="G29:H32 J29:L32">
    <cfRule type="containsBlanks" dxfId="21" priority="31">
      <formula>LEN(TRIM(G29))=0</formula>
    </cfRule>
  </conditionalFormatting>
  <conditionalFormatting sqref="H29">
    <cfRule type="expression" dxfId="20" priority="22">
      <formula>SUM(K27)&gt;14</formula>
    </cfRule>
  </conditionalFormatting>
  <conditionalFormatting sqref="G29">
    <cfRule type="expression" dxfId="19" priority="20">
      <formula>SUM(K27)&gt;14</formula>
    </cfRule>
  </conditionalFormatting>
  <conditionalFormatting sqref="G30">
    <cfRule type="expression" dxfId="18" priority="19">
      <formula>(K27)&gt;14</formula>
    </cfRule>
  </conditionalFormatting>
  <conditionalFormatting sqref="H30">
    <cfRule type="expression" dxfId="17" priority="21">
      <formula>K27&gt;14</formula>
    </cfRule>
  </conditionalFormatting>
  <conditionalFormatting sqref="G31">
    <cfRule type="expression" dxfId="16" priority="17">
      <formula>K27&gt;14</formula>
    </cfRule>
  </conditionalFormatting>
  <conditionalFormatting sqref="H31">
    <cfRule type="expression" dxfId="15" priority="18">
      <formula>K27&gt;14</formula>
    </cfRule>
  </conditionalFormatting>
  <conditionalFormatting sqref="G32">
    <cfRule type="expression" dxfId="14" priority="15">
      <formula>K27&gt;14</formula>
    </cfRule>
  </conditionalFormatting>
  <conditionalFormatting sqref="H32">
    <cfRule type="expression" dxfId="13" priority="1">
      <formula>"f29=blank"</formula>
    </cfRule>
    <cfRule type="expression" dxfId="12" priority="14">
      <formula>K27&gt;14</formula>
    </cfRule>
  </conditionalFormatting>
  <conditionalFormatting sqref="K29">
    <cfRule type="expression" dxfId="11" priority="13">
      <formula>K27&gt;14</formula>
    </cfRule>
  </conditionalFormatting>
  <conditionalFormatting sqref="L29">
    <cfRule type="expression" dxfId="10" priority="16">
      <formula>K27&gt;14</formula>
    </cfRule>
  </conditionalFormatting>
  <conditionalFormatting sqref="K30">
    <cfRule type="expression" dxfId="9" priority="11">
      <formula>K27&gt;14</formula>
    </cfRule>
  </conditionalFormatting>
  <conditionalFormatting sqref="L30">
    <cfRule type="expression" dxfId="8" priority="12">
      <formula>K27&gt;14</formula>
    </cfRule>
  </conditionalFormatting>
  <conditionalFormatting sqref="K31">
    <cfRule type="expression" dxfId="7" priority="9">
      <formula>K27&gt;14</formula>
    </cfRule>
  </conditionalFormatting>
  <conditionalFormatting sqref="L31">
    <cfRule type="expression" dxfId="6" priority="10">
      <formula>K27&gt;14</formula>
    </cfRule>
  </conditionalFormatting>
  <conditionalFormatting sqref="K32">
    <cfRule type="expression" dxfId="5" priority="7">
      <formula>K27&gt;14</formula>
    </cfRule>
  </conditionalFormatting>
  <conditionalFormatting sqref="L32">
    <cfRule type="expression" dxfId="4" priority="8">
      <formula>K27&gt;14</formula>
    </cfRule>
  </conditionalFormatting>
  <conditionalFormatting sqref="J29">
    <cfRule type="expression" dxfId="3" priority="5">
      <formula>K27&gt;14</formula>
    </cfRule>
  </conditionalFormatting>
  <conditionalFormatting sqref="J30">
    <cfRule type="expression" dxfId="2" priority="4">
      <formula>K27&gt;14</formula>
    </cfRule>
  </conditionalFormatting>
  <conditionalFormatting sqref="J31">
    <cfRule type="expression" dxfId="1" priority="3">
      <formula>K27&gt;14</formula>
    </cfRule>
  </conditionalFormatting>
  <conditionalFormatting sqref="J32">
    <cfRule type="expression" dxfId="0" priority="2">
      <formula>K27&gt;14</formula>
    </cfRule>
  </conditionalFormatting>
  <dataValidations count="1">
    <dataValidation type="list" allowBlank="1" showInputMessage="1" showErrorMessage="1" sqref="J8:K8">
      <formula1>ASFOCUS</formula1>
    </dataValidation>
  </dataValidations>
  <hyperlinks>
    <hyperlink ref="I50" r:id="rId1"/>
    <hyperlink ref="C55" r:id="rId2"/>
    <hyperlink ref="N50" location="Menu!A1" tooltip="Click to return to the main page." display="Return To Main Menu"/>
    <hyperlink ref="P3" location="'Associate In Arts'!A1" tooltip="Click to return to the AA audit." display="Return To AA"/>
    <hyperlink ref="P4" location="'Associate In Science'!A1" tooltip="Click to return to the AS audit." display="Return To AS"/>
    <hyperlink ref="P2" location="Menu!A1" tooltip="Click to return to the main page." display="Main Menu"/>
  </hyperlinks>
  <pageMargins left="0.45" right="0.45" top="0.5" bottom="0.5" header="0.3" footer="0.3"/>
  <pageSetup orientation="portrait" horizontalDpi="300" verticalDpi="300" r:id="rId3"/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Example</vt:lpstr>
      <vt:lpstr>ExampleLink</vt:lpstr>
      <vt:lpstr>Example!Print_Area</vt:lpstr>
    </vt:vector>
  </TitlesOfParts>
  <Company>BCTC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Nathan S (Bluegrass)</dc:creator>
  <cp:lastModifiedBy>Smith, Nathan S (Bluegrass)</cp:lastModifiedBy>
  <dcterms:created xsi:type="dcterms:W3CDTF">2012-09-20T15:47:06Z</dcterms:created>
  <dcterms:modified xsi:type="dcterms:W3CDTF">2012-09-20T17:59:04Z</dcterms:modified>
</cp:coreProperties>
</file>