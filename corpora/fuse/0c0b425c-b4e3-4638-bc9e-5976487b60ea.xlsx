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28620" windowHeight="12660"/>
  </bookViews>
  <sheets>
    <sheet name="Sheet1" sheetId="1" r:id="rId1"/>
    <sheet name="Sheet2" sheetId="2" r:id="rId2"/>
    <sheet name="Sheet3" sheetId="3" r:id="rId3"/>
  </sheets>
  <definedNames>
    <definedName name="_xlnm.Print_Area" localSheetId="0">Sheet1!$A$1:$AR$138</definedName>
  </definedNames>
  <calcPr calcId="125725"/>
</workbook>
</file>

<file path=xl/calcChain.xml><?xml version="1.0" encoding="utf-8"?>
<calcChain xmlns="http://schemas.openxmlformats.org/spreadsheetml/2006/main">
  <c r="AF106" i="1"/>
  <c r="N106"/>
  <c r="AM104"/>
  <c r="AH104"/>
  <c r="AQ103" s="1"/>
  <c r="AC104"/>
  <c r="A104"/>
  <c r="AO103"/>
  <c r="AM102"/>
  <c r="AH102"/>
  <c r="AC102"/>
  <c r="AO101" s="1"/>
  <c r="A102"/>
  <c r="AQ101"/>
  <c r="AM100"/>
  <c r="AH100"/>
  <c r="AC100"/>
  <c r="A100"/>
  <c r="AQ99"/>
  <c r="AO99"/>
  <c r="AM98"/>
  <c r="AH98"/>
  <c r="AC98"/>
  <c r="A98"/>
  <c r="AQ97"/>
  <c r="AO97"/>
  <c r="AM96"/>
  <c r="AH96"/>
  <c r="AC96"/>
  <c r="A96"/>
  <c r="AQ95"/>
  <c r="AO95"/>
  <c r="AM90"/>
  <c r="AH90"/>
  <c r="AC90"/>
  <c r="A90"/>
  <c r="AQ89"/>
  <c r="AO89"/>
  <c r="AM88"/>
  <c r="AH88"/>
  <c r="AC88"/>
  <c r="A88"/>
  <c r="AQ87"/>
  <c r="AO87"/>
  <c r="AM86"/>
  <c r="AH86"/>
  <c r="AC86"/>
  <c r="A86"/>
  <c r="AQ85"/>
  <c r="AO85"/>
  <c r="AM84"/>
  <c r="AH84"/>
  <c r="AC84"/>
  <c r="A84"/>
  <c r="AQ83"/>
  <c r="AO83"/>
  <c r="AM82"/>
  <c r="AH82"/>
  <c r="AC82"/>
  <c r="A82"/>
  <c r="AQ81"/>
  <c r="AO81"/>
  <c r="AP75"/>
  <c r="AM59"/>
  <c r="AH59"/>
  <c r="AC59"/>
  <c r="A59"/>
  <c r="AQ58"/>
  <c r="AO58"/>
  <c r="AM57"/>
  <c r="AH57"/>
  <c r="AC57"/>
  <c r="A57"/>
  <c r="AQ56"/>
  <c r="AO56"/>
  <c r="AM55"/>
  <c r="AH55"/>
  <c r="AC55"/>
  <c r="A55"/>
  <c r="AQ54"/>
  <c r="AO54"/>
  <c r="AM53"/>
  <c r="AH53"/>
  <c r="AC53"/>
  <c r="A53"/>
  <c r="AQ52"/>
  <c r="AO52"/>
  <c r="AM51"/>
  <c r="AH51"/>
  <c r="AC51"/>
  <c r="A51"/>
  <c r="AQ50"/>
  <c r="AO50"/>
  <c r="AM49"/>
  <c r="AH49"/>
  <c r="AC49"/>
  <c r="A49"/>
  <c r="AQ48"/>
  <c r="AO48"/>
  <c r="AM47"/>
  <c r="AH47"/>
  <c r="AC47"/>
  <c r="A47"/>
  <c r="AQ46"/>
  <c r="AO46"/>
  <c r="AM45"/>
  <c r="AH45"/>
  <c r="AC45"/>
  <c r="A45"/>
  <c r="AQ44"/>
  <c r="AO44"/>
  <c r="AM43"/>
  <c r="AH43"/>
  <c r="AC43"/>
  <c r="A43"/>
  <c r="AQ42"/>
  <c r="AO42"/>
  <c r="AL18"/>
  <c r="AL15"/>
</calcChain>
</file>

<file path=xl/comments1.xml><?xml version="1.0" encoding="utf-8"?>
<comments xmlns="http://schemas.openxmlformats.org/spreadsheetml/2006/main">
  <authors>
    <author>bridget</author>
    <author>Lucas Aerospace</author>
    <author>Paul Footman</author>
  </authors>
  <commentList>
    <comment ref="V15" authorId="0">
      <text>
        <r>
          <rPr>
            <b/>
            <sz val="8"/>
            <color indexed="81"/>
            <rFont val="Tahoma"/>
            <family val="2"/>
          </rPr>
          <t>Indicate your answer by inserting 1 to agree with the statement and 0 to disagree.</t>
        </r>
      </text>
    </comment>
    <comment ref="V17" authorId="0">
      <text>
        <r>
          <rPr>
            <b/>
            <sz val="8"/>
            <color indexed="81"/>
            <rFont val="Tahoma"/>
            <family val="2"/>
          </rPr>
          <t xml:space="preserve">Indicate your answer by inserting 1 to agree with the statement and 0 to disagree.
</t>
        </r>
      </text>
    </comment>
    <comment ref="Y25" authorId="1">
      <text>
        <r>
          <rPr>
            <b/>
            <sz val="8"/>
            <color indexed="81"/>
            <rFont val="Tahoma"/>
            <family val="2"/>
          </rPr>
          <t>Number of people exposed to a hazard over a period of time. 
e.g. if machine is used by one person on the day shift and one person at night then the total number of people exposed will be two.</t>
        </r>
      </text>
    </comment>
    <comment ref="AE25" authorId="1">
      <text>
        <r>
          <rPr>
            <b/>
            <sz val="8"/>
            <color indexed="81"/>
            <rFont val="Tahoma"/>
            <family val="2"/>
          </rPr>
          <t xml:space="preserve">Who are the people that may be exposed to the hazard </t>
        </r>
      </text>
    </comment>
    <comment ref="AK25" authorId="1">
      <text>
        <r>
          <rPr>
            <b/>
            <sz val="8"/>
            <color indexed="81"/>
            <rFont val="Tahoma"/>
            <family val="2"/>
          </rPr>
          <t>How significant would an injury be?</t>
        </r>
      </text>
    </comment>
    <comment ref="AL26" authorId="2">
      <text>
        <r>
          <rPr>
            <sz val="8"/>
            <color indexed="81"/>
            <rFont val="Tahoma"/>
            <family val="2"/>
          </rPr>
          <t xml:space="preserve">Small cuts, bruises, graze
</t>
        </r>
      </text>
    </comment>
    <comment ref="AL27" authorId="2">
      <text>
        <r>
          <rPr>
            <sz val="8"/>
            <color indexed="81"/>
            <rFont val="Tahoma"/>
            <family val="2"/>
          </rPr>
          <t xml:space="preserve">Cuts, bruises, graze requiring treatment
</t>
        </r>
      </text>
    </comment>
    <comment ref="AL28" authorId="2">
      <text>
        <r>
          <rPr>
            <sz val="8"/>
            <color indexed="81"/>
            <rFont val="Tahoma"/>
            <family val="2"/>
          </rPr>
          <t xml:space="preserve">Reportable injury 
</t>
        </r>
      </text>
    </comment>
    <comment ref="AL29" authorId="2">
      <text>
        <r>
          <rPr>
            <sz val="8"/>
            <color indexed="81"/>
            <rFont val="Tahoma"/>
            <family val="2"/>
          </rPr>
          <t xml:space="preserve">Major injury accident
</t>
        </r>
      </text>
    </comment>
    <comment ref="AL30" authorId="2">
      <text>
        <r>
          <rPr>
            <sz val="8"/>
            <color indexed="81"/>
            <rFont val="Tahoma"/>
            <family val="2"/>
          </rPr>
          <t xml:space="preserve">Death
</t>
        </r>
      </text>
    </comment>
    <comment ref="A40" authorId="1">
      <text>
        <r>
          <rPr>
            <b/>
            <sz val="8"/>
            <color indexed="81"/>
            <rFont val="Tahoma"/>
            <family val="2"/>
          </rPr>
          <t>FOR EACH ROW (OR ACTIVITY) THE FREQUENCY/PROBABILITY/SEVERITY VALUES MUST BE INSERTED. (IF THIS HAS NOT BEEN DONE THE BOXES BELOW WILL INDICATE AN ERROR BY TURNING RED.</t>
        </r>
      </text>
    </comment>
    <comment ref="A79" authorId="1">
      <text>
        <r>
          <rPr>
            <b/>
            <sz val="8"/>
            <color indexed="81"/>
            <rFont val="Tahoma"/>
            <family val="2"/>
          </rPr>
          <t>FOR EACH ROW (OR ACTIVITY) THE FREQUENCY/PROBABILITY/SEVERITY VALUES MUST BE INSERTED. (IF THIS HAS NOT BEEN DONE THE BOXES BELOW WILL INDICATE AN ERROR BY TURNING RED.</t>
        </r>
      </text>
    </comment>
    <comment ref="A93" authorId="1">
      <text>
        <r>
          <rPr>
            <b/>
            <sz val="8"/>
            <color indexed="81"/>
            <rFont val="Tahoma"/>
            <family val="2"/>
          </rPr>
          <t>FOR EACH ROW (OR ACTIVITY) THE FREQUENCY/PROBABILITY/SEVERITY VALUES MUST BE INSERTED. (IF THIS HAS NOT BEEN DONE THE BOXES BELOW WILL INDICATE AN ERROR BY TURNING RED.</t>
        </r>
      </text>
    </comment>
  </commentList>
</comments>
</file>

<file path=xl/sharedStrings.xml><?xml version="1.0" encoding="utf-8"?>
<sst xmlns="http://schemas.openxmlformats.org/spreadsheetml/2006/main" count="154" uniqueCount="99">
  <si>
    <t>RISK ASSESSMENT &amp; CONTROL</t>
  </si>
  <si>
    <t>Process / Activity / Area / Equipment</t>
  </si>
  <si>
    <t>Business/Site Name</t>
  </si>
  <si>
    <t>Date</t>
  </si>
  <si>
    <t>Dep</t>
  </si>
  <si>
    <t xml:space="preserve">RA Ref. </t>
  </si>
  <si>
    <t>Issue</t>
  </si>
  <si>
    <t>Describe Process/Activity/Equipment being assessed:</t>
  </si>
  <si>
    <t>Materials/Substances/Resources used</t>
  </si>
  <si>
    <t>Are there clear work instructions/procedures:                  List document numbers below</t>
  </si>
  <si>
    <t>Is the process / activity included in the skills matrix:</t>
  </si>
  <si>
    <t>Yes</t>
  </si>
  <si>
    <t>No</t>
  </si>
  <si>
    <t>High risk if activity not in skills matrix, and user is not confident in abilities</t>
  </si>
  <si>
    <t>Are you confident in your abilties</t>
  </si>
  <si>
    <t>What is the operator's level of competency?</t>
  </si>
  <si>
    <t>Highly skilled and experienced</t>
  </si>
  <si>
    <t xml:space="preserve">Trained or highly experieced </t>
  </si>
  <si>
    <t>No training / some experience / supervised</t>
  </si>
  <si>
    <t>Novice / inexperienced / unsupervised</t>
  </si>
  <si>
    <t>TO INSERT RISK FIGURES FOR FREQUENCY PROBABILITY AND SEVERITY REFER TO THE TABLES BELOW</t>
  </si>
  <si>
    <t>FREQUENCY</t>
  </si>
  <si>
    <t>PROBABILITY</t>
  </si>
  <si>
    <t>SEVERITY</t>
  </si>
  <si>
    <r>
      <t>FA -</t>
    </r>
    <r>
      <rPr>
        <sz val="10"/>
        <rFont val="Arial"/>
        <family val="2"/>
      </rPr>
      <t xml:space="preserve"> Freq. of Exposure</t>
    </r>
  </si>
  <si>
    <r>
      <t xml:space="preserve">FB </t>
    </r>
    <r>
      <rPr>
        <sz val="10"/>
        <rFont val="Arial"/>
        <family val="2"/>
      </rPr>
      <t>- Duration of Exp</t>
    </r>
  </si>
  <si>
    <r>
      <t>PA</t>
    </r>
    <r>
      <rPr>
        <sz val="10"/>
        <rFont val="Arial"/>
        <family val="2"/>
      </rPr>
      <t xml:space="preserve"> - Likelihood of injury</t>
    </r>
  </si>
  <si>
    <r>
      <t>SA-</t>
    </r>
    <r>
      <rPr>
        <sz val="10"/>
        <rFont val="Arial"/>
        <family val="2"/>
      </rPr>
      <t>Number exposed</t>
    </r>
  </si>
  <si>
    <r>
      <t>SB</t>
    </r>
    <r>
      <rPr>
        <sz val="10"/>
        <rFont val="Arial"/>
        <family val="2"/>
      </rPr>
      <t xml:space="preserve"> - Who's Exposed</t>
    </r>
  </si>
  <si>
    <r>
      <t>SC -</t>
    </r>
    <r>
      <rPr>
        <sz val="10"/>
        <rFont val="Arial"/>
        <family val="2"/>
      </rPr>
      <t xml:space="preserve"> Severity</t>
    </r>
  </si>
  <si>
    <t>Yearly</t>
  </si>
  <si>
    <t>&lt; 10 min's</t>
  </si>
  <si>
    <t>Improbable</t>
  </si>
  <si>
    <t>0 - 1</t>
  </si>
  <si>
    <t>Operator</t>
  </si>
  <si>
    <t>Insignificant</t>
  </si>
  <si>
    <t>Monthly</t>
  </si>
  <si>
    <t>10min - 1hr</t>
  </si>
  <si>
    <t>Less likely</t>
  </si>
  <si>
    <t>2 - 5</t>
  </si>
  <si>
    <t>Contractor</t>
  </si>
  <si>
    <t xml:space="preserve">Minor </t>
  </si>
  <si>
    <t>Weekly</t>
  </si>
  <si>
    <t>1 - 4hrs</t>
  </si>
  <si>
    <t>Possible</t>
  </si>
  <si>
    <t>6 - 20</t>
  </si>
  <si>
    <t>Visitor</t>
  </si>
  <si>
    <t>1-3 days off</t>
  </si>
  <si>
    <t>Daily</t>
  </si>
  <si>
    <t>4 - 8 hrs</t>
  </si>
  <si>
    <t>Likely</t>
  </si>
  <si>
    <t>21 - 100</t>
  </si>
  <si>
    <t>All in vicinity</t>
  </si>
  <si>
    <t>+3 days off</t>
  </si>
  <si>
    <t>Continuously</t>
  </si>
  <si>
    <t>Certainty</t>
  </si>
  <si>
    <t>&gt;100</t>
  </si>
  <si>
    <t>Public</t>
  </si>
  <si>
    <t>Fatality</t>
  </si>
  <si>
    <t xml:space="preserve">When choosing risk value for the 'F', 'P' or 'S' if you cannot distinguish between two values always choose the higher of the two. </t>
  </si>
  <si>
    <t>Not necessary</t>
  </si>
  <si>
    <t>Up to assessor</t>
  </si>
  <si>
    <t xml:space="preserve"> Assess further</t>
  </si>
  <si>
    <t>1~11</t>
  </si>
  <si>
    <t>I</t>
  </si>
  <si>
    <t>11~21</t>
  </si>
  <si>
    <t>L</t>
  </si>
  <si>
    <t>21~60</t>
  </si>
  <si>
    <t>M</t>
  </si>
  <si>
    <t>&gt; 60</t>
  </si>
  <si>
    <t>H</t>
  </si>
  <si>
    <t>No.</t>
  </si>
  <si>
    <t>Hazard type</t>
  </si>
  <si>
    <t>Control measures</t>
  </si>
  <si>
    <t>(F) Frequency</t>
  </si>
  <si>
    <t>(P) Probability</t>
  </si>
  <si>
    <t>(S) Severity</t>
  </si>
  <si>
    <t>Total risk=F.P.S</t>
  </si>
  <si>
    <t>F-A</t>
  </si>
  <si>
    <t>F-B</t>
  </si>
  <si>
    <t>F</t>
  </si>
  <si>
    <t>P-A</t>
  </si>
  <si>
    <t>P</t>
  </si>
  <si>
    <t>S-A</t>
  </si>
  <si>
    <t>S-B</t>
  </si>
  <si>
    <t>S-C</t>
  </si>
  <si>
    <t>S</t>
  </si>
  <si>
    <t>RISK ELIMINATION &amp; CONTROL</t>
  </si>
  <si>
    <t>RA Ref. No.</t>
  </si>
  <si>
    <t>ABNORMAL CONDITIONS</t>
  </si>
  <si>
    <t>EMERGENCY CONDITIONS</t>
  </si>
  <si>
    <t xml:space="preserve">NO further assessment required </t>
  </si>
  <si>
    <t>Further assessments required</t>
  </si>
  <si>
    <t>Comments &amp; Notes</t>
  </si>
  <si>
    <t xml:space="preserve">                                  </t>
  </si>
  <si>
    <t xml:space="preserve"> Name  </t>
  </si>
  <si>
    <t>Signature</t>
  </si>
  <si>
    <t xml:space="preserve">  Date</t>
  </si>
  <si>
    <t>Principal Investigator</t>
  </si>
</sst>
</file>

<file path=xl/styles.xml><?xml version="1.0" encoding="utf-8"?>
<styleSheet xmlns="http://schemas.openxmlformats.org/spreadsheetml/2006/main">
  <fonts count="27">
    <font>
      <sz val="11"/>
      <color theme="1"/>
      <name val="Calibri"/>
      <family val="2"/>
      <scheme val="minor"/>
    </font>
    <font>
      <b/>
      <sz val="18"/>
      <color indexed="8"/>
      <name val="Arial"/>
      <family val="2"/>
    </font>
    <font>
      <sz val="12"/>
      <color indexed="8"/>
      <name val="Arial"/>
      <family val="2"/>
    </font>
    <font>
      <b/>
      <sz val="12"/>
      <color indexed="8"/>
      <name val="Arial"/>
      <family val="2"/>
    </font>
    <font>
      <b/>
      <sz val="18"/>
      <color indexed="10"/>
      <name val="Arial"/>
      <family val="2"/>
    </font>
    <font>
      <b/>
      <sz val="20"/>
      <color indexed="8"/>
      <name val="Arial"/>
      <family val="2"/>
    </font>
    <font>
      <b/>
      <sz val="12"/>
      <color indexed="10"/>
      <name val="Arial"/>
      <family val="2"/>
    </font>
    <font>
      <sz val="10"/>
      <color indexed="8"/>
      <name val="Arial"/>
      <family val="2"/>
    </font>
    <font>
      <b/>
      <sz val="12"/>
      <name val="Arial"/>
      <family val="2"/>
    </font>
    <font>
      <b/>
      <sz val="10"/>
      <name val="Arial"/>
      <family val="2"/>
    </font>
    <font>
      <sz val="10"/>
      <name val="Arial"/>
      <family val="2"/>
    </font>
    <font>
      <b/>
      <sz val="8"/>
      <name val="Arial"/>
      <family val="2"/>
    </font>
    <font>
      <b/>
      <u/>
      <sz val="15"/>
      <name val="Arial"/>
      <family val="2"/>
    </font>
    <font>
      <sz val="15"/>
      <name val="Arial"/>
      <family val="2"/>
    </font>
    <font>
      <sz val="12"/>
      <name val="Arial"/>
      <family val="2"/>
    </font>
    <font>
      <b/>
      <sz val="9"/>
      <name val="Arial"/>
      <family val="2"/>
    </font>
    <font>
      <sz val="9"/>
      <name val="Arial"/>
      <family val="2"/>
    </font>
    <font>
      <b/>
      <sz val="12"/>
      <color indexed="44"/>
      <name val="Arial"/>
      <family val="2"/>
    </font>
    <font>
      <b/>
      <sz val="12"/>
      <color indexed="57"/>
      <name val="Arial"/>
      <family val="2"/>
    </font>
    <font>
      <b/>
      <sz val="12"/>
      <color indexed="52"/>
      <name val="Arial"/>
      <family val="2"/>
    </font>
    <font>
      <b/>
      <sz val="12"/>
      <color indexed="9"/>
      <name val="Arial"/>
      <family val="2"/>
    </font>
    <font>
      <u/>
      <sz val="7.2"/>
      <color indexed="12"/>
      <name val="Arial"/>
      <family val="2"/>
    </font>
    <font>
      <b/>
      <u/>
      <sz val="20"/>
      <color indexed="8"/>
      <name val="Arial"/>
      <family val="2"/>
    </font>
    <font>
      <b/>
      <u/>
      <sz val="12"/>
      <name val="Arial"/>
      <family val="2"/>
    </font>
    <font>
      <u/>
      <sz val="12"/>
      <name val="Arial"/>
      <family val="2"/>
    </font>
    <font>
      <b/>
      <sz val="8"/>
      <color indexed="81"/>
      <name val="Tahoma"/>
      <family val="2"/>
    </font>
    <font>
      <sz val="8"/>
      <color indexed="81"/>
      <name val="Tahoma"/>
      <family val="2"/>
    </font>
  </fonts>
  <fills count="8">
    <fill>
      <patternFill patternType="none"/>
    </fill>
    <fill>
      <patternFill patternType="gray125"/>
    </fill>
    <fill>
      <patternFill patternType="gray125">
        <fgColor indexed="8"/>
      </patternFill>
    </fill>
    <fill>
      <patternFill patternType="solid">
        <fgColor indexed="9"/>
        <bgColor indexed="64"/>
      </patternFill>
    </fill>
    <fill>
      <patternFill patternType="solid">
        <fgColor indexed="44"/>
        <bgColor indexed="64"/>
      </patternFill>
    </fill>
    <fill>
      <patternFill patternType="solid">
        <fgColor indexed="57"/>
        <bgColor indexed="64"/>
      </patternFill>
    </fill>
    <fill>
      <patternFill patternType="solid">
        <fgColor indexed="52"/>
        <bgColor indexed="64"/>
      </patternFill>
    </fill>
    <fill>
      <patternFill patternType="solid">
        <fgColor indexed="10"/>
        <bgColor indexed="64"/>
      </patternFill>
    </fill>
  </fills>
  <borders count="123">
    <border>
      <left/>
      <right/>
      <top/>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right style="dashed">
        <color indexed="8"/>
      </right>
      <top style="thick">
        <color indexed="8"/>
      </top>
      <bottom/>
      <diagonal/>
    </border>
    <border>
      <left style="dashed">
        <color indexed="8"/>
      </left>
      <right/>
      <top style="thick">
        <color indexed="8"/>
      </top>
      <bottom/>
      <diagonal/>
    </border>
    <border>
      <left/>
      <right style="medium">
        <color indexed="8"/>
      </right>
      <top style="thick">
        <color indexed="8"/>
      </top>
      <bottom/>
      <diagonal/>
    </border>
    <border>
      <left style="medium">
        <color indexed="8"/>
      </left>
      <right/>
      <top style="thick">
        <color indexed="8"/>
      </top>
      <bottom/>
      <diagonal/>
    </border>
    <border>
      <left/>
      <right style="thin">
        <color indexed="8"/>
      </right>
      <top style="thick">
        <color indexed="8"/>
      </top>
      <bottom/>
      <diagonal/>
    </border>
    <border>
      <left style="thin">
        <color indexed="8"/>
      </left>
      <right/>
      <top style="thick">
        <color indexed="8"/>
      </top>
      <bottom/>
      <diagonal/>
    </border>
    <border>
      <left/>
      <right style="dashed">
        <color indexed="8"/>
      </right>
      <top/>
      <bottom style="thick">
        <color indexed="8"/>
      </bottom>
      <diagonal/>
    </border>
    <border>
      <left style="dashed">
        <color indexed="8"/>
      </left>
      <right/>
      <top/>
      <bottom style="thick">
        <color indexed="8"/>
      </bottom>
      <diagonal/>
    </border>
    <border>
      <left/>
      <right style="medium">
        <color indexed="8"/>
      </right>
      <top/>
      <bottom style="thick">
        <color indexed="8"/>
      </bottom>
      <diagonal/>
    </border>
    <border>
      <left style="medium">
        <color indexed="8"/>
      </left>
      <right/>
      <top/>
      <bottom style="thick">
        <color indexed="8"/>
      </bottom>
      <diagonal/>
    </border>
    <border>
      <left/>
      <right style="thin">
        <color indexed="8"/>
      </right>
      <top/>
      <bottom style="thick">
        <color indexed="8"/>
      </bottom>
      <diagonal/>
    </border>
    <border>
      <left style="thin">
        <color indexed="8"/>
      </left>
      <right/>
      <top/>
      <bottom style="thick">
        <color indexed="8"/>
      </bottom>
      <diagonal/>
    </border>
    <border>
      <left/>
      <right/>
      <top style="thick">
        <color indexed="8"/>
      </top>
      <bottom style="thick">
        <color indexed="8"/>
      </bottom>
      <diagonal/>
    </border>
    <border>
      <left style="thick">
        <color indexed="8"/>
      </left>
      <right/>
      <top/>
      <bottom/>
      <diagonal/>
    </border>
    <border>
      <left/>
      <right style="thick">
        <color indexed="8"/>
      </right>
      <top/>
      <bottom/>
      <diagonal/>
    </border>
    <border>
      <left style="thick">
        <color indexed="8"/>
      </left>
      <right/>
      <top/>
      <bottom style="medium">
        <color indexed="8"/>
      </bottom>
      <diagonal/>
    </border>
    <border>
      <left/>
      <right/>
      <top/>
      <bottom style="medium">
        <color indexed="8"/>
      </bottom>
      <diagonal/>
    </border>
    <border>
      <left/>
      <right style="thick">
        <color indexed="8"/>
      </right>
      <top/>
      <bottom style="medium">
        <color indexed="8"/>
      </bottom>
      <diagonal/>
    </border>
    <border>
      <left style="thick">
        <color indexed="8"/>
      </left>
      <right/>
      <top style="medium">
        <color indexed="8"/>
      </top>
      <bottom/>
      <diagonal/>
    </border>
    <border>
      <left/>
      <right/>
      <top style="medium">
        <color indexed="8"/>
      </top>
      <bottom/>
      <diagonal/>
    </border>
    <border>
      <left/>
      <right style="thick">
        <color indexed="8"/>
      </right>
      <top style="medium">
        <color indexed="8"/>
      </top>
      <bottom/>
      <diagonal/>
    </border>
    <border>
      <left/>
      <right/>
      <top style="thick">
        <color indexed="8"/>
      </top>
      <bottom style="medium">
        <color indexed="8"/>
      </bottom>
      <diagonal/>
    </border>
    <border>
      <left/>
      <right style="medium">
        <color indexed="8"/>
      </right>
      <top style="thick">
        <color indexed="8"/>
      </top>
      <bottom style="medium">
        <color indexed="8"/>
      </bottom>
      <diagonal/>
    </border>
    <border>
      <left style="thin">
        <color indexed="8"/>
      </left>
      <right/>
      <top style="thick">
        <color indexed="8"/>
      </top>
      <bottom style="dashed">
        <color indexed="8"/>
      </bottom>
      <diagonal/>
    </border>
    <border>
      <left/>
      <right style="thin">
        <color indexed="8"/>
      </right>
      <top style="thick">
        <color indexed="8"/>
      </top>
      <bottom style="dashed">
        <color indexed="8"/>
      </bottom>
      <diagonal/>
    </border>
    <border>
      <left/>
      <right style="medium">
        <color indexed="8"/>
      </right>
      <top style="thick">
        <color indexed="8"/>
      </top>
      <bottom style="dashed">
        <color indexed="8"/>
      </bottom>
      <diagonal/>
    </border>
    <border>
      <left style="medium">
        <color indexed="8"/>
      </left>
      <right/>
      <top style="thick">
        <color indexed="8"/>
      </top>
      <bottom style="medium">
        <color indexed="8"/>
      </bottom>
      <diagonal/>
    </border>
    <border>
      <left/>
      <right style="thick">
        <color indexed="8"/>
      </right>
      <top style="thick">
        <color indexed="8"/>
      </top>
      <bottom style="medium">
        <color indexed="8"/>
      </bottom>
      <diagonal/>
    </border>
    <border>
      <left style="medium">
        <color indexed="8"/>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bottom/>
      <diagonal/>
    </border>
    <border>
      <left/>
      <right style="thin">
        <color indexed="8"/>
      </right>
      <top/>
      <bottom/>
      <diagonal/>
    </border>
    <border>
      <left style="thin">
        <color indexed="8"/>
      </left>
      <right/>
      <top style="dashed">
        <color indexed="8"/>
      </top>
      <bottom style="thin">
        <color indexed="8"/>
      </bottom>
      <diagonal/>
    </border>
    <border>
      <left/>
      <right style="thin">
        <color indexed="8"/>
      </right>
      <top style="dashed">
        <color indexed="8"/>
      </top>
      <bottom style="thin">
        <color indexed="8"/>
      </bottom>
      <diagonal/>
    </border>
    <border>
      <left/>
      <right style="medium">
        <color indexed="8"/>
      </right>
      <top style="dashed">
        <color indexed="8"/>
      </top>
      <bottom style="thin">
        <color indexed="8"/>
      </bottom>
      <diagonal/>
    </border>
    <border>
      <left style="medium">
        <color indexed="8"/>
      </left>
      <right/>
      <top style="medium">
        <color indexed="8"/>
      </top>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thin">
        <color indexed="8"/>
      </left>
      <right/>
      <top style="thin">
        <color indexed="8"/>
      </top>
      <bottom style="dashed">
        <color indexed="8"/>
      </bottom>
      <diagonal/>
    </border>
    <border>
      <left/>
      <right style="thin">
        <color indexed="8"/>
      </right>
      <top style="thin">
        <color indexed="8"/>
      </top>
      <bottom style="dashed">
        <color indexed="8"/>
      </bottom>
      <diagonal/>
    </border>
    <border>
      <left/>
      <right style="medium">
        <color indexed="8"/>
      </right>
      <top style="thin">
        <color indexed="8"/>
      </top>
      <bottom style="dashed">
        <color indexed="8"/>
      </bottom>
      <diagonal/>
    </border>
    <border>
      <left style="medium">
        <color indexed="8"/>
      </left>
      <right/>
      <top/>
      <bottom style="medium">
        <color indexed="8"/>
      </bottom>
      <diagonal/>
    </border>
    <border>
      <left/>
      <right/>
      <top style="medium">
        <color indexed="8"/>
      </top>
      <bottom style="thick">
        <color indexed="8"/>
      </bottom>
      <diagonal/>
    </border>
    <border>
      <left style="thin">
        <color indexed="8"/>
      </left>
      <right/>
      <top style="dashed">
        <color indexed="8"/>
      </top>
      <bottom style="thick">
        <color indexed="8"/>
      </bottom>
      <diagonal/>
    </border>
    <border>
      <left/>
      <right style="thin">
        <color indexed="8"/>
      </right>
      <top style="dashed">
        <color indexed="8"/>
      </top>
      <bottom style="thick">
        <color indexed="8"/>
      </bottom>
      <diagonal/>
    </border>
    <border>
      <left/>
      <right style="medium">
        <color indexed="8"/>
      </right>
      <top style="dashed">
        <color indexed="8"/>
      </top>
      <bottom style="thick">
        <color indexed="8"/>
      </bottom>
      <diagonal/>
    </border>
    <border>
      <left style="medium">
        <color indexed="8"/>
      </left>
      <right/>
      <top style="medium">
        <color indexed="8"/>
      </top>
      <bottom style="thick">
        <color indexed="8"/>
      </bottom>
      <diagonal/>
    </border>
    <border>
      <left/>
      <right style="thick">
        <color indexed="8"/>
      </right>
      <top style="medium">
        <color indexed="8"/>
      </top>
      <bottom style="thick">
        <color indexed="8"/>
      </bottom>
      <diagonal/>
    </border>
    <border>
      <left style="medium">
        <color indexed="8"/>
      </left>
      <right style="medium">
        <color indexed="8"/>
      </right>
      <top style="thick">
        <color indexed="8"/>
      </top>
      <bottom/>
      <diagonal/>
    </border>
    <border>
      <left style="medium">
        <color indexed="8"/>
      </left>
      <right style="medium">
        <color indexed="8"/>
      </right>
      <top/>
      <bottom style="thick">
        <color indexed="8"/>
      </bottom>
      <diagonal/>
    </border>
    <border>
      <left/>
      <right style="dashed">
        <color indexed="64"/>
      </right>
      <top/>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style="dashed">
        <color indexed="64"/>
      </left>
      <right style="dashed">
        <color indexed="64"/>
      </right>
      <top/>
      <bottom/>
      <diagonal/>
    </border>
    <border>
      <left style="dash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top/>
      <bottom style="medium">
        <color indexed="64"/>
      </bottom>
      <diagonal/>
    </border>
    <border>
      <left/>
      <right style="dotted">
        <color indexed="64"/>
      </right>
      <top/>
      <bottom/>
      <diagonal/>
    </border>
    <border>
      <left style="medium">
        <color indexed="64"/>
      </left>
      <right/>
      <top style="medium">
        <color indexed="64"/>
      </top>
      <bottom style="medium">
        <color indexed="64"/>
      </bottom>
      <diagonal/>
    </border>
    <border>
      <left style="dashed">
        <color indexed="8"/>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8"/>
      </left>
      <right/>
      <top style="medium">
        <color indexed="8"/>
      </top>
      <bottom style="medium">
        <color indexed="8"/>
      </bottom>
      <diagonal/>
    </border>
    <border>
      <left style="dashed">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dashed">
        <color indexed="8"/>
      </left>
      <right style="medium">
        <color indexed="8"/>
      </right>
      <top/>
      <bottom/>
      <diagonal/>
    </border>
    <border>
      <left style="medium">
        <color indexed="8"/>
      </left>
      <right style="dashed">
        <color indexed="64"/>
      </right>
      <top/>
      <bottom/>
      <diagonal/>
    </border>
    <border>
      <left style="medium">
        <color indexed="8"/>
      </left>
      <right style="medium">
        <color indexed="8"/>
      </right>
      <top/>
      <bottom/>
      <diagonal/>
    </border>
    <border>
      <left style="medium">
        <color indexed="8"/>
      </left>
      <right style="dashed">
        <color indexed="8"/>
      </right>
      <top style="medium">
        <color indexed="8"/>
      </top>
      <bottom style="medium">
        <color indexed="8"/>
      </bottom>
      <diagonal/>
    </border>
    <border>
      <left style="medium">
        <color indexed="8"/>
      </left>
      <right style="medium">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dash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64"/>
      </left>
      <right/>
      <top/>
      <bottom style="medium">
        <color indexed="64"/>
      </bottom>
      <diagonal/>
    </border>
    <border>
      <left style="medium">
        <color indexed="8"/>
      </left>
      <right/>
      <top style="medium">
        <color indexed="8"/>
      </top>
      <bottom style="medium">
        <color indexed="64"/>
      </bottom>
      <diagonal/>
    </border>
    <border>
      <left/>
      <right/>
      <top style="medium">
        <color indexed="8"/>
      </top>
      <bottom style="medium">
        <color indexed="64"/>
      </bottom>
      <diagonal/>
    </border>
    <border>
      <left/>
      <right style="medium">
        <color indexed="64"/>
      </right>
      <top style="medium">
        <color indexed="8"/>
      </top>
      <bottom style="medium">
        <color indexed="64"/>
      </bottom>
      <diagonal/>
    </border>
    <border>
      <left/>
      <right style="medium">
        <color indexed="8"/>
      </right>
      <top style="medium">
        <color indexed="8"/>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dashed">
        <color indexed="64"/>
      </left>
      <right style="dashed">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dashed">
        <color indexed="64"/>
      </left>
      <right/>
      <top/>
      <bottom style="medium">
        <color indexed="64"/>
      </bottom>
      <diagonal/>
    </border>
    <border>
      <left/>
      <right style="dashed">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thin">
        <color indexed="64"/>
      </top>
      <bottom style="medium">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bottom style="medium">
        <color indexed="64"/>
      </bottom>
      <diagonal/>
    </border>
  </borders>
  <cellStyleXfs count="2">
    <xf numFmtId="0" fontId="0" fillId="0" borderId="0"/>
    <xf numFmtId="0" fontId="21" fillId="0" borderId="0" applyNumberFormat="0" applyFill="0" applyBorder="0" applyAlignment="0" applyProtection="0">
      <alignment vertical="top"/>
      <protection locked="0"/>
    </xf>
  </cellStyleXfs>
  <cellXfs count="349">
    <xf numFmtId="0" fontId="0" fillId="0" borderId="0" xfId="0"/>
    <xf numFmtId="0" fontId="1" fillId="2" borderId="1" xfId="0" applyFont="1" applyFill="1" applyBorder="1" applyProtection="1">
      <protection locked="0"/>
    </xf>
    <xf numFmtId="0" fontId="2" fillId="2" borderId="2" xfId="0" applyFont="1" applyFill="1" applyBorder="1" applyProtection="1">
      <protection locked="0"/>
    </xf>
    <xf numFmtId="0" fontId="1" fillId="2" borderId="2" xfId="0" applyFont="1" applyFill="1" applyBorder="1" applyProtection="1">
      <protection locked="0"/>
    </xf>
    <xf numFmtId="0" fontId="2" fillId="1" borderId="2" xfId="0" applyFont="1" applyFill="1" applyBorder="1" applyProtection="1">
      <protection locked="0"/>
    </xf>
    <xf numFmtId="0" fontId="2" fillId="1" borderId="3" xfId="0" applyFont="1" applyFill="1" applyBorder="1" applyProtection="1">
      <protection locked="0"/>
    </xf>
    <xf numFmtId="0" fontId="1" fillId="2" borderId="4" xfId="0" applyFont="1" applyFill="1" applyBorder="1" applyProtection="1">
      <protection locked="0"/>
    </xf>
    <xf numFmtId="0" fontId="2" fillId="2" borderId="5" xfId="0" applyFont="1" applyFill="1" applyBorder="1" applyProtection="1">
      <protection locked="0"/>
    </xf>
    <xf numFmtId="0" fontId="1" fillId="2" borderId="5" xfId="0" applyFont="1" applyFill="1" applyBorder="1" applyProtection="1">
      <protection locked="0"/>
    </xf>
    <xf numFmtId="0" fontId="3" fillId="2" borderId="5" xfId="0" applyFont="1" applyFill="1" applyBorder="1" applyProtection="1">
      <protection locked="0"/>
    </xf>
    <xf numFmtId="0" fontId="2" fillId="1" borderId="5" xfId="0" applyFont="1" applyFill="1" applyBorder="1" applyProtection="1">
      <protection locked="0"/>
    </xf>
    <xf numFmtId="0" fontId="2" fillId="1" borderId="6" xfId="0" applyFont="1" applyFill="1" applyBorder="1" applyProtection="1">
      <protection locked="0"/>
    </xf>
    <xf numFmtId="0" fontId="0" fillId="0" borderId="0" xfId="0" applyBorder="1" applyAlignment="1" applyProtection="1">
      <alignment horizontal="center" vertical="center"/>
      <protection locked="0"/>
    </xf>
    <xf numFmtId="0" fontId="0" fillId="0" borderId="0" xfId="0" applyBorder="1" applyAlignment="1" applyProtection="1">
      <alignment horizontal="center"/>
      <protection locked="0"/>
    </xf>
    <xf numFmtId="0" fontId="0" fillId="0" borderId="73" xfId="0" applyFill="1" applyBorder="1" applyAlignment="1" applyProtection="1">
      <alignment horizontal="center"/>
      <protection locked="0"/>
    </xf>
    <xf numFmtId="0" fontId="0" fillId="0" borderId="77" xfId="0" applyFill="1" applyBorder="1" applyAlignment="1" applyProtection="1">
      <alignment horizontal="center"/>
      <protection locked="0"/>
    </xf>
    <xf numFmtId="0" fontId="0" fillId="0" borderId="84" xfId="0" applyFill="1" applyBorder="1" applyAlignment="1" applyProtection="1">
      <alignment horizontal="center"/>
      <protection locked="0"/>
    </xf>
    <xf numFmtId="0" fontId="0" fillId="0" borderId="73" xfId="0" applyBorder="1" applyAlignment="1" applyProtection="1">
      <alignment horizontal="center"/>
      <protection locked="0"/>
    </xf>
    <xf numFmtId="0" fontId="0" fillId="0" borderId="77" xfId="0" applyBorder="1" applyAlignment="1" applyProtection="1">
      <alignment horizontal="center"/>
      <protection locked="0"/>
    </xf>
    <xf numFmtId="0" fontId="0" fillId="0" borderId="84" xfId="0" applyBorder="1" applyAlignment="1" applyProtection="1">
      <alignment horizontal="center"/>
      <protection locked="0"/>
    </xf>
    <xf numFmtId="0" fontId="2" fillId="0" borderId="101" xfId="0" applyFont="1" applyBorder="1" applyAlignment="1" applyProtection="1">
      <alignment vertical="center"/>
      <protection locked="0"/>
    </xf>
    <xf numFmtId="0" fontId="2" fillId="3" borderId="102" xfId="0" applyFont="1" applyFill="1" applyBorder="1" applyAlignment="1" applyProtection="1">
      <alignment horizontal="left" vertical="center"/>
      <protection locked="0"/>
    </xf>
    <xf numFmtId="17" fontId="2" fillId="0" borderId="101" xfId="0" applyNumberFormat="1" applyFont="1" applyBorder="1" applyAlignment="1" applyProtection="1">
      <alignment vertical="center"/>
      <protection locked="0"/>
    </xf>
    <xf numFmtId="0" fontId="2" fillId="0" borderId="101" xfId="0" applyFont="1" applyBorder="1" applyAlignment="1" applyProtection="1">
      <alignment horizontal="left" vertical="center"/>
      <protection locked="0"/>
    </xf>
    <xf numFmtId="0" fontId="2" fillId="0" borderId="101" xfId="0" applyFont="1" applyBorder="1" applyProtection="1">
      <protection locked="0"/>
    </xf>
    <xf numFmtId="0" fontId="2" fillId="3" borderId="102" xfId="0" applyFont="1" applyFill="1" applyBorder="1" applyAlignment="1" applyProtection="1">
      <alignment horizontal="left"/>
      <protection locked="0"/>
    </xf>
    <xf numFmtId="0" fontId="16" fillId="0" borderId="113" xfId="0" applyFont="1" applyBorder="1" applyAlignment="1" applyProtection="1">
      <alignment horizontal="center"/>
      <protection locked="0"/>
    </xf>
    <xf numFmtId="0" fontId="0" fillId="0" borderId="114" xfId="0" applyBorder="1" applyAlignment="1" applyProtection="1">
      <alignment horizontal="center"/>
      <protection locked="0"/>
    </xf>
    <xf numFmtId="0" fontId="16" fillId="0" borderId="114" xfId="0" applyFont="1" applyBorder="1" applyAlignment="1" applyProtection="1">
      <alignment horizontal="center"/>
      <protection locked="0"/>
    </xf>
    <xf numFmtId="0" fontId="10" fillId="0" borderId="116" xfId="0" applyFont="1" applyBorder="1" applyAlignment="1" applyProtection="1">
      <alignment horizontal="center"/>
      <protection locked="0"/>
    </xf>
    <xf numFmtId="0" fontId="0" fillId="0" borderId="117" xfId="0" applyBorder="1" applyAlignment="1" applyProtection="1">
      <alignment horizontal="center" vertical="center"/>
      <protection locked="0"/>
    </xf>
    <xf numFmtId="0" fontId="16" fillId="0" borderId="116" xfId="0" applyFont="1" applyBorder="1" applyAlignment="1" applyProtection="1">
      <alignment horizontal="center"/>
      <protection locked="0"/>
    </xf>
    <xf numFmtId="0" fontId="17" fillId="0" borderId="116" xfId="0" applyFont="1" applyBorder="1" applyAlignment="1" applyProtection="1">
      <alignment horizontal="center"/>
      <protection locked="0"/>
    </xf>
    <xf numFmtId="0" fontId="18" fillId="0" borderId="118" xfId="0" applyFont="1" applyBorder="1" applyAlignment="1" applyProtection="1">
      <alignment horizontal="center"/>
      <protection locked="0"/>
    </xf>
    <xf numFmtId="0" fontId="19" fillId="0" borderId="71" xfId="0" applyFont="1" applyBorder="1" applyAlignment="1" applyProtection="1">
      <alignment horizontal="center"/>
      <protection locked="0"/>
    </xf>
    <xf numFmtId="0" fontId="6" fillId="0" borderId="112" xfId="0" applyFont="1" applyBorder="1" applyAlignment="1" applyProtection="1">
      <alignment horizontal="center"/>
      <protection locked="0"/>
    </xf>
    <xf numFmtId="0" fontId="8" fillId="0" borderId="92" xfId="0" applyFont="1" applyBorder="1" applyAlignment="1" applyProtection="1">
      <alignment horizontal="center"/>
      <protection locked="0"/>
    </xf>
    <xf numFmtId="0" fontId="20" fillId="3" borderId="120" xfId="0" applyFont="1" applyFill="1" applyBorder="1" applyAlignment="1" applyProtection="1">
      <alignment horizontal="center"/>
      <protection locked="0"/>
    </xf>
    <xf numFmtId="0" fontId="0" fillId="0" borderId="121" xfId="0" applyBorder="1" applyAlignment="1" applyProtection="1">
      <alignment horizontal="left" vertical="center"/>
      <protection locked="0"/>
    </xf>
    <xf numFmtId="0" fontId="0" fillId="0" borderId="122" xfId="0" applyBorder="1" applyAlignment="1" applyProtection="1">
      <alignment horizontal="center" vertical="center"/>
      <protection locked="0"/>
    </xf>
    <xf numFmtId="0" fontId="0" fillId="0" borderId="71" xfId="0" applyBorder="1" applyAlignment="1" applyProtection="1">
      <alignment horizontal="center" vertical="center"/>
      <protection locked="0"/>
    </xf>
    <xf numFmtId="0" fontId="21" fillId="0" borderId="93" xfId="1" applyBorder="1" applyAlignment="1" applyProtection="1">
      <alignment horizontal="center" vertical="center"/>
      <protection locked="0"/>
    </xf>
    <xf numFmtId="0" fontId="8" fillId="0" borderId="0" xfId="0" applyFont="1" applyBorder="1" applyAlignment="1" applyProtection="1">
      <protection locked="0"/>
    </xf>
    <xf numFmtId="0" fontId="0" fillId="0" borderId="0" xfId="0" applyFill="1" applyBorder="1" applyProtection="1">
      <protection locked="0"/>
    </xf>
    <xf numFmtId="0" fontId="2" fillId="3" borderId="95" xfId="0" applyFont="1" applyFill="1" applyBorder="1" applyAlignment="1" applyProtection="1">
      <alignment horizontal="left" vertical="top"/>
      <protection locked="0"/>
    </xf>
    <xf numFmtId="0" fontId="2" fillId="3" borderId="0" xfId="0" applyFont="1" applyFill="1" applyBorder="1" applyAlignment="1" applyProtection="1">
      <alignment horizontal="left" vertical="top"/>
      <protection locked="0"/>
    </xf>
    <xf numFmtId="0" fontId="2" fillId="3" borderId="96" xfId="0" applyFont="1" applyFill="1" applyBorder="1" applyAlignment="1" applyProtection="1">
      <alignment horizontal="left" vertical="top"/>
      <protection locked="0"/>
    </xf>
    <xf numFmtId="0" fontId="2" fillId="3" borderId="100" xfId="0" applyFont="1" applyFill="1" applyBorder="1" applyAlignment="1" applyProtection="1">
      <alignment horizontal="left" vertical="top"/>
      <protection locked="0"/>
    </xf>
    <xf numFmtId="0" fontId="2" fillId="3" borderId="71" xfId="0" applyFont="1" applyFill="1" applyBorder="1" applyAlignment="1" applyProtection="1">
      <alignment horizontal="left" vertical="top"/>
      <protection locked="0"/>
    </xf>
    <xf numFmtId="0" fontId="2" fillId="3" borderId="105" xfId="0" applyFont="1" applyFill="1" applyBorder="1" applyAlignment="1" applyProtection="1">
      <alignment horizontal="left" vertical="top"/>
      <protection locked="0"/>
    </xf>
    <xf numFmtId="0" fontId="6" fillId="0" borderId="12"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5" fillId="0" borderId="18" xfId="0" applyFont="1" applyBorder="1" applyAlignment="1" applyProtection="1">
      <alignment horizontal="center" vertical="center"/>
      <protection locked="0"/>
    </xf>
    <xf numFmtId="0" fontId="5" fillId="0" borderId="5" xfId="0" applyFont="1" applyBorder="1" applyAlignment="1" applyProtection="1">
      <alignment horizontal="center" vertical="center"/>
      <protection locked="0"/>
    </xf>
    <xf numFmtId="0" fontId="5" fillId="0" borderId="6" xfId="0" applyFont="1" applyBorder="1" applyAlignment="1" applyProtection="1">
      <alignment horizontal="center" vertical="center"/>
      <protection locked="0"/>
    </xf>
    <xf numFmtId="0" fontId="0" fillId="0" borderId="19" xfId="0" applyBorder="1" applyAlignment="1" applyProtection="1">
      <alignment horizontal="center" vertical="center" wrapText="1"/>
      <protection locked="0"/>
    </xf>
    <xf numFmtId="0" fontId="3" fillId="0" borderId="1" xfId="0" applyFont="1" applyBorder="1" applyAlignment="1" applyProtection="1">
      <alignment vertical="top"/>
      <protection locked="0"/>
    </xf>
    <xf numFmtId="0" fontId="3" fillId="0" borderId="2" xfId="0" applyFont="1" applyBorder="1" applyAlignment="1" applyProtection="1">
      <alignment vertical="top"/>
      <protection locked="0"/>
    </xf>
    <xf numFmtId="0" fontId="3" fillId="0" borderId="3" xfId="0" applyFont="1" applyBorder="1" applyAlignment="1" applyProtection="1">
      <alignment vertical="top"/>
      <protection locked="0"/>
    </xf>
    <xf numFmtId="0" fontId="2" fillId="0" borderId="20" xfId="0" applyFont="1" applyBorder="1" applyAlignment="1" applyProtection="1">
      <alignment horizontal="left" vertical="top" wrapText="1"/>
      <protection locked="0"/>
    </xf>
    <xf numFmtId="0" fontId="2" fillId="0" borderId="0" xfId="0" applyFont="1" applyBorder="1" applyAlignment="1" applyProtection="1">
      <alignment horizontal="left" vertical="top" wrapText="1"/>
      <protection locked="0"/>
    </xf>
    <xf numFmtId="0" fontId="2" fillId="0" borderId="21" xfId="0" applyFont="1" applyBorder="1" applyAlignment="1" applyProtection="1">
      <alignment horizontal="left" vertical="top" wrapText="1"/>
      <protection locked="0"/>
    </xf>
    <xf numFmtId="0" fontId="2" fillId="0" borderId="22" xfId="0" applyFont="1" applyBorder="1" applyAlignment="1" applyProtection="1">
      <alignment horizontal="left" vertical="top" wrapText="1"/>
      <protection locked="0"/>
    </xf>
    <xf numFmtId="0" fontId="2" fillId="0" borderId="23" xfId="0" applyFont="1" applyBorder="1" applyAlignment="1" applyProtection="1">
      <alignment horizontal="left" vertical="top" wrapText="1"/>
      <protection locked="0"/>
    </xf>
    <xf numFmtId="0" fontId="2" fillId="0" borderId="24" xfId="0" applyFont="1" applyBorder="1" applyAlignment="1" applyProtection="1">
      <alignment horizontal="left" vertical="top" wrapText="1"/>
      <protection locked="0"/>
    </xf>
    <xf numFmtId="0" fontId="3" fillId="0" borderId="25" xfId="0" applyFont="1" applyBorder="1" applyAlignment="1" applyProtection="1">
      <alignment vertical="top"/>
      <protection locked="0"/>
    </xf>
    <xf numFmtId="0" fontId="3" fillId="0" borderId="26" xfId="0" applyFont="1" applyBorder="1" applyAlignment="1" applyProtection="1">
      <alignment vertical="top"/>
      <protection locked="0"/>
    </xf>
    <xf numFmtId="0" fontId="3" fillId="0" borderId="27" xfId="0" applyFont="1" applyBorder="1" applyAlignment="1" applyProtection="1">
      <alignment vertical="top"/>
      <protection locked="0"/>
    </xf>
    <xf numFmtId="0" fontId="2" fillId="0" borderId="2" xfId="0" applyFont="1" applyBorder="1" applyAlignment="1" applyProtection="1">
      <protection locked="0"/>
    </xf>
    <xf numFmtId="0" fontId="2" fillId="0" borderId="5" xfId="0" applyFont="1" applyBorder="1" applyAlignment="1" applyProtection="1">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0" fontId="2" fillId="0" borderId="14" xfId="0" applyFont="1" applyBorder="1" applyAlignment="1" applyProtection="1">
      <alignment horizontal="center" vertical="center" wrapText="1"/>
      <protection locked="0"/>
    </xf>
    <xf numFmtId="0" fontId="2" fillId="0" borderId="5" xfId="0" applyFont="1" applyBorder="1" applyAlignment="1" applyProtection="1">
      <alignment horizontal="center" vertical="center" wrapText="1"/>
      <protection locked="0"/>
    </xf>
    <xf numFmtId="0" fontId="2" fillId="0" borderId="15"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6" xfId="0" applyFont="1" applyBorder="1" applyAlignment="1" applyProtection="1">
      <alignment horizontal="center" vertical="center" wrapText="1"/>
      <protection locked="0"/>
    </xf>
    <xf numFmtId="15" fontId="2" fillId="0" borderId="8" xfId="0" applyNumberFormat="1" applyFont="1" applyBorder="1" applyAlignment="1" applyProtection="1">
      <alignment horizontal="center" vertical="center" wrapText="1"/>
      <protection locked="0"/>
    </xf>
    <xf numFmtId="15" fontId="2" fillId="0" borderId="2" xfId="0" applyNumberFormat="1" applyFont="1" applyBorder="1" applyAlignment="1" applyProtection="1">
      <alignment horizontal="center" vertical="center" wrapText="1"/>
      <protection locked="0"/>
    </xf>
    <xf numFmtId="15" fontId="2" fillId="0" borderId="9" xfId="0" applyNumberFormat="1" applyFont="1" applyBorder="1" applyAlignment="1" applyProtection="1">
      <alignment horizontal="center" vertical="center" wrapText="1"/>
      <protection locked="0"/>
    </xf>
    <xf numFmtId="15" fontId="2" fillId="0" borderId="14" xfId="0" applyNumberFormat="1" applyFont="1" applyBorder="1" applyAlignment="1" applyProtection="1">
      <alignment horizontal="center" vertical="center" wrapText="1"/>
      <protection locked="0"/>
    </xf>
    <xf numFmtId="15" fontId="2" fillId="0" borderId="5" xfId="0" applyNumberFormat="1" applyFont="1" applyBorder="1" applyAlignment="1" applyProtection="1">
      <alignment horizontal="center" vertical="center" wrapText="1"/>
      <protection locked="0"/>
    </xf>
    <xf numFmtId="15" fontId="2" fillId="0" borderId="15" xfId="0" applyNumberFormat="1" applyFont="1" applyBorder="1" applyAlignment="1" applyProtection="1">
      <alignment horizontal="center" vertical="center" wrapText="1"/>
      <protection locked="0"/>
    </xf>
    <xf numFmtId="0" fontId="4" fillId="0" borderId="10"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0" fontId="4" fillId="0" borderId="17" xfId="0" applyFont="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0" fontId="5" fillId="0" borderId="17" xfId="0" applyFont="1" applyBorder="1" applyAlignment="1" applyProtection="1">
      <alignment horizontal="center" vertical="center"/>
      <protection locked="0"/>
    </xf>
    <xf numFmtId="0" fontId="2" fillId="0" borderId="20" xfId="0" applyFont="1" applyBorder="1" applyAlignment="1" applyProtection="1">
      <alignment horizontal="left" vertical="top"/>
      <protection locked="0"/>
    </xf>
    <xf numFmtId="0" fontId="2" fillId="0" borderId="0" xfId="0" applyFont="1" applyBorder="1" applyAlignment="1" applyProtection="1">
      <alignment horizontal="left" vertical="top"/>
      <protection locked="0"/>
    </xf>
    <xf numFmtId="0" fontId="2" fillId="0" borderId="21" xfId="0" applyFont="1" applyBorder="1" applyAlignment="1" applyProtection="1">
      <alignment horizontal="left" vertical="top"/>
      <protection locked="0"/>
    </xf>
    <xf numFmtId="0" fontId="2" fillId="0" borderId="4" xfId="0" applyFont="1" applyBorder="1" applyAlignment="1" applyProtection="1">
      <alignment horizontal="left" vertical="top"/>
      <protection locked="0"/>
    </xf>
    <xf numFmtId="0" fontId="2" fillId="0" borderId="5" xfId="0" applyFont="1" applyBorder="1" applyAlignment="1" applyProtection="1">
      <alignment horizontal="left" vertical="top"/>
      <protection locked="0"/>
    </xf>
    <xf numFmtId="0" fontId="2" fillId="0" borderId="6" xfId="0" applyFont="1" applyBorder="1" applyAlignment="1" applyProtection="1">
      <alignment horizontal="left" vertical="top"/>
      <protection locked="0"/>
    </xf>
    <xf numFmtId="0" fontId="3" fillId="0" borderId="1" xfId="0" applyFont="1" applyBorder="1" applyAlignment="1" applyProtection="1">
      <alignment vertical="top" wrapText="1"/>
      <protection locked="0"/>
    </xf>
    <xf numFmtId="0" fontId="3" fillId="0" borderId="2" xfId="0" applyFont="1" applyBorder="1" applyAlignment="1" applyProtection="1">
      <alignment vertical="top" wrapText="1"/>
      <protection locked="0"/>
    </xf>
    <xf numFmtId="0" fontId="3" fillId="0" borderId="20" xfId="0" applyFont="1" applyBorder="1" applyAlignment="1" applyProtection="1">
      <alignment vertical="top" wrapText="1"/>
      <protection locked="0"/>
    </xf>
    <xf numFmtId="0" fontId="3" fillId="0" borderId="0" xfId="0" applyFont="1" applyBorder="1" applyAlignment="1" applyProtection="1">
      <alignment vertical="top" wrapText="1"/>
      <protection locked="0"/>
    </xf>
    <xf numFmtId="0" fontId="3" fillId="0" borderId="28" xfId="0" applyFont="1" applyBorder="1" applyAlignment="1" applyProtection="1">
      <alignment vertical="top" wrapText="1"/>
      <protection locked="0"/>
    </xf>
    <xf numFmtId="0" fontId="3" fillId="0" borderId="29" xfId="0" applyFont="1" applyBorder="1" applyAlignment="1" applyProtection="1">
      <alignment vertical="top" wrapText="1"/>
      <protection locked="0"/>
    </xf>
    <xf numFmtId="0" fontId="3" fillId="0" borderId="10" xfId="0" applyFont="1" applyBorder="1" applyAlignment="1" applyProtection="1">
      <alignment wrapText="1"/>
      <protection locked="0"/>
    </xf>
    <xf numFmtId="0" fontId="3" fillId="0" borderId="2" xfId="0" applyFont="1" applyBorder="1" applyAlignment="1" applyProtection="1">
      <alignment wrapText="1"/>
      <protection locked="0"/>
    </xf>
    <xf numFmtId="0" fontId="3" fillId="0" borderId="11" xfId="0" applyFont="1" applyBorder="1" applyAlignment="1" applyProtection="1">
      <alignment wrapText="1"/>
      <protection locked="0"/>
    </xf>
    <xf numFmtId="0" fontId="3" fillId="0" borderId="39" xfId="0" applyFont="1" applyBorder="1" applyAlignment="1" applyProtection="1">
      <alignment wrapText="1"/>
      <protection locked="0"/>
    </xf>
    <xf numFmtId="0" fontId="3" fillId="0" borderId="0" xfId="0" applyFont="1" applyBorder="1" applyAlignment="1" applyProtection="1">
      <alignment wrapText="1"/>
      <protection locked="0"/>
    </xf>
    <xf numFmtId="0" fontId="3" fillId="0" borderId="40" xfId="0" applyFont="1" applyBorder="1" applyAlignment="1" applyProtection="1">
      <alignment wrapText="1"/>
      <protection locked="0"/>
    </xf>
    <xf numFmtId="0" fontId="2" fillId="0" borderId="30" xfId="0" applyFont="1" applyBorder="1" applyAlignment="1" applyProtection="1">
      <protection locked="0"/>
    </xf>
    <xf numFmtId="0" fontId="2" fillId="0" borderId="31" xfId="0" applyFont="1" applyBorder="1" applyAlignment="1" applyProtection="1">
      <protection locked="0"/>
    </xf>
    <xf numFmtId="0" fontId="2" fillId="0" borderId="32" xfId="0" applyFont="1" applyBorder="1" applyAlignment="1" applyProtection="1">
      <protection locked="0"/>
    </xf>
    <xf numFmtId="0" fontId="7" fillId="0" borderId="33" xfId="0" applyFont="1" applyBorder="1" applyAlignment="1" applyProtection="1">
      <alignment horizontal="left" vertical="center" wrapText="1"/>
      <protection locked="0"/>
    </xf>
    <xf numFmtId="0" fontId="7" fillId="0" borderId="28" xfId="0" applyFont="1" applyBorder="1" applyAlignment="1" applyProtection="1">
      <alignment horizontal="left" vertical="center" wrapText="1"/>
      <protection locked="0"/>
    </xf>
    <xf numFmtId="0" fontId="7" fillId="0" borderId="34" xfId="0" applyFont="1" applyBorder="1" applyAlignment="1" applyProtection="1">
      <alignment horizontal="left" vertical="center" wrapText="1"/>
      <protection locked="0"/>
    </xf>
    <xf numFmtId="0" fontId="2" fillId="0" borderId="35" xfId="0" applyFont="1" applyBorder="1" applyAlignment="1" applyProtection="1">
      <protection locked="0"/>
    </xf>
    <xf numFmtId="0" fontId="2" fillId="0" borderId="36" xfId="0" applyFont="1" applyBorder="1" applyAlignment="1" applyProtection="1">
      <protection locked="0"/>
    </xf>
    <xf numFmtId="0" fontId="2" fillId="0" borderId="37" xfId="0" applyFont="1" applyBorder="1" applyAlignment="1" applyProtection="1">
      <protection locked="0"/>
    </xf>
    <xf numFmtId="0" fontId="2" fillId="0" borderId="38" xfId="0" applyFont="1" applyBorder="1" applyAlignment="1" applyProtection="1">
      <protection locked="0"/>
    </xf>
    <xf numFmtId="0" fontId="2" fillId="0" borderId="41" xfId="0" applyFont="1" applyBorder="1" applyAlignment="1" applyProtection="1">
      <protection locked="0"/>
    </xf>
    <xf numFmtId="0" fontId="2" fillId="0" borderId="42" xfId="0" applyFont="1" applyBorder="1" applyAlignment="1" applyProtection="1">
      <protection locked="0"/>
    </xf>
    <xf numFmtId="0" fontId="2" fillId="0" borderId="43" xfId="0" applyFont="1" applyBorder="1" applyAlignment="1" applyProtection="1">
      <protection locked="0"/>
    </xf>
    <xf numFmtId="0" fontId="8" fillId="0" borderId="44" xfId="0" applyFont="1" applyBorder="1" applyAlignment="1" applyProtection="1">
      <alignment horizontal="left" vertical="center" wrapText="1"/>
      <protection locked="0"/>
    </xf>
    <xf numFmtId="0" fontId="8" fillId="0" borderId="26" xfId="0" applyFont="1" applyBorder="1" applyAlignment="1" applyProtection="1">
      <alignment horizontal="left" vertical="center" wrapText="1"/>
      <protection locked="0"/>
    </xf>
    <xf numFmtId="0" fontId="8" fillId="0" borderId="27" xfId="0" applyFont="1" applyBorder="1" applyAlignment="1" applyProtection="1">
      <alignment horizontal="left" vertical="center" wrapText="1"/>
      <protection locked="0"/>
    </xf>
    <xf numFmtId="0" fontId="8" fillId="0" borderId="52" xfId="0" applyFont="1" applyBorder="1" applyAlignment="1" applyProtection="1">
      <alignment horizontal="left" vertical="center" wrapText="1"/>
      <protection locked="0"/>
    </xf>
    <xf numFmtId="0" fontId="8" fillId="0" borderId="23" xfId="0" applyFont="1" applyBorder="1" applyAlignment="1" applyProtection="1">
      <alignment horizontal="left" vertical="center" wrapText="1"/>
      <protection locked="0"/>
    </xf>
    <xf numFmtId="0" fontId="8" fillId="0" borderId="24" xfId="0" applyFont="1" applyBorder="1" applyAlignment="1" applyProtection="1">
      <alignment horizontal="left" vertical="center" wrapText="1"/>
      <protection locked="0"/>
    </xf>
    <xf numFmtId="0" fontId="0" fillId="0" borderId="20"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4" xfId="0" applyBorder="1" applyAlignment="1" applyProtection="1">
      <alignment vertical="top" wrapText="1"/>
      <protection locked="0"/>
    </xf>
    <xf numFmtId="0" fontId="0" fillId="0" borderId="5" xfId="0" applyBorder="1" applyAlignment="1" applyProtection="1">
      <alignment vertical="top" wrapText="1"/>
      <protection locked="0"/>
    </xf>
    <xf numFmtId="0" fontId="2" fillId="0" borderId="45" xfId="0" applyFont="1" applyBorder="1" applyAlignment="1" applyProtection="1">
      <protection locked="0"/>
    </xf>
    <xf numFmtId="0" fontId="2" fillId="0" borderId="46" xfId="0" applyFont="1" applyBorder="1" applyAlignment="1" applyProtection="1">
      <protection locked="0"/>
    </xf>
    <xf numFmtId="0" fontId="2" fillId="0" borderId="47" xfId="0" applyFont="1" applyBorder="1" applyAlignment="1" applyProtection="1">
      <protection locked="0"/>
    </xf>
    <xf numFmtId="0" fontId="2" fillId="0" borderId="48" xfId="0" applyFont="1" applyBorder="1" applyAlignment="1" applyProtection="1">
      <protection locked="0"/>
    </xf>
    <xf numFmtId="0" fontId="3" fillId="0" borderId="39" xfId="0" applyFont="1" applyBorder="1" applyAlignment="1" applyProtection="1">
      <protection locked="0"/>
    </xf>
    <xf numFmtId="0" fontId="3" fillId="0" borderId="0" xfId="0" applyFont="1" applyBorder="1" applyAlignment="1" applyProtection="1">
      <protection locked="0"/>
    </xf>
    <xf numFmtId="0" fontId="3" fillId="0" borderId="40" xfId="0" applyFont="1" applyBorder="1" applyAlignment="1" applyProtection="1">
      <protection locked="0"/>
    </xf>
    <xf numFmtId="0" fontId="3" fillId="0" borderId="16" xfId="0" applyFont="1" applyBorder="1" applyAlignment="1" applyProtection="1">
      <protection locked="0"/>
    </xf>
    <xf numFmtId="0" fontId="3" fillId="0" borderId="5" xfId="0" applyFont="1" applyBorder="1" applyAlignment="1" applyProtection="1">
      <protection locked="0"/>
    </xf>
    <xf numFmtId="0" fontId="3" fillId="0" borderId="17" xfId="0" applyFont="1" applyBorder="1" applyAlignment="1" applyProtection="1">
      <protection locked="0"/>
    </xf>
    <xf numFmtId="0" fontId="2" fillId="0" borderId="49" xfId="0" applyFont="1" applyBorder="1" applyAlignment="1" applyProtection="1">
      <protection locked="0"/>
    </xf>
    <xf numFmtId="0" fontId="2" fillId="0" borderId="50" xfId="0" applyFont="1" applyBorder="1" applyAlignment="1" applyProtection="1">
      <protection locked="0"/>
    </xf>
    <xf numFmtId="0" fontId="2" fillId="0" borderId="51" xfId="0" applyFont="1" applyBorder="1" applyAlignment="1" applyProtection="1">
      <protection locked="0"/>
    </xf>
    <xf numFmtId="0" fontId="3" fillId="0" borderId="53" xfId="0" applyFont="1" applyBorder="1" applyAlignment="1" applyProtection="1">
      <alignment vertical="top" wrapText="1"/>
      <protection locked="0"/>
    </xf>
    <xf numFmtId="0" fontId="2" fillId="0" borderId="54" xfId="0" applyFont="1" applyBorder="1" applyAlignment="1" applyProtection="1">
      <protection locked="0"/>
    </xf>
    <xf numFmtId="0" fontId="2" fillId="0" borderId="55" xfId="0" applyFont="1" applyBorder="1" applyAlignment="1" applyProtection="1">
      <protection locked="0"/>
    </xf>
    <xf numFmtId="0" fontId="2" fillId="0" borderId="56" xfId="0" applyFont="1" applyBorder="1" applyAlignment="1" applyProtection="1">
      <protection locked="0"/>
    </xf>
    <xf numFmtId="0" fontId="7" fillId="0" borderId="57" xfId="0" applyFont="1" applyBorder="1" applyAlignment="1" applyProtection="1">
      <alignment horizontal="left" vertical="center" wrapText="1"/>
      <protection locked="0"/>
    </xf>
    <xf numFmtId="0" fontId="7" fillId="0" borderId="53" xfId="0" applyFont="1" applyBorder="1" applyAlignment="1" applyProtection="1">
      <alignment horizontal="left" vertical="center" wrapText="1"/>
      <protection locked="0"/>
    </xf>
    <xf numFmtId="0" fontId="7" fillId="0" borderId="58" xfId="0" applyFont="1" applyBorder="1" applyAlignment="1" applyProtection="1">
      <alignment horizontal="left" vertical="center" wrapText="1"/>
      <protection locked="0"/>
    </xf>
    <xf numFmtId="0" fontId="8" fillId="0" borderId="1" xfId="0" applyFont="1" applyBorder="1" applyAlignment="1" applyProtection="1">
      <alignment vertical="top" wrapText="1"/>
      <protection locked="0"/>
    </xf>
    <xf numFmtId="0" fontId="8" fillId="0" borderId="2" xfId="0" applyFont="1" applyBorder="1" applyAlignment="1" applyProtection="1">
      <alignment vertical="top" wrapText="1"/>
      <protection locked="0"/>
    </xf>
    <xf numFmtId="0" fontId="8" fillId="0" borderId="9" xfId="0" applyFont="1" applyBorder="1" applyAlignment="1" applyProtection="1">
      <alignment vertical="top" wrapText="1"/>
      <protection locked="0"/>
    </xf>
    <xf numFmtId="0" fontId="8" fillId="0" borderId="4" xfId="0" applyFont="1" applyBorder="1" applyAlignment="1" applyProtection="1">
      <alignment vertical="top" wrapText="1"/>
      <protection locked="0"/>
    </xf>
    <xf numFmtId="0" fontId="8" fillId="0" borderId="5" xfId="0" applyFont="1" applyBorder="1" applyAlignment="1" applyProtection="1">
      <alignment vertical="top" wrapText="1"/>
      <protection locked="0"/>
    </xf>
    <xf numFmtId="0" fontId="8" fillId="0" borderId="15" xfId="0" applyFont="1" applyBorder="1" applyAlignment="1" applyProtection="1">
      <alignment vertical="top" wrapText="1"/>
      <protection locked="0"/>
    </xf>
    <xf numFmtId="0" fontId="0" fillId="0" borderId="10" xfId="0" applyBorder="1" applyAlignment="1" applyProtection="1">
      <alignment wrapText="1"/>
      <protection locked="0"/>
    </xf>
    <xf numFmtId="0" fontId="0" fillId="0" borderId="2" xfId="0" applyBorder="1" applyAlignment="1" applyProtection="1">
      <alignment wrapText="1"/>
      <protection locked="0"/>
    </xf>
    <xf numFmtId="0" fontId="0" fillId="0" borderId="9" xfId="0" applyBorder="1" applyAlignment="1" applyProtection="1">
      <alignment wrapText="1"/>
      <protection locked="0"/>
    </xf>
    <xf numFmtId="0" fontId="0" fillId="0" borderId="16" xfId="0" applyBorder="1" applyAlignment="1" applyProtection="1">
      <alignment wrapText="1"/>
      <protection locked="0"/>
    </xf>
    <xf numFmtId="0" fontId="0" fillId="0" borderId="5" xfId="0" applyBorder="1" applyAlignment="1" applyProtection="1">
      <alignment wrapText="1"/>
      <protection locked="0"/>
    </xf>
    <xf numFmtId="0" fontId="0" fillId="0" borderId="15" xfId="0" applyBorder="1" applyAlignment="1" applyProtection="1">
      <alignment wrapText="1"/>
      <protection locked="0"/>
    </xf>
    <xf numFmtId="0" fontId="0" fillId="0" borderId="59" xfId="0" applyBorder="1" applyAlignment="1" applyProtection="1">
      <alignment horizontal="left" vertical="center" wrapText="1"/>
      <protection locked="0"/>
    </xf>
    <xf numFmtId="0" fontId="0" fillId="0" borderId="60" xfId="0" applyBorder="1" applyAlignment="1" applyProtection="1">
      <alignment horizontal="left" vertical="center" wrapText="1"/>
      <protection locked="0"/>
    </xf>
    <xf numFmtId="0" fontId="0" fillId="0" borderId="3" xfId="0" applyBorder="1" applyAlignment="1" applyProtection="1">
      <alignment wrapText="1"/>
      <protection locked="0"/>
    </xf>
    <xf numFmtId="0" fontId="0" fillId="0" borderId="6" xfId="0" applyBorder="1" applyAlignment="1" applyProtection="1">
      <alignment wrapText="1"/>
      <protection locked="0"/>
    </xf>
    <xf numFmtId="0" fontId="3" fillId="0" borderId="0" xfId="0" applyFont="1" applyBorder="1" applyAlignment="1" applyProtection="1">
      <alignment horizontal="center"/>
      <protection locked="0"/>
    </xf>
    <xf numFmtId="0" fontId="0" fillId="0" borderId="61" xfId="0" applyBorder="1" applyAlignment="1" applyProtection="1">
      <alignment wrapText="1"/>
      <protection locked="0"/>
    </xf>
    <xf numFmtId="0" fontId="0" fillId="0" borderId="62" xfId="0" applyBorder="1" applyAlignment="1" applyProtection="1">
      <protection locked="0"/>
    </xf>
    <xf numFmtId="0" fontId="0" fillId="0" borderId="65" xfId="0" applyBorder="1" applyAlignment="1" applyProtection="1">
      <protection locked="0"/>
    </xf>
    <xf numFmtId="0" fontId="8" fillId="0" borderId="63" xfId="0" applyFont="1" applyBorder="1" applyAlignment="1" applyProtection="1">
      <alignment horizontal="center" wrapText="1"/>
      <protection locked="0"/>
    </xf>
    <xf numFmtId="0" fontId="0" fillId="0" borderId="64" xfId="0" applyBorder="1" applyAlignment="1" applyProtection="1">
      <protection locked="0"/>
    </xf>
    <xf numFmtId="0" fontId="0" fillId="0" borderId="61" xfId="0" applyBorder="1" applyAlignment="1" applyProtection="1">
      <protection locked="0"/>
    </xf>
    <xf numFmtId="0" fontId="8" fillId="0" borderId="62" xfId="0" applyFont="1" applyBorder="1" applyAlignment="1" applyProtection="1">
      <alignment horizontal="center" wrapText="1"/>
      <protection locked="0"/>
    </xf>
    <xf numFmtId="0" fontId="8" fillId="0" borderId="64" xfId="0" applyFont="1" applyBorder="1" applyAlignment="1" applyProtection="1">
      <alignment horizontal="center" wrapText="1"/>
      <protection locked="0"/>
    </xf>
    <xf numFmtId="0" fontId="0" fillId="0" borderId="66" xfId="0" applyBorder="1" applyAlignment="1" applyProtection="1">
      <protection locked="0"/>
    </xf>
    <xf numFmtId="0" fontId="8" fillId="0" borderId="67" xfId="0" applyFont="1" applyBorder="1" applyAlignment="1" applyProtection="1">
      <alignment horizontal="center" wrapText="1"/>
      <protection locked="0"/>
    </xf>
    <xf numFmtId="0" fontId="8" fillId="0" borderId="68" xfId="0" applyFont="1" applyBorder="1" applyAlignment="1" applyProtection="1">
      <alignment horizontal="center" wrapText="1"/>
      <protection locked="0"/>
    </xf>
    <xf numFmtId="0" fontId="8" fillId="0" borderId="69" xfId="0" applyFont="1" applyBorder="1" applyAlignment="1" applyProtection="1">
      <alignment horizontal="center" wrapText="1"/>
      <protection locked="0"/>
    </xf>
    <xf numFmtId="0" fontId="0" fillId="0" borderId="70" xfId="0" applyBorder="1" applyAlignment="1" applyProtection="1">
      <protection locked="0"/>
    </xf>
    <xf numFmtId="0" fontId="0" fillId="0" borderId="0" xfId="0" applyBorder="1" applyAlignment="1" applyProtection="1">
      <protection locked="0"/>
    </xf>
    <xf numFmtId="0" fontId="9" fillId="0" borderId="71" xfId="0" applyFont="1" applyFill="1" applyBorder="1" applyAlignment="1" applyProtection="1">
      <alignment horizontal="center"/>
      <protection locked="0"/>
    </xf>
    <xf numFmtId="0" fontId="9" fillId="0" borderId="23" xfId="0" applyFont="1" applyFill="1" applyBorder="1" applyAlignment="1" applyProtection="1">
      <alignment horizontal="center"/>
      <protection locked="0"/>
    </xf>
    <xf numFmtId="0" fontId="9" fillId="0" borderId="65" xfId="0" applyFont="1" applyBorder="1" applyAlignment="1" applyProtection="1">
      <alignment horizontal="center"/>
      <protection locked="0"/>
    </xf>
    <xf numFmtId="0" fontId="9" fillId="0" borderId="0" xfId="0" applyFont="1" applyBorder="1" applyAlignment="1" applyProtection="1">
      <alignment horizontal="center"/>
      <protection locked="0"/>
    </xf>
    <xf numFmtId="0" fontId="9" fillId="0" borderId="61" xfId="0" applyFont="1" applyBorder="1" applyAlignment="1" applyProtection="1">
      <alignment horizontal="center"/>
      <protection locked="0"/>
    </xf>
    <xf numFmtId="0" fontId="9" fillId="0" borderId="23" xfId="0" applyFont="1" applyBorder="1" applyAlignment="1" applyProtection="1">
      <alignment horizontal="center"/>
      <protection locked="0"/>
    </xf>
    <xf numFmtId="0" fontId="9" fillId="0" borderId="71" xfId="0" applyFont="1" applyBorder="1" applyAlignment="1" applyProtection="1">
      <alignment horizontal="center"/>
      <protection locked="0"/>
    </xf>
    <xf numFmtId="0" fontId="0" fillId="0" borderId="72" xfId="0" applyBorder="1" applyAlignment="1" applyProtection="1">
      <protection locked="0"/>
    </xf>
    <xf numFmtId="0" fontId="2" fillId="0" borderId="74" xfId="0" applyFont="1" applyBorder="1" applyAlignment="1" applyProtection="1">
      <alignment vertical="center"/>
      <protection locked="0"/>
    </xf>
    <xf numFmtId="0" fontId="2" fillId="0" borderId="75" xfId="0" applyFont="1" applyBorder="1" applyAlignment="1" applyProtection="1">
      <alignment vertical="center"/>
      <protection locked="0"/>
    </xf>
    <xf numFmtId="0" fontId="2" fillId="0" borderId="76" xfId="0" applyFont="1" applyBorder="1" applyAlignment="1" applyProtection="1">
      <alignment vertical="center"/>
      <protection locked="0"/>
    </xf>
    <xf numFmtId="0" fontId="2" fillId="0" borderId="78" xfId="0" applyFont="1" applyBorder="1" applyAlignment="1" applyProtection="1">
      <alignment vertical="center"/>
      <protection locked="0"/>
    </xf>
    <xf numFmtId="0" fontId="2" fillId="0" borderId="79" xfId="0" applyFont="1" applyBorder="1" applyAlignment="1" applyProtection="1">
      <alignment vertical="center"/>
      <protection locked="0"/>
    </xf>
    <xf numFmtId="0" fontId="2" fillId="0" borderId="80" xfId="0" applyFont="1" applyBorder="1" applyAlignment="1" applyProtection="1">
      <alignment vertical="center"/>
      <protection locked="0"/>
    </xf>
    <xf numFmtId="0" fontId="0" fillId="0" borderId="81" xfId="0" applyBorder="1" applyAlignment="1" applyProtection="1">
      <protection locked="0"/>
    </xf>
    <xf numFmtId="0" fontId="2" fillId="3" borderId="78" xfId="0" applyFont="1" applyFill="1" applyBorder="1" applyAlignment="1" applyProtection="1">
      <alignment horizontal="left" vertical="center"/>
      <protection locked="0"/>
    </xf>
    <xf numFmtId="0" fontId="2" fillId="3" borderId="79" xfId="0" applyFont="1" applyFill="1" applyBorder="1" applyAlignment="1" applyProtection="1">
      <alignment horizontal="left" vertical="center"/>
      <protection locked="0"/>
    </xf>
    <xf numFmtId="0" fontId="2" fillId="3" borderId="80" xfId="0" applyFont="1" applyFill="1" applyBorder="1" applyAlignment="1" applyProtection="1">
      <alignment horizontal="left" vertical="center"/>
      <protection locked="0"/>
    </xf>
    <xf numFmtId="0" fontId="0" fillId="0" borderId="82" xfId="0" applyBorder="1" applyAlignment="1" applyProtection="1">
      <protection locked="0"/>
    </xf>
    <xf numFmtId="0" fontId="0" fillId="0" borderId="83" xfId="0" applyBorder="1" applyAlignment="1" applyProtection="1">
      <protection locked="0"/>
    </xf>
    <xf numFmtId="0" fontId="0" fillId="0" borderId="85" xfId="0" applyBorder="1" applyAlignment="1" applyProtection="1">
      <protection locked="0"/>
    </xf>
    <xf numFmtId="49" fontId="2" fillId="0" borderId="74" xfId="0" applyNumberFormat="1" applyFont="1" applyBorder="1" applyAlignment="1" applyProtection="1">
      <alignment vertical="center"/>
      <protection locked="0"/>
    </xf>
    <xf numFmtId="49" fontId="2" fillId="0" borderId="75" xfId="0" applyNumberFormat="1" applyFont="1" applyBorder="1" applyAlignment="1" applyProtection="1">
      <alignment vertical="center"/>
      <protection locked="0"/>
    </xf>
    <xf numFmtId="49" fontId="2" fillId="0" borderId="76" xfId="0" applyNumberFormat="1" applyFont="1" applyBorder="1" applyAlignment="1" applyProtection="1">
      <alignment vertical="center"/>
      <protection locked="0"/>
    </xf>
    <xf numFmtId="16" fontId="2" fillId="3" borderId="78" xfId="0" applyNumberFormat="1" applyFont="1" applyFill="1" applyBorder="1" applyAlignment="1" applyProtection="1">
      <alignment horizontal="left" vertical="center"/>
      <protection locked="0"/>
    </xf>
    <xf numFmtId="16" fontId="2" fillId="3" borderId="79" xfId="0" applyNumberFormat="1" applyFont="1" applyFill="1" applyBorder="1" applyAlignment="1" applyProtection="1">
      <alignment horizontal="left" vertical="center"/>
      <protection locked="0"/>
    </xf>
    <xf numFmtId="16" fontId="2" fillId="3" borderId="80" xfId="0" applyNumberFormat="1" applyFont="1" applyFill="1" applyBorder="1" applyAlignment="1" applyProtection="1">
      <alignment horizontal="left" vertical="center"/>
      <protection locked="0"/>
    </xf>
    <xf numFmtId="0" fontId="2" fillId="3" borderId="78" xfId="0" applyFont="1" applyFill="1" applyBorder="1" applyAlignment="1" applyProtection="1">
      <alignment horizontal="left"/>
      <protection locked="0"/>
    </xf>
    <xf numFmtId="0" fontId="2" fillId="3" borderId="79" xfId="0" applyFont="1" applyFill="1" applyBorder="1" applyAlignment="1" applyProtection="1">
      <alignment horizontal="left"/>
      <protection locked="0"/>
    </xf>
    <xf numFmtId="0" fontId="2" fillId="3" borderId="80" xfId="0" applyFont="1" applyFill="1" applyBorder="1" applyAlignment="1" applyProtection="1">
      <alignment horizontal="left"/>
      <protection locked="0"/>
    </xf>
    <xf numFmtId="0" fontId="11" fillId="0" borderId="97" xfId="0" applyFont="1" applyBorder="1" applyAlignment="1" applyProtection="1">
      <alignment horizontal="center" vertical="center" wrapText="1"/>
      <protection locked="0"/>
    </xf>
    <xf numFmtId="0" fontId="11" fillId="0" borderId="98" xfId="0" applyFont="1" applyBorder="1" applyAlignment="1" applyProtection="1">
      <alignment horizontal="center" vertical="center" wrapText="1"/>
      <protection locked="0"/>
    </xf>
    <xf numFmtId="0" fontId="11" fillId="0" borderId="99" xfId="0" applyFont="1" applyBorder="1" applyAlignment="1" applyProtection="1">
      <alignment horizontal="center" vertical="center" wrapText="1"/>
      <protection locked="0"/>
    </xf>
    <xf numFmtId="0" fontId="0" fillId="0" borderId="95" xfId="0" applyBorder="1" applyAlignment="1" applyProtection="1">
      <protection locked="0"/>
    </xf>
    <xf numFmtId="0" fontId="0" fillId="0" borderId="0" xfId="0" applyAlignment="1" applyProtection="1">
      <protection locked="0"/>
    </xf>
    <xf numFmtId="0" fontId="0" fillId="0" borderId="100" xfId="0" applyBorder="1" applyAlignment="1" applyProtection="1">
      <protection locked="0"/>
    </xf>
    <xf numFmtId="0" fontId="0" fillId="0" borderId="71" xfId="0" applyBorder="1" applyAlignment="1" applyProtection="1">
      <protection locked="0"/>
    </xf>
    <xf numFmtId="0" fontId="0" fillId="0" borderId="96" xfId="0" applyBorder="1" applyAlignment="1" applyProtection="1">
      <protection locked="0"/>
    </xf>
    <xf numFmtId="0" fontId="0" fillId="0" borderId="105" xfId="0" applyBorder="1" applyAlignment="1" applyProtection="1">
      <protection locked="0"/>
    </xf>
    <xf numFmtId="0" fontId="2" fillId="4" borderId="101" xfId="0" applyFont="1" applyFill="1" applyBorder="1" applyAlignment="1" applyProtection="1">
      <alignment horizontal="center" vertical="center"/>
      <protection locked="0"/>
    </xf>
    <xf numFmtId="0" fontId="2" fillId="4" borderId="103" xfId="0" applyFont="1" applyFill="1" applyBorder="1" applyAlignment="1" applyProtection="1">
      <alignment horizontal="center" vertical="center"/>
      <protection locked="0"/>
    </xf>
    <xf numFmtId="0" fontId="2" fillId="5" borderId="101" xfId="0" applyFont="1" applyFill="1" applyBorder="1" applyAlignment="1" applyProtection="1">
      <alignment horizontal="center" vertical="center"/>
      <protection locked="0"/>
    </xf>
    <xf numFmtId="0" fontId="2" fillId="5" borderId="103" xfId="0" applyFont="1" applyFill="1" applyBorder="1" applyAlignment="1" applyProtection="1">
      <alignment horizontal="center" vertical="center"/>
      <protection locked="0"/>
    </xf>
    <xf numFmtId="0" fontId="2" fillId="6" borderId="101" xfId="0" applyFont="1" applyFill="1" applyBorder="1" applyAlignment="1" applyProtection="1">
      <alignment horizontal="center" vertical="center"/>
      <protection locked="0"/>
    </xf>
    <xf numFmtId="0" fontId="2" fillId="6" borderId="103" xfId="0" applyFont="1" applyFill="1" applyBorder="1" applyAlignment="1" applyProtection="1">
      <alignment horizontal="center" vertical="center"/>
      <protection locked="0"/>
    </xf>
    <xf numFmtId="0" fontId="2" fillId="7" borderId="101" xfId="0" applyFont="1" applyFill="1" applyBorder="1" applyAlignment="1" applyProtection="1">
      <alignment horizontal="center" vertical="center"/>
      <protection locked="0"/>
    </xf>
    <xf numFmtId="0" fontId="2" fillId="7" borderId="104" xfId="0" applyFont="1" applyFill="1" applyBorder="1" applyAlignment="1" applyProtection="1">
      <alignment horizontal="center" vertical="center"/>
      <protection locked="0"/>
    </xf>
    <xf numFmtId="0" fontId="0" fillId="0" borderId="86" xfId="0" applyBorder="1" applyAlignment="1" applyProtection="1">
      <protection locked="0"/>
    </xf>
    <xf numFmtId="0" fontId="0" fillId="0" borderId="87" xfId="0" applyBorder="1" applyAlignment="1" applyProtection="1">
      <protection locked="0"/>
    </xf>
    <xf numFmtId="0" fontId="0" fillId="0" borderId="88" xfId="0" applyBorder="1" applyAlignment="1" applyProtection="1">
      <protection locked="0"/>
    </xf>
    <xf numFmtId="0" fontId="0" fillId="0" borderId="89" xfId="0" applyBorder="1" applyAlignment="1" applyProtection="1">
      <protection locked="0"/>
    </xf>
    <xf numFmtId="0" fontId="0" fillId="0" borderId="90" xfId="0" applyBorder="1" applyAlignment="1" applyProtection="1">
      <protection locked="0"/>
    </xf>
    <xf numFmtId="0" fontId="0" fillId="0" borderId="91" xfId="0" applyBorder="1" applyAlignment="1" applyProtection="1">
      <protection locked="0"/>
    </xf>
    <xf numFmtId="0" fontId="2" fillId="0" borderId="71" xfId="0" applyFont="1" applyBorder="1" applyAlignment="1" applyProtection="1">
      <protection locked="0"/>
    </xf>
    <xf numFmtId="0" fontId="3" fillId="0" borderId="92" xfId="0" applyFont="1" applyFill="1" applyBorder="1" applyAlignment="1" applyProtection="1">
      <alignment horizontal="center" vertical="center" wrapText="1"/>
      <protection locked="0"/>
    </xf>
    <xf numFmtId="0" fontId="0" fillId="0" borderId="93" xfId="0" applyBorder="1" applyAlignment="1" applyProtection="1">
      <alignment horizontal="center" vertical="center" wrapText="1"/>
      <protection locked="0"/>
    </xf>
    <xf numFmtId="0" fontId="0" fillId="0" borderId="94" xfId="0" applyBorder="1" applyAlignment="1" applyProtection="1">
      <alignment horizontal="center" vertical="center" wrapText="1"/>
      <protection locked="0"/>
    </xf>
    <xf numFmtId="0" fontId="0" fillId="0" borderId="95" xfId="0"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0" borderId="96" xfId="0" applyBorder="1" applyAlignment="1" applyProtection="1">
      <alignment horizontal="center" vertical="center" wrapText="1"/>
      <protection locked="0"/>
    </xf>
    <xf numFmtId="0" fontId="9" fillId="0" borderId="95" xfId="0" applyFont="1" applyBorder="1" applyAlignment="1" applyProtection="1">
      <alignment vertical="top" wrapText="1"/>
      <protection locked="0"/>
    </xf>
    <xf numFmtId="0" fontId="9" fillId="0" borderId="100" xfId="0" applyFont="1" applyBorder="1" applyAlignment="1" applyProtection="1">
      <alignment vertical="top" wrapText="1"/>
      <protection locked="0"/>
    </xf>
    <xf numFmtId="0" fontId="8" fillId="0" borderId="113" xfId="0" applyFont="1" applyBorder="1" applyAlignment="1" applyProtection="1">
      <alignment horizontal="center"/>
      <protection locked="0"/>
    </xf>
    <xf numFmtId="0" fontId="8" fillId="0" borderId="115" xfId="0" applyFont="1" applyBorder="1" applyAlignment="1" applyProtection="1">
      <alignment horizontal="center"/>
      <protection locked="0"/>
    </xf>
    <xf numFmtId="0" fontId="14" fillId="0" borderId="92" xfId="0" applyFont="1" applyBorder="1" applyAlignment="1" applyProtection="1">
      <alignment horizontal="center" vertical="center" wrapText="1"/>
      <protection locked="0"/>
    </xf>
    <xf numFmtId="0" fontId="10" fillId="0" borderId="93" xfId="0" applyFont="1" applyBorder="1" applyAlignment="1" applyProtection="1">
      <protection locked="0"/>
    </xf>
    <xf numFmtId="0" fontId="10" fillId="0" borderId="107" xfId="0" applyFont="1" applyBorder="1" applyAlignment="1" applyProtection="1">
      <protection locked="0"/>
    </xf>
    <xf numFmtId="0" fontId="10" fillId="0" borderId="100" xfId="0" applyFont="1" applyBorder="1" applyAlignment="1" applyProtection="1">
      <protection locked="0"/>
    </xf>
    <xf numFmtId="0" fontId="10" fillId="0" borderId="71" xfId="0" applyFont="1" applyBorder="1" applyAlignment="1" applyProtection="1">
      <protection locked="0"/>
    </xf>
    <xf numFmtId="0" fontId="10" fillId="0" borderId="112" xfId="0" applyFont="1" applyBorder="1" applyAlignment="1" applyProtection="1">
      <protection locked="0"/>
    </xf>
    <xf numFmtId="0" fontId="14" fillId="0" borderId="92" xfId="0" applyFont="1" applyBorder="1" applyAlignment="1" applyProtection="1">
      <alignment vertical="center" wrapText="1"/>
      <protection locked="0"/>
    </xf>
    <xf numFmtId="0" fontId="14" fillId="0" borderId="93" xfId="0" applyFont="1" applyBorder="1" applyAlignment="1" applyProtection="1">
      <alignment vertical="center" wrapText="1"/>
      <protection locked="0"/>
    </xf>
    <xf numFmtId="0" fontId="0" fillId="0" borderId="93" xfId="0" applyBorder="1" applyAlignment="1" applyProtection="1">
      <protection locked="0"/>
    </xf>
    <xf numFmtId="0" fontId="0" fillId="0" borderId="94" xfId="0" applyBorder="1" applyAlignment="1" applyProtection="1">
      <protection locked="0"/>
    </xf>
    <xf numFmtId="0" fontId="14" fillId="0" borderId="100" xfId="0" applyFont="1" applyBorder="1" applyAlignment="1" applyProtection="1">
      <alignment vertical="center" wrapText="1"/>
      <protection locked="0"/>
    </xf>
    <xf numFmtId="0" fontId="14" fillId="0" borderId="71" xfId="0" applyFont="1" applyBorder="1" applyAlignment="1" applyProtection="1">
      <alignment vertical="center" wrapText="1"/>
      <protection locked="0"/>
    </xf>
    <xf numFmtId="0" fontId="0" fillId="0" borderId="119" xfId="0" applyBorder="1" applyAlignment="1" applyProtection="1">
      <alignment horizontal="center" vertical="center"/>
      <protection locked="0"/>
    </xf>
    <xf numFmtId="0" fontId="0" fillId="0" borderId="93" xfId="0" applyBorder="1" applyAlignment="1" applyProtection="1">
      <alignment horizontal="center" vertical="center"/>
      <protection locked="0"/>
    </xf>
    <xf numFmtId="0" fontId="0" fillId="0" borderId="107" xfId="0" applyBorder="1" applyAlignment="1" applyProtection="1">
      <alignment horizontal="center" vertical="center"/>
      <protection locked="0"/>
    </xf>
    <xf numFmtId="0" fontId="7" fillId="0" borderId="0" xfId="0" applyFont="1" applyBorder="1" applyAlignment="1" applyProtection="1">
      <protection locked="0"/>
    </xf>
    <xf numFmtId="0" fontId="12" fillId="0" borderId="0" xfId="0" applyFont="1" applyBorder="1" applyAlignment="1" applyProtection="1">
      <alignment horizontal="center" vertical="center" wrapText="1"/>
      <protection locked="0"/>
    </xf>
    <xf numFmtId="0" fontId="13" fillId="0" borderId="0" xfId="0" applyFont="1" applyAlignment="1" applyProtection="1">
      <alignment horizontal="center"/>
      <protection locked="0"/>
    </xf>
    <xf numFmtId="0" fontId="13" fillId="0" borderId="71" xfId="0" applyFont="1" applyBorder="1" applyAlignment="1" applyProtection="1">
      <alignment horizontal="center"/>
      <protection locked="0"/>
    </xf>
    <xf numFmtId="0" fontId="0" fillId="0" borderId="106" xfId="0" applyBorder="1" applyAlignment="1" applyProtection="1">
      <alignment horizontal="center" vertical="center"/>
      <protection locked="0"/>
    </xf>
    <xf numFmtId="0" fontId="0" fillId="0" borderId="111" xfId="0" applyBorder="1" applyAlignment="1" applyProtection="1">
      <alignment horizontal="center" vertical="center"/>
      <protection locked="0"/>
    </xf>
    <xf numFmtId="0" fontId="0" fillId="0" borderId="92" xfId="0" applyBorder="1" applyAlignment="1" applyProtection="1">
      <alignment horizontal="center" vertical="center"/>
      <protection locked="0"/>
    </xf>
    <xf numFmtId="0" fontId="0" fillId="0" borderId="107" xfId="0" applyBorder="1" applyAlignment="1" applyProtection="1">
      <protection locked="0"/>
    </xf>
    <xf numFmtId="0" fontId="0" fillId="0" borderId="112" xfId="0" applyBorder="1" applyAlignment="1" applyProtection="1">
      <protection locked="0"/>
    </xf>
    <xf numFmtId="0" fontId="14" fillId="0" borderId="93" xfId="0" applyFont="1" applyBorder="1" applyAlignment="1" applyProtection="1">
      <alignment horizontal="center" vertical="center" wrapText="1"/>
      <protection locked="0"/>
    </xf>
    <xf numFmtId="0" fontId="0" fillId="0" borderId="93" xfId="0" applyBorder="1" applyAlignment="1" applyProtection="1">
      <alignment horizontal="center"/>
      <protection locked="0"/>
    </xf>
    <xf numFmtId="0" fontId="0" fillId="0" borderId="94" xfId="0" applyBorder="1" applyAlignment="1" applyProtection="1">
      <alignment horizontal="center"/>
      <protection locked="0"/>
    </xf>
    <xf numFmtId="0" fontId="14" fillId="0" borderId="100" xfId="0" applyFont="1" applyBorder="1" applyAlignment="1" applyProtection="1">
      <alignment horizontal="center" vertical="center" wrapText="1"/>
      <protection locked="0"/>
    </xf>
    <xf numFmtId="0" fontId="14" fillId="0" borderId="71" xfId="0" applyFont="1" applyBorder="1" applyAlignment="1" applyProtection="1">
      <alignment horizontal="center" vertical="center" wrapText="1"/>
      <protection locked="0"/>
    </xf>
    <xf numFmtId="0" fontId="0" fillId="0" borderId="71" xfId="0" applyBorder="1" applyAlignment="1" applyProtection="1">
      <alignment horizontal="center"/>
      <protection locked="0"/>
    </xf>
    <xf numFmtId="0" fontId="0" fillId="0" borderId="105" xfId="0" applyBorder="1" applyAlignment="1" applyProtection="1">
      <alignment horizontal="center"/>
      <protection locked="0"/>
    </xf>
    <xf numFmtId="0" fontId="10" fillId="0" borderId="108" xfId="0" applyFont="1" applyBorder="1" applyAlignment="1" applyProtection="1">
      <alignment horizontal="center"/>
      <protection locked="0"/>
    </xf>
    <xf numFmtId="0" fontId="10" fillId="0" borderId="109" xfId="0" applyFont="1" applyBorder="1" applyAlignment="1" applyProtection="1">
      <alignment horizontal="center"/>
      <protection locked="0"/>
    </xf>
    <xf numFmtId="0" fontId="10" fillId="0" borderId="110" xfId="0" applyFont="1" applyBorder="1" applyAlignment="1" applyProtection="1">
      <alignment horizontal="center"/>
      <protection locked="0"/>
    </xf>
    <xf numFmtId="0" fontId="15" fillId="0" borderId="108" xfId="0" applyFont="1" applyBorder="1" applyAlignment="1" applyProtection="1">
      <alignment horizontal="center"/>
      <protection locked="0"/>
    </xf>
    <xf numFmtId="0" fontId="15" fillId="0" borderId="109" xfId="0" applyFont="1" applyBorder="1" applyAlignment="1" applyProtection="1">
      <alignment horizontal="center"/>
      <protection locked="0"/>
    </xf>
    <xf numFmtId="0" fontId="15" fillId="0" borderId="110" xfId="0" applyFont="1" applyBorder="1" applyAlignment="1" applyProtection="1">
      <alignment horizontal="center"/>
      <protection locked="0"/>
    </xf>
    <xf numFmtId="0" fontId="0" fillId="0" borderId="71" xfId="0" applyBorder="1" applyAlignment="1" applyProtection="1">
      <alignment horizontal="center" vertical="center"/>
      <protection locked="0"/>
    </xf>
    <xf numFmtId="0" fontId="0" fillId="0" borderId="112" xfId="0" applyBorder="1" applyAlignment="1" applyProtection="1">
      <alignment horizontal="center" vertical="center"/>
      <protection locked="0"/>
    </xf>
    <xf numFmtId="0" fontId="8" fillId="0" borderId="73" xfId="0" applyFont="1" applyBorder="1" applyAlignment="1" applyProtection="1">
      <alignment horizontal="center" vertical="center"/>
      <protection locked="0"/>
    </xf>
    <xf numFmtId="0" fontId="8" fillId="0" borderId="76" xfId="0" applyFont="1" applyBorder="1" applyAlignment="1" applyProtection="1">
      <alignment horizontal="center" vertical="center"/>
      <protection locked="0"/>
    </xf>
    <xf numFmtId="0" fontId="14" fillId="0" borderId="92" xfId="0" applyFont="1" applyBorder="1" applyAlignment="1" applyProtection="1">
      <alignment horizontal="left" vertical="center" wrapText="1"/>
      <protection locked="0"/>
    </xf>
    <xf numFmtId="0" fontId="14" fillId="0" borderId="93" xfId="0" applyFont="1" applyBorder="1" applyAlignment="1" applyProtection="1">
      <alignment horizontal="left" vertical="center" wrapText="1"/>
      <protection locked="0"/>
    </xf>
    <xf numFmtId="0" fontId="14" fillId="0" borderId="100" xfId="0" applyFont="1" applyBorder="1" applyAlignment="1" applyProtection="1">
      <alignment horizontal="left" vertical="center" wrapText="1"/>
      <protection locked="0"/>
    </xf>
    <xf numFmtId="0" fontId="14" fillId="0" borderId="71" xfId="0" applyFont="1" applyBorder="1" applyAlignment="1" applyProtection="1">
      <alignment horizontal="left" vertical="center" wrapText="1"/>
      <protection locked="0"/>
    </xf>
    <xf numFmtId="0" fontId="16" fillId="0" borderId="92" xfId="0" applyFont="1" applyBorder="1" applyAlignment="1" applyProtection="1">
      <alignment horizontal="center" vertical="center" wrapText="1"/>
      <protection locked="0"/>
    </xf>
    <xf numFmtId="0" fontId="0" fillId="0" borderId="93" xfId="0" applyBorder="1" applyAlignment="1" applyProtection="1">
      <alignment vertical="top"/>
      <protection locked="0"/>
    </xf>
    <xf numFmtId="0" fontId="16" fillId="0" borderId="93" xfId="0" applyFont="1" applyBorder="1" applyAlignment="1" applyProtection="1">
      <alignment horizontal="center" vertical="center" wrapText="1"/>
      <protection locked="0"/>
    </xf>
    <xf numFmtId="0" fontId="16" fillId="0" borderId="107" xfId="0" applyFont="1" applyBorder="1" applyAlignment="1" applyProtection="1">
      <alignment horizontal="center" vertical="center" wrapText="1"/>
      <protection locked="0"/>
    </xf>
    <xf numFmtId="0" fontId="16" fillId="0" borderId="100" xfId="0" applyFont="1" applyBorder="1" applyAlignment="1" applyProtection="1">
      <alignment horizontal="center" vertical="center" wrapText="1"/>
      <protection locked="0"/>
    </xf>
    <xf numFmtId="0" fontId="16" fillId="0" borderId="71" xfId="0" applyFont="1" applyBorder="1" applyAlignment="1" applyProtection="1">
      <alignment horizontal="center" vertical="center" wrapText="1"/>
      <protection locked="0"/>
    </xf>
    <xf numFmtId="0" fontId="16" fillId="0" borderId="112" xfId="0" applyFont="1" applyBorder="1" applyAlignment="1" applyProtection="1">
      <alignment horizontal="center" vertical="center" wrapText="1"/>
      <protection locked="0"/>
    </xf>
    <xf numFmtId="0" fontId="8" fillId="0" borderId="0" xfId="0" applyFont="1" applyBorder="1" applyAlignment="1" applyProtection="1">
      <alignment horizontal="left" vertical="center"/>
      <protection locked="0"/>
    </xf>
    <xf numFmtId="0" fontId="8" fillId="0" borderId="0" xfId="0" applyFont="1" applyAlignment="1" applyProtection="1">
      <alignment horizontal="left" vertical="center"/>
      <protection locked="0"/>
    </xf>
    <xf numFmtId="0" fontId="8" fillId="0" borderId="0" xfId="0" applyFont="1" applyBorder="1" applyAlignment="1" applyProtection="1">
      <alignment vertical="top"/>
      <protection locked="0"/>
    </xf>
    <xf numFmtId="0" fontId="8" fillId="0" borderId="0" xfId="0" applyFont="1" applyBorder="1" applyAlignment="1" applyProtection="1">
      <protection locked="0"/>
    </xf>
    <xf numFmtId="0" fontId="14" fillId="0" borderId="0" xfId="0" applyFont="1" applyBorder="1" applyAlignment="1" applyProtection="1">
      <alignment vertical="center"/>
      <protection locked="0"/>
    </xf>
    <xf numFmtId="0" fontId="3" fillId="3" borderId="0" xfId="0" applyFont="1" applyFill="1" applyBorder="1" applyAlignment="1" applyProtection="1">
      <alignment horizontal="center"/>
      <protection locked="0"/>
    </xf>
    <xf numFmtId="1" fontId="2" fillId="0" borderId="8" xfId="0" applyNumberFormat="1" applyFont="1" applyBorder="1" applyAlignment="1" applyProtection="1">
      <alignment horizontal="center" vertical="center" wrapText="1"/>
      <protection locked="0"/>
    </xf>
    <xf numFmtId="1" fontId="2" fillId="0" borderId="2" xfId="0" applyNumberFormat="1" applyFont="1" applyBorder="1" applyAlignment="1" applyProtection="1">
      <alignment horizontal="center" vertical="center" wrapText="1"/>
      <protection locked="0"/>
    </xf>
    <xf numFmtId="1" fontId="2" fillId="0" borderId="9" xfId="0" applyNumberFormat="1" applyFont="1" applyBorder="1" applyAlignment="1" applyProtection="1">
      <alignment horizontal="center" vertical="center" wrapText="1"/>
      <protection locked="0"/>
    </xf>
    <xf numFmtId="1" fontId="2" fillId="0" borderId="14" xfId="0" applyNumberFormat="1" applyFont="1" applyBorder="1" applyAlignment="1" applyProtection="1">
      <alignment horizontal="center" vertical="center" wrapText="1"/>
      <protection locked="0"/>
    </xf>
    <xf numFmtId="1" fontId="2" fillId="0" borderId="5" xfId="0" applyNumberFormat="1" applyFont="1" applyBorder="1" applyAlignment="1" applyProtection="1">
      <alignment horizontal="center" vertical="center" wrapText="1"/>
      <protection locked="0"/>
    </xf>
    <xf numFmtId="1" fontId="2" fillId="0" borderId="15" xfId="0" applyNumberFormat="1" applyFont="1" applyBorder="1" applyAlignment="1" applyProtection="1">
      <alignment horizontal="center" vertical="center" wrapText="1"/>
      <protection locked="0"/>
    </xf>
    <xf numFmtId="0" fontId="3" fillId="3" borderId="2" xfId="0" applyFont="1" applyFill="1" applyBorder="1" applyAlignment="1" applyProtection="1">
      <alignment horizontal="center"/>
      <protection locked="0"/>
    </xf>
    <xf numFmtId="1" fontId="8" fillId="0" borderId="71" xfId="0" applyNumberFormat="1" applyFont="1" applyBorder="1" applyAlignment="1" applyProtection="1">
      <alignment horizontal="left"/>
      <protection locked="0"/>
    </xf>
    <xf numFmtId="0" fontId="8" fillId="0" borderId="71" xfId="0" applyFont="1" applyBorder="1" applyAlignment="1" applyProtection="1">
      <protection locked="0"/>
    </xf>
    <xf numFmtId="0" fontId="0" fillId="3" borderId="0" xfId="0" applyFill="1" applyAlignment="1" applyProtection="1">
      <protection locked="0"/>
    </xf>
    <xf numFmtId="0" fontId="0" fillId="3" borderId="0" xfId="0" applyFill="1" applyBorder="1" applyAlignment="1" applyProtection="1">
      <protection locked="0"/>
    </xf>
    <xf numFmtId="0" fontId="0" fillId="3" borderId="93" xfId="0" applyFill="1" applyBorder="1" applyAlignment="1" applyProtection="1">
      <protection locked="0"/>
    </xf>
    <xf numFmtId="0" fontId="8" fillId="0" borderId="92" xfId="0" applyFont="1" applyBorder="1" applyAlignment="1" applyProtection="1">
      <alignment horizontal="left" vertical="center"/>
      <protection locked="0"/>
    </xf>
    <xf numFmtId="0" fontId="8" fillId="0" borderId="93" xfId="0" applyFont="1" applyBorder="1" applyAlignment="1" applyProtection="1">
      <alignment horizontal="left" vertical="center"/>
      <protection locked="0"/>
    </xf>
    <xf numFmtId="0" fontId="8" fillId="0" borderId="94" xfId="0" applyFont="1" applyBorder="1" applyAlignment="1" applyProtection="1">
      <alignment horizontal="left" vertical="center"/>
      <protection locked="0"/>
    </xf>
    <xf numFmtId="0" fontId="8" fillId="0" borderId="100" xfId="0" applyFont="1" applyBorder="1" applyAlignment="1" applyProtection="1">
      <alignment horizontal="left" vertical="center"/>
      <protection locked="0"/>
    </xf>
    <xf numFmtId="0" fontId="8" fillId="0" borderId="71" xfId="0" applyFont="1" applyBorder="1" applyAlignment="1" applyProtection="1">
      <alignment horizontal="left" vertical="center"/>
      <protection locked="0"/>
    </xf>
    <xf numFmtId="0" fontId="8" fillId="0" borderId="105" xfId="0" applyFont="1" applyBorder="1" applyAlignment="1" applyProtection="1">
      <alignment horizontal="left" vertical="center"/>
      <protection locked="0"/>
    </xf>
    <xf numFmtId="0" fontId="8" fillId="0" borderId="107" xfId="0" applyFont="1" applyBorder="1" applyAlignment="1" applyProtection="1">
      <alignment horizontal="left" vertical="center"/>
      <protection locked="0"/>
    </xf>
    <xf numFmtId="0" fontId="8" fillId="0" borderId="112" xfId="0" applyFont="1" applyBorder="1" applyAlignment="1" applyProtection="1">
      <alignment horizontal="left" vertical="center"/>
      <protection locked="0"/>
    </xf>
    <xf numFmtId="0" fontId="8" fillId="0" borderId="119" xfId="0" applyFont="1" applyBorder="1" applyAlignment="1" applyProtection="1">
      <alignment horizontal="left" vertical="center"/>
      <protection locked="0"/>
    </xf>
    <xf numFmtId="0" fontId="8" fillId="0" borderId="116" xfId="0" applyFont="1" applyBorder="1" applyAlignment="1" applyProtection="1">
      <alignment horizontal="left" vertical="center"/>
      <protection locked="0"/>
    </xf>
    <xf numFmtId="0" fontId="22" fillId="3" borderId="0" xfId="0" applyFont="1" applyFill="1" applyBorder="1" applyAlignment="1" applyProtection="1">
      <alignment horizontal="center" vertical="top"/>
      <protection locked="0"/>
    </xf>
    <xf numFmtId="0" fontId="23" fillId="0" borderId="92" xfId="0" applyFont="1" applyBorder="1" applyAlignment="1" applyProtection="1">
      <alignment horizontal="center" vertical="top"/>
      <protection locked="0"/>
    </xf>
    <xf numFmtId="0" fontId="23" fillId="0" borderId="93" xfId="0" applyFont="1" applyBorder="1" applyAlignment="1" applyProtection="1">
      <alignment horizontal="center" vertical="top"/>
      <protection locked="0"/>
    </xf>
    <xf numFmtId="0" fontId="24" fillId="0" borderId="93" xfId="0" applyFont="1" applyBorder="1" applyAlignment="1" applyProtection="1">
      <alignment horizontal="center"/>
      <protection locked="0"/>
    </xf>
    <xf numFmtId="0" fontId="24" fillId="0" borderId="94" xfId="0" applyFont="1" applyBorder="1" applyAlignment="1" applyProtection="1">
      <alignment horizontal="center"/>
      <protection locked="0"/>
    </xf>
    <xf numFmtId="0" fontId="8" fillId="0" borderId="93" xfId="0" applyFont="1" applyBorder="1" applyAlignment="1" applyProtection="1">
      <alignment vertical="top"/>
      <protection locked="0"/>
    </xf>
    <xf numFmtId="0" fontId="8" fillId="0" borderId="93" xfId="0" applyFont="1" applyBorder="1" applyAlignment="1" applyProtection="1">
      <protection locked="0"/>
    </xf>
    <xf numFmtId="0" fontId="0" fillId="0" borderId="73" xfId="0" applyBorder="1" applyAlignment="1" applyProtection="1">
      <protection locked="0"/>
    </xf>
    <xf numFmtId="0" fontId="0" fillId="0" borderId="75" xfId="0" applyBorder="1" applyAlignment="1" applyProtection="1">
      <protection locked="0"/>
    </xf>
    <xf numFmtId="0" fontId="0" fillId="0" borderId="76" xfId="0" applyBorder="1" applyAlignment="1" applyProtection="1">
      <protection locked="0"/>
    </xf>
    <xf numFmtId="0" fontId="8" fillId="0" borderId="96" xfId="0" applyFont="1" applyBorder="1" applyAlignment="1" applyProtection="1">
      <protection locked="0"/>
    </xf>
    <xf numFmtId="0" fontId="0" fillId="3" borderId="95" xfId="0" applyFill="1" applyBorder="1" applyAlignment="1" applyProtection="1">
      <protection locked="0"/>
    </xf>
  </cellXfs>
  <cellStyles count="2">
    <cellStyle name="Hyperlink" xfId="1" builtinId="8"/>
    <cellStyle name="Normal" xfId="0" builtinId="0"/>
  </cellStyles>
  <dxfs count="33">
    <dxf>
      <font>
        <condense val="0"/>
        <extend val="0"/>
        <color indexed="10"/>
      </font>
      <fill>
        <patternFill>
          <bgColor indexed="1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57"/>
      </font>
      <fill>
        <patternFill>
          <bgColor indexed="57"/>
        </patternFill>
      </fill>
    </dxf>
    <dxf>
      <font>
        <condense val="0"/>
        <extend val="0"/>
        <color indexed="9"/>
      </font>
      <fill>
        <patternFill>
          <bgColor indexed="9"/>
        </patternFill>
      </fill>
    </dxf>
    <dxf>
      <font>
        <condense val="0"/>
        <extend val="0"/>
        <color indexed="52"/>
      </font>
      <fill>
        <patternFill>
          <bgColor indexed="52"/>
        </patternFill>
      </fill>
    </dxf>
    <dxf>
      <font>
        <condense val="0"/>
        <extend val="0"/>
        <color indexed="9"/>
      </font>
      <fill>
        <patternFill>
          <bgColor indexed="9"/>
        </patternFill>
      </fill>
    </dxf>
    <dxf>
      <font>
        <condense val="0"/>
        <extend val="0"/>
        <color indexed="62"/>
      </font>
      <fill>
        <patternFill>
          <bgColor indexed="62"/>
        </patternFill>
      </fill>
    </dxf>
    <dxf>
      <font>
        <condense val="0"/>
        <extend val="0"/>
        <color indexed="9"/>
      </font>
      <fill>
        <patternFill>
          <bgColor indexed="9"/>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10"/>
      </font>
      <fill>
        <patternFill>
          <bgColor indexed="10"/>
        </patternFill>
      </fill>
    </dxf>
    <dxf>
      <font>
        <condense val="0"/>
        <extend val="0"/>
        <color indexed="9"/>
      </font>
      <fill>
        <patternFill>
          <bgColor indexed="9"/>
        </patternFill>
      </fill>
    </dxf>
    <dxf>
      <font>
        <condense val="0"/>
        <extend val="0"/>
        <color indexed="8"/>
      </font>
      <fill>
        <patternFill>
          <bgColor indexed="8"/>
        </patternFill>
      </fill>
    </dxf>
    <dxf>
      <fill>
        <patternFill>
          <bgColor indexed="10"/>
        </patternFill>
      </fill>
    </dxf>
    <dxf>
      <font>
        <condense val="0"/>
        <extend val="0"/>
        <color indexed="8"/>
      </font>
      <fill>
        <patternFill>
          <bgColor indexed="52"/>
        </patternFill>
      </fill>
    </dxf>
    <dxf>
      <font>
        <condense val="0"/>
        <extend val="0"/>
        <color indexed="9"/>
      </font>
      <fill>
        <patternFill patternType="solid">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10"/>
      </font>
      <fill>
        <patternFill>
          <bgColor indexed="10"/>
        </patternFill>
      </fill>
    </dxf>
    <dxf>
      <font>
        <condense val="0"/>
        <extend val="0"/>
        <color indexed="9"/>
      </font>
    </dxf>
    <dxf>
      <font>
        <condense val="0"/>
        <extend val="0"/>
        <color indexed="10"/>
      </font>
      <fill>
        <patternFill>
          <bgColor indexed="10"/>
        </patternFill>
      </fill>
    </dxf>
    <dxf>
      <font>
        <condense val="0"/>
        <extend val="0"/>
        <color indexed="9"/>
      </font>
      <fill>
        <patternFill>
          <bgColor indexed="9"/>
        </patternFill>
      </fill>
    </dxf>
    <dxf>
      <font>
        <condense val="0"/>
        <extend val="0"/>
        <color indexed="44"/>
      </font>
      <fill>
        <patternFill>
          <bgColor indexed="44"/>
        </patternFill>
      </fill>
    </dxf>
    <dxf>
      <font>
        <condense val="0"/>
        <extend val="0"/>
        <color indexed="9"/>
      </font>
    </dxf>
    <dxf>
      <font>
        <condense val="0"/>
        <extend val="0"/>
      </font>
      <fill>
        <patternFill>
          <bgColor indexed="44"/>
        </patternFill>
      </fill>
    </dxf>
    <dxf>
      <fill>
        <patternFill>
          <bgColor indexed="57"/>
        </patternFill>
      </fill>
    </dxf>
    <dxf>
      <font>
        <condense val="0"/>
        <extend val="0"/>
        <color indexed="9"/>
      </font>
      <border>
        <left style="thin">
          <color indexed="10"/>
        </left>
        <right style="thin">
          <color indexed="10"/>
        </right>
        <top style="thin">
          <color indexed="10"/>
        </top>
        <bottom style="thin">
          <color indexed="10"/>
        </bottom>
      </border>
    </dxf>
    <dxf>
      <font>
        <condense val="0"/>
        <extend val="0"/>
        <color indexed="9"/>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R138"/>
  <sheetViews>
    <sheetView tabSelected="1" topLeftCell="P33" zoomScaleNormal="100" workbookViewId="0">
      <selection activeCell="AQ56" sqref="AQ56:AR57"/>
    </sheetView>
  </sheetViews>
  <sheetFormatPr defaultRowHeight="15"/>
  <sheetData>
    <row r="1" spans="1:44" ht="24" thickTop="1">
      <c r="A1" s="1" t="s">
        <v>0</v>
      </c>
      <c r="B1" s="2"/>
      <c r="C1" s="2"/>
      <c r="D1" s="2"/>
      <c r="E1" s="2"/>
      <c r="F1" s="2"/>
      <c r="G1" s="2"/>
      <c r="H1" s="2"/>
      <c r="I1" s="2"/>
      <c r="J1" s="2"/>
      <c r="K1" s="2"/>
      <c r="L1" s="2"/>
      <c r="M1" s="2"/>
      <c r="N1" s="2"/>
      <c r="O1" s="2"/>
      <c r="P1" s="2"/>
      <c r="Q1" s="2"/>
      <c r="R1" s="3"/>
      <c r="S1" s="3"/>
      <c r="T1" s="2"/>
      <c r="U1" s="2"/>
      <c r="V1" s="2"/>
      <c r="W1" s="3"/>
      <c r="X1" s="2"/>
      <c r="Y1" s="2"/>
      <c r="Z1" s="2"/>
      <c r="AA1" s="2"/>
      <c r="AB1" s="2"/>
      <c r="AC1" s="2"/>
      <c r="AD1" s="2"/>
      <c r="AE1" s="2"/>
      <c r="AF1" s="2"/>
      <c r="AG1" s="2"/>
      <c r="AH1" s="2"/>
      <c r="AI1" s="2"/>
      <c r="AJ1" s="2"/>
      <c r="AK1" s="2"/>
      <c r="AL1" s="2"/>
      <c r="AM1" s="2"/>
      <c r="AN1" s="2"/>
      <c r="AO1" s="2"/>
      <c r="AP1" s="4"/>
      <c r="AQ1" s="4"/>
      <c r="AR1" s="5"/>
    </row>
    <row r="2" spans="1:44" ht="24" thickBot="1">
      <c r="A2" s="6" t="s">
        <v>1</v>
      </c>
      <c r="B2" s="7"/>
      <c r="C2" s="7"/>
      <c r="D2" s="7"/>
      <c r="E2" s="7"/>
      <c r="F2" s="7"/>
      <c r="G2" s="7"/>
      <c r="H2" s="7"/>
      <c r="I2" s="7"/>
      <c r="J2" s="8"/>
      <c r="K2" s="7"/>
      <c r="L2" s="7"/>
      <c r="M2" s="7"/>
      <c r="N2" s="7"/>
      <c r="O2" s="7"/>
      <c r="P2" s="7"/>
      <c r="Q2" s="7"/>
      <c r="R2" s="8"/>
      <c r="S2" s="9"/>
      <c r="T2" s="7"/>
      <c r="U2" s="7"/>
      <c r="V2" s="7"/>
      <c r="W2" s="7"/>
      <c r="X2" s="7"/>
      <c r="Y2" s="8"/>
      <c r="Z2" s="7"/>
      <c r="AA2" s="7"/>
      <c r="AB2" s="7"/>
      <c r="AC2" s="7"/>
      <c r="AD2" s="7"/>
      <c r="AE2" s="7"/>
      <c r="AF2" s="7"/>
      <c r="AG2" s="7"/>
      <c r="AH2" s="7"/>
      <c r="AI2" s="7"/>
      <c r="AJ2" s="7"/>
      <c r="AK2" s="7"/>
      <c r="AL2" s="7"/>
      <c r="AM2" s="7"/>
      <c r="AN2" s="7"/>
      <c r="AO2" s="7"/>
      <c r="AP2" s="10"/>
      <c r="AQ2" s="10"/>
      <c r="AR2" s="11"/>
    </row>
    <row r="3" spans="1:44" ht="16.5" thickTop="1">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row>
    <row r="4" spans="1:44" ht="16.5" thickBot="1">
      <c r="A4" s="70"/>
      <c r="B4" s="70"/>
      <c r="C4" s="70"/>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row>
    <row r="5" spans="1:44" ht="16.5" thickTop="1">
      <c r="A5" s="71" t="s">
        <v>2</v>
      </c>
      <c r="B5" s="72"/>
      <c r="C5" s="72"/>
      <c r="D5" s="72"/>
      <c r="E5" s="73"/>
      <c r="F5" s="77"/>
      <c r="G5" s="78"/>
      <c r="H5" s="78"/>
      <c r="I5" s="78"/>
      <c r="J5" s="78"/>
      <c r="K5" s="78"/>
      <c r="L5" s="78"/>
      <c r="M5" s="79"/>
      <c r="N5" s="83" t="s">
        <v>3</v>
      </c>
      <c r="O5" s="73"/>
      <c r="P5" s="85"/>
      <c r="Q5" s="86"/>
      <c r="R5" s="86"/>
      <c r="S5" s="86"/>
      <c r="T5" s="87"/>
      <c r="U5" s="83" t="s">
        <v>4</v>
      </c>
      <c r="V5" s="73"/>
      <c r="W5" s="77"/>
      <c r="X5" s="78"/>
      <c r="Y5" s="78"/>
      <c r="Z5" s="78"/>
      <c r="AA5" s="79"/>
      <c r="AB5" s="91" t="s">
        <v>5</v>
      </c>
      <c r="AC5" s="92"/>
      <c r="AD5" s="92"/>
      <c r="AE5" s="92"/>
      <c r="AF5" s="92"/>
      <c r="AG5" s="93"/>
      <c r="AH5" s="97"/>
      <c r="AI5" s="98"/>
      <c r="AJ5" s="98"/>
      <c r="AK5" s="98"/>
      <c r="AL5" s="98"/>
      <c r="AM5" s="98"/>
      <c r="AN5" s="98"/>
      <c r="AO5" s="99"/>
      <c r="AP5" s="50" t="s">
        <v>6</v>
      </c>
      <c r="AQ5" s="51"/>
      <c r="AR5" s="52"/>
    </row>
    <row r="6" spans="1:44" ht="27" thickBot="1">
      <c r="A6" s="74"/>
      <c r="B6" s="75"/>
      <c r="C6" s="75"/>
      <c r="D6" s="75"/>
      <c r="E6" s="76"/>
      <c r="F6" s="80"/>
      <c r="G6" s="81"/>
      <c r="H6" s="81"/>
      <c r="I6" s="81"/>
      <c r="J6" s="81"/>
      <c r="K6" s="81"/>
      <c r="L6" s="81"/>
      <c r="M6" s="82"/>
      <c r="N6" s="84"/>
      <c r="O6" s="76"/>
      <c r="P6" s="88"/>
      <c r="Q6" s="89"/>
      <c r="R6" s="89"/>
      <c r="S6" s="89"/>
      <c r="T6" s="90"/>
      <c r="U6" s="84"/>
      <c r="V6" s="76"/>
      <c r="W6" s="80"/>
      <c r="X6" s="81"/>
      <c r="Y6" s="81"/>
      <c r="Z6" s="81"/>
      <c r="AA6" s="82"/>
      <c r="AB6" s="94"/>
      <c r="AC6" s="95"/>
      <c r="AD6" s="95"/>
      <c r="AE6" s="95"/>
      <c r="AF6" s="95"/>
      <c r="AG6" s="96"/>
      <c r="AH6" s="53"/>
      <c r="AI6" s="54"/>
      <c r="AJ6" s="54"/>
      <c r="AK6" s="54"/>
      <c r="AL6" s="54"/>
      <c r="AM6" s="54"/>
      <c r="AN6" s="54"/>
      <c r="AO6" s="100"/>
      <c r="AP6" s="53">
        <v>1</v>
      </c>
      <c r="AQ6" s="54"/>
      <c r="AR6" s="55"/>
    </row>
    <row r="7" spans="1:44" ht="16.5" thickTop="1" thickBot="1">
      <c r="A7" s="56"/>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row>
    <row r="8" spans="1:44" ht="16.5" thickTop="1">
      <c r="A8" s="57" t="s">
        <v>7</v>
      </c>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9"/>
    </row>
    <row r="9" spans="1:44">
      <c r="A9" s="60"/>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2"/>
    </row>
    <row r="10" spans="1:44" ht="15.75" thickBot="1">
      <c r="A10" s="63"/>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5"/>
    </row>
    <row r="11" spans="1:44" ht="15.75">
      <c r="A11" s="66" t="s">
        <v>8</v>
      </c>
      <c r="B11" s="67"/>
      <c r="C11" s="67"/>
      <c r="D11" s="67"/>
      <c r="E11" s="67"/>
      <c r="F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8"/>
    </row>
    <row r="12" spans="1:44">
      <c r="A12" s="101"/>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3"/>
    </row>
    <row r="13" spans="1:44" ht="15.75" thickBot="1">
      <c r="A13" s="104"/>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6"/>
    </row>
    <row r="14" spans="1:44" ht="16.5" thickTop="1" thickBot="1">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row>
    <row r="15" spans="1:44" ht="17.25" thickTop="1" thickBot="1">
      <c r="A15" s="107" t="s">
        <v>9</v>
      </c>
      <c r="B15" s="108"/>
      <c r="C15" s="108"/>
      <c r="D15" s="108"/>
      <c r="E15" s="108"/>
      <c r="F15" s="108"/>
      <c r="G15" s="108"/>
      <c r="H15" s="108"/>
      <c r="I15" s="108"/>
      <c r="J15" s="108"/>
      <c r="K15" s="108"/>
      <c r="L15" s="108"/>
      <c r="M15" s="108"/>
      <c r="N15" s="108"/>
      <c r="O15" s="108"/>
      <c r="P15" s="108"/>
      <c r="Q15" s="108"/>
      <c r="R15" s="111"/>
      <c r="S15" s="111"/>
      <c r="T15" s="111"/>
      <c r="U15" s="112"/>
      <c r="V15" s="113" t="s">
        <v>10</v>
      </c>
      <c r="W15" s="114"/>
      <c r="X15" s="114"/>
      <c r="Y15" s="114"/>
      <c r="Z15" s="114"/>
      <c r="AA15" s="114"/>
      <c r="AB15" s="114"/>
      <c r="AC15" s="114"/>
      <c r="AD15" s="114"/>
      <c r="AE15" s="114"/>
      <c r="AF15" s="114"/>
      <c r="AG15" s="115"/>
      <c r="AH15" s="119" t="s">
        <v>11</v>
      </c>
      <c r="AI15" s="120"/>
      <c r="AJ15" s="119" t="s">
        <v>12</v>
      </c>
      <c r="AK15" s="121"/>
      <c r="AL15" s="122">
        <f>AJ16*AH18</f>
        <v>0</v>
      </c>
      <c r="AM15" s="123"/>
      <c r="AN15" s="123"/>
      <c r="AO15" s="123"/>
      <c r="AP15" s="123"/>
      <c r="AQ15" s="123"/>
      <c r="AR15" s="124"/>
    </row>
    <row r="16" spans="1:44" ht="15.75">
      <c r="A16" s="109"/>
      <c r="B16" s="110"/>
      <c r="C16" s="110"/>
      <c r="D16" s="110"/>
      <c r="E16" s="110"/>
      <c r="F16" s="110"/>
      <c r="G16" s="110"/>
      <c r="H16" s="110"/>
      <c r="I16" s="110"/>
      <c r="J16" s="110"/>
      <c r="K16" s="110"/>
      <c r="L16" s="110"/>
      <c r="M16" s="110"/>
      <c r="N16" s="110"/>
      <c r="O16" s="110"/>
      <c r="P16" s="110"/>
      <c r="Q16" s="110"/>
      <c r="R16" s="125" t="s">
        <v>11</v>
      </c>
      <c r="S16" s="126"/>
      <c r="T16" s="127" t="s">
        <v>12</v>
      </c>
      <c r="U16" s="128"/>
      <c r="V16" s="116"/>
      <c r="W16" s="117"/>
      <c r="X16" s="117"/>
      <c r="Y16" s="117"/>
      <c r="Z16" s="117"/>
      <c r="AA16" s="117"/>
      <c r="AB16" s="117"/>
      <c r="AC16" s="117"/>
      <c r="AD16" s="117"/>
      <c r="AE16" s="117"/>
      <c r="AF16" s="117"/>
      <c r="AG16" s="118"/>
      <c r="AH16" s="129">
        <v>1</v>
      </c>
      <c r="AI16" s="130"/>
      <c r="AJ16" s="129"/>
      <c r="AK16" s="131"/>
      <c r="AL16" s="132" t="s">
        <v>13</v>
      </c>
      <c r="AM16" s="133"/>
      <c r="AN16" s="133"/>
      <c r="AO16" s="133"/>
      <c r="AP16" s="133"/>
      <c r="AQ16" s="133"/>
      <c r="AR16" s="134"/>
    </row>
    <row r="17" spans="1:44" ht="16.5" thickBot="1">
      <c r="A17" s="138"/>
      <c r="B17" s="139"/>
      <c r="C17" s="139"/>
      <c r="D17" s="139"/>
      <c r="E17" s="139"/>
      <c r="F17" s="139"/>
      <c r="G17" s="139"/>
      <c r="H17" s="139"/>
      <c r="I17" s="139"/>
      <c r="J17" s="139"/>
      <c r="K17" s="139"/>
      <c r="L17" s="139"/>
      <c r="M17" s="139"/>
      <c r="N17" s="139"/>
      <c r="O17" s="139"/>
      <c r="P17" s="139"/>
      <c r="Q17" s="139"/>
      <c r="R17" s="142">
        <v>1</v>
      </c>
      <c r="S17" s="143"/>
      <c r="T17" s="144">
        <v>0</v>
      </c>
      <c r="U17" s="145"/>
      <c r="V17" s="146" t="s">
        <v>14</v>
      </c>
      <c r="W17" s="147"/>
      <c r="X17" s="147"/>
      <c r="Y17" s="147"/>
      <c r="Z17" s="147"/>
      <c r="AA17" s="147"/>
      <c r="AB17" s="147"/>
      <c r="AC17" s="147"/>
      <c r="AD17" s="147"/>
      <c r="AE17" s="147"/>
      <c r="AF17" s="147"/>
      <c r="AG17" s="148"/>
      <c r="AH17" s="152" t="s">
        <v>11</v>
      </c>
      <c r="AI17" s="153"/>
      <c r="AJ17" s="152" t="s">
        <v>12</v>
      </c>
      <c r="AK17" s="154"/>
      <c r="AL17" s="135"/>
      <c r="AM17" s="136"/>
      <c r="AN17" s="136"/>
      <c r="AO17" s="136"/>
      <c r="AP17" s="136"/>
      <c r="AQ17" s="136"/>
      <c r="AR17" s="137"/>
    </row>
    <row r="18" spans="1:44" ht="16.5" thickBot="1">
      <c r="A18" s="140"/>
      <c r="B18" s="141"/>
      <c r="C18" s="141"/>
      <c r="D18" s="141"/>
      <c r="E18" s="141"/>
      <c r="F18" s="141"/>
      <c r="G18" s="141"/>
      <c r="H18" s="141"/>
      <c r="I18" s="141"/>
      <c r="J18" s="141"/>
      <c r="K18" s="141"/>
      <c r="L18" s="141"/>
      <c r="M18" s="141"/>
      <c r="N18" s="141"/>
      <c r="O18" s="141"/>
      <c r="P18" s="141"/>
      <c r="Q18" s="141"/>
      <c r="R18" s="155"/>
      <c r="S18" s="155"/>
      <c r="T18" s="155"/>
      <c r="U18" s="155"/>
      <c r="V18" s="149"/>
      <c r="W18" s="150"/>
      <c r="X18" s="150"/>
      <c r="Y18" s="150"/>
      <c r="Z18" s="150"/>
      <c r="AA18" s="150"/>
      <c r="AB18" s="150"/>
      <c r="AC18" s="150"/>
      <c r="AD18" s="150"/>
      <c r="AE18" s="150"/>
      <c r="AF18" s="150"/>
      <c r="AG18" s="151"/>
      <c r="AH18" s="156">
        <v>1</v>
      </c>
      <c r="AI18" s="157"/>
      <c r="AJ18" s="156">
        <v>0</v>
      </c>
      <c r="AK18" s="158"/>
      <c r="AL18" s="159">
        <f>AJ16*AH18</f>
        <v>0</v>
      </c>
      <c r="AM18" s="160"/>
      <c r="AN18" s="160"/>
      <c r="AO18" s="160"/>
      <c r="AP18" s="160"/>
      <c r="AQ18" s="160"/>
      <c r="AR18" s="161"/>
    </row>
    <row r="19" spans="1:44" ht="16.5" thickTop="1" thickBo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row>
    <row r="20" spans="1:44" ht="15.75" thickTop="1">
      <c r="A20" s="162" t="s">
        <v>15</v>
      </c>
      <c r="B20" s="163"/>
      <c r="C20" s="163"/>
      <c r="D20" s="163"/>
      <c r="E20" s="163"/>
      <c r="F20" s="163"/>
      <c r="G20" s="163"/>
      <c r="H20" s="164"/>
      <c r="I20" s="168" t="s">
        <v>16</v>
      </c>
      <c r="J20" s="169"/>
      <c r="K20" s="169"/>
      <c r="L20" s="169"/>
      <c r="M20" s="169"/>
      <c r="N20" s="169"/>
      <c r="O20" s="169"/>
      <c r="P20" s="170"/>
      <c r="Q20" s="174">
        <v>1</v>
      </c>
      <c r="R20" s="168" t="s">
        <v>17</v>
      </c>
      <c r="S20" s="169"/>
      <c r="T20" s="169"/>
      <c r="U20" s="169"/>
      <c r="V20" s="169"/>
      <c r="W20" s="169"/>
      <c r="X20" s="169"/>
      <c r="Y20" s="170"/>
      <c r="Z20" s="174">
        <v>0</v>
      </c>
      <c r="AA20" s="168" t="s">
        <v>18</v>
      </c>
      <c r="AB20" s="169"/>
      <c r="AC20" s="169"/>
      <c r="AD20" s="169"/>
      <c r="AE20" s="169"/>
      <c r="AF20" s="169"/>
      <c r="AG20" s="169"/>
      <c r="AH20" s="170"/>
      <c r="AI20" s="174">
        <v>0</v>
      </c>
      <c r="AJ20" s="168" t="s">
        <v>19</v>
      </c>
      <c r="AK20" s="169"/>
      <c r="AL20" s="169"/>
      <c r="AM20" s="169"/>
      <c r="AN20" s="169"/>
      <c r="AO20" s="169"/>
      <c r="AP20" s="169"/>
      <c r="AQ20" s="176"/>
      <c r="AR20" s="174">
        <v>0</v>
      </c>
    </row>
    <row r="21" spans="1:44" ht="15.75" thickBot="1">
      <c r="A21" s="165"/>
      <c r="B21" s="166"/>
      <c r="C21" s="166"/>
      <c r="D21" s="166"/>
      <c r="E21" s="166"/>
      <c r="F21" s="166"/>
      <c r="G21" s="166"/>
      <c r="H21" s="167"/>
      <c r="I21" s="171"/>
      <c r="J21" s="172"/>
      <c r="K21" s="172"/>
      <c r="L21" s="172"/>
      <c r="M21" s="172"/>
      <c r="N21" s="172"/>
      <c r="O21" s="172"/>
      <c r="P21" s="173"/>
      <c r="Q21" s="175"/>
      <c r="R21" s="171"/>
      <c r="S21" s="172"/>
      <c r="T21" s="172"/>
      <c r="U21" s="172"/>
      <c r="V21" s="172"/>
      <c r="W21" s="172"/>
      <c r="X21" s="172"/>
      <c r="Y21" s="173"/>
      <c r="Z21" s="175"/>
      <c r="AA21" s="171"/>
      <c r="AB21" s="172"/>
      <c r="AC21" s="172"/>
      <c r="AD21" s="172"/>
      <c r="AE21" s="172"/>
      <c r="AF21" s="172"/>
      <c r="AG21" s="172"/>
      <c r="AH21" s="173"/>
      <c r="AI21" s="175"/>
      <c r="AJ21" s="171"/>
      <c r="AK21" s="172"/>
      <c r="AL21" s="172"/>
      <c r="AM21" s="172"/>
      <c r="AN21" s="172"/>
      <c r="AO21" s="172"/>
      <c r="AP21" s="172"/>
      <c r="AQ21" s="177"/>
      <c r="AR21" s="175"/>
    </row>
    <row r="22" spans="1:44" ht="15.75" thickTop="1">
      <c r="A22" s="169"/>
      <c r="B22" s="169"/>
      <c r="C22" s="169"/>
      <c r="D22" s="169"/>
      <c r="E22" s="169"/>
      <c r="F22" s="169"/>
      <c r="G22" s="169"/>
      <c r="H22" s="169"/>
      <c r="I22" s="169"/>
      <c r="J22" s="169"/>
      <c r="K22" s="169"/>
      <c r="L22" s="169"/>
      <c r="M22" s="169"/>
      <c r="N22" s="169"/>
      <c r="O22" s="169"/>
      <c r="P22" s="169"/>
      <c r="Q22" s="169"/>
      <c r="R22" s="169"/>
      <c r="S22" s="169"/>
      <c r="T22" s="169"/>
      <c r="U22" s="169"/>
      <c r="V22" s="169"/>
      <c r="W22" s="169"/>
      <c r="X22" s="169"/>
      <c r="Y22" s="169"/>
      <c r="Z22" s="169"/>
      <c r="AA22" s="169"/>
      <c r="AB22" s="169"/>
      <c r="AC22" s="169"/>
      <c r="AD22" s="169"/>
      <c r="AE22" s="169"/>
      <c r="AF22" s="169"/>
      <c r="AG22" s="169"/>
      <c r="AH22" s="169"/>
      <c r="AI22" s="169"/>
      <c r="AJ22" s="169"/>
      <c r="AK22" s="169"/>
      <c r="AL22" s="169"/>
      <c r="AM22" s="169"/>
      <c r="AN22" s="169"/>
      <c r="AO22" s="169"/>
      <c r="AP22" s="169"/>
      <c r="AQ22" s="169"/>
      <c r="AR22" s="169"/>
    </row>
    <row r="23" spans="1:44" ht="15.75">
      <c r="A23" s="178" t="s">
        <v>20</v>
      </c>
      <c r="B23" s="178"/>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row>
    <row r="24" spans="1:44" ht="15.75">
      <c r="A24" s="179"/>
      <c r="B24" s="180"/>
      <c r="C24" s="182" t="s">
        <v>21</v>
      </c>
      <c r="D24" s="182"/>
      <c r="E24" s="182"/>
      <c r="F24" s="182"/>
      <c r="G24" s="182"/>
      <c r="H24" s="182"/>
      <c r="I24" s="182"/>
      <c r="J24" s="182"/>
      <c r="K24" s="182"/>
      <c r="L24" s="182"/>
      <c r="M24" s="182"/>
      <c r="N24" s="183"/>
      <c r="O24" s="181"/>
      <c r="P24" s="185" t="s">
        <v>22</v>
      </c>
      <c r="Q24" s="182"/>
      <c r="R24" s="182"/>
      <c r="S24" s="182"/>
      <c r="T24" s="182"/>
      <c r="U24" s="182"/>
      <c r="V24" s="186"/>
      <c r="W24" s="187"/>
      <c r="X24" s="188" t="s">
        <v>23</v>
      </c>
      <c r="Y24" s="189"/>
      <c r="Z24" s="189"/>
      <c r="AA24" s="189"/>
      <c r="AB24" s="189"/>
      <c r="AC24" s="189"/>
      <c r="AD24" s="189"/>
      <c r="AE24" s="189"/>
      <c r="AF24" s="189"/>
      <c r="AG24" s="189"/>
      <c r="AH24" s="189"/>
      <c r="AI24" s="189"/>
      <c r="AJ24" s="189"/>
      <c r="AK24" s="189"/>
      <c r="AL24" s="189"/>
      <c r="AM24" s="189"/>
      <c r="AN24" s="189"/>
      <c r="AO24" s="189"/>
      <c r="AP24" s="190"/>
      <c r="AQ24" s="191"/>
      <c r="AR24" s="192"/>
    </row>
    <row r="25" spans="1:44" ht="15.75" thickBot="1">
      <c r="A25" s="179"/>
      <c r="B25" s="181"/>
      <c r="C25" s="193" t="s">
        <v>24</v>
      </c>
      <c r="D25" s="193"/>
      <c r="E25" s="193"/>
      <c r="F25" s="193"/>
      <c r="G25" s="193"/>
      <c r="H25" s="192"/>
      <c r="I25" s="194" t="s">
        <v>25</v>
      </c>
      <c r="J25" s="194"/>
      <c r="K25" s="194"/>
      <c r="L25" s="194"/>
      <c r="M25" s="194"/>
      <c r="N25" s="184"/>
      <c r="O25" s="181"/>
      <c r="P25" s="195" t="s">
        <v>26</v>
      </c>
      <c r="Q25" s="196"/>
      <c r="R25" s="196"/>
      <c r="S25" s="196"/>
      <c r="T25" s="196"/>
      <c r="U25" s="196"/>
      <c r="V25" s="197"/>
      <c r="W25" s="187"/>
      <c r="X25" s="181"/>
      <c r="Y25" s="198" t="s">
        <v>27</v>
      </c>
      <c r="Z25" s="198"/>
      <c r="AA25" s="198"/>
      <c r="AB25" s="198"/>
      <c r="AC25" s="198"/>
      <c r="AD25" s="12"/>
      <c r="AE25" s="198" t="s">
        <v>28</v>
      </c>
      <c r="AF25" s="198"/>
      <c r="AG25" s="198"/>
      <c r="AH25" s="198"/>
      <c r="AI25" s="198"/>
      <c r="AJ25" s="13"/>
      <c r="AK25" s="199" t="s">
        <v>29</v>
      </c>
      <c r="AL25" s="199"/>
      <c r="AM25" s="199"/>
      <c r="AN25" s="199"/>
      <c r="AO25" s="199"/>
      <c r="AP25" s="200"/>
      <c r="AQ25" s="191"/>
      <c r="AR25" s="192"/>
    </row>
    <row r="26" spans="1:44" ht="15.75" thickBot="1">
      <c r="A26" s="179"/>
      <c r="B26" s="181"/>
      <c r="C26" s="14">
        <v>1</v>
      </c>
      <c r="D26" s="201" t="s">
        <v>30</v>
      </c>
      <c r="E26" s="202"/>
      <c r="F26" s="202"/>
      <c r="G26" s="203"/>
      <c r="H26" s="192"/>
      <c r="I26" s="15">
        <v>1</v>
      </c>
      <c r="J26" s="204" t="s">
        <v>31</v>
      </c>
      <c r="K26" s="205"/>
      <c r="L26" s="205"/>
      <c r="M26" s="206"/>
      <c r="N26" s="184"/>
      <c r="O26" s="181"/>
      <c r="P26" s="207"/>
      <c r="Q26" s="15">
        <v>1</v>
      </c>
      <c r="R26" s="208" t="s">
        <v>32</v>
      </c>
      <c r="S26" s="209"/>
      <c r="T26" s="209"/>
      <c r="U26" s="210"/>
      <c r="V26" s="211"/>
      <c r="W26" s="187"/>
      <c r="X26" s="181"/>
      <c r="Y26" s="15">
        <v>1</v>
      </c>
      <c r="Z26" s="204" t="s">
        <v>33</v>
      </c>
      <c r="AA26" s="205"/>
      <c r="AB26" s="205"/>
      <c r="AC26" s="206"/>
      <c r="AD26" s="212"/>
      <c r="AE26" s="16">
        <v>1</v>
      </c>
      <c r="AF26" s="204" t="s">
        <v>34</v>
      </c>
      <c r="AG26" s="205"/>
      <c r="AH26" s="205"/>
      <c r="AI26" s="206"/>
      <c r="AJ26" s="213"/>
      <c r="AK26" s="14">
        <v>1</v>
      </c>
      <c r="AL26" s="201" t="s">
        <v>35</v>
      </c>
      <c r="AM26" s="202"/>
      <c r="AN26" s="202"/>
      <c r="AO26" s="203"/>
      <c r="AP26" s="200"/>
      <c r="AQ26" s="191"/>
      <c r="AR26" s="192"/>
    </row>
    <row r="27" spans="1:44" ht="15.75" thickBot="1">
      <c r="A27" s="179"/>
      <c r="B27" s="181"/>
      <c r="C27" s="14">
        <v>2</v>
      </c>
      <c r="D27" s="201" t="s">
        <v>36</v>
      </c>
      <c r="E27" s="202"/>
      <c r="F27" s="202"/>
      <c r="G27" s="203"/>
      <c r="H27" s="192"/>
      <c r="I27" s="15">
        <v>2</v>
      </c>
      <c r="J27" s="204" t="s">
        <v>37</v>
      </c>
      <c r="K27" s="205"/>
      <c r="L27" s="205"/>
      <c r="M27" s="206"/>
      <c r="N27" s="184"/>
      <c r="O27" s="181"/>
      <c r="P27" s="207"/>
      <c r="Q27" s="15">
        <v>2</v>
      </c>
      <c r="R27" s="208" t="s">
        <v>38</v>
      </c>
      <c r="S27" s="209"/>
      <c r="T27" s="209"/>
      <c r="U27" s="210"/>
      <c r="V27" s="211"/>
      <c r="W27" s="187"/>
      <c r="X27" s="181"/>
      <c r="Y27" s="15">
        <v>2</v>
      </c>
      <c r="Z27" s="204" t="s">
        <v>39</v>
      </c>
      <c r="AA27" s="205"/>
      <c r="AB27" s="205"/>
      <c r="AC27" s="206"/>
      <c r="AD27" s="212"/>
      <c r="AE27" s="16">
        <v>2</v>
      </c>
      <c r="AF27" s="204" t="s">
        <v>40</v>
      </c>
      <c r="AG27" s="205"/>
      <c r="AH27" s="205"/>
      <c r="AI27" s="206"/>
      <c r="AJ27" s="213"/>
      <c r="AK27" s="14">
        <v>2</v>
      </c>
      <c r="AL27" s="201" t="s">
        <v>41</v>
      </c>
      <c r="AM27" s="202"/>
      <c r="AN27" s="202"/>
      <c r="AO27" s="203"/>
      <c r="AP27" s="200"/>
      <c r="AQ27" s="191"/>
      <c r="AR27" s="192"/>
    </row>
    <row r="28" spans="1:44" ht="15.75" thickBot="1">
      <c r="A28" s="179"/>
      <c r="B28" s="181"/>
      <c r="C28" s="14">
        <v>3</v>
      </c>
      <c r="D28" s="201" t="s">
        <v>42</v>
      </c>
      <c r="E28" s="202"/>
      <c r="F28" s="202"/>
      <c r="G28" s="203"/>
      <c r="H28" s="192"/>
      <c r="I28" s="15">
        <v>3</v>
      </c>
      <c r="J28" s="204" t="s">
        <v>43</v>
      </c>
      <c r="K28" s="205"/>
      <c r="L28" s="205"/>
      <c r="M28" s="206"/>
      <c r="N28" s="184"/>
      <c r="O28" s="181"/>
      <c r="P28" s="207"/>
      <c r="Q28" s="15">
        <v>3</v>
      </c>
      <c r="R28" s="217" t="s">
        <v>44</v>
      </c>
      <c r="S28" s="218"/>
      <c r="T28" s="218"/>
      <c r="U28" s="219"/>
      <c r="V28" s="211"/>
      <c r="W28" s="187"/>
      <c r="X28" s="181"/>
      <c r="Y28" s="15">
        <v>3</v>
      </c>
      <c r="Z28" s="204" t="s">
        <v>45</v>
      </c>
      <c r="AA28" s="205"/>
      <c r="AB28" s="205"/>
      <c r="AC28" s="206"/>
      <c r="AD28" s="212"/>
      <c r="AE28" s="16">
        <v>3</v>
      </c>
      <c r="AF28" s="204" t="s">
        <v>46</v>
      </c>
      <c r="AG28" s="205"/>
      <c r="AH28" s="205"/>
      <c r="AI28" s="206"/>
      <c r="AJ28" s="213"/>
      <c r="AK28" s="14">
        <v>3</v>
      </c>
      <c r="AL28" s="214" t="s">
        <v>47</v>
      </c>
      <c r="AM28" s="215"/>
      <c r="AN28" s="215"/>
      <c r="AO28" s="216"/>
      <c r="AP28" s="200"/>
      <c r="AQ28" s="191"/>
      <c r="AR28" s="192"/>
    </row>
    <row r="29" spans="1:44" ht="16.5" thickBot="1">
      <c r="A29" s="179"/>
      <c r="B29" s="181"/>
      <c r="C29" s="14">
        <v>4</v>
      </c>
      <c r="D29" s="201" t="s">
        <v>48</v>
      </c>
      <c r="E29" s="202"/>
      <c r="F29" s="202"/>
      <c r="G29" s="203"/>
      <c r="H29" s="192"/>
      <c r="I29" s="15">
        <v>4</v>
      </c>
      <c r="J29" s="204" t="s">
        <v>49</v>
      </c>
      <c r="K29" s="205"/>
      <c r="L29" s="205"/>
      <c r="M29" s="206"/>
      <c r="N29" s="184"/>
      <c r="O29" s="181"/>
      <c r="P29" s="207"/>
      <c r="Q29" s="15">
        <v>4</v>
      </c>
      <c r="R29" s="220" t="s">
        <v>50</v>
      </c>
      <c r="S29" s="221"/>
      <c r="T29" s="221"/>
      <c r="U29" s="222"/>
      <c r="V29" s="211"/>
      <c r="W29" s="187"/>
      <c r="X29" s="181"/>
      <c r="Y29" s="15">
        <v>4</v>
      </c>
      <c r="Z29" s="204" t="s">
        <v>51</v>
      </c>
      <c r="AA29" s="205"/>
      <c r="AB29" s="205"/>
      <c r="AC29" s="206"/>
      <c r="AD29" s="212"/>
      <c r="AE29" s="16">
        <v>4</v>
      </c>
      <c r="AF29" s="204" t="s">
        <v>52</v>
      </c>
      <c r="AG29" s="205"/>
      <c r="AH29" s="205"/>
      <c r="AI29" s="206"/>
      <c r="AJ29" s="213"/>
      <c r="AK29" s="14">
        <v>4</v>
      </c>
      <c r="AL29" s="214" t="s">
        <v>53</v>
      </c>
      <c r="AM29" s="215"/>
      <c r="AN29" s="215"/>
      <c r="AO29" s="216"/>
      <c r="AP29" s="200"/>
      <c r="AQ29" s="191"/>
      <c r="AR29" s="192"/>
    </row>
    <row r="30" spans="1:44" ht="15.75" thickBot="1">
      <c r="A30" s="179"/>
      <c r="B30" s="181"/>
      <c r="C30" s="17">
        <v>5</v>
      </c>
      <c r="D30" s="201" t="s">
        <v>54</v>
      </c>
      <c r="E30" s="202"/>
      <c r="F30" s="202"/>
      <c r="G30" s="203"/>
      <c r="H30" s="192"/>
      <c r="I30" s="18">
        <v>5</v>
      </c>
      <c r="J30" s="204" t="s">
        <v>54</v>
      </c>
      <c r="K30" s="205"/>
      <c r="L30" s="205"/>
      <c r="M30" s="206"/>
      <c r="N30" s="184"/>
      <c r="O30" s="181"/>
      <c r="P30" s="207"/>
      <c r="Q30" s="18">
        <v>5</v>
      </c>
      <c r="R30" s="204" t="s">
        <v>55</v>
      </c>
      <c r="S30" s="205"/>
      <c r="T30" s="205"/>
      <c r="U30" s="206"/>
      <c r="V30" s="211"/>
      <c r="W30" s="187"/>
      <c r="X30" s="181"/>
      <c r="Y30" s="18">
        <v>5</v>
      </c>
      <c r="Z30" s="204" t="s">
        <v>56</v>
      </c>
      <c r="AA30" s="205"/>
      <c r="AB30" s="205"/>
      <c r="AC30" s="206"/>
      <c r="AD30" s="212"/>
      <c r="AE30" s="19">
        <v>5</v>
      </c>
      <c r="AF30" s="204" t="s">
        <v>57</v>
      </c>
      <c r="AG30" s="205"/>
      <c r="AH30" s="205"/>
      <c r="AI30" s="206"/>
      <c r="AJ30" s="213"/>
      <c r="AK30" s="17">
        <v>5</v>
      </c>
      <c r="AL30" s="201" t="s">
        <v>58</v>
      </c>
      <c r="AM30" s="202"/>
      <c r="AN30" s="202"/>
      <c r="AO30" s="203"/>
      <c r="AP30" s="200"/>
      <c r="AQ30" s="191"/>
      <c r="AR30" s="192"/>
    </row>
    <row r="31" spans="1:44">
      <c r="A31" s="179"/>
      <c r="B31" s="240"/>
      <c r="C31" s="241"/>
      <c r="D31" s="241"/>
      <c r="E31" s="241"/>
      <c r="F31" s="241"/>
      <c r="G31" s="241"/>
      <c r="H31" s="241"/>
      <c r="I31" s="241"/>
      <c r="J31" s="241"/>
      <c r="K31" s="241"/>
      <c r="L31" s="241"/>
      <c r="M31" s="241"/>
      <c r="N31" s="242"/>
      <c r="O31" s="181"/>
      <c r="P31" s="240"/>
      <c r="Q31" s="241"/>
      <c r="R31" s="241"/>
      <c r="S31" s="241"/>
      <c r="T31" s="241"/>
      <c r="U31" s="241"/>
      <c r="V31" s="242"/>
      <c r="W31" s="187"/>
      <c r="X31" s="243"/>
      <c r="Y31" s="244"/>
      <c r="Z31" s="244"/>
      <c r="AA31" s="244"/>
      <c r="AB31" s="244"/>
      <c r="AC31" s="244"/>
      <c r="AD31" s="244"/>
      <c r="AE31" s="244"/>
      <c r="AF31" s="244"/>
      <c r="AG31" s="244"/>
      <c r="AH31" s="244"/>
      <c r="AI31" s="244"/>
      <c r="AJ31" s="244"/>
      <c r="AK31" s="244"/>
      <c r="AL31" s="244"/>
      <c r="AM31" s="244"/>
      <c r="AN31" s="244"/>
      <c r="AO31" s="244"/>
      <c r="AP31" s="245"/>
      <c r="AQ31" s="191"/>
      <c r="AR31" s="192"/>
    </row>
    <row r="32" spans="1:44" ht="16.5" thickBot="1">
      <c r="A32" s="246"/>
      <c r="B32" s="246"/>
      <c r="C32" s="246"/>
      <c r="D32" s="246"/>
      <c r="E32" s="246"/>
      <c r="F32" s="246"/>
      <c r="G32" s="246"/>
      <c r="H32" s="246"/>
      <c r="I32" s="246"/>
      <c r="J32" s="246"/>
      <c r="K32" s="246"/>
      <c r="L32" s="246"/>
      <c r="M32" s="246"/>
      <c r="N32" s="246"/>
      <c r="O32" s="246"/>
      <c r="P32" s="246"/>
      <c r="Q32" s="246"/>
      <c r="R32" s="246"/>
      <c r="S32" s="246"/>
      <c r="T32" s="246"/>
      <c r="U32" s="246"/>
      <c r="V32" s="246"/>
      <c r="W32" s="246"/>
      <c r="X32" s="246"/>
      <c r="Y32" s="246"/>
      <c r="Z32" s="246"/>
      <c r="AA32" s="246"/>
      <c r="AB32" s="246"/>
      <c r="AC32" s="246"/>
      <c r="AD32" s="246"/>
      <c r="AE32" s="246"/>
      <c r="AF32" s="246"/>
      <c r="AG32" s="246"/>
      <c r="AH32" s="246"/>
      <c r="AI32" s="246"/>
      <c r="AJ32" s="246"/>
      <c r="AK32" s="246"/>
      <c r="AL32" s="246"/>
      <c r="AM32" s="246"/>
      <c r="AN32" s="246"/>
      <c r="AO32" s="246"/>
      <c r="AP32" s="246"/>
      <c r="AQ32" s="246"/>
      <c r="AR32" s="246"/>
    </row>
    <row r="33" spans="1:44">
      <c r="A33" s="247" t="s">
        <v>59</v>
      </c>
      <c r="B33" s="248"/>
      <c r="C33" s="248"/>
      <c r="D33" s="248"/>
      <c r="E33" s="248"/>
      <c r="F33" s="248"/>
      <c r="G33" s="248"/>
      <c r="H33" s="248"/>
      <c r="I33" s="248"/>
      <c r="J33" s="248"/>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9"/>
    </row>
    <row r="34" spans="1:44" ht="15.75" thickBot="1">
      <c r="A34" s="250"/>
      <c r="B34" s="251"/>
      <c r="C34" s="251"/>
      <c r="D34" s="251"/>
      <c r="E34" s="251"/>
      <c r="F34" s="251"/>
      <c r="G34" s="251"/>
      <c r="H34" s="251"/>
      <c r="I34" s="251"/>
      <c r="J34" s="251"/>
      <c r="K34" s="251"/>
      <c r="L34" s="251"/>
      <c r="M34" s="251"/>
      <c r="N34" s="251"/>
      <c r="O34" s="251"/>
      <c r="P34" s="251"/>
      <c r="Q34" s="251"/>
      <c r="R34" s="251"/>
      <c r="S34" s="251"/>
      <c r="T34" s="251"/>
      <c r="U34" s="251"/>
      <c r="V34" s="251"/>
      <c r="W34" s="251"/>
      <c r="X34" s="251"/>
      <c r="Y34" s="251"/>
      <c r="Z34" s="251"/>
      <c r="AA34" s="251"/>
      <c r="AB34" s="251"/>
      <c r="AC34" s="251"/>
      <c r="AD34" s="251"/>
      <c r="AE34" s="251"/>
      <c r="AF34" s="251"/>
      <c r="AG34" s="251"/>
      <c r="AH34" s="251"/>
      <c r="AI34" s="251"/>
      <c r="AJ34" s="251"/>
      <c r="AK34" s="251"/>
      <c r="AL34" s="251"/>
      <c r="AM34" s="251"/>
      <c r="AN34" s="251"/>
      <c r="AO34" s="251"/>
      <c r="AP34" s="251"/>
      <c r="AQ34" s="251"/>
      <c r="AR34" s="252"/>
    </row>
    <row r="35" spans="1:44" ht="15.75" thickBot="1">
      <c r="A35" s="253"/>
      <c r="B35" s="192"/>
      <c r="C35" s="192"/>
      <c r="D35" s="223" t="s">
        <v>60</v>
      </c>
      <c r="E35" s="224"/>
      <c r="F35" s="224"/>
      <c r="G35" s="225"/>
      <c r="H35" s="226"/>
      <c r="I35" s="192"/>
      <c r="J35" s="192"/>
      <c r="K35" s="192"/>
      <c r="L35" s="192"/>
      <c r="M35" s="192"/>
      <c r="N35" s="192"/>
      <c r="O35" s="223" t="s">
        <v>61</v>
      </c>
      <c r="P35" s="224"/>
      <c r="Q35" s="224"/>
      <c r="R35" s="225"/>
      <c r="S35" s="226"/>
      <c r="T35" s="192"/>
      <c r="U35" s="192"/>
      <c r="V35" s="192"/>
      <c r="W35" s="192"/>
      <c r="X35" s="192"/>
      <c r="Y35" s="192"/>
      <c r="Z35" s="223" t="s">
        <v>62</v>
      </c>
      <c r="AA35" s="224"/>
      <c r="AB35" s="224"/>
      <c r="AC35" s="225"/>
      <c r="AD35" s="226"/>
      <c r="AE35" s="192"/>
      <c r="AF35" s="192"/>
      <c r="AG35" s="192"/>
      <c r="AH35" s="192"/>
      <c r="AI35" s="192"/>
      <c r="AJ35" s="192"/>
      <c r="AK35" s="227"/>
      <c r="AL35" s="223" t="s">
        <v>62</v>
      </c>
      <c r="AM35" s="224"/>
      <c r="AN35" s="224"/>
      <c r="AO35" s="225"/>
      <c r="AP35" s="226"/>
      <c r="AQ35" s="192"/>
      <c r="AR35" s="230"/>
    </row>
    <row r="36" spans="1:44" ht="16.5" thickBot="1">
      <c r="A36" s="254"/>
      <c r="B36" s="229"/>
      <c r="C36" s="229"/>
      <c r="D36" s="20" t="s">
        <v>63</v>
      </c>
      <c r="E36" s="21">
        <v>10</v>
      </c>
      <c r="F36" s="232" t="s">
        <v>64</v>
      </c>
      <c r="G36" s="233"/>
      <c r="H36" s="228"/>
      <c r="I36" s="229"/>
      <c r="J36" s="229"/>
      <c r="K36" s="229"/>
      <c r="L36" s="229"/>
      <c r="M36" s="229"/>
      <c r="N36" s="229"/>
      <c r="O36" s="22" t="s">
        <v>65</v>
      </c>
      <c r="P36" s="21">
        <v>20</v>
      </c>
      <c r="Q36" s="234" t="s">
        <v>66</v>
      </c>
      <c r="R36" s="235"/>
      <c r="S36" s="228"/>
      <c r="T36" s="229"/>
      <c r="U36" s="229"/>
      <c r="V36" s="229"/>
      <c r="W36" s="229"/>
      <c r="X36" s="229"/>
      <c r="Y36" s="229"/>
      <c r="Z36" s="23" t="s">
        <v>67</v>
      </c>
      <c r="AA36" s="21"/>
      <c r="AB36" s="236" t="s">
        <v>68</v>
      </c>
      <c r="AC36" s="237"/>
      <c r="AD36" s="228"/>
      <c r="AE36" s="229"/>
      <c r="AF36" s="229"/>
      <c r="AG36" s="229"/>
      <c r="AH36" s="229"/>
      <c r="AI36" s="229"/>
      <c r="AJ36" s="229"/>
      <c r="AK36" s="229"/>
      <c r="AL36" s="24" t="s">
        <v>69</v>
      </c>
      <c r="AM36" s="25"/>
      <c r="AN36" s="238" t="s">
        <v>70</v>
      </c>
      <c r="AO36" s="239"/>
      <c r="AP36" s="228"/>
      <c r="AQ36" s="229"/>
      <c r="AR36" s="231"/>
    </row>
    <row r="37" spans="1:44">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c r="Z37" s="272"/>
      <c r="AA37" s="272"/>
      <c r="AB37" s="272"/>
      <c r="AC37" s="272"/>
      <c r="AD37" s="272"/>
      <c r="AE37" s="272"/>
      <c r="AF37" s="272"/>
      <c r="AG37" s="272"/>
      <c r="AH37" s="272"/>
      <c r="AI37" s="272"/>
      <c r="AJ37" s="272"/>
      <c r="AK37" s="272"/>
      <c r="AL37" s="272"/>
      <c r="AM37" s="272"/>
      <c r="AN37" s="272"/>
      <c r="AO37" s="272"/>
      <c r="AP37" s="272"/>
      <c r="AQ37" s="272"/>
      <c r="AR37" s="272"/>
    </row>
    <row r="38" spans="1:44">
      <c r="A38" s="273"/>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4"/>
      <c r="Z38" s="274"/>
      <c r="AA38" s="274"/>
      <c r="AB38" s="274"/>
      <c r="AC38" s="274"/>
      <c r="AD38" s="274"/>
      <c r="AE38" s="274"/>
      <c r="AF38" s="274"/>
      <c r="AG38" s="274"/>
      <c r="AH38" s="274"/>
      <c r="AI38" s="274"/>
      <c r="AJ38" s="274"/>
      <c r="AK38" s="274"/>
      <c r="AL38" s="274"/>
      <c r="AM38" s="274"/>
      <c r="AN38" s="274"/>
      <c r="AO38" s="274"/>
      <c r="AP38" s="274"/>
      <c r="AQ38" s="274"/>
      <c r="AR38" s="274"/>
    </row>
    <row r="39" spans="1:44" ht="15.75" thickBot="1">
      <c r="A39" s="275"/>
      <c r="B39" s="275"/>
      <c r="C39" s="275"/>
      <c r="D39" s="275"/>
      <c r="E39" s="275"/>
      <c r="F39" s="275"/>
      <c r="G39" s="275"/>
      <c r="H39" s="275"/>
      <c r="I39" s="275"/>
      <c r="J39" s="275"/>
      <c r="K39" s="275"/>
      <c r="L39" s="275"/>
      <c r="M39" s="275"/>
      <c r="N39" s="275"/>
      <c r="O39" s="275"/>
      <c r="P39" s="275"/>
      <c r="Q39" s="275"/>
      <c r="R39" s="275"/>
      <c r="S39" s="275"/>
      <c r="T39" s="275"/>
      <c r="U39" s="275"/>
      <c r="V39" s="275"/>
      <c r="W39" s="275"/>
      <c r="X39" s="275"/>
      <c r="Y39" s="275"/>
      <c r="Z39" s="275"/>
      <c r="AA39" s="275"/>
      <c r="AB39" s="275"/>
      <c r="AC39" s="275"/>
      <c r="AD39" s="275"/>
      <c r="AE39" s="275"/>
      <c r="AF39" s="275"/>
      <c r="AG39" s="275"/>
      <c r="AH39" s="275"/>
      <c r="AI39" s="275"/>
      <c r="AJ39" s="275"/>
      <c r="AK39" s="275"/>
      <c r="AL39" s="275"/>
      <c r="AM39" s="275"/>
      <c r="AN39" s="275"/>
      <c r="AO39" s="275"/>
      <c r="AP39" s="275"/>
      <c r="AQ39" s="275"/>
      <c r="AR39" s="275"/>
    </row>
    <row r="40" spans="1:44">
      <c r="A40" s="276" t="s">
        <v>71</v>
      </c>
      <c r="B40" s="278" t="s">
        <v>72</v>
      </c>
      <c r="C40" s="265"/>
      <c r="D40" s="265"/>
      <c r="E40" s="265"/>
      <c r="F40" s="265"/>
      <c r="G40" s="265"/>
      <c r="H40" s="265"/>
      <c r="I40" s="265"/>
      <c r="J40" s="279"/>
      <c r="K40" s="257" t="s">
        <v>73</v>
      </c>
      <c r="L40" s="281"/>
      <c r="M40" s="281"/>
      <c r="N40" s="281"/>
      <c r="O40" s="281"/>
      <c r="P40" s="281"/>
      <c r="Q40" s="281"/>
      <c r="R40" s="281"/>
      <c r="S40" s="281"/>
      <c r="T40" s="281"/>
      <c r="U40" s="282"/>
      <c r="V40" s="282"/>
      <c r="W40" s="282"/>
      <c r="X40" s="282"/>
      <c r="Y40" s="283"/>
      <c r="Z40" s="288" t="s">
        <v>74</v>
      </c>
      <c r="AA40" s="289"/>
      <c r="AB40" s="289"/>
      <c r="AC40" s="289"/>
      <c r="AD40" s="290"/>
      <c r="AE40" s="288" t="s">
        <v>75</v>
      </c>
      <c r="AF40" s="289"/>
      <c r="AG40" s="289"/>
      <c r="AH40" s="289"/>
      <c r="AI40" s="290"/>
      <c r="AJ40" s="288" t="s">
        <v>76</v>
      </c>
      <c r="AK40" s="289"/>
      <c r="AL40" s="289"/>
      <c r="AM40" s="289"/>
      <c r="AN40" s="290"/>
      <c r="AO40" s="291" t="s">
        <v>77</v>
      </c>
      <c r="AP40" s="292"/>
      <c r="AQ40" s="292"/>
      <c r="AR40" s="293"/>
    </row>
    <row r="41" spans="1:44" ht="16.5" thickBot="1">
      <c r="A41" s="277"/>
      <c r="B41" s="228"/>
      <c r="C41" s="229"/>
      <c r="D41" s="229"/>
      <c r="E41" s="229"/>
      <c r="F41" s="229"/>
      <c r="G41" s="229"/>
      <c r="H41" s="229"/>
      <c r="I41" s="229"/>
      <c r="J41" s="280"/>
      <c r="K41" s="284"/>
      <c r="L41" s="285"/>
      <c r="M41" s="285"/>
      <c r="N41" s="285"/>
      <c r="O41" s="285"/>
      <c r="P41" s="285"/>
      <c r="Q41" s="285"/>
      <c r="R41" s="285"/>
      <c r="S41" s="285"/>
      <c r="T41" s="285"/>
      <c r="U41" s="286"/>
      <c r="V41" s="286"/>
      <c r="W41" s="286"/>
      <c r="X41" s="286"/>
      <c r="Y41" s="287"/>
      <c r="Z41" s="26" t="s">
        <v>78</v>
      </c>
      <c r="AA41" s="27"/>
      <c r="AB41" s="28" t="s">
        <v>79</v>
      </c>
      <c r="AC41" s="255" t="s">
        <v>80</v>
      </c>
      <c r="AD41" s="256"/>
      <c r="AE41" s="29"/>
      <c r="AF41" s="28" t="s">
        <v>81</v>
      </c>
      <c r="AG41" s="30"/>
      <c r="AH41" s="255" t="s">
        <v>82</v>
      </c>
      <c r="AI41" s="256"/>
      <c r="AJ41" s="31" t="s">
        <v>83</v>
      </c>
      <c r="AK41" s="28" t="s">
        <v>84</v>
      </c>
      <c r="AL41" s="28" t="s">
        <v>85</v>
      </c>
      <c r="AM41" s="255" t="s">
        <v>86</v>
      </c>
      <c r="AN41" s="256"/>
      <c r="AO41" s="32" t="s">
        <v>64</v>
      </c>
      <c r="AP41" s="33" t="s">
        <v>66</v>
      </c>
      <c r="AQ41" s="34" t="s">
        <v>68</v>
      </c>
      <c r="AR41" s="35" t="s">
        <v>70</v>
      </c>
    </row>
    <row r="42" spans="1:44" ht="16.5" thickBot="1">
      <c r="A42" s="36">
        <v>1</v>
      </c>
      <c r="B42" s="257"/>
      <c r="C42" s="258"/>
      <c r="D42" s="258"/>
      <c r="E42" s="258"/>
      <c r="F42" s="258"/>
      <c r="G42" s="258"/>
      <c r="H42" s="258"/>
      <c r="I42" s="258"/>
      <c r="J42" s="259"/>
      <c r="K42" s="263"/>
      <c r="L42" s="264"/>
      <c r="M42" s="264"/>
      <c r="N42" s="264"/>
      <c r="O42" s="264"/>
      <c r="P42" s="264"/>
      <c r="Q42" s="264"/>
      <c r="R42" s="264"/>
      <c r="S42" s="264"/>
      <c r="T42" s="264"/>
      <c r="U42" s="265"/>
      <c r="V42" s="265"/>
      <c r="W42" s="265"/>
      <c r="X42" s="265"/>
      <c r="Y42" s="266"/>
      <c r="Z42" s="269">
        <v>0</v>
      </c>
      <c r="AA42" s="270"/>
      <c r="AB42" s="270"/>
      <c r="AC42" s="270"/>
      <c r="AD42" s="271"/>
      <c r="AE42" s="269">
        <v>0</v>
      </c>
      <c r="AF42" s="270"/>
      <c r="AG42" s="270"/>
      <c r="AH42" s="270"/>
      <c r="AI42" s="271"/>
      <c r="AJ42" s="269">
        <v>0</v>
      </c>
      <c r="AK42" s="270"/>
      <c r="AL42" s="270"/>
      <c r="AM42" s="270"/>
      <c r="AN42" s="271"/>
      <c r="AO42" s="270" t="b">
        <f>IF(AC43*AH43*AM43&gt;0,SUM(AC43*AH43*AM43))</f>
        <v>0</v>
      </c>
      <c r="AP42" s="270"/>
      <c r="AQ42" s="270">
        <f>IF(AC43*AH43*AM43&gt;0,SUM(AC43*AH43*AM43),1)</f>
        <v>1</v>
      </c>
      <c r="AR42" s="271"/>
    </row>
    <row r="43" spans="1:44" ht="16.5" thickBot="1">
      <c r="A43" s="37">
        <f>IF(K42="",3,(AC43*AH43*AM43))</f>
        <v>3</v>
      </c>
      <c r="B43" s="260"/>
      <c r="C43" s="261"/>
      <c r="D43" s="261"/>
      <c r="E43" s="261"/>
      <c r="F43" s="261"/>
      <c r="G43" s="261"/>
      <c r="H43" s="261"/>
      <c r="I43" s="261"/>
      <c r="J43" s="262"/>
      <c r="K43" s="267"/>
      <c r="L43" s="268"/>
      <c r="M43" s="268"/>
      <c r="N43" s="268"/>
      <c r="O43" s="268"/>
      <c r="P43" s="268"/>
      <c r="Q43" s="268"/>
      <c r="R43" s="268"/>
      <c r="S43" s="268"/>
      <c r="T43" s="268"/>
      <c r="U43" s="229"/>
      <c r="V43" s="229"/>
      <c r="W43" s="229"/>
      <c r="X43" s="229"/>
      <c r="Y43" s="231"/>
      <c r="Z43" s="38"/>
      <c r="AA43" s="39">
        <v>0</v>
      </c>
      <c r="AB43" s="38"/>
      <c r="AC43" s="296">
        <f>IF(Z43*AB43&gt;0, SUM(Z43+AB43)/2,0)</f>
        <v>0</v>
      </c>
      <c r="AD43" s="297"/>
      <c r="AE43" s="40">
        <v>0</v>
      </c>
      <c r="AF43" s="38"/>
      <c r="AG43" s="30">
        <v>0</v>
      </c>
      <c r="AH43" s="296">
        <f>IF(AF43&gt;0,SUM(AF43),0)</f>
        <v>0</v>
      </c>
      <c r="AI43" s="297"/>
      <c r="AJ43" s="38"/>
      <c r="AK43" s="38"/>
      <c r="AL43" s="38"/>
      <c r="AM43" s="296">
        <f>IF(AJ43*AK43*AL43&gt;0, SUM(AJ43+AK43+AL43)/3,0)</f>
        <v>0</v>
      </c>
      <c r="AN43" s="297"/>
      <c r="AO43" s="294"/>
      <c r="AP43" s="294"/>
      <c r="AQ43" s="294"/>
      <c r="AR43" s="295"/>
    </row>
    <row r="44" spans="1:44" ht="16.5" thickBot="1">
      <c r="A44" s="36">
        <v>2</v>
      </c>
      <c r="B44" s="257"/>
      <c r="C44" s="265"/>
      <c r="D44" s="265"/>
      <c r="E44" s="265"/>
      <c r="F44" s="265"/>
      <c r="G44" s="265"/>
      <c r="H44" s="265"/>
      <c r="I44" s="265"/>
      <c r="J44" s="279"/>
      <c r="K44" s="263"/>
      <c r="L44" s="264"/>
      <c r="M44" s="264"/>
      <c r="N44" s="264"/>
      <c r="O44" s="264"/>
      <c r="P44" s="264"/>
      <c r="Q44" s="264"/>
      <c r="R44" s="264"/>
      <c r="S44" s="264"/>
      <c r="T44" s="264"/>
      <c r="U44" s="265"/>
      <c r="V44" s="265"/>
      <c r="W44" s="265"/>
      <c r="X44" s="265"/>
      <c r="Y44" s="266"/>
      <c r="Z44" s="269">
        <v>0</v>
      </c>
      <c r="AA44" s="270"/>
      <c r="AB44" s="270"/>
      <c r="AC44" s="270"/>
      <c r="AD44" s="271"/>
      <c r="AE44" s="269">
        <v>0</v>
      </c>
      <c r="AF44" s="270"/>
      <c r="AG44" s="270"/>
      <c r="AH44" s="270"/>
      <c r="AI44" s="271"/>
      <c r="AJ44" s="269">
        <v>0</v>
      </c>
      <c r="AK44" s="270"/>
      <c r="AL44" s="270"/>
      <c r="AM44" s="270"/>
      <c r="AN44" s="271"/>
      <c r="AO44" s="270" t="b">
        <f>IF(AC45*AH45*AM45&gt;0,SUM(AC45*AH45*AM45))</f>
        <v>0</v>
      </c>
      <c r="AP44" s="270"/>
      <c r="AQ44" s="270">
        <f>IF(AC45*AH45*AM45&gt;0,SUM(AC45*AH45*AM45),1)</f>
        <v>1</v>
      </c>
      <c r="AR44" s="271"/>
    </row>
    <row r="45" spans="1:44" ht="16.5" thickBot="1">
      <c r="A45" s="37">
        <f>IF(K44="",3,(AC45*AH45*AM45))</f>
        <v>3</v>
      </c>
      <c r="B45" s="228"/>
      <c r="C45" s="229"/>
      <c r="D45" s="229"/>
      <c r="E45" s="229"/>
      <c r="F45" s="229"/>
      <c r="G45" s="229"/>
      <c r="H45" s="229"/>
      <c r="I45" s="229"/>
      <c r="J45" s="280"/>
      <c r="K45" s="267"/>
      <c r="L45" s="268"/>
      <c r="M45" s="268"/>
      <c r="N45" s="268"/>
      <c r="O45" s="268"/>
      <c r="P45" s="268"/>
      <c r="Q45" s="268"/>
      <c r="R45" s="268"/>
      <c r="S45" s="268"/>
      <c r="T45" s="268"/>
      <c r="U45" s="229"/>
      <c r="V45" s="229"/>
      <c r="W45" s="229"/>
      <c r="X45" s="229"/>
      <c r="Y45" s="231"/>
      <c r="Z45" s="38"/>
      <c r="AA45" s="39">
        <v>0</v>
      </c>
      <c r="AB45" s="38"/>
      <c r="AC45" s="296">
        <f>IF(Z45*AB45&gt;0, SUM(Z45+AB45)/2,0)</f>
        <v>0</v>
      </c>
      <c r="AD45" s="297"/>
      <c r="AE45" s="40">
        <v>0</v>
      </c>
      <c r="AF45" s="38"/>
      <c r="AG45" s="30">
        <v>0</v>
      </c>
      <c r="AH45" s="296">
        <f>IF(AF45&gt;0,SUM(AF45),0)</f>
        <v>0</v>
      </c>
      <c r="AI45" s="297"/>
      <c r="AJ45" s="38"/>
      <c r="AK45" s="38"/>
      <c r="AL45" s="38"/>
      <c r="AM45" s="296">
        <f>IF(AJ45*AK45*AL45&gt;0, SUM(AJ45+AK45+AL45)/3,0)</f>
        <v>0</v>
      </c>
      <c r="AN45" s="297"/>
      <c r="AO45" s="294"/>
      <c r="AP45" s="294"/>
      <c r="AQ45" s="294"/>
      <c r="AR45" s="295"/>
    </row>
    <row r="46" spans="1:44" ht="16.5" thickBot="1">
      <c r="A46" s="36">
        <v>3</v>
      </c>
      <c r="B46" s="257"/>
      <c r="C46" s="265"/>
      <c r="D46" s="265"/>
      <c r="E46" s="265"/>
      <c r="F46" s="265"/>
      <c r="G46" s="265"/>
      <c r="H46" s="265"/>
      <c r="I46" s="265"/>
      <c r="J46" s="279"/>
      <c r="K46" s="298"/>
      <c r="L46" s="299"/>
      <c r="M46" s="299"/>
      <c r="N46" s="299"/>
      <c r="O46" s="299"/>
      <c r="P46" s="299"/>
      <c r="Q46" s="299"/>
      <c r="R46" s="299"/>
      <c r="S46" s="299"/>
      <c r="T46" s="299"/>
      <c r="U46" s="265"/>
      <c r="V46" s="265"/>
      <c r="W46" s="265"/>
      <c r="X46" s="265"/>
      <c r="Y46" s="266"/>
      <c r="Z46" s="269"/>
      <c r="AA46" s="270"/>
      <c r="AB46" s="270"/>
      <c r="AC46" s="270"/>
      <c r="AD46" s="271"/>
      <c r="AE46" s="269"/>
      <c r="AF46" s="270"/>
      <c r="AG46" s="270"/>
      <c r="AH46" s="270"/>
      <c r="AI46" s="271"/>
      <c r="AJ46" s="269"/>
      <c r="AK46" s="270"/>
      <c r="AL46" s="270"/>
      <c r="AM46" s="270"/>
      <c r="AN46" s="271"/>
      <c r="AO46" s="270" t="b">
        <f>IF(AC47*AH47*AM47&gt;0,SUM(AC47*AH47*AM47))</f>
        <v>0</v>
      </c>
      <c r="AP46" s="270"/>
      <c r="AQ46" s="270">
        <f>IF(AC47*AH47*AM47&gt;0,SUM(AC47*AH47*AM47),1)</f>
        <v>1</v>
      </c>
      <c r="AR46" s="271"/>
    </row>
    <row r="47" spans="1:44" ht="16.5" thickBot="1">
      <c r="A47" s="37">
        <f>IF(K46="",3,(AC47*AH47*AM47))</f>
        <v>3</v>
      </c>
      <c r="B47" s="228"/>
      <c r="C47" s="229"/>
      <c r="D47" s="229"/>
      <c r="E47" s="229"/>
      <c r="F47" s="229"/>
      <c r="G47" s="229"/>
      <c r="H47" s="229"/>
      <c r="I47" s="229"/>
      <c r="J47" s="280"/>
      <c r="K47" s="300"/>
      <c r="L47" s="301"/>
      <c r="M47" s="301"/>
      <c r="N47" s="301"/>
      <c r="O47" s="301"/>
      <c r="P47" s="301"/>
      <c r="Q47" s="301"/>
      <c r="R47" s="301"/>
      <c r="S47" s="301"/>
      <c r="T47" s="301"/>
      <c r="U47" s="229"/>
      <c r="V47" s="229"/>
      <c r="W47" s="229"/>
      <c r="X47" s="229"/>
      <c r="Y47" s="231"/>
      <c r="Z47" s="38"/>
      <c r="AA47" s="39"/>
      <c r="AB47" s="38"/>
      <c r="AC47" s="296">
        <f>IF(Z47*AB47&gt;0, SUM(Z47+AB47)/2,0)</f>
        <v>0</v>
      </c>
      <c r="AD47" s="297"/>
      <c r="AE47" s="40"/>
      <c r="AF47" s="38"/>
      <c r="AG47" s="30"/>
      <c r="AH47" s="296">
        <f>IF(AF47&gt;0,SUM(AF47),0)</f>
        <v>0</v>
      </c>
      <c r="AI47" s="297"/>
      <c r="AJ47" s="38"/>
      <c r="AK47" s="38"/>
      <c r="AL47" s="38"/>
      <c r="AM47" s="296">
        <f>IF(AJ47*AK47*AL47&gt;0, SUM(AJ47+AK47+AL47)/3,0)</f>
        <v>0</v>
      </c>
      <c r="AN47" s="297"/>
      <c r="AO47" s="294"/>
      <c r="AP47" s="294"/>
      <c r="AQ47" s="294"/>
      <c r="AR47" s="295"/>
    </row>
    <row r="48" spans="1:44" ht="16.5" thickBot="1">
      <c r="A48" s="36">
        <v>4</v>
      </c>
      <c r="B48" s="257"/>
      <c r="C48" s="265"/>
      <c r="D48" s="265"/>
      <c r="E48" s="265"/>
      <c r="F48" s="265"/>
      <c r="G48" s="265"/>
      <c r="H48" s="265"/>
      <c r="I48" s="265"/>
      <c r="J48" s="279"/>
      <c r="K48" s="298"/>
      <c r="L48" s="299"/>
      <c r="M48" s="299"/>
      <c r="N48" s="299"/>
      <c r="O48" s="299"/>
      <c r="P48" s="299"/>
      <c r="Q48" s="299"/>
      <c r="R48" s="299"/>
      <c r="S48" s="299"/>
      <c r="T48" s="299"/>
      <c r="U48" s="265"/>
      <c r="V48" s="265"/>
      <c r="W48" s="265"/>
      <c r="X48" s="265"/>
      <c r="Y48" s="266"/>
      <c r="Z48" s="269"/>
      <c r="AA48" s="270"/>
      <c r="AB48" s="270"/>
      <c r="AC48" s="270"/>
      <c r="AD48" s="271"/>
      <c r="AE48" s="269"/>
      <c r="AF48" s="270"/>
      <c r="AG48" s="270"/>
      <c r="AH48" s="270"/>
      <c r="AI48" s="271"/>
      <c r="AJ48" s="269"/>
      <c r="AK48" s="270"/>
      <c r="AL48" s="270"/>
      <c r="AM48" s="270"/>
      <c r="AN48" s="271"/>
      <c r="AO48" s="270" t="b">
        <f>IF(AC49*AH49*AM49&gt;0,SUM(AC49*AH49*AM49))</f>
        <v>0</v>
      </c>
      <c r="AP48" s="270"/>
      <c r="AQ48" s="270">
        <f>IF(AC49*AH49*AM49&gt;0,SUM(AC49*AH49*AM49),1)</f>
        <v>1</v>
      </c>
      <c r="AR48" s="271"/>
    </row>
    <row r="49" spans="1:44" ht="16.5" thickBot="1">
      <c r="A49" s="37">
        <f>IF(K48="",3,(AC49*AH49*AM49))</f>
        <v>3</v>
      </c>
      <c r="B49" s="228"/>
      <c r="C49" s="229"/>
      <c r="D49" s="229"/>
      <c r="E49" s="229"/>
      <c r="F49" s="229"/>
      <c r="G49" s="229"/>
      <c r="H49" s="229"/>
      <c r="I49" s="229"/>
      <c r="J49" s="280"/>
      <c r="K49" s="300"/>
      <c r="L49" s="301"/>
      <c r="M49" s="301"/>
      <c r="N49" s="301"/>
      <c r="O49" s="301"/>
      <c r="P49" s="301"/>
      <c r="Q49" s="301"/>
      <c r="R49" s="301"/>
      <c r="S49" s="301"/>
      <c r="T49" s="301"/>
      <c r="U49" s="229"/>
      <c r="V49" s="229"/>
      <c r="W49" s="229"/>
      <c r="X49" s="229"/>
      <c r="Y49" s="231"/>
      <c r="Z49" s="38"/>
      <c r="AA49" s="39"/>
      <c r="AB49" s="38"/>
      <c r="AC49" s="296">
        <f>IF(Z49*AB49&gt;0, SUM(Z49+AB49)/2,0)</f>
        <v>0</v>
      </c>
      <c r="AD49" s="297"/>
      <c r="AE49" s="40"/>
      <c r="AF49" s="38"/>
      <c r="AG49" s="30"/>
      <c r="AH49" s="296">
        <f>IF(AF49&gt;0,SUM(AF49),0)</f>
        <v>0</v>
      </c>
      <c r="AI49" s="297"/>
      <c r="AJ49" s="38"/>
      <c r="AK49" s="38"/>
      <c r="AL49" s="38"/>
      <c r="AM49" s="296">
        <f>IF(AJ49*AK49*AL49&gt;0, SUM(AJ49+AK49+AL49)/3,0)</f>
        <v>0</v>
      </c>
      <c r="AN49" s="297"/>
      <c r="AO49" s="294"/>
      <c r="AP49" s="294"/>
      <c r="AQ49" s="294"/>
      <c r="AR49" s="295"/>
    </row>
    <row r="50" spans="1:44" ht="16.5" thickBot="1">
      <c r="A50" s="36">
        <v>5</v>
      </c>
      <c r="B50" s="257"/>
      <c r="C50" s="265"/>
      <c r="D50" s="265"/>
      <c r="E50" s="265"/>
      <c r="F50" s="265"/>
      <c r="G50" s="265"/>
      <c r="H50" s="265"/>
      <c r="I50" s="265"/>
      <c r="J50" s="279"/>
      <c r="K50" s="298"/>
      <c r="L50" s="299"/>
      <c r="M50" s="299"/>
      <c r="N50" s="299"/>
      <c r="O50" s="299"/>
      <c r="P50" s="299"/>
      <c r="Q50" s="299"/>
      <c r="R50" s="299"/>
      <c r="S50" s="299"/>
      <c r="T50" s="299"/>
      <c r="U50" s="265"/>
      <c r="V50" s="265"/>
      <c r="W50" s="265"/>
      <c r="X50" s="265"/>
      <c r="Y50" s="266"/>
      <c r="Z50" s="269">
        <v>0</v>
      </c>
      <c r="AA50" s="270"/>
      <c r="AB50" s="270"/>
      <c r="AC50" s="270"/>
      <c r="AD50" s="271"/>
      <c r="AE50" s="269">
        <v>0</v>
      </c>
      <c r="AF50" s="270"/>
      <c r="AG50" s="270"/>
      <c r="AH50" s="270"/>
      <c r="AI50" s="271"/>
      <c r="AJ50" s="269">
        <v>0</v>
      </c>
      <c r="AK50" s="270"/>
      <c r="AL50" s="270"/>
      <c r="AM50" s="270"/>
      <c r="AN50" s="271"/>
      <c r="AO50" s="270" t="b">
        <f>IF(AC51*AH51*AM51&gt;0,SUM(AC51*AH51*AM51))</f>
        <v>0</v>
      </c>
      <c r="AP50" s="270"/>
      <c r="AQ50" s="270">
        <f>IF(AC51*AH51*AM51&gt;0,SUM(AC51*AH51*AM51),1)</f>
        <v>1</v>
      </c>
      <c r="AR50" s="271"/>
    </row>
    <row r="51" spans="1:44" ht="16.5" thickBot="1">
      <c r="A51" s="37">
        <f>IF(K50="",3,(AC51*AH51*AM51))</f>
        <v>3</v>
      </c>
      <c r="B51" s="228"/>
      <c r="C51" s="229"/>
      <c r="D51" s="229"/>
      <c r="E51" s="229"/>
      <c r="F51" s="229"/>
      <c r="G51" s="229"/>
      <c r="H51" s="229"/>
      <c r="I51" s="229"/>
      <c r="J51" s="280"/>
      <c r="K51" s="300"/>
      <c r="L51" s="301"/>
      <c r="M51" s="301"/>
      <c r="N51" s="301"/>
      <c r="O51" s="301"/>
      <c r="P51" s="301"/>
      <c r="Q51" s="301"/>
      <c r="R51" s="301"/>
      <c r="S51" s="301"/>
      <c r="T51" s="301"/>
      <c r="U51" s="229"/>
      <c r="V51" s="229"/>
      <c r="W51" s="229"/>
      <c r="X51" s="229"/>
      <c r="Y51" s="231"/>
      <c r="Z51" s="38"/>
      <c r="AA51" s="39"/>
      <c r="AB51" s="38"/>
      <c r="AC51" s="296">
        <f>IF(Z51*AB51&gt;0, SUM(Z51+AB51)/2,0)</f>
        <v>0</v>
      </c>
      <c r="AD51" s="297"/>
      <c r="AE51" s="40"/>
      <c r="AF51" s="38"/>
      <c r="AG51" s="30"/>
      <c r="AH51" s="296">
        <f>IF(AF51&gt;0,SUM(AF51),0)</f>
        <v>0</v>
      </c>
      <c r="AI51" s="297"/>
      <c r="AJ51" s="38"/>
      <c r="AK51" s="38"/>
      <c r="AL51" s="38"/>
      <c r="AM51" s="296">
        <f>IF(AJ51*AK51*AL51&gt;0, SUM(AJ51+AK51+AL51)/3,0)</f>
        <v>0</v>
      </c>
      <c r="AN51" s="297"/>
      <c r="AO51" s="294"/>
      <c r="AP51" s="294"/>
      <c r="AQ51" s="294"/>
      <c r="AR51" s="295"/>
    </row>
    <row r="52" spans="1:44" ht="16.5" thickBot="1">
      <c r="A52" s="36">
        <v>6</v>
      </c>
      <c r="B52" s="257"/>
      <c r="C52" s="265"/>
      <c r="D52" s="265"/>
      <c r="E52" s="265"/>
      <c r="F52" s="265"/>
      <c r="G52" s="265"/>
      <c r="H52" s="265"/>
      <c r="I52" s="265"/>
      <c r="J52" s="279"/>
      <c r="K52" s="298"/>
      <c r="L52" s="299"/>
      <c r="M52" s="299"/>
      <c r="N52" s="299"/>
      <c r="O52" s="299"/>
      <c r="P52" s="299"/>
      <c r="Q52" s="299"/>
      <c r="R52" s="299"/>
      <c r="S52" s="299"/>
      <c r="T52" s="299"/>
      <c r="U52" s="265"/>
      <c r="V52" s="265"/>
      <c r="W52" s="265"/>
      <c r="X52" s="265"/>
      <c r="Y52" s="266"/>
      <c r="Z52" s="269">
        <v>0</v>
      </c>
      <c r="AA52" s="270"/>
      <c r="AB52" s="270"/>
      <c r="AC52" s="270"/>
      <c r="AD52" s="271"/>
      <c r="AE52" s="269">
        <v>0</v>
      </c>
      <c r="AF52" s="270"/>
      <c r="AG52" s="270"/>
      <c r="AH52" s="270"/>
      <c r="AI52" s="271"/>
      <c r="AJ52" s="269">
        <v>0</v>
      </c>
      <c r="AK52" s="270"/>
      <c r="AL52" s="270"/>
      <c r="AM52" s="270"/>
      <c r="AN52" s="271"/>
      <c r="AO52" s="270" t="b">
        <f>IF(AC53*AH53*AM53&gt;0,SUM(AC53*AH53*AM53))</f>
        <v>0</v>
      </c>
      <c r="AP52" s="270"/>
      <c r="AQ52" s="270">
        <f>IF(AC53*AH53*AM53&gt;0,SUM(AC53*AH53*AM53),1)</f>
        <v>1</v>
      </c>
      <c r="AR52" s="271"/>
    </row>
    <row r="53" spans="1:44" ht="16.5" thickBot="1">
      <c r="A53" s="37">
        <f>IF(K52="",3,(AC53*AH53*AM53))</f>
        <v>3</v>
      </c>
      <c r="B53" s="228"/>
      <c r="C53" s="229"/>
      <c r="D53" s="229"/>
      <c r="E53" s="229"/>
      <c r="F53" s="229"/>
      <c r="G53" s="229"/>
      <c r="H53" s="229"/>
      <c r="I53" s="229"/>
      <c r="J53" s="280"/>
      <c r="K53" s="300"/>
      <c r="L53" s="301"/>
      <c r="M53" s="301"/>
      <c r="N53" s="301"/>
      <c r="O53" s="301"/>
      <c r="P53" s="301"/>
      <c r="Q53" s="301"/>
      <c r="R53" s="301"/>
      <c r="S53" s="301"/>
      <c r="T53" s="301"/>
      <c r="U53" s="229"/>
      <c r="V53" s="229"/>
      <c r="W53" s="229"/>
      <c r="X53" s="229"/>
      <c r="Y53" s="231"/>
      <c r="Z53" s="38"/>
      <c r="AA53" s="39">
        <v>0</v>
      </c>
      <c r="AB53" s="38"/>
      <c r="AC53" s="296">
        <f>IF(Z53*AB53&gt;0, SUM(Z53+AB53)/2,0)</f>
        <v>0</v>
      </c>
      <c r="AD53" s="297"/>
      <c r="AE53" s="40">
        <v>0</v>
      </c>
      <c r="AF53" s="38"/>
      <c r="AG53" s="30">
        <v>0</v>
      </c>
      <c r="AH53" s="296">
        <f>IF(AF53&gt;0,SUM(AF53),0)</f>
        <v>0</v>
      </c>
      <c r="AI53" s="297"/>
      <c r="AJ53" s="38"/>
      <c r="AK53" s="38"/>
      <c r="AL53" s="38"/>
      <c r="AM53" s="296">
        <f>IF(AJ53*AK53*AL53&gt;0, SUM(AJ53+AK53+AL53)/3,0)</f>
        <v>0</v>
      </c>
      <c r="AN53" s="297"/>
      <c r="AO53" s="294"/>
      <c r="AP53" s="294"/>
      <c r="AQ53" s="294"/>
      <c r="AR53" s="295"/>
    </row>
    <row r="54" spans="1:44" ht="16.5" thickBot="1">
      <c r="A54" s="36">
        <v>7</v>
      </c>
      <c r="B54" s="302"/>
      <c r="C54" s="265"/>
      <c r="D54" s="265"/>
      <c r="E54" s="265"/>
      <c r="F54" s="265"/>
      <c r="G54" s="265"/>
      <c r="H54" s="265"/>
      <c r="I54" s="265"/>
      <c r="J54" s="279"/>
      <c r="K54" s="298"/>
      <c r="L54" s="299"/>
      <c r="M54" s="299"/>
      <c r="N54" s="299"/>
      <c r="O54" s="299"/>
      <c r="P54" s="299"/>
      <c r="Q54" s="299"/>
      <c r="R54" s="299"/>
      <c r="S54" s="299"/>
      <c r="T54" s="299"/>
      <c r="U54" s="265"/>
      <c r="V54" s="265"/>
      <c r="W54" s="265"/>
      <c r="X54" s="265"/>
      <c r="Y54" s="266"/>
      <c r="Z54" s="269">
        <v>0</v>
      </c>
      <c r="AA54" s="270"/>
      <c r="AB54" s="270"/>
      <c r="AC54" s="270"/>
      <c r="AD54" s="271"/>
      <c r="AE54" s="269">
        <v>0</v>
      </c>
      <c r="AF54" s="270"/>
      <c r="AG54" s="270"/>
      <c r="AH54" s="270"/>
      <c r="AI54" s="271"/>
      <c r="AJ54" s="269">
        <v>0</v>
      </c>
      <c r="AK54" s="270"/>
      <c r="AL54" s="270"/>
      <c r="AM54" s="270"/>
      <c r="AN54" s="271"/>
      <c r="AO54" s="270" t="b">
        <f>IF(AC55*AH55*AM55&gt;0,SUM(AC55*AH55*AM55))</f>
        <v>0</v>
      </c>
      <c r="AP54" s="270"/>
      <c r="AQ54" s="270">
        <f>IF(AC55*AH55*AM55&gt;0,SUM(AC55*AH55*AM55),1)</f>
        <v>1</v>
      </c>
      <c r="AR54" s="271"/>
    </row>
    <row r="55" spans="1:44" ht="16.5" thickBot="1">
      <c r="A55" s="37">
        <f>IF(K54="",3,(AC55*AH55*AM55))</f>
        <v>3</v>
      </c>
      <c r="B55" s="228"/>
      <c r="C55" s="229"/>
      <c r="D55" s="229"/>
      <c r="E55" s="229"/>
      <c r="F55" s="229"/>
      <c r="G55" s="229"/>
      <c r="H55" s="229"/>
      <c r="I55" s="229"/>
      <c r="J55" s="280"/>
      <c r="K55" s="300"/>
      <c r="L55" s="301"/>
      <c r="M55" s="301"/>
      <c r="N55" s="301"/>
      <c r="O55" s="301"/>
      <c r="P55" s="301"/>
      <c r="Q55" s="301"/>
      <c r="R55" s="301"/>
      <c r="S55" s="301"/>
      <c r="T55" s="301"/>
      <c r="U55" s="229"/>
      <c r="V55" s="229"/>
      <c r="W55" s="229"/>
      <c r="X55" s="229"/>
      <c r="Y55" s="231"/>
      <c r="Z55" s="38"/>
      <c r="AA55" s="39">
        <v>0</v>
      </c>
      <c r="AB55" s="38"/>
      <c r="AC55" s="296">
        <f>IF(Z55*AB55&gt;0, SUM(Z55+AB55)/2,0)</f>
        <v>0</v>
      </c>
      <c r="AD55" s="297"/>
      <c r="AE55" s="40">
        <v>0</v>
      </c>
      <c r="AF55" s="38"/>
      <c r="AG55" s="30">
        <v>0</v>
      </c>
      <c r="AH55" s="296">
        <f>IF(AF55&gt;0,SUM(AF55),0)</f>
        <v>0</v>
      </c>
      <c r="AI55" s="297"/>
      <c r="AJ55" s="38"/>
      <c r="AK55" s="38"/>
      <c r="AL55" s="38"/>
      <c r="AM55" s="296">
        <f>IF(AJ55*AK55*AL55&gt;0, SUM(AJ55+AK55+AL55)/3,0)</f>
        <v>0</v>
      </c>
      <c r="AN55" s="297"/>
      <c r="AO55" s="294"/>
      <c r="AP55" s="294"/>
      <c r="AQ55" s="294"/>
      <c r="AR55" s="295"/>
    </row>
    <row r="56" spans="1:44" ht="16.5" thickBot="1">
      <c r="A56" s="36">
        <v>8</v>
      </c>
      <c r="B56" s="302"/>
      <c r="C56" s="265"/>
      <c r="D56" s="265"/>
      <c r="E56" s="265"/>
      <c r="F56" s="265"/>
      <c r="G56" s="265"/>
      <c r="H56" s="265"/>
      <c r="I56" s="265"/>
      <c r="J56" s="279"/>
      <c r="K56" s="298"/>
      <c r="L56" s="299"/>
      <c r="M56" s="299"/>
      <c r="N56" s="299"/>
      <c r="O56" s="299"/>
      <c r="P56" s="299"/>
      <c r="Q56" s="299"/>
      <c r="R56" s="299"/>
      <c r="S56" s="299"/>
      <c r="T56" s="299"/>
      <c r="U56" s="265"/>
      <c r="V56" s="265"/>
      <c r="W56" s="265"/>
      <c r="X56" s="265"/>
      <c r="Y56" s="266"/>
      <c r="Z56" s="269">
        <v>0</v>
      </c>
      <c r="AA56" s="270"/>
      <c r="AB56" s="270"/>
      <c r="AC56" s="270"/>
      <c r="AD56" s="271"/>
      <c r="AE56" s="269">
        <v>0</v>
      </c>
      <c r="AF56" s="270"/>
      <c r="AG56" s="270"/>
      <c r="AH56" s="270"/>
      <c r="AI56" s="271"/>
      <c r="AJ56" s="269">
        <v>0</v>
      </c>
      <c r="AK56" s="270"/>
      <c r="AL56" s="270"/>
      <c r="AM56" s="270"/>
      <c r="AN56" s="271"/>
      <c r="AO56" s="270" t="b">
        <f>IF(AC57*AH57*AM57&gt;0,SUM(AC57*AH57*AM57))</f>
        <v>0</v>
      </c>
      <c r="AP56" s="270"/>
      <c r="AQ56" s="270">
        <f>IF(AC57*AH57*AM57&gt;0,SUM(AC57*AH57*AM57),1)</f>
        <v>1</v>
      </c>
      <c r="AR56" s="271"/>
    </row>
    <row r="57" spans="1:44" ht="16.5" thickBot="1">
      <c r="A57" s="37">
        <f>IF(K56="",3,(AC57*AH57*AM57))</f>
        <v>3</v>
      </c>
      <c r="B57" s="228"/>
      <c r="C57" s="229"/>
      <c r="D57" s="229"/>
      <c r="E57" s="229"/>
      <c r="F57" s="229"/>
      <c r="G57" s="229"/>
      <c r="H57" s="229"/>
      <c r="I57" s="229"/>
      <c r="J57" s="280"/>
      <c r="K57" s="300"/>
      <c r="L57" s="301"/>
      <c r="M57" s="301"/>
      <c r="N57" s="301"/>
      <c r="O57" s="301"/>
      <c r="P57" s="301"/>
      <c r="Q57" s="301"/>
      <c r="R57" s="301"/>
      <c r="S57" s="301"/>
      <c r="T57" s="301"/>
      <c r="U57" s="229"/>
      <c r="V57" s="229"/>
      <c r="W57" s="229"/>
      <c r="X57" s="229"/>
      <c r="Y57" s="231"/>
      <c r="Z57" s="38"/>
      <c r="AA57" s="39">
        <v>0</v>
      </c>
      <c r="AB57" s="38"/>
      <c r="AC57" s="296">
        <f>IF(Z57*AB57&gt;0, SUM(Z57+AB57)/2,0)</f>
        <v>0</v>
      </c>
      <c r="AD57" s="297"/>
      <c r="AE57" s="40">
        <v>0</v>
      </c>
      <c r="AF57" s="38"/>
      <c r="AG57" s="30">
        <v>0</v>
      </c>
      <c r="AH57" s="296">
        <f>IF(AF57&gt;0,SUM(AF57),0)</f>
        <v>0</v>
      </c>
      <c r="AI57" s="297"/>
      <c r="AJ57" s="38"/>
      <c r="AK57" s="38"/>
      <c r="AL57" s="38"/>
      <c r="AM57" s="296">
        <f>IF(AJ57*AK57*AL57&gt;0, SUM(AJ57+AK57+AL57)/3,0)</f>
        <v>0</v>
      </c>
      <c r="AN57" s="297"/>
      <c r="AO57" s="294"/>
      <c r="AP57" s="294"/>
      <c r="AQ57" s="294"/>
      <c r="AR57" s="295"/>
    </row>
    <row r="58" spans="1:44" ht="16.5" thickBot="1">
      <c r="A58" s="36">
        <v>9</v>
      </c>
      <c r="B58" s="302"/>
      <c r="C58" s="304"/>
      <c r="D58" s="304"/>
      <c r="E58" s="304"/>
      <c r="F58" s="304"/>
      <c r="G58" s="304"/>
      <c r="H58" s="304"/>
      <c r="I58" s="304"/>
      <c r="J58" s="305"/>
      <c r="K58" s="298"/>
      <c r="L58" s="299"/>
      <c r="M58" s="299"/>
      <c r="N58" s="299"/>
      <c r="O58" s="299"/>
      <c r="P58" s="299"/>
      <c r="Q58" s="299"/>
      <c r="R58" s="299"/>
      <c r="S58" s="299"/>
      <c r="T58" s="299"/>
      <c r="U58" s="265"/>
      <c r="V58" s="265"/>
      <c r="W58" s="265"/>
      <c r="X58" s="265"/>
      <c r="Y58" s="266"/>
      <c r="Z58" s="269">
        <v>0</v>
      </c>
      <c r="AA58" s="270"/>
      <c r="AB58" s="270"/>
      <c r="AC58" s="270"/>
      <c r="AD58" s="271"/>
      <c r="AE58" s="269">
        <v>0</v>
      </c>
      <c r="AF58" s="270"/>
      <c r="AG58" s="270"/>
      <c r="AH58" s="270"/>
      <c r="AI58" s="271"/>
      <c r="AJ58" s="269">
        <v>0</v>
      </c>
      <c r="AK58" s="270"/>
      <c r="AL58" s="270"/>
      <c r="AM58" s="270"/>
      <c r="AN58" s="271"/>
      <c r="AO58" s="270" t="b">
        <f>IF(AC59*AH59*AM59&gt;0,SUM(AC59*AH59*AM59))</f>
        <v>0</v>
      </c>
      <c r="AP58" s="270"/>
      <c r="AQ58" s="270">
        <f>IF(AC59*AH59*AM59&gt;0,SUM(AC59*AH59*AM59),1)</f>
        <v>1</v>
      </c>
      <c r="AR58" s="271"/>
    </row>
    <row r="59" spans="1:44" ht="16.5" thickBot="1">
      <c r="A59" s="37">
        <f>IF(K58="",3,(AC59*AH59*AM59))</f>
        <v>3</v>
      </c>
      <c r="B59" s="306"/>
      <c r="C59" s="307"/>
      <c r="D59" s="307"/>
      <c r="E59" s="307"/>
      <c r="F59" s="307"/>
      <c r="G59" s="307"/>
      <c r="H59" s="307"/>
      <c r="I59" s="307"/>
      <c r="J59" s="308"/>
      <c r="K59" s="300"/>
      <c r="L59" s="301"/>
      <c r="M59" s="301"/>
      <c r="N59" s="301"/>
      <c r="O59" s="301"/>
      <c r="P59" s="301"/>
      <c r="Q59" s="301"/>
      <c r="R59" s="301"/>
      <c r="S59" s="301"/>
      <c r="T59" s="301"/>
      <c r="U59" s="229"/>
      <c r="V59" s="229"/>
      <c r="W59" s="229"/>
      <c r="X59" s="229"/>
      <c r="Y59" s="231"/>
      <c r="Z59" s="38"/>
      <c r="AA59" s="39">
        <v>0</v>
      </c>
      <c r="AB59" s="38"/>
      <c r="AC59" s="296">
        <f>IF(Z59*AB59&gt;0, SUM(Z59+AB59)/2,0)</f>
        <v>0</v>
      </c>
      <c r="AD59" s="297"/>
      <c r="AE59" s="40">
        <v>0</v>
      </c>
      <c r="AF59" s="38"/>
      <c r="AG59" s="30">
        <v>0</v>
      </c>
      <c r="AH59" s="296">
        <f>IF(AF59&gt;0,SUM(AF59),0)</f>
        <v>0</v>
      </c>
      <c r="AI59" s="297"/>
      <c r="AJ59" s="38"/>
      <c r="AK59" s="38"/>
      <c r="AL59" s="38"/>
      <c r="AM59" s="296">
        <f>IF(AJ59*AK59*AL59&gt;0, SUM(AJ59+AK59+AL59)/3,0)</f>
        <v>0</v>
      </c>
      <c r="AN59" s="297"/>
      <c r="AO59" s="294"/>
      <c r="AP59" s="294"/>
      <c r="AQ59" s="294"/>
      <c r="AR59" s="295"/>
    </row>
    <row r="60" spans="1:44">
      <c r="A60" s="303"/>
      <c r="B60" s="303"/>
      <c r="C60" s="303"/>
      <c r="D60" s="303"/>
      <c r="E60" s="303"/>
      <c r="F60" s="303"/>
      <c r="G60" s="303"/>
      <c r="H60" s="303"/>
      <c r="I60" s="303"/>
      <c r="J60" s="303"/>
      <c r="K60" s="303"/>
      <c r="L60" s="303"/>
      <c r="M60" s="303"/>
      <c r="N60" s="303"/>
      <c r="O60" s="303"/>
      <c r="P60" s="303"/>
      <c r="Q60" s="303"/>
      <c r="R60" s="303"/>
      <c r="S60" s="303"/>
      <c r="T60" s="303"/>
      <c r="U60" s="303"/>
      <c r="V60" s="303"/>
      <c r="W60" s="303"/>
      <c r="X60" s="303"/>
      <c r="Y60" s="303"/>
      <c r="Z60" s="303"/>
      <c r="AA60" s="303"/>
      <c r="AB60" s="303"/>
      <c r="AC60" s="303"/>
      <c r="AD60" s="303"/>
      <c r="AE60" s="303"/>
      <c r="AF60" s="303"/>
      <c r="AG60" s="303"/>
      <c r="AH60" s="303"/>
      <c r="AI60" s="303"/>
      <c r="AJ60" s="303"/>
      <c r="AK60" s="303"/>
      <c r="AL60" s="303"/>
      <c r="AM60" s="303"/>
      <c r="AN60" s="303"/>
      <c r="AO60" s="303"/>
      <c r="AP60" s="303"/>
      <c r="AQ60" s="303"/>
      <c r="AR60" s="303"/>
    </row>
    <row r="61" spans="1:44" ht="15.75">
      <c r="A61" s="311"/>
      <c r="B61" s="311"/>
      <c r="C61" s="311"/>
      <c r="D61" s="311"/>
      <c r="E61" s="311"/>
      <c r="F61" s="311"/>
      <c r="G61" s="311"/>
      <c r="H61" s="311"/>
      <c r="I61" s="311"/>
      <c r="J61" s="312"/>
      <c r="K61" s="312"/>
      <c r="L61" s="312"/>
      <c r="M61" s="312"/>
      <c r="N61" s="312"/>
      <c r="O61" s="312"/>
      <c r="P61" s="312"/>
      <c r="Q61" s="312"/>
      <c r="R61" s="312"/>
      <c r="S61" s="312"/>
      <c r="T61" s="312"/>
      <c r="U61" s="312"/>
      <c r="V61" s="312"/>
      <c r="W61" s="312"/>
      <c r="X61" s="312"/>
      <c r="Y61" s="312"/>
      <c r="Z61" s="312"/>
      <c r="AA61" s="312"/>
      <c r="AB61" s="312"/>
      <c r="AC61" s="312"/>
      <c r="AD61" s="312"/>
      <c r="AE61" s="312"/>
      <c r="AF61" s="312"/>
      <c r="AG61" s="312"/>
      <c r="AH61" s="312"/>
      <c r="AI61" s="312"/>
      <c r="AJ61" s="312"/>
      <c r="AK61" s="312"/>
      <c r="AL61" s="312"/>
      <c r="AM61" s="312"/>
      <c r="AN61" s="312"/>
      <c r="AO61" s="312"/>
      <c r="AP61" s="312"/>
      <c r="AQ61" s="312"/>
      <c r="AR61" s="312"/>
    </row>
    <row r="62" spans="1:44">
      <c r="A62" s="309"/>
      <c r="B62" s="309"/>
      <c r="C62" s="309"/>
      <c r="D62" s="309"/>
      <c r="E62" s="309"/>
      <c r="F62" s="309"/>
      <c r="G62" s="309"/>
      <c r="H62" s="309"/>
      <c r="I62" s="309"/>
      <c r="J62" s="309"/>
      <c r="K62" s="309"/>
      <c r="L62" s="309"/>
      <c r="M62" s="309"/>
      <c r="N62" s="309"/>
      <c r="O62" s="309"/>
      <c r="P62" s="309"/>
      <c r="Q62" s="309"/>
      <c r="R62" s="309"/>
      <c r="S62" s="309"/>
      <c r="T62" s="309"/>
      <c r="U62" s="309"/>
      <c r="V62" s="309"/>
      <c r="W62" s="309"/>
      <c r="X62" s="309"/>
      <c r="Y62" s="309"/>
      <c r="Z62" s="309"/>
      <c r="AA62" s="309"/>
      <c r="AB62" s="309"/>
      <c r="AC62" s="309"/>
      <c r="AD62" s="309"/>
      <c r="AE62" s="309"/>
      <c r="AF62" s="309"/>
      <c r="AG62" s="309"/>
      <c r="AH62" s="309"/>
      <c r="AI62" s="309"/>
      <c r="AJ62" s="309"/>
      <c r="AK62" s="309"/>
      <c r="AL62" s="309"/>
      <c r="AM62" s="309"/>
      <c r="AN62" s="309"/>
      <c r="AO62" s="309"/>
      <c r="AP62" s="309"/>
      <c r="AQ62" s="309"/>
      <c r="AR62" s="309"/>
    </row>
    <row r="63" spans="1:44">
      <c r="A63" s="309"/>
      <c r="B63" s="309"/>
      <c r="C63" s="309"/>
      <c r="D63" s="309"/>
      <c r="E63" s="309"/>
      <c r="F63" s="309"/>
      <c r="G63" s="309"/>
      <c r="H63" s="309"/>
      <c r="I63" s="309"/>
      <c r="J63" s="309"/>
      <c r="K63" s="309"/>
      <c r="L63" s="309"/>
      <c r="M63" s="309"/>
      <c r="N63" s="309"/>
      <c r="O63" s="309"/>
      <c r="P63" s="309"/>
      <c r="Q63" s="309"/>
      <c r="R63" s="309"/>
      <c r="S63" s="309"/>
      <c r="T63" s="309"/>
      <c r="U63" s="309"/>
      <c r="V63" s="309"/>
      <c r="W63" s="309"/>
      <c r="X63" s="309"/>
      <c r="Y63" s="309"/>
      <c r="Z63" s="309"/>
      <c r="AA63" s="309"/>
      <c r="AB63" s="309"/>
      <c r="AC63" s="309"/>
      <c r="AD63" s="309"/>
      <c r="AE63" s="309"/>
      <c r="AF63" s="309"/>
      <c r="AG63" s="309"/>
      <c r="AH63" s="309"/>
      <c r="AI63" s="309"/>
      <c r="AJ63" s="309"/>
      <c r="AK63" s="309"/>
      <c r="AL63" s="309"/>
      <c r="AM63" s="309"/>
      <c r="AN63" s="309"/>
      <c r="AO63" s="309"/>
      <c r="AP63" s="309"/>
      <c r="AQ63" s="309"/>
      <c r="AR63" s="309"/>
    </row>
    <row r="64" spans="1:44" ht="15.75">
      <c r="A64" s="309"/>
      <c r="B64" s="309"/>
      <c r="C64" s="309"/>
      <c r="D64" s="309"/>
      <c r="E64" s="309"/>
      <c r="F64" s="309"/>
      <c r="G64" s="309"/>
      <c r="H64" s="309"/>
      <c r="I64" s="309"/>
      <c r="J64" s="309"/>
      <c r="K64" s="309"/>
      <c r="L64" s="309"/>
      <c r="M64" s="309"/>
      <c r="N64" s="309"/>
      <c r="O64" s="309"/>
      <c r="P64" s="309"/>
      <c r="Q64" s="309"/>
      <c r="R64" s="309"/>
      <c r="S64" s="309"/>
      <c r="T64" s="309"/>
      <c r="U64" s="309"/>
      <c r="V64" s="309"/>
      <c r="W64" s="309"/>
      <c r="X64" s="309"/>
      <c r="Y64" s="309"/>
      <c r="Z64" s="309"/>
      <c r="AA64" s="309"/>
      <c r="AB64" s="309"/>
      <c r="AC64" s="309"/>
      <c r="AD64" s="309"/>
      <c r="AE64" s="309"/>
      <c r="AF64" s="309"/>
      <c r="AG64" s="309"/>
      <c r="AH64" s="309"/>
      <c r="AI64" s="309"/>
      <c r="AJ64" s="309"/>
      <c r="AK64" s="309"/>
      <c r="AL64" s="309"/>
      <c r="AM64" s="309"/>
      <c r="AN64" s="309"/>
      <c r="AO64" s="309"/>
      <c r="AP64" s="309"/>
      <c r="AQ64" s="309"/>
      <c r="AR64" s="309"/>
    </row>
    <row r="65" spans="1:44">
      <c r="A65" s="309"/>
      <c r="B65" s="309"/>
      <c r="C65" s="309"/>
      <c r="D65" s="309"/>
      <c r="E65" s="309"/>
      <c r="F65" s="309"/>
      <c r="G65" s="309"/>
      <c r="H65" s="309"/>
      <c r="I65" s="309"/>
      <c r="J65" s="309"/>
      <c r="K65" s="309"/>
      <c r="L65" s="309"/>
      <c r="M65" s="309"/>
      <c r="N65" s="309"/>
      <c r="O65" s="309"/>
      <c r="P65" s="309"/>
      <c r="Q65" s="309"/>
      <c r="R65" s="309"/>
      <c r="S65" s="309"/>
      <c r="T65" s="309"/>
      <c r="U65" s="309"/>
      <c r="V65" s="309"/>
      <c r="W65" s="309"/>
      <c r="X65" s="309"/>
      <c r="Y65" s="309"/>
      <c r="Z65" s="309"/>
      <c r="AA65" s="309"/>
      <c r="AB65" s="309"/>
      <c r="AC65" s="309"/>
      <c r="AD65" s="309"/>
      <c r="AE65" s="309"/>
      <c r="AF65" s="309"/>
      <c r="AG65" s="309"/>
      <c r="AH65" s="309"/>
      <c r="AI65" s="309"/>
      <c r="AJ65" s="309"/>
      <c r="AK65" s="309"/>
      <c r="AL65" s="309"/>
      <c r="AM65" s="309"/>
      <c r="AN65" s="309"/>
      <c r="AO65" s="309"/>
      <c r="AP65" s="309"/>
      <c r="AQ65" s="309"/>
      <c r="AR65" s="309"/>
    </row>
    <row r="66" spans="1:44">
      <c r="A66" s="309"/>
      <c r="B66" s="309"/>
      <c r="C66" s="309"/>
      <c r="D66" s="309"/>
      <c r="E66" s="309"/>
      <c r="F66" s="309"/>
      <c r="G66" s="309"/>
      <c r="H66" s="309"/>
      <c r="I66" s="309"/>
      <c r="J66" s="309"/>
      <c r="K66" s="309"/>
      <c r="L66" s="309"/>
      <c r="M66" s="309"/>
      <c r="N66" s="309"/>
      <c r="O66" s="309"/>
      <c r="P66" s="309"/>
      <c r="Q66" s="309"/>
      <c r="R66" s="309"/>
      <c r="S66" s="309"/>
      <c r="T66" s="309"/>
      <c r="U66" s="309"/>
      <c r="V66" s="309"/>
      <c r="W66" s="309"/>
      <c r="X66" s="309"/>
      <c r="Y66" s="309"/>
      <c r="Z66" s="309"/>
      <c r="AA66" s="309"/>
      <c r="AB66" s="309"/>
      <c r="AC66" s="309"/>
      <c r="AD66" s="309"/>
      <c r="AE66" s="309"/>
      <c r="AF66" s="309"/>
      <c r="AG66" s="309"/>
      <c r="AH66" s="309"/>
      <c r="AI66" s="309"/>
      <c r="AJ66" s="309"/>
      <c r="AK66" s="309"/>
      <c r="AL66" s="309"/>
      <c r="AM66" s="309"/>
      <c r="AN66" s="309"/>
      <c r="AO66" s="309"/>
      <c r="AP66" s="309"/>
      <c r="AQ66" s="309"/>
      <c r="AR66" s="309"/>
    </row>
    <row r="67" spans="1:44" ht="15.75">
      <c r="A67" s="310"/>
      <c r="B67" s="310"/>
      <c r="C67" s="310"/>
      <c r="D67" s="310"/>
      <c r="E67" s="310"/>
      <c r="F67" s="310"/>
      <c r="G67" s="310"/>
      <c r="H67" s="310"/>
      <c r="I67" s="310"/>
      <c r="J67" s="310"/>
      <c r="K67" s="310"/>
      <c r="L67" s="310"/>
      <c r="M67" s="310"/>
      <c r="N67" s="310"/>
      <c r="O67" s="310"/>
      <c r="P67" s="310"/>
      <c r="Q67" s="310"/>
      <c r="R67" s="310"/>
      <c r="S67" s="310"/>
      <c r="T67" s="310"/>
      <c r="U67" s="310"/>
      <c r="V67" s="310"/>
      <c r="W67" s="310"/>
      <c r="X67" s="310"/>
      <c r="Y67" s="310"/>
      <c r="Z67" s="310"/>
      <c r="AA67" s="310"/>
      <c r="AB67" s="310"/>
      <c r="AC67" s="310"/>
      <c r="AD67" s="310"/>
      <c r="AE67" s="310"/>
      <c r="AF67" s="310"/>
      <c r="AG67" s="310"/>
      <c r="AH67" s="310"/>
      <c r="AI67" s="310"/>
      <c r="AJ67" s="310"/>
      <c r="AK67" s="310"/>
      <c r="AL67" s="310"/>
      <c r="AM67" s="310"/>
      <c r="AN67" s="310"/>
      <c r="AO67" s="310"/>
      <c r="AP67" s="310"/>
      <c r="AQ67" s="310"/>
      <c r="AR67" s="310"/>
    </row>
    <row r="68" spans="1:44">
      <c r="A68" s="313"/>
      <c r="B68" s="313"/>
      <c r="C68" s="313"/>
      <c r="D68" s="313"/>
      <c r="E68" s="313"/>
      <c r="F68" s="313"/>
      <c r="G68" s="313"/>
      <c r="H68" s="313"/>
      <c r="I68" s="313"/>
      <c r="J68" s="313"/>
      <c r="K68" s="313"/>
      <c r="L68" s="313"/>
      <c r="M68" s="313"/>
      <c r="N68" s="313"/>
      <c r="O68" s="313"/>
      <c r="P68" s="313"/>
      <c r="Q68" s="313"/>
      <c r="R68" s="313"/>
      <c r="S68" s="313"/>
      <c r="T68" s="313"/>
      <c r="U68" s="313"/>
      <c r="V68" s="313"/>
      <c r="W68" s="313"/>
      <c r="X68" s="313"/>
      <c r="Y68" s="313"/>
      <c r="Z68" s="313"/>
      <c r="AA68" s="313"/>
      <c r="AB68" s="313"/>
      <c r="AC68" s="313"/>
      <c r="AD68" s="313"/>
      <c r="AE68" s="313"/>
      <c r="AF68" s="313"/>
      <c r="AG68" s="313"/>
      <c r="AH68" s="313"/>
      <c r="AI68" s="313"/>
      <c r="AJ68" s="313"/>
      <c r="AK68" s="313"/>
      <c r="AL68" s="313"/>
      <c r="AM68" s="313"/>
      <c r="AN68" s="313"/>
      <c r="AO68" s="313"/>
      <c r="AP68" s="313"/>
      <c r="AQ68" s="313"/>
      <c r="AR68" s="313"/>
    </row>
    <row r="69" spans="1:44" ht="16.5" thickBot="1">
      <c r="A69" s="314"/>
      <c r="B69" s="314"/>
      <c r="C69" s="314"/>
      <c r="D69" s="314"/>
      <c r="E69" s="314"/>
      <c r="F69" s="314"/>
      <c r="G69" s="314"/>
      <c r="H69" s="314"/>
      <c r="I69" s="314"/>
      <c r="J69" s="314"/>
      <c r="K69" s="314"/>
      <c r="L69" s="314"/>
      <c r="M69" s="314"/>
      <c r="N69" s="314"/>
      <c r="O69" s="314"/>
      <c r="P69" s="314"/>
      <c r="Q69" s="314"/>
      <c r="R69" s="314"/>
      <c r="S69" s="314"/>
      <c r="T69" s="314"/>
      <c r="U69" s="314"/>
      <c r="V69" s="314"/>
      <c r="W69" s="314"/>
      <c r="X69" s="314"/>
      <c r="Y69" s="314"/>
      <c r="Z69" s="314"/>
      <c r="AA69" s="314"/>
      <c r="AB69" s="314"/>
      <c r="AC69" s="314"/>
      <c r="AD69" s="314"/>
      <c r="AE69" s="314"/>
      <c r="AF69" s="314"/>
      <c r="AG69" s="314"/>
      <c r="AH69" s="314"/>
      <c r="AI69" s="314"/>
      <c r="AJ69" s="314"/>
      <c r="AK69" s="314"/>
      <c r="AL69" s="314"/>
      <c r="AM69" s="314"/>
      <c r="AN69" s="314"/>
      <c r="AO69" s="314"/>
      <c r="AP69" s="314"/>
      <c r="AQ69" s="314"/>
      <c r="AR69" s="314"/>
    </row>
    <row r="70" spans="1:44" ht="24" thickTop="1">
      <c r="A70" s="1" t="s">
        <v>87</v>
      </c>
      <c r="B70" s="2"/>
      <c r="C70" s="2"/>
      <c r="D70" s="2"/>
      <c r="E70" s="2"/>
      <c r="F70" s="2"/>
      <c r="G70" s="2"/>
      <c r="H70" s="2"/>
      <c r="I70" s="2"/>
      <c r="J70" s="2"/>
      <c r="K70" s="2"/>
      <c r="L70" s="2"/>
      <c r="M70" s="2"/>
      <c r="N70" s="2"/>
      <c r="O70" s="2"/>
      <c r="P70" s="2"/>
      <c r="Q70" s="2"/>
      <c r="R70" s="3"/>
      <c r="S70" s="3"/>
      <c r="T70" s="2"/>
      <c r="U70" s="2"/>
      <c r="V70" s="2"/>
      <c r="W70" s="3"/>
      <c r="X70" s="2"/>
      <c r="Y70" s="2"/>
      <c r="Z70" s="2"/>
      <c r="AA70" s="2"/>
      <c r="AB70" s="2"/>
      <c r="AC70" s="2"/>
      <c r="AD70" s="2"/>
      <c r="AE70" s="2"/>
      <c r="AF70" s="2"/>
      <c r="AG70" s="2"/>
      <c r="AH70" s="2"/>
      <c r="AI70" s="2"/>
      <c r="AJ70" s="2"/>
      <c r="AK70" s="2"/>
      <c r="AL70" s="2"/>
      <c r="AM70" s="2"/>
      <c r="AN70" s="2"/>
      <c r="AO70" s="2"/>
      <c r="AP70" s="4"/>
      <c r="AQ70" s="4"/>
      <c r="AR70" s="5"/>
    </row>
    <row r="71" spans="1:44" ht="24" thickBot="1">
      <c r="A71" s="6" t="s">
        <v>1</v>
      </c>
      <c r="B71" s="7"/>
      <c r="C71" s="7"/>
      <c r="D71" s="7"/>
      <c r="E71" s="7"/>
      <c r="F71" s="7"/>
      <c r="G71" s="7"/>
      <c r="H71" s="7"/>
      <c r="I71" s="7"/>
      <c r="J71" s="8"/>
      <c r="K71" s="7"/>
      <c r="L71" s="7"/>
      <c r="M71" s="7"/>
      <c r="N71" s="7"/>
      <c r="O71" s="7"/>
      <c r="P71" s="7"/>
      <c r="Q71" s="7"/>
      <c r="R71" s="8"/>
      <c r="S71" s="9"/>
      <c r="T71" s="7"/>
      <c r="U71" s="7"/>
      <c r="V71" s="7"/>
      <c r="W71" s="7"/>
      <c r="X71" s="7"/>
      <c r="Y71" s="8"/>
      <c r="Z71" s="7"/>
      <c r="AA71" s="7"/>
      <c r="AB71" s="7"/>
      <c r="AC71" s="7"/>
      <c r="AD71" s="7"/>
      <c r="AE71" s="7"/>
      <c r="AF71" s="7"/>
      <c r="AG71" s="7"/>
      <c r="AH71" s="7"/>
      <c r="AI71" s="7"/>
      <c r="AJ71" s="7"/>
      <c r="AK71" s="7"/>
      <c r="AL71" s="7"/>
      <c r="AM71" s="7"/>
      <c r="AN71" s="7"/>
      <c r="AO71" s="7"/>
      <c r="AP71" s="10"/>
      <c r="AQ71" s="10"/>
      <c r="AR71" s="11"/>
    </row>
    <row r="72" spans="1:44" ht="15.75" thickTop="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row>
    <row r="73" spans="1:44" ht="15.75" thickBo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row>
    <row r="74" spans="1:44" ht="16.5" thickTop="1">
      <c r="A74" s="71" t="s">
        <v>2</v>
      </c>
      <c r="B74" s="72"/>
      <c r="C74" s="72"/>
      <c r="D74" s="72"/>
      <c r="E74" s="73"/>
      <c r="F74" s="77"/>
      <c r="G74" s="78"/>
      <c r="H74" s="78"/>
      <c r="I74" s="78"/>
      <c r="J74" s="78"/>
      <c r="K74" s="78"/>
      <c r="L74" s="78"/>
      <c r="M74" s="79"/>
      <c r="N74" s="83" t="s">
        <v>3</v>
      </c>
      <c r="O74" s="73"/>
      <c r="P74" s="85"/>
      <c r="Q74" s="86"/>
      <c r="R74" s="86"/>
      <c r="S74" s="86"/>
      <c r="T74" s="87"/>
      <c r="U74" s="83" t="s">
        <v>4</v>
      </c>
      <c r="V74" s="73"/>
      <c r="W74" s="315"/>
      <c r="X74" s="316"/>
      <c r="Y74" s="316"/>
      <c r="Z74" s="316"/>
      <c r="AA74" s="317"/>
      <c r="AB74" s="91" t="s">
        <v>88</v>
      </c>
      <c r="AC74" s="92"/>
      <c r="AD74" s="92"/>
      <c r="AE74" s="92"/>
      <c r="AF74" s="92"/>
      <c r="AG74" s="93"/>
      <c r="AH74" s="97"/>
      <c r="AI74" s="98"/>
      <c r="AJ74" s="98"/>
      <c r="AK74" s="98"/>
      <c r="AL74" s="98"/>
      <c r="AM74" s="98"/>
      <c r="AN74" s="98"/>
      <c r="AO74" s="99"/>
      <c r="AP74" s="50" t="s">
        <v>6</v>
      </c>
      <c r="AQ74" s="51"/>
      <c r="AR74" s="52"/>
    </row>
    <row r="75" spans="1:44" ht="27" thickBot="1">
      <c r="A75" s="74"/>
      <c r="B75" s="75"/>
      <c r="C75" s="75"/>
      <c r="D75" s="75"/>
      <c r="E75" s="76"/>
      <c r="F75" s="80"/>
      <c r="G75" s="81"/>
      <c r="H75" s="81"/>
      <c r="I75" s="81"/>
      <c r="J75" s="81"/>
      <c r="K75" s="81"/>
      <c r="L75" s="81"/>
      <c r="M75" s="82"/>
      <c r="N75" s="84"/>
      <c r="O75" s="76"/>
      <c r="P75" s="88"/>
      <c r="Q75" s="89"/>
      <c r="R75" s="89"/>
      <c r="S75" s="89"/>
      <c r="T75" s="90"/>
      <c r="U75" s="84"/>
      <c r="V75" s="76"/>
      <c r="W75" s="318"/>
      <c r="X75" s="319"/>
      <c r="Y75" s="319"/>
      <c r="Z75" s="319"/>
      <c r="AA75" s="320"/>
      <c r="AB75" s="94"/>
      <c r="AC75" s="95"/>
      <c r="AD75" s="95"/>
      <c r="AE75" s="95"/>
      <c r="AF75" s="95"/>
      <c r="AG75" s="96"/>
      <c r="AH75" s="53"/>
      <c r="AI75" s="54"/>
      <c r="AJ75" s="54"/>
      <c r="AK75" s="54"/>
      <c r="AL75" s="54"/>
      <c r="AM75" s="54"/>
      <c r="AN75" s="54"/>
      <c r="AO75" s="100"/>
      <c r="AP75" s="53">
        <f>AP6</f>
        <v>1</v>
      </c>
      <c r="AQ75" s="54"/>
      <c r="AR75" s="55"/>
    </row>
    <row r="76" spans="1:44" ht="16.5" thickTop="1">
      <c r="A76" s="321"/>
      <c r="B76" s="321"/>
      <c r="C76" s="321"/>
      <c r="D76" s="321"/>
      <c r="E76" s="321"/>
      <c r="F76" s="321"/>
      <c r="G76" s="321"/>
      <c r="H76" s="321"/>
      <c r="I76" s="321"/>
      <c r="J76" s="321"/>
      <c r="K76" s="321"/>
      <c r="L76" s="321"/>
      <c r="M76" s="321"/>
      <c r="N76" s="321"/>
      <c r="O76" s="321"/>
      <c r="P76" s="321"/>
      <c r="Q76" s="321"/>
      <c r="R76" s="321"/>
      <c r="S76" s="321"/>
      <c r="T76" s="321"/>
      <c r="U76" s="321"/>
      <c r="V76" s="321"/>
      <c r="W76" s="321"/>
      <c r="X76" s="321"/>
      <c r="Y76" s="321"/>
      <c r="Z76" s="321"/>
      <c r="AA76" s="321"/>
      <c r="AB76" s="321"/>
      <c r="AC76" s="321"/>
      <c r="AD76" s="321"/>
      <c r="AE76" s="321"/>
      <c r="AF76" s="321"/>
      <c r="AG76" s="321"/>
      <c r="AH76" s="321"/>
      <c r="AI76" s="321"/>
      <c r="AJ76" s="321"/>
      <c r="AK76" s="321"/>
      <c r="AL76" s="321"/>
      <c r="AM76" s="321"/>
      <c r="AN76" s="321"/>
      <c r="AO76" s="321"/>
      <c r="AP76" s="321"/>
      <c r="AQ76" s="321"/>
      <c r="AR76" s="321"/>
    </row>
    <row r="77" spans="1:44">
      <c r="A77" s="313"/>
      <c r="B77" s="313"/>
      <c r="C77" s="313"/>
      <c r="D77" s="313"/>
      <c r="E77" s="313"/>
      <c r="F77" s="313"/>
      <c r="G77" s="313"/>
      <c r="H77" s="313"/>
      <c r="I77" s="313"/>
      <c r="J77" s="313"/>
      <c r="K77" s="313"/>
      <c r="L77" s="313"/>
      <c r="M77" s="313"/>
      <c r="N77" s="313"/>
      <c r="O77" s="313"/>
      <c r="P77" s="313"/>
      <c r="Q77" s="313"/>
      <c r="R77" s="313"/>
      <c r="S77" s="313"/>
      <c r="T77" s="313"/>
      <c r="U77" s="313"/>
      <c r="V77" s="313"/>
      <c r="W77" s="313"/>
      <c r="X77" s="313"/>
      <c r="Y77" s="313"/>
      <c r="Z77" s="313"/>
      <c r="AA77" s="313"/>
      <c r="AB77" s="313"/>
      <c r="AC77" s="313"/>
      <c r="AD77" s="313"/>
      <c r="AE77" s="313"/>
      <c r="AF77" s="313"/>
      <c r="AG77" s="313"/>
      <c r="AH77" s="313"/>
      <c r="AI77" s="313"/>
      <c r="AJ77" s="313"/>
      <c r="AK77" s="313"/>
      <c r="AL77" s="313"/>
      <c r="AM77" s="313"/>
      <c r="AN77" s="313"/>
      <c r="AO77" s="313"/>
      <c r="AP77" s="313"/>
      <c r="AQ77" s="313"/>
      <c r="AR77" s="313"/>
    </row>
    <row r="78" spans="1:44" ht="16.5" thickBot="1">
      <c r="A78" s="322" t="s">
        <v>89</v>
      </c>
      <c r="B78" s="322"/>
      <c r="C78" s="322"/>
      <c r="D78" s="322"/>
      <c r="E78" s="322"/>
      <c r="F78" s="322"/>
      <c r="G78" s="322"/>
      <c r="H78" s="322"/>
      <c r="I78" s="322"/>
      <c r="J78" s="322"/>
      <c r="K78" s="322"/>
      <c r="L78" s="322"/>
      <c r="M78" s="322"/>
      <c r="N78" s="322"/>
      <c r="O78" s="322"/>
      <c r="P78" s="322"/>
      <c r="Q78" s="322"/>
      <c r="R78" s="322"/>
      <c r="S78" s="322"/>
      <c r="T78" s="322"/>
      <c r="U78" s="322"/>
      <c r="V78" s="322"/>
      <c r="W78" s="322"/>
      <c r="X78" s="322"/>
      <c r="Y78" s="322"/>
      <c r="Z78" s="322"/>
      <c r="AA78" s="322"/>
      <c r="AB78" s="322"/>
      <c r="AC78" s="322"/>
      <c r="AD78" s="322"/>
      <c r="AE78" s="322"/>
      <c r="AF78" s="322"/>
      <c r="AG78" s="322"/>
      <c r="AH78" s="322"/>
      <c r="AI78" s="322"/>
      <c r="AJ78" s="322"/>
      <c r="AK78" s="322"/>
      <c r="AL78" s="322"/>
      <c r="AM78" s="322"/>
      <c r="AN78" s="322"/>
      <c r="AO78" s="322"/>
      <c r="AP78" s="322"/>
      <c r="AQ78" s="322"/>
      <c r="AR78" s="322"/>
    </row>
    <row r="79" spans="1:44">
      <c r="A79" s="276" t="s">
        <v>71</v>
      </c>
      <c r="B79" s="278" t="s">
        <v>72</v>
      </c>
      <c r="C79" s="265"/>
      <c r="D79" s="265"/>
      <c r="E79" s="265"/>
      <c r="F79" s="265"/>
      <c r="G79" s="265"/>
      <c r="H79" s="265"/>
      <c r="I79" s="265"/>
      <c r="J79" s="279"/>
      <c r="K79" s="257" t="s">
        <v>73</v>
      </c>
      <c r="L79" s="281"/>
      <c r="M79" s="281"/>
      <c r="N79" s="281"/>
      <c r="O79" s="281"/>
      <c r="P79" s="281"/>
      <c r="Q79" s="281"/>
      <c r="R79" s="281"/>
      <c r="S79" s="281"/>
      <c r="T79" s="281"/>
      <c r="U79" s="282"/>
      <c r="V79" s="282"/>
      <c r="W79" s="282"/>
      <c r="X79" s="282"/>
      <c r="Y79" s="283"/>
      <c r="Z79" s="288" t="s">
        <v>74</v>
      </c>
      <c r="AA79" s="289"/>
      <c r="AB79" s="289"/>
      <c r="AC79" s="289"/>
      <c r="AD79" s="290"/>
      <c r="AE79" s="288" t="s">
        <v>75</v>
      </c>
      <c r="AF79" s="289"/>
      <c r="AG79" s="289"/>
      <c r="AH79" s="289"/>
      <c r="AI79" s="290"/>
      <c r="AJ79" s="288" t="s">
        <v>76</v>
      </c>
      <c r="AK79" s="289"/>
      <c r="AL79" s="289"/>
      <c r="AM79" s="289"/>
      <c r="AN79" s="290"/>
      <c r="AO79" s="291" t="s">
        <v>77</v>
      </c>
      <c r="AP79" s="292"/>
      <c r="AQ79" s="292"/>
      <c r="AR79" s="293"/>
    </row>
    <row r="80" spans="1:44" ht="16.5" thickBot="1">
      <c r="A80" s="277"/>
      <c r="B80" s="228"/>
      <c r="C80" s="229"/>
      <c r="D80" s="229"/>
      <c r="E80" s="229"/>
      <c r="F80" s="229"/>
      <c r="G80" s="229"/>
      <c r="H80" s="229"/>
      <c r="I80" s="229"/>
      <c r="J80" s="280"/>
      <c r="K80" s="284"/>
      <c r="L80" s="285"/>
      <c r="M80" s="285"/>
      <c r="N80" s="285"/>
      <c r="O80" s="285"/>
      <c r="P80" s="285"/>
      <c r="Q80" s="285"/>
      <c r="R80" s="285"/>
      <c r="S80" s="285"/>
      <c r="T80" s="285"/>
      <c r="U80" s="286"/>
      <c r="V80" s="286"/>
      <c r="W80" s="286"/>
      <c r="X80" s="286"/>
      <c r="Y80" s="287"/>
      <c r="Z80" s="26" t="s">
        <v>78</v>
      </c>
      <c r="AA80" s="27"/>
      <c r="AB80" s="28" t="s">
        <v>79</v>
      </c>
      <c r="AC80" s="255" t="s">
        <v>80</v>
      </c>
      <c r="AD80" s="256"/>
      <c r="AE80" s="29"/>
      <c r="AF80" s="28" t="s">
        <v>81</v>
      </c>
      <c r="AG80" s="30"/>
      <c r="AH80" s="255" t="s">
        <v>82</v>
      </c>
      <c r="AI80" s="256"/>
      <c r="AJ80" s="31" t="s">
        <v>83</v>
      </c>
      <c r="AK80" s="28" t="s">
        <v>84</v>
      </c>
      <c r="AL80" s="28" t="s">
        <v>85</v>
      </c>
      <c r="AM80" s="255" t="s">
        <v>86</v>
      </c>
      <c r="AN80" s="256"/>
      <c r="AO80" s="32" t="s">
        <v>64</v>
      </c>
      <c r="AP80" s="33" t="s">
        <v>66</v>
      </c>
      <c r="AQ80" s="34" t="s">
        <v>68</v>
      </c>
      <c r="AR80" s="35" t="s">
        <v>70</v>
      </c>
    </row>
    <row r="81" spans="1:44" ht="16.5" thickBot="1">
      <c r="A81" s="36">
        <v>1</v>
      </c>
      <c r="B81" s="257"/>
      <c r="C81" s="265"/>
      <c r="D81" s="265"/>
      <c r="E81" s="265"/>
      <c r="F81" s="265"/>
      <c r="G81" s="265"/>
      <c r="H81" s="265"/>
      <c r="I81" s="265"/>
      <c r="J81" s="279"/>
      <c r="K81" s="298"/>
      <c r="L81" s="299"/>
      <c r="M81" s="299"/>
      <c r="N81" s="299"/>
      <c r="O81" s="299"/>
      <c r="P81" s="299"/>
      <c r="Q81" s="299"/>
      <c r="R81" s="299"/>
      <c r="S81" s="299"/>
      <c r="T81" s="299"/>
      <c r="U81" s="265"/>
      <c r="V81" s="265"/>
      <c r="W81" s="265"/>
      <c r="X81" s="265"/>
      <c r="Y81" s="266"/>
      <c r="Z81" s="269"/>
      <c r="AA81" s="270"/>
      <c r="AB81" s="270"/>
      <c r="AC81" s="270"/>
      <c r="AD81" s="271"/>
      <c r="AE81" s="269"/>
      <c r="AF81" s="270"/>
      <c r="AG81" s="270"/>
      <c r="AH81" s="270"/>
      <c r="AI81" s="271"/>
      <c r="AJ81" s="269"/>
      <c r="AK81" s="270"/>
      <c r="AL81" s="270"/>
      <c r="AM81" s="270"/>
      <c r="AN81" s="271"/>
      <c r="AO81" s="270" t="b">
        <f>IF(AC82*AH82*AM82&gt;0,SUM(AC82*AH82*AM82))</f>
        <v>0</v>
      </c>
      <c r="AP81" s="270"/>
      <c r="AQ81" s="270">
        <f>IF(AC82*AH82*AM82&gt;0,SUM(AC82*AH82*AM82),1)</f>
        <v>1</v>
      </c>
      <c r="AR81" s="271"/>
    </row>
    <row r="82" spans="1:44" ht="16.5" thickBot="1">
      <c r="A82" s="37">
        <f>IF(K81="",3,(AC82*AH82*AM82))</f>
        <v>3</v>
      </c>
      <c r="B82" s="228"/>
      <c r="C82" s="229"/>
      <c r="D82" s="229"/>
      <c r="E82" s="229"/>
      <c r="F82" s="229"/>
      <c r="G82" s="229"/>
      <c r="H82" s="229"/>
      <c r="I82" s="229"/>
      <c r="J82" s="280"/>
      <c r="K82" s="300"/>
      <c r="L82" s="301"/>
      <c r="M82" s="301"/>
      <c r="N82" s="301"/>
      <c r="O82" s="301"/>
      <c r="P82" s="301"/>
      <c r="Q82" s="301"/>
      <c r="R82" s="301"/>
      <c r="S82" s="301"/>
      <c r="T82" s="301"/>
      <c r="U82" s="229"/>
      <c r="V82" s="229"/>
      <c r="W82" s="229"/>
      <c r="X82" s="229"/>
      <c r="Y82" s="231"/>
      <c r="Z82" s="38"/>
      <c r="AA82" s="39"/>
      <c r="AB82" s="38"/>
      <c r="AC82" s="296">
        <f>IF(Z82*AB82&gt;0, SUM(Z82+AB82)/2,0)</f>
        <v>0</v>
      </c>
      <c r="AD82" s="297"/>
      <c r="AE82" s="40"/>
      <c r="AF82" s="38"/>
      <c r="AG82" s="30"/>
      <c r="AH82" s="296">
        <f>IF(AF82&gt;0,SUM(AF82),0)</f>
        <v>0</v>
      </c>
      <c r="AI82" s="297"/>
      <c r="AJ82" s="38"/>
      <c r="AK82" s="38"/>
      <c r="AL82" s="38"/>
      <c r="AM82" s="296">
        <f>IF(AJ82*AK82*AL82&gt;0, SUM(AJ82+AK82+AL82)/3,0)</f>
        <v>0</v>
      </c>
      <c r="AN82" s="297"/>
      <c r="AO82" s="294"/>
      <c r="AP82" s="294"/>
      <c r="AQ82" s="294"/>
      <c r="AR82" s="295"/>
    </row>
    <row r="83" spans="1:44" ht="16.5" thickBot="1">
      <c r="A83" s="36">
        <v>2</v>
      </c>
      <c r="B83" s="302"/>
      <c r="C83" s="304"/>
      <c r="D83" s="304"/>
      <c r="E83" s="304"/>
      <c r="F83" s="304"/>
      <c r="G83" s="304"/>
      <c r="H83" s="304"/>
      <c r="I83" s="304"/>
      <c r="J83" s="305"/>
      <c r="K83" s="298"/>
      <c r="L83" s="299"/>
      <c r="M83" s="299"/>
      <c r="N83" s="299"/>
      <c r="O83" s="299"/>
      <c r="P83" s="299"/>
      <c r="Q83" s="299"/>
      <c r="R83" s="299"/>
      <c r="S83" s="299"/>
      <c r="T83" s="299"/>
      <c r="U83" s="265"/>
      <c r="V83" s="265"/>
      <c r="W83" s="265"/>
      <c r="X83" s="265"/>
      <c r="Y83" s="266"/>
      <c r="Z83" s="269">
        <v>0</v>
      </c>
      <c r="AA83" s="270"/>
      <c r="AB83" s="270"/>
      <c r="AC83" s="270"/>
      <c r="AD83" s="271"/>
      <c r="AE83" s="269">
        <v>0</v>
      </c>
      <c r="AF83" s="270"/>
      <c r="AG83" s="270"/>
      <c r="AH83" s="270"/>
      <c r="AI83" s="271"/>
      <c r="AJ83" s="269">
        <v>0</v>
      </c>
      <c r="AK83" s="270"/>
      <c r="AL83" s="270"/>
      <c r="AM83" s="270"/>
      <c r="AN83" s="271"/>
      <c r="AO83" s="270" t="b">
        <f>IF(AC84*AH84*AM84&gt;0,SUM(AC84*AH84*AM84))</f>
        <v>0</v>
      </c>
      <c r="AP83" s="270"/>
      <c r="AQ83" s="270">
        <f>IF(AC84*AH84*AM84&gt;0,SUM(AC84*AH84*AM84),1)</f>
        <v>1</v>
      </c>
      <c r="AR83" s="271"/>
    </row>
    <row r="84" spans="1:44" ht="16.5" thickBot="1">
      <c r="A84" s="37">
        <f>IF(K83="",3,(AC84*AH84*AM84))</f>
        <v>3</v>
      </c>
      <c r="B84" s="306"/>
      <c r="C84" s="307"/>
      <c r="D84" s="307"/>
      <c r="E84" s="307"/>
      <c r="F84" s="307"/>
      <c r="G84" s="307"/>
      <c r="H84" s="307"/>
      <c r="I84" s="307"/>
      <c r="J84" s="308"/>
      <c r="K84" s="300"/>
      <c r="L84" s="301"/>
      <c r="M84" s="301"/>
      <c r="N84" s="301"/>
      <c r="O84" s="301"/>
      <c r="P84" s="301"/>
      <c r="Q84" s="301"/>
      <c r="R84" s="301"/>
      <c r="S84" s="301"/>
      <c r="T84" s="301"/>
      <c r="U84" s="229"/>
      <c r="V84" s="229"/>
      <c r="W84" s="229"/>
      <c r="X84" s="229"/>
      <c r="Y84" s="231"/>
      <c r="Z84" s="38"/>
      <c r="AA84" s="39">
        <v>0</v>
      </c>
      <c r="AB84" s="38"/>
      <c r="AC84" s="296">
        <f>IF(Z84*AB84&gt;0, SUM(Z84+AB84)/2,0)</f>
        <v>0</v>
      </c>
      <c r="AD84" s="297"/>
      <c r="AE84" s="40">
        <v>0</v>
      </c>
      <c r="AF84" s="38"/>
      <c r="AG84" s="30">
        <v>0</v>
      </c>
      <c r="AH84" s="296">
        <f>IF(AF84&gt;0,SUM(AF84),0)</f>
        <v>0</v>
      </c>
      <c r="AI84" s="297"/>
      <c r="AJ84" s="38"/>
      <c r="AK84" s="38"/>
      <c r="AL84" s="38"/>
      <c r="AM84" s="296">
        <f>IF(AJ84*AK84*AL84&gt;0, SUM(AJ84+AK84+AL84)/3,0)</f>
        <v>0</v>
      </c>
      <c r="AN84" s="297"/>
      <c r="AO84" s="294"/>
      <c r="AP84" s="294"/>
      <c r="AQ84" s="294"/>
      <c r="AR84" s="295"/>
    </row>
    <row r="85" spans="1:44" ht="16.5" thickBot="1">
      <c r="A85" s="36">
        <v>3</v>
      </c>
      <c r="B85" s="302"/>
      <c r="C85" s="304"/>
      <c r="D85" s="304"/>
      <c r="E85" s="304"/>
      <c r="F85" s="304"/>
      <c r="G85" s="304"/>
      <c r="H85" s="304"/>
      <c r="I85" s="304"/>
      <c r="J85" s="305"/>
      <c r="K85" s="298"/>
      <c r="L85" s="299"/>
      <c r="M85" s="299"/>
      <c r="N85" s="299"/>
      <c r="O85" s="299"/>
      <c r="P85" s="299"/>
      <c r="Q85" s="299"/>
      <c r="R85" s="299"/>
      <c r="S85" s="299"/>
      <c r="T85" s="299"/>
      <c r="U85" s="265"/>
      <c r="V85" s="265"/>
      <c r="W85" s="265"/>
      <c r="X85" s="265"/>
      <c r="Y85" s="266"/>
      <c r="Z85" s="269">
        <v>0</v>
      </c>
      <c r="AA85" s="270"/>
      <c r="AB85" s="270"/>
      <c r="AC85" s="270"/>
      <c r="AD85" s="271"/>
      <c r="AE85" s="269">
        <v>0</v>
      </c>
      <c r="AF85" s="270"/>
      <c r="AG85" s="270"/>
      <c r="AH85" s="270"/>
      <c r="AI85" s="271"/>
      <c r="AJ85" s="269">
        <v>0</v>
      </c>
      <c r="AK85" s="270"/>
      <c r="AL85" s="270"/>
      <c r="AM85" s="270"/>
      <c r="AN85" s="271"/>
      <c r="AO85" s="270" t="b">
        <f>IF(AC86*AH86*AM86&gt;0,SUM(AC86*AH86*AM86))</f>
        <v>0</v>
      </c>
      <c r="AP85" s="270"/>
      <c r="AQ85" s="270">
        <f>IF(AC86*AH86*AM86&gt;0,SUM(AC86*AH86*AM86),1)</f>
        <v>1</v>
      </c>
      <c r="AR85" s="271"/>
    </row>
    <row r="86" spans="1:44" ht="16.5" thickBot="1">
      <c r="A86" s="37">
        <f>IF(K85="",3,(AC86*AH86*AM86))</f>
        <v>3</v>
      </c>
      <c r="B86" s="306"/>
      <c r="C86" s="307"/>
      <c r="D86" s="307"/>
      <c r="E86" s="307"/>
      <c r="F86" s="307"/>
      <c r="G86" s="307"/>
      <c r="H86" s="307"/>
      <c r="I86" s="307"/>
      <c r="J86" s="308"/>
      <c r="K86" s="300"/>
      <c r="L86" s="301"/>
      <c r="M86" s="301"/>
      <c r="N86" s="301"/>
      <c r="O86" s="301"/>
      <c r="P86" s="301"/>
      <c r="Q86" s="301"/>
      <c r="R86" s="301"/>
      <c r="S86" s="301"/>
      <c r="T86" s="301"/>
      <c r="U86" s="229"/>
      <c r="V86" s="229"/>
      <c r="W86" s="229"/>
      <c r="X86" s="229"/>
      <c r="Y86" s="231"/>
      <c r="Z86" s="38"/>
      <c r="AA86" s="39">
        <v>0</v>
      </c>
      <c r="AB86" s="38"/>
      <c r="AC86" s="296">
        <f>IF(Z86*AB86&gt;0, SUM(Z86+AB86)/2,0)</f>
        <v>0</v>
      </c>
      <c r="AD86" s="297"/>
      <c r="AE86" s="40">
        <v>0</v>
      </c>
      <c r="AF86" s="38"/>
      <c r="AG86" s="30">
        <v>0</v>
      </c>
      <c r="AH86" s="296">
        <f>IF(AF86&gt;0,SUM(AF86),0)</f>
        <v>0</v>
      </c>
      <c r="AI86" s="297"/>
      <c r="AJ86" s="38"/>
      <c r="AK86" s="38"/>
      <c r="AL86" s="38"/>
      <c r="AM86" s="296">
        <f>IF(AJ86*AK86*AL86&gt;0, SUM(AJ86+AK86+AL86)/3,0)</f>
        <v>0</v>
      </c>
      <c r="AN86" s="297"/>
      <c r="AO86" s="294"/>
      <c r="AP86" s="294"/>
      <c r="AQ86" s="294"/>
      <c r="AR86" s="295"/>
    </row>
    <row r="87" spans="1:44" ht="16.5" thickBot="1">
      <c r="A87" s="36">
        <v>4</v>
      </c>
      <c r="B87" s="302"/>
      <c r="C87" s="304"/>
      <c r="D87" s="304"/>
      <c r="E87" s="304"/>
      <c r="F87" s="304"/>
      <c r="G87" s="304"/>
      <c r="H87" s="304"/>
      <c r="I87" s="304"/>
      <c r="J87" s="305"/>
      <c r="K87" s="298"/>
      <c r="L87" s="299"/>
      <c r="M87" s="299"/>
      <c r="N87" s="299"/>
      <c r="O87" s="299"/>
      <c r="P87" s="299"/>
      <c r="Q87" s="299"/>
      <c r="R87" s="299"/>
      <c r="S87" s="299"/>
      <c r="T87" s="299"/>
      <c r="U87" s="265"/>
      <c r="V87" s="265"/>
      <c r="W87" s="265"/>
      <c r="X87" s="265"/>
      <c r="Y87" s="266"/>
      <c r="Z87" s="269">
        <v>0</v>
      </c>
      <c r="AA87" s="270"/>
      <c r="AB87" s="270"/>
      <c r="AC87" s="270"/>
      <c r="AD87" s="271"/>
      <c r="AE87" s="269">
        <v>0</v>
      </c>
      <c r="AF87" s="270"/>
      <c r="AG87" s="270"/>
      <c r="AH87" s="270"/>
      <c r="AI87" s="271"/>
      <c r="AJ87" s="269">
        <v>0</v>
      </c>
      <c r="AK87" s="270"/>
      <c r="AL87" s="270"/>
      <c r="AM87" s="270"/>
      <c r="AN87" s="271"/>
      <c r="AO87" s="270" t="b">
        <f>IF(AC88*AH88*AM88&gt;0,SUM(AC88*AH88*AM88))</f>
        <v>0</v>
      </c>
      <c r="AP87" s="270"/>
      <c r="AQ87" s="270">
        <f>IF(AC88*AH88*AM88&gt;0,SUM(AC88*AH88*AM88),1)</f>
        <v>1</v>
      </c>
      <c r="AR87" s="271"/>
    </row>
    <row r="88" spans="1:44" ht="16.5" thickBot="1">
      <c r="A88" s="37">
        <f>IF(K87="",3,(AC88*AH88*AM88))</f>
        <v>3</v>
      </c>
      <c r="B88" s="306"/>
      <c r="C88" s="307"/>
      <c r="D88" s="307"/>
      <c r="E88" s="307"/>
      <c r="F88" s="307"/>
      <c r="G88" s="307"/>
      <c r="H88" s="307"/>
      <c r="I88" s="307"/>
      <c r="J88" s="308"/>
      <c r="K88" s="300"/>
      <c r="L88" s="301"/>
      <c r="M88" s="301"/>
      <c r="N88" s="301"/>
      <c r="O88" s="301"/>
      <c r="P88" s="301"/>
      <c r="Q88" s="301"/>
      <c r="R88" s="301"/>
      <c r="S88" s="301"/>
      <c r="T88" s="301"/>
      <c r="U88" s="229"/>
      <c r="V88" s="229"/>
      <c r="W88" s="229"/>
      <c r="X88" s="229"/>
      <c r="Y88" s="231"/>
      <c r="Z88" s="38"/>
      <c r="AA88" s="39">
        <v>0</v>
      </c>
      <c r="AB88" s="38"/>
      <c r="AC88" s="296">
        <f>IF(Z88*AB88&gt;0, SUM(Z88+AB88)/2,0)</f>
        <v>0</v>
      </c>
      <c r="AD88" s="297"/>
      <c r="AE88" s="40">
        <v>0</v>
      </c>
      <c r="AF88" s="38"/>
      <c r="AG88" s="30">
        <v>0</v>
      </c>
      <c r="AH88" s="296">
        <f>IF(AF88&gt;0,SUM(AF88),0)</f>
        <v>0</v>
      </c>
      <c r="AI88" s="297"/>
      <c r="AJ88" s="38"/>
      <c r="AK88" s="38"/>
      <c r="AL88" s="38"/>
      <c r="AM88" s="296">
        <f>IF(AJ88*AK88*AL88&gt;0, SUM(AJ88+AK88+AL88)/3,0)</f>
        <v>0</v>
      </c>
      <c r="AN88" s="297"/>
      <c r="AO88" s="294"/>
      <c r="AP88" s="294"/>
      <c r="AQ88" s="294"/>
      <c r="AR88" s="295"/>
    </row>
    <row r="89" spans="1:44" ht="16.5" thickBot="1">
      <c r="A89" s="36">
        <v>5</v>
      </c>
      <c r="B89" s="302"/>
      <c r="C89" s="304"/>
      <c r="D89" s="304"/>
      <c r="E89" s="304"/>
      <c r="F89" s="304"/>
      <c r="G89" s="304"/>
      <c r="H89" s="304"/>
      <c r="I89" s="304"/>
      <c r="J89" s="305"/>
      <c r="K89" s="298"/>
      <c r="L89" s="299"/>
      <c r="M89" s="299"/>
      <c r="N89" s="299"/>
      <c r="O89" s="299"/>
      <c r="P89" s="299"/>
      <c r="Q89" s="299"/>
      <c r="R89" s="299"/>
      <c r="S89" s="299"/>
      <c r="T89" s="299"/>
      <c r="U89" s="265"/>
      <c r="V89" s="265"/>
      <c r="W89" s="265"/>
      <c r="X89" s="265"/>
      <c r="Y89" s="266"/>
      <c r="Z89" s="269">
        <v>0</v>
      </c>
      <c r="AA89" s="270"/>
      <c r="AB89" s="270"/>
      <c r="AC89" s="270"/>
      <c r="AD89" s="271"/>
      <c r="AE89" s="269">
        <v>0</v>
      </c>
      <c r="AF89" s="270"/>
      <c r="AG89" s="270"/>
      <c r="AH89" s="270"/>
      <c r="AI89" s="271"/>
      <c r="AJ89" s="269">
        <v>0</v>
      </c>
      <c r="AK89" s="270"/>
      <c r="AL89" s="270"/>
      <c r="AM89" s="270"/>
      <c r="AN89" s="271"/>
      <c r="AO89" s="270" t="b">
        <f>IF(AC90*AH90*AM90&gt;0,SUM(AC90*AH90*AM90))</f>
        <v>0</v>
      </c>
      <c r="AP89" s="270"/>
      <c r="AQ89" s="270">
        <f>IF(AC90*AH90*AM90&gt;0,SUM(AC90*AH90*AM90),1)</f>
        <v>1</v>
      </c>
      <c r="AR89" s="271"/>
    </row>
    <row r="90" spans="1:44" ht="16.5" thickBot="1">
      <c r="A90" s="37">
        <f>IF(K89="",3,(AC90*AH90*AM90))</f>
        <v>3</v>
      </c>
      <c r="B90" s="306"/>
      <c r="C90" s="307"/>
      <c r="D90" s="307"/>
      <c r="E90" s="307"/>
      <c r="F90" s="307"/>
      <c r="G90" s="307"/>
      <c r="H90" s="307"/>
      <c r="I90" s="307"/>
      <c r="J90" s="308"/>
      <c r="K90" s="300"/>
      <c r="L90" s="301"/>
      <c r="M90" s="301"/>
      <c r="N90" s="301"/>
      <c r="O90" s="301"/>
      <c r="P90" s="301"/>
      <c r="Q90" s="301"/>
      <c r="R90" s="301"/>
      <c r="S90" s="301"/>
      <c r="T90" s="301"/>
      <c r="U90" s="229"/>
      <c r="V90" s="229"/>
      <c r="W90" s="229"/>
      <c r="X90" s="229"/>
      <c r="Y90" s="231"/>
      <c r="Z90" s="38"/>
      <c r="AA90" s="39">
        <v>0</v>
      </c>
      <c r="AB90" s="38"/>
      <c r="AC90" s="296">
        <f>IF(Z90*AB90&gt;0, SUM(Z90+AB90)/2,0)</f>
        <v>0</v>
      </c>
      <c r="AD90" s="297"/>
      <c r="AE90" s="40">
        <v>0</v>
      </c>
      <c r="AF90" s="38"/>
      <c r="AG90" s="30">
        <v>0</v>
      </c>
      <c r="AH90" s="296">
        <f>IF(AF90&gt;0,SUM(AF90),0)</f>
        <v>0</v>
      </c>
      <c r="AI90" s="297"/>
      <c r="AJ90" s="38"/>
      <c r="AK90" s="38"/>
      <c r="AL90" s="38"/>
      <c r="AM90" s="296">
        <f>IF(AJ90*AK90*AL90&gt;0, SUM(AJ90+AK90+AL90)/3,0)</f>
        <v>0</v>
      </c>
      <c r="AN90" s="297"/>
      <c r="AO90" s="294"/>
      <c r="AP90" s="294"/>
      <c r="AQ90" s="294"/>
      <c r="AR90" s="295"/>
    </row>
    <row r="91" spans="1:44">
      <c r="A91" s="313"/>
      <c r="B91" s="313"/>
      <c r="C91" s="313"/>
      <c r="D91" s="313"/>
      <c r="E91" s="313"/>
      <c r="F91" s="313"/>
      <c r="G91" s="313"/>
      <c r="H91" s="313"/>
      <c r="I91" s="313"/>
      <c r="J91" s="313"/>
      <c r="K91" s="313"/>
      <c r="L91" s="313"/>
      <c r="M91" s="313"/>
      <c r="N91" s="313"/>
      <c r="O91" s="313"/>
      <c r="P91" s="313"/>
      <c r="Q91" s="313"/>
      <c r="R91" s="313"/>
      <c r="S91" s="313"/>
      <c r="T91" s="313"/>
      <c r="U91" s="313"/>
      <c r="V91" s="313"/>
      <c r="W91" s="313"/>
      <c r="X91" s="313"/>
      <c r="Y91" s="313"/>
      <c r="Z91" s="313"/>
      <c r="AA91" s="313"/>
      <c r="AB91" s="313"/>
      <c r="AC91" s="313"/>
      <c r="AD91" s="313"/>
      <c r="AE91" s="313"/>
      <c r="AF91" s="313"/>
      <c r="AG91" s="313"/>
      <c r="AH91" s="313"/>
      <c r="AI91" s="313"/>
      <c r="AJ91" s="313"/>
      <c r="AK91" s="313"/>
      <c r="AL91" s="313"/>
      <c r="AM91" s="313"/>
      <c r="AN91" s="313"/>
      <c r="AO91" s="313"/>
      <c r="AP91" s="313"/>
      <c r="AQ91" s="313"/>
      <c r="AR91" s="313"/>
    </row>
    <row r="92" spans="1:44" ht="16.5" thickBot="1">
      <c r="A92" s="323" t="s">
        <v>90</v>
      </c>
      <c r="B92" s="323"/>
      <c r="C92" s="323"/>
      <c r="D92" s="323"/>
      <c r="E92" s="323"/>
      <c r="F92" s="323"/>
      <c r="G92" s="323"/>
      <c r="H92" s="323"/>
      <c r="I92" s="323"/>
      <c r="J92" s="323"/>
      <c r="K92" s="323"/>
      <c r="L92" s="323"/>
      <c r="M92" s="323"/>
      <c r="N92" s="323"/>
      <c r="O92" s="323"/>
      <c r="P92" s="323"/>
      <c r="Q92" s="323"/>
      <c r="R92" s="323"/>
      <c r="S92" s="323"/>
      <c r="T92" s="323"/>
      <c r="U92" s="323"/>
      <c r="V92" s="323"/>
      <c r="W92" s="323"/>
      <c r="X92" s="323"/>
      <c r="Y92" s="323"/>
      <c r="Z92" s="323"/>
      <c r="AA92" s="323"/>
      <c r="AB92" s="323"/>
      <c r="AC92" s="323"/>
      <c r="AD92" s="323"/>
      <c r="AE92" s="323"/>
      <c r="AF92" s="323"/>
      <c r="AG92" s="323"/>
      <c r="AH92" s="323"/>
      <c r="AI92" s="323"/>
      <c r="AJ92" s="323"/>
      <c r="AK92" s="323"/>
      <c r="AL92" s="323"/>
      <c r="AM92" s="323"/>
      <c r="AN92" s="323"/>
      <c r="AO92" s="323"/>
      <c r="AP92" s="323"/>
      <c r="AQ92" s="323"/>
      <c r="AR92" s="323"/>
    </row>
    <row r="93" spans="1:44">
      <c r="A93" s="276" t="s">
        <v>71</v>
      </c>
      <c r="B93" s="278" t="s">
        <v>72</v>
      </c>
      <c r="C93" s="265"/>
      <c r="D93" s="265"/>
      <c r="E93" s="265"/>
      <c r="F93" s="265"/>
      <c r="G93" s="265"/>
      <c r="H93" s="265"/>
      <c r="I93" s="265"/>
      <c r="J93" s="279"/>
      <c r="K93" s="257" t="s">
        <v>73</v>
      </c>
      <c r="L93" s="281"/>
      <c r="M93" s="281"/>
      <c r="N93" s="281"/>
      <c r="O93" s="281"/>
      <c r="P93" s="281"/>
      <c r="Q93" s="281"/>
      <c r="R93" s="281"/>
      <c r="S93" s="281"/>
      <c r="T93" s="281"/>
      <c r="U93" s="282"/>
      <c r="V93" s="282"/>
      <c r="W93" s="282"/>
      <c r="X93" s="282"/>
      <c r="Y93" s="283"/>
      <c r="Z93" s="288" t="s">
        <v>74</v>
      </c>
      <c r="AA93" s="289"/>
      <c r="AB93" s="289"/>
      <c r="AC93" s="289"/>
      <c r="AD93" s="290"/>
      <c r="AE93" s="288" t="s">
        <v>75</v>
      </c>
      <c r="AF93" s="289"/>
      <c r="AG93" s="289"/>
      <c r="AH93" s="289"/>
      <c r="AI93" s="290"/>
      <c r="AJ93" s="288" t="s">
        <v>76</v>
      </c>
      <c r="AK93" s="289"/>
      <c r="AL93" s="289"/>
      <c r="AM93" s="289"/>
      <c r="AN93" s="290"/>
      <c r="AO93" s="291" t="s">
        <v>77</v>
      </c>
      <c r="AP93" s="292"/>
      <c r="AQ93" s="292"/>
      <c r="AR93" s="293"/>
    </row>
    <row r="94" spans="1:44" ht="16.5" thickBot="1">
      <c r="A94" s="277"/>
      <c r="B94" s="228"/>
      <c r="C94" s="229"/>
      <c r="D94" s="229"/>
      <c r="E94" s="229"/>
      <c r="F94" s="229"/>
      <c r="G94" s="229"/>
      <c r="H94" s="229"/>
      <c r="I94" s="229"/>
      <c r="J94" s="280"/>
      <c r="K94" s="284"/>
      <c r="L94" s="285"/>
      <c r="M94" s="285"/>
      <c r="N94" s="285"/>
      <c r="O94" s="285"/>
      <c r="P94" s="285"/>
      <c r="Q94" s="285"/>
      <c r="R94" s="285"/>
      <c r="S94" s="285"/>
      <c r="T94" s="285"/>
      <c r="U94" s="286"/>
      <c r="V94" s="286"/>
      <c r="W94" s="286"/>
      <c r="X94" s="286"/>
      <c r="Y94" s="287"/>
      <c r="Z94" s="26" t="s">
        <v>78</v>
      </c>
      <c r="AA94" s="27"/>
      <c r="AB94" s="28" t="s">
        <v>79</v>
      </c>
      <c r="AC94" s="255" t="s">
        <v>80</v>
      </c>
      <c r="AD94" s="256"/>
      <c r="AE94" s="29"/>
      <c r="AF94" s="28" t="s">
        <v>81</v>
      </c>
      <c r="AG94" s="30"/>
      <c r="AH94" s="255" t="s">
        <v>82</v>
      </c>
      <c r="AI94" s="256"/>
      <c r="AJ94" s="31" t="s">
        <v>83</v>
      </c>
      <c r="AK94" s="28" t="s">
        <v>84</v>
      </c>
      <c r="AL94" s="28" t="s">
        <v>85</v>
      </c>
      <c r="AM94" s="255" t="s">
        <v>86</v>
      </c>
      <c r="AN94" s="256"/>
      <c r="AO94" s="32" t="s">
        <v>64</v>
      </c>
      <c r="AP94" s="33" t="s">
        <v>66</v>
      </c>
      <c r="AQ94" s="34" t="s">
        <v>68</v>
      </c>
      <c r="AR94" s="35" t="s">
        <v>70</v>
      </c>
    </row>
    <row r="95" spans="1:44" ht="16.5" thickBot="1">
      <c r="A95" s="36">
        <v>1</v>
      </c>
      <c r="B95" s="257"/>
      <c r="C95" s="265"/>
      <c r="D95" s="265"/>
      <c r="E95" s="265"/>
      <c r="F95" s="265"/>
      <c r="G95" s="265"/>
      <c r="H95" s="265"/>
      <c r="I95" s="265"/>
      <c r="J95" s="279"/>
      <c r="K95" s="298"/>
      <c r="L95" s="299"/>
      <c r="M95" s="299"/>
      <c r="N95" s="299"/>
      <c r="O95" s="299"/>
      <c r="P95" s="299"/>
      <c r="Q95" s="299"/>
      <c r="R95" s="299"/>
      <c r="S95" s="299"/>
      <c r="T95" s="299"/>
      <c r="U95" s="265"/>
      <c r="V95" s="265"/>
      <c r="W95" s="265"/>
      <c r="X95" s="265"/>
      <c r="Y95" s="266"/>
      <c r="Z95" s="269">
        <v>0</v>
      </c>
      <c r="AA95" s="270"/>
      <c r="AB95" s="270"/>
      <c r="AC95" s="270"/>
      <c r="AD95" s="271"/>
      <c r="AE95" s="269">
        <v>0</v>
      </c>
      <c r="AF95" s="270"/>
      <c r="AG95" s="270"/>
      <c r="AH95" s="270"/>
      <c r="AI95" s="271"/>
      <c r="AJ95" s="269">
        <v>0</v>
      </c>
      <c r="AK95" s="270"/>
      <c r="AL95" s="270"/>
      <c r="AM95" s="270"/>
      <c r="AN95" s="271"/>
      <c r="AO95" s="270" t="b">
        <f>IF(AC96*AH96*AM96&gt;0,SUM(AC96*AH96*AM96))</f>
        <v>0</v>
      </c>
      <c r="AP95" s="270"/>
      <c r="AQ95" s="270">
        <f>IF(AC96*AH96*AM96&gt;0,SUM(AC96*AH96*AM96),1)</f>
        <v>1</v>
      </c>
      <c r="AR95" s="271"/>
    </row>
    <row r="96" spans="1:44" ht="16.5" thickBot="1">
      <c r="A96" s="37">
        <f>IF(K95="",3,(AC96*AH96*AM96))</f>
        <v>3</v>
      </c>
      <c r="B96" s="228"/>
      <c r="C96" s="229"/>
      <c r="D96" s="229"/>
      <c r="E96" s="229"/>
      <c r="F96" s="229"/>
      <c r="G96" s="229"/>
      <c r="H96" s="229"/>
      <c r="I96" s="229"/>
      <c r="J96" s="280"/>
      <c r="K96" s="300"/>
      <c r="L96" s="301"/>
      <c r="M96" s="301"/>
      <c r="N96" s="301"/>
      <c r="O96" s="301"/>
      <c r="P96" s="301"/>
      <c r="Q96" s="301"/>
      <c r="R96" s="301"/>
      <c r="S96" s="301"/>
      <c r="T96" s="301"/>
      <c r="U96" s="229"/>
      <c r="V96" s="229"/>
      <c r="W96" s="229"/>
      <c r="X96" s="229"/>
      <c r="Y96" s="231"/>
      <c r="Z96" s="38"/>
      <c r="AA96" s="39">
        <v>0</v>
      </c>
      <c r="AB96" s="38"/>
      <c r="AC96" s="296">
        <f>IF(Z96*AB96&gt;0, SUM(Z96+AB96)/2,0)</f>
        <v>0</v>
      </c>
      <c r="AD96" s="297"/>
      <c r="AE96" s="40">
        <v>0</v>
      </c>
      <c r="AF96" s="38"/>
      <c r="AG96" s="30">
        <v>0</v>
      </c>
      <c r="AH96" s="296">
        <f>IF(AF96&gt;0,SUM(AF96),0)</f>
        <v>0</v>
      </c>
      <c r="AI96" s="297"/>
      <c r="AJ96" s="38"/>
      <c r="AK96" s="38"/>
      <c r="AL96" s="38"/>
      <c r="AM96" s="296">
        <f>IF(AJ96*AK96*AL96&gt;0, SUM(AJ96+AK96+AL96)/3,0)</f>
        <v>0</v>
      </c>
      <c r="AN96" s="297"/>
      <c r="AO96" s="294"/>
      <c r="AP96" s="294"/>
      <c r="AQ96" s="294"/>
      <c r="AR96" s="295"/>
    </row>
    <row r="97" spans="1:44" ht="16.5" thickBot="1">
      <c r="A97" s="36">
        <v>2</v>
      </c>
      <c r="B97" s="302"/>
      <c r="C97" s="304"/>
      <c r="D97" s="304"/>
      <c r="E97" s="304"/>
      <c r="F97" s="304"/>
      <c r="G97" s="304"/>
      <c r="H97" s="304"/>
      <c r="I97" s="304"/>
      <c r="J97" s="305"/>
      <c r="K97" s="298"/>
      <c r="L97" s="299"/>
      <c r="M97" s="299"/>
      <c r="N97" s="299"/>
      <c r="O97" s="299"/>
      <c r="P97" s="299"/>
      <c r="Q97" s="299"/>
      <c r="R97" s="299"/>
      <c r="S97" s="299"/>
      <c r="T97" s="299"/>
      <c r="U97" s="265"/>
      <c r="V97" s="265"/>
      <c r="W97" s="265"/>
      <c r="X97" s="265"/>
      <c r="Y97" s="266"/>
      <c r="Z97" s="269">
        <v>0</v>
      </c>
      <c r="AA97" s="270"/>
      <c r="AB97" s="270"/>
      <c r="AC97" s="270"/>
      <c r="AD97" s="271"/>
      <c r="AE97" s="269">
        <v>0</v>
      </c>
      <c r="AF97" s="270"/>
      <c r="AG97" s="270"/>
      <c r="AH97" s="270"/>
      <c r="AI97" s="271"/>
      <c r="AJ97" s="269">
        <v>0</v>
      </c>
      <c r="AK97" s="270"/>
      <c r="AL97" s="270"/>
      <c r="AM97" s="270"/>
      <c r="AN97" s="271"/>
      <c r="AO97" s="270" t="b">
        <f>IF(AC98*AH98*AM98&gt;0,SUM(AC98*AH98*AM98))</f>
        <v>0</v>
      </c>
      <c r="AP97" s="270"/>
      <c r="AQ97" s="270">
        <f>IF(AC98*AH98*AM98&gt;0,SUM(AC98*AH98*AM98),1)</f>
        <v>1</v>
      </c>
      <c r="AR97" s="271"/>
    </row>
    <row r="98" spans="1:44" ht="16.5" thickBot="1">
      <c r="A98" s="37">
        <f>IF(K97="",3,(AC98*AH98*AM98))</f>
        <v>3</v>
      </c>
      <c r="B98" s="306"/>
      <c r="C98" s="307"/>
      <c r="D98" s="307"/>
      <c r="E98" s="307"/>
      <c r="F98" s="307"/>
      <c r="G98" s="307"/>
      <c r="H98" s="307"/>
      <c r="I98" s="307"/>
      <c r="J98" s="308"/>
      <c r="K98" s="300"/>
      <c r="L98" s="301"/>
      <c r="M98" s="301"/>
      <c r="N98" s="301"/>
      <c r="O98" s="301"/>
      <c r="P98" s="301"/>
      <c r="Q98" s="301"/>
      <c r="R98" s="301"/>
      <c r="S98" s="301"/>
      <c r="T98" s="301"/>
      <c r="U98" s="229"/>
      <c r="V98" s="229"/>
      <c r="W98" s="229"/>
      <c r="X98" s="229"/>
      <c r="Y98" s="231"/>
      <c r="Z98" s="38"/>
      <c r="AA98" s="39">
        <v>0</v>
      </c>
      <c r="AB98" s="38"/>
      <c r="AC98" s="296">
        <f>IF(Z98*AB98&gt;0, SUM(Z98+AB98)/2,0)</f>
        <v>0</v>
      </c>
      <c r="AD98" s="297"/>
      <c r="AE98" s="40">
        <v>0</v>
      </c>
      <c r="AF98" s="38"/>
      <c r="AG98" s="30">
        <v>0</v>
      </c>
      <c r="AH98" s="296">
        <f>IF(AF98&gt;0,SUM(AF98),0)</f>
        <v>0</v>
      </c>
      <c r="AI98" s="297"/>
      <c r="AJ98" s="38"/>
      <c r="AK98" s="38"/>
      <c r="AL98" s="38"/>
      <c r="AM98" s="296">
        <f>IF(AJ98*AK98*AL98&gt;0, SUM(AJ98+AK98+AL98)/3,0)</f>
        <v>0</v>
      </c>
      <c r="AN98" s="297"/>
      <c r="AO98" s="294"/>
      <c r="AP98" s="294"/>
      <c r="AQ98" s="294"/>
      <c r="AR98" s="295"/>
    </row>
    <row r="99" spans="1:44" ht="16.5" thickBot="1">
      <c r="A99" s="36">
        <v>3</v>
      </c>
      <c r="B99" s="302"/>
      <c r="C99" s="304"/>
      <c r="D99" s="304"/>
      <c r="E99" s="304"/>
      <c r="F99" s="304"/>
      <c r="G99" s="304"/>
      <c r="H99" s="304"/>
      <c r="I99" s="304"/>
      <c r="J99" s="305"/>
      <c r="K99" s="298"/>
      <c r="L99" s="299"/>
      <c r="M99" s="299"/>
      <c r="N99" s="299"/>
      <c r="O99" s="299"/>
      <c r="P99" s="299"/>
      <c r="Q99" s="299"/>
      <c r="R99" s="299"/>
      <c r="S99" s="299"/>
      <c r="T99" s="299"/>
      <c r="U99" s="265"/>
      <c r="V99" s="265"/>
      <c r="W99" s="265"/>
      <c r="X99" s="265"/>
      <c r="Y99" s="266"/>
      <c r="Z99" s="269">
        <v>0</v>
      </c>
      <c r="AA99" s="270"/>
      <c r="AB99" s="270"/>
      <c r="AC99" s="270"/>
      <c r="AD99" s="271"/>
      <c r="AE99" s="269">
        <v>0</v>
      </c>
      <c r="AF99" s="270"/>
      <c r="AG99" s="270"/>
      <c r="AH99" s="270"/>
      <c r="AI99" s="271"/>
      <c r="AJ99" s="269">
        <v>0</v>
      </c>
      <c r="AK99" s="270"/>
      <c r="AL99" s="270"/>
      <c r="AM99" s="270"/>
      <c r="AN99" s="271"/>
      <c r="AO99" s="270" t="b">
        <f>IF(AC100*AH100*AM100&gt;0,SUM(AC100*AH100*AM100))</f>
        <v>0</v>
      </c>
      <c r="AP99" s="270"/>
      <c r="AQ99" s="270">
        <f>IF(AC100*AH100*AM100&gt;0,SUM(AC100*AH100*AM100),1)</f>
        <v>1</v>
      </c>
      <c r="AR99" s="271"/>
    </row>
    <row r="100" spans="1:44" ht="16.5" thickBot="1">
      <c r="A100" s="37">
        <f>IF(K99="",3,(AC100*AH100*AM100))</f>
        <v>3</v>
      </c>
      <c r="B100" s="306"/>
      <c r="C100" s="307"/>
      <c r="D100" s="307"/>
      <c r="E100" s="307"/>
      <c r="F100" s="307"/>
      <c r="G100" s="307"/>
      <c r="H100" s="307"/>
      <c r="I100" s="307"/>
      <c r="J100" s="308"/>
      <c r="K100" s="300"/>
      <c r="L100" s="301"/>
      <c r="M100" s="301"/>
      <c r="N100" s="301"/>
      <c r="O100" s="301"/>
      <c r="P100" s="301"/>
      <c r="Q100" s="301"/>
      <c r="R100" s="301"/>
      <c r="S100" s="301"/>
      <c r="T100" s="301"/>
      <c r="U100" s="229"/>
      <c r="V100" s="229"/>
      <c r="W100" s="229"/>
      <c r="X100" s="229"/>
      <c r="Y100" s="231"/>
      <c r="Z100" s="38"/>
      <c r="AA100" s="39">
        <v>0</v>
      </c>
      <c r="AB100" s="38"/>
      <c r="AC100" s="296">
        <f>IF(Z100*AB100&gt;0, SUM(Z100+AB100)/2,0)</f>
        <v>0</v>
      </c>
      <c r="AD100" s="297"/>
      <c r="AE100" s="40">
        <v>0</v>
      </c>
      <c r="AF100" s="38"/>
      <c r="AG100" s="30">
        <v>0</v>
      </c>
      <c r="AH100" s="296">
        <f>IF(AF100&gt;0,SUM(AF100),0)</f>
        <v>0</v>
      </c>
      <c r="AI100" s="297"/>
      <c r="AJ100" s="38"/>
      <c r="AK100" s="38"/>
      <c r="AL100" s="38"/>
      <c r="AM100" s="296">
        <f>IF(AJ100*AK100*AL100&gt;0, SUM(AJ100+AK100+AL100)/3,0)</f>
        <v>0</v>
      </c>
      <c r="AN100" s="297"/>
      <c r="AO100" s="294"/>
      <c r="AP100" s="294"/>
      <c r="AQ100" s="294"/>
      <c r="AR100" s="295"/>
    </row>
    <row r="101" spans="1:44" ht="16.5" thickBot="1">
      <c r="A101" s="36">
        <v>4</v>
      </c>
      <c r="B101" s="302"/>
      <c r="C101" s="304"/>
      <c r="D101" s="304"/>
      <c r="E101" s="304"/>
      <c r="F101" s="304"/>
      <c r="G101" s="304"/>
      <c r="H101" s="304"/>
      <c r="I101" s="304"/>
      <c r="J101" s="305"/>
      <c r="K101" s="298"/>
      <c r="L101" s="299"/>
      <c r="M101" s="299"/>
      <c r="N101" s="299"/>
      <c r="O101" s="299"/>
      <c r="P101" s="299"/>
      <c r="Q101" s="299"/>
      <c r="R101" s="299"/>
      <c r="S101" s="299"/>
      <c r="T101" s="299"/>
      <c r="U101" s="265"/>
      <c r="V101" s="265"/>
      <c r="W101" s="265"/>
      <c r="X101" s="265"/>
      <c r="Y101" s="266"/>
      <c r="Z101" s="269">
        <v>0</v>
      </c>
      <c r="AA101" s="270"/>
      <c r="AB101" s="270"/>
      <c r="AC101" s="270"/>
      <c r="AD101" s="271"/>
      <c r="AE101" s="269">
        <v>0</v>
      </c>
      <c r="AF101" s="270"/>
      <c r="AG101" s="270"/>
      <c r="AH101" s="270"/>
      <c r="AI101" s="271"/>
      <c r="AJ101" s="269">
        <v>0</v>
      </c>
      <c r="AK101" s="270"/>
      <c r="AL101" s="270"/>
      <c r="AM101" s="270"/>
      <c r="AN101" s="271"/>
      <c r="AO101" s="270" t="b">
        <f>IF(AC102*AH102*AM102&gt;0,SUM(AC102*AH102*AM102))</f>
        <v>0</v>
      </c>
      <c r="AP101" s="270"/>
      <c r="AQ101" s="270">
        <f>IF(AC102*AH102*AM102&gt;0,SUM(AC102*AH102*AM102),1)</f>
        <v>1</v>
      </c>
      <c r="AR101" s="271"/>
    </row>
    <row r="102" spans="1:44" ht="16.5" thickBot="1">
      <c r="A102" s="37">
        <f>IF(K101="",3,(AC102*AH102*AM102))</f>
        <v>3</v>
      </c>
      <c r="B102" s="306"/>
      <c r="C102" s="307"/>
      <c r="D102" s="307"/>
      <c r="E102" s="307"/>
      <c r="F102" s="307"/>
      <c r="G102" s="307"/>
      <c r="H102" s="307"/>
      <c r="I102" s="307"/>
      <c r="J102" s="308"/>
      <c r="K102" s="300"/>
      <c r="L102" s="301"/>
      <c r="M102" s="301"/>
      <c r="N102" s="301"/>
      <c r="O102" s="301"/>
      <c r="P102" s="301"/>
      <c r="Q102" s="301"/>
      <c r="R102" s="301"/>
      <c r="S102" s="301"/>
      <c r="T102" s="301"/>
      <c r="U102" s="229"/>
      <c r="V102" s="229"/>
      <c r="W102" s="229"/>
      <c r="X102" s="229"/>
      <c r="Y102" s="231"/>
      <c r="Z102" s="38"/>
      <c r="AA102" s="39">
        <v>0</v>
      </c>
      <c r="AB102" s="38"/>
      <c r="AC102" s="296">
        <f>IF(Z102*AB102&gt;0, SUM(Z102+AB102)/2,0)</f>
        <v>0</v>
      </c>
      <c r="AD102" s="297"/>
      <c r="AE102" s="40">
        <v>0</v>
      </c>
      <c r="AF102" s="38"/>
      <c r="AG102" s="30">
        <v>0</v>
      </c>
      <c r="AH102" s="296">
        <f>IF(AF102&gt;0,SUM(AF102),0)</f>
        <v>0</v>
      </c>
      <c r="AI102" s="297"/>
      <c r="AJ102" s="38"/>
      <c r="AK102" s="38"/>
      <c r="AL102" s="38"/>
      <c r="AM102" s="296">
        <f>IF(AJ102*AK102*AL102&gt;0, SUM(AJ102+AK102+AL102)/3,0)</f>
        <v>0</v>
      </c>
      <c r="AN102" s="297"/>
      <c r="AO102" s="294"/>
      <c r="AP102" s="294"/>
      <c r="AQ102" s="294"/>
      <c r="AR102" s="295"/>
    </row>
    <row r="103" spans="1:44" ht="16.5" thickBot="1">
      <c r="A103" s="36">
        <v>5</v>
      </c>
      <c r="B103" s="302"/>
      <c r="C103" s="304"/>
      <c r="D103" s="304"/>
      <c r="E103" s="304"/>
      <c r="F103" s="304"/>
      <c r="G103" s="304"/>
      <c r="H103" s="304"/>
      <c r="I103" s="304"/>
      <c r="J103" s="305"/>
      <c r="K103" s="298"/>
      <c r="L103" s="299"/>
      <c r="M103" s="299"/>
      <c r="N103" s="299"/>
      <c r="O103" s="299"/>
      <c r="P103" s="299"/>
      <c r="Q103" s="299"/>
      <c r="R103" s="299"/>
      <c r="S103" s="299"/>
      <c r="T103" s="299"/>
      <c r="U103" s="265"/>
      <c r="V103" s="265"/>
      <c r="W103" s="265"/>
      <c r="X103" s="265"/>
      <c r="Y103" s="266"/>
      <c r="Z103" s="269">
        <v>0</v>
      </c>
      <c r="AA103" s="270"/>
      <c r="AB103" s="270"/>
      <c r="AC103" s="270"/>
      <c r="AD103" s="271"/>
      <c r="AE103" s="269">
        <v>0</v>
      </c>
      <c r="AF103" s="270"/>
      <c r="AG103" s="270"/>
      <c r="AH103" s="270"/>
      <c r="AI103" s="271"/>
      <c r="AJ103" s="269">
        <v>0</v>
      </c>
      <c r="AK103" s="270"/>
      <c r="AL103" s="270"/>
      <c r="AM103" s="270"/>
      <c r="AN103" s="271"/>
      <c r="AO103" s="270" t="b">
        <f>IF(AC104*AH104*AM104&gt;0,SUM(AC104*AH104*AM104))</f>
        <v>0</v>
      </c>
      <c r="AP103" s="270"/>
      <c r="AQ103" s="270">
        <f>IF(AC104*AH104*AM104&gt;0,SUM(AC104*AH104*AM104),1)</f>
        <v>1</v>
      </c>
      <c r="AR103" s="271"/>
    </row>
    <row r="104" spans="1:44" ht="16.5" thickBot="1">
      <c r="A104" s="37">
        <f>IF(K103="",3,(AC104*AH104*AM104))</f>
        <v>3</v>
      </c>
      <c r="B104" s="306"/>
      <c r="C104" s="307"/>
      <c r="D104" s="307"/>
      <c r="E104" s="307"/>
      <c r="F104" s="307"/>
      <c r="G104" s="307"/>
      <c r="H104" s="307"/>
      <c r="I104" s="307"/>
      <c r="J104" s="308"/>
      <c r="K104" s="300"/>
      <c r="L104" s="301"/>
      <c r="M104" s="301"/>
      <c r="N104" s="301"/>
      <c r="O104" s="301"/>
      <c r="P104" s="301"/>
      <c r="Q104" s="301"/>
      <c r="R104" s="301"/>
      <c r="S104" s="301"/>
      <c r="T104" s="301"/>
      <c r="U104" s="229"/>
      <c r="V104" s="229"/>
      <c r="W104" s="229"/>
      <c r="X104" s="229"/>
      <c r="Y104" s="231"/>
      <c r="Z104" s="38"/>
      <c r="AA104" s="39">
        <v>0</v>
      </c>
      <c r="AB104" s="38"/>
      <c r="AC104" s="296">
        <f>IF(Z104*AB104&gt;0, SUM(Z104+AB104)/2,0)</f>
        <v>0</v>
      </c>
      <c r="AD104" s="297"/>
      <c r="AE104" s="40">
        <v>0</v>
      </c>
      <c r="AF104" s="38"/>
      <c r="AG104" s="30">
        <v>0</v>
      </c>
      <c r="AH104" s="296">
        <f>IF(AF104&gt;0,SUM(AF104),0)</f>
        <v>0</v>
      </c>
      <c r="AI104" s="297"/>
      <c r="AJ104" s="38"/>
      <c r="AK104" s="38"/>
      <c r="AL104" s="38"/>
      <c r="AM104" s="296">
        <f>IF(AJ104*AK104*AL104&gt;0, SUM(AJ104+AK104+AL104)/3,0)</f>
        <v>0</v>
      </c>
      <c r="AN104" s="297"/>
      <c r="AO104" s="294"/>
      <c r="AP104" s="294"/>
      <c r="AQ104" s="294"/>
      <c r="AR104" s="295"/>
    </row>
    <row r="105" spans="1:44" ht="15.75" thickBot="1">
      <c r="A105" s="324"/>
      <c r="B105" s="324"/>
      <c r="C105" s="324"/>
      <c r="D105" s="324"/>
      <c r="E105" s="324"/>
      <c r="F105" s="324"/>
      <c r="G105" s="324"/>
      <c r="H105" s="324"/>
      <c r="I105" s="324"/>
      <c r="J105" s="324"/>
      <c r="K105" s="324"/>
      <c r="L105" s="324"/>
      <c r="M105" s="324"/>
      <c r="N105" s="324"/>
      <c r="O105" s="324"/>
      <c r="P105" s="324"/>
      <c r="Q105" s="324"/>
      <c r="R105" s="324"/>
      <c r="S105" s="324"/>
      <c r="T105" s="324"/>
      <c r="U105" s="324"/>
      <c r="V105" s="324"/>
      <c r="W105" s="324"/>
      <c r="X105" s="324"/>
      <c r="Y105" s="324"/>
      <c r="Z105" s="324"/>
      <c r="AA105" s="324"/>
      <c r="AB105" s="324"/>
      <c r="AC105" s="324"/>
      <c r="AD105" s="324"/>
      <c r="AE105" s="324"/>
      <c r="AF105" s="324"/>
      <c r="AG105" s="324"/>
      <c r="AH105" s="324"/>
      <c r="AI105" s="324"/>
      <c r="AJ105" s="324"/>
      <c r="AK105" s="325"/>
      <c r="AL105" s="326"/>
      <c r="AM105" s="326"/>
      <c r="AN105" s="326"/>
      <c r="AO105" s="41"/>
      <c r="AP105" s="41"/>
      <c r="AQ105" s="41"/>
      <c r="AR105" s="41"/>
    </row>
    <row r="106" spans="1:44" ht="16.5" thickBot="1">
      <c r="A106" s="312" t="s">
        <v>91</v>
      </c>
      <c r="B106" s="312"/>
      <c r="C106" s="312"/>
      <c r="D106" s="312"/>
      <c r="E106" s="312"/>
      <c r="F106" s="312"/>
      <c r="G106" s="312"/>
      <c r="H106" s="312"/>
      <c r="I106" s="312"/>
      <c r="J106" s="312"/>
      <c r="K106" s="312"/>
      <c r="L106" s="312"/>
      <c r="M106" s="42"/>
      <c r="N106" s="344">
        <f>AO106+AP106+AQ106+AR106</f>
        <v>0</v>
      </c>
      <c r="O106" s="345"/>
      <c r="P106" s="345"/>
      <c r="Q106" s="346"/>
      <c r="R106" s="226"/>
      <c r="S106" s="192"/>
      <c r="T106" s="312" t="s">
        <v>92</v>
      </c>
      <c r="U106" s="312"/>
      <c r="V106" s="312"/>
      <c r="W106" s="312"/>
      <c r="X106" s="312"/>
      <c r="Y106" s="312"/>
      <c r="Z106" s="312"/>
      <c r="AA106" s="312"/>
      <c r="AB106" s="312"/>
      <c r="AC106" s="312"/>
      <c r="AD106" s="312"/>
      <c r="AE106" s="347"/>
      <c r="AF106" s="344">
        <f>AO106+AP106+AQ106+AR106</f>
        <v>0</v>
      </c>
      <c r="AG106" s="345"/>
      <c r="AH106" s="345"/>
      <c r="AI106" s="346"/>
      <c r="AJ106" s="348"/>
      <c r="AK106" s="325"/>
      <c r="AL106" s="325"/>
      <c r="AM106" s="325"/>
      <c r="AN106" s="325"/>
      <c r="AO106" s="43"/>
      <c r="AP106" s="43"/>
      <c r="AQ106" s="43"/>
      <c r="AR106" s="43"/>
    </row>
    <row r="107" spans="1:44">
      <c r="A107" s="324"/>
      <c r="B107" s="324"/>
      <c r="C107" s="324"/>
      <c r="D107" s="324"/>
      <c r="E107" s="324"/>
      <c r="F107" s="324"/>
      <c r="G107" s="324"/>
      <c r="H107" s="324"/>
      <c r="I107" s="324"/>
      <c r="J107" s="324"/>
      <c r="K107" s="324"/>
      <c r="L107" s="324"/>
      <c r="M107" s="324"/>
      <c r="N107" s="324"/>
      <c r="O107" s="324"/>
      <c r="P107" s="324"/>
      <c r="Q107" s="324"/>
      <c r="R107" s="324"/>
      <c r="S107" s="324"/>
      <c r="T107" s="324"/>
      <c r="U107" s="324"/>
      <c r="V107" s="324"/>
      <c r="W107" s="324"/>
      <c r="X107" s="324"/>
      <c r="Y107" s="324"/>
      <c r="Z107" s="324"/>
      <c r="AA107" s="324"/>
      <c r="AB107" s="324"/>
      <c r="AC107" s="324"/>
      <c r="AD107" s="324"/>
      <c r="AE107" s="324"/>
      <c r="AF107" s="324"/>
      <c r="AG107" s="324"/>
      <c r="AH107" s="324"/>
      <c r="AI107" s="324"/>
      <c r="AJ107" s="324"/>
      <c r="AK107" s="324"/>
      <c r="AL107" s="324"/>
      <c r="AM107" s="324"/>
      <c r="AN107" s="324"/>
      <c r="AO107" s="324"/>
      <c r="AP107" s="324"/>
      <c r="AQ107" s="324"/>
      <c r="AR107" s="324"/>
    </row>
    <row r="108" spans="1:44">
      <c r="A108" s="33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c r="AA108" s="227"/>
      <c r="AB108" s="227"/>
      <c r="AC108" s="227"/>
      <c r="AD108" s="227"/>
      <c r="AE108" s="227"/>
      <c r="AF108" s="227"/>
      <c r="AG108" s="227"/>
      <c r="AH108" s="227"/>
      <c r="AI108" s="227"/>
      <c r="AJ108" s="227"/>
      <c r="AK108" s="227"/>
      <c r="AL108" s="227"/>
      <c r="AM108" s="227"/>
      <c r="AN108" s="227"/>
      <c r="AO108" s="227"/>
      <c r="AP108" s="227"/>
      <c r="AQ108" s="227"/>
      <c r="AR108" s="227"/>
    </row>
    <row r="109" spans="1:44" ht="15.75" thickBot="1">
      <c r="A109" s="229"/>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c r="AA109" s="229"/>
      <c r="AB109" s="229"/>
      <c r="AC109" s="229"/>
      <c r="AD109" s="229"/>
      <c r="AE109" s="229"/>
      <c r="AF109" s="229"/>
      <c r="AG109" s="229"/>
      <c r="AH109" s="229"/>
      <c r="AI109" s="229"/>
      <c r="AJ109" s="229"/>
      <c r="AK109" s="229"/>
      <c r="AL109" s="229"/>
      <c r="AM109" s="229"/>
      <c r="AN109" s="229"/>
      <c r="AO109" s="229"/>
      <c r="AP109" s="229"/>
      <c r="AQ109" s="229"/>
      <c r="AR109" s="229"/>
    </row>
    <row r="110" spans="1:44" ht="15.75">
      <c r="A110" s="338" t="s">
        <v>93</v>
      </c>
      <c r="B110" s="339"/>
      <c r="C110" s="339"/>
      <c r="D110" s="339"/>
      <c r="E110" s="339"/>
      <c r="F110" s="339"/>
      <c r="G110" s="339"/>
      <c r="H110" s="339"/>
      <c r="I110" s="339"/>
      <c r="J110" s="339"/>
      <c r="K110" s="339"/>
      <c r="L110" s="339"/>
      <c r="M110" s="339"/>
      <c r="N110" s="339"/>
      <c r="O110" s="339"/>
      <c r="P110" s="339"/>
      <c r="Q110" s="339"/>
      <c r="R110" s="339"/>
      <c r="S110" s="339"/>
      <c r="T110" s="339"/>
      <c r="U110" s="339"/>
      <c r="V110" s="339"/>
      <c r="W110" s="339"/>
      <c r="X110" s="339"/>
      <c r="Y110" s="339"/>
      <c r="Z110" s="339"/>
      <c r="AA110" s="339"/>
      <c r="AB110" s="339"/>
      <c r="AC110" s="339"/>
      <c r="AD110" s="339"/>
      <c r="AE110" s="339"/>
      <c r="AF110" s="339"/>
      <c r="AG110" s="339"/>
      <c r="AH110" s="339"/>
      <c r="AI110" s="339"/>
      <c r="AJ110" s="339"/>
      <c r="AK110" s="339"/>
      <c r="AL110" s="339"/>
      <c r="AM110" s="339"/>
      <c r="AN110" s="339"/>
      <c r="AO110" s="339"/>
      <c r="AP110" s="340"/>
      <c r="AQ110" s="340"/>
      <c r="AR110" s="341"/>
    </row>
    <row r="111" spans="1:44">
      <c r="A111" s="44"/>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6"/>
    </row>
    <row r="112" spans="1:44">
      <c r="A112" s="44"/>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6"/>
    </row>
    <row r="113" spans="1:44">
      <c r="A113" s="44"/>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6"/>
    </row>
    <row r="114" spans="1:44">
      <c r="A114" s="44"/>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6"/>
    </row>
    <row r="115" spans="1:44">
      <c r="A115" s="44"/>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6"/>
    </row>
    <row r="116" spans="1:44">
      <c r="A116" s="44"/>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6"/>
    </row>
    <row r="117" spans="1:44">
      <c r="A117" s="44"/>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6"/>
    </row>
    <row r="118" spans="1:44">
      <c r="A118" s="44"/>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6"/>
    </row>
    <row r="119" spans="1:44">
      <c r="A119" s="44"/>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6"/>
    </row>
    <row r="120" spans="1:44">
      <c r="A120" s="44"/>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6"/>
    </row>
    <row r="121" spans="1:44">
      <c r="A121" s="44"/>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6"/>
    </row>
    <row r="122" spans="1:44">
      <c r="A122" s="44"/>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6"/>
    </row>
    <row r="123" spans="1:44">
      <c r="A123" s="44"/>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6"/>
    </row>
    <row r="124" spans="1:44">
      <c r="A124" s="44"/>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6"/>
    </row>
    <row r="125" spans="1:44">
      <c r="A125" s="44"/>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6"/>
    </row>
    <row r="126" spans="1:44" ht="15.75" thickBot="1">
      <c r="A126" s="44"/>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6"/>
    </row>
    <row r="127" spans="1:44" ht="16.5" thickBot="1">
      <c r="A127" s="342" t="s">
        <v>94</v>
      </c>
      <c r="B127" s="342"/>
      <c r="C127" s="342"/>
      <c r="D127" s="342"/>
      <c r="E127" s="342"/>
      <c r="F127" s="342"/>
      <c r="G127" s="342"/>
      <c r="H127" s="342"/>
      <c r="I127" s="342"/>
      <c r="J127" s="343" t="s">
        <v>95</v>
      </c>
      <c r="K127" s="343"/>
      <c r="L127" s="343"/>
      <c r="M127" s="343"/>
      <c r="N127" s="343"/>
      <c r="O127" s="343"/>
      <c r="P127" s="343"/>
      <c r="Q127" s="343"/>
      <c r="R127" s="343"/>
      <c r="S127" s="343"/>
      <c r="T127" s="343"/>
      <c r="U127" s="343"/>
      <c r="V127" s="343"/>
      <c r="W127" s="343" t="s">
        <v>96</v>
      </c>
      <c r="X127" s="343"/>
      <c r="Y127" s="343"/>
      <c r="Z127" s="343"/>
      <c r="AA127" s="343"/>
      <c r="AB127" s="343"/>
      <c r="AC127" s="343"/>
      <c r="AD127" s="343"/>
      <c r="AE127" s="343"/>
      <c r="AF127" s="343"/>
      <c r="AG127" s="343"/>
      <c r="AH127" s="343"/>
      <c r="AI127" s="343"/>
      <c r="AJ127" s="343" t="s">
        <v>97</v>
      </c>
      <c r="AK127" s="343"/>
      <c r="AL127" s="343"/>
      <c r="AM127" s="343"/>
      <c r="AN127" s="343"/>
      <c r="AO127" s="343"/>
      <c r="AP127" s="343"/>
      <c r="AQ127" s="343"/>
      <c r="AR127" s="343"/>
    </row>
    <row r="128" spans="1:44">
      <c r="A128" s="327" t="s">
        <v>98</v>
      </c>
      <c r="B128" s="328"/>
      <c r="C128" s="328"/>
      <c r="D128" s="328"/>
      <c r="E128" s="328"/>
      <c r="F128" s="328"/>
      <c r="G128" s="328"/>
      <c r="H128" s="328"/>
      <c r="I128" s="329"/>
      <c r="J128" s="327"/>
      <c r="K128" s="328"/>
      <c r="L128" s="328"/>
      <c r="M128" s="328"/>
      <c r="N128" s="328"/>
      <c r="O128" s="328"/>
      <c r="P128" s="328"/>
      <c r="Q128" s="328"/>
      <c r="R128" s="328"/>
      <c r="S128" s="328"/>
      <c r="T128" s="328"/>
      <c r="U128" s="328"/>
      <c r="V128" s="333"/>
      <c r="W128" s="335"/>
      <c r="X128" s="328"/>
      <c r="Y128" s="328"/>
      <c r="Z128" s="328"/>
      <c r="AA128" s="328"/>
      <c r="AB128" s="328"/>
      <c r="AC128" s="328"/>
      <c r="AD128" s="328"/>
      <c r="AE128" s="328"/>
      <c r="AF128" s="328"/>
      <c r="AG128" s="328"/>
      <c r="AH128" s="328"/>
      <c r="AI128" s="333"/>
      <c r="AJ128" s="335"/>
      <c r="AK128" s="328"/>
      <c r="AL128" s="328"/>
      <c r="AM128" s="328"/>
      <c r="AN128" s="328"/>
      <c r="AO128" s="328"/>
      <c r="AP128" s="328"/>
      <c r="AQ128" s="328"/>
      <c r="AR128" s="329"/>
    </row>
    <row r="129" spans="1:44" ht="15.75" thickBot="1">
      <c r="A129" s="330"/>
      <c r="B129" s="331"/>
      <c r="C129" s="331"/>
      <c r="D129" s="331"/>
      <c r="E129" s="331"/>
      <c r="F129" s="331"/>
      <c r="G129" s="331"/>
      <c r="H129" s="331"/>
      <c r="I129" s="332"/>
      <c r="J129" s="330"/>
      <c r="K129" s="331"/>
      <c r="L129" s="331"/>
      <c r="M129" s="331"/>
      <c r="N129" s="331"/>
      <c r="O129" s="331"/>
      <c r="P129" s="331"/>
      <c r="Q129" s="331"/>
      <c r="R129" s="331"/>
      <c r="S129" s="331"/>
      <c r="T129" s="331"/>
      <c r="U129" s="331"/>
      <c r="V129" s="334"/>
      <c r="W129" s="336"/>
      <c r="X129" s="331"/>
      <c r="Y129" s="331"/>
      <c r="Z129" s="331"/>
      <c r="AA129" s="331"/>
      <c r="AB129" s="331"/>
      <c r="AC129" s="331"/>
      <c r="AD129" s="331"/>
      <c r="AE129" s="331"/>
      <c r="AF129" s="331"/>
      <c r="AG129" s="331"/>
      <c r="AH129" s="331"/>
      <c r="AI129" s="334"/>
      <c r="AJ129" s="336"/>
      <c r="AK129" s="331"/>
      <c r="AL129" s="331"/>
      <c r="AM129" s="331"/>
      <c r="AN129" s="331"/>
      <c r="AO129" s="331"/>
      <c r="AP129" s="331"/>
      <c r="AQ129" s="331"/>
      <c r="AR129" s="332"/>
    </row>
    <row r="130" spans="1:44">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row>
    <row r="131" spans="1:44">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row>
    <row r="132" spans="1:44">
      <c r="A132" s="44"/>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6"/>
    </row>
    <row r="133" spans="1:44">
      <c r="A133" s="44"/>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6"/>
    </row>
    <row r="134" spans="1:44">
      <c r="A134" s="44"/>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6"/>
    </row>
    <row r="135" spans="1:44">
      <c r="A135" s="44"/>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6"/>
    </row>
    <row r="136" spans="1:44">
      <c r="A136" s="44"/>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6"/>
    </row>
    <row r="137" spans="1:44">
      <c r="A137" s="44"/>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6"/>
    </row>
    <row r="138" spans="1:44" ht="15.75" thickBot="1">
      <c r="A138" s="47"/>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9"/>
    </row>
  </sheetData>
  <mergeCells count="396">
    <mergeCell ref="A128:I129"/>
    <mergeCell ref="J128:V129"/>
    <mergeCell ref="W128:AI129"/>
    <mergeCell ref="AJ128:AR129"/>
    <mergeCell ref="AL106:AN106"/>
    <mergeCell ref="A107:AR107"/>
    <mergeCell ref="A108:AR109"/>
    <mergeCell ref="A110:AR110"/>
    <mergeCell ref="A127:I127"/>
    <mergeCell ref="J127:V127"/>
    <mergeCell ref="W127:AI127"/>
    <mergeCell ref="AJ127:AR127"/>
    <mergeCell ref="A106:L106"/>
    <mergeCell ref="N106:Q106"/>
    <mergeCell ref="R106:S106"/>
    <mergeCell ref="T106:AE106"/>
    <mergeCell ref="AF106:AI106"/>
    <mergeCell ref="AJ106:AK106"/>
    <mergeCell ref="A105:AK105"/>
    <mergeCell ref="AL105:AN105"/>
    <mergeCell ref="AQ101:AR102"/>
    <mergeCell ref="AC102:AD102"/>
    <mergeCell ref="AH102:AI102"/>
    <mergeCell ref="AM102:AN102"/>
    <mergeCell ref="B103:J104"/>
    <mergeCell ref="K103:Y104"/>
    <mergeCell ref="Z103:AD103"/>
    <mergeCell ref="AE103:AI103"/>
    <mergeCell ref="AJ103:AN103"/>
    <mergeCell ref="AO103:AP104"/>
    <mergeCell ref="B101:J102"/>
    <mergeCell ref="K101:Y102"/>
    <mergeCell ref="Z101:AD101"/>
    <mergeCell ref="AE101:AI101"/>
    <mergeCell ref="AJ101:AN101"/>
    <mergeCell ref="AO101:AP102"/>
    <mergeCell ref="AQ103:AR104"/>
    <mergeCell ref="AC104:AD104"/>
    <mergeCell ref="AH104:AI104"/>
    <mergeCell ref="AM104:AN104"/>
    <mergeCell ref="B99:J100"/>
    <mergeCell ref="K99:Y100"/>
    <mergeCell ref="Z99:AD99"/>
    <mergeCell ref="AE99:AI99"/>
    <mergeCell ref="AJ99:AN99"/>
    <mergeCell ref="AO99:AP100"/>
    <mergeCell ref="AQ99:AR100"/>
    <mergeCell ref="AC100:AD100"/>
    <mergeCell ref="AH100:AI100"/>
    <mergeCell ref="AM100:AN100"/>
    <mergeCell ref="B97:J98"/>
    <mergeCell ref="K97:Y98"/>
    <mergeCell ref="Z97:AD97"/>
    <mergeCell ref="AE97:AI97"/>
    <mergeCell ref="AJ97:AN97"/>
    <mergeCell ref="AO97:AP98"/>
    <mergeCell ref="AQ97:AR98"/>
    <mergeCell ref="AC98:AD98"/>
    <mergeCell ref="AH98:AI98"/>
    <mergeCell ref="AM98:AN98"/>
    <mergeCell ref="B95:J96"/>
    <mergeCell ref="K95:Y96"/>
    <mergeCell ref="Z95:AD95"/>
    <mergeCell ref="AE95:AI95"/>
    <mergeCell ref="AJ95:AN95"/>
    <mergeCell ref="AO95:AP96"/>
    <mergeCell ref="AQ95:AR96"/>
    <mergeCell ref="AC96:AD96"/>
    <mergeCell ref="AH96:AI96"/>
    <mergeCell ref="AM96:AN96"/>
    <mergeCell ref="AQ89:AR90"/>
    <mergeCell ref="AC90:AD90"/>
    <mergeCell ref="AH90:AI90"/>
    <mergeCell ref="AM90:AN90"/>
    <mergeCell ref="A91:AR91"/>
    <mergeCell ref="A92:AR92"/>
    <mergeCell ref="AO93:AR93"/>
    <mergeCell ref="AC94:AD94"/>
    <mergeCell ref="AH94:AI94"/>
    <mergeCell ref="AM94:AN94"/>
    <mergeCell ref="B89:J90"/>
    <mergeCell ref="K89:Y90"/>
    <mergeCell ref="Z89:AD89"/>
    <mergeCell ref="AE89:AI89"/>
    <mergeCell ref="AJ89:AN89"/>
    <mergeCell ref="AO89:AP90"/>
    <mergeCell ref="A93:A94"/>
    <mergeCell ref="B93:J94"/>
    <mergeCell ref="K93:Y94"/>
    <mergeCell ref="Z93:AD93"/>
    <mergeCell ref="AE93:AI93"/>
    <mergeCell ref="AJ93:AN93"/>
    <mergeCell ref="B87:J88"/>
    <mergeCell ref="K87:Y88"/>
    <mergeCell ref="Z87:AD87"/>
    <mergeCell ref="AE87:AI87"/>
    <mergeCell ref="AJ87:AN87"/>
    <mergeCell ref="AO87:AP88"/>
    <mergeCell ref="AQ87:AR88"/>
    <mergeCell ref="AC88:AD88"/>
    <mergeCell ref="AH88:AI88"/>
    <mergeCell ref="AM88:AN88"/>
    <mergeCell ref="B85:J86"/>
    <mergeCell ref="K85:Y86"/>
    <mergeCell ref="Z85:AD85"/>
    <mergeCell ref="AE85:AI85"/>
    <mergeCell ref="AJ85:AN85"/>
    <mergeCell ref="AO85:AP86"/>
    <mergeCell ref="AQ85:AR86"/>
    <mergeCell ref="AC86:AD86"/>
    <mergeCell ref="AH86:AI86"/>
    <mergeCell ref="AM86:AN86"/>
    <mergeCell ref="B83:J84"/>
    <mergeCell ref="K83:Y84"/>
    <mergeCell ref="Z83:AD83"/>
    <mergeCell ref="AE83:AI83"/>
    <mergeCell ref="AJ83:AN83"/>
    <mergeCell ref="AO83:AP84"/>
    <mergeCell ref="AQ83:AR84"/>
    <mergeCell ref="AC84:AD84"/>
    <mergeCell ref="AH84:AI84"/>
    <mergeCell ref="AM84:AN84"/>
    <mergeCell ref="B81:J82"/>
    <mergeCell ref="K81:Y82"/>
    <mergeCell ref="Z81:AD81"/>
    <mergeCell ref="AE81:AI81"/>
    <mergeCell ref="AJ81:AN81"/>
    <mergeCell ref="AO81:AP82"/>
    <mergeCell ref="AQ81:AR82"/>
    <mergeCell ref="AC82:AD82"/>
    <mergeCell ref="AH82:AI82"/>
    <mergeCell ref="AM82:AN82"/>
    <mergeCell ref="A79:A80"/>
    <mergeCell ref="B79:J80"/>
    <mergeCell ref="K79:Y80"/>
    <mergeCell ref="Z79:AD79"/>
    <mergeCell ref="AE79:AI79"/>
    <mergeCell ref="AJ79:AN79"/>
    <mergeCell ref="AH74:AO75"/>
    <mergeCell ref="AP74:AR74"/>
    <mergeCell ref="AP75:AR75"/>
    <mergeCell ref="A76:AR76"/>
    <mergeCell ref="A77:AR77"/>
    <mergeCell ref="A78:AR78"/>
    <mergeCell ref="AO79:AR79"/>
    <mergeCell ref="AC80:AD80"/>
    <mergeCell ref="AH80:AI80"/>
    <mergeCell ref="AM80:AN80"/>
    <mergeCell ref="A68:AR68"/>
    <mergeCell ref="A69:AR69"/>
    <mergeCell ref="A72:AR73"/>
    <mergeCell ref="A74:E75"/>
    <mergeCell ref="F74:M75"/>
    <mergeCell ref="N74:O75"/>
    <mergeCell ref="P74:T75"/>
    <mergeCell ref="U74:V75"/>
    <mergeCell ref="W74:AA75"/>
    <mergeCell ref="AB74:AG75"/>
    <mergeCell ref="A64:AR64"/>
    <mergeCell ref="A65:I66"/>
    <mergeCell ref="J65:V66"/>
    <mergeCell ref="W65:AI66"/>
    <mergeCell ref="AJ65:AR66"/>
    <mergeCell ref="A67:AR67"/>
    <mergeCell ref="A61:I61"/>
    <mergeCell ref="J61:V61"/>
    <mergeCell ref="W61:AI61"/>
    <mergeCell ref="AJ61:AR61"/>
    <mergeCell ref="A62:I63"/>
    <mergeCell ref="J62:V63"/>
    <mergeCell ref="W62:AI63"/>
    <mergeCell ref="AJ62:AR63"/>
    <mergeCell ref="A60:AR60"/>
    <mergeCell ref="AO56:AP57"/>
    <mergeCell ref="AQ56:AR57"/>
    <mergeCell ref="AC57:AD57"/>
    <mergeCell ref="AH57:AI57"/>
    <mergeCell ref="AM57:AN57"/>
    <mergeCell ref="B58:J59"/>
    <mergeCell ref="K58:Y59"/>
    <mergeCell ref="Z58:AD58"/>
    <mergeCell ref="AE58:AI58"/>
    <mergeCell ref="AJ58:AN58"/>
    <mergeCell ref="B56:J57"/>
    <mergeCell ref="K56:Y57"/>
    <mergeCell ref="Z56:AD56"/>
    <mergeCell ref="AE56:AI56"/>
    <mergeCell ref="AJ56:AN56"/>
    <mergeCell ref="AO58:AP59"/>
    <mergeCell ref="AQ58:AR59"/>
    <mergeCell ref="AC59:AD59"/>
    <mergeCell ref="AH59:AI59"/>
    <mergeCell ref="AM59:AN59"/>
    <mergeCell ref="B54:J55"/>
    <mergeCell ref="K54:Y55"/>
    <mergeCell ref="Z54:AD54"/>
    <mergeCell ref="AE54:AI54"/>
    <mergeCell ref="AJ54:AN54"/>
    <mergeCell ref="AO54:AP55"/>
    <mergeCell ref="AQ54:AR55"/>
    <mergeCell ref="AC55:AD55"/>
    <mergeCell ref="AH55:AI55"/>
    <mergeCell ref="AM55:AN55"/>
    <mergeCell ref="B52:J53"/>
    <mergeCell ref="K52:Y53"/>
    <mergeCell ref="Z52:AD52"/>
    <mergeCell ref="AE52:AI52"/>
    <mergeCell ref="AJ52:AN52"/>
    <mergeCell ref="AO52:AP53"/>
    <mergeCell ref="AQ52:AR53"/>
    <mergeCell ref="AC53:AD53"/>
    <mergeCell ref="AH53:AI53"/>
    <mergeCell ref="AM53:AN53"/>
    <mergeCell ref="B50:J51"/>
    <mergeCell ref="K50:Y51"/>
    <mergeCell ref="Z50:AD50"/>
    <mergeCell ref="AE50:AI50"/>
    <mergeCell ref="AJ50:AN50"/>
    <mergeCell ref="AO50:AP51"/>
    <mergeCell ref="AQ50:AR51"/>
    <mergeCell ref="AC51:AD51"/>
    <mergeCell ref="AH51:AI51"/>
    <mergeCell ref="AM51:AN51"/>
    <mergeCell ref="B48:J49"/>
    <mergeCell ref="K48:Y49"/>
    <mergeCell ref="Z48:AD48"/>
    <mergeCell ref="AE48:AI48"/>
    <mergeCell ref="AJ48:AN48"/>
    <mergeCell ref="AO48:AP49"/>
    <mergeCell ref="AQ48:AR49"/>
    <mergeCell ref="AC49:AD49"/>
    <mergeCell ref="AH49:AI49"/>
    <mergeCell ref="AM49:AN49"/>
    <mergeCell ref="B46:J47"/>
    <mergeCell ref="K46:Y47"/>
    <mergeCell ref="Z46:AD46"/>
    <mergeCell ref="AE46:AI46"/>
    <mergeCell ref="AJ46:AN46"/>
    <mergeCell ref="AO46:AP47"/>
    <mergeCell ref="AQ46:AR47"/>
    <mergeCell ref="AC47:AD47"/>
    <mergeCell ref="AH47:AI47"/>
    <mergeCell ref="AM47:AN47"/>
    <mergeCell ref="B44:J45"/>
    <mergeCell ref="K44:Y45"/>
    <mergeCell ref="Z44:AD44"/>
    <mergeCell ref="AE44:AI44"/>
    <mergeCell ref="AJ44:AN44"/>
    <mergeCell ref="AO44:AP45"/>
    <mergeCell ref="AQ44:AR45"/>
    <mergeCell ref="AC45:AD45"/>
    <mergeCell ref="AH45:AI45"/>
    <mergeCell ref="AM45:AN45"/>
    <mergeCell ref="AH41:AI41"/>
    <mergeCell ref="AM41:AN41"/>
    <mergeCell ref="B42:J43"/>
    <mergeCell ref="K42:Y43"/>
    <mergeCell ref="Z42:AD42"/>
    <mergeCell ref="AE42:AI42"/>
    <mergeCell ref="AJ42:AN42"/>
    <mergeCell ref="A37:AR37"/>
    <mergeCell ref="A38:AR39"/>
    <mergeCell ref="A40:A41"/>
    <mergeCell ref="B40:J41"/>
    <mergeCell ref="K40:Y41"/>
    <mergeCell ref="Z40:AD40"/>
    <mergeCell ref="AE40:AI40"/>
    <mergeCell ref="AJ40:AN40"/>
    <mergeCell ref="AO40:AR40"/>
    <mergeCell ref="AC41:AD41"/>
    <mergeCell ref="AO42:AP43"/>
    <mergeCell ref="AQ42:AR43"/>
    <mergeCell ref="AC43:AD43"/>
    <mergeCell ref="AH43:AI43"/>
    <mergeCell ref="AM43:AN43"/>
    <mergeCell ref="AP35:AR36"/>
    <mergeCell ref="F36:G36"/>
    <mergeCell ref="Q36:R36"/>
    <mergeCell ref="AB36:AC36"/>
    <mergeCell ref="AN36:AO36"/>
    <mergeCell ref="B31:N31"/>
    <mergeCell ref="P31:V31"/>
    <mergeCell ref="X31:AP31"/>
    <mergeCell ref="A32:AR32"/>
    <mergeCell ref="A33:AR34"/>
    <mergeCell ref="A35:C36"/>
    <mergeCell ref="D35:G35"/>
    <mergeCell ref="H35:N36"/>
    <mergeCell ref="O35:R35"/>
    <mergeCell ref="S35:Y36"/>
    <mergeCell ref="AL28:AO28"/>
    <mergeCell ref="D29:G29"/>
    <mergeCell ref="J29:M29"/>
    <mergeCell ref="R29:U29"/>
    <mergeCell ref="Z29:AC29"/>
    <mergeCell ref="AF29:AI29"/>
    <mergeCell ref="Z35:AC35"/>
    <mergeCell ref="AD35:AK36"/>
    <mergeCell ref="AL35:AO35"/>
    <mergeCell ref="V26:V30"/>
    <mergeCell ref="Z26:AC26"/>
    <mergeCell ref="AD26:AD30"/>
    <mergeCell ref="AF26:AI26"/>
    <mergeCell ref="AJ26:AJ30"/>
    <mergeCell ref="AL26:AO26"/>
    <mergeCell ref="D27:G27"/>
    <mergeCell ref="J27:M27"/>
    <mergeCell ref="R27:U27"/>
    <mergeCell ref="Z27:AC27"/>
    <mergeCell ref="AF27:AI27"/>
    <mergeCell ref="AL27:AO27"/>
    <mergeCell ref="D28:G28"/>
    <mergeCell ref="AL29:AO29"/>
    <mergeCell ref="D30:G30"/>
    <mergeCell ref="J30:M30"/>
    <mergeCell ref="R30:U30"/>
    <mergeCell ref="Z30:AC30"/>
    <mergeCell ref="AF30:AI30"/>
    <mergeCell ref="AL30:AO30"/>
    <mergeCell ref="J28:M28"/>
    <mergeCell ref="R28:U28"/>
    <mergeCell ref="Z28:AC28"/>
    <mergeCell ref="AF28:AI28"/>
    <mergeCell ref="A22:AR22"/>
    <mergeCell ref="A23:AR23"/>
    <mergeCell ref="A24:A31"/>
    <mergeCell ref="B24:B30"/>
    <mergeCell ref="C24:M24"/>
    <mergeCell ref="N24:N30"/>
    <mergeCell ref="O24:O31"/>
    <mergeCell ref="P24:V24"/>
    <mergeCell ref="W24:W31"/>
    <mergeCell ref="X24:AP24"/>
    <mergeCell ref="AQ24:AR31"/>
    <mergeCell ref="C25:G25"/>
    <mergeCell ref="H25:H30"/>
    <mergeCell ref="I25:M25"/>
    <mergeCell ref="P25:V25"/>
    <mergeCell ref="X25:X30"/>
    <mergeCell ref="Y25:AC25"/>
    <mergeCell ref="AE25:AI25"/>
    <mergeCell ref="AK25:AO25"/>
    <mergeCell ref="AP25:AP30"/>
    <mergeCell ref="D26:G26"/>
    <mergeCell ref="J26:M26"/>
    <mergeCell ref="P26:P30"/>
    <mergeCell ref="R26:U26"/>
    <mergeCell ref="A19:AR19"/>
    <mergeCell ref="A20:H21"/>
    <mergeCell ref="I20:P21"/>
    <mergeCell ref="Q20:Q21"/>
    <mergeCell ref="R20:Y21"/>
    <mergeCell ref="Z20:Z21"/>
    <mergeCell ref="AA20:AH21"/>
    <mergeCell ref="AI20:AI21"/>
    <mergeCell ref="AJ20:AQ21"/>
    <mergeCell ref="AR20:AR21"/>
    <mergeCell ref="A12:AR13"/>
    <mergeCell ref="A14:AR14"/>
    <mergeCell ref="A15:Q16"/>
    <mergeCell ref="R15:U15"/>
    <mergeCell ref="V15:AG16"/>
    <mergeCell ref="AH15:AI15"/>
    <mergeCell ref="AJ15:AK15"/>
    <mergeCell ref="AL15:AR15"/>
    <mergeCell ref="R16:S16"/>
    <mergeCell ref="T16:U16"/>
    <mergeCell ref="AH16:AI16"/>
    <mergeCell ref="AJ16:AK16"/>
    <mergeCell ref="AL16:AR17"/>
    <mergeCell ref="A17:Q18"/>
    <mergeCell ref="R17:S17"/>
    <mergeCell ref="T17:U17"/>
    <mergeCell ref="V17:AG18"/>
    <mergeCell ref="AH17:AI17"/>
    <mergeCell ref="AJ17:AK17"/>
    <mergeCell ref="R18:U18"/>
    <mergeCell ref="AH18:AI18"/>
    <mergeCell ref="AJ18:AK18"/>
    <mergeCell ref="AL18:AR18"/>
    <mergeCell ref="AP5:AR5"/>
    <mergeCell ref="AP6:AR6"/>
    <mergeCell ref="A7:AR7"/>
    <mergeCell ref="A8:AR8"/>
    <mergeCell ref="A9:AR10"/>
    <mergeCell ref="A11:AR11"/>
    <mergeCell ref="A3:AR3"/>
    <mergeCell ref="A4:AR4"/>
    <mergeCell ref="A5:E6"/>
    <mergeCell ref="F5:M6"/>
    <mergeCell ref="N5:O6"/>
    <mergeCell ref="P5:T6"/>
    <mergeCell ref="U5:V6"/>
    <mergeCell ref="W5:AA6"/>
    <mergeCell ref="AB5:AG6"/>
    <mergeCell ref="AH5:AO6"/>
  </mergeCells>
  <conditionalFormatting sqref="AA43 AA45 AG57 AG59 AJ42 AA53 AG84 AA55 AA57 AG41 AA59 AG43 AG45 AG86 AG53 AG55 AG88 AG90 AJ44 AJ46 AJ48 AJ50 AA84 AA86 AA88 AA90 AJ81 AJ52 AJ54 AJ56 AJ58 AJ83 AJ85 AJ87 Z42 Z44 Z46 Z48 Z50 Z52 AJ89 Z81 Z54 Z56 Z58 Z83 Z85 Z87 AA47 Z89 AA49 AG47 AG80 AG49 AG98 AG100 AG102 AG104 AA98 AA100 AA102 AA104 AJ95 AJ97 AJ99 AJ101 AJ103 Z95 Z97 Z99 Z101 Z103 AE81:AE90 AG94 AA82 AG82 AA51 AG51 AE42:AE59 AA96 AG96 AE95:AE104">
    <cfRule type="cellIs" dxfId="32" priority="33" stopIfTrue="1" operator="equal">
      <formula>0</formula>
    </cfRule>
  </conditionalFormatting>
  <conditionalFormatting sqref="AB57 Z49 AB84 Z43 Z45 AB59 AF43 AF45 AB86 AB88 AJ98:AL98 Z51 Z53 Z55 Z57 Z59 AB43 AB45 AB90 AJ100:AL100 AF51 AB53 AB55 AF49 Z84 Z86 Z88 Z90 AB49 AF84 AF86 AF88 AJ102:AL102 AB51 AF53 AF55 AF90 AJ49:AL49 AJ84:AL84 AJ86:AL86 AJ88:AL88 AF57 AF59 Z47 AF47 AB47 AJ43:AL43 AJ45:AL45 AJ90:AL90 AJ104:AL104 AJ51:AL51 AJ53:AL53 AJ55:AL55 AJ57:AL57 AJ59:AL59 AJ47:AL47 Z82 AB98 AB100 AB102 AB104 AF82 Z98 Z100 Z102 Z104 AB82 AF98 AF100 AF102 AF104 AJ82:AL82 Z96 AF96 AB96 AJ96:AL96">
    <cfRule type="cellIs" dxfId="31" priority="32" stopIfTrue="1" operator="equal">
      <formula>0</formula>
    </cfRule>
  </conditionalFormatting>
  <conditionalFormatting sqref="AO81 AO83 AO50 AO52 AO54 AO85 AO56 AO58 AO44 AO103 AO48 AO87 AO89 AO42 AO95 AO97 AO99 AO101 AO46">
    <cfRule type="cellIs" dxfId="30" priority="29" stopIfTrue="1" operator="between">
      <formula>11</formula>
      <formula>20</formula>
    </cfRule>
    <cfRule type="cellIs" dxfId="29" priority="30" stopIfTrue="1" operator="between">
      <formula>1</formula>
      <formula>11</formula>
    </cfRule>
    <cfRule type="cellIs" dxfId="28" priority="31" stopIfTrue="1" operator="greaterThan">
      <formula>20</formula>
    </cfRule>
  </conditionalFormatting>
  <conditionalFormatting sqref="Q20">
    <cfRule type="cellIs" dxfId="27" priority="27" stopIfTrue="1" operator="equal">
      <formula>1</formula>
    </cfRule>
    <cfRule type="cellIs" dxfId="26" priority="28" stopIfTrue="1" operator="equal">
      <formula>0</formula>
    </cfRule>
  </conditionalFormatting>
  <conditionalFormatting sqref="I20 R20 AA20 AJ20 T17 AJ16 R17 AH18 AH16 AJ18">
    <cfRule type="cellIs" dxfId="25" priority="25" stopIfTrue="1" operator="equal">
      <formula>1</formula>
    </cfRule>
    <cfRule type="cellIs" dxfId="24" priority="26" stopIfTrue="1" operator="equal">
      <formula>0</formula>
    </cfRule>
  </conditionalFormatting>
  <conditionalFormatting sqref="AL18 AL15 AR20">
    <cfRule type="cellIs" dxfId="23" priority="23" stopIfTrue="1" operator="equal">
      <formula>1</formula>
    </cfRule>
    <cfRule type="cellIs" dxfId="22" priority="24" stopIfTrue="1" operator="equal">
      <formula>0</formula>
    </cfRule>
  </conditionalFormatting>
  <conditionalFormatting sqref="AH57 AH59 AC43 AC45 AH49 AM100 AH53 AC51 AH84 AC55 AC57 AC59 AM43 AH86 AM45 AH47 AH88 AH90 AC47 AC84 AM102 AM49 AM51 AM55 AM57 AC86 AC88 AC90 AC49 AM84 AM86 AM59 AM82 AH45 AM88 AM104 AM90 AC53 AH51 AM47 AH96 AH55 AH82 AH98 AH100 AH102 AH104 AM53 AC98 AC100 AC102 AC104 AC82 AM98 AM96 AC96 AH43">
    <cfRule type="cellIs" dxfId="21" priority="22" stopIfTrue="1" operator="between">
      <formula>0</formula>
      <formula>0</formula>
    </cfRule>
  </conditionalFormatting>
  <conditionalFormatting sqref="AQ81 AQ50 AQ42 AQ83 AQ52 AQ54 AQ56 AQ44 AQ103 AQ48 AQ85 AQ87 AQ58 AQ89 AQ95 AQ97 AQ99 AQ101 AQ46">
    <cfRule type="cellIs" dxfId="20" priority="19" stopIfTrue="1" operator="between">
      <formula>1</formula>
      <formula>20.999999</formula>
    </cfRule>
    <cfRule type="cellIs" dxfId="19" priority="20" stopIfTrue="1" operator="between">
      <formula>21</formula>
      <formula>59.99999999</formula>
    </cfRule>
    <cfRule type="cellIs" dxfId="18" priority="21" stopIfTrue="1" operator="between">
      <formula>60</formula>
      <formula>125</formula>
    </cfRule>
  </conditionalFormatting>
  <conditionalFormatting sqref="AD25">
    <cfRule type="cellIs" dxfId="17" priority="17" stopIfTrue="1" operator="equal">
      <formula>1</formula>
    </cfRule>
    <cfRule type="cellIs" dxfId="16" priority="18" stopIfTrue="1" operator="equal">
      <formula>0</formula>
    </cfRule>
  </conditionalFormatting>
  <conditionalFormatting sqref="A61 A127">
    <cfRule type="cellIs" dxfId="15" priority="14" stopIfTrue="1" operator="between">
      <formula>1</formula>
      <formula>59</formula>
    </cfRule>
    <cfRule type="cellIs" dxfId="14" priority="15" stopIfTrue="1" operator="equal">
      <formula>60</formula>
    </cfRule>
    <cfRule type="cellIs" dxfId="13" priority="16" stopIfTrue="1" operator="equal">
      <formula>0</formula>
    </cfRule>
  </conditionalFormatting>
  <conditionalFormatting sqref="N106">
    <cfRule type="cellIs" dxfId="12" priority="12" stopIfTrue="1" operator="equal">
      <formula>0</formula>
    </cfRule>
    <cfRule type="cellIs" dxfId="11" priority="13" stopIfTrue="1" operator="greaterThanOrEqual">
      <formula>1</formula>
    </cfRule>
  </conditionalFormatting>
  <conditionalFormatting sqref="AF106">
    <cfRule type="cellIs" dxfId="10" priority="10" stopIfTrue="1" operator="greaterThanOrEqual">
      <formula>1</formula>
    </cfRule>
    <cfRule type="cellIs" dxfId="9" priority="11" stopIfTrue="1" operator="equal">
      <formula>0</formula>
    </cfRule>
  </conditionalFormatting>
  <conditionalFormatting sqref="AO106:AR106">
    <cfRule type="cellIs" dxfId="8" priority="8" stopIfTrue="1" operator="equal">
      <formula>0</formula>
    </cfRule>
    <cfRule type="cellIs" dxfId="7" priority="9" stopIfTrue="1" operator="between">
      <formula>1</formula>
      <formula>100</formula>
    </cfRule>
  </conditionalFormatting>
  <conditionalFormatting sqref="W5">
    <cfRule type="cellIs" dxfId="6" priority="7" stopIfTrue="1" operator="equal">
      <formula>0</formula>
    </cfRule>
  </conditionalFormatting>
  <conditionalFormatting sqref="AI20">
    <cfRule type="cellIs" dxfId="5" priority="5" stopIfTrue="1" operator="equal">
      <formula>1</formula>
    </cfRule>
    <cfRule type="cellIs" dxfId="4" priority="6" stopIfTrue="1" operator="equal">
      <formula>0</formula>
    </cfRule>
  </conditionalFormatting>
  <conditionalFormatting sqref="Z20">
    <cfRule type="cellIs" dxfId="3" priority="3" stopIfTrue="1" operator="equal">
      <formula>1</formula>
    </cfRule>
    <cfRule type="cellIs" dxfId="2" priority="4" stopIfTrue="1" operator="equal">
      <formula>0</formula>
    </cfRule>
  </conditionalFormatting>
  <conditionalFormatting sqref="A43 A59 A45 A49 A51 A53 A55 A57 A47 A82 A84 A86 A88 A90 A96 A98 A100 A102 A104">
    <cfRule type="cellIs" dxfId="1" priority="1" stopIfTrue="1" operator="equal">
      <formula>3</formula>
    </cfRule>
    <cfRule type="cellIs" dxfId="0" priority="2" stopIfTrue="1" operator="equal">
      <formula>0</formula>
    </cfRule>
  </conditionalFormatting>
  <dataValidations count="1">
    <dataValidation type="custom" showInputMessage="1" showErrorMessage="1" error="please re enter your data in the correct box! " sqref="AG57 AG59 AG53 AG55 AG84 AG86 AG88 AG90 AJ81 AJ83 AJ42 AJ85 AJ87 AJ44 AJ46 AJ48 AJ50 AJ52 AJ54 AJ89 AA47 AG47 AA49 AJ56 AJ58 AG49 AA43 AA45 AA102 AA104 AE42:AE59 AA53">
      <formula1>"123456789*123456789"</formula1>
    </dataValidation>
  </dataValidations>
  <pageMargins left="0.31496062992125984" right="0.31496062992125984" top="0.74803149606299213" bottom="0.74803149606299213" header="0.31496062992125984" footer="0.31496062992125984"/>
  <pageSetup paperSize="9" scale="34" fitToHeight="5" orientation="landscape" r:id="rId1"/>
  <rowBreaks count="1" manualBreakCount="1">
    <brk id="69" max="43" man="1"/>
  </rowBreaks>
  <legacy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Aston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J.Walter</dc:creator>
  <cp:lastModifiedBy>J.Walter</cp:lastModifiedBy>
  <cp:lastPrinted>2010-09-03T14:54:32Z</cp:lastPrinted>
  <dcterms:created xsi:type="dcterms:W3CDTF">2010-09-03T14:43:46Z</dcterms:created>
  <dcterms:modified xsi:type="dcterms:W3CDTF">2011-05-06T15:46:34Z</dcterms:modified>
</cp:coreProperties>
</file>