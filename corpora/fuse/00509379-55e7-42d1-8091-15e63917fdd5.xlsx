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0" windowWidth="15480" windowHeight="10920" tabRatio="415"/>
  </bookViews>
  <sheets>
    <sheet name="0910 Community Education" sheetId="1" r:id="rId1"/>
    <sheet name="0910 ECFE" sheetId="2" r:id="rId2"/>
    <sheet name="0910 School Readiness" sheetId="3" r:id="rId3"/>
  </sheets>
  <definedNames>
    <definedName name="_xlnm.Print_Area" localSheetId="0">'0910 Community Education'!$A$5:$AJ$342</definedName>
    <definedName name="_xlnm.Print_Area" localSheetId="1">'0910 ECFE'!$A$5:$AK$341</definedName>
    <definedName name="_xlnm.Print_Area" localSheetId="2">'0910 School Readiness'!$B$5:$Y$341</definedName>
    <definedName name="_xlnm.Print_Titles" localSheetId="0">'0910 Community Education'!$A:$D,'0910 Community Education'!$2:$4</definedName>
    <definedName name="_xlnm.Print_Titles" localSheetId="1">'0910 ECFE'!$B:$D,'0910 ECFE'!$2:$4</definedName>
    <definedName name="_xlnm.Print_Titles" localSheetId="2">'0910 School Readiness'!$B:$D,'0910 School Readiness'!$2:$3</definedName>
  </definedNames>
  <calcPr calcId="145621"/>
</workbook>
</file>

<file path=xl/calcChain.xml><?xml version="1.0" encoding="utf-8"?>
<calcChain xmlns="http://schemas.openxmlformats.org/spreadsheetml/2006/main">
  <c r="A5" i="2" l="1"/>
  <c r="A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N5" i="2"/>
  <c r="M5" i="2"/>
  <c r="L5" i="2"/>
  <c r="K5" i="2"/>
  <c r="J5" i="2"/>
  <c r="I5" i="2"/>
  <c r="H5" i="2"/>
  <c r="G5" i="2"/>
  <c r="S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R5" i="1"/>
  <c r="Q5" i="1"/>
  <c r="P5" i="1"/>
  <c r="O5" i="1"/>
  <c r="N5" i="1"/>
  <c r="M5" i="1"/>
  <c r="L5" i="1"/>
  <c r="K5" i="1"/>
  <c r="J5" i="1"/>
  <c r="I5" i="1"/>
  <c r="G5" i="1"/>
</calcChain>
</file>

<file path=xl/sharedStrings.xml><?xml version="1.0" encoding="utf-8"?>
<sst xmlns="http://schemas.openxmlformats.org/spreadsheetml/2006/main" count="3564" uniqueCount="481">
  <si>
    <t>dat_yer</t>
  </si>
  <si>
    <t>dst_num</t>
  </si>
  <si>
    <t>dst_tye</t>
  </si>
  <si>
    <t>cen_pop</t>
  </si>
  <si>
    <t>cen_pop_yer</t>
  </si>
  <si>
    <t>adj_net_tax_cpc</t>
  </si>
  <si>
    <t>gen_cmy_rvn</t>
  </si>
  <si>
    <t>yth_sve_prg_rvn</t>
  </si>
  <si>
    <t>yth_afs_enm_rvn</t>
  </si>
  <si>
    <t>tot_cmy_rvn</t>
  </si>
  <si>
    <t>lvy_lim</t>
  </si>
  <si>
    <t>crt_lvy</t>
  </si>
  <si>
    <t>pct_lvy_crt</t>
  </si>
  <si>
    <t>aid_lim</t>
  </si>
  <si>
    <t>ent_bef_xfb_adj</t>
  </si>
  <si>
    <t>pro_ftr_1</t>
  </si>
  <si>
    <t>pro_aid_ent</t>
  </si>
  <si>
    <t>pyr_tot_cmy_rvn</t>
  </si>
  <si>
    <t>pyr_rvn_oth_src</t>
  </si>
  <si>
    <t>pyr_tot_cmy_rsr</t>
  </si>
  <si>
    <t>pyr_fub_lim</t>
  </si>
  <si>
    <t>py3_aud_clo_fub</t>
  </si>
  <si>
    <t>py2_xfb_adj</t>
  </si>
  <si>
    <t>py2_aud_clo_fub</t>
  </si>
  <si>
    <t>pyr_xfb_adj</t>
  </si>
  <si>
    <t>pyr_wvr_amt</t>
  </si>
  <si>
    <t>pyr_aud_clo_fub</t>
  </si>
  <si>
    <t>adj_3yr_avg_fub</t>
  </si>
  <si>
    <t>xfb_adj</t>
  </si>
  <si>
    <t>nyr_lvy_adj</t>
  </si>
  <si>
    <t>ent_adj</t>
  </si>
  <si>
    <t>crt_lvy_adj_xfb</t>
  </si>
  <si>
    <t>ent_adj_xfb</t>
  </si>
  <si>
    <t>09-10</t>
  </si>
  <si>
    <t>cen_pop_use_lvy</t>
  </si>
  <si>
    <t>rvn_lim_use_lvy</t>
  </si>
  <si>
    <t>rvs_rvn_lim</t>
  </si>
  <si>
    <t>rvs_lvy_ath</t>
  </si>
  <si>
    <t>rvs_aid_lim</t>
  </si>
  <si>
    <t>hom_vst_lvy_ath</t>
  </si>
  <si>
    <t>pyr_rvs_rvn_lim</t>
  </si>
  <si>
    <t>pyr_tot_ecfe_rsr</t>
  </si>
  <si>
    <t>lvy_ath_adj_xfb</t>
  </si>
  <si>
    <t>age4_pop</t>
  </si>
  <si>
    <t>frd_cnt</t>
  </si>
  <si>
    <t>pln_app</t>
  </si>
  <si>
    <t>age4_aid</t>
  </si>
  <si>
    <t>frd_aid</t>
  </si>
  <si>
    <t>pyr_ent_bef_xfb</t>
  </si>
  <si>
    <t>pyr_tot_scrd_rsr</t>
  </si>
  <si>
    <t>Y</t>
  </si>
  <si>
    <t>Fiscal Year</t>
  </si>
  <si>
    <t>Number</t>
  </si>
  <si>
    <t>uni_nam</t>
  </si>
  <si>
    <t>cou_num</t>
  </si>
  <si>
    <t>eco_dev_rgn</t>
  </si>
  <si>
    <t>11</t>
  </si>
  <si>
    <t>09</t>
  </si>
  <si>
    <t>03</t>
  </si>
  <si>
    <t>01</t>
  </si>
  <si>
    <t>04</t>
  </si>
  <si>
    <t>10</t>
  </si>
  <si>
    <t>02</t>
  </si>
  <si>
    <t>07W</t>
  </si>
  <si>
    <t>06W</t>
  </si>
  <si>
    <t>08</t>
  </si>
  <si>
    <t>05</t>
  </si>
  <si>
    <t>07E</t>
  </si>
  <si>
    <t>06E</t>
  </si>
  <si>
    <t>KERKHOVEN-MURDOCK-SUNBURG</t>
  </si>
  <si>
    <t>PRINSBURG</t>
  </si>
  <si>
    <t>ROSEMOUNT-APPLE VALLEY-EAGAN</t>
  </si>
  <si>
    <t>WATERVILLE-ELYSIAN-MORRISTOWN</t>
  </si>
  <si>
    <t>WEST ST. PAUL-MENDOTA HTS.-EAGAN</t>
  </si>
  <si>
    <t>LAKE CRYSTAL-WELLCOME MEMORIAL</t>
  </si>
  <si>
    <t>JANESVILLE-WALDORF-PEMBERTON</t>
  </si>
  <si>
    <t>BIRD ISLAND-OLIVIA-LAKE LILLIAN</t>
  </si>
  <si>
    <t>G.F.W.</t>
  </si>
  <si>
    <t>GRANADA HUNTLEY-EAST CHAIN</t>
  </si>
  <si>
    <t>DILWORTH-GLYNDON-FELTON</t>
  </si>
  <si>
    <t>A.C.G.C.</t>
  </si>
  <si>
    <t>WEST CENTRAL AREA</t>
  </si>
  <si>
    <t>YELLOW MEDICINE EAST</t>
  </si>
  <si>
    <t>FILLMORE CENTRAL</t>
  </si>
  <si>
    <t>MARSHALL COUNTY CENTRAL SCHOOLS</t>
  </si>
  <si>
    <t>BLUE EARTH AREA PUBLIC SCHOOL</t>
  </si>
  <si>
    <t>HOWARD LAKE-WAVERLY-WINSTED</t>
  </si>
  <si>
    <t>STEPHEN-ARGYLE CENTRAL SCHOOLS</t>
  </si>
  <si>
    <t>CLINTON-GRACEVILLE-BEARDSLEY</t>
  </si>
  <si>
    <t>NORTHLAND COMMUNITY SCHOOLS</t>
  </si>
  <si>
    <t>NEW PRAGUE AREA SCHOOLS</t>
  </si>
  <si>
    <t>WESTBROOK-WALNUT GROVE SCHOOLS</t>
  </si>
  <si>
    <t>PRIOR LAKE-SAVAGE AREA SCHOOLS</t>
  </si>
  <si>
    <t>INVER GROVE HEIGHTS SCHOOLS</t>
  </si>
  <si>
    <t>HILL CITY PUBLIC SCHOOL DISTRICT</t>
  </si>
  <si>
    <t>MCGREGOR PUBLIC SCHOOL DISTRICT</t>
  </si>
  <si>
    <t>AITKIN PUBLIC SCHOOL DISTRICT</t>
  </si>
  <si>
    <t>ANOKA-HENNEPIN PUBLIC SCHOOL DIST.</t>
  </si>
  <si>
    <t>COLUMBIA HEIGHTS PUBLIC SCHOOL DIST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</si>
  <si>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</si>
  <si>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</si>
  <si>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</si>
  <si>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</si>
  <si>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</si>
  <si>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</si>
  <si>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</si>
  <si>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</si>
  <si>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</si>
  <si>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</si>
  <si>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SAUK RAPIDS PUBLIC SCHOOL DISTRICT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</si>
  <si>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</si>
  <si>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</si>
  <si>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</si>
  <si>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</si>
  <si>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</si>
  <si>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</si>
  <si>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</si>
  <si>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</si>
  <si>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</si>
  <si>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</si>
  <si>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</si>
  <si>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</si>
  <si>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</si>
  <si>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</si>
  <si>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NORWOOD PUBLIC SCHOOL DISTRICT</t>
  </si>
  <si>
    <t>WACONIA PUBLIC SCHOOL DISTRICT</t>
  </si>
  <si>
    <t>WATERTOWN-MAYER PUBLIC SCHOOL DIST.</t>
  </si>
  <si>
    <t>WALKER-HACKENSACK-AKELEY SCHL. DIST</t>
  </si>
  <si>
    <t>CASS LAKE-BENA PUBLIC SCHOOLS</t>
  </si>
  <si>
    <t>PILLAGER PUBLIC SCHOOL DISTRICT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</si>
  <si>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</si>
  <si>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</si>
  <si>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</si>
  <si>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</si>
  <si>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</si>
  <si>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</si>
  <si>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</si>
  <si>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</si>
  <si>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</si>
  <si>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</si>
  <si>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</si>
  <si>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</si>
  <si>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</si>
  <si>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</si>
  <si>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</si>
  <si>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</si>
  <si>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</si>
  <si>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HASTINGS PUBLIC SCHOOL DISTRICT</t>
  </si>
  <si>
    <t>HAYFIELD PUBLIC SCHOOL DISTRICT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</si>
  <si>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</si>
  <si>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</si>
  <si>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</si>
  <si>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</si>
  <si>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</si>
  <si>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</si>
  <si>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</si>
  <si>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</si>
  <si>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</si>
  <si>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</si>
  <si>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</si>
  <si>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</si>
  <si>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</si>
  <si>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</si>
  <si>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</si>
  <si>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</si>
  <si>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</si>
  <si>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</si>
  <si>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</si>
  <si>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</si>
  <si>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</si>
  <si>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</si>
  <si>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</si>
  <si>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</si>
  <si>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</si>
  <si>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</si>
  <si>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</si>
  <si>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</si>
  <si>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</si>
  <si>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</si>
  <si>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</si>
  <si>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</si>
  <si>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</si>
  <si>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</si>
  <si>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</si>
  <si>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</si>
  <si>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</si>
  <si>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</si>
  <si>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</si>
  <si>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GRAND RAPIDS PUBLIC SCHOOL DISTRICT</t>
  </si>
  <si>
    <t>NASHWAUK-KEEWATIN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</si>
  <si>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</si>
  <si>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</si>
  <si>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</si>
  <si>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</si>
  <si>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</si>
  <si>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</si>
  <si>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</si>
  <si>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</si>
  <si>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</si>
  <si>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</si>
  <si>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</si>
  <si>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</si>
  <si>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</si>
  <si>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LECENTER PUBLIC SCHOOL DISTRICT</t>
  </si>
  <si>
    <t>MONTGOMERY-LONSDALE SCHOOL DISTRICT</t>
  </si>
  <si>
    <t>HENDRICKS PUBLIC SCHOOL DISTRICT</t>
  </si>
  <si>
    <t>IVANHOE PUBLIC SCHOOL DISTRICT</t>
  </si>
  <si>
    <t>LAKE BENTON PUBLIC SCHOOL DISTRICT</t>
  </si>
  <si>
    <t>MARSHALL PUBLIC SCHOOL DISTRICT</t>
  </si>
  <si>
    <t>MINNEOTA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</si>
  <si>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</si>
  <si>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</si>
  <si>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</si>
  <si>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</si>
  <si>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WAUBUN PUBLIC SCHOOL DISTRICT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</si>
  <si>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</si>
  <si>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</si>
  <si>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</si>
  <si>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</si>
  <si>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</si>
  <si>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</si>
  <si>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</si>
  <si>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</si>
  <si>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</si>
  <si>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</si>
  <si>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</si>
  <si>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</si>
  <si>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</si>
  <si>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</si>
  <si>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</si>
  <si>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</si>
  <si>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</si>
  <si>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</si>
  <si>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</si>
  <si>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</si>
  <si>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</si>
  <si>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</si>
  <si>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</si>
  <si>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</si>
  <si>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</si>
  <si>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</si>
  <si>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</si>
  <si>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</si>
  <si>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</si>
  <si>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</si>
  <si>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</si>
  <si>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</si>
  <si>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</si>
  <si>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</si>
  <si>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</si>
  <si>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</si>
  <si>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</si>
  <si>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</si>
  <si>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</si>
  <si>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</si>
  <si>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</si>
  <si>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</si>
  <si>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EDGERTON PUBLIC SCHOOL DISTRICT</t>
  </si>
  <si>
    <t>CLIMAX PUBLIC SCHOOL DISTRICT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</si>
  <si>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</si>
  <si>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</si>
  <si>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</si>
  <si>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</si>
  <si>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</si>
  <si>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</si>
  <si>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</si>
  <si>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</si>
  <si>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</si>
  <si>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</si>
  <si>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</si>
  <si>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</si>
  <si>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</si>
  <si>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</si>
  <si>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</si>
  <si>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</si>
  <si>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</si>
  <si>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</si>
  <si>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</si>
  <si>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</si>
  <si>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</si>
  <si>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</si>
  <si>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</si>
  <si>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</si>
  <si>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</si>
  <si>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</si>
  <si>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</si>
  <si>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</si>
  <si>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</si>
  <si>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</si>
  <si>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</si>
  <si>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</si>
  <si>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</si>
  <si>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</si>
  <si>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SHAKOPEE PUBLIC SCHOOL DISTRICT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</si>
  <si>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</si>
  <si>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</si>
  <si>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</si>
  <si>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</si>
  <si>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</si>
  <si>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</si>
  <si>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</si>
  <si>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</si>
  <si>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</si>
  <si>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</si>
  <si>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</si>
  <si>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</si>
  <si>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</si>
  <si>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</si>
  <si>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</si>
  <si>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</si>
  <si>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</si>
  <si>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</si>
  <si>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BENSON PUBLIC SCHOOL DISTRICT</t>
  </si>
  <si>
    <t>BERTHA-HEWITT PUBLIC SCHOOL DIST.</t>
  </si>
  <si>
    <t>BROWERVILLE PUBLIC SCHOOL DISTRICT</t>
  </si>
  <si>
    <t>BROWNS VALLEY PUBLIC SCHOOL DIST.</t>
  </si>
  <si>
    <t>WHEATON AREA PUBLIC SCHOOL DISTRICT</t>
  </si>
  <si>
    <t>WABASHA-KELLOGG PUBLIC SCHOOL DIST.</t>
  </si>
  <si>
    <t>LAKE CITY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</si>
  <si>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</si>
  <si>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</si>
  <si>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</si>
  <si>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</si>
  <si>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</si>
  <si>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</si>
  <si>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</si>
  <si>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BUTTERFIELD PUBLIC SCHOOL DISTRICT</t>
  </si>
  <si>
    <t>MADELIA PUBLIC SCHOOL DISTRICT</t>
  </si>
  <si>
    <t>ST. JAMES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</si>
  <si>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</si>
  <si>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</si>
  <si>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</si>
  <si>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</si>
  <si>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</si>
  <si>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</si>
  <si>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ANNANDALE PUBLIC SCHOOL DISTRICT</t>
  </si>
  <si>
    <t>BUFFALO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</si>
  <si>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</si>
  <si>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</si>
  <si>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</si>
  <si>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</si>
  <si>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ST. MICHAEL-ALBERTVILLE SCHOOL DIST</t>
  </si>
  <si>
    <t>CANBY PUBLIC SCHOOL DISTRICT</t>
  </si>
  <si>
    <t>CAMBRIDGE-ISANTI PUBLIC SCHOOL DIST</t>
  </si>
  <si>
    <t>MILACA PUBLIC SCHOOL DISTRICT</t>
  </si>
  <si>
    <t>ULEN-HITTERDAL PUBLIC SCHOOL DIST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</si>
  <si>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</si>
  <si>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</si>
  <si>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</si>
  <si>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</si>
  <si>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</si>
  <si>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CHISAGO LAKES SCHOOL DISTRICT</t>
  </si>
  <si>
    <t>MINNEWASKA SCHOOL DISTRICT</t>
  </si>
  <si>
    <t>EVELETH-GILBERT SCHOOL DISTRICT</t>
  </si>
  <si>
    <t>WADENA-DEER CREEK SCHOOL DISTRICT</t>
  </si>
  <si>
    <t>BUFFALO LAKE-HECTOR SCHOOL DISTRICT</t>
  </si>
  <si>
    <t>HINCKLEY-FINLAYSON SCHOOL DISTRICT</t>
  </si>
  <si>
    <t>LAKEVIEW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</si>
  <si>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</si>
  <si>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</si>
  <si>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</si>
  <si>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</si>
  <si>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</si>
  <si>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</si>
  <si>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</si>
  <si>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</si>
  <si>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NORMAN COUNTY EAST SCHOOL DISTRICT</t>
  </si>
  <si>
    <t>SIBLEY EAST SCHOOL DISTRICT</t>
  </si>
  <si>
    <t>CLEARBROOK-GONVICK SCHOOL DISTRICT</t>
  </si>
  <si>
    <t>TRI-COUNTY SCHOOL DISTRICT</t>
  </si>
  <si>
    <t>BELGRADE-BROOTEN-ELROSA SCHOOL DIST</t>
  </si>
  <si>
    <t>LESUEUR-HENDERSON SCHOOL DISTRICT</t>
  </si>
  <si>
    <t>MARTIN COUNTY WEST SCHOOL DISTRICT</t>
  </si>
  <si>
    <t>NORMAN COUNTY WEST SCHOOL DISTRICT</t>
  </si>
  <si>
    <t>EAST CENTRAL SCHOOL DISTRICT</t>
  </si>
  <si>
    <t>WIN-E-MAC SCHOOL DISTRICT</t>
  </si>
  <si>
    <t>GREENBUSH-MIDDLE RIVER SCHOOL DIST.</t>
  </si>
  <si>
    <t>PIPESTONE AREA SCHOOL DISTRICT</t>
  </si>
  <si>
    <t>MESABI EAST SCHOOL DISTRICT</t>
  </si>
  <si>
    <t>FAIRMONT AREA SCHOOL DISTRICT</t>
  </si>
  <si>
    <t>LONG PRAIRIE-GREY EAGLE SCHOOL DIST</t>
  </si>
  <si>
    <t>CEDAR MOUNTAIN SCHOOL DISTRICT</t>
  </si>
  <si>
    <t>EAGLE VALLEY PUBLIC SCHOOL DISTRICT</t>
  </si>
  <si>
    <t>ZUMBROTA-MAZEPPA SCHOOL DISTRICT</t>
  </si>
  <si>
    <t>LAC QUI PARLE VALLEY SCHOOL DIST.</t>
  </si>
  <si>
    <t>ADA-BORUP PUBLIC SCHOOL DISTRICT</t>
  </si>
  <si>
    <t>GLENCOE-SILVER LAKE SCHOOL DISTRICT</t>
  </si>
  <si>
    <t>RED ROCK CENTRAL SCHOOL DISTRICT</t>
  </si>
  <si>
    <t>LAKE PARK AUDUBON SCHOOL DISTRICT</t>
  </si>
  <si>
    <t>RENVILLE COUNTY WEST SCHOOL DIST.</t>
  </si>
  <si>
    <t>JACKSON COUNTY CENTRAL SCHOOL DIST.</t>
  </si>
  <si>
    <t>REDWOOD AREA SCHOOL DISTRICT</t>
  </si>
  <si>
    <t>MINNEAPOLIS PUBLIC SCHOOL DIST.</t>
  </si>
  <si>
    <t>SOUTH ST. PAUL PUBLIC SCHOOL DIST.</t>
  </si>
  <si>
    <t>GLENVILLE-EMMONS SCHOOL DISTRICT</t>
  </si>
  <si>
    <t>STILLWATER AREA PUBLIC SCHOOL DIST.</t>
  </si>
  <si>
    <t>CENTENNIAL PUBLIC SCHOOL DISTRICT</t>
  </si>
  <si>
    <t>PLAINVIEW-ELGIN-MILLVILLE</t>
  </si>
  <si>
    <t>EASTERN CARVER COUNTY PUBLIC SCHOOL</t>
  </si>
  <si>
    <t>RTR PUBLIC SCHOOLS</t>
  </si>
  <si>
    <t>KASSON-MANTORVILLE SCHOOL DISTRICT</t>
  </si>
  <si>
    <t>RUSHFORD-PETERSON PUBLIC SCHOOLS</t>
  </si>
  <si>
    <t>NRHEG SCHOOL DISTRICT</t>
  </si>
  <si>
    <t>ORTONVILLE PUBLIC SCHOOLS</t>
  </si>
  <si>
    <t>TRACY AREA PUBLIC SCHOOL DISTRICT</t>
  </si>
  <si>
    <t>Type</t>
  </si>
  <si>
    <t>Name</t>
  </si>
  <si>
    <t>County Number</t>
  </si>
  <si>
    <t>Census Population</t>
  </si>
  <si>
    <t>General Community Education Revenue $5.42 x Census (1,335)</t>
  </si>
  <si>
    <t>Youth Service Revenue $1.00 x Census (1,335)</t>
  </si>
  <si>
    <t>Percent of Levy Certified</t>
  </si>
  <si>
    <t>Aid Proration Factor</t>
  </si>
  <si>
    <t>FY 2009 Community Education Aid and Levy</t>
  </si>
  <si>
    <t>FY 2009 Revenue from Other Sources</t>
  </si>
  <si>
    <t>FY 2009 Total Program Revenue</t>
  </si>
  <si>
    <t>FY 2009 Fund Balance Limit</t>
  </si>
  <si>
    <t>FY 2010 Adjustment for Excess Fund Balance</t>
  </si>
  <si>
    <t>Proration Factor</t>
  </si>
  <si>
    <t>Year Census Last Updated</t>
  </si>
  <si>
    <t>Economic Develop-ment Region</t>
  </si>
  <si>
    <t>Youth After-School Enrichment Revenue $1.85 x Census up to 10,000 (1,335); $0.43 x Pop &gt; 10,000</t>
  </si>
  <si>
    <t>Total Community Education Revenue = General + Youth Service + Youth After-School Enrichment</t>
  </si>
  <si>
    <t>Certified 2008 Community Education Levy</t>
  </si>
  <si>
    <t>n/a</t>
  </si>
  <si>
    <t>FY 2010 Aid Limit = Total Revenue - Levy Limit</t>
  </si>
  <si>
    <t>Prorated Initial FY 2010 Aid Entitlement</t>
  </si>
  <si>
    <t>FY 2009 Fund Balance Limit = 0.25 x FY 2009 Total Program Revenue</t>
  </si>
  <si>
    <t xml:space="preserve">FY 2009 Community  Education Fund Balance Limit </t>
  </si>
  <si>
    <t xml:space="preserve">Three-Year Adjusted Average Fund Balance, Community Education Reserve Account and Community Service Fund (Fund 04) Unreserved Account </t>
  </si>
  <si>
    <t>(A) FY 2007 Fund Balance</t>
  </si>
  <si>
    <t>(B) FY 2008 Excess Fund Balance Adjustment</t>
  </si>
  <si>
    <t>(C) FY 2008 Fund Balance</t>
  </si>
  <si>
    <t>(D) FY 2009 Excess Fund Balance Adjustment</t>
  </si>
  <si>
    <t>(E) FY 2009 Waiver</t>
  </si>
  <si>
    <t>(F) FY 2009 Fund Balance</t>
  </si>
  <si>
    <t>(A-B+C-D-E+F) / 3 = Adjusted Average Fund Balance</t>
  </si>
  <si>
    <t>Certify 2008 - Pay 2009 Community Education Levy Limit = Lesser of 2007 ANTC x 0.9% or Total Community Education Revenue</t>
  </si>
  <si>
    <t>FY 2010 Aid Entitlement = Aid Limit x Pct Levy Certified</t>
  </si>
  <si>
    <t>FY 2010 Revenue Adjustment for Excess Fund Balance</t>
  </si>
  <si>
    <t>Adjustment to Levy (Certify 2010-Payable 2011)</t>
  </si>
  <si>
    <t>Adjustment to Aid Entitlement</t>
  </si>
  <si>
    <t>FY 2010 Aid Entitlement, Adjusted for Excess Fund Balance</t>
  </si>
  <si>
    <t>Certified 2008 Levy, Adjusted for Excess Fund Balance</t>
  </si>
  <si>
    <t>STATE TOTAL</t>
  </si>
  <si>
    <t>2007 Adjusted Net Tax Capacity (ANTC)</t>
  </si>
  <si>
    <t>Fall 2007 Age 0-4 Census, Used for Levy</t>
  </si>
  <si>
    <t>Fall 2008 Age 0-4 Census, Used for Final Revenue</t>
  </si>
  <si>
    <t>Adjusted Net Tax Capacity (ANTC)</t>
  </si>
  <si>
    <t>Certified 2008 - Pay 2009 Levy Limit = Lesser of 2007 ANTC x 0.0035014 -or- $120 x 2007 Age 0-4 Census</t>
  </si>
  <si>
    <t>Revised FY 2010 Levy Authority = Lesser of 2007 ANTC x 0.0035014 -or- $120 x 2008 Age 0-4 Census</t>
  </si>
  <si>
    <t>Certified 2008 - Pay 2009 Levy</t>
  </si>
  <si>
    <t>Aid Limit = Revised Revenue - Revised Levy Authority</t>
  </si>
  <si>
    <t>FY 2010 Initial Aid Entitlement = Aid Limit x Percent of Levy Certified</t>
  </si>
  <si>
    <t>Prorated FY 2010 Aid Entitlement</t>
  </si>
  <si>
    <t>FY 2009 ECFE Aid Entitlement and Levy Authority</t>
  </si>
  <si>
    <t>FY 2009 Revenue, Other Sources</t>
  </si>
  <si>
    <t>FY 2009 Total ECFE Program Revenue</t>
  </si>
  <si>
    <t>Limit = 0.25 x FY 2009 Total Program Revenue</t>
  </si>
  <si>
    <t>FY 2010 Levy Authority, Adjusted for Excess Fund Balance</t>
  </si>
  <si>
    <t>Home Visiting Levy Authority = $1.60 x Fall 2008 Age 0-4 Census</t>
  </si>
  <si>
    <t>Revised Aid Limit = Revised Revenue Limit - Revised Levy Authority</t>
  </si>
  <si>
    <t>FY 2009 ECFE Fund Balance Limit</t>
  </si>
  <si>
    <t>Adjusted Three-Year Average ECFE Reserve Account Fund Balance</t>
  </si>
  <si>
    <t>(B) FY 2008 Adjustment for Excess Fund Balance</t>
  </si>
  <si>
    <t>(D) FY 2009 Adjustment for Excess Fund Balance</t>
  </si>
  <si>
    <t>(E) FY 2009 Fund Balance Limit Waiver</t>
  </si>
  <si>
    <t>Levy Adjustment (Certify 2010 - Payable 2011)</t>
  </si>
  <si>
    <t>Aid Entitlement Adjustment</t>
  </si>
  <si>
    <t xml:space="preserve">(A-B+C-D-E+F) / 3 = Adjusted Average Fund Balance </t>
  </si>
  <si>
    <t>Revised/Final FY 2010 ECFE Revenue Limit = $120 x Fall 2008 Age 0-4 Population</t>
  </si>
  <si>
    <t>Estimated FY 2010 ECFE Revenue Limit, Used for Levy = $120 x Fall 2007 Age 0-4 Population</t>
  </si>
  <si>
    <t>Fall 2008 Age 4 Population</t>
  </si>
  <si>
    <t>Fall 2008 Free/Reduced-Price Lunch K-12 Pupils</t>
  </si>
  <si>
    <t>Approved School Readiness Biennial Plan?</t>
  </si>
  <si>
    <t>A + B = Total FY 2010 Aid Entitlement</t>
  </si>
  <si>
    <t>FY 2009 School Readiness Aid Entitlement</t>
  </si>
  <si>
    <t>FY 2009 Fund Balance Limit = 0.25 x Total Revenue</t>
  </si>
  <si>
    <t>(B) FRL Aid = $5.0475 million x Fall 2008 Free /Reduced Lunch Pupils ÷ 252,488</t>
  </si>
  <si>
    <t>(A) Age 4 Aid  = $5.0475 million x Fall 2008 Age 4 Pop  ÷ 73,716</t>
  </si>
  <si>
    <t>FY 2010 School Readiness Aid Allocation, State Total = $10.095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</si>
</sst>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  <numFmt numFmtId="166" formatCode="_(* #,##0.000000_);_(* \(#,##0.0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 vertical="top" wrapText="1"/>
    </xf>
    <xf numFmtId="0" fontId="2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right"/>
    </xf>
    <xf numFmtId="164" fontId="2" fillId="0" borderId="0" xfId="1" applyNumberFormat="1" applyFont="1" applyProtection="1"/>
    <xf numFmtId="43" fontId="2" fillId="0" borderId="0" xfId="1" applyFont="1" applyProtection="1"/>
    <xf numFmtId="9" fontId="2" fillId="0" borderId="0" xfId="2" applyFont="1" applyProtection="1"/>
    <xf numFmtId="0" fontId="3" fillId="0" borderId="0" xfId="0" applyFont="1" applyProtection="1"/>
    <xf numFmtId="0" fontId="3" fillId="0" borderId="0" xfId="0" applyFont="1" applyAlignment="1" applyProtection="1">
      <alignment horizontal="center" vertical="center" wrapText="1"/>
    </xf>
    <xf numFmtId="164" fontId="3" fillId="0" borderId="0" xfId="1" applyNumberFormat="1" applyFont="1" applyAlignment="1" applyProtection="1">
      <alignment horizontal="center" vertical="center" wrapText="1"/>
    </xf>
    <xf numFmtId="166" fontId="3" fillId="0" borderId="0" xfId="1" applyNumberFormat="1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NumberFormat="1" applyFont="1"/>
    <xf numFmtId="43" fontId="2" fillId="0" borderId="0" xfId="1" applyFont="1"/>
    <xf numFmtId="9" fontId="2" fillId="0" borderId="0" xfId="2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Protection="1"/>
    <xf numFmtId="0" fontId="3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 vertical="top" wrapText="1"/>
    </xf>
    <xf numFmtId="0" fontId="3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42"/>
  <sheetViews>
    <sheetView tabSelected="1" topLeftCell="A2" zoomScale="110" zoomScaleNormal="110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E6" sqref="E6"/>
    </sheetView>
  </sheetViews>
  <sheetFormatPr defaultRowHeight="12.75" x14ac:dyDescent="0.2"/>
  <cols>
    <col min="1" max="1" width="6.42578125" style="1" customWidth="1"/>
    <col min="2" max="2" width="7.5703125" style="1" customWidth="1"/>
    <col min="3" max="3" width="5.140625" style="1" customWidth="1"/>
    <col min="4" max="4" width="32.7109375" style="1" customWidth="1"/>
    <col min="5" max="5" width="9.140625" style="1"/>
    <col min="6" max="6" width="9.7109375" style="1" customWidth="1"/>
    <col min="7" max="7" width="12.5703125" style="1" bestFit="1" customWidth="1"/>
    <col min="8" max="8" width="9.140625" style="2"/>
    <col min="9" max="9" width="14.42578125" style="1" customWidth="1"/>
    <col min="10" max="10" width="13.28515625" style="1" bestFit="1" customWidth="1"/>
    <col min="11" max="11" width="11.5703125" style="1" bestFit="1" customWidth="1"/>
    <col min="12" max="12" width="13.7109375" style="1" customWidth="1"/>
    <col min="13" max="13" width="13.28515625" style="1" bestFit="1" customWidth="1"/>
    <col min="14" max="14" width="16.42578125" style="1" customWidth="1"/>
    <col min="15" max="15" width="13.28515625" style="1" bestFit="1" customWidth="1"/>
    <col min="16" max="16" width="9.140625" style="1"/>
    <col min="17" max="17" width="10.5703125" style="1" bestFit="1" customWidth="1"/>
    <col min="18" max="18" width="11.85546875" style="1" customWidth="1"/>
    <col min="19" max="19" width="10.42578125" style="1" bestFit="1" customWidth="1"/>
    <col min="20" max="20" width="13.140625" style="1" customWidth="1"/>
    <col min="21" max="21" width="13.28515625" style="1" bestFit="1" customWidth="1"/>
    <col min="22" max="23" width="14.28515625" style="1" bestFit="1" customWidth="1"/>
    <col min="24" max="24" width="13.28515625" style="1" bestFit="1" customWidth="1"/>
    <col min="25" max="25" width="12.140625" style="1" customWidth="1"/>
    <col min="26" max="26" width="10.42578125" style="1" customWidth="1"/>
    <col min="27" max="27" width="12.140625" style="1" customWidth="1"/>
    <col min="28" max="28" width="10.85546875" style="1" customWidth="1"/>
    <col min="29" max="29" width="8" style="1" customWidth="1"/>
    <col min="30" max="30" width="12.28515625" style="1" customWidth="1"/>
    <col min="31" max="31" width="13.28515625" style="1" bestFit="1" customWidth="1"/>
    <col min="32" max="32" width="13.140625" style="1" customWidth="1"/>
    <col min="33" max="33" width="12.7109375" style="1" customWidth="1"/>
    <col min="34" max="34" width="12" style="1" customWidth="1"/>
    <col min="35" max="35" width="13.28515625" style="1" bestFit="1" customWidth="1"/>
    <col min="36" max="36" width="12.140625" style="1" customWidth="1"/>
    <col min="37" max="16384" width="9.140625" style="1"/>
  </cols>
  <sheetData>
    <row r="1" spans="1:36" hidden="1" x14ac:dyDescent="0.2">
      <c r="A1" s="1" t="s">
        <v>0</v>
      </c>
      <c r="B1" s="1" t="s">
        <v>1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3</v>
      </c>
      <c r="H1" s="2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</row>
    <row r="2" spans="1:36" ht="34.5" customHeight="1" x14ac:dyDescent="0.2">
      <c r="A2" s="38" t="s">
        <v>51</v>
      </c>
      <c r="B2" s="38" t="s">
        <v>52</v>
      </c>
      <c r="C2" s="38" t="s">
        <v>405</v>
      </c>
      <c r="D2" s="38" t="s">
        <v>406</v>
      </c>
      <c r="E2" s="38" t="s">
        <v>407</v>
      </c>
      <c r="F2" s="38" t="s">
        <v>420</v>
      </c>
      <c r="G2" s="38" t="s">
        <v>408</v>
      </c>
      <c r="H2" s="38" t="s">
        <v>419</v>
      </c>
      <c r="I2" s="38" t="s">
        <v>445</v>
      </c>
      <c r="J2" s="36" t="s">
        <v>409</v>
      </c>
      <c r="K2" s="36" t="s">
        <v>410</v>
      </c>
      <c r="L2" s="36" t="s">
        <v>421</v>
      </c>
      <c r="M2" s="36" t="s">
        <v>422</v>
      </c>
      <c r="N2" s="36" t="s">
        <v>437</v>
      </c>
      <c r="O2" s="38" t="s">
        <v>423</v>
      </c>
      <c r="P2" s="38" t="s">
        <v>411</v>
      </c>
      <c r="Q2" s="38" t="s">
        <v>425</v>
      </c>
      <c r="R2" s="38" t="s">
        <v>438</v>
      </c>
      <c r="S2" s="38" t="s">
        <v>412</v>
      </c>
      <c r="T2" s="38" t="s">
        <v>426</v>
      </c>
      <c r="U2" s="34" t="s">
        <v>428</v>
      </c>
      <c r="V2" s="34"/>
      <c r="W2" s="34"/>
      <c r="X2" s="34"/>
      <c r="Y2" s="35" t="s">
        <v>429</v>
      </c>
      <c r="Z2" s="35"/>
      <c r="AA2" s="35"/>
      <c r="AB2" s="35"/>
      <c r="AC2" s="35"/>
      <c r="AD2" s="35"/>
      <c r="AE2" s="35"/>
      <c r="AF2" s="34" t="s">
        <v>439</v>
      </c>
      <c r="AG2" s="34"/>
      <c r="AH2" s="34"/>
      <c r="AI2" s="34"/>
      <c r="AJ2" s="34"/>
    </row>
    <row r="3" spans="1:36" s="3" customFormat="1" ht="80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6"/>
      <c r="K3" s="36"/>
      <c r="L3" s="36"/>
      <c r="M3" s="36"/>
      <c r="N3" s="36"/>
      <c r="O3" s="38"/>
      <c r="P3" s="38"/>
      <c r="Q3" s="38"/>
      <c r="R3" s="38"/>
      <c r="S3" s="38"/>
      <c r="T3" s="38"/>
      <c r="U3" s="3" t="s">
        <v>413</v>
      </c>
      <c r="V3" s="3" t="s">
        <v>414</v>
      </c>
      <c r="W3" s="3" t="s">
        <v>415</v>
      </c>
      <c r="X3" s="3" t="s">
        <v>427</v>
      </c>
      <c r="Y3" s="3" t="s">
        <v>430</v>
      </c>
      <c r="Z3" s="3" t="s">
        <v>431</v>
      </c>
      <c r="AA3" s="3" t="s">
        <v>432</v>
      </c>
      <c r="AB3" s="3" t="s">
        <v>433</v>
      </c>
      <c r="AC3" s="3" t="s">
        <v>434</v>
      </c>
      <c r="AD3" s="3" t="s">
        <v>435</v>
      </c>
      <c r="AE3" s="3" t="s">
        <v>436</v>
      </c>
      <c r="AF3" s="3" t="s">
        <v>417</v>
      </c>
      <c r="AG3" s="3" t="s">
        <v>440</v>
      </c>
      <c r="AH3" s="3" t="s">
        <v>441</v>
      </c>
      <c r="AI3" s="3" t="s">
        <v>443</v>
      </c>
      <c r="AJ3" s="3" t="s">
        <v>442</v>
      </c>
    </row>
    <row r="4" spans="1:36" s="3" customFormat="1" ht="7.5" customHeight="1" x14ac:dyDescent="0.25">
      <c r="A4" s="4"/>
      <c r="B4" s="4"/>
      <c r="C4" s="4"/>
      <c r="D4" s="4"/>
      <c r="E4" s="4"/>
      <c r="F4" s="4"/>
      <c r="G4" s="4"/>
      <c r="H4" s="4"/>
      <c r="I4" s="4"/>
      <c r="O4" s="4"/>
      <c r="P4" s="4"/>
      <c r="Q4" s="4"/>
      <c r="R4" s="4"/>
      <c r="S4" s="4"/>
      <c r="T4" s="4"/>
    </row>
    <row r="5" spans="1:36" s="13" customFormat="1" x14ac:dyDescent="0.2">
      <c r="A5" s="9" t="s">
        <v>33</v>
      </c>
      <c r="B5" s="37" t="s">
        <v>444</v>
      </c>
      <c r="C5" s="37"/>
      <c r="D5" s="37"/>
      <c r="E5" s="10"/>
      <c r="F5" s="10"/>
      <c r="G5" s="11">
        <f>SUM(G7:G342)</f>
        <v>5338148</v>
      </c>
      <c r="H5" s="10">
        <v>2008</v>
      </c>
      <c r="I5" s="11">
        <f t="shared" ref="I5:AJ5" si="0">SUM(I7:I342)</f>
        <v>6775330669</v>
      </c>
      <c r="J5" s="11">
        <f t="shared" si="0"/>
        <v>28985070.57999998</v>
      </c>
      <c r="K5" s="11">
        <f t="shared" si="0"/>
        <v>5227352</v>
      </c>
      <c r="L5" s="11">
        <f t="shared" si="0"/>
        <v>5040910.6100000003</v>
      </c>
      <c r="M5" s="11">
        <f t="shared" si="0"/>
        <v>39253333.190000005</v>
      </c>
      <c r="N5" s="11">
        <f t="shared" si="0"/>
        <v>38680101.369999997</v>
      </c>
      <c r="O5" s="11">
        <f t="shared" si="0"/>
        <v>38620934.300000004</v>
      </c>
      <c r="P5" s="11">
        <f t="shared" si="0"/>
        <v>334.00190603700003</v>
      </c>
      <c r="Q5" s="11">
        <f t="shared" si="0"/>
        <v>573231.82000000018</v>
      </c>
      <c r="R5" s="11">
        <f t="shared" si="0"/>
        <v>573231.82000000018</v>
      </c>
      <c r="S5" s="12">
        <f>+S7</f>
        <v>0.99087303000000004</v>
      </c>
      <c r="T5" s="11">
        <f t="shared" si="0"/>
        <v>568000</v>
      </c>
      <c r="U5" s="11">
        <f t="shared" si="0"/>
        <v>39069694.389999993</v>
      </c>
      <c r="V5" s="11">
        <f t="shared" si="0"/>
        <v>225488403.82999992</v>
      </c>
      <c r="W5" s="11">
        <f t="shared" si="0"/>
        <v>264558098.21999982</v>
      </c>
      <c r="X5" s="11">
        <f t="shared" si="0"/>
        <v>66139524.990000024</v>
      </c>
      <c r="Y5" s="11">
        <f t="shared" si="0"/>
        <v>29125506.490000006</v>
      </c>
      <c r="Z5" s="11">
        <f t="shared" si="0"/>
        <v>346372.65000000008</v>
      </c>
      <c r="AA5" s="11">
        <f t="shared" si="0"/>
        <v>33556309.119999982</v>
      </c>
      <c r="AB5" s="11">
        <f t="shared" si="0"/>
        <v>369861.71</v>
      </c>
      <c r="AC5" s="11">
        <f t="shared" si="0"/>
        <v>0</v>
      </c>
      <c r="AD5" s="11">
        <f t="shared" si="0"/>
        <v>34369899.950000033</v>
      </c>
      <c r="AE5" s="11">
        <f t="shared" si="0"/>
        <v>32111827.16000003</v>
      </c>
      <c r="AF5" s="11">
        <f t="shared" si="0"/>
        <v>384306.99000000005</v>
      </c>
      <c r="AG5" s="11">
        <f t="shared" si="0"/>
        <v>361621.67000000004</v>
      </c>
      <c r="AH5" s="11">
        <f t="shared" si="0"/>
        <v>22685.32</v>
      </c>
      <c r="AI5" s="11">
        <f t="shared" si="0"/>
        <v>38259312.630000003</v>
      </c>
      <c r="AJ5" s="11">
        <f t="shared" si="0"/>
        <v>550546.50000000012</v>
      </c>
    </row>
    <row r="6" spans="1:36" s="3" customFormat="1" ht="6.75" customHeight="1" x14ac:dyDescent="0.25">
      <c r="A6" s="4"/>
      <c r="B6" s="4"/>
      <c r="C6" s="4"/>
      <c r="D6" s="4"/>
      <c r="E6" s="4"/>
      <c r="F6" s="4"/>
      <c r="G6" s="4"/>
      <c r="H6" s="4"/>
      <c r="I6" s="4"/>
      <c r="O6" s="4"/>
      <c r="P6" s="4"/>
      <c r="Q6" s="4"/>
      <c r="R6" s="4"/>
      <c r="S6" s="4"/>
      <c r="T6" s="4"/>
    </row>
    <row r="7" spans="1:36" x14ac:dyDescent="0.2">
      <c r="A7" s="1" t="s">
        <v>33</v>
      </c>
      <c r="B7" s="1">
        <v>1</v>
      </c>
      <c r="C7" s="1">
        <v>1</v>
      </c>
      <c r="D7" s="1" t="s">
        <v>96</v>
      </c>
      <c r="E7" s="1">
        <v>1</v>
      </c>
      <c r="F7" s="5" t="s">
        <v>58</v>
      </c>
      <c r="G7" s="6">
        <v>9012</v>
      </c>
      <c r="H7" s="2">
        <v>2000</v>
      </c>
      <c r="I7" s="6">
        <v>21919113</v>
      </c>
      <c r="J7" s="7">
        <v>48845.04</v>
      </c>
      <c r="K7" s="6">
        <v>9012</v>
      </c>
      <c r="L7" s="7">
        <v>16672.2</v>
      </c>
      <c r="M7" s="7">
        <v>74529.240000000005</v>
      </c>
      <c r="N7" s="7">
        <v>74529.240000000005</v>
      </c>
      <c r="O7" s="7">
        <v>74529.240000000005</v>
      </c>
      <c r="P7" s="8">
        <v>1</v>
      </c>
      <c r="Q7" s="7">
        <v>0</v>
      </c>
      <c r="R7" s="7">
        <v>0</v>
      </c>
      <c r="S7" s="1">
        <v>0.99087303000000004</v>
      </c>
      <c r="T7" s="7">
        <v>0</v>
      </c>
      <c r="U7" s="7">
        <v>74529.240000000005</v>
      </c>
      <c r="V7" s="7">
        <v>96807.61</v>
      </c>
      <c r="W7" s="7">
        <v>171336.85</v>
      </c>
      <c r="X7" s="7">
        <v>42834.21</v>
      </c>
      <c r="Y7" s="7">
        <v>15080.38</v>
      </c>
      <c r="Z7" s="7">
        <v>0</v>
      </c>
      <c r="AA7" s="7">
        <v>11565.14</v>
      </c>
      <c r="AB7" s="7">
        <v>0</v>
      </c>
      <c r="AC7" s="7">
        <v>0</v>
      </c>
      <c r="AD7" s="7">
        <v>16221.39</v>
      </c>
      <c r="AE7" s="7">
        <v>14288.97</v>
      </c>
      <c r="AF7" s="7">
        <v>0</v>
      </c>
      <c r="AG7" s="7">
        <v>0</v>
      </c>
      <c r="AH7" s="7">
        <v>0</v>
      </c>
      <c r="AI7" s="7">
        <v>74529.240000000005</v>
      </c>
      <c r="AJ7" s="7">
        <v>0</v>
      </c>
    </row>
    <row r="8" spans="1:36" x14ac:dyDescent="0.2">
      <c r="A8" s="1" t="s">
        <v>33</v>
      </c>
      <c r="B8" s="1">
        <v>1</v>
      </c>
      <c r="C8" s="1">
        <v>3</v>
      </c>
      <c r="D8" s="1" t="s">
        <v>392</v>
      </c>
      <c r="E8" s="1">
        <v>27</v>
      </c>
      <c r="F8" s="5" t="s">
        <v>56</v>
      </c>
      <c r="G8" s="6">
        <v>382618</v>
      </c>
      <c r="H8" s="2">
        <v>2000</v>
      </c>
      <c r="I8" s="6">
        <v>465314709</v>
      </c>
      <c r="J8" s="7">
        <v>2073789.56</v>
      </c>
      <c r="K8" s="6">
        <v>382618</v>
      </c>
      <c r="L8" s="7">
        <v>178725.74</v>
      </c>
      <c r="M8" s="7">
        <v>2635133.2999999998</v>
      </c>
      <c r="N8" s="7">
        <v>2635133.2999999998</v>
      </c>
      <c r="O8" s="7">
        <v>2635133.2999999998</v>
      </c>
      <c r="P8" s="8">
        <v>1</v>
      </c>
      <c r="Q8" s="7">
        <v>0</v>
      </c>
      <c r="R8" s="7">
        <v>0</v>
      </c>
      <c r="S8" s="1">
        <v>0.99087303000000004</v>
      </c>
      <c r="T8" s="7">
        <v>0</v>
      </c>
      <c r="U8" s="7">
        <v>2635133.2999999998</v>
      </c>
      <c r="V8" s="7">
        <v>10323019.050000001</v>
      </c>
      <c r="W8" s="7">
        <v>12958152.35</v>
      </c>
      <c r="X8" s="7">
        <v>3239538.09</v>
      </c>
      <c r="Y8" s="7">
        <v>2119785.58</v>
      </c>
      <c r="Z8" s="7">
        <v>0</v>
      </c>
      <c r="AA8" s="7">
        <v>2262207.7999999998</v>
      </c>
      <c r="AB8" s="7">
        <v>0</v>
      </c>
      <c r="AC8" s="7">
        <v>0</v>
      </c>
      <c r="AD8" s="7">
        <v>3867286.52</v>
      </c>
      <c r="AE8" s="7">
        <v>2749759.97</v>
      </c>
      <c r="AF8" s="7">
        <v>0</v>
      </c>
      <c r="AG8" s="7">
        <v>0</v>
      </c>
      <c r="AH8" s="7">
        <v>0</v>
      </c>
      <c r="AI8" s="7">
        <v>2635133.2999999998</v>
      </c>
      <c r="AJ8" s="7">
        <v>0</v>
      </c>
    </row>
    <row r="9" spans="1:36" x14ac:dyDescent="0.2">
      <c r="A9" s="1" t="s">
        <v>33</v>
      </c>
      <c r="B9" s="1">
        <v>2</v>
      </c>
      <c r="C9" s="1">
        <v>1</v>
      </c>
      <c r="D9" s="1" t="s">
        <v>94</v>
      </c>
      <c r="E9" s="1">
        <v>1</v>
      </c>
      <c r="F9" s="5" t="s">
        <v>58</v>
      </c>
      <c r="G9" s="6">
        <v>1523</v>
      </c>
      <c r="H9" s="2">
        <v>2000</v>
      </c>
      <c r="I9" s="6">
        <v>1776776</v>
      </c>
      <c r="J9" s="7">
        <v>8254.66</v>
      </c>
      <c r="K9" s="6">
        <v>1523</v>
      </c>
      <c r="L9" s="7">
        <v>2817.55</v>
      </c>
      <c r="M9" s="7">
        <v>12595.21</v>
      </c>
      <c r="N9" s="7">
        <v>12595.21</v>
      </c>
      <c r="O9" s="7">
        <v>12595.21</v>
      </c>
      <c r="P9" s="8">
        <v>1</v>
      </c>
      <c r="Q9" s="7">
        <v>0</v>
      </c>
      <c r="R9" s="7">
        <v>0</v>
      </c>
      <c r="S9" s="1">
        <v>0.99087303000000004</v>
      </c>
      <c r="T9" s="7">
        <v>0</v>
      </c>
      <c r="U9" s="7">
        <v>12595.21</v>
      </c>
      <c r="V9" s="7">
        <v>50644.71</v>
      </c>
      <c r="W9" s="7">
        <v>63239.92</v>
      </c>
      <c r="X9" s="7">
        <v>15809.98</v>
      </c>
      <c r="Y9" s="7">
        <v>5624.97</v>
      </c>
      <c r="Z9" s="7">
        <v>0</v>
      </c>
      <c r="AA9" s="7">
        <v>4656.43</v>
      </c>
      <c r="AB9" s="7">
        <v>0</v>
      </c>
      <c r="AC9" s="7">
        <v>0</v>
      </c>
      <c r="AD9" s="7">
        <v>6577.28</v>
      </c>
      <c r="AE9" s="7">
        <v>5619.56</v>
      </c>
      <c r="AF9" s="7">
        <v>0</v>
      </c>
      <c r="AG9" s="7">
        <v>0</v>
      </c>
      <c r="AH9" s="7">
        <v>0</v>
      </c>
      <c r="AI9" s="7">
        <v>12595.21</v>
      </c>
      <c r="AJ9" s="7">
        <v>0</v>
      </c>
    </row>
    <row r="10" spans="1:36" x14ac:dyDescent="0.2">
      <c r="A10" s="1" t="s">
        <v>33</v>
      </c>
      <c r="B10" s="1">
        <v>4</v>
      </c>
      <c r="C10" s="1">
        <v>1</v>
      </c>
      <c r="D10" s="1" t="s">
        <v>95</v>
      </c>
      <c r="E10" s="1">
        <v>1</v>
      </c>
      <c r="F10" s="5" t="s">
        <v>58</v>
      </c>
      <c r="G10" s="6">
        <v>4005</v>
      </c>
      <c r="H10" s="2">
        <v>2000</v>
      </c>
      <c r="I10" s="6">
        <v>11338277</v>
      </c>
      <c r="J10" s="7">
        <v>21707.1</v>
      </c>
      <c r="K10" s="6">
        <v>4005</v>
      </c>
      <c r="L10" s="7">
        <v>7409.25</v>
      </c>
      <c r="M10" s="7">
        <v>33121.35</v>
      </c>
      <c r="N10" s="7">
        <v>33121.35</v>
      </c>
      <c r="O10" s="7">
        <v>33121.35</v>
      </c>
      <c r="P10" s="8">
        <v>1</v>
      </c>
      <c r="Q10" s="7">
        <v>0</v>
      </c>
      <c r="R10" s="7">
        <v>0</v>
      </c>
      <c r="S10" s="1">
        <v>0.99087303000000004</v>
      </c>
      <c r="T10" s="7">
        <v>0</v>
      </c>
      <c r="U10" s="7">
        <v>33121.35</v>
      </c>
      <c r="V10" s="7">
        <v>101268.14</v>
      </c>
      <c r="W10" s="7">
        <v>134389.49</v>
      </c>
      <c r="X10" s="7">
        <v>33597.370000000003</v>
      </c>
      <c r="Y10" s="7">
        <v>-22595.79</v>
      </c>
      <c r="Z10" s="7">
        <v>0</v>
      </c>
      <c r="AA10" s="7">
        <v>-20239.03</v>
      </c>
      <c r="AB10" s="7">
        <v>0</v>
      </c>
      <c r="AC10" s="7">
        <v>0</v>
      </c>
      <c r="AD10" s="7">
        <v>-25860.13</v>
      </c>
      <c r="AE10" s="7">
        <v>-22898.32</v>
      </c>
      <c r="AF10" s="7">
        <v>0</v>
      </c>
      <c r="AG10" s="7">
        <v>0</v>
      </c>
      <c r="AH10" s="7">
        <v>0</v>
      </c>
      <c r="AI10" s="7">
        <v>33121.35</v>
      </c>
      <c r="AJ10" s="7">
        <v>0</v>
      </c>
    </row>
    <row r="11" spans="1:36" x14ac:dyDescent="0.2">
      <c r="A11" s="1" t="s">
        <v>33</v>
      </c>
      <c r="B11" s="1">
        <v>6</v>
      </c>
      <c r="C11" s="1">
        <v>3</v>
      </c>
      <c r="D11" s="1" t="s">
        <v>393</v>
      </c>
      <c r="E11" s="1">
        <v>19</v>
      </c>
      <c r="F11" s="5" t="s">
        <v>56</v>
      </c>
      <c r="G11" s="6">
        <v>19992</v>
      </c>
      <c r="H11" s="2">
        <v>2000</v>
      </c>
      <c r="I11" s="6">
        <v>19832871</v>
      </c>
      <c r="J11" s="7">
        <v>108356.64</v>
      </c>
      <c r="K11" s="6">
        <v>19992</v>
      </c>
      <c r="L11" s="7">
        <v>22796.560000000001</v>
      </c>
      <c r="M11" s="7">
        <v>151145.20000000001</v>
      </c>
      <c r="N11" s="7">
        <v>151145.20000000001</v>
      </c>
      <c r="O11" s="7">
        <v>151145.20000000001</v>
      </c>
      <c r="P11" s="8">
        <v>1</v>
      </c>
      <c r="Q11" s="7">
        <v>0</v>
      </c>
      <c r="R11" s="7">
        <v>0</v>
      </c>
      <c r="S11" s="1">
        <v>0.99087303000000004</v>
      </c>
      <c r="T11" s="7">
        <v>0</v>
      </c>
      <c r="U11" s="7">
        <v>151145.20000000001</v>
      </c>
      <c r="V11" s="7">
        <v>1191474.82</v>
      </c>
      <c r="W11" s="7">
        <v>1342620.02</v>
      </c>
      <c r="X11" s="7">
        <v>335655.01</v>
      </c>
      <c r="Y11" s="7">
        <v>90416.639999999999</v>
      </c>
      <c r="Z11" s="7">
        <v>0</v>
      </c>
      <c r="AA11" s="7">
        <v>149742.98000000001</v>
      </c>
      <c r="AB11" s="7">
        <v>0</v>
      </c>
      <c r="AC11" s="7">
        <v>0</v>
      </c>
      <c r="AD11" s="7">
        <v>226216.45</v>
      </c>
      <c r="AE11" s="7">
        <v>155458.69</v>
      </c>
      <c r="AF11" s="7">
        <v>0</v>
      </c>
      <c r="AG11" s="7">
        <v>0</v>
      </c>
      <c r="AH11" s="7">
        <v>0</v>
      </c>
      <c r="AI11" s="7">
        <v>151145.20000000001</v>
      </c>
      <c r="AJ11" s="7">
        <v>0</v>
      </c>
    </row>
    <row r="12" spans="1:36" x14ac:dyDescent="0.2">
      <c r="A12" s="1" t="s">
        <v>33</v>
      </c>
      <c r="B12" s="1">
        <v>11</v>
      </c>
      <c r="C12" s="1">
        <v>1</v>
      </c>
      <c r="D12" s="1" t="s">
        <v>97</v>
      </c>
      <c r="E12" s="1">
        <v>2</v>
      </c>
      <c r="F12" s="5" t="s">
        <v>56</v>
      </c>
      <c r="G12" s="6">
        <v>248650</v>
      </c>
      <c r="H12" s="2">
        <v>2007</v>
      </c>
      <c r="I12" s="6">
        <v>250906771</v>
      </c>
      <c r="J12" s="7">
        <v>1347683</v>
      </c>
      <c r="K12" s="6">
        <v>248650</v>
      </c>
      <c r="L12" s="7">
        <v>121119.5</v>
      </c>
      <c r="M12" s="7">
        <v>1717452.5</v>
      </c>
      <c r="N12" s="7">
        <v>1717452.5</v>
      </c>
      <c r="O12" s="7">
        <v>1717452.5</v>
      </c>
      <c r="P12" s="8">
        <v>1</v>
      </c>
      <c r="Q12" s="7">
        <v>0</v>
      </c>
      <c r="R12" s="7">
        <v>0</v>
      </c>
      <c r="S12" s="1">
        <v>0.99087303000000004</v>
      </c>
      <c r="T12" s="7">
        <v>0</v>
      </c>
      <c r="U12" s="7">
        <v>1717452.5</v>
      </c>
      <c r="V12" s="7">
        <v>10768592.92</v>
      </c>
      <c r="W12" s="7">
        <v>12486045.42</v>
      </c>
      <c r="X12" s="7">
        <v>3121511.36</v>
      </c>
      <c r="Y12" s="7">
        <v>1416761.52</v>
      </c>
      <c r="Z12" s="7">
        <v>0</v>
      </c>
      <c r="AA12" s="7">
        <v>2153933</v>
      </c>
      <c r="AB12" s="7">
        <v>0</v>
      </c>
      <c r="AC12" s="7">
        <v>0</v>
      </c>
      <c r="AD12" s="7">
        <v>2004455.25</v>
      </c>
      <c r="AE12" s="7">
        <v>1858383.26</v>
      </c>
      <c r="AF12" s="7">
        <v>0</v>
      </c>
      <c r="AG12" s="7">
        <v>0</v>
      </c>
      <c r="AH12" s="7">
        <v>0</v>
      </c>
      <c r="AI12" s="7">
        <v>1717452.5</v>
      </c>
      <c r="AJ12" s="7">
        <v>0</v>
      </c>
    </row>
    <row r="13" spans="1:36" x14ac:dyDescent="0.2">
      <c r="A13" s="1" t="s">
        <v>33</v>
      </c>
      <c r="B13" s="1">
        <v>12</v>
      </c>
      <c r="C13" s="1">
        <v>1</v>
      </c>
      <c r="D13" s="1" t="s">
        <v>396</v>
      </c>
      <c r="E13" s="1">
        <v>2</v>
      </c>
      <c r="F13" s="5" t="s">
        <v>56</v>
      </c>
      <c r="G13" s="6">
        <v>42287</v>
      </c>
      <c r="H13" s="2">
        <v>2008</v>
      </c>
      <c r="I13" s="6">
        <v>34726438</v>
      </c>
      <c r="J13" s="7">
        <v>229195.54</v>
      </c>
      <c r="K13" s="6">
        <v>42287</v>
      </c>
      <c r="L13" s="7">
        <v>32383.41</v>
      </c>
      <c r="M13" s="7">
        <v>303865.95</v>
      </c>
      <c r="N13" s="7">
        <v>303865.95</v>
      </c>
      <c r="O13" s="7">
        <v>303865.95</v>
      </c>
      <c r="P13" s="8">
        <v>1</v>
      </c>
      <c r="Q13" s="7">
        <v>0</v>
      </c>
      <c r="R13" s="7">
        <v>0</v>
      </c>
      <c r="S13" s="1">
        <v>0.99087303000000004</v>
      </c>
      <c r="T13" s="7">
        <v>0</v>
      </c>
      <c r="U13" s="7">
        <v>301208.15000000002</v>
      </c>
      <c r="V13" s="7">
        <v>2201244.52</v>
      </c>
      <c r="W13" s="7">
        <v>2502452.67</v>
      </c>
      <c r="X13" s="7">
        <v>625613.17000000004</v>
      </c>
      <c r="Y13" s="7">
        <v>369673.4</v>
      </c>
      <c r="Z13" s="7">
        <v>0</v>
      </c>
      <c r="AA13" s="7">
        <v>438965.21</v>
      </c>
      <c r="AB13" s="7">
        <v>0</v>
      </c>
      <c r="AC13" s="7">
        <v>0</v>
      </c>
      <c r="AD13" s="7">
        <v>271326.82</v>
      </c>
      <c r="AE13" s="7">
        <v>359988.47999999998</v>
      </c>
      <c r="AF13" s="7">
        <v>0</v>
      </c>
      <c r="AG13" s="7">
        <v>0</v>
      </c>
      <c r="AH13" s="7">
        <v>0</v>
      </c>
      <c r="AI13" s="7">
        <v>303865.95</v>
      </c>
      <c r="AJ13" s="7">
        <v>0</v>
      </c>
    </row>
    <row r="14" spans="1:36" x14ac:dyDescent="0.2">
      <c r="A14" s="1" t="s">
        <v>33</v>
      </c>
      <c r="B14" s="1">
        <v>13</v>
      </c>
      <c r="C14" s="1">
        <v>1</v>
      </c>
      <c r="D14" s="1" t="s">
        <v>98</v>
      </c>
      <c r="E14" s="1">
        <v>2</v>
      </c>
      <c r="F14" s="5" t="s">
        <v>56</v>
      </c>
      <c r="G14" s="6">
        <v>24441</v>
      </c>
      <c r="H14" s="2">
        <v>2000</v>
      </c>
      <c r="I14" s="6">
        <v>26597521</v>
      </c>
      <c r="J14" s="7">
        <v>132470.22</v>
      </c>
      <c r="K14" s="6">
        <v>24441</v>
      </c>
      <c r="L14" s="7">
        <v>24709.63</v>
      </c>
      <c r="M14" s="7">
        <v>181620.85</v>
      </c>
      <c r="N14" s="7">
        <v>181620.85</v>
      </c>
      <c r="O14" s="7">
        <v>181620.85</v>
      </c>
      <c r="P14" s="8">
        <v>1</v>
      </c>
      <c r="Q14" s="7">
        <v>0</v>
      </c>
      <c r="R14" s="7">
        <v>0</v>
      </c>
      <c r="S14" s="1">
        <v>0.99087303000000004</v>
      </c>
      <c r="T14" s="7">
        <v>0</v>
      </c>
      <c r="U14" s="7">
        <v>181620.85</v>
      </c>
      <c r="V14" s="7">
        <v>466101.74</v>
      </c>
      <c r="W14" s="7">
        <v>647722.59</v>
      </c>
      <c r="X14" s="7">
        <v>161930.65</v>
      </c>
      <c r="Y14" s="7">
        <v>53713.34</v>
      </c>
      <c r="Z14" s="7">
        <v>0</v>
      </c>
      <c r="AA14" s="7">
        <v>86097.21</v>
      </c>
      <c r="AB14" s="7">
        <v>0</v>
      </c>
      <c r="AC14" s="7">
        <v>0</v>
      </c>
      <c r="AD14" s="7">
        <v>144934.54</v>
      </c>
      <c r="AE14" s="7">
        <v>94915.03</v>
      </c>
      <c r="AF14" s="7">
        <v>0</v>
      </c>
      <c r="AG14" s="7">
        <v>0</v>
      </c>
      <c r="AH14" s="7">
        <v>0</v>
      </c>
      <c r="AI14" s="7">
        <v>181620.85</v>
      </c>
      <c r="AJ14" s="7">
        <v>0</v>
      </c>
    </row>
    <row r="15" spans="1:36" x14ac:dyDescent="0.2">
      <c r="A15" s="1" t="s">
        <v>33</v>
      </c>
      <c r="B15" s="1">
        <v>14</v>
      </c>
      <c r="C15" s="1">
        <v>1</v>
      </c>
      <c r="D15" s="1" t="s">
        <v>99</v>
      </c>
      <c r="E15" s="1">
        <v>2</v>
      </c>
      <c r="F15" s="5" t="s">
        <v>56</v>
      </c>
      <c r="G15" s="6">
        <v>15564</v>
      </c>
      <c r="H15" s="2">
        <v>2000</v>
      </c>
      <c r="I15" s="6">
        <v>17273665</v>
      </c>
      <c r="J15" s="7">
        <v>84356.88</v>
      </c>
      <c r="K15" s="6">
        <v>15564</v>
      </c>
      <c r="L15" s="7">
        <v>20892.52</v>
      </c>
      <c r="M15" s="7">
        <v>120813.4</v>
      </c>
      <c r="N15" s="7">
        <v>120813.4</v>
      </c>
      <c r="O15" s="7">
        <v>120813.4</v>
      </c>
      <c r="P15" s="8">
        <v>1</v>
      </c>
      <c r="Q15" s="7">
        <v>0</v>
      </c>
      <c r="R15" s="7">
        <v>0</v>
      </c>
      <c r="S15" s="1">
        <v>0.99087303000000004</v>
      </c>
      <c r="T15" s="7">
        <v>0</v>
      </c>
      <c r="U15" s="7">
        <v>120813.4</v>
      </c>
      <c r="V15" s="7">
        <v>1176369.55</v>
      </c>
      <c r="W15" s="7">
        <v>1297182.95</v>
      </c>
      <c r="X15" s="7">
        <v>324295.74</v>
      </c>
      <c r="Y15" s="7">
        <v>1610.68</v>
      </c>
      <c r="Z15" s="7">
        <v>0</v>
      </c>
      <c r="AA15" s="7">
        <v>-27266.65</v>
      </c>
      <c r="AB15" s="7">
        <v>0</v>
      </c>
      <c r="AC15" s="7">
        <v>0</v>
      </c>
      <c r="AD15" s="7">
        <v>-22355.16</v>
      </c>
      <c r="AE15" s="7">
        <v>-16003.71</v>
      </c>
      <c r="AF15" s="7">
        <v>0</v>
      </c>
      <c r="AG15" s="7">
        <v>0</v>
      </c>
      <c r="AH15" s="7">
        <v>0</v>
      </c>
      <c r="AI15" s="7">
        <v>120813.4</v>
      </c>
      <c r="AJ15" s="7">
        <v>0</v>
      </c>
    </row>
    <row r="16" spans="1:36" x14ac:dyDescent="0.2">
      <c r="A16" s="1" t="s">
        <v>33</v>
      </c>
      <c r="B16" s="1">
        <v>15</v>
      </c>
      <c r="C16" s="1">
        <v>1</v>
      </c>
      <c r="D16" s="1" t="s">
        <v>100</v>
      </c>
      <c r="E16" s="1">
        <v>2</v>
      </c>
      <c r="F16" s="5" t="s">
        <v>56</v>
      </c>
      <c r="G16" s="6">
        <v>36731</v>
      </c>
      <c r="H16" s="2">
        <v>2002</v>
      </c>
      <c r="I16" s="6">
        <v>37783154</v>
      </c>
      <c r="J16" s="7">
        <v>199082.02</v>
      </c>
      <c r="K16" s="6">
        <v>36731</v>
      </c>
      <c r="L16" s="7">
        <v>29994.33</v>
      </c>
      <c r="M16" s="7">
        <v>265807.34999999998</v>
      </c>
      <c r="N16" s="7">
        <v>265807.34999999998</v>
      </c>
      <c r="O16" s="7">
        <v>265807.34999999998</v>
      </c>
      <c r="P16" s="8">
        <v>1</v>
      </c>
      <c r="Q16" s="7">
        <v>0</v>
      </c>
      <c r="R16" s="7">
        <v>0</v>
      </c>
      <c r="S16" s="1">
        <v>0.99087303000000004</v>
      </c>
      <c r="T16" s="7">
        <v>0</v>
      </c>
      <c r="U16" s="7">
        <v>265807.34999999998</v>
      </c>
      <c r="V16" s="7">
        <v>1583453.9</v>
      </c>
      <c r="W16" s="7">
        <v>1849261.25</v>
      </c>
      <c r="X16" s="7">
        <v>462315.31</v>
      </c>
      <c r="Y16" s="7">
        <v>257941.55</v>
      </c>
      <c r="Z16" s="7">
        <v>0</v>
      </c>
      <c r="AA16" s="7">
        <v>197971.92</v>
      </c>
      <c r="AB16" s="7">
        <v>0</v>
      </c>
      <c r="AC16" s="7">
        <v>0</v>
      </c>
      <c r="AD16" s="7">
        <v>78891.8</v>
      </c>
      <c r="AE16" s="7">
        <v>178268.42</v>
      </c>
      <c r="AF16" s="7">
        <v>0</v>
      </c>
      <c r="AG16" s="7">
        <v>0</v>
      </c>
      <c r="AH16" s="7">
        <v>0</v>
      </c>
      <c r="AI16" s="7">
        <v>265807.34999999998</v>
      </c>
      <c r="AJ16" s="7">
        <v>0</v>
      </c>
    </row>
    <row r="17" spans="1:36" x14ac:dyDescent="0.2">
      <c r="A17" s="1" t="s">
        <v>33</v>
      </c>
      <c r="B17" s="1">
        <v>16</v>
      </c>
      <c r="C17" s="1">
        <v>1</v>
      </c>
      <c r="D17" s="1" t="s">
        <v>101</v>
      </c>
      <c r="E17" s="1">
        <v>2</v>
      </c>
      <c r="F17" s="5" t="s">
        <v>56</v>
      </c>
      <c r="G17" s="6">
        <v>26463</v>
      </c>
      <c r="H17" s="2">
        <v>2008</v>
      </c>
      <c r="I17" s="6">
        <v>45004167</v>
      </c>
      <c r="J17" s="7">
        <v>143429.46</v>
      </c>
      <c r="K17" s="6">
        <v>26463</v>
      </c>
      <c r="L17" s="7">
        <v>25579.09</v>
      </c>
      <c r="M17" s="7">
        <v>195471.55</v>
      </c>
      <c r="N17" s="7">
        <v>195471.55</v>
      </c>
      <c r="O17" s="7">
        <v>195471.55</v>
      </c>
      <c r="P17" s="8">
        <v>1</v>
      </c>
      <c r="Q17" s="7">
        <v>0</v>
      </c>
      <c r="R17" s="7">
        <v>0</v>
      </c>
      <c r="S17" s="1">
        <v>0.99087303000000004</v>
      </c>
      <c r="T17" s="7">
        <v>0</v>
      </c>
      <c r="U17" s="7">
        <v>192923.35</v>
      </c>
      <c r="V17" s="7">
        <v>1649861.41</v>
      </c>
      <c r="W17" s="7">
        <v>1842784.76</v>
      </c>
      <c r="X17" s="7">
        <v>460696.19</v>
      </c>
      <c r="Y17" s="7">
        <v>-20662.490000000002</v>
      </c>
      <c r="Z17" s="7">
        <v>0</v>
      </c>
      <c r="AA17" s="7">
        <v>1471.36</v>
      </c>
      <c r="AB17" s="7">
        <v>0</v>
      </c>
      <c r="AC17" s="7">
        <v>0</v>
      </c>
      <c r="AD17" s="7">
        <v>2976.18</v>
      </c>
      <c r="AE17" s="7">
        <v>-5404.98</v>
      </c>
      <c r="AF17" s="7">
        <v>0</v>
      </c>
      <c r="AG17" s="7">
        <v>0</v>
      </c>
      <c r="AH17" s="7">
        <v>0</v>
      </c>
      <c r="AI17" s="7">
        <v>195471.55</v>
      </c>
      <c r="AJ17" s="7">
        <v>0</v>
      </c>
    </row>
    <row r="18" spans="1:36" x14ac:dyDescent="0.2">
      <c r="A18" s="1" t="s">
        <v>33</v>
      </c>
      <c r="B18" s="1">
        <v>22</v>
      </c>
      <c r="C18" s="1">
        <v>1</v>
      </c>
      <c r="D18" s="1" t="s">
        <v>102</v>
      </c>
      <c r="E18" s="1">
        <v>3</v>
      </c>
      <c r="F18" s="5" t="s">
        <v>60</v>
      </c>
      <c r="G18" s="6">
        <v>15216</v>
      </c>
      <c r="H18" s="2">
        <v>2000</v>
      </c>
      <c r="I18" s="6">
        <v>22530807</v>
      </c>
      <c r="J18" s="7">
        <v>82470.720000000001</v>
      </c>
      <c r="K18" s="6">
        <v>15216</v>
      </c>
      <c r="L18" s="7">
        <v>20742.88</v>
      </c>
      <c r="M18" s="7">
        <v>118429.6</v>
      </c>
      <c r="N18" s="7">
        <v>118429.6</v>
      </c>
      <c r="O18" s="7">
        <v>118429.6</v>
      </c>
      <c r="P18" s="8">
        <v>1</v>
      </c>
      <c r="Q18" s="7">
        <v>0</v>
      </c>
      <c r="R18" s="7">
        <v>0</v>
      </c>
      <c r="S18" s="1">
        <v>0.99087303000000004</v>
      </c>
      <c r="T18" s="7">
        <v>0</v>
      </c>
      <c r="U18" s="7">
        <v>118429.6</v>
      </c>
      <c r="V18" s="7">
        <v>183219.12</v>
      </c>
      <c r="W18" s="7">
        <v>301648.71999999997</v>
      </c>
      <c r="X18" s="7">
        <v>75412.179999999993</v>
      </c>
      <c r="Y18" s="7">
        <v>58163.59</v>
      </c>
      <c r="Z18" s="7">
        <v>0</v>
      </c>
      <c r="AA18" s="7">
        <v>68294.509999999995</v>
      </c>
      <c r="AB18" s="7">
        <v>0</v>
      </c>
      <c r="AC18" s="7">
        <v>0</v>
      </c>
      <c r="AD18" s="7">
        <v>66608.86</v>
      </c>
      <c r="AE18" s="7">
        <v>64355.65</v>
      </c>
      <c r="AF18" s="7">
        <v>0</v>
      </c>
      <c r="AG18" s="7">
        <v>0</v>
      </c>
      <c r="AH18" s="7">
        <v>0</v>
      </c>
      <c r="AI18" s="7">
        <v>118429.6</v>
      </c>
      <c r="AJ18" s="7">
        <v>0</v>
      </c>
    </row>
    <row r="19" spans="1:36" x14ac:dyDescent="0.2">
      <c r="A19" s="1" t="s">
        <v>33</v>
      </c>
      <c r="B19" s="1">
        <v>23</v>
      </c>
      <c r="C19" s="1">
        <v>1</v>
      </c>
      <c r="D19" s="1" t="s">
        <v>103</v>
      </c>
      <c r="E19" s="1">
        <v>3</v>
      </c>
      <c r="F19" s="5" t="s">
        <v>60</v>
      </c>
      <c r="G19" s="6">
        <v>6607</v>
      </c>
      <c r="H19" s="2">
        <v>2000</v>
      </c>
      <c r="I19" s="6">
        <v>8338227</v>
      </c>
      <c r="J19" s="7">
        <v>35809.94</v>
      </c>
      <c r="K19" s="6">
        <v>6607</v>
      </c>
      <c r="L19" s="7">
        <v>12222.95</v>
      </c>
      <c r="M19" s="7">
        <v>54639.89</v>
      </c>
      <c r="N19" s="7">
        <v>54639.89</v>
      </c>
      <c r="O19" s="7">
        <v>54639.89</v>
      </c>
      <c r="P19" s="8">
        <v>1</v>
      </c>
      <c r="Q19" s="7">
        <v>0</v>
      </c>
      <c r="R19" s="7">
        <v>0</v>
      </c>
      <c r="S19" s="1">
        <v>0.99087303000000004</v>
      </c>
      <c r="T19" s="7">
        <v>0</v>
      </c>
      <c r="U19" s="7">
        <v>54639.89</v>
      </c>
      <c r="V19" s="7">
        <v>34180.019999999997</v>
      </c>
      <c r="W19" s="7">
        <v>88819.91</v>
      </c>
      <c r="X19" s="7">
        <v>22204.98</v>
      </c>
      <c r="Y19" s="7">
        <v>27964.959999999999</v>
      </c>
      <c r="Z19" s="7">
        <v>0</v>
      </c>
      <c r="AA19" s="7">
        <v>17965.02</v>
      </c>
      <c r="AB19" s="7">
        <v>0</v>
      </c>
      <c r="AC19" s="7">
        <v>0</v>
      </c>
      <c r="AD19" s="7">
        <v>20756.419999999998</v>
      </c>
      <c r="AE19" s="7">
        <v>22228.799999999999</v>
      </c>
      <c r="AF19" s="7">
        <v>23.82</v>
      </c>
      <c r="AG19" s="7">
        <v>23.82</v>
      </c>
      <c r="AH19" s="7">
        <v>0</v>
      </c>
      <c r="AI19" s="7">
        <v>54616.07</v>
      </c>
      <c r="AJ19" s="7">
        <v>0</v>
      </c>
    </row>
    <row r="20" spans="1:36" x14ac:dyDescent="0.2">
      <c r="A20" s="1" t="s">
        <v>33</v>
      </c>
      <c r="B20" s="1">
        <v>25</v>
      </c>
      <c r="C20" s="1">
        <v>1</v>
      </c>
      <c r="D20" s="1" t="s">
        <v>104</v>
      </c>
      <c r="E20" s="1">
        <v>3</v>
      </c>
      <c r="F20" s="5" t="s">
        <v>60</v>
      </c>
      <c r="G20" s="6">
        <v>316</v>
      </c>
      <c r="H20" s="2">
        <v>2000</v>
      </c>
      <c r="I20" s="6">
        <v>0</v>
      </c>
      <c r="J20" s="7">
        <v>7235.7</v>
      </c>
      <c r="K20" s="6">
        <v>1335</v>
      </c>
      <c r="L20" s="7">
        <v>2469.75</v>
      </c>
      <c r="M20" s="7">
        <v>11040.45</v>
      </c>
      <c r="N20" s="7" t="s">
        <v>424</v>
      </c>
      <c r="O20" s="7" t="s">
        <v>424</v>
      </c>
      <c r="P20" s="8">
        <v>1</v>
      </c>
      <c r="Q20" s="7">
        <v>11040.45</v>
      </c>
      <c r="R20" s="7">
        <v>11040.45</v>
      </c>
      <c r="S20" s="1">
        <v>0.99087303000000004</v>
      </c>
      <c r="T20" s="7">
        <v>10939.68</v>
      </c>
      <c r="U20" s="7">
        <v>11040.45</v>
      </c>
      <c r="V20" s="7">
        <v>394606.18</v>
      </c>
      <c r="W20" s="7">
        <v>405646.63</v>
      </c>
      <c r="X20" s="7">
        <v>101411.66</v>
      </c>
      <c r="Y20" s="7">
        <v>3599.82</v>
      </c>
      <c r="Z20" s="7">
        <v>0</v>
      </c>
      <c r="AA20" s="7">
        <v>733.24</v>
      </c>
      <c r="AB20" s="7">
        <v>0</v>
      </c>
      <c r="AC20" s="7">
        <v>0</v>
      </c>
      <c r="AD20" s="7">
        <v>3550.32</v>
      </c>
      <c r="AE20" s="7">
        <v>2627.79</v>
      </c>
      <c r="AF20" s="7">
        <v>0</v>
      </c>
      <c r="AG20" s="7">
        <v>0</v>
      </c>
      <c r="AH20" s="7">
        <v>0</v>
      </c>
      <c r="AI20" s="7">
        <v>0</v>
      </c>
      <c r="AJ20" s="7">
        <v>11040.45</v>
      </c>
    </row>
    <row r="21" spans="1:36" x14ac:dyDescent="0.2">
      <c r="A21" s="1" t="s">
        <v>33</v>
      </c>
      <c r="B21" s="1">
        <v>31</v>
      </c>
      <c r="C21" s="1">
        <v>1</v>
      </c>
      <c r="D21" s="1" t="s">
        <v>105</v>
      </c>
      <c r="E21" s="1">
        <v>4</v>
      </c>
      <c r="F21" s="5" t="s">
        <v>62</v>
      </c>
      <c r="G21" s="6">
        <v>32020</v>
      </c>
      <c r="H21" s="2">
        <v>2000</v>
      </c>
      <c r="I21" s="6">
        <v>31813230</v>
      </c>
      <c r="J21" s="7">
        <v>173548.4</v>
      </c>
      <c r="K21" s="6">
        <v>32020</v>
      </c>
      <c r="L21" s="7">
        <v>27968.6</v>
      </c>
      <c r="M21" s="7">
        <v>233537</v>
      </c>
      <c r="N21" s="7">
        <v>233537</v>
      </c>
      <c r="O21" s="7">
        <v>233537</v>
      </c>
      <c r="P21" s="8">
        <v>1</v>
      </c>
      <c r="Q21" s="7">
        <v>0</v>
      </c>
      <c r="R21" s="7">
        <v>0</v>
      </c>
      <c r="S21" s="1">
        <v>0.99087303000000004</v>
      </c>
      <c r="T21" s="7">
        <v>0</v>
      </c>
      <c r="U21" s="7">
        <v>233537</v>
      </c>
      <c r="V21" s="7">
        <v>608521.74</v>
      </c>
      <c r="W21" s="7">
        <v>842058.74</v>
      </c>
      <c r="X21" s="7">
        <v>210514.69</v>
      </c>
      <c r="Y21" s="7">
        <v>41220.32</v>
      </c>
      <c r="Z21" s="7">
        <v>0</v>
      </c>
      <c r="AA21" s="7">
        <v>-88133.64</v>
      </c>
      <c r="AB21" s="7">
        <v>0</v>
      </c>
      <c r="AC21" s="7">
        <v>0</v>
      </c>
      <c r="AD21" s="7">
        <v>-29221.33</v>
      </c>
      <c r="AE21" s="7">
        <v>-25378.22</v>
      </c>
      <c r="AF21" s="7">
        <v>0</v>
      </c>
      <c r="AG21" s="7">
        <v>0</v>
      </c>
      <c r="AH21" s="7">
        <v>0</v>
      </c>
      <c r="AI21" s="7">
        <v>233537</v>
      </c>
      <c r="AJ21" s="7">
        <v>0</v>
      </c>
    </row>
    <row r="22" spans="1:36" x14ac:dyDescent="0.2">
      <c r="A22" s="1" t="s">
        <v>33</v>
      </c>
      <c r="B22" s="1">
        <v>32</v>
      </c>
      <c r="C22" s="1">
        <v>1</v>
      </c>
      <c r="D22" s="1" t="s">
        <v>106</v>
      </c>
      <c r="E22" s="1">
        <v>4</v>
      </c>
      <c r="F22" s="5" t="s">
        <v>62</v>
      </c>
      <c r="G22" s="6">
        <v>4022</v>
      </c>
      <c r="H22" s="2">
        <v>2001</v>
      </c>
      <c r="I22" s="6">
        <v>4268746</v>
      </c>
      <c r="J22" s="7">
        <v>21799.24</v>
      </c>
      <c r="K22" s="6">
        <v>0</v>
      </c>
      <c r="L22" s="7">
        <v>0</v>
      </c>
      <c r="M22" s="7">
        <v>21799.24</v>
      </c>
      <c r="N22" s="7">
        <v>21799.24</v>
      </c>
      <c r="O22" s="7">
        <v>21799.24</v>
      </c>
      <c r="P22" s="8">
        <v>1</v>
      </c>
      <c r="Q22" s="7">
        <v>0</v>
      </c>
      <c r="R22" s="7">
        <v>0</v>
      </c>
      <c r="S22" s="1">
        <v>0.99087303000000004</v>
      </c>
      <c r="T22" s="7">
        <v>0</v>
      </c>
      <c r="U22" s="7">
        <v>21799.24</v>
      </c>
      <c r="V22" s="7">
        <v>16737.88</v>
      </c>
      <c r="W22" s="7">
        <v>38537.120000000003</v>
      </c>
      <c r="X22" s="7">
        <v>9634.2800000000007</v>
      </c>
      <c r="Y22" s="7">
        <v>10051</v>
      </c>
      <c r="Z22" s="7">
        <v>588.42999999999995</v>
      </c>
      <c r="AA22" s="7">
        <v>15824.38</v>
      </c>
      <c r="AB22" s="7">
        <v>3141.12</v>
      </c>
      <c r="AC22" s="7">
        <v>0</v>
      </c>
      <c r="AD22" s="7">
        <v>-11623.31</v>
      </c>
      <c r="AE22" s="7">
        <v>3507.51</v>
      </c>
      <c r="AF22" s="7">
        <v>0</v>
      </c>
      <c r="AG22" s="7">
        <v>0</v>
      </c>
      <c r="AH22" s="7">
        <v>0</v>
      </c>
      <c r="AI22" s="7">
        <v>21799.24</v>
      </c>
      <c r="AJ22" s="7">
        <v>0</v>
      </c>
    </row>
    <row r="23" spans="1:36" x14ac:dyDescent="0.2">
      <c r="A23" s="1" t="s">
        <v>33</v>
      </c>
      <c r="B23" s="1">
        <v>36</v>
      </c>
      <c r="C23" s="1">
        <v>1</v>
      </c>
      <c r="D23" s="1" t="s">
        <v>107</v>
      </c>
      <c r="E23" s="1">
        <v>4</v>
      </c>
      <c r="F23" s="5" t="s">
        <v>62</v>
      </c>
      <c r="G23" s="6">
        <v>1142</v>
      </c>
      <c r="H23" s="2">
        <v>2000</v>
      </c>
      <c r="I23" s="6">
        <v>1528880</v>
      </c>
      <c r="J23" s="7">
        <v>7235.7</v>
      </c>
      <c r="K23" s="6">
        <v>0</v>
      </c>
      <c r="L23" s="7">
        <v>0</v>
      </c>
      <c r="M23" s="7">
        <v>7235.7</v>
      </c>
      <c r="N23" s="7">
        <v>7235.7</v>
      </c>
      <c r="O23" s="7">
        <v>0</v>
      </c>
      <c r="P23" s="8">
        <v>0</v>
      </c>
      <c r="Q23" s="7">
        <v>0</v>
      </c>
      <c r="R23" s="7">
        <v>0</v>
      </c>
      <c r="S23" s="1">
        <v>0.99087303000000004</v>
      </c>
      <c r="T23" s="7">
        <v>0</v>
      </c>
      <c r="U23" s="7">
        <v>7235.7</v>
      </c>
      <c r="V23" s="7">
        <v>15915.29</v>
      </c>
      <c r="W23" s="7">
        <v>23150.99</v>
      </c>
      <c r="X23" s="7">
        <v>5787.75</v>
      </c>
      <c r="Y23" s="7">
        <v>2.06</v>
      </c>
      <c r="Z23" s="7">
        <v>0</v>
      </c>
      <c r="AA23" s="7">
        <v>2.99</v>
      </c>
      <c r="AB23" s="7">
        <v>0</v>
      </c>
      <c r="AC23" s="7">
        <v>0</v>
      </c>
      <c r="AD23" s="7">
        <v>-24.41</v>
      </c>
      <c r="AE23" s="7">
        <v>-6.45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</row>
    <row r="24" spans="1:36" x14ac:dyDescent="0.2">
      <c r="A24" s="1" t="s">
        <v>33</v>
      </c>
      <c r="B24" s="1">
        <v>38</v>
      </c>
      <c r="C24" s="1">
        <v>1</v>
      </c>
      <c r="D24" s="1" t="s">
        <v>108</v>
      </c>
      <c r="E24" s="1">
        <v>4</v>
      </c>
      <c r="F24" s="5" t="s">
        <v>62</v>
      </c>
      <c r="G24" s="6">
        <v>5932</v>
      </c>
      <c r="H24" s="2">
        <v>2004</v>
      </c>
      <c r="I24" s="6">
        <v>10307</v>
      </c>
      <c r="J24" s="7">
        <v>32151.439999999999</v>
      </c>
      <c r="K24" s="6">
        <v>5932</v>
      </c>
      <c r="L24" s="7">
        <v>10974.2</v>
      </c>
      <c r="M24" s="7">
        <v>49057.64</v>
      </c>
      <c r="N24" s="7">
        <v>92.76</v>
      </c>
      <c r="O24" s="7">
        <v>92.76</v>
      </c>
      <c r="P24" s="8">
        <v>1</v>
      </c>
      <c r="Q24" s="7">
        <v>48964.88</v>
      </c>
      <c r="R24" s="7">
        <v>48964.88</v>
      </c>
      <c r="S24" s="1">
        <v>0.99087303000000004</v>
      </c>
      <c r="T24" s="7">
        <v>48517.98</v>
      </c>
      <c r="U24" s="7">
        <v>49057.64</v>
      </c>
      <c r="V24" s="7">
        <v>63942.62</v>
      </c>
      <c r="W24" s="7">
        <v>113000.26</v>
      </c>
      <c r="X24" s="7">
        <v>28250.07</v>
      </c>
      <c r="Y24" s="7">
        <v>-140.30000000000001</v>
      </c>
      <c r="Z24" s="7">
        <v>0</v>
      </c>
      <c r="AA24" s="7">
        <v>0</v>
      </c>
      <c r="AB24" s="7">
        <v>0</v>
      </c>
      <c r="AC24" s="7">
        <v>0</v>
      </c>
      <c r="AD24" s="7">
        <v>15856.27</v>
      </c>
      <c r="AE24" s="7">
        <v>5238.66</v>
      </c>
      <c r="AF24" s="7">
        <v>0</v>
      </c>
      <c r="AG24" s="7">
        <v>0</v>
      </c>
      <c r="AH24" s="7">
        <v>0</v>
      </c>
      <c r="AI24" s="7">
        <v>92.76</v>
      </c>
      <c r="AJ24" s="7">
        <v>48964.88</v>
      </c>
    </row>
    <row r="25" spans="1:36" x14ac:dyDescent="0.2">
      <c r="A25" s="1" t="s">
        <v>33</v>
      </c>
      <c r="B25" s="1">
        <v>47</v>
      </c>
      <c r="C25" s="1">
        <v>1</v>
      </c>
      <c r="D25" s="1" t="s">
        <v>109</v>
      </c>
      <c r="E25" s="1">
        <v>5</v>
      </c>
      <c r="F25" s="5" t="s">
        <v>63</v>
      </c>
      <c r="G25" s="6">
        <v>24318</v>
      </c>
      <c r="H25" s="2">
        <v>2008</v>
      </c>
      <c r="I25" s="6">
        <v>20331115</v>
      </c>
      <c r="J25" s="7">
        <v>131803.56</v>
      </c>
      <c r="K25" s="6">
        <v>24318</v>
      </c>
      <c r="L25" s="7">
        <v>24656.74</v>
      </c>
      <c r="M25" s="7">
        <v>180778.3</v>
      </c>
      <c r="N25" s="7">
        <v>180778.3</v>
      </c>
      <c r="O25" s="7">
        <v>180778.3</v>
      </c>
      <c r="P25" s="8">
        <v>1</v>
      </c>
      <c r="Q25" s="7">
        <v>0</v>
      </c>
      <c r="R25" s="7">
        <v>0</v>
      </c>
      <c r="S25" s="1">
        <v>0.99087303000000004</v>
      </c>
      <c r="T25" s="7">
        <v>0</v>
      </c>
      <c r="U25" s="7">
        <v>173633.75</v>
      </c>
      <c r="V25" s="7">
        <v>526193.61</v>
      </c>
      <c r="W25" s="7">
        <v>699827.36</v>
      </c>
      <c r="X25" s="7">
        <v>174956.84</v>
      </c>
      <c r="Y25" s="7">
        <v>131523.23000000001</v>
      </c>
      <c r="Z25" s="7">
        <v>0</v>
      </c>
      <c r="AA25" s="7">
        <v>131756.51999999999</v>
      </c>
      <c r="AB25" s="7">
        <v>0</v>
      </c>
      <c r="AC25" s="7">
        <v>0</v>
      </c>
      <c r="AD25" s="7">
        <v>148498.07999999999</v>
      </c>
      <c r="AE25" s="7">
        <v>137259.28</v>
      </c>
      <c r="AF25" s="7">
        <v>0</v>
      </c>
      <c r="AG25" s="7">
        <v>0</v>
      </c>
      <c r="AH25" s="7">
        <v>0</v>
      </c>
      <c r="AI25" s="7">
        <v>180778.3</v>
      </c>
      <c r="AJ25" s="7">
        <v>0</v>
      </c>
    </row>
    <row r="26" spans="1:36" x14ac:dyDescent="0.2">
      <c r="A26" s="1" t="s">
        <v>33</v>
      </c>
      <c r="B26" s="1">
        <v>51</v>
      </c>
      <c r="C26" s="1">
        <v>1</v>
      </c>
      <c r="D26" s="1" t="s">
        <v>110</v>
      </c>
      <c r="E26" s="1">
        <v>5</v>
      </c>
      <c r="F26" s="5" t="s">
        <v>63</v>
      </c>
      <c r="G26" s="6">
        <v>8212</v>
      </c>
      <c r="H26" s="2">
        <v>2000</v>
      </c>
      <c r="I26" s="6">
        <v>8728632</v>
      </c>
      <c r="J26" s="7">
        <v>44509.04</v>
      </c>
      <c r="K26" s="6">
        <v>8212</v>
      </c>
      <c r="L26" s="7">
        <v>15192.2</v>
      </c>
      <c r="M26" s="7">
        <v>67913.240000000005</v>
      </c>
      <c r="N26" s="7">
        <v>67913.240000000005</v>
      </c>
      <c r="O26" s="7">
        <v>67913.240000000005</v>
      </c>
      <c r="P26" s="8">
        <v>1</v>
      </c>
      <c r="Q26" s="7">
        <v>0</v>
      </c>
      <c r="R26" s="7">
        <v>0</v>
      </c>
      <c r="S26" s="1">
        <v>0.99087303000000004</v>
      </c>
      <c r="T26" s="7">
        <v>0</v>
      </c>
      <c r="U26" s="7">
        <v>67913.240000000005</v>
      </c>
      <c r="V26" s="7">
        <v>259177.34</v>
      </c>
      <c r="W26" s="7">
        <v>327090.58</v>
      </c>
      <c r="X26" s="7">
        <v>81772.649999999994</v>
      </c>
      <c r="Y26" s="7">
        <v>63692.66</v>
      </c>
      <c r="Z26" s="7">
        <v>0</v>
      </c>
      <c r="AA26" s="7">
        <v>57615.56</v>
      </c>
      <c r="AB26" s="7">
        <v>0</v>
      </c>
      <c r="AC26" s="7">
        <v>0</v>
      </c>
      <c r="AD26" s="7">
        <v>55702.85</v>
      </c>
      <c r="AE26" s="7">
        <v>59003.69</v>
      </c>
      <c r="AF26" s="7">
        <v>0</v>
      </c>
      <c r="AG26" s="7">
        <v>0</v>
      </c>
      <c r="AH26" s="7">
        <v>0</v>
      </c>
      <c r="AI26" s="7">
        <v>67913.240000000005</v>
      </c>
      <c r="AJ26" s="7">
        <v>0</v>
      </c>
    </row>
    <row r="27" spans="1:36" x14ac:dyDescent="0.2">
      <c r="A27" s="1" t="s">
        <v>33</v>
      </c>
      <c r="B27" s="1">
        <v>75</v>
      </c>
      <c r="C27" s="1">
        <v>1</v>
      </c>
      <c r="D27" s="1" t="s">
        <v>111</v>
      </c>
      <c r="E27" s="1">
        <v>7</v>
      </c>
      <c r="F27" s="5" t="s">
        <v>57</v>
      </c>
      <c r="G27" s="6">
        <v>2442</v>
      </c>
      <c r="H27" s="2">
        <v>2000</v>
      </c>
      <c r="I27" s="6">
        <v>3295841</v>
      </c>
      <c r="J27" s="7">
        <v>13235.64</v>
      </c>
      <c r="K27" s="6">
        <v>0</v>
      </c>
      <c r="L27" s="7">
        <v>4517.7</v>
      </c>
      <c r="M27" s="7">
        <v>17753.34</v>
      </c>
      <c r="N27" s="7">
        <v>17753.34</v>
      </c>
      <c r="O27" s="7">
        <v>17753.34</v>
      </c>
      <c r="P27" s="8">
        <v>1</v>
      </c>
      <c r="Q27" s="7">
        <v>0</v>
      </c>
      <c r="R27" s="7">
        <v>0</v>
      </c>
      <c r="S27" s="1">
        <v>0.99087303000000004</v>
      </c>
      <c r="T27" s="7">
        <v>0</v>
      </c>
      <c r="U27" s="7">
        <v>17753.34</v>
      </c>
      <c r="V27" s="7">
        <v>106948.83</v>
      </c>
      <c r="W27" s="7">
        <v>124702.17</v>
      </c>
      <c r="X27" s="7">
        <v>31175.54</v>
      </c>
      <c r="Y27" s="7">
        <v>-12706.5</v>
      </c>
      <c r="Z27" s="7">
        <v>0</v>
      </c>
      <c r="AA27" s="7">
        <v>0</v>
      </c>
      <c r="AB27" s="7">
        <v>0</v>
      </c>
      <c r="AC27" s="7">
        <v>0</v>
      </c>
      <c r="AD27" s="7">
        <v>-12961.18</v>
      </c>
      <c r="AE27" s="7">
        <v>-8555.89</v>
      </c>
      <c r="AF27" s="7">
        <v>0</v>
      </c>
      <c r="AG27" s="7">
        <v>0</v>
      </c>
      <c r="AH27" s="7">
        <v>0</v>
      </c>
      <c r="AI27" s="7">
        <v>17753.34</v>
      </c>
      <c r="AJ27" s="7">
        <v>0</v>
      </c>
    </row>
    <row r="28" spans="1:36" x14ac:dyDescent="0.2">
      <c r="A28" s="1" t="s">
        <v>33</v>
      </c>
      <c r="B28" s="1">
        <v>77</v>
      </c>
      <c r="C28" s="1">
        <v>1</v>
      </c>
      <c r="D28" s="1" t="s">
        <v>112</v>
      </c>
      <c r="E28" s="1">
        <v>7</v>
      </c>
      <c r="F28" s="5" t="s">
        <v>57</v>
      </c>
      <c r="G28" s="6">
        <v>53639</v>
      </c>
      <c r="H28" s="2">
        <v>2000</v>
      </c>
      <c r="I28" s="6">
        <v>61082720</v>
      </c>
      <c r="J28" s="7">
        <v>290723.38</v>
      </c>
      <c r="K28" s="6">
        <v>53639</v>
      </c>
      <c r="L28" s="7">
        <v>37264.769999999997</v>
      </c>
      <c r="M28" s="7">
        <v>381627.15</v>
      </c>
      <c r="N28" s="7">
        <v>381627.15</v>
      </c>
      <c r="O28" s="7">
        <v>381627.15</v>
      </c>
      <c r="P28" s="8">
        <v>1</v>
      </c>
      <c r="Q28" s="7">
        <v>0</v>
      </c>
      <c r="R28" s="7">
        <v>0</v>
      </c>
      <c r="S28" s="1">
        <v>0.99087303000000004</v>
      </c>
      <c r="T28" s="7">
        <v>0</v>
      </c>
      <c r="U28" s="7">
        <v>381627.15</v>
      </c>
      <c r="V28" s="7">
        <v>1668561.58</v>
      </c>
      <c r="W28" s="7">
        <v>2050188.73</v>
      </c>
      <c r="X28" s="7">
        <v>512547.18</v>
      </c>
      <c r="Y28" s="7">
        <v>87533.63</v>
      </c>
      <c r="Z28" s="7">
        <v>0</v>
      </c>
      <c r="AA28" s="7">
        <v>414769.89</v>
      </c>
      <c r="AB28" s="7">
        <v>0</v>
      </c>
      <c r="AC28" s="7">
        <v>0</v>
      </c>
      <c r="AD28" s="7">
        <v>539388.11</v>
      </c>
      <c r="AE28" s="7">
        <v>347230.54</v>
      </c>
      <c r="AF28" s="7">
        <v>0</v>
      </c>
      <c r="AG28" s="7">
        <v>0</v>
      </c>
      <c r="AH28" s="7">
        <v>0</v>
      </c>
      <c r="AI28" s="7">
        <v>381627.15</v>
      </c>
      <c r="AJ28" s="7">
        <v>0</v>
      </c>
    </row>
    <row r="29" spans="1:36" x14ac:dyDescent="0.2">
      <c r="A29" s="1" t="s">
        <v>33</v>
      </c>
      <c r="B29" s="1">
        <v>81</v>
      </c>
      <c r="C29" s="1">
        <v>1</v>
      </c>
      <c r="D29" s="1" t="s">
        <v>113</v>
      </c>
      <c r="E29" s="1">
        <v>8</v>
      </c>
      <c r="F29" s="5" t="s">
        <v>57</v>
      </c>
      <c r="G29" s="6">
        <v>1172</v>
      </c>
      <c r="H29" s="2">
        <v>2000</v>
      </c>
      <c r="I29" s="6">
        <v>2039483</v>
      </c>
      <c r="J29" s="7">
        <v>7235.7</v>
      </c>
      <c r="K29" s="6">
        <v>1335</v>
      </c>
      <c r="L29" s="7">
        <v>2469.75</v>
      </c>
      <c r="M29" s="7">
        <v>11040.45</v>
      </c>
      <c r="N29" s="7">
        <v>11040.45</v>
      </c>
      <c r="O29" s="7">
        <v>11040.45</v>
      </c>
      <c r="P29" s="8">
        <v>1</v>
      </c>
      <c r="Q29" s="7">
        <v>0</v>
      </c>
      <c r="R29" s="7">
        <v>0</v>
      </c>
      <c r="S29" s="1">
        <v>0.99087303000000004</v>
      </c>
      <c r="T29" s="7">
        <v>0</v>
      </c>
      <c r="U29" s="7">
        <v>11040.45</v>
      </c>
      <c r="V29" s="7">
        <v>146726.9</v>
      </c>
      <c r="W29" s="7">
        <v>157767.35</v>
      </c>
      <c r="X29" s="7">
        <v>39441.839999999997</v>
      </c>
      <c r="Y29" s="7">
        <v>0</v>
      </c>
      <c r="Z29" s="7">
        <v>0</v>
      </c>
      <c r="AA29" s="7">
        <v>-2489.6999999999998</v>
      </c>
      <c r="AB29" s="7">
        <v>0</v>
      </c>
      <c r="AC29" s="7">
        <v>0</v>
      </c>
      <c r="AD29" s="7">
        <v>6479.75</v>
      </c>
      <c r="AE29" s="7">
        <v>1330.02</v>
      </c>
      <c r="AF29" s="7">
        <v>0</v>
      </c>
      <c r="AG29" s="7">
        <v>0</v>
      </c>
      <c r="AH29" s="7">
        <v>0</v>
      </c>
      <c r="AI29" s="7">
        <v>11040.45</v>
      </c>
      <c r="AJ29" s="7">
        <v>0</v>
      </c>
    </row>
    <row r="30" spans="1:36" x14ac:dyDescent="0.2">
      <c r="A30" s="1" t="s">
        <v>33</v>
      </c>
      <c r="B30" s="1">
        <v>84</v>
      </c>
      <c r="C30" s="1">
        <v>1</v>
      </c>
      <c r="D30" s="1" t="s">
        <v>114</v>
      </c>
      <c r="E30" s="1">
        <v>8</v>
      </c>
      <c r="F30" s="5" t="s">
        <v>57</v>
      </c>
      <c r="G30" s="6">
        <v>5878</v>
      </c>
      <c r="H30" s="2">
        <v>2000</v>
      </c>
      <c r="I30" s="6">
        <v>5370905</v>
      </c>
      <c r="J30" s="7">
        <v>31858.76</v>
      </c>
      <c r="K30" s="6">
        <v>5878</v>
      </c>
      <c r="L30" s="7">
        <v>10874.3</v>
      </c>
      <c r="M30" s="7">
        <v>48611.06</v>
      </c>
      <c r="N30" s="7">
        <v>48338.15</v>
      </c>
      <c r="O30" s="7">
        <v>48338.15</v>
      </c>
      <c r="P30" s="8">
        <v>1</v>
      </c>
      <c r="Q30" s="7">
        <v>272.91000000000003</v>
      </c>
      <c r="R30" s="7">
        <v>272.91000000000003</v>
      </c>
      <c r="S30" s="1">
        <v>0.99087303000000004</v>
      </c>
      <c r="T30" s="7">
        <v>270.42</v>
      </c>
      <c r="U30" s="7">
        <v>48611.06</v>
      </c>
      <c r="V30" s="7">
        <v>63224.4</v>
      </c>
      <c r="W30" s="7">
        <v>111835.46</v>
      </c>
      <c r="X30" s="7">
        <v>27958.87</v>
      </c>
      <c r="Y30" s="7">
        <v>-11525.98</v>
      </c>
      <c r="Z30" s="7">
        <v>0</v>
      </c>
      <c r="AA30" s="7">
        <v>-4028.05</v>
      </c>
      <c r="AB30" s="7">
        <v>0</v>
      </c>
      <c r="AC30" s="7">
        <v>0</v>
      </c>
      <c r="AD30" s="7">
        <v>12079.96</v>
      </c>
      <c r="AE30" s="7">
        <v>-1158.02</v>
      </c>
      <c r="AF30" s="7">
        <v>0</v>
      </c>
      <c r="AG30" s="7">
        <v>0</v>
      </c>
      <c r="AH30" s="7">
        <v>0</v>
      </c>
      <c r="AI30" s="7">
        <v>48338.15</v>
      </c>
      <c r="AJ30" s="7">
        <v>272.91000000000003</v>
      </c>
    </row>
    <row r="31" spans="1:36" x14ac:dyDescent="0.2">
      <c r="A31" s="1" t="s">
        <v>33</v>
      </c>
      <c r="B31" s="1">
        <v>85</v>
      </c>
      <c r="C31" s="1">
        <v>1</v>
      </c>
      <c r="D31" s="1" t="s">
        <v>115</v>
      </c>
      <c r="E31" s="1">
        <v>8</v>
      </c>
      <c r="F31" s="5" t="s">
        <v>57</v>
      </c>
      <c r="G31" s="6">
        <v>3618</v>
      </c>
      <c r="H31" s="2">
        <v>2000</v>
      </c>
      <c r="I31" s="6">
        <v>3450166</v>
      </c>
      <c r="J31" s="7">
        <v>19609.560000000001</v>
      </c>
      <c r="K31" s="6">
        <v>0</v>
      </c>
      <c r="L31" s="7">
        <v>0</v>
      </c>
      <c r="M31" s="7">
        <v>19609.560000000001</v>
      </c>
      <c r="N31" s="7">
        <v>19609.560000000001</v>
      </c>
      <c r="O31" s="7">
        <v>19609.560000000001</v>
      </c>
      <c r="P31" s="8">
        <v>1</v>
      </c>
      <c r="Q31" s="7">
        <v>0</v>
      </c>
      <c r="R31" s="7">
        <v>0</v>
      </c>
      <c r="S31" s="1">
        <v>0.99087303000000004</v>
      </c>
      <c r="T31" s="7">
        <v>0</v>
      </c>
      <c r="U31" s="7">
        <v>19609.560000000001</v>
      </c>
      <c r="V31" s="7">
        <v>9531.69</v>
      </c>
      <c r="W31" s="7">
        <v>29141.25</v>
      </c>
      <c r="X31" s="7">
        <v>7285.31</v>
      </c>
      <c r="Y31" s="7">
        <v>13767.89</v>
      </c>
      <c r="Z31" s="7">
        <v>0</v>
      </c>
      <c r="AA31" s="7">
        <v>13199.91</v>
      </c>
      <c r="AB31" s="7">
        <v>1379.94</v>
      </c>
      <c r="AC31" s="7">
        <v>0</v>
      </c>
      <c r="AD31" s="7">
        <v>1836.31</v>
      </c>
      <c r="AE31" s="7">
        <v>9141.39</v>
      </c>
      <c r="AF31" s="7">
        <v>1856.08</v>
      </c>
      <c r="AG31" s="7">
        <v>1856.08</v>
      </c>
      <c r="AH31" s="7">
        <v>0</v>
      </c>
      <c r="AI31" s="7">
        <v>17753.48</v>
      </c>
      <c r="AJ31" s="7">
        <v>0</v>
      </c>
    </row>
    <row r="32" spans="1:36" x14ac:dyDescent="0.2">
      <c r="A32" s="1" t="s">
        <v>33</v>
      </c>
      <c r="B32" s="1">
        <v>88</v>
      </c>
      <c r="C32" s="1">
        <v>1</v>
      </c>
      <c r="D32" s="1" t="s">
        <v>116</v>
      </c>
      <c r="E32" s="1">
        <v>8</v>
      </c>
      <c r="F32" s="5" t="s">
        <v>57</v>
      </c>
      <c r="G32" s="6">
        <v>19819</v>
      </c>
      <c r="H32" s="2">
        <v>2000</v>
      </c>
      <c r="I32" s="6">
        <v>16596690</v>
      </c>
      <c r="J32" s="7">
        <v>107418.98</v>
      </c>
      <c r="K32" s="6">
        <v>19819</v>
      </c>
      <c r="L32" s="7">
        <v>22722.17</v>
      </c>
      <c r="M32" s="7">
        <v>149960.15</v>
      </c>
      <c r="N32" s="7">
        <v>149370.21</v>
      </c>
      <c r="O32" s="7">
        <v>149370.21</v>
      </c>
      <c r="P32" s="8">
        <v>1</v>
      </c>
      <c r="Q32" s="7">
        <v>589.94000000000005</v>
      </c>
      <c r="R32" s="7">
        <v>589.94000000000005</v>
      </c>
      <c r="S32" s="1">
        <v>0.99087303000000004</v>
      </c>
      <c r="T32" s="7">
        <v>584.55999999999995</v>
      </c>
      <c r="U32" s="7">
        <v>149960.15</v>
      </c>
      <c r="V32" s="7">
        <v>208354.53</v>
      </c>
      <c r="W32" s="7">
        <v>358314.68</v>
      </c>
      <c r="X32" s="7">
        <v>89578.67</v>
      </c>
      <c r="Y32" s="7">
        <v>119464.72</v>
      </c>
      <c r="Z32" s="7">
        <v>0</v>
      </c>
      <c r="AA32" s="7">
        <v>124557.75999999999</v>
      </c>
      <c r="AB32" s="7">
        <v>24113.1</v>
      </c>
      <c r="AC32" s="7">
        <v>0</v>
      </c>
      <c r="AD32" s="7">
        <v>85453.5</v>
      </c>
      <c r="AE32" s="7">
        <v>101787.63</v>
      </c>
      <c r="AF32" s="7">
        <v>12208.96</v>
      </c>
      <c r="AG32" s="7">
        <v>12160.93</v>
      </c>
      <c r="AH32" s="7">
        <v>48.03</v>
      </c>
      <c r="AI32" s="7">
        <v>137209.28</v>
      </c>
      <c r="AJ32" s="7">
        <v>541.91</v>
      </c>
    </row>
    <row r="33" spans="1:36" x14ac:dyDescent="0.2">
      <c r="A33" s="1" t="s">
        <v>33</v>
      </c>
      <c r="B33" s="1">
        <v>91</v>
      </c>
      <c r="C33" s="1">
        <v>1</v>
      </c>
      <c r="D33" s="1" t="s">
        <v>117</v>
      </c>
      <c r="E33" s="1">
        <v>9</v>
      </c>
      <c r="F33" s="5" t="s">
        <v>58</v>
      </c>
      <c r="G33" s="6">
        <v>3762</v>
      </c>
      <c r="H33" s="2">
        <v>2005</v>
      </c>
      <c r="I33" s="6">
        <v>4158264</v>
      </c>
      <c r="J33" s="7">
        <v>20390.04</v>
      </c>
      <c r="K33" s="6">
        <v>3762</v>
      </c>
      <c r="L33" s="7">
        <v>6959.7</v>
      </c>
      <c r="M33" s="7">
        <v>31111.74</v>
      </c>
      <c r="N33" s="7">
        <v>31111.74</v>
      </c>
      <c r="O33" s="7">
        <v>31111.74</v>
      </c>
      <c r="P33" s="8">
        <v>1</v>
      </c>
      <c r="Q33" s="7">
        <v>0</v>
      </c>
      <c r="R33" s="7">
        <v>0</v>
      </c>
      <c r="S33" s="1">
        <v>0.99087303000000004</v>
      </c>
      <c r="T33" s="7">
        <v>0</v>
      </c>
      <c r="U33" s="7">
        <v>31111.74</v>
      </c>
      <c r="V33" s="7">
        <v>164594.59</v>
      </c>
      <c r="W33" s="7">
        <v>195706.33</v>
      </c>
      <c r="X33" s="7">
        <v>48926.58</v>
      </c>
      <c r="Y33" s="7">
        <v>53597.19</v>
      </c>
      <c r="Z33" s="7">
        <v>0</v>
      </c>
      <c r="AA33" s="7">
        <v>39403.35</v>
      </c>
      <c r="AB33" s="7">
        <v>0</v>
      </c>
      <c r="AC33" s="7">
        <v>0</v>
      </c>
      <c r="AD33" s="7">
        <v>15033.77</v>
      </c>
      <c r="AE33" s="7">
        <v>36011.440000000002</v>
      </c>
      <c r="AF33" s="7">
        <v>0</v>
      </c>
      <c r="AG33" s="7">
        <v>0</v>
      </c>
      <c r="AH33" s="7">
        <v>0</v>
      </c>
      <c r="AI33" s="7">
        <v>31111.74</v>
      </c>
      <c r="AJ33" s="7">
        <v>0</v>
      </c>
    </row>
    <row r="34" spans="1:36" x14ac:dyDescent="0.2">
      <c r="A34" s="1" t="s">
        <v>33</v>
      </c>
      <c r="B34" s="1">
        <v>93</v>
      </c>
      <c r="C34" s="1">
        <v>1</v>
      </c>
      <c r="D34" s="1" t="s">
        <v>118</v>
      </c>
      <c r="E34" s="1">
        <v>9</v>
      </c>
      <c r="F34" s="5" t="s">
        <v>58</v>
      </c>
      <c r="G34" s="6">
        <v>3936</v>
      </c>
      <c r="H34" s="2">
        <v>2000</v>
      </c>
      <c r="I34" s="6">
        <v>4297093</v>
      </c>
      <c r="J34" s="7">
        <v>21333.119999999999</v>
      </c>
      <c r="K34" s="6">
        <v>3936</v>
      </c>
      <c r="L34" s="7">
        <v>7281.6</v>
      </c>
      <c r="M34" s="7">
        <v>32550.720000000001</v>
      </c>
      <c r="N34" s="7">
        <v>32550.720000000001</v>
      </c>
      <c r="O34" s="7">
        <v>32550.720000000001</v>
      </c>
      <c r="P34" s="8">
        <v>1</v>
      </c>
      <c r="Q34" s="7">
        <v>0</v>
      </c>
      <c r="R34" s="7">
        <v>0</v>
      </c>
      <c r="S34" s="1">
        <v>0.99087303000000004</v>
      </c>
      <c r="T34" s="7">
        <v>0</v>
      </c>
      <c r="U34" s="7">
        <v>32550.720000000001</v>
      </c>
      <c r="V34" s="7">
        <v>72030.94</v>
      </c>
      <c r="W34" s="7">
        <v>104581.66</v>
      </c>
      <c r="X34" s="7">
        <v>26145.42</v>
      </c>
      <c r="Y34" s="7">
        <v>24535.99</v>
      </c>
      <c r="Z34" s="7">
        <v>1905.07</v>
      </c>
      <c r="AA34" s="7">
        <v>12430.16</v>
      </c>
      <c r="AB34" s="7">
        <v>215.28</v>
      </c>
      <c r="AC34" s="7">
        <v>0</v>
      </c>
      <c r="AD34" s="7">
        <v>7617.22</v>
      </c>
      <c r="AE34" s="7">
        <v>14154.34</v>
      </c>
      <c r="AF34" s="7">
        <v>0</v>
      </c>
      <c r="AG34" s="7">
        <v>0</v>
      </c>
      <c r="AH34" s="7">
        <v>0</v>
      </c>
      <c r="AI34" s="7">
        <v>32550.720000000001</v>
      </c>
      <c r="AJ34" s="7">
        <v>0</v>
      </c>
    </row>
    <row r="35" spans="1:36" x14ac:dyDescent="0.2">
      <c r="A35" s="1" t="s">
        <v>33</v>
      </c>
      <c r="B35" s="1">
        <v>94</v>
      </c>
      <c r="C35" s="1">
        <v>1</v>
      </c>
      <c r="D35" s="1" t="s">
        <v>119</v>
      </c>
      <c r="E35" s="1">
        <v>9</v>
      </c>
      <c r="F35" s="5" t="s">
        <v>58</v>
      </c>
      <c r="G35" s="6">
        <v>13968</v>
      </c>
      <c r="H35" s="2">
        <v>2007</v>
      </c>
      <c r="I35" s="6">
        <v>11656171</v>
      </c>
      <c r="J35" s="7">
        <v>75706.559999999998</v>
      </c>
      <c r="K35" s="6">
        <v>13968</v>
      </c>
      <c r="L35" s="7">
        <v>20206.240000000002</v>
      </c>
      <c r="M35" s="7">
        <v>109880.8</v>
      </c>
      <c r="N35" s="7">
        <v>104905.54</v>
      </c>
      <c r="O35" s="7">
        <v>104905.54</v>
      </c>
      <c r="P35" s="8">
        <v>1</v>
      </c>
      <c r="Q35" s="7">
        <v>4975.26</v>
      </c>
      <c r="R35" s="7">
        <v>4975.26</v>
      </c>
      <c r="S35" s="1">
        <v>0.99087303000000004</v>
      </c>
      <c r="T35" s="7">
        <v>4929.8500000000004</v>
      </c>
      <c r="U35" s="7">
        <v>109880.8</v>
      </c>
      <c r="V35" s="7">
        <v>971285.92</v>
      </c>
      <c r="W35" s="7">
        <v>1081166.72</v>
      </c>
      <c r="X35" s="7">
        <v>270291.68</v>
      </c>
      <c r="Y35" s="7">
        <v>113662.8</v>
      </c>
      <c r="Z35" s="7">
        <v>0</v>
      </c>
      <c r="AA35" s="7">
        <v>150307.6</v>
      </c>
      <c r="AB35" s="7">
        <v>0</v>
      </c>
      <c r="AC35" s="7">
        <v>0</v>
      </c>
      <c r="AD35" s="7">
        <v>158865.29</v>
      </c>
      <c r="AE35" s="7">
        <v>140945.23000000001</v>
      </c>
      <c r="AF35" s="7">
        <v>0</v>
      </c>
      <c r="AG35" s="7">
        <v>0</v>
      </c>
      <c r="AH35" s="7">
        <v>0</v>
      </c>
      <c r="AI35" s="7">
        <v>104905.54</v>
      </c>
      <c r="AJ35" s="7">
        <v>4975.26</v>
      </c>
    </row>
    <row r="36" spans="1:36" x14ac:dyDescent="0.2">
      <c r="A36" s="1" t="s">
        <v>33</v>
      </c>
      <c r="B36" s="1">
        <v>95</v>
      </c>
      <c r="C36" s="1">
        <v>1</v>
      </c>
      <c r="D36" s="1" t="s">
        <v>120</v>
      </c>
      <c r="E36" s="1">
        <v>9</v>
      </c>
      <c r="F36" s="5" t="s">
        <v>58</v>
      </c>
      <c r="G36" s="6">
        <v>1681</v>
      </c>
      <c r="H36" s="2">
        <v>2000</v>
      </c>
      <c r="I36" s="6">
        <v>2428036</v>
      </c>
      <c r="J36" s="7">
        <v>9111.02</v>
      </c>
      <c r="K36" s="6">
        <v>1681</v>
      </c>
      <c r="L36" s="7">
        <v>3109.85</v>
      </c>
      <c r="M36" s="7">
        <v>13901.87</v>
      </c>
      <c r="N36" s="7">
        <v>13901.87</v>
      </c>
      <c r="O36" s="7">
        <v>13901.87</v>
      </c>
      <c r="P36" s="8">
        <v>1</v>
      </c>
      <c r="Q36" s="7">
        <v>0</v>
      </c>
      <c r="R36" s="7">
        <v>0</v>
      </c>
      <c r="S36" s="1">
        <v>0.99087303000000004</v>
      </c>
      <c r="T36" s="7">
        <v>0</v>
      </c>
      <c r="U36" s="7">
        <v>13901.87</v>
      </c>
      <c r="V36" s="7">
        <v>98832.58</v>
      </c>
      <c r="W36" s="7">
        <v>112734.45</v>
      </c>
      <c r="X36" s="7">
        <v>28183.61</v>
      </c>
      <c r="Y36" s="7">
        <v>2518.1999999999998</v>
      </c>
      <c r="Z36" s="7">
        <v>0</v>
      </c>
      <c r="AA36" s="7">
        <v>-2768.85</v>
      </c>
      <c r="AB36" s="7">
        <v>0</v>
      </c>
      <c r="AC36" s="7">
        <v>0</v>
      </c>
      <c r="AD36" s="7">
        <v>-6450.42</v>
      </c>
      <c r="AE36" s="7">
        <v>-2233.69</v>
      </c>
      <c r="AF36" s="7">
        <v>0</v>
      </c>
      <c r="AG36" s="7">
        <v>0</v>
      </c>
      <c r="AH36" s="7">
        <v>0</v>
      </c>
      <c r="AI36" s="7">
        <v>13901.87</v>
      </c>
      <c r="AJ36" s="7">
        <v>0</v>
      </c>
    </row>
    <row r="37" spans="1:36" x14ac:dyDescent="0.2">
      <c r="A37" s="1" t="s">
        <v>33</v>
      </c>
      <c r="B37" s="1">
        <v>97</v>
      </c>
      <c r="C37" s="1">
        <v>1</v>
      </c>
      <c r="D37" s="1" t="s">
        <v>121</v>
      </c>
      <c r="E37" s="1">
        <v>9</v>
      </c>
      <c r="F37" s="5" t="s">
        <v>58</v>
      </c>
      <c r="G37" s="6">
        <v>5064</v>
      </c>
      <c r="H37" s="2">
        <v>2000</v>
      </c>
      <c r="I37" s="6">
        <v>5857315</v>
      </c>
      <c r="J37" s="7">
        <v>27446.880000000001</v>
      </c>
      <c r="K37" s="6">
        <v>5064</v>
      </c>
      <c r="L37" s="7">
        <v>9368.4</v>
      </c>
      <c r="M37" s="7">
        <v>41879.279999999999</v>
      </c>
      <c r="N37" s="7">
        <v>41879.279999999999</v>
      </c>
      <c r="O37" s="7">
        <v>41879.279999999999</v>
      </c>
      <c r="P37" s="8">
        <v>1</v>
      </c>
      <c r="Q37" s="7">
        <v>0</v>
      </c>
      <c r="R37" s="7">
        <v>0</v>
      </c>
      <c r="S37" s="1">
        <v>0.99087303000000004</v>
      </c>
      <c r="T37" s="7">
        <v>0</v>
      </c>
      <c r="U37" s="7">
        <v>41879.279999999999</v>
      </c>
      <c r="V37" s="7">
        <v>37239.39</v>
      </c>
      <c r="W37" s="7">
        <v>79118.67</v>
      </c>
      <c r="X37" s="7">
        <v>19779.669999999998</v>
      </c>
      <c r="Y37" s="7">
        <v>-13784.96</v>
      </c>
      <c r="Z37" s="7">
        <v>0</v>
      </c>
      <c r="AA37" s="7">
        <v>-7054.73</v>
      </c>
      <c r="AB37" s="7">
        <v>0</v>
      </c>
      <c r="AC37" s="7">
        <v>0</v>
      </c>
      <c r="AD37" s="7">
        <v>-1952.87</v>
      </c>
      <c r="AE37" s="7">
        <v>-7597.52</v>
      </c>
      <c r="AF37" s="7">
        <v>0</v>
      </c>
      <c r="AG37" s="7">
        <v>0</v>
      </c>
      <c r="AH37" s="7">
        <v>0</v>
      </c>
      <c r="AI37" s="7">
        <v>41879.279999999999</v>
      </c>
      <c r="AJ37" s="7">
        <v>0</v>
      </c>
    </row>
    <row r="38" spans="1:36" x14ac:dyDescent="0.2">
      <c r="A38" s="1" t="s">
        <v>33</v>
      </c>
      <c r="B38" s="1">
        <v>99</v>
      </c>
      <c r="C38" s="1">
        <v>1</v>
      </c>
      <c r="D38" s="1" t="s">
        <v>122</v>
      </c>
      <c r="E38" s="1">
        <v>9</v>
      </c>
      <c r="F38" s="5" t="s">
        <v>58</v>
      </c>
      <c r="G38" s="6">
        <v>4810</v>
      </c>
      <c r="H38" s="2">
        <v>2005</v>
      </c>
      <c r="I38" s="6">
        <v>4453983</v>
      </c>
      <c r="J38" s="7">
        <v>26070.2</v>
      </c>
      <c r="K38" s="6">
        <v>4810</v>
      </c>
      <c r="L38" s="7">
        <v>8898.5</v>
      </c>
      <c r="M38" s="7">
        <v>39778.699999999997</v>
      </c>
      <c r="N38" s="7">
        <v>39778.699999999997</v>
      </c>
      <c r="O38" s="7">
        <v>39778.699999999997</v>
      </c>
      <c r="P38" s="8">
        <v>1</v>
      </c>
      <c r="Q38" s="7">
        <v>0</v>
      </c>
      <c r="R38" s="7">
        <v>0</v>
      </c>
      <c r="S38" s="1">
        <v>0.99087303000000004</v>
      </c>
      <c r="T38" s="7">
        <v>0</v>
      </c>
      <c r="U38" s="7">
        <v>39778.699999999997</v>
      </c>
      <c r="V38" s="7">
        <v>233315.41</v>
      </c>
      <c r="W38" s="7">
        <v>273094.11</v>
      </c>
      <c r="X38" s="7">
        <v>68273.53</v>
      </c>
      <c r="Y38" s="7">
        <v>44020.54</v>
      </c>
      <c r="Z38" s="7">
        <v>0</v>
      </c>
      <c r="AA38" s="7">
        <v>61763.15</v>
      </c>
      <c r="AB38" s="7">
        <v>0</v>
      </c>
      <c r="AC38" s="7">
        <v>0</v>
      </c>
      <c r="AD38" s="7">
        <v>48094.99</v>
      </c>
      <c r="AE38" s="7">
        <v>51292.89</v>
      </c>
      <c r="AF38" s="7">
        <v>0</v>
      </c>
      <c r="AG38" s="7">
        <v>0</v>
      </c>
      <c r="AH38" s="7">
        <v>0</v>
      </c>
      <c r="AI38" s="7">
        <v>39778.699999999997</v>
      </c>
      <c r="AJ38" s="7">
        <v>0</v>
      </c>
    </row>
    <row r="39" spans="1:36" x14ac:dyDescent="0.2">
      <c r="A39" s="1" t="s">
        <v>33</v>
      </c>
      <c r="B39" s="1">
        <v>100</v>
      </c>
      <c r="C39" s="1">
        <v>1</v>
      </c>
      <c r="D39" s="1" t="s">
        <v>123</v>
      </c>
      <c r="E39" s="1">
        <v>9</v>
      </c>
      <c r="F39" s="5" t="s">
        <v>58</v>
      </c>
      <c r="G39" s="6">
        <v>1621</v>
      </c>
      <c r="H39" s="2">
        <v>2000</v>
      </c>
      <c r="I39" s="6">
        <v>2507124</v>
      </c>
      <c r="J39" s="7">
        <v>8785.82</v>
      </c>
      <c r="K39" s="6">
        <v>1621</v>
      </c>
      <c r="L39" s="7">
        <v>2998.85</v>
      </c>
      <c r="M39" s="7">
        <v>13405.67</v>
      </c>
      <c r="N39" s="7">
        <v>13405.67</v>
      </c>
      <c r="O39" s="7">
        <v>13405.67</v>
      </c>
      <c r="P39" s="8">
        <v>1</v>
      </c>
      <c r="Q39" s="7">
        <v>0</v>
      </c>
      <c r="R39" s="7">
        <v>0</v>
      </c>
      <c r="S39" s="1">
        <v>0.99087303000000004</v>
      </c>
      <c r="T39" s="7">
        <v>0</v>
      </c>
      <c r="U39" s="7">
        <v>13405.67</v>
      </c>
      <c r="V39" s="7">
        <v>44507.21</v>
      </c>
      <c r="W39" s="7">
        <v>57912.88</v>
      </c>
      <c r="X39" s="7">
        <v>14478.22</v>
      </c>
      <c r="Y39" s="7">
        <v>586.04999999999995</v>
      </c>
      <c r="Z39" s="7">
        <v>0</v>
      </c>
      <c r="AA39" s="7">
        <v>-1968.27</v>
      </c>
      <c r="AB39" s="7">
        <v>0</v>
      </c>
      <c r="AC39" s="7">
        <v>0</v>
      </c>
      <c r="AD39" s="7">
        <v>-8339.07</v>
      </c>
      <c r="AE39" s="7">
        <v>-3240.43</v>
      </c>
      <c r="AF39" s="7">
        <v>0</v>
      </c>
      <c r="AG39" s="7">
        <v>0</v>
      </c>
      <c r="AH39" s="7">
        <v>0</v>
      </c>
      <c r="AI39" s="7">
        <v>13405.67</v>
      </c>
      <c r="AJ39" s="7">
        <v>0</v>
      </c>
    </row>
    <row r="40" spans="1:36" x14ac:dyDescent="0.2">
      <c r="A40" s="1" t="s">
        <v>33</v>
      </c>
      <c r="B40" s="1">
        <v>108</v>
      </c>
      <c r="C40" s="1">
        <v>1</v>
      </c>
      <c r="D40" s="1" t="s">
        <v>124</v>
      </c>
      <c r="E40" s="1">
        <v>10</v>
      </c>
      <c r="F40" s="5" t="s">
        <v>56</v>
      </c>
      <c r="G40" s="6">
        <v>7328</v>
      </c>
      <c r="H40" s="2">
        <v>2000</v>
      </c>
      <c r="I40" s="6">
        <v>11131937</v>
      </c>
      <c r="J40" s="7">
        <v>39717.760000000002</v>
      </c>
      <c r="K40" s="6">
        <v>7328</v>
      </c>
      <c r="L40" s="7">
        <v>13556.8</v>
      </c>
      <c r="M40" s="7">
        <v>60602.559999999998</v>
      </c>
      <c r="N40" s="7">
        <v>60602.559999999998</v>
      </c>
      <c r="O40" s="7">
        <v>60602.559999999998</v>
      </c>
      <c r="P40" s="8">
        <v>1</v>
      </c>
      <c r="Q40" s="7">
        <v>0</v>
      </c>
      <c r="R40" s="7">
        <v>0</v>
      </c>
      <c r="S40" s="1">
        <v>0.99087303000000004</v>
      </c>
      <c r="T40" s="7">
        <v>0</v>
      </c>
      <c r="U40" s="7">
        <v>60602.559999999998</v>
      </c>
      <c r="V40" s="7">
        <v>547969.21</v>
      </c>
      <c r="W40" s="7">
        <v>608571.77</v>
      </c>
      <c r="X40" s="7">
        <v>152142.94</v>
      </c>
      <c r="Y40" s="7">
        <v>75726.16</v>
      </c>
      <c r="Z40" s="7">
        <v>0</v>
      </c>
      <c r="AA40" s="7">
        <v>83204.179999999993</v>
      </c>
      <c r="AB40" s="7">
        <v>0</v>
      </c>
      <c r="AC40" s="7">
        <v>0</v>
      </c>
      <c r="AD40" s="7">
        <v>108577.09</v>
      </c>
      <c r="AE40" s="7">
        <v>89169.14</v>
      </c>
      <c r="AF40" s="7">
        <v>0</v>
      </c>
      <c r="AG40" s="7">
        <v>0</v>
      </c>
      <c r="AH40" s="7">
        <v>0</v>
      </c>
      <c r="AI40" s="7">
        <v>60602.559999999998</v>
      </c>
      <c r="AJ40" s="7">
        <v>0</v>
      </c>
    </row>
    <row r="41" spans="1:36" x14ac:dyDescent="0.2">
      <c r="A41" s="1" t="s">
        <v>33</v>
      </c>
      <c r="B41" s="1">
        <v>110</v>
      </c>
      <c r="C41" s="1">
        <v>1</v>
      </c>
      <c r="D41" s="1" t="s">
        <v>125</v>
      </c>
      <c r="E41" s="1">
        <v>10</v>
      </c>
      <c r="F41" s="5" t="s">
        <v>56</v>
      </c>
      <c r="G41" s="6">
        <v>14628</v>
      </c>
      <c r="H41" s="2">
        <v>2004</v>
      </c>
      <c r="I41" s="6">
        <v>27049759</v>
      </c>
      <c r="J41" s="7">
        <v>79283.759999999995</v>
      </c>
      <c r="K41" s="6">
        <v>14628</v>
      </c>
      <c r="L41" s="7">
        <v>20490.04</v>
      </c>
      <c r="M41" s="7">
        <v>114401.8</v>
      </c>
      <c r="N41" s="7">
        <v>114401.8</v>
      </c>
      <c r="O41" s="7">
        <v>114401.8</v>
      </c>
      <c r="P41" s="8">
        <v>1</v>
      </c>
      <c r="Q41" s="7">
        <v>0</v>
      </c>
      <c r="R41" s="7">
        <v>0</v>
      </c>
      <c r="S41" s="1">
        <v>0.99087303000000004</v>
      </c>
      <c r="T41" s="7">
        <v>0</v>
      </c>
      <c r="U41" s="7">
        <v>114401.8</v>
      </c>
      <c r="V41" s="7">
        <v>1617767.97</v>
      </c>
      <c r="W41" s="7">
        <v>1732169.77</v>
      </c>
      <c r="X41" s="7">
        <v>433042.44</v>
      </c>
      <c r="Y41" s="7">
        <v>258670.49</v>
      </c>
      <c r="Z41" s="7">
        <v>0</v>
      </c>
      <c r="AA41" s="7">
        <v>214854.71</v>
      </c>
      <c r="AB41" s="7">
        <v>0</v>
      </c>
      <c r="AC41" s="7">
        <v>0</v>
      </c>
      <c r="AD41" s="7">
        <v>83356.899999999994</v>
      </c>
      <c r="AE41" s="7">
        <v>185627.37</v>
      </c>
      <c r="AF41" s="7">
        <v>0</v>
      </c>
      <c r="AG41" s="7">
        <v>0</v>
      </c>
      <c r="AH41" s="7">
        <v>0</v>
      </c>
      <c r="AI41" s="7">
        <v>114401.8</v>
      </c>
      <c r="AJ41" s="7">
        <v>0</v>
      </c>
    </row>
    <row r="42" spans="1:36" x14ac:dyDescent="0.2">
      <c r="A42" s="1" t="s">
        <v>33</v>
      </c>
      <c r="B42" s="1">
        <v>111</v>
      </c>
      <c r="C42" s="1">
        <v>1</v>
      </c>
      <c r="D42" s="1" t="s">
        <v>126</v>
      </c>
      <c r="E42" s="1">
        <v>10</v>
      </c>
      <c r="F42" s="5" t="s">
        <v>56</v>
      </c>
      <c r="G42" s="6">
        <v>9841</v>
      </c>
      <c r="H42" s="2">
        <v>2008</v>
      </c>
      <c r="I42" s="6">
        <v>14219495</v>
      </c>
      <c r="J42" s="7">
        <v>53338.22</v>
      </c>
      <c r="K42" s="6">
        <v>9841</v>
      </c>
      <c r="L42" s="7">
        <v>18205.849999999999</v>
      </c>
      <c r="M42" s="7">
        <v>81385.070000000007</v>
      </c>
      <c r="N42" s="7">
        <v>81385.070000000007</v>
      </c>
      <c r="O42" s="7">
        <v>81385.070000000007</v>
      </c>
      <c r="P42" s="8">
        <v>1</v>
      </c>
      <c r="Q42" s="7">
        <v>0</v>
      </c>
      <c r="R42" s="7">
        <v>0</v>
      </c>
      <c r="S42" s="1">
        <v>0.99087303000000004</v>
      </c>
      <c r="T42" s="7">
        <v>0</v>
      </c>
      <c r="U42" s="7">
        <v>80740.009999999995</v>
      </c>
      <c r="V42" s="7">
        <v>701142.05</v>
      </c>
      <c r="W42" s="7">
        <v>781882.06</v>
      </c>
      <c r="X42" s="7">
        <v>195470.52</v>
      </c>
      <c r="Y42" s="7">
        <v>10949.42</v>
      </c>
      <c r="Z42" s="7">
        <v>0</v>
      </c>
      <c r="AA42" s="7">
        <v>55060.25</v>
      </c>
      <c r="AB42" s="7">
        <v>0</v>
      </c>
      <c r="AC42" s="7">
        <v>0</v>
      </c>
      <c r="AD42" s="7">
        <v>19783.150000000001</v>
      </c>
      <c r="AE42" s="7">
        <v>28597.61</v>
      </c>
      <c r="AF42" s="7">
        <v>0</v>
      </c>
      <c r="AG42" s="7">
        <v>0</v>
      </c>
      <c r="AH42" s="7">
        <v>0</v>
      </c>
      <c r="AI42" s="7">
        <v>81385.070000000007</v>
      </c>
      <c r="AJ42" s="7">
        <v>0</v>
      </c>
    </row>
    <row r="43" spans="1:36" x14ac:dyDescent="0.2">
      <c r="A43" s="1" t="s">
        <v>33</v>
      </c>
      <c r="B43" s="1">
        <v>112</v>
      </c>
      <c r="C43" s="1">
        <v>1</v>
      </c>
      <c r="D43" s="1" t="s">
        <v>398</v>
      </c>
      <c r="E43" s="1">
        <v>10</v>
      </c>
      <c r="F43" s="5" t="s">
        <v>56</v>
      </c>
      <c r="G43" s="6">
        <v>56000</v>
      </c>
      <c r="H43" s="2">
        <v>2008</v>
      </c>
      <c r="I43" s="6">
        <v>68959633</v>
      </c>
      <c r="J43" s="7">
        <v>303520</v>
      </c>
      <c r="K43" s="6">
        <v>56000</v>
      </c>
      <c r="L43" s="7">
        <v>38280</v>
      </c>
      <c r="M43" s="7">
        <v>397800</v>
      </c>
      <c r="N43" s="7">
        <v>397800</v>
      </c>
      <c r="O43" s="7">
        <v>397800</v>
      </c>
      <c r="P43" s="8">
        <v>1</v>
      </c>
      <c r="Q43" s="7">
        <v>0</v>
      </c>
      <c r="R43" s="7">
        <v>0</v>
      </c>
      <c r="S43" s="1">
        <v>0.99087303000000004</v>
      </c>
      <c r="T43" s="7">
        <v>0</v>
      </c>
      <c r="U43" s="7">
        <v>396114.9</v>
      </c>
      <c r="V43" s="7">
        <v>3921413.1</v>
      </c>
      <c r="W43" s="7">
        <v>4317528</v>
      </c>
      <c r="X43" s="7">
        <v>1079382</v>
      </c>
      <c r="Y43" s="7">
        <v>641317.89</v>
      </c>
      <c r="Z43" s="7">
        <v>0</v>
      </c>
      <c r="AA43" s="7">
        <v>651355.73</v>
      </c>
      <c r="AB43" s="7">
        <v>0</v>
      </c>
      <c r="AC43" s="7">
        <v>0</v>
      </c>
      <c r="AD43" s="7">
        <v>491252.71</v>
      </c>
      <c r="AE43" s="7">
        <v>594642.11</v>
      </c>
      <c r="AF43" s="7">
        <v>0</v>
      </c>
      <c r="AG43" s="7">
        <v>0</v>
      </c>
      <c r="AH43" s="7">
        <v>0</v>
      </c>
      <c r="AI43" s="7">
        <v>397800</v>
      </c>
      <c r="AJ43" s="7">
        <v>0</v>
      </c>
    </row>
    <row r="44" spans="1:36" x14ac:dyDescent="0.2">
      <c r="A44" s="1" t="s">
        <v>33</v>
      </c>
      <c r="B44" s="1">
        <v>113</v>
      </c>
      <c r="C44" s="1">
        <v>1</v>
      </c>
      <c r="D44" s="1" t="s">
        <v>127</v>
      </c>
      <c r="E44" s="1">
        <v>11</v>
      </c>
      <c r="F44" s="5" t="s">
        <v>66</v>
      </c>
      <c r="G44" s="6">
        <v>7213</v>
      </c>
      <c r="H44" s="2">
        <v>2000</v>
      </c>
      <c r="I44" s="6">
        <v>23342996</v>
      </c>
      <c r="J44" s="7">
        <v>39094.46</v>
      </c>
      <c r="K44" s="6">
        <v>7213</v>
      </c>
      <c r="L44" s="7">
        <v>13344.05</v>
      </c>
      <c r="M44" s="7">
        <v>59651.51</v>
      </c>
      <c r="N44" s="7">
        <v>59651.51</v>
      </c>
      <c r="O44" s="7">
        <v>59651.51</v>
      </c>
      <c r="P44" s="8">
        <v>1</v>
      </c>
      <c r="Q44" s="7">
        <v>0</v>
      </c>
      <c r="R44" s="7">
        <v>0</v>
      </c>
      <c r="S44" s="1">
        <v>0.99087303000000004</v>
      </c>
      <c r="T44" s="7">
        <v>0</v>
      </c>
      <c r="U44" s="7">
        <v>59651.51</v>
      </c>
      <c r="V44" s="7">
        <v>244788.69</v>
      </c>
      <c r="W44" s="7">
        <v>304440.2</v>
      </c>
      <c r="X44" s="7">
        <v>76110.05</v>
      </c>
      <c r="Y44" s="7">
        <v>-16620.62</v>
      </c>
      <c r="Z44" s="7">
        <v>0</v>
      </c>
      <c r="AA44" s="7">
        <v>-36.880000000000003</v>
      </c>
      <c r="AB44" s="7">
        <v>0</v>
      </c>
      <c r="AC44" s="7">
        <v>0</v>
      </c>
      <c r="AD44" s="7">
        <v>7237.42</v>
      </c>
      <c r="AE44" s="7">
        <v>-3140.03</v>
      </c>
      <c r="AF44" s="7">
        <v>0</v>
      </c>
      <c r="AG44" s="7">
        <v>0</v>
      </c>
      <c r="AH44" s="7">
        <v>0</v>
      </c>
      <c r="AI44" s="7">
        <v>59651.51</v>
      </c>
      <c r="AJ44" s="7">
        <v>0</v>
      </c>
    </row>
    <row r="45" spans="1:36" x14ac:dyDescent="0.2">
      <c r="A45" s="1" t="s">
        <v>33</v>
      </c>
      <c r="B45" s="1">
        <v>115</v>
      </c>
      <c r="C45" s="1">
        <v>1</v>
      </c>
      <c r="D45" s="1" t="s">
        <v>128</v>
      </c>
      <c r="E45" s="1">
        <v>11</v>
      </c>
      <c r="F45" s="5" t="s">
        <v>66</v>
      </c>
      <c r="G45" s="6">
        <v>4306</v>
      </c>
      <c r="H45" s="2">
        <v>2000</v>
      </c>
      <c r="I45" s="6">
        <v>5344007</v>
      </c>
      <c r="J45" s="7">
        <v>23338.52</v>
      </c>
      <c r="K45" s="6">
        <v>0</v>
      </c>
      <c r="L45" s="7">
        <v>7966.1</v>
      </c>
      <c r="M45" s="7">
        <v>31304.62</v>
      </c>
      <c r="N45" s="7">
        <v>31304.62</v>
      </c>
      <c r="O45" s="7">
        <v>31304.62</v>
      </c>
      <c r="P45" s="8">
        <v>1</v>
      </c>
      <c r="Q45" s="7">
        <v>0</v>
      </c>
      <c r="R45" s="7">
        <v>0</v>
      </c>
      <c r="S45" s="1">
        <v>0.99087303000000004</v>
      </c>
      <c r="T45" s="7">
        <v>0</v>
      </c>
      <c r="U45" s="7">
        <v>31304.62</v>
      </c>
      <c r="V45" s="7">
        <v>145951.93</v>
      </c>
      <c r="W45" s="7">
        <v>177256.55</v>
      </c>
      <c r="X45" s="7">
        <v>44314.14</v>
      </c>
      <c r="Y45" s="7">
        <v>-75171.149999999994</v>
      </c>
      <c r="Z45" s="7">
        <v>0</v>
      </c>
      <c r="AA45" s="7">
        <v>-85108.85</v>
      </c>
      <c r="AB45" s="7">
        <v>0</v>
      </c>
      <c r="AC45" s="7">
        <v>0</v>
      </c>
      <c r="AD45" s="7">
        <v>-11654.13</v>
      </c>
      <c r="AE45" s="7">
        <v>-57311.38</v>
      </c>
      <c r="AF45" s="7">
        <v>0</v>
      </c>
      <c r="AG45" s="7">
        <v>0</v>
      </c>
      <c r="AH45" s="7">
        <v>0</v>
      </c>
      <c r="AI45" s="7">
        <v>31304.62</v>
      </c>
      <c r="AJ45" s="7">
        <v>0</v>
      </c>
    </row>
    <row r="46" spans="1:36" x14ac:dyDescent="0.2">
      <c r="A46" s="1" t="s">
        <v>33</v>
      </c>
      <c r="B46" s="1">
        <v>116</v>
      </c>
      <c r="C46" s="1">
        <v>1</v>
      </c>
      <c r="D46" s="1" t="s">
        <v>129</v>
      </c>
      <c r="E46" s="1">
        <v>11</v>
      </c>
      <c r="F46" s="5" t="s">
        <v>66</v>
      </c>
      <c r="G46" s="6">
        <v>5011</v>
      </c>
      <c r="H46" s="2">
        <v>2005</v>
      </c>
      <c r="I46" s="6">
        <v>12593882</v>
      </c>
      <c r="J46" s="7">
        <v>27159.62</v>
      </c>
      <c r="K46" s="6">
        <v>5011</v>
      </c>
      <c r="L46" s="7">
        <v>9270.35</v>
      </c>
      <c r="M46" s="7">
        <v>41440.97</v>
      </c>
      <c r="N46" s="7">
        <v>41440.97</v>
      </c>
      <c r="O46" s="7">
        <v>41440.97</v>
      </c>
      <c r="P46" s="8">
        <v>1</v>
      </c>
      <c r="Q46" s="7">
        <v>0</v>
      </c>
      <c r="R46" s="7">
        <v>0</v>
      </c>
      <c r="S46" s="1">
        <v>0.99087303000000004</v>
      </c>
      <c r="T46" s="7">
        <v>0</v>
      </c>
      <c r="U46" s="7">
        <v>41440.97</v>
      </c>
      <c r="V46" s="7">
        <v>67193.100000000006</v>
      </c>
      <c r="W46" s="7">
        <v>108634.07</v>
      </c>
      <c r="X46" s="7">
        <v>27158.52</v>
      </c>
      <c r="Y46" s="7">
        <v>3704.16</v>
      </c>
      <c r="Z46" s="7">
        <v>0</v>
      </c>
      <c r="AA46" s="7">
        <v>9078.7800000000007</v>
      </c>
      <c r="AB46" s="7">
        <v>0</v>
      </c>
      <c r="AC46" s="7">
        <v>0</v>
      </c>
      <c r="AD46" s="7">
        <v>8590.49</v>
      </c>
      <c r="AE46" s="7">
        <v>7124.48</v>
      </c>
      <c r="AF46" s="7">
        <v>0</v>
      </c>
      <c r="AG46" s="7">
        <v>0</v>
      </c>
      <c r="AH46" s="7">
        <v>0</v>
      </c>
      <c r="AI46" s="7">
        <v>41440.97</v>
      </c>
      <c r="AJ46" s="7">
        <v>0</v>
      </c>
    </row>
    <row r="47" spans="1:36" x14ac:dyDescent="0.2">
      <c r="A47" s="1" t="s">
        <v>33</v>
      </c>
      <c r="B47" s="1">
        <v>118</v>
      </c>
      <c r="C47" s="1">
        <v>1</v>
      </c>
      <c r="D47" s="1" t="s">
        <v>89</v>
      </c>
      <c r="E47" s="1">
        <v>11</v>
      </c>
      <c r="F47" s="5" t="s">
        <v>66</v>
      </c>
      <c r="G47" s="6">
        <v>4278</v>
      </c>
      <c r="H47" s="2">
        <v>2000</v>
      </c>
      <c r="I47" s="6">
        <v>20967473</v>
      </c>
      <c r="J47" s="7">
        <v>23186.76</v>
      </c>
      <c r="K47" s="6">
        <v>4278</v>
      </c>
      <c r="L47" s="7">
        <v>7914.3</v>
      </c>
      <c r="M47" s="7">
        <v>35379.06</v>
      </c>
      <c r="N47" s="7">
        <v>35379.06</v>
      </c>
      <c r="O47" s="7">
        <v>35379.06</v>
      </c>
      <c r="P47" s="8">
        <v>1</v>
      </c>
      <c r="Q47" s="7">
        <v>0</v>
      </c>
      <c r="R47" s="7">
        <v>0</v>
      </c>
      <c r="S47" s="1">
        <v>0.99087303000000004</v>
      </c>
      <c r="T47" s="7">
        <v>0</v>
      </c>
      <c r="U47" s="7">
        <v>31101.06</v>
      </c>
      <c r="V47" s="7">
        <v>87920.94</v>
      </c>
      <c r="W47" s="7">
        <v>119022</v>
      </c>
      <c r="X47" s="7">
        <v>29755.5</v>
      </c>
      <c r="Y47" s="7">
        <v>7548.6</v>
      </c>
      <c r="Z47" s="7">
        <v>388.96</v>
      </c>
      <c r="AA47" s="7">
        <v>8985.7900000000009</v>
      </c>
      <c r="AB47" s="7">
        <v>0</v>
      </c>
      <c r="AC47" s="7">
        <v>0</v>
      </c>
      <c r="AD47" s="7">
        <v>1324.63</v>
      </c>
      <c r="AE47" s="7">
        <v>5823.35</v>
      </c>
      <c r="AF47" s="7">
        <v>0</v>
      </c>
      <c r="AG47" s="7">
        <v>0</v>
      </c>
      <c r="AH47" s="7">
        <v>0</v>
      </c>
      <c r="AI47" s="7">
        <v>35379.06</v>
      </c>
      <c r="AJ47" s="7">
        <v>0</v>
      </c>
    </row>
    <row r="48" spans="1:36" x14ac:dyDescent="0.2">
      <c r="A48" s="1" t="s">
        <v>33</v>
      </c>
      <c r="B48" s="1">
        <v>129</v>
      </c>
      <c r="C48" s="1">
        <v>1</v>
      </c>
      <c r="D48" s="1" t="s">
        <v>130</v>
      </c>
      <c r="E48" s="1">
        <v>12</v>
      </c>
      <c r="F48" s="5" t="s">
        <v>64</v>
      </c>
      <c r="G48" s="6">
        <v>7640</v>
      </c>
      <c r="H48" s="2">
        <v>2000</v>
      </c>
      <c r="I48" s="6">
        <v>5966891</v>
      </c>
      <c r="J48" s="7">
        <v>41408.800000000003</v>
      </c>
      <c r="K48" s="6">
        <v>7640</v>
      </c>
      <c r="L48" s="7">
        <v>14134</v>
      </c>
      <c r="M48" s="7">
        <v>63182.8</v>
      </c>
      <c r="N48" s="7">
        <v>53702.02</v>
      </c>
      <c r="O48" s="7">
        <v>53702.02</v>
      </c>
      <c r="P48" s="8">
        <v>1</v>
      </c>
      <c r="Q48" s="7">
        <v>9480.7800000000007</v>
      </c>
      <c r="R48" s="7">
        <v>9480.7800000000007</v>
      </c>
      <c r="S48" s="1">
        <v>0.99087303000000004</v>
      </c>
      <c r="T48" s="7">
        <v>9394.25</v>
      </c>
      <c r="U48" s="7">
        <v>63182.8</v>
      </c>
      <c r="V48" s="7">
        <v>395649.06</v>
      </c>
      <c r="W48" s="7">
        <v>458831.86</v>
      </c>
      <c r="X48" s="7">
        <v>114707.97</v>
      </c>
      <c r="Y48" s="7">
        <v>-39716.449999999997</v>
      </c>
      <c r="Z48" s="7">
        <v>0</v>
      </c>
      <c r="AA48" s="7">
        <v>-41676.35</v>
      </c>
      <c r="AB48" s="7">
        <v>0</v>
      </c>
      <c r="AC48" s="7">
        <v>0</v>
      </c>
      <c r="AD48" s="7">
        <v>-13968.28</v>
      </c>
      <c r="AE48" s="7">
        <v>-31787.03</v>
      </c>
      <c r="AF48" s="7">
        <v>0</v>
      </c>
      <c r="AG48" s="7">
        <v>0</v>
      </c>
      <c r="AH48" s="7">
        <v>0</v>
      </c>
      <c r="AI48" s="7">
        <v>53702.02</v>
      </c>
      <c r="AJ48" s="7">
        <v>9480.7800000000007</v>
      </c>
    </row>
    <row r="49" spans="1:36" x14ac:dyDescent="0.2">
      <c r="A49" s="1" t="s">
        <v>33</v>
      </c>
      <c r="B49" s="1">
        <v>138</v>
      </c>
      <c r="C49" s="1">
        <v>1</v>
      </c>
      <c r="D49" s="1" t="s">
        <v>131</v>
      </c>
      <c r="E49" s="1">
        <v>13</v>
      </c>
      <c r="F49" s="5" t="s">
        <v>67</v>
      </c>
      <c r="G49" s="6">
        <v>20891</v>
      </c>
      <c r="H49" s="2">
        <v>2007</v>
      </c>
      <c r="I49" s="6">
        <v>21534986</v>
      </c>
      <c r="J49" s="7">
        <v>113229.22</v>
      </c>
      <c r="K49" s="6">
        <v>20891</v>
      </c>
      <c r="L49" s="7">
        <v>23183.13</v>
      </c>
      <c r="M49" s="7">
        <v>157303.35</v>
      </c>
      <c r="N49" s="7">
        <v>157303.35</v>
      </c>
      <c r="O49" s="7">
        <v>157303.35</v>
      </c>
      <c r="P49" s="8">
        <v>1</v>
      </c>
      <c r="Q49" s="7">
        <v>0</v>
      </c>
      <c r="R49" s="7">
        <v>0</v>
      </c>
      <c r="S49" s="1">
        <v>0.99087303000000004</v>
      </c>
      <c r="T49" s="7">
        <v>0</v>
      </c>
      <c r="U49" s="7">
        <v>157303.35</v>
      </c>
      <c r="V49" s="7">
        <v>671110.01</v>
      </c>
      <c r="W49" s="7">
        <v>828413.36</v>
      </c>
      <c r="X49" s="7">
        <v>207103.34</v>
      </c>
      <c r="Y49" s="7">
        <v>159340.51</v>
      </c>
      <c r="Z49" s="7">
        <v>0</v>
      </c>
      <c r="AA49" s="7">
        <v>111538.62</v>
      </c>
      <c r="AB49" s="7">
        <v>0</v>
      </c>
      <c r="AC49" s="7">
        <v>0</v>
      </c>
      <c r="AD49" s="7">
        <v>105372.43</v>
      </c>
      <c r="AE49" s="7">
        <v>125417.19</v>
      </c>
      <c r="AF49" s="7">
        <v>0</v>
      </c>
      <c r="AG49" s="7">
        <v>0</v>
      </c>
      <c r="AH49" s="7">
        <v>0</v>
      </c>
      <c r="AI49" s="7">
        <v>157303.35</v>
      </c>
      <c r="AJ49" s="7">
        <v>0</v>
      </c>
    </row>
    <row r="50" spans="1:36" x14ac:dyDescent="0.2">
      <c r="A50" s="1" t="s">
        <v>33</v>
      </c>
      <c r="B50" s="1">
        <v>139</v>
      </c>
      <c r="C50" s="1">
        <v>1</v>
      </c>
      <c r="D50" s="1" t="s">
        <v>132</v>
      </c>
      <c r="E50" s="1">
        <v>13</v>
      </c>
      <c r="F50" s="5" t="s">
        <v>67</v>
      </c>
      <c r="G50" s="6">
        <v>5084</v>
      </c>
      <c r="H50" s="2">
        <v>2000</v>
      </c>
      <c r="I50" s="6">
        <v>6478573</v>
      </c>
      <c r="J50" s="7">
        <v>27555.279999999999</v>
      </c>
      <c r="K50" s="6">
        <v>5084</v>
      </c>
      <c r="L50" s="7">
        <v>0</v>
      </c>
      <c r="M50" s="7">
        <v>32639.279999999999</v>
      </c>
      <c r="N50" s="7">
        <v>32639.279999999999</v>
      </c>
      <c r="O50" s="7">
        <v>32639.279999999999</v>
      </c>
      <c r="P50" s="8">
        <v>1</v>
      </c>
      <c r="Q50" s="7">
        <v>0</v>
      </c>
      <c r="R50" s="7">
        <v>0</v>
      </c>
      <c r="S50" s="1">
        <v>0.99087303000000004</v>
      </c>
      <c r="T50" s="7">
        <v>0</v>
      </c>
      <c r="U50" s="7">
        <v>32639.279999999999</v>
      </c>
      <c r="V50" s="7">
        <v>257496.92</v>
      </c>
      <c r="W50" s="7">
        <v>290136.2</v>
      </c>
      <c r="X50" s="7">
        <v>72534.05</v>
      </c>
      <c r="Y50" s="7">
        <v>3920.12</v>
      </c>
      <c r="Z50" s="7">
        <v>0</v>
      </c>
      <c r="AA50" s="7">
        <v>18223.82</v>
      </c>
      <c r="AB50" s="7">
        <v>0</v>
      </c>
      <c r="AC50" s="7">
        <v>0</v>
      </c>
      <c r="AD50" s="7">
        <v>29694.09</v>
      </c>
      <c r="AE50" s="7">
        <v>17279.34</v>
      </c>
      <c r="AF50" s="7">
        <v>0</v>
      </c>
      <c r="AG50" s="7">
        <v>0</v>
      </c>
      <c r="AH50" s="7">
        <v>0</v>
      </c>
      <c r="AI50" s="7">
        <v>32639.279999999999</v>
      </c>
      <c r="AJ50" s="7">
        <v>0</v>
      </c>
    </row>
    <row r="51" spans="1:36" x14ac:dyDescent="0.2">
      <c r="A51" s="1" t="s">
        <v>33</v>
      </c>
      <c r="B51" s="1">
        <v>146</v>
      </c>
      <c r="C51" s="1">
        <v>1</v>
      </c>
      <c r="D51" s="1" t="s">
        <v>133</v>
      </c>
      <c r="E51" s="1">
        <v>14</v>
      </c>
      <c r="F51" s="5" t="s">
        <v>60</v>
      </c>
      <c r="G51" s="6">
        <v>4041</v>
      </c>
      <c r="H51" s="2">
        <v>2000</v>
      </c>
      <c r="I51" s="6">
        <v>4721837</v>
      </c>
      <c r="J51" s="7">
        <v>21902.22</v>
      </c>
      <c r="K51" s="6">
        <v>4041</v>
      </c>
      <c r="L51" s="7">
        <v>7475.85</v>
      </c>
      <c r="M51" s="7">
        <v>33419.07</v>
      </c>
      <c r="N51" s="7">
        <v>33419.07</v>
      </c>
      <c r="O51" s="7">
        <v>33419.07</v>
      </c>
      <c r="P51" s="8">
        <v>1</v>
      </c>
      <c r="Q51" s="7">
        <v>0</v>
      </c>
      <c r="R51" s="7">
        <v>0</v>
      </c>
      <c r="S51" s="1">
        <v>0.99087303000000004</v>
      </c>
      <c r="T51" s="7">
        <v>0</v>
      </c>
      <c r="U51" s="7">
        <v>33419.07</v>
      </c>
      <c r="V51" s="7">
        <v>138753.01999999999</v>
      </c>
      <c r="W51" s="7">
        <v>172172.09</v>
      </c>
      <c r="X51" s="7">
        <v>43043.02</v>
      </c>
      <c r="Y51" s="7">
        <v>41115.269999999997</v>
      </c>
      <c r="Z51" s="7">
        <v>0</v>
      </c>
      <c r="AA51" s="7">
        <v>44724.24</v>
      </c>
      <c r="AB51" s="7">
        <v>0</v>
      </c>
      <c r="AC51" s="7">
        <v>0</v>
      </c>
      <c r="AD51" s="7">
        <v>39431.629999999997</v>
      </c>
      <c r="AE51" s="7">
        <v>41757.050000000003</v>
      </c>
      <c r="AF51" s="7">
        <v>0</v>
      </c>
      <c r="AG51" s="7">
        <v>0</v>
      </c>
      <c r="AH51" s="7">
        <v>0</v>
      </c>
      <c r="AI51" s="7">
        <v>33419.07</v>
      </c>
      <c r="AJ51" s="7">
        <v>0</v>
      </c>
    </row>
    <row r="52" spans="1:36" x14ac:dyDescent="0.2">
      <c r="A52" s="1" t="s">
        <v>33</v>
      </c>
      <c r="B52" s="1">
        <v>150</v>
      </c>
      <c r="C52" s="1">
        <v>1</v>
      </c>
      <c r="D52" s="1" t="s">
        <v>134</v>
      </c>
      <c r="E52" s="1">
        <v>14</v>
      </c>
      <c r="F52" s="5" t="s">
        <v>60</v>
      </c>
      <c r="G52" s="6">
        <v>3744</v>
      </c>
      <c r="H52" s="2">
        <v>2000</v>
      </c>
      <c r="I52" s="6">
        <v>2991134</v>
      </c>
      <c r="J52" s="7">
        <v>20292.48</v>
      </c>
      <c r="K52" s="6">
        <v>3744</v>
      </c>
      <c r="L52" s="7">
        <v>6926.4</v>
      </c>
      <c r="M52" s="7">
        <v>30962.880000000001</v>
      </c>
      <c r="N52" s="7">
        <v>26920.21</v>
      </c>
      <c r="O52" s="7">
        <v>26920.21</v>
      </c>
      <c r="P52" s="8">
        <v>1</v>
      </c>
      <c r="Q52" s="7">
        <v>4042.67</v>
      </c>
      <c r="R52" s="7">
        <v>4042.67</v>
      </c>
      <c r="S52" s="1">
        <v>0.99087303000000004</v>
      </c>
      <c r="T52" s="7">
        <v>4005.77</v>
      </c>
      <c r="U52" s="7">
        <v>30962.880000000001</v>
      </c>
      <c r="V52" s="7">
        <v>224897.54</v>
      </c>
      <c r="W52" s="7">
        <v>255860.42</v>
      </c>
      <c r="X52" s="7">
        <v>63965.11</v>
      </c>
      <c r="Y52" s="7">
        <v>14506.94</v>
      </c>
      <c r="Z52" s="7">
        <v>0</v>
      </c>
      <c r="AA52" s="7">
        <v>4819.1899999999996</v>
      </c>
      <c r="AB52" s="7">
        <v>0</v>
      </c>
      <c r="AC52" s="7">
        <v>0</v>
      </c>
      <c r="AD52" s="7">
        <v>711.23</v>
      </c>
      <c r="AE52" s="7">
        <v>6679.12</v>
      </c>
      <c r="AF52" s="7">
        <v>0</v>
      </c>
      <c r="AG52" s="7">
        <v>0</v>
      </c>
      <c r="AH52" s="7">
        <v>0</v>
      </c>
      <c r="AI52" s="7">
        <v>26920.21</v>
      </c>
      <c r="AJ52" s="7">
        <v>4042.67</v>
      </c>
    </row>
    <row r="53" spans="1:36" x14ac:dyDescent="0.2">
      <c r="A53" s="1" t="s">
        <v>33</v>
      </c>
      <c r="B53" s="1">
        <v>152</v>
      </c>
      <c r="C53" s="1">
        <v>1</v>
      </c>
      <c r="D53" s="1" t="s">
        <v>135</v>
      </c>
      <c r="E53" s="1">
        <v>14</v>
      </c>
      <c r="F53" s="5" t="s">
        <v>60</v>
      </c>
      <c r="G53" s="6">
        <v>39225</v>
      </c>
      <c r="H53" s="2">
        <v>2007</v>
      </c>
      <c r="I53" s="6">
        <v>26099292</v>
      </c>
      <c r="J53" s="7">
        <v>212599.5</v>
      </c>
      <c r="K53" s="6">
        <v>39225</v>
      </c>
      <c r="L53" s="7">
        <v>31066.75</v>
      </c>
      <c r="M53" s="7">
        <v>282891.25</v>
      </c>
      <c r="N53" s="7">
        <v>234893.63</v>
      </c>
      <c r="O53" s="7">
        <v>234893.63</v>
      </c>
      <c r="P53" s="8">
        <v>1</v>
      </c>
      <c r="Q53" s="7">
        <v>47997.62</v>
      </c>
      <c r="R53" s="7">
        <v>47997.62</v>
      </c>
      <c r="S53" s="1">
        <v>0.99087303000000004</v>
      </c>
      <c r="T53" s="7">
        <v>47559.55</v>
      </c>
      <c r="U53" s="7">
        <v>282891.25</v>
      </c>
      <c r="V53" s="7">
        <v>234750.51</v>
      </c>
      <c r="W53" s="7">
        <v>517641.76</v>
      </c>
      <c r="X53" s="7">
        <v>129410.44</v>
      </c>
      <c r="Y53" s="7">
        <v>-81432.17</v>
      </c>
      <c r="Z53" s="7">
        <v>0</v>
      </c>
      <c r="AA53" s="7">
        <v>-104659.67</v>
      </c>
      <c r="AB53" s="7">
        <v>0</v>
      </c>
      <c r="AC53" s="7">
        <v>0</v>
      </c>
      <c r="AD53" s="7">
        <v>-7897.48</v>
      </c>
      <c r="AE53" s="7">
        <v>-64663.11</v>
      </c>
      <c r="AF53" s="7">
        <v>0</v>
      </c>
      <c r="AG53" s="7">
        <v>0</v>
      </c>
      <c r="AH53" s="7">
        <v>0</v>
      </c>
      <c r="AI53" s="7">
        <v>234893.63</v>
      </c>
      <c r="AJ53" s="7">
        <v>47997.62</v>
      </c>
    </row>
    <row r="54" spans="1:36" x14ac:dyDescent="0.2">
      <c r="A54" s="1" t="s">
        <v>33</v>
      </c>
      <c r="B54" s="1">
        <v>162</v>
      </c>
      <c r="C54" s="1">
        <v>1</v>
      </c>
      <c r="D54" s="1" t="s">
        <v>136</v>
      </c>
      <c r="E54" s="1">
        <v>15</v>
      </c>
      <c r="F54" s="5" t="s">
        <v>62</v>
      </c>
      <c r="G54" s="6">
        <v>5723</v>
      </c>
      <c r="H54" s="2">
        <v>2000</v>
      </c>
      <c r="I54" s="6">
        <v>5839144</v>
      </c>
      <c r="J54" s="7">
        <v>31018.66</v>
      </c>
      <c r="K54" s="6">
        <v>5723</v>
      </c>
      <c r="L54" s="7">
        <v>10587.55</v>
      </c>
      <c r="M54" s="7">
        <v>47329.21</v>
      </c>
      <c r="N54" s="7">
        <v>47329.21</v>
      </c>
      <c r="O54" s="7">
        <v>47329.21</v>
      </c>
      <c r="P54" s="8">
        <v>1</v>
      </c>
      <c r="Q54" s="7">
        <v>0</v>
      </c>
      <c r="R54" s="7">
        <v>0</v>
      </c>
      <c r="S54" s="1">
        <v>0.99087303000000004</v>
      </c>
      <c r="T54" s="7">
        <v>0</v>
      </c>
      <c r="U54" s="7">
        <v>47329.21</v>
      </c>
      <c r="V54" s="7">
        <v>44069.75</v>
      </c>
      <c r="W54" s="7">
        <v>91398.96</v>
      </c>
      <c r="X54" s="7">
        <v>22849.74</v>
      </c>
      <c r="Y54" s="7">
        <v>23029.03</v>
      </c>
      <c r="Z54" s="7">
        <v>0</v>
      </c>
      <c r="AA54" s="7">
        <v>19887.93</v>
      </c>
      <c r="AB54" s="7">
        <v>0</v>
      </c>
      <c r="AC54" s="7">
        <v>0</v>
      </c>
      <c r="AD54" s="7">
        <v>28831.9</v>
      </c>
      <c r="AE54" s="7">
        <v>23916.29</v>
      </c>
      <c r="AF54" s="7">
        <v>1066.55</v>
      </c>
      <c r="AG54" s="7">
        <v>1066.55</v>
      </c>
      <c r="AH54" s="7">
        <v>0</v>
      </c>
      <c r="AI54" s="7">
        <v>46262.66</v>
      </c>
      <c r="AJ54" s="7">
        <v>0</v>
      </c>
    </row>
    <row r="55" spans="1:36" x14ac:dyDescent="0.2">
      <c r="A55" s="1" t="s">
        <v>33</v>
      </c>
      <c r="B55" s="1">
        <v>166</v>
      </c>
      <c r="C55" s="1">
        <v>1</v>
      </c>
      <c r="D55" s="1" t="s">
        <v>137</v>
      </c>
      <c r="E55" s="1">
        <v>16</v>
      </c>
      <c r="F55" s="5" t="s">
        <v>58</v>
      </c>
      <c r="G55" s="6">
        <v>5280</v>
      </c>
      <c r="H55" s="2">
        <v>2005</v>
      </c>
      <c r="I55" s="6">
        <v>19575598</v>
      </c>
      <c r="J55" s="7">
        <v>28617.599999999999</v>
      </c>
      <c r="K55" s="6">
        <v>5280</v>
      </c>
      <c r="L55" s="7">
        <v>9768</v>
      </c>
      <c r="M55" s="7">
        <v>43665.599999999999</v>
      </c>
      <c r="N55" s="7">
        <v>43665.599999999999</v>
      </c>
      <c r="O55" s="7">
        <v>43665.599999999999</v>
      </c>
      <c r="P55" s="8">
        <v>1</v>
      </c>
      <c r="Q55" s="7">
        <v>0</v>
      </c>
      <c r="R55" s="7">
        <v>0</v>
      </c>
      <c r="S55" s="1">
        <v>0.99087303000000004</v>
      </c>
      <c r="T55" s="7">
        <v>0</v>
      </c>
      <c r="U55" s="7">
        <v>43665.599999999999</v>
      </c>
      <c r="V55" s="7">
        <v>163554.10999999999</v>
      </c>
      <c r="W55" s="7">
        <v>207219.71</v>
      </c>
      <c r="X55" s="7">
        <v>51804.93</v>
      </c>
      <c r="Y55" s="7">
        <v>54243.55</v>
      </c>
      <c r="Z55" s="7">
        <v>0</v>
      </c>
      <c r="AA55" s="7">
        <v>44703.56</v>
      </c>
      <c r="AB55" s="7">
        <v>0</v>
      </c>
      <c r="AC55" s="7">
        <v>0</v>
      </c>
      <c r="AD55" s="7">
        <v>15079.76</v>
      </c>
      <c r="AE55" s="7">
        <v>38008.959999999999</v>
      </c>
      <c r="AF55" s="7">
        <v>0</v>
      </c>
      <c r="AG55" s="7">
        <v>0</v>
      </c>
      <c r="AH55" s="7">
        <v>0</v>
      </c>
      <c r="AI55" s="7">
        <v>43665.599999999999</v>
      </c>
      <c r="AJ55" s="7">
        <v>0</v>
      </c>
    </row>
    <row r="56" spans="1:36" x14ac:dyDescent="0.2">
      <c r="A56" s="1" t="s">
        <v>33</v>
      </c>
      <c r="B56" s="1">
        <v>173</v>
      </c>
      <c r="C56" s="1">
        <v>1</v>
      </c>
      <c r="D56" s="1" t="s">
        <v>138</v>
      </c>
      <c r="E56" s="1">
        <v>17</v>
      </c>
      <c r="F56" s="5" t="s">
        <v>65</v>
      </c>
      <c r="G56" s="6">
        <v>3277</v>
      </c>
      <c r="H56" s="2">
        <v>2000</v>
      </c>
      <c r="I56" s="6">
        <v>3432122</v>
      </c>
      <c r="J56" s="7">
        <v>17761.34</v>
      </c>
      <c r="K56" s="6">
        <v>3277</v>
      </c>
      <c r="L56" s="7">
        <v>6062.45</v>
      </c>
      <c r="M56" s="7">
        <v>27100.79</v>
      </c>
      <c r="N56" s="7">
        <v>27100.79</v>
      </c>
      <c r="O56" s="7">
        <v>27100.79</v>
      </c>
      <c r="P56" s="8">
        <v>1</v>
      </c>
      <c r="Q56" s="7">
        <v>0</v>
      </c>
      <c r="R56" s="7">
        <v>0</v>
      </c>
      <c r="S56" s="1">
        <v>0.99087303000000004</v>
      </c>
      <c r="T56" s="7">
        <v>0</v>
      </c>
      <c r="U56" s="7">
        <v>27100.79</v>
      </c>
      <c r="V56" s="7">
        <v>196193.71</v>
      </c>
      <c r="W56" s="7">
        <v>223294.5</v>
      </c>
      <c r="X56" s="7">
        <v>55823.63</v>
      </c>
      <c r="Y56" s="7">
        <v>0</v>
      </c>
      <c r="Z56" s="7">
        <v>0</v>
      </c>
      <c r="AA56" s="7">
        <v>8654.67</v>
      </c>
      <c r="AB56" s="7">
        <v>0</v>
      </c>
      <c r="AC56" s="7">
        <v>0</v>
      </c>
      <c r="AD56" s="7">
        <v>-5474.04</v>
      </c>
      <c r="AE56" s="7">
        <v>1060.21</v>
      </c>
      <c r="AF56" s="7">
        <v>0</v>
      </c>
      <c r="AG56" s="7">
        <v>0</v>
      </c>
      <c r="AH56" s="7">
        <v>0</v>
      </c>
      <c r="AI56" s="7">
        <v>27100.79</v>
      </c>
      <c r="AJ56" s="7">
        <v>0</v>
      </c>
    </row>
    <row r="57" spans="1:36" x14ac:dyDescent="0.2">
      <c r="A57" s="1" t="s">
        <v>33</v>
      </c>
      <c r="B57" s="1">
        <v>177</v>
      </c>
      <c r="C57" s="1">
        <v>1</v>
      </c>
      <c r="D57" s="1" t="s">
        <v>139</v>
      </c>
      <c r="E57" s="1">
        <v>17</v>
      </c>
      <c r="F57" s="5" t="s">
        <v>65</v>
      </c>
      <c r="G57" s="6">
        <v>6125</v>
      </c>
      <c r="H57" s="2">
        <v>2000</v>
      </c>
      <c r="I57" s="6">
        <v>6085094</v>
      </c>
      <c r="J57" s="7">
        <v>33197.5</v>
      </c>
      <c r="K57" s="6">
        <v>6125</v>
      </c>
      <c r="L57" s="7">
        <v>11331.25</v>
      </c>
      <c r="M57" s="7">
        <v>50653.75</v>
      </c>
      <c r="N57" s="7">
        <v>50653.75</v>
      </c>
      <c r="O57" s="7">
        <v>50653.75</v>
      </c>
      <c r="P57" s="8">
        <v>1</v>
      </c>
      <c r="Q57" s="7">
        <v>0</v>
      </c>
      <c r="R57" s="7">
        <v>0</v>
      </c>
      <c r="S57" s="1">
        <v>0.99087303000000004</v>
      </c>
      <c r="T57" s="7">
        <v>0</v>
      </c>
      <c r="U57" s="7">
        <v>50653.75</v>
      </c>
      <c r="V57" s="7">
        <v>81676.98</v>
      </c>
      <c r="W57" s="7">
        <v>132330.73000000001</v>
      </c>
      <c r="X57" s="7">
        <v>33082.68</v>
      </c>
      <c r="Y57" s="7">
        <v>25013.18</v>
      </c>
      <c r="Z57" s="7">
        <v>0</v>
      </c>
      <c r="AA57" s="7">
        <v>25470.9</v>
      </c>
      <c r="AB57" s="7">
        <v>0</v>
      </c>
      <c r="AC57" s="7">
        <v>0</v>
      </c>
      <c r="AD57" s="7">
        <v>28348.66</v>
      </c>
      <c r="AE57" s="7">
        <v>26277.58</v>
      </c>
      <c r="AF57" s="7">
        <v>0</v>
      </c>
      <c r="AG57" s="7">
        <v>0</v>
      </c>
      <c r="AH57" s="7">
        <v>0</v>
      </c>
      <c r="AI57" s="7">
        <v>50653.75</v>
      </c>
      <c r="AJ57" s="7">
        <v>0</v>
      </c>
    </row>
    <row r="58" spans="1:36" x14ac:dyDescent="0.2">
      <c r="A58" s="1" t="s">
        <v>33</v>
      </c>
      <c r="B58" s="1">
        <v>181</v>
      </c>
      <c r="C58" s="1">
        <v>1</v>
      </c>
      <c r="D58" s="1" t="s">
        <v>140</v>
      </c>
      <c r="E58" s="1">
        <v>18</v>
      </c>
      <c r="F58" s="5" t="s">
        <v>66</v>
      </c>
      <c r="G58" s="6">
        <v>37800</v>
      </c>
      <c r="H58" s="2">
        <v>2000</v>
      </c>
      <c r="I58" s="6">
        <v>70453822</v>
      </c>
      <c r="J58" s="7">
        <v>204876</v>
      </c>
      <c r="K58" s="6">
        <v>37800</v>
      </c>
      <c r="L58" s="7">
        <v>30454</v>
      </c>
      <c r="M58" s="7">
        <v>273130</v>
      </c>
      <c r="N58" s="7">
        <v>273130</v>
      </c>
      <c r="O58" s="7">
        <v>273130</v>
      </c>
      <c r="P58" s="8">
        <v>1</v>
      </c>
      <c r="Q58" s="7">
        <v>0</v>
      </c>
      <c r="R58" s="7">
        <v>0</v>
      </c>
      <c r="S58" s="1">
        <v>0.99087303000000004</v>
      </c>
      <c r="T58" s="7">
        <v>0</v>
      </c>
      <c r="U58" s="7">
        <v>273130</v>
      </c>
      <c r="V58" s="7">
        <v>1197780.5</v>
      </c>
      <c r="W58" s="7">
        <v>1470910.5</v>
      </c>
      <c r="X58" s="7">
        <v>367727.63</v>
      </c>
      <c r="Y58" s="7">
        <v>188656.26</v>
      </c>
      <c r="Z58" s="7">
        <v>0</v>
      </c>
      <c r="AA58" s="7">
        <v>164455.24</v>
      </c>
      <c r="AB58" s="7">
        <v>0</v>
      </c>
      <c r="AC58" s="7">
        <v>0</v>
      </c>
      <c r="AD58" s="7">
        <v>251983.43</v>
      </c>
      <c r="AE58" s="7">
        <v>201698.31</v>
      </c>
      <c r="AF58" s="7">
        <v>0</v>
      </c>
      <c r="AG58" s="7">
        <v>0</v>
      </c>
      <c r="AH58" s="7">
        <v>0</v>
      </c>
      <c r="AI58" s="7">
        <v>273130</v>
      </c>
      <c r="AJ58" s="7">
        <v>0</v>
      </c>
    </row>
    <row r="59" spans="1:36" x14ac:dyDescent="0.2">
      <c r="A59" s="1" t="s">
        <v>33</v>
      </c>
      <c r="B59" s="1">
        <v>182</v>
      </c>
      <c r="C59" s="1">
        <v>1</v>
      </c>
      <c r="D59" s="1" t="s">
        <v>141</v>
      </c>
      <c r="E59" s="1">
        <v>18</v>
      </c>
      <c r="F59" s="5" t="s">
        <v>66</v>
      </c>
      <c r="G59" s="6">
        <v>10207</v>
      </c>
      <c r="H59" s="2">
        <v>2000</v>
      </c>
      <c r="I59" s="6">
        <v>28054408</v>
      </c>
      <c r="J59" s="7">
        <v>55321.94</v>
      </c>
      <c r="K59" s="6">
        <v>10207</v>
      </c>
      <c r="L59" s="7">
        <v>18589.009999999998</v>
      </c>
      <c r="M59" s="7">
        <v>84117.95</v>
      </c>
      <c r="N59" s="7">
        <v>84117.95</v>
      </c>
      <c r="O59" s="7">
        <v>84117.95</v>
      </c>
      <c r="P59" s="8">
        <v>1</v>
      </c>
      <c r="Q59" s="7">
        <v>0</v>
      </c>
      <c r="R59" s="7">
        <v>0</v>
      </c>
      <c r="S59" s="1">
        <v>0.99087303000000004</v>
      </c>
      <c r="T59" s="7">
        <v>0</v>
      </c>
      <c r="U59" s="7">
        <v>84117.95</v>
      </c>
      <c r="V59" s="7">
        <v>37909.78</v>
      </c>
      <c r="W59" s="7">
        <v>122027.73</v>
      </c>
      <c r="X59" s="7">
        <v>30506.93</v>
      </c>
      <c r="Y59" s="7">
        <v>25352.639999999999</v>
      </c>
      <c r="Z59" s="7">
        <v>0</v>
      </c>
      <c r="AA59" s="7">
        <v>24522.91</v>
      </c>
      <c r="AB59" s="7">
        <v>0</v>
      </c>
      <c r="AC59" s="7">
        <v>0</v>
      </c>
      <c r="AD59" s="7">
        <v>39429.39</v>
      </c>
      <c r="AE59" s="7">
        <v>29768.31</v>
      </c>
      <c r="AF59" s="7">
        <v>0</v>
      </c>
      <c r="AG59" s="7">
        <v>0</v>
      </c>
      <c r="AH59" s="7">
        <v>0</v>
      </c>
      <c r="AI59" s="7">
        <v>84117.95</v>
      </c>
      <c r="AJ59" s="7">
        <v>0</v>
      </c>
    </row>
    <row r="60" spans="1:36" x14ac:dyDescent="0.2">
      <c r="A60" s="1" t="s">
        <v>33</v>
      </c>
      <c r="B60" s="1">
        <v>186</v>
      </c>
      <c r="C60" s="1">
        <v>1</v>
      </c>
      <c r="D60" s="1" t="s">
        <v>142</v>
      </c>
      <c r="E60" s="1">
        <v>18</v>
      </c>
      <c r="F60" s="5" t="s">
        <v>66</v>
      </c>
      <c r="G60" s="6">
        <v>8240</v>
      </c>
      <c r="H60" s="2">
        <v>2005</v>
      </c>
      <c r="I60" s="6">
        <v>40616559</v>
      </c>
      <c r="J60" s="7">
        <v>44660.800000000003</v>
      </c>
      <c r="K60" s="6">
        <v>8240</v>
      </c>
      <c r="L60" s="7">
        <v>15244</v>
      </c>
      <c r="M60" s="7">
        <v>68144.800000000003</v>
      </c>
      <c r="N60" s="7">
        <v>68144.800000000003</v>
      </c>
      <c r="O60" s="7">
        <v>68144.800000000003</v>
      </c>
      <c r="P60" s="8">
        <v>1</v>
      </c>
      <c r="Q60" s="7">
        <v>0</v>
      </c>
      <c r="R60" s="7">
        <v>0</v>
      </c>
      <c r="S60" s="1">
        <v>0.99087303000000004</v>
      </c>
      <c r="T60" s="7">
        <v>0</v>
      </c>
      <c r="U60" s="7">
        <v>68144.800000000003</v>
      </c>
      <c r="V60" s="7">
        <v>244993.05</v>
      </c>
      <c r="W60" s="7">
        <v>313137.84999999998</v>
      </c>
      <c r="X60" s="7">
        <v>78284.460000000006</v>
      </c>
      <c r="Y60" s="7">
        <v>48848.639999999999</v>
      </c>
      <c r="Z60" s="7">
        <v>0</v>
      </c>
      <c r="AA60" s="7">
        <v>69308.84</v>
      </c>
      <c r="AB60" s="7">
        <v>0</v>
      </c>
      <c r="AC60" s="7">
        <v>0</v>
      </c>
      <c r="AD60" s="7">
        <v>81670.69</v>
      </c>
      <c r="AE60" s="7">
        <v>66609.39</v>
      </c>
      <c r="AF60" s="7">
        <v>0</v>
      </c>
      <c r="AG60" s="7">
        <v>0</v>
      </c>
      <c r="AH60" s="7">
        <v>0</v>
      </c>
      <c r="AI60" s="7">
        <v>68144.800000000003</v>
      </c>
      <c r="AJ60" s="7">
        <v>0</v>
      </c>
    </row>
    <row r="61" spans="1:36" x14ac:dyDescent="0.2">
      <c r="A61" s="1" t="s">
        <v>33</v>
      </c>
      <c r="B61" s="1">
        <v>191</v>
      </c>
      <c r="C61" s="1">
        <v>1</v>
      </c>
      <c r="D61" s="1" t="s">
        <v>143</v>
      </c>
      <c r="E61" s="1">
        <v>19</v>
      </c>
      <c r="F61" s="5" t="s">
        <v>56</v>
      </c>
      <c r="G61" s="6">
        <v>66158</v>
      </c>
      <c r="H61" s="2">
        <v>2000</v>
      </c>
      <c r="I61" s="6">
        <v>77849587</v>
      </c>
      <c r="J61" s="7">
        <v>358576.36</v>
      </c>
      <c r="K61" s="6">
        <v>66158</v>
      </c>
      <c r="L61" s="7">
        <v>42647.94</v>
      </c>
      <c r="M61" s="7">
        <v>467382.3</v>
      </c>
      <c r="N61" s="7">
        <v>467382.3</v>
      </c>
      <c r="O61" s="7">
        <v>467382.3</v>
      </c>
      <c r="P61" s="8">
        <v>1</v>
      </c>
      <c r="Q61" s="7">
        <v>0</v>
      </c>
      <c r="R61" s="7">
        <v>0</v>
      </c>
      <c r="S61" s="1">
        <v>0.99087303000000004</v>
      </c>
      <c r="T61" s="7">
        <v>0</v>
      </c>
      <c r="U61" s="7">
        <v>467382.3</v>
      </c>
      <c r="V61" s="7">
        <v>5032478.2300000004</v>
      </c>
      <c r="W61" s="7">
        <v>5499860.5300000003</v>
      </c>
      <c r="X61" s="7">
        <v>1374965.13</v>
      </c>
      <c r="Y61" s="7">
        <v>-51231.75</v>
      </c>
      <c r="Z61" s="7">
        <v>0</v>
      </c>
      <c r="AA61" s="7">
        <v>-38577.15</v>
      </c>
      <c r="AB61" s="7">
        <v>0</v>
      </c>
      <c r="AC61" s="7">
        <v>0</v>
      </c>
      <c r="AD61" s="7">
        <v>2504.3000000000002</v>
      </c>
      <c r="AE61" s="7">
        <v>-29101.53</v>
      </c>
      <c r="AF61" s="7">
        <v>0</v>
      </c>
      <c r="AG61" s="7">
        <v>0</v>
      </c>
      <c r="AH61" s="7">
        <v>0</v>
      </c>
      <c r="AI61" s="7">
        <v>467382.3</v>
      </c>
      <c r="AJ61" s="7">
        <v>0</v>
      </c>
    </row>
    <row r="62" spans="1:36" x14ac:dyDescent="0.2">
      <c r="A62" s="1" t="s">
        <v>33</v>
      </c>
      <c r="B62" s="1">
        <v>192</v>
      </c>
      <c r="C62" s="1">
        <v>1</v>
      </c>
      <c r="D62" s="1" t="s">
        <v>144</v>
      </c>
      <c r="E62" s="1">
        <v>19</v>
      </c>
      <c r="F62" s="5" t="s">
        <v>56</v>
      </c>
      <c r="G62" s="6">
        <v>28048</v>
      </c>
      <c r="H62" s="2">
        <v>2008</v>
      </c>
      <c r="I62" s="6">
        <v>36053459</v>
      </c>
      <c r="J62" s="7">
        <v>152020.16</v>
      </c>
      <c r="K62" s="6">
        <v>28048</v>
      </c>
      <c r="L62" s="7">
        <v>26260.639999999999</v>
      </c>
      <c r="M62" s="7">
        <v>206328.8</v>
      </c>
      <c r="N62" s="7">
        <v>206328.8</v>
      </c>
      <c r="O62" s="7">
        <v>206328.8</v>
      </c>
      <c r="P62" s="8">
        <v>1</v>
      </c>
      <c r="Q62" s="7">
        <v>0</v>
      </c>
      <c r="R62" s="7">
        <v>0</v>
      </c>
      <c r="S62" s="1">
        <v>0.99087303000000004</v>
      </c>
      <c r="T62" s="7">
        <v>0</v>
      </c>
      <c r="U62" s="7">
        <v>202259.9</v>
      </c>
      <c r="V62" s="7">
        <v>2351178.37</v>
      </c>
      <c r="W62" s="7">
        <v>2553438.27</v>
      </c>
      <c r="X62" s="7">
        <v>638359.56999999995</v>
      </c>
      <c r="Y62" s="7">
        <v>485615.39</v>
      </c>
      <c r="Z62" s="7">
        <v>35563.71</v>
      </c>
      <c r="AA62" s="7">
        <v>324718.74</v>
      </c>
      <c r="AB62" s="7">
        <v>0</v>
      </c>
      <c r="AC62" s="7">
        <v>0</v>
      </c>
      <c r="AD62" s="7">
        <v>314128.09000000003</v>
      </c>
      <c r="AE62" s="7">
        <v>362966.17</v>
      </c>
      <c r="AF62" s="7">
        <v>0</v>
      </c>
      <c r="AG62" s="7">
        <v>0</v>
      </c>
      <c r="AH62" s="7">
        <v>0</v>
      </c>
      <c r="AI62" s="7">
        <v>206328.8</v>
      </c>
      <c r="AJ62" s="7">
        <v>0</v>
      </c>
    </row>
    <row r="63" spans="1:36" x14ac:dyDescent="0.2">
      <c r="A63" s="1" t="s">
        <v>33</v>
      </c>
      <c r="B63" s="1">
        <v>194</v>
      </c>
      <c r="C63" s="1">
        <v>1</v>
      </c>
      <c r="D63" s="1" t="s">
        <v>145</v>
      </c>
      <c r="E63" s="1">
        <v>19</v>
      </c>
      <c r="F63" s="5" t="s">
        <v>56</v>
      </c>
      <c r="G63" s="6">
        <v>51123</v>
      </c>
      <c r="H63" s="2">
        <v>2008</v>
      </c>
      <c r="I63" s="6">
        <v>76934911</v>
      </c>
      <c r="J63" s="7">
        <v>277086.65999999997</v>
      </c>
      <c r="K63" s="6">
        <v>51123</v>
      </c>
      <c r="L63" s="7">
        <v>36182.89</v>
      </c>
      <c r="M63" s="7">
        <v>364392.55</v>
      </c>
      <c r="N63" s="7">
        <v>364392.55</v>
      </c>
      <c r="O63" s="7">
        <v>364392.55</v>
      </c>
      <c r="P63" s="8">
        <v>1</v>
      </c>
      <c r="Q63" s="7">
        <v>0</v>
      </c>
      <c r="R63" s="7">
        <v>0</v>
      </c>
      <c r="S63" s="1">
        <v>0.99087303000000004</v>
      </c>
      <c r="T63" s="7">
        <v>0</v>
      </c>
      <c r="U63" s="7">
        <v>356850.7</v>
      </c>
      <c r="V63" s="7">
        <v>4303822.42</v>
      </c>
      <c r="W63" s="7">
        <v>4660673.12</v>
      </c>
      <c r="X63" s="7">
        <v>1165168.28</v>
      </c>
      <c r="Y63" s="7">
        <v>240834.92</v>
      </c>
      <c r="Z63" s="7">
        <v>0</v>
      </c>
      <c r="AA63" s="7">
        <v>336800.17</v>
      </c>
      <c r="AB63" s="7">
        <v>0</v>
      </c>
      <c r="AC63" s="7">
        <v>0</v>
      </c>
      <c r="AD63" s="7">
        <v>472291.27</v>
      </c>
      <c r="AE63" s="7">
        <v>349975.45</v>
      </c>
      <c r="AF63" s="7">
        <v>0</v>
      </c>
      <c r="AG63" s="7">
        <v>0</v>
      </c>
      <c r="AH63" s="7">
        <v>0</v>
      </c>
      <c r="AI63" s="7">
        <v>364392.55</v>
      </c>
      <c r="AJ63" s="7">
        <v>0</v>
      </c>
    </row>
    <row r="64" spans="1:36" x14ac:dyDescent="0.2">
      <c r="A64" s="1" t="s">
        <v>33</v>
      </c>
      <c r="B64" s="1">
        <v>195</v>
      </c>
      <c r="C64" s="1">
        <v>1</v>
      </c>
      <c r="D64" s="1" t="s">
        <v>146</v>
      </c>
      <c r="E64" s="1">
        <v>19</v>
      </c>
      <c r="F64" s="5" t="s">
        <v>56</v>
      </c>
      <c r="G64" s="6">
        <v>2080</v>
      </c>
      <c r="H64" s="2">
        <v>2000</v>
      </c>
      <c r="I64" s="6">
        <v>5881893</v>
      </c>
      <c r="J64" s="7">
        <v>11273.6</v>
      </c>
      <c r="K64" s="6">
        <v>2080</v>
      </c>
      <c r="L64" s="7">
        <v>3848</v>
      </c>
      <c r="M64" s="7">
        <v>17201.599999999999</v>
      </c>
      <c r="N64" s="7">
        <v>17201.599999999999</v>
      </c>
      <c r="O64" s="7">
        <v>17201.599999999999</v>
      </c>
      <c r="P64" s="8">
        <v>1</v>
      </c>
      <c r="Q64" s="7">
        <v>0</v>
      </c>
      <c r="R64" s="7">
        <v>0</v>
      </c>
      <c r="S64" s="1">
        <v>0.99087303000000004</v>
      </c>
      <c r="T64" s="7">
        <v>0</v>
      </c>
      <c r="U64" s="7">
        <v>17201.599999999999</v>
      </c>
      <c r="V64" s="7">
        <v>206510.23</v>
      </c>
      <c r="W64" s="7">
        <v>223711.83</v>
      </c>
      <c r="X64" s="7">
        <v>55927.96</v>
      </c>
      <c r="Y64" s="7">
        <v>1892.92</v>
      </c>
      <c r="Z64" s="7">
        <v>0</v>
      </c>
      <c r="AA64" s="7">
        <v>8550.81</v>
      </c>
      <c r="AB64" s="7">
        <v>0</v>
      </c>
      <c r="AC64" s="7">
        <v>0</v>
      </c>
      <c r="AD64" s="7">
        <v>34482.339999999997</v>
      </c>
      <c r="AE64" s="7">
        <v>14975.36</v>
      </c>
      <c r="AF64" s="7">
        <v>0</v>
      </c>
      <c r="AG64" s="7">
        <v>0</v>
      </c>
      <c r="AH64" s="7">
        <v>0</v>
      </c>
      <c r="AI64" s="7">
        <v>17201.599999999999</v>
      </c>
      <c r="AJ64" s="7">
        <v>0</v>
      </c>
    </row>
    <row r="65" spans="1:36" x14ac:dyDescent="0.2">
      <c r="A65" s="1" t="s">
        <v>33</v>
      </c>
      <c r="B65" s="1">
        <v>196</v>
      </c>
      <c r="C65" s="1">
        <v>1</v>
      </c>
      <c r="D65" s="1" t="s">
        <v>71</v>
      </c>
      <c r="E65" s="1">
        <v>19</v>
      </c>
      <c r="F65" s="5" t="s">
        <v>56</v>
      </c>
      <c r="G65" s="6">
        <v>147786</v>
      </c>
      <c r="H65" s="2">
        <v>2008</v>
      </c>
      <c r="I65" s="6">
        <v>186762519</v>
      </c>
      <c r="J65" s="7">
        <v>801000.12</v>
      </c>
      <c r="K65" s="6">
        <v>147786</v>
      </c>
      <c r="L65" s="7">
        <v>77747.98</v>
      </c>
      <c r="M65" s="7">
        <v>1026534.1</v>
      </c>
      <c r="N65" s="7">
        <v>1026534.1</v>
      </c>
      <c r="O65" s="7">
        <v>1026534.1</v>
      </c>
      <c r="P65" s="8">
        <v>1</v>
      </c>
      <c r="Q65" s="7">
        <v>0</v>
      </c>
      <c r="R65" s="7">
        <v>0</v>
      </c>
      <c r="S65" s="1">
        <v>0.99087303000000004</v>
      </c>
      <c r="T65" s="7">
        <v>0</v>
      </c>
      <c r="U65" s="7">
        <v>1021889.8</v>
      </c>
      <c r="V65" s="7">
        <v>4569235.92</v>
      </c>
      <c r="W65" s="7">
        <v>5591125.7199999997</v>
      </c>
      <c r="X65" s="7">
        <v>1397781.43</v>
      </c>
      <c r="Y65" s="7">
        <v>575284.27</v>
      </c>
      <c r="Z65" s="7">
        <v>0</v>
      </c>
      <c r="AA65" s="7">
        <v>678949.83</v>
      </c>
      <c r="AB65" s="7">
        <v>0</v>
      </c>
      <c r="AC65" s="7">
        <v>0</v>
      </c>
      <c r="AD65" s="7">
        <v>561756.85</v>
      </c>
      <c r="AE65" s="7">
        <v>605330.31999999995</v>
      </c>
      <c r="AF65" s="7">
        <v>0</v>
      </c>
      <c r="AG65" s="7">
        <v>0</v>
      </c>
      <c r="AH65" s="7">
        <v>0</v>
      </c>
      <c r="AI65" s="7">
        <v>1026534.1</v>
      </c>
      <c r="AJ65" s="7">
        <v>0</v>
      </c>
    </row>
    <row r="66" spans="1:36" x14ac:dyDescent="0.2">
      <c r="A66" s="1" t="s">
        <v>33</v>
      </c>
      <c r="B66" s="1">
        <v>197</v>
      </c>
      <c r="C66" s="1">
        <v>1</v>
      </c>
      <c r="D66" s="1" t="s">
        <v>73</v>
      </c>
      <c r="E66" s="1">
        <v>19</v>
      </c>
      <c r="F66" s="5" t="s">
        <v>56</v>
      </c>
      <c r="G66" s="6">
        <v>41857</v>
      </c>
      <c r="H66" s="2">
        <v>2000</v>
      </c>
      <c r="I66" s="6">
        <v>74064066</v>
      </c>
      <c r="J66" s="7">
        <v>226864.94</v>
      </c>
      <c r="K66" s="6">
        <v>41857</v>
      </c>
      <c r="L66" s="7">
        <v>32198.51</v>
      </c>
      <c r="M66" s="7">
        <v>300920.45</v>
      </c>
      <c r="N66" s="7">
        <v>300920.45</v>
      </c>
      <c r="O66" s="7">
        <v>300920.45</v>
      </c>
      <c r="P66" s="8">
        <v>1</v>
      </c>
      <c r="Q66" s="7">
        <v>0</v>
      </c>
      <c r="R66" s="7">
        <v>0</v>
      </c>
      <c r="S66" s="1">
        <v>0.99087303000000004</v>
      </c>
      <c r="T66" s="7">
        <v>0</v>
      </c>
      <c r="U66" s="7">
        <v>300920.45</v>
      </c>
      <c r="V66" s="7">
        <v>1631786.02</v>
      </c>
      <c r="W66" s="7">
        <v>1932706.47</v>
      </c>
      <c r="X66" s="7">
        <v>483176.62</v>
      </c>
      <c r="Y66" s="7">
        <v>-105734.58</v>
      </c>
      <c r="Z66" s="7">
        <v>0</v>
      </c>
      <c r="AA66" s="7">
        <v>8688.83</v>
      </c>
      <c r="AB66" s="7">
        <v>0</v>
      </c>
      <c r="AC66" s="7">
        <v>0</v>
      </c>
      <c r="AD66" s="7">
        <v>97997.97</v>
      </c>
      <c r="AE66" s="7">
        <v>317.41000000000003</v>
      </c>
      <c r="AF66" s="7">
        <v>0</v>
      </c>
      <c r="AG66" s="7">
        <v>0</v>
      </c>
      <c r="AH66" s="7">
        <v>0</v>
      </c>
      <c r="AI66" s="7">
        <v>300920.45</v>
      </c>
      <c r="AJ66" s="7">
        <v>0</v>
      </c>
    </row>
    <row r="67" spans="1:36" x14ac:dyDescent="0.2">
      <c r="A67" s="1" t="s">
        <v>33</v>
      </c>
      <c r="B67" s="1">
        <v>199</v>
      </c>
      <c r="C67" s="1">
        <v>1</v>
      </c>
      <c r="D67" s="1" t="s">
        <v>93</v>
      </c>
      <c r="E67" s="1">
        <v>19</v>
      </c>
      <c r="F67" s="5" t="s">
        <v>56</v>
      </c>
      <c r="G67" s="6">
        <v>25770</v>
      </c>
      <c r="H67" s="2">
        <v>2000</v>
      </c>
      <c r="I67" s="6">
        <v>34510252</v>
      </c>
      <c r="J67" s="7">
        <v>139673.4</v>
      </c>
      <c r="K67" s="6">
        <v>25770</v>
      </c>
      <c r="L67" s="7">
        <v>25281.1</v>
      </c>
      <c r="M67" s="7">
        <v>190724.5</v>
      </c>
      <c r="N67" s="7">
        <v>190724.5</v>
      </c>
      <c r="O67" s="7">
        <v>190724.5</v>
      </c>
      <c r="P67" s="8">
        <v>1</v>
      </c>
      <c r="Q67" s="7">
        <v>0</v>
      </c>
      <c r="R67" s="7">
        <v>0</v>
      </c>
      <c r="S67" s="1">
        <v>0.99087303000000004</v>
      </c>
      <c r="T67" s="7">
        <v>0</v>
      </c>
      <c r="U67" s="7">
        <v>190724.5</v>
      </c>
      <c r="V67" s="7">
        <v>1559239.29</v>
      </c>
      <c r="W67" s="7">
        <v>1749963.79</v>
      </c>
      <c r="X67" s="7">
        <v>437490.95</v>
      </c>
      <c r="Y67" s="7">
        <v>534760.42000000004</v>
      </c>
      <c r="Z67" s="7">
        <v>102130.43</v>
      </c>
      <c r="AA67" s="7">
        <v>496291.6</v>
      </c>
      <c r="AB67" s="7">
        <v>57549.02</v>
      </c>
      <c r="AC67" s="7">
        <v>0</v>
      </c>
      <c r="AD67" s="7">
        <v>341007.17</v>
      </c>
      <c r="AE67" s="7">
        <v>404126.58</v>
      </c>
      <c r="AF67" s="7">
        <v>0</v>
      </c>
      <c r="AG67" s="7">
        <v>0</v>
      </c>
      <c r="AH67" s="7">
        <v>0</v>
      </c>
      <c r="AI67" s="7">
        <v>190724.5</v>
      </c>
      <c r="AJ67" s="7">
        <v>0</v>
      </c>
    </row>
    <row r="68" spans="1:36" x14ac:dyDescent="0.2">
      <c r="A68" s="1" t="s">
        <v>33</v>
      </c>
      <c r="B68" s="1">
        <v>200</v>
      </c>
      <c r="C68" s="1">
        <v>1</v>
      </c>
      <c r="D68" s="1" t="s">
        <v>147</v>
      </c>
      <c r="E68" s="1">
        <v>19</v>
      </c>
      <c r="F68" s="5" t="s">
        <v>56</v>
      </c>
      <c r="G68" s="6">
        <v>33336</v>
      </c>
      <c r="H68" s="2">
        <v>2008</v>
      </c>
      <c r="I68" s="6">
        <v>43255626</v>
      </c>
      <c r="J68" s="7">
        <v>180681.12</v>
      </c>
      <c r="K68" s="6">
        <v>33336</v>
      </c>
      <c r="L68" s="7">
        <v>28534.48</v>
      </c>
      <c r="M68" s="7">
        <v>242551.6</v>
      </c>
      <c r="N68" s="7">
        <v>242551.6</v>
      </c>
      <c r="O68" s="7">
        <v>242551.6</v>
      </c>
      <c r="P68" s="8">
        <v>1</v>
      </c>
      <c r="Q68" s="7">
        <v>0</v>
      </c>
      <c r="R68" s="7">
        <v>0</v>
      </c>
      <c r="S68" s="1">
        <v>0.99087303000000004</v>
      </c>
      <c r="T68" s="7">
        <v>0</v>
      </c>
      <c r="U68" s="7">
        <v>227419.95</v>
      </c>
      <c r="V68" s="7">
        <v>1563610.26</v>
      </c>
      <c r="W68" s="7">
        <v>1791030.21</v>
      </c>
      <c r="X68" s="7">
        <v>447757.55</v>
      </c>
      <c r="Y68" s="7">
        <v>229276.68</v>
      </c>
      <c r="Z68" s="7">
        <v>0</v>
      </c>
      <c r="AA68" s="7">
        <v>260499.86</v>
      </c>
      <c r="AB68" s="7">
        <v>0</v>
      </c>
      <c r="AC68" s="7">
        <v>0</v>
      </c>
      <c r="AD68" s="7">
        <v>270428.26</v>
      </c>
      <c r="AE68" s="7">
        <v>253401.60000000001</v>
      </c>
      <c r="AF68" s="7">
        <v>0</v>
      </c>
      <c r="AG68" s="7">
        <v>0</v>
      </c>
      <c r="AH68" s="7">
        <v>0</v>
      </c>
      <c r="AI68" s="7">
        <v>242551.6</v>
      </c>
      <c r="AJ68" s="7">
        <v>0</v>
      </c>
    </row>
    <row r="69" spans="1:36" x14ac:dyDescent="0.2">
      <c r="A69" s="1" t="s">
        <v>33</v>
      </c>
      <c r="B69" s="1">
        <v>203</v>
      </c>
      <c r="C69" s="1">
        <v>1</v>
      </c>
      <c r="D69" s="1" t="s">
        <v>148</v>
      </c>
      <c r="E69" s="1">
        <v>20</v>
      </c>
      <c r="F69" s="5" t="s">
        <v>61</v>
      </c>
      <c r="G69" s="6">
        <v>4946</v>
      </c>
      <c r="H69" s="2">
        <v>2008</v>
      </c>
      <c r="I69" s="6">
        <v>6327543</v>
      </c>
      <c r="J69" s="7">
        <v>26807.32</v>
      </c>
      <c r="K69" s="6">
        <v>4946</v>
      </c>
      <c r="L69" s="7">
        <v>9150.1</v>
      </c>
      <c r="M69" s="7">
        <v>40903.42</v>
      </c>
      <c r="N69" s="7">
        <v>40903.42</v>
      </c>
      <c r="O69" s="7">
        <v>40903.42</v>
      </c>
      <c r="P69" s="8">
        <v>1</v>
      </c>
      <c r="Q69" s="7">
        <v>0</v>
      </c>
      <c r="R69" s="7">
        <v>0</v>
      </c>
      <c r="S69" s="1">
        <v>0.99087303000000004</v>
      </c>
      <c r="T69" s="7">
        <v>0</v>
      </c>
      <c r="U69" s="7">
        <v>40415.49</v>
      </c>
      <c r="V69" s="7">
        <v>107619.2</v>
      </c>
      <c r="W69" s="7">
        <v>148034.69</v>
      </c>
      <c r="X69" s="7">
        <v>37008.67</v>
      </c>
      <c r="Y69" s="7">
        <v>2315.09</v>
      </c>
      <c r="Z69" s="7">
        <v>0</v>
      </c>
      <c r="AA69" s="7">
        <v>-2118.0500000000002</v>
      </c>
      <c r="AB69" s="7">
        <v>0</v>
      </c>
      <c r="AC69" s="7">
        <v>0</v>
      </c>
      <c r="AD69" s="7">
        <v>1923.2</v>
      </c>
      <c r="AE69" s="7">
        <v>706.75</v>
      </c>
      <c r="AF69" s="7">
        <v>0</v>
      </c>
      <c r="AG69" s="7">
        <v>0</v>
      </c>
      <c r="AH69" s="7">
        <v>0</v>
      </c>
      <c r="AI69" s="7">
        <v>40903.42</v>
      </c>
      <c r="AJ69" s="7">
        <v>0</v>
      </c>
    </row>
    <row r="70" spans="1:36" x14ac:dyDescent="0.2">
      <c r="A70" s="1" t="s">
        <v>33</v>
      </c>
      <c r="B70" s="1">
        <v>204</v>
      </c>
      <c r="C70" s="1">
        <v>1</v>
      </c>
      <c r="D70" s="1" t="s">
        <v>400</v>
      </c>
      <c r="E70" s="1">
        <v>20</v>
      </c>
      <c r="F70" s="5" t="s">
        <v>61</v>
      </c>
      <c r="G70" s="6">
        <v>9246</v>
      </c>
      <c r="H70" s="2">
        <v>2005</v>
      </c>
      <c r="I70" s="6">
        <v>7839477</v>
      </c>
      <c r="J70" s="7">
        <v>50113.32</v>
      </c>
      <c r="K70" s="6">
        <v>9246</v>
      </c>
      <c r="L70" s="7">
        <v>17105.099999999999</v>
      </c>
      <c r="M70" s="7">
        <v>76464.42</v>
      </c>
      <c r="N70" s="7">
        <v>70555.289999999994</v>
      </c>
      <c r="O70" s="7">
        <v>70555.289999999994</v>
      </c>
      <c r="P70" s="8">
        <v>1</v>
      </c>
      <c r="Q70" s="7">
        <v>5909.13</v>
      </c>
      <c r="R70" s="7">
        <v>5909.13</v>
      </c>
      <c r="S70" s="1">
        <v>0.99087303000000004</v>
      </c>
      <c r="T70" s="7">
        <v>5855.2</v>
      </c>
      <c r="U70" s="7">
        <v>76464.42</v>
      </c>
      <c r="V70" s="7">
        <v>429943.9</v>
      </c>
      <c r="W70" s="7">
        <v>506408.32</v>
      </c>
      <c r="X70" s="7">
        <v>126602.08</v>
      </c>
      <c r="Y70" s="7">
        <v>226926.07</v>
      </c>
      <c r="Z70" s="7">
        <v>17573.240000000002</v>
      </c>
      <c r="AA70" s="7">
        <v>260508.92</v>
      </c>
      <c r="AB70" s="7">
        <v>67279.59</v>
      </c>
      <c r="AC70" s="7">
        <v>0</v>
      </c>
      <c r="AD70" s="7">
        <v>151278.35</v>
      </c>
      <c r="AE70" s="7">
        <v>184620.17</v>
      </c>
      <c r="AF70" s="7">
        <v>58018.09</v>
      </c>
      <c r="AG70" s="7">
        <v>53534.48</v>
      </c>
      <c r="AH70" s="7">
        <v>4483.6099999999997</v>
      </c>
      <c r="AI70" s="7">
        <v>17020.810000000001</v>
      </c>
      <c r="AJ70" s="7">
        <v>1425.52</v>
      </c>
    </row>
    <row r="71" spans="1:36" x14ac:dyDescent="0.2">
      <c r="A71" s="1" t="s">
        <v>33</v>
      </c>
      <c r="B71" s="1">
        <v>206</v>
      </c>
      <c r="C71" s="1">
        <v>1</v>
      </c>
      <c r="D71" s="1" t="s">
        <v>149</v>
      </c>
      <c r="E71" s="1">
        <v>21</v>
      </c>
      <c r="F71" s="5" t="s">
        <v>60</v>
      </c>
      <c r="G71" s="6">
        <v>28925</v>
      </c>
      <c r="H71" s="2">
        <v>2007</v>
      </c>
      <c r="I71" s="6">
        <v>46263649</v>
      </c>
      <c r="J71" s="7">
        <v>156773.5</v>
      </c>
      <c r="K71" s="6">
        <v>28925</v>
      </c>
      <c r="L71" s="7">
        <v>26637.75</v>
      </c>
      <c r="M71" s="7">
        <v>212336.25</v>
      </c>
      <c r="N71" s="7">
        <v>212336.25</v>
      </c>
      <c r="O71" s="7">
        <v>212336.25</v>
      </c>
      <c r="P71" s="8">
        <v>1</v>
      </c>
      <c r="Q71" s="7">
        <v>0</v>
      </c>
      <c r="R71" s="7">
        <v>0</v>
      </c>
      <c r="S71" s="1">
        <v>0.99087303000000004</v>
      </c>
      <c r="T71" s="7">
        <v>0</v>
      </c>
      <c r="U71" s="7">
        <v>212336.25</v>
      </c>
      <c r="V71" s="7">
        <v>479026.31</v>
      </c>
      <c r="W71" s="7">
        <v>691362.56</v>
      </c>
      <c r="X71" s="7">
        <v>172840.64</v>
      </c>
      <c r="Y71" s="7">
        <v>119652.16</v>
      </c>
      <c r="Z71" s="7">
        <v>0</v>
      </c>
      <c r="AA71" s="7">
        <v>116449.55</v>
      </c>
      <c r="AB71" s="7">
        <v>0</v>
      </c>
      <c r="AC71" s="7">
        <v>0</v>
      </c>
      <c r="AD71" s="7">
        <v>146225.54</v>
      </c>
      <c r="AE71" s="7">
        <v>127442.42</v>
      </c>
      <c r="AF71" s="7">
        <v>0</v>
      </c>
      <c r="AG71" s="7">
        <v>0</v>
      </c>
      <c r="AH71" s="7">
        <v>0</v>
      </c>
      <c r="AI71" s="7">
        <v>212336.25</v>
      </c>
      <c r="AJ71" s="7">
        <v>0</v>
      </c>
    </row>
    <row r="72" spans="1:36" x14ac:dyDescent="0.2">
      <c r="A72" s="1" t="s">
        <v>33</v>
      </c>
      <c r="B72" s="1">
        <v>207</v>
      </c>
      <c r="C72" s="1">
        <v>1</v>
      </c>
      <c r="D72" s="1" t="s">
        <v>150</v>
      </c>
      <c r="E72" s="1">
        <v>21</v>
      </c>
      <c r="F72" s="5" t="s">
        <v>60</v>
      </c>
      <c r="G72" s="6">
        <v>1749</v>
      </c>
      <c r="H72" s="2">
        <v>2000</v>
      </c>
      <c r="I72" s="6">
        <v>3096794</v>
      </c>
      <c r="J72" s="7">
        <v>9479.58</v>
      </c>
      <c r="K72" s="6">
        <v>1749</v>
      </c>
      <c r="L72" s="7">
        <v>3235.65</v>
      </c>
      <c r="M72" s="7">
        <v>14464.23</v>
      </c>
      <c r="N72" s="7">
        <v>14464.23</v>
      </c>
      <c r="O72" s="7">
        <v>14464.23</v>
      </c>
      <c r="P72" s="8">
        <v>1</v>
      </c>
      <c r="Q72" s="7">
        <v>0</v>
      </c>
      <c r="R72" s="7">
        <v>0</v>
      </c>
      <c r="S72" s="1">
        <v>0.99087303000000004</v>
      </c>
      <c r="T72" s="7">
        <v>0</v>
      </c>
      <c r="U72" s="7">
        <v>14464.23</v>
      </c>
      <c r="V72" s="7">
        <v>31346.83</v>
      </c>
      <c r="W72" s="7">
        <v>45811.06</v>
      </c>
      <c r="X72" s="7">
        <v>11452.77</v>
      </c>
      <c r="Y72" s="7">
        <v>-19210.669999999998</v>
      </c>
      <c r="Z72" s="7">
        <v>0</v>
      </c>
      <c r="AA72" s="7">
        <v>-6682.13</v>
      </c>
      <c r="AB72" s="7">
        <v>0</v>
      </c>
      <c r="AC72" s="7">
        <v>0</v>
      </c>
      <c r="AD72" s="7">
        <v>-9672.42</v>
      </c>
      <c r="AE72" s="7">
        <v>-11855.07</v>
      </c>
      <c r="AF72" s="7">
        <v>0</v>
      </c>
      <c r="AG72" s="7">
        <v>0</v>
      </c>
      <c r="AH72" s="7">
        <v>0</v>
      </c>
      <c r="AI72" s="7">
        <v>14464.23</v>
      </c>
      <c r="AJ72" s="7">
        <v>0</v>
      </c>
    </row>
    <row r="73" spans="1:36" x14ac:dyDescent="0.2">
      <c r="A73" s="1" t="s">
        <v>33</v>
      </c>
      <c r="B73" s="1">
        <v>208</v>
      </c>
      <c r="C73" s="1">
        <v>1</v>
      </c>
      <c r="D73" s="1" t="s">
        <v>151</v>
      </c>
      <c r="E73" s="1">
        <v>21</v>
      </c>
      <c r="F73" s="5" t="s">
        <v>60</v>
      </c>
      <c r="G73" s="6">
        <v>1511</v>
      </c>
      <c r="H73" s="2">
        <v>2000</v>
      </c>
      <c r="I73" s="6">
        <v>2225729</v>
      </c>
      <c r="J73" s="7">
        <v>8189.62</v>
      </c>
      <c r="K73" s="6">
        <v>1511</v>
      </c>
      <c r="L73" s="7">
        <v>2795.35</v>
      </c>
      <c r="M73" s="7">
        <v>12495.97</v>
      </c>
      <c r="N73" s="7">
        <v>12495.97</v>
      </c>
      <c r="O73" s="7">
        <v>12495.97</v>
      </c>
      <c r="P73" s="8">
        <v>1</v>
      </c>
      <c r="Q73" s="7">
        <v>0</v>
      </c>
      <c r="R73" s="7">
        <v>0</v>
      </c>
      <c r="S73" s="1">
        <v>0.99087303000000004</v>
      </c>
      <c r="T73" s="7">
        <v>0</v>
      </c>
      <c r="U73" s="7">
        <v>10984.97</v>
      </c>
      <c r="V73" s="7">
        <v>5897.96</v>
      </c>
      <c r="W73" s="7">
        <v>16882.93</v>
      </c>
      <c r="X73" s="7">
        <v>4220.7299999999996</v>
      </c>
      <c r="Y73" s="7">
        <v>6331.98</v>
      </c>
      <c r="Z73" s="7">
        <v>0</v>
      </c>
      <c r="AA73" s="7">
        <v>10270.66</v>
      </c>
      <c r="AB73" s="7">
        <v>678.28</v>
      </c>
      <c r="AC73" s="7">
        <v>0</v>
      </c>
      <c r="AD73" s="7">
        <v>-1896.02</v>
      </c>
      <c r="AE73" s="7">
        <v>4676.1099999999997</v>
      </c>
      <c r="AF73" s="7">
        <v>455.38</v>
      </c>
      <c r="AG73" s="7">
        <v>455.38</v>
      </c>
      <c r="AH73" s="7">
        <v>0</v>
      </c>
      <c r="AI73" s="7">
        <v>12040.59</v>
      </c>
      <c r="AJ73" s="7">
        <v>0</v>
      </c>
    </row>
    <row r="74" spans="1:36" x14ac:dyDescent="0.2">
      <c r="A74" s="1" t="s">
        <v>33</v>
      </c>
      <c r="B74" s="1">
        <v>213</v>
      </c>
      <c r="C74" s="1">
        <v>1</v>
      </c>
      <c r="D74" s="1" t="s">
        <v>152</v>
      </c>
      <c r="E74" s="1">
        <v>21</v>
      </c>
      <c r="F74" s="5" t="s">
        <v>60</v>
      </c>
      <c r="G74" s="6">
        <v>3636</v>
      </c>
      <c r="H74" s="2">
        <v>2000</v>
      </c>
      <c r="I74" s="6">
        <v>5050332</v>
      </c>
      <c r="J74" s="7">
        <v>19707.12</v>
      </c>
      <c r="K74" s="6">
        <v>3636</v>
      </c>
      <c r="L74" s="7">
        <v>6726.6</v>
      </c>
      <c r="M74" s="7">
        <v>30069.72</v>
      </c>
      <c r="N74" s="7">
        <v>30069.72</v>
      </c>
      <c r="O74" s="7">
        <v>30069.72</v>
      </c>
      <c r="P74" s="8">
        <v>1</v>
      </c>
      <c r="Q74" s="7">
        <v>0</v>
      </c>
      <c r="R74" s="7">
        <v>0</v>
      </c>
      <c r="S74" s="1">
        <v>0.99087303000000004</v>
      </c>
      <c r="T74" s="7">
        <v>0</v>
      </c>
      <c r="U74" s="7">
        <v>30069.72</v>
      </c>
      <c r="V74" s="7">
        <v>47533.19</v>
      </c>
      <c r="W74" s="7">
        <v>77602.91</v>
      </c>
      <c r="X74" s="7">
        <v>19400.73</v>
      </c>
      <c r="Y74" s="7">
        <v>-38910.800000000003</v>
      </c>
      <c r="Z74" s="7">
        <v>0</v>
      </c>
      <c r="AA74" s="7">
        <v>-50437.53</v>
      </c>
      <c r="AB74" s="7">
        <v>0</v>
      </c>
      <c r="AC74" s="7">
        <v>0</v>
      </c>
      <c r="AD74" s="7">
        <v>-63598.49</v>
      </c>
      <c r="AE74" s="7">
        <v>-50982.27</v>
      </c>
      <c r="AF74" s="7">
        <v>0</v>
      </c>
      <c r="AG74" s="7">
        <v>0</v>
      </c>
      <c r="AH74" s="7">
        <v>0</v>
      </c>
      <c r="AI74" s="7">
        <v>30069.72</v>
      </c>
      <c r="AJ74" s="7">
        <v>0</v>
      </c>
    </row>
    <row r="75" spans="1:36" x14ac:dyDescent="0.2">
      <c r="A75" s="1" t="s">
        <v>33</v>
      </c>
      <c r="B75" s="1">
        <v>227</v>
      </c>
      <c r="C75" s="1">
        <v>1</v>
      </c>
      <c r="D75" s="1" t="s">
        <v>153</v>
      </c>
      <c r="E75" s="1">
        <v>55</v>
      </c>
      <c r="F75" s="5" t="s">
        <v>61</v>
      </c>
      <c r="G75" s="6">
        <v>4657</v>
      </c>
      <c r="H75" s="2">
        <v>2000</v>
      </c>
      <c r="I75" s="6">
        <v>5892491</v>
      </c>
      <c r="J75" s="7">
        <v>25240.94</v>
      </c>
      <c r="K75" s="6">
        <v>4657</v>
      </c>
      <c r="L75" s="7">
        <v>8615.4500000000007</v>
      </c>
      <c r="M75" s="7">
        <v>38513.39</v>
      </c>
      <c r="N75" s="7">
        <v>38513.39</v>
      </c>
      <c r="O75" s="7">
        <v>38513.39</v>
      </c>
      <c r="P75" s="8">
        <v>1</v>
      </c>
      <c r="Q75" s="7">
        <v>0</v>
      </c>
      <c r="R75" s="7">
        <v>0</v>
      </c>
      <c r="S75" s="1">
        <v>0.99087303000000004</v>
      </c>
      <c r="T75" s="7">
        <v>0</v>
      </c>
      <c r="U75" s="7">
        <v>38513.39</v>
      </c>
      <c r="V75" s="7">
        <v>205012.38</v>
      </c>
      <c r="W75" s="7">
        <v>243525.77</v>
      </c>
      <c r="X75" s="7">
        <v>60881.440000000002</v>
      </c>
      <c r="Y75" s="7">
        <v>73446.080000000002</v>
      </c>
      <c r="Z75" s="7">
        <v>0</v>
      </c>
      <c r="AA75" s="7">
        <v>2858.02</v>
      </c>
      <c r="AB75" s="7">
        <v>0</v>
      </c>
      <c r="AC75" s="7">
        <v>0</v>
      </c>
      <c r="AD75" s="7">
        <v>9803.33</v>
      </c>
      <c r="AE75" s="7">
        <v>28702.48</v>
      </c>
      <c r="AF75" s="7">
        <v>0</v>
      </c>
      <c r="AG75" s="7">
        <v>0</v>
      </c>
      <c r="AH75" s="7">
        <v>0</v>
      </c>
      <c r="AI75" s="7">
        <v>38513.39</v>
      </c>
      <c r="AJ75" s="7">
        <v>0</v>
      </c>
    </row>
    <row r="76" spans="1:36" x14ac:dyDescent="0.2">
      <c r="A76" s="1" t="s">
        <v>33</v>
      </c>
      <c r="B76" s="1">
        <v>229</v>
      </c>
      <c r="C76" s="1">
        <v>1</v>
      </c>
      <c r="D76" s="1" t="s">
        <v>154</v>
      </c>
      <c r="E76" s="1">
        <v>23</v>
      </c>
      <c r="F76" s="5" t="s">
        <v>61</v>
      </c>
      <c r="G76" s="6">
        <v>1719</v>
      </c>
      <c r="H76" s="2">
        <v>2000</v>
      </c>
      <c r="I76" s="6">
        <v>2220411</v>
      </c>
      <c r="J76" s="7">
        <v>9316.98</v>
      </c>
      <c r="K76" s="6">
        <v>1719</v>
      </c>
      <c r="L76" s="7">
        <v>0</v>
      </c>
      <c r="M76" s="7">
        <v>11035.98</v>
      </c>
      <c r="N76" s="7">
        <v>11035.98</v>
      </c>
      <c r="O76" s="7">
        <v>11035.98</v>
      </c>
      <c r="P76" s="8">
        <v>1</v>
      </c>
      <c r="Q76" s="7">
        <v>0</v>
      </c>
      <c r="R76" s="7">
        <v>0</v>
      </c>
      <c r="S76" s="1">
        <v>0.99087303000000004</v>
      </c>
      <c r="T76" s="7">
        <v>0</v>
      </c>
      <c r="U76" s="7">
        <v>11035.98</v>
      </c>
      <c r="V76" s="7">
        <v>227614.99</v>
      </c>
      <c r="W76" s="7">
        <v>238650.97</v>
      </c>
      <c r="X76" s="7">
        <v>59662.74</v>
      </c>
      <c r="Y76" s="7">
        <v>31905.33</v>
      </c>
      <c r="Z76" s="7">
        <v>0</v>
      </c>
      <c r="AA76" s="7">
        <v>30755.74</v>
      </c>
      <c r="AB76" s="7">
        <v>0</v>
      </c>
      <c r="AC76" s="7">
        <v>0</v>
      </c>
      <c r="AD76" s="7">
        <v>-4015.31</v>
      </c>
      <c r="AE76" s="7">
        <v>19548.59</v>
      </c>
      <c r="AF76" s="7">
        <v>0</v>
      </c>
      <c r="AG76" s="7">
        <v>0</v>
      </c>
      <c r="AH76" s="7">
        <v>0</v>
      </c>
      <c r="AI76" s="7">
        <v>11035.98</v>
      </c>
      <c r="AJ76" s="7">
        <v>0</v>
      </c>
    </row>
    <row r="77" spans="1:36" x14ac:dyDescent="0.2">
      <c r="A77" s="1" t="s">
        <v>33</v>
      </c>
      <c r="B77" s="1">
        <v>238</v>
      </c>
      <c r="C77" s="1">
        <v>1</v>
      </c>
      <c r="D77" s="1" t="s">
        <v>155</v>
      </c>
      <c r="E77" s="1">
        <v>23</v>
      </c>
      <c r="F77" s="5" t="s">
        <v>61</v>
      </c>
      <c r="G77" s="6">
        <v>2554</v>
      </c>
      <c r="H77" s="2">
        <v>2000</v>
      </c>
      <c r="I77" s="6">
        <v>2347569</v>
      </c>
      <c r="J77" s="7">
        <v>13842.68</v>
      </c>
      <c r="K77" s="6">
        <v>0</v>
      </c>
      <c r="L77" s="7">
        <v>0</v>
      </c>
      <c r="M77" s="7">
        <v>13842.68</v>
      </c>
      <c r="N77" s="7">
        <v>13842.68</v>
      </c>
      <c r="O77" s="7">
        <v>13842.68</v>
      </c>
      <c r="P77" s="8">
        <v>1</v>
      </c>
      <c r="Q77" s="7">
        <v>0</v>
      </c>
      <c r="R77" s="7">
        <v>0</v>
      </c>
      <c r="S77" s="1">
        <v>0.99087303000000004</v>
      </c>
      <c r="T77" s="7">
        <v>0</v>
      </c>
      <c r="U77" s="7">
        <v>13842.68</v>
      </c>
      <c r="V77" s="7">
        <v>6375.53</v>
      </c>
      <c r="W77" s="7">
        <v>20218.21</v>
      </c>
      <c r="X77" s="7">
        <v>5054.55</v>
      </c>
      <c r="Y77" s="7">
        <v>56645.58</v>
      </c>
      <c r="Z77" s="7">
        <v>0</v>
      </c>
      <c r="AA77" s="7">
        <v>73251.350000000006</v>
      </c>
      <c r="AB77" s="7">
        <v>13842.68</v>
      </c>
      <c r="AC77" s="7">
        <v>0</v>
      </c>
      <c r="AD77" s="7">
        <v>79703.710000000006</v>
      </c>
      <c r="AE77" s="7">
        <v>65252.65</v>
      </c>
      <c r="AF77" s="7">
        <v>13842.68</v>
      </c>
      <c r="AG77" s="7">
        <v>13842.68</v>
      </c>
      <c r="AH77" s="7">
        <v>0</v>
      </c>
      <c r="AI77" s="7">
        <v>0</v>
      </c>
      <c r="AJ77" s="7">
        <v>0</v>
      </c>
    </row>
    <row r="78" spans="1:36" x14ac:dyDescent="0.2">
      <c r="A78" s="1" t="s">
        <v>33</v>
      </c>
      <c r="B78" s="1">
        <v>239</v>
      </c>
      <c r="C78" s="1">
        <v>1</v>
      </c>
      <c r="D78" s="1" t="s">
        <v>401</v>
      </c>
      <c r="E78" s="1">
        <v>23</v>
      </c>
      <c r="F78" s="5" t="s">
        <v>61</v>
      </c>
      <c r="G78" s="6">
        <v>3940</v>
      </c>
      <c r="H78" s="2">
        <v>2000</v>
      </c>
      <c r="I78" s="6">
        <v>4148041</v>
      </c>
      <c r="J78" s="7">
        <v>21354.799999999999</v>
      </c>
      <c r="K78" s="6">
        <v>3940</v>
      </c>
      <c r="L78" s="7">
        <v>7289</v>
      </c>
      <c r="M78" s="7">
        <v>32583.8</v>
      </c>
      <c r="N78" s="7">
        <v>32583.8</v>
      </c>
      <c r="O78" s="7">
        <v>32583.8</v>
      </c>
      <c r="P78" s="8">
        <v>1</v>
      </c>
      <c r="Q78" s="7">
        <v>0</v>
      </c>
      <c r="R78" s="7">
        <v>0</v>
      </c>
      <c r="S78" s="1">
        <v>0.99087303000000004</v>
      </c>
      <c r="T78" s="7">
        <v>0</v>
      </c>
      <c r="U78" s="7">
        <v>32583.8</v>
      </c>
      <c r="V78" s="7">
        <v>137598.63</v>
      </c>
      <c r="W78" s="7">
        <v>170182.43</v>
      </c>
      <c r="X78" s="7">
        <v>42545.61</v>
      </c>
      <c r="Y78" s="7">
        <v>327.3</v>
      </c>
      <c r="Z78" s="7">
        <v>0</v>
      </c>
      <c r="AA78" s="7">
        <v>0</v>
      </c>
      <c r="AB78" s="7">
        <v>0</v>
      </c>
      <c r="AC78" s="7">
        <v>0</v>
      </c>
      <c r="AD78" s="7">
        <v>17520.75</v>
      </c>
      <c r="AE78" s="7">
        <v>5949.35</v>
      </c>
      <c r="AF78" s="7">
        <v>0</v>
      </c>
      <c r="AG78" s="7">
        <v>0</v>
      </c>
      <c r="AH78" s="7">
        <v>0</v>
      </c>
      <c r="AI78" s="7">
        <v>32583.8</v>
      </c>
      <c r="AJ78" s="7">
        <v>0</v>
      </c>
    </row>
    <row r="79" spans="1:36" x14ac:dyDescent="0.2">
      <c r="A79" s="1" t="s">
        <v>33</v>
      </c>
      <c r="B79" s="1">
        <v>241</v>
      </c>
      <c r="C79" s="1">
        <v>1</v>
      </c>
      <c r="D79" s="1" t="s">
        <v>156</v>
      </c>
      <c r="E79" s="1">
        <v>24</v>
      </c>
      <c r="F79" s="5" t="s">
        <v>61</v>
      </c>
      <c r="G79" s="6">
        <v>24328</v>
      </c>
      <c r="H79" s="2">
        <v>2000</v>
      </c>
      <c r="I79" s="6">
        <v>18656228</v>
      </c>
      <c r="J79" s="7">
        <v>131857.76</v>
      </c>
      <c r="K79" s="6">
        <v>24328</v>
      </c>
      <c r="L79" s="7">
        <v>24661.040000000001</v>
      </c>
      <c r="M79" s="7">
        <v>180846.8</v>
      </c>
      <c r="N79" s="7">
        <v>167906.05</v>
      </c>
      <c r="O79" s="7">
        <v>167906.05</v>
      </c>
      <c r="P79" s="8">
        <v>1</v>
      </c>
      <c r="Q79" s="7">
        <v>12940.75</v>
      </c>
      <c r="R79" s="7">
        <v>12940.75</v>
      </c>
      <c r="S79" s="1">
        <v>0.99087303000000004</v>
      </c>
      <c r="T79" s="7">
        <v>12822.64</v>
      </c>
      <c r="U79" s="7">
        <v>180846.8</v>
      </c>
      <c r="V79" s="7">
        <v>334926.61</v>
      </c>
      <c r="W79" s="7">
        <v>515773.41</v>
      </c>
      <c r="X79" s="7">
        <v>128943.35</v>
      </c>
      <c r="Y79" s="7">
        <v>64803.69</v>
      </c>
      <c r="Z79" s="7">
        <v>0</v>
      </c>
      <c r="AA79" s="7">
        <v>79204.92</v>
      </c>
      <c r="AB79" s="7">
        <v>0</v>
      </c>
      <c r="AC79" s="7">
        <v>0</v>
      </c>
      <c r="AD79" s="7">
        <v>109691.22</v>
      </c>
      <c r="AE79" s="7">
        <v>84566.61</v>
      </c>
      <c r="AF79" s="7">
        <v>0</v>
      </c>
      <c r="AG79" s="7">
        <v>0</v>
      </c>
      <c r="AH79" s="7">
        <v>0</v>
      </c>
      <c r="AI79" s="7">
        <v>167906.05</v>
      </c>
      <c r="AJ79" s="7">
        <v>12940.75</v>
      </c>
    </row>
    <row r="80" spans="1:36" x14ac:dyDescent="0.2">
      <c r="A80" s="1" t="s">
        <v>33</v>
      </c>
      <c r="B80" s="1">
        <v>242</v>
      </c>
      <c r="C80" s="1">
        <v>1</v>
      </c>
      <c r="D80" s="1" t="s">
        <v>157</v>
      </c>
      <c r="E80" s="1">
        <v>24</v>
      </c>
      <c r="F80" s="5" t="s">
        <v>61</v>
      </c>
      <c r="G80" s="6">
        <v>1665</v>
      </c>
      <c r="H80" s="2">
        <v>2000</v>
      </c>
      <c r="I80" s="6">
        <v>1980489</v>
      </c>
      <c r="J80" s="7">
        <v>9024.2999999999993</v>
      </c>
      <c r="K80" s="6">
        <v>0</v>
      </c>
      <c r="L80" s="7">
        <v>0</v>
      </c>
      <c r="M80" s="7">
        <v>9024.2999999999993</v>
      </c>
      <c r="N80" s="7">
        <v>9024.2999999999993</v>
      </c>
      <c r="O80" s="7">
        <v>9024.2999999999993</v>
      </c>
      <c r="P80" s="8">
        <v>1</v>
      </c>
      <c r="Q80" s="7">
        <v>0</v>
      </c>
      <c r="R80" s="7">
        <v>0</v>
      </c>
      <c r="S80" s="1">
        <v>0.99087303000000004</v>
      </c>
      <c r="T80" s="7">
        <v>0</v>
      </c>
      <c r="U80" s="7">
        <v>9024.2999999999993</v>
      </c>
      <c r="V80" s="7">
        <v>0</v>
      </c>
      <c r="W80" s="7">
        <v>9024.2999999999993</v>
      </c>
      <c r="X80" s="7">
        <v>2256.08</v>
      </c>
      <c r="Y80" s="7">
        <v>-2055.38</v>
      </c>
      <c r="Z80" s="7">
        <v>0</v>
      </c>
      <c r="AA80" s="7">
        <v>4543.12</v>
      </c>
      <c r="AB80" s="7">
        <v>0</v>
      </c>
      <c r="AC80" s="7">
        <v>0</v>
      </c>
      <c r="AD80" s="7">
        <v>-3930.66</v>
      </c>
      <c r="AE80" s="7">
        <v>-480.97</v>
      </c>
      <c r="AF80" s="7">
        <v>0</v>
      </c>
      <c r="AG80" s="7">
        <v>0</v>
      </c>
      <c r="AH80" s="7">
        <v>0</v>
      </c>
      <c r="AI80" s="7">
        <v>9024.2999999999993</v>
      </c>
      <c r="AJ80" s="7">
        <v>0</v>
      </c>
    </row>
    <row r="81" spans="1:36" x14ac:dyDescent="0.2">
      <c r="A81" s="1" t="s">
        <v>33</v>
      </c>
      <c r="B81" s="1">
        <v>252</v>
      </c>
      <c r="C81" s="1">
        <v>1</v>
      </c>
      <c r="D81" s="1" t="s">
        <v>158</v>
      </c>
      <c r="E81" s="1">
        <v>25</v>
      </c>
      <c r="F81" s="5" t="s">
        <v>61</v>
      </c>
      <c r="G81" s="6">
        <v>7718</v>
      </c>
      <c r="H81" s="2">
        <v>2000</v>
      </c>
      <c r="I81" s="6">
        <v>11463587</v>
      </c>
      <c r="J81" s="7">
        <v>41831.56</v>
      </c>
      <c r="K81" s="6">
        <v>7718</v>
      </c>
      <c r="L81" s="7">
        <v>14278.3</v>
      </c>
      <c r="M81" s="7">
        <v>63827.86</v>
      </c>
      <c r="N81" s="7">
        <v>63827.86</v>
      </c>
      <c r="O81" s="7">
        <v>63827.86</v>
      </c>
      <c r="P81" s="8">
        <v>1</v>
      </c>
      <c r="Q81" s="7">
        <v>0</v>
      </c>
      <c r="R81" s="7">
        <v>0</v>
      </c>
      <c r="S81" s="1">
        <v>0.99087303000000004</v>
      </c>
      <c r="T81" s="7">
        <v>0</v>
      </c>
      <c r="U81" s="7">
        <v>63827.86</v>
      </c>
      <c r="V81" s="7">
        <v>391531.5</v>
      </c>
      <c r="W81" s="7">
        <v>455359.36</v>
      </c>
      <c r="X81" s="7">
        <v>113839.84</v>
      </c>
      <c r="Y81" s="7">
        <v>46987.47</v>
      </c>
      <c r="Z81" s="7">
        <v>0</v>
      </c>
      <c r="AA81" s="7">
        <v>39225.47</v>
      </c>
      <c r="AB81" s="7">
        <v>0</v>
      </c>
      <c r="AC81" s="7">
        <v>0</v>
      </c>
      <c r="AD81" s="7">
        <v>42331</v>
      </c>
      <c r="AE81" s="7">
        <v>42847.98</v>
      </c>
      <c r="AF81" s="7">
        <v>0</v>
      </c>
      <c r="AG81" s="7">
        <v>0</v>
      </c>
      <c r="AH81" s="7">
        <v>0</v>
      </c>
      <c r="AI81" s="7">
        <v>63827.86</v>
      </c>
      <c r="AJ81" s="7">
        <v>0</v>
      </c>
    </row>
    <row r="82" spans="1:36" x14ac:dyDescent="0.2">
      <c r="A82" s="1" t="s">
        <v>33</v>
      </c>
      <c r="B82" s="1">
        <v>253</v>
      </c>
      <c r="C82" s="1">
        <v>1</v>
      </c>
      <c r="D82" s="1" t="s">
        <v>159</v>
      </c>
      <c r="E82" s="1">
        <v>25</v>
      </c>
      <c r="F82" s="5" t="s">
        <v>61</v>
      </c>
      <c r="G82" s="6">
        <v>2640</v>
      </c>
      <c r="H82" s="2">
        <v>2000</v>
      </c>
      <c r="I82" s="6">
        <v>3529625</v>
      </c>
      <c r="J82" s="7">
        <v>14308.8</v>
      </c>
      <c r="K82" s="6">
        <v>2640</v>
      </c>
      <c r="L82" s="7">
        <v>4884</v>
      </c>
      <c r="M82" s="7">
        <v>21832.799999999999</v>
      </c>
      <c r="N82" s="7">
        <v>21832.799999999999</v>
      </c>
      <c r="O82" s="7">
        <v>21832.799999999999</v>
      </c>
      <c r="P82" s="8">
        <v>1</v>
      </c>
      <c r="Q82" s="7">
        <v>0</v>
      </c>
      <c r="R82" s="7">
        <v>0</v>
      </c>
      <c r="S82" s="1">
        <v>0.99087303000000004</v>
      </c>
      <c r="T82" s="7">
        <v>0</v>
      </c>
      <c r="U82" s="7">
        <v>21832.799999999999</v>
      </c>
      <c r="V82" s="7">
        <v>49705.34</v>
      </c>
      <c r="W82" s="7">
        <v>71538.14</v>
      </c>
      <c r="X82" s="7">
        <v>17884.54</v>
      </c>
      <c r="Y82" s="7">
        <v>17928.810000000001</v>
      </c>
      <c r="Z82" s="7">
        <v>0</v>
      </c>
      <c r="AA82" s="7">
        <v>13133.38</v>
      </c>
      <c r="AB82" s="7">
        <v>0</v>
      </c>
      <c r="AC82" s="7">
        <v>0</v>
      </c>
      <c r="AD82" s="7">
        <v>11353.38</v>
      </c>
      <c r="AE82" s="7">
        <v>14138.52</v>
      </c>
      <c r="AF82" s="7">
        <v>0</v>
      </c>
      <c r="AG82" s="7">
        <v>0</v>
      </c>
      <c r="AH82" s="7">
        <v>0</v>
      </c>
      <c r="AI82" s="7">
        <v>21832.799999999999</v>
      </c>
      <c r="AJ82" s="7">
        <v>0</v>
      </c>
    </row>
    <row r="83" spans="1:36" x14ac:dyDescent="0.2">
      <c r="A83" s="1" t="s">
        <v>33</v>
      </c>
      <c r="B83" s="1">
        <v>255</v>
      </c>
      <c r="C83" s="1">
        <v>1</v>
      </c>
      <c r="D83" s="1" t="s">
        <v>160</v>
      </c>
      <c r="E83" s="1">
        <v>25</v>
      </c>
      <c r="F83" s="5" t="s">
        <v>61</v>
      </c>
      <c r="G83" s="6">
        <v>5174</v>
      </c>
      <c r="H83" s="2">
        <v>2000</v>
      </c>
      <c r="I83" s="6">
        <v>6391857</v>
      </c>
      <c r="J83" s="7">
        <v>28043.08</v>
      </c>
      <c r="K83" s="6">
        <v>5174</v>
      </c>
      <c r="L83" s="7">
        <v>9571.9</v>
      </c>
      <c r="M83" s="7">
        <v>42788.98</v>
      </c>
      <c r="N83" s="7">
        <v>42788.98</v>
      </c>
      <c r="O83" s="7">
        <v>42788.98</v>
      </c>
      <c r="P83" s="8">
        <v>1</v>
      </c>
      <c r="Q83" s="7">
        <v>0</v>
      </c>
      <c r="R83" s="7">
        <v>0</v>
      </c>
      <c r="S83" s="1">
        <v>0.99087303000000004</v>
      </c>
      <c r="T83" s="7">
        <v>0</v>
      </c>
      <c r="U83" s="7">
        <v>42788.98</v>
      </c>
      <c r="V83" s="7">
        <v>218676.05</v>
      </c>
      <c r="W83" s="7">
        <v>261465.03</v>
      </c>
      <c r="X83" s="7">
        <v>65366.26</v>
      </c>
      <c r="Y83" s="7">
        <v>73201.509999999995</v>
      </c>
      <c r="Z83" s="7">
        <v>0</v>
      </c>
      <c r="AA83" s="7">
        <v>60161.440000000002</v>
      </c>
      <c r="AB83" s="7">
        <v>0</v>
      </c>
      <c r="AC83" s="7">
        <v>0</v>
      </c>
      <c r="AD83" s="7">
        <v>48168.05</v>
      </c>
      <c r="AE83" s="7">
        <v>60510.33</v>
      </c>
      <c r="AF83" s="7">
        <v>0</v>
      </c>
      <c r="AG83" s="7">
        <v>0</v>
      </c>
      <c r="AH83" s="7">
        <v>0</v>
      </c>
      <c r="AI83" s="7">
        <v>42788.98</v>
      </c>
      <c r="AJ83" s="7">
        <v>0</v>
      </c>
    </row>
    <row r="84" spans="1:36" x14ac:dyDescent="0.2">
      <c r="A84" s="1" t="s">
        <v>33</v>
      </c>
      <c r="B84" s="1">
        <v>256</v>
      </c>
      <c r="C84" s="1">
        <v>1</v>
      </c>
      <c r="D84" s="1" t="s">
        <v>161</v>
      </c>
      <c r="E84" s="1">
        <v>25</v>
      </c>
      <c r="F84" s="5" t="s">
        <v>61</v>
      </c>
      <c r="G84" s="6">
        <v>19730</v>
      </c>
      <c r="H84" s="2">
        <v>2007</v>
      </c>
      <c r="I84" s="6">
        <v>28421185</v>
      </c>
      <c r="J84" s="7">
        <v>106936.6</v>
      </c>
      <c r="K84" s="6">
        <v>19730</v>
      </c>
      <c r="L84" s="7">
        <v>22683.9</v>
      </c>
      <c r="M84" s="7">
        <v>149350.5</v>
      </c>
      <c r="N84" s="7">
        <v>149350.5</v>
      </c>
      <c r="O84" s="7">
        <v>149350.5</v>
      </c>
      <c r="P84" s="8">
        <v>1</v>
      </c>
      <c r="Q84" s="7">
        <v>0</v>
      </c>
      <c r="R84" s="7">
        <v>0</v>
      </c>
      <c r="S84" s="1">
        <v>0.99087303000000004</v>
      </c>
      <c r="T84" s="7">
        <v>0</v>
      </c>
      <c r="U84" s="7">
        <v>149350.5</v>
      </c>
      <c r="V84" s="7">
        <v>1000992.7</v>
      </c>
      <c r="W84" s="7">
        <v>1150343.2</v>
      </c>
      <c r="X84" s="7">
        <v>287585.8</v>
      </c>
      <c r="Y84" s="7">
        <v>-60016.13</v>
      </c>
      <c r="Z84" s="7">
        <v>0</v>
      </c>
      <c r="AA84" s="7">
        <v>-8259.5</v>
      </c>
      <c r="AB84" s="7">
        <v>0</v>
      </c>
      <c r="AC84" s="7">
        <v>0</v>
      </c>
      <c r="AD84" s="7">
        <v>58162.66</v>
      </c>
      <c r="AE84" s="7">
        <v>-3370.99</v>
      </c>
      <c r="AF84" s="7">
        <v>0</v>
      </c>
      <c r="AG84" s="7">
        <v>0</v>
      </c>
      <c r="AH84" s="7">
        <v>0</v>
      </c>
      <c r="AI84" s="7">
        <v>149350.5</v>
      </c>
      <c r="AJ84" s="7">
        <v>0</v>
      </c>
    </row>
    <row r="85" spans="1:36" x14ac:dyDescent="0.2">
      <c r="A85" s="1" t="s">
        <v>33</v>
      </c>
      <c r="B85" s="1">
        <v>261</v>
      </c>
      <c r="C85" s="1">
        <v>1</v>
      </c>
      <c r="D85" s="1" t="s">
        <v>162</v>
      </c>
      <c r="E85" s="1">
        <v>26</v>
      </c>
      <c r="F85" s="5" t="s">
        <v>60</v>
      </c>
      <c r="G85" s="6">
        <v>1370</v>
      </c>
      <c r="H85" s="2">
        <v>2000</v>
      </c>
      <c r="I85" s="6">
        <v>2175556</v>
      </c>
      <c r="J85" s="7">
        <v>7425.4</v>
      </c>
      <c r="K85" s="6">
        <v>0</v>
      </c>
      <c r="L85" s="7">
        <v>0</v>
      </c>
      <c r="M85" s="7">
        <v>7425.4</v>
      </c>
      <c r="N85" s="7">
        <v>7425.4</v>
      </c>
      <c r="O85" s="7">
        <v>7425.4</v>
      </c>
      <c r="P85" s="8">
        <v>1</v>
      </c>
      <c r="Q85" s="7">
        <v>0</v>
      </c>
      <c r="R85" s="7">
        <v>0</v>
      </c>
      <c r="S85" s="1">
        <v>0.99087303000000004</v>
      </c>
      <c r="T85" s="7">
        <v>0</v>
      </c>
      <c r="U85" s="7">
        <v>8795.4</v>
      </c>
      <c r="V85" s="7">
        <v>23276.080000000002</v>
      </c>
      <c r="W85" s="7">
        <v>32071.48</v>
      </c>
      <c r="X85" s="7">
        <v>8017.87</v>
      </c>
      <c r="Y85" s="7">
        <v>-15362.24</v>
      </c>
      <c r="Z85" s="7">
        <v>0</v>
      </c>
      <c r="AA85" s="7">
        <v>-11014.65</v>
      </c>
      <c r="AB85" s="7">
        <v>0</v>
      </c>
      <c r="AC85" s="7">
        <v>0</v>
      </c>
      <c r="AD85" s="7">
        <v>-7771.74</v>
      </c>
      <c r="AE85" s="7">
        <v>-11382.88</v>
      </c>
      <c r="AF85" s="7">
        <v>0</v>
      </c>
      <c r="AG85" s="7">
        <v>0</v>
      </c>
      <c r="AH85" s="7">
        <v>0</v>
      </c>
      <c r="AI85" s="7">
        <v>7425.4</v>
      </c>
      <c r="AJ85" s="7">
        <v>0</v>
      </c>
    </row>
    <row r="86" spans="1:36" x14ac:dyDescent="0.2">
      <c r="A86" s="1" t="s">
        <v>33</v>
      </c>
      <c r="B86" s="1">
        <v>264</v>
      </c>
      <c r="C86" s="1">
        <v>1</v>
      </c>
      <c r="D86" s="1" t="s">
        <v>163</v>
      </c>
      <c r="E86" s="1">
        <v>26</v>
      </c>
      <c r="F86" s="5" t="s">
        <v>60</v>
      </c>
      <c r="G86" s="6">
        <v>1094</v>
      </c>
      <c r="H86" s="2">
        <v>2000</v>
      </c>
      <c r="I86" s="6">
        <v>2507781</v>
      </c>
      <c r="J86" s="7">
        <v>7235.7</v>
      </c>
      <c r="K86" s="6">
        <v>1335</v>
      </c>
      <c r="L86" s="7">
        <v>2469.75</v>
      </c>
      <c r="M86" s="7">
        <v>11040.45</v>
      </c>
      <c r="N86" s="7">
        <v>11040.45</v>
      </c>
      <c r="O86" s="7">
        <v>11040.45</v>
      </c>
      <c r="P86" s="8">
        <v>1</v>
      </c>
      <c r="Q86" s="7">
        <v>0</v>
      </c>
      <c r="R86" s="7">
        <v>0</v>
      </c>
      <c r="S86" s="1">
        <v>0.99087303000000004</v>
      </c>
      <c r="T86" s="7">
        <v>0</v>
      </c>
      <c r="U86" s="7">
        <v>11040.45</v>
      </c>
      <c r="V86" s="7">
        <v>12596.6</v>
      </c>
      <c r="W86" s="7">
        <v>23637.05</v>
      </c>
      <c r="X86" s="7">
        <v>5909.26</v>
      </c>
      <c r="Y86" s="7">
        <v>5089.88</v>
      </c>
      <c r="Z86" s="7">
        <v>467.05</v>
      </c>
      <c r="AA86" s="7">
        <v>5776.5</v>
      </c>
      <c r="AB86" s="7">
        <v>664.03</v>
      </c>
      <c r="AC86" s="7">
        <v>0</v>
      </c>
      <c r="AD86" s="7">
        <v>11456.42</v>
      </c>
      <c r="AE86" s="7">
        <v>7063.91</v>
      </c>
      <c r="AF86" s="7">
        <v>1154.6500000000001</v>
      </c>
      <c r="AG86" s="7">
        <v>1154.6500000000001</v>
      </c>
      <c r="AH86" s="7">
        <v>0</v>
      </c>
      <c r="AI86" s="7">
        <v>9885.7999999999993</v>
      </c>
      <c r="AJ86" s="7">
        <v>0</v>
      </c>
    </row>
    <row r="87" spans="1:36" x14ac:dyDescent="0.2">
      <c r="A87" s="1" t="s">
        <v>33</v>
      </c>
      <c r="B87" s="1">
        <v>270</v>
      </c>
      <c r="C87" s="1">
        <v>1</v>
      </c>
      <c r="D87" s="1" t="s">
        <v>164</v>
      </c>
      <c r="E87" s="1">
        <v>27</v>
      </c>
      <c r="F87" s="5" t="s">
        <v>56</v>
      </c>
      <c r="G87" s="6">
        <v>62483</v>
      </c>
      <c r="H87" s="2">
        <v>2000</v>
      </c>
      <c r="I87" s="6">
        <v>115052074</v>
      </c>
      <c r="J87" s="7">
        <v>338657.86</v>
      </c>
      <c r="K87" s="6">
        <v>62483</v>
      </c>
      <c r="L87" s="7">
        <v>41067.69</v>
      </c>
      <c r="M87" s="7">
        <v>442208.55</v>
      </c>
      <c r="N87" s="7">
        <v>442208.55</v>
      </c>
      <c r="O87" s="7">
        <v>442208.55</v>
      </c>
      <c r="P87" s="8">
        <v>1</v>
      </c>
      <c r="Q87" s="7">
        <v>0</v>
      </c>
      <c r="R87" s="7">
        <v>0</v>
      </c>
      <c r="S87" s="1">
        <v>0.99087303000000004</v>
      </c>
      <c r="T87" s="7">
        <v>0</v>
      </c>
      <c r="U87" s="7">
        <v>442208.55</v>
      </c>
      <c r="V87" s="7">
        <v>5742195.1600000001</v>
      </c>
      <c r="W87" s="7">
        <v>6184403.71</v>
      </c>
      <c r="X87" s="7">
        <v>1546100.93</v>
      </c>
      <c r="Y87" s="7">
        <v>786631.21</v>
      </c>
      <c r="Z87" s="7">
        <v>0</v>
      </c>
      <c r="AA87" s="7">
        <v>1073899.95</v>
      </c>
      <c r="AB87" s="7">
        <v>0</v>
      </c>
      <c r="AC87" s="7">
        <v>0</v>
      </c>
      <c r="AD87" s="7">
        <v>1055232.52</v>
      </c>
      <c r="AE87" s="7">
        <v>971921.23</v>
      </c>
      <c r="AF87" s="7">
        <v>0</v>
      </c>
      <c r="AG87" s="7">
        <v>0</v>
      </c>
      <c r="AH87" s="7">
        <v>0</v>
      </c>
      <c r="AI87" s="7">
        <v>442208.55</v>
      </c>
      <c r="AJ87" s="7">
        <v>0</v>
      </c>
    </row>
    <row r="88" spans="1:36" x14ac:dyDescent="0.2">
      <c r="A88" s="1" t="s">
        <v>33</v>
      </c>
      <c r="B88" s="1">
        <v>271</v>
      </c>
      <c r="C88" s="1">
        <v>1</v>
      </c>
      <c r="D88" s="1" t="s">
        <v>165</v>
      </c>
      <c r="E88" s="1">
        <v>27</v>
      </c>
      <c r="F88" s="5" t="s">
        <v>56</v>
      </c>
      <c r="G88" s="6">
        <v>85158</v>
      </c>
      <c r="H88" s="2">
        <v>2000</v>
      </c>
      <c r="I88" s="6">
        <v>139570063</v>
      </c>
      <c r="J88" s="7">
        <v>461556.36</v>
      </c>
      <c r="K88" s="6">
        <v>85158</v>
      </c>
      <c r="L88" s="7">
        <v>50817.94</v>
      </c>
      <c r="M88" s="7">
        <v>597532.30000000005</v>
      </c>
      <c r="N88" s="7">
        <v>597532.30000000005</v>
      </c>
      <c r="O88" s="7">
        <v>597532.30000000005</v>
      </c>
      <c r="P88" s="8">
        <v>1</v>
      </c>
      <c r="Q88" s="7">
        <v>0</v>
      </c>
      <c r="R88" s="7">
        <v>0</v>
      </c>
      <c r="S88" s="1">
        <v>0.99087303000000004</v>
      </c>
      <c r="T88" s="7">
        <v>0</v>
      </c>
      <c r="U88" s="7">
        <v>597532.30000000005</v>
      </c>
      <c r="V88" s="7">
        <v>6236740.5199999996</v>
      </c>
      <c r="W88" s="7">
        <v>6834272.8200000003</v>
      </c>
      <c r="X88" s="7">
        <v>1708568.21</v>
      </c>
      <c r="Y88" s="7">
        <v>1751414.61</v>
      </c>
      <c r="Z88" s="7">
        <v>0</v>
      </c>
      <c r="AA88" s="7">
        <v>1781824.33</v>
      </c>
      <c r="AB88" s="7">
        <v>0</v>
      </c>
      <c r="AC88" s="7">
        <v>0</v>
      </c>
      <c r="AD88" s="7">
        <v>1417651.25</v>
      </c>
      <c r="AE88" s="7">
        <v>1650296.73</v>
      </c>
      <c r="AF88" s="7">
        <v>0</v>
      </c>
      <c r="AG88" s="7">
        <v>0</v>
      </c>
      <c r="AH88" s="7">
        <v>0</v>
      </c>
      <c r="AI88" s="7">
        <v>597532.30000000005</v>
      </c>
      <c r="AJ88" s="7">
        <v>0</v>
      </c>
    </row>
    <row r="89" spans="1:36" x14ac:dyDescent="0.2">
      <c r="A89" s="1" t="s">
        <v>33</v>
      </c>
      <c r="B89" s="1">
        <v>272</v>
      </c>
      <c r="C89" s="1">
        <v>1</v>
      </c>
      <c r="D89" s="1" t="s">
        <v>166</v>
      </c>
      <c r="E89" s="1">
        <v>27</v>
      </c>
      <c r="F89" s="5" t="s">
        <v>56</v>
      </c>
      <c r="G89" s="6">
        <v>59479</v>
      </c>
      <c r="H89" s="2">
        <v>2008</v>
      </c>
      <c r="I89" s="6">
        <v>114782826</v>
      </c>
      <c r="J89" s="7">
        <v>322376.18</v>
      </c>
      <c r="K89" s="6">
        <v>59479</v>
      </c>
      <c r="L89" s="7">
        <v>39775.97</v>
      </c>
      <c r="M89" s="7">
        <v>421631.15</v>
      </c>
      <c r="N89" s="7">
        <v>421631.15</v>
      </c>
      <c r="O89" s="7">
        <v>421631.15</v>
      </c>
      <c r="P89" s="8">
        <v>1</v>
      </c>
      <c r="Q89" s="7">
        <v>0</v>
      </c>
      <c r="R89" s="7">
        <v>0</v>
      </c>
      <c r="S89" s="1">
        <v>0.99087303000000004</v>
      </c>
      <c r="T89" s="7">
        <v>0</v>
      </c>
      <c r="U89" s="7">
        <v>414055.05</v>
      </c>
      <c r="V89" s="7">
        <v>3141457.93</v>
      </c>
      <c r="W89" s="7">
        <v>3555512.98</v>
      </c>
      <c r="X89" s="7">
        <v>888878.25</v>
      </c>
      <c r="Y89" s="7">
        <v>-243746.61</v>
      </c>
      <c r="Z89" s="7">
        <v>0</v>
      </c>
      <c r="AA89" s="7">
        <v>-218929.37</v>
      </c>
      <c r="AB89" s="7">
        <v>0</v>
      </c>
      <c r="AC89" s="7">
        <v>0</v>
      </c>
      <c r="AD89" s="7">
        <v>-98563.57</v>
      </c>
      <c r="AE89" s="7">
        <v>-187079.85</v>
      </c>
      <c r="AF89" s="7">
        <v>0</v>
      </c>
      <c r="AG89" s="7">
        <v>0</v>
      </c>
      <c r="AH89" s="7">
        <v>0</v>
      </c>
      <c r="AI89" s="7">
        <v>421631.15</v>
      </c>
      <c r="AJ89" s="7">
        <v>0</v>
      </c>
    </row>
    <row r="90" spans="1:36" x14ac:dyDescent="0.2">
      <c r="A90" s="1" t="s">
        <v>33</v>
      </c>
      <c r="B90" s="1">
        <v>273</v>
      </c>
      <c r="C90" s="1">
        <v>1</v>
      </c>
      <c r="D90" s="1" t="s">
        <v>167</v>
      </c>
      <c r="E90" s="1">
        <v>27</v>
      </c>
      <c r="F90" s="5" t="s">
        <v>56</v>
      </c>
      <c r="G90" s="6">
        <v>39098</v>
      </c>
      <c r="H90" s="2">
        <v>2000</v>
      </c>
      <c r="I90" s="6">
        <v>96600354</v>
      </c>
      <c r="J90" s="7">
        <v>211911.16</v>
      </c>
      <c r="K90" s="6">
        <v>39098</v>
      </c>
      <c r="L90" s="7">
        <v>31012.14</v>
      </c>
      <c r="M90" s="7">
        <v>282021.3</v>
      </c>
      <c r="N90" s="7">
        <v>282021.3</v>
      </c>
      <c r="O90" s="7">
        <v>282021.3</v>
      </c>
      <c r="P90" s="8">
        <v>1</v>
      </c>
      <c r="Q90" s="7">
        <v>0</v>
      </c>
      <c r="R90" s="7">
        <v>0</v>
      </c>
      <c r="S90" s="1">
        <v>0.99087303000000004</v>
      </c>
      <c r="T90" s="7">
        <v>0</v>
      </c>
      <c r="U90" s="7">
        <v>282021.3</v>
      </c>
      <c r="V90" s="7">
        <v>5860251.6699999999</v>
      </c>
      <c r="W90" s="7">
        <v>6142272.9699999997</v>
      </c>
      <c r="X90" s="7">
        <v>1535568.24</v>
      </c>
      <c r="Y90" s="7">
        <v>1107669.22</v>
      </c>
      <c r="Z90" s="7">
        <v>0</v>
      </c>
      <c r="AA90" s="7">
        <v>990630.17</v>
      </c>
      <c r="AB90" s="7">
        <v>0</v>
      </c>
      <c r="AC90" s="7">
        <v>0</v>
      </c>
      <c r="AD90" s="7">
        <v>1283948.44</v>
      </c>
      <c r="AE90" s="7">
        <v>1127415.94</v>
      </c>
      <c r="AF90" s="7">
        <v>0</v>
      </c>
      <c r="AG90" s="7">
        <v>0</v>
      </c>
      <c r="AH90" s="7">
        <v>0</v>
      </c>
      <c r="AI90" s="7">
        <v>282021.3</v>
      </c>
      <c r="AJ90" s="7">
        <v>0</v>
      </c>
    </row>
    <row r="91" spans="1:36" x14ac:dyDescent="0.2">
      <c r="A91" s="1" t="s">
        <v>33</v>
      </c>
      <c r="B91" s="1">
        <v>276</v>
      </c>
      <c r="C91" s="1">
        <v>1</v>
      </c>
      <c r="D91" s="1" t="s">
        <v>168</v>
      </c>
      <c r="E91" s="1">
        <v>27</v>
      </c>
      <c r="F91" s="5" t="s">
        <v>56</v>
      </c>
      <c r="G91" s="6">
        <v>50313</v>
      </c>
      <c r="H91" s="2">
        <v>2001</v>
      </c>
      <c r="I91" s="6">
        <v>94307786</v>
      </c>
      <c r="J91" s="7">
        <v>272696.46000000002</v>
      </c>
      <c r="K91" s="6">
        <v>50313</v>
      </c>
      <c r="L91" s="7">
        <v>35834.589999999997</v>
      </c>
      <c r="M91" s="7">
        <v>358844.05</v>
      </c>
      <c r="N91" s="7">
        <v>358844.05</v>
      </c>
      <c r="O91" s="7">
        <v>358844.05</v>
      </c>
      <c r="P91" s="8">
        <v>1</v>
      </c>
      <c r="Q91" s="7">
        <v>0</v>
      </c>
      <c r="R91" s="7">
        <v>0</v>
      </c>
      <c r="S91" s="1">
        <v>0.99087303000000004</v>
      </c>
      <c r="T91" s="7">
        <v>0</v>
      </c>
      <c r="U91" s="7">
        <v>358844.05</v>
      </c>
      <c r="V91" s="7">
        <v>6020787.1799999997</v>
      </c>
      <c r="W91" s="7">
        <v>6379631.2300000004</v>
      </c>
      <c r="X91" s="7">
        <v>1594907.81</v>
      </c>
      <c r="Y91" s="7">
        <v>665099.39</v>
      </c>
      <c r="Z91" s="7">
        <v>0</v>
      </c>
      <c r="AA91" s="7">
        <v>723759.4</v>
      </c>
      <c r="AB91" s="7">
        <v>0</v>
      </c>
      <c r="AC91" s="7">
        <v>0</v>
      </c>
      <c r="AD91" s="7">
        <v>1130632.8999999999</v>
      </c>
      <c r="AE91" s="7">
        <v>839830.56</v>
      </c>
      <c r="AF91" s="7">
        <v>0</v>
      </c>
      <c r="AG91" s="7">
        <v>0</v>
      </c>
      <c r="AH91" s="7">
        <v>0</v>
      </c>
      <c r="AI91" s="7">
        <v>358844.05</v>
      </c>
      <c r="AJ91" s="7">
        <v>0</v>
      </c>
    </row>
    <row r="92" spans="1:36" x14ac:dyDescent="0.2">
      <c r="A92" s="1" t="s">
        <v>33</v>
      </c>
      <c r="B92" s="1">
        <v>277</v>
      </c>
      <c r="C92" s="1">
        <v>1</v>
      </c>
      <c r="D92" s="1" t="s">
        <v>169</v>
      </c>
      <c r="E92" s="1">
        <v>27</v>
      </c>
      <c r="F92" s="5" t="s">
        <v>56</v>
      </c>
      <c r="G92" s="6">
        <v>17874</v>
      </c>
      <c r="H92" s="2">
        <v>2000</v>
      </c>
      <c r="I92" s="6">
        <v>45408775</v>
      </c>
      <c r="J92" s="7">
        <v>96877.08</v>
      </c>
      <c r="K92" s="6">
        <v>17874</v>
      </c>
      <c r="L92" s="7">
        <v>21885.82</v>
      </c>
      <c r="M92" s="7">
        <v>136636.9</v>
      </c>
      <c r="N92" s="7">
        <v>136636.9</v>
      </c>
      <c r="O92" s="7">
        <v>136636.9</v>
      </c>
      <c r="P92" s="8">
        <v>1</v>
      </c>
      <c r="Q92" s="7">
        <v>0</v>
      </c>
      <c r="R92" s="7">
        <v>0</v>
      </c>
      <c r="S92" s="1">
        <v>0.99087303000000004</v>
      </c>
      <c r="T92" s="7">
        <v>0</v>
      </c>
      <c r="U92" s="7">
        <v>136636.9</v>
      </c>
      <c r="V92" s="7">
        <v>1427254.16</v>
      </c>
      <c r="W92" s="7">
        <v>1563891.06</v>
      </c>
      <c r="X92" s="7">
        <v>390972.77</v>
      </c>
      <c r="Y92" s="7">
        <v>304586.94</v>
      </c>
      <c r="Z92" s="7">
        <v>0</v>
      </c>
      <c r="AA92" s="7">
        <v>400244.44</v>
      </c>
      <c r="AB92" s="7">
        <v>0</v>
      </c>
      <c r="AC92" s="7">
        <v>0</v>
      </c>
      <c r="AD92" s="7">
        <v>363562.23999999999</v>
      </c>
      <c r="AE92" s="7">
        <v>356131.21</v>
      </c>
      <c r="AF92" s="7">
        <v>0</v>
      </c>
      <c r="AG92" s="7">
        <v>0</v>
      </c>
      <c r="AH92" s="7">
        <v>0</v>
      </c>
      <c r="AI92" s="7">
        <v>136636.9</v>
      </c>
      <c r="AJ92" s="7">
        <v>0</v>
      </c>
    </row>
    <row r="93" spans="1:36" x14ac:dyDescent="0.2">
      <c r="A93" s="1" t="s">
        <v>33</v>
      </c>
      <c r="B93" s="1">
        <v>278</v>
      </c>
      <c r="C93" s="1">
        <v>1</v>
      </c>
      <c r="D93" s="1" t="s">
        <v>170</v>
      </c>
      <c r="E93" s="1">
        <v>27</v>
      </c>
      <c r="F93" s="5" t="s">
        <v>56</v>
      </c>
      <c r="G93" s="6">
        <v>12257</v>
      </c>
      <c r="H93" s="2">
        <v>2000</v>
      </c>
      <c r="I93" s="6">
        <v>45720036</v>
      </c>
      <c r="J93" s="7">
        <v>66432.94</v>
      </c>
      <c r="K93" s="6">
        <v>12257</v>
      </c>
      <c r="L93" s="7">
        <v>19470.509999999998</v>
      </c>
      <c r="M93" s="7">
        <v>98160.45</v>
      </c>
      <c r="N93" s="7">
        <v>98160.45</v>
      </c>
      <c r="O93" s="7">
        <v>98160.45</v>
      </c>
      <c r="P93" s="8">
        <v>1</v>
      </c>
      <c r="Q93" s="7">
        <v>0</v>
      </c>
      <c r="R93" s="7">
        <v>0</v>
      </c>
      <c r="S93" s="1">
        <v>0.99087303000000004</v>
      </c>
      <c r="T93" s="7">
        <v>0</v>
      </c>
      <c r="U93" s="7">
        <v>98160.45</v>
      </c>
      <c r="V93" s="7">
        <v>2467061.27</v>
      </c>
      <c r="W93" s="7">
        <v>2565221.7200000002</v>
      </c>
      <c r="X93" s="7">
        <v>641305.43000000005</v>
      </c>
      <c r="Y93" s="7">
        <v>196058.04</v>
      </c>
      <c r="Z93" s="7">
        <v>0</v>
      </c>
      <c r="AA93" s="7">
        <v>177797.45</v>
      </c>
      <c r="AB93" s="7">
        <v>0</v>
      </c>
      <c r="AC93" s="7">
        <v>0</v>
      </c>
      <c r="AD93" s="7">
        <v>127647.21</v>
      </c>
      <c r="AE93" s="7">
        <v>167167.57</v>
      </c>
      <c r="AF93" s="7">
        <v>0</v>
      </c>
      <c r="AG93" s="7">
        <v>0</v>
      </c>
      <c r="AH93" s="7">
        <v>0</v>
      </c>
      <c r="AI93" s="7">
        <v>98160.45</v>
      </c>
      <c r="AJ93" s="7">
        <v>0</v>
      </c>
    </row>
    <row r="94" spans="1:36" x14ac:dyDescent="0.2">
      <c r="A94" s="1" t="s">
        <v>33</v>
      </c>
      <c r="B94" s="1">
        <v>279</v>
      </c>
      <c r="C94" s="1">
        <v>1</v>
      </c>
      <c r="D94" s="1" t="s">
        <v>171</v>
      </c>
      <c r="E94" s="1">
        <v>27</v>
      </c>
      <c r="F94" s="5" t="s">
        <v>56</v>
      </c>
      <c r="G94" s="6">
        <v>134374</v>
      </c>
      <c r="H94" s="2">
        <v>2008</v>
      </c>
      <c r="I94" s="6">
        <v>175000647</v>
      </c>
      <c r="J94" s="7">
        <v>728307.08</v>
      </c>
      <c r="K94" s="6">
        <v>134374</v>
      </c>
      <c r="L94" s="7">
        <v>71980.820000000007</v>
      </c>
      <c r="M94" s="7">
        <v>934661.9</v>
      </c>
      <c r="N94" s="7">
        <v>934661.9</v>
      </c>
      <c r="O94" s="7">
        <v>934661.9</v>
      </c>
      <c r="P94" s="8">
        <v>1</v>
      </c>
      <c r="Q94" s="7">
        <v>0</v>
      </c>
      <c r="R94" s="7">
        <v>0</v>
      </c>
      <c r="S94" s="1">
        <v>0.99087303000000004</v>
      </c>
      <c r="T94" s="7">
        <v>0</v>
      </c>
      <c r="U94" s="7">
        <v>927489.95</v>
      </c>
      <c r="V94" s="7">
        <v>8894501.6199999992</v>
      </c>
      <c r="W94" s="7">
        <v>9821991.5700000003</v>
      </c>
      <c r="X94" s="7">
        <v>2455497.89</v>
      </c>
      <c r="Y94" s="7">
        <v>1924565.76</v>
      </c>
      <c r="Z94" s="7">
        <v>0</v>
      </c>
      <c r="AA94" s="7">
        <v>2589219.17</v>
      </c>
      <c r="AB94" s="7">
        <v>0</v>
      </c>
      <c r="AC94" s="7">
        <v>0</v>
      </c>
      <c r="AD94" s="7">
        <v>2539531.86</v>
      </c>
      <c r="AE94" s="7">
        <v>2351105.6</v>
      </c>
      <c r="AF94" s="7">
        <v>0</v>
      </c>
      <c r="AG94" s="7">
        <v>0</v>
      </c>
      <c r="AH94" s="7">
        <v>0</v>
      </c>
      <c r="AI94" s="7">
        <v>934661.9</v>
      </c>
      <c r="AJ94" s="7">
        <v>0</v>
      </c>
    </row>
    <row r="95" spans="1:36" x14ac:dyDescent="0.2">
      <c r="A95" s="1" t="s">
        <v>33</v>
      </c>
      <c r="B95" s="1">
        <v>280</v>
      </c>
      <c r="C95" s="1">
        <v>1</v>
      </c>
      <c r="D95" s="1" t="s">
        <v>172</v>
      </c>
      <c r="E95" s="1">
        <v>27</v>
      </c>
      <c r="F95" s="5" t="s">
        <v>56</v>
      </c>
      <c r="G95" s="6">
        <v>38535</v>
      </c>
      <c r="H95" s="2">
        <v>2000</v>
      </c>
      <c r="I95" s="6">
        <v>45589001</v>
      </c>
      <c r="J95" s="7">
        <v>208859.7</v>
      </c>
      <c r="K95" s="6">
        <v>38535</v>
      </c>
      <c r="L95" s="7">
        <v>30770.05</v>
      </c>
      <c r="M95" s="7">
        <v>278164.75</v>
      </c>
      <c r="N95" s="7">
        <v>278164.75</v>
      </c>
      <c r="O95" s="7">
        <v>278164.75</v>
      </c>
      <c r="P95" s="8">
        <v>1</v>
      </c>
      <c r="Q95" s="7">
        <v>0</v>
      </c>
      <c r="R95" s="7">
        <v>0</v>
      </c>
      <c r="S95" s="1">
        <v>0.99087303000000004</v>
      </c>
      <c r="T95" s="7">
        <v>0</v>
      </c>
      <c r="U95" s="7">
        <v>278164.75</v>
      </c>
      <c r="V95" s="7">
        <v>270631.56</v>
      </c>
      <c r="W95" s="7">
        <v>548796.31000000006</v>
      </c>
      <c r="X95" s="7">
        <v>137199.07999999999</v>
      </c>
      <c r="Y95" s="7">
        <v>147118.21</v>
      </c>
      <c r="Z95" s="7">
        <v>0</v>
      </c>
      <c r="AA95" s="7">
        <v>147765.69</v>
      </c>
      <c r="AB95" s="7">
        <v>0</v>
      </c>
      <c r="AC95" s="7">
        <v>0</v>
      </c>
      <c r="AD95" s="7">
        <v>123354.8</v>
      </c>
      <c r="AE95" s="7">
        <v>139412.9</v>
      </c>
      <c r="AF95" s="7">
        <v>2213.8200000000002</v>
      </c>
      <c r="AG95" s="7">
        <v>2213.8200000000002</v>
      </c>
      <c r="AH95" s="7">
        <v>0</v>
      </c>
      <c r="AI95" s="7">
        <v>275950.93</v>
      </c>
      <c r="AJ95" s="7">
        <v>0</v>
      </c>
    </row>
    <row r="96" spans="1:36" x14ac:dyDescent="0.2">
      <c r="A96" s="1" t="s">
        <v>33</v>
      </c>
      <c r="B96" s="1">
        <v>281</v>
      </c>
      <c r="C96" s="1">
        <v>1</v>
      </c>
      <c r="D96" s="1" t="s">
        <v>173</v>
      </c>
      <c r="E96" s="1">
        <v>27</v>
      </c>
      <c r="F96" s="5" t="s">
        <v>56</v>
      </c>
      <c r="G96" s="6">
        <v>100852</v>
      </c>
      <c r="H96" s="2">
        <v>2000</v>
      </c>
      <c r="I96" s="6">
        <v>113451470</v>
      </c>
      <c r="J96" s="7">
        <v>546617.84</v>
      </c>
      <c r="K96" s="6">
        <v>100852</v>
      </c>
      <c r="L96" s="7">
        <v>57566.36</v>
      </c>
      <c r="M96" s="7">
        <v>705036.2</v>
      </c>
      <c r="N96" s="7">
        <v>705036.2</v>
      </c>
      <c r="O96" s="7">
        <v>705036.2</v>
      </c>
      <c r="P96" s="8">
        <v>1</v>
      </c>
      <c r="Q96" s="7">
        <v>0</v>
      </c>
      <c r="R96" s="7">
        <v>0</v>
      </c>
      <c r="S96" s="1">
        <v>0.99087303000000004</v>
      </c>
      <c r="T96" s="7">
        <v>0</v>
      </c>
      <c r="U96" s="7">
        <v>705036.2</v>
      </c>
      <c r="V96" s="7">
        <v>4302793.32</v>
      </c>
      <c r="W96" s="7">
        <v>5007829.5199999996</v>
      </c>
      <c r="X96" s="7">
        <v>1251957.3799999999</v>
      </c>
      <c r="Y96" s="7">
        <v>1101670.21</v>
      </c>
      <c r="Z96" s="7">
        <v>0</v>
      </c>
      <c r="AA96" s="7">
        <v>1288576.57</v>
      </c>
      <c r="AB96" s="7">
        <v>0</v>
      </c>
      <c r="AC96" s="7">
        <v>0</v>
      </c>
      <c r="AD96" s="7">
        <v>1055412.3600000001</v>
      </c>
      <c r="AE96" s="7">
        <v>1148553.05</v>
      </c>
      <c r="AF96" s="7">
        <v>0</v>
      </c>
      <c r="AG96" s="7">
        <v>0</v>
      </c>
      <c r="AH96" s="7">
        <v>0</v>
      </c>
      <c r="AI96" s="7">
        <v>705036.2</v>
      </c>
      <c r="AJ96" s="7">
        <v>0</v>
      </c>
    </row>
    <row r="97" spans="1:36" x14ac:dyDescent="0.2">
      <c r="A97" s="1" t="s">
        <v>33</v>
      </c>
      <c r="B97" s="1">
        <v>282</v>
      </c>
      <c r="C97" s="1">
        <v>1</v>
      </c>
      <c r="D97" s="1" t="s">
        <v>174</v>
      </c>
      <c r="E97" s="1">
        <v>27</v>
      </c>
      <c r="F97" s="5" t="s">
        <v>56</v>
      </c>
      <c r="G97" s="6">
        <v>9687</v>
      </c>
      <c r="H97" s="2">
        <v>2000</v>
      </c>
      <c r="I97" s="6">
        <v>11452810</v>
      </c>
      <c r="J97" s="7">
        <v>52503.54</v>
      </c>
      <c r="K97" s="6">
        <v>9687</v>
      </c>
      <c r="L97" s="7">
        <v>17920.95</v>
      </c>
      <c r="M97" s="7">
        <v>80111.490000000005</v>
      </c>
      <c r="N97" s="7">
        <v>80111.490000000005</v>
      </c>
      <c r="O97" s="7">
        <v>80111.490000000005</v>
      </c>
      <c r="P97" s="8">
        <v>1</v>
      </c>
      <c r="Q97" s="7">
        <v>0</v>
      </c>
      <c r="R97" s="7">
        <v>0</v>
      </c>
      <c r="S97" s="1">
        <v>0.99087303000000004</v>
      </c>
      <c r="T97" s="7">
        <v>0</v>
      </c>
      <c r="U97" s="7">
        <v>80111.490000000005</v>
      </c>
      <c r="V97" s="7">
        <v>1046552.54</v>
      </c>
      <c r="W97" s="7">
        <v>1126664.03</v>
      </c>
      <c r="X97" s="7">
        <v>281666.01</v>
      </c>
      <c r="Y97" s="7">
        <v>207664.81</v>
      </c>
      <c r="Z97" s="7">
        <v>0</v>
      </c>
      <c r="AA97" s="7">
        <v>155627.79</v>
      </c>
      <c r="AB97" s="7">
        <v>0</v>
      </c>
      <c r="AC97" s="7">
        <v>0</v>
      </c>
      <c r="AD97" s="7">
        <v>117491.24</v>
      </c>
      <c r="AE97" s="7">
        <v>160261.28</v>
      </c>
      <c r="AF97" s="7">
        <v>0</v>
      </c>
      <c r="AG97" s="7">
        <v>0</v>
      </c>
      <c r="AH97" s="7">
        <v>0</v>
      </c>
      <c r="AI97" s="7">
        <v>80111.490000000005</v>
      </c>
      <c r="AJ97" s="7">
        <v>0</v>
      </c>
    </row>
    <row r="98" spans="1:36" x14ac:dyDescent="0.2">
      <c r="A98" s="1" t="s">
        <v>33</v>
      </c>
      <c r="B98" s="1">
        <v>283</v>
      </c>
      <c r="C98" s="1">
        <v>1</v>
      </c>
      <c r="D98" s="1" t="s">
        <v>175</v>
      </c>
      <c r="E98" s="1">
        <v>27</v>
      </c>
      <c r="F98" s="5" t="s">
        <v>56</v>
      </c>
      <c r="G98" s="6">
        <v>45511</v>
      </c>
      <c r="H98" s="2">
        <v>2005</v>
      </c>
      <c r="I98" s="6">
        <v>59116318</v>
      </c>
      <c r="J98" s="7">
        <v>246669.62</v>
      </c>
      <c r="K98" s="6">
        <v>45511</v>
      </c>
      <c r="L98" s="7">
        <v>33769.730000000003</v>
      </c>
      <c r="M98" s="7">
        <v>325950.34999999998</v>
      </c>
      <c r="N98" s="7">
        <v>325950.34999999998</v>
      </c>
      <c r="O98" s="7">
        <v>325950.34999999998</v>
      </c>
      <c r="P98" s="8">
        <v>1</v>
      </c>
      <c r="Q98" s="7">
        <v>0</v>
      </c>
      <c r="R98" s="7">
        <v>0</v>
      </c>
      <c r="S98" s="1">
        <v>0.99087303000000004</v>
      </c>
      <c r="T98" s="7">
        <v>0</v>
      </c>
      <c r="U98" s="7">
        <v>325950.34999999998</v>
      </c>
      <c r="V98" s="7">
        <v>4571724.74</v>
      </c>
      <c r="W98" s="7">
        <v>4897675.09</v>
      </c>
      <c r="X98" s="7">
        <v>1224418.77</v>
      </c>
      <c r="Y98" s="7">
        <v>233079.67999999999</v>
      </c>
      <c r="Z98" s="7">
        <v>0</v>
      </c>
      <c r="AA98" s="7">
        <v>269904.5</v>
      </c>
      <c r="AB98" s="7">
        <v>0</v>
      </c>
      <c r="AC98" s="7">
        <v>0</v>
      </c>
      <c r="AD98" s="7">
        <v>410836.68</v>
      </c>
      <c r="AE98" s="7">
        <v>304606.95</v>
      </c>
      <c r="AF98" s="7">
        <v>0</v>
      </c>
      <c r="AG98" s="7">
        <v>0</v>
      </c>
      <c r="AH98" s="7">
        <v>0</v>
      </c>
      <c r="AI98" s="7">
        <v>325950.34999999998</v>
      </c>
      <c r="AJ98" s="7">
        <v>0</v>
      </c>
    </row>
    <row r="99" spans="1:36" x14ac:dyDescent="0.2">
      <c r="A99" s="1" t="s">
        <v>33</v>
      </c>
      <c r="B99" s="1">
        <v>284</v>
      </c>
      <c r="C99" s="1">
        <v>1</v>
      </c>
      <c r="D99" s="1" t="s">
        <v>176</v>
      </c>
      <c r="E99" s="1">
        <v>27</v>
      </c>
      <c r="F99" s="5" t="s">
        <v>56</v>
      </c>
      <c r="G99" s="6">
        <v>57293</v>
      </c>
      <c r="H99" s="2">
        <v>2007</v>
      </c>
      <c r="I99" s="6">
        <v>132167781</v>
      </c>
      <c r="J99" s="7">
        <v>310528.06</v>
      </c>
      <c r="K99" s="6">
        <v>57293</v>
      </c>
      <c r="L99" s="7">
        <v>38835.99</v>
      </c>
      <c r="M99" s="7">
        <v>406657.05</v>
      </c>
      <c r="N99" s="7">
        <v>406657.05</v>
      </c>
      <c r="O99" s="7">
        <v>406657.05</v>
      </c>
      <c r="P99" s="8">
        <v>1</v>
      </c>
      <c r="Q99" s="7">
        <v>0</v>
      </c>
      <c r="R99" s="7">
        <v>0</v>
      </c>
      <c r="S99" s="1">
        <v>0.99087303000000004</v>
      </c>
      <c r="T99" s="7">
        <v>0</v>
      </c>
      <c r="U99" s="7">
        <v>406657.05</v>
      </c>
      <c r="V99" s="7">
        <v>5854949.8200000003</v>
      </c>
      <c r="W99" s="7">
        <v>6261606.8700000001</v>
      </c>
      <c r="X99" s="7">
        <v>1565401.72</v>
      </c>
      <c r="Y99" s="7">
        <v>971213.77</v>
      </c>
      <c r="Z99" s="7">
        <v>0</v>
      </c>
      <c r="AA99" s="7">
        <v>983231.41</v>
      </c>
      <c r="AB99" s="7">
        <v>0</v>
      </c>
      <c r="AC99" s="7">
        <v>0</v>
      </c>
      <c r="AD99" s="7">
        <v>831374.8</v>
      </c>
      <c r="AE99" s="7">
        <v>928606.66</v>
      </c>
      <c r="AF99" s="7">
        <v>0</v>
      </c>
      <c r="AG99" s="7">
        <v>0</v>
      </c>
      <c r="AH99" s="7">
        <v>0</v>
      </c>
      <c r="AI99" s="7">
        <v>406657.05</v>
      </c>
      <c r="AJ99" s="7">
        <v>0</v>
      </c>
    </row>
    <row r="100" spans="1:36" x14ac:dyDescent="0.2">
      <c r="A100" s="1" t="s">
        <v>33</v>
      </c>
      <c r="B100" s="1">
        <v>286</v>
      </c>
      <c r="C100" s="1">
        <v>1</v>
      </c>
      <c r="D100" s="1" t="s">
        <v>177</v>
      </c>
      <c r="E100" s="1">
        <v>27</v>
      </c>
      <c r="F100" s="5" t="s">
        <v>56</v>
      </c>
      <c r="G100" s="6">
        <v>7928</v>
      </c>
      <c r="H100" s="2">
        <v>2000</v>
      </c>
      <c r="I100" s="6">
        <v>9303087</v>
      </c>
      <c r="J100" s="7">
        <v>42969.760000000002</v>
      </c>
      <c r="K100" s="6">
        <v>7928</v>
      </c>
      <c r="L100" s="7">
        <v>14666.8</v>
      </c>
      <c r="M100" s="7">
        <v>65564.56</v>
      </c>
      <c r="N100" s="7">
        <v>65564.56</v>
      </c>
      <c r="O100" s="7">
        <v>65564.56</v>
      </c>
      <c r="P100" s="8">
        <v>1</v>
      </c>
      <c r="Q100" s="7">
        <v>0</v>
      </c>
      <c r="R100" s="7">
        <v>0</v>
      </c>
      <c r="S100" s="1">
        <v>0.99087303000000004</v>
      </c>
      <c r="T100" s="7">
        <v>0</v>
      </c>
      <c r="U100" s="7">
        <v>65564.56</v>
      </c>
      <c r="V100" s="7">
        <v>728859.18</v>
      </c>
      <c r="W100" s="7">
        <v>794423.74</v>
      </c>
      <c r="X100" s="7">
        <v>198605.94</v>
      </c>
      <c r="Y100" s="7">
        <v>-337183.24</v>
      </c>
      <c r="Z100" s="7">
        <v>0</v>
      </c>
      <c r="AA100" s="7">
        <v>-346451.24</v>
      </c>
      <c r="AB100" s="7">
        <v>0</v>
      </c>
      <c r="AC100" s="7">
        <v>0</v>
      </c>
      <c r="AD100" s="7">
        <v>-210658.83</v>
      </c>
      <c r="AE100" s="7">
        <v>-298097.77</v>
      </c>
      <c r="AF100" s="7">
        <v>0</v>
      </c>
      <c r="AG100" s="7">
        <v>0</v>
      </c>
      <c r="AH100" s="7">
        <v>0</v>
      </c>
      <c r="AI100" s="7">
        <v>65564.56</v>
      </c>
      <c r="AJ100" s="7">
        <v>0</v>
      </c>
    </row>
    <row r="101" spans="1:36" x14ac:dyDescent="0.2">
      <c r="A101" s="1" t="s">
        <v>33</v>
      </c>
      <c r="B101" s="1">
        <v>294</v>
      </c>
      <c r="C101" s="1">
        <v>1</v>
      </c>
      <c r="D101" s="1" t="s">
        <v>178</v>
      </c>
      <c r="E101" s="1">
        <v>28</v>
      </c>
      <c r="F101" s="5" t="s">
        <v>61</v>
      </c>
      <c r="G101" s="6">
        <v>3168</v>
      </c>
      <c r="H101" s="2">
        <v>2002</v>
      </c>
      <c r="I101" s="6">
        <v>3117682</v>
      </c>
      <c r="J101" s="7">
        <v>17170.560000000001</v>
      </c>
      <c r="K101" s="6">
        <v>3168</v>
      </c>
      <c r="L101" s="7">
        <v>5860.8</v>
      </c>
      <c r="M101" s="7">
        <v>26199.360000000001</v>
      </c>
      <c r="N101" s="7">
        <v>26199.360000000001</v>
      </c>
      <c r="O101" s="7">
        <v>26199.360000000001</v>
      </c>
      <c r="P101" s="8">
        <v>1</v>
      </c>
      <c r="Q101" s="7">
        <v>0</v>
      </c>
      <c r="R101" s="7">
        <v>0</v>
      </c>
      <c r="S101" s="1">
        <v>0.99087303000000004</v>
      </c>
      <c r="T101" s="7">
        <v>0</v>
      </c>
      <c r="U101" s="7">
        <v>26199.360000000001</v>
      </c>
      <c r="V101" s="7">
        <v>80008.44</v>
      </c>
      <c r="W101" s="7">
        <v>106207.8</v>
      </c>
      <c r="X101" s="7">
        <v>26551.95</v>
      </c>
      <c r="Y101" s="7">
        <v>4688.93</v>
      </c>
      <c r="Z101" s="7">
        <v>0</v>
      </c>
      <c r="AA101" s="7">
        <v>15975.02</v>
      </c>
      <c r="AB101" s="7">
        <v>0</v>
      </c>
      <c r="AC101" s="7">
        <v>0</v>
      </c>
      <c r="AD101" s="7">
        <v>4543.0600000000004</v>
      </c>
      <c r="AE101" s="7">
        <v>8402.34</v>
      </c>
      <c r="AF101" s="7">
        <v>0</v>
      </c>
      <c r="AG101" s="7">
        <v>0</v>
      </c>
      <c r="AH101" s="7">
        <v>0</v>
      </c>
      <c r="AI101" s="7">
        <v>26199.360000000001</v>
      </c>
      <c r="AJ101" s="7">
        <v>0</v>
      </c>
    </row>
    <row r="102" spans="1:36" x14ac:dyDescent="0.2">
      <c r="A102" s="1" t="s">
        <v>33</v>
      </c>
      <c r="B102" s="1">
        <v>297</v>
      </c>
      <c r="C102" s="1">
        <v>1</v>
      </c>
      <c r="D102" s="1" t="s">
        <v>179</v>
      </c>
      <c r="E102" s="1">
        <v>28</v>
      </c>
      <c r="F102" s="5" t="s">
        <v>61</v>
      </c>
      <c r="G102" s="6">
        <v>2298</v>
      </c>
      <c r="H102" s="2">
        <v>2000</v>
      </c>
      <c r="I102" s="6">
        <v>2239855</v>
      </c>
      <c r="J102" s="7">
        <v>12455.16</v>
      </c>
      <c r="K102" s="6">
        <v>2298</v>
      </c>
      <c r="L102" s="7">
        <v>4251.3</v>
      </c>
      <c r="M102" s="7">
        <v>19004.46</v>
      </c>
      <c r="N102" s="7">
        <v>19004.46</v>
      </c>
      <c r="O102" s="7">
        <v>19004.46</v>
      </c>
      <c r="P102" s="8">
        <v>1</v>
      </c>
      <c r="Q102" s="7">
        <v>0</v>
      </c>
      <c r="R102" s="7">
        <v>0</v>
      </c>
      <c r="S102" s="1">
        <v>0.99087303000000004</v>
      </c>
      <c r="T102" s="7">
        <v>0</v>
      </c>
      <c r="U102" s="7">
        <v>19004.46</v>
      </c>
      <c r="V102" s="7">
        <v>9643.68</v>
      </c>
      <c r="W102" s="7">
        <v>28648.14</v>
      </c>
      <c r="X102" s="7">
        <v>7162.04</v>
      </c>
      <c r="Y102" s="7">
        <v>9290.73</v>
      </c>
      <c r="Z102" s="7">
        <v>0</v>
      </c>
      <c r="AA102" s="7">
        <v>12570.17</v>
      </c>
      <c r="AB102" s="7">
        <v>0</v>
      </c>
      <c r="AC102" s="7">
        <v>0</v>
      </c>
      <c r="AD102" s="7">
        <v>11548.86</v>
      </c>
      <c r="AE102" s="7">
        <v>11136.59</v>
      </c>
      <c r="AF102" s="7">
        <v>3974.55</v>
      </c>
      <c r="AG102" s="7">
        <v>3974.55</v>
      </c>
      <c r="AH102" s="7">
        <v>0</v>
      </c>
      <c r="AI102" s="7">
        <v>15029.91</v>
      </c>
      <c r="AJ102" s="7">
        <v>0</v>
      </c>
    </row>
    <row r="103" spans="1:36" x14ac:dyDescent="0.2">
      <c r="A103" s="1" t="s">
        <v>33</v>
      </c>
      <c r="B103" s="1">
        <v>299</v>
      </c>
      <c r="C103" s="1">
        <v>1</v>
      </c>
      <c r="D103" s="1" t="s">
        <v>180</v>
      </c>
      <c r="E103" s="1">
        <v>28</v>
      </c>
      <c r="F103" s="5" t="s">
        <v>61</v>
      </c>
      <c r="G103" s="6">
        <v>6349</v>
      </c>
      <c r="H103" s="2">
        <v>2000</v>
      </c>
      <c r="I103" s="6">
        <v>5692913</v>
      </c>
      <c r="J103" s="7">
        <v>34411.58</v>
      </c>
      <c r="K103" s="6">
        <v>6349</v>
      </c>
      <c r="L103" s="7">
        <v>11745.65</v>
      </c>
      <c r="M103" s="7">
        <v>52506.23</v>
      </c>
      <c r="N103" s="7">
        <v>51236.22</v>
      </c>
      <c r="O103" s="7">
        <v>51236.22</v>
      </c>
      <c r="P103" s="8">
        <v>1</v>
      </c>
      <c r="Q103" s="7">
        <v>1270.01</v>
      </c>
      <c r="R103" s="7">
        <v>1270.01</v>
      </c>
      <c r="S103" s="1">
        <v>0.99087303000000004</v>
      </c>
      <c r="T103" s="7">
        <v>1258.42</v>
      </c>
      <c r="U103" s="7">
        <v>52506.23</v>
      </c>
      <c r="V103" s="7">
        <v>81625.47</v>
      </c>
      <c r="W103" s="7">
        <v>134131.70000000001</v>
      </c>
      <c r="X103" s="7">
        <v>33532.93</v>
      </c>
      <c r="Y103" s="7">
        <v>-4918.4799999999996</v>
      </c>
      <c r="Z103" s="7">
        <v>0</v>
      </c>
      <c r="AA103" s="7">
        <v>-13753.56</v>
      </c>
      <c r="AB103" s="7">
        <v>0</v>
      </c>
      <c r="AC103" s="7">
        <v>0</v>
      </c>
      <c r="AD103" s="7">
        <v>-12232.93</v>
      </c>
      <c r="AE103" s="7">
        <v>-10301.66</v>
      </c>
      <c r="AF103" s="7">
        <v>0</v>
      </c>
      <c r="AG103" s="7">
        <v>0</v>
      </c>
      <c r="AH103" s="7">
        <v>0</v>
      </c>
      <c r="AI103" s="7">
        <v>51236.22</v>
      </c>
      <c r="AJ103" s="7">
        <v>1270.01</v>
      </c>
    </row>
    <row r="104" spans="1:36" x14ac:dyDescent="0.2">
      <c r="A104" s="1" t="s">
        <v>33</v>
      </c>
      <c r="B104" s="1">
        <v>300</v>
      </c>
      <c r="C104" s="1">
        <v>1</v>
      </c>
      <c r="D104" s="1" t="s">
        <v>181</v>
      </c>
      <c r="E104" s="1">
        <v>28</v>
      </c>
      <c r="F104" s="5" t="s">
        <v>61</v>
      </c>
      <c r="G104" s="6">
        <v>9604</v>
      </c>
      <c r="H104" s="2">
        <v>2005</v>
      </c>
      <c r="I104" s="6">
        <v>7522756</v>
      </c>
      <c r="J104" s="7">
        <v>52053.68</v>
      </c>
      <c r="K104" s="6">
        <v>9604</v>
      </c>
      <c r="L104" s="7">
        <v>17767.400000000001</v>
      </c>
      <c r="M104" s="7">
        <v>79425.08</v>
      </c>
      <c r="N104" s="7">
        <v>67704.800000000003</v>
      </c>
      <c r="O104" s="7">
        <v>67704.800000000003</v>
      </c>
      <c r="P104" s="8">
        <v>1</v>
      </c>
      <c r="Q104" s="7">
        <v>11720.28</v>
      </c>
      <c r="R104" s="7">
        <v>11720.28</v>
      </c>
      <c r="S104" s="1">
        <v>0.99087303000000004</v>
      </c>
      <c r="T104" s="7">
        <v>11613.31</v>
      </c>
      <c r="U104" s="7">
        <v>79425.08</v>
      </c>
      <c r="V104" s="7">
        <v>290535.06</v>
      </c>
      <c r="W104" s="7">
        <v>369960.14</v>
      </c>
      <c r="X104" s="7">
        <v>92490.04</v>
      </c>
      <c r="Y104" s="7">
        <v>-75132.41</v>
      </c>
      <c r="Z104" s="7">
        <v>0</v>
      </c>
      <c r="AA104" s="7">
        <v>-50476.73</v>
      </c>
      <c r="AB104" s="7">
        <v>0</v>
      </c>
      <c r="AC104" s="7">
        <v>0</v>
      </c>
      <c r="AD104" s="7">
        <v>-24680.73</v>
      </c>
      <c r="AE104" s="7">
        <v>-50096.62</v>
      </c>
      <c r="AF104" s="7">
        <v>0</v>
      </c>
      <c r="AG104" s="7">
        <v>0</v>
      </c>
      <c r="AH104" s="7">
        <v>0</v>
      </c>
      <c r="AI104" s="7">
        <v>67704.800000000003</v>
      </c>
      <c r="AJ104" s="7">
        <v>11720.28</v>
      </c>
    </row>
    <row r="105" spans="1:36" x14ac:dyDescent="0.2">
      <c r="A105" s="1" t="s">
        <v>33</v>
      </c>
      <c r="B105" s="1">
        <v>306</v>
      </c>
      <c r="C105" s="1">
        <v>1</v>
      </c>
      <c r="D105" s="1" t="s">
        <v>182</v>
      </c>
      <c r="E105" s="1">
        <v>29</v>
      </c>
      <c r="F105" s="5" t="s">
        <v>62</v>
      </c>
      <c r="G105" s="6">
        <v>1592</v>
      </c>
      <c r="H105" s="2">
        <v>2000</v>
      </c>
      <c r="I105" s="6">
        <v>3628222</v>
      </c>
      <c r="J105" s="7">
        <v>8628.64</v>
      </c>
      <c r="K105" s="6">
        <v>0</v>
      </c>
      <c r="L105" s="7">
        <v>2945.2</v>
      </c>
      <c r="M105" s="7">
        <v>11573.84</v>
      </c>
      <c r="N105" s="7">
        <v>11573.84</v>
      </c>
      <c r="O105" s="7">
        <v>11573.84</v>
      </c>
      <c r="P105" s="8">
        <v>1</v>
      </c>
      <c r="Q105" s="7">
        <v>0</v>
      </c>
      <c r="R105" s="7">
        <v>0</v>
      </c>
      <c r="S105" s="1">
        <v>0.99087303000000004</v>
      </c>
      <c r="T105" s="7">
        <v>0</v>
      </c>
      <c r="U105" s="7">
        <v>13165.84</v>
      </c>
      <c r="V105" s="7">
        <v>1433.49</v>
      </c>
      <c r="W105" s="7">
        <v>14599.33</v>
      </c>
      <c r="X105" s="7">
        <v>3649.83</v>
      </c>
      <c r="Y105" s="7">
        <v>6322.94</v>
      </c>
      <c r="Z105" s="7">
        <v>0</v>
      </c>
      <c r="AA105" s="7">
        <v>3804.47</v>
      </c>
      <c r="AB105" s="7">
        <v>1487.22</v>
      </c>
      <c r="AC105" s="7">
        <v>0</v>
      </c>
      <c r="AD105" s="7">
        <v>8134.79</v>
      </c>
      <c r="AE105" s="7">
        <v>5591.66</v>
      </c>
      <c r="AF105" s="7">
        <v>1941.83</v>
      </c>
      <c r="AG105" s="7">
        <v>1941.83</v>
      </c>
      <c r="AH105" s="7">
        <v>0</v>
      </c>
      <c r="AI105" s="7">
        <v>9632.01</v>
      </c>
      <c r="AJ105" s="7">
        <v>0</v>
      </c>
    </row>
    <row r="106" spans="1:36" x14ac:dyDescent="0.2">
      <c r="A106" s="1" t="s">
        <v>33</v>
      </c>
      <c r="B106" s="1">
        <v>308</v>
      </c>
      <c r="C106" s="1">
        <v>1</v>
      </c>
      <c r="D106" s="1" t="s">
        <v>183</v>
      </c>
      <c r="E106" s="1">
        <v>29</v>
      </c>
      <c r="F106" s="5" t="s">
        <v>62</v>
      </c>
      <c r="G106" s="6">
        <v>2182</v>
      </c>
      <c r="H106" s="2">
        <v>2000</v>
      </c>
      <c r="I106" s="6">
        <v>7973228</v>
      </c>
      <c r="J106" s="7">
        <v>11826.44</v>
      </c>
      <c r="K106" s="6">
        <v>2182</v>
      </c>
      <c r="L106" s="7">
        <v>4036.7</v>
      </c>
      <c r="M106" s="7">
        <v>18045.14</v>
      </c>
      <c r="N106" s="7">
        <v>18045.14</v>
      </c>
      <c r="O106" s="7">
        <v>18045.14</v>
      </c>
      <c r="P106" s="8">
        <v>1</v>
      </c>
      <c r="Q106" s="7">
        <v>0</v>
      </c>
      <c r="R106" s="7">
        <v>0</v>
      </c>
      <c r="S106" s="1">
        <v>0.99087303000000004</v>
      </c>
      <c r="T106" s="7">
        <v>0</v>
      </c>
      <c r="U106" s="7">
        <v>18045.14</v>
      </c>
      <c r="V106" s="7">
        <v>24452.26</v>
      </c>
      <c r="W106" s="7">
        <v>42497.4</v>
      </c>
      <c r="X106" s="7">
        <v>10624.35</v>
      </c>
      <c r="Y106" s="7">
        <v>-29046.17</v>
      </c>
      <c r="Z106" s="7">
        <v>0</v>
      </c>
      <c r="AA106" s="7">
        <v>-21825.82</v>
      </c>
      <c r="AB106" s="7">
        <v>0</v>
      </c>
      <c r="AC106" s="7">
        <v>0</v>
      </c>
      <c r="AD106" s="7">
        <v>-22757.18</v>
      </c>
      <c r="AE106" s="7">
        <v>-24543.06</v>
      </c>
      <c r="AF106" s="7">
        <v>0</v>
      </c>
      <c r="AG106" s="7">
        <v>0</v>
      </c>
      <c r="AH106" s="7">
        <v>0</v>
      </c>
      <c r="AI106" s="7">
        <v>18045.14</v>
      </c>
      <c r="AJ106" s="7">
        <v>0</v>
      </c>
    </row>
    <row r="107" spans="1:36" x14ac:dyDescent="0.2">
      <c r="A107" s="1" t="s">
        <v>33</v>
      </c>
      <c r="B107" s="1">
        <v>309</v>
      </c>
      <c r="C107" s="1">
        <v>1</v>
      </c>
      <c r="D107" s="1" t="s">
        <v>184</v>
      </c>
      <c r="E107" s="1">
        <v>29</v>
      </c>
      <c r="F107" s="5" t="s">
        <v>62</v>
      </c>
      <c r="G107" s="6">
        <v>12931</v>
      </c>
      <c r="H107" s="2">
        <v>2006</v>
      </c>
      <c r="I107" s="6">
        <v>25624440</v>
      </c>
      <c r="J107" s="7">
        <v>70086.02</v>
      </c>
      <c r="K107" s="6">
        <v>12931</v>
      </c>
      <c r="L107" s="7">
        <v>19760.330000000002</v>
      </c>
      <c r="M107" s="7">
        <v>102777.35</v>
      </c>
      <c r="N107" s="7">
        <v>102777.35</v>
      </c>
      <c r="O107" s="7">
        <v>102777.35</v>
      </c>
      <c r="P107" s="8">
        <v>1</v>
      </c>
      <c r="Q107" s="7">
        <v>0</v>
      </c>
      <c r="R107" s="7">
        <v>0</v>
      </c>
      <c r="S107" s="1">
        <v>0.99087303000000004</v>
      </c>
      <c r="T107" s="7">
        <v>0</v>
      </c>
      <c r="U107" s="7">
        <v>102777.35</v>
      </c>
      <c r="V107" s="7">
        <v>132267.41</v>
      </c>
      <c r="W107" s="7">
        <v>235044.76</v>
      </c>
      <c r="X107" s="7">
        <v>58761.19</v>
      </c>
      <c r="Y107" s="7">
        <v>-32575.52</v>
      </c>
      <c r="Z107" s="7">
        <v>0</v>
      </c>
      <c r="AA107" s="7">
        <v>-81033.63</v>
      </c>
      <c r="AB107" s="7">
        <v>0</v>
      </c>
      <c r="AC107" s="7">
        <v>0</v>
      </c>
      <c r="AD107" s="7">
        <v>-104889.12</v>
      </c>
      <c r="AE107" s="7">
        <v>-72832.759999999995</v>
      </c>
      <c r="AF107" s="7">
        <v>0</v>
      </c>
      <c r="AG107" s="7">
        <v>0</v>
      </c>
      <c r="AH107" s="7">
        <v>0</v>
      </c>
      <c r="AI107" s="7">
        <v>102777.35</v>
      </c>
      <c r="AJ107" s="7">
        <v>0</v>
      </c>
    </row>
    <row r="108" spans="1:36" x14ac:dyDescent="0.2">
      <c r="A108" s="1" t="s">
        <v>33</v>
      </c>
      <c r="B108" s="1">
        <v>314</v>
      </c>
      <c r="C108" s="1">
        <v>1</v>
      </c>
      <c r="D108" s="1" t="s">
        <v>185</v>
      </c>
      <c r="E108" s="1">
        <v>30</v>
      </c>
      <c r="F108" s="5" t="s">
        <v>67</v>
      </c>
      <c r="G108" s="6">
        <v>5309</v>
      </c>
      <c r="H108" s="2">
        <v>2000</v>
      </c>
      <c r="I108" s="6">
        <v>6124344</v>
      </c>
      <c r="J108" s="7">
        <v>28774.78</v>
      </c>
      <c r="K108" s="6">
        <v>5309</v>
      </c>
      <c r="L108" s="7">
        <v>9821.65</v>
      </c>
      <c r="M108" s="7">
        <v>43905.43</v>
      </c>
      <c r="N108" s="7">
        <v>43905.43</v>
      </c>
      <c r="O108" s="7">
        <v>43905.43</v>
      </c>
      <c r="P108" s="8">
        <v>1</v>
      </c>
      <c r="Q108" s="7">
        <v>0</v>
      </c>
      <c r="R108" s="7">
        <v>0</v>
      </c>
      <c r="S108" s="1">
        <v>0.99087303000000004</v>
      </c>
      <c r="T108" s="7">
        <v>0</v>
      </c>
      <c r="U108" s="7">
        <v>43905.43</v>
      </c>
      <c r="V108" s="7">
        <v>23034.07</v>
      </c>
      <c r="W108" s="7">
        <v>66939.5</v>
      </c>
      <c r="X108" s="7">
        <v>16734.88</v>
      </c>
      <c r="Y108" s="7">
        <v>9919.7999999999993</v>
      </c>
      <c r="Z108" s="7">
        <v>0</v>
      </c>
      <c r="AA108" s="7">
        <v>2658.98</v>
      </c>
      <c r="AB108" s="7">
        <v>0</v>
      </c>
      <c r="AC108" s="7">
        <v>0</v>
      </c>
      <c r="AD108" s="7">
        <v>-1685.63</v>
      </c>
      <c r="AE108" s="7">
        <v>3631.05</v>
      </c>
      <c r="AF108" s="7">
        <v>0</v>
      </c>
      <c r="AG108" s="7">
        <v>0</v>
      </c>
      <c r="AH108" s="7">
        <v>0</v>
      </c>
      <c r="AI108" s="7">
        <v>43905.43</v>
      </c>
      <c r="AJ108" s="7">
        <v>0</v>
      </c>
    </row>
    <row r="109" spans="1:36" x14ac:dyDescent="0.2">
      <c r="A109" s="1" t="s">
        <v>33</v>
      </c>
      <c r="B109" s="1">
        <v>316</v>
      </c>
      <c r="C109" s="1">
        <v>1</v>
      </c>
      <c r="D109" s="1" t="s">
        <v>186</v>
      </c>
      <c r="E109" s="1">
        <v>31</v>
      </c>
      <c r="F109" s="5" t="s">
        <v>58</v>
      </c>
      <c r="G109" s="6">
        <v>8189</v>
      </c>
      <c r="H109" s="2">
        <v>2000</v>
      </c>
      <c r="I109" s="6">
        <v>7225498</v>
      </c>
      <c r="J109" s="7">
        <v>44384.38</v>
      </c>
      <c r="K109" s="6">
        <v>8189</v>
      </c>
      <c r="L109" s="7">
        <v>15149.65</v>
      </c>
      <c r="M109" s="7">
        <v>67723.03</v>
      </c>
      <c r="N109" s="7">
        <v>65029.48</v>
      </c>
      <c r="O109" s="7">
        <v>65029.48</v>
      </c>
      <c r="P109" s="8">
        <v>1</v>
      </c>
      <c r="Q109" s="7">
        <v>2693.55</v>
      </c>
      <c r="R109" s="7">
        <v>2693.55</v>
      </c>
      <c r="S109" s="1">
        <v>0.99087303000000004</v>
      </c>
      <c r="T109" s="7">
        <v>2668.97</v>
      </c>
      <c r="U109" s="7">
        <v>67723.03</v>
      </c>
      <c r="V109" s="7">
        <v>45169.72</v>
      </c>
      <c r="W109" s="7">
        <v>112892.75</v>
      </c>
      <c r="X109" s="7">
        <v>28223.19</v>
      </c>
      <c r="Y109" s="7">
        <v>0</v>
      </c>
      <c r="Z109" s="7">
        <v>0</v>
      </c>
      <c r="AA109" s="7">
        <v>35209.19</v>
      </c>
      <c r="AB109" s="7">
        <v>0</v>
      </c>
      <c r="AC109" s="7">
        <v>0</v>
      </c>
      <c r="AD109" s="7">
        <v>50379.4</v>
      </c>
      <c r="AE109" s="7">
        <v>28529.53</v>
      </c>
      <c r="AF109" s="7">
        <v>306.33999999999997</v>
      </c>
      <c r="AG109" s="7">
        <v>294.16000000000003</v>
      </c>
      <c r="AH109" s="7">
        <v>12.18</v>
      </c>
      <c r="AI109" s="7">
        <v>64735.32</v>
      </c>
      <c r="AJ109" s="7">
        <v>2681.37</v>
      </c>
    </row>
    <row r="110" spans="1:36" x14ac:dyDescent="0.2">
      <c r="A110" s="1" t="s">
        <v>33</v>
      </c>
      <c r="B110" s="1">
        <v>317</v>
      </c>
      <c r="C110" s="1">
        <v>1</v>
      </c>
      <c r="D110" s="1" t="s">
        <v>187</v>
      </c>
      <c r="E110" s="1">
        <v>31</v>
      </c>
      <c r="F110" s="5" t="s">
        <v>58</v>
      </c>
      <c r="G110" s="6">
        <v>5409</v>
      </c>
      <c r="H110" s="2">
        <v>2000</v>
      </c>
      <c r="I110" s="6">
        <v>9669139</v>
      </c>
      <c r="J110" s="7">
        <v>29316.78</v>
      </c>
      <c r="K110" s="6">
        <v>5409</v>
      </c>
      <c r="L110" s="7">
        <v>10006.65</v>
      </c>
      <c r="M110" s="7">
        <v>44732.43</v>
      </c>
      <c r="N110" s="7">
        <v>44732.43</v>
      </c>
      <c r="O110" s="7">
        <v>44732.43</v>
      </c>
      <c r="P110" s="8">
        <v>1</v>
      </c>
      <c r="Q110" s="7">
        <v>0</v>
      </c>
      <c r="R110" s="7">
        <v>0</v>
      </c>
      <c r="S110" s="1">
        <v>0.99087303000000004</v>
      </c>
      <c r="T110" s="7">
        <v>0</v>
      </c>
      <c r="U110" s="7">
        <v>44732.43</v>
      </c>
      <c r="V110" s="7">
        <v>11681.44</v>
      </c>
      <c r="W110" s="7">
        <v>56413.87</v>
      </c>
      <c r="X110" s="7">
        <v>14103.47</v>
      </c>
      <c r="Y110" s="7">
        <v>240.3</v>
      </c>
      <c r="Z110" s="7">
        <v>0</v>
      </c>
      <c r="AA110" s="7">
        <v>21539.84</v>
      </c>
      <c r="AB110" s="7">
        <v>0</v>
      </c>
      <c r="AC110" s="7">
        <v>0</v>
      </c>
      <c r="AD110" s="7">
        <v>31980.66</v>
      </c>
      <c r="AE110" s="7">
        <v>17920.27</v>
      </c>
      <c r="AF110" s="7">
        <v>3816.8</v>
      </c>
      <c r="AG110" s="7">
        <v>3816.8</v>
      </c>
      <c r="AH110" s="7">
        <v>0</v>
      </c>
      <c r="AI110" s="7">
        <v>40915.629999999997</v>
      </c>
      <c r="AJ110" s="7">
        <v>0</v>
      </c>
    </row>
    <row r="111" spans="1:36" x14ac:dyDescent="0.2">
      <c r="A111" s="1" t="s">
        <v>33</v>
      </c>
      <c r="B111" s="1">
        <v>318</v>
      </c>
      <c r="C111" s="1">
        <v>1</v>
      </c>
      <c r="D111" s="1" t="s">
        <v>188</v>
      </c>
      <c r="E111" s="1">
        <v>31</v>
      </c>
      <c r="F111" s="5" t="s">
        <v>58</v>
      </c>
      <c r="G111" s="6">
        <v>26644</v>
      </c>
      <c r="H111" s="2">
        <v>2000</v>
      </c>
      <c r="I111" s="6">
        <v>47907752</v>
      </c>
      <c r="J111" s="7">
        <v>144410.48000000001</v>
      </c>
      <c r="K111" s="6">
        <v>26644</v>
      </c>
      <c r="L111" s="7">
        <v>25656.92</v>
      </c>
      <c r="M111" s="7">
        <v>196711.4</v>
      </c>
      <c r="N111" s="7">
        <v>196711.4</v>
      </c>
      <c r="O111" s="7">
        <v>196711.4</v>
      </c>
      <c r="P111" s="8">
        <v>1</v>
      </c>
      <c r="Q111" s="7">
        <v>0</v>
      </c>
      <c r="R111" s="7">
        <v>0</v>
      </c>
      <c r="S111" s="1">
        <v>0.99087303000000004</v>
      </c>
      <c r="T111" s="7">
        <v>0</v>
      </c>
      <c r="U111" s="7">
        <v>196711.4</v>
      </c>
      <c r="V111" s="7">
        <v>323233.28999999998</v>
      </c>
      <c r="W111" s="7">
        <v>519944.69</v>
      </c>
      <c r="X111" s="7">
        <v>129986.17</v>
      </c>
      <c r="Y111" s="7">
        <v>112558.92</v>
      </c>
      <c r="Z111" s="7">
        <v>0</v>
      </c>
      <c r="AA111" s="7">
        <v>102749.3</v>
      </c>
      <c r="AB111" s="7">
        <v>0</v>
      </c>
      <c r="AC111" s="7">
        <v>0</v>
      </c>
      <c r="AD111" s="7">
        <v>78268.58</v>
      </c>
      <c r="AE111" s="7">
        <v>97858.93</v>
      </c>
      <c r="AF111" s="7">
        <v>0</v>
      </c>
      <c r="AG111" s="7">
        <v>0</v>
      </c>
      <c r="AH111" s="7">
        <v>0</v>
      </c>
      <c r="AI111" s="7">
        <v>196711.4</v>
      </c>
      <c r="AJ111" s="7">
        <v>0</v>
      </c>
    </row>
    <row r="112" spans="1:36" x14ac:dyDescent="0.2">
      <c r="A112" s="1" t="s">
        <v>33</v>
      </c>
      <c r="B112" s="1">
        <v>319</v>
      </c>
      <c r="C112" s="1">
        <v>1</v>
      </c>
      <c r="D112" s="1" t="s">
        <v>189</v>
      </c>
      <c r="E112" s="1">
        <v>31</v>
      </c>
      <c r="F112" s="5" t="s">
        <v>58</v>
      </c>
      <c r="G112" s="6">
        <v>3981</v>
      </c>
      <c r="H112" s="2">
        <v>2000</v>
      </c>
      <c r="I112" s="6">
        <v>4422621</v>
      </c>
      <c r="J112" s="7">
        <v>21577.02</v>
      </c>
      <c r="K112" s="6">
        <v>3981</v>
      </c>
      <c r="L112" s="7">
        <v>7364.85</v>
      </c>
      <c r="M112" s="7">
        <v>32922.870000000003</v>
      </c>
      <c r="N112" s="7">
        <v>32922.870000000003</v>
      </c>
      <c r="O112" s="7">
        <v>32922.870000000003</v>
      </c>
      <c r="P112" s="8">
        <v>1</v>
      </c>
      <c r="Q112" s="7">
        <v>0</v>
      </c>
      <c r="R112" s="7">
        <v>0</v>
      </c>
      <c r="S112" s="1">
        <v>0.99087303000000004</v>
      </c>
      <c r="T112" s="7">
        <v>0</v>
      </c>
      <c r="U112" s="7">
        <v>32922.870000000003</v>
      </c>
      <c r="V112" s="7">
        <v>68929.509999999995</v>
      </c>
      <c r="W112" s="7">
        <v>101852.38</v>
      </c>
      <c r="X112" s="7">
        <v>25463.1</v>
      </c>
      <c r="Y112" s="7">
        <v>9219.5</v>
      </c>
      <c r="Z112" s="7">
        <v>0</v>
      </c>
      <c r="AA112" s="7">
        <v>13593.5</v>
      </c>
      <c r="AB112" s="7">
        <v>0</v>
      </c>
      <c r="AC112" s="7">
        <v>0</v>
      </c>
      <c r="AD112" s="7">
        <v>11101.43</v>
      </c>
      <c r="AE112" s="7">
        <v>11304.81</v>
      </c>
      <c r="AF112" s="7">
        <v>0</v>
      </c>
      <c r="AG112" s="7">
        <v>0</v>
      </c>
      <c r="AH112" s="7">
        <v>0</v>
      </c>
      <c r="AI112" s="7">
        <v>32922.870000000003</v>
      </c>
      <c r="AJ112" s="7">
        <v>0</v>
      </c>
    </row>
    <row r="113" spans="1:36" x14ac:dyDescent="0.2">
      <c r="A113" s="1" t="s">
        <v>33</v>
      </c>
      <c r="B113" s="1">
        <v>330</v>
      </c>
      <c r="C113" s="1">
        <v>1</v>
      </c>
      <c r="D113" s="1" t="s">
        <v>190</v>
      </c>
      <c r="E113" s="1">
        <v>32</v>
      </c>
      <c r="F113" s="5" t="s">
        <v>65</v>
      </c>
      <c r="G113" s="6">
        <v>1829</v>
      </c>
      <c r="H113" s="2">
        <v>2000</v>
      </c>
      <c r="I113" s="6">
        <v>2775005</v>
      </c>
      <c r="J113" s="7">
        <v>9913.18</v>
      </c>
      <c r="K113" s="6">
        <v>0</v>
      </c>
      <c r="L113" s="7">
        <v>3383.65</v>
      </c>
      <c r="M113" s="7">
        <v>13296.83</v>
      </c>
      <c r="N113" s="7">
        <v>13296.83</v>
      </c>
      <c r="O113" s="7">
        <v>13296.83</v>
      </c>
      <c r="P113" s="8">
        <v>1</v>
      </c>
      <c r="Q113" s="7">
        <v>0</v>
      </c>
      <c r="R113" s="7">
        <v>0</v>
      </c>
      <c r="S113" s="1">
        <v>0.99087303000000004</v>
      </c>
      <c r="T113" s="7">
        <v>0</v>
      </c>
      <c r="U113" s="7">
        <v>15125.83</v>
      </c>
      <c r="V113" s="7">
        <v>24199.4</v>
      </c>
      <c r="W113" s="7">
        <v>39325.230000000003</v>
      </c>
      <c r="X113" s="7">
        <v>9831.31</v>
      </c>
      <c r="Y113" s="7">
        <v>0</v>
      </c>
      <c r="Z113" s="7">
        <v>0</v>
      </c>
      <c r="AA113" s="7">
        <v>4941.18</v>
      </c>
      <c r="AB113" s="7">
        <v>0</v>
      </c>
      <c r="AC113" s="7">
        <v>0</v>
      </c>
      <c r="AD113" s="7">
        <v>-27235.78</v>
      </c>
      <c r="AE113" s="7">
        <v>-7431.53</v>
      </c>
      <c r="AF113" s="7">
        <v>0</v>
      </c>
      <c r="AG113" s="7">
        <v>0</v>
      </c>
      <c r="AH113" s="7">
        <v>0</v>
      </c>
      <c r="AI113" s="7">
        <v>13296.83</v>
      </c>
      <c r="AJ113" s="7">
        <v>0</v>
      </c>
    </row>
    <row r="114" spans="1:36" x14ac:dyDescent="0.2">
      <c r="A114" s="1" t="s">
        <v>33</v>
      </c>
      <c r="B114" s="1">
        <v>332</v>
      </c>
      <c r="C114" s="1">
        <v>1</v>
      </c>
      <c r="D114" s="1" t="s">
        <v>191</v>
      </c>
      <c r="E114" s="1">
        <v>33</v>
      </c>
      <c r="F114" s="5" t="s">
        <v>67</v>
      </c>
      <c r="G114" s="6">
        <v>11051</v>
      </c>
      <c r="H114" s="2">
        <v>2008</v>
      </c>
      <c r="I114" s="6">
        <v>10873908</v>
      </c>
      <c r="J114" s="7">
        <v>59896.42</v>
      </c>
      <c r="K114" s="6">
        <v>11051</v>
      </c>
      <c r="L114" s="7">
        <v>18951.93</v>
      </c>
      <c r="M114" s="7">
        <v>89899.35</v>
      </c>
      <c r="N114" s="7">
        <v>89899.35</v>
      </c>
      <c r="O114" s="7">
        <v>89899.35</v>
      </c>
      <c r="P114" s="8">
        <v>1</v>
      </c>
      <c r="Q114" s="7">
        <v>0</v>
      </c>
      <c r="R114" s="7">
        <v>0</v>
      </c>
      <c r="S114" s="1">
        <v>0.99087303000000004</v>
      </c>
      <c r="T114" s="7">
        <v>0</v>
      </c>
      <c r="U114" s="7">
        <v>83295.95</v>
      </c>
      <c r="V114" s="7">
        <v>153649.21</v>
      </c>
      <c r="W114" s="7">
        <v>236945.16</v>
      </c>
      <c r="X114" s="7">
        <v>59236.29</v>
      </c>
      <c r="Y114" s="7">
        <v>9212.5</v>
      </c>
      <c r="Z114" s="7">
        <v>0</v>
      </c>
      <c r="AA114" s="7">
        <v>5245.82</v>
      </c>
      <c r="AB114" s="7">
        <v>0</v>
      </c>
      <c r="AC114" s="7">
        <v>0</v>
      </c>
      <c r="AD114" s="7">
        <v>24050.48</v>
      </c>
      <c r="AE114" s="7">
        <v>12836.27</v>
      </c>
      <c r="AF114" s="7">
        <v>0</v>
      </c>
      <c r="AG114" s="7">
        <v>0</v>
      </c>
      <c r="AH114" s="7">
        <v>0</v>
      </c>
      <c r="AI114" s="7">
        <v>89899.35</v>
      </c>
      <c r="AJ114" s="7">
        <v>0</v>
      </c>
    </row>
    <row r="115" spans="1:36" x14ac:dyDescent="0.2">
      <c r="A115" s="1" t="s">
        <v>33</v>
      </c>
      <c r="B115" s="1">
        <v>333</v>
      </c>
      <c r="C115" s="1">
        <v>1</v>
      </c>
      <c r="D115" s="1" t="s">
        <v>192</v>
      </c>
      <c r="E115" s="1">
        <v>33</v>
      </c>
      <c r="F115" s="5" t="s">
        <v>67</v>
      </c>
      <c r="G115" s="6">
        <v>3339</v>
      </c>
      <c r="H115" s="2">
        <v>2000</v>
      </c>
      <c r="I115" s="6">
        <v>3646088</v>
      </c>
      <c r="J115" s="7">
        <v>18097.38</v>
      </c>
      <c r="K115" s="6">
        <v>3339</v>
      </c>
      <c r="L115" s="7">
        <v>0</v>
      </c>
      <c r="M115" s="7">
        <v>21436.38</v>
      </c>
      <c r="N115" s="7">
        <v>21436.38</v>
      </c>
      <c r="O115" s="7">
        <v>21436.38</v>
      </c>
      <c r="P115" s="8">
        <v>1</v>
      </c>
      <c r="Q115" s="7">
        <v>0</v>
      </c>
      <c r="R115" s="7">
        <v>0</v>
      </c>
      <c r="S115" s="1">
        <v>0.99087303000000004</v>
      </c>
      <c r="T115" s="7">
        <v>0</v>
      </c>
      <c r="U115" s="7">
        <v>21436.38</v>
      </c>
      <c r="V115" s="7">
        <v>22822.41</v>
      </c>
      <c r="W115" s="7">
        <v>44258.79</v>
      </c>
      <c r="X115" s="7">
        <v>11064.7</v>
      </c>
      <c r="Y115" s="7">
        <v>-33347.31</v>
      </c>
      <c r="Z115" s="7">
        <v>0</v>
      </c>
      <c r="AA115" s="7">
        <v>-30317.02</v>
      </c>
      <c r="AB115" s="7">
        <v>0</v>
      </c>
      <c r="AC115" s="7">
        <v>0</v>
      </c>
      <c r="AD115" s="7">
        <v>-34972.019999999997</v>
      </c>
      <c r="AE115" s="7">
        <v>-32878.78</v>
      </c>
      <c r="AF115" s="7">
        <v>0</v>
      </c>
      <c r="AG115" s="7">
        <v>0</v>
      </c>
      <c r="AH115" s="7">
        <v>0</v>
      </c>
      <c r="AI115" s="7">
        <v>21436.38</v>
      </c>
      <c r="AJ115" s="7">
        <v>0</v>
      </c>
    </row>
    <row r="116" spans="1:36" x14ac:dyDescent="0.2">
      <c r="A116" s="1" t="s">
        <v>33</v>
      </c>
      <c r="B116" s="1">
        <v>345</v>
      </c>
      <c r="C116" s="1">
        <v>1</v>
      </c>
      <c r="D116" s="1" t="s">
        <v>193</v>
      </c>
      <c r="E116" s="1">
        <v>34</v>
      </c>
      <c r="F116" s="5" t="s">
        <v>68</v>
      </c>
      <c r="G116" s="6">
        <v>10009</v>
      </c>
      <c r="H116" s="2">
        <v>2007</v>
      </c>
      <c r="I116" s="6">
        <v>13937002</v>
      </c>
      <c r="J116" s="7">
        <v>54248.78</v>
      </c>
      <c r="K116" s="6">
        <v>10009</v>
      </c>
      <c r="L116" s="7">
        <v>18503.87</v>
      </c>
      <c r="M116" s="7">
        <v>82761.649999999994</v>
      </c>
      <c r="N116" s="7">
        <v>82761.649999999994</v>
      </c>
      <c r="O116" s="7">
        <v>82761.649999999994</v>
      </c>
      <c r="P116" s="8">
        <v>1</v>
      </c>
      <c r="Q116" s="7">
        <v>0</v>
      </c>
      <c r="R116" s="7">
        <v>0</v>
      </c>
      <c r="S116" s="1">
        <v>0.99087303000000004</v>
      </c>
      <c r="T116" s="7">
        <v>0</v>
      </c>
      <c r="U116" s="7">
        <v>82761.649999999994</v>
      </c>
      <c r="V116" s="7">
        <v>442333.96</v>
      </c>
      <c r="W116" s="7">
        <v>525095.61</v>
      </c>
      <c r="X116" s="7">
        <v>131273.9</v>
      </c>
      <c r="Y116" s="7">
        <v>30570.3</v>
      </c>
      <c r="Z116" s="7">
        <v>0</v>
      </c>
      <c r="AA116" s="7">
        <v>17788.39</v>
      </c>
      <c r="AB116" s="7">
        <v>0</v>
      </c>
      <c r="AC116" s="7">
        <v>0</v>
      </c>
      <c r="AD116" s="7">
        <v>4503.0200000000004</v>
      </c>
      <c r="AE116" s="7">
        <v>17620.57</v>
      </c>
      <c r="AF116" s="7">
        <v>0</v>
      </c>
      <c r="AG116" s="7">
        <v>0</v>
      </c>
      <c r="AH116" s="7">
        <v>0</v>
      </c>
      <c r="AI116" s="7">
        <v>82761.649999999994</v>
      </c>
      <c r="AJ116" s="7">
        <v>0</v>
      </c>
    </row>
    <row r="117" spans="1:36" x14ac:dyDescent="0.2">
      <c r="A117" s="1" t="s">
        <v>33</v>
      </c>
      <c r="B117" s="1">
        <v>347</v>
      </c>
      <c r="C117" s="1">
        <v>1</v>
      </c>
      <c r="D117" s="1" t="s">
        <v>194</v>
      </c>
      <c r="E117" s="1">
        <v>34</v>
      </c>
      <c r="F117" s="5" t="s">
        <v>68</v>
      </c>
      <c r="G117" s="6">
        <v>26856</v>
      </c>
      <c r="H117" s="2">
        <v>2008</v>
      </c>
      <c r="I117" s="6">
        <v>21555426</v>
      </c>
      <c r="J117" s="7">
        <v>145559.51999999999</v>
      </c>
      <c r="K117" s="6">
        <v>26856</v>
      </c>
      <c r="L117" s="7">
        <v>25748.080000000002</v>
      </c>
      <c r="M117" s="7">
        <v>198163.6</v>
      </c>
      <c r="N117" s="7">
        <v>193998.83</v>
      </c>
      <c r="O117" s="7">
        <v>193998.83</v>
      </c>
      <c r="P117" s="8">
        <v>1</v>
      </c>
      <c r="Q117" s="7">
        <v>4164.7700000000004</v>
      </c>
      <c r="R117" s="7">
        <v>4164.7700000000004</v>
      </c>
      <c r="S117" s="1">
        <v>0.99087303000000004</v>
      </c>
      <c r="T117" s="7">
        <v>4126.76</v>
      </c>
      <c r="U117" s="7">
        <v>194553.65</v>
      </c>
      <c r="V117" s="7">
        <v>773548.2</v>
      </c>
      <c r="W117" s="7">
        <v>968101.85</v>
      </c>
      <c r="X117" s="7">
        <v>242025.46</v>
      </c>
      <c r="Y117" s="7">
        <v>336455.72</v>
      </c>
      <c r="Z117" s="7">
        <v>0</v>
      </c>
      <c r="AA117" s="7">
        <v>263207.94</v>
      </c>
      <c r="AB117" s="7">
        <v>0</v>
      </c>
      <c r="AC117" s="7">
        <v>0</v>
      </c>
      <c r="AD117" s="7">
        <v>159779.93</v>
      </c>
      <c r="AE117" s="7">
        <v>253147.86</v>
      </c>
      <c r="AF117" s="7">
        <v>11122.4</v>
      </c>
      <c r="AG117" s="7">
        <v>10888.64</v>
      </c>
      <c r="AH117" s="7">
        <v>233.76</v>
      </c>
      <c r="AI117" s="7">
        <v>183110.19</v>
      </c>
      <c r="AJ117" s="7">
        <v>3931.01</v>
      </c>
    </row>
    <row r="118" spans="1:36" x14ac:dyDescent="0.2">
      <c r="A118" s="1" t="s">
        <v>33</v>
      </c>
      <c r="B118" s="1">
        <v>356</v>
      </c>
      <c r="C118" s="1">
        <v>1</v>
      </c>
      <c r="D118" s="1" t="s">
        <v>195</v>
      </c>
      <c r="E118" s="1">
        <v>35</v>
      </c>
      <c r="F118" s="5" t="s">
        <v>59</v>
      </c>
      <c r="G118" s="6">
        <v>935</v>
      </c>
      <c r="H118" s="2">
        <v>2000</v>
      </c>
      <c r="I118" s="6">
        <v>868169</v>
      </c>
      <c r="J118" s="7">
        <v>7235.7</v>
      </c>
      <c r="K118" s="6">
        <v>0</v>
      </c>
      <c r="L118" s="7">
        <v>0</v>
      </c>
      <c r="M118" s="7">
        <v>7235.7</v>
      </c>
      <c r="N118" s="7">
        <v>7235.7</v>
      </c>
      <c r="O118" s="7">
        <v>7235.7</v>
      </c>
      <c r="P118" s="8">
        <v>1</v>
      </c>
      <c r="Q118" s="7">
        <v>0</v>
      </c>
      <c r="R118" s="7">
        <v>0</v>
      </c>
      <c r="S118" s="1">
        <v>0.99087303000000004</v>
      </c>
      <c r="T118" s="7">
        <v>0</v>
      </c>
      <c r="U118" s="7">
        <v>7235.7</v>
      </c>
      <c r="V118" s="7">
        <v>9191.99</v>
      </c>
      <c r="W118" s="7">
        <v>16427.689999999999</v>
      </c>
      <c r="X118" s="7">
        <v>4106.92</v>
      </c>
      <c r="Y118" s="7">
        <v>0</v>
      </c>
      <c r="Z118" s="7">
        <v>0</v>
      </c>
      <c r="AA118" s="7">
        <v>-1.8</v>
      </c>
      <c r="AB118" s="7">
        <v>0</v>
      </c>
      <c r="AC118" s="7">
        <v>0</v>
      </c>
      <c r="AD118" s="7">
        <v>105.42</v>
      </c>
      <c r="AE118" s="7">
        <v>34.54</v>
      </c>
      <c r="AF118" s="7">
        <v>0</v>
      </c>
      <c r="AG118" s="7">
        <v>0</v>
      </c>
      <c r="AH118" s="7">
        <v>0</v>
      </c>
      <c r="AI118" s="7">
        <v>7235.7</v>
      </c>
      <c r="AJ118" s="7">
        <v>0</v>
      </c>
    </row>
    <row r="119" spans="1:36" x14ac:dyDescent="0.2">
      <c r="A119" s="1" t="s">
        <v>33</v>
      </c>
      <c r="B119" s="1">
        <v>361</v>
      </c>
      <c r="C119" s="1">
        <v>1</v>
      </c>
      <c r="D119" s="1" t="s">
        <v>196</v>
      </c>
      <c r="E119" s="1">
        <v>36</v>
      </c>
      <c r="F119" s="5" t="s">
        <v>58</v>
      </c>
      <c r="G119" s="6">
        <v>10833</v>
      </c>
      <c r="H119" s="2">
        <v>2000</v>
      </c>
      <c r="I119" s="6">
        <v>9395018</v>
      </c>
      <c r="J119" s="7">
        <v>58714.86</v>
      </c>
      <c r="K119" s="6">
        <v>10833</v>
      </c>
      <c r="L119" s="7">
        <v>18858.189999999999</v>
      </c>
      <c r="M119" s="7">
        <v>88406.05</v>
      </c>
      <c r="N119" s="7">
        <v>84555.16</v>
      </c>
      <c r="O119" s="7">
        <v>84555.16</v>
      </c>
      <c r="P119" s="8">
        <v>1</v>
      </c>
      <c r="Q119" s="7">
        <v>3850.89</v>
      </c>
      <c r="R119" s="7">
        <v>3850.89</v>
      </c>
      <c r="S119" s="1">
        <v>0.99087303000000004</v>
      </c>
      <c r="T119" s="7">
        <v>3815.74</v>
      </c>
      <c r="U119" s="7">
        <v>88406.05</v>
      </c>
      <c r="V119" s="7">
        <v>110867.24</v>
      </c>
      <c r="W119" s="7">
        <v>199273.29</v>
      </c>
      <c r="X119" s="7">
        <v>49818.32</v>
      </c>
      <c r="Y119" s="7">
        <v>6688.78</v>
      </c>
      <c r="Z119" s="7">
        <v>0</v>
      </c>
      <c r="AA119" s="7">
        <v>4099.55</v>
      </c>
      <c r="AB119" s="7">
        <v>0</v>
      </c>
      <c r="AC119" s="7">
        <v>0</v>
      </c>
      <c r="AD119" s="7">
        <v>-73.650000000000006</v>
      </c>
      <c r="AE119" s="7">
        <v>3571.56</v>
      </c>
      <c r="AF119" s="7">
        <v>0</v>
      </c>
      <c r="AG119" s="7">
        <v>0</v>
      </c>
      <c r="AH119" s="7">
        <v>0</v>
      </c>
      <c r="AI119" s="7">
        <v>84555.16</v>
      </c>
      <c r="AJ119" s="7">
        <v>3850.89</v>
      </c>
    </row>
    <row r="120" spans="1:36" x14ac:dyDescent="0.2">
      <c r="A120" s="1" t="s">
        <v>33</v>
      </c>
      <c r="B120" s="1">
        <v>362</v>
      </c>
      <c r="C120" s="1">
        <v>1</v>
      </c>
      <c r="D120" s="1" t="s">
        <v>197</v>
      </c>
      <c r="E120" s="1">
        <v>36</v>
      </c>
      <c r="F120" s="5" t="s">
        <v>58</v>
      </c>
      <c r="G120" s="6">
        <v>1829</v>
      </c>
      <c r="H120" s="2">
        <v>2000</v>
      </c>
      <c r="I120" s="6">
        <v>1650441</v>
      </c>
      <c r="J120" s="7">
        <v>9913.18</v>
      </c>
      <c r="K120" s="6">
        <v>1829</v>
      </c>
      <c r="L120" s="7">
        <v>3383.65</v>
      </c>
      <c r="M120" s="7">
        <v>15125.83</v>
      </c>
      <c r="N120" s="7">
        <v>14853.97</v>
      </c>
      <c r="O120" s="7">
        <v>14853.97</v>
      </c>
      <c r="P120" s="8">
        <v>1</v>
      </c>
      <c r="Q120" s="7">
        <v>271.86</v>
      </c>
      <c r="R120" s="7">
        <v>271.86</v>
      </c>
      <c r="S120" s="1">
        <v>0.99087303000000004</v>
      </c>
      <c r="T120" s="7">
        <v>269.38</v>
      </c>
      <c r="U120" s="7">
        <v>15125.83</v>
      </c>
      <c r="V120" s="7">
        <v>0</v>
      </c>
      <c r="W120" s="7">
        <v>15125.83</v>
      </c>
      <c r="X120" s="7">
        <v>3781.46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14853.97</v>
      </c>
      <c r="AJ120" s="7">
        <v>271.86</v>
      </c>
    </row>
    <row r="121" spans="1:36" x14ac:dyDescent="0.2">
      <c r="A121" s="1" t="s">
        <v>33</v>
      </c>
      <c r="B121" s="1">
        <v>363</v>
      </c>
      <c r="C121" s="1">
        <v>1</v>
      </c>
      <c r="D121" s="1" t="s">
        <v>198</v>
      </c>
      <c r="E121" s="1">
        <v>36</v>
      </c>
      <c r="F121" s="5" t="s">
        <v>58</v>
      </c>
      <c r="G121" s="6">
        <v>1546</v>
      </c>
      <c r="H121" s="2">
        <v>2000</v>
      </c>
      <c r="I121" s="6">
        <v>1785797</v>
      </c>
      <c r="J121" s="7">
        <v>8379.32</v>
      </c>
      <c r="K121" s="6">
        <v>0</v>
      </c>
      <c r="L121" s="7">
        <v>2860.1</v>
      </c>
      <c r="M121" s="7">
        <v>11239.42</v>
      </c>
      <c r="N121" s="7">
        <v>11239.42</v>
      </c>
      <c r="O121" s="7">
        <v>11239.42</v>
      </c>
      <c r="P121" s="8">
        <v>1</v>
      </c>
      <c r="Q121" s="7">
        <v>0</v>
      </c>
      <c r="R121" s="7">
        <v>0</v>
      </c>
      <c r="S121" s="1">
        <v>0.99087303000000004</v>
      </c>
      <c r="T121" s="7">
        <v>0</v>
      </c>
      <c r="U121" s="7">
        <v>11239.42</v>
      </c>
      <c r="V121" s="7">
        <v>8826.99</v>
      </c>
      <c r="W121" s="7">
        <v>20066.41</v>
      </c>
      <c r="X121" s="7">
        <v>5016.6000000000004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11239.42</v>
      </c>
      <c r="AJ121" s="7">
        <v>0</v>
      </c>
    </row>
    <row r="122" spans="1:36" x14ac:dyDescent="0.2">
      <c r="A122" s="1" t="s">
        <v>33</v>
      </c>
      <c r="B122" s="1">
        <v>378</v>
      </c>
      <c r="C122" s="1">
        <v>1</v>
      </c>
      <c r="D122" s="1" t="s">
        <v>199</v>
      </c>
      <c r="E122" s="1">
        <v>37</v>
      </c>
      <c r="F122" s="5" t="s">
        <v>64</v>
      </c>
      <c r="G122" s="6">
        <v>3185</v>
      </c>
      <c r="H122" s="2">
        <v>2000</v>
      </c>
      <c r="I122" s="6">
        <v>3784187</v>
      </c>
      <c r="J122" s="7">
        <v>17262.7</v>
      </c>
      <c r="K122" s="6">
        <v>3185</v>
      </c>
      <c r="L122" s="7">
        <v>5892.25</v>
      </c>
      <c r="M122" s="7">
        <v>26339.95</v>
      </c>
      <c r="N122" s="7">
        <v>26339.95</v>
      </c>
      <c r="O122" s="7">
        <v>26339.95</v>
      </c>
      <c r="P122" s="8">
        <v>1</v>
      </c>
      <c r="Q122" s="7">
        <v>0</v>
      </c>
      <c r="R122" s="7">
        <v>0</v>
      </c>
      <c r="S122" s="1">
        <v>0.99087303000000004</v>
      </c>
      <c r="T122" s="7">
        <v>0</v>
      </c>
      <c r="U122" s="7">
        <v>26339.95</v>
      </c>
      <c r="V122" s="7">
        <v>102720.9</v>
      </c>
      <c r="W122" s="7">
        <v>129060.85</v>
      </c>
      <c r="X122" s="7">
        <v>32265.21</v>
      </c>
      <c r="Y122" s="7">
        <v>63513.55</v>
      </c>
      <c r="Z122" s="7">
        <v>7471.98</v>
      </c>
      <c r="AA122" s="7">
        <v>11470.41</v>
      </c>
      <c r="AB122" s="7">
        <v>80.58</v>
      </c>
      <c r="AC122" s="7">
        <v>0</v>
      </c>
      <c r="AD122" s="7">
        <v>-29165.48</v>
      </c>
      <c r="AE122" s="7">
        <v>12755.31</v>
      </c>
      <c r="AF122" s="7">
        <v>0</v>
      </c>
      <c r="AG122" s="7">
        <v>0</v>
      </c>
      <c r="AH122" s="7">
        <v>0</v>
      </c>
      <c r="AI122" s="7">
        <v>26339.95</v>
      </c>
      <c r="AJ122" s="7">
        <v>0</v>
      </c>
    </row>
    <row r="123" spans="1:36" x14ac:dyDescent="0.2">
      <c r="A123" s="1" t="s">
        <v>33</v>
      </c>
      <c r="B123" s="1">
        <v>381</v>
      </c>
      <c r="C123" s="1">
        <v>1</v>
      </c>
      <c r="D123" s="1" t="s">
        <v>200</v>
      </c>
      <c r="E123" s="1">
        <v>38</v>
      </c>
      <c r="F123" s="5" t="s">
        <v>58</v>
      </c>
      <c r="G123" s="6">
        <v>13455</v>
      </c>
      <c r="H123" s="2">
        <v>2008</v>
      </c>
      <c r="I123" s="6">
        <v>25098174</v>
      </c>
      <c r="J123" s="7">
        <v>72926.100000000006</v>
      </c>
      <c r="K123" s="6">
        <v>13455</v>
      </c>
      <c r="L123" s="7">
        <v>19985.650000000001</v>
      </c>
      <c r="M123" s="7">
        <v>106366.75</v>
      </c>
      <c r="N123" s="7">
        <v>106366.75</v>
      </c>
      <c r="O123" s="7">
        <v>106366.75</v>
      </c>
      <c r="P123" s="8">
        <v>1</v>
      </c>
      <c r="Q123" s="7">
        <v>0</v>
      </c>
      <c r="R123" s="7">
        <v>0</v>
      </c>
      <c r="S123" s="1">
        <v>0.99087303000000004</v>
      </c>
      <c r="T123" s="7">
        <v>0</v>
      </c>
      <c r="U123" s="7">
        <v>106120.15</v>
      </c>
      <c r="V123" s="7">
        <v>380171.04</v>
      </c>
      <c r="W123" s="7">
        <v>486291.19</v>
      </c>
      <c r="X123" s="7">
        <v>121572.8</v>
      </c>
      <c r="Y123" s="7">
        <v>77464.7</v>
      </c>
      <c r="Z123" s="7">
        <v>0</v>
      </c>
      <c r="AA123" s="7">
        <v>89253.43</v>
      </c>
      <c r="AB123" s="7">
        <v>0</v>
      </c>
      <c r="AC123" s="7">
        <v>0</v>
      </c>
      <c r="AD123" s="7">
        <v>97962.32</v>
      </c>
      <c r="AE123" s="7">
        <v>88226.82</v>
      </c>
      <c r="AF123" s="7">
        <v>0</v>
      </c>
      <c r="AG123" s="7">
        <v>0</v>
      </c>
      <c r="AH123" s="7">
        <v>0</v>
      </c>
      <c r="AI123" s="7">
        <v>106366.75</v>
      </c>
      <c r="AJ123" s="7">
        <v>0</v>
      </c>
    </row>
    <row r="124" spans="1:36" x14ac:dyDescent="0.2">
      <c r="A124" s="1" t="s">
        <v>33</v>
      </c>
      <c r="B124" s="1">
        <v>390</v>
      </c>
      <c r="C124" s="1">
        <v>1</v>
      </c>
      <c r="D124" s="1" t="s">
        <v>201</v>
      </c>
      <c r="E124" s="1">
        <v>39</v>
      </c>
      <c r="F124" s="5" t="s">
        <v>62</v>
      </c>
      <c r="G124" s="6">
        <v>4104</v>
      </c>
      <c r="H124" s="2">
        <v>2000</v>
      </c>
      <c r="I124" s="6">
        <v>4819686</v>
      </c>
      <c r="J124" s="7">
        <v>22243.68</v>
      </c>
      <c r="K124" s="6">
        <v>0</v>
      </c>
      <c r="L124" s="7">
        <v>7592.4</v>
      </c>
      <c r="M124" s="7">
        <v>29836.080000000002</v>
      </c>
      <c r="N124" s="7">
        <v>29836.080000000002</v>
      </c>
      <c r="O124" s="7">
        <v>29836.080000000002</v>
      </c>
      <c r="P124" s="8">
        <v>1</v>
      </c>
      <c r="Q124" s="7">
        <v>0</v>
      </c>
      <c r="R124" s="7">
        <v>0</v>
      </c>
      <c r="S124" s="1">
        <v>0.99087303000000004</v>
      </c>
      <c r="T124" s="7">
        <v>0</v>
      </c>
      <c r="U124" s="7">
        <v>29836.080000000002</v>
      </c>
      <c r="V124" s="7">
        <v>201269.84</v>
      </c>
      <c r="W124" s="7">
        <v>231105.92000000001</v>
      </c>
      <c r="X124" s="7">
        <v>57776.480000000003</v>
      </c>
      <c r="Y124" s="7">
        <v>5421.87</v>
      </c>
      <c r="Z124" s="7">
        <v>0</v>
      </c>
      <c r="AA124" s="7">
        <v>-2649.6</v>
      </c>
      <c r="AB124" s="7">
        <v>0</v>
      </c>
      <c r="AC124" s="7">
        <v>0</v>
      </c>
      <c r="AD124" s="7">
        <v>0</v>
      </c>
      <c r="AE124" s="7">
        <v>924.09</v>
      </c>
      <c r="AF124" s="7">
        <v>0</v>
      </c>
      <c r="AG124" s="7">
        <v>0</v>
      </c>
      <c r="AH124" s="7">
        <v>0</v>
      </c>
      <c r="AI124" s="7">
        <v>29836.080000000002</v>
      </c>
      <c r="AJ124" s="7">
        <v>0</v>
      </c>
    </row>
    <row r="125" spans="1:36" x14ac:dyDescent="0.2">
      <c r="A125" s="1" t="s">
        <v>33</v>
      </c>
      <c r="B125" s="1">
        <v>391</v>
      </c>
      <c r="C125" s="1">
        <v>1</v>
      </c>
      <c r="D125" s="1" t="s">
        <v>202</v>
      </c>
      <c r="E125" s="1">
        <v>40</v>
      </c>
      <c r="F125" s="5" t="s">
        <v>57</v>
      </c>
      <c r="G125" s="6">
        <v>2377</v>
      </c>
      <c r="H125" s="2">
        <v>2000</v>
      </c>
      <c r="I125" s="6">
        <v>4817848</v>
      </c>
      <c r="J125" s="7">
        <v>12883.34</v>
      </c>
      <c r="K125" s="6">
        <v>2377</v>
      </c>
      <c r="L125" s="7">
        <v>4397.45</v>
      </c>
      <c r="M125" s="7">
        <v>19657.79</v>
      </c>
      <c r="N125" s="7">
        <v>19657.79</v>
      </c>
      <c r="O125" s="7">
        <v>19657.79</v>
      </c>
      <c r="P125" s="8">
        <v>1</v>
      </c>
      <c r="Q125" s="7">
        <v>0</v>
      </c>
      <c r="R125" s="7">
        <v>0</v>
      </c>
      <c r="S125" s="1">
        <v>0.99087303000000004</v>
      </c>
      <c r="T125" s="7">
        <v>0</v>
      </c>
      <c r="U125" s="7">
        <v>19657.79</v>
      </c>
      <c r="V125" s="7">
        <v>37372.06</v>
      </c>
      <c r="W125" s="7">
        <v>57029.85</v>
      </c>
      <c r="X125" s="7">
        <v>14257.46</v>
      </c>
      <c r="Y125" s="7">
        <v>-7469.44</v>
      </c>
      <c r="Z125" s="7">
        <v>0</v>
      </c>
      <c r="AA125" s="7">
        <v>-2682.48</v>
      </c>
      <c r="AB125" s="7">
        <v>0</v>
      </c>
      <c r="AC125" s="7">
        <v>0</v>
      </c>
      <c r="AD125" s="7">
        <v>-2346.83</v>
      </c>
      <c r="AE125" s="7">
        <v>-4166.25</v>
      </c>
      <c r="AF125" s="7">
        <v>0</v>
      </c>
      <c r="AG125" s="7">
        <v>0</v>
      </c>
      <c r="AH125" s="7">
        <v>0</v>
      </c>
      <c r="AI125" s="7">
        <v>19657.79</v>
      </c>
      <c r="AJ125" s="7">
        <v>0</v>
      </c>
    </row>
    <row r="126" spans="1:36" x14ac:dyDescent="0.2">
      <c r="A126" s="1" t="s">
        <v>33</v>
      </c>
      <c r="B126" s="1">
        <v>392</v>
      </c>
      <c r="C126" s="1">
        <v>1</v>
      </c>
      <c r="D126" s="1" t="s">
        <v>203</v>
      </c>
      <c r="E126" s="1">
        <v>40</v>
      </c>
      <c r="F126" s="5" t="s">
        <v>57</v>
      </c>
      <c r="G126" s="6">
        <v>3761</v>
      </c>
      <c r="H126" s="2">
        <v>2000</v>
      </c>
      <c r="I126" s="6">
        <v>4593874</v>
      </c>
      <c r="J126" s="7">
        <v>20384.62</v>
      </c>
      <c r="K126" s="6">
        <v>3761</v>
      </c>
      <c r="L126" s="7">
        <v>6957.85</v>
      </c>
      <c r="M126" s="7">
        <v>31103.47</v>
      </c>
      <c r="N126" s="7">
        <v>31103.47</v>
      </c>
      <c r="O126" s="7">
        <v>31103.47</v>
      </c>
      <c r="P126" s="8">
        <v>1</v>
      </c>
      <c r="Q126" s="7">
        <v>0</v>
      </c>
      <c r="R126" s="7">
        <v>0</v>
      </c>
      <c r="S126" s="1">
        <v>0.99087303000000004</v>
      </c>
      <c r="T126" s="7">
        <v>0</v>
      </c>
      <c r="U126" s="7">
        <v>31103.47</v>
      </c>
      <c r="V126" s="7">
        <v>28201.91</v>
      </c>
      <c r="W126" s="7">
        <v>59305.38</v>
      </c>
      <c r="X126" s="7">
        <v>14826.35</v>
      </c>
      <c r="Y126" s="7">
        <v>43512.81</v>
      </c>
      <c r="Z126" s="7">
        <v>24105.759999999998</v>
      </c>
      <c r="AA126" s="7">
        <v>16427.599999999999</v>
      </c>
      <c r="AB126" s="7">
        <v>11423.98</v>
      </c>
      <c r="AC126" s="7">
        <v>0</v>
      </c>
      <c r="AD126" s="7">
        <v>14668.65</v>
      </c>
      <c r="AE126" s="7">
        <v>13026.44</v>
      </c>
      <c r="AF126" s="7">
        <v>0</v>
      </c>
      <c r="AG126" s="7">
        <v>0</v>
      </c>
      <c r="AH126" s="7">
        <v>0</v>
      </c>
      <c r="AI126" s="7">
        <v>31103.47</v>
      </c>
      <c r="AJ126" s="7">
        <v>0</v>
      </c>
    </row>
    <row r="127" spans="1:36" x14ac:dyDescent="0.2">
      <c r="A127" s="1" t="s">
        <v>33</v>
      </c>
      <c r="B127" s="1">
        <v>394</v>
      </c>
      <c r="C127" s="1">
        <v>1</v>
      </c>
      <c r="D127" s="1" t="s">
        <v>204</v>
      </c>
      <c r="E127" s="1">
        <v>40</v>
      </c>
      <c r="F127" s="5" t="s">
        <v>57</v>
      </c>
      <c r="G127" s="6">
        <v>7083</v>
      </c>
      <c r="H127" s="2">
        <v>2000</v>
      </c>
      <c r="I127" s="6">
        <v>10456307</v>
      </c>
      <c r="J127" s="7">
        <v>38389.86</v>
      </c>
      <c r="K127" s="6">
        <v>7083</v>
      </c>
      <c r="L127" s="7">
        <v>13103.55</v>
      </c>
      <c r="M127" s="7">
        <v>58576.41</v>
      </c>
      <c r="N127" s="7">
        <v>58576.41</v>
      </c>
      <c r="O127" s="7">
        <v>58576.41</v>
      </c>
      <c r="P127" s="8">
        <v>1</v>
      </c>
      <c r="Q127" s="7">
        <v>0</v>
      </c>
      <c r="R127" s="7">
        <v>0</v>
      </c>
      <c r="S127" s="1">
        <v>0.99087303000000004</v>
      </c>
      <c r="T127" s="7">
        <v>0</v>
      </c>
      <c r="U127" s="7">
        <v>58576.41</v>
      </c>
      <c r="V127" s="7">
        <v>299469.73</v>
      </c>
      <c r="W127" s="7">
        <v>358046.14</v>
      </c>
      <c r="X127" s="7">
        <v>89511.54</v>
      </c>
      <c r="Y127" s="7">
        <v>36227.14</v>
      </c>
      <c r="Z127" s="7">
        <v>0</v>
      </c>
      <c r="AA127" s="7">
        <v>46477.09</v>
      </c>
      <c r="AB127" s="7">
        <v>0</v>
      </c>
      <c r="AC127" s="7">
        <v>0</v>
      </c>
      <c r="AD127" s="7">
        <v>32707.81</v>
      </c>
      <c r="AE127" s="7">
        <v>38470.68</v>
      </c>
      <c r="AF127" s="7">
        <v>0</v>
      </c>
      <c r="AG127" s="7">
        <v>0</v>
      </c>
      <c r="AH127" s="7">
        <v>0</v>
      </c>
      <c r="AI127" s="7">
        <v>58576.41</v>
      </c>
      <c r="AJ127" s="7">
        <v>0</v>
      </c>
    </row>
    <row r="128" spans="1:36" x14ac:dyDescent="0.2">
      <c r="A128" s="1" t="s">
        <v>33</v>
      </c>
      <c r="B128" s="1">
        <v>402</v>
      </c>
      <c r="C128" s="1">
        <v>1</v>
      </c>
      <c r="D128" s="1" t="s">
        <v>205</v>
      </c>
      <c r="E128" s="1">
        <v>41</v>
      </c>
      <c r="F128" s="5" t="s">
        <v>65</v>
      </c>
      <c r="G128" s="6">
        <v>1155</v>
      </c>
      <c r="H128" s="2">
        <v>2000</v>
      </c>
      <c r="I128" s="6">
        <v>1242852</v>
      </c>
      <c r="J128" s="7">
        <v>7235.7</v>
      </c>
      <c r="K128" s="6">
        <v>1335</v>
      </c>
      <c r="L128" s="7">
        <v>2469.75</v>
      </c>
      <c r="M128" s="7">
        <v>11040.45</v>
      </c>
      <c r="N128" s="7">
        <v>11040.45</v>
      </c>
      <c r="O128" s="7">
        <v>11040.45</v>
      </c>
      <c r="P128" s="8">
        <v>1</v>
      </c>
      <c r="Q128" s="7">
        <v>0</v>
      </c>
      <c r="R128" s="7">
        <v>0</v>
      </c>
      <c r="S128" s="1">
        <v>0.99087303000000004</v>
      </c>
      <c r="T128" s="7">
        <v>0</v>
      </c>
      <c r="U128" s="7">
        <v>11040.45</v>
      </c>
      <c r="V128" s="7">
        <v>10881.93</v>
      </c>
      <c r="W128" s="7">
        <v>21922.38</v>
      </c>
      <c r="X128" s="7">
        <v>5480.6</v>
      </c>
      <c r="Y128" s="7">
        <v>-4101.22</v>
      </c>
      <c r="Z128" s="7">
        <v>0</v>
      </c>
      <c r="AA128" s="7">
        <v>-512.46</v>
      </c>
      <c r="AB128" s="7">
        <v>0</v>
      </c>
      <c r="AC128" s="7">
        <v>0</v>
      </c>
      <c r="AD128" s="7">
        <v>6797.95</v>
      </c>
      <c r="AE128" s="7">
        <v>728.09</v>
      </c>
      <c r="AF128" s="7">
        <v>0</v>
      </c>
      <c r="AG128" s="7">
        <v>0</v>
      </c>
      <c r="AH128" s="7">
        <v>0</v>
      </c>
      <c r="AI128" s="7">
        <v>11040.45</v>
      </c>
      <c r="AJ128" s="7">
        <v>0</v>
      </c>
    </row>
    <row r="129" spans="1:36" x14ac:dyDescent="0.2">
      <c r="A129" s="1" t="s">
        <v>33</v>
      </c>
      <c r="B129" s="1">
        <v>403</v>
      </c>
      <c r="C129" s="1">
        <v>1</v>
      </c>
      <c r="D129" s="1" t="s">
        <v>206</v>
      </c>
      <c r="E129" s="1">
        <v>41</v>
      </c>
      <c r="F129" s="5" t="s">
        <v>65</v>
      </c>
      <c r="G129" s="6">
        <v>1490</v>
      </c>
      <c r="H129" s="2">
        <v>2000</v>
      </c>
      <c r="I129" s="6">
        <v>1602000</v>
      </c>
      <c r="J129" s="7">
        <v>8075.8</v>
      </c>
      <c r="K129" s="6">
        <v>1490</v>
      </c>
      <c r="L129" s="7">
        <v>2756.5</v>
      </c>
      <c r="M129" s="7">
        <v>12322.3</v>
      </c>
      <c r="N129" s="7">
        <v>12322.3</v>
      </c>
      <c r="O129" s="7">
        <v>12322.3</v>
      </c>
      <c r="P129" s="8">
        <v>1</v>
      </c>
      <c r="Q129" s="7">
        <v>0</v>
      </c>
      <c r="R129" s="7">
        <v>0</v>
      </c>
      <c r="S129" s="1">
        <v>0.99087303000000004</v>
      </c>
      <c r="T129" s="7">
        <v>0</v>
      </c>
      <c r="U129" s="7">
        <v>12322.3</v>
      </c>
      <c r="V129" s="7">
        <v>9731.52</v>
      </c>
      <c r="W129" s="7">
        <v>22053.82</v>
      </c>
      <c r="X129" s="7">
        <v>5513.46</v>
      </c>
      <c r="Y129" s="7">
        <v>-2457.69</v>
      </c>
      <c r="Z129" s="7">
        <v>0</v>
      </c>
      <c r="AA129" s="7">
        <v>6227.93</v>
      </c>
      <c r="AB129" s="7">
        <v>0</v>
      </c>
      <c r="AC129" s="7">
        <v>0</v>
      </c>
      <c r="AD129" s="7">
        <v>6089.2</v>
      </c>
      <c r="AE129" s="7">
        <v>3286.48</v>
      </c>
      <c r="AF129" s="7">
        <v>0</v>
      </c>
      <c r="AG129" s="7">
        <v>0</v>
      </c>
      <c r="AH129" s="7">
        <v>0</v>
      </c>
      <c r="AI129" s="7">
        <v>12322.3</v>
      </c>
      <c r="AJ129" s="7">
        <v>0</v>
      </c>
    </row>
    <row r="130" spans="1:36" x14ac:dyDescent="0.2">
      <c r="A130" s="1" t="s">
        <v>33</v>
      </c>
      <c r="B130" s="1">
        <v>404</v>
      </c>
      <c r="C130" s="1">
        <v>1</v>
      </c>
      <c r="D130" s="1" t="s">
        <v>207</v>
      </c>
      <c r="E130" s="1">
        <v>41</v>
      </c>
      <c r="F130" s="5" t="s">
        <v>65</v>
      </c>
      <c r="G130" s="6">
        <v>1520</v>
      </c>
      <c r="H130" s="2">
        <v>2000</v>
      </c>
      <c r="I130" s="6">
        <v>1986784</v>
      </c>
      <c r="J130" s="7">
        <v>8238.4</v>
      </c>
      <c r="K130" s="6">
        <v>1520</v>
      </c>
      <c r="L130" s="7">
        <v>2812</v>
      </c>
      <c r="M130" s="7">
        <v>12570.4</v>
      </c>
      <c r="N130" s="7">
        <v>12570.4</v>
      </c>
      <c r="O130" s="7">
        <v>12570.4</v>
      </c>
      <c r="P130" s="8">
        <v>1</v>
      </c>
      <c r="Q130" s="7">
        <v>0</v>
      </c>
      <c r="R130" s="7">
        <v>0</v>
      </c>
      <c r="S130" s="1">
        <v>0.99087303000000004</v>
      </c>
      <c r="T130" s="7">
        <v>0</v>
      </c>
      <c r="U130" s="7">
        <v>9758.4</v>
      </c>
      <c r="V130" s="7">
        <v>1819.91</v>
      </c>
      <c r="W130" s="7">
        <v>11578.31</v>
      </c>
      <c r="X130" s="7">
        <v>2894.58</v>
      </c>
      <c r="Y130" s="7">
        <v>15356.91</v>
      </c>
      <c r="Z130" s="7">
        <v>8843.18</v>
      </c>
      <c r="AA130" s="7">
        <v>14972.31</v>
      </c>
      <c r="AB130" s="7">
        <v>0</v>
      </c>
      <c r="AC130" s="7">
        <v>0</v>
      </c>
      <c r="AD130" s="7">
        <v>19258.2</v>
      </c>
      <c r="AE130" s="7">
        <v>13581.41</v>
      </c>
      <c r="AF130" s="7">
        <v>10686.83</v>
      </c>
      <c r="AG130" s="7">
        <v>10686.83</v>
      </c>
      <c r="AH130" s="7">
        <v>0</v>
      </c>
      <c r="AI130" s="7">
        <v>1883.57</v>
      </c>
      <c r="AJ130" s="7">
        <v>0</v>
      </c>
    </row>
    <row r="131" spans="1:36" x14ac:dyDescent="0.2">
      <c r="A131" s="1" t="s">
        <v>33</v>
      </c>
      <c r="B131" s="1">
        <v>413</v>
      </c>
      <c r="C131" s="1">
        <v>1</v>
      </c>
      <c r="D131" s="1" t="s">
        <v>208</v>
      </c>
      <c r="E131" s="1">
        <v>42</v>
      </c>
      <c r="F131" s="5" t="s">
        <v>65</v>
      </c>
      <c r="G131" s="6">
        <v>14846</v>
      </c>
      <c r="H131" s="2">
        <v>2000</v>
      </c>
      <c r="I131" s="6">
        <v>13324971</v>
      </c>
      <c r="J131" s="7">
        <v>80465.320000000007</v>
      </c>
      <c r="K131" s="6">
        <v>14846</v>
      </c>
      <c r="L131" s="7">
        <v>20583.78</v>
      </c>
      <c r="M131" s="7">
        <v>115895.1</v>
      </c>
      <c r="N131" s="7">
        <v>115895.1</v>
      </c>
      <c r="O131" s="7">
        <v>115895.1</v>
      </c>
      <c r="P131" s="8">
        <v>1</v>
      </c>
      <c r="Q131" s="7">
        <v>0</v>
      </c>
      <c r="R131" s="7">
        <v>0</v>
      </c>
      <c r="S131" s="1">
        <v>0.99087303000000004</v>
      </c>
      <c r="T131" s="7">
        <v>0</v>
      </c>
      <c r="U131" s="7">
        <v>115895.1</v>
      </c>
      <c r="V131" s="7">
        <v>85772.49</v>
      </c>
      <c r="W131" s="7">
        <v>201667.59</v>
      </c>
      <c r="X131" s="7">
        <v>50416.9</v>
      </c>
      <c r="Y131" s="7">
        <v>98330.49</v>
      </c>
      <c r="Z131" s="7">
        <v>24754.03</v>
      </c>
      <c r="AA131" s="7">
        <v>86863.53</v>
      </c>
      <c r="AB131" s="7">
        <v>27755.24</v>
      </c>
      <c r="AC131" s="7">
        <v>0</v>
      </c>
      <c r="AD131" s="7">
        <v>74768.33</v>
      </c>
      <c r="AE131" s="7">
        <v>69151.03</v>
      </c>
      <c r="AF131" s="7">
        <v>18734.13</v>
      </c>
      <c r="AG131" s="7">
        <v>18734.13</v>
      </c>
      <c r="AH131" s="7">
        <v>0</v>
      </c>
      <c r="AI131" s="7">
        <v>97160.97</v>
      </c>
      <c r="AJ131" s="7">
        <v>0</v>
      </c>
    </row>
    <row r="132" spans="1:36" x14ac:dyDescent="0.2">
      <c r="A132" s="1" t="s">
        <v>33</v>
      </c>
      <c r="B132" s="1">
        <v>414</v>
      </c>
      <c r="C132" s="1">
        <v>1</v>
      </c>
      <c r="D132" s="1" t="s">
        <v>209</v>
      </c>
      <c r="E132" s="1">
        <v>42</v>
      </c>
      <c r="F132" s="5" t="s">
        <v>65</v>
      </c>
      <c r="G132" s="6">
        <v>2867</v>
      </c>
      <c r="H132" s="2">
        <v>2000</v>
      </c>
      <c r="I132" s="6">
        <v>3110792</v>
      </c>
      <c r="J132" s="7">
        <v>15539.14</v>
      </c>
      <c r="K132" s="6">
        <v>0</v>
      </c>
      <c r="L132" s="7">
        <v>5303.95</v>
      </c>
      <c r="M132" s="7">
        <v>20843.09</v>
      </c>
      <c r="N132" s="7">
        <v>20843.09</v>
      </c>
      <c r="O132" s="7">
        <v>20843.09</v>
      </c>
      <c r="P132" s="8">
        <v>1</v>
      </c>
      <c r="Q132" s="7">
        <v>0</v>
      </c>
      <c r="R132" s="7">
        <v>0</v>
      </c>
      <c r="S132" s="1">
        <v>0.99087303000000004</v>
      </c>
      <c r="T132" s="7">
        <v>0</v>
      </c>
      <c r="U132" s="7">
        <v>15539.14</v>
      </c>
      <c r="V132" s="7">
        <v>13778.58</v>
      </c>
      <c r="W132" s="7">
        <v>29317.72</v>
      </c>
      <c r="X132" s="7">
        <v>7329.43</v>
      </c>
      <c r="Y132" s="7">
        <v>7922.56</v>
      </c>
      <c r="Z132" s="7">
        <v>0</v>
      </c>
      <c r="AA132" s="7">
        <v>25786.68</v>
      </c>
      <c r="AB132" s="7">
        <v>4146.79</v>
      </c>
      <c r="AC132" s="7">
        <v>0</v>
      </c>
      <c r="AD132" s="7">
        <v>3165.29</v>
      </c>
      <c r="AE132" s="7">
        <v>10909.25</v>
      </c>
      <c r="AF132" s="7">
        <v>3579.82</v>
      </c>
      <c r="AG132" s="7">
        <v>3579.82</v>
      </c>
      <c r="AH132" s="7">
        <v>0</v>
      </c>
      <c r="AI132" s="7">
        <v>17263.27</v>
      </c>
      <c r="AJ132" s="7">
        <v>0</v>
      </c>
    </row>
    <row r="133" spans="1:36" x14ac:dyDescent="0.2">
      <c r="A133" s="1" t="s">
        <v>33</v>
      </c>
      <c r="B133" s="1">
        <v>415</v>
      </c>
      <c r="C133" s="1">
        <v>1</v>
      </c>
      <c r="D133" s="1" t="s">
        <v>210</v>
      </c>
      <c r="E133" s="1">
        <v>42</v>
      </c>
      <c r="F133" s="5" t="s">
        <v>65</v>
      </c>
      <c r="G133" s="6">
        <v>1007</v>
      </c>
      <c r="H133" s="2">
        <v>2000</v>
      </c>
      <c r="I133" s="6">
        <v>1482322</v>
      </c>
      <c r="J133" s="7">
        <v>7235.7</v>
      </c>
      <c r="K133" s="6">
        <v>1335</v>
      </c>
      <c r="L133" s="7">
        <v>2469.75</v>
      </c>
      <c r="M133" s="7">
        <v>11040.45</v>
      </c>
      <c r="N133" s="7">
        <v>11040.45</v>
      </c>
      <c r="O133" s="7">
        <v>11040.45</v>
      </c>
      <c r="P133" s="8">
        <v>1</v>
      </c>
      <c r="Q133" s="7">
        <v>0</v>
      </c>
      <c r="R133" s="7">
        <v>0</v>
      </c>
      <c r="S133" s="1">
        <v>0.99087303000000004</v>
      </c>
      <c r="T133" s="7">
        <v>0</v>
      </c>
      <c r="U133" s="7">
        <v>11040.45</v>
      </c>
      <c r="V133" s="7">
        <v>22870.15</v>
      </c>
      <c r="W133" s="7">
        <v>33910.6</v>
      </c>
      <c r="X133" s="7">
        <v>8477.65</v>
      </c>
      <c r="Y133" s="7">
        <v>-67.489999999999995</v>
      </c>
      <c r="Z133" s="7">
        <v>0</v>
      </c>
      <c r="AA133" s="7">
        <v>-5194.95</v>
      </c>
      <c r="AB133" s="7">
        <v>0</v>
      </c>
      <c r="AC133" s="7">
        <v>0</v>
      </c>
      <c r="AD133" s="7">
        <v>-4416</v>
      </c>
      <c r="AE133" s="7">
        <v>-3226.15</v>
      </c>
      <c r="AF133" s="7">
        <v>0</v>
      </c>
      <c r="AG133" s="7">
        <v>0</v>
      </c>
      <c r="AH133" s="7">
        <v>0</v>
      </c>
      <c r="AI133" s="7">
        <v>11040.45</v>
      </c>
      <c r="AJ133" s="7">
        <v>0</v>
      </c>
    </row>
    <row r="134" spans="1:36" x14ac:dyDescent="0.2">
      <c r="A134" s="1" t="s">
        <v>33</v>
      </c>
      <c r="B134" s="1">
        <v>423</v>
      </c>
      <c r="C134" s="1">
        <v>1</v>
      </c>
      <c r="D134" s="1" t="s">
        <v>211</v>
      </c>
      <c r="E134" s="1">
        <v>43</v>
      </c>
      <c r="F134" s="5" t="s">
        <v>68</v>
      </c>
      <c r="G134" s="6">
        <v>18049</v>
      </c>
      <c r="H134" s="2">
        <v>2005</v>
      </c>
      <c r="I134" s="6">
        <v>18060222</v>
      </c>
      <c r="J134" s="7">
        <v>97825.58</v>
      </c>
      <c r="K134" s="6">
        <v>18049</v>
      </c>
      <c r="L134" s="7">
        <v>21961.07</v>
      </c>
      <c r="M134" s="7">
        <v>137835.65</v>
      </c>
      <c r="N134" s="7">
        <v>137835.65</v>
      </c>
      <c r="O134" s="7">
        <v>137835.65</v>
      </c>
      <c r="P134" s="8">
        <v>1</v>
      </c>
      <c r="Q134" s="7">
        <v>0</v>
      </c>
      <c r="R134" s="7">
        <v>0</v>
      </c>
      <c r="S134" s="1">
        <v>0.99087303000000004</v>
      </c>
      <c r="T134" s="7">
        <v>0</v>
      </c>
      <c r="U134" s="7">
        <v>137835.65</v>
      </c>
      <c r="V134" s="7">
        <v>296202.94</v>
      </c>
      <c r="W134" s="7">
        <v>434038.59</v>
      </c>
      <c r="X134" s="7">
        <v>108509.65</v>
      </c>
      <c r="Y134" s="7">
        <v>51693.57</v>
      </c>
      <c r="Z134" s="7">
        <v>0</v>
      </c>
      <c r="AA134" s="7">
        <v>52331.9</v>
      </c>
      <c r="AB134" s="7">
        <v>0</v>
      </c>
      <c r="AC134" s="7">
        <v>0</v>
      </c>
      <c r="AD134" s="7">
        <v>64319.83</v>
      </c>
      <c r="AE134" s="7">
        <v>56115.1</v>
      </c>
      <c r="AF134" s="7">
        <v>0</v>
      </c>
      <c r="AG134" s="7">
        <v>0</v>
      </c>
      <c r="AH134" s="7">
        <v>0</v>
      </c>
      <c r="AI134" s="7">
        <v>137835.65</v>
      </c>
      <c r="AJ134" s="7">
        <v>0</v>
      </c>
    </row>
    <row r="135" spans="1:36" x14ac:dyDescent="0.2">
      <c r="A135" s="1" t="s">
        <v>33</v>
      </c>
      <c r="B135" s="1">
        <v>424</v>
      </c>
      <c r="C135" s="1">
        <v>1</v>
      </c>
      <c r="D135" s="1" t="s">
        <v>212</v>
      </c>
      <c r="E135" s="1">
        <v>43</v>
      </c>
      <c r="F135" s="5" t="s">
        <v>68</v>
      </c>
      <c r="G135" s="6">
        <v>2564</v>
      </c>
      <c r="H135" s="2">
        <v>2000</v>
      </c>
      <c r="I135" s="6">
        <v>3134838</v>
      </c>
      <c r="J135" s="7">
        <v>13896.88</v>
      </c>
      <c r="K135" s="6">
        <v>2564</v>
      </c>
      <c r="L135" s="7">
        <v>4743.3999999999996</v>
      </c>
      <c r="M135" s="7">
        <v>21204.28</v>
      </c>
      <c r="N135" s="7">
        <v>21204.28</v>
      </c>
      <c r="O135" s="7">
        <v>21204.28</v>
      </c>
      <c r="P135" s="8">
        <v>1</v>
      </c>
      <c r="Q135" s="7">
        <v>0</v>
      </c>
      <c r="R135" s="7">
        <v>0</v>
      </c>
      <c r="S135" s="1">
        <v>0.99087303000000004</v>
      </c>
      <c r="T135" s="7">
        <v>0</v>
      </c>
      <c r="U135" s="7">
        <v>21204.28</v>
      </c>
      <c r="V135" s="7">
        <v>53027.74</v>
      </c>
      <c r="W135" s="7">
        <v>74232.02</v>
      </c>
      <c r="X135" s="7">
        <v>18558.009999999998</v>
      </c>
      <c r="Y135" s="7">
        <v>38091.89</v>
      </c>
      <c r="Z135" s="7">
        <v>7659.92</v>
      </c>
      <c r="AA135" s="7">
        <v>36147.410000000003</v>
      </c>
      <c r="AB135" s="7">
        <v>10966.42</v>
      </c>
      <c r="AC135" s="7">
        <v>0</v>
      </c>
      <c r="AD135" s="7">
        <v>-3741.2</v>
      </c>
      <c r="AE135" s="7">
        <v>17290.59</v>
      </c>
      <c r="AF135" s="7">
        <v>0</v>
      </c>
      <c r="AG135" s="7">
        <v>0</v>
      </c>
      <c r="AH135" s="7">
        <v>0</v>
      </c>
      <c r="AI135" s="7">
        <v>21204.28</v>
      </c>
      <c r="AJ135" s="7">
        <v>0</v>
      </c>
    </row>
    <row r="136" spans="1:36" x14ac:dyDescent="0.2">
      <c r="A136" s="1" t="s">
        <v>33</v>
      </c>
      <c r="B136" s="1">
        <v>432</v>
      </c>
      <c r="C136" s="1">
        <v>1</v>
      </c>
      <c r="D136" s="1" t="s">
        <v>213</v>
      </c>
      <c r="E136" s="1">
        <v>44</v>
      </c>
      <c r="F136" s="5" t="s">
        <v>62</v>
      </c>
      <c r="G136" s="6">
        <v>3614</v>
      </c>
      <c r="H136" s="2">
        <v>2000</v>
      </c>
      <c r="I136" s="6">
        <v>2156256</v>
      </c>
      <c r="J136" s="7">
        <v>19587.88</v>
      </c>
      <c r="K136" s="6">
        <v>3614</v>
      </c>
      <c r="L136" s="7">
        <v>6685.9</v>
      </c>
      <c r="M136" s="7">
        <v>29887.78</v>
      </c>
      <c r="N136" s="7">
        <v>19406.3</v>
      </c>
      <c r="O136" s="7">
        <v>19406.3</v>
      </c>
      <c r="P136" s="8">
        <v>1</v>
      </c>
      <c r="Q136" s="7">
        <v>10481.48</v>
      </c>
      <c r="R136" s="7">
        <v>10481.48</v>
      </c>
      <c r="S136" s="1">
        <v>0.99087303000000004</v>
      </c>
      <c r="T136" s="7">
        <v>10385.82</v>
      </c>
      <c r="U136" s="7">
        <v>29887.78</v>
      </c>
      <c r="V136" s="7">
        <v>37346.22</v>
      </c>
      <c r="W136" s="7">
        <v>67234</v>
      </c>
      <c r="X136" s="7">
        <v>16808.5</v>
      </c>
      <c r="Y136" s="7">
        <v>1245.9000000000001</v>
      </c>
      <c r="Z136" s="7">
        <v>0</v>
      </c>
      <c r="AA136" s="7">
        <v>1213.58</v>
      </c>
      <c r="AB136" s="7">
        <v>0</v>
      </c>
      <c r="AC136" s="7">
        <v>0</v>
      </c>
      <c r="AD136" s="7">
        <v>1395.96</v>
      </c>
      <c r="AE136" s="7">
        <v>1285.1500000000001</v>
      </c>
      <c r="AF136" s="7">
        <v>0</v>
      </c>
      <c r="AG136" s="7">
        <v>0</v>
      </c>
      <c r="AH136" s="7">
        <v>0</v>
      </c>
      <c r="AI136" s="7">
        <v>19406.3</v>
      </c>
      <c r="AJ136" s="7">
        <v>10481.48</v>
      </c>
    </row>
    <row r="137" spans="1:36" x14ac:dyDescent="0.2">
      <c r="A137" s="1" t="s">
        <v>33</v>
      </c>
      <c r="B137" s="1">
        <v>435</v>
      </c>
      <c r="C137" s="1">
        <v>1</v>
      </c>
      <c r="D137" s="1" t="s">
        <v>214</v>
      </c>
      <c r="E137" s="1">
        <v>44</v>
      </c>
      <c r="F137" s="5" t="s">
        <v>62</v>
      </c>
      <c r="G137" s="6">
        <v>3168</v>
      </c>
      <c r="H137" s="2">
        <v>2000</v>
      </c>
      <c r="I137" s="6">
        <v>4243016</v>
      </c>
      <c r="J137" s="7">
        <v>17170.560000000001</v>
      </c>
      <c r="K137" s="6">
        <v>0</v>
      </c>
      <c r="L137" s="7">
        <v>0</v>
      </c>
      <c r="M137" s="7">
        <v>17170.560000000001</v>
      </c>
      <c r="N137" s="7">
        <v>17170.560000000001</v>
      </c>
      <c r="O137" s="7">
        <v>17170.560000000001</v>
      </c>
      <c r="P137" s="8">
        <v>1</v>
      </c>
      <c r="Q137" s="7">
        <v>0</v>
      </c>
      <c r="R137" s="7">
        <v>0</v>
      </c>
      <c r="S137" s="1">
        <v>0.99087303000000004</v>
      </c>
      <c r="T137" s="7">
        <v>0</v>
      </c>
      <c r="U137" s="7">
        <v>17170.560000000001</v>
      </c>
      <c r="V137" s="7">
        <v>14974.57</v>
      </c>
      <c r="W137" s="7">
        <v>32145.13</v>
      </c>
      <c r="X137" s="7">
        <v>8036.28</v>
      </c>
      <c r="Y137" s="7">
        <v>-67539.02</v>
      </c>
      <c r="Z137" s="7">
        <v>0</v>
      </c>
      <c r="AA137" s="7">
        <v>-70799.64</v>
      </c>
      <c r="AB137" s="7">
        <v>0</v>
      </c>
      <c r="AC137" s="7">
        <v>0</v>
      </c>
      <c r="AD137" s="7">
        <v>-77396.08</v>
      </c>
      <c r="AE137" s="7">
        <v>-71911.58</v>
      </c>
      <c r="AF137" s="7">
        <v>0</v>
      </c>
      <c r="AG137" s="7">
        <v>0</v>
      </c>
      <c r="AH137" s="7">
        <v>0</v>
      </c>
      <c r="AI137" s="7">
        <v>17170.560000000001</v>
      </c>
      <c r="AJ137" s="7">
        <v>0</v>
      </c>
    </row>
    <row r="138" spans="1:36" x14ac:dyDescent="0.2">
      <c r="A138" s="1" t="s">
        <v>33</v>
      </c>
      <c r="B138" s="1">
        <v>441</v>
      </c>
      <c r="C138" s="1">
        <v>1</v>
      </c>
      <c r="D138" s="1" t="s">
        <v>84</v>
      </c>
      <c r="E138" s="1">
        <v>45</v>
      </c>
      <c r="F138" s="5" t="s">
        <v>59</v>
      </c>
      <c r="G138" s="6">
        <v>1902</v>
      </c>
      <c r="H138" s="2">
        <v>2000</v>
      </c>
      <c r="I138" s="6">
        <v>2375320</v>
      </c>
      <c r="J138" s="7">
        <v>10308.84</v>
      </c>
      <c r="K138" s="6">
        <v>1902</v>
      </c>
      <c r="L138" s="7">
        <v>0</v>
      </c>
      <c r="M138" s="7">
        <v>12210.84</v>
      </c>
      <c r="N138" s="7">
        <v>12210.84</v>
      </c>
      <c r="O138" s="7">
        <v>12210.84</v>
      </c>
      <c r="P138" s="8">
        <v>1</v>
      </c>
      <c r="Q138" s="7">
        <v>0</v>
      </c>
      <c r="R138" s="7">
        <v>0</v>
      </c>
      <c r="S138" s="1">
        <v>0.99087303000000004</v>
      </c>
      <c r="T138" s="7">
        <v>0</v>
      </c>
      <c r="U138" s="7">
        <v>15729.54</v>
      </c>
      <c r="V138" s="7">
        <v>33193.699999999997</v>
      </c>
      <c r="W138" s="7">
        <v>48923.24</v>
      </c>
      <c r="X138" s="7">
        <v>12230.81</v>
      </c>
      <c r="Y138" s="7">
        <v>0</v>
      </c>
      <c r="Z138" s="7">
        <v>0</v>
      </c>
      <c r="AA138" s="7">
        <v>1.35</v>
      </c>
      <c r="AB138" s="7">
        <v>0</v>
      </c>
      <c r="AC138" s="7">
        <v>0</v>
      </c>
      <c r="AD138" s="7">
        <v>0.09</v>
      </c>
      <c r="AE138" s="7">
        <v>0.48</v>
      </c>
      <c r="AF138" s="7">
        <v>0</v>
      </c>
      <c r="AG138" s="7">
        <v>0</v>
      </c>
      <c r="AH138" s="7">
        <v>0</v>
      </c>
      <c r="AI138" s="7">
        <v>12210.84</v>
      </c>
      <c r="AJ138" s="7">
        <v>0</v>
      </c>
    </row>
    <row r="139" spans="1:36" x14ac:dyDescent="0.2">
      <c r="A139" s="1" t="s">
        <v>33</v>
      </c>
      <c r="B139" s="1">
        <v>447</v>
      </c>
      <c r="C139" s="1">
        <v>1</v>
      </c>
      <c r="D139" s="1" t="s">
        <v>215</v>
      </c>
      <c r="E139" s="1">
        <v>45</v>
      </c>
      <c r="F139" s="5" t="s">
        <v>59</v>
      </c>
      <c r="G139" s="6">
        <v>1126</v>
      </c>
      <c r="H139" s="2">
        <v>2000</v>
      </c>
      <c r="I139" s="6">
        <v>1117611</v>
      </c>
      <c r="J139" s="7">
        <v>7235.7</v>
      </c>
      <c r="K139" s="6">
        <v>1335</v>
      </c>
      <c r="L139" s="7">
        <v>0</v>
      </c>
      <c r="M139" s="7">
        <v>8570.7000000000007</v>
      </c>
      <c r="N139" s="7">
        <v>8570.7000000000007</v>
      </c>
      <c r="O139" s="7">
        <v>8570.7000000000007</v>
      </c>
      <c r="P139" s="8">
        <v>1</v>
      </c>
      <c r="Q139" s="7">
        <v>0</v>
      </c>
      <c r="R139" s="7">
        <v>0</v>
      </c>
      <c r="S139" s="1">
        <v>0.99087303000000004</v>
      </c>
      <c r="T139" s="7">
        <v>0</v>
      </c>
      <c r="U139" s="7">
        <v>8570.7000000000007</v>
      </c>
      <c r="V139" s="7">
        <v>8852.2099999999991</v>
      </c>
      <c r="W139" s="7">
        <v>17422.91</v>
      </c>
      <c r="X139" s="7">
        <v>4355.7299999999996</v>
      </c>
      <c r="Y139" s="7">
        <v>0</v>
      </c>
      <c r="Z139" s="7">
        <v>0</v>
      </c>
      <c r="AA139" s="7">
        <v>1909.36</v>
      </c>
      <c r="AB139" s="7">
        <v>0</v>
      </c>
      <c r="AC139" s="7">
        <v>0</v>
      </c>
      <c r="AD139" s="7">
        <v>1134.03</v>
      </c>
      <c r="AE139" s="7">
        <v>1014.46</v>
      </c>
      <c r="AF139" s="7">
        <v>0</v>
      </c>
      <c r="AG139" s="7">
        <v>0</v>
      </c>
      <c r="AH139" s="7">
        <v>0</v>
      </c>
      <c r="AI139" s="7">
        <v>8570.7000000000007</v>
      </c>
      <c r="AJ139" s="7">
        <v>0</v>
      </c>
    </row>
    <row r="140" spans="1:36" x14ac:dyDescent="0.2">
      <c r="A140" s="1" t="s">
        <v>33</v>
      </c>
      <c r="B140" s="1">
        <v>458</v>
      </c>
      <c r="C140" s="1">
        <v>1</v>
      </c>
      <c r="D140" s="1" t="s">
        <v>216</v>
      </c>
      <c r="E140" s="1">
        <v>46</v>
      </c>
      <c r="F140" s="5" t="s">
        <v>57</v>
      </c>
      <c r="G140" s="6">
        <v>2706</v>
      </c>
      <c r="H140" s="2">
        <v>2000</v>
      </c>
      <c r="I140" s="6">
        <v>3588495</v>
      </c>
      <c r="J140" s="7">
        <v>14666.52</v>
      </c>
      <c r="K140" s="6">
        <v>2706</v>
      </c>
      <c r="L140" s="7">
        <v>5006.1000000000004</v>
      </c>
      <c r="M140" s="7">
        <v>22378.62</v>
      </c>
      <c r="N140" s="7">
        <v>22378.62</v>
      </c>
      <c r="O140" s="7">
        <v>22378.62</v>
      </c>
      <c r="P140" s="8">
        <v>1</v>
      </c>
      <c r="Q140" s="7">
        <v>0</v>
      </c>
      <c r="R140" s="7">
        <v>0</v>
      </c>
      <c r="S140" s="1">
        <v>0.99087303000000004</v>
      </c>
      <c r="T140" s="7">
        <v>0</v>
      </c>
      <c r="U140" s="7">
        <v>22378.62</v>
      </c>
      <c r="V140" s="7">
        <v>20026.43</v>
      </c>
      <c r="W140" s="7">
        <v>42405.05</v>
      </c>
      <c r="X140" s="7">
        <v>10601.26</v>
      </c>
      <c r="Y140" s="7">
        <v>12708.84</v>
      </c>
      <c r="Z140" s="7">
        <v>0</v>
      </c>
      <c r="AA140" s="7">
        <v>10419.450000000001</v>
      </c>
      <c r="AB140" s="7">
        <v>2554.96</v>
      </c>
      <c r="AC140" s="7">
        <v>0</v>
      </c>
      <c r="AD140" s="7">
        <v>7906.99</v>
      </c>
      <c r="AE140" s="7">
        <v>9493.44</v>
      </c>
      <c r="AF140" s="7">
        <v>0</v>
      </c>
      <c r="AG140" s="7">
        <v>0</v>
      </c>
      <c r="AH140" s="7">
        <v>0</v>
      </c>
      <c r="AI140" s="7">
        <v>22378.62</v>
      </c>
      <c r="AJ140" s="7">
        <v>0</v>
      </c>
    </row>
    <row r="141" spans="1:36" x14ac:dyDescent="0.2">
      <c r="A141" s="1" t="s">
        <v>33</v>
      </c>
      <c r="B141" s="1">
        <v>463</v>
      </c>
      <c r="C141" s="1">
        <v>1</v>
      </c>
      <c r="D141" s="1" t="s">
        <v>217</v>
      </c>
      <c r="E141" s="1">
        <v>47</v>
      </c>
      <c r="F141" s="5" t="s">
        <v>68</v>
      </c>
      <c r="G141" s="6">
        <v>4579</v>
      </c>
      <c r="H141" s="2">
        <v>2000</v>
      </c>
      <c r="I141" s="6">
        <v>5552870</v>
      </c>
      <c r="J141" s="7">
        <v>24818.18</v>
      </c>
      <c r="K141" s="6">
        <v>4579</v>
      </c>
      <c r="L141" s="7">
        <v>8471.15</v>
      </c>
      <c r="M141" s="7">
        <v>37868.33</v>
      </c>
      <c r="N141" s="7">
        <v>37868.33</v>
      </c>
      <c r="O141" s="7">
        <v>37868.33</v>
      </c>
      <c r="P141" s="8">
        <v>1</v>
      </c>
      <c r="Q141" s="7">
        <v>0</v>
      </c>
      <c r="R141" s="7">
        <v>0</v>
      </c>
      <c r="S141" s="1">
        <v>0.99087303000000004</v>
      </c>
      <c r="T141" s="7">
        <v>0</v>
      </c>
      <c r="U141" s="7">
        <v>37868.33</v>
      </c>
      <c r="V141" s="7">
        <v>119150.07</v>
      </c>
      <c r="W141" s="7">
        <v>157018.4</v>
      </c>
      <c r="X141" s="7">
        <v>39254.6</v>
      </c>
      <c r="Y141" s="7">
        <v>-37155.269999999997</v>
      </c>
      <c r="Z141" s="7">
        <v>0</v>
      </c>
      <c r="AA141" s="7">
        <v>-24516.47</v>
      </c>
      <c r="AB141" s="7">
        <v>0</v>
      </c>
      <c r="AC141" s="7">
        <v>0</v>
      </c>
      <c r="AD141" s="7">
        <v>-8871.34</v>
      </c>
      <c r="AE141" s="7">
        <v>-23514.36</v>
      </c>
      <c r="AF141" s="7">
        <v>0</v>
      </c>
      <c r="AG141" s="7">
        <v>0</v>
      </c>
      <c r="AH141" s="7">
        <v>0</v>
      </c>
      <c r="AI141" s="7">
        <v>37868.33</v>
      </c>
      <c r="AJ141" s="7">
        <v>0</v>
      </c>
    </row>
    <row r="142" spans="1:36" x14ac:dyDescent="0.2">
      <c r="A142" s="1" t="s">
        <v>33</v>
      </c>
      <c r="B142" s="1">
        <v>465</v>
      </c>
      <c r="C142" s="1">
        <v>1</v>
      </c>
      <c r="D142" s="1" t="s">
        <v>218</v>
      </c>
      <c r="E142" s="1">
        <v>47</v>
      </c>
      <c r="F142" s="5" t="s">
        <v>68</v>
      </c>
      <c r="G142" s="6">
        <v>11379</v>
      </c>
      <c r="H142" s="2">
        <v>2000</v>
      </c>
      <c r="I142" s="6">
        <v>12166185</v>
      </c>
      <c r="J142" s="7">
        <v>61674.18</v>
      </c>
      <c r="K142" s="6">
        <v>11379</v>
      </c>
      <c r="L142" s="7">
        <v>19092.97</v>
      </c>
      <c r="M142" s="7">
        <v>92146.15</v>
      </c>
      <c r="N142" s="7">
        <v>92146.15</v>
      </c>
      <c r="O142" s="7">
        <v>92146.15</v>
      </c>
      <c r="P142" s="8">
        <v>1</v>
      </c>
      <c r="Q142" s="7">
        <v>0</v>
      </c>
      <c r="R142" s="7">
        <v>0</v>
      </c>
      <c r="S142" s="1">
        <v>0.99087303000000004</v>
      </c>
      <c r="T142" s="7">
        <v>0</v>
      </c>
      <c r="U142" s="7">
        <v>92146.15</v>
      </c>
      <c r="V142" s="7">
        <v>317977.53000000003</v>
      </c>
      <c r="W142" s="7">
        <v>410123.68</v>
      </c>
      <c r="X142" s="7">
        <v>102530.92</v>
      </c>
      <c r="Y142" s="7">
        <v>59427.12</v>
      </c>
      <c r="Z142" s="7">
        <v>0</v>
      </c>
      <c r="AA142" s="7">
        <v>28290.21</v>
      </c>
      <c r="AB142" s="7">
        <v>0</v>
      </c>
      <c r="AC142" s="7">
        <v>0</v>
      </c>
      <c r="AD142" s="7">
        <v>21520.27</v>
      </c>
      <c r="AE142" s="7">
        <v>36412.53</v>
      </c>
      <c r="AF142" s="7">
        <v>0</v>
      </c>
      <c r="AG142" s="7">
        <v>0</v>
      </c>
      <c r="AH142" s="7">
        <v>0</v>
      </c>
      <c r="AI142" s="7">
        <v>92146.15</v>
      </c>
      <c r="AJ142" s="7">
        <v>0</v>
      </c>
    </row>
    <row r="143" spans="1:36" x14ac:dyDescent="0.2">
      <c r="A143" s="1" t="s">
        <v>33</v>
      </c>
      <c r="B143" s="1">
        <v>466</v>
      </c>
      <c r="C143" s="1">
        <v>1</v>
      </c>
      <c r="D143" s="1" t="s">
        <v>219</v>
      </c>
      <c r="E143" s="1">
        <v>86</v>
      </c>
      <c r="F143" s="5" t="s">
        <v>63</v>
      </c>
      <c r="G143" s="6">
        <v>9916</v>
      </c>
      <c r="H143" s="2">
        <v>2008</v>
      </c>
      <c r="I143" s="6">
        <v>11771395</v>
      </c>
      <c r="J143" s="7">
        <v>53744.72</v>
      </c>
      <c r="K143" s="6">
        <v>9916</v>
      </c>
      <c r="L143" s="7">
        <v>18344.599999999999</v>
      </c>
      <c r="M143" s="7">
        <v>82005.320000000007</v>
      </c>
      <c r="N143" s="7">
        <v>82005.320000000007</v>
      </c>
      <c r="O143" s="7">
        <v>82005.320000000007</v>
      </c>
      <c r="P143" s="8">
        <v>1</v>
      </c>
      <c r="Q143" s="7">
        <v>0</v>
      </c>
      <c r="R143" s="7">
        <v>0</v>
      </c>
      <c r="S143" s="1">
        <v>0.99087303000000004</v>
      </c>
      <c r="T143" s="7">
        <v>0</v>
      </c>
      <c r="U143" s="7">
        <v>77828.97</v>
      </c>
      <c r="V143" s="7">
        <v>364231.09</v>
      </c>
      <c r="W143" s="7">
        <v>442060.06</v>
      </c>
      <c r="X143" s="7">
        <v>110515.02</v>
      </c>
      <c r="Y143" s="7">
        <v>60202.59</v>
      </c>
      <c r="Z143" s="7">
        <v>0</v>
      </c>
      <c r="AA143" s="7">
        <v>72408.33</v>
      </c>
      <c r="AB143" s="7">
        <v>0</v>
      </c>
      <c r="AC143" s="7">
        <v>0</v>
      </c>
      <c r="AD143" s="7">
        <v>118227.1</v>
      </c>
      <c r="AE143" s="7">
        <v>83612.67</v>
      </c>
      <c r="AF143" s="7">
        <v>0</v>
      </c>
      <c r="AG143" s="7">
        <v>0</v>
      </c>
      <c r="AH143" s="7">
        <v>0</v>
      </c>
      <c r="AI143" s="7">
        <v>82005.320000000007</v>
      </c>
      <c r="AJ143" s="7">
        <v>0</v>
      </c>
    </row>
    <row r="144" spans="1:36" x14ac:dyDescent="0.2">
      <c r="A144" s="1" t="s">
        <v>33</v>
      </c>
      <c r="B144" s="1">
        <v>473</v>
      </c>
      <c r="C144" s="1">
        <v>1</v>
      </c>
      <c r="D144" s="1" t="s">
        <v>220</v>
      </c>
      <c r="E144" s="1">
        <v>48</v>
      </c>
      <c r="F144" s="5" t="s">
        <v>67</v>
      </c>
      <c r="G144" s="6">
        <v>3426</v>
      </c>
      <c r="H144" s="2">
        <v>2000</v>
      </c>
      <c r="I144" s="6">
        <v>7240913</v>
      </c>
      <c r="J144" s="7">
        <v>18568.919999999998</v>
      </c>
      <c r="K144" s="6">
        <v>3426</v>
      </c>
      <c r="L144" s="7">
        <v>6338.1</v>
      </c>
      <c r="M144" s="7">
        <v>28333.02</v>
      </c>
      <c r="N144" s="7">
        <v>28333.02</v>
      </c>
      <c r="O144" s="7">
        <v>28333.02</v>
      </c>
      <c r="P144" s="8">
        <v>1</v>
      </c>
      <c r="Q144" s="7">
        <v>0</v>
      </c>
      <c r="R144" s="7">
        <v>0</v>
      </c>
      <c r="S144" s="1">
        <v>0.99087303000000004</v>
      </c>
      <c r="T144" s="7">
        <v>0</v>
      </c>
      <c r="U144" s="7">
        <v>28333.02</v>
      </c>
      <c r="V144" s="7">
        <v>130485.73</v>
      </c>
      <c r="W144" s="7">
        <v>158818.75</v>
      </c>
      <c r="X144" s="7">
        <v>39704.69</v>
      </c>
      <c r="Y144" s="7">
        <v>-2331.5300000000002</v>
      </c>
      <c r="Z144" s="7">
        <v>0</v>
      </c>
      <c r="AA144" s="7">
        <v>-2267.12</v>
      </c>
      <c r="AB144" s="7">
        <v>0</v>
      </c>
      <c r="AC144" s="7">
        <v>0</v>
      </c>
      <c r="AD144" s="7">
        <v>-6677.04</v>
      </c>
      <c r="AE144" s="7">
        <v>-3758.56</v>
      </c>
      <c r="AF144" s="7">
        <v>0</v>
      </c>
      <c r="AG144" s="7">
        <v>0</v>
      </c>
      <c r="AH144" s="7">
        <v>0</v>
      </c>
      <c r="AI144" s="7">
        <v>28333.02</v>
      </c>
      <c r="AJ144" s="7">
        <v>0</v>
      </c>
    </row>
    <row r="145" spans="1:36" x14ac:dyDescent="0.2">
      <c r="A145" s="1" t="s">
        <v>33</v>
      </c>
      <c r="B145" s="1">
        <v>477</v>
      </c>
      <c r="C145" s="1">
        <v>1</v>
      </c>
      <c r="D145" s="1" t="s">
        <v>221</v>
      </c>
      <c r="E145" s="1">
        <v>48</v>
      </c>
      <c r="F145" s="5" t="s">
        <v>67</v>
      </c>
      <c r="G145" s="6">
        <v>20087</v>
      </c>
      <c r="H145" s="2">
        <v>2004</v>
      </c>
      <c r="I145" s="6">
        <v>21526861</v>
      </c>
      <c r="J145" s="7">
        <v>108871.54</v>
      </c>
      <c r="K145" s="6">
        <v>20087</v>
      </c>
      <c r="L145" s="7">
        <v>22837.41</v>
      </c>
      <c r="M145" s="7">
        <v>151795.95000000001</v>
      </c>
      <c r="N145" s="7">
        <v>151795.95000000001</v>
      </c>
      <c r="O145" s="7">
        <v>151795.95000000001</v>
      </c>
      <c r="P145" s="8">
        <v>1</v>
      </c>
      <c r="Q145" s="7">
        <v>0</v>
      </c>
      <c r="R145" s="7">
        <v>0</v>
      </c>
      <c r="S145" s="1">
        <v>0.99087303000000004</v>
      </c>
      <c r="T145" s="7">
        <v>0</v>
      </c>
      <c r="U145" s="7">
        <v>151795.95000000001</v>
      </c>
      <c r="V145" s="7">
        <v>820645.16</v>
      </c>
      <c r="W145" s="7">
        <v>972441.11</v>
      </c>
      <c r="X145" s="7">
        <v>243110.28</v>
      </c>
      <c r="Y145" s="7">
        <v>192335.23</v>
      </c>
      <c r="Z145" s="7">
        <v>0</v>
      </c>
      <c r="AA145" s="7">
        <v>292764.45</v>
      </c>
      <c r="AB145" s="7">
        <v>0</v>
      </c>
      <c r="AC145" s="7">
        <v>0</v>
      </c>
      <c r="AD145" s="7">
        <v>243734.07</v>
      </c>
      <c r="AE145" s="7">
        <v>242944.58</v>
      </c>
      <c r="AF145" s="7">
        <v>0</v>
      </c>
      <c r="AG145" s="7">
        <v>0</v>
      </c>
      <c r="AH145" s="7">
        <v>0</v>
      </c>
      <c r="AI145" s="7">
        <v>151795.95000000001</v>
      </c>
      <c r="AJ145" s="7">
        <v>0</v>
      </c>
    </row>
    <row r="146" spans="1:36" x14ac:dyDescent="0.2">
      <c r="A146" s="1" t="s">
        <v>33</v>
      </c>
      <c r="B146" s="1">
        <v>480</v>
      </c>
      <c r="C146" s="1">
        <v>1</v>
      </c>
      <c r="D146" s="1" t="s">
        <v>222</v>
      </c>
      <c r="E146" s="1">
        <v>48</v>
      </c>
      <c r="F146" s="5" t="s">
        <v>67</v>
      </c>
      <c r="G146" s="6">
        <v>5379</v>
      </c>
      <c r="H146" s="2">
        <v>2000</v>
      </c>
      <c r="I146" s="6">
        <v>9612804</v>
      </c>
      <c r="J146" s="7">
        <v>29154.18</v>
      </c>
      <c r="K146" s="6">
        <v>5379</v>
      </c>
      <c r="L146" s="7">
        <v>9951.15</v>
      </c>
      <c r="M146" s="7">
        <v>44484.33</v>
      </c>
      <c r="N146" s="7">
        <v>44484.33</v>
      </c>
      <c r="O146" s="7">
        <v>44484.33</v>
      </c>
      <c r="P146" s="8">
        <v>1</v>
      </c>
      <c r="Q146" s="7">
        <v>0</v>
      </c>
      <c r="R146" s="7">
        <v>0</v>
      </c>
      <c r="S146" s="1">
        <v>0.99087303000000004</v>
      </c>
      <c r="T146" s="7">
        <v>0</v>
      </c>
      <c r="U146" s="7">
        <v>44484.33</v>
      </c>
      <c r="V146" s="7">
        <v>408876.1</v>
      </c>
      <c r="W146" s="7">
        <v>453360.43</v>
      </c>
      <c r="X146" s="7">
        <v>113340.11</v>
      </c>
      <c r="Y146" s="7">
        <v>-28311.97</v>
      </c>
      <c r="Z146" s="7">
        <v>0</v>
      </c>
      <c r="AA146" s="7">
        <v>-41358.120000000003</v>
      </c>
      <c r="AB146" s="7">
        <v>0</v>
      </c>
      <c r="AC146" s="7">
        <v>0</v>
      </c>
      <c r="AD146" s="7">
        <v>-34177.279999999999</v>
      </c>
      <c r="AE146" s="7">
        <v>-34615.79</v>
      </c>
      <c r="AF146" s="7">
        <v>0</v>
      </c>
      <c r="AG146" s="7">
        <v>0</v>
      </c>
      <c r="AH146" s="7">
        <v>0</v>
      </c>
      <c r="AI146" s="7">
        <v>44484.33</v>
      </c>
      <c r="AJ146" s="7">
        <v>0</v>
      </c>
    </row>
    <row r="147" spans="1:36" x14ac:dyDescent="0.2">
      <c r="A147" s="1" t="s">
        <v>33</v>
      </c>
      <c r="B147" s="1">
        <v>482</v>
      </c>
      <c r="C147" s="1">
        <v>1</v>
      </c>
      <c r="D147" s="1" t="s">
        <v>223</v>
      </c>
      <c r="E147" s="1">
        <v>49</v>
      </c>
      <c r="F147" s="5" t="s">
        <v>66</v>
      </c>
      <c r="G147" s="6">
        <v>17088</v>
      </c>
      <c r="H147" s="2">
        <v>2000</v>
      </c>
      <c r="I147" s="6">
        <v>14858161</v>
      </c>
      <c r="J147" s="7">
        <v>92616.960000000006</v>
      </c>
      <c r="K147" s="6">
        <v>17088</v>
      </c>
      <c r="L147" s="7">
        <v>21547.84</v>
      </c>
      <c r="M147" s="7">
        <v>131252.79999999999</v>
      </c>
      <c r="N147" s="7">
        <v>131252.79999999999</v>
      </c>
      <c r="O147" s="7">
        <v>131252.79999999999</v>
      </c>
      <c r="P147" s="8">
        <v>1</v>
      </c>
      <c r="Q147" s="7">
        <v>0</v>
      </c>
      <c r="R147" s="7">
        <v>0</v>
      </c>
      <c r="S147" s="1">
        <v>0.99087303000000004</v>
      </c>
      <c r="T147" s="7">
        <v>0</v>
      </c>
      <c r="U147" s="7">
        <v>131252.79999999999</v>
      </c>
      <c r="V147" s="7">
        <v>400263.78</v>
      </c>
      <c r="W147" s="7">
        <v>531516.57999999996</v>
      </c>
      <c r="X147" s="7">
        <v>132879.15</v>
      </c>
      <c r="Y147" s="7">
        <v>151065.89000000001</v>
      </c>
      <c r="Z147" s="7">
        <v>0</v>
      </c>
      <c r="AA147" s="7">
        <v>96930.86</v>
      </c>
      <c r="AB147" s="7">
        <v>0</v>
      </c>
      <c r="AC147" s="7">
        <v>0</v>
      </c>
      <c r="AD147" s="7">
        <v>68566.23</v>
      </c>
      <c r="AE147" s="7">
        <v>105520.99</v>
      </c>
      <c r="AF147" s="7">
        <v>0</v>
      </c>
      <c r="AG147" s="7">
        <v>0</v>
      </c>
      <c r="AH147" s="7">
        <v>0</v>
      </c>
      <c r="AI147" s="7">
        <v>131252.79999999999</v>
      </c>
      <c r="AJ147" s="7">
        <v>0</v>
      </c>
    </row>
    <row r="148" spans="1:36" x14ac:dyDescent="0.2">
      <c r="A148" s="1" t="s">
        <v>33</v>
      </c>
      <c r="B148" s="1">
        <v>484</v>
      </c>
      <c r="C148" s="1">
        <v>1</v>
      </c>
      <c r="D148" s="1" t="s">
        <v>224</v>
      </c>
      <c r="E148" s="1">
        <v>49</v>
      </c>
      <c r="F148" s="5" t="s">
        <v>66</v>
      </c>
      <c r="G148" s="6">
        <v>5027</v>
      </c>
      <c r="H148" s="2">
        <v>2000</v>
      </c>
      <c r="I148" s="6">
        <v>5207633</v>
      </c>
      <c r="J148" s="7">
        <v>27246.34</v>
      </c>
      <c r="K148" s="6">
        <v>5027</v>
      </c>
      <c r="L148" s="7">
        <v>9299.9500000000007</v>
      </c>
      <c r="M148" s="7">
        <v>41573.29</v>
      </c>
      <c r="N148" s="7">
        <v>41573.29</v>
      </c>
      <c r="O148" s="7">
        <v>41573.29</v>
      </c>
      <c r="P148" s="8">
        <v>1</v>
      </c>
      <c r="Q148" s="7">
        <v>0</v>
      </c>
      <c r="R148" s="7">
        <v>0</v>
      </c>
      <c r="S148" s="1">
        <v>0.99087303000000004</v>
      </c>
      <c r="T148" s="7">
        <v>0</v>
      </c>
      <c r="U148" s="7">
        <v>41573.29</v>
      </c>
      <c r="V148" s="7">
        <v>71644.789999999994</v>
      </c>
      <c r="W148" s="7">
        <v>113218.08</v>
      </c>
      <c r="X148" s="7">
        <v>28304.52</v>
      </c>
      <c r="Y148" s="7">
        <v>47565.25</v>
      </c>
      <c r="Z148" s="7">
        <v>8587.11</v>
      </c>
      <c r="AA148" s="7">
        <v>28815.62</v>
      </c>
      <c r="AB148" s="7">
        <v>0</v>
      </c>
      <c r="AC148" s="7">
        <v>0</v>
      </c>
      <c r="AD148" s="7">
        <v>40448.78</v>
      </c>
      <c r="AE148" s="7">
        <v>36080.85</v>
      </c>
      <c r="AF148" s="7">
        <v>7776.33</v>
      </c>
      <c r="AG148" s="7">
        <v>7776.33</v>
      </c>
      <c r="AH148" s="7">
        <v>0</v>
      </c>
      <c r="AI148" s="7">
        <v>33796.959999999999</v>
      </c>
      <c r="AJ148" s="7">
        <v>0</v>
      </c>
    </row>
    <row r="149" spans="1:36" x14ac:dyDescent="0.2">
      <c r="A149" s="1" t="s">
        <v>33</v>
      </c>
      <c r="B149" s="1">
        <v>485</v>
      </c>
      <c r="C149" s="1">
        <v>1</v>
      </c>
      <c r="D149" s="1" t="s">
        <v>225</v>
      </c>
      <c r="E149" s="1">
        <v>49</v>
      </c>
      <c r="F149" s="5" t="s">
        <v>66</v>
      </c>
      <c r="G149" s="6">
        <v>3258</v>
      </c>
      <c r="H149" s="2">
        <v>2000</v>
      </c>
      <c r="I149" s="6">
        <v>3863100</v>
      </c>
      <c r="J149" s="7">
        <v>17658.36</v>
      </c>
      <c r="K149" s="6">
        <v>3258</v>
      </c>
      <c r="L149" s="7">
        <v>6027.3</v>
      </c>
      <c r="M149" s="7">
        <v>26943.66</v>
      </c>
      <c r="N149" s="7">
        <v>26943.66</v>
      </c>
      <c r="O149" s="7">
        <v>26943.66</v>
      </c>
      <c r="P149" s="8">
        <v>1</v>
      </c>
      <c r="Q149" s="7">
        <v>0</v>
      </c>
      <c r="R149" s="7">
        <v>0</v>
      </c>
      <c r="S149" s="1">
        <v>0.99087303000000004</v>
      </c>
      <c r="T149" s="7">
        <v>0</v>
      </c>
      <c r="U149" s="7">
        <v>26943.66</v>
      </c>
      <c r="V149" s="7">
        <v>48942.54</v>
      </c>
      <c r="W149" s="7">
        <v>75886.2</v>
      </c>
      <c r="X149" s="7">
        <v>18971.55</v>
      </c>
      <c r="Y149" s="7">
        <v>1758.46</v>
      </c>
      <c r="Z149" s="7">
        <v>0</v>
      </c>
      <c r="AA149" s="7">
        <v>7944.31</v>
      </c>
      <c r="AB149" s="7">
        <v>0</v>
      </c>
      <c r="AC149" s="7">
        <v>0</v>
      </c>
      <c r="AD149" s="7">
        <v>7705.27</v>
      </c>
      <c r="AE149" s="7">
        <v>5802.68</v>
      </c>
      <c r="AF149" s="7">
        <v>0</v>
      </c>
      <c r="AG149" s="7">
        <v>0</v>
      </c>
      <c r="AH149" s="7">
        <v>0</v>
      </c>
      <c r="AI149" s="7">
        <v>26943.66</v>
      </c>
      <c r="AJ149" s="7">
        <v>0</v>
      </c>
    </row>
    <row r="150" spans="1:36" x14ac:dyDescent="0.2">
      <c r="A150" s="1" t="s">
        <v>33</v>
      </c>
      <c r="B150" s="1">
        <v>486</v>
      </c>
      <c r="C150" s="1">
        <v>1</v>
      </c>
      <c r="D150" s="1" t="s">
        <v>226</v>
      </c>
      <c r="E150" s="1">
        <v>49</v>
      </c>
      <c r="F150" s="5" t="s">
        <v>66</v>
      </c>
      <c r="G150" s="6">
        <v>1845</v>
      </c>
      <c r="H150" s="2">
        <v>2000</v>
      </c>
      <c r="I150" s="6">
        <v>2465488</v>
      </c>
      <c r="J150" s="7">
        <v>9999.9</v>
      </c>
      <c r="K150" s="6">
        <v>0</v>
      </c>
      <c r="L150" s="7">
        <v>3413.25</v>
      </c>
      <c r="M150" s="7">
        <v>13413.15</v>
      </c>
      <c r="N150" s="7">
        <v>13413.15</v>
      </c>
      <c r="O150" s="7">
        <v>13413.15</v>
      </c>
      <c r="P150" s="8">
        <v>1</v>
      </c>
      <c r="Q150" s="7">
        <v>0</v>
      </c>
      <c r="R150" s="7">
        <v>0</v>
      </c>
      <c r="S150" s="1">
        <v>0.99087303000000004</v>
      </c>
      <c r="T150" s="7">
        <v>0</v>
      </c>
      <c r="U150" s="7">
        <v>13413.15</v>
      </c>
      <c r="V150" s="7">
        <v>12911.22</v>
      </c>
      <c r="W150" s="7">
        <v>26324.37</v>
      </c>
      <c r="X150" s="7">
        <v>6581.09</v>
      </c>
      <c r="Y150" s="7">
        <v>-6820.49</v>
      </c>
      <c r="Z150" s="7">
        <v>0</v>
      </c>
      <c r="AA150" s="7">
        <v>-2401.9699999999998</v>
      </c>
      <c r="AB150" s="7">
        <v>0</v>
      </c>
      <c r="AC150" s="7">
        <v>0</v>
      </c>
      <c r="AD150" s="7">
        <v>-287.68</v>
      </c>
      <c r="AE150" s="7">
        <v>-3170.05</v>
      </c>
      <c r="AF150" s="7">
        <v>0</v>
      </c>
      <c r="AG150" s="7">
        <v>0</v>
      </c>
      <c r="AH150" s="7">
        <v>0</v>
      </c>
      <c r="AI150" s="7">
        <v>13413.15</v>
      </c>
      <c r="AJ150" s="7">
        <v>0</v>
      </c>
    </row>
    <row r="151" spans="1:36" x14ac:dyDescent="0.2">
      <c r="A151" s="1" t="s">
        <v>33</v>
      </c>
      <c r="B151" s="1">
        <v>487</v>
      </c>
      <c r="C151" s="1">
        <v>1</v>
      </c>
      <c r="D151" s="1" t="s">
        <v>227</v>
      </c>
      <c r="E151" s="1">
        <v>49</v>
      </c>
      <c r="F151" s="5" t="s">
        <v>66</v>
      </c>
      <c r="G151" s="6">
        <v>1869</v>
      </c>
      <c r="H151" s="2">
        <v>2000</v>
      </c>
      <c r="I151" s="6">
        <v>1651288</v>
      </c>
      <c r="J151" s="7">
        <v>10129.98</v>
      </c>
      <c r="K151" s="6">
        <v>1869</v>
      </c>
      <c r="L151" s="7">
        <v>3457.65</v>
      </c>
      <c r="M151" s="7">
        <v>15456.63</v>
      </c>
      <c r="N151" s="7">
        <v>14861.59</v>
      </c>
      <c r="O151" s="7">
        <v>14861.59</v>
      </c>
      <c r="P151" s="8">
        <v>1</v>
      </c>
      <c r="Q151" s="7">
        <v>595.04</v>
      </c>
      <c r="R151" s="7">
        <v>595.04</v>
      </c>
      <c r="S151" s="1">
        <v>0.99087303000000004</v>
      </c>
      <c r="T151" s="7">
        <v>589.61</v>
      </c>
      <c r="U151" s="7">
        <v>15456.63</v>
      </c>
      <c r="V151" s="7">
        <v>15120.52</v>
      </c>
      <c r="W151" s="7">
        <v>30577.15</v>
      </c>
      <c r="X151" s="7">
        <v>7644.29</v>
      </c>
      <c r="Y151" s="7">
        <v>-5005.6899999999996</v>
      </c>
      <c r="Z151" s="7">
        <v>0</v>
      </c>
      <c r="AA151" s="7">
        <v>-11278.91</v>
      </c>
      <c r="AB151" s="7">
        <v>0</v>
      </c>
      <c r="AC151" s="7">
        <v>0</v>
      </c>
      <c r="AD151" s="7">
        <v>-7778.24</v>
      </c>
      <c r="AE151" s="7">
        <v>-8020.95</v>
      </c>
      <c r="AF151" s="7">
        <v>0</v>
      </c>
      <c r="AG151" s="7">
        <v>0</v>
      </c>
      <c r="AH151" s="7">
        <v>0</v>
      </c>
      <c r="AI151" s="7">
        <v>14861.59</v>
      </c>
      <c r="AJ151" s="7">
        <v>595.04</v>
      </c>
    </row>
    <row r="152" spans="1:36" x14ac:dyDescent="0.2">
      <c r="A152" s="1" t="s">
        <v>33</v>
      </c>
      <c r="B152" s="1">
        <v>492</v>
      </c>
      <c r="C152" s="1">
        <v>1</v>
      </c>
      <c r="D152" s="1" t="s">
        <v>228</v>
      </c>
      <c r="E152" s="1">
        <v>50</v>
      </c>
      <c r="F152" s="5" t="s">
        <v>61</v>
      </c>
      <c r="G152" s="6">
        <v>27510</v>
      </c>
      <c r="H152" s="2">
        <v>2000</v>
      </c>
      <c r="I152" s="6">
        <v>16385358</v>
      </c>
      <c r="J152" s="7">
        <v>149104.20000000001</v>
      </c>
      <c r="K152" s="6">
        <v>27510</v>
      </c>
      <c r="L152" s="7">
        <v>26029.3</v>
      </c>
      <c r="M152" s="7">
        <v>202643.5</v>
      </c>
      <c r="N152" s="7">
        <v>147468.22</v>
      </c>
      <c r="O152" s="7">
        <v>147468.22</v>
      </c>
      <c r="P152" s="8">
        <v>1</v>
      </c>
      <c r="Q152" s="7">
        <v>55175.28</v>
      </c>
      <c r="R152" s="7">
        <v>55175.28</v>
      </c>
      <c r="S152" s="1">
        <v>0.99087303000000004</v>
      </c>
      <c r="T152" s="7">
        <v>54671.7</v>
      </c>
      <c r="U152" s="7">
        <v>202643.5</v>
      </c>
      <c r="V152" s="7">
        <v>654232.19999999995</v>
      </c>
      <c r="W152" s="7">
        <v>856875.7</v>
      </c>
      <c r="X152" s="7">
        <v>214218.93</v>
      </c>
      <c r="Y152" s="7">
        <v>183137.35</v>
      </c>
      <c r="Z152" s="7">
        <v>0</v>
      </c>
      <c r="AA152" s="7">
        <v>264418.7</v>
      </c>
      <c r="AB152" s="7">
        <v>0</v>
      </c>
      <c r="AC152" s="7">
        <v>0</v>
      </c>
      <c r="AD152" s="7">
        <v>375813.12</v>
      </c>
      <c r="AE152" s="7">
        <v>274456.39</v>
      </c>
      <c r="AF152" s="7">
        <v>60237.46</v>
      </c>
      <c r="AG152" s="7">
        <v>43836.15</v>
      </c>
      <c r="AH152" s="7">
        <v>16401.310000000001</v>
      </c>
      <c r="AI152" s="7">
        <v>103632.07</v>
      </c>
      <c r="AJ152" s="7">
        <v>38773.97</v>
      </c>
    </row>
    <row r="153" spans="1:36" x14ac:dyDescent="0.2">
      <c r="A153" s="1" t="s">
        <v>33</v>
      </c>
      <c r="B153" s="1">
        <v>495</v>
      </c>
      <c r="C153" s="1">
        <v>1</v>
      </c>
      <c r="D153" s="1" t="s">
        <v>229</v>
      </c>
      <c r="E153" s="1">
        <v>50</v>
      </c>
      <c r="F153" s="5" t="s">
        <v>61</v>
      </c>
      <c r="G153" s="6">
        <v>1735</v>
      </c>
      <c r="H153" s="2">
        <v>2000</v>
      </c>
      <c r="I153" s="6">
        <v>2777716</v>
      </c>
      <c r="J153" s="7">
        <v>9403.7000000000007</v>
      </c>
      <c r="K153" s="6">
        <v>1735</v>
      </c>
      <c r="L153" s="7">
        <v>3209.75</v>
      </c>
      <c r="M153" s="7">
        <v>14348.45</v>
      </c>
      <c r="N153" s="7">
        <v>14348.45</v>
      </c>
      <c r="O153" s="7">
        <v>14348.45</v>
      </c>
      <c r="P153" s="8">
        <v>1</v>
      </c>
      <c r="Q153" s="7">
        <v>0</v>
      </c>
      <c r="R153" s="7">
        <v>0</v>
      </c>
      <c r="S153" s="1">
        <v>0.99087303000000004</v>
      </c>
      <c r="T153" s="7">
        <v>0</v>
      </c>
      <c r="U153" s="7">
        <v>14348.45</v>
      </c>
      <c r="V153" s="7">
        <v>24230.400000000001</v>
      </c>
      <c r="W153" s="7">
        <v>38578.85</v>
      </c>
      <c r="X153" s="7">
        <v>9644.7099999999991</v>
      </c>
      <c r="Y153" s="7">
        <v>18770.16</v>
      </c>
      <c r="Z153" s="7">
        <v>0</v>
      </c>
      <c r="AA153" s="7">
        <v>6758.35</v>
      </c>
      <c r="AB153" s="7">
        <v>301.64999999999998</v>
      </c>
      <c r="AC153" s="7">
        <v>0</v>
      </c>
      <c r="AD153" s="7">
        <v>3897.8</v>
      </c>
      <c r="AE153" s="7">
        <v>9708.2199999999993</v>
      </c>
      <c r="AF153" s="7">
        <v>63.51</v>
      </c>
      <c r="AG153" s="7">
        <v>63.51</v>
      </c>
      <c r="AH153" s="7">
        <v>0</v>
      </c>
      <c r="AI153" s="7">
        <v>14284.94</v>
      </c>
      <c r="AJ153" s="7">
        <v>0</v>
      </c>
    </row>
    <row r="154" spans="1:36" x14ac:dyDescent="0.2">
      <c r="A154" s="1" t="s">
        <v>33</v>
      </c>
      <c r="B154" s="1">
        <v>497</v>
      </c>
      <c r="C154" s="1">
        <v>1</v>
      </c>
      <c r="D154" s="1" t="s">
        <v>230</v>
      </c>
      <c r="E154" s="1">
        <v>50</v>
      </c>
      <c r="F154" s="5" t="s">
        <v>61</v>
      </c>
      <c r="G154" s="6">
        <v>1217</v>
      </c>
      <c r="H154" s="2">
        <v>2000</v>
      </c>
      <c r="I154" s="6">
        <v>1424610</v>
      </c>
      <c r="J154" s="7">
        <v>7235.7</v>
      </c>
      <c r="K154" s="6">
        <v>0</v>
      </c>
      <c r="L154" s="7">
        <v>0</v>
      </c>
      <c r="M154" s="7">
        <v>7235.7</v>
      </c>
      <c r="N154" s="7">
        <v>7235.7</v>
      </c>
      <c r="O154" s="7">
        <v>7235.7</v>
      </c>
      <c r="P154" s="8">
        <v>1</v>
      </c>
      <c r="Q154" s="7">
        <v>0</v>
      </c>
      <c r="R154" s="7">
        <v>0</v>
      </c>
      <c r="S154" s="1">
        <v>0.99087303000000004</v>
      </c>
      <c r="T154" s="7">
        <v>0</v>
      </c>
      <c r="U154" s="7">
        <v>7235.7</v>
      </c>
      <c r="V154" s="7">
        <v>3253.9</v>
      </c>
      <c r="W154" s="7">
        <v>10489.6</v>
      </c>
      <c r="X154" s="7">
        <v>2622.4</v>
      </c>
      <c r="Y154" s="7">
        <v>-8779.5300000000007</v>
      </c>
      <c r="Z154" s="7">
        <v>0</v>
      </c>
      <c r="AA154" s="7">
        <v>-11287.98</v>
      </c>
      <c r="AB154" s="7">
        <v>0</v>
      </c>
      <c r="AC154" s="7">
        <v>0</v>
      </c>
      <c r="AD154" s="7">
        <v>-4993.91</v>
      </c>
      <c r="AE154" s="7">
        <v>-8353.81</v>
      </c>
      <c r="AF154" s="7">
        <v>0</v>
      </c>
      <c r="AG154" s="7">
        <v>0</v>
      </c>
      <c r="AH154" s="7">
        <v>0</v>
      </c>
      <c r="AI154" s="7">
        <v>7235.7</v>
      </c>
      <c r="AJ154" s="7">
        <v>0</v>
      </c>
    </row>
    <row r="155" spans="1:36" x14ac:dyDescent="0.2">
      <c r="A155" s="1" t="s">
        <v>33</v>
      </c>
      <c r="B155" s="1">
        <v>499</v>
      </c>
      <c r="C155" s="1">
        <v>1</v>
      </c>
      <c r="D155" s="1" t="s">
        <v>231</v>
      </c>
      <c r="E155" s="1">
        <v>50</v>
      </c>
      <c r="F155" s="5" t="s">
        <v>61</v>
      </c>
      <c r="G155" s="6">
        <v>2080</v>
      </c>
      <c r="H155" s="2">
        <v>2000</v>
      </c>
      <c r="I155" s="6">
        <v>2997010</v>
      </c>
      <c r="J155" s="7">
        <v>11273.6</v>
      </c>
      <c r="K155" s="6">
        <v>2080</v>
      </c>
      <c r="L155" s="7">
        <v>3848</v>
      </c>
      <c r="M155" s="7">
        <v>17201.599999999999</v>
      </c>
      <c r="N155" s="7">
        <v>17201.599999999999</v>
      </c>
      <c r="O155" s="7">
        <v>17201.599999999999</v>
      </c>
      <c r="P155" s="8">
        <v>1</v>
      </c>
      <c r="Q155" s="7">
        <v>0</v>
      </c>
      <c r="R155" s="7">
        <v>0</v>
      </c>
      <c r="S155" s="1">
        <v>0.99087303000000004</v>
      </c>
      <c r="T155" s="7">
        <v>0</v>
      </c>
      <c r="U155" s="7">
        <v>13353.6</v>
      </c>
      <c r="V155" s="7">
        <v>89066.44</v>
      </c>
      <c r="W155" s="7">
        <v>102420.04</v>
      </c>
      <c r="X155" s="7">
        <v>25605.01</v>
      </c>
      <c r="Y155" s="7">
        <v>12422.06</v>
      </c>
      <c r="Z155" s="7">
        <v>285.75</v>
      </c>
      <c r="AA155" s="7">
        <v>15256.37</v>
      </c>
      <c r="AB155" s="7">
        <v>0</v>
      </c>
      <c r="AC155" s="7">
        <v>0</v>
      </c>
      <c r="AD155" s="7">
        <v>9026.66</v>
      </c>
      <c r="AE155" s="7">
        <v>12139.78</v>
      </c>
      <c r="AF155" s="7">
        <v>0</v>
      </c>
      <c r="AG155" s="7">
        <v>0</v>
      </c>
      <c r="AH155" s="7">
        <v>0</v>
      </c>
      <c r="AI155" s="7">
        <v>17201.599999999999</v>
      </c>
      <c r="AJ155" s="7">
        <v>0</v>
      </c>
    </row>
    <row r="156" spans="1:36" x14ac:dyDescent="0.2">
      <c r="A156" s="1" t="s">
        <v>33</v>
      </c>
      <c r="B156" s="1">
        <v>500</v>
      </c>
      <c r="C156" s="1">
        <v>1</v>
      </c>
      <c r="D156" s="1" t="s">
        <v>232</v>
      </c>
      <c r="E156" s="1">
        <v>50</v>
      </c>
      <c r="F156" s="5" t="s">
        <v>61</v>
      </c>
      <c r="G156" s="6">
        <v>3606</v>
      </c>
      <c r="H156" s="2">
        <v>2000</v>
      </c>
      <c r="I156" s="6">
        <v>4999850</v>
      </c>
      <c r="J156" s="7">
        <v>19544.52</v>
      </c>
      <c r="K156" s="6">
        <v>3606</v>
      </c>
      <c r="L156" s="7">
        <v>6671.1</v>
      </c>
      <c r="M156" s="7">
        <v>29821.62</v>
      </c>
      <c r="N156" s="7">
        <v>29821.62</v>
      </c>
      <c r="O156" s="7">
        <v>29821.62</v>
      </c>
      <c r="P156" s="8">
        <v>1</v>
      </c>
      <c r="Q156" s="7">
        <v>0</v>
      </c>
      <c r="R156" s="7">
        <v>0</v>
      </c>
      <c r="S156" s="1">
        <v>0.99087303000000004</v>
      </c>
      <c r="T156" s="7">
        <v>0</v>
      </c>
      <c r="U156" s="7">
        <v>26215.62</v>
      </c>
      <c r="V156" s="7">
        <v>50268.33</v>
      </c>
      <c r="W156" s="7">
        <v>76483.95</v>
      </c>
      <c r="X156" s="7">
        <v>19120.990000000002</v>
      </c>
      <c r="Y156" s="7">
        <v>30706.13</v>
      </c>
      <c r="Z156" s="7">
        <v>474.36</v>
      </c>
      <c r="AA156" s="7">
        <v>29089.27</v>
      </c>
      <c r="AB156" s="7">
        <v>0</v>
      </c>
      <c r="AC156" s="7">
        <v>0</v>
      </c>
      <c r="AD156" s="7">
        <v>8250.7800000000007</v>
      </c>
      <c r="AE156" s="7">
        <v>22523.94</v>
      </c>
      <c r="AF156" s="7">
        <v>3402.95</v>
      </c>
      <c r="AG156" s="7">
        <v>3402.95</v>
      </c>
      <c r="AH156" s="7">
        <v>0</v>
      </c>
      <c r="AI156" s="7">
        <v>26418.67</v>
      </c>
      <c r="AJ156" s="7">
        <v>0</v>
      </c>
    </row>
    <row r="157" spans="1:36" x14ac:dyDescent="0.2">
      <c r="A157" s="1" t="s">
        <v>33</v>
      </c>
      <c r="B157" s="1">
        <v>505</v>
      </c>
      <c r="C157" s="1">
        <v>1</v>
      </c>
      <c r="D157" s="1" t="s">
        <v>233</v>
      </c>
      <c r="E157" s="1">
        <v>51</v>
      </c>
      <c r="F157" s="5" t="s">
        <v>65</v>
      </c>
      <c r="G157" s="6">
        <v>2764</v>
      </c>
      <c r="H157" s="2">
        <v>2000</v>
      </c>
      <c r="I157" s="6">
        <v>3836913</v>
      </c>
      <c r="J157" s="7">
        <v>14980.88</v>
      </c>
      <c r="K157" s="6">
        <v>2764</v>
      </c>
      <c r="L157" s="7">
        <v>5113.3999999999996</v>
      </c>
      <c r="M157" s="7">
        <v>22858.28</v>
      </c>
      <c r="N157" s="7">
        <v>22858.28</v>
      </c>
      <c r="O157" s="7">
        <v>22858.28</v>
      </c>
      <c r="P157" s="8">
        <v>1</v>
      </c>
      <c r="Q157" s="7">
        <v>0</v>
      </c>
      <c r="R157" s="7">
        <v>0</v>
      </c>
      <c r="S157" s="1">
        <v>0.99087303000000004</v>
      </c>
      <c r="T157" s="7">
        <v>0</v>
      </c>
      <c r="U157" s="7">
        <v>22858.28</v>
      </c>
      <c r="V157" s="7">
        <v>143313.98000000001</v>
      </c>
      <c r="W157" s="7">
        <v>166172.26</v>
      </c>
      <c r="X157" s="7">
        <v>41543.07</v>
      </c>
      <c r="Y157" s="7">
        <v>16930.07</v>
      </c>
      <c r="Z157" s="7">
        <v>0</v>
      </c>
      <c r="AA157" s="7">
        <v>17861.259999999998</v>
      </c>
      <c r="AB157" s="7">
        <v>0</v>
      </c>
      <c r="AC157" s="7">
        <v>0</v>
      </c>
      <c r="AD157" s="7">
        <v>19163.37</v>
      </c>
      <c r="AE157" s="7">
        <v>17984.900000000001</v>
      </c>
      <c r="AF157" s="7">
        <v>0</v>
      </c>
      <c r="AG157" s="7">
        <v>0</v>
      </c>
      <c r="AH157" s="7">
        <v>0</v>
      </c>
      <c r="AI157" s="7">
        <v>22858.28</v>
      </c>
      <c r="AJ157" s="7">
        <v>0</v>
      </c>
    </row>
    <row r="158" spans="1:36" x14ac:dyDescent="0.2">
      <c r="A158" s="1" t="s">
        <v>33</v>
      </c>
      <c r="B158" s="1">
        <v>507</v>
      </c>
      <c r="C158" s="1">
        <v>1</v>
      </c>
      <c r="D158" s="1" t="s">
        <v>234</v>
      </c>
      <c r="E158" s="1">
        <v>52</v>
      </c>
      <c r="F158" s="5" t="s">
        <v>57</v>
      </c>
      <c r="G158" s="6">
        <v>2414</v>
      </c>
      <c r="H158" s="2">
        <v>2000</v>
      </c>
      <c r="I158" s="6">
        <v>3758886</v>
      </c>
      <c r="J158" s="7">
        <v>13083.88</v>
      </c>
      <c r="K158" s="6">
        <v>2414</v>
      </c>
      <c r="L158" s="7">
        <v>4465.8999999999996</v>
      </c>
      <c r="M158" s="7">
        <v>19963.78</v>
      </c>
      <c r="N158" s="7">
        <v>19963.78</v>
      </c>
      <c r="O158" s="7">
        <v>19963.78</v>
      </c>
      <c r="P158" s="8">
        <v>1</v>
      </c>
      <c r="Q158" s="7">
        <v>0</v>
      </c>
      <c r="R158" s="7">
        <v>0</v>
      </c>
      <c r="S158" s="1">
        <v>0.99087303000000004</v>
      </c>
      <c r="T158" s="7">
        <v>0</v>
      </c>
      <c r="U158" s="7">
        <v>19963.78</v>
      </c>
      <c r="V158" s="7">
        <v>359936.47</v>
      </c>
      <c r="W158" s="7">
        <v>379900.25</v>
      </c>
      <c r="X158" s="7">
        <v>94975.06</v>
      </c>
      <c r="Y158" s="7">
        <v>-5850.4</v>
      </c>
      <c r="Z158" s="7">
        <v>0</v>
      </c>
      <c r="AA158" s="7">
        <v>7905.75</v>
      </c>
      <c r="AB158" s="7">
        <v>0</v>
      </c>
      <c r="AC158" s="7">
        <v>0</v>
      </c>
      <c r="AD158" s="7">
        <v>9511.18</v>
      </c>
      <c r="AE158" s="7">
        <v>3855.51</v>
      </c>
      <c r="AF158" s="7">
        <v>0</v>
      </c>
      <c r="AG158" s="7">
        <v>0</v>
      </c>
      <c r="AH158" s="7">
        <v>0</v>
      </c>
      <c r="AI158" s="7">
        <v>19963.78</v>
      </c>
      <c r="AJ158" s="7">
        <v>0</v>
      </c>
    </row>
    <row r="159" spans="1:36" x14ac:dyDescent="0.2">
      <c r="A159" s="1" t="s">
        <v>33</v>
      </c>
      <c r="B159" s="1">
        <v>508</v>
      </c>
      <c r="C159" s="1">
        <v>1</v>
      </c>
      <c r="D159" s="1" t="s">
        <v>235</v>
      </c>
      <c r="E159" s="1">
        <v>52</v>
      </c>
      <c r="F159" s="5" t="s">
        <v>57</v>
      </c>
      <c r="G159" s="6">
        <v>13018</v>
      </c>
      <c r="H159" s="2">
        <v>2000</v>
      </c>
      <c r="I159" s="6">
        <v>10315597</v>
      </c>
      <c r="J159" s="7">
        <v>70557.56</v>
      </c>
      <c r="K159" s="6">
        <v>13018</v>
      </c>
      <c r="L159" s="7">
        <v>19797.740000000002</v>
      </c>
      <c r="M159" s="7">
        <v>103373.3</v>
      </c>
      <c r="N159" s="7">
        <v>92840.37</v>
      </c>
      <c r="O159" s="7">
        <v>92840.37</v>
      </c>
      <c r="P159" s="8">
        <v>1</v>
      </c>
      <c r="Q159" s="7">
        <v>10532.93</v>
      </c>
      <c r="R159" s="7">
        <v>10532.93</v>
      </c>
      <c r="S159" s="1">
        <v>0.99087303000000004</v>
      </c>
      <c r="T159" s="7">
        <v>10436.799999999999</v>
      </c>
      <c r="U159" s="7">
        <v>103373.3</v>
      </c>
      <c r="V159" s="7">
        <v>130985.33</v>
      </c>
      <c r="W159" s="7">
        <v>234358.63</v>
      </c>
      <c r="X159" s="7">
        <v>58589.66</v>
      </c>
      <c r="Y159" s="7">
        <v>32008.51</v>
      </c>
      <c r="Z159" s="7">
        <v>0</v>
      </c>
      <c r="AA159" s="7">
        <v>39520.36</v>
      </c>
      <c r="AB159" s="7">
        <v>0</v>
      </c>
      <c r="AC159" s="7">
        <v>0</v>
      </c>
      <c r="AD159" s="7">
        <v>58184.29</v>
      </c>
      <c r="AE159" s="7">
        <v>43237.72</v>
      </c>
      <c r="AF159" s="7">
        <v>0</v>
      </c>
      <c r="AG159" s="7">
        <v>0</v>
      </c>
      <c r="AH159" s="7">
        <v>0</v>
      </c>
      <c r="AI159" s="7">
        <v>92840.37</v>
      </c>
      <c r="AJ159" s="7">
        <v>10532.93</v>
      </c>
    </row>
    <row r="160" spans="1:36" x14ac:dyDescent="0.2">
      <c r="A160" s="1" t="s">
        <v>33</v>
      </c>
      <c r="B160" s="1">
        <v>511</v>
      </c>
      <c r="C160" s="1">
        <v>1</v>
      </c>
      <c r="D160" s="1" t="s">
        <v>236</v>
      </c>
      <c r="E160" s="1">
        <v>53</v>
      </c>
      <c r="F160" s="5" t="s">
        <v>65</v>
      </c>
      <c r="G160" s="6">
        <v>2643</v>
      </c>
      <c r="H160" s="2">
        <v>2000</v>
      </c>
      <c r="I160" s="6">
        <v>3541980</v>
      </c>
      <c r="J160" s="7">
        <v>14325.06</v>
      </c>
      <c r="K160" s="6">
        <v>0</v>
      </c>
      <c r="L160" s="7">
        <v>4889.55</v>
      </c>
      <c r="M160" s="7">
        <v>19214.61</v>
      </c>
      <c r="N160" s="7">
        <v>19214.61</v>
      </c>
      <c r="O160" s="7">
        <v>19214.61</v>
      </c>
      <c r="P160" s="8">
        <v>1</v>
      </c>
      <c r="Q160" s="7">
        <v>0</v>
      </c>
      <c r="R160" s="7">
        <v>0</v>
      </c>
      <c r="S160" s="1">
        <v>0.99087303000000004</v>
      </c>
      <c r="T160" s="7">
        <v>0</v>
      </c>
      <c r="U160" s="7">
        <v>19214.61</v>
      </c>
      <c r="V160" s="7">
        <v>57642.67</v>
      </c>
      <c r="W160" s="7">
        <v>76857.279999999999</v>
      </c>
      <c r="X160" s="7">
        <v>19214.32</v>
      </c>
      <c r="Y160" s="7">
        <v>45691.55</v>
      </c>
      <c r="Z160" s="7">
        <v>85.24</v>
      </c>
      <c r="AA160" s="7">
        <v>64742.81</v>
      </c>
      <c r="AB160" s="7">
        <v>17431.88</v>
      </c>
      <c r="AC160" s="7">
        <v>0</v>
      </c>
      <c r="AD160" s="7">
        <v>58268.29</v>
      </c>
      <c r="AE160" s="7">
        <v>50395.18</v>
      </c>
      <c r="AF160" s="7">
        <v>19214.61</v>
      </c>
      <c r="AG160" s="7">
        <v>19214.61</v>
      </c>
      <c r="AH160" s="7">
        <v>0</v>
      </c>
      <c r="AI160" s="7">
        <v>0</v>
      </c>
      <c r="AJ160" s="7">
        <v>0</v>
      </c>
    </row>
    <row r="161" spans="1:36" x14ac:dyDescent="0.2">
      <c r="A161" s="1" t="s">
        <v>33</v>
      </c>
      <c r="B161" s="1">
        <v>513</v>
      </c>
      <c r="C161" s="1">
        <v>1</v>
      </c>
      <c r="D161" s="1" t="s">
        <v>237</v>
      </c>
      <c r="E161" s="1">
        <v>53</v>
      </c>
      <c r="F161" s="5" t="s">
        <v>65</v>
      </c>
      <c r="G161" s="6">
        <v>991</v>
      </c>
      <c r="H161" s="2">
        <v>2000</v>
      </c>
      <c r="I161" s="6">
        <v>1719131</v>
      </c>
      <c r="J161" s="7">
        <v>7235.7</v>
      </c>
      <c r="K161" s="6">
        <v>1335</v>
      </c>
      <c r="L161" s="7">
        <v>2469.75</v>
      </c>
      <c r="M161" s="7">
        <v>11040.45</v>
      </c>
      <c r="N161" s="7">
        <v>11040.45</v>
      </c>
      <c r="O161" s="7">
        <v>11040.45</v>
      </c>
      <c r="P161" s="8">
        <v>1</v>
      </c>
      <c r="Q161" s="7">
        <v>0</v>
      </c>
      <c r="R161" s="7">
        <v>0</v>
      </c>
      <c r="S161" s="1">
        <v>0.99087303000000004</v>
      </c>
      <c r="T161" s="7">
        <v>0</v>
      </c>
      <c r="U161" s="7">
        <v>11040.45</v>
      </c>
      <c r="V161" s="7">
        <v>7295.27</v>
      </c>
      <c r="W161" s="7">
        <v>18335.72</v>
      </c>
      <c r="X161" s="7">
        <v>4583.93</v>
      </c>
      <c r="Y161" s="7">
        <v>1199.1099999999999</v>
      </c>
      <c r="Z161" s="7">
        <v>0</v>
      </c>
      <c r="AA161" s="7">
        <v>13365</v>
      </c>
      <c r="AB161" s="7">
        <v>603.70000000000005</v>
      </c>
      <c r="AC161" s="7">
        <v>0</v>
      </c>
      <c r="AD161" s="7">
        <v>13852.94</v>
      </c>
      <c r="AE161" s="7">
        <v>9271.1200000000008</v>
      </c>
      <c r="AF161" s="7">
        <v>4687.1899999999996</v>
      </c>
      <c r="AG161" s="7">
        <v>4687.1899999999996</v>
      </c>
      <c r="AH161" s="7">
        <v>0</v>
      </c>
      <c r="AI161" s="7">
        <v>6353.26</v>
      </c>
      <c r="AJ161" s="7">
        <v>0</v>
      </c>
    </row>
    <row r="162" spans="1:36" x14ac:dyDescent="0.2">
      <c r="A162" s="1" t="s">
        <v>33</v>
      </c>
      <c r="B162" s="1">
        <v>514</v>
      </c>
      <c r="C162" s="1">
        <v>1</v>
      </c>
      <c r="D162" s="1" t="s">
        <v>238</v>
      </c>
      <c r="E162" s="1">
        <v>53</v>
      </c>
      <c r="F162" s="5" t="s">
        <v>65</v>
      </c>
      <c r="G162" s="6">
        <v>1090</v>
      </c>
      <c r="H162" s="2">
        <v>2000</v>
      </c>
      <c r="I162" s="6">
        <v>1552358</v>
      </c>
      <c r="J162" s="7">
        <v>7235.7</v>
      </c>
      <c r="K162" s="6">
        <v>0</v>
      </c>
      <c r="L162" s="7">
        <v>2469.75</v>
      </c>
      <c r="M162" s="7">
        <v>9705.4500000000007</v>
      </c>
      <c r="N162" s="7">
        <v>9705.4500000000007</v>
      </c>
      <c r="O162" s="7">
        <v>9705.4500000000007</v>
      </c>
      <c r="P162" s="8">
        <v>1</v>
      </c>
      <c r="Q162" s="7">
        <v>0</v>
      </c>
      <c r="R162" s="7">
        <v>0</v>
      </c>
      <c r="S162" s="1">
        <v>0.99087303000000004</v>
      </c>
      <c r="T162" s="7">
        <v>0</v>
      </c>
      <c r="U162" s="7">
        <v>9705.4500000000007</v>
      </c>
      <c r="V162" s="7">
        <v>2889.19</v>
      </c>
      <c r="W162" s="7">
        <v>12594.64</v>
      </c>
      <c r="X162" s="7">
        <v>3148.66</v>
      </c>
      <c r="Y162" s="7">
        <v>2866.68</v>
      </c>
      <c r="Z162" s="7">
        <v>0</v>
      </c>
      <c r="AA162" s="7">
        <v>0</v>
      </c>
      <c r="AB162" s="7">
        <v>0</v>
      </c>
      <c r="AC162" s="7">
        <v>0</v>
      </c>
      <c r="AD162" s="7">
        <v>35</v>
      </c>
      <c r="AE162" s="7">
        <v>967.23</v>
      </c>
      <c r="AF162" s="7">
        <v>0</v>
      </c>
      <c r="AG162" s="7">
        <v>0</v>
      </c>
      <c r="AH162" s="7">
        <v>0</v>
      </c>
      <c r="AI162" s="7">
        <v>9705.4500000000007</v>
      </c>
      <c r="AJ162" s="7">
        <v>0</v>
      </c>
    </row>
    <row r="163" spans="1:36" x14ac:dyDescent="0.2">
      <c r="A163" s="1" t="s">
        <v>33</v>
      </c>
      <c r="B163" s="1">
        <v>516</v>
      </c>
      <c r="C163" s="1">
        <v>1</v>
      </c>
      <c r="D163" s="1" t="s">
        <v>239</v>
      </c>
      <c r="E163" s="1">
        <v>53</v>
      </c>
      <c r="F163" s="5" t="s">
        <v>65</v>
      </c>
      <c r="G163" s="6">
        <v>806</v>
      </c>
      <c r="H163" s="2">
        <v>2000</v>
      </c>
      <c r="I163" s="6">
        <v>1216722</v>
      </c>
      <c r="J163" s="7">
        <v>7235.7</v>
      </c>
      <c r="K163" s="6">
        <v>1335</v>
      </c>
      <c r="L163" s="7">
        <v>2469.75</v>
      </c>
      <c r="M163" s="7">
        <v>11040.45</v>
      </c>
      <c r="N163" s="7">
        <v>10950.5</v>
      </c>
      <c r="O163" s="7">
        <v>10950.5</v>
      </c>
      <c r="P163" s="8">
        <v>1</v>
      </c>
      <c r="Q163" s="7">
        <v>89.95</v>
      </c>
      <c r="R163" s="7">
        <v>89.95</v>
      </c>
      <c r="S163" s="1">
        <v>0.99087303000000004</v>
      </c>
      <c r="T163" s="7">
        <v>89.13</v>
      </c>
      <c r="U163" s="7">
        <v>11040.45</v>
      </c>
      <c r="V163" s="7">
        <v>827.36</v>
      </c>
      <c r="W163" s="7">
        <v>11867.81</v>
      </c>
      <c r="X163" s="7">
        <v>2966.95</v>
      </c>
      <c r="Y163" s="7">
        <v>-292.27999999999997</v>
      </c>
      <c r="Z163" s="7">
        <v>0</v>
      </c>
      <c r="AA163" s="7">
        <v>-2629.76</v>
      </c>
      <c r="AB163" s="7">
        <v>0</v>
      </c>
      <c r="AC163" s="7">
        <v>0</v>
      </c>
      <c r="AD163" s="7">
        <v>2847</v>
      </c>
      <c r="AE163" s="7">
        <v>-25.01</v>
      </c>
      <c r="AF163" s="7">
        <v>0</v>
      </c>
      <c r="AG163" s="7">
        <v>0</v>
      </c>
      <c r="AH163" s="7">
        <v>0</v>
      </c>
      <c r="AI163" s="7">
        <v>10950.5</v>
      </c>
      <c r="AJ163" s="7">
        <v>89.95</v>
      </c>
    </row>
    <row r="164" spans="1:36" x14ac:dyDescent="0.2">
      <c r="A164" s="1" t="s">
        <v>33</v>
      </c>
      <c r="B164" s="1">
        <v>518</v>
      </c>
      <c r="C164" s="1">
        <v>1</v>
      </c>
      <c r="D164" s="1" t="s">
        <v>240</v>
      </c>
      <c r="E164" s="1">
        <v>53</v>
      </c>
      <c r="F164" s="5" t="s">
        <v>65</v>
      </c>
      <c r="G164" s="6">
        <v>14474</v>
      </c>
      <c r="H164" s="2">
        <v>2000</v>
      </c>
      <c r="I164" s="6">
        <v>10431593</v>
      </c>
      <c r="J164" s="7">
        <v>78449.08</v>
      </c>
      <c r="K164" s="6">
        <v>14474</v>
      </c>
      <c r="L164" s="7">
        <v>20423.82</v>
      </c>
      <c r="M164" s="7">
        <v>113346.9</v>
      </c>
      <c r="N164" s="7">
        <v>93884.34</v>
      </c>
      <c r="O164" s="7">
        <v>93884.34</v>
      </c>
      <c r="P164" s="8">
        <v>1</v>
      </c>
      <c r="Q164" s="7">
        <v>19462.560000000001</v>
      </c>
      <c r="R164" s="7">
        <v>19462.560000000001</v>
      </c>
      <c r="S164" s="1">
        <v>0.99087303000000004</v>
      </c>
      <c r="T164" s="7">
        <v>19284.93</v>
      </c>
      <c r="U164" s="7">
        <v>113346.9</v>
      </c>
      <c r="V164" s="7">
        <v>169435.81</v>
      </c>
      <c r="W164" s="7">
        <v>282782.71000000002</v>
      </c>
      <c r="X164" s="7">
        <v>70695.679999999993</v>
      </c>
      <c r="Y164" s="7">
        <v>108569.78</v>
      </c>
      <c r="Z164" s="7">
        <v>0</v>
      </c>
      <c r="AA164" s="7">
        <v>53137.71</v>
      </c>
      <c r="AB164" s="7">
        <v>1757.55</v>
      </c>
      <c r="AC164" s="7">
        <v>0</v>
      </c>
      <c r="AD164" s="7">
        <v>47907.21</v>
      </c>
      <c r="AE164" s="7">
        <v>69285.72</v>
      </c>
      <c r="AF164" s="7">
        <v>0</v>
      </c>
      <c r="AG164" s="7">
        <v>0</v>
      </c>
      <c r="AH164" s="7">
        <v>0</v>
      </c>
      <c r="AI164" s="7">
        <v>93884.34</v>
      </c>
      <c r="AJ164" s="7">
        <v>19462.560000000001</v>
      </c>
    </row>
    <row r="165" spans="1:36" x14ac:dyDescent="0.2">
      <c r="A165" s="1" t="s">
        <v>33</v>
      </c>
      <c r="B165" s="1">
        <v>531</v>
      </c>
      <c r="C165" s="1">
        <v>1</v>
      </c>
      <c r="D165" s="1" t="s">
        <v>241</v>
      </c>
      <c r="E165" s="1">
        <v>55</v>
      </c>
      <c r="F165" s="5" t="s">
        <v>61</v>
      </c>
      <c r="G165" s="6">
        <v>5916</v>
      </c>
      <c r="H165" s="2">
        <v>2000</v>
      </c>
      <c r="I165" s="6">
        <v>7900992</v>
      </c>
      <c r="J165" s="7">
        <v>32064.720000000001</v>
      </c>
      <c r="K165" s="6">
        <v>5916</v>
      </c>
      <c r="L165" s="7">
        <v>10944.6</v>
      </c>
      <c r="M165" s="7">
        <v>48925.32</v>
      </c>
      <c r="N165" s="7">
        <v>48925.32</v>
      </c>
      <c r="O165" s="7">
        <v>48925.32</v>
      </c>
      <c r="P165" s="8">
        <v>1</v>
      </c>
      <c r="Q165" s="7">
        <v>0</v>
      </c>
      <c r="R165" s="7">
        <v>0</v>
      </c>
      <c r="S165" s="1">
        <v>0.99087303000000004</v>
      </c>
      <c r="T165" s="7">
        <v>0</v>
      </c>
      <c r="U165" s="7">
        <v>48925.32</v>
      </c>
      <c r="V165" s="7">
        <v>210659.39</v>
      </c>
      <c r="W165" s="7">
        <v>259584.71</v>
      </c>
      <c r="X165" s="7">
        <v>64896.18</v>
      </c>
      <c r="Y165" s="7">
        <v>13529.02</v>
      </c>
      <c r="Z165" s="7">
        <v>0</v>
      </c>
      <c r="AA165" s="7">
        <v>4533.6499999999996</v>
      </c>
      <c r="AB165" s="7">
        <v>0</v>
      </c>
      <c r="AC165" s="7">
        <v>0</v>
      </c>
      <c r="AD165" s="7">
        <v>37239.26</v>
      </c>
      <c r="AE165" s="7">
        <v>18433.98</v>
      </c>
      <c r="AF165" s="7">
        <v>0</v>
      </c>
      <c r="AG165" s="7">
        <v>0</v>
      </c>
      <c r="AH165" s="7">
        <v>0</v>
      </c>
      <c r="AI165" s="7">
        <v>48925.32</v>
      </c>
      <c r="AJ165" s="7">
        <v>0</v>
      </c>
    </row>
    <row r="166" spans="1:36" x14ac:dyDescent="0.2">
      <c r="A166" s="1" t="s">
        <v>33</v>
      </c>
      <c r="B166" s="1">
        <v>533</v>
      </c>
      <c r="C166" s="1">
        <v>1</v>
      </c>
      <c r="D166" s="1" t="s">
        <v>242</v>
      </c>
      <c r="E166" s="1">
        <v>55</v>
      </c>
      <c r="F166" s="5" t="s">
        <v>61</v>
      </c>
      <c r="G166" s="6">
        <v>3450</v>
      </c>
      <c r="H166" s="2">
        <v>2000</v>
      </c>
      <c r="I166" s="6">
        <v>4342815</v>
      </c>
      <c r="J166" s="7">
        <v>18699</v>
      </c>
      <c r="K166" s="6">
        <v>3450</v>
      </c>
      <c r="L166" s="7">
        <v>6382.5</v>
      </c>
      <c r="M166" s="7">
        <v>28531.5</v>
      </c>
      <c r="N166" s="7">
        <v>28531.5</v>
      </c>
      <c r="O166" s="7">
        <v>28531.5</v>
      </c>
      <c r="P166" s="8">
        <v>1</v>
      </c>
      <c r="Q166" s="7">
        <v>0</v>
      </c>
      <c r="R166" s="7">
        <v>0</v>
      </c>
      <c r="S166" s="1">
        <v>0.99087303000000004</v>
      </c>
      <c r="T166" s="7">
        <v>0</v>
      </c>
      <c r="U166" s="7">
        <v>28531.5</v>
      </c>
      <c r="V166" s="7">
        <v>129781.17</v>
      </c>
      <c r="W166" s="7">
        <v>158312.67000000001</v>
      </c>
      <c r="X166" s="7">
        <v>39578.17</v>
      </c>
      <c r="Y166" s="7">
        <v>32297.15</v>
      </c>
      <c r="Z166" s="7">
        <v>0</v>
      </c>
      <c r="AA166" s="7">
        <v>67467.63</v>
      </c>
      <c r="AB166" s="7">
        <v>0</v>
      </c>
      <c r="AC166" s="7">
        <v>0</v>
      </c>
      <c r="AD166" s="7">
        <v>86598.57</v>
      </c>
      <c r="AE166" s="7">
        <v>62121.120000000003</v>
      </c>
      <c r="AF166" s="7">
        <v>22542.95</v>
      </c>
      <c r="AG166" s="7">
        <v>22542.95</v>
      </c>
      <c r="AH166" s="7">
        <v>0</v>
      </c>
      <c r="AI166" s="7">
        <v>5988.55</v>
      </c>
      <c r="AJ166" s="7">
        <v>0</v>
      </c>
    </row>
    <row r="167" spans="1:36" x14ac:dyDescent="0.2">
      <c r="A167" s="1" t="s">
        <v>33</v>
      </c>
      <c r="B167" s="1">
        <v>534</v>
      </c>
      <c r="C167" s="1">
        <v>1</v>
      </c>
      <c r="D167" s="1" t="s">
        <v>243</v>
      </c>
      <c r="E167" s="1">
        <v>55</v>
      </c>
      <c r="F167" s="5" t="s">
        <v>61</v>
      </c>
      <c r="G167" s="6">
        <v>8130</v>
      </c>
      <c r="H167" s="2">
        <v>2000</v>
      </c>
      <c r="I167" s="6">
        <v>8528964</v>
      </c>
      <c r="J167" s="7">
        <v>44064.6</v>
      </c>
      <c r="K167" s="6">
        <v>8130</v>
      </c>
      <c r="L167" s="7">
        <v>15040.5</v>
      </c>
      <c r="M167" s="7">
        <v>67235.100000000006</v>
      </c>
      <c r="N167" s="7">
        <v>67235.100000000006</v>
      </c>
      <c r="O167" s="7">
        <v>67235.100000000006</v>
      </c>
      <c r="P167" s="8">
        <v>1</v>
      </c>
      <c r="Q167" s="7">
        <v>0</v>
      </c>
      <c r="R167" s="7">
        <v>0</v>
      </c>
      <c r="S167" s="1">
        <v>0.99087303000000004</v>
      </c>
      <c r="T167" s="7">
        <v>0</v>
      </c>
      <c r="U167" s="7">
        <v>52194.6</v>
      </c>
      <c r="V167" s="7">
        <v>483027.5</v>
      </c>
      <c r="W167" s="7">
        <v>535222.1</v>
      </c>
      <c r="X167" s="7">
        <v>133805.53</v>
      </c>
      <c r="Y167" s="7">
        <v>55201.07</v>
      </c>
      <c r="Z167" s="7">
        <v>0</v>
      </c>
      <c r="AA167" s="7">
        <v>82886.179999999993</v>
      </c>
      <c r="AB167" s="7">
        <v>0</v>
      </c>
      <c r="AC167" s="7">
        <v>0</v>
      </c>
      <c r="AD167" s="7">
        <v>136053.81</v>
      </c>
      <c r="AE167" s="7">
        <v>91380.35</v>
      </c>
      <c r="AF167" s="7">
        <v>0</v>
      </c>
      <c r="AG167" s="7">
        <v>0</v>
      </c>
      <c r="AH167" s="7">
        <v>0</v>
      </c>
      <c r="AI167" s="7">
        <v>67235.100000000006</v>
      </c>
      <c r="AJ167" s="7">
        <v>0</v>
      </c>
    </row>
    <row r="168" spans="1:36" x14ac:dyDescent="0.2">
      <c r="A168" s="1" t="s">
        <v>33</v>
      </c>
      <c r="B168" s="1">
        <v>535</v>
      </c>
      <c r="C168" s="1">
        <v>1</v>
      </c>
      <c r="D168" s="1" t="s">
        <v>244</v>
      </c>
      <c r="E168" s="1">
        <v>55</v>
      </c>
      <c r="F168" s="5" t="s">
        <v>61</v>
      </c>
      <c r="G168" s="6">
        <v>116821</v>
      </c>
      <c r="H168" s="2">
        <v>2008</v>
      </c>
      <c r="I168" s="6">
        <v>124667146</v>
      </c>
      <c r="J168" s="7">
        <v>633169.81999999995</v>
      </c>
      <c r="K168" s="6">
        <v>116821</v>
      </c>
      <c r="L168" s="7">
        <v>64433.03</v>
      </c>
      <c r="M168" s="7">
        <v>814423.85</v>
      </c>
      <c r="N168" s="7">
        <v>814423.85</v>
      </c>
      <c r="O168" s="7">
        <v>814423.85</v>
      </c>
      <c r="P168" s="8">
        <v>1</v>
      </c>
      <c r="Q168" s="7">
        <v>0</v>
      </c>
      <c r="R168" s="7">
        <v>0</v>
      </c>
      <c r="S168" s="1">
        <v>0.99087303000000004</v>
      </c>
      <c r="T168" s="7">
        <v>0</v>
      </c>
      <c r="U168" s="7">
        <v>806087.4</v>
      </c>
      <c r="V168" s="7">
        <v>4408945.91</v>
      </c>
      <c r="W168" s="7">
        <v>5215033.3099999996</v>
      </c>
      <c r="X168" s="7">
        <v>1303758.33</v>
      </c>
      <c r="Y168" s="7">
        <v>799449.04</v>
      </c>
      <c r="Z168" s="7">
        <v>0</v>
      </c>
      <c r="AA168" s="7">
        <v>591401.39</v>
      </c>
      <c r="AB168" s="7">
        <v>0</v>
      </c>
      <c r="AC168" s="7">
        <v>0</v>
      </c>
      <c r="AD168" s="7">
        <v>462554.17</v>
      </c>
      <c r="AE168" s="7">
        <v>617801.53</v>
      </c>
      <c r="AF168" s="7">
        <v>0</v>
      </c>
      <c r="AG168" s="7">
        <v>0</v>
      </c>
      <c r="AH168" s="7">
        <v>0</v>
      </c>
      <c r="AI168" s="7">
        <v>814423.85</v>
      </c>
      <c r="AJ168" s="7">
        <v>0</v>
      </c>
    </row>
    <row r="169" spans="1:36" x14ac:dyDescent="0.2">
      <c r="A169" s="1" t="s">
        <v>33</v>
      </c>
      <c r="B169" s="1">
        <v>542</v>
      </c>
      <c r="C169" s="1">
        <v>1</v>
      </c>
      <c r="D169" s="1" t="s">
        <v>245</v>
      </c>
      <c r="E169" s="1">
        <v>56</v>
      </c>
      <c r="F169" s="5" t="s">
        <v>60</v>
      </c>
      <c r="G169" s="6">
        <v>3779</v>
      </c>
      <c r="H169" s="2">
        <v>2000</v>
      </c>
      <c r="I169" s="6">
        <v>13950186</v>
      </c>
      <c r="J169" s="7">
        <v>20482.18</v>
      </c>
      <c r="K169" s="6">
        <v>3779</v>
      </c>
      <c r="L169" s="7">
        <v>6991.15</v>
      </c>
      <c r="M169" s="7">
        <v>31252.33</v>
      </c>
      <c r="N169" s="7">
        <v>31252.33</v>
      </c>
      <c r="O169" s="7">
        <v>31252.33</v>
      </c>
      <c r="P169" s="8">
        <v>1</v>
      </c>
      <c r="Q169" s="7">
        <v>0</v>
      </c>
      <c r="R169" s="7">
        <v>0</v>
      </c>
      <c r="S169" s="1">
        <v>0.99087303000000004</v>
      </c>
      <c r="T169" s="7">
        <v>0</v>
      </c>
      <c r="U169" s="7">
        <v>31252.33</v>
      </c>
      <c r="V169" s="7">
        <v>43364.39</v>
      </c>
      <c r="W169" s="7">
        <v>74616.72</v>
      </c>
      <c r="X169" s="7">
        <v>18654.18</v>
      </c>
      <c r="Y169" s="7">
        <v>14685.83</v>
      </c>
      <c r="Z169" s="7">
        <v>0</v>
      </c>
      <c r="AA169" s="7">
        <v>1340.44</v>
      </c>
      <c r="AB169" s="7">
        <v>0</v>
      </c>
      <c r="AC169" s="7">
        <v>0</v>
      </c>
      <c r="AD169" s="7">
        <v>5593.57</v>
      </c>
      <c r="AE169" s="7">
        <v>7206.61</v>
      </c>
      <c r="AF169" s="7">
        <v>0</v>
      </c>
      <c r="AG169" s="7">
        <v>0</v>
      </c>
      <c r="AH169" s="7">
        <v>0</v>
      </c>
      <c r="AI169" s="7">
        <v>31252.33</v>
      </c>
      <c r="AJ169" s="7">
        <v>0</v>
      </c>
    </row>
    <row r="170" spans="1:36" x14ac:dyDescent="0.2">
      <c r="A170" s="1" t="s">
        <v>33</v>
      </c>
      <c r="B170" s="1">
        <v>544</v>
      </c>
      <c r="C170" s="1">
        <v>1</v>
      </c>
      <c r="D170" s="1" t="s">
        <v>246</v>
      </c>
      <c r="E170" s="1">
        <v>56</v>
      </c>
      <c r="F170" s="5" t="s">
        <v>60</v>
      </c>
      <c r="G170" s="6">
        <v>19918</v>
      </c>
      <c r="H170" s="2">
        <v>2000</v>
      </c>
      <c r="I170" s="6">
        <v>18483902</v>
      </c>
      <c r="J170" s="7">
        <v>107955.56</v>
      </c>
      <c r="K170" s="6">
        <v>19918</v>
      </c>
      <c r="L170" s="7">
        <v>22764.74</v>
      </c>
      <c r="M170" s="7">
        <v>150638.29999999999</v>
      </c>
      <c r="N170" s="7">
        <v>150638.29999999999</v>
      </c>
      <c r="O170" s="7">
        <v>150638.29999999999</v>
      </c>
      <c r="P170" s="8">
        <v>1</v>
      </c>
      <c r="Q170" s="7">
        <v>0</v>
      </c>
      <c r="R170" s="7">
        <v>0</v>
      </c>
      <c r="S170" s="1">
        <v>0.99087303000000004</v>
      </c>
      <c r="T170" s="7">
        <v>0</v>
      </c>
      <c r="U170" s="7">
        <v>150638.29999999999</v>
      </c>
      <c r="V170" s="7">
        <v>145339.87</v>
      </c>
      <c r="W170" s="7">
        <v>295978.17</v>
      </c>
      <c r="X170" s="7">
        <v>73994.539999999994</v>
      </c>
      <c r="Y170" s="7">
        <v>32439.1</v>
      </c>
      <c r="Z170" s="7">
        <v>0</v>
      </c>
      <c r="AA170" s="7">
        <v>56960.45</v>
      </c>
      <c r="AB170" s="7">
        <v>0</v>
      </c>
      <c r="AC170" s="7">
        <v>0</v>
      </c>
      <c r="AD170" s="7">
        <v>77266.899999999994</v>
      </c>
      <c r="AE170" s="7">
        <v>55555.48</v>
      </c>
      <c r="AF170" s="7">
        <v>0</v>
      </c>
      <c r="AG170" s="7">
        <v>0</v>
      </c>
      <c r="AH170" s="7">
        <v>0</v>
      </c>
      <c r="AI170" s="7">
        <v>150638.29999999999</v>
      </c>
      <c r="AJ170" s="7">
        <v>0</v>
      </c>
    </row>
    <row r="171" spans="1:36" x14ac:dyDescent="0.2">
      <c r="A171" s="1" t="s">
        <v>33</v>
      </c>
      <c r="B171" s="1">
        <v>545</v>
      </c>
      <c r="C171" s="1">
        <v>1</v>
      </c>
      <c r="D171" s="1" t="s">
        <v>247</v>
      </c>
      <c r="E171" s="1">
        <v>56</v>
      </c>
      <c r="F171" s="5" t="s">
        <v>60</v>
      </c>
      <c r="G171" s="6">
        <v>2864</v>
      </c>
      <c r="H171" s="2">
        <v>2000</v>
      </c>
      <c r="I171" s="6">
        <v>5158924</v>
      </c>
      <c r="J171" s="7">
        <v>15522.88</v>
      </c>
      <c r="K171" s="6">
        <v>2864</v>
      </c>
      <c r="L171" s="7">
        <v>5298.4</v>
      </c>
      <c r="M171" s="7">
        <v>23685.279999999999</v>
      </c>
      <c r="N171" s="7">
        <v>23685.279999999999</v>
      </c>
      <c r="O171" s="7">
        <v>23685.279999999999</v>
      </c>
      <c r="P171" s="8">
        <v>1</v>
      </c>
      <c r="Q171" s="7">
        <v>0</v>
      </c>
      <c r="R171" s="7">
        <v>0</v>
      </c>
      <c r="S171" s="1">
        <v>0.99087303000000004</v>
      </c>
      <c r="T171" s="7">
        <v>0</v>
      </c>
      <c r="U171" s="7">
        <v>23685.279999999999</v>
      </c>
      <c r="V171" s="7">
        <v>30563.200000000001</v>
      </c>
      <c r="W171" s="7">
        <v>54248.480000000003</v>
      </c>
      <c r="X171" s="7">
        <v>13562.12</v>
      </c>
      <c r="Y171" s="7">
        <v>768.53</v>
      </c>
      <c r="Z171" s="7">
        <v>0</v>
      </c>
      <c r="AA171" s="7">
        <v>5252.42</v>
      </c>
      <c r="AB171" s="7">
        <v>0</v>
      </c>
      <c r="AC171" s="7">
        <v>0</v>
      </c>
      <c r="AD171" s="7">
        <v>6883.85</v>
      </c>
      <c r="AE171" s="7">
        <v>4301.6000000000004</v>
      </c>
      <c r="AF171" s="7">
        <v>0</v>
      </c>
      <c r="AG171" s="7">
        <v>0</v>
      </c>
      <c r="AH171" s="7">
        <v>0</v>
      </c>
      <c r="AI171" s="7">
        <v>23685.279999999999</v>
      </c>
      <c r="AJ171" s="7">
        <v>0</v>
      </c>
    </row>
    <row r="172" spans="1:36" x14ac:dyDescent="0.2">
      <c r="A172" s="1" t="s">
        <v>33</v>
      </c>
      <c r="B172" s="1">
        <v>547</v>
      </c>
      <c r="C172" s="1">
        <v>1</v>
      </c>
      <c r="D172" s="1" t="s">
        <v>248</v>
      </c>
      <c r="E172" s="1">
        <v>56</v>
      </c>
      <c r="F172" s="5" t="s">
        <v>60</v>
      </c>
      <c r="G172" s="6">
        <v>2995</v>
      </c>
      <c r="H172" s="2">
        <v>2000</v>
      </c>
      <c r="I172" s="6">
        <v>4667402</v>
      </c>
      <c r="J172" s="7">
        <v>16232.9</v>
      </c>
      <c r="K172" s="6">
        <v>2995</v>
      </c>
      <c r="L172" s="7">
        <v>5540.75</v>
      </c>
      <c r="M172" s="7">
        <v>24768.65</v>
      </c>
      <c r="N172" s="7">
        <v>24768.65</v>
      </c>
      <c r="O172" s="7">
        <v>24768.65</v>
      </c>
      <c r="P172" s="8">
        <v>1</v>
      </c>
      <c r="Q172" s="7">
        <v>0</v>
      </c>
      <c r="R172" s="7">
        <v>0</v>
      </c>
      <c r="S172" s="1">
        <v>0.99087303000000004</v>
      </c>
      <c r="T172" s="7">
        <v>0</v>
      </c>
      <c r="U172" s="7">
        <v>24768.65</v>
      </c>
      <c r="V172" s="7">
        <v>95620.43</v>
      </c>
      <c r="W172" s="7">
        <v>120389.08</v>
      </c>
      <c r="X172" s="7">
        <v>30097.27</v>
      </c>
      <c r="Y172" s="7">
        <v>14142.97</v>
      </c>
      <c r="Z172" s="7">
        <v>2176.5700000000002</v>
      </c>
      <c r="AA172" s="7">
        <v>21972.73</v>
      </c>
      <c r="AB172" s="7">
        <v>0</v>
      </c>
      <c r="AC172" s="7">
        <v>0</v>
      </c>
      <c r="AD172" s="7">
        <v>56467.42</v>
      </c>
      <c r="AE172" s="7">
        <v>30135.52</v>
      </c>
      <c r="AF172" s="7">
        <v>38.25</v>
      </c>
      <c r="AG172" s="7">
        <v>38.25</v>
      </c>
      <c r="AH172" s="7">
        <v>0</v>
      </c>
      <c r="AI172" s="7">
        <v>24730.400000000001</v>
      </c>
      <c r="AJ172" s="7">
        <v>0</v>
      </c>
    </row>
    <row r="173" spans="1:36" x14ac:dyDescent="0.2">
      <c r="A173" s="1" t="s">
        <v>33</v>
      </c>
      <c r="B173" s="1">
        <v>548</v>
      </c>
      <c r="C173" s="1">
        <v>1</v>
      </c>
      <c r="D173" s="1" t="s">
        <v>249</v>
      </c>
      <c r="E173" s="1">
        <v>56</v>
      </c>
      <c r="F173" s="5" t="s">
        <v>60</v>
      </c>
      <c r="G173" s="6">
        <v>7510</v>
      </c>
      <c r="H173" s="2">
        <v>2000</v>
      </c>
      <c r="I173" s="6">
        <v>17102671</v>
      </c>
      <c r="J173" s="7">
        <v>40704.199999999997</v>
      </c>
      <c r="K173" s="6">
        <v>7510</v>
      </c>
      <c r="L173" s="7">
        <v>13893.5</v>
      </c>
      <c r="M173" s="7">
        <v>62107.7</v>
      </c>
      <c r="N173" s="7">
        <v>62107.7</v>
      </c>
      <c r="O173" s="7">
        <v>62107.7</v>
      </c>
      <c r="P173" s="8">
        <v>1</v>
      </c>
      <c r="Q173" s="7">
        <v>0</v>
      </c>
      <c r="R173" s="7">
        <v>0</v>
      </c>
      <c r="S173" s="1">
        <v>0.99087303000000004</v>
      </c>
      <c r="T173" s="7">
        <v>0</v>
      </c>
      <c r="U173" s="7">
        <v>62107.7</v>
      </c>
      <c r="V173" s="7">
        <v>19785.84</v>
      </c>
      <c r="W173" s="7">
        <v>81893.539999999994</v>
      </c>
      <c r="X173" s="7">
        <v>20473.39</v>
      </c>
      <c r="Y173" s="7">
        <v>-92867.1</v>
      </c>
      <c r="Z173" s="7">
        <v>0</v>
      </c>
      <c r="AA173" s="7">
        <v>-76260.460000000006</v>
      </c>
      <c r="AB173" s="7">
        <v>0</v>
      </c>
      <c r="AC173" s="7">
        <v>0</v>
      </c>
      <c r="AD173" s="7">
        <v>-60871.48</v>
      </c>
      <c r="AE173" s="7">
        <v>-76666.350000000006</v>
      </c>
      <c r="AF173" s="7">
        <v>0</v>
      </c>
      <c r="AG173" s="7">
        <v>0</v>
      </c>
      <c r="AH173" s="7">
        <v>0</v>
      </c>
      <c r="AI173" s="7">
        <v>62107.7</v>
      </c>
      <c r="AJ173" s="7">
        <v>0</v>
      </c>
    </row>
    <row r="174" spans="1:36" x14ac:dyDescent="0.2">
      <c r="A174" s="1" t="s">
        <v>33</v>
      </c>
      <c r="B174" s="1">
        <v>549</v>
      </c>
      <c r="C174" s="1">
        <v>1</v>
      </c>
      <c r="D174" s="1" t="s">
        <v>250</v>
      </c>
      <c r="E174" s="1">
        <v>56</v>
      </c>
      <c r="F174" s="5" t="s">
        <v>60</v>
      </c>
      <c r="G174" s="6">
        <v>9832</v>
      </c>
      <c r="H174" s="2">
        <v>2000</v>
      </c>
      <c r="I174" s="6">
        <v>19131130</v>
      </c>
      <c r="J174" s="7">
        <v>53289.440000000002</v>
      </c>
      <c r="K174" s="6">
        <v>9832</v>
      </c>
      <c r="L174" s="7">
        <v>18189.2</v>
      </c>
      <c r="M174" s="7">
        <v>81310.64</v>
      </c>
      <c r="N174" s="7">
        <v>81310.64</v>
      </c>
      <c r="O174" s="7">
        <v>81310.64</v>
      </c>
      <c r="P174" s="8">
        <v>1</v>
      </c>
      <c r="Q174" s="7">
        <v>0</v>
      </c>
      <c r="R174" s="7">
        <v>0</v>
      </c>
      <c r="S174" s="1">
        <v>0.99087303000000004</v>
      </c>
      <c r="T174" s="7">
        <v>0</v>
      </c>
      <c r="U174" s="7">
        <v>81310.64</v>
      </c>
      <c r="V174" s="7">
        <v>137088.67000000001</v>
      </c>
      <c r="W174" s="7">
        <v>218399.31</v>
      </c>
      <c r="X174" s="7">
        <v>54599.83</v>
      </c>
      <c r="Y174" s="7">
        <v>7367.37</v>
      </c>
      <c r="Z174" s="7">
        <v>0</v>
      </c>
      <c r="AA174" s="7">
        <v>4543.92</v>
      </c>
      <c r="AB174" s="7">
        <v>0</v>
      </c>
      <c r="AC174" s="7">
        <v>0</v>
      </c>
      <c r="AD174" s="7">
        <v>5685.52</v>
      </c>
      <c r="AE174" s="7">
        <v>5865.6</v>
      </c>
      <c r="AF174" s="7">
        <v>0</v>
      </c>
      <c r="AG174" s="7">
        <v>0</v>
      </c>
      <c r="AH174" s="7">
        <v>0</v>
      </c>
      <c r="AI174" s="7">
        <v>81310.64</v>
      </c>
      <c r="AJ174" s="7">
        <v>0</v>
      </c>
    </row>
    <row r="175" spans="1:36" x14ac:dyDescent="0.2">
      <c r="A175" s="1" t="s">
        <v>33</v>
      </c>
      <c r="B175" s="1">
        <v>550</v>
      </c>
      <c r="C175" s="1">
        <v>1</v>
      </c>
      <c r="D175" s="1" t="s">
        <v>251</v>
      </c>
      <c r="E175" s="1">
        <v>56</v>
      </c>
      <c r="F175" s="5" t="s">
        <v>60</v>
      </c>
      <c r="G175" s="6">
        <v>2250</v>
      </c>
      <c r="H175" s="2">
        <v>2000</v>
      </c>
      <c r="I175" s="6">
        <v>3104954</v>
      </c>
      <c r="J175" s="7">
        <v>12195</v>
      </c>
      <c r="K175" s="6">
        <v>2250</v>
      </c>
      <c r="L175" s="7">
        <v>4162.5</v>
      </c>
      <c r="M175" s="7">
        <v>18607.5</v>
      </c>
      <c r="N175" s="7">
        <v>18607.5</v>
      </c>
      <c r="O175" s="7">
        <v>18607.5</v>
      </c>
      <c r="P175" s="8">
        <v>1</v>
      </c>
      <c r="Q175" s="7">
        <v>0</v>
      </c>
      <c r="R175" s="7">
        <v>0</v>
      </c>
      <c r="S175" s="1">
        <v>0.99087303000000004</v>
      </c>
      <c r="T175" s="7">
        <v>0</v>
      </c>
      <c r="U175" s="7">
        <v>18607.5</v>
      </c>
      <c r="V175" s="7">
        <v>45444.56</v>
      </c>
      <c r="W175" s="7">
        <v>64052.06</v>
      </c>
      <c r="X175" s="7">
        <v>16013.02</v>
      </c>
      <c r="Y175" s="7">
        <v>12904.29</v>
      </c>
      <c r="Z175" s="7">
        <v>1089.7</v>
      </c>
      <c r="AA175" s="7">
        <v>17792.43</v>
      </c>
      <c r="AB175" s="7">
        <v>0</v>
      </c>
      <c r="AC175" s="7">
        <v>0</v>
      </c>
      <c r="AD175" s="7">
        <v>9057.1200000000008</v>
      </c>
      <c r="AE175" s="7">
        <v>12888.05</v>
      </c>
      <c r="AF175" s="7">
        <v>0</v>
      </c>
      <c r="AG175" s="7">
        <v>0</v>
      </c>
      <c r="AH175" s="7">
        <v>0</v>
      </c>
      <c r="AI175" s="7">
        <v>18607.5</v>
      </c>
      <c r="AJ175" s="7">
        <v>0</v>
      </c>
    </row>
    <row r="176" spans="1:36" x14ac:dyDescent="0.2">
      <c r="A176" s="1" t="s">
        <v>33</v>
      </c>
      <c r="B176" s="1">
        <v>553</v>
      </c>
      <c r="C176" s="1">
        <v>1</v>
      </c>
      <c r="D176" s="1" t="s">
        <v>252</v>
      </c>
      <c r="E176" s="1">
        <v>56</v>
      </c>
      <c r="F176" s="5" t="s">
        <v>60</v>
      </c>
      <c r="G176" s="6">
        <v>3546</v>
      </c>
      <c r="H176" s="2">
        <v>2000</v>
      </c>
      <c r="I176" s="6">
        <v>3202730</v>
      </c>
      <c r="J176" s="7">
        <v>19219.32</v>
      </c>
      <c r="K176" s="6">
        <v>3546</v>
      </c>
      <c r="L176" s="7">
        <v>6560.1</v>
      </c>
      <c r="M176" s="7">
        <v>29325.42</v>
      </c>
      <c r="N176" s="7">
        <v>28824.57</v>
      </c>
      <c r="O176" s="7">
        <v>28824.57</v>
      </c>
      <c r="P176" s="8">
        <v>1</v>
      </c>
      <c r="Q176" s="7">
        <v>500.85</v>
      </c>
      <c r="R176" s="7">
        <v>500.85</v>
      </c>
      <c r="S176" s="1">
        <v>0.99087303000000004</v>
      </c>
      <c r="T176" s="7">
        <v>496.28</v>
      </c>
      <c r="U176" s="7">
        <v>29325.42</v>
      </c>
      <c r="V176" s="7">
        <v>85115.29</v>
      </c>
      <c r="W176" s="7">
        <v>114440.71</v>
      </c>
      <c r="X176" s="7">
        <v>28610.18</v>
      </c>
      <c r="Y176" s="7">
        <v>22244.1</v>
      </c>
      <c r="Z176" s="7">
        <v>0</v>
      </c>
      <c r="AA176" s="7">
        <v>14768.93</v>
      </c>
      <c r="AB176" s="7">
        <v>0</v>
      </c>
      <c r="AC176" s="7">
        <v>0</v>
      </c>
      <c r="AD176" s="7">
        <v>20468</v>
      </c>
      <c r="AE176" s="7">
        <v>19160.34</v>
      </c>
      <c r="AF176" s="7">
        <v>0</v>
      </c>
      <c r="AG176" s="7">
        <v>0</v>
      </c>
      <c r="AH176" s="7">
        <v>0</v>
      </c>
      <c r="AI176" s="7">
        <v>28824.57</v>
      </c>
      <c r="AJ176" s="7">
        <v>500.85</v>
      </c>
    </row>
    <row r="177" spans="1:36" x14ac:dyDescent="0.2">
      <c r="A177" s="1" t="s">
        <v>33</v>
      </c>
      <c r="B177" s="1">
        <v>561</v>
      </c>
      <c r="C177" s="1">
        <v>1</v>
      </c>
      <c r="D177" s="1" t="s">
        <v>253</v>
      </c>
      <c r="E177" s="1">
        <v>57</v>
      </c>
      <c r="F177" s="5" t="s">
        <v>59</v>
      </c>
      <c r="G177" s="6">
        <v>830</v>
      </c>
      <c r="H177" s="2">
        <v>2000</v>
      </c>
      <c r="I177" s="6">
        <v>852334</v>
      </c>
      <c r="J177" s="7">
        <v>7235.7</v>
      </c>
      <c r="K177" s="6">
        <v>1335</v>
      </c>
      <c r="L177" s="7">
        <v>0</v>
      </c>
      <c r="M177" s="7">
        <v>8570.7000000000007</v>
      </c>
      <c r="N177" s="7">
        <v>7671.01</v>
      </c>
      <c r="O177" s="7">
        <v>7671.01</v>
      </c>
      <c r="P177" s="8">
        <v>1</v>
      </c>
      <c r="Q177" s="7">
        <v>899.69</v>
      </c>
      <c r="R177" s="7">
        <v>899.69</v>
      </c>
      <c r="S177" s="1">
        <v>0.99087303000000004</v>
      </c>
      <c r="T177" s="7">
        <v>891.48</v>
      </c>
      <c r="U177" s="7">
        <v>8570.7000000000007</v>
      </c>
      <c r="V177" s="7">
        <v>4522.95</v>
      </c>
      <c r="W177" s="7">
        <v>13093.65</v>
      </c>
      <c r="X177" s="7">
        <v>3273.41</v>
      </c>
      <c r="Y177" s="7">
        <v>35.85</v>
      </c>
      <c r="Z177" s="7">
        <v>0</v>
      </c>
      <c r="AA177" s="7">
        <v>39.57</v>
      </c>
      <c r="AB177" s="7">
        <v>0</v>
      </c>
      <c r="AC177" s="7">
        <v>0</v>
      </c>
      <c r="AD177" s="7">
        <v>2284.4299999999998</v>
      </c>
      <c r="AE177" s="7">
        <v>786.62</v>
      </c>
      <c r="AF177" s="7">
        <v>0</v>
      </c>
      <c r="AG177" s="7">
        <v>0</v>
      </c>
      <c r="AH177" s="7">
        <v>0</v>
      </c>
      <c r="AI177" s="7">
        <v>7671.01</v>
      </c>
      <c r="AJ177" s="7">
        <v>899.69</v>
      </c>
    </row>
    <row r="178" spans="1:36" x14ac:dyDescent="0.2">
      <c r="A178" s="1" t="s">
        <v>33</v>
      </c>
      <c r="B178" s="1">
        <v>564</v>
      </c>
      <c r="C178" s="1">
        <v>1</v>
      </c>
      <c r="D178" s="1" t="s">
        <v>254</v>
      </c>
      <c r="E178" s="1">
        <v>57</v>
      </c>
      <c r="F178" s="5" t="s">
        <v>59</v>
      </c>
      <c r="G178" s="6">
        <v>13092</v>
      </c>
      <c r="H178" s="2">
        <v>2000</v>
      </c>
      <c r="I178" s="6">
        <v>7882532</v>
      </c>
      <c r="J178" s="7">
        <v>70958.64</v>
      </c>
      <c r="K178" s="6">
        <v>13092</v>
      </c>
      <c r="L178" s="7">
        <v>19829.560000000001</v>
      </c>
      <c r="M178" s="7">
        <v>103880.2</v>
      </c>
      <c r="N178" s="7">
        <v>70942.789999999994</v>
      </c>
      <c r="O178" s="7">
        <v>70942.789999999994</v>
      </c>
      <c r="P178" s="8">
        <v>1</v>
      </c>
      <c r="Q178" s="7">
        <v>32937.410000000003</v>
      </c>
      <c r="R178" s="7">
        <v>32937.410000000003</v>
      </c>
      <c r="S178" s="1">
        <v>0.99087303000000004</v>
      </c>
      <c r="T178" s="7">
        <v>32636.79</v>
      </c>
      <c r="U178" s="7">
        <v>103880.2</v>
      </c>
      <c r="V178" s="7">
        <v>206194.39</v>
      </c>
      <c r="W178" s="7">
        <v>310074.59000000003</v>
      </c>
      <c r="X178" s="7">
        <v>77518.649999999994</v>
      </c>
      <c r="Y178" s="7">
        <v>68768.53</v>
      </c>
      <c r="Z178" s="7">
        <v>0</v>
      </c>
      <c r="AA178" s="7">
        <v>59028.13</v>
      </c>
      <c r="AB178" s="7">
        <v>0</v>
      </c>
      <c r="AC178" s="7">
        <v>0</v>
      </c>
      <c r="AD178" s="7">
        <v>67510.67</v>
      </c>
      <c r="AE178" s="7">
        <v>65102.44</v>
      </c>
      <c r="AF178" s="7">
        <v>0</v>
      </c>
      <c r="AG178" s="7">
        <v>0</v>
      </c>
      <c r="AH178" s="7">
        <v>0</v>
      </c>
      <c r="AI178" s="7">
        <v>70942.789999999994</v>
      </c>
      <c r="AJ178" s="7">
        <v>32937.410000000003</v>
      </c>
    </row>
    <row r="179" spans="1:36" x14ac:dyDescent="0.2">
      <c r="A179" s="1" t="s">
        <v>33</v>
      </c>
      <c r="B179" s="1">
        <v>577</v>
      </c>
      <c r="C179" s="1">
        <v>1</v>
      </c>
      <c r="D179" s="1" t="s">
        <v>255</v>
      </c>
      <c r="E179" s="1">
        <v>58</v>
      </c>
      <c r="F179" s="5" t="s">
        <v>67</v>
      </c>
      <c r="G179" s="6">
        <v>2958</v>
      </c>
      <c r="H179" s="2">
        <v>2000</v>
      </c>
      <c r="I179" s="6">
        <v>4534472</v>
      </c>
      <c r="J179" s="7">
        <v>16032.36</v>
      </c>
      <c r="K179" s="6">
        <v>2958</v>
      </c>
      <c r="L179" s="7">
        <v>5472.3</v>
      </c>
      <c r="M179" s="7">
        <v>24462.66</v>
      </c>
      <c r="N179" s="7">
        <v>24462.66</v>
      </c>
      <c r="O179" s="7">
        <v>24462.66</v>
      </c>
      <c r="P179" s="8">
        <v>1</v>
      </c>
      <c r="Q179" s="7">
        <v>0</v>
      </c>
      <c r="R179" s="7">
        <v>0</v>
      </c>
      <c r="S179" s="1">
        <v>0.99087303000000004</v>
      </c>
      <c r="T179" s="7">
        <v>0</v>
      </c>
      <c r="U179" s="7">
        <v>24462.66</v>
      </c>
      <c r="V179" s="7">
        <v>11864.34</v>
      </c>
      <c r="W179" s="7">
        <v>36327</v>
      </c>
      <c r="X179" s="7">
        <v>9081.75</v>
      </c>
      <c r="Y179" s="7">
        <v>0.21</v>
      </c>
      <c r="Z179" s="7">
        <v>0</v>
      </c>
      <c r="AA179" s="7">
        <v>8272.7999999999993</v>
      </c>
      <c r="AB179" s="7">
        <v>0</v>
      </c>
      <c r="AC179" s="7">
        <v>0</v>
      </c>
      <c r="AD179" s="7">
        <v>19879.71</v>
      </c>
      <c r="AE179" s="7">
        <v>9384.24</v>
      </c>
      <c r="AF179" s="7">
        <v>302.49</v>
      </c>
      <c r="AG179" s="7">
        <v>302.49</v>
      </c>
      <c r="AH179" s="7">
        <v>0</v>
      </c>
      <c r="AI179" s="7">
        <v>24160.17</v>
      </c>
      <c r="AJ179" s="7">
        <v>0</v>
      </c>
    </row>
    <row r="180" spans="1:36" x14ac:dyDescent="0.2">
      <c r="A180" s="1" t="s">
        <v>33</v>
      </c>
      <c r="B180" s="1">
        <v>578</v>
      </c>
      <c r="C180" s="1">
        <v>1</v>
      </c>
      <c r="D180" s="1" t="s">
        <v>256</v>
      </c>
      <c r="E180" s="1">
        <v>58</v>
      </c>
      <c r="F180" s="5" t="s">
        <v>67</v>
      </c>
      <c r="G180" s="6">
        <v>11156</v>
      </c>
      <c r="H180" s="2">
        <v>2001</v>
      </c>
      <c r="I180" s="6">
        <v>12658435</v>
      </c>
      <c r="J180" s="7">
        <v>60465.52</v>
      </c>
      <c r="K180" s="6">
        <v>11156</v>
      </c>
      <c r="L180" s="7">
        <v>18997.080000000002</v>
      </c>
      <c r="M180" s="7">
        <v>90618.6</v>
      </c>
      <c r="N180" s="7">
        <v>90618.6</v>
      </c>
      <c r="O180" s="7">
        <v>90618.6</v>
      </c>
      <c r="P180" s="8">
        <v>1</v>
      </c>
      <c r="Q180" s="7">
        <v>0</v>
      </c>
      <c r="R180" s="7">
        <v>0</v>
      </c>
      <c r="S180" s="1">
        <v>0.99087303000000004</v>
      </c>
      <c r="T180" s="7">
        <v>0</v>
      </c>
      <c r="U180" s="7">
        <v>90618.6</v>
      </c>
      <c r="V180" s="7">
        <v>60168.639999999999</v>
      </c>
      <c r="W180" s="7">
        <v>150787.24</v>
      </c>
      <c r="X180" s="7">
        <v>37696.81</v>
      </c>
      <c r="Y180" s="7">
        <v>-134399.96</v>
      </c>
      <c r="Z180" s="7">
        <v>0</v>
      </c>
      <c r="AA180" s="7">
        <v>-53732.07</v>
      </c>
      <c r="AB180" s="7">
        <v>0</v>
      </c>
      <c r="AC180" s="7">
        <v>0</v>
      </c>
      <c r="AD180" s="7">
        <v>-21778.36</v>
      </c>
      <c r="AE180" s="7">
        <v>-69970.13</v>
      </c>
      <c r="AF180" s="7">
        <v>0</v>
      </c>
      <c r="AG180" s="7">
        <v>0</v>
      </c>
      <c r="AH180" s="7">
        <v>0</v>
      </c>
      <c r="AI180" s="7">
        <v>90618.6</v>
      </c>
      <c r="AJ180" s="7">
        <v>0</v>
      </c>
    </row>
    <row r="181" spans="1:36" x14ac:dyDescent="0.2">
      <c r="A181" s="1" t="s">
        <v>33</v>
      </c>
      <c r="B181" s="1">
        <v>581</v>
      </c>
      <c r="C181" s="1">
        <v>1</v>
      </c>
      <c r="D181" s="1" t="s">
        <v>257</v>
      </c>
      <c r="E181" s="1">
        <v>59</v>
      </c>
      <c r="F181" s="5" t="s">
        <v>65</v>
      </c>
      <c r="G181" s="6">
        <v>2348</v>
      </c>
      <c r="H181" s="2">
        <v>2000</v>
      </c>
      <c r="I181" s="6">
        <v>2510119</v>
      </c>
      <c r="J181" s="7">
        <v>12726.16</v>
      </c>
      <c r="K181" s="6">
        <v>2348</v>
      </c>
      <c r="L181" s="7">
        <v>4343.8</v>
      </c>
      <c r="M181" s="7">
        <v>19417.96</v>
      </c>
      <c r="N181" s="7">
        <v>19417.96</v>
      </c>
      <c r="O181" s="7">
        <v>19417.96</v>
      </c>
      <c r="P181" s="8">
        <v>1</v>
      </c>
      <c r="Q181" s="7">
        <v>0</v>
      </c>
      <c r="R181" s="7">
        <v>0</v>
      </c>
      <c r="S181" s="1">
        <v>0.99087303000000004</v>
      </c>
      <c r="T181" s="7">
        <v>0</v>
      </c>
      <c r="U181" s="7">
        <v>19417.96</v>
      </c>
      <c r="V181" s="7">
        <v>18325.34</v>
      </c>
      <c r="W181" s="7">
        <v>37743.300000000003</v>
      </c>
      <c r="X181" s="7">
        <v>9435.83</v>
      </c>
      <c r="Y181" s="7">
        <v>-8512.49</v>
      </c>
      <c r="Z181" s="7">
        <v>0</v>
      </c>
      <c r="AA181" s="7">
        <v>7478.31</v>
      </c>
      <c r="AB181" s="7">
        <v>0</v>
      </c>
      <c r="AC181" s="7">
        <v>0</v>
      </c>
      <c r="AD181" s="7">
        <v>16342.12</v>
      </c>
      <c r="AE181" s="7">
        <v>5102.6499999999996</v>
      </c>
      <c r="AF181" s="7">
        <v>0</v>
      </c>
      <c r="AG181" s="7">
        <v>0</v>
      </c>
      <c r="AH181" s="7">
        <v>0</v>
      </c>
      <c r="AI181" s="7">
        <v>19417.96</v>
      </c>
      <c r="AJ181" s="7">
        <v>0</v>
      </c>
    </row>
    <row r="182" spans="1:36" x14ac:dyDescent="0.2">
      <c r="A182" s="1" t="s">
        <v>33</v>
      </c>
      <c r="B182" s="1">
        <v>592</v>
      </c>
      <c r="C182" s="1">
        <v>1</v>
      </c>
      <c r="D182" s="1" t="s">
        <v>258</v>
      </c>
      <c r="E182" s="1">
        <v>60</v>
      </c>
      <c r="F182" s="5" t="s">
        <v>59</v>
      </c>
      <c r="G182" s="6">
        <v>967</v>
      </c>
      <c r="H182" s="2">
        <v>2000</v>
      </c>
      <c r="I182" s="6">
        <v>1187414</v>
      </c>
      <c r="J182" s="7">
        <v>7235.7</v>
      </c>
      <c r="K182" s="6">
        <v>0</v>
      </c>
      <c r="L182" s="7">
        <v>0</v>
      </c>
      <c r="M182" s="7">
        <v>7235.7</v>
      </c>
      <c r="N182" s="7">
        <v>7235.7</v>
      </c>
      <c r="O182" s="7">
        <v>7235.7</v>
      </c>
      <c r="P182" s="8">
        <v>1</v>
      </c>
      <c r="Q182" s="7">
        <v>0</v>
      </c>
      <c r="R182" s="7">
        <v>0</v>
      </c>
      <c r="S182" s="1">
        <v>0.99087303000000004</v>
      </c>
      <c r="T182" s="7">
        <v>0</v>
      </c>
      <c r="U182" s="7">
        <v>7235.7</v>
      </c>
      <c r="V182" s="7">
        <v>5782.95</v>
      </c>
      <c r="W182" s="7">
        <v>13018.65</v>
      </c>
      <c r="X182" s="7">
        <v>3254.66</v>
      </c>
      <c r="Y182" s="7">
        <v>-11920.61</v>
      </c>
      <c r="Z182" s="7">
        <v>0</v>
      </c>
      <c r="AA182" s="7">
        <v>-8563.81</v>
      </c>
      <c r="AB182" s="7">
        <v>0</v>
      </c>
      <c r="AC182" s="7">
        <v>0</v>
      </c>
      <c r="AD182" s="7">
        <v>-3921.31</v>
      </c>
      <c r="AE182" s="7">
        <v>-8135.24</v>
      </c>
      <c r="AF182" s="7">
        <v>0</v>
      </c>
      <c r="AG182" s="7">
        <v>0</v>
      </c>
      <c r="AH182" s="7">
        <v>0</v>
      </c>
      <c r="AI182" s="7">
        <v>7235.7</v>
      </c>
      <c r="AJ182" s="7">
        <v>0</v>
      </c>
    </row>
    <row r="183" spans="1:36" x14ac:dyDescent="0.2">
      <c r="A183" s="1" t="s">
        <v>33</v>
      </c>
      <c r="B183" s="1">
        <v>593</v>
      </c>
      <c r="C183" s="1">
        <v>1</v>
      </c>
      <c r="D183" s="1" t="s">
        <v>259</v>
      </c>
      <c r="E183" s="1">
        <v>60</v>
      </c>
      <c r="F183" s="5" t="s">
        <v>59</v>
      </c>
      <c r="G183" s="6">
        <v>10197</v>
      </c>
      <c r="H183" s="2">
        <v>2000</v>
      </c>
      <c r="I183" s="6">
        <v>6444014</v>
      </c>
      <c r="J183" s="7">
        <v>55267.74</v>
      </c>
      <c r="K183" s="6">
        <v>10197</v>
      </c>
      <c r="L183" s="7">
        <v>18584.71</v>
      </c>
      <c r="M183" s="7">
        <v>84049.45</v>
      </c>
      <c r="N183" s="7">
        <v>57996.13</v>
      </c>
      <c r="O183" s="7">
        <v>57996.13</v>
      </c>
      <c r="P183" s="8">
        <v>1</v>
      </c>
      <c r="Q183" s="7">
        <v>26053.32</v>
      </c>
      <c r="R183" s="7">
        <v>26053.32</v>
      </c>
      <c r="S183" s="1">
        <v>0.99087303000000004</v>
      </c>
      <c r="T183" s="7">
        <v>25815.53</v>
      </c>
      <c r="U183" s="7">
        <v>84049.45</v>
      </c>
      <c r="V183" s="7">
        <v>288408.84000000003</v>
      </c>
      <c r="W183" s="7">
        <v>372458.29</v>
      </c>
      <c r="X183" s="7">
        <v>93114.57</v>
      </c>
      <c r="Y183" s="7">
        <v>148781.20000000001</v>
      </c>
      <c r="Z183" s="7">
        <v>0</v>
      </c>
      <c r="AA183" s="7">
        <v>139848.94</v>
      </c>
      <c r="AB183" s="7">
        <v>18459.53</v>
      </c>
      <c r="AC183" s="7">
        <v>0</v>
      </c>
      <c r="AD183" s="7">
        <v>17373.2</v>
      </c>
      <c r="AE183" s="7">
        <v>95847.94</v>
      </c>
      <c r="AF183" s="7">
        <v>2733.37</v>
      </c>
      <c r="AG183" s="7">
        <v>1886.09</v>
      </c>
      <c r="AH183" s="7">
        <v>847.28</v>
      </c>
      <c r="AI183" s="7">
        <v>56110.04</v>
      </c>
      <c r="AJ183" s="7">
        <v>25206.04</v>
      </c>
    </row>
    <row r="184" spans="1:36" x14ac:dyDescent="0.2">
      <c r="A184" s="1" t="s">
        <v>33</v>
      </c>
      <c r="B184" s="1">
        <v>595</v>
      </c>
      <c r="C184" s="1">
        <v>1</v>
      </c>
      <c r="D184" s="1" t="s">
        <v>260</v>
      </c>
      <c r="E184" s="1">
        <v>60</v>
      </c>
      <c r="F184" s="5" t="s">
        <v>59</v>
      </c>
      <c r="G184" s="6">
        <v>9117</v>
      </c>
      <c r="H184" s="2">
        <v>2000</v>
      </c>
      <c r="I184" s="6">
        <v>8371419</v>
      </c>
      <c r="J184" s="7">
        <v>49414.14</v>
      </c>
      <c r="K184" s="6">
        <v>9117</v>
      </c>
      <c r="L184" s="7">
        <v>16866.45</v>
      </c>
      <c r="M184" s="7">
        <v>75397.59</v>
      </c>
      <c r="N184" s="7">
        <v>75342.77</v>
      </c>
      <c r="O184" s="7">
        <v>75342.77</v>
      </c>
      <c r="P184" s="8">
        <v>1</v>
      </c>
      <c r="Q184" s="7">
        <v>54.82</v>
      </c>
      <c r="R184" s="7">
        <v>54.82</v>
      </c>
      <c r="S184" s="1">
        <v>0.99087303000000004</v>
      </c>
      <c r="T184" s="7">
        <v>54.32</v>
      </c>
      <c r="U184" s="7">
        <v>75397.59</v>
      </c>
      <c r="V184" s="7">
        <v>88147.520000000004</v>
      </c>
      <c r="W184" s="7">
        <v>163545.10999999999</v>
      </c>
      <c r="X184" s="7">
        <v>40886.28</v>
      </c>
      <c r="Y184" s="7">
        <v>43417.85</v>
      </c>
      <c r="Z184" s="7">
        <v>0</v>
      </c>
      <c r="AA184" s="7">
        <v>43687.93</v>
      </c>
      <c r="AB184" s="7">
        <v>0</v>
      </c>
      <c r="AC184" s="7">
        <v>0</v>
      </c>
      <c r="AD184" s="7">
        <v>30665.27</v>
      </c>
      <c r="AE184" s="7">
        <v>39257.019999999997</v>
      </c>
      <c r="AF184" s="7">
        <v>0</v>
      </c>
      <c r="AG184" s="7">
        <v>0</v>
      </c>
      <c r="AH184" s="7">
        <v>0</v>
      </c>
      <c r="AI184" s="7">
        <v>75342.77</v>
      </c>
      <c r="AJ184" s="7">
        <v>54.82</v>
      </c>
    </row>
    <row r="185" spans="1:36" x14ac:dyDescent="0.2">
      <c r="A185" s="1" t="s">
        <v>33</v>
      </c>
      <c r="B185" s="1">
        <v>599</v>
      </c>
      <c r="C185" s="1">
        <v>1</v>
      </c>
      <c r="D185" s="1" t="s">
        <v>261</v>
      </c>
      <c r="E185" s="1">
        <v>60</v>
      </c>
      <c r="F185" s="5" t="s">
        <v>59</v>
      </c>
      <c r="G185" s="6">
        <v>2892</v>
      </c>
      <c r="H185" s="2">
        <v>2000</v>
      </c>
      <c r="I185" s="6">
        <v>3555997</v>
      </c>
      <c r="J185" s="7">
        <v>15674.64</v>
      </c>
      <c r="K185" s="6">
        <v>2892</v>
      </c>
      <c r="L185" s="7">
        <v>5350.2</v>
      </c>
      <c r="M185" s="7">
        <v>23916.84</v>
      </c>
      <c r="N185" s="7">
        <v>23916.84</v>
      </c>
      <c r="O185" s="7">
        <v>23916.84</v>
      </c>
      <c r="P185" s="8">
        <v>1</v>
      </c>
      <c r="Q185" s="7">
        <v>0</v>
      </c>
      <c r="R185" s="7">
        <v>0</v>
      </c>
      <c r="S185" s="1">
        <v>0.99087303000000004</v>
      </c>
      <c r="T185" s="7">
        <v>0</v>
      </c>
      <c r="U185" s="7">
        <v>23916.84</v>
      </c>
      <c r="V185" s="7">
        <v>17673.12</v>
      </c>
      <c r="W185" s="7">
        <v>41589.96</v>
      </c>
      <c r="X185" s="7">
        <v>10397.49</v>
      </c>
      <c r="Y185" s="7">
        <v>1.26</v>
      </c>
      <c r="Z185" s="7">
        <v>0</v>
      </c>
      <c r="AA185" s="7">
        <v>1.28</v>
      </c>
      <c r="AB185" s="7">
        <v>0</v>
      </c>
      <c r="AC185" s="7">
        <v>0</v>
      </c>
      <c r="AD185" s="7">
        <v>-22353.32</v>
      </c>
      <c r="AE185" s="7">
        <v>-7450.26</v>
      </c>
      <c r="AF185" s="7">
        <v>0</v>
      </c>
      <c r="AG185" s="7">
        <v>0</v>
      </c>
      <c r="AH185" s="7">
        <v>0</v>
      </c>
      <c r="AI185" s="7">
        <v>23916.84</v>
      </c>
      <c r="AJ185" s="7">
        <v>0</v>
      </c>
    </row>
    <row r="186" spans="1:36" x14ac:dyDescent="0.2">
      <c r="A186" s="1" t="s">
        <v>33</v>
      </c>
      <c r="B186" s="1">
        <v>600</v>
      </c>
      <c r="C186" s="1">
        <v>1</v>
      </c>
      <c r="D186" s="1" t="s">
        <v>262</v>
      </c>
      <c r="E186" s="1">
        <v>60</v>
      </c>
      <c r="F186" s="5" t="s">
        <v>59</v>
      </c>
      <c r="G186" s="6">
        <v>1075</v>
      </c>
      <c r="H186" s="2">
        <v>2000</v>
      </c>
      <c r="I186" s="6">
        <v>1687044</v>
      </c>
      <c r="J186" s="7">
        <v>7235.7</v>
      </c>
      <c r="K186" s="6">
        <v>1335</v>
      </c>
      <c r="L186" s="7">
        <v>2469.75</v>
      </c>
      <c r="M186" s="7">
        <v>11040.45</v>
      </c>
      <c r="N186" s="7">
        <v>11040.45</v>
      </c>
      <c r="O186" s="7">
        <v>11040.45</v>
      </c>
      <c r="P186" s="8">
        <v>1</v>
      </c>
      <c r="Q186" s="7">
        <v>0</v>
      </c>
      <c r="R186" s="7">
        <v>0</v>
      </c>
      <c r="S186" s="1">
        <v>0.99087303000000004</v>
      </c>
      <c r="T186" s="7">
        <v>0</v>
      </c>
      <c r="U186" s="7">
        <v>11040.45</v>
      </c>
      <c r="V186" s="7">
        <v>23945.27</v>
      </c>
      <c r="W186" s="7">
        <v>34985.72</v>
      </c>
      <c r="X186" s="7">
        <v>8746.43</v>
      </c>
      <c r="Y186" s="7">
        <v>-316.44</v>
      </c>
      <c r="Z186" s="7">
        <v>0</v>
      </c>
      <c r="AA186" s="7">
        <v>5872.02</v>
      </c>
      <c r="AB186" s="7">
        <v>0</v>
      </c>
      <c r="AC186" s="7">
        <v>0</v>
      </c>
      <c r="AD186" s="7">
        <v>5663.37</v>
      </c>
      <c r="AE186" s="7">
        <v>3739.65</v>
      </c>
      <c r="AF186" s="7">
        <v>0</v>
      </c>
      <c r="AG186" s="7">
        <v>0</v>
      </c>
      <c r="AH186" s="7">
        <v>0</v>
      </c>
      <c r="AI186" s="7">
        <v>11040.45</v>
      </c>
      <c r="AJ186" s="7">
        <v>0</v>
      </c>
    </row>
    <row r="187" spans="1:36" x14ac:dyDescent="0.2">
      <c r="A187" s="1" t="s">
        <v>33</v>
      </c>
      <c r="B187" s="1">
        <v>601</v>
      </c>
      <c r="C187" s="1">
        <v>1</v>
      </c>
      <c r="D187" s="1" t="s">
        <v>263</v>
      </c>
      <c r="E187" s="1">
        <v>60</v>
      </c>
      <c r="F187" s="5" t="s">
        <v>59</v>
      </c>
      <c r="G187" s="6">
        <v>3721</v>
      </c>
      <c r="H187" s="2">
        <v>2000</v>
      </c>
      <c r="I187" s="6">
        <v>2697019</v>
      </c>
      <c r="J187" s="7">
        <v>20167.82</v>
      </c>
      <c r="K187" s="6">
        <v>3721</v>
      </c>
      <c r="L187" s="7">
        <v>6883.85</v>
      </c>
      <c r="M187" s="7">
        <v>30772.67</v>
      </c>
      <c r="N187" s="7">
        <v>24273.17</v>
      </c>
      <c r="O187" s="7">
        <v>24273.17</v>
      </c>
      <c r="P187" s="8">
        <v>1</v>
      </c>
      <c r="Q187" s="7">
        <v>6499.5</v>
      </c>
      <c r="R187" s="7">
        <v>6499.5</v>
      </c>
      <c r="S187" s="1">
        <v>0.99087303000000004</v>
      </c>
      <c r="T187" s="7">
        <v>6440.18</v>
      </c>
      <c r="U187" s="7">
        <v>30772.67</v>
      </c>
      <c r="V187" s="7">
        <v>34990.5</v>
      </c>
      <c r="W187" s="7">
        <v>65763.17</v>
      </c>
      <c r="X187" s="7">
        <v>16440.79</v>
      </c>
      <c r="Y187" s="7">
        <v>12467.42</v>
      </c>
      <c r="Z187" s="7">
        <v>0</v>
      </c>
      <c r="AA187" s="7">
        <v>22728.18</v>
      </c>
      <c r="AB187" s="7">
        <v>0</v>
      </c>
      <c r="AC187" s="7">
        <v>0</v>
      </c>
      <c r="AD187" s="7">
        <v>8911.64</v>
      </c>
      <c r="AE187" s="7">
        <v>14702.41</v>
      </c>
      <c r="AF187" s="7">
        <v>0</v>
      </c>
      <c r="AG187" s="7">
        <v>0</v>
      </c>
      <c r="AH187" s="7">
        <v>0</v>
      </c>
      <c r="AI187" s="7">
        <v>24273.17</v>
      </c>
      <c r="AJ187" s="7">
        <v>6499.5</v>
      </c>
    </row>
    <row r="188" spans="1:36" x14ac:dyDescent="0.2">
      <c r="A188" s="1" t="s">
        <v>33</v>
      </c>
      <c r="B188" s="1">
        <v>611</v>
      </c>
      <c r="C188" s="1">
        <v>1</v>
      </c>
      <c r="D188" s="1" t="s">
        <v>264</v>
      </c>
      <c r="E188" s="1">
        <v>61</v>
      </c>
      <c r="F188" s="5" t="s">
        <v>60</v>
      </c>
      <c r="G188" s="6">
        <v>827</v>
      </c>
      <c r="H188" s="2">
        <v>2000</v>
      </c>
      <c r="I188" s="6">
        <v>1187123</v>
      </c>
      <c r="J188" s="7">
        <v>7235.7</v>
      </c>
      <c r="K188" s="6">
        <v>1335</v>
      </c>
      <c r="L188" s="7">
        <v>2469.75</v>
      </c>
      <c r="M188" s="7">
        <v>11040.45</v>
      </c>
      <c r="N188" s="7">
        <v>10684.11</v>
      </c>
      <c r="O188" s="7">
        <v>10684.11</v>
      </c>
      <c r="P188" s="8">
        <v>1</v>
      </c>
      <c r="Q188" s="7">
        <v>356.34</v>
      </c>
      <c r="R188" s="7">
        <v>356.34</v>
      </c>
      <c r="S188" s="1">
        <v>0.99087303000000004</v>
      </c>
      <c r="T188" s="7">
        <v>353.09</v>
      </c>
      <c r="U188" s="7">
        <v>9705.4500000000007</v>
      </c>
      <c r="V188" s="7">
        <v>86485.32</v>
      </c>
      <c r="W188" s="7">
        <v>96190.77</v>
      </c>
      <c r="X188" s="7">
        <v>24047.69</v>
      </c>
      <c r="Y188" s="7">
        <v>26752.080000000002</v>
      </c>
      <c r="Z188" s="7">
        <v>1362.88</v>
      </c>
      <c r="AA188" s="7">
        <v>16952.27</v>
      </c>
      <c r="AB188" s="7">
        <v>1323.89</v>
      </c>
      <c r="AC188" s="7">
        <v>0</v>
      </c>
      <c r="AD188" s="7">
        <v>6910.54</v>
      </c>
      <c r="AE188" s="7">
        <v>15976.04</v>
      </c>
      <c r="AF188" s="7">
        <v>0</v>
      </c>
      <c r="AG188" s="7">
        <v>0</v>
      </c>
      <c r="AH188" s="7">
        <v>0</v>
      </c>
      <c r="AI188" s="7">
        <v>10684.11</v>
      </c>
      <c r="AJ188" s="7">
        <v>356.34</v>
      </c>
    </row>
    <row r="189" spans="1:36" x14ac:dyDescent="0.2">
      <c r="A189" s="1" t="s">
        <v>33</v>
      </c>
      <c r="B189" s="1">
        <v>621</v>
      </c>
      <c r="C189" s="1">
        <v>1</v>
      </c>
      <c r="D189" s="1" t="s">
        <v>265</v>
      </c>
      <c r="E189" s="1">
        <v>62</v>
      </c>
      <c r="F189" s="5" t="s">
        <v>56</v>
      </c>
      <c r="G189" s="6">
        <v>76193</v>
      </c>
      <c r="H189" s="2">
        <v>2000</v>
      </c>
      <c r="I189" s="6">
        <v>107950997</v>
      </c>
      <c r="J189" s="7">
        <v>412966.06</v>
      </c>
      <c r="K189" s="6">
        <v>76193</v>
      </c>
      <c r="L189" s="7">
        <v>46962.99</v>
      </c>
      <c r="M189" s="7">
        <v>536122.05000000005</v>
      </c>
      <c r="N189" s="7">
        <v>536122.05000000005</v>
      </c>
      <c r="O189" s="7">
        <v>536122.05000000005</v>
      </c>
      <c r="P189" s="8">
        <v>1</v>
      </c>
      <c r="Q189" s="7">
        <v>0</v>
      </c>
      <c r="R189" s="7">
        <v>0</v>
      </c>
      <c r="S189" s="1">
        <v>0.99087303000000004</v>
      </c>
      <c r="T189" s="7">
        <v>0</v>
      </c>
      <c r="U189" s="7">
        <v>536122.05000000005</v>
      </c>
      <c r="V189" s="7">
        <v>2462081.33</v>
      </c>
      <c r="W189" s="7">
        <v>2998203.38</v>
      </c>
      <c r="X189" s="7">
        <v>749550.85</v>
      </c>
      <c r="Y189" s="7">
        <v>105335.76</v>
      </c>
      <c r="Z189" s="7">
        <v>0</v>
      </c>
      <c r="AA189" s="7">
        <v>179736.83</v>
      </c>
      <c r="AB189" s="7">
        <v>0</v>
      </c>
      <c r="AC189" s="7">
        <v>0</v>
      </c>
      <c r="AD189" s="7">
        <v>337267.74</v>
      </c>
      <c r="AE189" s="7">
        <v>207446.78</v>
      </c>
      <c r="AF189" s="7">
        <v>0</v>
      </c>
      <c r="AG189" s="7">
        <v>0</v>
      </c>
      <c r="AH189" s="7">
        <v>0</v>
      </c>
      <c r="AI189" s="7">
        <v>536122.05000000005</v>
      </c>
      <c r="AJ189" s="7">
        <v>0</v>
      </c>
    </row>
    <row r="190" spans="1:36" x14ac:dyDescent="0.2">
      <c r="A190" s="1" t="s">
        <v>33</v>
      </c>
      <c r="B190" s="1">
        <v>622</v>
      </c>
      <c r="C190" s="1">
        <v>1</v>
      </c>
      <c r="D190" s="1" t="s">
        <v>266</v>
      </c>
      <c r="E190" s="1">
        <v>62</v>
      </c>
      <c r="F190" s="5" t="s">
        <v>56</v>
      </c>
      <c r="G190" s="6">
        <v>80332</v>
      </c>
      <c r="H190" s="2">
        <v>2005</v>
      </c>
      <c r="I190" s="6">
        <v>102429028</v>
      </c>
      <c r="J190" s="7">
        <v>435399.44</v>
      </c>
      <c r="K190" s="6">
        <v>80332</v>
      </c>
      <c r="L190" s="7">
        <v>48742.76</v>
      </c>
      <c r="M190" s="7">
        <v>564474.19999999995</v>
      </c>
      <c r="N190" s="7">
        <v>564474.19999999995</v>
      </c>
      <c r="O190" s="7">
        <v>564474.19999999995</v>
      </c>
      <c r="P190" s="8">
        <v>1</v>
      </c>
      <c r="Q190" s="7">
        <v>0</v>
      </c>
      <c r="R190" s="7">
        <v>0</v>
      </c>
      <c r="S190" s="1">
        <v>0.99087303000000004</v>
      </c>
      <c r="T190" s="7">
        <v>0</v>
      </c>
      <c r="U190" s="7">
        <v>564474.19999999995</v>
      </c>
      <c r="V190" s="7">
        <v>3641314.44</v>
      </c>
      <c r="W190" s="7">
        <v>4205788.6399999997</v>
      </c>
      <c r="X190" s="7">
        <v>1051447.1599999999</v>
      </c>
      <c r="Y190" s="7">
        <v>717940.42</v>
      </c>
      <c r="Z190" s="7">
        <v>0</v>
      </c>
      <c r="AA190" s="7">
        <v>1027528.55</v>
      </c>
      <c r="AB190" s="7">
        <v>0</v>
      </c>
      <c r="AC190" s="7">
        <v>0</v>
      </c>
      <c r="AD190" s="7">
        <v>811364.58</v>
      </c>
      <c r="AE190" s="7">
        <v>852277.85</v>
      </c>
      <c r="AF190" s="7">
        <v>0</v>
      </c>
      <c r="AG190" s="7">
        <v>0</v>
      </c>
      <c r="AH190" s="7">
        <v>0</v>
      </c>
      <c r="AI190" s="7">
        <v>564474.19999999995</v>
      </c>
      <c r="AJ190" s="7">
        <v>0</v>
      </c>
    </row>
    <row r="191" spans="1:36" x14ac:dyDescent="0.2">
      <c r="A191" s="1" t="s">
        <v>33</v>
      </c>
      <c r="B191" s="1">
        <v>623</v>
      </c>
      <c r="C191" s="1">
        <v>1</v>
      </c>
      <c r="D191" s="1" t="s">
        <v>267</v>
      </c>
      <c r="E191" s="1">
        <v>62</v>
      </c>
      <c r="F191" s="5" t="s">
        <v>56</v>
      </c>
      <c r="G191" s="6">
        <v>54737</v>
      </c>
      <c r="H191" s="2">
        <v>2000</v>
      </c>
      <c r="I191" s="6">
        <v>74468453</v>
      </c>
      <c r="J191" s="7">
        <v>296674.53999999998</v>
      </c>
      <c r="K191" s="6">
        <v>54737</v>
      </c>
      <c r="L191" s="7">
        <v>37736.910000000003</v>
      </c>
      <c r="M191" s="7">
        <v>389148.45</v>
      </c>
      <c r="N191" s="7">
        <v>389148.45</v>
      </c>
      <c r="O191" s="7">
        <v>389148.45</v>
      </c>
      <c r="P191" s="8">
        <v>1</v>
      </c>
      <c r="Q191" s="7">
        <v>0</v>
      </c>
      <c r="R191" s="7">
        <v>0</v>
      </c>
      <c r="S191" s="1">
        <v>0.99087303000000004</v>
      </c>
      <c r="T191" s="7">
        <v>0</v>
      </c>
      <c r="U191" s="7">
        <v>389148.45</v>
      </c>
      <c r="V191" s="7">
        <v>5491431.9299999997</v>
      </c>
      <c r="W191" s="7">
        <v>5880580.3799999999</v>
      </c>
      <c r="X191" s="7">
        <v>1470145.1</v>
      </c>
      <c r="Y191" s="7">
        <v>116064.1</v>
      </c>
      <c r="Z191" s="7">
        <v>0</v>
      </c>
      <c r="AA191" s="7">
        <v>103802.61</v>
      </c>
      <c r="AB191" s="7">
        <v>0</v>
      </c>
      <c r="AC191" s="7">
        <v>0</v>
      </c>
      <c r="AD191" s="7">
        <v>444077.78</v>
      </c>
      <c r="AE191" s="7">
        <v>221314.83</v>
      </c>
      <c r="AF191" s="7">
        <v>0</v>
      </c>
      <c r="AG191" s="7">
        <v>0</v>
      </c>
      <c r="AH191" s="7">
        <v>0</v>
      </c>
      <c r="AI191" s="7">
        <v>389148.45</v>
      </c>
      <c r="AJ191" s="7">
        <v>0</v>
      </c>
    </row>
    <row r="192" spans="1:36" x14ac:dyDescent="0.2">
      <c r="A192" s="1" t="s">
        <v>33</v>
      </c>
      <c r="B192" s="1">
        <v>624</v>
      </c>
      <c r="C192" s="1">
        <v>1</v>
      </c>
      <c r="D192" s="1" t="s">
        <v>268</v>
      </c>
      <c r="E192" s="1">
        <v>62</v>
      </c>
      <c r="F192" s="5" t="s">
        <v>56</v>
      </c>
      <c r="G192" s="6">
        <v>54327</v>
      </c>
      <c r="H192" s="2">
        <v>2000</v>
      </c>
      <c r="I192" s="6">
        <v>84651162</v>
      </c>
      <c r="J192" s="7">
        <v>294452.34000000003</v>
      </c>
      <c r="K192" s="6">
        <v>54327</v>
      </c>
      <c r="L192" s="7">
        <v>37560.61</v>
      </c>
      <c r="M192" s="7">
        <v>386339.95</v>
      </c>
      <c r="N192" s="7">
        <v>386339.95</v>
      </c>
      <c r="O192" s="7">
        <v>386339.95</v>
      </c>
      <c r="P192" s="8">
        <v>1</v>
      </c>
      <c r="Q192" s="7">
        <v>0</v>
      </c>
      <c r="R192" s="7">
        <v>0</v>
      </c>
      <c r="S192" s="1">
        <v>0.99087303000000004</v>
      </c>
      <c r="T192" s="7">
        <v>0</v>
      </c>
      <c r="U192" s="7">
        <v>386339.95</v>
      </c>
      <c r="V192" s="7">
        <v>3762413.58</v>
      </c>
      <c r="W192" s="7">
        <v>4148753.53</v>
      </c>
      <c r="X192" s="7">
        <v>1037188.38</v>
      </c>
      <c r="Y192" s="7">
        <v>947680.81</v>
      </c>
      <c r="Z192" s="7">
        <v>0</v>
      </c>
      <c r="AA192" s="7">
        <v>1123710.98</v>
      </c>
      <c r="AB192" s="7">
        <v>0</v>
      </c>
      <c r="AC192" s="7">
        <v>0</v>
      </c>
      <c r="AD192" s="7">
        <v>983279.26</v>
      </c>
      <c r="AE192" s="7">
        <v>1018223.68</v>
      </c>
      <c r="AF192" s="7">
        <v>0</v>
      </c>
      <c r="AG192" s="7">
        <v>0</v>
      </c>
      <c r="AH192" s="7">
        <v>0</v>
      </c>
      <c r="AI192" s="7">
        <v>386339.95</v>
      </c>
      <c r="AJ192" s="7">
        <v>0</v>
      </c>
    </row>
    <row r="193" spans="1:36" x14ac:dyDescent="0.2">
      <c r="A193" s="1" t="s">
        <v>33</v>
      </c>
      <c r="B193" s="1">
        <v>625</v>
      </c>
      <c r="C193" s="1">
        <v>1</v>
      </c>
      <c r="D193" s="1" t="s">
        <v>269</v>
      </c>
      <c r="E193" s="1">
        <v>62</v>
      </c>
      <c r="F193" s="5" t="s">
        <v>56</v>
      </c>
      <c r="G193" s="6">
        <v>287151</v>
      </c>
      <c r="H193" s="2">
        <v>2000</v>
      </c>
      <c r="I193" s="6">
        <v>303207342</v>
      </c>
      <c r="J193" s="7">
        <v>1556358.42</v>
      </c>
      <c r="K193" s="6">
        <v>287151</v>
      </c>
      <c r="L193" s="7">
        <v>137674.93</v>
      </c>
      <c r="M193" s="7">
        <v>1981184.35</v>
      </c>
      <c r="N193" s="7">
        <v>1981184.35</v>
      </c>
      <c r="O193" s="7">
        <v>1981184.35</v>
      </c>
      <c r="P193" s="8">
        <v>1</v>
      </c>
      <c r="Q193" s="7">
        <v>0</v>
      </c>
      <c r="R193" s="7">
        <v>0</v>
      </c>
      <c r="S193" s="1">
        <v>0.99087303000000004</v>
      </c>
      <c r="T193" s="7">
        <v>0</v>
      </c>
      <c r="U193" s="7">
        <v>1981184.35</v>
      </c>
      <c r="V193" s="7">
        <v>7785457.7300000004</v>
      </c>
      <c r="W193" s="7">
        <v>9766642.0800000001</v>
      </c>
      <c r="X193" s="7">
        <v>2441660.52</v>
      </c>
      <c r="Y193" s="7">
        <v>1420985.77</v>
      </c>
      <c r="Z193" s="7">
        <v>0</v>
      </c>
      <c r="AA193" s="7">
        <v>1562299.43</v>
      </c>
      <c r="AB193" s="7">
        <v>0</v>
      </c>
      <c r="AC193" s="7">
        <v>0</v>
      </c>
      <c r="AD193" s="7">
        <v>1512251.31</v>
      </c>
      <c r="AE193" s="7">
        <v>1498512.17</v>
      </c>
      <c r="AF193" s="7">
        <v>0</v>
      </c>
      <c r="AG193" s="7">
        <v>0</v>
      </c>
      <c r="AH193" s="7">
        <v>0</v>
      </c>
      <c r="AI193" s="7">
        <v>1981184.35</v>
      </c>
      <c r="AJ193" s="7">
        <v>0</v>
      </c>
    </row>
    <row r="194" spans="1:36" x14ac:dyDescent="0.2">
      <c r="A194" s="1" t="s">
        <v>33</v>
      </c>
      <c r="B194" s="1">
        <v>627</v>
      </c>
      <c r="C194" s="1">
        <v>1</v>
      </c>
      <c r="D194" s="1" t="s">
        <v>270</v>
      </c>
      <c r="E194" s="1">
        <v>63</v>
      </c>
      <c r="F194" s="5" t="s">
        <v>59</v>
      </c>
      <c r="G194" s="6">
        <v>1189</v>
      </c>
      <c r="H194" s="2">
        <v>2000</v>
      </c>
      <c r="I194" s="6">
        <v>1242419</v>
      </c>
      <c r="J194" s="7">
        <v>7235.7</v>
      </c>
      <c r="K194" s="6">
        <v>1335</v>
      </c>
      <c r="L194" s="7">
        <v>2469.75</v>
      </c>
      <c r="M194" s="7">
        <v>11040.45</v>
      </c>
      <c r="N194" s="7">
        <v>11040.45</v>
      </c>
      <c r="O194" s="7">
        <v>11040.45</v>
      </c>
      <c r="P194" s="8">
        <v>1</v>
      </c>
      <c r="Q194" s="7">
        <v>0</v>
      </c>
      <c r="R194" s="7">
        <v>0</v>
      </c>
      <c r="S194" s="1">
        <v>0.99087303000000004</v>
      </c>
      <c r="T194" s="7">
        <v>0</v>
      </c>
      <c r="U194" s="7">
        <v>11040.45</v>
      </c>
      <c r="V194" s="7">
        <v>2683.19</v>
      </c>
      <c r="W194" s="7">
        <v>13723.64</v>
      </c>
      <c r="X194" s="7">
        <v>3430.91</v>
      </c>
      <c r="Y194" s="7">
        <v>4522</v>
      </c>
      <c r="Z194" s="7">
        <v>0</v>
      </c>
      <c r="AA194" s="7">
        <v>4409.42</v>
      </c>
      <c r="AB194" s="7">
        <v>542.29</v>
      </c>
      <c r="AC194" s="7">
        <v>0</v>
      </c>
      <c r="AD194" s="7">
        <v>1401.05</v>
      </c>
      <c r="AE194" s="7">
        <v>3263.39</v>
      </c>
      <c r="AF194" s="7">
        <v>0</v>
      </c>
      <c r="AG194" s="7">
        <v>0</v>
      </c>
      <c r="AH194" s="7">
        <v>0</v>
      </c>
      <c r="AI194" s="7">
        <v>11040.45</v>
      </c>
      <c r="AJ194" s="7">
        <v>0</v>
      </c>
    </row>
    <row r="195" spans="1:36" x14ac:dyDescent="0.2">
      <c r="A195" s="1" t="s">
        <v>33</v>
      </c>
      <c r="B195" s="1">
        <v>628</v>
      </c>
      <c r="C195" s="1">
        <v>1</v>
      </c>
      <c r="D195" s="1" t="s">
        <v>271</v>
      </c>
      <c r="E195" s="1">
        <v>63</v>
      </c>
      <c r="F195" s="5" t="s">
        <v>59</v>
      </c>
      <c r="G195" s="6">
        <v>835</v>
      </c>
      <c r="H195" s="2">
        <v>2000</v>
      </c>
      <c r="I195" s="6">
        <v>920098</v>
      </c>
      <c r="J195" s="7">
        <v>7235.7</v>
      </c>
      <c r="K195" s="6">
        <v>1335</v>
      </c>
      <c r="L195" s="7">
        <v>2469.75</v>
      </c>
      <c r="M195" s="7">
        <v>11040.45</v>
      </c>
      <c r="N195" s="7">
        <v>8280.8799999999992</v>
      </c>
      <c r="O195" s="7">
        <v>8280.8799999999992</v>
      </c>
      <c r="P195" s="8">
        <v>1</v>
      </c>
      <c r="Q195" s="7">
        <v>2759.57</v>
      </c>
      <c r="R195" s="7">
        <v>2759.57</v>
      </c>
      <c r="S195" s="1">
        <v>0.99087303000000004</v>
      </c>
      <c r="T195" s="7">
        <v>2734.38</v>
      </c>
      <c r="U195" s="7">
        <v>11040.45</v>
      </c>
      <c r="V195" s="7">
        <v>83256.37</v>
      </c>
      <c r="W195" s="7">
        <v>94296.82</v>
      </c>
      <c r="X195" s="7">
        <v>23574.21</v>
      </c>
      <c r="Y195" s="7">
        <v>-9328.9500000000007</v>
      </c>
      <c r="Z195" s="7">
        <v>0</v>
      </c>
      <c r="AA195" s="7">
        <v>-9633.5499999999993</v>
      </c>
      <c r="AB195" s="7">
        <v>0</v>
      </c>
      <c r="AC195" s="7">
        <v>0</v>
      </c>
      <c r="AD195" s="7">
        <v>0.6</v>
      </c>
      <c r="AE195" s="7">
        <v>-6320.63</v>
      </c>
      <c r="AF195" s="7">
        <v>0</v>
      </c>
      <c r="AG195" s="7">
        <v>0</v>
      </c>
      <c r="AH195" s="7">
        <v>0</v>
      </c>
      <c r="AI195" s="7">
        <v>8280.8799999999992</v>
      </c>
      <c r="AJ195" s="7">
        <v>2759.57</v>
      </c>
    </row>
    <row r="196" spans="1:36" x14ac:dyDescent="0.2">
      <c r="A196" s="1" t="s">
        <v>33</v>
      </c>
      <c r="B196" s="1">
        <v>630</v>
      </c>
      <c r="C196" s="1">
        <v>1</v>
      </c>
      <c r="D196" s="1" t="s">
        <v>272</v>
      </c>
      <c r="E196" s="1">
        <v>63</v>
      </c>
      <c r="F196" s="5" t="s">
        <v>59</v>
      </c>
      <c r="G196" s="6">
        <v>2550</v>
      </c>
      <c r="H196" s="2">
        <v>2000</v>
      </c>
      <c r="I196" s="6">
        <v>1301261</v>
      </c>
      <c r="J196" s="7">
        <v>13821</v>
      </c>
      <c r="K196" s="6">
        <v>2550</v>
      </c>
      <c r="L196" s="7">
        <v>4717.5</v>
      </c>
      <c r="M196" s="7">
        <v>21088.5</v>
      </c>
      <c r="N196" s="7">
        <v>11711.35</v>
      </c>
      <c r="O196" s="7">
        <v>11711.35</v>
      </c>
      <c r="P196" s="8">
        <v>1</v>
      </c>
      <c r="Q196" s="7">
        <v>9377.15</v>
      </c>
      <c r="R196" s="7">
        <v>9377.15</v>
      </c>
      <c r="S196" s="1">
        <v>0.99087303000000004</v>
      </c>
      <c r="T196" s="7">
        <v>9291.57</v>
      </c>
      <c r="U196" s="7">
        <v>21088.5</v>
      </c>
      <c r="V196" s="7">
        <v>17108.259999999998</v>
      </c>
      <c r="W196" s="7">
        <v>38196.76</v>
      </c>
      <c r="X196" s="7">
        <v>9549.19</v>
      </c>
      <c r="Y196" s="7">
        <v>15586.16</v>
      </c>
      <c r="Z196" s="7">
        <v>0</v>
      </c>
      <c r="AA196" s="7">
        <v>23730.77</v>
      </c>
      <c r="AB196" s="7">
        <v>2562.7199999999998</v>
      </c>
      <c r="AC196" s="7">
        <v>0</v>
      </c>
      <c r="AD196" s="7">
        <v>-5462.85</v>
      </c>
      <c r="AE196" s="7">
        <v>10430.450000000001</v>
      </c>
      <c r="AF196" s="7">
        <v>881.26</v>
      </c>
      <c r="AG196" s="7">
        <v>489.4</v>
      </c>
      <c r="AH196" s="7">
        <v>391.86</v>
      </c>
      <c r="AI196" s="7">
        <v>11221.95</v>
      </c>
      <c r="AJ196" s="7">
        <v>8985.2900000000009</v>
      </c>
    </row>
    <row r="197" spans="1:36" x14ac:dyDescent="0.2">
      <c r="A197" s="1" t="s">
        <v>33</v>
      </c>
      <c r="B197" s="1">
        <v>635</v>
      </c>
      <c r="C197" s="1">
        <v>1</v>
      </c>
      <c r="D197" s="1" t="s">
        <v>273</v>
      </c>
      <c r="E197" s="1">
        <v>64</v>
      </c>
      <c r="F197" s="5" t="s">
        <v>65</v>
      </c>
      <c r="G197" s="6">
        <v>795</v>
      </c>
      <c r="H197" s="2">
        <v>2000</v>
      </c>
      <c r="I197" s="6">
        <v>1515246</v>
      </c>
      <c r="J197" s="7">
        <v>7235.7</v>
      </c>
      <c r="K197" s="6">
        <v>0</v>
      </c>
      <c r="L197" s="7">
        <v>2469.75</v>
      </c>
      <c r="M197" s="7">
        <v>9705.4500000000007</v>
      </c>
      <c r="N197" s="7">
        <v>9705.4500000000007</v>
      </c>
      <c r="O197" s="7">
        <v>9705.4500000000007</v>
      </c>
      <c r="P197" s="8">
        <v>1</v>
      </c>
      <c r="Q197" s="7">
        <v>0</v>
      </c>
      <c r="R197" s="7">
        <v>0</v>
      </c>
      <c r="S197" s="1">
        <v>0.99087303000000004</v>
      </c>
      <c r="T197" s="7">
        <v>0</v>
      </c>
      <c r="U197" s="7">
        <v>9705.4500000000007</v>
      </c>
      <c r="V197" s="7">
        <v>6807.06</v>
      </c>
      <c r="W197" s="7">
        <v>16512.509999999998</v>
      </c>
      <c r="X197" s="7">
        <v>4128.13</v>
      </c>
      <c r="Y197" s="7">
        <v>6648.21</v>
      </c>
      <c r="Z197" s="7">
        <v>0</v>
      </c>
      <c r="AA197" s="7">
        <v>8495.25</v>
      </c>
      <c r="AB197" s="7">
        <v>0</v>
      </c>
      <c r="AC197" s="7">
        <v>0</v>
      </c>
      <c r="AD197" s="7">
        <v>1671.32</v>
      </c>
      <c r="AE197" s="7">
        <v>5604.93</v>
      </c>
      <c r="AF197" s="7">
        <v>1476.8</v>
      </c>
      <c r="AG197" s="7">
        <v>1476.8</v>
      </c>
      <c r="AH197" s="7">
        <v>0</v>
      </c>
      <c r="AI197" s="7">
        <v>8228.65</v>
      </c>
      <c r="AJ197" s="7">
        <v>0</v>
      </c>
    </row>
    <row r="198" spans="1:36" x14ac:dyDescent="0.2">
      <c r="A198" s="1" t="s">
        <v>33</v>
      </c>
      <c r="B198" s="1">
        <v>640</v>
      </c>
      <c r="C198" s="1">
        <v>1</v>
      </c>
      <c r="D198" s="1" t="s">
        <v>274</v>
      </c>
      <c r="E198" s="1">
        <v>64</v>
      </c>
      <c r="F198" s="5" t="s">
        <v>65</v>
      </c>
      <c r="G198" s="6">
        <v>2783</v>
      </c>
      <c r="H198" s="2">
        <v>2000</v>
      </c>
      <c r="I198" s="6">
        <v>3942265</v>
      </c>
      <c r="J198" s="7">
        <v>15083.86</v>
      </c>
      <c r="K198" s="6">
        <v>2783</v>
      </c>
      <c r="L198" s="7">
        <v>5148.55</v>
      </c>
      <c r="M198" s="7">
        <v>23015.41</v>
      </c>
      <c r="N198" s="7">
        <v>23015.41</v>
      </c>
      <c r="O198" s="7">
        <v>23015.41</v>
      </c>
      <c r="P198" s="8">
        <v>1</v>
      </c>
      <c r="Q198" s="7">
        <v>0</v>
      </c>
      <c r="R198" s="7">
        <v>0</v>
      </c>
      <c r="S198" s="1">
        <v>0.99087303000000004</v>
      </c>
      <c r="T198" s="7">
        <v>0</v>
      </c>
      <c r="U198" s="7">
        <v>23015.41</v>
      </c>
      <c r="V198" s="7">
        <v>26035.15</v>
      </c>
      <c r="W198" s="7">
        <v>49050.559999999998</v>
      </c>
      <c r="X198" s="7">
        <v>12262.64</v>
      </c>
      <c r="Y198" s="7">
        <v>8231.67</v>
      </c>
      <c r="Z198" s="7">
        <v>0</v>
      </c>
      <c r="AA198" s="7">
        <v>574.26</v>
      </c>
      <c r="AB198" s="7">
        <v>0</v>
      </c>
      <c r="AC198" s="7">
        <v>0</v>
      </c>
      <c r="AD198" s="7">
        <v>-3105.04</v>
      </c>
      <c r="AE198" s="7">
        <v>1900.3</v>
      </c>
      <c r="AF198" s="7">
        <v>0</v>
      </c>
      <c r="AG198" s="7">
        <v>0</v>
      </c>
      <c r="AH198" s="7">
        <v>0</v>
      </c>
      <c r="AI198" s="7">
        <v>23015.41</v>
      </c>
      <c r="AJ198" s="7">
        <v>0</v>
      </c>
    </row>
    <row r="199" spans="1:36" x14ac:dyDescent="0.2">
      <c r="A199" s="1" t="s">
        <v>33</v>
      </c>
      <c r="B199" s="1">
        <v>656</v>
      </c>
      <c r="C199" s="1">
        <v>1</v>
      </c>
      <c r="D199" s="1" t="s">
        <v>275</v>
      </c>
      <c r="E199" s="1">
        <v>66</v>
      </c>
      <c r="F199" s="5" t="s">
        <v>61</v>
      </c>
      <c r="G199" s="6">
        <v>29804</v>
      </c>
      <c r="H199" s="2">
        <v>2005</v>
      </c>
      <c r="I199" s="6">
        <v>32577131</v>
      </c>
      <c r="J199" s="7">
        <v>161537.68</v>
      </c>
      <c r="K199" s="6">
        <v>29804</v>
      </c>
      <c r="L199" s="7">
        <v>27015.72</v>
      </c>
      <c r="M199" s="7">
        <v>218357.4</v>
      </c>
      <c r="N199" s="7">
        <v>218357.4</v>
      </c>
      <c r="O199" s="7">
        <v>218357.4</v>
      </c>
      <c r="P199" s="8">
        <v>1</v>
      </c>
      <c r="Q199" s="7">
        <v>0</v>
      </c>
      <c r="R199" s="7">
        <v>0</v>
      </c>
      <c r="S199" s="1">
        <v>0.99087303000000004</v>
      </c>
      <c r="T199" s="7">
        <v>0</v>
      </c>
      <c r="U199" s="7">
        <v>218357.4</v>
      </c>
      <c r="V199" s="7">
        <v>419141.12</v>
      </c>
      <c r="W199" s="7">
        <v>637498.52</v>
      </c>
      <c r="X199" s="7">
        <v>159374.63</v>
      </c>
      <c r="Y199" s="7">
        <v>272714.57</v>
      </c>
      <c r="Z199" s="7">
        <v>0</v>
      </c>
      <c r="AA199" s="7">
        <v>111893.48</v>
      </c>
      <c r="AB199" s="7">
        <v>54708.800000000003</v>
      </c>
      <c r="AC199" s="7">
        <v>0</v>
      </c>
      <c r="AD199" s="7">
        <v>99413.15</v>
      </c>
      <c r="AE199" s="7">
        <v>143104.13</v>
      </c>
      <c r="AF199" s="7">
        <v>0</v>
      </c>
      <c r="AG199" s="7">
        <v>0</v>
      </c>
      <c r="AH199" s="7">
        <v>0</v>
      </c>
      <c r="AI199" s="7">
        <v>218357.4</v>
      </c>
      <c r="AJ199" s="7">
        <v>0</v>
      </c>
    </row>
    <row r="200" spans="1:36" x14ac:dyDescent="0.2">
      <c r="A200" s="1" t="s">
        <v>33</v>
      </c>
      <c r="B200" s="1">
        <v>659</v>
      </c>
      <c r="C200" s="1">
        <v>1</v>
      </c>
      <c r="D200" s="1" t="s">
        <v>276</v>
      </c>
      <c r="E200" s="1">
        <v>66</v>
      </c>
      <c r="F200" s="5" t="s">
        <v>61</v>
      </c>
      <c r="G200" s="6">
        <v>28950</v>
      </c>
      <c r="H200" s="2">
        <v>2006</v>
      </c>
      <c r="I200" s="6">
        <v>32346621</v>
      </c>
      <c r="J200" s="7">
        <v>156909</v>
      </c>
      <c r="K200" s="6">
        <v>28950</v>
      </c>
      <c r="L200" s="7">
        <v>26648.5</v>
      </c>
      <c r="M200" s="7">
        <v>212507.5</v>
      </c>
      <c r="N200" s="7">
        <v>212507.5</v>
      </c>
      <c r="O200" s="7">
        <v>212507.5</v>
      </c>
      <c r="P200" s="8">
        <v>1</v>
      </c>
      <c r="Q200" s="7">
        <v>0</v>
      </c>
      <c r="R200" s="7">
        <v>0</v>
      </c>
      <c r="S200" s="1">
        <v>0.99087303000000004</v>
      </c>
      <c r="T200" s="7">
        <v>0</v>
      </c>
      <c r="U200" s="7">
        <v>212507.5</v>
      </c>
      <c r="V200" s="7">
        <v>1597236.49</v>
      </c>
      <c r="W200" s="7">
        <v>1809743.99</v>
      </c>
      <c r="X200" s="7">
        <v>452436</v>
      </c>
      <c r="Y200" s="7">
        <v>-35390.910000000003</v>
      </c>
      <c r="Z200" s="7">
        <v>0</v>
      </c>
      <c r="AA200" s="7">
        <v>-58108.75</v>
      </c>
      <c r="AB200" s="7">
        <v>0</v>
      </c>
      <c r="AC200" s="7">
        <v>0</v>
      </c>
      <c r="AD200" s="7">
        <v>-71033.33</v>
      </c>
      <c r="AE200" s="7">
        <v>-54844.33</v>
      </c>
      <c r="AF200" s="7">
        <v>0</v>
      </c>
      <c r="AG200" s="7">
        <v>0</v>
      </c>
      <c r="AH200" s="7">
        <v>0</v>
      </c>
      <c r="AI200" s="7">
        <v>212507.5</v>
      </c>
      <c r="AJ200" s="7">
        <v>0</v>
      </c>
    </row>
    <row r="201" spans="1:36" x14ac:dyDescent="0.2">
      <c r="A201" s="1" t="s">
        <v>33</v>
      </c>
      <c r="B201" s="1">
        <v>671</v>
      </c>
      <c r="C201" s="1">
        <v>1</v>
      </c>
      <c r="D201" s="1" t="s">
        <v>277</v>
      </c>
      <c r="E201" s="1">
        <v>67</v>
      </c>
      <c r="F201" s="5" t="s">
        <v>65</v>
      </c>
      <c r="G201" s="6">
        <v>1982</v>
      </c>
      <c r="H201" s="2">
        <v>2000</v>
      </c>
      <c r="I201" s="6">
        <v>3065677</v>
      </c>
      <c r="J201" s="7">
        <v>10742.44</v>
      </c>
      <c r="K201" s="6">
        <v>1982</v>
      </c>
      <c r="L201" s="7">
        <v>3666.7</v>
      </c>
      <c r="M201" s="7">
        <v>16391.14</v>
      </c>
      <c r="N201" s="7">
        <v>16391.14</v>
      </c>
      <c r="O201" s="7">
        <v>16391.14</v>
      </c>
      <c r="P201" s="8">
        <v>1</v>
      </c>
      <c r="Q201" s="7">
        <v>0</v>
      </c>
      <c r="R201" s="7">
        <v>0</v>
      </c>
      <c r="S201" s="1">
        <v>0.99087303000000004</v>
      </c>
      <c r="T201" s="7">
        <v>0</v>
      </c>
      <c r="U201" s="7">
        <v>16391.14</v>
      </c>
      <c r="V201" s="7">
        <v>78758.19</v>
      </c>
      <c r="W201" s="7">
        <v>95149.33</v>
      </c>
      <c r="X201" s="7">
        <v>23787.33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16391.14</v>
      </c>
      <c r="AJ201" s="7">
        <v>0</v>
      </c>
    </row>
    <row r="202" spans="1:36" x14ac:dyDescent="0.2">
      <c r="A202" s="1" t="s">
        <v>33</v>
      </c>
      <c r="B202" s="1">
        <v>676</v>
      </c>
      <c r="C202" s="1">
        <v>1</v>
      </c>
      <c r="D202" s="1" t="s">
        <v>278</v>
      </c>
      <c r="E202" s="1">
        <v>68</v>
      </c>
      <c r="F202" s="5" t="s">
        <v>59</v>
      </c>
      <c r="G202" s="6">
        <v>1239</v>
      </c>
      <c r="H202" s="2">
        <v>2000</v>
      </c>
      <c r="I202" s="6">
        <v>755483</v>
      </c>
      <c r="J202" s="7">
        <v>7235.7</v>
      </c>
      <c r="K202" s="6">
        <v>1335</v>
      </c>
      <c r="L202" s="7">
        <v>2469.75</v>
      </c>
      <c r="M202" s="7">
        <v>11040.45</v>
      </c>
      <c r="N202" s="7">
        <v>6799.35</v>
      </c>
      <c r="O202" s="7">
        <v>6799.35</v>
      </c>
      <c r="P202" s="8">
        <v>1</v>
      </c>
      <c r="Q202" s="7">
        <v>4241.1000000000004</v>
      </c>
      <c r="R202" s="7">
        <v>4241.1000000000004</v>
      </c>
      <c r="S202" s="1">
        <v>0.99087303000000004</v>
      </c>
      <c r="T202" s="7">
        <v>4202.3900000000003</v>
      </c>
      <c r="U202" s="7">
        <v>11040.45</v>
      </c>
      <c r="V202" s="7">
        <v>6106.4</v>
      </c>
      <c r="W202" s="7">
        <v>17146.849999999999</v>
      </c>
      <c r="X202" s="7">
        <v>4286.71</v>
      </c>
      <c r="Y202" s="7">
        <v>176.03</v>
      </c>
      <c r="Z202" s="7">
        <v>0</v>
      </c>
      <c r="AA202" s="7">
        <v>625.85</v>
      </c>
      <c r="AB202" s="7">
        <v>0</v>
      </c>
      <c r="AC202" s="7">
        <v>0</v>
      </c>
      <c r="AD202" s="7">
        <v>894.62</v>
      </c>
      <c r="AE202" s="7">
        <v>565.5</v>
      </c>
      <c r="AF202" s="7">
        <v>0</v>
      </c>
      <c r="AG202" s="7">
        <v>0</v>
      </c>
      <c r="AH202" s="7">
        <v>0</v>
      </c>
      <c r="AI202" s="7">
        <v>6799.35</v>
      </c>
      <c r="AJ202" s="7">
        <v>4241.1000000000004</v>
      </c>
    </row>
    <row r="203" spans="1:36" x14ac:dyDescent="0.2">
      <c r="A203" s="1" t="s">
        <v>33</v>
      </c>
      <c r="B203" s="1">
        <v>682</v>
      </c>
      <c r="C203" s="1">
        <v>1</v>
      </c>
      <c r="D203" s="1" t="s">
        <v>279</v>
      </c>
      <c r="E203" s="1">
        <v>68</v>
      </c>
      <c r="F203" s="5" t="s">
        <v>59</v>
      </c>
      <c r="G203" s="6">
        <v>7154</v>
      </c>
      <c r="H203" s="2">
        <v>2000</v>
      </c>
      <c r="I203" s="6">
        <v>4552796</v>
      </c>
      <c r="J203" s="7">
        <v>38774.68</v>
      </c>
      <c r="K203" s="6">
        <v>7154</v>
      </c>
      <c r="L203" s="7">
        <v>13234.9</v>
      </c>
      <c r="M203" s="7">
        <v>59163.58</v>
      </c>
      <c r="N203" s="7">
        <v>40975.160000000003</v>
      </c>
      <c r="O203" s="7">
        <v>40975.160000000003</v>
      </c>
      <c r="P203" s="8">
        <v>1</v>
      </c>
      <c r="Q203" s="7">
        <v>18188.419999999998</v>
      </c>
      <c r="R203" s="7">
        <v>18188.419999999998</v>
      </c>
      <c r="S203" s="1">
        <v>0.99087303000000004</v>
      </c>
      <c r="T203" s="7">
        <v>18022.41</v>
      </c>
      <c r="U203" s="7">
        <v>59163.58</v>
      </c>
      <c r="V203" s="7">
        <v>116502.86</v>
      </c>
      <c r="W203" s="7">
        <v>175666.44</v>
      </c>
      <c r="X203" s="7">
        <v>43916.61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40975.160000000003</v>
      </c>
      <c r="AJ203" s="7">
        <v>18188.419999999998</v>
      </c>
    </row>
    <row r="204" spans="1:36" x14ac:dyDescent="0.2">
      <c r="A204" s="1" t="s">
        <v>33</v>
      </c>
      <c r="B204" s="1">
        <v>690</v>
      </c>
      <c r="C204" s="1">
        <v>1</v>
      </c>
      <c r="D204" s="1" t="s">
        <v>280</v>
      </c>
      <c r="E204" s="1">
        <v>68</v>
      </c>
      <c r="F204" s="5" t="s">
        <v>59</v>
      </c>
      <c r="G204" s="6">
        <v>6270</v>
      </c>
      <c r="H204" s="2">
        <v>2000</v>
      </c>
      <c r="I204" s="6">
        <v>4289789</v>
      </c>
      <c r="J204" s="7">
        <v>33983.4</v>
      </c>
      <c r="K204" s="6">
        <v>6270</v>
      </c>
      <c r="L204" s="7">
        <v>11599.5</v>
      </c>
      <c r="M204" s="7">
        <v>51852.9</v>
      </c>
      <c r="N204" s="7">
        <v>38608.1</v>
      </c>
      <c r="O204" s="7">
        <v>38608.1</v>
      </c>
      <c r="P204" s="8">
        <v>1</v>
      </c>
      <c r="Q204" s="7">
        <v>13244.8</v>
      </c>
      <c r="R204" s="7">
        <v>13244.8</v>
      </c>
      <c r="S204" s="1">
        <v>0.99087303000000004</v>
      </c>
      <c r="T204" s="7">
        <v>13123.92</v>
      </c>
      <c r="U204" s="7">
        <v>51852.9</v>
      </c>
      <c r="V204" s="7">
        <v>283091.12</v>
      </c>
      <c r="W204" s="7">
        <v>334944.02</v>
      </c>
      <c r="X204" s="7">
        <v>83736.009999999995</v>
      </c>
      <c r="Y204" s="7">
        <v>8523.4</v>
      </c>
      <c r="Z204" s="7">
        <v>0</v>
      </c>
      <c r="AA204" s="7">
        <v>-23547.67</v>
      </c>
      <c r="AB204" s="7">
        <v>0</v>
      </c>
      <c r="AC204" s="7">
        <v>0</v>
      </c>
      <c r="AD204" s="7">
        <v>-26246.17</v>
      </c>
      <c r="AE204" s="7">
        <v>-13756.81</v>
      </c>
      <c r="AF204" s="7">
        <v>0</v>
      </c>
      <c r="AG204" s="7">
        <v>0</v>
      </c>
      <c r="AH204" s="7">
        <v>0</v>
      </c>
      <c r="AI204" s="7">
        <v>38608.1</v>
      </c>
      <c r="AJ204" s="7">
        <v>13244.8</v>
      </c>
    </row>
    <row r="205" spans="1:36" x14ac:dyDescent="0.2">
      <c r="A205" s="1" t="s">
        <v>33</v>
      </c>
      <c r="B205" s="1">
        <v>695</v>
      </c>
      <c r="C205" s="1">
        <v>1</v>
      </c>
      <c r="D205" s="1" t="s">
        <v>281</v>
      </c>
      <c r="E205" s="1">
        <v>69</v>
      </c>
      <c r="F205" s="5" t="s">
        <v>58</v>
      </c>
      <c r="G205" s="6">
        <v>5771</v>
      </c>
      <c r="H205" s="2">
        <v>2000</v>
      </c>
      <c r="I205" s="6">
        <v>2725385</v>
      </c>
      <c r="J205" s="7">
        <v>31278.82</v>
      </c>
      <c r="K205" s="6">
        <v>5771</v>
      </c>
      <c r="L205" s="7">
        <v>10676.35</v>
      </c>
      <c r="M205" s="7">
        <v>47726.17</v>
      </c>
      <c r="N205" s="7">
        <v>24528.47</v>
      </c>
      <c r="O205" s="7">
        <v>24528.47</v>
      </c>
      <c r="P205" s="8">
        <v>1</v>
      </c>
      <c r="Q205" s="7">
        <v>23197.7</v>
      </c>
      <c r="R205" s="7">
        <v>23197.7</v>
      </c>
      <c r="S205" s="1">
        <v>0.99087303000000004</v>
      </c>
      <c r="T205" s="7">
        <v>22985.98</v>
      </c>
      <c r="U205" s="7">
        <v>47726.17</v>
      </c>
      <c r="V205" s="7">
        <v>42000.46</v>
      </c>
      <c r="W205" s="7">
        <v>89726.63</v>
      </c>
      <c r="X205" s="7">
        <v>22431.66</v>
      </c>
      <c r="Y205" s="7">
        <v>16969.18</v>
      </c>
      <c r="Z205" s="7">
        <v>5239.6499999999996</v>
      </c>
      <c r="AA205" s="7">
        <v>9796.32</v>
      </c>
      <c r="AB205" s="7">
        <v>0</v>
      </c>
      <c r="AC205" s="7">
        <v>0</v>
      </c>
      <c r="AD205" s="7">
        <v>9663</v>
      </c>
      <c r="AE205" s="7">
        <v>10396.280000000001</v>
      </c>
      <c r="AF205" s="7">
        <v>0</v>
      </c>
      <c r="AG205" s="7">
        <v>0</v>
      </c>
      <c r="AH205" s="7">
        <v>0</v>
      </c>
      <c r="AI205" s="7">
        <v>24528.47</v>
      </c>
      <c r="AJ205" s="7">
        <v>23197.7</v>
      </c>
    </row>
    <row r="206" spans="1:36" x14ac:dyDescent="0.2">
      <c r="A206" s="1" t="s">
        <v>33</v>
      </c>
      <c r="B206" s="1">
        <v>696</v>
      </c>
      <c r="C206" s="1">
        <v>1</v>
      </c>
      <c r="D206" s="1" t="s">
        <v>282</v>
      </c>
      <c r="E206" s="1">
        <v>69</v>
      </c>
      <c r="F206" s="5" t="s">
        <v>58</v>
      </c>
      <c r="G206" s="6">
        <v>5446</v>
      </c>
      <c r="H206" s="2">
        <v>2000</v>
      </c>
      <c r="I206" s="6">
        <v>8910279</v>
      </c>
      <c r="J206" s="7">
        <v>29517.32</v>
      </c>
      <c r="K206" s="6">
        <v>5446</v>
      </c>
      <c r="L206" s="7">
        <v>10075.1</v>
      </c>
      <c r="M206" s="7">
        <v>45038.42</v>
      </c>
      <c r="N206" s="7">
        <v>45038.42</v>
      </c>
      <c r="O206" s="7">
        <v>45038.42</v>
      </c>
      <c r="P206" s="8">
        <v>1</v>
      </c>
      <c r="Q206" s="7">
        <v>0</v>
      </c>
      <c r="R206" s="7">
        <v>0</v>
      </c>
      <c r="S206" s="1">
        <v>0.99087303000000004</v>
      </c>
      <c r="T206" s="7">
        <v>0</v>
      </c>
      <c r="U206" s="7">
        <v>45038.42</v>
      </c>
      <c r="V206" s="7">
        <v>22767</v>
      </c>
      <c r="W206" s="7">
        <v>67805.42</v>
      </c>
      <c r="X206" s="7">
        <v>16951.36</v>
      </c>
      <c r="Y206" s="7">
        <v>-1532.25</v>
      </c>
      <c r="Z206" s="7">
        <v>0</v>
      </c>
      <c r="AA206" s="7">
        <v>2527.91</v>
      </c>
      <c r="AB206" s="7">
        <v>0</v>
      </c>
      <c r="AC206" s="7">
        <v>0</v>
      </c>
      <c r="AD206" s="7">
        <v>29920.15</v>
      </c>
      <c r="AE206" s="7">
        <v>10305.27</v>
      </c>
      <c r="AF206" s="7">
        <v>0</v>
      </c>
      <c r="AG206" s="7">
        <v>0</v>
      </c>
      <c r="AH206" s="7">
        <v>0</v>
      </c>
      <c r="AI206" s="7">
        <v>45038.42</v>
      </c>
      <c r="AJ206" s="7">
        <v>0</v>
      </c>
    </row>
    <row r="207" spans="1:36" x14ac:dyDescent="0.2">
      <c r="A207" s="1" t="s">
        <v>33</v>
      </c>
      <c r="B207" s="1">
        <v>698</v>
      </c>
      <c r="C207" s="1">
        <v>1</v>
      </c>
      <c r="D207" s="1" t="s">
        <v>283</v>
      </c>
      <c r="E207" s="1">
        <v>69</v>
      </c>
      <c r="F207" s="5" t="s">
        <v>58</v>
      </c>
      <c r="G207" s="6">
        <v>1661</v>
      </c>
      <c r="H207" s="2">
        <v>2000</v>
      </c>
      <c r="I207" s="6">
        <v>2629860</v>
      </c>
      <c r="J207" s="7">
        <v>9002.6200000000008</v>
      </c>
      <c r="K207" s="6">
        <v>1661</v>
      </c>
      <c r="L207" s="7">
        <v>3072.85</v>
      </c>
      <c r="M207" s="7">
        <v>13736.47</v>
      </c>
      <c r="N207" s="7">
        <v>13736.47</v>
      </c>
      <c r="O207" s="7">
        <v>13736.47</v>
      </c>
      <c r="P207" s="8">
        <v>1</v>
      </c>
      <c r="Q207" s="7">
        <v>0</v>
      </c>
      <c r="R207" s="7">
        <v>0</v>
      </c>
      <c r="S207" s="1">
        <v>0.99087303000000004</v>
      </c>
      <c r="T207" s="7">
        <v>0</v>
      </c>
      <c r="U207" s="7">
        <v>13736.47</v>
      </c>
      <c r="V207" s="7">
        <v>9451.36</v>
      </c>
      <c r="W207" s="7">
        <v>23187.83</v>
      </c>
      <c r="X207" s="7">
        <v>5796.96</v>
      </c>
      <c r="Y207" s="7">
        <v>-9065.34</v>
      </c>
      <c r="Z207" s="7">
        <v>0</v>
      </c>
      <c r="AA207" s="7">
        <v>-1789.36</v>
      </c>
      <c r="AB207" s="7">
        <v>0</v>
      </c>
      <c r="AC207" s="7">
        <v>0</v>
      </c>
      <c r="AD207" s="7">
        <v>10890.96</v>
      </c>
      <c r="AE207" s="7">
        <v>12.09</v>
      </c>
      <c r="AF207" s="7">
        <v>0</v>
      </c>
      <c r="AG207" s="7">
        <v>0</v>
      </c>
      <c r="AH207" s="7">
        <v>0</v>
      </c>
      <c r="AI207" s="7">
        <v>13736.47</v>
      </c>
      <c r="AJ207" s="7">
        <v>0</v>
      </c>
    </row>
    <row r="208" spans="1:36" x14ac:dyDescent="0.2">
      <c r="A208" s="1" t="s">
        <v>33</v>
      </c>
      <c r="B208" s="1">
        <v>700</v>
      </c>
      <c r="C208" s="1">
        <v>1</v>
      </c>
      <c r="D208" s="1" t="s">
        <v>284</v>
      </c>
      <c r="E208" s="1">
        <v>69</v>
      </c>
      <c r="F208" s="5" t="s">
        <v>58</v>
      </c>
      <c r="G208" s="6">
        <v>9773</v>
      </c>
      <c r="H208" s="2">
        <v>2000</v>
      </c>
      <c r="I208" s="6">
        <v>13322560</v>
      </c>
      <c r="J208" s="7">
        <v>52969.66</v>
      </c>
      <c r="K208" s="6">
        <v>9773</v>
      </c>
      <c r="L208" s="7">
        <v>18080.05</v>
      </c>
      <c r="M208" s="7">
        <v>80822.710000000006</v>
      </c>
      <c r="N208" s="7">
        <v>80822.710000000006</v>
      </c>
      <c r="O208" s="7">
        <v>80822.710000000006</v>
      </c>
      <c r="P208" s="8">
        <v>1</v>
      </c>
      <c r="Q208" s="7">
        <v>0</v>
      </c>
      <c r="R208" s="7">
        <v>0</v>
      </c>
      <c r="S208" s="1">
        <v>0.99087303000000004</v>
      </c>
      <c r="T208" s="7">
        <v>0</v>
      </c>
      <c r="U208" s="7">
        <v>80822.710000000006</v>
      </c>
      <c r="V208" s="7">
        <v>168622.69</v>
      </c>
      <c r="W208" s="7">
        <v>249445.4</v>
      </c>
      <c r="X208" s="7">
        <v>62361.35</v>
      </c>
      <c r="Y208" s="7">
        <v>30300.05</v>
      </c>
      <c r="Z208" s="7">
        <v>0</v>
      </c>
      <c r="AA208" s="7">
        <v>17023.060000000001</v>
      </c>
      <c r="AB208" s="7">
        <v>0</v>
      </c>
      <c r="AC208" s="7">
        <v>0</v>
      </c>
      <c r="AD208" s="7">
        <v>10899.32</v>
      </c>
      <c r="AE208" s="7">
        <v>19407.48</v>
      </c>
      <c r="AF208" s="7">
        <v>0</v>
      </c>
      <c r="AG208" s="7">
        <v>0</v>
      </c>
      <c r="AH208" s="7">
        <v>0</v>
      </c>
      <c r="AI208" s="7">
        <v>80822.710000000006</v>
      </c>
      <c r="AJ208" s="7">
        <v>0</v>
      </c>
    </row>
    <row r="209" spans="1:36" x14ac:dyDescent="0.2">
      <c r="A209" s="1" t="s">
        <v>33</v>
      </c>
      <c r="B209" s="1">
        <v>701</v>
      </c>
      <c r="C209" s="1">
        <v>1</v>
      </c>
      <c r="D209" s="1" t="s">
        <v>285</v>
      </c>
      <c r="E209" s="1">
        <v>69</v>
      </c>
      <c r="F209" s="5" t="s">
        <v>58</v>
      </c>
      <c r="G209" s="6">
        <v>18077</v>
      </c>
      <c r="H209" s="2">
        <v>2000</v>
      </c>
      <c r="I209" s="6">
        <v>12261975</v>
      </c>
      <c r="J209" s="7">
        <v>97977.34</v>
      </c>
      <c r="K209" s="6">
        <v>18077</v>
      </c>
      <c r="L209" s="7">
        <v>21973.11</v>
      </c>
      <c r="M209" s="7">
        <v>138027.45000000001</v>
      </c>
      <c r="N209" s="7">
        <v>110357.78</v>
      </c>
      <c r="O209" s="7">
        <v>110357.78</v>
      </c>
      <c r="P209" s="8">
        <v>1</v>
      </c>
      <c r="Q209" s="7">
        <v>27669.67</v>
      </c>
      <c r="R209" s="7">
        <v>27669.67</v>
      </c>
      <c r="S209" s="1">
        <v>0.99087303000000004</v>
      </c>
      <c r="T209" s="7">
        <v>27417.13</v>
      </c>
      <c r="U209" s="7">
        <v>138027.45000000001</v>
      </c>
      <c r="V209" s="7">
        <v>111024.06</v>
      </c>
      <c r="W209" s="7">
        <v>249051.51</v>
      </c>
      <c r="X209" s="7">
        <v>62262.879999999997</v>
      </c>
      <c r="Y209" s="7">
        <v>33533.81</v>
      </c>
      <c r="Z209" s="7">
        <v>0</v>
      </c>
      <c r="AA209" s="7">
        <v>55398.41</v>
      </c>
      <c r="AB209" s="7">
        <v>0</v>
      </c>
      <c r="AC209" s="7">
        <v>0</v>
      </c>
      <c r="AD209" s="7">
        <v>69893.06</v>
      </c>
      <c r="AE209" s="7">
        <v>52941.760000000002</v>
      </c>
      <c r="AF209" s="7">
        <v>0</v>
      </c>
      <c r="AG209" s="7">
        <v>0</v>
      </c>
      <c r="AH209" s="7">
        <v>0</v>
      </c>
      <c r="AI209" s="7">
        <v>110357.78</v>
      </c>
      <c r="AJ209" s="7">
        <v>27669.67</v>
      </c>
    </row>
    <row r="210" spans="1:36" x14ac:dyDescent="0.2">
      <c r="A210" s="1" t="s">
        <v>33</v>
      </c>
      <c r="B210" s="1">
        <v>704</v>
      </c>
      <c r="C210" s="1">
        <v>1</v>
      </c>
      <c r="D210" s="1" t="s">
        <v>286</v>
      </c>
      <c r="E210" s="1">
        <v>69</v>
      </c>
      <c r="F210" s="5" t="s">
        <v>58</v>
      </c>
      <c r="G210" s="6">
        <v>12161</v>
      </c>
      <c r="H210" s="2">
        <v>2002</v>
      </c>
      <c r="I210" s="6">
        <v>11646727</v>
      </c>
      <c r="J210" s="7">
        <v>65912.62</v>
      </c>
      <c r="K210" s="6">
        <v>12161</v>
      </c>
      <c r="L210" s="7">
        <v>19429.23</v>
      </c>
      <c r="M210" s="7">
        <v>97502.85</v>
      </c>
      <c r="N210" s="7">
        <v>97502.85</v>
      </c>
      <c r="O210" s="7">
        <v>97502.85</v>
      </c>
      <c r="P210" s="8">
        <v>1</v>
      </c>
      <c r="Q210" s="7">
        <v>0</v>
      </c>
      <c r="R210" s="7">
        <v>0</v>
      </c>
      <c r="S210" s="1">
        <v>0.99087303000000004</v>
      </c>
      <c r="T210" s="7">
        <v>0</v>
      </c>
      <c r="U210" s="7">
        <v>97502.85</v>
      </c>
      <c r="V210" s="7">
        <v>507419.83</v>
      </c>
      <c r="W210" s="7">
        <v>604922.68000000005</v>
      </c>
      <c r="X210" s="7">
        <v>151230.67000000001</v>
      </c>
      <c r="Y210" s="7">
        <v>46829.02</v>
      </c>
      <c r="Z210" s="7">
        <v>0</v>
      </c>
      <c r="AA210" s="7">
        <v>154403.75</v>
      </c>
      <c r="AB210" s="7">
        <v>0</v>
      </c>
      <c r="AC210" s="7">
        <v>0</v>
      </c>
      <c r="AD210" s="7">
        <v>146387.13</v>
      </c>
      <c r="AE210" s="7">
        <v>115873.3</v>
      </c>
      <c r="AF210" s="7">
        <v>0</v>
      </c>
      <c r="AG210" s="7">
        <v>0</v>
      </c>
      <c r="AH210" s="7">
        <v>0</v>
      </c>
      <c r="AI210" s="7">
        <v>97502.85</v>
      </c>
      <c r="AJ210" s="7">
        <v>0</v>
      </c>
    </row>
    <row r="211" spans="1:36" x14ac:dyDescent="0.2">
      <c r="A211" s="1" t="s">
        <v>33</v>
      </c>
      <c r="B211" s="1">
        <v>706</v>
      </c>
      <c r="C211" s="1">
        <v>1</v>
      </c>
      <c r="D211" s="1" t="s">
        <v>287</v>
      </c>
      <c r="E211" s="1">
        <v>69</v>
      </c>
      <c r="F211" s="5" t="s">
        <v>58</v>
      </c>
      <c r="G211" s="6">
        <v>11614</v>
      </c>
      <c r="H211" s="2">
        <v>2000</v>
      </c>
      <c r="I211" s="6">
        <v>6803429</v>
      </c>
      <c r="J211" s="7">
        <v>62947.88</v>
      </c>
      <c r="K211" s="6">
        <v>11614</v>
      </c>
      <c r="L211" s="7">
        <v>19194.02</v>
      </c>
      <c r="M211" s="7">
        <v>93755.9</v>
      </c>
      <c r="N211" s="7">
        <v>61230.86</v>
      </c>
      <c r="O211" s="7">
        <v>61230.86</v>
      </c>
      <c r="P211" s="8">
        <v>1</v>
      </c>
      <c r="Q211" s="7">
        <v>32525.040000000001</v>
      </c>
      <c r="R211" s="7">
        <v>32525.040000000001</v>
      </c>
      <c r="S211" s="1">
        <v>0.99087303000000004</v>
      </c>
      <c r="T211" s="7">
        <v>32228.18</v>
      </c>
      <c r="U211" s="7">
        <v>93755.9</v>
      </c>
      <c r="V211" s="7">
        <v>53236.06</v>
      </c>
      <c r="W211" s="7">
        <v>146991.96</v>
      </c>
      <c r="X211" s="7">
        <v>36747.99</v>
      </c>
      <c r="Y211" s="7">
        <v>6441.14</v>
      </c>
      <c r="Z211" s="7">
        <v>0</v>
      </c>
      <c r="AA211" s="7">
        <v>14045.91</v>
      </c>
      <c r="AB211" s="7">
        <v>0</v>
      </c>
      <c r="AC211" s="7">
        <v>0</v>
      </c>
      <c r="AD211" s="7">
        <v>12202.89</v>
      </c>
      <c r="AE211" s="7">
        <v>10896.65</v>
      </c>
      <c r="AF211" s="7">
        <v>0</v>
      </c>
      <c r="AG211" s="7">
        <v>0</v>
      </c>
      <c r="AH211" s="7">
        <v>0</v>
      </c>
      <c r="AI211" s="7">
        <v>61230.86</v>
      </c>
      <c r="AJ211" s="7">
        <v>32525.040000000001</v>
      </c>
    </row>
    <row r="212" spans="1:36" x14ac:dyDescent="0.2">
      <c r="A212" s="1" t="s">
        <v>33</v>
      </c>
      <c r="B212" s="1">
        <v>707</v>
      </c>
      <c r="C212" s="1">
        <v>1</v>
      </c>
      <c r="D212" s="1" t="s">
        <v>288</v>
      </c>
      <c r="E212" s="1">
        <v>69</v>
      </c>
      <c r="F212" s="5" t="s">
        <v>58</v>
      </c>
      <c r="G212" s="6">
        <v>304</v>
      </c>
      <c r="H212" s="2">
        <v>2000</v>
      </c>
      <c r="I212" s="6">
        <v>96798</v>
      </c>
      <c r="J212" s="7">
        <v>7235.7</v>
      </c>
      <c r="K212" s="6">
        <v>1335</v>
      </c>
      <c r="L212" s="7">
        <v>2469.75</v>
      </c>
      <c r="M212" s="7">
        <v>11040.45</v>
      </c>
      <c r="N212" s="7">
        <v>871.18</v>
      </c>
      <c r="O212" s="7">
        <v>871.18</v>
      </c>
      <c r="P212" s="8">
        <v>1</v>
      </c>
      <c r="Q212" s="7">
        <v>10169.27</v>
      </c>
      <c r="R212" s="7">
        <v>10169.27</v>
      </c>
      <c r="S212" s="1">
        <v>0.99087303000000004</v>
      </c>
      <c r="T212" s="7">
        <v>10076.459999999999</v>
      </c>
      <c r="U212" s="7">
        <v>11040.45</v>
      </c>
      <c r="V212" s="7">
        <v>28063.23</v>
      </c>
      <c r="W212" s="7">
        <v>39103.68</v>
      </c>
      <c r="X212" s="7">
        <v>9775.92</v>
      </c>
      <c r="Y212" s="7">
        <v>1554.99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518.33000000000004</v>
      </c>
      <c r="AF212" s="7">
        <v>0</v>
      </c>
      <c r="AG212" s="7">
        <v>0</v>
      </c>
      <c r="AH212" s="7">
        <v>0</v>
      </c>
      <c r="AI212" s="7">
        <v>871.18</v>
      </c>
      <c r="AJ212" s="7">
        <v>10169.27</v>
      </c>
    </row>
    <row r="213" spans="1:36" x14ac:dyDescent="0.2">
      <c r="A213" s="1" t="s">
        <v>33</v>
      </c>
      <c r="B213" s="1">
        <v>709</v>
      </c>
      <c r="C213" s="1">
        <v>1</v>
      </c>
      <c r="D213" s="1" t="s">
        <v>289</v>
      </c>
      <c r="E213" s="1">
        <v>69</v>
      </c>
      <c r="F213" s="5" t="s">
        <v>58</v>
      </c>
      <c r="G213" s="6">
        <v>92900</v>
      </c>
      <c r="H213" s="2">
        <v>2002</v>
      </c>
      <c r="I213" s="6">
        <v>75919250</v>
      </c>
      <c r="J213" s="7">
        <v>503518</v>
      </c>
      <c r="K213" s="6">
        <v>92900</v>
      </c>
      <c r="L213" s="7">
        <v>54147</v>
      </c>
      <c r="M213" s="7">
        <v>650565</v>
      </c>
      <c r="N213" s="7">
        <v>650565</v>
      </c>
      <c r="O213" s="7">
        <v>650565</v>
      </c>
      <c r="P213" s="8">
        <v>1</v>
      </c>
      <c r="Q213" s="7">
        <v>0</v>
      </c>
      <c r="R213" s="7">
        <v>0</v>
      </c>
      <c r="S213" s="1">
        <v>0.99087303000000004</v>
      </c>
      <c r="T213" s="7">
        <v>0</v>
      </c>
      <c r="U213" s="7">
        <v>650565</v>
      </c>
      <c r="V213" s="7">
        <v>5233221.13</v>
      </c>
      <c r="W213" s="7">
        <v>5883786.1299999999</v>
      </c>
      <c r="X213" s="7">
        <v>1470946.53</v>
      </c>
      <c r="Y213" s="7">
        <v>198276.06</v>
      </c>
      <c r="Z213" s="7">
        <v>0</v>
      </c>
      <c r="AA213" s="7">
        <v>345315.14</v>
      </c>
      <c r="AB213" s="7">
        <v>0</v>
      </c>
      <c r="AC213" s="7">
        <v>0</v>
      </c>
      <c r="AD213" s="7">
        <v>82063.350000000006</v>
      </c>
      <c r="AE213" s="7">
        <v>208551.52</v>
      </c>
      <c r="AF213" s="7">
        <v>0</v>
      </c>
      <c r="AG213" s="7">
        <v>0</v>
      </c>
      <c r="AH213" s="7">
        <v>0</v>
      </c>
      <c r="AI213" s="7">
        <v>650565</v>
      </c>
      <c r="AJ213" s="7">
        <v>0</v>
      </c>
    </row>
    <row r="214" spans="1:36" x14ac:dyDescent="0.2">
      <c r="A214" s="1" t="s">
        <v>33</v>
      </c>
      <c r="B214" s="1">
        <v>712</v>
      </c>
      <c r="C214" s="1">
        <v>1</v>
      </c>
      <c r="D214" s="1" t="s">
        <v>290</v>
      </c>
      <c r="E214" s="1">
        <v>69</v>
      </c>
      <c r="F214" s="5" t="s">
        <v>58</v>
      </c>
      <c r="G214" s="6">
        <v>4723</v>
      </c>
      <c r="H214" s="2">
        <v>2000</v>
      </c>
      <c r="I214" s="6">
        <v>3894286</v>
      </c>
      <c r="J214" s="7">
        <v>25598.66</v>
      </c>
      <c r="K214" s="6">
        <v>4723</v>
      </c>
      <c r="L214" s="7">
        <v>8737.5499999999993</v>
      </c>
      <c r="M214" s="7">
        <v>39059.21</v>
      </c>
      <c r="N214" s="7">
        <v>35048.57</v>
      </c>
      <c r="O214" s="7">
        <v>35048.57</v>
      </c>
      <c r="P214" s="8">
        <v>1</v>
      </c>
      <c r="Q214" s="7">
        <v>4010.64</v>
      </c>
      <c r="R214" s="7">
        <v>4010.64</v>
      </c>
      <c r="S214" s="1">
        <v>0.99087303000000004</v>
      </c>
      <c r="T214" s="7">
        <v>3974.04</v>
      </c>
      <c r="U214" s="7">
        <v>39059.21</v>
      </c>
      <c r="V214" s="7">
        <v>17988.5</v>
      </c>
      <c r="W214" s="7">
        <v>57047.71</v>
      </c>
      <c r="X214" s="7">
        <v>14261.93</v>
      </c>
      <c r="Y214" s="7">
        <v>19152.77</v>
      </c>
      <c r="Z214" s="7">
        <v>0</v>
      </c>
      <c r="AA214" s="7">
        <v>14884.84</v>
      </c>
      <c r="AB214" s="7">
        <v>2995.18</v>
      </c>
      <c r="AC214" s="7">
        <v>0</v>
      </c>
      <c r="AD214" s="7">
        <v>15875.59</v>
      </c>
      <c r="AE214" s="7">
        <v>15639.34</v>
      </c>
      <c r="AF214" s="7">
        <v>1377.41</v>
      </c>
      <c r="AG214" s="7">
        <v>1235.98</v>
      </c>
      <c r="AH214" s="7">
        <v>141.43</v>
      </c>
      <c r="AI214" s="7">
        <v>33812.589999999997</v>
      </c>
      <c r="AJ214" s="7">
        <v>3869.21</v>
      </c>
    </row>
    <row r="215" spans="1:36" x14ac:dyDescent="0.2">
      <c r="A215" s="1" t="s">
        <v>33</v>
      </c>
      <c r="B215" s="1">
        <v>716</v>
      </c>
      <c r="C215" s="1">
        <v>1</v>
      </c>
      <c r="D215" s="1" t="s">
        <v>291</v>
      </c>
      <c r="E215" s="1">
        <v>70</v>
      </c>
      <c r="F215" s="5" t="s">
        <v>56</v>
      </c>
      <c r="G215" s="6">
        <v>12488</v>
      </c>
      <c r="H215" s="2">
        <v>2006</v>
      </c>
      <c r="I215" s="6">
        <v>12398728</v>
      </c>
      <c r="J215" s="7">
        <v>67684.960000000006</v>
      </c>
      <c r="K215" s="6">
        <v>12488</v>
      </c>
      <c r="L215" s="7">
        <v>19569.84</v>
      </c>
      <c r="M215" s="7">
        <v>99742.8</v>
      </c>
      <c r="N215" s="7">
        <v>99742.8</v>
      </c>
      <c r="O215" s="7">
        <v>99742.8</v>
      </c>
      <c r="P215" s="8">
        <v>1</v>
      </c>
      <c r="Q215" s="7">
        <v>0</v>
      </c>
      <c r="R215" s="7">
        <v>0</v>
      </c>
      <c r="S215" s="1">
        <v>0.99087303000000004</v>
      </c>
      <c r="T215" s="7">
        <v>0</v>
      </c>
      <c r="U215" s="7">
        <v>99742.8</v>
      </c>
      <c r="V215" s="7">
        <v>346275.47</v>
      </c>
      <c r="W215" s="7">
        <v>446018.27</v>
      </c>
      <c r="X215" s="7">
        <v>111504.57</v>
      </c>
      <c r="Y215" s="7">
        <v>91200</v>
      </c>
      <c r="Z215" s="7">
        <v>0</v>
      </c>
      <c r="AA215" s="7">
        <v>82982.64</v>
      </c>
      <c r="AB215" s="7">
        <v>0</v>
      </c>
      <c r="AC215" s="7">
        <v>0</v>
      </c>
      <c r="AD215" s="7">
        <v>83801.78</v>
      </c>
      <c r="AE215" s="7">
        <v>85994.81</v>
      </c>
      <c r="AF215" s="7">
        <v>0</v>
      </c>
      <c r="AG215" s="7">
        <v>0</v>
      </c>
      <c r="AH215" s="7">
        <v>0</v>
      </c>
      <c r="AI215" s="7">
        <v>99742.8</v>
      </c>
      <c r="AJ215" s="7">
        <v>0</v>
      </c>
    </row>
    <row r="216" spans="1:36" x14ac:dyDescent="0.2">
      <c r="A216" s="1" t="s">
        <v>33</v>
      </c>
      <c r="B216" s="1">
        <v>717</v>
      </c>
      <c r="C216" s="1">
        <v>1</v>
      </c>
      <c r="D216" s="1" t="s">
        <v>292</v>
      </c>
      <c r="E216" s="1">
        <v>70</v>
      </c>
      <c r="F216" s="5" t="s">
        <v>56</v>
      </c>
      <c r="G216" s="6">
        <v>9421</v>
      </c>
      <c r="H216" s="2">
        <v>2008</v>
      </c>
      <c r="I216" s="6">
        <v>13564689</v>
      </c>
      <c r="J216" s="7">
        <v>51061.82</v>
      </c>
      <c r="K216" s="6">
        <v>9421</v>
      </c>
      <c r="L216" s="7">
        <v>17428.849999999999</v>
      </c>
      <c r="M216" s="7">
        <v>77911.67</v>
      </c>
      <c r="N216" s="7">
        <v>77911.67</v>
      </c>
      <c r="O216" s="7">
        <v>77911.67</v>
      </c>
      <c r="P216" s="8">
        <v>1</v>
      </c>
      <c r="Q216" s="7">
        <v>0</v>
      </c>
      <c r="R216" s="7">
        <v>0</v>
      </c>
      <c r="S216" s="1">
        <v>0.99087303000000004</v>
      </c>
      <c r="T216" s="7">
        <v>0</v>
      </c>
      <c r="U216" s="7">
        <v>71502.42</v>
      </c>
      <c r="V216" s="7">
        <v>364180.41</v>
      </c>
      <c r="W216" s="7">
        <v>435682.83</v>
      </c>
      <c r="X216" s="7">
        <v>108920.71</v>
      </c>
      <c r="Y216" s="7">
        <v>24057.18</v>
      </c>
      <c r="Z216" s="7">
        <v>0</v>
      </c>
      <c r="AA216" s="7">
        <v>-32759.9</v>
      </c>
      <c r="AB216" s="7">
        <v>0</v>
      </c>
      <c r="AC216" s="7">
        <v>0</v>
      </c>
      <c r="AD216" s="7">
        <v>-28344.44</v>
      </c>
      <c r="AE216" s="7">
        <v>-12349.05</v>
      </c>
      <c r="AF216" s="7">
        <v>0</v>
      </c>
      <c r="AG216" s="7">
        <v>0</v>
      </c>
      <c r="AH216" s="7">
        <v>0</v>
      </c>
      <c r="AI216" s="7">
        <v>77911.67</v>
      </c>
      <c r="AJ216" s="7">
        <v>0</v>
      </c>
    </row>
    <row r="217" spans="1:36" x14ac:dyDescent="0.2">
      <c r="A217" s="1" t="s">
        <v>33</v>
      </c>
      <c r="B217" s="1">
        <v>719</v>
      </c>
      <c r="C217" s="1">
        <v>1</v>
      </c>
      <c r="D217" s="1" t="s">
        <v>92</v>
      </c>
      <c r="E217" s="1">
        <v>70</v>
      </c>
      <c r="F217" s="5" t="s">
        <v>56</v>
      </c>
      <c r="G217" s="6">
        <v>46550</v>
      </c>
      <c r="H217" s="2">
        <v>2008</v>
      </c>
      <c r="I217" s="6">
        <v>55207430</v>
      </c>
      <c r="J217" s="7">
        <v>252301</v>
      </c>
      <c r="K217" s="6">
        <v>46550</v>
      </c>
      <c r="L217" s="7">
        <v>34216.5</v>
      </c>
      <c r="M217" s="7">
        <v>333067.5</v>
      </c>
      <c r="N217" s="7">
        <v>333067.5</v>
      </c>
      <c r="O217" s="7">
        <v>333067.5</v>
      </c>
      <c r="P217" s="8">
        <v>1</v>
      </c>
      <c r="Q217" s="7">
        <v>0</v>
      </c>
      <c r="R217" s="7">
        <v>0</v>
      </c>
      <c r="S217" s="1">
        <v>0.99087303000000004</v>
      </c>
      <c r="T217" s="7">
        <v>0</v>
      </c>
      <c r="U217" s="7">
        <v>322600.7</v>
      </c>
      <c r="V217" s="7">
        <v>2583276.46</v>
      </c>
      <c r="W217" s="7">
        <v>2905877.16</v>
      </c>
      <c r="X217" s="7">
        <v>726469.29</v>
      </c>
      <c r="Y217" s="7">
        <v>614688.73</v>
      </c>
      <c r="Z217" s="7">
        <v>0</v>
      </c>
      <c r="AA217" s="7">
        <v>828480.79</v>
      </c>
      <c r="AB217" s="7">
        <v>0</v>
      </c>
      <c r="AC217" s="7">
        <v>0</v>
      </c>
      <c r="AD217" s="7">
        <v>699906.74</v>
      </c>
      <c r="AE217" s="7">
        <v>714358.75</v>
      </c>
      <c r="AF217" s="7">
        <v>0</v>
      </c>
      <c r="AG217" s="7">
        <v>0</v>
      </c>
      <c r="AH217" s="7">
        <v>0</v>
      </c>
      <c r="AI217" s="7">
        <v>333067.5</v>
      </c>
      <c r="AJ217" s="7">
        <v>0</v>
      </c>
    </row>
    <row r="218" spans="1:36" x14ac:dyDescent="0.2">
      <c r="A218" s="1" t="s">
        <v>33</v>
      </c>
      <c r="B218" s="1">
        <v>720</v>
      </c>
      <c r="C218" s="1">
        <v>1</v>
      </c>
      <c r="D218" s="1" t="s">
        <v>293</v>
      </c>
      <c r="E218" s="1">
        <v>70</v>
      </c>
      <c r="F218" s="5" t="s">
        <v>56</v>
      </c>
      <c r="G218" s="6">
        <v>40051</v>
      </c>
      <c r="H218" s="2">
        <v>2008</v>
      </c>
      <c r="I218" s="6">
        <v>54009678</v>
      </c>
      <c r="J218" s="7">
        <v>217076.42</v>
      </c>
      <c r="K218" s="6">
        <v>40051</v>
      </c>
      <c r="L218" s="7">
        <v>31421.93</v>
      </c>
      <c r="M218" s="7">
        <v>288549.34999999998</v>
      </c>
      <c r="N218" s="7">
        <v>288549.34999999998</v>
      </c>
      <c r="O218" s="7">
        <v>288549.34999999998</v>
      </c>
      <c r="P218" s="8">
        <v>1</v>
      </c>
      <c r="Q218" s="7">
        <v>0</v>
      </c>
      <c r="R218" s="7">
        <v>0</v>
      </c>
      <c r="S218" s="1">
        <v>0.99087303000000004</v>
      </c>
      <c r="T218" s="7">
        <v>0</v>
      </c>
      <c r="U218" s="7">
        <v>286439.55</v>
      </c>
      <c r="V218" s="7">
        <v>465702.11</v>
      </c>
      <c r="W218" s="7">
        <v>752141.66</v>
      </c>
      <c r="X218" s="7">
        <v>188035.42</v>
      </c>
      <c r="Y218" s="7">
        <v>173943.22</v>
      </c>
      <c r="Z218" s="7">
        <v>0</v>
      </c>
      <c r="AA218" s="7">
        <v>233881.68</v>
      </c>
      <c r="AB218" s="7">
        <v>0</v>
      </c>
      <c r="AC218" s="7">
        <v>0</v>
      </c>
      <c r="AD218" s="7">
        <v>238260.36</v>
      </c>
      <c r="AE218" s="7">
        <v>215361.75</v>
      </c>
      <c r="AF218" s="7">
        <v>27326.33</v>
      </c>
      <c r="AG218" s="7">
        <v>27326.33</v>
      </c>
      <c r="AH218" s="7">
        <v>0</v>
      </c>
      <c r="AI218" s="7">
        <v>261223.02</v>
      </c>
      <c r="AJ218" s="7">
        <v>0</v>
      </c>
    </row>
    <row r="219" spans="1:36" x14ac:dyDescent="0.2">
      <c r="A219" s="1" t="s">
        <v>33</v>
      </c>
      <c r="B219" s="1">
        <v>721</v>
      </c>
      <c r="C219" s="1">
        <v>1</v>
      </c>
      <c r="D219" s="1" t="s">
        <v>90</v>
      </c>
      <c r="E219" s="1">
        <v>70</v>
      </c>
      <c r="F219" s="5" t="s">
        <v>56</v>
      </c>
      <c r="G219" s="6">
        <v>19337</v>
      </c>
      <c r="H219" s="2">
        <v>2008</v>
      </c>
      <c r="I219" s="6">
        <v>26025169</v>
      </c>
      <c r="J219" s="7">
        <v>104806.54</v>
      </c>
      <c r="K219" s="6">
        <v>19337</v>
      </c>
      <c r="L219" s="7">
        <v>22514.91</v>
      </c>
      <c r="M219" s="7">
        <v>146658.45000000001</v>
      </c>
      <c r="N219" s="7">
        <v>146658.45000000001</v>
      </c>
      <c r="O219" s="7">
        <v>146658.45000000001</v>
      </c>
      <c r="P219" s="8">
        <v>1</v>
      </c>
      <c r="Q219" s="7">
        <v>0</v>
      </c>
      <c r="R219" s="7">
        <v>0</v>
      </c>
      <c r="S219" s="1">
        <v>0.99087303000000004</v>
      </c>
      <c r="T219" s="7">
        <v>0</v>
      </c>
      <c r="U219" s="7">
        <v>145767.95000000001</v>
      </c>
      <c r="V219" s="7">
        <v>1002896.98</v>
      </c>
      <c r="W219" s="7">
        <v>1148664.93</v>
      </c>
      <c r="X219" s="7">
        <v>287166.23</v>
      </c>
      <c r="Y219" s="7">
        <v>11951.97</v>
      </c>
      <c r="Z219" s="7">
        <v>0</v>
      </c>
      <c r="AA219" s="7">
        <v>18975.96</v>
      </c>
      <c r="AB219" s="7">
        <v>0</v>
      </c>
      <c r="AC219" s="7">
        <v>0</v>
      </c>
      <c r="AD219" s="7">
        <v>30343.11</v>
      </c>
      <c r="AE219" s="7">
        <v>20423.68</v>
      </c>
      <c r="AF219" s="7">
        <v>0</v>
      </c>
      <c r="AG219" s="7">
        <v>0</v>
      </c>
      <c r="AH219" s="7">
        <v>0</v>
      </c>
      <c r="AI219" s="7">
        <v>146658.45000000001</v>
      </c>
      <c r="AJ219" s="7">
        <v>0</v>
      </c>
    </row>
    <row r="220" spans="1:36" x14ac:dyDescent="0.2">
      <c r="A220" s="1" t="s">
        <v>33</v>
      </c>
      <c r="B220" s="1">
        <v>726</v>
      </c>
      <c r="C220" s="1">
        <v>1</v>
      </c>
      <c r="D220" s="1" t="s">
        <v>294</v>
      </c>
      <c r="E220" s="1">
        <v>71</v>
      </c>
      <c r="F220" s="5" t="s">
        <v>63</v>
      </c>
      <c r="G220" s="6">
        <v>10233</v>
      </c>
      <c r="H220" s="2">
        <v>2005</v>
      </c>
      <c r="I220" s="6">
        <v>23368505</v>
      </c>
      <c r="J220" s="7">
        <v>55462.86</v>
      </c>
      <c r="K220" s="6">
        <v>10233</v>
      </c>
      <c r="L220" s="7">
        <v>18600.189999999999</v>
      </c>
      <c r="M220" s="7">
        <v>84296.05</v>
      </c>
      <c r="N220" s="7">
        <v>84296.05</v>
      </c>
      <c r="O220" s="7">
        <v>84296.05</v>
      </c>
      <c r="P220" s="8">
        <v>1</v>
      </c>
      <c r="Q220" s="7">
        <v>0</v>
      </c>
      <c r="R220" s="7">
        <v>0</v>
      </c>
      <c r="S220" s="1">
        <v>0.99087303000000004</v>
      </c>
      <c r="T220" s="7">
        <v>0</v>
      </c>
      <c r="U220" s="7">
        <v>84296.05</v>
      </c>
      <c r="V220" s="7">
        <v>327641.83</v>
      </c>
      <c r="W220" s="7">
        <v>411937.88</v>
      </c>
      <c r="X220" s="7">
        <v>102984.47</v>
      </c>
      <c r="Y220" s="7">
        <v>-129571.2</v>
      </c>
      <c r="Z220" s="7">
        <v>0</v>
      </c>
      <c r="AA220" s="7">
        <v>-170859.34</v>
      </c>
      <c r="AB220" s="7">
        <v>0</v>
      </c>
      <c r="AC220" s="7">
        <v>0</v>
      </c>
      <c r="AD220" s="7">
        <v>-159621.15</v>
      </c>
      <c r="AE220" s="7">
        <v>-153350.56</v>
      </c>
      <c r="AF220" s="7">
        <v>0</v>
      </c>
      <c r="AG220" s="7">
        <v>0</v>
      </c>
      <c r="AH220" s="7">
        <v>0</v>
      </c>
      <c r="AI220" s="7">
        <v>84296.05</v>
      </c>
      <c r="AJ220" s="7">
        <v>0</v>
      </c>
    </row>
    <row r="221" spans="1:36" x14ac:dyDescent="0.2">
      <c r="A221" s="1" t="s">
        <v>33</v>
      </c>
      <c r="B221" s="1">
        <v>727</v>
      </c>
      <c r="C221" s="1">
        <v>1</v>
      </c>
      <c r="D221" s="1" t="s">
        <v>295</v>
      </c>
      <c r="E221" s="1">
        <v>71</v>
      </c>
      <c r="F221" s="5" t="s">
        <v>63</v>
      </c>
      <c r="G221" s="6">
        <v>18922</v>
      </c>
      <c r="H221" s="2">
        <v>2006</v>
      </c>
      <c r="I221" s="6">
        <v>16528509</v>
      </c>
      <c r="J221" s="7">
        <v>102557.24</v>
      </c>
      <c r="K221" s="6">
        <v>18922</v>
      </c>
      <c r="L221" s="7">
        <v>22336.46</v>
      </c>
      <c r="M221" s="7">
        <v>143815.70000000001</v>
      </c>
      <c r="N221" s="7">
        <v>143815.70000000001</v>
      </c>
      <c r="O221" s="7">
        <v>143815.70000000001</v>
      </c>
      <c r="P221" s="8">
        <v>1</v>
      </c>
      <c r="Q221" s="7">
        <v>0</v>
      </c>
      <c r="R221" s="7">
        <v>0</v>
      </c>
      <c r="S221" s="1">
        <v>0.99087303000000004</v>
      </c>
      <c r="T221" s="7">
        <v>0</v>
      </c>
      <c r="U221" s="7">
        <v>143815.70000000001</v>
      </c>
      <c r="V221" s="7">
        <v>1116871.1100000001</v>
      </c>
      <c r="W221" s="7">
        <v>1260686.81</v>
      </c>
      <c r="X221" s="7">
        <v>315171.7</v>
      </c>
      <c r="Y221" s="7">
        <v>-847.25</v>
      </c>
      <c r="Z221" s="7">
        <v>0</v>
      </c>
      <c r="AA221" s="7">
        <v>62007.67</v>
      </c>
      <c r="AB221" s="7">
        <v>0</v>
      </c>
      <c r="AC221" s="7">
        <v>0</v>
      </c>
      <c r="AD221" s="7">
        <v>59561.95</v>
      </c>
      <c r="AE221" s="7">
        <v>40240.79</v>
      </c>
      <c r="AF221" s="7">
        <v>0</v>
      </c>
      <c r="AG221" s="7">
        <v>0</v>
      </c>
      <c r="AH221" s="7">
        <v>0</v>
      </c>
      <c r="AI221" s="7">
        <v>143815.70000000001</v>
      </c>
      <c r="AJ221" s="7">
        <v>0</v>
      </c>
    </row>
    <row r="222" spans="1:36" x14ac:dyDescent="0.2">
      <c r="A222" s="1" t="s">
        <v>33</v>
      </c>
      <c r="B222" s="1">
        <v>728</v>
      </c>
      <c r="C222" s="1">
        <v>1</v>
      </c>
      <c r="D222" s="1" t="s">
        <v>296</v>
      </c>
      <c r="E222" s="1">
        <v>71</v>
      </c>
      <c r="F222" s="5" t="s">
        <v>63</v>
      </c>
      <c r="G222" s="6">
        <v>62813</v>
      </c>
      <c r="H222" s="2">
        <v>2008</v>
      </c>
      <c r="I222" s="6">
        <v>79612865</v>
      </c>
      <c r="J222" s="7">
        <v>340446.46</v>
      </c>
      <c r="K222" s="6">
        <v>62813</v>
      </c>
      <c r="L222" s="7">
        <v>41209.589999999997</v>
      </c>
      <c r="M222" s="7">
        <v>444469.05</v>
      </c>
      <c r="N222" s="7">
        <v>444469.05</v>
      </c>
      <c r="O222" s="7">
        <v>444469.05</v>
      </c>
      <c r="P222" s="8">
        <v>1</v>
      </c>
      <c r="Q222" s="7">
        <v>0</v>
      </c>
      <c r="R222" s="7">
        <v>0</v>
      </c>
      <c r="S222" s="1">
        <v>0.99087303000000004</v>
      </c>
      <c r="T222" s="7">
        <v>0</v>
      </c>
      <c r="U222" s="7">
        <v>432563.75</v>
      </c>
      <c r="V222" s="7">
        <v>3170276.3</v>
      </c>
      <c r="W222" s="7">
        <v>3602840.05</v>
      </c>
      <c r="X222" s="7">
        <v>900710.01</v>
      </c>
      <c r="Y222" s="7">
        <v>334829.61</v>
      </c>
      <c r="Z222" s="7">
        <v>0</v>
      </c>
      <c r="AA222" s="7">
        <v>287720.99</v>
      </c>
      <c r="AB222" s="7">
        <v>0</v>
      </c>
      <c r="AC222" s="7">
        <v>0</v>
      </c>
      <c r="AD222" s="7">
        <v>134489.39000000001</v>
      </c>
      <c r="AE222" s="7">
        <v>252346.66</v>
      </c>
      <c r="AF222" s="7">
        <v>0</v>
      </c>
      <c r="AG222" s="7">
        <v>0</v>
      </c>
      <c r="AH222" s="7">
        <v>0</v>
      </c>
      <c r="AI222" s="7">
        <v>444469.05</v>
      </c>
      <c r="AJ222" s="7">
        <v>0</v>
      </c>
    </row>
    <row r="223" spans="1:36" x14ac:dyDescent="0.2">
      <c r="A223" s="1" t="s">
        <v>33</v>
      </c>
      <c r="B223" s="1">
        <v>738</v>
      </c>
      <c r="C223" s="1">
        <v>1</v>
      </c>
      <c r="D223" s="1" t="s">
        <v>297</v>
      </c>
      <c r="E223" s="1">
        <v>73</v>
      </c>
      <c r="F223" s="5" t="s">
        <v>63</v>
      </c>
      <c r="G223" s="6">
        <v>5179</v>
      </c>
      <c r="H223" s="2">
        <v>2006</v>
      </c>
      <c r="I223" s="6">
        <v>5117993</v>
      </c>
      <c r="J223" s="7">
        <v>28070.18</v>
      </c>
      <c r="K223" s="6">
        <v>5179</v>
      </c>
      <c r="L223" s="7">
        <v>9581.15</v>
      </c>
      <c r="M223" s="7">
        <v>42830.33</v>
      </c>
      <c r="N223" s="7">
        <v>42830.33</v>
      </c>
      <c r="O223" s="7">
        <v>42830.33</v>
      </c>
      <c r="P223" s="8">
        <v>1</v>
      </c>
      <c r="Q223" s="7">
        <v>0</v>
      </c>
      <c r="R223" s="7">
        <v>0</v>
      </c>
      <c r="S223" s="1">
        <v>0.99087303000000004</v>
      </c>
      <c r="T223" s="7">
        <v>0</v>
      </c>
      <c r="U223" s="7">
        <v>42830.33</v>
      </c>
      <c r="V223" s="7">
        <v>72027.649999999994</v>
      </c>
      <c r="W223" s="7">
        <v>114857.98</v>
      </c>
      <c r="X223" s="7">
        <v>28714.5</v>
      </c>
      <c r="Y223" s="7">
        <v>-47207.12</v>
      </c>
      <c r="Z223" s="7">
        <v>0</v>
      </c>
      <c r="AA223" s="7">
        <v>-64583.16</v>
      </c>
      <c r="AB223" s="7">
        <v>0</v>
      </c>
      <c r="AC223" s="7">
        <v>0</v>
      </c>
      <c r="AD223" s="7">
        <v>-63716.78</v>
      </c>
      <c r="AE223" s="7">
        <v>-58502.35</v>
      </c>
      <c r="AF223" s="7">
        <v>0</v>
      </c>
      <c r="AG223" s="7">
        <v>0</v>
      </c>
      <c r="AH223" s="7">
        <v>0</v>
      </c>
      <c r="AI223" s="7">
        <v>42830.33</v>
      </c>
      <c r="AJ223" s="7">
        <v>0</v>
      </c>
    </row>
    <row r="224" spans="1:36" x14ac:dyDescent="0.2">
      <c r="A224" s="1" t="s">
        <v>33</v>
      </c>
      <c r="B224" s="1">
        <v>739</v>
      </c>
      <c r="C224" s="1">
        <v>1</v>
      </c>
      <c r="D224" s="1" t="s">
        <v>298</v>
      </c>
      <c r="E224" s="1">
        <v>73</v>
      </c>
      <c r="F224" s="5" t="s">
        <v>63</v>
      </c>
      <c r="G224" s="6">
        <v>4510</v>
      </c>
      <c r="H224" s="2">
        <v>2008</v>
      </c>
      <c r="I224" s="6">
        <v>6932339</v>
      </c>
      <c r="J224" s="7">
        <v>24444.2</v>
      </c>
      <c r="K224" s="6">
        <v>4510</v>
      </c>
      <c r="L224" s="7">
        <v>8343.5</v>
      </c>
      <c r="M224" s="7">
        <v>37297.699999999997</v>
      </c>
      <c r="N224" s="7">
        <v>37297.699999999997</v>
      </c>
      <c r="O224" s="7">
        <v>37297.699999999997</v>
      </c>
      <c r="P224" s="8">
        <v>1</v>
      </c>
      <c r="Q224" s="7">
        <v>0</v>
      </c>
      <c r="R224" s="7">
        <v>0</v>
      </c>
      <c r="S224" s="1">
        <v>0.99087303000000004</v>
      </c>
      <c r="T224" s="7">
        <v>0</v>
      </c>
      <c r="U224" s="7">
        <v>35527.919999999998</v>
      </c>
      <c r="V224" s="7">
        <v>135535.5</v>
      </c>
      <c r="W224" s="7">
        <v>171063.42</v>
      </c>
      <c r="X224" s="7">
        <v>42765.86</v>
      </c>
      <c r="Y224" s="7">
        <v>26884.31</v>
      </c>
      <c r="Z224" s="7">
        <v>0</v>
      </c>
      <c r="AA224" s="7">
        <v>30683.42</v>
      </c>
      <c r="AB224" s="7">
        <v>0</v>
      </c>
      <c r="AC224" s="7">
        <v>0</v>
      </c>
      <c r="AD224" s="7">
        <v>7111.97</v>
      </c>
      <c r="AE224" s="7">
        <v>21559.9</v>
      </c>
      <c r="AF224" s="7">
        <v>0</v>
      </c>
      <c r="AG224" s="7">
        <v>0</v>
      </c>
      <c r="AH224" s="7">
        <v>0</v>
      </c>
      <c r="AI224" s="7">
        <v>37297.699999999997</v>
      </c>
      <c r="AJ224" s="7">
        <v>0</v>
      </c>
    </row>
    <row r="225" spans="1:36" x14ac:dyDescent="0.2">
      <c r="A225" s="1" t="s">
        <v>33</v>
      </c>
      <c r="B225" s="1">
        <v>740</v>
      </c>
      <c r="C225" s="1">
        <v>1</v>
      </c>
      <c r="D225" s="1" t="s">
        <v>299</v>
      </c>
      <c r="E225" s="1">
        <v>73</v>
      </c>
      <c r="F225" s="5" t="s">
        <v>63</v>
      </c>
      <c r="G225" s="6">
        <v>8408</v>
      </c>
      <c r="H225" s="2">
        <v>2008</v>
      </c>
      <c r="I225" s="6">
        <v>8838971</v>
      </c>
      <c r="J225" s="7">
        <v>45571.360000000001</v>
      </c>
      <c r="K225" s="6">
        <v>8408</v>
      </c>
      <c r="L225" s="7">
        <v>15554.8</v>
      </c>
      <c r="M225" s="7">
        <v>69534.16</v>
      </c>
      <c r="N225" s="7">
        <v>69534.16</v>
      </c>
      <c r="O225" s="7">
        <v>69534.16</v>
      </c>
      <c r="P225" s="8">
        <v>1</v>
      </c>
      <c r="Q225" s="7">
        <v>0</v>
      </c>
      <c r="R225" s="7">
        <v>0</v>
      </c>
      <c r="S225" s="1">
        <v>0.99087303000000004</v>
      </c>
      <c r="T225" s="7">
        <v>0</v>
      </c>
      <c r="U225" s="7">
        <v>67359.149999999994</v>
      </c>
      <c r="V225" s="7">
        <v>125025.91</v>
      </c>
      <c r="W225" s="7">
        <v>192385.06</v>
      </c>
      <c r="X225" s="7">
        <v>48096.27</v>
      </c>
      <c r="Y225" s="7">
        <v>47054.239999999998</v>
      </c>
      <c r="Z225" s="7">
        <v>0</v>
      </c>
      <c r="AA225" s="7">
        <v>77634.03</v>
      </c>
      <c r="AB225" s="7">
        <v>0</v>
      </c>
      <c r="AC225" s="7">
        <v>0</v>
      </c>
      <c r="AD225" s="7">
        <v>18325.78</v>
      </c>
      <c r="AE225" s="7">
        <v>47671.35</v>
      </c>
      <c r="AF225" s="7">
        <v>0</v>
      </c>
      <c r="AG225" s="7">
        <v>0</v>
      </c>
      <c r="AH225" s="7">
        <v>0</v>
      </c>
      <c r="AI225" s="7">
        <v>69534.16</v>
      </c>
      <c r="AJ225" s="7">
        <v>0</v>
      </c>
    </row>
    <row r="226" spans="1:36" x14ac:dyDescent="0.2">
      <c r="A226" s="1" t="s">
        <v>33</v>
      </c>
      <c r="B226" s="1">
        <v>741</v>
      </c>
      <c r="C226" s="1">
        <v>1</v>
      </c>
      <c r="D226" s="1" t="s">
        <v>300</v>
      </c>
      <c r="E226" s="1">
        <v>73</v>
      </c>
      <c r="F226" s="5" t="s">
        <v>63</v>
      </c>
      <c r="G226" s="6">
        <v>6046</v>
      </c>
      <c r="H226" s="2">
        <v>2000</v>
      </c>
      <c r="I226" s="6">
        <v>8106864</v>
      </c>
      <c r="J226" s="7">
        <v>32769.32</v>
      </c>
      <c r="K226" s="6">
        <v>6046</v>
      </c>
      <c r="L226" s="7">
        <v>11185.1</v>
      </c>
      <c r="M226" s="7">
        <v>50000.42</v>
      </c>
      <c r="N226" s="7">
        <v>50000.42</v>
      </c>
      <c r="O226" s="7">
        <v>50000.42</v>
      </c>
      <c r="P226" s="8">
        <v>1</v>
      </c>
      <c r="Q226" s="7">
        <v>0</v>
      </c>
      <c r="R226" s="7">
        <v>0</v>
      </c>
      <c r="S226" s="1">
        <v>0.99087303000000004</v>
      </c>
      <c r="T226" s="7">
        <v>0</v>
      </c>
      <c r="U226" s="7">
        <v>50000.42</v>
      </c>
      <c r="V226" s="7">
        <v>270332.40000000002</v>
      </c>
      <c r="W226" s="7">
        <v>320332.82</v>
      </c>
      <c r="X226" s="7">
        <v>80083.210000000006</v>
      </c>
      <c r="Y226" s="7">
        <v>58911.13</v>
      </c>
      <c r="Z226" s="7">
        <v>0</v>
      </c>
      <c r="AA226" s="7">
        <v>58260.88</v>
      </c>
      <c r="AB226" s="7">
        <v>0</v>
      </c>
      <c r="AC226" s="7">
        <v>0</v>
      </c>
      <c r="AD226" s="7">
        <v>58187.53</v>
      </c>
      <c r="AE226" s="7">
        <v>58453.18</v>
      </c>
      <c r="AF226" s="7">
        <v>0</v>
      </c>
      <c r="AG226" s="7">
        <v>0</v>
      </c>
      <c r="AH226" s="7">
        <v>0</v>
      </c>
      <c r="AI226" s="7">
        <v>50000.42</v>
      </c>
      <c r="AJ226" s="7">
        <v>0</v>
      </c>
    </row>
    <row r="227" spans="1:36" x14ac:dyDescent="0.2">
      <c r="A227" s="1" t="s">
        <v>33</v>
      </c>
      <c r="B227" s="1">
        <v>742</v>
      </c>
      <c r="C227" s="1">
        <v>1</v>
      </c>
      <c r="D227" s="1" t="s">
        <v>301</v>
      </c>
      <c r="E227" s="1">
        <v>73</v>
      </c>
      <c r="F227" s="5" t="s">
        <v>63</v>
      </c>
      <c r="G227" s="6">
        <v>96047</v>
      </c>
      <c r="H227" s="2">
        <v>2008</v>
      </c>
      <c r="I227" s="6">
        <v>88300102</v>
      </c>
      <c r="J227" s="7">
        <v>520574.74</v>
      </c>
      <c r="K227" s="6">
        <v>96047</v>
      </c>
      <c r="L227" s="7">
        <v>55500.21</v>
      </c>
      <c r="M227" s="7">
        <v>672121.95</v>
      </c>
      <c r="N227" s="7">
        <v>672121.95</v>
      </c>
      <c r="O227" s="7">
        <v>672121.95</v>
      </c>
      <c r="P227" s="8">
        <v>1</v>
      </c>
      <c r="Q227" s="7">
        <v>0</v>
      </c>
      <c r="R227" s="7">
        <v>0</v>
      </c>
      <c r="S227" s="1">
        <v>0.99087303000000004</v>
      </c>
      <c r="T227" s="7">
        <v>0</v>
      </c>
      <c r="U227" s="7">
        <v>669334</v>
      </c>
      <c r="V227" s="7">
        <v>1334149.93</v>
      </c>
      <c r="W227" s="7">
        <v>2003483.93</v>
      </c>
      <c r="X227" s="7">
        <v>500870.98</v>
      </c>
      <c r="Y227" s="7">
        <v>-24552.400000000001</v>
      </c>
      <c r="Z227" s="7">
        <v>0</v>
      </c>
      <c r="AA227" s="7">
        <v>192961.15</v>
      </c>
      <c r="AB227" s="7">
        <v>0</v>
      </c>
      <c r="AC227" s="7">
        <v>0</v>
      </c>
      <c r="AD227" s="7">
        <v>278086.62</v>
      </c>
      <c r="AE227" s="7">
        <v>148831.79</v>
      </c>
      <c r="AF227" s="7">
        <v>0</v>
      </c>
      <c r="AG227" s="7">
        <v>0</v>
      </c>
      <c r="AH227" s="7">
        <v>0</v>
      </c>
      <c r="AI227" s="7">
        <v>672121.95</v>
      </c>
      <c r="AJ227" s="7">
        <v>0</v>
      </c>
    </row>
    <row r="228" spans="1:36" x14ac:dyDescent="0.2">
      <c r="A228" s="1" t="s">
        <v>33</v>
      </c>
      <c r="B228" s="1">
        <v>743</v>
      </c>
      <c r="C228" s="1">
        <v>1</v>
      </c>
      <c r="D228" s="1" t="s">
        <v>302</v>
      </c>
      <c r="E228" s="1">
        <v>73</v>
      </c>
      <c r="F228" s="5" t="s">
        <v>63</v>
      </c>
      <c r="G228" s="6">
        <v>7078</v>
      </c>
      <c r="H228" s="2">
        <v>2000</v>
      </c>
      <c r="I228" s="6">
        <v>7684423</v>
      </c>
      <c r="J228" s="7">
        <v>38362.76</v>
      </c>
      <c r="K228" s="6">
        <v>7078</v>
      </c>
      <c r="L228" s="7">
        <v>13094.3</v>
      </c>
      <c r="M228" s="7">
        <v>58535.06</v>
      </c>
      <c r="N228" s="7">
        <v>58535.06</v>
      </c>
      <c r="O228" s="7">
        <v>58535.06</v>
      </c>
      <c r="P228" s="8">
        <v>1</v>
      </c>
      <c r="Q228" s="7">
        <v>0</v>
      </c>
      <c r="R228" s="7">
        <v>0</v>
      </c>
      <c r="S228" s="1">
        <v>0.99087303000000004</v>
      </c>
      <c r="T228" s="7">
        <v>0</v>
      </c>
      <c r="U228" s="7">
        <v>58535.06</v>
      </c>
      <c r="V228" s="7">
        <v>95066.81</v>
      </c>
      <c r="W228" s="7">
        <v>153601.87</v>
      </c>
      <c r="X228" s="7">
        <v>38400.47</v>
      </c>
      <c r="Y228" s="7">
        <v>-14000.61</v>
      </c>
      <c r="Z228" s="7">
        <v>0</v>
      </c>
      <c r="AA228" s="7">
        <v>-11684.88</v>
      </c>
      <c r="AB228" s="7">
        <v>0</v>
      </c>
      <c r="AC228" s="7">
        <v>0</v>
      </c>
      <c r="AD228" s="7">
        <v>-5214.29</v>
      </c>
      <c r="AE228" s="7">
        <v>-10299.93</v>
      </c>
      <c r="AF228" s="7">
        <v>0</v>
      </c>
      <c r="AG228" s="7">
        <v>0</v>
      </c>
      <c r="AH228" s="7">
        <v>0</v>
      </c>
      <c r="AI228" s="7">
        <v>58535.06</v>
      </c>
      <c r="AJ228" s="7">
        <v>0</v>
      </c>
    </row>
    <row r="229" spans="1:36" x14ac:dyDescent="0.2">
      <c r="A229" s="1" t="s">
        <v>33</v>
      </c>
      <c r="B229" s="1">
        <v>745</v>
      </c>
      <c r="C229" s="1">
        <v>1</v>
      </c>
      <c r="D229" s="1" t="s">
        <v>303</v>
      </c>
      <c r="E229" s="1">
        <v>73</v>
      </c>
      <c r="F229" s="5" t="s">
        <v>63</v>
      </c>
      <c r="G229" s="6">
        <v>8187</v>
      </c>
      <c r="H229" s="2">
        <v>2007</v>
      </c>
      <c r="I229" s="6">
        <v>7949117</v>
      </c>
      <c r="J229" s="7">
        <v>44373.54</v>
      </c>
      <c r="K229" s="6">
        <v>8187</v>
      </c>
      <c r="L229" s="7">
        <v>15145.95</v>
      </c>
      <c r="M229" s="7">
        <v>67706.490000000005</v>
      </c>
      <c r="N229" s="7">
        <v>67706.490000000005</v>
      </c>
      <c r="O229" s="7">
        <v>67706.490000000005</v>
      </c>
      <c r="P229" s="8">
        <v>1</v>
      </c>
      <c r="Q229" s="7">
        <v>0</v>
      </c>
      <c r="R229" s="7">
        <v>0</v>
      </c>
      <c r="S229" s="1">
        <v>0.99087303000000004</v>
      </c>
      <c r="T229" s="7">
        <v>0</v>
      </c>
      <c r="U229" s="7">
        <v>67706.490000000005</v>
      </c>
      <c r="V229" s="7">
        <v>218038.89</v>
      </c>
      <c r="W229" s="7">
        <v>285745.38</v>
      </c>
      <c r="X229" s="7">
        <v>71436.350000000006</v>
      </c>
      <c r="Y229" s="7">
        <v>89235.39</v>
      </c>
      <c r="Z229" s="7">
        <v>0</v>
      </c>
      <c r="AA229" s="7">
        <v>73025.570000000007</v>
      </c>
      <c r="AB229" s="7">
        <v>0</v>
      </c>
      <c r="AC229" s="7">
        <v>0</v>
      </c>
      <c r="AD229" s="7">
        <v>50025.08</v>
      </c>
      <c r="AE229" s="7">
        <v>70762.009999999995</v>
      </c>
      <c r="AF229" s="7">
        <v>0</v>
      </c>
      <c r="AG229" s="7">
        <v>0</v>
      </c>
      <c r="AH229" s="7">
        <v>0</v>
      </c>
      <c r="AI229" s="7">
        <v>67706.490000000005</v>
      </c>
      <c r="AJ229" s="7">
        <v>0</v>
      </c>
    </row>
    <row r="230" spans="1:36" x14ac:dyDescent="0.2">
      <c r="A230" s="1" t="s">
        <v>33</v>
      </c>
      <c r="B230" s="1">
        <v>748</v>
      </c>
      <c r="C230" s="1">
        <v>1</v>
      </c>
      <c r="D230" s="1" t="s">
        <v>304</v>
      </c>
      <c r="E230" s="1">
        <v>73</v>
      </c>
      <c r="F230" s="5" t="s">
        <v>63</v>
      </c>
      <c r="G230" s="6">
        <v>14932</v>
      </c>
      <c r="H230" s="2">
        <v>2007</v>
      </c>
      <c r="I230" s="6">
        <v>16046570</v>
      </c>
      <c r="J230" s="7">
        <v>80931.44</v>
      </c>
      <c r="K230" s="6">
        <v>14932</v>
      </c>
      <c r="L230" s="7">
        <v>20620.759999999998</v>
      </c>
      <c r="M230" s="7">
        <v>116484.2</v>
      </c>
      <c r="N230" s="7">
        <v>116484.2</v>
      </c>
      <c r="O230" s="7">
        <v>116484.2</v>
      </c>
      <c r="P230" s="8">
        <v>1</v>
      </c>
      <c r="Q230" s="7">
        <v>0</v>
      </c>
      <c r="R230" s="7">
        <v>0</v>
      </c>
      <c r="S230" s="1">
        <v>0.99087303000000004</v>
      </c>
      <c r="T230" s="7">
        <v>0</v>
      </c>
      <c r="U230" s="7">
        <v>116484.2</v>
      </c>
      <c r="V230" s="7">
        <v>482289.66</v>
      </c>
      <c r="W230" s="7">
        <v>598773.86</v>
      </c>
      <c r="X230" s="7">
        <v>149693.47</v>
      </c>
      <c r="Y230" s="7">
        <v>126090.57</v>
      </c>
      <c r="Z230" s="7">
        <v>9076.34</v>
      </c>
      <c r="AA230" s="7">
        <v>95371.65</v>
      </c>
      <c r="AB230" s="7">
        <v>0</v>
      </c>
      <c r="AC230" s="7">
        <v>0</v>
      </c>
      <c r="AD230" s="7">
        <v>98012.94</v>
      </c>
      <c r="AE230" s="7">
        <v>103466.27</v>
      </c>
      <c r="AF230" s="7">
        <v>0</v>
      </c>
      <c r="AG230" s="7">
        <v>0</v>
      </c>
      <c r="AH230" s="7">
        <v>0</v>
      </c>
      <c r="AI230" s="7">
        <v>116484.2</v>
      </c>
      <c r="AJ230" s="7">
        <v>0</v>
      </c>
    </row>
    <row r="231" spans="1:36" x14ac:dyDescent="0.2">
      <c r="A231" s="1" t="s">
        <v>33</v>
      </c>
      <c r="B231" s="1">
        <v>750</v>
      </c>
      <c r="C231" s="1">
        <v>1</v>
      </c>
      <c r="D231" s="1" t="s">
        <v>305</v>
      </c>
      <c r="E231" s="1">
        <v>73</v>
      </c>
      <c r="F231" s="5" t="s">
        <v>63</v>
      </c>
      <c r="G231" s="6">
        <v>12732</v>
      </c>
      <c r="H231" s="2">
        <v>2008</v>
      </c>
      <c r="I231" s="6">
        <v>15725392</v>
      </c>
      <c r="J231" s="7">
        <v>69007.44</v>
      </c>
      <c r="K231" s="6">
        <v>12732</v>
      </c>
      <c r="L231" s="7">
        <v>19674.759999999998</v>
      </c>
      <c r="M231" s="7">
        <v>101414.2</v>
      </c>
      <c r="N231" s="7">
        <v>101414.2</v>
      </c>
      <c r="O231" s="7">
        <v>101414.2</v>
      </c>
      <c r="P231" s="8">
        <v>1</v>
      </c>
      <c r="Q231" s="7">
        <v>0</v>
      </c>
      <c r="R231" s="7">
        <v>0</v>
      </c>
      <c r="S231" s="1">
        <v>0.99087303000000004</v>
      </c>
      <c r="T231" s="7">
        <v>0</v>
      </c>
      <c r="U231" s="7">
        <v>100859.35</v>
      </c>
      <c r="V231" s="7">
        <v>368509.73</v>
      </c>
      <c r="W231" s="7">
        <v>469369.08</v>
      </c>
      <c r="X231" s="7">
        <v>117342.27</v>
      </c>
      <c r="Y231" s="7">
        <v>-6422.61</v>
      </c>
      <c r="Z231" s="7">
        <v>0</v>
      </c>
      <c r="AA231" s="7">
        <v>-9676.67</v>
      </c>
      <c r="AB231" s="7">
        <v>0</v>
      </c>
      <c r="AC231" s="7">
        <v>0</v>
      </c>
      <c r="AD231" s="7">
        <v>-16865.080000000002</v>
      </c>
      <c r="AE231" s="7">
        <v>-10988.12</v>
      </c>
      <c r="AF231" s="7">
        <v>0</v>
      </c>
      <c r="AG231" s="7">
        <v>0</v>
      </c>
      <c r="AH231" s="7">
        <v>0</v>
      </c>
      <c r="AI231" s="7">
        <v>101414.2</v>
      </c>
      <c r="AJ231" s="7">
        <v>0</v>
      </c>
    </row>
    <row r="232" spans="1:36" x14ac:dyDescent="0.2">
      <c r="A232" s="1" t="s">
        <v>33</v>
      </c>
      <c r="B232" s="1">
        <v>756</v>
      </c>
      <c r="C232" s="1">
        <v>1</v>
      </c>
      <c r="D232" s="1" t="s">
        <v>306</v>
      </c>
      <c r="E232" s="1">
        <v>74</v>
      </c>
      <c r="F232" s="5" t="s">
        <v>61</v>
      </c>
      <c r="G232" s="6">
        <v>4399</v>
      </c>
      <c r="H232" s="2">
        <v>2000</v>
      </c>
      <c r="I232" s="6">
        <v>5059750</v>
      </c>
      <c r="J232" s="7">
        <v>23842.58</v>
      </c>
      <c r="K232" s="6">
        <v>0</v>
      </c>
      <c r="L232" s="7">
        <v>0</v>
      </c>
      <c r="M232" s="7">
        <v>23842.58</v>
      </c>
      <c r="N232" s="7">
        <v>23842.58</v>
      </c>
      <c r="O232" s="7">
        <v>23842.58</v>
      </c>
      <c r="P232" s="8">
        <v>1</v>
      </c>
      <c r="Q232" s="7">
        <v>0</v>
      </c>
      <c r="R232" s="7">
        <v>0</v>
      </c>
      <c r="S232" s="1">
        <v>0.99087303000000004</v>
      </c>
      <c r="T232" s="7">
        <v>0</v>
      </c>
      <c r="U232" s="7">
        <v>23842.58</v>
      </c>
      <c r="V232" s="7">
        <v>17719.53</v>
      </c>
      <c r="W232" s="7">
        <v>41562.11</v>
      </c>
      <c r="X232" s="7">
        <v>10390.530000000001</v>
      </c>
      <c r="Y232" s="7">
        <v>-5196.62</v>
      </c>
      <c r="Z232" s="7">
        <v>0</v>
      </c>
      <c r="AA232" s="7">
        <v>-6011.9</v>
      </c>
      <c r="AB232" s="7">
        <v>0</v>
      </c>
      <c r="AC232" s="7">
        <v>0</v>
      </c>
      <c r="AD232" s="7">
        <v>-2252</v>
      </c>
      <c r="AE232" s="7">
        <v>-4486.84</v>
      </c>
      <c r="AF232" s="7">
        <v>0</v>
      </c>
      <c r="AG232" s="7">
        <v>0</v>
      </c>
      <c r="AH232" s="7">
        <v>0</v>
      </c>
      <c r="AI232" s="7">
        <v>23842.58</v>
      </c>
      <c r="AJ232" s="7">
        <v>0</v>
      </c>
    </row>
    <row r="233" spans="1:36" x14ac:dyDescent="0.2">
      <c r="A233" s="1" t="s">
        <v>33</v>
      </c>
      <c r="B233" s="1">
        <v>761</v>
      </c>
      <c r="C233" s="1">
        <v>1</v>
      </c>
      <c r="D233" s="1" t="s">
        <v>307</v>
      </c>
      <c r="E233" s="1">
        <v>74</v>
      </c>
      <c r="F233" s="5" t="s">
        <v>61</v>
      </c>
      <c r="G233" s="6">
        <v>28005</v>
      </c>
      <c r="H233" s="2">
        <v>2006</v>
      </c>
      <c r="I233" s="6">
        <v>31264769</v>
      </c>
      <c r="J233" s="7">
        <v>151787.1</v>
      </c>
      <c r="K233" s="6">
        <v>28005</v>
      </c>
      <c r="L233" s="7">
        <v>26242.15</v>
      </c>
      <c r="M233" s="7">
        <v>206034.25</v>
      </c>
      <c r="N233" s="7">
        <v>206034.25</v>
      </c>
      <c r="O233" s="7">
        <v>206034.25</v>
      </c>
      <c r="P233" s="8">
        <v>1</v>
      </c>
      <c r="Q233" s="7">
        <v>0</v>
      </c>
      <c r="R233" s="7">
        <v>0</v>
      </c>
      <c r="S233" s="1">
        <v>0.99087303000000004</v>
      </c>
      <c r="T233" s="7">
        <v>0</v>
      </c>
      <c r="U233" s="7">
        <v>206034.25</v>
      </c>
      <c r="V233" s="7">
        <v>527620.69999999995</v>
      </c>
      <c r="W233" s="7">
        <v>733654.95</v>
      </c>
      <c r="X233" s="7">
        <v>183413.74</v>
      </c>
      <c r="Y233" s="7">
        <v>129770</v>
      </c>
      <c r="Z233" s="7">
        <v>0</v>
      </c>
      <c r="AA233" s="7">
        <v>145619.99</v>
      </c>
      <c r="AB233" s="7">
        <v>0</v>
      </c>
      <c r="AC233" s="7">
        <v>0</v>
      </c>
      <c r="AD233" s="7">
        <v>178724.53</v>
      </c>
      <c r="AE233" s="7">
        <v>151371.51</v>
      </c>
      <c r="AF233" s="7">
        <v>0</v>
      </c>
      <c r="AG233" s="7">
        <v>0</v>
      </c>
      <c r="AH233" s="7">
        <v>0</v>
      </c>
      <c r="AI233" s="7">
        <v>206034.25</v>
      </c>
      <c r="AJ233" s="7">
        <v>0</v>
      </c>
    </row>
    <row r="234" spans="1:36" x14ac:dyDescent="0.2">
      <c r="A234" s="1" t="s">
        <v>33</v>
      </c>
      <c r="B234" s="1">
        <v>763</v>
      </c>
      <c r="C234" s="1">
        <v>1</v>
      </c>
      <c r="D234" s="1" t="s">
        <v>308</v>
      </c>
      <c r="E234" s="1">
        <v>74</v>
      </c>
      <c r="F234" s="5" t="s">
        <v>61</v>
      </c>
      <c r="G234" s="6">
        <v>3015</v>
      </c>
      <c r="H234" s="2">
        <v>2005</v>
      </c>
      <c r="I234" s="6">
        <v>3676520</v>
      </c>
      <c r="J234" s="7">
        <v>16341.3</v>
      </c>
      <c r="K234" s="6">
        <v>0</v>
      </c>
      <c r="L234" s="7">
        <v>5577.75</v>
      </c>
      <c r="M234" s="7">
        <v>21919.05</v>
      </c>
      <c r="N234" s="7">
        <v>21919.05</v>
      </c>
      <c r="O234" s="7">
        <v>21919.05</v>
      </c>
      <c r="P234" s="8">
        <v>1</v>
      </c>
      <c r="Q234" s="7">
        <v>0</v>
      </c>
      <c r="R234" s="7">
        <v>0</v>
      </c>
      <c r="S234" s="1">
        <v>0.99087303000000004</v>
      </c>
      <c r="T234" s="7">
        <v>0</v>
      </c>
      <c r="U234" s="7">
        <v>21919.05</v>
      </c>
      <c r="V234" s="7">
        <v>118038.38</v>
      </c>
      <c r="W234" s="7">
        <v>139957.43</v>
      </c>
      <c r="X234" s="7">
        <v>34989.360000000001</v>
      </c>
      <c r="Y234" s="7">
        <v>7290.17</v>
      </c>
      <c r="Z234" s="7">
        <v>0</v>
      </c>
      <c r="AA234" s="7">
        <v>17762.009999999998</v>
      </c>
      <c r="AB234" s="7">
        <v>0</v>
      </c>
      <c r="AC234" s="7">
        <v>0</v>
      </c>
      <c r="AD234" s="7">
        <v>32149.91</v>
      </c>
      <c r="AE234" s="7">
        <v>19067.36</v>
      </c>
      <c r="AF234" s="7">
        <v>0</v>
      </c>
      <c r="AG234" s="7">
        <v>0</v>
      </c>
      <c r="AH234" s="7">
        <v>0</v>
      </c>
      <c r="AI234" s="7">
        <v>21919.05</v>
      </c>
      <c r="AJ234" s="7">
        <v>0</v>
      </c>
    </row>
    <row r="235" spans="1:36" x14ac:dyDescent="0.2">
      <c r="A235" s="1" t="s">
        <v>33</v>
      </c>
      <c r="B235" s="1">
        <v>768</v>
      </c>
      <c r="C235" s="1">
        <v>1</v>
      </c>
      <c r="D235" s="1" t="s">
        <v>309</v>
      </c>
      <c r="E235" s="1">
        <v>75</v>
      </c>
      <c r="F235" s="5" t="s">
        <v>60</v>
      </c>
      <c r="G235" s="6">
        <v>1278</v>
      </c>
      <c r="H235" s="2">
        <v>2000</v>
      </c>
      <c r="I235" s="6">
        <v>1742752</v>
      </c>
      <c r="J235" s="7">
        <v>7235.7</v>
      </c>
      <c r="K235" s="6">
        <v>0</v>
      </c>
      <c r="L235" s="7">
        <v>0</v>
      </c>
      <c r="M235" s="7">
        <v>7235.7</v>
      </c>
      <c r="N235" s="7">
        <v>7235.7</v>
      </c>
      <c r="O235" s="7">
        <v>7235.7</v>
      </c>
      <c r="P235" s="8">
        <v>1</v>
      </c>
      <c r="Q235" s="7">
        <v>0</v>
      </c>
      <c r="R235" s="7">
        <v>0</v>
      </c>
      <c r="S235" s="1">
        <v>0.99087303000000004</v>
      </c>
      <c r="T235" s="7">
        <v>0</v>
      </c>
      <c r="U235" s="7">
        <v>7235.7</v>
      </c>
      <c r="V235" s="7">
        <v>20154.310000000001</v>
      </c>
      <c r="W235" s="7">
        <v>27390.01</v>
      </c>
      <c r="X235" s="7">
        <v>6847.5</v>
      </c>
      <c r="Y235" s="7">
        <v>1141.17</v>
      </c>
      <c r="Z235" s="7">
        <v>0</v>
      </c>
      <c r="AA235" s="7">
        <v>3480.54</v>
      </c>
      <c r="AB235" s="7">
        <v>0</v>
      </c>
      <c r="AC235" s="7">
        <v>0</v>
      </c>
      <c r="AD235" s="7">
        <v>206.12</v>
      </c>
      <c r="AE235" s="7">
        <v>1609.28</v>
      </c>
      <c r="AF235" s="7">
        <v>0</v>
      </c>
      <c r="AG235" s="7">
        <v>0</v>
      </c>
      <c r="AH235" s="7">
        <v>0</v>
      </c>
      <c r="AI235" s="7">
        <v>7235.7</v>
      </c>
      <c r="AJ235" s="7">
        <v>0</v>
      </c>
    </row>
    <row r="236" spans="1:36" x14ac:dyDescent="0.2">
      <c r="A236" s="1" t="s">
        <v>33</v>
      </c>
      <c r="B236" s="1">
        <v>769</v>
      </c>
      <c r="C236" s="1">
        <v>1</v>
      </c>
      <c r="D236" s="1" t="s">
        <v>310</v>
      </c>
      <c r="E236" s="1">
        <v>75</v>
      </c>
      <c r="F236" s="5" t="s">
        <v>60</v>
      </c>
      <c r="G236" s="6">
        <v>7155</v>
      </c>
      <c r="H236" s="2">
        <v>2000</v>
      </c>
      <c r="I236" s="6">
        <v>6050898</v>
      </c>
      <c r="J236" s="7">
        <v>38780.1</v>
      </c>
      <c r="K236" s="6">
        <v>7155</v>
      </c>
      <c r="L236" s="7">
        <v>13236.75</v>
      </c>
      <c r="M236" s="7">
        <v>59171.85</v>
      </c>
      <c r="N236" s="7">
        <v>54458.080000000002</v>
      </c>
      <c r="O236" s="7">
        <v>54458.080000000002</v>
      </c>
      <c r="P236" s="8">
        <v>1</v>
      </c>
      <c r="Q236" s="7">
        <v>4713.7700000000004</v>
      </c>
      <c r="R236" s="7">
        <v>4713.7700000000004</v>
      </c>
      <c r="S236" s="1">
        <v>0.99087303000000004</v>
      </c>
      <c r="T236" s="7">
        <v>4670.75</v>
      </c>
      <c r="U236" s="7">
        <v>59171.85</v>
      </c>
      <c r="V236" s="7">
        <v>340156.78</v>
      </c>
      <c r="W236" s="7">
        <v>399328.63</v>
      </c>
      <c r="X236" s="7">
        <v>99832.16</v>
      </c>
      <c r="Y236" s="7">
        <v>97696.07</v>
      </c>
      <c r="Z236" s="7">
        <v>0</v>
      </c>
      <c r="AA236" s="7">
        <v>68649.14</v>
      </c>
      <c r="AB236" s="7">
        <v>0</v>
      </c>
      <c r="AC236" s="7">
        <v>0</v>
      </c>
      <c r="AD236" s="7">
        <v>56112.71</v>
      </c>
      <c r="AE236" s="7">
        <v>74152.639999999999</v>
      </c>
      <c r="AF236" s="7">
        <v>0</v>
      </c>
      <c r="AG236" s="7">
        <v>0</v>
      </c>
      <c r="AH236" s="7">
        <v>0</v>
      </c>
      <c r="AI236" s="7">
        <v>54458.080000000002</v>
      </c>
      <c r="AJ236" s="7">
        <v>4713.7700000000004</v>
      </c>
    </row>
    <row r="237" spans="1:36" x14ac:dyDescent="0.2">
      <c r="A237" s="1" t="s">
        <v>33</v>
      </c>
      <c r="B237" s="1">
        <v>771</v>
      </c>
      <c r="C237" s="1">
        <v>1</v>
      </c>
      <c r="D237" s="1" t="s">
        <v>311</v>
      </c>
      <c r="E237" s="1">
        <v>75</v>
      </c>
      <c r="F237" s="5" t="s">
        <v>60</v>
      </c>
      <c r="G237" s="6">
        <v>1514</v>
      </c>
      <c r="H237" s="2">
        <v>2000</v>
      </c>
      <c r="I237" s="6">
        <v>3201380</v>
      </c>
      <c r="J237" s="7">
        <v>8205.8799999999992</v>
      </c>
      <c r="K237" s="6">
        <v>1514</v>
      </c>
      <c r="L237" s="7">
        <v>2800.9</v>
      </c>
      <c r="M237" s="7">
        <v>12520.78</v>
      </c>
      <c r="N237" s="7">
        <v>12520.78</v>
      </c>
      <c r="O237" s="7">
        <v>12520.78</v>
      </c>
      <c r="P237" s="8">
        <v>1</v>
      </c>
      <c r="Q237" s="7">
        <v>0</v>
      </c>
      <c r="R237" s="7">
        <v>0</v>
      </c>
      <c r="S237" s="1">
        <v>0.99087303000000004</v>
      </c>
      <c r="T237" s="7">
        <v>0</v>
      </c>
      <c r="U237" s="7">
        <v>8205.8799999999992</v>
      </c>
      <c r="V237" s="7">
        <v>16361.88</v>
      </c>
      <c r="W237" s="7">
        <v>24567.759999999998</v>
      </c>
      <c r="X237" s="7">
        <v>6141.94</v>
      </c>
      <c r="Y237" s="7">
        <v>-30337.47</v>
      </c>
      <c r="Z237" s="7">
        <v>0</v>
      </c>
      <c r="AA237" s="7">
        <v>-32117.62</v>
      </c>
      <c r="AB237" s="7">
        <v>0</v>
      </c>
      <c r="AC237" s="7">
        <v>0</v>
      </c>
      <c r="AD237" s="7">
        <v>-32184.7</v>
      </c>
      <c r="AE237" s="7">
        <v>-31546.6</v>
      </c>
      <c r="AF237" s="7">
        <v>0</v>
      </c>
      <c r="AG237" s="7">
        <v>0</v>
      </c>
      <c r="AH237" s="7">
        <v>0</v>
      </c>
      <c r="AI237" s="7">
        <v>12520.78</v>
      </c>
      <c r="AJ237" s="7">
        <v>0</v>
      </c>
    </row>
    <row r="238" spans="1:36" x14ac:dyDescent="0.2">
      <c r="A238" s="1" t="s">
        <v>33</v>
      </c>
      <c r="B238" s="1">
        <v>775</v>
      </c>
      <c r="C238" s="1">
        <v>1</v>
      </c>
      <c r="D238" s="1" t="s">
        <v>69</v>
      </c>
      <c r="E238" s="1">
        <v>76</v>
      </c>
      <c r="F238" s="5" t="s">
        <v>64</v>
      </c>
      <c r="G238" s="6">
        <v>2960</v>
      </c>
      <c r="H238" s="2">
        <v>2000</v>
      </c>
      <c r="I238" s="6">
        <v>4954098</v>
      </c>
      <c r="J238" s="7">
        <v>16043.2</v>
      </c>
      <c r="K238" s="6">
        <v>0</v>
      </c>
      <c r="L238" s="7">
        <v>5476</v>
      </c>
      <c r="M238" s="7">
        <v>21519.200000000001</v>
      </c>
      <c r="N238" s="7">
        <v>21519.200000000001</v>
      </c>
      <c r="O238" s="7">
        <v>21519.200000000001</v>
      </c>
      <c r="P238" s="8">
        <v>1</v>
      </c>
      <c r="Q238" s="7">
        <v>0</v>
      </c>
      <c r="R238" s="7">
        <v>0</v>
      </c>
      <c r="S238" s="1">
        <v>0.99087303000000004</v>
      </c>
      <c r="T238" s="7">
        <v>0</v>
      </c>
      <c r="U238" s="7">
        <v>21519.200000000001</v>
      </c>
      <c r="V238" s="7">
        <v>134026.63</v>
      </c>
      <c r="W238" s="7">
        <v>155545.82999999999</v>
      </c>
      <c r="X238" s="7">
        <v>38886.46</v>
      </c>
      <c r="Y238" s="7">
        <v>19911.12</v>
      </c>
      <c r="Z238" s="7">
        <v>0</v>
      </c>
      <c r="AA238" s="7">
        <v>39726.78</v>
      </c>
      <c r="AB238" s="7">
        <v>0</v>
      </c>
      <c r="AC238" s="7">
        <v>0</v>
      </c>
      <c r="AD238" s="7">
        <v>39157.81</v>
      </c>
      <c r="AE238" s="7">
        <v>32931.9</v>
      </c>
      <c r="AF238" s="7">
        <v>0</v>
      </c>
      <c r="AG238" s="7">
        <v>0</v>
      </c>
      <c r="AH238" s="7">
        <v>0</v>
      </c>
      <c r="AI238" s="7">
        <v>21519.200000000001</v>
      </c>
      <c r="AJ238" s="7">
        <v>0</v>
      </c>
    </row>
    <row r="239" spans="1:36" x14ac:dyDescent="0.2">
      <c r="A239" s="1" t="s">
        <v>33</v>
      </c>
      <c r="B239" s="1">
        <v>777</v>
      </c>
      <c r="C239" s="1">
        <v>1</v>
      </c>
      <c r="D239" s="1" t="s">
        <v>312</v>
      </c>
      <c r="E239" s="1">
        <v>76</v>
      </c>
      <c r="F239" s="5" t="s">
        <v>64</v>
      </c>
      <c r="G239" s="6">
        <v>6087</v>
      </c>
      <c r="H239" s="2">
        <v>2000</v>
      </c>
      <c r="I239" s="6">
        <v>7950639</v>
      </c>
      <c r="J239" s="7">
        <v>32991.54</v>
      </c>
      <c r="K239" s="6">
        <v>6087</v>
      </c>
      <c r="L239" s="7">
        <v>11260.95</v>
      </c>
      <c r="M239" s="7">
        <v>50339.49</v>
      </c>
      <c r="N239" s="7">
        <v>50339.49</v>
      </c>
      <c r="O239" s="7">
        <v>50339.49</v>
      </c>
      <c r="P239" s="8">
        <v>1</v>
      </c>
      <c r="Q239" s="7">
        <v>0</v>
      </c>
      <c r="R239" s="7">
        <v>0</v>
      </c>
      <c r="S239" s="1">
        <v>0.99087303000000004</v>
      </c>
      <c r="T239" s="7">
        <v>0</v>
      </c>
      <c r="U239" s="7">
        <v>50339.49</v>
      </c>
      <c r="V239" s="7">
        <v>177175.67</v>
      </c>
      <c r="W239" s="7">
        <v>227515.16</v>
      </c>
      <c r="X239" s="7">
        <v>56878.79</v>
      </c>
      <c r="Y239" s="7">
        <v>43765.82</v>
      </c>
      <c r="Z239" s="7">
        <v>0</v>
      </c>
      <c r="AA239" s="7">
        <v>72333.19</v>
      </c>
      <c r="AB239" s="7">
        <v>0</v>
      </c>
      <c r="AC239" s="7">
        <v>0</v>
      </c>
      <c r="AD239" s="7">
        <v>79666.25</v>
      </c>
      <c r="AE239" s="7">
        <v>65255.09</v>
      </c>
      <c r="AF239" s="7">
        <v>8376.2999999999993</v>
      </c>
      <c r="AG239" s="7">
        <v>8376.2999999999993</v>
      </c>
      <c r="AH239" s="7">
        <v>0</v>
      </c>
      <c r="AI239" s="7">
        <v>41963.19</v>
      </c>
      <c r="AJ239" s="7">
        <v>0</v>
      </c>
    </row>
    <row r="240" spans="1:36" x14ac:dyDescent="0.2">
      <c r="A240" s="1" t="s">
        <v>33</v>
      </c>
      <c r="B240" s="1">
        <v>786</v>
      </c>
      <c r="C240" s="1">
        <v>1</v>
      </c>
      <c r="D240" s="1" t="s">
        <v>313</v>
      </c>
      <c r="E240" s="1">
        <v>77</v>
      </c>
      <c r="F240" s="5" t="s">
        <v>66</v>
      </c>
      <c r="G240" s="6">
        <v>2348</v>
      </c>
      <c r="H240" s="2">
        <v>2000</v>
      </c>
      <c r="I240" s="6">
        <v>1505600</v>
      </c>
      <c r="J240" s="7">
        <v>12726.16</v>
      </c>
      <c r="K240" s="6">
        <v>2348</v>
      </c>
      <c r="L240" s="7">
        <v>4343.8</v>
      </c>
      <c r="M240" s="7">
        <v>19417.96</v>
      </c>
      <c r="N240" s="7">
        <v>13550.4</v>
      </c>
      <c r="O240" s="7">
        <v>13550.4</v>
      </c>
      <c r="P240" s="8">
        <v>1</v>
      </c>
      <c r="Q240" s="7">
        <v>5867.56</v>
      </c>
      <c r="R240" s="7">
        <v>5867.56</v>
      </c>
      <c r="S240" s="1">
        <v>0.99087303000000004</v>
      </c>
      <c r="T240" s="7">
        <v>5814.01</v>
      </c>
      <c r="U240" s="7">
        <v>19417.96</v>
      </c>
      <c r="V240" s="7">
        <v>59458.19</v>
      </c>
      <c r="W240" s="7">
        <v>78876.149999999994</v>
      </c>
      <c r="X240" s="7">
        <v>19719.04</v>
      </c>
      <c r="Y240" s="7">
        <v>-6484.28</v>
      </c>
      <c r="Z240" s="7">
        <v>0</v>
      </c>
      <c r="AA240" s="7">
        <v>16860.68</v>
      </c>
      <c r="AB240" s="7">
        <v>0</v>
      </c>
      <c r="AC240" s="7">
        <v>0</v>
      </c>
      <c r="AD240" s="7">
        <v>14585.12</v>
      </c>
      <c r="AE240" s="7">
        <v>8320.51</v>
      </c>
      <c r="AF240" s="7">
        <v>0</v>
      </c>
      <c r="AG240" s="7">
        <v>0</v>
      </c>
      <c r="AH240" s="7">
        <v>0</v>
      </c>
      <c r="AI240" s="7">
        <v>13550.4</v>
      </c>
      <c r="AJ240" s="7">
        <v>5867.56</v>
      </c>
    </row>
    <row r="241" spans="1:36" x14ac:dyDescent="0.2">
      <c r="A241" s="1" t="s">
        <v>33</v>
      </c>
      <c r="B241" s="1">
        <v>787</v>
      </c>
      <c r="C241" s="1">
        <v>1</v>
      </c>
      <c r="D241" s="1" t="s">
        <v>314</v>
      </c>
      <c r="E241" s="1">
        <v>77</v>
      </c>
      <c r="F241" s="5" t="s">
        <v>66</v>
      </c>
      <c r="G241" s="6">
        <v>2290</v>
      </c>
      <c r="H241" s="2">
        <v>2000</v>
      </c>
      <c r="I241" s="6">
        <v>2281999</v>
      </c>
      <c r="J241" s="7">
        <v>12411.8</v>
      </c>
      <c r="K241" s="6">
        <v>2290</v>
      </c>
      <c r="L241" s="7">
        <v>4236.5</v>
      </c>
      <c r="M241" s="7">
        <v>18938.3</v>
      </c>
      <c r="N241" s="7">
        <v>18938.3</v>
      </c>
      <c r="O241" s="7">
        <v>18938.3</v>
      </c>
      <c r="P241" s="8">
        <v>1</v>
      </c>
      <c r="Q241" s="7">
        <v>0</v>
      </c>
      <c r="R241" s="7">
        <v>0</v>
      </c>
      <c r="S241" s="1">
        <v>0.99087303000000004</v>
      </c>
      <c r="T241" s="7">
        <v>0</v>
      </c>
      <c r="U241" s="7">
        <v>18938.3</v>
      </c>
      <c r="V241" s="7">
        <v>12640.98</v>
      </c>
      <c r="W241" s="7">
        <v>31579.279999999999</v>
      </c>
      <c r="X241" s="7">
        <v>7894.82</v>
      </c>
      <c r="Y241" s="7">
        <v>-35260.199999999997</v>
      </c>
      <c r="Z241" s="7">
        <v>0</v>
      </c>
      <c r="AA241" s="7">
        <v>27281.040000000001</v>
      </c>
      <c r="AB241" s="7">
        <v>0</v>
      </c>
      <c r="AC241" s="7">
        <v>0</v>
      </c>
      <c r="AD241" s="7">
        <v>28925.759999999998</v>
      </c>
      <c r="AE241" s="7">
        <v>6982.2</v>
      </c>
      <c r="AF241" s="7">
        <v>0</v>
      </c>
      <c r="AG241" s="7">
        <v>0</v>
      </c>
      <c r="AH241" s="7">
        <v>0</v>
      </c>
      <c r="AI241" s="7">
        <v>18938.3</v>
      </c>
      <c r="AJ241" s="7">
        <v>0</v>
      </c>
    </row>
    <row r="242" spans="1:36" x14ac:dyDescent="0.2">
      <c r="A242" s="1" t="s">
        <v>33</v>
      </c>
      <c r="B242" s="1">
        <v>801</v>
      </c>
      <c r="C242" s="1">
        <v>1</v>
      </c>
      <c r="D242" s="1" t="s">
        <v>315</v>
      </c>
      <c r="E242" s="1">
        <v>78</v>
      </c>
      <c r="F242" s="5" t="s">
        <v>60</v>
      </c>
      <c r="G242" s="6">
        <v>912</v>
      </c>
      <c r="H242" s="2">
        <v>2000</v>
      </c>
      <c r="I242" s="6">
        <v>862210</v>
      </c>
      <c r="J242" s="7">
        <v>7235.7</v>
      </c>
      <c r="K242" s="6">
        <v>0</v>
      </c>
      <c r="L242" s="7">
        <v>2469.75</v>
      </c>
      <c r="M242" s="7">
        <v>9705.4500000000007</v>
      </c>
      <c r="N242" s="7">
        <v>7759.89</v>
      </c>
      <c r="O242" s="7">
        <v>7759.89</v>
      </c>
      <c r="P242" s="8">
        <v>1</v>
      </c>
      <c r="Q242" s="7">
        <v>1945.56</v>
      </c>
      <c r="R242" s="7">
        <v>1945.56</v>
      </c>
      <c r="S242" s="1">
        <v>0.99087303000000004</v>
      </c>
      <c r="T242" s="7">
        <v>1927.8</v>
      </c>
      <c r="U242" s="7">
        <v>9705.4500000000007</v>
      </c>
      <c r="V242" s="7">
        <v>8461.6299999999992</v>
      </c>
      <c r="W242" s="7">
        <v>18167.080000000002</v>
      </c>
      <c r="X242" s="7">
        <v>4541.7700000000004</v>
      </c>
      <c r="Y242" s="7">
        <v>8986.8700000000008</v>
      </c>
      <c r="Z242" s="7">
        <v>269.08999999999997</v>
      </c>
      <c r="AA242" s="7">
        <v>3803.27</v>
      </c>
      <c r="AB242" s="7">
        <v>0</v>
      </c>
      <c r="AC242" s="7">
        <v>0</v>
      </c>
      <c r="AD242" s="7">
        <v>-2262.2399999999998</v>
      </c>
      <c r="AE242" s="7">
        <v>3419.6</v>
      </c>
      <c r="AF242" s="7">
        <v>0</v>
      </c>
      <c r="AG242" s="7">
        <v>0</v>
      </c>
      <c r="AH242" s="7">
        <v>0</v>
      </c>
      <c r="AI242" s="7">
        <v>7759.89</v>
      </c>
      <c r="AJ242" s="7">
        <v>1945.56</v>
      </c>
    </row>
    <row r="243" spans="1:36" x14ac:dyDescent="0.2">
      <c r="A243" s="1" t="s">
        <v>33</v>
      </c>
      <c r="B243" s="1">
        <v>803</v>
      </c>
      <c r="C243" s="1">
        <v>1</v>
      </c>
      <c r="D243" s="1" t="s">
        <v>316</v>
      </c>
      <c r="E243" s="1">
        <v>78</v>
      </c>
      <c r="F243" s="5" t="s">
        <v>60</v>
      </c>
      <c r="G243" s="6">
        <v>2511</v>
      </c>
      <c r="H243" s="2">
        <v>2000</v>
      </c>
      <c r="I243" s="6">
        <v>4214289</v>
      </c>
      <c r="J243" s="7">
        <v>13609.62</v>
      </c>
      <c r="K243" s="6">
        <v>0</v>
      </c>
      <c r="L243" s="7">
        <v>0</v>
      </c>
      <c r="M243" s="7">
        <v>13609.62</v>
      </c>
      <c r="N243" s="7">
        <v>13609.62</v>
      </c>
      <c r="O243" s="7">
        <v>13609.62</v>
      </c>
      <c r="P243" s="8">
        <v>1</v>
      </c>
      <c r="Q243" s="7">
        <v>0</v>
      </c>
      <c r="R243" s="7">
        <v>0</v>
      </c>
      <c r="S243" s="1">
        <v>0.99087303000000004</v>
      </c>
      <c r="T243" s="7">
        <v>0</v>
      </c>
      <c r="U243" s="7">
        <v>13609.62</v>
      </c>
      <c r="V243" s="7">
        <v>88344.7</v>
      </c>
      <c r="W243" s="7">
        <v>101954.32</v>
      </c>
      <c r="X243" s="7">
        <v>25488.58</v>
      </c>
      <c r="Y243" s="7">
        <v>1310.6400000000001</v>
      </c>
      <c r="Z243" s="7">
        <v>1241.3800000000001</v>
      </c>
      <c r="AA243" s="7">
        <v>-3854.27</v>
      </c>
      <c r="AB243" s="7">
        <v>0</v>
      </c>
      <c r="AC243" s="7">
        <v>0</v>
      </c>
      <c r="AD243" s="7">
        <v>4530.32</v>
      </c>
      <c r="AE243" s="7">
        <v>248.44</v>
      </c>
      <c r="AF243" s="7">
        <v>0</v>
      </c>
      <c r="AG243" s="7">
        <v>0</v>
      </c>
      <c r="AH243" s="7">
        <v>0</v>
      </c>
      <c r="AI243" s="7">
        <v>13609.62</v>
      </c>
      <c r="AJ243" s="7">
        <v>0</v>
      </c>
    </row>
    <row r="244" spans="1:36" x14ac:dyDescent="0.2">
      <c r="A244" s="1" t="s">
        <v>33</v>
      </c>
      <c r="B244" s="1">
        <v>811</v>
      </c>
      <c r="C244" s="1">
        <v>1</v>
      </c>
      <c r="D244" s="1" t="s">
        <v>317</v>
      </c>
      <c r="E244" s="1">
        <v>79</v>
      </c>
      <c r="F244" s="5" t="s">
        <v>61</v>
      </c>
      <c r="G244" s="6">
        <v>5627</v>
      </c>
      <c r="H244" s="2">
        <v>2008</v>
      </c>
      <c r="I244" s="6">
        <v>5997581</v>
      </c>
      <c r="J244" s="7">
        <v>30498.34</v>
      </c>
      <c r="K244" s="6">
        <v>5627</v>
      </c>
      <c r="L244" s="7">
        <v>10409.950000000001</v>
      </c>
      <c r="M244" s="7">
        <v>46535.29</v>
      </c>
      <c r="N244" s="7">
        <v>46535.29</v>
      </c>
      <c r="O244" s="7">
        <v>46535.29</v>
      </c>
      <c r="P244" s="8">
        <v>1</v>
      </c>
      <c r="Q244" s="7">
        <v>0</v>
      </c>
      <c r="R244" s="7">
        <v>0</v>
      </c>
      <c r="S244" s="1">
        <v>0.99087303000000004</v>
      </c>
      <c r="T244" s="7">
        <v>0</v>
      </c>
      <c r="U244" s="7">
        <v>44889.56</v>
      </c>
      <c r="V244" s="7">
        <v>67723.27</v>
      </c>
      <c r="W244" s="7">
        <v>112612.83</v>
      </c>
      <c r="X244" s="7">
        <v>28153.21</v>
      </c>
      <c r="Y244" s="7">
        <v>8176.73</v>
      </c>
      <c r="Z244" s="7">
        <v>0</v>
      </c>
      <c r="AA244" s="7">
        <v>17680.89</v>
      </c>
      <c r="AB244" s="7">
        <v>0</v>
      </c>
      <c r="AC244" s="7">
        <v>0</v>
      </c>
      <c r="AD244" s="7">
        <v>18876.02</v>
      </c>
      <c r="AE244" s="7">
        <v>14911.21</v>
      </c>
      <c r="AF244" s="7">
        <v>0</v>
      </c>
      <c r="AG244" s="7">
        <v>0</v>
      </c>
      <c r="AH244" s="7">
        <v>0</v>
      </c>
      <c r="AI244" s="7">
        <v>46535.29</v>
      </c>
      <c r="AJ244" s="7">
        <v>0</v>
      </c>
    </row>
    <row r="245" spans="1:36" x14ac:dyDescent="0.2">
      <c r="A245" s="1" t="s">
        <v>33</v>
      </c>
      <c r="B245" s="1">
        <v>813</v>
      </c>
      <c r="C245" s="1">
        <v>1</v>
      </c>
      <c r="D245" s="1" t="s">
        <v>318</v>
      </c>
      <c r="E245" s="1">
        <v>79</v>
      </c>
      <c r="F245" s="5" t="s">
        <v>61</v>
      </c>
      <c r="G245" s="6">
        <v>8642</v>
      </c>
      <c r="H245" s="2">
        <v>2000</v>
      </c>
      <c r="I245" s="6">
        <v>11144186</v>
      </c>
      <c r="J245" s="7">
        <v>46839.64</v>
      </c>
      <c r="K245" s="6">
        <v>8642</v>
      </c>
      <c r="L245" s="7">
        <v>15987.7</v>
      </c>
      <c r="M245" s="7">
        <v>71469.34</v>
      </c>
      <c r="N245" s="7">
        <v>71469.34</v>
      </c>
      <c r="O245" s="7">
        <v>71469.34</v>
      </c>
      <c r="P245" s="8">
        <v>1</v>
      </c>
      <c r="Q245" s="7">
        <v>0</v>
      </c>
      <c r="R245" s="7">
        <v>0</v>
      </c>
      <c r="S245" s="1">
        <v>0.99087303000000004</v>
      </c>
      <c r="T245" s="7">
        <v>0</v>
      </c>
      <c r="U245" s="7">
        <v>71469.34</v>
      </c>
      <c r="V245" s="7">
        <v>257574.16</v>
      </c>
      <c r="W245" s="7">
        <v>329043.5</v>
      </c>
      <c r="X245" s="7">
        <v>82260.88</v>
      </c>
      <c r="Y245" s="7">
        <v>75911.06</v>
      </c>
      <c r="Z245" s="7">
        <v>0</v>
      </c>
      <c r="AA245" s="7">
        <v>96553.81</v>
      </c>
      <c r="AB245" s="7">
        <v>0</v>
      </c>
      <c r="AC245" s="7">
        <v>0</v>
      </c>
      <c r="AD245" s="7">
        <v>47990.87</v>
      </c>
      <c r="AE245" s="7">
        <v>73485.25</v>
      </c>
      <c r="AF245" s="7">
        <v>0</v>
      </c>
      <c r="AG245" s="7">
        <v>0</v>
      </c>
      <c r="AH245" s="7">
        <v>0</v>
      </c>
      <c r="AI245" s="7">
        <v>71469.34</v>
      </c>
      <c r="AJ245" s="7">
        <v>0</v>
      </c>
    </row>
    <row r="246" spans="1:36" x14ac:dyDescent="0.2">
      <c r="A246" s="1" t="s">
        <v>33</v>
      </c>
      <c r="B246" s="1">
        <v>815</v>
      </c>
      <c r="C246" s="1">
        <v>2</v>
      </c>
      <c r="D246" s="1" t="s">
        <v>70</v>
      </c>
      <c r="E246" s="1">
        <v>34</v>
      </c>
      <c r="F246" s="5" t="s">
        <v>68</v>
      </c>
      <c r="G246" s="6">
        <v>747</v>
      </c>
      <c r="H246" s="2">
        <v>2000</v>
      </c>
      <c r="I246" s="6">
        <v>936136</v>
      </c>
      <c r="J246" s="7">
        <v>7235.7</v>
      </c>
      <c r="K246" s="6">
        <v>0</v>
      </c>
      <c r="L246" s="7">
        <v>0</v>
      </c>
      <c r="M246" s="7">
        <v>7235.7</v>
      </c>
      <c r="N246" s="7">
        <v>7235.7</v>
      </c>
      <c r="O246" s="7">
        <v>7235.7</v>
      </c>
      <c r="P246" s="8">
        <v>1</v>
      </c>
      <c r="Q246" s="7">
        <v>0</v>
      </c>
      <c r="R246" s="7">
        <v>0</v>
      </c>
      <c r="S246" s="1">
        <v>0.99087303000000004</v>
      </c>
      <c r="T246" s="7">
        <v>0</v>
      </c>
      <c r="U246" s="7">
        <v>7235.7</v>
      </c>
      <c r="V246" s="7">
        <v>380</v>
      </c>
      <c r="W246" s="7">
        <v>7615.7</v>
      </c>
      <c r="X246" s="7">
        <v>1903.93</v>
      </c>
      <c r="Y246" s="7">
        <v>36154.089999999997</v>
      </c>
      <c r="Z246" s="7">
        <v>7235.7</v>
      </c>
      <c r="AA246" s="7">
        <v>87959.73</v>
      </c>
      <c r="AB246" s="7">
        <v>7235.7</v>
      </c>
      <c r="AC246" s="7">
        <v>0</v>
      </c>
      <c r="AD246" s="7">
        <v>95275.87</v>
      </c>
      <c r="AE246" s="7">
        <v>68306.100000000006</v>
      </c>
      <c r="AF246" s="7">
        <v>7235.7</v>
      </c>
      <c r="AG246" s="7">
        <v>7235.7</v>
      </c>
      <c r="AH246" s="7">
        <v>0</v>
      </c>
      <c r="AI246" s="7">
        <v>0</v>
      </c>
      <c r="AJ246" s="7">
        <v>0</v>
      </c>
    </row>
    <row r="247" spans="1:36" x14ac:dyDescent="0.2">
      <c r="A247" s="1" t="s">
        <v>33</v>
      </c>
      <c r="B247" s="1">
        <v>818</v>
      </c>
      <c r="C247" s="1">
        <v>1</v>
      </c>
      <c r="D247" s="1" t="s">
        <v>319</v>
      </c>
      <c r="E247" s="1">
        <v>80</v>
      </c>
      <c r="F247" s="5" t="s">
        <v>66</v>
      </c>
      <c r="G247" s="6">
        <v>1697</v>
      </c>
      <c r="H247" s="2">
        <v>2000</v>
      </c>
      <c r="I247" s="6">
        <v>1379068</v>
      </c>
      <c r="J247" s="7">
        <v>9197.74</v>
      </c>
      <c r="K247" s="6">
        <v>1697</v>
      </c>
      <c r="L247" s="7">
        <v>3139.45</v>
      </c>
      <c r="M247" s="7">
        <v>14034.19</v>
      </c>
      <c r="N247" s="7">
        <v>12411.61</v>
      </c>
      <c r="O247" s="7">
        <v>12411.61</v>
      </c>
      <c r="P247" s="8">
        <v>1</v>
      </c>
      <c r="Q247" s="7">
        <v>1622.58</v>
      </c>
      <c r="R247" s="7">
        <v>1622.58</v>
      </c>
      <c r="S247" s="1">
        <v>0.99087303000000004</v>
      </c>
      <c r="T247" s="7">
        <v>1607.77</v>
      </c>
      <c r="U247" s="7">
        <v>14034.19</v>
      </c>
      <c r="V247" s="7">
        <v>31390.04</v>
      </c>
      <c r="W247" s="7">
        <v>45424.23</v>
      </c>
      <c r="X247" s="7">
        <v>11356.06</v>
      </c>
      <c r="Y247" s="7">
        <v>13996.46</v>
      </c>
      <c r="Z247" s="7">
        <v>0</v>
      </c>
      <c r="AA247" s="7">
        <v>7600.51</v>
      </c>
      <c r="AB247" s="7">
        <v>0</v>
      </c>
      <c r="AC247" s="7">
        <v>0</v>
      </c>
      <c r="AD247" s="7">
        <v>-1942.58</v>
      </c>
      <c r="AE247" s="7">
        <v>6551.46</v>
      </c>
      <c r="AF247" s="7">
        <v>0</v>
      </c>
      <c r="AG247" s="7">
        <v>0</v>
      </c>
      <c r="AH247" s="7">
        <v>0</v>
      </c>
      <c r="AI247" s="7">
        <v>12411.61</v>
      </c>
      <c r="AJ247" s="7">
        <v>1622.58</v>
      </c>
    </row>
    <row r="248" spans="1:36" x14ac:dyDescent="0.2">
      <c r="A248" s="1" t="s">
        <v>33</v>
      </c>
      <c r="B248" s="1">
        <v>820</v>
      </c>
      <c r="C248" s="1">
        <v>1</v>
      </c>
      <c r="D248" s="1" t="s">
        <v>320</v>
      </c>
      <c r="E248" s="1">
        <v>80</v>
      </c>
      <c r="F248" s="5" t="s">
        <v>66</v>
      </c>
      <c r="G248" s="6">
        <v>2934</v>
      </c>
      <c r="H248" s="2">
        <v>2000</v>
      </c>
      <c r="I248" s="6">
        <v>2955682</v>
      </c>
      <c r="J248" s="7">
        <v>15902.28</v>
      </c>
      <c r="K248" s="6">
        <v>2934</v>
      </c>
      <c r="L248" s="7">
        <v>5427.9</v>
      </c>
      <c r="M248" s="7">
        <v>24264.18</v>
      </c>
      <c r="N248" s="7">
        <v>24264.18</v>
      </c>
      <c r="O248" s="7">
        <v>24264.18</v>
      </c>
      <c r="P248" s="8">
        <v>1</v>
      </c>
      <c r="Q248" s="7">
        <v>0</v>
      </c>
      <c r="R248" s="7">
        <v>0</v>
      </c>
      <c r="S248" s="1">
        <v>0.99087303000000004</v>
      </c>
      <c r="T248" s="7">
        <v>0</v>
      </c>
      <c r="U248" s="7">
        <v>24264.18</v>
      </c>
      <c r="V248" s="7">
        <v>11155.91</v>
      </c>
      <c r="W248" s="7">
        <v>35420.089999999997</v>
      </c>
      <c r="X248" s="7">
        <v>8855.02</v>
      </c>
      <c r="Y248" s="7">
        <v>-1121.79</v>
      </c>
      <c r="Z248" s="7">
        <v>0</v>
      </c>
      <c r="AA248" s="7">
        <v>6598.63</v>
      </c>
      <c r="AB248" s="7">
        <v>0</v>
      </c>
      <c r="AC248" s="7">
        <v>0</v>
      </c>
      <c r="AD248" s="7">
        <v>6690.5</v>
      </c>
      <c r="AE248" s="7">
        <v>4055.78</v>
      </c>
      <c r="AF248" s="7">
        <v>0</v>
      </c>
      <c r="AG248" s="7">
        <v>0</v>
      </c>
      <c r="AH248" s="7">
        <v>0</v>
      </c>
      <c r="AI248" s="7">
        <v>24264.18</v>
      </c>
      <c r="AJ248" s="7">
        <v>0</v>
      </c>
    </row>
    <row r="249" spans="1:36" x14ac:dyDescent="0.2">
      <c r="A249" s="1" t="s">
        <v>33</v>
      </c>
      <c r="B249" s="1">
        <v>821</v>
      </c>
      <c r="C249" s="1">
        <v>1</v>
      </c>
      <c r="D249" s="1" t="s">
        <v>321</v>
      </c>
      <c r="E249" s="1">
        <v>80</v>
      </c>
      <c r="F249" s="5" t="s">
        <v>66</v>
      </c>
      <c r="G249" s="6">
        <v>3396</v>
      </c>
      <c r="H249" s="2">
        <v>2000</v>
      </c>
      <c r="I249" s="6">
        <v>3614992</v>
      </c>
      <c r="J249" s="7">
        <v>18406.32</v>
      </c>
      <c r="K249" s="6">
        <v>3396</v>
      </c>
      <c r="L249" s="7">
        <v>6282.6</v>
      </c>
      <c r="M249" s="7">
        <v>28084.92</v>
      </c>
      <c r="N249" s="7">
        <v>28084.92</v>
      </c>
      <c r="O249" s="7">
        <v>28084.92</v>
      </c>
      <c r="P249" s="8">
        <v>1</v>
      </c>
      <c r="Q249" s="7">
        <v>0</v>
      </c>
      <c r="R249" s="7">
        <v>0</v>
      </c>
      <c r="S249" s="1">
        <v>0.99087303000000004</v>
      </c>
      <c r="T249" s="7">
        <v>0</v>
      </c>
      <c r="U249" s="7">
        <v>28084.92</v>
      </c>
      <c r="V249" s="7">
        <v>9889.5</v>
      </c>
      <c r="W249" s="7">
        <v>37974.42</v>
      </c>
      <c r="X249" s="7">
        <v>9493.61</v>
      </c>
      <c r="Y249" s="7">
        <v>11150.83</v>
      </c>
      <c r="Z249" s="7">
        <v>0</v>
      </c>
      <c r="AA249" s="7">
        <v>9378.36</v>
      </c>
      <c r="AB249" s="7">
        <v>0</v>
      </c>
      <c r="AC249" s="7">
        <v>0</v>
      </c>
      <c r="AD249" s="7">
        <v>4430.79</v>
      </c>
      <c r="AE249" s="7">
        <v>8319.99</v>
      </c>
      <c r="AF249" s="7">
        <v>0</v>
      </c>
      <c r="AG249" s="7">
        <v>0</v>
      </c>
      <c r="AH249" s="7">
        <v>0</v>
      </c>
      <c r="AI249" s="7">
        <v>28084.92</v>
      </c>
      <c r="AJ249" s="7">
        <v>0</v>
      </c>
    </row>
    <row r="250" spans="1:36" x14ac:dyDescent="0.2">
      <c r="A250" s="1" t="s">
        <v>33</v>
      </c>
      <c r="B250" s="1">
        <v>829</v>
      </c>
      <c r="C250" s="1">
        <v>1</v>
      </c>
      <c r="D250" s="1" t="s">
        <v>322</v>
      </c>
      <c r="E250" s="1">
        <v>81</v>
      </c>
      <c r="F250" s="5" t="s">
        <v>57</v>
      </c>
      <c r="G250" s="6">
        <v>12541</v>
      </c>
      <c r="H250" s="2">
        <v>2000</v>
      </c>
      <c r="I250" s="6">
        <v>9962395</v>
      </c>
      <c r="J250" s="7">
        <v>67972.22</v>
      </c>
      <c r="K250" s="6">
        <v>12541</v>
      </c>
      <c r="L250" s="7">
        <v>19592.63</v>
      </c>
      <c r="M250" s="7">
        <v>100105.85</v>
      </c>
      <c r="N250" s="7">
        <v>89661.56</v>
      </c>
      <c r="O250" s="7">
        <v>89661.56</v>
      </c>
      <c r="P250" s="8">
        <v>1</v>
      </c>
      <c r="Q250" s="7">
        <v>10444.290000000001</v>
      </c>
      <c r="R250" s="7">
        <v>10444.290000000001</v>
      </c>
      <c r="S250" s="1">
        <v>0.99087303000000004</v>
      </c>
      <c r="T250" s="7">
        <v>10348.969999999999</v>
      </c>
      <c r="U250" s="7">
        <v>100105.85</v>
      </c>
      <c r="V250" s="7">
        <v>717697.01</v>
      </c>
      <c r="W250" s="7">
        <v>817802.86</v>
      </c>
      <c r="X250" s="7">
        <v>204450.72</v>
      </c>
      <c r="Y250" s="7">
        <v>77612.009999999995</v>
      </c>
      <c r="Z250" s="7">
        <v>0</v>
      </c>
      <c r="AA250" s="7">
        <v>21245.34</v>
      </c>
      <c r="AB250" s="7">
        <v>0</v>
      </c>
      <c r="AC250" s="7">
        <v>0</v>
      </c>
      <c r="AD250" s="7">
        <v>45467.72</v>
      </c>
      <c r="AE250" s="7">
        <v>48108.36</v>
      </c>
      <c r="AF250" s="7">
        <v>0</v>
      </c>
      <c r="AG250" s="7">
        <v>0</v>
      </c>
      <c r="AH250" s="7">
        <v>0</v>
      </c>
      <c r="AI250" s="7">
        <v>89661.56</v>
      </c>
      <c r="AJ250" s="7">
        <v>10444.290000000001</v>
      </c>
    </row>
    <row r="251" spans="1:36" x14ac:dyDescent="0.2">
      <c r="A251" s="1" t="s">
        <v>33</v>
      </c>
      <c r="B251" s="1">
        <v>831</v>
      </c>
      <c r="C251" s="1">
        <v>1</v>
      </c>
      <c r="D251" s="1" t="s">
        <v>323</v>
      </c>
      <c r="E251" s="1">
        <v>82</v>
      </c>
      <c r="F251" s="5" t="s">
        <v>56</v>
      </c>
      <c r="G251" s="6">
        <v>48797</v>
      </c>
      <c r="H251" s="2">
        <v>2008</v>
      </c>
      <c r="I251" s="6">
        <v>64581335</v>
      </c>
      <c r="J251" s="7">
        <v>264479.74</v>
      </c>
      <c r="K251" s="6">
        <v>48797</v>
      </c>
      <c r="L251" s="7">
        <v>35182.71</v>
      </c>
      <c r="M251" s="7">
        <v>348459.45</v>
      </c>
      <c r="N251" s="7">
        <v>348459.45</v>
      </c>
      <c r="O251" s="7">
        <v>348459.45</v>
      </c>
      <c r="P251" s="8">
        <v>1</v>
      </c>
      <c r="Q251" s="7">
        <v>0</v>
      </c>
      <c r="R251" s="7">
        <v>0</v>
      </c>
      <c r="S251" s="1">
        <v>0.99087303000000004</v>
      </c>
      <c r="T251" s="7">
        <v>0</v>
      </c>
      <c r="U251" s="7">
        <v>346794.9</v>
      </c>
      <c r="V251" s="7">
        <v>3061712.59</v>
      </c>
      <c r="W251" s="7">
        <v>3408507.49</v>
      </c>
      <c r="X251" s="7">
        <v>852126.87</v>
      </c>
      <c r="Y251" s="7">
        <v>256845.83</v>
      </c>
      <c r="Z251" s="7">
        <v>0</v>
      </c>
      <c r="AA251" s="7">
        <v>410795.16</v>
      </c>
      <c r="AB251" s="7">
        <v>0</v>
      </c>
      <c r="AC251" s="7">
        <v>0</v>
      </c>
      <c r="AD251" s="7">
        <v>445954.45</v>
      </c>
      <c r="AE251" s="7">
        <v>371198.48</v>
      </c>
      <c r="AF251" s="7">
        <v>0</v>
      </c>
      <c r="AG251" s="7">
        <v>0</v>
      </c>
      <c r="AH251" s="7">
        <v>0</v>
      </c>
      <c r="AI251" s="7">
        <v>348459.45</v>
      </c>
      <c r="AJ251" s="7">
        <v>0</v>
      </c>
    </row>
    <row r="252" spans="1:36" x14ac:dyDescent="0.2">
      <c r="A252" s="1" t="s">
        <v>33</v>
      </c>
      <c r="B252" s="1">
        <v>832</v>
      </c>
      <c r="C252" s="1">
        <v>1</v>
      </c>
      <c r="D252" s="1" t="s">
        <v>324</v>
      </c>
      <c r="E252" s="1">
        <v>82</v>
      </c>
      <c r="F252" s="5" t="s">
        <v>56</v>
      </c>
      <c r="G252" s="6">
        <v>14530</v>
      </c>
      <c r="H252" s="2">
        <v>2006</v>
      </c>
      <c r="I252" s="6">
        <v>25484947</v>
      </c>
      <c r="J252" s="7">
        <v>78752.600000000006</v>
      </c>
      <c r="K252" s="6">
        <v>14530</v>
      </c>
      <c r="L252" s="7">
        <v>20447.900000000001</v>
      </c>
      <c r="M252" s="7">
        <v>113730.5</v>
      </c>
      <c r="N252" s="7">
        <v>113730.5</v>
      </c>
      <c r="O252" s="7">
        <v>113730.5</v>
      </c>
      <c r="P252" s="8">
        <v>1</v>
      </c>
      <c r="Q252" s="7">
        <v>0</v>
      </c>
      <c r="R252" s="7">
        <v>0</v>
      </c>
      <c r="S252" s="1">
        <v>0.99087303000000004</v>
      </c>
      <c r="T252" s="7">
        <v>0</v>
      </c>
      <c r="U252" s="7">
        <v>113730.5</v>
      </c>
      <c r="V252" s="7">
        <v>1856273.51</v>
      </c>
      <c r="W252" s="7">
        <v>1970004.01</v>
      </c>
      <c r="X252" s="7">
        <v>492501</v>
      </c>
      <c r="Y252" s="7">
        <v>213130.25</v>
      </c>
      <c r="Z252" s="7">
        <v>0</v>
      </c>
      <c r="AA252" s="7">
        <v>196183.56</v>
      </c>
      <c r="AB252" s="7">
        <v>0</v>
      </c>
      <c r="AC252" s="7">
        <v>0</v>
      </c>
      <c r="AD252" s="7">
        <v>172914.34</v>
      </c>
      <c r="AE252" s="7">
        <v>194076.05</v>
      </c>
      <c r="AF252" s="7">
        <v>0</v>
      </c>
      <c r="AG252" s="7">
        <v>0</v>
      </c>
      <c r="AH252" s="7">
        <v>0</v>
      </c>
      <c r="AI252" s="7">
        <v>113730.5</v>
      </c>
      <c r="AJ252" s="7">
        <v>0</v>
      </c>
    </row>
    <row r="253" spans="1:36" x14ac:dyDescent="0.2">
      <c r="A253" s="1" t="s">
        <v>33</v>
      </c>
      <c r="B253" s="1">
        <v>833</v>
      </c>
      <c r="C253" s="1">
        <v>1</v>
      </c>
      <c r="D253" s="1" t="s">
        <v>325</v>
      </c>
      <c r="E253" s="1">
        <v>82</v>
      </c>
      <c r="F253" s="5" t="s">
        <v>56</v>
      </c>
      <c r="G253" s="6">
        <v>96369</v>
      </c>
      <c r="H253" s="2">
        <v>2008</v>
      </c>
      <c r="I253" s="6">
        <v>115411558</v>
      </c>
      <c r="J253" s="7">
        <v>522319.98</v>
      </c>
      <c r="K253" s="6">
        <v>96369</v>
      </c>
      <c r="L253" s="7">
        <v>55638.67</v>
      </c>
      <c r="M253" s="7">
        <v>674327.65</v>
      </c>
      <c r="N253" s="7">
        <v>674327.65</v>
      </c>
      <c r="O253" s="7">
        <v>674327.65</v>
      </c>
      <c r="P253" s="8">
        <v>1</v>
      </c>
      <c r="Q253" s="7">
        <v>0</v>
      </c>
      <c r="R253" s="7">
        <v>0</v>
      </c>
      <c r="S253" s="1">
        <v>0.99087303000000004</v>
      </c>
      <c r="T253" s="7">
        <v>0</v>
      </c>
      <c r="U253" s="7">
        <v>671505.45</v>
      </c>
      <c r="V253" s="7">
        <v>7347126.6900000004</v>
      </c>
      <c r="W253" s="7">
        <v>8018632.1399999997</v>
      </c>
      <c r="X253" s="7">
        <v>2004658.04</v>
      </c>
      <c r="Y253" s="7">
        <v>482734.35</v>
      </c>
      <c r="Z253" s="7">
        <v>0</v>
      </c>
      <c r="AA253" s="7">
        <v>681773.66</v>
      </c>
      <c r="AB253" s="7">
        <v>0</v>
      </c>
      <c r="AC253" s="7">
        <v>0</v>
      </c>
      <c r="AD253" s="7">
        <v>1028252.68</v>
      </c>
      <c r="AE253" s="7">
        <v>730920.23</v>
      </c>
      <c r="AF253" s="7">
        <v>0</v>
      </c>
      <c r="AG253" s="7">
        <v>0</v>
      </c>
      <c r="AH253" s="7">
        <v>0</v>
      </c>
      <c r="AI253" s="7">
        <v>674327.65</v>
      </c>
      <c r="AJ253" s="7">
        <v>0</v>
      </c>
    </row>
    <row r="254" spans="1:36" x14ac:dyDescent="0.2">
      <c r="A254" s="1" t="s">
        <v>33</v>
      </c>
      <c r="B254" s="1">
        <v>834</v>
      </c>
      <c r="C254" s="1">
        <v>1</v>
      </c>
      <c r="D254" s="1" t="s">
        <v>395</v>
      </c>
      <c r="E254" s="1">
        <v>82</v>
      </c>
      <c r="F254" s="5" t="s">
        <v>56</v>
      </c>
      <c r="G254" s="6">
        <v>60161</v>
      </c>
      <c r="H254" s="2">
        <v>2008</v>
      </c>
      <c r="I254" s="6">
        <v>99859466</v>
      </c>
      <c r="J254" s="7">
        <v>326072.62</v>
      </c>
      <c r="K254" s="6">
        <v>60161</v>
      </c>
      <c r="L254" s="7">
        <v>40069.230000000003</v>
      </c>
      <c r="M254" s="7">
        <v>426302.85</v>
      </c>
      <c r="N254" s="7">
        <v>426302.85</v>
      </c>
      <c r="O254" s="7">
        <v>426302.85</v>
      </c>
      <c r="P254" s="8">
        <v>1</v>
      </c>
      <c r="Q254" s="7">
        <v>0</v>
      </c>
      <c r="R254" s="7">
        <v>0</v>
      </c>
      <c r="S254" s="1">
        <v>0.99087303000000004</v>
      </c>
      <c r="T254" s="7">
        <v>0</v>
      </c>
      <c r="U254" s="7">
        <v>416000.45</v>
      </c>
      <c r="V254" s="7">
        <v>2214341.5</v>
      </c>
      <c r="W254" s="7">
        <v>2630341.9500000002</v>
      </c>
      <c r="X254" s="7">
        <v>657585.49</v>
      </c>
      <c r="Y254" s="7">
        <v>620604.84</v>
      </c>
      <c r="Z254" s="7">
        <v>0</v>
      </c>
      <c r="AA254" s="7">
        <v>676125.37</v>
      </c>
      <c r="AB254" s="7">
        <v>0</v>
      </c>
      <c r="AC254" s="7">
        <v>0</v>
      </c>
      <c r="AD254" s="7">
        <v>461705.57</v>
      </c>
      <c r="AE254" s="7">
        <v>586145.26</v>
      </c>
      <c r="AF254" s="7">
        <v>0</v>
      </c>
      <c r="AG254" s="7">
        <v>0</v>
      </c>
      <c r="AH254" s="7">
        <v>0</v>
      </c>
      <c r="AI254" s="7">
        <v>426302.85</v>
      </c>
      <c r="AJ254" s="7">
        <v>0</v>
      </c>
    </row>
    <row r="255" spans="1:36" x14ac:dyDescent="0.2">
      <c r="A255" s="1" t="s">
        <v>33</v>
      </c>
      <c r="B255" s="1">
        <v>836</v>
      </c>
      <c r="C255" s="1">
        <v>1</v>
      </c>
      <c r="D255" s="1" t="s">
        <v>326</v>
      </c>
      <c r="E255" s="1">
        <v>83</v>
      </c>
      <c r="F255" s="5" t="s">
        <v>57</v>
      </c>
      <c r="G255" s="6">
        <v>1350</v>
      </c>
      <c r="H255" s="2">
        <v>2000</v>
      </c>
      <c r="I255" s="6">
        <v>1963925</v>
      </c>
      <c r="J255" s="7">
        <v>7317</v>
      </c>
      <c r="K255" s="6">
        <v>1350</v>
      </c>
      <c r="L255" s="7">
        <v>2497.5</v>
      </c>
      <c r="M255" s="7">
        <v>11164.5</v>
      </c>
      <c r="N255" s="7">
        <v>11164.5</v>
      </c>
      <c r="O255" s="7">
        <v>11164.5</v>
      </c>
      <c r="P255" s="8">
        <v>1</v>
      </c>
      <c r="Q255" s="7">
        <v>0</v>
      </c>
      <c r="R255" s="7">
        <v>0</v>
      </c>
      <c r="S255" s="1">
        <v>0.99087303000000004</v>
      </c>
      <c r="T255" s="7">
        <v>0</v>
      </c>
      <c r="U255" s="7">
        <v>11164.5</v>
      </c>
      <c r="V255" s="7">
        <v>45226.16</v>
      </c>
      <c r="W255" s="7">
        <v>56390.66</v>
      </c>
      <c r="X255" s="7">
        <v>14097.67</v>
      </c>
      <c r="Y255" s="7">
        <v>-9561.57</v>
      </c>
      <c r="Z255" s="7">
        <v>0</v>
      </c>
      <c r="AA255" s="7">
        <v>-16202.55</v>
      </c>
      <c r="AB255" s="7">
        <v>0</v>
      </c>
      <c r="AC255" s="7">
        <v>0</v>
      </c>
      <c r="AD255" s="7">
        <v>-19117.810000000001</v>
      </c>
      <c r="AE255" s="7">
        <v>-14960.64</v>
      </c>
      <c r="AF255" s="7">
        <v>0</v>
      </c>
      <c r="AG255" s="7">
        <v>0</v>
      </c>
      <c r="AH255" s="7">
        <v>0</v>
      </c>
      <c r="AI255" s="7">
        <v>11164.5</v>
      </c>
      <c r="AJ255" s="7">
        <v>0</v>
      </c>
    </row>
    <row r="256" spans="1:36" x14ac:dyDescent="0.2">
      <c r="A256" s="1" t="s">
        <v>33</v>
      </c>
      <c r="B256" s="1">
        <v>837</v>
      </c>
      <c r="C256" s="1">
        <v>1</v>
      </c>
      <c r="D256" s="1" t="s">
        <v>327</v>
      </c>
      <c r="E256" s="1">
        <v>83</v>
      </c>
      <c r="F256" s="5" t="s">
        <v>57</v>
      </c>
      <c r="G256" s="6">
        <v>3551</v>
      </c>
      <c r="H256" s="2">
        <v>2000</v>
      </c>
      <c r="I256" s="6">
        <v>3711131</v>
      </c>
      <c r="J256" s="7">
        <v>19246.419999999998</v>
      </c>
      <c r="K256" s="6">
        <v>3551</v>
      </c>
      <c r="L256" s="7">
        <v>6569.35</v>
      </c>
      <c r="M256" s="7">
        <v>29366.77</v>
      </c>
      <c r="N256" s="7">
        <v>29366.77</v>
      </c>
      <c r="O256" s="7">
        <v>29366.77</v>
      </c>
      <c r="P256" s="8">
        <v>1</v>
      </c>
      <c r="Q256" s="7">
        <v>0</v>
      </c>
      <c r="R256" s="7">
        <v>0</v>
      </c>
      <c r="S256" s="1">
        <v>0.99087303000000004</v>
      </c>
      <c r="T256" s="7">
        <v>0</v>
      </c>
      <c r="U256" s="7">
        <v>29366.77</v>
      </c>
      <c r="V256" s="7">
        <v>67407.839999999997</v>
      </c>
      <c r="W256" s="7">
        <v>96774.61</v>
      </c>
      <c r="X256" s="7">
        <v>24193.65</v>
      </c>
      <c r="Y256" s="7">
        <v>-1662.46</v>
      </c>
      <c r="Z256" s="7">
        <v>0</v>
      </c>
      <c r="AA256" s="7">
        <v>5535.33</v>
      </c>
      <c r="AB256" s="7">
        <v>0</v>
      </c>
      <c r="AC256" s="7">
        <v>0</v>
      </c>
      <c r="AD256" s="7">
        <v>-4334.3599999999997</v>
      </c>
      <c r="AE256" s="7">
        <v>-153.83000000000001</v>
      </c>
      <c r="AF256" s="7">
        <v>0</v>
      </c>
      <c r="AG256" s="7">
        <v>0</v>
      </c>
      <c r="AH256" s="7">
        <v>0</v>
      </c>
      <c r="AI256" s="7">
        <v>29366.77</v>
      </c>
      <c r="AJ256" s="7">
        <v>0</v>
      </c>
    </row>
    <row r="257" spans="1:36" x14ac:dyDescent="0.2">
      <c r="A257" s="1" t="s">
        <v>33</v>
      </c>
      <c r="B257" s="1">
        <v>840</v>
      </c>
      <c r="C257" s="1">
        <v>1</v>
      </c>
      <c r="D257" s="1" t="s">
        <v>328</v>
      </c>
      <c r="E257" s="1">
        <v>83</v>
      </c>
      <c r="F257" s="5" t="s">
        <v>57</v>
      </c>
      <c r="G257" s="6">
        <v>6871</v>
      </c>
      <c r="H257" s="2">
        <v>2000</v>
      </c>
      <c r="I257" s="6">
        <v>6061316</v>
      </c>
      <c r="J257" s="7">
        <v>37240.82</v>
      </c>
      <c r="K257" s="6">
        <v>6871</v>
      </c>
      <c r="L257" s="7">
        <v>12711.35</v>
      </c>
      <c r="M257" s="7">
        <v>56823.17</v>
      </c>
      <c r="N257" s="7">
        <v>54551.839999999997</v>
      </c>
      <c r="O257" s="7">
        <v>54551.839999999997</v>
      </c>
      <c r="P257" s="8">
        <v>1</v>
      </c>
      <c r="Q257" s="7">
        <v>2271.33</v>
      </c>
      <c r="R257" s="7">
        <v>2271.33</v>
      </c>
      <c r="S257" s="1">
        <v>0.99087303000000004</v>
      </c>
      <c r="T257" s="7">
        <v>2250.6</v>
      </c>
      <c r="U257" s="7">
        <v>56823.17</v>
      </c>
      <c r="V257" s="7">
        <v>479703.79</v>
      </c>
      <c r="W257" s="7">
        <v>536526.96</v>
      </c>
      <c r="X257" s="7">
        <v>134131.74</v>
      </c>
      <c r="Y257" s="7">
        <v>91482.83</v>
      </c>
      <c r="Z257" s="7">
        <v>12248.13</v>
      </c>
      <c r="AA257" s="7">
        <v>92212.160000000003</v>
      </c>
      <c r="AB257" s="7">
        <v>0</v>
      </c>
      <c r="AC257" s="7">
        <v>0</v>
      </c>
      <c r="AD257" s="7">
        <v>64166.7</v>
      </c>
      <c r="AE257" s="7">
        <v>78537.850000000006</v>
      </c>
      <c r="AF257" s="7">
        <v>0</v>
      </c>
      <c r="AG257" s="7">
        <v>0</v>
      </c>
      <c r="AH257" s="7">
        <v>0</v>
      </c>
      <c r="AI257" s="7">
        <v>54551.839999999997</v>
      </c>
      <c r="AJ257" s="7">
        <v>2271.33</v>
      </c>
    </row>
    <row r="258" spans="1:36" x14ac:dyDescent="0.2">
      <c r="A258" s="1" t="s">
        <v>33</v>
      </c>
      <c r="B258" s="1">
        <v>846</v>
      </c>
      <c r="C258" s="1">
        <v>1</v>
      </c>
      <c r="D258" s="1" t="s">
        <v>329</v>
      </c>
      <c r="E258" s="1">
        <v>84</v>
      </c>
      <c r="F258" s="5" t="s">
        <v>60</v>
      </c>
      <c r="G258" s="6">
        <v>5354</v>
      </c>
      <c r="H258" s="2">
        <v>2000</v>
      </c>
      <c r="I258" s="6">
        <v>5764414</v>
      </c>
      <c r="J258" s="7">
        <v>29018.68</v>
      </c>
      <c r="K258" s="6">
        <v>5354</v>
      </c>
      <c r="L258" s="7">
        <v>9904.9</v>
      </c>
      <c r="M258" s="7">
        <v>44277.58</v>
      </c>
      <c r="N258" s="7">
        <v>44277.58</v>
      </c>
      <c r="O258" s="7">
        <v>44277.58</v>
      </c>
      <c r="P258" s="8">
        <v>1</v>
      </c>
      <c r="Q258" s="7">
        <v>0</v>
      </c>
      <c r="R258" s="7">
        <v>0</v>
      </c>
      <c r="S258" s="1">
        <v>0.99087303000000004</v>
      </c>
      <c r="T258" s="7">
        <v>0</v>
      </c>
      <c r="U258" s="7">
        <v>44277.58</v>
      </c>
      <c r="V258" s="7">
        <v>183102.24</v>
      </c>
      <c r="W258" s="7">
        <v>227379.82</v>
      </c>
      <c r="X258" s="7">
        <v>56844.959999999999</v>
      </c>
      <c r="Y258" s="7">
        <v>19276.75</v>
      </c>
      <c r="Z258" s="7">
        <v>0</v>
      </c>
      <c r="AA258" s="7">
        <v>21825.65</v>
      </c>
      <c r="AB258" s="7">
        <v>0</v>
      </c>
      <c r="AC258" s="7">
        <v>0</v>
      </c>
      <c r="AD258" s="7">
        <v>21932.18</v>
      </c>
      <c r="AE258" s="7">
        <v>21011.53</v>
      </c>
      <c r="AF258" s="7">
        <v>0</v>
      </c>
      <c r="AG258" s="7">
        <v>0</v>
      </c>
      <c r="AH258" s="7">
        <v>0</v>
      </c>
      <c r="AI258" s="7">
        <v>44277.58</v>
      </c>
      <c r="AJ258" s="7">
        <v>0</v>
      </c>
    </row>
    <row r="259" spans="1:36" x14ac:dyDescent="0.2">
      <c r="A259" s="1" t="s">
        <v>33</v>
      </c>
      <c r="B259" s="1">
        <v>850</v>
      </c>
      <c r="C259" s="1">
        <v>1</v>
      </c>
      <c r="D259" s="1" t="s">
        <v>330</v>
      </c>
      <c r="E259" s="1">
        <v>84</v>
      </c>
      <c r="F259" s="5" t="s">
        <v>60</v>
      </c>
      <c r="G259" s="6">
        <v>1065</v>
      </c>
      <c r="H259" s="2">
        <v>2000</v>
      </c>
      <c r="I259" s="6">
        <v>1930748</v>
      </c>
      <c r="J259" s="7">
        <v>7235.7</v>
      </c>
      <c r="K259" s="6">
        <v>1335</v>
      </c>
      <c r="L259" s="7">
        <v>2469.75</v>
      </c>
      <c r="M259" s="7">
        <v>11040.45</v>
      </c>
      <c r="N259" s="7">
        <v>11040.45</v>
      </c>
      <c r="O259" s="7">
        <v>11040.45</v>
      </c>
      <c r="P259" s="8">
        <v>1</v>
      </c>
      <c r="Q259" s="7">
        <v>0</v>
      </c>
      <c r="R259" s="7">
        <v>0</v>
      </c>
      <c r="S259" s="1">
        <v>0.99087303000000004</v>
      </c>
      <c r="T259" s="7">
        <v>0</v>
      </c>
      <c r="U259" s="7">
        <v>11040.45</v>
      </c>
      <c r="V259" s="7">
        <v>14446.68</v>
      </c>
      <c r="W259" s="7">
        <v>25487.13</v>
      </c>
      <c r="X259" s="7">
        <v>6371.78</v>
      </c>
      <c r="Y259" s="7">
        <v>-13246.15</v>
      </c>
      <c r="Z259" s="7">
        <v>0</v>
      </c>
      <c r="AA259" s="7">
        <v>-6809.26</v>
      </c>
      <c r="AB259" s="7">
        <v>0</v>
      </c>
      <c r="AC259" s="7">
        <v>0</v>
      </c>
      <c r="AD259" s="7">
        <v>-3739.16</v>
      </c>
      <c r="AE259" s="7">
        <v>-7931.52</v>
      </c>
      <c r="AF259" s="7">
        <v>0</v>
      </c>
      <c r="AG259" s="7">
        <v>0</v>
      </c>
      <c r="AH259" s="7">
        <v>0</v>
      </c>
      <c r="AI259" s="7">
        <v>11040.45</v>
      </c>
      <c r="AJ259" s="7">
        <v>0</v>
      </c>
    </row>
    <row r="260" spans="1:36" x14ac:dyDescent="0.2">
      <c r="A260" s="1" t="s">
        <v>33</v>
      </c>
      <c r="B260" s="1">
        <v>852</v>
      </c>
      <c r="C260" s="1">
        <v>1</v>
      </c>
      <c r="D260" s="1" t="s">
        <v>331</v>
      </c>
      <c r="E260" s="1">
        <v>84</v>
      </c>
      <c r="F260" s="5" t="s">
        <v>60</v>
      </c>
      <c r="G260" s="6">
        <v>945</v>
      </c>
      <c r="H260" s="2">
        <v>2000</v>
      </c>
      <c r="I260" s="6">
        <v>3335197</v>
      </c>
      <c r="J260" s="7">
        <v>7235.7</v>
      </c>
      <c r="K260" s="6">
        <v>1335</v>
      </c>
      <c r="L260" s="7">
        <v>0</v>
      </c>
      <c r="M260" s="7">
        <v>8570.7000000000007</v>
      </c>
      <c r="N260" s="7">
        <v>8570.7000000000007</v>
      </c>
      <c r="O260" s="7">
        <v>8570.7000000000007</v>
      </c>
      <c r="P260" s="8">
        <v>1</v>
      </c>
      <c r="Q260" s="7">
        <v>0</v>
      </c>
      <c r="R260" s="7">
        <v>0</v>
      </c>
      <c r="S260" s="1">
        <v>0.99087303000000004</v>
      </c>
      <c r="T260" s="7">
        <v>0</v>
      </c>
      <c r="U260" s="7">
        <v>8570.7000000000007</v>
      </c>
      <c r="V260" s="7">
        <v>7102.4</v>
      </c>
      <c r="W260" s="7">
        <v>15673.1</v>
      </c>
      <c r="X260" s="7">
        <v>3918.28</v>
      </c>
      <c r="Y260" s="7">
        <v>-396.05</v>
      </c>
      <c r="Z260" s="7">
        <v>0</v>
      </c>
      <c r="AA260" s="7">
        <v>1117.05</v>
      </c>
      <c r="AB260" s="7">
        <v>0</v>
      </c>
      <c r="AC260" s="7">
        <v>0</v>
      </c>
      <c r="AD260" s="7">
        <v>0</v>
      </c>
      <c r="AE260" s="7">
        <v>240.33</v>
      </c>
      <c r="AF260" s="7">
        <v>0</v>
      </c>
      <c r="AG260" s="7">
        <v>0</v>
      </c>
      <c r="AH260" s="7">
        <v>0</v>
      </c>
      <c r="AI260" s="7">
        <v>8570.7000000000007</v>
      </c>
      <c r="AJ260" s="7">
        <v>0</v>
      </c>
    </row>
    <row r="261" spans="1:36" x14ac:dyDescent="0.2">
      <c r="A261" s="1" t="s">
        <v>33</v>
      </c>
      <c r="B261" s="1">
        <v>857</v>
      </c>
      <c r="C261" s="1">
        <v>1</v>
      </c>
      <c r="D261" s="1" t="s">
        <v>332</v>
      </c>
      <c r="E261" s="1">
        <v>85</v>
      </c>
      <c r="F261" s="5" t="s">
        <v>61</v>
      </c>
      <c r="G261" s="6">
        <v>4119</v>
      </c>
      <c r="H261" s="2">
        <v>2000</v>
      </c>
      <c r="I261" s="6">
        <v>4617387</v>
      </c>
      <c r="J261" s="7">
        <v>22324.98</v>
      </c>
      <c r="K261" s="6">
        <v>4119</v>
      </c>
      <c r="L261" s="7">
        <v>7620.15</v>
      </c>
      <c r="M261" s="7">
        <v>34064.129999999997</v>
      </c>
      <c r="N261" s="7">
        <v>34064.129999999997</v>
      </c>
      <c r="O261" s="7">
        <v>34064.129999999997</v>
      </c>
      <c r="P261" s="8">
        <v>1</v>
      </c>
      <c r="Q261" s="7">
        <v>0</v>
      </c>
      <c r="R261" s="7">
        <v>0</v>
      </c>
      <c r="S261" s="1">
        <v>0.99087303000000004</v>
      </c>
      <c r="T261" s="7">
        <v>0</v>
      </c>
      <c r="U261" s="7">
        <v>34064.129999999997</v>
      </c>
      <c r="V261" s="7">
        <v>102934.5</v>
      </c>
      <c r="W261" s="7">
        <v>136998.63</v>
      </c>
      <c r="X261" s="7">
        <v>34249.660000000003</v>
      </c>
      <c r="Y261" s="7">
        <v>57274.87</v>
      </c>
      <c r="Z261" s="7">
        <v>15503.28</v>
      </c>
      <c r="AA261" s="7">
        <v>9149.7800000000007</v>
      </c>
      <c r="AB261" s="7">
        <v>0</v>
      </c>
      <c r="AC261" s="7">
        <v>0</v>
      </c>
      <c r="AD261" s="7">
        <v>11388.7</v>
      </c>
      <c r="AE261" s="7">
        <v>20770.02</v>
      </c>
      <c r="AF261" s="7">
        <v>0</v>
      </c>
      <c r="AG261" s="7">
        <v>0</v>
      </c>
      <c r="AH261" s="7">
        <v>0</v>
      </c>
      <c r="AI261" s="7">
        <v>34064.129999999997</v>
      </c>
      <c r="AJ261" s="7">
        <v>0</v>
      </c>
    </row>
    <row r="262" spans="1:36" x14ac:dyDescent="0.2">
      <c r="A262" s="1" t="s">
        <v>33</v>
      </c>
      <c r="B262" s="1">
        <v>858</v>
      </c>
      <c r="C262" s="1">
        <v>1</v>
      </c>
      <c r="D262" s="1" t="s">
        <v>333</v>
      </c>
      <c r="E262" s="1">
        <v>85</v>
      </c>
      <c r="F262" s="5" t="s">
        <v>61</v>
      </c>
      <c r="G262" s="6">
        <v>5397</v>
      </c>
      <c r="H262" s="2">
        <v>2000</v>
      </c>
      <c r="I262" s="6">
        <v>5519940</v>
      </c>
      <c r="J262" s="7">
        <v>29251.74</v>
      </c>
      <c r="K262" s="6">
        <v>5397</v>
      </c>
      <c r="L262" s="7">
        <v>9984.4500000000007</v>
      </c>
      <c r="M262" s="7">
        <v>44633.19</v>
      </c>
      <c r="N262" s="7">
        <v>44633.19</v>
      </c>
      <c r="O262" s="7">
        <v>44633.19</v>
      </c>
      <c r="P262" s="8">
        <v>1</v>
      </c>
      <c r="Q262" s="7">
        <v>0</v>
      </c>
      <c r="R262" s="7">
        <v>0</v>
      </c>
      <c r="S262" s="1">
        <v>0.99087303000000004</v>
      </c>
      <c r="T262" s="7">
        <v>0</v>
      </c>
      <c r="U262" s="7">
        <v>34648.74</v>
      </c>
      <c r="V262" s="7">
        <v>68664.41</v>
      </c>
      <c r="W262" s="7">
        <v>103313.15</v>
      </c>
      <c r="X262" s="7">
        <v>25828.29</v>
      </c>
      <c r="Y262" s="7">
        <v>30171.05</v>
      </c>
      <c r="Z262" s="7">
        <v>1341.46</v>
      </c>
      <c r="AA262" s="7">
        <v>22809.98</v>
      </c>
      <c r="AB262" s="7">
        <v>120.03</v>
      </c>
      <c r="AC262" s="7">
        <v>0</v>
      </c>
      <c r="AD262" s="7">
        <v>1259.67</v>
      </c>
      <c r="AE262" s="7">
        <v>17593.07</v>
      </c>
      <c r="AF262" s="7">
        <v>0</v>
      </c>
      <c r="AG262" s="7">
        <v>0</v>
      </c>
      <c r="AH262" s="7">
        <v>0</v>
      </c>
      <c r="AI262" s="7">
        <v>44633.19</v>
      </c>
      <c r="AJ262" s="7">
        <v>0</v>
      </c>
    </row>
    <row r="263" spans="1:36" x14ac:dyDescent="0.2">
      <c r="A263" s="1" t="s">
        <v>33</v>
      </c>
      <c r="B263" s="1">
        <v>861</v>
      </c>
      <c r="C263" s="1">
        <v>1</v>
      </c>
      <c r="D263" s="1" t="s">
        <v>334</v>
      </c>
      <c r="E263" s="1">
        <v>85</v>
      </c>
      <c r="F263" s="5" t="s">
        <v>61</v>
      </c>
      <c r="G263" s="6">
        <v>39466</v>
      </c>
      <c r="H263" s="2">
        <v>2000</v>
      </c>
      <c r="I263" s="6">
        <v>31721374</v>
      </c>
      <c r="J263" s="7">
        <v>213905.72</v>
      </c>
      <c r="K263" s="6">
        <v>39466</v>
      </c>
      <c r="L263" s="7">
        <v>31170.38</v>
      </c>
      <c r="M263" s="7">
        <v>284542.09999999998</v>
      </c>
      <c r="N263" s="7">
        <v>284542.09999999998</v>
      </c>
      <c r="O263" s="7">
        <v>284542.09999999998</v>
      </c>
      <c r="P263" s="8">
        <v>1</v>
      </c>
      <c r="Q263" s="7">
        <v>0</v>
      </c>
      <c r="R263" s="7">
        <v>0</v>
      </c>
      <c r="S263" s="1">
        <v>0.99087303000000004</v>
      </c>
      <c r="T263" s="7">
        <v>0</v>
      </c>
      <c r="U263" s="7">
        <v>284542.09999999998</v>
      </c>
      <c r="V263" s="7">
        <v>893031.47</v>
      </c>
      <c r="W263" s="7">
        <v>1177573.57</v>
      </c>
      <c r="X263" s="7">
        <v>294393.39</v>
      </c>
      <c r="Y263" s="7">
        <v>228370.44</v>
      </c>
      <c r="Z263" s="7">
        <v>0</v>
      </c>
      <c r="AA263" s="7">
        <v>79816.100000000006</v>
      </c>
      <c r="AB263" s="7">
        <v>0</v>
      </c>
      <c r="AC263" s="7">
        <v>0</v>
      </c>
      <c r="AD263" s="7">
        <v>156967.89000000001</v>
      </c>
      <c r="AE263" s="7">
        <v>155051.48000000001</v>
      </c>
      <c r="AF263" s="7">
        <v>0</v>
      </c>
      <c r="AG263" s="7">
        <v>0</v>
      </c>
      <c r="AH263" s="7">
        <v>0</v>
      </c>
      <c r="AI263" s="7">
        <v>284542.09999999998</v>
      </c>
      <c r="AJ263" s="7">
        <v>0</v>
      </c>
    </row>
    <row r="264" spans="1:36" x14ac:dyDescent="0.2">
      <c r="A264" s="1" t="s">
        <v>33</v>
      </c>
      <c r="B264" s="1">
        <v>876</v>
      </c>
      <c r="C264" s="1">
        <v>1</v>
      </c>
      <c r="D264" s="1" t="s">
        <v>335</v>
      </c>
      <c r="E264" s="1">
        <v>86</v>
      </c>
      <c r="F264" s="5" t="s">
        <v>63</v>
      </c>
      <c r="G264" s="6">
        <v>11127</v>
      </c>
      <c r="H264" s="2">
        <v>2008</v>
      </c>
      <c r="I264" s="6">
        <v>19686033</v>
      </c>
      <c r="J264" s="7">
        <v>60308.34</v>
      </c>
      <c r="K264" s="6">
        <v>11127</v>
      </c>
      <c r="L264" s="7">
        <v>18984.61</v>
      </c>
      <c r="M264" s="7">
        <v>90419.95</v>
      </c>
      <c r="N264" s="7">
        <v>90419.95</v>
      </c>
      <c r="O264" s="7">
        <v>90419.95</v>
      </c>
      <c r="P264" s="8">
        <v>1</v>
      </c>
      <c r="Q264" s="7">
        <v>0</v>
      </c>
      <c r="R264" s="7">
        <v>0</v>
      </c>
      <c r="S264" s="1">
        <v>0.99087303000000004</v>
      </c>
      <c r="T264" s="7">
        <v>0</v>
      </c>
      <c r="U264" s="7">
        <v>89043.1</v>
      </c>
      <c r="V264" s="7">
        <v>417949.79</v>
      </c>
      <c r="W264" s="7">
        <v>506992.89</v>
      </c>
      <c r="X264" s="7">
        <v>126748.22</v>
      </c>
      <c r="Y264" s="7">
        <v>137808.72</v>
      </c>
      <c r="Z264" s="7">
        <v>0</v>
      </c>
      <c r="AA264" s="7">
        <v>80346.289999999994</v>
      </c>
      <c r="AB264" s="7">
        <v>0</v>
      </c>
      <c r="AC264" s="7">
        <v>0</v>
      </c>
      <c r="AD264" s="7">
        <v>115422.45</v>
      </c>
      <c r="AE264" s="7">
        <v>111192.49</v>
      </c>
      <c r="AF264" s="7">
        <v>0</v>
      </c>
      <c r="AG264" s="7">
        <v>0</v>
      </c>
      <c r="AH264" s="7">
        <v>0</v>
      </c>
      <c r="AI264" s="7">
        <v>90419.95</v>
      </c>
      <c r="AJ264" s="7">
        <v>0</v>
      </c>
    </row>
    <row r="265" spans="1:36" x14ac:dyDescent="0.2">
      <c r="A265" s="1" t="s">
        <v>33</v>
      </c>
      <c r="B265" s="1">
        <v>877</v>
      </c>
      <c r="C265" s="1">
        <v>1</v>
      </c>
      <c r="D265" s="1" t="s">
        <v>336</v>
      </c>
      <c r="E265" s="1">
        <v>86</v>
      </c>
      <c r="F265" s="5" t="s">
        <v>63</v>
      </c>
      <c r="G265" s="6">
        <v>32100</v>
      </c>
      <c r="H265" s="2">
        <v>2008</v>
      </c>
      <c r="I265" s="6">
        <v>39002204</v>
      </c>
      <c r="J265" s="7">
        <v>173982</v>
      </c>
      <c r="K265" s="6">
        <v>32100</v>
      </c>
      <c r="L265" s="7">
        <v>28003</v>
      </c>
      <c r="M265" s="7">
        <v>234085</v>
      </c>
      <c r="N265" s="7">
        <v>234085</v>
      </c>
      <c r="O265" s="7">
        <v>234085</v>
      </c>
      <c r="P265" s="8">
        <v>1</v>
      </c>
      <c r="Q265" s="7">
        <v>0</v>
      </c>
      <c r="R265" s="7">
        <v>0</v>
      </c>
      <c r="S265" s="1">
        <v>0.99087303000000004</v>
      </c>
      <c r="T265" s="7">
        <v>0</v>
      </c>
      <c r="U265" s="7">
        <v>231803.95</v>
      </c>
      <c r="V265" s="7">
        <v>1849532.47</v>
      </c>
      <c r="W265" s="7">
        <v>2081336.42</v>
      </c>
      <c r="X265" s="7">
        <v>520334.11</v>
      </c>
      <c r="Y265" s="7">
        <v>110737.02</v>
      </c>
      <c r="Z265" s="7">
        <v>0</v>
      </c>
      <c r="AA265" s="7">
        <v>148767.54999999999</v>
      </c>
      <c r="AB265" s="7">
        <v>0</v>
      </c>
      <c r="AC265" s="7">
        <v>0</v>
      </c>
      <c r="AD265" s="7">
        <v>119753.56</v>
      </c>
      <c r="AE265" s="7">
        <v>126419.38</v>
      </c>
      <c r="AF265" s="7">
        <v>0</v>
      </c>
      <c r="AG265" s="7">
        <v>0</v>
      </c>
      <c r="AH265" s="7">
        <v>0</v>
      </c>
      <c r="AI265" s="7">
        <v>234085</v>
      </c>
      <c r="AJ265" s="7">
        <v>0</v>
      </c>
    </row>
    <row r="266" spans="1:36" x14ac:dyDescent="0.2">
      <c r="A266" s="1" t="s">
        <v>33</v>
      </c>
      <c r="B266" s="1">
        <v>879</v>
      </c>
      <c r="C266" s="1">
        <v>1</v>
      </c>
      <c r="D266" s="1" t="s">
        <v>337</v>
      </c>
      <c r="E266" s="1">
        <v>86</v>
      </c>
      <c r="F266" s="5" t="s">
        <v>63</v>
      </c>
      <c r="G266" s="6">
        <v>12694</v>
      </c>
      <c r="H266" s="2">
        <v>2008</v>
      </c>
      <c r="I266" s="6">
        <v>18663372</v>
      </c>
      <c r="J266" s="7">
        <v>68801.48</v>
      </c>
      <c r="K266" s="6">
        <v>12694</v>
      </c>
      <c r="L266" s="7">
        <v>19658.419999999998</v>
      </c>
      <c r="M266" s="7">
        <v>101153.9</v>
      </c>
      <c r="N266" s="7">
        <v>101153.9</v>
      </c>
      <c r="O266" s="7">
        <v>101153.9</v>
      </c>
      <c r="P266" s="8">
        <v>1</v>
      </c>
      <c r="Q266" s="7">
        <v>0</v>
      </c>
      <c r="R266" s="7">
        <v>0</v>
      </c>
      <c r="S266" s="1">
        <v>0.99087303000000004</v>
      </c>
      <c r="T266" s="7">
        <v>0</v>
      </c>
      <c r="U266" s="7">
        <v>100393.55</v>
      </c>
      <c r="V266" s="7">
        <v>1227352.29</v>
      </c>
      <c r="W266" s="7">
        <v>1327745.8400000001</v>
      </c>
      <c r="X266" s="7">
        <v>331936.46000000002</v>
      </c>
      <c r="Y266" s="7">
        <v>338512.23</v>
      </c>
      <c r="Z266" s="7">
        <v>0</v>
      </c>
      <c r="AA266" s="7">
        <v>344188.71</v>
      </c>
      <c r="AB266" s="7">
        <v>0</v>
      </c>
      <c r="AC266" s="7">
        <v>0</v>
      </c>
      <c r="AD266" s="7">
        <v>271429.02</v>
      </c>
      <c r="AE266" s="7">
        <v>318043.32</v>
      </c>
      <c r="AF266" s="7">
        <v>0</v>
      </c>
      <c r="AG266" s="7">
        <v>0</v>
      </c>
      <c r="AH266" s="7">
        <v>0</v>
      </c>
      <c r="AI266" s="7">
        <v>101153.9</v>
      </c>
      <c r="AJ266" s="7">
        <v>0</v>
      </c>
    </row>
    <row r="267" spans="1:36" x14ac:dyDescent="0.2">
      <c r="A267" s="1" t="s">
        <v>33</v>
      </c>
      <c r="B267" s="1">
        <v>881</v>
      </c>
      <c r="C267" s="1">
        <v>1</v>
      </c>
      <c r="D267" s="1" t="s">
        <v>338</v>
      </c>
      <c r="E267" s="1">
        <v>86</v>
      </c>
      <c r="F267" s="5" t="s">
        <v>63</v>
      </c>
      <c r="G267" s="6">
        <v>4939</v>
      </c>
      <c r="H267" s="2">
        <v>2008</v>
      </c>
      <c r="I267" s="6">
        <v>6817350</v>
      </c>
      <c r="J267" s="7">
        <v>26769.38</v>
      </c>
      <c r="K267" s="6">
        <v>4939</v>
      </c>
      <c r="L267" s="7">
        <v>9137.15</v>
      </c>
      <c r="M267" s="7">
        <v>40845.53</v>
      </c>
      <c r="N267" s="7">
        <v>40845.53</v>
      </c>
      <c r="O267" s="7">
        <v>40845.53</v>
      </c>
      <c r="P267" s="8">
        <v>1</v>
      </c>
      <c r="Q267" s="7">
        <v>0</v>
      </c>
      <c r="R267" s="7">
        <v>0</v>
      </c>
      <c r="S267" s="1">
        <v>0.99087303000000004</v>
      </c>
      <c r="T267" s="7">
        <v>0</v>
      </c>
      <c r="U267" s="7">
        <v>37876.6</v>
      </c>
      <c r="V267" s="7">
        <v>225422.91</v>
      </c>
      <c r="W267" s="7">
        <v>263299.51</v>
      </c>
      <c r="X267" s="7">
        <v>65824.88</v>
      </c>
      <c r="Y267" s="7">
        <v>35406.379999999997</v>
      </c>
      <c r="Z267" s="7">
        <v>0</v>
      </c>
      <c r="AA267" s="7">
        <v>37339.040000000001</v>
      </c>
      <c r="AB267" s="7">
        <v>0</v>
      </c>
      <c r="AC267" s="7">
        <v>0</v>
      </c>
      <c r="AD267" s="7">
        <v>9054.59</v>
      </c>
      <c r="AE267" s="7">
        <v>27266.67</v>
      </c>
      <c r="AF267" s="7">
        <v>0</v>
      </c>
      <c r="AG267" s="7">
        <v>0</v>
      </c>
      <c r="AH267" s="7">
        <v>0</v>
      </c>
      <c r="AI267" s="7">
        <v>40845.53</v>
      </c>
      <c r="AJ267" s="7">
        <v>0</v>
      </c>
    </row>
    <row r="268" spans="1:36" x14ac:dyDescent="0.2">
      <c r="A268" s="1" t="s">
        <v>33</v>
      </c>
      <c r="B268" s="1">
        <v>882</v>
      </c>
      <c r="C268" s="1">
        <v>1</v>
      </c>
      <c r="D268" s="1" t="s">
        <v>339</v>
      </c>
      <c r="E268" s="1">
        <v>86</v>
      </c>
      <c r="F268" s="5" t="s">
        <v>63</v>
      </c>
      <c r="G268" s="6">
        <v>19556</v>
      </c>
      <c r="H268" s="2">
        <v>2008</v>
      </c>
      <c r="I268" s="6">
        <v>28757166</v>
      </c>
      <c r="J268" s="7">
        <v>105993.52</v>
      </c>
      <c r="K268" s="6">
        <v>19556</v>
      </c>
      <c r="L268" s="7">
        <v>22609.08</v>
      </c>
      <c r="M268" s="7">
        <v>148158.6</v>
      </c>
      <c r="N268" s="7">
        <v>148158.6</v>
      </c>
      <c r="O268" s="7">
        <v>148158.6</v>
      </c>
      <c r="P268" s="8">
        <v>1</v>
      </c>
      <c r="Q268" s="7">
        <v>0</v>
      </c>
      <c r="R268" s="7">
        <v>0</v>
      </c>
      <c r="S268" s="1">
        <v>0.99087303000000004</v>
      </c>
      <c r="T268" s="7">
        <v>0</v>
      </c>
      <c r="U268" s="7">
        <v>143308.79999999999</v>
      </c>
      <c r="V268" s="7">
        <v>1042985.56</v>
      </c>
      <c r="W268" s="7">
        <v>1186294.3600000001</v>
      </c>
      <c r="X268" s="7">
        <v>296573.59000000003</v>
      </c>
      <c r="Y268" s="7">
        <v>128039.98</v>
      </c>
      <c r="Z268" s="7">
        <v>0</v>
      </c>
      <c r="AA268" s="7">
        <v>167940.06</v>
      </c>
      <c r="AB268" s="7">
        <v>0</v>
      </c>
      <c r="AC268" s="7">
        <v>0</v>
      </c>
      <c r="AD268" s="7">
        <v>232398.73</v>
      </c>
      <c r="AE268" s="7">
        <v>176126.26</v>
      </c>
      <c r="AF268" s="7">
        <v>0</v>
      </c>
      <c r="AG268" s="7">
        <v>0</v>
      </c>
      <c r="AH268" s="7">
        <v>0</v>
      </c>
      <c r="AI268" s="7">
        <v>148158.6</v>
      </c>
      <c r="AJ268" s="7">
        <v>0</v>
      </c>
    </row>
    <row r="269" spans="1:36" x14ac:dyDescent="0.2">
      <c r="A269" s="1" t="s">
        <v>33</v>
      </c>
      <c r="B269" s="1">
        <v>883</v>
      </c>
      <c r="C269" s="1">
        <v>1</v>
      </c>
      <c r="D269" s="1" t="s">
        <v>340</v>
      </c>
      <c r="E269" s="1">
        <v>86</v>
      </c>
      <c r="F269" s="5" t="s">
        <v>63</v>
      </c>
      <c r="G269" s="6">
        <v>9574</v>
      </c>
      <c r="H269" s="2">
        <v>2007</v>
      </c>
      <c r="I269" s="6">
        <v>13377836</v>
      </c>
      <c r="J269" s="7">
        <v>51891.08</v>
      </c>
      <c r="K269" s="6">
        <v>9574</v>
      </c>
      <c r="L269" s="7">
        <v>17711.900000000001</v>
      </c>
      <c r="M269" s="7">
        <v>79176.98</v>
      </c>
      <c r="N269" s="7">
        <v>79176.98</v>
      </c>
      <c r="O269" s="7">
        <v>79176.98</v>
      </c>
      <c r="P269" s="8">
        <v>1</v>
      </c>
      <c r="Q269" s="7">
        <v>0</v>
      </c>
      <c r="R269" s="7">
        <v>0</v>
      </c>
      <c r="S269" s="1">
        <v>0.99087303000000004</v>
      </c>
      <c r="T269" s="7">
        <v>0</v>
      </c>
      <c r="U269" s="7">
        <v>79176.98</v>
      </c>
      <c r="V269" s="7">
        <v>1301954.94</v>
      </c>
      <c r="W269" s="7">
        <v>1381131.92</v>
      </c>
      <c r="X269" s="7">
        <v>345282.98</v>
      </c>
      <c r="Y269" s="7">
        <v>129412.13</v>
      </c>
      <c r="Z269" s="7">
        <v>0</v>
      </c>
      <c r="AA269" s="7">
        <v>218351.31</v>
      </c>
      <c r="AB269" s="7">
        <v>0</v>
      </c>
      <c r="AC269" s="7">
        <v>0</v>
      </c>
      <c r="AD269" s="7">
        <v>259290.88</v>
      </c>
      <c r="AE269" s="7">
        <v>202351.44</v>
      </c>
      <c r="AF269" s="7">
        <v>0</v>
      </c>
      <c r="AG269" s="7">
        <v>0</v>
      </c>
      <c r="AH269" s="7">
        <v>0</v>
      </c>
      <c r="AI269" s="7">
        <v>79176.98</v>
      </c>
      <c r="AJ269" s="7">
        <v>0</v>
      </c>
    </row>
    <row r="270" spans="1:36" x14ac:dyDescent="0.2">
      <c r="A270" s="1" t="s">
        <v>33</v>
      </c>
      <c r="B270" s="1">
        <v>885</v>
      </c>
      <c r="C270" s="1">
        <v>1</v>
      </c>
      <c r="D270" s="1" t="s">
        <v>341</v>
      </c>
      <c r="E270" s="1">
        <v>86</v>
      </c>
      <c r="F270" s="5" t="s">
        <v>63</v>
      </c>
      <c r="G270" s="6">
        <v>23055</v>
      </c>
      <c r="H270" s="2">
        <v>2006</v>
      </c>
      <c r="I270" s="6">
        <v>23729437</v>
      </c>
      <c r="J270" s="7">
        <v>124958.1</v>
      </c>
      <c r="K270" s="6">
        <v>23055</v>
      </c>
      <c r="L270" s="7">
        <v>24113.65</v>
      </c>
      <c r="M270" s="7">
        <v>172126.75</v>
      </c>
      <c r="N270" s="7">
        <v>172126.75</v>
      </c>
      <c r="O270" s="7">
        <v>172126.75</v>
      </c>
      <c r="P270" s="8">
        <v>1</v>
      </c>
      <c r="Q270" s="7">
        <v>0</v>
      </c>
      <c r="R270" s="7">
        <v>0</v>
      </c>
      <c r="S270" s="1">
        <v>0.99087303000000004</v>
      </c>
      <c r="T270" s="7">
        <v>0</v>
      </c>
      <c r="U270" s="7">
        <v>172126.75</v>
      </c>
      <c r="V270" s="7">
        <v>2707710.59</v>
      </c>
      <c r="W270" s="7">
        <v>2879837.34</v>
      </c>
      <c r="X270" s="7">
        <v>719959.34</v>
      </c>
      <c r="Y270" s="7">
        <v>11094.45</v>
      </c>
      <c r="Z270" s="7">
        <v>0</v>
      </c>
      <c r="AA270" s="7">
        <v>31873.08</v>
      </c>
      <c r="AB270" s="7">
        <v>0</v>
      </c>
      <c r="AC270" s="7">
        <v>0</v>
      </c>
      <c r="AD270" s="7">
        <v>-101897.93</v>
      </c>
      <c r="AE270" s="7">
        <v>-19643.47</v>
      </c>
      <c r="AF270" s="7">
        <v>0</v>
      </c>
      <c r="AG270" s="7">
        <v>0</v>
      </c>
      <c r="AH270" s="7">
        <v>0</v>
      </c>
      <c r="AI270" s="7">
        <v>172126.75</v>
      </c>
      <c r="AJ270" s="7">
        <v>0</v>
      </c>
    </row>
    <row r="271" spans="1:36" x14ac:dyDescent="0.2">
      <c r="A271" s="1" t="s">
        <v>33</v>
      </c>
      <c r="B271" s="1">
        <v>891</v>
      </c>
      <c r="C271" s="1">
        <v>1</v>
      </c>
      <c r="D271" s="1" t="s">
        <v>342</v>
      </c>
      <c r="E271" s="1">
        <v>87</v>
      </c>
      <c r="F271" s="5" t="s">
        <v>64</v>
      </c>
      <c r="G271" s="6">
        <v>4085</v>
      </c>
      <c r="H271" s="2">
        <v>2000</v>
      </c>
      <c r="I271" s="6">
        <v>4084351</v>
      </c>
      <c r="J271" s="7">
        <v>22140.7</v>
      </c>
      <c r="K271" s="6">
        <v>4085</v>
      </c>
      <c r="L271" s="7">
        <v>7557.25</v>
      </c>
      <c r="M271" s="7">
        <v>33782.949999999997</v>
      </c>
      <c r="N271" s="7">
        <v>33782.949999999997</v>
      </c>
      <c r="O271" s="7">
        <v>33782.949999999997</v>
      </c>
      <c r="P271" s="8">
        <v>1</v>
      </c>
      <c r="Q271" s="7">
        <v>0</v>
      </c>
      <c r="R271" s="7">
        <v>0</v>
      </c>
      <c r="S271" s="1">
        <v>0.99087303000000004</v>
      </c>
      <c r="T271" s="7">
        <v>0</v>
      </c>
      <c r="U271" s="7">
        <v>33782.949999999997</v>
      </c>
      <c r="V271" s="7">
        <v>26630.19</v>
      </c>
      <c r="W271" s="7">
        <v>60413.14</v>
      </c>
      <c r="X271" s="7">
        <v>15103.29</v>
      </c>
      <c r="Y271" s="7">
        <v>-25026.959999999999</v>
      </c>
      <c r="Z271" s="7">
        <v>0</v>
      </c>
      <c r="AA271" s="7">
        <v>18178.650000000001</v>
      </c>
      <c r="AB271" s="7">
        <v>0</v>
      </c>
      <c r="AC271" s="7">
        <v>0</v>
      </c>
      <c r="AD271" s="7">
        <v>10542.65</v>
      </c>
      <c r="AE271" s="7">
        <v>1231.45</v>
      </c>
      <c r="AF271" s="7">
        <v>0</v>
      </c>
      <c r="AG271" s="7">
        <v>0</v>
      </c>
      <c r="AH271" s="7">
        <v>0</v>
      </c>
      <c r="AI271" s="7">
        <v>33782.949999999997</v>
      </c>
      <c r="AJ271" s="7">
        <v>0</v>
      </c>
    </row>
    <row r="272" spans="1:36" x14ac:dyDescent="0.2">
      <c r="A272" s="1" t="s">
        <v>33</v>
      </c>
      <c r="B272" s="1">
        <v>911</v>
      </c>
      <c r="C272" s="1">
        <v>1</v>
      </c>
      <c r="D272" s="1" t="s">
        <v>343</v>
      </c>
      <c r="E272" s="1">
        <v>30</v>
      </c>
      <c r="F272" s="5" t="s">
        <v>67</v>
      </c>
      <c r="G272" s="6">
        <v>32980</v>
      </c>
      <c r="H272" s="2">
        <v>2007</v>
      </c>
      <c r="I272" s="6">
        <v>30975137</v>
      </c>
      <c r="J272" s="7">
        <v>178751.6</v>
      </c>
      <c r="K272" s="6">
        <v>32980</v>
      </c>
      <c r="L272" s="7">
        <v>28381.4</v>
      </c>
      <c r="M272" s="7">
        <v>240113</v>
      </c>
      <c r="N272" s="7">
        <v>240113</v>
      </c>
      <c r="O272" s="7">
        <v>240113</v>
      </c>
      <c r="P272" s="8">
        <v>1</v>
      </c>
      <c r="Q272" s="7">
        <v>0</v>
      </c>
      <c r="R272" s="7">
        <v>0</v>
      </c>
      <c r="S272" s="1">
        <v>0.99087303000000004</v>
      </c>
      <c r="T272" s="7">
        <v>0</v>
      </c>
      <c r="U272" s="7">
        <v>240113</v>
      </c>
      <c r="V272" s="7">
        <v>869415.92</v>
      </c>
      <c r="W272" s="7">
        <v>1109528.92</v>
      </c>
      <c r="X272" s="7">
        <v>277382.23</v>
      </c>
      <c r="Y272" s="7">
        <v>-38052.01</v>
      </c>
      <c r="Z272" s="7">
        <v>0</v>
      </c>
      <c r="AA272" s="7">
        <v>-22710.400000000001</v>
      </c>
      <c r="AB272" s="7">
        <v>0</v>
      </c>
      <c r="AC272" s="7">
        <v>0</v>
      </c>
      <c r="AD272" s="7">
        <v>-68543.679999999993</v>
      </c>
      <c r="AE272" s="7">
        <v>-43102.03</v>
      </c>
      <c r="AF272" s="7">
        <v>0</v>
      </c>
      <c r="AG272" s="7">
        <v>0</v>
      </c>
      <c r="AH272" s="7">
        <v>0</v>
      </c>
      <c r="AI272" s="7">
        <v>240113</v>
      </c>
      <c r="AJ272" s="7">
        <v>0</v>
      </c>
    </row>
    <row r="273" spans="1:36" x14ac:dyDescent="0.2">
      <c r="A273" s="1" t="s">
        <v>33</v>
      </c>
      <c r="B273" s="1">
        <v>912</v>
      </c>
      <c r="C273" s="1">
        <v>1</v>
      </c>
      <c r="D273" s="1" t="s">
        <v>344</v>
      </c>
      <c r="E273" s="1">
        <v>48</v>
      </c>
      <c r="F273" s="5" t="s">
        <v>67</v>
      </c>
      <c r="G273" s="6">
        <v>11323</v>
      </c>
      <c r="H273" s="2">
        <v>2007</v>
      </c>
      <c r="I273" s="6">
        <v>11066089</v>
      </c>
      <c r="J273" s="7">
        <v>61370.66</v>
      </c>
      <c r="K273" s="6">
        <v>11323</v>
      </c>
      <c r="L273" s="7">
        <v>19068.89</v>
      </c>
      <c r="M273" s="7">
        <v>91762.55</v>
      </c>
      <c r="N273" s="7">
        <v>91762.55</v>
      </c>
      <c r="O273" s="7">
        <v>91762.55</v>
      </c>
      <c r="P273" s="8">
        <v>1</v>
      </c>
      <c r="Q273" s="7">
        <v>0</v>
      </c>
      <c r="R273" s="7">
        <v>0</v>
      </c>
      <c r="S273" s="1">
        <v>0.99087303000000004</v>
      </c>
      <c r="T273" s="7">
        <v>0</v>
      </c>
      <c r="U273" s="7">
        <v>91762.55</v>
      </c>
      <c r="V273" s="7">
        <v>188420.18</v>
      </c>
      <c r="W273" s="7">
        <v>280182.73</v>
      </c>
      <c r="X273" s="7">
        <v>70045.679999999993</v>
      </c>
      <c r="Y273" s="7">
        <v>27701.79</v>
      </c>
      <c r="Z273" s="7">
        <v>0</v>
      </c>
      <c r="AA273" s="7">
        <v>72747.55</v>
      </c>
      <c r="AB273" s="7">
        <v>0</v>
      </c>
      <c r="AC273" s="7">
        <v>0</v>
      </c>
      <c r="AD273" s="7">
        <v>83752.73</v>
      </c>
      <c r="AE273" s="7">
        <v>61400.69</v>
      </c>
      <c r="AF273" s="7">
        <v>0</v>
      </c>
      <c r="AG273" s="7">
        <v>0</v>
      </c>
      <c r="AH273" s="7">
        <v>0</v>
      </c>
      <c r="AI273" s="7">
        <v>91762.55</v>
      </c>
      <c r="AJ273" s="7">
        <v>0</v>
      </c>
    </row>
    <row r="274" spans="1:36" x14ac:dyDescent="0.2">
      <c r="A274" s="1" t="s">
        <v>33</v>
      </c>
      <c r="B274" s="1">
        <v>914</v>
      </c>
      <c r="C274" s="1">
        <v>1</v>
      </c>
      <c r="D274" s="1" t="s">
        <v>345</v>
      </c>
      <c r="E274" s="1">
        <v>14</v>
      </c>
      <c r="F274" s="5" t="s">
        <v>60</v>
      </c>
      <c r="G274" s="6">
        <v>1696</v>
      </c>
      <c r="H274" s="2">
        <v>2000</v>
      </c>
      <c r="I274" s="6">
        <v>2231534</v>
      </c>
      <c r="J274" s="7">
        <v>9192.32</v>
      </c>
      <c r="K274" s="6">
        <v>0</v>
      </c>
      <c r="L274" s="7">
        <v>0</v>
      </c>
      <c r="M274" s="7">
        <v>9192.32</v>
      </c>
      <c r="N274" s="7">
        <v>9192.32</v>
      </c>
      <c r="O274" s="7">
        <v>9192.32</v>
      </c>
      <c r="P274" s="8">
        <v>1</v>
      </c>
      <c r="Q274" s="7">
        <v>0</v>
      </c>
      <c r="R274" s="7">
        <v>0</v>
      </c>
      <c r="S274" s="1">
        <v>0.99087303000000004</v>
      </c>
      <c r="T274" s="7">
        <v>0</v>
      </c>
      <c r="U274" s="7">
        <v>9192.32</v>
      </c>
      <c r="V274" s="7">
        <v>45544.41</v>
      </c>
      <c r="W274" s="7">
        <v>54736.73</v>
      </c>
      <c r="X274" s="7">
        <v>13684.18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9192.32</v>
      </c>
      <c r="AJ274" s="7">
        <v>0</v>
      </c>
    </row>
    <row r="275" spans="1:36" x14ac:dyDescent="0.2">
      <c r="A275" s="1" t="s">
        <v>33</v>
      </c>
      <c r="B275" s="1">
        <v>2071</v>
      </c>
      <c r="C275" s="1">
        <v>1</v>
      </c>
      <c r="D275" s="1" t="s">
        <v>74</v>
      </c>
      <c r="E275" s="1">
        <v>7</v>
      </c>
      <c r="F275" s="5" t="s">
        <v>57</v>
      </c>
      <c r="G275" s="6">
        <v>6131</v>
      </c>
      <c r="H275" s="2">
        <v>2000</v>
      </c>
      <c r="I275" s="6">
        <v>7845037</v>
      </c>
      <c r="J275" s="7">
        <v>33230.019999999997</v>
      </c>
      <c r="K275" s="6">
        <v>6131</v>
      </c>
      <c r="L275" s="7">
        <v>11342.35</v>
      </c>
      <c r="M275" s="7">
        <v>50703.37</v>
      </c>
      <c r="N275" s="7">
        <v>50703.37</v>
      </c>
      <c r="O275" s="7">
        <v>50703.37</v>
      </c>
      <c r="P275" s="8">
        <v>1</v>
      </c>
      <c r="Q275" s="7">
        <v>0</v>
      </c>
      <c r="R275" s="7">
        <v>0</v>
      </c>
      <c r="S275" s="1">
        <v>0.99087303000000004</v>
      </c>
      <c r="T275" s="7">
        <v>0</v>
      </c>
      <c r="U275" s="7">
        <v>50703.37</v>
      </c>
      <c r="V275" s="7">
        <v>91269.82</v>
      </c>
      <c r="W275" s="7">
        <v>141973.19</v>
      </c>
      <c r="X275" s="7">
        <v>35493.300000000003</v>
      </c>
      <c r="Y275" s="7">
        <v>30904.21</v>
      </c>
      <c r="Z275" s="7">
        <v>0</v>
      </c>
      <c r="AA275" s="7">
        <v>44484.98</v>
      </c>
      <c r="AB275" s="7">
        <v>0</v>
      </c>
      <c r="AC275" s="7">
        <v>0</v>
      </c>
      <c r="AD275" s="7">
        <v>31468.77</v>
      </c>
      <c r="AE275" s="7">
        <v>35619.32</v>
      </c>
      <c r="AF275" s="7">
        <v>126.02</v>
      </c>
      <c r="AG275" s="7">
        <v>126.02</v>
      </c>
      <c r="AH275" s="7">
        <v>0</v>
      </c>
      <c r="AI275" s="7">
        <v>50577.35</v>
      </c>
      <c r="AJ275" s="7">
        <v>0</v>
      </c>
    </row>
    <row r="276" spans="1:36" x14ac:dyDescent="0.2">
      <c r="A276" s="1" t="s">
        <v>33</v>
      </c>
      <c r="B276" s="1">
        <v>2125</v>
      </c>
      <c r="C276" s="1">
        <v>1</v>
      </c>
      <c r="D276" s="1" t="s">
        <v>346</v>
      </c>
      <c r="E276" s="1">
        <v>20</v>
      </c>
      <c r="F276" s="5" t="s">
        <v>61</v>
      </c>
      <c r="G276" s="6">
        <v>6651</v>
      </c>
      <c r="H276" s="2">
        <v>2000</v>
      </c>
      <c r="I276" s="6">
        <v>8219307</v>
      </c>
      <c r="J276" s="7">
        <v>36048.42</v>
      </c>
      <c r="K276" s="6">
        <v>6651</v>
      </c>
      <c r="L276" s="7">
        <v>12304.35</v>
      </c>
      <c r="M276" s="7">
        <v>55003.77</v>
      </c>
      <c r="N276" s="7">
        <v>55003.77</v>
      </c>
      <c r="O276" s="7">
        <v>55003.77</v>
      </c>
      <c r="P276" s="8">
        <v>1</v>
      </c>
      <c r="Q276" s="7">
        <v>0</v>
      </c>
      <c r="R276" s="7">
        <v>0</v>
      </c>
      <c r="S276" s="1">
        <v>0.99087303000000004</v>
      </c>
      <c r="T276" s="7">
        <v>0</v>
      </c>
      <c r="U276" s="7">
        <v>55003.77</v>
      </c>
      <c r="V276" s="7">
        <v>90891.42</v>
      </c>
      <c r="W276" s="7">
        <v>145895.19</v>
      </c>
      <c r="X276" s="7">
        <v>36473.800000000003</v>
      </c>
      <c r="Y276" s="7">
        <v>-55950.33</v>
      </c>
      <c r="Z276" s="7">
        <v>0</v>
      </c>
      <c r="AA276" s="7">
        <v>-40993.870000000003</v>
      </c>
      <c r="AB276" s="7">
        <v>0</v>
      </c>
      <c r="AC276" s="7">
        <v>0</v>
      </c>
      <c r="AD276" s="7">
        <v>-39157.74</v>
      </c>
      <c r="AE276" s="7">
        <v>-45367.31</v>
      </c>
      <c r="AF276" s="7">
        <v>0</v>
      </c>
      <c r="AG276" s="7">
        <v>0</v>
      </c>
      <c r="AH276" s="7">
        <v>0</v>
      </c>
      <c r="AI276" s="7">
        <v>55003.77</v>
      </c>
      <c r="AJ276" s="7">
        <v>0</v>
      </c>
    </row>
    <row r="277" spans="1:36" x14ac:dyDescent="0.2">
      <c r="A277" s="1" t="s">
        <v>33</v>
      </c>
      <c r="B277" s="1">
        <v>2134</v>
      </c>
      <c r="C277" s="1">
        <v>1</v>
      </c>
      <c r="D277" s="1" t="s">
        <v>347</v>
      </c>
      <c r="E277" s="1">
        <v>22</v>
      </c>
      <c r="F277" s="5" t="s">
        <v>57</v>
      </c>
      <c r="G277" s="6">
        <v>6924</v>
      </c>
      <c r="H277" s="2">
        <v>2000</v>
      </c>
      <c r="I277" s="6">
        <v>7787626</v>
      </c>
      <c r="J277" s="7">
        <v>37528.080000000002</v>
      </c>
      <c r="K277" s="6">
        <v>6924</v>
      </c>
      <c r="L277" s="7">
        <v>12809.4</v>
      </c>
      <c r="M277" s="7">
        <v>57261.48</v>
      </c>
      <c r="N277" s="7">
        <v>57261.48</v>
      </c>
      <c r="O277" s="7">
        <v>57261.48</v>
      </c>
      <c r="P277" s="8">
        <v>1</v>
      </c>
      <c r="Q277" s="7">
        <v>0</v>
      </c>
      <c r="R277" s="7">
        <v>0</v>
      </c>
      <c r="S277" s="1">
        <v>0.99087303000000004</v>
      </c>
      <c r="T277" s="7">
        <v>0</v>
      </c>
      <c r="U277" s="7">
        <v>57261.48</v>
      </c>
      <c r="V277" s="7">
        <v>49170.39</v>
      </c>
      <c r="W277" s="7">
        <v>106431.87</v>
      </c>
      <c r="X277" s="7">
        <v>26607.97</v>
      </c>
      <c r="Y277" s="7">
        <v>10607.41</v>
      </c>
      <c r="Z277" s="7">
        <v>0</v>
      </c>
      <c r="AA277" s="7">
        <v>1912.45</v>
      </c>
      <c r="AB277" s="7">
        <v>0</v>
      </c>
      <c r="AC277" s="7">
        <v>0</v>
      </c>
      <c r="AD277" s="7">
        <v>10463.200000000001</v>
      </c>
      <c r="AE277" s="7">
        <v>7661.02</v>
      </c>
      <c r="AF277" s="7">
        <v>0</v>
      </c>
      <c r="AG277" s="7">
        <v>0</v>
      </c>
      <c r="AH277" s="7">
        <v>0</v>
      </c>
      <c r="AI277" s="7">
        <v>57261.48</v>
      </c>
      <c r="AJ277" s="7">
        <v>0</v>
      </c>
    </row>
    <row r="278" spans="1:36" x14ac:dyDescent="0.2">
      <c r="A278" s="1" t="s">
        <v>33</v>
      </c>
      <c r="B278" s="1">
        <v>2135</v>
      </c>
      <c r="C278" s="1">
        <v>1</v>
      </c>
      <c r="D278" s="1" t="s">
        <v>348</v>
      </c>
      <c r="E278" s="1">
        <v>7</v>
      </c>
      <c r="F278" s="5" t="s">
        <v>57</v>
      </c>
      <c r="G278" s="6">
        <v>6207</v>
      </c>
      <c r="H278" s="2">
        <v>2000</v>
      </c>
      <c r="I278" s="6">
        <v>8457745</v>
      </c>
      <c r="J278" s="7">
        <v>33641.94</v>
      </c>
      <c r="K278" s="6">
        <v>6207</v>
      </c>
      <c r="L278" s="7">
        <v>11482.95</v>
      </c>
      <c r="M278" s="7">
        <v>51331.89</v>
      </c>
      <c r="N278" s="7">
        <v>51331.89</v>
      </c>
      <c r="O278" s="7">
        <v>51331.89</v>
      </c>
      <c r="P278" s="8">
        <v>1</v>
      </c>
      <c r="Q278" s="7">
        <v>0</v>
      </c>
      <c r="R278" s="7">
        <v>0</v>
      </c>
      <c r="S278" s="1">
        <v>0.99087303000000004</v>
      </c>
      <c r="T278" s="7">
        <v>0</v>
      </c>
      <c r="U278" s="7">
        <v>51331.89</v>
      </c>
      <c r="V278" s="7">
        <v>109234.58</v>
      </c>
      <c r="W278" s="7">
        <v>160566.47</v>
      </c>
      <c r="X278" s="7">
        <v>40141.620000000003</v>
      </c>
      <c r="Y278" s="7">
        <v>72025.070000000007</v>
      </c>
      <c r="Z278" s="7">
        <v>3849.09</v>
      </c>
      <c r="AA278" s="7">
        <v>-452.05</v>
      </c>
      <c r="AB278" s="7">
        <v>0</v>
      </c>
      <c r="AC278" s="7">
        <v>0</v>
      </c>
      <c r="AD278" s="7">
        <v>5722.69</v>
      </c>
      <c r="AE278" s="7">
        <v>24482.21</v>
      </c>
      <c r="AF278" s="7">
        <v>0</v>
      </c>
      <c r="AG278" s="7">
        <v>0</v>
      </c>
      <c r="AH278" s="7">
        <v>0</v>
      </c>
      <c r="AI278" s="7">
        <v>51331.89</v>
      </c>
      <c r="AJ278" s="7">
        <v>0</v>
      </c>
    </row>
    <row r="279" spans="1:36" x14ac:dyDescent="0.2">
      <c r="A279" s="1" t="s">
        <v>33</v>
      </c>
      <c r="B279" s="1">
        <v>2137</v>
      </c>
      <c r="C279" s="1">
        <v>1</v>
      </c>
      <c r="D279" s="1" t="s">
        <v>349</v>
      </c>
      <c r="E279" s="1">
        <v>23</v>
      </c>
      <c r="F279" s="5" t="s">
        <v>61</v>
      </c>
      <c r="G279" s="6">
        <v>5371</v>
      </c>
      <c r="H279" s="2">
        <v>2000</v>
      </c>
      <c r="I279" s="6">
        <v>5445179</v>
      </c>
      <c r="J279" s="7">
        <v>29110.82</v>
      </c>
      <c r="K279" s="6">
        <v>5371</v>
      </c>
      <c r="L279" s="7">
        <v>9936.35</v>
      </c>
      <c r="M279" s="7">
        <v>44418.17</v>
      </c>
      <c r="N279" s="7">
        <v>44418.17</v>
      </c>
      <c r="O279" s="7">
        <v>44418.17</v>
      </c>
      <c r="P279" s="8">
        <v>1</v>
      </c>
      <c r="Q279" s="7">
        <v>0</v>
      </c>
      <c r="R279" s="7">
        <v>0</v>
      </c>
      <c r="S279" s="1">
        <v>0.99087303000000004</v>
      </c>
      <c r="T279" s="7">
        <v>0</v>
      </c>
      <c r="U279" s="7">
        <v>44418.17</v>
      </c>
      <c r="V279" s="7">
        <v>36621.78</v>
      </c>
      <c r="W279" s="7">
        <v>81039.95</v>
      </c>
      <c r="X279" s="7">
        <v>20259.990000000002</v>
      </c>
      <c r="Y279" s="7">
        <v>7338.95</v>
      </c>
      <c r="Z279" s="7">
        <v>0</v>
      </c>
      <c r="AA279" s="7">
        <v>4164.67</v>
      </c>
      <c r="AB279" s="7">
        <v>0</v>
      </c>
      <c r="AC279" s="7">
        <v>0</v>
      </c>
      <c r="AD279" s="7">
        <v>14977.05</v>
      </c>
      <c r="AE279" s="7">
        <v>8826.89</v>
      </c>
      <c r="AF279" s="7">
        <v>0</v>
      </c>
      <c r="AG279" s="7">
        <v>0</v>
      </c>
      <c r="AH279" s="7">
        <v>0</v>
      </c>
      <c r="AI279" s="7">
        <v>44418.17</v>
      </c>
      <c r="AJ279" s="7">
        <v>0</v>
      </c>
    </row>
    <row r="280" spans="1:36" x14ac:dyDescent="0.2">
      <c r="A280" s="1" t="s">
        <v>33</v>
      </c>
      <c r="B280" s="1">
        <v>2142</v>
      </c>
      <c r="C280" s="1">
        <v>1</v>
      </c>
      <c r="D280" s="1" t="s">
        <v>350</v>
      </c>
      <c r="E280" s="1">
        <v>69</v>
      </c>
      <c r="F280" s="5" t="s">
        <v>58</v>
      </c>
      <c r="G280" s="6">
        <v>18435</v>
      </c>
      <c r="H280" s="2">
        <v>2000</v>
      </c>
      <c r="I280" s="6">
        <v>40485757</v>
      </c>
      <c r="J280" s="7">
        <v>99917.7</v>
      </c>
      <c r="K280" s="6">
        <v>18435</v>
      </c>
      <c r="L280" s="7">
        <v>22127.05</v>
      </c>
      <c r="M280" s="7">
        <v>140479.75</v>
      </c>
      <c r="N280" s="7">
        <v>140479.75</v>
      </c>
      <c r="O280" s="7">
        <v>140479.75</v>
      </c>
      <c r="P280" s="8">
        <v>1</v>
      </c>
      <c r="Q280" s="7">
        <v>0</v>
      </c>
      <c r="R280" s="7">
        <v>0</v>
      </c>
      <c r="S280" s="1">
        <v>0.99087303000000004</v>
      </c>
      <c r="T280" s="7">
        <v>0</v>
      </c>
      <c r="U280" s="7">
        <v>140479.75</v>
      </c>
      <c r="V280" s="7">
        <v>68378.649999999994</v>
      </c>
      <c r="W280" s="7">
        <v>208858.4</v>
      </c>
      <c r="X280" s="7">
        <v>52214.6</v>
      </c>
      <c r="Y280" s="7">
        <v>925.19</v>
      </c>
      <c r="Z280" s="7">
        <v>33718.230000000003</v>
      </c>
      <c r="AA280" s="7">
        <v>2785.77</v>
      </c>
      <c r="AB280" s="7">
        <v>0</v>
      </c>
      <c r="AC280" s="7">
        <v>0</v>
      </c>
      <c r="AD280" s="7">
        <v>37705.51</v>
      </c>
      <c r="AE280" s="7">
        <v>2566.08</v>
      </c>
      <c r="AF280" s="7">
        <v>0</v>
      </c>
      <c r="AG280" s="7">
        <v>0</v>
      </c>
      <c r="AH280" s="7">
        <v>0</v>
      </c>
      <c r="AI280" s="7">
        <v>140479.75</v>
      </c>
      <c r="AJ280" s="7">
        <v>0</v>
      </c>
    </row>
    <row r="281" spans="1:36" x14ac:dyDescent="0.2">
      <c r="A281" s="1" t="s">
        <v>33</v>
      </c>
      <c r="B281" s="1">
        <v>2143</v>
      </c>
      <c r="C281" s="1">
        <v>1</v>
      </c>
      <c r="D281" s="1" t="s">
        <v>72</v>
      </c>
      <c r="E281" s="1">
        <v>40</v>
      </c>
      <c r="F281" s="5" t="s">
        <v>57</v>
      </c>
      <c r="G281" s="6">
        <v>6433</v>
      </c>
      <c r="H281" s="2">
        <v>2000</v>
      </c>
      <c r="I281" s="6">
        <v>9562248</v>
      </c>
      <c r="J281" s="7">
        <v>34866.86</v>
      </c>
      <c r="K281" s="6">
        <v>6433</v>
      </c>
      <c r="L281" s="7">
        <v>11901.05</v>
      </c>
      <c r="M281" s="7">
        <v>53200.91</v>
      </c>
      <c r="N281" s="7">
        <v>53200.91</v>
      </c>
      <c r="O281" s="7">
        <v>53200.91</v>
      </c>
      <c r="P281" s="8">
        <v>1</v>
      </c>
      <c r="Q281" s="7">
        <v>0</v>
      </c>
      <c r="R281" s="7">
        <v>0</v>
      </c>
      <c r="S281" s="1">
        <v>0.99087303000000004</v>
      </c>
      <c r="T281" s="7">
        <v>0</v>
      </c>
      <c r="U281" s="7">
        <v>53200.91</v>
      </c>
      <c r="V281" s="7">
        <v>80724.639999999999</v>
      </c>
      <c r="W281" s="7">
        <v>133925.54999999999</v>
      </c>
      <c r="X281" s="7">
        <v>33481.39</v>
      </c>
      <c r="Y281" s="7">
        <v>13031.5</v>
      </c>
      <c r="Z281" s="7">
        <v>0</v>
      </c>
      <c r="AA281" s="7">
        <v>48204.59</v>
      </c>
      <c r="AB281" s="7">
        <v>0</v>
      </c>
      <c r="AC281" s="7">
        <v>0</v>
      </c>
      <c r="AD281" s="7">
        <v>38910.86</v>
      </c>
      <c r="AE281" s="7">
        <v>33382.32</v>
      </c>
      <c r="AF281" s="7">
        <v>0</v>
      </c>
      <c r="AG281" s="7">
        <v>0</v>
      </c>
      <c r="AH281" s="7">
        <v>0</v>
      </c>
      <c r="AI281" s="7">
        <v>53200.91</v>
      </c>
      <c r="AJ281" s="7">
        <v>0</v>
      </c>
    </row>
    <row r="282" spans="1:36" x14ac:dyDescent="0.2">
      <c r="A282" s="1" t="s">
        <v>33</v>
      </c>
      <c r="B282" s="1">
        <v>2144</v>
      </c>
      <c r="C282" s="1">
        <v>1</v>
      </c>
      <c r="D282" s="1" t="s">
        <v>351</v>
      </c>
      <c r="E282" s="1">
        <v>13</v>
      </c>
      <c r="F282" s="5" t="s">
        <v>67</v>
      </c>
      <c r="G282" s="6">
        <v>19891</v>
      </c>
      <c r="H282" s="2">
        <v>2006</v>
      </c>
      <c r="I282" s="6">
        <v>26130297</v>
      </c>
      <c r="J282" s="7">
        <v>107809.22</v>
      </c>
      <c r="K282" s="6">
        <v>19891</v>
      </c>
      <c r="L282" s="7">
        <v>22753.13</v>
      </c>
      <c r="M282" s="7">
        <v>150453.35</v>
      </c>
      <c r="N282" s="7">
        <v>150453.35</v>
      </c>
      <c r="O282" s="7">
        <v>150453.35</v>
      </c>
      <c r="P282" s="8">
        <v>1</v>
      </c>
      <c r="Q282" s="7">
        <v>0</v>
      </c>
      <c r="R282" s="7">
        <v>0</v>
      </c>
      <c r="S282" s="1">
        <v>0.99087303000000004</v>
      </c>
      <c r="T282" s="7">
        <v>0</v>
      </c>
      <c r="U282" s="7">
        <v>150453.35</v>
      </c>
      <c r="V282" s="7">
        <v>997135.04</v>
      </c>
      <c r="W282" s="7">
        <v>1147588.3899999999</v>
      </c>
      <c r="X282" s="7">
        <v>286897.09999999998</v>
      </c>
      <c r="Y282" s="7">
        <v>3733.85</v>
      </c>
      <c r="Z282" s="7">
        <v>0</v>
      </c>
      <c r="AA282" s="7">
        <v>-5509.14</v>
      </c>
      <c r="AB282" s="7">
        <v>0</v>
      </c>
      <c r="AC282" s="7">
        <v>0</v>
      </c>
      <c r="AD282" s="7">
        <v>-26234.65</v>
      </c>
      <c r="AE282" s="7">
        <v>-9336.65</v>
      </c>
      <c r="AF282" s="7">
        <v>0</v>
      </c>
      <c r="AG282" s="7">
        <v>0</v>
      </c>
      <c r="AH282" s="7">
        <v>0</v>
      </c>
      <c r="AI282" s="7">
        <v>150453.35</v>
      </c>
      <c r="AJ282" s="7">
        <v>0</v>
      </c>
    </row>
    <row r="283" spans="1:36" x14ac:dyDescent="0.2">
      <c r="A283" s="1" t="s">
        <v>33</v>
      </c>
      <c r="B283" s="1">
        <v>2149</v>
      </c>
      <c r="C283" s="1">
        <v>1</v>
      </c>
      <c r="D283" s="1" t="s">
        <v>352</v>
      </c>
      <c r="E283" s="1">
        <v>61</v>
      </c>
      <c r="F283" s="5" t="s">
        <v>60</v>
      </c>
      <c r="G283" s="6">
        <v>9439</v>
      </c>
      <c r="H283" s="2">
        <v>2000</v>
      </c>
      <c r="I283" s="6">
        <v>13677747</v>
      </c>
      <c r="J283" s="7">
        <v>51159.38</v>
      </c>
      <c r="K283" s="6">
        <v>9439</v>
      </c>
      <c r="L283" s="7">
        <v>17462.150000000001</v>
      </c>
      <c r="M283" s="7">
        <v>78060.53</v>
      </c>
      <c r="N283" s="7">
        <v>78060.53</v>
      </c>
      <c r="O283" s="7">
        <v>78060.53</v>
      </c>
      <c r="P283" s="8">
        <v>1</v>
      </c>
      <c r="Q283" s="7">
        <v>0</v>
      </c>
      <c r="R283" s="7">
        <v>0</v>
      </c>
      <c r="S283" s="1">
        <v>0.99087303000000004</v>
      </c>
      <c r="T283" s="7">
        <v>0</v>
      </c>
      <c r="U283" s="7">
        <v>78060.53</v>
      </c>
      <c r="V283" s="7">
        <v>102104.14</v>
      </c>
      <c r="W283" s="7">
        <v>180164.67</v>
      </c>
      <c r="X283" s="7">
        <v>45041.17</v>
      </c>
      <c r="Y283" s="7">
        <v>42260.27</v>
      </c>
      <c r="Z283" s="7">
        <v>0</v>
      </c>
      <c r="AA283" s="7">
        <v>45324.84</v>
      </c>
      <c r="AB283" s="7">
        <v>2544.2800000000002</v>
      </c>
      <c r="AC283" s="7">
        <v>0</v>
      </c>
      <c r="AD283" s="7">
        <v>21287.61</v>
      </c>
      <c r="AE283" s="7">
        <v>35442.81</v>
      </c>
      <c r="AF283" s="7">
        <v>0</v>
      </c>
      <c r="AG283" s="7">
        <v>0</v>
      </c>
      <c r="AH283" s="7">
        <v>0</v>
      </c>
      <c r="AI283" s="7">
        <v>78060.53</v>
      </c>
      <c r="AJ283" s="7">
        <v>0</v>
      </c>
    </row>
    <row r="284" spans="1:36" x14ac:dyDescent="0.2">
      <c r="A284" s="1" t="s">
        <v>33</v>
      </c>
      <c r="B284" s="1">
        <v>2154</v>
      </c>
      <c r="C284" s="1">
        <v>1</v>
      </c>
      <c r="D284" s="1" t="s">
        <v>353</v>
      </c>
      <c r="E284" s="1">
        <v>69</v>
      </c>
      <c r="F284" s="5" t="s">
        <v>58</v>
      </c>
      <c r="G284" s="6">
        <v>8921</v>
      </c>
      <c r="H284" s="2">
        <v>2000</v>
      </c>
      <c r="I284" s="6">
        <v>5500010</v>
      </c>
      <c r="J284" s="7">
        <v>48351.82</v>
      </c>
      <c r="K284" s="6">
        <v>8921</v>
      </c>
      <c r="L284" s="7">
        <v>16503.849999999999</v>
      </c>
      <c r="M284" s="7">
        <v>73776.67</v>
      </c>
      <c r="N284" s="7">
        <v>49500.09</v>
      </c>
      <c r="O284" s="7">
        <v>49500.09</v>
      </c>
      <c r="P284" s="8">
        <v>1</v>
      </c>
      <c r="Q284" s="7">
        <v>24276.58</v>
      </c>
      <c r="R284" s="7">
        <v>24276.58</v>
      </c>
      <c r="S284" s="1">
        <v>0.99087303000000004</v>
      </c>
      <c r="T284" s="7">
        <v>24055.01</v>
      </c>
      <c r="U284" s="7">
        <v>73776.67</v>
      </c>
      <c r="V284" s="7">
        <v>13454.7</v>
      </c>
      <c r="W284" s="7">
        <v>87231.37</v>
      </c>
      <c r="X284" s="7">
        <v>21807.84</v>
      </c>
      <c r="Y284" s="7">
        <v>27756.83</v>
      </c>
      <c r="Z284" s="7">
        <v>3878.15</v>
      </c>
      <c r="AA284" s="7">
        <v>26340.66</v>
      </c>
      <c r="AB284" s="7">
        <v>4364.3900000000003</v>
      </c>
      <c r="AC284" s="7">
        <v>0</v>
      </c>
      <c r="AD284" s="7">
        <v>19581.02</v>
      </c>
      <c r="AE284" s="7">
        <v>21811.99</v>
      </c>
      <c r="AF284" s="7">
        <v>4.1500000000000004</v>
      </c>
      <c r="AG284" s="7">
        <v>2.78</v>
      </c>
      <c r="AH284" s="7">
        <v>1.37</v>
      </c>
      <c r="AI284" s="7">
        <v>49497.31</v>
      </c>
      <c r="AJ284" s="7">
        <v>24275.21</v>
      </c>
    </row>
    <row r="285" spans="1:36" x14ac:dyDescent="0.2">
      <c r="A285" s="1" t="s">
        <v>33</v>
      </c>
      <c r="B285" s="1">
        <v>2155</v>
      </c>
      <c r="C285" s="1">
        <v>1</v>
      </c>
      <c r="D285" s="1" t="s">
        <v>354</v>
      </c>
      <c r="E285" s="1">
        <v>80</v>
      </c>
      <c r="F285" s="5" t="s">
        <v>66</v>
      </c>
      <c r="G285" s="6">
        <v>8087</v>
      </c>
      <c r="H285" s="2">
        <v>2000</v>
      </c>
      <c r="I285" s="6">
        <v>5336411</v>
      </c>
      <c r="J285" s="7">
        <v>43831.54</v>
      </c>
      <c r="K285" s="6">
        <v>8087</v>
      </c>
      <c r="L285" s="7">
        <v>14960.95</v>
      </c>
      <c r="M285" s="7">
        <v>66879.490000000005</v>
      </c>
      <c r="N285" s="7">
        <v>48027.7</v>
      </c>
      <c r="O285" s="7">
        <v>48027.7</v>
      </c>
      <c r="P285" s="8">
        <v>1</v>
      </c>
      <c r="Q285" s="7">
        <v>18851.79</v>
      </c>
      <c r="R285" s="7">
        <v>18851.79</v>
      </c>
      <c r="S285" s="1">
        <v>0.99087303000000004</v>
      </c>
      <c r="T285" s="7">
        <v>18679.73</v>
      </c>
      <c r="U285" s="7">
        <v>66879.490000000005</v>
      </c>
      <c r="V285" s="7">
        <v>240745.95</v>
      </c>
      <c r="W285" s="7">
        <v>307625.44</v>
      </c>
      <c r="X285" s="7">
        <v>76906.36</v>
      </c>
      <c r="Y285" s="7">
        <v>-19559.39</v>
      </c>
      <c r="Z285" s="7">
        <v>0</v>
      </c>
      <c r="AA285" s="7">
        <v>18441.95</v>
      </c>
      <c r="AB285" s="7">
        <v>0</v>
      </c>
      <c r="AC285" s="7">
        <v>0</v>
      </c>
      <c r="AD285" s="7">
        <v>54298.32</v>
      </c>
      <c r="AE285" s="7">
        <v>17726.96</v>
      </c>
      <c r="AF285" s="7">
        <v>0</v>
      </c>
      <c r="AG285" s="7">
        <v>0</v>
      </c>
      <c r="AH285" s="7">
        <v>0</v>
      </c>
      <c r="AI285" s="7">
        <v>48027.7</v>
      </c>
      <c r="AJ285" s="7">
        <v>18851.79</v>
      </c>
    </row>
    <row r="286" spans="1:36" x14ac:dyDescent="0.2">
      <c r="A286" s="1" t="s">
        <v>33</v>
      </c>
      <c r="B286" s="1">
        <v>2159</v>
      </c>
      <c r="C286" s="1">
        <v>1</v>
      </c>
      <c r="D286" s="1" t="s">
        <v>355</v>
      </c>
      <c r="E286" s="1">
        <v>65</v>
      </c>
      <c r="F286" s="5" t="s">
        <v>68</v>
      </c>
      <c r="G286" s="6">
        <v>4679</v>
      </c>
      <c r="H286" s="2">
        <v>2000</v>
      </c>
      <c r="I286" s="6">
        <v>7384322</v>
      </c>
      <c r="J286" s="7">
        <v>25360.18</v>
      </c>
      <c r="K286" s="6">
        <v>4679</v>
      </c>
      <c r="L286" s="7">
        <v>8656.15</v>
      </c>
      <c r="M286" s="7">
        <v>38695.33</v>
      </c>
      <c r="N286" s="7">
        <v>38695.33</v>
      </c>
      <c r="O286" s="7">
        <v>39047.199999999997</v>
      </c>
      <c r="P286" s="8">
        <v>1</v>
      </c>
      <c r="Q286" s="7">
        <v>0</v>
      </c>
      <c r="R286" s="7">
        <v>0</v>
      </c>
      <c r="S286" s="1">
        <v>0.99087303000000004</v>
      </c>
      <c r="T286" s="7">
        <v>0</v>
      </c>
      <c r="U286" s="7">
        <v>38695.33</v>
      </c>
      <c r="V286" s="7">
        <v>105601.9</v>
      </c>
      <c r="W286" s="7">
        <v>144297.23000000001</v>
      </c>
      <c r="X286" s="7">
        <v>36074.31</v>
      </c>
      <c r="Y286" s="7">
        <v>20471.060000000001</v>
      </c>
      <c r="Z286" s="7">
        <v>0</v>
      </c>
      <c r="AA286" s="7">
        <v>21938.01</v>
      </c>
      <c r="AB286" s="7">
        <v>0</v>
      </c>
      <c r="AC286" s="7">
        <v>0</v>
      </c>
      <c r="AD286" s="7">
        <v>42984.639999999999</v>
      </c>
      <c r="AE286" s="7">
        <v>28464.57</v>
      </c>
      <c r="AF286" s="7">
        <v>0</v>
      </c>
      <c r="AG286" s="7">
        <v>0</v>
      </c>
      <c r="AH286" s="7">
        <v>0</v>
      </c>
      <c r="AI286" s="7">
        <v>39047.199999999997</v>
      </c>
      <c r="AJ286" s="7">
        <v>0</v>
      </c>
    </row>
    <row r="287" spans="1:36" x14ac:dyDescent="0.2">
      <c r="A287" s="1" t="s">
        <v>33</v>
      </c>
      <c r="B287" s="1">
        <v>2164</v>
      </c>
      <c r="C287" s="1">
        <v>1</v>
      </c>
      <c r="D287" s="1" t="s">
        <v>79</v>
      </c>
      <c r="E287" s="1">
        <v>14</v>
      </c>
      <c r="F287" s="5" t="s">
        <v>60</v>
      </c>
      <c r="G287" s="6">
        <v>5803</v>
      </c>
      <c r="H287" s="2">
        <v>2000</v>
      </c>
      <c r="I287" s="6">
        <v>5078089</v>
      </c>
      <c r="J287" s="7">
        <v>31452.26</v>
      </c>
      <c r="K287" s="6">
        <v>5803</v>
      </c>
      <c r="L287" s="7">
        <v>10735.55</v>
      </c>
      <c r="M287" s="7">
        <v>47990.81</v>
      </c>
      <c r="N287" s="7">
        <v>45702.8</v>
      </c>
      <c r="O287" s="7">
        <v>45702.8</v>
      </c>
      <c r="P287" s="8">
        <v>1</v>
      </c>
      <c r="Q287" s="7">
        <v>2288.0100000000002</v>
      </c>
      <c r="R287" s="7">
        <v>2288.0100000000002</v>
      </c>
      <c r="S287" s="1">
        <v>0.99087303000000004</v>
      </c>
      <c r="T287" s="7">
        <v>2267.13</v>
      </c>
      <c r="U287" s="7">
        <v>47990.81</v>
      </c>
      <c r="V287" s="7">
        <v>171856.43</v>
      </c>
      <c r="W287" s="7">
        <v>219847.24</v>
      </c>
      <c r="X287" s="7">
        <v>54961.81</v>
      </c>
      <c r="Y287" s="7">
        <v>25439.74</v>
      </c>
      <c r="Z287" s="7">
        <v>0</v>
      </c>
      <c r="AA287" s="7">
        <v>20182.78</v>
      </c>
      <c r="AB287" s="7">
        <v>0</v>
      </c>
      <c r="AC287" s="7">
        <v>0</v>
      </c>
      <c r="AD287" s="7">
        <v>8552.82</v>
      </c>
      <c r="AE287" s="7">
        <v>18058.45</v>
      </c>
      <c r="AF287" s="7">
        <v>0</v>
      </c>
      <c r="AG287" s="7">
        <v>0</v>
      </c>
      <c r="AH287" s="7">
        <v>0</v>
      </c>
      <c r="AI287" s="7">
        <v>45702.8</v>
      </c>
      <c r="AJ287" s="7">
        <v>2288.0100000000002</v>
      </c>
    </row>
    <row r="288" spans="1:36" x14ac:dyDescent="0.2">
      <c r="A288" s="1" t="s">
        <v>33</v>
      </c>
      <c r="B288" s="1">
        <v>2165</v>
      </c>
      <c r="C288" s="1">
        <v>1</v>
      </c>
      <c r="D288" s="1" t="s">
        <v>356</v>
      </c>
      <c r="E288" s="1">
        <v>58</v>
      </c>
      <c r="F288" s="5" t="s">
        <v>67</v>
      </c>
      <c r="G288" s="6">
        <v>6344</v>
      </c>
      <c r="H288" s="2">
        <v>2000</v>
      </c>
      <c r="I288" s="6">
        <v>9747089</v>
      </c>
      <c r="J288" s="7">
        <v>34384.480000000003</v>
      </c>
      <c r="K288" s="6">
        <v>6344</v>
      </c>
      <c r="L288" s="7">
        <v>11736.4</v>
      </c>
      <c r="M288" s="7">
        <v>52464.88</v>
      </c>
      <c r="N288" s="7">
        <v>52464.88</v>
      </c>
      <c r="O288" s="7">
        <v>100</v>
      </c>
      <c r="P288" s="8">
        <v>1.906037E-3</v>
      </c>
      <c r="Q288" s="7">
        <v>0</v>
      </c>
      <c r="R288" s="7">
        <v>0</v>
      </c>
      <c r="S288" s="1">
        <v>0.99087303000000004</v>
      </c>
      <c r="T288" s="7">
        <v>0</v>
      </c>
      <c r="U288" s="7">
        <v>52464.88</v>
      </c>
      <c r="V288" s="7">
        <v>56788.15</v>
      </c>
      <c r="W288" s="7">
        <v>109253.03</v>
      </c>
      <c r="X288" s="7">
        <v>27313.26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100</v>
      </c>
      <c r="AJ288" s="7">
        <v>0</v>
      </c>
    </row>
    <row r="289" spans="1:36" x14ac:dyDescent="0.2">
      <c r="A289" s="1" t="s">
        <v>33</v>
      </c>
      <c r="B289" s="1">
        <v>2167</v>
      </c>
      <c r="C289" s="1">
        <v>1</v>
      </c>
      <c r="D289" s="1" t="s">
        <v>357</v>
      </c>
      <c r="E289" s="1">
        <v>42</v>
      </c>
      <c r="F289" s="5" t="s">
        <v>65</v>
      </c>
      <c r="G289" s="6">
        <v>2733</v>
      </c>
      <c r="H289" s="2">
        <v>2000</v>
      </c>
      <c r="I289" s="6">
        <v>4092414</v>
      </c>
      <c r="J289" s="7">
        <v>14812.86</v>
      </c>
      <c r="K289" s="6">
        <v>2733</v>
      </c>
      <c r="L289" s="7">
        <v>5056.05</v>
      </c>
      <c r="M289" s="7">
        <v>22601.91</v>
      </c>
      <c r="N289" s="7">
        <v>22601.91</v>
      </c>
      <c r="O289" s="7">
        <v>22601.91</v>
      </c>
      <c r="P289" s="8">
        <v>1</v>
      </c>
      <c r="Q289" s="7">
        <v>0</v>
      </c>
      <c r="R289" s="7">
        <v>0</v>
      </c>
      <c r="S289" s="1">
        <v>0.99087303000000004</v>
      </c>
      <c r="T289" s="7">
        <v>0</v>
      </c>
      <c r="U289" s="7">
        <v>22601.91</v>
      </c>
      <c r="V289" s="7">
        <v>51483.86</v>
      </c>
      <c r="W289" s="7">
        <v>74085.77</v>
      </c>
      <c r="X289" s="7">
        <v>18521.439999999999</v>
      </c>
      <c r="Y289" s="7">
        <v>4500.3100000000004</v>
      </c>
      <c r="Z289" s="7">
        <v>0</v>
      </c>
      <c r="AA289" s="7">
        <v>-5688.96</v>
      </c>
      <c r="AB289" s="7">
        <v>0</v>
      </c>
      <c r="AC289" s="7">
        <v>0</v>
      </c>
      <c r="AD289" s="7">
        <v>710.09</v>
      </c>
      <c r="AE289" s="7">
        <v>-159.52000000000001</v>
      </c>
      <c r="AF289" s="7">
        <v>0</v>
      </c>
      <c r="AG289" s="7">
        <v>0</v>
      </c>
      <c r="AH289" s="7">
        <v>0</v>
      </c>
      <c r="AI289" s="7">
        <v>22601.91</v>
      </c>
      <c r="AJ289" s="7">
        <v>0</v>
      </c>
    </row>
    <row r="290" spans="1:36" x14ac:dyDescent="0.2">
      <c r="A290" s="1" t="s">
        <v>33</v>
      </c>
      <c r="B290" s="1">
        <v>2168</v>
      </c>
      <c r="C290" s="1">
        <v>1</v>
      </c>
      <c r="D290" s="1" t="s">
        <v>402</v>
      </c>
      <c r="E290" s="1">
        <v>81</v>
      </c>
      <c r="F290" s="5" t="s">
        <v>57</v>
      </c>
      <c r="G290" s="6">
        <v>5213</v>
      </c>
      <c r="H290" s="2">
        <v>2000</v>
      </c>
      <c r="I290" s="6">
        <v>7435708</v>
      </c>
      <c r="J290" s="7">
        <v>28254.46</v>
      </c>
      <c r="K290" s="6">
        <v>0</v>
      </c>
      <c r="L290" s="7">
        <v>0</v>
      </c>
      <c r="M290" s="7">
        <v>28254.46</v>
      </c>
      <c r="N290" s="7">
        <v>28254.46</v>
      </c>
      <c r="O290" s="7">
        <v>28254.46</v>
      </c>
      <c r="P290" s="8">
        <v>1</v>
      </c>
      <c r="Q290" s="7">
        <v>0</v>
      </c>
      <c r="R290" s="7">
        <v>0</v>
      </c>
      <c r="S290" s="1">
        <v>0.99087303000000004</v>
      </c>
      <c r="T290" s="7">
        <v>0</v>
      </c>
      <c r="U290" s="7">
        <v>28254.46</v>
      </c>
      <c r="V290" s="7">
        <v>78118.61</v>
      </c>
      <c r="W290" s="7">
        <v>106373.07</v>
      </c>
      <c r="X290" s="7">
        <v>26593.27</v>
      </c>
      <c r="Y290" s="7">
        <v>-363.29</v>
      </c>
      <c r="Z290" s="7">
        <v>0</v>
      </c>
      <c r="AA290" s="7">
        <v>-13734.06</v>
      </c>
      <c r="AB290" s="7">
        <v>0</v>
      </c>
      <c r="AC290" s="7">
        <v>0</v>
      </c>
      <c r="AD290" s="7">
        <v>-7003.65</v>
      </c>
      <c r="AE290" s="7">
        <v>-7033.67</v>
      </c>
      <c r="AF290" s="7">
        <v>0</v>
      </c>
      <c r="AG290" s="7">
        <v>0</v>
      </c>
      <c r="AH290" s="7">
        <v>0</v>
      </c>
      <c r="AI290" s="7">
        <v>28254.46</v>
      </c>
      <c r="AJ290" s="7">
        <v>0</v>
      </c>
    </row>
    <row r="291" spans="1:36" x14ac:dyDescent="0.2">
      <c r="A291" s="1" t="s">
        <v>33</v>
      </c>
      <c r="B291" s="1">
        <v>2169</v>
      </c>
      <c r="C291" s="1">
        <v>1</v>
      </c>
      <c r="D291" s="1" t="s">
        <v>358</v>
      </c>
      <c r="E291" s="1">
        <v>51</v>
      </c>
      <c r="F291" s="5" t="s">
        <v>65</v>
      </c>
      <c r="G291" s="6">
        <v>5148</v>
      </c>
      <c r="H291" s="2">
        <v>2000</v>
      </c>
      <c r="I291" s="6">
        <v>6219967</v>
      </c>
      <c r="J291" s="7">
        <v>27902.16</v>
      </c>
      <c r="K291" s="6">
        <v>5148</v>
      </c>
      <c r="L291" s="7">
        <v>9523.7999999999993</v>
      </c>
      <c r="M291" s="7">
        <v>42573.96</v>
      </c>
      <c r="N291" s="7">
        <v>42573.96</v>
      </c>
      <c r="O291" s="7">
        <v>42573.96</v>
      </c>
      <c r="P291" s="8">
        <v>1</v>
      </c>
      <c r="Q291" s="7">
        <v>0</v>
      </c>
      <c r="R291" s="7">
        <v>0</v>
      </c>
      <c r="S291" s="1">
        <v>0.99087303000000004</v>
      </c>
      <c r="T291" s="7">
        <v>0</v>
      </c>
      <c r="U291" s="7">
        <v>42573.96</v>
      </c>
      <c r="V291" s="7">
        <v>22799.58</v>
      </c>
      <c r="W291" s="7">
        <v>65373.54</v>
      </c>
      <c r="X291" s="7">
        <v>16343.39</v>
      </c>
      <c r="Y291" s="7">
        <v>-134498.87</v>
      </c>
      <c r="Z291" s="7">
        <v>0</v>
      </c>
      <c r="AA291" s="7">
        <v>-155550.62</v>
      </c>
      <c r="AB291" s="7">
        <v>0</v>
      </c>
      <c r="AC291" s="7">
        <v>0</v>
      </c>
      <c r="AD291" s="7">
        <v>-190302.98</v>
      </c>
      <c r="AE291" s="7">
        <v>-160117.49</v>
      </c>
      <c r="AF291" s="7">
        <v>0</v>
      </c>
      <c r="AG291" s="7">
        <v>0</v>
      </c>
      <c r="AH291" s="7">
        <v>0</v>
      </c>
      <c r="AI291" s="7">
        <v>42573.96</v>
      </c>
      <c r="AJ291" s="7">
        <v>0</v>
      </c>
    </row>
    <row r="292" spans="1:36" x14ac:dyDescent="0.2">
      <c r="A292" s="1" t="s">
        <v>33</v>
      </c>
      <c r="B292" s="1">
        <v>2170</v>
      </c>
      <c r="C292" s="1">
        <v>1</v>
      </c>
      <c r="D292" s="1" t="s">
        <v>359</v>
      </c>
      <c r="E292" s="1">
        <v>77</v>
      </c>
      <c r="F292" s="5" t="s">
        <v>66</v>
      </c>
      <c r="G292" s="6">
        <v>9653</v>
      </c>
      <c r="H292" s="2">
        <v>2000</v>
      </c>
      <c r="I292" s="6">
        <v>11754133</v>
      </c>
      <c r="J292" s="7">
        <v>52319.26</v>
      </c>
      <c r="K292" s="6">
        <v>9653</v>
      </c>
      <c r="L292" s="7">
        <v>17858.05</v>
      </c>
      <c r="M292" s="7">
        <v>79830.31</v>
      </c>
      <c r="N292" s="7">
        <v>79830.31</v>
      </c>
      <c r="O292" s="7">
        <v>79830.31</v>
      </c>
      <c r="P292" s="8">
        <v>1</v>
      </c>
      <c r="Q292" s="7">
        <v>0</v>
      </c>
      <c r="R292" s="7">
        <v>0</v>
      </c>
      <c r="S292" s="1">
        <v>0.99087303000000004</v>
      </c>
      <c r="T292" s="7">
        <v>0</v>
      </c>
      <c r="U292" s="7">
        <v>79830.31</v>
      </c>
      <c r="V292" s="7">
        <v>118508.88</v>
      </c>
      <c r="W292" s="7">
        <v>198339.19</v>
      </c>
      <c r="X292" s="7">
        <v>49584.800000000003</v>
      </c>
      <c r="Y292" s="7">
        <v>38641.33</v>
      </c>
      <c r="Z292" s="7">
        <v>0</v>
      </c>
      <c r="AA292" s="7">
        <v>47195.29</v>
      </c>
      <c r="AB292" s="7">
        <v>0</v>
      </c>
      <c r="AC292" s="7">
        <v>0</v>
      </c>
      <c r="AD292" s="7">
        <v>45616.57</v>
      </c>
      <c r="AE292" s="7">
        <v>43817.73</v>
      </c>
      <c r="AF292" s="7">
        <v>0</v>
      </c>
      <c r="AG292" s="7">
        <v>0</v>
      </c>
      <c r="AH292" s="7">
        <v>0</v>
      </c>
      <c r="AI292" s="7">
        <v>79830.31</v>
      </c>
      <c r="AJ292" s="7">
        <v>0</v>
      </c>
    </row>
    <row r="293" spans="1:36" x14ac:dyDescent="0.2">
      <c r="A293" s="1" t="s">
        <v>33</v>
      </c>
      <c r="B293" s="1">
        <v>2171</v>
      </c>
      <c r="C293" s="1">
        <v>1</v>
      </c>
      <c r="D293" s="1" t="s">
        <v>360</v>
      </c>
      <c r="E293" s="1">
        <v>35</v>
      </c>
      <c r="F293" s="5" t="s">
        <v>59</v>
      </c>
      <c r="G293" s="6">
        <v>2536</v>
      </c>
      <c r="H293" s="2">
        <v>2000</v>
      </c>
      <c r="I293" s="6">
        <v>4545006</v>
      </c>
      <c r="J293" s="7">
        <v>13745.12</v>
      </c>
      <c r="K293" s="6">
        <v>0</v>
      </c>
      <c r="L293" s="7">
        <v>0</v>
      </c>
      <c r="M293" s="7">
        <v>13745.12</v>
      </c>
      <c r="N293" s="7">
        <v>13745.12</v>
      </c>
      <c r="O293" s="7">
        <v>13745.12</v>
      </c>
      <c r="P293" s="8">
        <v>1</v>
      </c>
      <c r="Q293" s="7">
        <v>0</v>
      </c>
      <c r="R293" s="7">
        <v>0</v>
      </c>
      <c r="S293" s="1">
        <v>0.99087303000000004</v>
      </c>
      <c r="T293" s="7">
        <v>0</v>
      </c>
      <c r="U293" s="7">
        <v>13745.12</v>
      </c>
      <c r="V293" s="7">
        <v>52033.57</v>
      </c>
      <c r="W293" s="7">
        <v>65778.69</v>
      </c>
      <c r="X293" s="7">
        <v>16444.669999999998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13745.12</v>
      </c>
      <c r="AJ293" s="7">
        <v>0</v>
      </c>
    </row>
    <row r="294" spans="1:36" x14ac:dyDescent="0.2">
      <c r="A294" s="1" t="s">
        <v>33</v>
      </c>
      <c r="B294" s="1">
        <v>2172</v>
      </c>
      <c r="C294" s="1">
        <v>1</v>
      </c>
      <c r="D294" s="1" t="s">
        <v>361</v>
      </c>
      <c r="E294" s="1">
        <v>25</v>
      </c>
      <c r="F294" s="5" t="s">
        <v>61</v>
      </c>
      <c r="G294" s="6">
        <v>5436</v>
      </c>
      <c r="H294" s="2">
        <v>2000</v>
      </c>
      <c r="I294" s="6">
        <v>8037408</v>
      </c>
      <c r="J294" s="7">
        <v>29463.119999999999</v>
      </c>
      <c r="K294" s="6">
        <v>5436</v>
      </c>
      <c r="L294" s="7">
        <v>10056.6</v>
      </c>
      <c r="M294" s="7">
        <v>44955.72</v>
      </c>
      <c r="N294" s="7">
        <v>44955.72</v>
      </c>
      <c r="O294" s="7">
        <v>44955.72</v>
      </c>
      <c r="P294" s="8">
        <v>1</v>
      </c>
      <c r="Q294" s="7">
        <v>0</v>
      </c>
      <c r="R294" s="7">
        <v>0</v>
      </c>
      <c r="S294" s="1">
        <v>0.99087303000000004</v>
      </c>
      <c r="T294" s="7">
        <v>0</v>
      </c>
      <c r="U294" s="7">
        <v>44955.72</v>
      </c>
      <c r="V294" s="7">
        <v>364998.88</v>
      </c>
      <c r="W294" s="7">
        <v>409954.6</v>
      </c>
      <c r="X294" s="7">
        <v>102488.65</v>
      </c>
      <c r="Y294" s="7">
        <v>39231.730000000003</v>
      </c>
      <c r="Z294" s="7">
        <v>0</v>
      </c>
      <c r="AA294" s="7">
        <v>31971</v>
      </c>
      <c r="AB294" s="7">
        <v>0</v>
      </c>
      <c r="AC294" s="7">
        <v>0</v>
      </c>
      <c r="AD294" s="7">
        <v>15588.75</v>
      </c>
      <c r="AE294" s="7">
        <v>28930.49</v>
      </c>
      <c r="AF294" s="7">
        <v>0</v>
      </c>
      <c r="AG294" s="7">
        <v>0</v>
      </c>
      <c r="AH294" s="7">
        <v>0</v>
      </c>
      <c r="AI294" s="7">
        <v>44955.72</v>
      </c>
      <c r="AJ294" s="7">
        <v>0</v>
      </c>
    </row>
    <row r="295" spans="1:36" x14ac:dyDescent="0.2">
      <c r="A295" s="1" t="s">
        <v>33</v>
      </c>
      <c r="B295" s="1">
        <v>2174</v>
      </c>
      <c r="C295" s="1">
        <v>1</v>
      </c>
      <c r="D295" s="1" t="s">
        <v>362</v>
      </c>
      <c r="E295" s="1">
        <v>11</v>
      </c>
      <c r="F295" s="5" t="s">
        <v>66</v>
      </c>
      <c r="G295" s="6">
        <v>7171</v>
      </c>
      <c r="H295" s="2">
        <v>2000</v>
      </c>
      <c r="I295" s="6">
        <v>19459320</v>
      </c>
      <c r="J295" s="7">
        <v>38866.82</v>
      </c>
      <c r="K295" s="6">
        <v>7171</v>
      </c>
      <c r="L295" s="7">
        <v>13266.35</v>
      </c>
      <c r="M295" s="7">
        <v>59304.17</v>
      </c>
      <c r="N295" s="7">
        <v>59304.17</v>
      </c>
      <c r="O295" s="7">
        <v>59304.17</v>
      </c>
      <c r="P295" s="8">
        <v>1</v>
      </c>
      <c r="Q295" s="7">
        <v>0</v>
      </c>
      <c r="R295" s="7">
        <v>0</v>
      </c>
      <c r="S295" s="1">
        <v>0.99087303000000004</v>
      </c>
      <c r="T295" s="7">
        <v>0</v>
      </c>
      <c r="U295" s="7">
        <v>59304.17</v>
      </c>
      <c r="V295" s="7">
        <v>70537.03</v>
      </c>
      <c r="W295" s="7">
        <v>129841.2</v>
      </c>
      <c r="X295" s="7">
        <v>32460.3</v>
      </c>
      <c r="Y295" s="7">
        <v>27908.52</v>
      </c>
      <c r="Z295" s="7">
        <v>764.56</v>
      </c>
      <c r="AA295" s="7">
        <v>31909.63</v>
      </c>
      <c r="AB295" s="7">
        <v>1235.3699999999999</v>
      </c>
      <c r="AC295" s="7">
        <v>0</v>
      </c>
      <c r="AD295" s="7">
        <v>31914.59</v>
      </c>
      <c r="AE295" s="7">
        <v>29910.94</v>
      </c>
      <c r="AF295" s="7">
        <v>0</v>
      </c>
      <c r="AG295" s="7">
        <v>0</v>
      </c>
      <c r="AH295" s="7">
        <v>0</v>
      </c>
      <c r="AI295" s="7">
        <v>59304.17</v>
      </c>
      <c r="AJ295" s="7">
        <v>0</v>
      </c>
    </row>
    <row r="296" spans="1:36" x14ac:dyDescent="0.2">
      <c r="A296" s="1" t="s">
        <v>33</v>
      </c>
      <c r="B296" s="1">
        <v>2176</v>
      </c>
      <c r="C296" s="1">
        <v>1</v>
      </c>
      <c r="D296" s="1" t="s">
        <v>363</v>
      </c>
      <c r="E296" s="1">
        <v>45</v>
      </c>
      <c r="F296" s="5" t="s">
        <v>59</v>
      </c>
      <c r="G296" s="6">
        <v>3995</v>
      </c>
      <c r="H296" s="2">
        <v>2000</v>
      </c>
      <c r="I296" s="6">
        <v>4080869</v>
      </c>
      <c r="J296" s="7">
        <v>21652.9</v>
      </c>
      <c r="K296" s="6">
        <v>3995</v>
      </c>
      <c r="L296" s="7">
        <v>7390.75</v>
      </c>
      <c r="M296" s="7">
        <v>33038.65</v>
      </c>
      <c r="N296" s="7">
        <v>33038.65</v>
      </c>
      <c r="O296" s="7">
        <v>33038.65</v>
      </c>
      <c r="P296" s="8">
        <v>1</v>
      </c>
      <c r="Q296" s="7">
        <v>0</v>
      </c>
      <c r="R296" s="7">
        <v>0</v>
      </c>
      <c r="S296" s="1">
        <v>0.99087303000000004</v>
      </c>
      <c r="T296" s="7">
        <v>0</v>
      </c>
      <c r="U296" s="7">
        <v>29043.65</v>
      </c>
      <c r="V296" s="7">
        <v>11667.91</v>
      </c>
      <c r="W296" s="7">
        <v>40711.56</v>
      </c>
      <c r="X296" s="7">
        <v>10177.89</v>
      </c>
      <c r="Y296" s="7">
        <v>3160.71</v>
      </c>
      <c r="Z296" s="7">
        <v>0</v>
      </c>
      <c r="AA296" s="7">
        <v>2834.63</v>
      </c>
      <c r="AB296" s="7">
        <v>0</v>
      </c>
      <c r="AC296" s="7">
        <v>0</v>
      </c>
      <c r="AD296" s="7">
        <v>856.66</v>
      </c>
      <c r="AE296" s="7">
        <v>2284</v>
      </c>
      <c r="AF296" s="7">
        <v>0</v>
      </c>
      <c r="AG296" s="7">
        <v>0</v>
      </c>
      <c r="AH296" s="7">
        <v>0</v>
      </c>
      <c r="AI296" s="7">
        <v>33038.65</v>
      </c>
      <c r="AJ296" s="7">
        <v>0</v>
      </c>
    </row>
    <row r="297" spans="1:36" x14ac:dyDescent="0.2">
      <c r="A297" s="1" t="s">
        <v>33</v>
      </c>
      <c r="B297" s="1">
        <v>2180</v>
      </c>
      <c r="C297" s="1">
        <v>1</v>
      </c>
      <c r="D297" s="1" t="s">
        <v>364</v>
      </c>
      <c r="E297" s="1">
        <v>12</v>
      </c>
      <c r="F297" s="5" t="s">
        <v>64</v>
      </c>
      <c r="G297" s="6">
        <v>5039</v>
      </c>
      <c r="H297" s="2">
        <v>2000</v>
      </c>
      <c r="I297" s="6">
        <v>7187388</v>
      </c>
      <c r="J297" s="7">
        <v>27311.38</v>
      </c>
      <c r="K297" s="6">
        <v>0</v>
      </c>
      <c r="L297" s="7">
        <v>9322.15</v>
      </c>
      <c r="M297" s="7">
        <v>36633.53</v>
      </c>
      <c r="N297" s="7">
        <v>36633.53</v>
      </c>
      <c r="O297" s="7">
        <v>36633.53</v>
      </c>
      <c r="P297" s="8">
        <v>1</v>
      </c>
      <c r="Q297" s="7">
        <v>0</v>
      </c>
      <c r="R297" s="7">
        <v>0</v>
      </c>
      <c r="S297" s="1">
        <v>0.99087303000000004</v>
      </c>
      <c r="T297" s="7">
        <v>0</v>
      </c>
      <c r="U297" s="7">
        <v>36633.53</v>
      </c>
      <c r="V297" s="7">
        <v>36437.07</v>
      </c>
      <c r="W297" s="7">
        <v>73070.600000000006</v>
      </c>
      <c r="X297" s="7">
        <v>18267.650000000001</v>
      </c>
      <c r="Y297" s="7">
        <v>-262352.68</v>
      </c>
      <c r="Z297" s="7">
        <v>0</v>
      </c>
      <c r="AA297" s="7">
        <v>-272820.98</v>
      </c>
      <c r="AB297" s="7">
        <v>0</v>
      </c>
      <c r="AC297" s="7">
        <v>0</v>
      </c>
      <c r="AD297" s="7">
        <v>-280664.31</v>
      </c>
      <c r="AE297" s="7">
        <v>-271945.99</v>
      </c>
      <c r="AF297" s="7">
        <v>0</v>
      </c>
      <c r="AG297" s="7">
        <v>0</v>
      </c>
      <c r="AH297" s="7">
        <v>0</v>
      </c>
      <c r="AI297" s="7">
        <v>36633.53</v>
      </c>
      <c r="AJ297" s="7">
        <v>0</v>
      </c>
    </row>
    <row r="298" spans="1:36" x14ac:dyDescent="0.2">
      <c r="A298" s="1" t="s">
        <v>33</v>
      </c>
      <c r="B298" s="1">
        <v>2184</v>
      </c>
      <c r="C298" s="1">
        <v>1</v>
      </c>
      <c r="D298" s="1" t="s">
        <v>365</v>
      </c>
      <c r="E298" s="1">
        <v>67</v>
      </c>
      <c r="F298" s="5" t="s">
        <v>65</v>
      </c>
      <c r="G298" s="6">
        <v>7131</v>
      </c>
      <c r="H298" s="2">
        <v>2000</v>
      </c>
      <c r="I298" s="6">
        <v>7655977</v>
      </c>
      <c r="J298" s="7">
        <v>38650.019999999997</v>
      </c>
      <c r="K298" s="6">
        <v>7131</v>
      </c>
      <c r="L298" s="7">
        <v>0</v>
      </c>
      <c r="M298" s="7">
        <v>45781.02</v>
      </c>
      <c r="N298" s="7">
        <v>45781.02</v>
      </c>
      <c r="O298" s="7">
        <v>45781.02</v>
      </c>
      <c r="P298" s="8">
        <v>1</v>
      </c>
      <c r="Q298" s="7">
        <v>0</v>
      </c>
      <c r="R298" s="7">
        <v>0</v>
      </c>
      <c r="S298" s="1">
        <v>0.99087303000000004</v>
      </c>
      <c r="T298" s="7">
        <v>0</v>
      </c>
      <c r="U298" s="7">
        <v>45781.02</v>
      </c>
      <c r="V298" s="7">
        <v>288255.48</v>
      </c>
      <c r="W298" s="7">
        <v>334036.5</v>
      </c>
      <c r="X298" s="7">
        <v>83509.13</v>
      </c>
      <c r="Y298" s="7">
        <v>29983.84</v>
      </c>
      <c r="Z298" s="7">
        <v>0</v>
      </c>
      <c r="AA298" s="7">
        <v>30358.639999999999</v>
      </c>
      <c r="AB298" s="7">
        <v>0</v>
      </c>
      <c r="AC298" s="7">
        <v>0</v>
      </c>
      <c r="AD298" s="7">
        <v>46106.85</v>
      </c>
      <c r="AE298" s="7">
        <v>35483.11</v>
      </c>
      <c r="AF298" s="7">
        <v>0</v>
      </c>
      <c r="AG298" s="7">
        <v>0</v>
      </c>
      <c r="AH298" s="7">
        <v>0</v>
      </c>
      <c r="AI298" s="7">
        <v>45781.02</v>
      </c>
      <c r="AJ298" s="7">
        <v>0</v>
      </c>
    </row>
    <row r="299" spans="1:36" x14ac:dyDescent="0.2">
      <c r="A299" s="1" t="s">
        <v>33</v>
      </c>
      <c r="B299" s="1">
        <v>2190</v>
      </c>
      <c r="C299" s="1">
        <v>1</v>
      </c>
      <c r="D299" s="1" t="s">
        <v>82</v>
      </c>
      <c r="E299" s="1">
        <v>87</v>
      </c>
      <c r="F299" s="5" t="s">
        <v>64</v>
      </c>
      <c r="G299" s="6">
        <v>7411</v>
      </c>
      <c r="H299" s="2">
        <v>2000</v>
      </c>
      <c r="I299" s="6">
        <v>7967798</v>
      </c>
      <c r="J299" s="7">
        <v>40167.620000000003</v>
      </c>
      <c r="K299" s="6">
        <v>7411</v>
      </c>
      <c r="L299" s="7">
        <v>13710.35</v>
      </c>
      <c r="M299" s="7">
        <v>61288.97</v>
      </c>
      <c r="N299" s="7">
        <v>61288.97</v>
      </c>
      <c r="O299" s="7">
        <v>61288.97</v>
      </c>
      <c r="P299" s="8">
        <v>1</v>
      </c>
      <c r="Q299" s="7">
        <v>0</v>
      </c>
      <c r="R299" s="7">
        <v>0</v>
      </c>
      <c r="S299" s="1">
        <v>0.99087303000000004</v>
      </c>
      <c r="T299" s="7">
        <v>0</v>
      </c>
      <c r="U299" s="7">
        <v>61288.97</v>
      </c>
      <c r="V299" s="7">
        <v>137651.91</v>
      </c>
      <c r="W299" s="7">
        <v>198940.88</v>
      </c>
      <c r="X299" s="7">
        <v>49735.22</v>
      </c>
      <c r="Y299" s="7">
        <v>-25793.200000000001</v>
      </c>
      <c r="Z299" s="7">
        <v>0</v>
      </c>
      <c r="AA299" s="7">
        <v>-12357.39</v>
      </c>
      <c r="AB299" s="7">
        <v>0</v>
      </c>
      <c r="AC299" s="7">
        <v>0</v>
      </c>
      <c r="AD299" s="7">
        <v>-40567.550000000003</v>
      </c>
      <c r="AE299" s="7">
        <v>-26239.38</v>
      </c>
      <c r="AF299" s="7">
        <v>0</v>
      </c>
      <c r="AG299" s="7">
        <v>0</v>
      </c>
      <c r="AH299" s="7">
        <v>0</v>
      </c>
      <c r="AI299" s="7">
        <v>61288.97</v>
      </c>
      <c r="AJ299" s="7">
        <v>0</v>
      </c>
    </row>
    <row r="300" spans="1:36" x14ac:dyDescent="0.2">
      <c r="A300" s="1" t="s">
        <v>33</v>
      </c>
      <c r="B300" s="1">
        <v>2198</v>
      </c>
      <c r="C300" s="1">
        <v>1</v>
      </c>
      <c r="D300" s="1" t="s">
        <v>83</v>
      </c>
      <c r="E300" s="1">
        <v>23</v>
      </c>
      <c r="F300" s="5" t="s">
        <v>61</v>
      </c>
      <c r="G300" s="6">
        <v>5145</v>
      </c>
      <c r="H300" s="2">
        <v>2000</v>
      </c>
      <c r="I300" s="6">
        <v>5297501</v>
      </c>
      <c r="J300" s="7">
        <v>27885.9</v>
      </c>
      <c r="K300" s="6">
        <v>5145</v>
      </c>
      <c r="L300" s="7">
        <v>9518.25</v>
      </c>
      <c r="M300" s="7">
        <v>42549.15</v>
      </c>
      <c r="N300" s="7">
        <v>42549.15</v>
      </c>
      <c r="O300" s="7">
        <v>42549.15</v>
      </c>
      <c r="P300" s="8">
        <v>1</v>
      </c>
      <c r="Q300" s="7">
        <v>0</v>
      </c>
      <c r="R300" s="7">
        <v>0</v>
      </c>
      <c r="S300" s="1">
        <v>0.99087303000000004</v>
      </c>
      <c r="T300" s="7">
        <v>0</v>
      </c>
      <c r="U300" s="7">
        <v>42549.15</v>
      </c>
      <c r="V300" s="7">
        <v>318218.46000000002</v>
      </c>
      <c r="W300" s="7">
        <v>360767.61</v>
      </c>
      <c r="X300" s="7">
        <v>90191.9</v>
      </c>
      <c r="Y300" s="7">
        <v>-23782.28</v>
      </c>
      <c r="Z300" s="7">
        <v>0</v>
      </c>
      <c r="AA300" s="7">
        <v>-56550.86</v>
      </c>
      <c r="AB300" s="7">
        <v>0</v>
      </c>
      <c r="AC300" s="7">
        <v>0</v>
      </c>
      <c r="AD300" s="7">
        <v>-70797.97</v>
      </c>
      <c r="AE300" s="7">
        <v>-50377.04</v>
      </c>
      <c r="AF300" s="7">
        <v>0</v>
      </c>
      <c r="AG300" s="7">
        <v>0</v>
      </c>
      <c r="AH300" s="7">
        <v>0</v>
      </c>
      <c r="AI300" s="7">
        <v>42549.15</v>
      </c>
      <c r="AJ300" s="7">
        <v>0</v>
      </c>
    </row>
    <row r="301" spans="1:36" x14ac:dyDescent="0.2">
      <c r="A301" s="1" t="s">
        <v>33</v>
      </c>
      <c r="B301" s="1">
        <v>2215</v>
      </c>
      <c r="C301" s="1">
        <v>1</v>
      </c>
      <c r="D301" s="1" t="s">
        <v>366</v>
      </c>
      <c r="E301" s="1">
        <v>54</v>
      </c>
      <c r="F301" s="5" t="s">
        <v>59</v>
      </c>
      <c r="G301" s="6">
        <v>2521</v>
      </c>
      <c r="H301" s="2">
        <v>2000</v>
      </c>
      <c r="I301" s="6">
        <v>1835357</v>
      </c>
      <c r="J301" s="7">
        <v>13663.82</v>
      </c>
      <c r="K301" s="6">
        <v>0</v>
      </c>
      <c r="L301" s="7">
        <v>0</v>
      </c>
      <c r="M301" s="7">
        <v>13663.82</v>
      </c>
      <c r="N301" s="7">
        <v>13663.82</v>
      </c>
      <c r="O301" s="7">
        <v>13663.82</v>
      </c>
      <c r="P301" s="8">
        <v>1</v>
      </c>
      <c r="Q301" s="7">
        <v>0</v>
      </c>
      <c r="R301" s="7">
        <v>0</v>
      </c>
      <c r="S301" s="1">
        <v>0.99087303000000004</v>
      </c>
      <c r="T301" s="7">
        <v>0</v>
      </c>
      <c r="U301" s="7">
        <v>13663.82</v>
      </c>
      <c r="V301" s="7">
        <v>15246.53</v>
      </c>
      <c r="W301" s="7">
        <v>28910.35</v>
      </c>
      <c r="X301" s="7">
        <v>7227.59</v>
      </c>
      <c r="Y301" s="7">
        <v>-105486.81</v>
      </c>
      <c r="Z301" s="7">
        <v>0</v>
      </c>
      <c r="AA301" s="7">
        <v>-102944.51</v>
      </c>
      <c r="AB301" s="7">
        <v>0</v>
      </c>
      <c r="AC301" s="7">
        <v>0</v>
      </c>
      <c r="AD301" s="7">
        <v>-103003.56</v>
      </c>
      <c r="AE301" s="7">
        <v>-103811.63</v>
      </c>
      <c r="AF301" s="7">
        <v>0</v>
      </c>
      <c r="AG301" s="7">
        <v>0</v>
      </c>
      <c r="AH301" s="7">
        <v>0</v>
      </c>
      <c r="AI301" s="7">
        <v>13663.82</v>
      </c>
      <c r="AJ301" s="7">
        <v>0</v>
      </c>
    </row>
    <row r="302" spans="1:36" x14ac:dyDescent="0.2">
      <c r="A302" s="1" t="s">
        <v>33</v>
      </c>
      <c r="B302" s="1">
        <v>2310</v>
      </c>
      <c r="C302" s="1">
        <v>1</v>
      </c>
      <c r="D302" s="1" t="s">
        <v>367</v>
      </c>
      <c r="E302" s="1">
        <v>72</v>
      </c>
      <c r="F302" s="5" t="s">
        <v>57</v>
      </c>
      <c r="G302" s="6">
        <v>7499</v>
      </c>
      <c r="H302" s="2">
        <v>2000</v>
      </c>
      <c r="I302" s="6">
        <v>8240363</v>
      </c>
      <c r="J302" s="7">
        <v>40644.58</v>
      </c>
      <c r="K302" s="6">
        <v>7499</v>
      </c>
      <c r="L302" s="7">
        <v>13873.15</v>
      </c>
      <c r="M302" s="7">
        <v>62016.73</v>
      </c>
      <c r="N302" s="7">
        <v>62016.73</v>
      </c>
      <c r="O302" s="7">
        <v>62016.73</v>
      </c>
      <c r="P302" s="8">
        <v>1</v>
      </c>
      <c r="Q302" s="7">
        <v>0</v>
      </c>
      <c r="R302" s="7">
        <v>0</v>
      </c>
      <c r="S302" s="1">
        <v>0.99087303000000004</v>
      </c>
      <c r="T302" s="7">
        <v>0</v>
      </c>
      <c r="U302" s="7">
        <v>62016.73</v>
      </c>
      <c r="V302" s="7">
        <v>66583.490000000005</v>
      </c>
      <c r="W302" s="7">
        <v>128600.22</v>
      </c>
      <c r="X302" s="7">
        <v>32150.06</v>
      </c>
      <c r="Y302" s="7">
        <v>19302.79</v>
      </c>
      <c r="Z302" s="7">
        <v>0</v>
      </c>
      <c r="AA302" s="7">
        <v>10032.51</v>
      </c>
      <c r="AB302" s="7">
        <v>0</v>
      </c>
      <c r="AC302" s="7">
        <v>0</v>
      </c>
      <c r="AD302" s="7">
        <v>17910.34</v>
      </c>
      <c r="AE302" s="7">
        <v>15748.55</v>
      </c>
      <c r="AF302" s="7">
        <v>0</v>
      </c>
      <c r="AG302" s="7">
        <v>0</v>
      </c>
      <c r="AH302" s="7">
        <v>0</v>
      </c>
      <c r="AI302" s="7">
        <v>62016.73</v>
      </c>
      <c r="AJ302" s="7">
        <v>0</v>
      </c>
    </row>
    <row r="303" spans="1:36" x14ac:dyDescent="0.2">
      <c r="A303" s="1" t="s">
        <v>33</v>
      </c>
      <c r="B303" s="1">
        <v>2311</v>
      </c>
      <c r="C303" s="1">
        <v>1</v>
      </c>
      <c r="D303" s="1" t="s">
        <v>368</v>
      </c>
      <c r="E303" s="1">
        <v>15</v>
      </c>
      <c r="F303" s="5" t="s">
        <v>62</v>
      </c>
      <c r="G303" s="6">
        <v>2834</v>
      </c>
      <c r="H303" s="2">
        <v>2000</v>
      </c>
      <c r="I303" s="6">
        <v>4305446</v>
      </c>
      <c r="J303" s="7">
        <v>15360.28</v>
      </c>
      <c r="K303" s="6">
        <v>0</v>
      </c>
      <c r="L303" s="7">
        <v>5242.9</v>
      </c>
      <c r="M303" s="7">
        <v>20603.18</v>
      </c>
      <c r="N303" s="7">
        <v>20603.18</v>
      </c>
      <c r="O303" s="7">
        <v>20603.18</v>
      </c>
      <c r="P303" s="8">
        <v>1</v>
      </c>
      <c r="Q303" s="7">
        <v>0</v>
      </c>
      <c r="R303" s="7">
        <v>0</v>
      </c>
      <c r="S303" s="1">
        <v>0.99087303000000004</v>
      </c>
      <c r="T303" s="7">
        <v>0</v>
      </c>
      <c r="U303" s="7">
        <v>23437.18</v>
      </c>
      <c r="V303" s="7">
        <v>154144.53</v>
      </c>
      <c r="W303" s="7">
        <v>177581.71</v>
      </c>
      <c r="X303" s="7">
        <v>44395.43</v>
      </c>
      <c r="Y303" s="7">
        <v>1773.7</v>
      </c>
      <c r="Z303" s="7">
        <v>0</v>
      </c>
      <c r="AA303" s="7">
        <v>7913.54</v>
      </c>
      <c r="AB303" s="7">
        <v>0</v>
      </c>
      <c r="AC303" s="7">
        <v>0</v>
      </c>
      <c r="AD303" s="7">
        <v>-4666.5</v>
      </c>
      <c r="AE303" s="7">
        <v>1673.58</v>
      </c>
      <c r="AF303" s="7">
        <v>0</v>
      </c>
      <c r="AG303" s="7">
        <v>0</v>
      </c>
      <c r="AH303" s="7">
        <v>0</v>
      </c>
      <c r="AI303" s="7">
        <v>20603.18</v>
      </c>
      <c r="AJ303" s="7">
        <v>0</v>
      </c>
    </row>
    <row r="304" spans="1:36" x14ac:dyDescent="0.2">
      <c r="A304" s="1" t="s">
        <v>33</v>
      </c>
      <c r="B304" s="1">
        <v>2342</v>
      </c>
      <c r="C304" s="1">
        <v>1</v>
      </c>
      <c r="D304" s="1" t="s">
        <v>81</v>
      </c>
      <c r="E304" s="1">
        <v>26</v>
      </c>
      <c r="F304" s="5" t="s">
        <v>60</v>
      </c>
      <c r="G304" s="6">
        <v>5349</v>
      </c>
      <c r="H304" s="2">
        <v>2000</v>
      </c>
      <c r="I304" s="6">
        <v>6990186</v>
      </c>
      <c r="J304" s="7">
        <v>28991.58</v>
      </c>
      <c r="K304" s="6">
        <v>5349</v>
      </c>
      <c r="L304" s="7">
        <v>9895.65</v>
      </c>
      <c r="M304" s="7">
        <v>44236.23</v>
      </c>
      <c r="N304" s="7">
        <v>44236.23</v>
      </c>
      <c r="O304" s="7">
        <v>44236.23</v>
      </c>
      <c r="P304" s="8">
        <v>1</v>
      </c>
      <c r="Q304" s="7">
        <v>0</v>
      </c>
      <c r="R304" s="7">
        <v>0</v>
      </c>
      <c r="S304" s="1">
        <v>0.99087303000000004</v>
      </c>
      <c r="T304" s="7">
        <v>0</v>
      </c>
      <c r="U304" s="7">
        <v>44236.23</v>
      </c>
      <c r="V304" s="7">
        <v>113102.65</v>
      </c>
      <c r="W304" s="7">
        <v>157338.88</v>
      </c>
      <c r="X304" s="7">
        <v>39334.720000000001</v>
      </c>
      <c r="Y304" s="7">
        <v>8063.95</v>
      </c>
      <c r="Z304" s="7">
        <v>0</v>
      </c>
      <c r="AA304" s="7">
        <v>7482.38</v>
      </c>
      <c r="AB304" s="7">
        <v>0</v>
      </c>
      <c r="AC304" s="7">
        <v>0</v>
      </c>
      <c r="AD304" s="7">
        <v>1333.71</v>
      </c>
      <c r="AE304" s="7">
        <v>5626.68</v>
      </c>
      <c r="AF304" s="7">
        <v>0</v>
      </c>
      <c r="AG304" s="7">
        <v>0</v>
      </c>
      <c r="AH304" s="7">
        <v>0</v>
      </c>
      <c r="AI304" s="7">
        <v>44236.23</v>
      </c>
      <c r="AJ304" s="7">
        <v>0</v>
      </c>
    </row>
    <row r="305" spans="1:36" x14ac:dyDescent="0.2">
      <c r="A305" s="1" t="s">
        <v>33</v>
      </c>
      <c r="B305" s="1">
        <v>2358</v>
      </c>
      <c r="C305" s="1">
        <v>1</v>
      </c>
      <c r="D305" s="1" t="s">
        <v>369</v>
      </c>
      <c r="E305" s="1">
        <v>35</v>
      </c>
      <c r="F305" s="5" t="s">
        <v>59</v>
      </c>
      <c r="G305" s="6">
        <v>2348</v>
      </c>
      <c r="H305" s="2">
        <v>2000</v>
      </c>
      <c r="I305" s="6">
        <v>1782286</v>
      </c>
      <c r="J305" s="7">
        <v>12726.16</v>
      </c>
      <c r="K305" s="6">
        <v>0</v>
      </c>
      <c r="L305" s="7">
        <v>0</v>
      </c>
      <c r="M305" s="7">
        <v>12726.16</v>
      </c>
      <c r="N305" s="7">
        <v>12726.16</v>
      </c>
      <c r="O305" s="7">
        <v>12726.16</v>
      </c>
      <c r="P305" s="8">
        <v>1</v>
      </c>
      <c r="Q305" s="7">
        <v>0</v>
      </c>
      <c r="R305" s="7">
        <v>0</v>
      </c>
      <c r="S305" s="1">
        <v>0.99087303000000004</v>
      </c>
      <c r="T305" s="7">
        <v>0</v>
      </c>
      <c r="U305" s="7">
        <v>17069.96</v>
      </c>
      <c r="V305" s="7">
        <v>19123.7</v>
      </c>
      <c r="W305" s="7">
        <v>36193.660000000003</v>
      </c>
      <c r="X305" s="7">
        <v>9048.42</v>
      </c>
      <c r="Y305" s="7">
        <v>3616.66</v>
      </c>
      <c r="Z305" s="7">
        <v>0</v>
      </c>
      <c r="AA305" s="7">
        <v>2033.68</v>
      </c>
      <c r="AB305" s="7">
        <v>0</v>
      </c>
      <c r="AC305" s="7">
        <v>0</v>
      </c>
      <c r="AD305" s="7">
        <v>3921.33</v>
      </c>
      <c r="AE305" s="7">
        <v>3190.56</v>
      </c>
      <c r="AF305" s="7">
        <v>0</v>
      </c>
      <c r="AG305" s="7">
        <v>0</v>
      </c>
      <c r="AH305" s="7">
        <v>0</v>
      </c>
      <c r="AI305" s="7">
        <v>12726.16</v>
      </c>
      <c r="AJ305" s="7">
        <v>0</v>
      </c>
    </row>
    <row r="306" spans="1:36" x14ac:dyDescent="0.2">
      <c r="A306" s="1" t="s">
        <v>33</v>
      </c>
      <c r="B306" s="1">
        <v>2364</v>
      </c>
      <c r="C306" s="1">
        <v>1</v>
      </c>
      <c r="D306" s="1" t="s">
        <v>370</v>
      </c>
      <c r="E306" s="1">
        <v>73</v>
      </c>
      <c r="F306" s="5" t="s">
        <v>63</v>
      </c>
      <c r="G306" s="6">
        <v>4354</v>
      </c>
      <c r="H306" s="2">
        <v>2000</v>
      </c>
      <c r="I306" s="6">
        <v>5502019</v>
      </c>
      <c r="J306" s="7">
        <v>23598.68</v>
      </c>
      <c r="K306" s="6">
        <v>4354</v>
      </c>
      <c r="L306" s="7">
        <v>8054.9</v>
      </c>
      <c r="M306" s="7">
        <v>36007.58</v>
      </c>
      <c r="N306" s="7">
        <v>36007.58</v>
      </c>
      <c r="O306" s="7">
        <v>36007.58</v>
      </c>
      <c r="P306" s="8">
        <v>1</v>
      </c>
      <c r="Q306" s="7">
        <v>0</v>
      </c>
      <c r="R306" s="7">
        <v>0</v>
      </c>
      <c r="S306" s="1">
        <v>0.99087303000000004</v>
      </c>
      <c r="T306" s="7">
        <v>0</v>
      </c>
      <c r="U306" s="7">
        <v>36007.58</v>
      </c>
      <c r="V306" s="7">
        <v>407745.37</v>
      </c>
      <c r="W306" s="7">
        <v>443752.95</v>
      </c>
      <c r="X306" s="7">
        <v>110938.24000000001</v>
      </c>
      <c r="Y306" s="7">
        <v>-32314.68</v>
      </c>
      <c r="Z306" s="7">
        <v>0</v>
      </c>
      <c r="AA306" s="7">
        <v>-23912.67</v>
      </c>
      <c r="AB306" s="7">
        <v>0</v>
      </c>
      <c r="AC306" s="7">
        <v>0</v>
      </c>
      <c r="AD306" s="7">
        <v>-24848.48</v>
      </c>
      <c r="AE306" s="7">
        <v>-27025.279999999999</v>
      </c>
      <c r="AF306" s="7">
        <v>0</v>
      </c>
      <c r="AG306" s="7">
        <v>0</v>
      </c>
      <c r="AH306" s="7">
        <v>0</v>
      </c>
      <c r="AI306" s="7">
        <v>36007.58</v>
      </c>
      <c r="AJ306" s="7">
        <v>0</v>
      </c>
    </row>
    <row r="307" spans="1:36" x14ac:dyDescent="0.2">
      <c r="A307" s="1" t="s">
        <v>33</v>
      </c>
      <c r="B307" s="1">
        <v>2365</v>
      </c>
      <c r="C307" s="1">
        <v>1</v>
      </c>
      <c r="D307" s="1" t="s">
        <v>77</v>
      </c>
      <c r="E307" s="1">
        <v>72</v>
      </c>
      <c r="F307" s="5" t="s">
        <v>57</v>
      </c>
      <c r="G307" s="6">
        <v>6726</v>
      </c>
      <c r="H307" s="2">
        <v>2000</v>
      </c>
      <c r="I307" s="6">
        <v>9088190</v>
      </c>
      <c r="J307" s="7">
        <v>36454.92</v>
      </c>
      <c r="K307" s="6">
        <v>6726</v>
      </c>
      <c r="L307" s="7">
        <v>12443.1</v>
      </c>
      <c r="M307" s="7">
        <v>55624.02</v>
      </c>
      <c r="N307" s="7">
        <v>55624.02</v>
      </c>
      <c r="O307" s="7">
        <v>58332.56</v>
      </c>
      <c r="P307" s="8">
        <v>1</v>
      </c>
      <c r="Q307" s="7">
        <v>0</v>
      </c>
      <c r="R307" s="7">
        <v>0</v>
      </c>
      <c r="S307" s="1">
        <v>0.99087303000000004</v>
      </c>
      <c r="T307" s="7">
        <v>0</v>
      </c>
      <c r="U307" s="7">
        <v>55624.02</v>
      </c>
      <c r="V307" s="7">
        <v>72010.64</v>
      </c>
      <c r="W307" s="7">
        <v>127634.66</v>
      </c>
      <c r="X307" s="7">
        <v>31908.67</v>
      </c>
      <c r="Y307" s="7">
        <v>10110.6</v>
      </c>
      <c r="Z307" s="7">
        <v>0</v>
      </c>
      <c r="AA307" s="7">
        <v>6410.59</v>
      </c>
      <c r="AB307" s="7">
        <v>0</v>
      </c>
      <c r="AC307" s="7">
        <v>0</v>
      </c>
      <c r="AD307" s="7">
        <v>25721.279999999999</v>
      </c>
      <c r="AE307" s="7">
        <v>14080.82</v>
      </c>
      <c r="AF307" s="7">
        <v>0</v>
      </c>
      <c r="AG307" s="7">
        <v>0</v>
      </c>
      <c r="AH307" s="7">
        <v>0</v>
      </c>
      <c r="AI307" s="7">
        <v>58332.56</v>
      </c>
      <c r="AJ307" s="7">
        <v>0</v>
      </c>
    </row>
    <row r="308" spans="1:36" x14ac:dyDescent="0.2">
      <c r="A308" s="1" t="s">
        <v>33</v>
      </c>
      <c r="B308" s="1">
        <v>2396</v>
      </c>
      <c r="C308" s="1">
        <v>1</v>
      </c>
      <c r="D308" s="1" t="s">
        <v>80</v>
      </c>
      <c r="E308" s="1">
        <v>47</v>
      </c>
      <c r="F308" s="5" t="s">
        <v>68</v>
      </c>
      <c r="G308" s="6">
        <v>6103</v>
      </c>
      <c r="H308" s="2">
        <v>2000</v>
      </c>
      <c r="I308" s="6">
        <v>9698436</v>
      </c>
      <c r="J308" s="7">
        <v>33078.26</v>
      </c>
      <c r="K308" s="6">
        <v>6103</v>
      </c>
      <c r="L308" s="7">
        <v>11290.55</v>
      </c>
      <c r="M308" s="7">
        <v>50471.81</v>
      </c>
      <c r="N308" s="7">
        <v>50471.81</v>
      </c>
      <c r="O308" s="7">
        <v>50471.81</v>
      </c>
      <c r="P308" s="8">
        <v>1</v>
      </c>
      <c r="Q308" s="7">
        <v>0</v>
      </c>
      <c r="R308" s="7">
        <v>0</v>
      </c>
      <c r="S308" s="1">
        <v>0.99087303000000004</v>
      </c>
      <c r="T308" s="7">
        <v>0</v>
      </c>
      <c r="U308" s="7">
        <v>50471.81</v>
      </c>
      <c r="V308" s="7">
        <v>142650.32999999999</v>
      </c>
      <c r="W308" s="7">
        <v>193122.14</v>
      </c>
      <c r="X308" s="7">
        <v>48280.54</v>
      </c>
      <c r="Y308" s="7">
        <v>42088.39</v>
      </c>
      <c r="Z308" s="7">
        <v>0</v>
      </c>
      <c r="AA308" s="7">
        <v>49591.08</v>
      </c>
      <c r="AB308" s="7">
        <v>0</v>
      </c>
      <c r="AC308" s="7">
        <v>0</v>
      </c>
      <c r="AD308" s="7">
        <v>28400.03</v>
      </c>
      <c r="AE308" s="7">
        <v>40026.5</v>
      </c>
      <c r="AF308" s="7">
        <v>0</v>
      </c>
      <c r="AG308" s="7">
        <v>0</v>
      </c>
      <c r="AH308" s="7">
        <v>0</v>
      </c>
      <c r="AI308" s="7">
        <v>50471.81</v>
      </c>
      <c r="AJ308" s="7">
        <v>0</v>
      </c>
    </row>
    <row r="309" spans="1:36" x14ac:dyDescent="0.2">
      <c r="A309" s="1" t="s">
        <v>33</v>
      </c>
      <c r="B309" s="1">
        <v>2397</v>
      </c>
      <c r="C309" s="1">
        <v>1</v>
      </c>
      <c r="D309" s="1" t="s">
        <v>371</v>
      </c>
      <c r="E309" s="1">
        <v>40</v>
      </c>
      <c r="F309" s="5" t="s">
        <v>57</v>
      </c>
      <c r="G309" s="6">
        <v>7915</v>
      </c>
      <c r="H309" s="2">
        <v>2007</v>
      </c>
      <c r="I309" s="6">
        <v>8954197</v>
      </c>
      <c r="J309" s="7">
        <v>42899.3</v>
      </c>
      <c r="K309" s="6">
        <v>7915</v>
      </c>
      <c r="L309" s="7">
        <v>14642.75</v>
      </c>
      <c r="M309" s="7">
        <v>65457.05</v>
      </c>
      <c r="N309" s="7">
        <v>65457.05</v>
      </c>
      <c r="O309" s="7">
        <v>65457.05</v>
      </c>
      <c r="P309" s="8">
        <v>1</v>
      </c>
      <c r="Q309" s="7">
        <v>0</v>
      </c>
      <c r="R309" s="7">
        <v>0</v>
      </c>
      <c r="S309" s="1">
        <v>0.99087303000000004</v>
      </c>
      <c r="T309" s="7">
        <v>0</v>
      </c>
      <c r="U309" s="7">
        <v>65457.05</v>
      </c>
      <c r="V309" s="7">
        <v>94197.56</v>
      </c>
      <c r="W309" s="7">
        <v>159654.60999999999</v>
      </c>
      <c r="X309" s="7">
        <v>39913.65</v>
      </c>
      <c r="Y309" s="7">
        <v>56789.46</v>
      </c>
      <c r="Z309" s="7">
        <v>0</v>
      </c>
      <c r="AA309" s="7">
        <v>32459.66</v>
      </c>
      <c r="AB309" s="7">
        <v>3788.2</v>
      </c>
      <c r="AC309" s="7">
        <v>0</v>
      </c>
      <c r="AD309" s="7">
        <v>16091.75</v>
      </c>
      <c r="AE309" s="7">
        <v>33850.89</v>
      </c>
      <c r="AF309" s="7">
        <v>0</v>
      </c>
      <c r="AG309" s="7">
        <v>0</v>
      </c>
      <c r="AH309" s="7">
        <v>0</v>
      </c>
      <c r="AI309" s="7">
        <v>65457.05</v>
      </c>
      <c r="AJ309" s="7">
        <v>0</v>
      </c>
    </row>
    <row r="310" spans="1:36" x14ac:dyDescent="0.2">
      <c r="A310" s="1" t="s">
        <v>33</v>
      </c>
      <c r="B310" s="1">
        <v>2448</v>
      </c>
      <c r="C310" s="1">
        <v>1</v>
      </c>
      <c r="D310" s="1" t="s">
        <v>372</v>
      </c>
      <c r="E310" s="1">
        <v>46</v>
      </c>
      <c r="F310" s="5" t="s">
        <v>57</v>
      </c>
      <c r="G310" s="6">
        <v>4737</v>
      </c>
      <c r="H310" s="2">
        <v>2000</v>
      </c>
      <c r="I310" s="6">
        <v>7951212</v>
      </c>
      <c r="J310" s="7">
        <v>25674.54</v>
      </c>
      <c r="K310" s="6">
        <v>4737</v>
      </c>
      <c r="L310" s="7">
        <v>8763.4500000000007</v>
      </c>
      <c r="M310" s="7">
        <v>39174.99</v>
      </c>
      <c r="N310" s="7">
        <v>39174.99</v>
      </c>
      <c r="O310" s="7">
        <v>39174.99</v>
      </c>
      <c r="P310" s="8">
        <v>1</v>
      </c>
      <c r="Q310" s="7">
        <v>0</v>
      </c>
      <c r="R310" s="7">
        <v>0</v>
      </c>
      <c r="S310" s="1">
        <v>0.99087303000000004</v>
      </c>
      <c r="T310" s="7">
        <v>0</v>
      </c>
      <c r="U310" s="7">
        <v>39174.99</v>
      </c>
      <c r="V310" s="7">
        <v>63018.559999999998</v>
      </c>
      <c r="W310" s="7">
        <v>102193.55</v>
      </c>
      <c r="X310" s="7">
        <v>25548.39</v>
      </c>
      <c r="Y310" s="7">
        <v>0</v>
      </c>
      <c r="Z310" s="7">
        <v>0</v>
      </c>
      <c r="AA310" s="7">
        <v>1477.45</v>
      </c>
      <c r="AB310" s="7">
        <v>0</v>
      </c>
      <c r="AC310" s="7">
        <v>0</v>
      </c>
      <c r="AD310" s="7">
        <v>11915.73</v>
      </c>
      <c r="AE310" s="7">
        <v>4464.3900000000003</v>
      </c>
      <c r="AF310" s="7">
        <v>0</v>
      </c>
      <c r="AG310" s="7">
        <v>0</v>
      </c>
      <c r="AH310" s="7">
        <v>0</v>
      </c>
      <c r="AI310" s="7">
        <v>39174.99</v>
      </c>
      <c r="AJ310" s="7">
        <v>0</v>
      </c>
    </row>
    <row r="311" spans="1:36" x14ac:dyDescent="0.2">
      <c r="A311" s="1" t="s">
        <v>33</v>
      </c>
      <c r="B311" s="1">
        <v>2527</v>
      </c>
      <c r="C311" s="1">
        <v>1</v>
      </c>
      <c r="D311" s="1" t="s">
        <v>373</v>
      </c>
      <c r="E311" s="1">
        <v>54</v>
      </c>
      <c r="F311" s="5" t="s">
        <v>59</v>
      </c>
      <c r="G311" s="6">
        <v>1660</v>
      </c>
      <c r="H311" s="2">
        <v>2000</v>
      </c>
      <c r="I311" s="6">
        <v>1982219</v>
      </c>
      <c r="J311" s="7">
        <v>8997.2000000000007</v>
      </c>
      <c r="K311" s="6">
        <v>0</v>
      </c>
      <c r="L311" s="7">
        <v>0</v>
      </c>
      <c r="M311" s="7">
        <v>8997.2000000000007</v>
      </c>
      <c r="N311" s="7">
        <v>8997.2000000000007</v>
      </c>
      <c r="O311" s="7">
        <v>8997.2000000000007</v>
      </c>
      <c r="P311" s="8">
        <v>1</v>
      </c>
      <c r="Q311" s="7">
        <v>0</v>
      </c>
      <c r="R311" s="7">
        <v>0</v>
      </c>
      <c r="S311" s="1">
        <v>0.99087303000000004</v>
      </c>
      <c r="T311" s="7">
        <v>0</v>
      </c>
      <c r="U311" s="7">
        <v>13728.2</v>
      </c>
      <c r="V311" s="7">
        <v>2998.48</v>
      </c>
      <c r="W311" s="7">
        <v>16726.68</v>
      </c>
      <c r="X311" s="7">
        <v>4181.67</v>
      </c>
      <c r="Y311" s="7">
        <v>-8406.74</v>
      </c>
      <c r="Z311" s="7">
        <v>0</v>
      </c>
      <c r="AA311" s="7">
        <v>-6405.3</v>
      </c>
      <c r="AB311" s="7">
        <v>0</v>
      </c>
      <c r="AC311" s="7">
        <v>0</v>
      </c>
      <c r="AD311" s="7">
        <v>-14780.77</v>
      </c>
      <c r="AE311" s="7">
        <v>-9864.27</v>
      </c>
      <c r="AF311" s="7">
        <v>0</v>
      </c>
      <c r="AG311" s="7">
        <v>0</v>
      </c>
      <c r="AH311" s="7">
        <v>0</v>
      </c>
      <c r="AI311" s="7">
        <v>8997.2000000000007</v>
      </c>
      <c r="AJ311" s="7">
        <v>0</v>
      </c>
    </row>
    <row r="312" spans="1:36" x14ac:dyDescent="0.2">
      <c r="A312" s="1" t="s">
        <v>33</v>
      </c>
      <c r="B312" s="1">
        <v>2534</v>
      </c>
      <c r="C312" s="1">
        <v>1</v>
      </c>
      <c r="D312" s="1" t="s">
        <v>76</v>
      </c>
      <c r="E312" s="1">
        <v>65</v>
      </c>
      <c r="F312" s="5" t="s">
        <v>68</v>
      </c>
      <c r="G312" s="6">
        <v>5602</v>
      </c>
      <c r="H312" s="2">
        <v>2000</v>
      </c>
      <c r="I312" s="6">
        <v>6893340</v>
      </c>
      <c r="J312" s="7">
        <v>30362.84</v>
      </c>
      <c r="K312" s="6">
        <v>5602</v>
      </c>
      <c r="L312" s="7">
        <v>10363.700000000001</v>
      </c>
      <c r="M312" s="7">
        <v>46328.54</v>
      </c>
      <c r="N312" s="7">
        <v>46328.54</v>
      </c>
      <c r="O312" s="7">
        <v>46328.54</v>
      </c>
      <c r="P312" s="8">
        <v>1</v>
      </c>
      <c r="Q312" s="7">
        <v>0</v>
      </c>
      <c r="R312" s="7">
        <v>0</v>
      </c>
      <c r="S312" s="1">
        <v>0.99087303000000004</v>
      </c>
      <c r="T312" s="7">
        <v>0</v>
      </c>
      <c r="U312" s="7">
        <v>46328.54</v>
      </c>
      <c r="V312" s="7">
        <v>120615.76</v>
      </c>
      <c r="W312" s="7">
        <v>166944.29999999999</v>
      </c>
      <c r="X312" s="7">
        <v>41736.080000000002</v>
      </c>
      <c r="Y312" s="7">
        <v>1885.77</v>
      </c>
      <c r="Z312" s="7">
        <v>0</v>
      </c>
      <c r="AA312" s="7">
        <v>36369.089999999997</v>
      </c>
      <c r="AB312" s="7">
        <v>0</v>
      </c>
      <c r="AC312" s="7">
        <v>0</v>
      </c>
      <c r="AD312" s="7">
        <v>56472.160000000003</v>
      </c>
      <c r="AE312" s="7">
        <v>31575.67</v>
      </c>
      <c r="AF312" s="7">
        <v>0</v>
      </c>
      <c r="AG312" s="7">
        <v>0</v>
      </c>
      <c r="AH312" s="7">
        <v>0</v>
      </c>
      <c r="AI312" s="7">
        <v>46328.54</v>
      </c>
      <c r="AJ312" s="7">
        <v>0</v>
      </c>
    </row>
    <row r="313" spans="1:36" x14ac:dyDescent="0.2">
      <c r="A313" s="1" t="s">
        <v>33</v>
      </c>
      <c r="B313" s="1">
        <v>2536</v>
      </c>
      <c r="C313" s="1">
        <v>1</v>
      </c>
      <c r="D313" s="1" t="s">
        <v>78</v>
      </c>
      <c r="E313" s="1">
        <v>46</v>
      </c>
      <c r="F313" s="5" t="s">
        <v>57</v>
      </c>
      <c r="G313" s="6">
        <v>2091</v>
      </c>
      <c r="H313" s="2">
        <v>2000</v>
      </c>
      <c r="I313" s="6">
        <v>3907829</v>
      </c>
      <c r="J313" s="7">
        <v>11333.22</v>
      </c>
      <c r="K313" s="6">
        <v>2091</v>
      </c>
      <c r="L313" s="7">
        <v>3868.35</v>
      </c>
      <c r="M313" s="7">
        <v>17292.57</v>
      </c>
      <c r="N313" s="7">
        <v>17292.57</v>
      </c>
      <c r="O313" s="7">
        <v>17292.57</v>
      </c>
      <c r="P313" s="8">
        <v>1</v>
      </c>
      <c r="Q313" s="7">
        <v>0</v>
      </c>
      <c r="R313" s="7">
        <v>0</v>
      </c>
      <c r="S313" s="1">
        <v>0.99087303000000004</v>
      </c>
      <c r="T313" s="7">
        <v>0</v>
      </c>
      <c r="U313" s="7">
        <v>17292.57</v>
      </c>
      <c r="V313" s="7">
        <v>6397.36</v>
      </c>
      <c r="W313" s="7">
        <v>23689.93</v>
      </c>
      <c r="X313" s="7">
        <v>5922.48</v>
      </c>
      <c r="Y313" s="7">
        <v>-7275.14</v>
      </c>
      <c r="Z313" s="7">
        <v>0</v>
      </c>
      <c r="AA313" s="7">
        <v>-20655.22</v>
      </c>
      <c r="AB313" s="7">
        <v>0</v>
      </c>
      <c r="AC313" s="7">
        <v>0</v>
      </c>
      <c r="AD313" s="7">
        <v>-1874.13</v>
      </c>
      <c r="AE313" s="7">
        <v>-9934.83</v>
      </c>
      <c r="AF313" s="7">
        <v>0</v>
      </c>
      <c r="AG313" s="7">
        <v>0</v>
      </c>
      <c r="AH313" s="7">
        <v>0</v>
      </c>
      <c r="AI313" s="7">
        <v>17292.57</v>
      </c>
      <c r="AJ313" s="7">
        <v>0</v>
      </c>
    </row>
    <row r="314" spans="1:36" x14ac:dyDescent="0.2">
      <c r="A314" s="1" t="s">
        <v>33</v>
      </c>
      <c r="B314" s="1">
        <v>2580</v>
      </c>
      <c r="C314" s="1">
        <v>1</v>
      </c>
      <c r="D314" s="1" t="s">
        <v>374</v>
      </c>
      <c r="E314" s="1">
        <v>58</v>
      </c>
      <c r="F314" s="5" t="s">
        <v>67</v>
      </c>
      <c r="G314" s="6">
        <v>6913</v>
      </c>
      <c r="H314" s="2">
        <v>2007</v>
      </c>
      <c r="I314" s="6">
        <v>7225204</v>
      </c>
      <c r="J314" s="7">
        <v>37468.46</v>
      </c>
      <c r="K314" s="6">
        <v>6913</v>
      </c>
      <c r="L314" s="7">
        <v>12789.05</v>
      </c>
      <c r="M314" s="7">
        <v>57170.51</v>
      </c>
      <c r="N314" s="7">
        <v>57170.51</v>
      </c>
      <c r="O314" s="7">
        <v>57170.51</v>
      </c>
      <c r="P314" s="8">
        <v>1</v>
      </c>
      <c r="Q314" s="7">
        <v>0</v>
      </c>
      <c r="R314" s="7">
        <v>0</v>
      </c>
      <c r="S314" s="1">
        <v>0.99087303000000004</v>
      </c>
      <c r="T314" s="7">
        <v>0</v>
      </c>
      <c r="U314" s="7">
        <v>57170.51</v>
      </c>
      <c r="V314" s="7">
        <v>94359.96</v>
      </c>
      <c r="W314" s="7">
        <v>151530.47</v>
      </c>
      <c r="X314" s="7">
        <v>37882.620000000003</v>
      </c>
      <c r="Y314" s="7">
        <v>-6077.2</v>
      </c>
      <c r="Z314" s="7">
        <v>0</v>
      </c>
      <c r="AA314" s="7">
        <v>-4704.05</v>
      </c>
      <c r="AB314" s="7">
        <v>0</v>
      </c>
      <c r="AC314" s="7">
        <v>0</v>
      </c>
      <c r="AD314" s="7">
        <v>1795.11</v>
      </c>
      <c r="AE314" s="7">
        <v>-2995.38</v>
      </c>
      <c r="AF314" s="7">
        <v>0</v>
      </c>
      <c r="AG314" s="7">
        <v>0</v>
      </c>
      <c r="AH314" s="7">
        <v>0</v>
      </c>
      <c r="AI314" s="7">
        <v>57170.51</v>
      </c>
      <c r="AJ314" s="7">
        <v>0</v>
      </c>
    </row>
    <row r="315" spans="1:36" x14ac:dyDescent="0.2">
      <c r="A315" s="1" t="s">
        <v>33</v>
      </c>
      <c r="B315" s="1">
        <v>2609</v>
      </c>
      <c r="C315" s="1">
        <v>1</v>
      </c>
      <c r="D315" s="1" t="s">
        <v>375</v>
      </c>
      <c r="E315" s="1">
        <v>60</v>
      </c>
      <c r="F315" s="5" t="s">
        <v>59</v>
      </c>
      <c r="G315" s="6">
        <v>3355</v>
      </c>
      <c r="H315" s="2">
        <v>2000</v>
      </c>
      <c r="I315" s="6">
        <v>3613289</v>
      </c>
      <c r="J315" s="7">
        <v>18184.099999999999</v>
      </c>
      <c r="K315" s="6">
        <v>0</v>
      </c>
      <c r="L315" s="7">
        <v>0</v>
      </c>
      <c r="M315" s="7">
        <v>18184.099999999999</v>
      </c>
      <c r="N315" s="7">
        <v>18184.099999999999</v>
      </c>
      <c r="O315" s="7">
        <v>18184.099999999999</v>
      </c>
      <c r="P315" s="8">
        <v>1</v>
      </c>
      <c r="Q315" s="7">
        <v>0</v>
      </c>
      <c r="R315" s="7">
        <v>0</v>
      </c>
      <c r="S315" s="1">
        <v>0.99087303000000004</v>
      </c>
      <c r="T315" s="7">
        <v>0</v>
      </c>
      <c r="U315" s="7">
        <v>27745.85</v>
      </c>
      <c r="V315" s="7">
        <v>22730.81</v>
      </c>
      <c r="W315" s="7">
        <v>50476.66</v>
      </c>
      <c r="X315" s="7">
        <v>12619.17</v>
      </c>
      <c r="Y315" s="7">
        <v>12685.05</v>
      </c>
      <c r="Z315" s="7">
        <v>0</v>
      </c>
      <c r="AA315" s="7">
        <v>25512.89</v>
      </c>
      <c r="AB315" s="7">
        <v>1264.56</v>
      </c>
      <c r="AC315" s="7">
        <v>0</v>
      </c>
      <c r="AD315" s="7">
        <v>27188.89</v>
      </c>
      <c r="AE315" s="7">
        <v>21374.09</v>
      </c>
      <c r="AF315" s="7">
        <v>8754.92</v>
      </c>
      <c r="AG315" s="7">
        <v>8754.92</v>
      </c>
      <c r="AH315" s="7">
        <v>0</v>
      </c>
      <c r="AI315" s="7">
        <v>9429.18</v>
      </c>
      <c r="AJ315" s="7">
        <v>0</v>
      </c>
    </row>
    <row r="316" spans="1:36" x14ac:dyDescent="0.2">
      <c r="A316" s="1" t="s">
        <v>33</v>
      </c>
      <c r="B316" s="1">
        <v>2683</v>
      </c>
      <c r="C316" s="1">
        <v>1</v>
      </c>
      <c r="D316" s="1" t="s">
        <v>376</v>
      </c>
      <c r="E316" s="1">
        <v>68</v>
      </c>
      <c r="F316" s="5" t="s">
        <v>59</v>
      </c>
      <c r="G316" s="6">
        <v>2887</v>
      </c>
      <c r="H316" s="2">
        <v>2000</v>
      </c>
      <c r="I316" s="6">
        <v>2007109</v>
      </c>
      <c r="J316" s="7">
        <v>15647.54</v>
      </c>
      <c r="K316" s="6">
        <v>0</v>
      </c>
      <c r="L316" s="7">
        <v>0</v>
      </c>
      <c r="M316" s="7">
        <v>15647.54</v>
      </c>
      <c r="N316" s="7">
        <v>15647.54</v>
      </c>
      <c r="O316" s="7">
        <v>15647.54</v>
      </c>
      <c r="P316" s="8">
        <v>1</v>
      </c>
      <c r="Q316" s="7">
        <v>0</v>
      </c>
      <c r="R316" s="7">
        <v>0</v>
      </c>
      <c r="S316" s="1">
        <v>0.99087303000000004</v>
      </c>
      <c r="T316" s="7">
        <v>0</v>
      </c>
      <c r="U316" s="7">
        <v>15647.54</v>
      </c>
      <c r="V316" s="7">
        <v>23296.639999999999</v>
      </c>
      <c r="W316" s="7">
        <v>38944.18</v>
      </c>
      <c r="X316" s="7">
        <v>9736.0499999999993</v>
      </c>
      <c r="Y316" s="7">
        <v>-1278</v>
      </c>
      <c r="Z316" s="7">
        <v>0</v>
      </c>
      <c r="AA316" s="7">
        <v>-0.08</v>
      </c>
      <c r="AB316" s="7">
        <v>0</v>
      </c>
      <c r="AC316" s="7">
        <v>0</v>
      </c>
      <c r="AD316" s="7">
        <v>85.84</v>
      </c>
      <c r="AE316" s="7">
        <v>-397.41</v>
      </c>
      <c r="AF316" s="7">
        <v>0</v>
      </c>
      <c r="AG316" s="7">
        <v>0</v>
      </c>
      <c r="AH316" s="7">
        <v>0</v>
      </c>
      <c r="AI316" s="7">
        <v>15647.54</v>
      </c>
      <c r="AJ316" s="7">
        <v>0</v>
      </c>
    </row>
    <row r="317" spans="1:36" x14ac:dyDescent="0.2">
      <c r="A317" s="1" t="s">
        <v>33</v>
      </c>
      <c r="B317" s="1">
        <v>2687</v>
      </c>
      <c r="C317" s="1">
        <v>1</v>
      </c>
      <c r="D317" s="1" t="s">
        <v>86</v>
      </c>
      <c r="E317" s="1">
        <v>86</v>
      </c>
      <c r="F317" s="5" t="s">
        <v>63</v>
      </c>
      <c r="G317" s="6">
        <v>8402</v>
      </c>
      <c r="H317" s="2">
        <v>2007</v>
      </c>
      <c r="I317" s="6">
        <v>10233198</v>
      </c>
      <c r="J317" s="7">
        <v>45538.84</v>
      </c>
      <c r="K317" s="6">
        <v>8402</v>
      </c>
      <c r="L317" s="7">
        <v>15543.7</v>
      </c>
      <c r="M317" s="7">
        <v>69484.539999999994</v>
      </c>
      <c r="N317" s="7">
        <v>69484.539999999994</v>
      </c>
      <c r="O317" s="7">
        <v>69484.539999999994</v>
      </c>
      <c r="P317" s="8">
        <v>1</v>
      </c>
      <c r="Q317" s="7">
        <v>0</v>
      </c>
      <c r="R317" s="7">
        <v>0</v>
      </c>
      <c r="S317" s="1">
        <v>0.99087303000000004</v>
      </c>
      <c r="T317" s="7">
        <v>0</v>
      </c>
      <c r="U317" s="7">
        <v>69484.539999999994</v>
      </c>
      <c r="V317" s="7">
        <v>302796.43</v>
      </c>
      <c r="W317" s="7">
        <v>372280.97</v>
      </c>
      <c r="X317" s="7">
        <v>93070.24</v>
      </c>
      <c r="Y317" s="7">
        <v>27825.17</v>
      </c>
      <c r="Z317" s="7">
        <v>0</v>
      </c>
      <c r="AA317" s="7">
        <v>54753.71</v>
      </c>
      <c r="AB317" s="7">
        <v>0</v>
      </c>
      <c r="AC317" s="7">
        <v>0</v>
      </c>
      <c r="AD317" s="7">
        <v>72893.5</v>
      </c>
      <c r="AE317" s="7">
        <v>51824.13</v>
      </c>
      <c r="AF317" s="7">
        <v>0</v>
      </c>
      <c r="AG317" s="7">
        <v>0</v>
      </c>
      <c r="AH317" s="7">
        <v>0</v>
      </c>
      <c r="AI317" s="7">
        <v>69484.539999999994</v>
      </c>
      <c r="AJ317" s="7">
        <v>0</v>
      </c>
    </row>
    <row r="318" spans="1:36" x14ac:dyDescent="0.2">
      <c r="A318" s="1" t="s">
        <v>33</v>
      </c>
      <c r="B318" s="1">
        <v>2689</v>
      </c>
      <c r="C318" s="1">
        <v>1</v>
      </c>
      <c r="D318" s="1" t="s">
        <v>377</v>
      </c>
      <c r="E318" s="1">
        <v>59</v>
      </c>
      <c r="F318" s="5" t="s">
        <v>65</v>
      </c>
      <c r="G318" s="6">
        <v>8080</v>
      </c>
      <c r="H318" s="2">
        <v>2000</v>
      </c>
      <c r="I318" s="6">
        <v>8514790</v>
      </c>
      <c r="J318" s="7">
        <v>43793.599999999999</v>
      </c>
      <c r="K318" s="6">
        <v>8080</v>
      </c>
      <c r="L318" s="7">
        <v>14948</v>
      </c>
      <c r="M318" s="7">
        <v>66821.600000000006</v>
      </c>
      <c r="N318" s="7">
        <v>66821.600000000006</v>
      </c>
      <c r="O318" s="7">
        <v>66821.600000000006</v>
      </c>
      <c r="P318" s="8">
        <v>1</v>
      </c>
      <c r="Q318" s="7">
        <v>0</v>
      </c>
      <c r="R318" s="7">
        <v>0</v>
      </c>
      <c r="S318" s="1">
        <v>0.99087303000000004</v>
      </c>
      <c r="T318" s="7">
        <v>0</v>
      </c>
      <c r="U318" s="7">
        <v>66821.600000000006</v>
      </c>
      <c r="V318" s="7">
        <v>125237.8</v>
      </c>
      <c r="W318" s="7">
        <v>192059.4</v>
      </c>
      <c r="X318" s="7">
        <v>48014.85</v>
      </c>
      <c r="Y318" s="7">
        <v>71015.97</v>
      </c>
      <c r="Z318" s="7">
        <v>0</v>
      </c>
      <c r="AA318" s="7">
        <v>80372.55</v>
      </c>
      <c r="AB318" s="7">
        <v>0</v>
      </c>
      <c r="AC318" s="7">
        <v>0</v>
      </c>
      <c r="AD318" s="7">
        <v>46663.5</v>
      </c>
      <c r="AE318" s="7">
        <v>66017.34</v>
      </c>
      <c r="AF318" s="7">
        <v>18002.490000000002</v>
      </c>
      <c r="AG318" s="7">
        <v>18002.490000000002</v>
      </c>
      <c r="AH318" s="7">
        <v>0</v>
      </c>
      <c r="AI318" s="7">
        <v>48819.11</v>
      </c>
      <c r="AJ318" s="7">
        <v>0</v>
      </c>
    </row>
    <row r="319" spans="1:36" x14ac:dyDescent="0.2">
      <c r="A319" s="1" t="s">
        <v>33</v>
      </c>
      <c r="B319" s="1">
        <v>2711</v>
      </c>
      <c r="C319" s="1">
        <v>1</v>
      </c>
      <c r="D319" s="1" t="s">
        <v>378</v>
      </c>
      <c r="E319" s="1">
        <v>69</v>
      </c>
      <c r="F319" s="5" t="s">
        <v>58</v>
      </c>
      <c r="G319" s="6">
        <v>7926</v>
      </c>
      <c r="H319" s="2">
        <v>2000</v>
      </c>
      <c r="I319" s="6">
        <v>6887954</v>
      </c>
      <c r="J319" s="7">
        <v>42958.92</v>
      </c>
      <c r="K319" s="6">
        <v>7926</v>
      </c>
      <c r="L319" s="7">
        <v>14663.1</v>
      </c>
      <c r="M319" s="7">
        <v>65548.02</v>
      </c>
      <c r="N319" s="7">
        <v>61991.59</v>
      </c>
      <c r="O319" s="7">
        <v>61991.59</v>
      </c>
      <c r="P319" s="8">
        <v>1</v>
      </c>
      <c r="Q319" s="7">
        <v>3556.43</v>
      </c>
      <c r="R319" s="7">
        <v>3556.43</v>
      </c>
      <c r="S319" s="1">
        <v>0.99087303000000004</v>
      </c>
      <c r="T319" s="7">
        <v>3523.97</v>
      </c>
      <c r="U319" s="7">
        <v>65548.02</v>
      </c>
      <c r="V319" s="7">
        <v>14112.49</v>
      </c>
      <c r="W319" s="7">
        <v>79660.509999999995</v>
      </c>
      <c r="X319" s="7">
        <v>19915.13</v>
      </c>
      <c r="Y319" s="7">
        <v>8349.64</v>
      </c>
      <c r="Z319" s="7">
        <v>0</v>
      </c>
      <c r="AA319" s="7">
        <v>10455.57</v>
      </c>
      <c r="AB319" s="7">
        <v>0</v>
      </c>
      <c r="AC319" s="7">
        <v>0</v>
      </c>
      <c r="AD319" s="7">
        <v>5809.31</v>
      </c>
      <c r="AE319" s="7">
        <v>8204.84</v>
      </c>
      <c r="AF319" s="7">
        <v>0</v>
      </c>
      <c r="AG319" s="7">
        <v>0</v>
      </c>
      <c r="AH319" s="7">
        <v>0</v>
      </c>
      <c r="AI319" s="7">
        <v>61991.59</v>
      </c>
      <c r="AJ319" s="7">
        <v>3556.43</v>
      </c>
    </row>
    <row r="320" spans="1:36" x14ac:dyDescent="0.2">
      <c r="A320" s="1" t="s">
        <v>33</v>
      </c>
      <c r="B320" s="1">
        <v>2752</v>
      </c>
      <c r="C320" s="1">
        <v>1</v>
      </c>
      <c r="D320" s="1" t="s">
        <v>379</v>
      </c>
      <c r="E320" s="1">
        <v>46</v>
      </c>
      <c r="F320" s="5" t="s">
        <v>57</v>
      </c>
      <c r="G320" s="6">
        <v>13220</v>
      </c>
      <c r="H320" s="2">
        <v>2000</v>
      </c>
      <c r="I320" s="6">
        <v>11256488</v>
      </c>
      <c r="J320" s="7">
        <v>71652.399999999994</v>
      </c>
      <c r="K320" s="6">
        <v>13220</v>
      </c>
      <c r="L320" s="7">
        <v>19884.599999999999</v>
      </c>
      <c r="M320" s="7">
        <v>104757</v>
      </c>
      <c r="N320" s="7">
        <v>101308.39</v>
      </c>
      <c r="O320" s="7">
        <v>101308.39</v>
      </c>
      <c r="P320" s="8">
        <v>1</v>
      </c>
      <c r="Q320" s="7">
        <v>3448.61</v>
      </c>
      <c r="R320" s="7">
        <v>3448.61</v>
      </c>
      <c r="S320" s="1">
        <v>0.99087303000000004</v>
      </c>
      <c r="T320" s="7">
        <v>3417.13</v>
      </c>
      <c r="U320" s="7">
        <v>104757</v>
      </c>
      <c r="V320" s="7">
        <v>131270.23000000001</v>
      </c>
      <c r="W320" s="7">
        <v>236027.23</v>
      </c>
      <c r="X320" s="7">
        <v>59006.81</v>
      </c>
      <c r="Y320" s="7">
        <v>44287.99</v>
      </c>
      <c r="Z320" s="7">
        <v>0</v>
      </c>
      <c r="AA320" s="7">
        <v>68311.350000000006</v>
      </c>
      <c r="AB320" s="7">
        <v>0</v>
      </c>
      <c r="AC320" s="7">
        <v>0</v>
      </c>
      <c r="AD320" s="7">
        <v>75765.73</v>
      </c>
      <c r="AE320" s="7">
        <v>62788.36</v>
      </c>
      <c r="AF320" s="7">
        <v>3781.55</v>
      </c>
      <c r="AG320" s="7">
        <v>3657.06</v>
      </c>
      <c r="AH320" s="7">
        <v>124.49</v>
      </c>
      <c r="AI320" s="7">
        <v>97651.33</v>
      </c>
      <c r="AJ320" s="7">
        <v>3324.12</v>
      </c>
    </row>
    <row r="321" spans="1:36" x14ac:dyDescent="0.2">
      <c r="A321" s="1" t="s">
        <v>33</v>
      </c>
      <c r="B321" s="1">
        <v>2753</v>
      </c>
      <c r="C321" s="1">
        <v>1</v>
      </c>
      <c r="D321" s="1" t="s">
        <v>380</v>
      </c>
      <c r="E321" s="1">
        <v>77</v>
      </c>
      <c r="F321" s="5" t="s">
        <v>66</v>
      </c>
      <c r="G321" s="6">
        <v>8173</v>
      </c>
      <c r="H321" s="2">
        <v>2000</v>
      </c>
      <c r="I321" s="6">
        <v>7515465</v>
      </c>
      <c r="J321" s="7">
        <v>44297.66</v>
      </c>
      <c r="K321" s="6">
        <v>8173</v>
      </c>
      <c r="L321" s="7">
        <v>15120.05</v>
      </c>
      <c r="M321" s="7">
        <v>67590.710000000006</v>
      </c>
      <c r="N321" s="7">
        <v>67590.710000000006</v>
      </c>
      <c r="O321" s="7">
        <v>67590.710000000006</v>
      </c>
      <c r="P321" s="8">
        <v>1</v>
      </c>
      <c r="Q321" s="7">
        <v>0</v>
      </c>
      <c r="R321" s="7">
        <v>0</v>
      </c>
      <c r="S321" s="1">
        <v>0.99087303000000004</v>
      </c>
      <c r="T321" s="7">
        <v>0</v>
      </c>
      <c r="U321" s="7">
        <v>67590.710000000006</v>
      </c>
      <c r="V321" s="7">
        <v>151526.43</v>
      </c>
      <c r="W321" s="7">
        <v>219117.14</v>
      </c>
      <c r="X321" s="7">
        <v>54779.29</v>
      </c>
      <c r="Y321" s="7">
        <v>-57327.16</v>
      </c>
      <c r="Z321" s="7">
        <v>0</v>
      </c>
      <c r="AA321" s="7">
        <v>-45392.11</v>
      </c>
      <c r="AB321" s="7">
        <v>0</v>
      </c>
      <c r="AC321" s="7">
        <v>0</v>
      </c>
      <c r="AD321" s="7">
        <v>-14589.44</v>
      </c>
      <c r="AE321" s="7">
        <v>-39102.9</v>
      </c>
      <c r="AF321" s="7">
        <v>0</v>
      </c>
      <c r="AG321" s="7">
        <v>0</v>
      </c>
      <c r="AH321" s="7">
        <v>0</v>
      </c>
      <c r="AI321" s="7">
        <v>67590.710000000006</v>
      </c>
      <c r="AJ321" s="7">
        <v>0</v>
      </c>
    </row>
    <row r="322" spans="1:36" x14ac:dyDescent="0.2">
      <c r="A322" s="1" t="s">
        <v>33</v>
      </c>
      <c r="B322" s="1">
        <v>2754</v>
      </c>
      <c r="C322" s="1">
        <v>1</v>
      </c>
      <c r="D322" s="1" t="s">
        <v>381</v>
      </c>
      <c r="E322" s="1">
        <v>64</v>
      </c>
      <c r="F322" s="5" t="s">
        <v>65</v>
      </c>
      <c r="G322" s="6">
        <v>2665</v>
      </c>
      <c r="H322" s="2">
        <v>2000</v>
      </c>
      <c r="I322" s="6">
        <v>3613885</v>
      </c>
      <c r="J322" s="7">
        <v>14444.3</v>
      </c>
      <c r="K322" s="6">
        <v>2665</v>
      </c>
      <c r="L322" s="7">
        <v>4930.25</v>
      </c>
      <c r="M322" s="7">
        <v>22039.55</v>
      </c>
      <c r="N322" s="7">
        <v>22039.55</v>
      </c>
      <c r="O322" s="7">
        <v>22039.55</v>
      </c>
      <c r="P322" s="8">
        <v>1</v>
      </c>
      <c r="Q322" s="7">
        <v>0</v>
      </c>
      <c r="R322" s="7">
        <v>0</v>
      </c>
      <c r="S322" s="1">
        <v>0.99087303000000004</v>
      </c>
      <c r="T322" s="7">
        <v>0</v>
      </c>
      <c r="U322" s="7">
        <v>22039.55</v>
      </c>
      <c r="V322" s="7">
        <v>15528.73</v>
      </c>
      <c r="W322" s="7">
        <v>37568.28</v>
      </c>
      <c r="X322" s="7">
        <v>9392.07</v>
      </c>
      <c r="Y322" s="7">
        <v>7485.79</v>
      </c>
      <c r="Z322" s="7">
        <v>0</v>
      </c>
      <c r="AA322" s="7">
        <v>5231.25</v>
      </c>
      <c r="AB322" s="7">
        <v>0</v>
      </c>
      <c r="AC322" s="7">
        <v>0</v>
      </c>
      <c r="AD322" s="7">
        <v>4100.93</v>
      </c>
      <c r="AE322" s="7">
        <v>5605.99</v>
      </c>
      <c r="AF322" s="7">
        <v>0</v>
      </c>
      <c r="AG322" s="7">
        <v>0</v>
      </c>
      <c r="AH322" s="7">
        <v>0</v>
      </c>
      <c r="AI322" s="7">
        <v>22039.55</v>
      </c>
      <c r="AJ322" s="7">
        <v>0</v>
      </c>
    </row>
    <row r="323" spans="1:36" x14ac:dyDescent="0.2">
      <c r="A323" s="1" t="s">
        <v>33</v>
      </c>
      <c r="B323" s="1">
        <v>2759</v>
      </c>
      <c r="C323" s="1">
        <v>1</v>
      </c>
      <c r="D323" s="1" t="s">
        <v>382</v>
      </c>
      <c r="E323" s="1">
        <v>77</v>
      </c>
      <c r="F323" s="5" t="s">
        <v>66</v>
      </c>
      <c r="G323" s="6">
        <v>2881</v>
      </c>
      <c r="H323" s="2">
        <v>2000</v>
      </c>
      <c r="I323" s="6">
        <v>1806097</v>
      </c>
      <c r="J323" s="7">
        <v>15615.02</v>
      </c>
      <c r="K323" s="6">
        <v>2881</v>
      </c>
      <c r="L323" s="7">
        <v>5329.85</v>
      </c>
      <c r="M323" s="7">
        <v>23825.87</v>
      </c>
      <c r="N323" s="7">
        <v>16254.87</v>
      </c>
      <c r="O323" s="7">
        <v>16254.87</v>
      </c>
      <c r="P323" s="8">
        <v>1</v>
      </c>
      <c r="Q323" s="7">
        <v>7571</v>
      </c>
      <c r="R323" s="7">
        <v>7571</v>
      </c>
      <c r="S323" s="1">
        <v>0.99087303000000004</v>
      </c>
      <c r="T323" s="7">
        <v>7501.9</v>
      </c>
      <c r="U323" s="7">
        <v>23825.87</v>
      </c>
      <c r="V323" s="7">
        <v>17861.080000000002</v>
      </c>
      <c r="W323" s="7">
        <v>41686.949999999997</v>
      </c>
      <c r="X323" s="7">
        <v>10421.74</v>
      </c>
      <c r="Y323" s="7">
        <v>1427.51</v>
      </c>
      <c r="Z323" s="7">
        <v>0</v>
      </c>
      <c r="AA323" s="7">
        <v>7169.59</v>
      </c>
      <c r="AB323" s="7">
        <v>0</v>
      </c>
      <c r="AC323" s="7">
        <v>0</v>
      </c>
      <c r="AD323" s="7">
        <v>5338.31</v>
      </c>
      <c r="AE323" s="7">
        <v>4645.1400000000003</v>
      </c>
      <c r="AF323" s="7">
        <v>0</v>
      </c>
      <c r="AG323" s="7">
        <v>0</v>
      </c>
      <c r="AH323" s="7">
        <v>0</v>
      </c>
      <c r="AI323" s="7">
        <v>16254.87</v>
      </c>
      <c r="AJ323" s="7">
        <v>7571</v>
      </c>
    </row>
    <row r="324" spans="1:36" x14ac:dyDescent="0.2">
      <c r="A324" s="1" t="s">
        <v>33</v>
      </c>
      <c r="B324" s="1">
        <v>2805</v>
      </c>
      <c r="C324" s="1">
        <v>1</v>
      </c>
      <c r="D324" s="1" t="s">
        <v>383</v>
      </c>
      <c r="E324" s="1">
        <v>79</v>
      </c>
      <c r="F324" s="5" t="s">
        <v>61</v>
      </c>
      <c r="G324" s="6">
        <v>6330</v>
      </c>
      <c r="H324" s="2">
        <v>2000</v>
      </c>
      <c r="I324" s="6">
        <v>7478420</v>
      </c>
      <c r="J324" s="7">
        <v>34308.6</v>
      </c>
      <c r="K324" s="6">
        <v>6330</v>
      </c>
      <c r="L324" s="7">
        <v>11710.5</v>
      </c>
      <c r="M324" s="7">
        <v>52349.1</v>
      </c>
      <c r="N324" s="7">
        <v>52349.1</v>
      </c>
      <c r="O324" s="7">
        <v>52349.1</v>
      </c>
      <c r="P324" s="8">
        <v>1</v>
      </c>
      <c r="Q324" s="7">
        <v>0</v>
      </c>
      <c r="R324" s="7">
        <v>0</v>
      </c>
      <c r="S324" s="1">
        <v>0.99087303000000004</v>
      </c>
      <c r="T324" s="7">
        <v>0</v>
      </c>
      <c r="U324" s="7">
        <v>52349.1</v>
      </c>
      <c r="V324" s="7">
        <v>356547.86</v>
      </c>
      <c r="W324" s="7">
        <v>408896.96</v>
      </c>
      <c r="X324" s="7">
        <v>102224.24</v>
      </c>
      <c r="Y324" s="7">
        <v>93639.01</v>
      </c>
      <c r="Z324" s="7">
        <v>0</v>
      </c>
      <c r="AA324" s="7">
        <v>116541.05</v>
      </c>
      <c r="AB324" s="7">
        <v>2768.76</v>
      </c>
      <c r="AC324" s="7">
        <v>0</v>
      </c>
      <c r="AD324" s="7">
        <v>135672.01</v>
      </c>
      <c r="AE324" s="7">
        <v>114361.1</v>
      </c>
      <c r="AF324" s="7">
        <v>12136.86</v>
      </c>
      <c r="AG324" s="7">
        <v>12136.86</v>
      </c>
      <c r="AH324" s="7">
        <v>0</v>
      </c>
      <c r="AI324" s="7">
        <v>40212.239999999998</v>
      </c>
      <c r="AJ324" s="7">
        <v>0</v>
      </c>
    </row>
    <row r="325" spans="1:36" x14ac:dyDescent="0.2">
      <c r="A325" s="1" t="s">
        <v>33</v>
      </c>
      <c r="B325" s="1">
        <v>2835</v>
      </c>
      <c r="C325" s="1">
        <v>1</v>
      </c>
      <c r="D325" s="1" t="s">
        <v>75</v>
      </c>
      <c r="E325" s="1">
        <v>81</v>
      </c>
      <c r="F325" s="5" t="s">
        <v>57</v>
      </c>
      <c r="G325" s="6">
        <v>5171</v>
      </c>
      <c r="H325" s="2">
        <v>2000</v>
      </c>
      <c r="I325" s="6">
        <v>6234232</v>
      </c>
      <c r="J325" s="7">
        <v>28026.82</v>
      </c>
      <c r="K325" s="6">
        <v>0</v>
      </c>
      <c r="L325" s="7">
        <v>0</v>
      </c>
      <c r="M325" s="7">
        <v>28026.82</v>
      </c>
      <c r="N325" s="7">
        <v>28026.82</v>
      </c>
      <c r="O325" s="7">
        <v>28026.82</v>
      </c>
      <c r="P325" s="8">
        <v>1</v>
      </c>
      <c r="Q325" s="7">
        <v>0</v>
      </c>
      <c r="R325" s="7">
        <v>0</v>
      </c>
      <c r="S325" s="1">
        <v>0.99087303000000004</v>
      </c>
      <c r="T325" s="7">
        <v>0</v>
      </c>
      <c r="U325" s="7">
        <v>28026.82</v>
      </c>
      <c r="V325" s="7">
        <v>19573.490000000002</v>
      </c>
      <c r="W325" s="7">
        <v>47600.31</v>
      </c>
      <c r="X325" s="7">
        <v>11900.08</v>
      </c>
      <c r="Y325" s="7">
        <v>21183.39</v>
      </c>
      <c r="Z325" s="7">
        <v>427.09</v>
      </c>
      <c r="AA325" s="7">
        <v>7794.43</v>
      </c>
      <c r="AB325" s="7">
        <v>2586.38</v>
      </c>
      <c r="AC325" s="7">
        <v>0</v>
      </c>
      <c r="AD325" s="7">
        <v>18516.599999999999</v>
      </c>
      <c r="AE325" s="7">
        <v>14826.98</v>
      </c>
      <c r="AF325" s="7">
        <v>2926.9</v>
      </c>
      <c r="AG325" s="7">
        <v>2926.9</v>
      </c>
      <c r="AH325" s="7">
        <v>0</v>
      </c>
      <c r="AI325" s="7">
        <v>25099.919999999998</v>
      </c>
      <c r="AJ325" s="7">
        <v>0</v>
      </c>
    </row>
    <row r="326" spans="1:36" x14ac:dyDescent="0.2">
      <c r="A326" s="1" t="s">
        <v>33</v>
      </c>
      <c r="B326" s="1">
        <v>2853</v>
      </c>
      <c r="C326" s="1">
        <v>1</v>
      </c>
      <c r="D326" s="1" t="s">
        <v>384</v>
      </c>
      <c r="E326" s="1">
        <v>37</v>
      </c>
      <c r="F326" s="5" t="s">
        <v>64</v>
      </c>
      <c r="G326" s="6">
        <v>8767</v>
      </c>
      <c r="H326" s="2">
        <v>2000</v>
      </c>
      <c r="I326" s="6">
        <v>9942541</v>
      </c>
      <c r="J326" s="7">
        <v>47517.14</v>
      </c>
      <c r="K326" s="6">
        <v>8767</v>
      </c>
      <c r="L326" s="7">
        <v>16218.95</v>
      </c>
      <c r="M326" s="7">
        <v>72503.09</v>
      </c>
      <c r="N326" s="7">
        <v>72503.09</v>
      </c>
      <c r="O326" s="7">
        <v>72503.09</v>
      </c>
      <c r="P326" s="8">
        <v>1</v>
      </c>
      <c r="Q326" s="7">
        <v>0</v>
      </c>
      <c r="R326" s="7">
        <v>0</v>
      </c>
      <c r="S326" s="1">
        <v>0.99087303000000004</v>
      </c>
      <c r="T326" s="7">
        <v>0</v>
      </c>
      <c r="U326" s="7">
        <v>72503.09</v>
      </c>
      <c r="V326" s="7">
        <v>178607.38</v>
      </c>
      <c r="W326" s="7">
        <v>251110.47</v>
      </c>
      <c r="X326" s="7">
        <v>62777.62</v>
      </c>
      <c r="Y326" s="7">
        <v>-1046.1300000000001</v>
      </c>
      <c r="Z326" s="7">
        <v>0</v>
      </c>
      <c r="AA326" s="7">
        <v>24453.19</v>
      </c>
      <c r="AB326" s="7">
        <v>0</v>
      </c>
      <c r="AC326" s="7">
        <v>0</v>
      </c>
      <c r="AD326" s="7">
        <v>37525.919999999998</v>
      </c>
      <c r="AE326" s="7">
        <v>20310.990000000002</v>
      </c>
      <c r="AF326" s="7">
        <v>0</v>
      </c>
      <c r="AG326" s="7">
        <v>0</v>
      </c>
      <c r="AH326" s="7">
        <v>0</v>
      </c>
      <c r="AI326" s="7">
        <v>72503.09</v>
      </c>
      <c r="AJ326" s="7">
        <v>0</v>
      </c>
    </row>
    <row r="327" spans="1:36" x14ac:dyDescent="0.2">
      <c r="A327" s="1" t="s">
        <v>33</v>
      </c>
      <c r="B327" s="1">
        <v>2854</v>
      </c>
      <c r="C327" s="1">
        <v>1</v>
      </c>
      <c r="D327" s="1" t="s">
        <v>385</v>
      </c>
      <c r="E327" s="1">
        <v>54</v>
      </c>
      <c r="F327" s="5" t="s">
        <v>59</v>
      </c>
      <c r="G327" s="6">
        <v>2729</v>
      </c>
      <c r="H327" s="2">
        <v>2000</v>
      </c>
      <c r="I327" s="6">
        <v>3038211</v>
      </c>
      <c r="J327" s="7">
        <v>14791.18</v>
      </c>
      <c r="K327" s="6">
        <v>0</v>
      </c>
      <c r="L327" s="7">
        <v>5048.6499999999996</v>
      </c>
      <c r="M327" s="7">
        <v>19839.830000000002</v>
      </c>
      <c r="N327" s="7">
        <v>19839.830000000002</v>
      </c>
      <c r="O327" s="7">
        <v>19839.830000000002</v>
      </c>
      <c r="P327" s="8">
        <v>1</v>
      </c>
      <c r="Q327" s="7">
        <v>0</v>
      </c>
      <c r="R327" s="7">
        <v>0</v>
      </c>
      <c r="S327" s="1">
        <v>0.99087303000000004</v>
      </c>
      <c r="T327" s="7">
        <v>0</v>
      </c>
      <c r="U327" s="7">
        <v>19839.830000000002</v>
      </c>
      <c r="V327" s="7">
        <v>138585.82999999999</v>
      </c>
      <c r="W327" s="7">
        <v>158425.66</v>
      </c>
      <c r="X327" s="7">
        <v>39606.42</v>
      </c>
      <c r="Y327" s="7">
        <v>-0.01</v>
      </c>
      <c r="Z327" s="7">
        <v>0</v>
      </c>
      <c r="AA327" s="7">
        <v>-0.01</v>
      </c>
      <c r="AB327" s="7">
        <v>0</v>
      </c>
      <c r="AC327" s="7">
        <v>0</v>
      </c>
      <c r="AD327" s="7">
        <v>-0.01</v>
      </c>
      <c r="AE327" s="7">
        <v>-0.01</v>
      </c>
      <c r="AF327" s="7">
        <v>0</v>
      </c>
      <c r="AG327" s="7">
        <v>0</v>
      </c>
      <c r="AH327" s="7">
        <v>0</v>
      </c>
      <c r="AI327" s="7">
        <v>19839.830000000002</v>
      </c>
      <c r="AJ327" s="7">
        <v>0</v>
      </c>
    </row>
    <row r="328" spans="1:36" x14ac:dyDescent="0.2">
      <c r="A328" s="1" t="s">
        <v>33</v>
      </c>
      <c r="B328" s="1">
        <v>2856</v>
      </c>
      <c r="C328" s="1">
        <v>1</v>
      </c>
      <c r="D328" s="1" t="s">
        <v>87</v>
      </c>
      <c r="E328" s="1">
        <v>45</v>
      </c>
      <c r="F328" s="5" t="s">
        <v>59</v>
      </c>
      <c r="G328" s="6">
        <v>2228</v>
      </c>
      <c r="H328" s="2">
        <v>2000</v>
      </c>
      <c r="I328" s="6">
        <v>2979192</v>
      </c>
      <c r="J328" s="7">
        <v>12075.76</v>
      </c>
      <c r="K328" s="6">
        <v>2228</v>
      </c>
      <c r="L328" s="7">
        <v>4121.8</v>
      </c>
      <c r="M328" s="7">
        <v>18425.560000000001</v>
      </c>
      <c r="N328" s="7">
        <v>18425.560000000001</v>
      </c>
      <c r="O328" s="7">
        <v>18425.560000000001</v>
      </c>
      <c r="P328" s="8">
        <v>1</v>
      </c>
      <c r="Q328" s="7">
        <v>0</v>
      </c>
      <c r="R328" s="7">
        <v>0</v>
      </c>
      <c r="S328" s="1">
        <v>0.99087303000000004</v>
      </c>
      <c r="T328" s="7">
        <v>0</v>
      </c>
      <c r="U328" s="7">
        <v>18425.560000000001</v>
      </c>
      <c r="V328" s="7">
        <v>53277.46</v>
      </c>
      <c r="W328" s="7">
        <v>71703.02</v>
      </c>
      <c r="X328" s="7">
        <v>17925.759999999998</v>
      </c>
      <c r="Y328" s="7">
        <v>3775.29</v>
      </c>
      <c r="Z328" s="7">
        <v>0</v>
      </c>
      <c r="AA328" s="7">
        <v>1117.46</v>
      </c>
      <c r="AB328" s="7">
        <v>0</v>
      </c>
      <c r="AC328" s="7">
        <v>0</v>
      </c>
      <c r="AD328" s="7">
        <v>100</v>
      </c>
      <c r="AE328" s="7">
        <v>1664.25</v>
      </c>
      <c r="AF328" s="7">
        <v>0</v>
      </c>
      <c r="AG328" s="7">
        <v>0</v>
      </c>
      <c r="AH328" s="7">
        <v>0</v>
      </c>
      <c r="AI328" s="7">
        <v>18425.560000000001</v>
      </c>
      <c r="AJ328" s="7">
        <v>0</v>
      </c>
    </row>
    <row r="329" spans="1:36" x14ac:dyDescent="0.2">
      <c r="A329" s="1" t="s">
        <v>33</v>
      </c>
      <c r="B329" s="1">
        <v>2859</v>
      </c>
      <c r="C329" s="1">
        <v>1</v>
      </c>
      <c r="D329" s="1" t="s">
        <v>386</v>
      </c>
      <c r="E329" s="1">
        <v>43</v>
      </c>
      <c r="F329" s="5" t="s">
        <v>68</v>
      </c>
      <c r="G329" s="6">
        <v>13012</v>
      </c>
      <c r="H329" s="2">
        <v>2000</v>
      </c>
      <c r="I329" s="6">
        <v>13100232</v>
      </c>
      <c r="J329" s="7">
        <v>70525.039999999994</v>
      </c>
      <c r="K329" s="6">
        <v>13012</v>
      </c>
      <c r="L329" s="7">
        <v>19795.16</v>
      </c>
      <c r="M329" s="7">
        <v>103332.2</v>
      </c>
      <c r="N329" s="7">
        <v>103332.2</v>
      </c>
      <c r="O329" s="7">
        <v>102560.83</v>
      </c>
      <c r="P329" s="8">
        <v>1</v>
      </c>
      <c r="Q329" s="7">
        <v>0</v>
      </c>
      <c r="R329" s="7">
        <v>0</v>
      </c>
      <c r="S329" s="1">
        <v>0.99087303000000004</v>
      </c>
      <c r="T329" s="7">
        <v>0</v>
      </c>
      <c r="U329" s="7">
        <v>105621.24</v>
      </c>
      <c r="V329" s="7">
        <v>276939.71000000002</v>
      </c>
      <c r="W329" s="7">
        <v>382560.95</v>
      </c>
      <c r="X329" s="7">
        <v>95640.24</v>
      </c>
      <c r="Y329" s="7">
        <v>112618.33</v>
      </c>
      <c r="Z329" s="7">
        <v>0</v>
      </c>
      <c r="AA329" s="7">
        <v>91714.19</v>
      </c>
      <c r="AB329" s="7">
        <v>5590.58</v>
      </c>
      <c r="AC329" s="7">
        <v>0</v>
      </c>
      <c r="AD329" s="7">
        <v>53907.519999999997</v>
      </c>
      <c r="AE329" s="7">
        <v>84216.49</v>
      </c>
      <c r="AF329" s="7">
        <v>0</v>
      </c>
      <c r="AG329" s="7">
        <v>0</v>
      </c>
      <c r="AH329" s="7">
        <v>0</v>
      </c>
      <c r="AI329" s="7">
        <v>102560.83</v>
      </c>
      <c r="AJ329" s="7">
        <v>0</v>
      </c>
    </row>
    <row r="330" spans="1:36" x14ac:dyDescent="0.2">
      <c r="A330" s="1" t="s">
        <v>33</v>
      </c>
      <c r="B330" s="1">
        <v>2860</v>
      </c>
      <c r="C330" s="1">
        <v>1</v>
      </c>
      <c r="D330" s="1" t="s">
        <v>85</v>
      </c>
      <c r="E330" s="1">
        <v>22</v>
      </c>
      <c r="F330" s="5" t="s">
        <v>57</v>
      </c>
      <c r="G330" s="6">
        <v>8998</v>
      </c>
      <c r="H330" s="2">
        <v>2000</v>
      </c>
      <c r="I330" s="6">
        <v>10077223</v>
      </c>
      <c r="J330" s="7">
        <v>48769.16</v>
      </c>
      <c r="K330" s="6">
        <v>8998</v>
      </c>
      <c r="L330" s="7">
        <v>16646.3</v>
      </c>
      <c r="M330" s="7">
        <v>74413.460000000006</v>
      </c>
      <c r="N330" s="7">
        <v>74413.460000000006</v>
      </c>
      <c r="O330" s="7">
        <v>74413.460000000006</v>
      </c>
      <c r="P330" s="8">
        <v>1</v>
      </c>
      <c r="Q330" s="7">
        <v>0</v>
      </c>
      <c r="R330" s="7">
        <v>0</v>
      </c>
      <c r="S330" s="1">
        <v>0.99087303000000004</v>
      </c>
      <c r="T330" s="7">
        <v>0</v>
      </c>
      <c r="U330" s="7">
        <v>74413.460000000006</v>
      </c>
      <c r="V330" s="7">
        <v>524549.1</v>
      </c>
      <c r="W330" s="7">
        <v>598962.56000000006</v>
      </c>
      <c r="X330" s="7">
        <v>149740.64000000001</v>
      </c>
      <c r="Y330" s="7">
        <v>83015.83</v>
      </c>
      <c r="Z330" s="7">
        <v>0</v>
      </c>
      <c r="AA330" s="7">
        <v>105430.51</v>
      </c>
      <c r="AB330" s="7">
        <v>0</v>
      </c>
      <c r="AC330" s="7">
        <v>0</v>
      </c>
      <c r="AD330" s="7">
        <v>84200.16</v>
      </c>
      <c r="AE330" s="7">
        <v>90882.17</v>
      </c>
      <c r="AF330" s="7">
        <v>0</v>
      </c>
      <c r="AG330" s="7">
        <v>0</v>
      </c>
      <c r="AH330" s="7">
        <v>0</v>
      </c>
      <c r="AI330" s="7">
        <v>74413.460000000006</v>
      </c>
      <c r="AJ330" s="7">
        <v>0</v>
      </c>
    </row>
    <row r="331" spans="1:36" x14ac:dyDescent="0.2">
      <c r="A331" s="1" t="s">
        <v>33</v>
      </c>
      <c r="B331" s="1">
        <v>2884</v>
      </c>
      <c r="C331" s="1">
        <v>1</v>
      </c>
      <c r="D331" s="1" t="s">
        <v>387</v>
      </c>
      <c r="E331" s="1">
        <v>17</v>
      </c>
      <c r="F331" s="5" t="s">
        <v>65</v>
      </c>
      <c r="G331" s="6">
        <v>3801</v>
      </c>
      <c r="H331" s="2">
        <v>2000</v>
      </c>
      <c r="I331" s="6">
        <v>6378718</v>
      </c>
      <c r="J331" s="7">
        <v>20601.419999999998</v>
      </c>
      <c r="K331" s="6">
        <v>0</v>
      </c>
      <c r="L331" s="7">
        <v>0</v>
      </c>
      <c r="M331" s="7">
        <v>20601.419999999998</v>
      </c>
      <c r="N331" s="7">
        <v>20601.419999999998</v>
      </c>
      <c r="O331" s="7">
        <v>20601.419999999998</v>
      </c>
      <c r="P331" s="8">
        <v>1</v>
      </c>
      <c r="Q331" s="7">
        <v>0</v>
      </c>
      <c r="R331" s="7">
        <v>0</v>
      </c>
      <c r="S331" s="1">
        <v>0.99087303000000004</v>
      </c>
      <c r="T331" s="7">
        <v>0</v>
      </c>
      <c r="U331" s="7">
        <v>20601.419999999998</v>
      </c>
      <c r="V331" s="7">
        <v>175501.64</v>
      </c>
      <c r="W331" s="7">
        <v>196103.06</v>
      </c>
      <c r="X331" s="7">
        <v>49025.77</v>
      </c>
      <c r="Y331" s="7">
        <v>457.37</v>
      </c>
      <c r="Z331" s="7">
        <v>0</v>
      </c>
      <c r="AA331" s="7">
        <v>5536.48</v>
      </c>
      <c r="AB331" s="7">
        <v>0</v>
      </c>
      <c r="AC331" s="7">
        <v>0</v>
      </c>
      <c r="AD331" s="7">
        <v>7605.22</v>
      </c>
      <c r="AE331" s="7">
        <v>4533.0200000000004</v>
      </c>
      <c r="AF331" s="7">
        <v>0</v>
      </c>
      <c r="AG331" s="7">
        <v>0</v>
      </c>
      <c r="AH331" s="7">
        <v>0</v>
      </c>
      <c r="AI331" s="7">
        <v>20601.419999999998</v>
      </c>
      <c r="AJ331" s="7">
        <v>0</v>
      </c>
    </row>
    <row r="332" spans="1:36" x14ac:dyDescent="0.2">
      <c r="A332" s="1" t="s">
        <v>33</v>
      </c>
      <c r="B332" s="1">
        <v>2886</v>
      </c>
      <c r="C332" s="1">
        <v>1</v>
      </c>
      <c r="D332" s="1" t="s">
        <v>394</v>
      </c>
      <c r="E332" s="1">
        <v>24</v>
      </c>
      <c r="F332" s="5" t="s">
        <v>61</v>
      </c>
      <c r="G332" s="6">
        <v>2778</v>
      </c>
      <c r="H332" s="2">
        <v>2000</v>
      </c>
      <c r="I332" s="6">
        <v>3327283</v>
      </c>
      <c r="J332" s="7">
        <v>15056.76</v>
      </c>
      <c r="K332" s="6">
        <v>0</v>
      </c>
      <c r="L332" s="7">
        <v>5139.3</v>
      </c>
      <c r="M332" s="7">
        <v>20196.060000000001</v>
      </c>
      <c r="N332" s="7">
        <v>20196.060000000001</v>
      </c>
      <c r="O332" s="7">
        <v>20196.060000000001</v>
      </c>
      <c r="P332" s="8">
        <v>1</v>
      </c>
      <c r="Q332" s="7">
        <v>0</v>
      </c>
      <c r="R332" s="7">
        <v>0</v>
      </c>
      <c r="S332" s="1">
        <v>0.99087303000000004</v>
      </c>
      <c r="T332" s="7">
        <v>0</v>
      </c>
      <c r="U332" s="7">
        <v>15056.76</v>
      </c>
      <c r="V332" s="7">
        <v>9805.2900000000009</v>
      </c>
      <c r="W332" s="7">
        <v>24862.05</v>
      </c>
      <c r="X332" s="7">
        <v>6215.51</v>
      </c>
      <c r="Y332" s="7">
        <v>7231.6</v>
      </c>
      <c r="Z332" s="7">
        <v>0</v>
      </c>
      <c r="AA332" s="7">
        <v>14099.26</v>
      </c>
      <c r="AB332" s="7">
        <v>3103.48</v>
      </c>
      <c r="AC332" s="7">
        <v>0</v>
      </c>
      <c r="AD332" s="7">
        <v>24980.36</v>
      </c>
      <c r="AE332" s="7">
        <v>14402.58</v>
      </c>
      <c r="AF332" s="7">
        <v>8187.07</v>
      </c>
      <c r="AG332" s="7">
        <v>8187.07</v>
      </c>
      <c r="AH332" s="7">
        <v>0</v>
      </c>
      <c r="AI332" s="7">
        <v>12008.99</v>
      </c>
      <c r="AJ332" s="7">
        <v>0</v>
      </c>
    </row>
    <row r="333" spans="1:36" x14ac:dyDescent="0.2">
      <c r="A333" s="1" t="s">
        <v>33</v>
      </c>
      <c r="B333" s="1">
        <v>2888</v>
      </c>
      <c r="C333" s="1">
        <v>1</v>
      </c>
      <c r="D333" s="1" t="s">
        <v>88</v>
      </c>
      <c r="E333" s="1">
        <v>6</v>
      </c>
      <c r="F333" s="5" t="s">
        <v>64</v>
      </c>
      <c r="G333" s="6">
        <v>2949</v>
      </c>
      <c r="H333" s="2">
        <v>2000</v>
      </c>
      <c r="I333" s="6">
        <v>5227230</v>
      </c>
      <c r="J333" s="7">
        <v>15983.58</v>
      </c>
      <c r="K333" s="6">
        <v>0</v>
      </c>
      <c r="L333" s="7">
        <v>0</v>
      </c>
      <c r="M333" s="7">
        <v>15983.58</v>
      </c>
      <c r="N333" s="7">
        <v>15983.58</v>
      </c>
      <c r="O333" s="7">
        <v>15983.58</v>
      </c>
      <c r="P333" s="8">
        <v>1</v>
      </c>
      <c r="Q333" s="7">
        <v>0</v>
      </c>
      <c r="R333" s="7">
        <v>0</v>
      </c>
      <c r="S333" s="1">
        <v>0.99087303000000004</v>
      </c>
      <c r="T333" s="7">
        <v>0</v>
      </c>
      <c r="U333" s="7">
        <v>15983.58</v>
      </c>
      <c r="V333" s="7">
        <v>21718.71</v>
      </c>
      <c r="W333" s="7">
        <v>37702.29</v>
      </c>
      <c r="X333" s="7">
        <v>9425.57</v>
      </c>
      <c r="Y333" s="7">
        <v>0.91</v>
      </c>
      <c r="Z333" s="7">
        <v>0</v>
      </c>
      <c r="AA333" s="7">
        <v>0</v>
      </c>
      <c r="AB333" s="7">
        <v>0</v>
      </c>
      <c r="AC333" s="7">
        <v>0</v>
      </c>
      <c r="AD333" s="7">
        <v>-11011.25</v>
      </c>
      <c r="AE333" s="7">
        <v>-3670.11</v>
      </c>
      <c r="AF333" s="7">
        <v>0</v>
      </c>
      <c r="AG333" s="7">
        <v>0</v>
      </c>
      <c r="AH333" s="7">
        <v>0</v>
      </c>
      <c r="AI333" s="7">
        <v>15983.58</v>
      </c>
      <c r="AJ333" s="7">
        <v>0</v>
      </c>
    </row>
    <row r="334" spans="1:36" x14ac:dyDescent="0.2">
      <c r="A334" s="1" t="s">
        <v>33</v>
      </c>
      <c r="B334" s="1">
        <v>2889</v>
      </c>
      <c r="C334" s="1">
        <v>1</v>
      </c>
      <c r="D334" s="1" t="s">
        <v>388</v>
      </c>
      <c r="E334" s="1">
        <v>3</v>
      </c>
      <c r="F334" s="5" t="s">
        <v>60</v>
      </c>
      <c r="G334" s="6">
        <v>4350</v>
      </c>
      <c r="H334" s="2">
        <v>2000</v>
      </c>
      <c r="I334" s="6">
        <v>10135686</v>
      </c>
      <c r="J334" s="7">
        <v>23577</v>
      </c>
      <c r="K334" s="6">
        <v>4350</v>
      </c>
      <c r="L334" s="7">
        <v>8047.5</v>
      </c>
      <c r="M334" s="7">
        <v>35974.5</v>
      </c>
      <c r="N334" s="7">
        <v>35974.5</v>
      </c>
      <c r="O334" s="7">
        <v>35974.5</v>
      </c>
      <c r="P334" s="8">
        <v>1</v>
      </c>
      <c r="Q334" s="7">
        <v>0</v>
      </c>
      <c r="R334" s="7">
        <v>0</v>
      </c>
      <c r="S334" s="1">
        <v>0.99087303000000004</v>
      </c>
      <c r="T334" s="7">
        <v>0</v>
      </c>
      <c r="U334" s="7">
        <v>35974.5</v>
      </c>
      <c r="V334" s="7">
        <v>51469.04</v>
      </c>
      <c r="W334" s="7">
        <v>87443.54</v>
      </c>
      <c r="X334" s="7">
        <v>21860.89</v>
      </c>
      <c r="Y334" s="7">
        <v>-60083.19</v>
      </c>
      <c r="Z334" s="7">
        <v>0</v>
      </c>
      <c r="AA334" s="7">
        <v>-59779.88</v>
      </c>
      <c r="AB334" s="7">
        <v>0</v>
      </c>
      <c r="AC334" s="7">
        <v>0</v>
      </c>
      <c r="AD334" s="7">
        <v>-54985.33</v>
      </c>
      <c r="AE334" s="7">
        <v>-58282.8</v>
      </c>
      <c r="AF334" s="7">
        <v>0</v>
      </c>
      <c r="AG334" s="7">
        <v>0</v>
      </c>
      <c r="AH334" s="7">
        <v>0</v>
      </c>
      <c r="AI334" s="7">
        <v>35974.5</v>
      </c>
      <c r="AJ334" s="7">
        <v>0</v>
      </c>
    </row>
    <row r="335" spans="1:36" x14ac:dyDescent="0.2">
      <c r="A335" s="1" t="s">
        <v>33</v>
      </c>
      <c r="B335" s="1">
        <v>2890</v>
      </c>
      <c r="C335" s="1">
        <v>1</v>
      </c>
      <c r="D335" s="1" t="s">
        <v>389</v>
      </c>
      <c r="E335" s="1">
        <v>65</v>
      </c>
      <c r="F335" s="5" t="s">
        <v>68</v>
      </c>
      <c r="G335" s="6">
        <v>4615</v>
      </c>
      <c r="H335" s="2">
        <v>2000</v>
      </c>
      <c r="I335" s="6">
        <v>7197121</v>
      </c>
      <c r="J335" s="7">
        <v>25013.3</v>
      </c>
      <c r="K335" s="6">
        <v>4615</v>
      </c>
      <c r="L335" s="7">
        <v>8537.75</v>
      </c>
      <c r="M335" s="7">
        <v>38166.050000000003</v>
      </c>
      <c r="N335" s="7">
        <v>38166.050000000003</v>
      </c>
      <c r="O335" s="7">
        <v>38166.050000000003</v>
      </c>
      <c r="P335" s="8">
        <v>1</v>
      </c>
      <c r="Q335" s="7">
        <v>0</v>
      </c>
      <c r="R335" s="7">
        <v>0</v>
      </c>
      <c r="S335" s="1">
        <v>0.99087303000000004</v>
      </c>
      <c r="T335" s="7">
        <v>0</v>
      </c>
      <c r="U335" s="7">
        <v>38166.050000000003</v>
      </c>
      <c r="V335" s="7">
        <v>47794.71</v>
      </c>
      <c r="W335" s="7">
        <v>85960.76</v>
      </c>
      <c r="X335" s="7">
        <v>21490.19</v>
      </c>
      <c r="Y335" s="7">
        <v>-34237.72</v>
      </c>
      <c r="Z335" s="7">
        <v>0</v>
      </c>
      <c r="AA335" s="7">
        <v>-16361.44</v>
      </c>
      <c r="AB335" s="7">
        <v>0</v>
      </c>
      <c r="AC335" s="7">
        <v>0</v>
      </c>
      <c r="AD335" s="7">
        <v>-24623.46</v>
      </c>
      <c r="AE335" s="7">
        <v>-25074.21</v>
      </c>
      <c r="AF335" s="7">
        <v>0</v>
      </c>
      <c r="AG335" s="7">
        <v>0</v>
      </c>
      <c r="AH335" s="7">
        <v>0</v>
      </c>
      <c r="AI335" s="7">
        <v>38166.050000000003</v>
      </c>
      <c r="AJ335" s="7">
        <v>0</v>
      </c>
    </row>
    <row r="336" spans="1:36" x14ac:dyDescent="0.2">
      <c r="A336" s="1" t="s">
        <v>33</v>
      </c>
      <c r="B336" s="1">
        <v>2895</v>
      </c>
      <c r="C336" s="1">
        <v>1</v>
      </c>
      <c r="D336" s="1" t="s">
        <v>390</v>
      </c>
      <c r="E336" s="1">
        <v>32</v>
      </c>
      <c r="F336" s="5" t="s">
        <v>65</v>
      </c>
      <c r="G336" s="6">
        <v>8495</v>
      </c>
      <c r="H336" s="2">
        <v>2000</v>
      </c>
      <c r="I336" s="6">
        <v>10209574</v>
      </c>
      <c r="J336" s="7">
        <v>46042.9</v>
      </c>
      <c r="K336" s="6">
        <v>8495</v>
      </c>
      <c r="L336" s="7">
        <v>15715.75</v>
      </c>
      <c r="M336" s="7">
        <v>70253.649999999994</v>
      </c>
      <c r="N336" s="7">
        <v>70253.649999999994</v>
      </c>
      <c r="O336" s="7">
        <v>70253.649999999994</v>
      </c>
      <c r="P336" s="8">
        <v>1</v>
      </c>
      <c r="Q336" s="7">
        <v>0</v>
      </c>
      <c r="R336" s="7">
        <v>0</v>
      </c>
      <c r="S336" s="1">
        <v>0.99087303000000004</v>
      </c>
      <c r="T336" s="7">
        <v>0</v>
      </c>
      <c r="U336" s="7">
        <v>70253.649999999994</v>
      </c>
      <c r="V336" s="7">
        <v>254865.7</v>
      </c>
      <c r="W336" s="7">
        <v>325119.34999999998</v>
      </c>
      <c r="X336" s="7">
        <v>81279.839999999997</v>
      </c>
      <c r="Y336" s="7">
        <v>-57058.66</v>
      </c>
      <c r="Z336" s="7">
        <v>0</v>
      </c>
      <c r="AA336" s="7">
        <v>-56173.89</v>
      </c>
      <c r="AB336" s="7">
        <v>0</v>
      </c>
      <c r="AC336" s="7">
        <v>0</v>
      </c>
      <c r="AD336" s="7">
        <v>-56814.78</v>
      </c>
      <c r="AE336" s="7">
        <v>-56682.44</v>
      </c>
      <c r="AF336" s="7">
        <v>0</v>
      </c>
      <c r="AG336" s="7">
        <v>0</v>
      </c>
      <c r="AH336" s="7">
        <v>0</v>
      </c>
      <c r="AI336" s="7">
        <v>70253.649999999994</v>
      </c>
      <c r="AJ336" s="7">
        <v>0</v>
      </c>
    </row>
    <row r="337" spans="1:36" x14ac:dyDescent="0.2">
      <c r="A337" s="1" t="s">
        <v>33</v>
      </c>
      <c r="B337" s="1">
        <v>2897</v>
      </c>
      <c r="C337" s="1">
        <v>1</v>
      </c>
      <c r="D337" s="1" t="s">
        <v>391</v>
      </c>
      <c r="E337" s="1">
        <v>64</v>
      </c>
      <c r="F337" s="5" t="s">
        <v>65</v>
      </c>
      <c r="G337" s="6">
        <v>8814</v>
      </c>
      <c r="H337" s="2">
        <v>2000</v>
      </c>
      <c r="I337" s="6">
        <v>7302861</v>
      </c>
      <c r="J337" s="7">
        <v>47771.88</v>
      </c>
      <c r="K337" s="6">
        <v>8814</v>
      </c>
      <c r="L337" s="7">
        <v>16305.9</v>
      </c>
      <c r="M337" s="7">
        <v>72891.78</v>
      </c>
      <c r="N337" s="7">
        <v>65725.75</v>
      </c>
      <c r="O337" s="7">
        <v>65725.75</v>
      </c>
      <c r="P337" s="8">
        <v>1</v>
      </c>
      <c r="Q337" s="7">
        <v>7166.03</v>
      </c>
      <c r="R337" s="7">
        <v>7166.03</v>
      </c>
      <c r="S337" s="1">
        <v>0.99087303000000004</v>
      </c>
      <c r="T337" s="7">
        <v>7100.63</v>
      </c>
      <c r="U337" s="7">
        <v>72891.78</v>
      </c>
      <c r="V337" s="7">
        <v>84394.59</v>
      </c>
      <c r="W337" s="7">
        <v>157286.37</v>
      </c>
      <c r="X337" s="7">
        <v>39321.589999999997</v>
      </c>
      <c r="Y337" s="7">
        <v>-23905.48</v>
      </c>
      <c r="Z337" s="7">
        <v>0</v>
      </c>
      <c r="AA337" s="7">
        <v>-6026.87</v>
      </c>
      <c r="AB337" s="7">
        <v>0</v>
      </c>
      <c r="AC337" s="7">
        <v>0</v>
      </c>
      <c r="AD337" s="7">
        <v>-1013.1</v>
      </c>
      <c r="AE337" s="7">
        <v>-10315.15</v>
      </c>
      <c r="AF337" s="7">
        <v>0</v>
      </c>
      <c r="AG337" s="7">
        <v>0</v>
      </c>
      <c r="AH337" s="7">
        <v>0</v>
      </c>
      <c r="AI337" s="7">
        <v>65725.75</v>
      </c>
      <c r="AJ337" s="7">
        <v>7166.03</v>
      </c>
    </row>
    <row r="338" spans="1:36" x14ac:dyDescent="0.2">
      <c r="A338" s="1" t="s">
        <v>33</v>
      </c>
      <c r="B338" s="1">
        <v>2898</v>
      </c>
      <c r="C338" s="1">
        <v>1</v>
      </c>
      <c r="D338" s="1" t="s">
        <v>91</v>
      </c>
      <c r="E338" s="1">
        <v>17</v>
      </c>
      <c r="F338" s="5" t="s">
        <v>65</v>
      </c>
      <c r="G338" s="6">
        <v>2932</v>
      </c>
      <c r="H338" s="2">
        <v>2000</v>
      </c>
      <c r="I338" s="6">
        <v>4704623</v>
      </c>
      <c r="J338" s="7">
        <v>15891.44</v>
      </c>
      <c r="K338" s="6">
        <v>0</v>
      </c>
      <c r="L338" s="7">
        <v>5424.2</v>
      </c>
      <c r="M338" s="7">
        <v>21315.64</v>
      </c>
      <c r="N338" s="7">
        <v>21315.64</v>
      </c>
      <c r="O338" s="7">
        <v>21315.64</v>
      </c>
      <c r="P338" s="8">
        <v>1</v>
      </c>
      <c r="Q338" s="7">
        <v>0</v>
      </c>
      <c r="R338" s="7">
        <v>0</v>
      </c>
      <c r="S338" s="1">
        <v>0.99087303000000004</v>
      </c>
      <c r="T338" s="7">
        <v>0</v>
      </c>
      <c r="U338" s="7">
        <v>15891.44</v>
      </c>
      <c r="V338" s="7">
        <v>83830.44</v>
      </c>
      <c r="W338" s="7">
        <v>99721.88</v>
      </c>
      <c r="X338" s="7">
        <v>24930.47</v>
      </c>
      <c r="Y338" s="7">
        <v>7182.6</v>
      </c>
      <c r="Z338" s="7">
        <v>0</v>
      </c>
      <c r="AA338" s="7">
        <v>0</v>
      </c>
      <c r="AB338" s="7">
        <v>0</v>
      </c>
      <c r="AC338" s="7">
        <v>0</v>
      </c>
      <c r="AD338" s="7">
        <v>2621</v>
      </c>
      <c r="AE338" s="7">
        <v>3267.87</v>
      </c>
      <c r="AF338" s="7">
        <v>0</v>
      </c>
      <c r="AG338" s="7">
        <v>0</v>
      </c>
      <c r="AH338" s="7">
        <v>0</v>
      </c>
      <c r="AI338" s="7">
        <v>21315.64</v>
      </c>
      <c r="AJ338" s="7">
        <v>0</v>
      </c>
    </row>
    <row r="339" spans="1:36" x14ac:dyDescent="0.2">
      <c r="A339" s="1" t="s">
        <v>33</v>
      </c>
      <c r="B339" s="1">
        <v>2899</v>
      </c>
      <c r="C339" s="1">
        <v>1</v>
      </c>
      <c r="D339" s="1" t="s">
        <v>397</v>
      </c>
      <c r="E339" s="1">
        <v>79</v>
      </c>
      <c r="F339" s="5" t="s">
        <v>61</v>
      </c>
      <c r="G339" s="6">
        <v>7754</v>
      </c>
      <c r="H339" s="2">
        <v>2000</v>
      </c>
      <c r="I339" s="6">
        <v>8443378</v>
      </c>
      <c r="J339" s="7">
        <v>42026.68</v>
      </c>
      <c r="K339" s="6">
        <v>7754</v>
      </c>
      <c r="L339" s="7">
        <v>14344.9</v>
      </c>
      <c r="M339" s="7">
        <v>64125.58</v>
      </c>
      <c r="N339" s="7">
        <v>64125.58</v>
      </c>
      <c r="O339" s="7">
        <v>64125.58</v>
      </c>
      <c r="P339" s="8">
        <v>1</v>
      </c>
      <c r="Q339" s="7">
        <v>0</v>
      </c>
      <c r="R339" s="7">
        <v>0</v>
      </c>
      <c r="S339" s="1">
        <v>0.99087303000000004</v>
      </c>
      <c r="T339" s="7">
        <v>0</v>
      </c>
      <c r="U339" s="7">
        <v>64125.58</v>
      </c>
      <c r="V339" s="7">
        <v>249050.08</v>
      </c>
      <c r="W339" s="7">
        <v>313175.65999999997</v>
      </c>
      <c r="X339" s="7">
        <v>78293.919999999998</v>
      </c>
      <c r="Y339" s="7">
        <v>79755.960000000006</v>
      </c>
      <c r="Z339" s="7">
        <v>0</v>
      </c>
      <c r="AA339" s="7">
        <v>113902.47</v>
      </c>
      <c r="AB339" s="7">
        <v>0</v>
      </c>
      <c r="AC339" s="7">
        <v>0</v>
      </c>
      <c r="AD339" s="7">
        <v>94357.49</v>
      </c>
      <c r="AE339" s="7">
        <v>96005.31</v>
      </c>
      <c r="AF339" s="7">
        <v>17711.39</v>
      </c>
      <c r="AG339" s="7">
        <v>17711.39</v>
      </c>
      <c r="AH339" s="7">
        <v>0</v>
      </c>
      <c r="AI339" s="7">
        <v>46414.19</v>
      </c>
      <c r="AJ339" s="7">
        <v>0</v>
      </c>
    </row>
    <row r="340" spans="1:36" x14ac:dyDescent="0.2">
      <c r="A340" s="1" t="s">
        <v>33</v>
      </c>
      <c r="B340" s="1">
        <v>2902</v>
      </c>
      <c r="C340" s="1">
        <v>1</v>
      </c>
      <c r="D340" s="1" t="s">
        <v>399</v>
      </c>
      <c r="E340" s="1">
        <v>41</v>
      </c>
      <c r="F340" s="5" t="s">
        <v>65</v>
      </c>
      <c r="G340" s="6">
        <v>3797</v>
      </c>
      <c r="H340" s="2">
        <v>2000</v>
      </c>
      <c r="I340" s="6">
        <v>4175372</v>
      </c>
      <c r="J340" s="7">
        <v>20579.740000000002</v>
      </c>
      <c r="K340" s="6">
        <v>3797</v>
      </c>
      <c r="L340" s="7">
        <v>7024.45</v>
      </c>
      <c r="M340" s="7">
        <v>31401.19</v>
      </c>
      <c r="N340" s="7">
        <v>31401.19</v>
      </c>
      <c r="O340" s="7">
        <v>31401.19</v>
      </c>
      <c r="P340" s="8">
        <v>1</v>
      </c>
      <c r="Q340" s="7">
        <v>0</v>
      </c>
      <c r="R340" s="7">
        <v>0</v>
      </c>
      <c r="S340" s="1">
        <v>0.99087303000000004</v>
      </c>
      <c r="T340" s="7">
        <v>0</v>
      </c>
      <c r="U340" s="7">
        <v>31401.19</v>
      </c>
      <c r="V340" s="7">
        <v>23665.51</v>
      </c>
      <c r="W340" s="7">
        <v>55066.7</v>
      </c>
      <c r="X340" s="7">
        <v>13766.68</v>
      </c>
      <c r="Y340" s="7">
        <v>17304.77</v>
      </c>
      <c r="Z340" s="7">
        <v>0</v>
      </c>
      <c r="AA340" s="7">
        <v>7214.03</v>
      </c>
      <c r="AB340" s="7">
        <v>0</v>
      </c>
      <c r="AC340" s="7">
        <v>0</v>
      </c>
      <c r="AD340" s="7">
        <v>5294.12</v>
      </c>
      <c r="AE340" s="7">
        <v>9937.64</v>
      </c>
      <c r="AF340" s="7">
        <v>0</v>
      </c>
      <c r="AG340" s="7">
        <v>0</v>
      </c>
      <c r="AH340" s="7">
        <v>0</v>
      </c>
      <c r="AI340" s="7">
        <v>31401.19</v>
      </c>
      <c r="AJ340" s="7">
        <v>0</v>
      </c>
    </row>
    <row r="341" spans="1:36" x14ac:dyDescent="0.2">
      <c r="A341" s="1" t="s">
        <v>33</v>
      </c>
      <c r="B341" s="1">
        <v>2903</v>
      </c>
      <c r="C341" s="1">
        <v>1</v>
      </c>
      <c r="D341" s="1" t="s">
        <v>403</v>
      </c>
      <c r="E341" s="1">
        <v>6</v>
      </c>
      <c r="F341" s="5" t="s">
        <v>64</v>
      </c>
      <c r="G341" s="6">
        <v>3897</v>
      </c>
      <c r="H341" s="2">
        <v>2000</v>
      </c>
      <c r="I341" s="6">
        <v>3921119</v>
      </c>
      <c r="J341" s="7">
        <v>21121.74</v>
      </c>
      <c r="K341" s="6">
        <v>3897</v>
      </c>
      <c r="L341" s="7">
        <v>7209.45</v>
      </c>
      <c r="M341" s="7">
        <v>32228.19</v>
      </c>
      <c r="N341" s="7">
        <v>32228.19</v>
      </c>
      <c r="O341" s="7">
        <v>32209.919999999998</v>
      </c>
      <c r="P341" s="8">
        <v>1</v>
      </c>
      <c r="Q341" s="7">
        <v>0</v>
      </c>
      <c r="R341" s="7">
        <v>0</v>
      </c>
      <c r="S341" s="1">
        <v>0.99087303000000004</v>
      </c>
      <c r="T341" s="7">
        <v>0</v>
      </c>
      <c r="U341" s="7">
        <v>33162.15</v>
      </c>
      <c r="V341" s="7">
        <v>12503.47</v>
      </c>
      <c r="W341" s="7">
        <v>45665.62</v>
      </c>
      <c r="X341" s="7">
        <v>11416.41</v>
      </c>
      <c r="Y341" s="7">
        <v>-80684.78</v>
      </c>
      <c r="Z341" s="7">
        <v>0</v>
      </c>
      <c r="AA341" s="7">
        <v>4172.6899999999996</v>
      </c>
      <c r="AB341" s="7">
        <v>2557.34</v>
      </c>
      <c r="AC341" s="7">
        <v>0</v>
      </c>
      <c r="AD341" s="7">
        <v>7662.5</v>
      </c>
      <c r="AE341" s="7">
        <v>-23802.31</v>
      </c>
      <c r="AF341" s="7">
        <v>0</v>
      </c>
      <c r="AG341" s="7">
        <v>0</v>
      </c>
      <c r="AH341" s="7">
        <v>0</v>
      </c>
      <c r="AI341" s="7">
        <v>32209.919999999998</v>
      </c>
      <c r="AJ341" s="7">
        <v>0</v>
      </c>
    </row>
    <row r="342" spans="1:36" x14ac:dyDescent="0.2">
      <c r="A342" s="1" t="s">
        <v>33</v>
      </c>
      <c r="B342" s="1">
        <v>2904</v>
      </c>
      <c r="C342" s="1">
        <v>1</v>
      </c>
      <c r="D342" s="1" t="s">
        <v>404</v>
      </c>
      <c r="E342" s="1">
        <v>42</v>
      </c>
      <c r="F342" s="5" t="s">
        <v>65</v>
      </c>
      <c r="G342" s="6">
        <v>5527</v>
      </c>
      <c r="H342" s="2">
        <v>2000</v>
      </c>
      <c r="I342" s="6">
        <v>7946346</v>
      </c>
      <c r="J342" s="7">
        <v>29956.34</v>
      </c>
      <c r="K342" s="6">
        <v>0</v>
      </c>
      <c r="L342" s="7">
        <v>10224.950000000001</v>
      </c>
      <c r="M342" s="7">
        <v>40181.29</v>
      </c>
      <c r="N342" s="7">
        <v>40181.29</v>
      </c>
      <c r="O342" s="7">
        <v>38344.03</v>
      </c>
      <c r="P342" s="8">
        <v>1</v>
      </c>
      <c r="Q342" s="7">
        <v>0</v>
      </c>
      <c r="R342" s="7">
        <v>0</v>
      </c>
      <c r="S342" s="1">
        <v>0.99087303000000004</v>
      </c>
      <c r="T342" s="7">
        <v>0</v>
      </c>
      <c r="U342" s="7">
        <v>42148.78</v>
      </c>
      <c r="V342" s="7">
        <v>40428.769999999997</v>
      </c>
      <c r="W342" s="7">
        <v>82577.55</v>
      </c>
      <c r="X342" s="7">
        <v>20644.39</v>
      </c>
      <c r="Y342" s="7">
        <v>10675.08</v>
      </c>
      <c r="Z342" s="7">
        <v>6067.13</v>
      </c>
      <c r="AA342" s="7">
        <v>-5413.25</v>
      </c>
      <c r="AB342" s="7">
        <v>4737.22</v>
      </c>
      <c r="AC342" s="7">
        <v>0</v>
      </c>
      <c r="AD342" s="7">
        <v>-12401.38</v>
      </c>
      <c r="AE342" s="7">
        <v>-5981.3</v>
      </c>
      <c r="AF342" s="7">
        <v>0</v>
      </c>
      <c r="AG342" s="7">
        <v>0</v>
      </c>
      <c r="AH342" s="7">
        <v>0</v>
      </c>
      <c r="AI342" s="7">
        <v>38344.03</v>
      </c>
      <c r="AJ342" s="7">
        <v>0</v>
      </c>
    </row>
  </sheetData>
  <sheetProtection password="8A77" sheet="1" objects="1" scenarios="1"/>
  <mergeCells count="24">
    <mergeCell ref="A2:A3"/>
    <mergeCell ref="B2:B3"/>
    <mergeCell ref="C2:C3"/>
    <mergeCell ref="D2:D3"/>
    <mergeCell ref="E2:E3"/>
    <mergeCell ref="AF2:AJ2"/>
    <mergeCell ref="B5:D5"/>
    <mergeCell ref="O2:O3"/>
    <mergeCell ref="P2:P3"/>
    <mergeCell ref="Q2:Q3"/>
    <mergeCell ref="R2:R3"/>
    <mergeCell ref="S2:S3"/>
    <mergeCell ref="T2:T3"/>
    <mergeCell ref="I2:I3"/>
    <mergeCell ref="J2:J3"/>
    <mergeCell ref="F2:F3"/>
    <mergeCell ref="G2:G3"/>
    <mergeCell ref="H2:H3"/>
    <mergeCell ref="U2:X2"/>
    <mergeCell ref="Y2:AE2"/>
    <mergeCell ref="K2:K3"/>
    <mergeCell ref="L2:L3"/>
    <mergeCell ref="M2:M3"/>
    <mergeCell ref="N2:N3"/>
  </mergeCells>
  <phoneticPr fontId="0" type="noConversion"/>
  <printOptions gridLines="1"/>
  <pageMargins left="0.5" right="0.21" top="0.6" bottom="0.61" header="0.3" footer="0.3"/>
  <pageSetup orientation="landscape" r:id="rId1"/>
  <headerFooter>
    <oddHeader>&amp;LMDE Program Finance&amp;CFY 2010 Community Education Revenue and Aid Calculation&amp;RFebruary 2010</oddHeader>
    <oddFooter>&amp;CPage &amp;P of &amp;N</oddFooter>
  </headerFooter>
  <rowBreaks count="1" manualBreakCount="1">
    <brk id="2" max="16383" man="1"/>
  </rowBreaks>
  <colBreaks count="3" manualBreakCount="3">
    <brk id="20" min="4" max="341" man="1"/>
    <brk id="24" max="1048575" man="1"/>
    <brk id="31" max="1048575" man="1"/>
  </colBreaks>
  <ignoredErrors>
    <ignoredError sqref="F247:F342 F7:F245" numberStoredAsText="1"/>
    <ignoredError sqref="G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1"/>
  <sheetViews>
    <sheetView topLeftCell="A2" zoomScaleNormal="10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C2" sqref="C2:C3"/>
    </sheetView>
  </sheetViews>
  <sheetFormatPr defaultRowHeight="12.75" x14ac:dyDescent="0.2"/>
  <cols>
    <col min="1" max="1" width="6.85546875" style="14" customWidth="1"/>
    <col min="2" max="2" width="7.140625" style="14" customWidth="1"/>
    <col min="3" max="3" width="4.7109375" style="14" customWidth="1"/>
    <col min="4" max="4" width="31.85546875" style="14" customWidth="1"/>
    <col min="5" max="5" width="9.140625" style="15"/>
    <col min="6" max="6" width="9.140625" style="14"/>
    <col min="7" max="8" width="10.5703125" style="14" bestFit="1" customWidth="1"/>
    <col min="9" max="9" width="15.28515625" style="14" bestFit="1" customWidth="1"/>
    <col min="10" max="14" width="13.28515625" style="14" bestFit="1" customWidth="1"/>
    <col min="15" max="15" width="9.5703125" style="14" bestFit="1" customWidth="1"/>
    <col min="16" max="16" width="13.28515625" style="14" hidden="1" customWidth="1"/>
    <col min="17" max="18" width="13.28515625" style="14" bestFit="1" customWidth="1"/>
    <col min="19" max="20" width="0" style="14" hidden="1" customWidth="1"/>
    <col min="21" max="21" width="10.5703125" style="14" bestFit="1" customWidth="1"/>
    <col min="22" max="25" width="13.28515625" style="14" bestFit="1" customWidth="1"/>
    <col min="26" max="26" width="12.28515625" style="14" bestFit="1" customWidth="1"/>
    <col min="27" max="27" width="10.5703125" style="14" bestFit="1" customWidth="1"/>
    <col min="28" max="28" width="12.28515625" style="14" bestFit="1" customWidth="1"/>
    <col min="29" max="29" width="10.5703125" style="14" bestFit="1" customWidth="1"/>
    <col min="30" max="30" width="9.28515625" style="14" bestFit="1" customWidth="1"/>
    <col min="31" max="32" width="12.28515625" style="14" bestFit="1" customWidth="1"/>
    <col min="33" max="35" width="10.5703125" style="14" bestFit="1" customWidth="1"/>
    <col min="36" max="37" width="13.28515625" style="14" bestFit="1" customWidth="1"/>
    <col min="38" max="16384" width="9.140625" style="14"/>
  </cols>
  <sheetData>
    <row r="1" spans="1:37" hidden="1" x14ac:dyDescent="0.2">
      <c r="A1" s="14" t="s">
        <v>0</v>
      </c>
      <c r="B1" s="14" t="s">
        <v>1</v>
      </c>
      <c r="C1" s="14" t="s">
        <v>2</v>
      </c>
      <c r="D1" s="14" t="s">
        <v>53</v>
      </c>
      <c r="E1" s="15" t="s">
        <v>54</v>
      </c>
      <c r="F1" s="14" t="s">
        <v>55</v>
      </c>
      <c r="G1" s="14" t="s">
        <v>34</v>
      </c>
      <c r="H1" s="14" t="s">
        <v>3</v>
      </c>
      <c r="I1" s="14" t="s">
        <v>5</v>
      </c>
      <c r="J1" s="14" t="s">
        <v>35</v>
      </c>
      <c r="K1" s="14" t="s">
        <v>36</v>
      </c>
      <c r="L1" s="14" t="s">
        <v>10</v>
      </c>
      <c r="M1" s="14" t="s">
        <v>37</v>
      </c>
      <c r="N1" s="14" t="s">
        <v>11</v>
      </c>
      <c r="O1" s="14" t="s">
        <v>12</v>
      </c>
      <c r="P1" s="14" t="s">
        <v>13</v>
      </c>
      <c r="Q1" s="14" t="s">
        <v>38</v>
      </c>
      <c r="R1" s="14" t="s">
        <v>14</v>
      </c>
      <c r="S1" s="14" t="s">
        <v>15</v>
      </c>
      <c r="T1" s="14" t="s">
        <v>16</v>
      </c>
      <c r="U1" s="14" t="s">
        <v>39</v>
      </c>
      <c r="V1" s="14" t="s">
        <v>40</v>
      </c>
      <c r="W1" s="14" t="s">
        <v>18</v>
      </c>
      <c r="X1" s="14" t="s">
        <v>41</v>
      </c>
      <c r="Y1" s="14" t="s">
        <v>20</v>
      </c>
      <c r="Z1" s="14" t="s">
        <v>21</v>
      </c>
      <c r="AA1" s="14" t="s">
        <v>22</v>
      </c>
      <c r="AB1" s="14" t="s">
        <v>23</v>
      </c>
      <c r="AC1" s="14" t="s">
        <v>24</v>
      </c>
      <c r="AD1" s="14" t="s">
        <v>25</v>
      </c>
      <c r="AE1" s="14" t="s">
        <v>26</v>
      </c>
      <c r="AF1" s="14" t="s">
        <v>27</v>
      </c>
      <c r="AG1" s="14" t="s">
        <v>28</v>
      </c>
      <c r="AH1" s="14" t="s">
        <v>29</v>
      </c>
      <c r="AI1" s="14" t="s">
        <v>30</v>
      </c>
      <c r="AJ1" s="14" t="s">
        <v>42</v>
      </c>
      <c r="AK1" s="14" t="s">
        <v>32</v>
      </c>
    </row>
    <row r="2" spans="1:37" ht="18" customHeight="1" x14ac:dyDescent="0.2">
      <c r="A2" s="39" t="s">
        <v>51</v>
      </c>
      <c r="B2" s="39" t="s">
        <v>52</v>
      </c>
      <c r="C2" s="39" t="s">
        <v>405</v>
      </c>
      <c r="D2" s="39" t="s">
        <v>406</v>
      </c>
      <c r="E2" s="39" t="s">
        <v>407</v>
      </c>
      <c r="F2" s="39" t="s">
        <v>420</v>
      </c>
      <c r="G2" s="39" t="s">
        <v>446</v>
      </c>
      <c r="H2" s="39" t="s">
        <v>447</v>
      </c>
      <c r="I2" s="39" t="s">
        <v>448</v>
      </c>
      <c r="J2" s="39" t="s">
        <v>471</v>
      </c>
      <c r="K2" s="39" t="s">
        <v>470</v>
      </c>
      <c r="L2" s="39" t="s">
        <v>449</v>
      </c>
      <c r="M2" s="39" t="s">
        <v>450</v>
      </c>
      <c r="N2" s="39" t="s">
        <v>451</v>
      </c>
      <c r="O2" s="41" t="s">
        <v>411</v>
      </c>
      <c r="Q2" s="41" t="s">
        <v>461</v>
      </c>
      <c r="R2" s="41" t="s">
        <v>453</v>
      </c>
      <c r="U2" s="41" t="s">
        <v>460</v>
      </c>
      <c r="V2" s="40" t="s">
        <v>462</v>
      </c>
      <c r="W2" s="40"/>
      <c r="X2" s="40"/>
      <c r="Y2" s="40"/>
      <c r="Z2" s="40" t="s">
        <v>463</v>
      </c>
      <c r="AA2" s="40"/>
      <c r="AB2" s="40"/>
      <c r="AC2" s="40"/>
      <c r="AD2" s="40"/>
      <c r="AE2" s="40"/>
      <c r="AF2" s="40"/>
      <c r="AG2" s="40" t="s">
        <v>439</v>
      </c>
      <c r="AH2" s="40"/>
      <c r="AI2" s="40"/>
      <c r="AJ2" s="40"/>
      <c r="AK2" s="40"/>
    </row>
    <row r="3" spans="1:37" s="19" customFormat="1" ht="90.75" customHeigh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19" t="s">
        <v>452</v>
      </c>
      <c r="Q3" s="41"/>
      <c r="R3" s="41"/>
      <c r="S3" s="19" t="s">
        <v>418</v>
      </c>
      <c r="T3" s="19" t="s">
        <v>454</v>
      </c>
      <c r="U3" s="41"/>
      <c r="V3" s="19" t="s">
        <v>455</v>
      </c>
      <c r="W3" s="19" t="s">
        <v>456</v>
      </c>
      <c r="X3" s="19" t="s">
        <v>457</v>
      </c>
      <c r="Y3" s="19" t="s">
        <v>458</v>
      </c>
      <c r="Z3" s="19" t="s">
        <v>430</v>
      </c>
      <c r="AA3" s="19" t="s">
        <v>464</v>
      </c>
      <c r="AB3" s="19" t="s">
        <v>432</v>
      </c>
      <c r="AC3" s="19" t="s">
        <v>465</v>
      </c>
      <c r="AD3" s="19" t="s">
        <v>466</v>
      </c>
      <c r="AE3" s="19" t="s">
        <v>435</v>
      </c>
      <c r="AF3" s="19" t="s">
        <v>469</v>
      </c>
      <c r="AG3" s="19" t="s">
        <v>417</v>
      </c>
      <c r="AH3" s="19" t="s">
        <v>467</v>
      </c>
      <c r="AI3" s="19" t="s">
        <v>468</v>
      </c>
      <c r="AJ3" s="19" t="s">
        <v>459</v>
      </c>
      <c r="AK3" s="19" t="s">
        <v>442</v>
      </c>
    </row>
    <row r="4" spans="1:37" ht="4.5" customHeight="1" x14ac:dyDescent="0.2"/>
    <row r="5" spans="1:37" s="20" customFormat="1" x14ac:dyDescent="0.2">
      <c r="A5" s="9" t="str">
        <f>+A7</f>
        <v>09-10</v>
      </c>
      <c r="B5" s="42" t="s">
        <v>444</v>
      </c>
      <c r="C5" s="42"/>
      <c r="D5" s="42"/>
      <c r="E5" s="21"/>
      <c r="G5" s="22">
        <f>SUM(G7:G341)</f>
        <v>361615</v>
      </c>
      <c r="H5" s="22">
        <f t="shared" ref="H5:AK5" si="0">SUM(H7:H341)</f>
        <v>364139</v>
      </c>
      <c r="I5" s="22">
        <f t="shared" si="0"/>
        <v>6774394533</v>
      </c>
      <c r="J5" s="22">
        <f t="shared" si="0"/>
        <v>43964040</v>
      </c>
      <c r="K5" s="22">
        <f t="shared" si="0"/>
        <v>44278440</v>
      </c>
      <c r="L5" s="22">
        <f t="shared" si="0"/>
        <v>22135031.459999993</v>
      </c>
      <c r="M5" s="22">
        <f t="shared" si="0"/>
        <v>22138982.819999993</v>
      </c>
      <c r="N5" s="22">
        <f t="shared" si="0"/>
        <v>22085031.459999993</v>
      </c>
      <c r="O5" s="23"/>
      <c r="P5" s="22">
        <f t="shared" si="0"/>
        <v>21829008.54000001</v>
      </c>
      <c r="Q5" s="22">
        <f t="shared" si="0"/>
        <v>22139457.180000007</v>
      </c>
      <c r="R5" s="22">
        <f t="shared" si="0"/>
        <v>22136247.40000001</v>
      </c>
      <c r="S5" s="22">
        <f t="shared" si="0"/>
        <v>335</v>
      </c>
      <c r="T5" s="22">
        <f t="shared" si="0"/>
        <v>22136247.40000001</v>
      </c>
      <c r="U5" s="22">
        <f t="shared" si="0"/>
        <v>568030.40000000014</v>
      </c>
      <c r="V5" s="22">
        <f t="shared" si="0"/>
        <v>43989720</v>
      </c>
      <c r="W5" s="22">
        <f t="shared" si="0"/>
        <v>13357237.410000011</v>
      </c>
      <c r="X5" s="22">
        <f t="shared" si="0"/>
        <v>57346957.409999952</v>
      </c>
      <c r="Y5" s="22">
        <f t="shared" si="0"/>
        <v>14336739.699999997</v>
      </c>
      <c r="Z5" s="22">
        <f t="shared" si="0"/>
        <v>6416565.5500000026</v>
      </c>
      <c r="AA5" s="22">
        <f t="shared" si="0"/>
        <v>274150.31999999995</v>
      </c>
      <c r="AB5" s="22">
        <f t="shared" si="0"/>
        <v>7835367.8600000022</v>
      </c>
      <c r="AC5" s="22">
        <f t="shared" si="0"/>
        <v>306120.73999999993</v>
      </c>
      <c r="AD5" s="22">
        <f t="shared" si="0"/>
        <v>0</v>
      </c>
      <c r="AE5" s="22">
        <f t="shared" si="0"/>
        <v>7178379.6399999941</v>
      </c>
      <c r="AF5" s="22">
        <f t="shared" si="0"/>
        <v>6950013.9900000002</v>
      </c>
      <c r="AG5" s="22">
        <f t="shared" si="0"/>
        <v>591804.09999999974</v>
      </c>
      <c r="AH5" s="22">
        <f t="shared" si="0"/>
        <v>351234.88000000006</v>
      </c>
      <c r="AI5" s="22">
        <f t="shared" si="0"/>
        <v>240569.21999999997</v>
      </c>
      <c r="AJ5" s="22">
        <f t="shared" si="0"/>
        <v>21787747.939999983</v>
      </c>
      <c r="AK5" s="22">
        <f t="shared" si="0"/>
        <v>21895678.18</v>
      </c>
    </row>
    <row r="6" spans="1:37" ht="5.25" customHeight="1" x14ac:dyDescent="0.2"/>
    <row r="7" spans="1:37" x14ac:dyDescent="0.2">
      <c r="A7" s="14" t="s">
        <v>33</v>
      </c>
      <c r="B7" s="14">
        <v>1</v>
      </c>
      <c r="C7" s="14">
        <v>1</v>
      </c>
      <c r="D7" s="14" t="s">
        <v>96</v>
      </c>
      <c r="E7" s="15">
        <v>1</v>
      </c>
      <c r="F7" s="15" t="s">
        <v>58</v>
      </c>
      <c r="G7" s="16">
        <v>520</v>
      </c>
      <c r="H7" s="16">
        <v>511</v>
      </c>
      <c r="I7" s="16">
        <v>21919113</v>
      </c>
      <c r="J7" s="16">
        <v>62400</v>
      </c>
      <c r="K7" s="16">
        <v>61320</v>
      </c>
      <c r="L7" s="17">
        <v>62400</v>
      </c>
      <c r="M7" s="17">
        <v>61320</v>
      </c>
      <c r="N7" s="17">
        <v>62400</v>
      </c>
      <c r="O7" s="18">
        <v>1</v>
      </c>
      <c r="P7" s="17">
        <v>0</v>
      </c>
      <c r="Q7" s="17">
        <v>0</v>
      </c>
      <c r="R7" s="17">
        <v>0</v>
      </c>
      <c r="S7" s="17">
        <v>1</v>
      </c>
      <c r="T7" s="17">
        <v>0</v>
      </c>
      <c r="U7" s="17">
        <v>817.6</v>
      </c>
      <c r="V7" s="16">
        <v>62400</v>
      </c>
      <c r="W7" s="17">
        <v>3536</v>
      </c>
      <c r="X7" s="17">
        <v>65936</v>
      </c>
      <c r="Y7" s="17">
        <v>16484</v>
      </c>
      <c r="Z7" s="17">
        <v>9577.18</v>
      </c>
      <c r="AA7" s="17">
        <v>0</v>
      </c>
      <c r="AB7" s="17">
        <v>18160.72</v>
      </c>
      <c r="AC7" s="17">
        <v>0</v>
      </c>
      <c r="AD7" s="17">
        <v>0</v>
      </c>
      <c r="AE7" s="17">
        <v>46058.81</v>
      </c>
      <c r="AF7" s="17">
        <v>24598.9</v>
      </c>
      <c r="AG7" s="17">
        <v>8114.9</v>
      </c>
      <c r="AH7" s="17">
        <v>8114.9</v>
      </c>
      <c r="AI7" s="17">
        <v>0</v>
      </c>
      <c r="AJ7" s="17">
        <v>53205.1</v>
      </c>
      <c r="AK7" s="17">
        <v>0</v>
      </c>
    </row>
    <row r="8" spans="1:37" x14ac:dyDescent="0.2">
      <c r="A8" s="14" t="s">
        <v>33</v>
      </c>
      <c r="B8" s="14">
        <v>1</v>
      </c>
      <c r="C8" s="14">
        <v>3</v>
      </c>
      <c r="D8" s="14" t="s">
        <v>392</v>
      </c>
      <c r="E8" s="15">
        <v>27</v>
      </c>
      <c r="F8" s="15" t="s">
        <v>56</v>
      </c>
      <c r="G8" s="16">
        <v>28313</v>
      </c>
      <c r="H8" s="16">
        <v>29006</v>
      </c>
      <c r="I8" s="16">
        <v>465314709</v>
      </c>
      <c r="J8" s="16">
        <v>3397560</v>
      </c>
      <c r="K8" s="16">
        <v>3480720</v>
      </c>
      <c r="L8" s="17">
        <v>1558869.42</v>
      </c>
      <c r="M8" s="17">
        <v>1558869.42</v>
      </c>
      <c r="N8" s="17">
        <v>1558869.42</v>
      </c>
      <c r="O8" s="18">
        <v>1</v>
      </c>
      <c r="P8" s="17">
        <v>1838690.58</v>
      </c>
      <c r="Q8" s="17">
        <v>1921850.58</v>
      </c>
      <c r="R8" s="17">
        <v>1921850.58</v>
      </c>
      <c r="S8" s="17">
        <v>1</v>
      </c>
      <c r="T8" s="17">
        <v>1921850.58</v>
      </c>
      <c r="U8" s="17">
        <v>46409.599999999999</v>
      </c>
      <c r="V8" s="16">
        <v>3397560</v>
      </c>
      <c r="W8" s="17">
        <v>252313.53</v>
      </c>
      <c r="X8" s="17">
        <v>3649873.53</v>
      </c>
      <c r="Y8" s="17">
        <v>912468.38</v>
      </c>
      <c r="Z8" s="17">
        <v>465853.67</v>
      </c>
      <c r="AA8" s="17">
        <v>0</v>
      </c>
      <c r="AB8" s="17">
        <v>404321.71</v>
      </c>
      <c r="AC8" s="17">
        <v>0</v>
      </c>
      <c r="AD8" s="17">
        <v>0</v>
      </c>
      <c r="AE8" s="17">
        <v>343103.99</v>
      </c>
      <c r="AF8" s="17">
        <v>404426.46</v>
      </c>
      <c r="AG8" s="17">
        <v>0</v>
      </c>
      <c r="AH8" s="17">
        <v>0</v>
      </c>
      <c r="AI8" s="17">
        <v>0</v>
      </c>
      <c r="AJ8" s="17">
        <v>1558869.42</v>
      </c>
      <c r="AK8" s="17">
        <v>1921850.58</v>
      </c>
    </row>
    <row r="9" spans="1:37" x14ac:dyDescent="0.2">
      <c r="A9" s="14" t="s">
        <v>33</v>
      </c>
      <c r="B9" s="14">
        <v>2</v>
      </c>
      <c r="C9" s="14">
        <v>1</v>
      </c>
      <c r="D9" s="14" t="s">
        <v>94</v>
      </c>
      <c r="E9" s="15">
        <v>1</v>
      </c>
      <c r="F9" s="15" t="s">
        <v>58</v>
      </c>
      <c r="G9" s="16">
        <v>84</v>
      </c>
      <c r="H9" s="16">
        <v>81</v>
      </c>
      <c r="I9" s="16">
        <v>1776776</v>
      </c>
      <c r="J9" s="16">
        <v>18000</v>
      </c>
      <c r="K9" s="16">
        <v>18000</v>
      </c>
      <c r="L9" s="17">
        <v>5952.45</v>
      </c>
      <c r="M9" s="17">
        <v>5952.45</v>
      </c>
      <c r="N9" s="17">
        <v>5952.45</v>
      </c>
      <c r="O9" s="18">
        <v>1</v>
      </c>
      <c r="P9" s="17">
        <v>12047.55</v>
      </c>
      <c r="Q9" s="17">
        <v>12047.55</v>
      </c>
      <c r="R9" s="17">
        <v>12047.55</v>
      </c>
      <c r="S9" s="17">
        <v>1</v>
      </c>
      <c r="T9" s="17">
        <v>12047.55</v>
      </c>
      <c r="U9" s="17">
        <v>129.6</v>
      </c>
      <c r="V9" s="16">
        <v>18000</v>
      </c>
      <c r="W9" s="17">
        <v>69640.490000000005</v>
      </c>
      <c r="X9" s="17">
        <v>87640.49</v>
      </c>
      <c r="Y9" s="17">
        <v>21910.12</v>
      </c>
      <c r="Z9" s="17">
        <v>6080.83</v>
      </c>
      <c r="AA9" s="17">
        <v>0</v>
      </c>
      <c r="AB9" s="17">
        <v>6908.5</v>
      </c>
      <c r="AC9" s="17">
        <v>0</v>
      </c>
      <c r="AD9" s="17">
        <v>0</v>
      </c>
      <c r="AE9" s="17">
        <v>7812.4</v>
      </c>
      <c r="AF9" s="17">
        <v>6933.91</v>
      </c>
      <c r="AG9" s="17">
        <v>0</v>
      </c>
      <c r="AH9" s="17">
        <v>0</v>
      </c>
      <c r="AI9" s="17">
        <v>0</v>
      </c>
      <c r="AJ9" s="17">
        <v>5952.45</v>
      </c>
      <c r="AK9" s="17">
        <v>12047.55</v>
      </c>
    </row>
    <row r="10" spans="1:37" x14ac:dyDescent="0.2">
      <c r="A10" s="14" t="s">
        <v>33</v>
      </c>
      <c r="B10" s="14">
        <v>4</v>
      </c>
      <c r="C10" s="14">
        <v>1</v>
      </c>
      <c r="D10" s="14" t="s">
        <v>95</v>
      </c>
      <c r="E10" s="15">
        <v>1</v>
      </c>
      <c r="F10" s="15" t="s">
        <v>58</v>
      </c>
      <c r="G10" s="16">
        <v>166</v>
      </c>
      <c r="H10" s="16">
        <v>149</v>
      </c>
      <c r="I10" s="16">
        <v>11338277</v>
      </c>
      <c r="J10" s="16">
        <v>19920</v>
      </c>
      <c r="K10" s="16">
        <v>18000</v>
      </c>
      <c r="L10" s="17">
        <v>19920</v>
      </c>
      <c r="M10" s="17">
        <v>18000</v>
      </c>
      <c r="N10" s="17">
        <v>19920</v>
      </c>
      <c r="O10" s="18">
        <v>1</v>
      </c>
      <c r="P10" s="17">
        <v>0</v>
      </c>
      <c r="Q10" s="17">
        <v>0</v>
      </c>
      <c r="R10" s="17">
        <v>0</v>
      </c>
      <c r="S10" s="17">
        <v>1</v>
      </c>
      <c r="T10" s="17">
        <v>0</v>
      </c>
      <c r="U10" s="17">
        <v>238.4</v>
      </c>
      <c r="V10" s="16">
        <v>19920</v>
      </c>
      <c r="W10" s="17">
        <v>3385.6</v>
      </c>
      <c r="X10" s="17">
        <v>23305.599999999999</v>
      </c>
      <c r="Y10" s="17">
        <v>5826.4</v>
      </c>
      <c r="Z10" s="17">
        <v>-29553.06</v>
      </c>
      <c r="AA10" s="17">
        <v>0</v>
      </c>
      <c r="AB10" s="17">
        <v>-28144.31</v>
      </c>
      <c r="AC10" s="17">
        <v>0</v>
      </c>
      <c r="AD10" s="17">
        <v>0</v>
      </c>
      <c r="AE10" s="17">
        <v>-25095.98</v>
      </c>
      <c r="AF10" s="17">
        <v>-27597.78</v>
      </c>
      <c r="AG10" s="17">
        <v>0</v>
      </c>
      <c r="AH10" s="17">
        <v>0</v>
      </c>
      <c r="AI10" s="17">
        <v>0</v>
      </c>
      <c r="AJ10" s="17">
        <v>18000</v>
      </c>
      <c r="AK10" s="17">
        <v>0</v>
      </c>
    </row>
    <row r="11" spans="1:37" x14ac:dyDescent="0.2">
      <c r="A11" s="14" t="s">
        <v>33</v>
      </c>
      <c r="B11" s="14">
        <v>6</v>
      </c>
      <c r="C11" s="14">
        <v>3</v>
      </c>
      <c r="D11" s="14" t="s">
        <v>393</v>
      </c>
      <c r="E11" s="15">
        <v>19</v>
      </c>
      <c r="F11" s="15" t="s">
        <v>56</v>
      </c>
      <c r="G11" s="16">
        <v>1320</v>
      </c>
      <c r="H11" s="16">
        <v>1386</v>
      </c>
      <c r="I11" s="16">
        <v>19832871</v>
      </c>
      <c r="J11" s="16">
        <v>158400</v>
      </c>
      <c r="K11" s="16">
        <v>166320</v>
      </c>
      <c r="L11" s="17">
        <v>66442.89</v>
      </c>
      <c r="M11" s="17">
        <v>66442.89</v>
      </c>
      <c r="N11" s="17">
        <v>66442.89</v>
      </c>
      <c r="O11" s="18">
        <v>1</v>
      </c>
      <c r="P11" s="17">
        <v>91957.11</v>
      </c>
      <c r="Q11" s="17">
        <v>99877.11</v>
      </c>
      <c r="R11" s="17">
        <v>99877.11</v>
      </c>
      <c r="S11" s="17">
        <v>1</v>
      </c>
      <c r="T11" s="17">
        <v>99877.11</v>
      </c>
      <c r="U11" s="17">
        <v>2217.6</v>
      </c>
      <c r="V11" s="16">
        <v>158400</v>
      </c>
      <c r="W11" s="17">
        <v>257664.14</v>
      </c>
      <c r="X11" s="17">
        <v>416064.14</v>
      </c>
      <c r="Y11" s="17">
        <v>104016.04</v>
      </c>
      <c r="Z11" s="17">
        <v>16799.490000000002</v>
      </c>
      <c r="AA11" s="17">
        <v>0</v>
      </c>
      <c r="AB11" s="17">
        <v>26892.63</v>
      </c>
      <c r="AC11" s="17">
        <v>0</v>
      </c>
      <c r="AD11" s="17">
        <v>0</v>
      </c>
      <c r="AE11" s="17">
        <v>26510.15</v>
      </c>
      <c r="AF11" s="17">
        <v>23400.76</v>
      </c>
      <c r="AG11" s="17">
        <v>0</v>
      </c>
      <c r="AH11" s="17">
        <v>0</v>
      </c>
      <c r="AI11" s="17">
        <v>0</v>
      </c>
      <c r="AJ11" s="17">
        <v>66442.89</v>
      </c>
      <c r="AK11" s="17">
        <v>99877.11</v>
      </c>
    </row>
    <row r="12" spans="1:37" x14ac:dyDescent="0.2">
      <c r="A12" s="14" t="s">
        <v>33</v>
      </c>
      <c r="B12" s="14">
        <v>11</v>
      </c>
      <c r="C12" s="14">
        <v>1</v>
      </c>
      <c r="D12" s="14" t="s">
        <v>97</v>
      </c>
      <c r="E12" s="15">
        <v>2</v>
      </c>
      <c r="F12" s="15" t="s">
        <v>56</v>
      </c>
      <c r="G12" s="16">
        <v>15775</v>
      </c>
      <c r="H12" s="16">
        <v>15500</v>
      </c>
      <c r="I12" s="16">
        <v>250906771</v>
      </c>
      <c r="J12" s="16">
        <v>1893000</v>
      </c>
      <c r="K12" s="16">
        <v>1860000</v>
      </c>
      <c r="L12" s="17">
        <v>840572.81</v>
      </c>
      <c r="M12" s="17">
        <v>840572.81</v>
      </c>
      <c r="N12" s="17">
        <v>840572.81</v>
      </c>
      <c r="O12" s="18">
        <v>1</v>
      </c>
      <c r="P12" s="17">
        <v>1052427.19</v>
      </c>
      <c r="Q12" s="17">
        <v>1019427.19</v>
      </c>
      <c r="R12" s="17">
        <v>1019427.19</v>
      </c>
      <c r="S12" s="17">
        <v>1</v>
      </c>
      <c r="T12" s="17">
        <v>1019427.19</v>
      </c>
      <c r="U12" s="17">
        <v>24800</v>
      </c>
      <c r="V12" s="16">
        <v>1893000</v>
      </c>
      <c r="W12" s="17">
        <v>245268.7</v>
      </c>
      <c r="X12" s="17">
        <v>2138268.7000000002</v>
      </c>
      <c r="Y12" s="17">
        <v>534567.18000000005</v>
      </c>
      <c r="Z12" s="17">
        <v>446432.24</v>
      </c>
      <c r="AA12" s="17">
        <v>0</v>
      </c>
      <c r="AB12" s="17">
        <v>436498.07</v>
      </c>
      <c r="AC12" s="17">
        <v>0</v>
      </c>
      <c r="AD12" s="17">
        <v>0</v>
      </c>
      <c r="AE12" s="17">
        <v>358880.67</v>
      </c>
      <c r="AF12" s="17">
        <v>413936.99</v>
      </c>
      <c r="AG12" s="17">
        <v>0</v>
      </c>
      <c r="AH12" s="17">
        <v>0</v>
      </c>
      <c r="AI12" s="17">
        <v>0</v>
      </c>
      <c r="AJ12" s="17">
        <v>840572.81</v>
      </c>
      <c r="AK12" s="17">
        <v>1019427.19</v>
      </c>
    </row>
    <row r="13" spans="1:37" x14ac:dyDescent="0.2">
      <c r="A13" s="14" t="s">
        <v>33</v>
      </c>
      <c r="B13" s="14">
        <v>12</v>
      </c>
      <c r="C13" s="14">
        <v>1</v>
      </c>
      <c r="D13" s="14" t="s">
        <v>396</v>
      </c>
      <c r="E13" s="15">
        <v>2</v>
      </c>
      <c r="F13" s="15" t="s">
        <v>56</v>
      </c>
      <c r="G13" s="16">
        <v>2400</v>
      </c>
      <c r="H13" s="16">
        <v>2300</v>
      </c>
      <c r="I13" s="16">
        <v>34726438</v>
      </c>
      <c r="J13" s="16">
        <v>288000</v>
      </c>
      <c r="K13" s="16">
        <v>276000</v>
      </c>
      <c r="L13" s="17">
        <v>116338.43</v>
      </c>
      <c r="M13" s="17">
        <v>116338.43</v>
      </c>
      <c r="N13" s="17">
        <v>116338.43</v>
      </c>
      <c r="O13" s="18">
        <v>1</v>
      </c>
      <c r="P13" s="17">
        <v>171661.57</v>
      </c>
      <c r="Q13" s="17">
        <v>159661.57</v>
      </c>
      <c r="R13" s="17">
        <v>159661.57</v>
      </c>
      <c r="S13" s="17">
        <v>1</v>
      </c>
      <c r="T13" s="17">
        <v>159661.57</v>
      </c>
      <c r="U13" s="17">
        <v>3680</v>
      </c>
      <c r="V13" s="16">
        <v>288000</v>
      </c>
      <c r="W13" s="17">
        <v>31496</v>
      </c>
      <c r="X13" s="17">
        <v>319496</v>
      </c>
      <c r="Y13" s="17">
        <v>79874</v>
      </c>
      <c r="Z13" s="17">
        <v>82470.509999999995</v>
      </c>
      <c r="AA13" s="17">
        <v>0</v>
      </c>
      <c r="AB13" s="17">
        <v>81405.149999999994</v>
      </c>
      <c r="AC13" s="17">
        <v>0</v>
      </c>
      <c r="AD13" s="17">
        <v>0</v>
      </c>
      <c r="AE13" s="17">
        <v>70692.149999999994</v>
      </c>
      <c r="AF13" s="17">
        <v>78189.27</v>
      </c>
      <c r="AG13" s="17">
        <v>0</v>
      </c>
      <c r="AH13" s="17">
        <v>0</v>
      </c>
      <c r="AI13" s="17">
        <v>0</v>
      </c>
      <c r="AJ13" s="17">
        <v>116338.43</v>
      </c>
      <c r="AK13" s="17">
        <v>159661.57</v>
      </c>
    </row>
    <row r="14" spans="1:37" x14ac:dyDescent="0.2">
      <c r="A14" s="14" t="s">
        <v>33</v>
      </c>
      <c r="B14" s="14">
        <v>13</v>
      </c>
      <c r="C14" s="14">
        <v>1</v>
      </c>
      <c r="D14" s="14" t="s">
        <v>98</v>
      </c>
      <c r="E14" s="15">
        <v>2</v>
      </c>
      <c r="F14" s="15" t="s">
        <v>56</v>
      </c>
      <c r="G14" s="16">
        <v>1510</v>
      </c>
      <c r="H14" s="16">
        <v>1560</v>
      </c>
      <c r="I14" s="16">
        <v>26597521</v>
      </c>
      <c r="J14" s="16">
        <v>181200</v>
      </c>
      <c r="K14" s="16">
        <v>187200</v>
      </c>
      <c r="L14" s="17">
        <v>89105.42</v>
      </c>
      <c r="M14" s="17">
        <v>89105.42</v>
      </c>
      <c r="N14" s="17">
        <v>89105.42</v>
      </c>
      <c r="O14" s="18">
        <v>1</v>
      </c>
      <c r="P14" s="17">
        <v>92094.58</v>
      </c>
      <c r="Q14" s="17">
        <v>98094.58</v>
      </c>
      <c r="R14" s="17">
        <v>98094.58</v>
      </c>
      <c r="S14" s="17">
        <v>1</v>
      </c>
      <c r="T14" s="17">
        <v>98094.58</v>
      </c>
      <c r="U14" s="17">
        <v>2496</v>
      </c>
      <c r="V14" s="16">
        <v>181200</v>
      </c>
      <c r="W14" s="17">
        <v>19819.759999999998</v>
      </c>
      <c r="X14" s="17">
        <v>201019.76</v>
      </c>
      <c r="Y14" s="17">
        <v>50254.94</v>
      </c>
      <c r="Z14" s="17">
        <v>28765.439999999999</v>
      </c>
      <c r="AA14" s="17">
        <v>0</v>
      </c>
      <c r="AB14" s="17">
        <v>52372.13</v>
      </c>
      <c r="AC14" s="17">
        <v>0</v>
      </c>
      <c r="AD14" s="17">
        <v>0</v>
      </c>
      <c r="AE14" s="17">
        <v>67823.09</v>
      </c>
      <c r="AF14" s="17">
        <v>49653.55</v>
      </c>
      <c r="AG14" s="17">
        <v>0</v>
      </c>
      <c r="AH14" s="17">
        <v>0</v>
      </c>
      <c r="AI14" s="17">
        <v>0</v>
      </c>
      <c r="AJ14" s="17">
        <v>89105.42</v>
      </c>
      <c r="AK14" s="17">
        <v>98094.58</v>
      </c>
    </row>
    <row r="15" spans="1:37" x14ac:dyDescent="0.2">
      <c r="A15" s="14" t="s">
        <v>33</v>
      </c>
      <c r="B15" s="14">
        <v>14</v>
      </c>
      <c r="C15" s="14">
        <v>1</v>
      </c>
      <c r="D15" s="14" t="s">
        <v>99</v>
      </c>
      <c r="E15" s="15">
        <v>2</v>
      </c>
      <c r="F15" s="15" t="s">
        <v>56</v>
      </c>
      <c r="G15" s="16">
        <v>1020</v>
      </c>
      <c r="H15" s="16">
        <v>1040</v>
      </c>
      <c r="I15" s="16">
        <v>17273665</v>
      </c>
      <c r="J15" s="16">
        <v>122400</v>
      </c>
      <c r="K15" s="16">
        <v>124800</v>
      </c>
      <c r="L15" s="17">
        <v>57869.2</v>
      </c>
      <c r="M15" s="17">
        <v>57869.2</v>
      </c>
      <c r="N15" s="17">
        <v>57869.2</v>
      </c>
      <c r="O15" s="18">
        <v>1</v>
      </c>
      <c r="P15" s="17">
        <v>64530.8</v>
      </c>
      <c r="Q15" s="17">
        <v>66930.8</v>
      </c>
      <c r="R15" s="17">
        <v>66930.8</v>
      </c>
      <c r="S15" s="17">
        <v>1</v>
      </c>
      <c r="T15" s="17">
        <v>66930.8</v>
      </c>
      <c r="U15" s="17">
        <v>1664</v>
      </c>
      <c r="V15" s="16">
        <v>122400</v>
      </c>
      <c r="W15" s="17">
        <v>20159.04</v>
      </c>
      <c r="X15" s="17">
        <v>142559.04000000001</v>
      </c>
      <c r="Y15" s="17">
        <v>35639.760000000002</v>
      </c>
      <c r="Z15" s="17">
        <v>20167.64</v>
      </c>
      <c r="AA15" s="17">
        <v>0</v>
      </c>
      <c r="AB15" s="17">
        <v>16364.48</v>
      </c>
      <c r="AC15" s="17">
        <v>0</v>
      </c>
      <c r="AD15" s="17">
        <v>0</v>
      </c>
      <c r="AE15" s="17">
        <v>8583.67</v>
      </c>
      <c r="AF15" s="17">
        <v>15038.6</v>
      </c>
      <c r="AG15" s="17">
        <v>0</v>
      </c>
      <c r="AH15" s="17">
        <v>0</v>
      </c>
      <c r="AI15" s="17">
        <v>0</v>
      </c>
      <c r="AJ15" s="17">
        <v>57869.2</v>
      </c>
      <c r="AK15" s="17">
        <v>66930.8</v>
      </c>
    </row>
    <row r="16" spans="1:37" x14ac:dyDescent="0.2">
      <c r="A16" s="14" t="s">
        <v>33</v>
      </c>
      <c r="B16" s="14">
        <v>15</v>
      </c>
      <c r="C16" s="14">
        <v>1</v>
      </c>
      <c r="D16" s="14" t="s">
        <v>100</v>
      </c>
      <c r="E16" s="15">
        <v>2</v>
      </c>
      <c r="F16" s="15" t="s">
        <v>56</v>
      </c>
      <c r="G16" s="16">
        <v>2425</v>
      </c>
      <c r="H16" s="16">
        <v>2445</v>
      </c>
      <c r="I16" s="16">
        <v>37783154</v>
      </c>
      <c r="J16" s="16">
        <v>291000</v>
      </c>
      <c r="K16" s="16">
        <v>293400</v>
      </c>
      <c r="L16" s="17">
        <v>126578.86</v>
      </c>
      <c r="M16" s="17">
        <v>126578.86</v>
      </c>
      <c r="N16" s="17">
        <v>126578.86</v>
      </c>
      <c r="O16" s="18">
        <v>1</v>
      </c>
      <c r="P16" s="17">
        <v>164421.14000000001</v>
      </c>
      <c r="Q16" s="17">
        <v>166821.14000000001</v>
      </c>
      <c r="R16" s="17">
        <v>166821.14000000001</v>
      </c>
      <c r="S16" s="17">
        <v>1</v>
      </c>
      <c r="T16" s="17">
        <v>166821.14000000001</v>
      </c>
      <c r="U16" s="17">
        <v>3912</v>
      </c>
      <c r="V16" s="16">
        <v>291000</v>
      </c>
      <c r="W16" s="17">
        <v>21342.29</v>
      </c>
      <c r="X16" s="17">
        <v>312342.28999999998</v>
      </c>
      <c r="Y16" s="17">
        <v>78085.570000000007</v>
      </c>
      <c r="Z16" s="17">
        <v>32567.86</v>
      </c>
      <c r="AA16" s="17">
        <v>0</v>
      </c>
      <c r="AB16" s="17">
        <v>66388.850000000006</v>
      </c>
      <c r="AC16" s="17">
        <v>0</v>
      </c>
      <c r="AD16" s="17">
        <v>0</v>
      </c>
      <c r="AE16" s="17">
        <v>71759.710000000006</v>
      </c>
      <c r="AF16" s="17">
        <v>56905.47</v>
      </c>
      <c r="AG16" s="17">
        <v>0</v>
      </c>
      <c r="AH16" s="17">
        <v>0</v>
      </c>
      <c r="AI16" s="17">
        <v>0</v>
      </c>
      <c r="AJ16" s="17">
        <v>126578.86</v>
      </c>
      <c r="AK16" s="17">
        <v>166821.14000000001</v>
      </c>
    </row>
    <row r="17" spans="1:37" x14ac:dyDescent="0.2">
      <c r="A17" s="14" t="s">
        <v>33</v>
      </c>
      <c r="B17" s="14">
        <v>16</v>
      </c>
      <c r="C17" s="14">
        <v>1</v>
      </c>
      <c r="D17" s="14" t="s">
        <v>101</v>
      </c>
      <c r="E17" s="15">
        <v>2</v>
      </c>
      <c r="F17" s="15" t="s">
        <v>56</v>
      </c>
      <c r="G17" s="16">
        <v>1886</v>
      </c>
      <c r="H17" s="16">
        <v>1973</v>
      </c>
      <c r="I17" s="16">
        <v>45004167</v>
      </c>
      <c r="J17" s="16">
        <v>226320</v>
      </c>
      <c r="K17" s="16">
        <v>236760</v>
      </c>
      <c r="L17" s="17">
        <v>150770.26</v>
      </c>
      <c r="M17" s="17">
        <v>150770.26</v>
      </c>
      <c r="N17" s="17">
        <v>150770.26</v>
      </c>
      <c r="O17" s="18">
        <v>1</v>
      </c>
      <c r="P17" s="17">
        <v>75549.740000000005</v>
      </c>
      <c r="Q17" s="17">
        <v>85989.74</v>
      </c>
      <c r="R17" s="17">
        <v>85989.74</v>
      </c>
      <c r="S17" s="17">
        <v>1</v>
      </c>
      <c r="T17" s="17">
        <v>85989.74</v>
      </c>
      <c r="U17" s="17">
        <v>3156.8</v>
      </c>
      <c r="V17" s="16">
        <v>226320</v>
      </c>
      <c r="W17" s="17">
        <v>3017.6</v>
      </c>
      <c r="X17" s="17">
        <v>229337.60000000001</v>
      </c>
      <c r="Y17" s="17">
        <v>57334.400000000001</v>
      </c>
      <c r="Z17" s="17">
        <v>-13412.43</v>
      </c>
      <c r="AA17" s="17">
        <v>0</v>
      </c>
      <c r="AB17" s="17">
        <v>-11733.85</v>
      </c>
      <c r="AC17" s="17">
        <v>0</v>
      </c>
      <c r="AD17" s="17">
        <v>0</v>
      </c>
      <c r="AE17" s="17">
        <v>106.35</v>
      </c>
      <c r="AF17" s="17">
        <v>-8346.64</v>
      </c>
      <c r="AG17" s="17">
        <v>0</v>
      </c>
      <c r="AH17" s="17">
        <v>0</v>
      </c>
      <c r="AI17" s="17">
        <v>0</v>
      </c>
      <c r="AJ17" s="17">
        <v>150770.26</v>
      </c>
      <c r="AK17" s="17">
        <v>85989.74</v>
      </c>
    </row>
    <row r="18" spans="1:37" x14ac:dyDescent="0.2">
      <c r="A18" s="14" t="s">
        <v>33</v>
      </c>
      <c r="B18" s="14">
        <v>22</v>
      </c>
      <c r="C18" s="14">
        <v>1</v>
      </c>
      <c r="D18" s="14" t="s">
        <v>102</v>
      </c>
      <c r="E18" s="15">
        <v>3</v>
      </c>
      <c r="F18" s="15" t="s">
        <v>60</v>
      </c>
      <c r="G18" s="16">
        <v>1034</v>
      </c>
      <c r="H18" s="16">
        <v>1052</v>
      </c>
      <c r="I18" s="16">
        <v>22530807</v>
      </c>
      <c r="J18" s="16">
        <v>124080</v>
      </c>
      <c r="K18" s="16">
        <v>126240</v>
      </c>
      <c r="L18" s="17">
        <v>75481.36</v>
      </c>
      <c r="M18" s="17">
        <v>75481.36</v>
      </c>
      <c r="N18" s="17">
        <v>75481.36</v>
      </c>
      <c r="O18" s="18">
        <v>1</v>
      </c>
      <c r="P18" s="17">
        <v>48598.64</v>
      </c>
      <c r="Q18" s="17">
        <v>50758.64</v>
      </c>
      <c r="R18" s="17">
        <v>50758.64</v>
      </c>
      <c r="S18" s="17">
        <v>1</v>
      </c>
      <c r="T18" s="17">
        <v>50758.64</v>
      </c>
      <c r="U18" s="17">
        <v>1683.2</v>
      </c>
      <c r="V18" s="16">
        <v>124080</v>
      </c>
      <c r="W18" s="17">
        <v>13542.87</v>
      </c>
      <c r="X18" s="17">
        <v>137622.87</v>
      </c>
      <c r="Y18" s="17">
        <v>34405.72</v>
      </c>
      <c r="Z18" s="17">
        <v>24889.08</v>
      </c>
      <c r="AA18" s="17">
        <v>0</v>
      </c>
      <c r="AB18" s="17">
        <v>26433.34</v>
      </c>
      <c r="AC18" s="17">
        <v>0</v>
      </c>
      <c r="AD18" s="17">
        <v>0</v>
      </c>
      <c r="AE18" s="17">
        <v>30889.42</v>
      </c>
      <c r="AF18" s="17">
        <v>27403.95</v>
      </c>
      <c r="AG18" s="17">
        <v>0</v>
      </c>
      <c r="AH18" s="17">
        <v>0</v>
      </c>
      <c r="AI18" s="17">
        <v>0</v>
      </c>
      <c r="AJ18" s="17">
        <v>75481.36</v>
      </c>
      <c r="AK18" s="17">
        <v>50758.64</v>
      </c>
    </row>
    <row r="19" spans="1:37" x14ac:dyDescent="0.2">
      <c r="A19" s="14" t="s">
        <v>33</v>
      </c>
      <c r="B19" s="14">
        <v>23</v>
      </c>
      <c r="C19" s="14">
        <v>1</v>
      </c>
      <c r="D19" s="14" t="s">
        <v>103</v>
      </c>
      <c r="E19" s="15">
        <v>3</v>
      </c>
      <c r="F19" s="15" t="s">
        <v>60</v>
      </c>
      <c r="G19" s="16">
        <v>465</v>
      </c>
      <c r="H19" s="16">
        <v>470</v>
      </c>
      <c r="I19" s="16">
        <v>8338227</v>
      </c>
      <c r="J19" s="16">
        <v>55800</v>
      </c>
      <c r="K19" s="16">
        <v>56400</v>
      </c>
      <c r="L19" s="17">
        <v>27934.23</v>
      </c>
      <c r="M19" s="17">
        <v>27934.23</v>
      </c>
      <c r="N19" s="17">
        <v>27934.23</v>
      </c>
      <c r="O19" s="18">
        <v>1</v>
      </c>
      <c r="P19" s="17">
        <v>27865.77</v>
      </c>
      <c r="Q19" s="17">
        <v>28465.77</v>
      </c>
      <c r="R19" s="17">
        <v>28465.77</v>
      </c>
      <c r="S19" s="17">
        <v>1</v>
      </c>
      <c r="T19" s="17">
        <v>28465.77</v>
      </c>
      <c r="U19" s="17">
        <v>752</v>
      </c>
      <c r="V19" s="16">
        <v>55800</v>
      </c>
      <c r="W19" s="17">
        <v>3588.62</v>
      </c>
      <c r="X19" s="17">
        <v>59388.62</v>
      </c>
      <c r="Y19" s="17">
        <v>14847.16</v>
      </c>
      <c r="Z19" s="17">
        <v>6872.44</v>
      </c>
      <c r="AA19" s="17">
        <v>0</v>
      </c>
      <c r="AB19" s="17">
        <v>18641.849999999999</v>
      </c>
      <c r="AC19" s="17">
        <v>0</v>
      </c>
      <c r="AD19" s="17">
        <v>0</v>
      </c>
      <c r="AE19" s="17">
        <v>9132.19</v>
      </c>
      <c r="AF19" s="17">
        <v>11548.83</v>
      </c>
      <c r="AG19" s="17">
        <v>0</v>
      </c>
      <c r="AH19" s="17">
        <v>0</v>
      </c>
      <c r="AI19" s="17">
        <v>0</v>
      </c>
      <c r="AJ19" s="17">
        <v>27934.23</v>
      </c>
      <c r="AK19" s="17">
        <v>28465.77</v>
      </c>
    </row>
    <row r="20" spans="1:37" x14ac:dyDescent="0.2">
      <c r="A20" s="14" t="s">
        <v>33</v>
      </c>
      <c r="B20" s="14">
        <v>25</v>
      </c>
      <c r="C20" s="14">
        <v>1</v>
      </c>
      <c r="D20" s="14" t="s">
        <v>104</v>
      </c>
      <c r="E20" s="15">
        <v>3</v>
      </c>
      <c r="F20" s="15" t="s">
        <v>60</v>
      </c>
      <c r="G20" s="16">
        <v>52</v>
      </c>
      <c r="H20" s="16">
        <v>62</v>
      </c>
      <c r="I20" s="16">
        <v>0</v>
      </c>
      <c r="J20" s="16">
        <v>18000</v>
      </c>
      <c r="K20" s="16">
        <v>18000</v>
      </c>
      <c r="L20" s="17">
        <v>0</v>
      </c>
      <c r="M20" s="17">
        <v>0</v>
      </c>
      <c r="N20" s="17">
        <v>0</v>
      </c>
      <c r="O20" s="18">
        <v>1</v>
      </c>
      <c r="P20" s="17">
        <v>18000</v>
      </c>
      <c r="Q20" s="17">
        <v>18000</v>
      </c>
      <c r="R20" s="17">
        <v>18000</v>
      </c>
      <c r="S20" s="17">
        <v>1</v>
      </c>
      <c r="T20" s="17">
        <v>18000</v>
      </c>
      <c r="U20" s="17">
        <v>0</v>
      </c>
      <c r="V20" s="16">
        <v>18000</v>
      </c>
      <c r="W20" s="17">
        <v>27832.73</v>
      </c>
      <c r="X20" s="17">
        <v>45832.73</v>
      </c>
      <c r="Y20" s="17">
        <v>11458.18</v>
      </c>
      <c r="Z20" s="17">
        <v>0</v>
      </c>
      <c r="AA20" s="17">
        <v>0</v>
      </c>
      <c r="AB20" s="17">
        <v>4598.79</v>
      </c>
      <c r="AC20" s="17">
        <v>0</v>
      </c>
      <c r="AD20" s="17">
        <v>0</v>
      </c>
      <c r="AE20" s="17">
        <v>4584.42</v>
      </c>
      <c r="AF20" s="17">
        <v>3061.07</v>
      </c>
      <c r="AG20" s="17">
        <v>0</v>
      </c>
      <c r="AH20" s="17">
        <v>0</v>
      </c>
      <c r="AI20" s="17">
        <v>0</v>
      </c>
      <c r="AJ20" s="17">
        <v>0</v>
      </c>
      <c r="AK20" s="17">
        <v>18000</v>
      </c>
    </row>
    <row r="21" spans="1:37" x14ac:dyDescent="0.2">
      <c r="A21" s="14" t="s">
        <v>33</v>
      </c>
      <c r="B21" s="14">
        <v>31</v>
      </c>
      <c r="C21" s="14">
        <v>1</v>
      </c>
      <c r="D21" s="14" t="s">
        <v>105</v>
      </c>
      <c r="E21" s="15">
        <v>4</v>
      </c>
      <c r="F21" s="15" t="s">
        <v>62</v>
      </c>
      <c r="G21" s="16">
        <v>2535</v>
      </c>
      <c r="H21" s="16">
        <v>2898</v>
      </c>
      <c r="I21" s="16">
        <v>31813230</v>
      </c>
      <c r="J21" s="16">
        <v>304200</v>
      </c>
      <c r="K21" s="16">
        <v>347760</v>
      </c>
      <c r="L21" s="17">
        <v>106578.77</v>
      </c>
      <c r="M21" s="17">
        <v>106578.77</v>
      </c>
      <c r="N21" s="17">
        <v>106578.77</v>
      </c>
      <c r="O21" s="18">
        <v>1</v>
      </c>
      <c r="P21" s="17">
        <v>197621.23</v>
      </c>
      <c r="Q21" s="17">
        <v>241181.23</v>
      </c>
      <c r="R21" s="17">
        <v>241181.23</v>
      </c>
      <c r="S21" s="17">
        <v>1</v>
      </c>
      <c r="T21" s="17">
        <v>241181.23</v>
      </c>
      <c r="U21" s="17">
        <v>4636.8</v>
      </c>
      <c r="V21" s="16">
        <v>304200</v>
      </c>
      <c r="W21" s="17">
        <v>41084.080000000002</v>
      </c>
      <c r="X21" s="17">
        <v>345284.08</v>
      </c>
      <c r="Y21" s="17">
        <v>86321.02</v>
      </c>
      <c r="Z21" s="17">
        <v>26939.39</v>
      </c>
      <c r="AA21" s="17">
        <v>0</v>
      </c>
      <c r="AB21" s="17">
        <v>93179.9</v>
      </c>
      <c r="AC21" s="17">
        <v>0</v>
      </c>
      <c r="AD21" s="17">
        <v>0</v>
      </c>
      <c r="AE21" s="17">
        <v>121219.91</v>
      </c>
      <c r="AF21" s="17">
        <v>80446.399999999994</v>
      </c>
      <c r="AG21" s="17">
        <v>0</v>
      </c>
      <c r="AH21" s="17">
        <v>0</v>
      </c>
      <c r="AI21" s="17">
        <v>0</v>
      </c>
      <c r="AJ21" s="17">
        <v>106578.77</v>
      </c>
      <c r="AK21" s="17">
        <v>241181.23</v>
      </c>
    </row>
    <row r="22" spans="1:37" x14ac:dyDescent="0.2">
      <c r="A22" s="14" t="s">
        <v>33</v>
      </c>
      <c r="B22" s="14">
        <v>32</v>
      </c>
      <c r="C22" s="14">
        <v>1</v>
      </c>
      <c r="D22" s="14" t="s">
        <v>106</v>
      </c>
      <c r="E22" s="15">
        <v>4</v>
      </c>
      <c r="F22" s="15" t="s">
        <v>62</v>
      </c>
      <c r="G22" s="16">
        <v>194</v>
      </c>
      <c r="H22" s="16">
        <v>232</v>
      </c>
      <c r="I22" s="16">
        <v>4268746</v>
      </c>
      <c r="J22" s="16">
        <v>23280</v>
      </c>
      <c r="K22" s="16">
        <v>27840</v>
      </c>
      <c r="L22" s="17">
        <v>14300.9</v>
      </c>
      <c r="M22" s="17">
        <v>14300.9</v>
      </c>
      <c r="N22" s="17">
        <v>14300.9</v>
      </c>
      <c r="O22" s="18">
        <v>1</v>
      </c>
      <c r="P22" s="17">
        <v>8979.1</v>
      </c>
      <c r="Q22" s="17">
        <v>13539.1</v>
      </c>
      <c r="R22" s="17">
        <v>13539.1</v>
      </c>
      <c r="S22" s="17">
        <v>1</v>
      </c>
      <c r="T22" s="17">
        <v>13539.1</v>
      </c>
      <c r="U22" s="17">
        <v>371.2</v>
      </c>
      <c r="V22" s="16">
        <v>23280</v>
      </c>
      <c r="W22" s="17">
        <v>1329.4</v>
      </c>
      <c r="X22" s="17">
        <v>24609.4</v>
      </c>
      <c r="Y22" s="17">
        <v>6152.35</v>
      </c>
      <c r="Z22" s="17">
        <v>7948</v>
      </c>
      <c r="AA22" s="17">
        <v>0</v>
      </c>
      <c r="AB22" s="17">
        <v>5544.6</v>
      </c>
      <c r="AC22" s="17">
        <v>1062.44</v>
      </c>
      <c r="AD22" s="17">
        <v>0</v>
      </c>
      <c r="AE22" s="17">
        <v>1146.3800000000001</v>
      </c>
      <c r="AF22" s="17">
        <v>4525.51</v>
      </c>
      <c r="AG22" s="17">
        <v>0</v>
      </c>
      <c r="AH22" s="17">
        <v>0</v>
      </c>
      <c r="AI22" s="17">
        <v>0</v>
      </c>
      <c r="AJ22" s="17">
        <v>14300.9</v>
      </c>
      <c r="AK22" s="17">
        <v>13539.1</v>
      </c>
    </row>
    <row r="23" spans="1:37" x14ac:dyDescent="0.2">
      <c r="A23" s="14" t="s">
        <v>33</v>
      </c>
      <c r="B23" s="14">
        <v>36</v>
      </c>
      <c r="C23" s="14">
        <v>1</v>
      </c>
      <c r="D23" s="14" t="s">
        <v>107</v>
      </c>
      <c r="E23" s="15">
        <v>4</v>
      </c>
      <c r="F23" s="15" t="s">
        <v>62</v>
      </c>
      <c r="G23" s="16">
        <v>50</v>
      </c>
      <c r="H23" s="16">
        <v>54</v>
      </c>
      <c r="I23" s="16">
        <v>1528880</v>
      </c>
      <c r="J23" s="16">
        <v>18000</v>
      </c>
      <c r="K23" s="16">
        <v>18000</v>
      </c>
      <c r="L23" s="17">
        <v>5121.96</v>
      </c>
      <c r="M23" s="17">
        <v>5121.96</v>
      </c>
      <c r="N23" s="17">
        <v>5121.96</v>
      </c>
      <c r="O23" s="18">
        <v>1</v>
      </c>
      <c r="P23" s="17">
        <v>12878.04</v>
      </c>
      <c r="Q23" s="17">
        <v>12878.04</v>
      </c>
      <c r="R23" s="17">
        <v>12878.04</v>
      </c>
      <c r="S23" s="17">
        <v>1</v>
      </c>
      <c r="T23" s="17">
        <v>12878.04</v>
      </c>
      <c r="U23" s="17">
        <v>0</v>
      </c>
      <c r="V23" s="16">
        <v>18000</v>
      </c>
      <c r="W23" s="17">
        <v>7285</v>
      </c>
      <c r="X23" s="17">
        <v>25285</v>
      </c>
      <c r="Y23" s="17">
        <v>6321.25</v>
      </c>
      <c r="Z23" s="17">
        <v>-0.02</v>
      </c>
      <c r="AA23" s="17">
        <v>0</v>
      </c>
      <c r="AB23" s="17">
        <v>0.71</v>
      </c>
      <c r="AC23" s="17">
        <v>0</v>
      </c>
      <c r="AD23" s="17">
        <v>0</v>
      </c>
      <c r="AE23" s="17">
        <v>28.14</v>
      </c>
      <c r="AF23" s="17">
        <v>9.61</v>
      </c>
      <c r="AG23" s="17">
        <v>0</v>
      </c>
      <c r="AH23" s="17">
        <v>0</v>
      </c>
      <c r="AI23" s="17">
        <v>0</v>
      </c>
      <c r="AJ23" s="17">
        <v>5121.96</v>
      </c>
      <c r="AK23" s="17">
        <v>12878.04</v>
      </c>
    </row>
    <row r="24" spans="1:37" x14ac:dyDescent="0.2">
      <c r="A24" s="14" t="s">
        <v>33</v>
      </c>
      <c r="B24" s="14">
        <v>38</v>
      </c>
      <c r="C24" s="14">
        <v>1</v>
      </c>
      <c r="D24" s="14" t="s">
        <v>108</v>
      </c>
      <c r="E24" s="15">
        <v>4</v>
      </c>
      <c r="F24" s="15" t="s">
        <v>62</v>
      </c>
      <c r="G24" s="16">
        <v>885</v>
      </c>
      <c r="H24" s="16">
        <v>956</v>
      </c>
      <c r="I24" s="16">
        <v>10307</v>
      </c>
      <c r="J24" s="16">
        <v>106200</v>
      </c>
      <c r="K24" s="16">
        <v>114720</v>
      </c>
      <c r="L24" s="17">
        <v>34.53</v>
      </c>
      <c r="M24" s="17">
        <v>34.53</v>
      </c>
      <c r="N24" s="17">
        <v>34.53</v>
      </c>
      <c r="O24" s="18">
        <v>1</v>
      </c>
      <c r="P24" s="17">
        <v>106165.47</v>
      </c>
      <c r="Q24" s="17">
        <v>114685.47</v>
      </c>
      <c r="R24" s="17">
        <v>114685.47</v>
      </c>
      <c r="S24" s="17">
        <v>1</v>
      </c>
      <c r="T24" s="17">
        <v>114685.47</v>
      </c>
      <c r="U24" s="17">
        <v>0</v>
      </c>
      <c r="V24" s="16">
        <v>106200</v>
      </c>
      <c r="W24" s="17">
        <v>0</v>
      </c>
      <c r="X24" s="17">
        <v>106200</v>
      </c>
      <c r="Y24" s="17">
        <v>26550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22.28</v>
      </c>
      <c r="AF24" s="17">
        <v>7.43</v>
      </c>
      <c r="AG24" s="17">
        <v>0</v>
      </c>
      <c r="AH24" s="17">
        <v>0</v>
      </c>
      <c r="AI24" s="17">
        <v>0</v>
      </c>
      <c r="AJ24" s="17">
        <v>34.53</v>
      </c>
      <c r="AK24" s="17">
        <v>114685.47</v>
      </c>
    </row>
    <row r="25" spans="1:37" x14ac:dyDescent="0.2">
      <c r="A25" s="14" t="s">
        <v>33</v>
      </c>
      <c r="B25" s="14">
        <v>47</v>
      </c>
      <c r="C25" s="14">
        <v>1</v>
      </c>
      <c r="D25" s="14" t="s">
        <v>109</v>
      </c>
      <c r="E25" s="15">
        <v>5</v>
      </c>
      <c r="F25" s="15" t="s">
        <v>63</v>
      </c>
      <c r="G25" s="16">
        <v>2075</v>
      </c>
      <c r="H25" s="16">
        <v>2075</v>
      </c>
      <c r="I25" s="16">
        <v>20331115</v>
      </c>
      <c r="J25" s="16">
        <v>249000</v>
      </c>
      <c r="K25" s="16">
        <v>249000</v>
      </c>
      <c r="L25" s="17">
        <v>68112.08</v>
      </c>
      <c r="M25" s="17">
        <v>68112.08</v>
      </c>
      <c r="N25" s="17">
        <v>68112.08</v>
      </c>
      <c r="O25" s="18">
        <v>1</v>
      </c>
      <c r="P25" s="17">
        <v>180887.92</v>
      </c>
      <c r="Q25" s="17">
        <v>180887.92</v>
      </c>
      <c r="R25" s="17">
        <v>180887.92</v>
      </c>
      <c r="S25" s="17">
        <v>1</v>
      </c>
      <c r="T25" s="17">
        <v>180887.92</v>
      </c>
      <c r="U25" s="17">
        <v>3320</v>
      </c>
      <c r="V25" s="16">
        <v>249000</v>
      </c>
      <c r="W25" s="17">
        <v>156559.49</v>
      </c>
      <c r="X25" s="17">
        <v>405559.49</v>
      </c>
      <c r="Y25" s="17">
        <v>101389.87</v>
      </c>
      <c r="Z25" s="17">
        <v>54304.52</v>
      </c>
      <c r="AA25" s="17">
        <v>0</v>
      </c>
      <c r="AB25" s="17">
        <v>72180.41</v>
      </c>
      <c r="AC25" s="17">
        <v>0</v>
      </c>
      <c r="AD25" s="17">
        <v>0</v>
      </c>
      <c r="AE25" s="17">
        <v>69676.399999999994</v>
      </c>
      <c r="AF25" s="17">
        <v>65387.11</v>
      </c>
      <c r="AG25" s="17">
        <v>0</v>
      </c>
      <c r="AH25" s="17">
        <v>0</v>
      </c>
      <c r="AI25" s="17">
        <v>0</v>
      </c>
      <c r="AJ25" s="17">
        <v>68112.08</v>
      </c>
      <c r="AK25" s="17">
        <v>180887.92</v>
      </c>
    </row>
    <row r="26" spans="1:37" x14ac:dyDescent="0.2">
      <c r="A26" s="14" t="s">
        <v>33</v>
      </c>
      <c r="B26" s="14">
        <v>51</v>
      </c>
      <c r="C26" s="14">
        <v>1</v>
      </c>
      <c r="D26" s="14" t="s">
        <v>110</v>
      </c>
      <c r="E26" s="15">
        <v>5</v>
      </c>
      <c r="F26" s="15" t="s">
        <v>63</v>
      </c>
      <c r="G26" s="16">
        <v>750</v>
      </c>
      <c r="H26" s="16">
        <v>780</v>
      </c>
      <c r="I26" s="16">
        <v>8728632</v>
      </c>
      <c r="J26" s="16">
        <v>90000</v>
      </c>
      <c r="K26" s="16">
        <v>93600</v>
      </c>
      <c r="L26" s="17">
        <v>29242.14</v>
      </c>
      <c r="M26" s="17">
        <v>29242.14</v>
      </c>
      <c r="N26" s="17">
        <v>29242.14</v>
      </c>
      <c r="O26" s="18">
        <v>1</v>
      </c>
      <c r="P26" s="17">
        <v>60757.86</v>
      </c>
      <c r="Q26" s="17">
        <v>64357.86</v>
      </c>
      <c r="R26" s="17">
        <v>64357.86</v>
      </c>
      <c r="S26" s="17">
        <v>1</v>
      </c>
      <c r="T26" s="17">
        <v>64357.86</v>
      </c>
      <c r="U26" s="17">
        <v>1248</v>
      </c>
      <c r="V26" s="16">
        <v>90000</v>
      </c>
      <c r="W26" s="17">
        <v>22278.32</v>
      </c>
      <c r="X26" s="17">
        <v>112278.32</v>
      </c>
      <c r="Y26" s="17">
        <v>28069.58</v>
      </c>
      <c r="Z26" s="17">
        <v>16983.75</v>
      </c>
      <c r="AA26" s="17">
        <v>0</v>
      </c>
      <c r="AB26" s="17">
        <v>19893.490000000002</v>
      </c>
      <c r="AC26" s="17">
        <v>0</v>
      </c>
      <c r="AD26" s="17">
        <v>0</v>
      </c>
      <c r="AE26" s="17">
        <v>28594.83</v>
      </c>
      <c r="AF26" s="17">
        <v>21824.02</v>
      </c>
      <c r="AG26" s="17">
        <v>0</v>
      </c>
      <c r="AH26" s="17">
        <v>0</v>
      </c>
      <c r="AI26" s="17">
        <v>0</v>
      </c>
      <c r="AJ26" s="17">
        <v>29242.14</v>
      </c>
      <c r="AK26" s="17">
        <v>64357.86</v>
      </c>
    </row>
    <row r="27" spans="1:37" x14ac:dyDescent="0.2">
      <c r="A27" s="14" t="s">
        <v>33</v>
      </c>
      <c r="B27" s="14">
        <v>75</v>
      </c>
      <c r="C27" s="14">
        <v>1</v>
      </c>
      <c r="D27" s="14" t="s">
        <v>111</v>
      </c>
      <c r="E27" s="15">
        <v>7</v>
      </c>
      <c r="F27" s="15" t="s">
        <v>57</v>
      </c>
      <c r="G27" s="16">
        <v>152</v>
      </c>
      <c r="H27" s="16">
        <v>142</v>
      </c>
      <c r="I27" s="16">
        <v>3295841</v>
      </c>
      <c r="J27" s="16">
        <v>18240</v>
      </c>
      <c r="K27" s="16">
        <v>18000</v>
      </c>
      <c r="L27" s="17">
        <v>11041.53</v>
      </c>
      <c r="M27" s="17">
        <v>11041.53</v>
      </c>
      <c r="N27" s="17">
        <v>11041.53</v>
      </c>
      <c r="O27" s="18">
        <v>1</v>
      </c>
      <c r="P27" s="17">
        <v>7198.47</v>
      </c>
      <c r="Q27" s="17">
        <v>6958.47</v>
      </c>
      <c r="R27" s="17">
        <v>6958.47</v>
      </c>
      <c r="S27" s="17">
        <v>1</v>
      </c>
      <c r="T27" s="17">
        <v>6958.47</v>
      </c>
      <c r="U27" s="17">
        <v>227.2</v>
      </c>
      <c r="V27" s="16">
        <v>18240</v>
      </c>
      <c r="W27" s="17">
        <v>1889.2</v>
      </c>
      <c r="X27" s="17">
        <v>20129.2</v>
      </c>
      <c r="Y27" s="17">
        <v>5032.3</v>
      </c>
      <c r="Z27" s="17">
        <v>3513.67</v>
      </c>
      <c r="AA27" s="17">
        <v>0</v>
      </c>
      <c r="AB27" s="17">
        <v>2088.5100000000002</v>
      </c>
      <c r="AC27" s="17">
        <v>0</v>
      </c>
      <c r="AD27" s="17">
        <v>0</v>
      </c>
      <c r="AE27" s="17">
        <v>2896.2</v>
      </c>
      <c r="AF27" s="17">
        <v>2832.79</v>
      </c>
      <c r="AG27" s="17">
        <v>0</v>
      </c>
      <c r="AH27" s="17">
        <v>0</v>
      </c>
      <c r="AI27" s="17">
        <v>0</v>
      </c>
      <c r="AJ27" s="17">
        <v>11041.53</v>
      </c>
      <c r="AK27" s="17">
        <v>6958.47</v>
      </c>
    </row>
    <row r="28" spans="1:37" x14ac:dyDescent="0.2">
      <c r="A28" s="14" t="s">
        <v>33</v>
      </c>
      <c r="B28" s="14">
        <v>77</v>
      </c>
      <c r="C28" s="14">
        <v>1</v>
      </c>
      <c r="D28" s="14" t="s">
        <v>112</v>
      </c>
      <c r="E28" s="15">
        <v>7</v>
      </c>
      <c r="F28" s="15" t="s">
        <v>57</v>
      </c>
      <c r="G28" s="16">
        <v>3193</v>
      </c>
      <c r="H28" s="16">
        <v>3141</v>
      </c>
      <c r="I28" s="16">
        <v>61082720</v>
      </c>
      <c r="J28" s="16">
        <v>383160</v>
      </c>
      <c r="K28" s="16">
        <v>376920</v>
      </c>
      <c r="L28" s="17">
        <v>204635.66</v>
      </c>
      <c r="M28" s="17">
        <v>204635.66</v>
      </c>
      <c r="N28" s="17">
        <v>204635.66</v>
      </c>
      <c r="O28" s="18">
        <v>1</v>
      </c>
      <c r="P28" s="17">
        <v>178524.34</v>
      </c>
      <c r="Q28" s="17">
        <v>172284.34</v>
      </c>
      <c r="R28" s="17">
        <v>172284.34</v>
      </c>
      <c r="S28" s="17">
        <v>1</v>
      </c>
      <c r="T28" s="17">
        <v>172284.34</v>
      </c>
      <c r="U28" s="17">
        <v>5025.6000000000004</v>
      </c>
      <c r="V28" s="16">
        <v>383160</v>
      </c>
      <c r="W28" s="17">
        <v>86962.92</v>
      </c>
      <c r="X28" s="17">
        <v>470122.92</v>
      </c>
      <c r="Y28" s="17">
        <v>117530.73</v>
      </c>
      <c r="Z28" s="17">
        <v>101573.62</v>
      </c>
      <c r="AA28" s="17">
        <v>0</v>
      </c>
      <c r="AB28" s="17">
        <v>70025.67</v>
      </c>
      <c r="AC28" s="17">
        <v>0</v>
      </c>
      <c r="AD28" s="17">
        <v>0</v>
      </c>
      <c r="AE28" s="17">
        <v>77963.600000000006</v>
      </c>
      <c r="AF28" s="17">
        <v>83187.63</v>
      </c>
      <c r="AG28" s="17">
        <v>0</v>
      </c>
      <c r="AH28" s="17">
        <v>0</v>
      </c>
      <c r="AI28" s="17">
        <v>0</v>
      </c>
      <c r="AJ28" s="17">
        <v>204635.66</v>
      </c>
      <c r="AK28" s="17">
        <v>172284.34</v>
      </c>
    </row>
    <row r="29" spans="1:37" x14ac:dyDescent="0.2">
      <c r="A29" s="14" t="s">
        <v>33</v>
      </c>
      <c r="B29" s="14">
        <v>81</v>
      </c>
      <c r="C29" s="14">
        <v>1</v>
      </c>
      <c r="D29" s="14" t="s">
        <v>113</v>
      </c>
      <c r="E29" s="15">
        <v>8</v>
      </c>
      <c r="F29" s="15" t="s">
        <v>57</v>
      </c>
      <c r="G29" s="16">
        <v>65</v>
      </c>
      <c r="H29" s="16">
        <v>65</v>
      </c>
      <c r="I29" s="16">
        <v>2039483</v>
      </c>
      <c r="J29" s="16">
        <v>18000</v>
      </c>
      <c r="K29" s="16">
        <v>18000</v>
      </c>
      <c r="L29" s="17">
        <v>6832.55</v>
      </c>
      <c r="M29" s="17">
        <v>6832.55</v>
      </c>
      <c r="N29" s="17">
        <v>6832.55</v>
      </c>
      <c r="O29" s="18">
        <v>1</v>
      </c>
      <c r="P29" s="17">
        <v>11167.45</v>
      </c>
      <c r="Q29" s="17">
        <v>11167.45</v>
      </c>
      <c r="R29" s="17">
        <v>11167.45</v>
      </c>
      <c r="S29" s="17">
        <v>1</v>
      </c>
      <c r="T29" s="17">
        <v>11167.45</v>
      </c>
      <c r="U29" s="17">
        <v>104</v>
      </c>
      <c r="V29" s="16">
        <v>18000</v>
      </c>
      <c r="W29" s="17">
        <v>1329.5</v>
      </c>
      <c r="X29" s="17">
        <v>19329.5</v>
      </c>
      <c r="Y29" s="17">
        <v>4832.38</v>
      </c>
      <c r="Z29" s="17">
        <v>879.35</v>
      </c>
      <c r="AA29" s="17">
        <v>0</v>
      </c>
      <c r="AB29" s="17">
        <v>3571.91</v>
      </c>
      <c r="AC29" s="17">
        <v>0</v>
      </c>
      <c r="AD29" s="17">
        <v>0</v>
      </c>
      <c r="AE29" s="17">
        <v>4730.1000000000004</v>
      </c>
      <c r="AF29" s="17">
        <v>3060.45</v>
      </c>
      <c r="AG29" s="17">
        <v>0</v>
      </c>
      <c r="AH29" s="17">
        <v>0</v>
      </c>
      <c r="AI29" s="17">
        <v>0</v>
      </c>
      <c r="AJ29" s="17">
        <v>6832.55</v>
      </c>
      <c r="AK29" s="17">
        <v>11167.45</v>
      </c>
    </row>
    <row r="30" spans="1:37" x14ac:dyDescent="0.2">
      <c r="A30" s="14" t="s">
        <v>33</v>
      </c>
      <c r="B30" s="14">
        <v>84</v>
      </c>
      <c r="C30" s="14">
        <v>1</v>
      </c>
      <c r="D30" s="14" t="s">
        <v>114</v>
      </c>
      <c r="E30" s="15">
        <v>8</v>
      </c>
      <c r="F30" s="15" t="s">
        <v>57</v>
      </c>
      <c r="G30" s="16">
        <v>364</v>
      </c>
      <c r="H30" s="16">
        <v>356</v>
      </c>
      <c r="I30" s="16">
        <v>5370905</v>
      </c>
      <c r="J30" s="16">
        <v>43680</v>
      </c>
      <c r="K30" s="16">
        <v>42720</v>
      </c>
      <c r="L30" s="17">
        <v>17993.28</v>
      </c>
      <c r="M30" s="17">
        <v>17993.28</v>
      </c>
      <c r="N30" s="17">
        <v>17993.28</v>
      </c>
      <c r="O30" s="18">
        <v>1</v>
      </c>
      <c r="P30" s="17">
        <v>25686.720000000001</v>
      </c>
      <c r="Q30" s="17">
        <v>24726.720000000001</v>
      </c>
      <c r="R30" s="17">
        <v>24726.720000000001</v>
      </c>
      <c r="S30" s="17">
        <v>1</v>
      </c>
      <c r="T30" s="17">
        <v>24726.720000000001</v>
      </c>
      <c r="U30" s="17">
        <v>569.6</v>
      </c>
      <c r="V30" s="16">
        <v>43680</v>
      </c>
      <c r="W30" s="17">
        <v>17201.810000000001</v>
      </c>
      <c r="X30" s="17">
        <v>60881.81</v>
      </c>
      <c r="Y30" s="17">
        <v>15220.45</v>
      </c>
      <c r="Z30" s="17">
        <v>-25803.45</v>
      </c>
      <c r="AA30" s="17">
        <v>0</v>
      </c>
      <c r="AB30" s="17">
        <v>-6051.25</v>
      </c>
      <c r="AC30" s="17">
        <v>0</v>
      </c>
      <c r="AD30" s="17">
        <v>0</v>
      </c>
      <c r="AE30" s="17">
        <v>1502.53</v>
      </c>
      <c r="AF30" s="17">
        <v>-10117.39</v>
      </c>
      <c r="AG30" s="17">
        <v>0</v>
      </c>
      <c r="AH30" s="17">
        <v>0</v>
      </c>
      <c r="AI30" s="17">
        <v>0</v>
      </c>
      <c r="AJ30" s="17">
        <v>17993.28</v>
      </c>
      <c r="AK30" s="17">
        <v>24726.720000000001</v>
      </c>
    </row>
    <row r="31" spans="1:37" x14ac:dyDescent="0.2">
      <c r="A31" s="14" t="s">
        <v>33</v>
      </c>
      <c r="B31" s="14">
        <v>85</v>
      </c>
      <c r="C31" s="14">
        <v>1</v>
      </c>
      <c r="D31" s="14" t="s">
        <v>115</v>
      </c>
      <c r="E31" s="15">
        <v>8</v>
      </c>
      <c r="F31" s="15" t="s">
        <v>57</v>
      </c>
      <c r="G31" s="16">
        <v>162</v>
      </c>
      <c r="H31" s="16">
        <v>148</v>
      </c>
      <c r="I31" s="16">
        <v>3450166</v>
      </c>
      <c r="J31" s="16">
        <v>19440</v>
      </c>
      <c r="K31" s="16">
        <v>18000</v>
      </c>
      <c r="L31" s="17">
        <v>11558.54</v>
      </c>
      <c r="M31" s="17">
        <v>11558.54</v>
      </c>
      <c r="N31" s="17">
        <v>11558.54</v>
      </c>
      <c r="O31" s="18">
        <v>1</v>
      </c>
      <c r="P31" s="17">
        <v>7881.46</v>
      </c>
      <c r="Q31" s="17">
        <v>6441.46</v>
      </c>
      <c r="R31" s="17">
        <v>6441.46</v>
      </c>
      <c r="S31" s="17">
        <v>1</v>
      </c>
      <c r="T31" s="17">
        <v>6441.46</v>
      </c>
      <c r="U31" s="17">
        <v>0</v>
      </c>
      <c r="V31" s="16">
        <v>19440</v>
      </c>
      <c r="W31" s="17">
        <v>840.2</v>
      </c>
      <c r="X31" s="17">
        <v>20280.2</v>
      </c>
      <c r="Y31" s="17">
        <v>5070.05</v>
      </c>
      <c r="Z31" s="17">
        <v>4792.5</v>
      </c>
      <c r="AA31" s="17">
        <v>0</v>
      </c>
      <c r="AB31" s="17">
        <v>9646.7099999999991</v>
      </c>
      <c r="AC31" s="17">
        <v>0</v>
      </c>
      <c r="AD31" s="17">
        <v>0</v>
      </c>
      <c r="AE31" s="17">
        <v>531.66</v>
      </c>
      <c r="AF31" s="17">
        <v>4990.29</v>
      </c>
      <c r="AG31" s="17">
        <v>0</v>
      </c>
      <c r="AH31" s="17">
        <v>0</v>
      </c>
      <c r="AI31" s="17">
        <v>0</v>
      </c>
      <c r="AJ31" s="17">
        <v>11558.54</v>
      </c>
      <c r="AK31" s="17">
        <v>6441.46</v>
      </c>
    </row>
    <row r="32" spans="1:37" x14ac:dyDescent="0.2">
      <c r="A32" s="14" t="s">
        <v>33</v>
      </c>
      <c r="B32" s="14">
        <v>88</v>
      </c>
      <c r="C32" s="14">
        <v>1</v>
      </c>
      <c r="D32" s="14" t="s">
        <v>116</v>
      </c>
      <c r="E32" s="15">
        <v>8</v>
      </c>
      <c r="F32" s="15" t="s">
        <v>57</v>
      </c>
      <c r="G32" s="16">
        <v>1013</v>
      </c>
      <c r="H32" s="16">
        <v>1016</v>
      </c>
      <c r="I32" s="16">
        <v>16596690</v>
      </c>
      <c r="J32" s="16">
        <v>121560</v>
      </c>
      <c r="K32" s="16">
        <v>121920</v>
      </c>
      <c r="L32" s="17">
        <v>55601.24</v>
      </c>
      <c r="M32" s="17">
        <v>55601.24</v>
      </c>
      <c r="N32" s="17">
        <v>55601.24</v>
      </c>
      <c r="O32" s="18">
        <v>1</v>
      </c>
      <c r="P32" s="17">
        <v>65958.759999999995</v>
      </c>
      <c r="Q32" s="17">
        <v>66318.759999999995</v>
      </c>
      <c r="R32" s="17">
        <v>66318.759999999995</v>
      </c>
      <c r="S32" s="17">
        <v>1</v>
      </c>
      <c r="T32" s="17">
        <v>66318.759999999995</v>
      </c>
      <c r="U32" s="17">
        <v>1625.6</v>
      </c>
      <c r="V32" s="16">
        <v>121560</v>
      </c>
      <c r="W32" s="17">
        <v>41476.89</v>
      </c>
      <c r="X32" s="17">
        <v>163036.89000000001</v>
      </c>
      <c r="Y32" s="17">
        <v>40759.22</v>
      </c>
      <c r="Z32" s="17">
        <v>3894.05</v>
      </c>
      <c r="AA32" s="17">
        <v>0</v>
      </c>
      <c r="AB32" s="17">
        <v>3894.05</v>
      </c>
      <c r="AC32" s="17">
        <v>0</v>
      </c>
      <c r="AD32" s="17">
        <v>0</v>
      </c>
      <c r="AE32" s="17">
        <v>-6250.8</v>
      </c>
      <c r="AF32" s="17">
        <v>512.42999999999995</v>
      </c>
      <c r="AG32" s="17">
        <v>0</v>
      </c>
      <c r="AH32" s="17">
        <v>0</v>
      </c>
      <c r="AI32" s="17">
        <v>0</v>
      </c>
      <c r="AJ32" s="17">
        <v>55601.24</v>
      </c>
      <c r="AK32" s="17">
        <v>66318.759999999995</v>
      </c>
    </row>
    <row r="33" spans="1:37" x14ac:dyDescent="0.2">
      <c r="A33" s="14" t="s">
        <v>33</v>
      </c>
      <c r="B33" s="14">
        <v>91</v>
      </c>
      <c r="C33" s="14">
        <v>1</v>
      </c>
      <c r="D33" s="14" t="s">
        <v>117</v>
      </c>
      <c r="E33" s="15">
        <v>9</v>
      </c>
      <c r="F33" s="15" t="s">
        <v>58</v>
      </c>
      <c r="G33" s="16">
        <v>280</v>
      </c>
      <c r="H33" s="16">
        <v>302</v>
      </c>
      <c r="I33" s="16">
        <v>4158264</v>
      </c>
      <c r="J33" s="16">
        <v>33600</v>
      </c>
      <c r="K33" s="16">
        <v>36240</v>
      </c>
      <c r="L33" s="17">
        <v>13930.77</v>
      </c>
      <c r="M33" s="17">
        <v>13930.77</v>
      </c>
      <c r="N33" s="17">
        <v>13930.77</v>
      </c>
      <c r="O33" s="18">
        <v>1</v>
      </c>
      <c r="P33" s="17">
        <v>19669.23</v>
      </c>
      <c r="Q33" s="17">
        <v>22309.23</v>
      </c>
      <c r="R33" s="17">
        <v>22309.23</v>
      </c>
      <c r="S33" s="17">
        <v>1</v>
      </c>
      <c r="T33" s="17">
        <v>22309.23</v>
      </c>
      <c r="U33" s="17">
        <v>483.2</v>
      </c>
      <c r="V33" s="16">
        <v>33600</v>
      </c>
      <c r="W33" s="17">
        <v>14943.3</v>
      </c>
      <c r="X33" s="17">
        <v>48543.3</v>
      </c>
      <c r="Y33" s="17">
        <v>12135.83</v>
      </c>
      <c r="Z33" s="17">
        <v>7332.7</v>
      </c>
      <c r="AA33" s="17">
        <v>0</v>
      </c>
      <c r="AB33" s="17">
        <v>10600.2</v>
      </c>
      <c r="AC33" s="17">
        <v>0</v>
      </c>
      <c r="AD33" s="17">
        <v>0</v>
      </c>
      <c r="AE33" s="17">
        <v>13801.67</v>
      </c>
      <c r="AF33" s="17">
        <v>10578.19</v>
      </c>
      <c r="AG33" s="17">
        <v>0</v>
      </c>
      <c r="AH33" s="17">
        <v>0</v>
      </c>
      <c r="AI33" s="17">
        <v>0</v>
      </c>
      <c r="AJ33" s="17">
        <v>13930.77</v>
      </c>
      <c r="AK33" s="17">
        <v>22309.23</v>
      </c>
    </row>
    <row r="34" spans="1:37" x14ac:dyDescent="0.2">
      <c r="A34" s="14" t="s">
        <v>33</v>
      </c>
      <c r="B34" s="14">
        <v>93</v>
      </c>
      <c r="C34" s="14">
        <v>1</v>
      </c>
      <c r="D34" s="14" t="s">
        <v>118</v>
      </c>
      <c r="E34" s="15">
        <v>9</v>
      </c>
      <c r="F34" s="15" t="s">
        <v>58</v>
      </c>
      <c r="G34" s="16">
        <v>199</v>
      </c>
      <c r="H34" s="16">
        <v>201</v>
      </c>
      <c r="I34" s="16">
        <v>4297093</v>
      </c>
      <c r="J34" s="16">
        <v>23880</v>
      </c>
      <c r="K34" s="16">
        <v>24120</v>
      </c>
      <c r="L34" s="17">
        <v>14395.86</v>
      </c>
      <c r="M34" s="17">
        <v>14395.86</v>
      </c>
      <c r="N34" s="17">
        <v>14395.86</v>
      </c>
      <c r="O34" s="18">
        <v>1</v>
      </c>
      <c r="P34" s="17">
        <v>9484.14</v>
      </c>
      <c r="Q34" s="17">
        <v>9724.14</v>
      </c>
      <c r="R34" s="17">
        <v>9724.14</v>
      </c>
      <c r="S34" s="17">
        <v>1</v>
      </c>
      <c r="T34" s="17">
        <v>9724.14</v>
      </c>
      <c r="U34" s="17">
        <v>321.60000000000002</v>
      </c>
      <c r="V34" s="16">
        <v>23880</v>
      </c>
      <c r="W34" s="17">
        <v>15718.18</v>
      </c>
      <c r="X34" s="17">
        <v>39598.18</v>
      </c>
      <c r="Y34" s="17">
        <v>9899.5499999999993</v>
      </c>
      <c r="Z34" s="17">
        <v>6240.52</v>
      </c>
      <c r="AA34" s="17">
        <v>0</v>
      </c>
      <c r="AB34" s="17">
        <v>20375.18</v>
      </c>
      <c r="AC34" s="17">
        <v>0</v>
      </c>
      <c r="AD34" s="17">
        <v>0</v>
      </c>
      <c r="AE34" s="17">
        <v>42534.43</v>
      </c>
      <c r="AF34" s="17">
        <v>23050.04</v>
      </c>
      <c r="AG34" s="17">
        <v>13150.49</v>
      </c>
      <c r="AH34" s="17">
        <v>7848.78</v>
      </c>
      <c r="AI34" s="17">
        <v>5301.71</v>
      </c>
      <c r="AJ34" s="17">
        <v>6547.08</v>
      </c>
      <c r="AK34" s="17">
        <v>4422.43</v>
      </c>
    </row>
    <row r="35" spans="1:37" x14ac:dyDescent="0.2">
      <c r="A35" s="14" t="s">
        <v>33</v>
      </c>
      <c r="B35" s="14">
        <v>94</v>
      </c>
      <c r="C35" s="14">
        <v>1</v>
      </c>
      <c r="D35" s="14" t="s">
        <v>119</v>
      </c>
      <c r="E35" s="15">
        <v>9</v>
      </c>
      <c r="F35" s="15" t="s">
        <v>58</v>
      </c>
      <c r="G35" s="16">
        <v>1224</v>
      </c>
      <c r="H35" s="16">
        <v>1224</v>
      </c>
      <c r="I35" s="16">
        <v>11656171</v>
      </c>
      <c r="J35" s="16">
        <v>146880</v>
      </c>
      <c r="K35" s="16">
        <v>146880</v>
      </c>
      <c r="L35" s="17">
        <v>39049.800000000003</v>
      </c>
      <c r="M35" s="17">
        <v>39049.800000000003</v>
      </c>
      <c r="N35" s="17">
        <v>39049.800000000003</v>
      </c>
      <c r="O35" s="18">
        <v>1</v>
      </c>
      <c r="P35" s="17">
        <v>107830.2</v>
      </c>
      <c r="Q35" s="17">
        <v>107830.2</v>
      </c>
      <c r="R35" s="17">
        <v>107830.2</v>
      </c>
      <c r="S35" s="17">
        <v>1</v>
      </c>
      <c r="T35" s="17">
        <v>107830.2</v>
      </c>
      <c r="U35" s="17">
        <v>1958.4</v>
      </c>
      <c r="V35" s="16">
        <v>146880</v>
      </c>
      <c r="W35" s="17">
        <v>57315.360000000001</v>
      </c>
      <c r="X35" s="17">
        <v>204195.36</v>
      </c>
      <c r="Y35" s="17">
        <v>51048.84</v>
      </c>
      <c r="Z35" s="17">
        <v>22681.91</v>
      </c>
      <c r="AA35" s="17">
        <v>0</v>
      </c>
      <c r="AB35" s="17">
        <v>33796.83</v>
      </c>
      <c r="AC35" s="17">
        <v>0</v>
      </c>
      <c r="AD35" s="17">
        <v>0</v>
      </c>
      <c r="AE35" s="17">
        <v>57284.9</v>
      </c>
      <c r="AF35" s="17">
        <v>37921.21</v>
      </c>
      <c r="AG35" s="17">
        <v>0</v>
      </c>
      <c r="AH35" s="17">
        <v>0</v>
      </c>
      <c r="AI35" s="17">
        <v>0</v>
      </c>
      <c r="AJ35" s="17">
        <v>39049.800000000003</v>
      </c>
      <c r="AK35" s="17">
        <v>107830.2</v>
      </c>
    </row>
    <row r="36" spans="1:37" x14ac:dyDescent="0.2">
      <c r="A36" s="14" t="s">
        <v>33</v>
      </c>
      <c r="B36" s="14">
        <v>95</v>
      </c>
      <c r="C36" s="14">
        <v>1</v>
      </c>
      <c r="D36" s="14" t="s">
        <v>120</v>
      </c>
      <c r="E36" s="15">
        <v>9</v>
      </c>
      <c r="F36" s="15" t="s">
        <v>58</v>
      </c>
      <c r="G36" s="16">
        <v>114</v>
      </c>
      <c r="H36" s="16">
        <v>126</v>
      </c>
      <c r="I36" s="16">
        <v>2428036</v>
      </c>
      <c r="J36" s="16">
        <v>18000</v>
      </c>
      <c r="K36" s="16">
        <v>18000</v>
      </c>
      <c r="L36" s="17">
        <v>8134.26</v>
      </c>
      <c r="M36" s="17">
        <v>8134.26</v>
      </c>
      <c r="N36" s="17">
        <v>8134.26</v>
      </c>
      <c r="O36" s="18">
        <v>1</v>
      </c>
      <c r="P36" s="17">
        <v>9865.74</v>
      </c>
      <c r="Q36" s="17">
        <v>9865.74</v>
      </c>
      <c r="R36" s="17">
        <v>9865.74</v>
      </c>
      <c r="S36" s="17">
        <v>1</v>
      </c>
      <c r="T36" s="17">
        <v>9865.74</v>
      </c>
      <c r="U36" s="17">
        <v>0</v>
      </c>
      <c r="V36" s="16">
        <v>18000</v>
      </c>
      <c r="W36" s="17">
        <v>6180.76</v>
      </c>
      <c r="X36" s="17">
        <v>24180.76</v>
      </c>
      <c r="Y36" s="17">
        <v>6045.19</v>
      </c>
      <c r="Z36" s="17">
        <v>-9849.02</v>
      </c>
      <c r="AA36" s="17">
        <v>0</v>
      </c>
      <c r="AB36" s="17">
        <v>-9821.0400000000009</v>
      </c>
      <c r="AC36" s="17">
        <v>0</v>
      </c>
      <c r="AD36" s="17">
        <v>0</v>
      </c>
      <c r="AE36" s="17">
        <v>-9821.0400000000009</v>
      </c>
      <c r="AF36" s="17">
        <v>-9830.3700000000008</v>
      </c>
      <c r="AG36" s="17">
        <v>0</v>
      </c>
      <c r="AH36" s="17">
        <v>0</v>
      </c>
      <c r="AI36" s="17">
        <v>0</v>
      </c>
      <c r="AJ36" s="17">
        <v>8134.26</v>
      </c>
      <c r="AK36" s="17">
        <v>9865.74</v>
      </c>
    </row>
    <row r="37" spans="1:37" x14ac:dyDescent="0.2">
      <c r="A37" s="14" t="s">
        <v>33</v>
      </c>
      <c r="B37" s="14">
        <v>97</v>
      </c>
      <c r="C37" s="14">
        <v>1</v>
      </c>
      <c r="D37" s="14" t="s">
        <v>121</v>
      </c>
      <c r="E37" s="15">
        <v>9</v>
      </c>
      <c r="F37" s="15" t="s">
        <v>58</v>
      </c>
      <c r="G37" s="16">
        <v>255</v>
      </c>
      <c r="H37" s="16">
        <v>245</v>
      </c>
      <c r="I37" s="16">
        <v>5857315</v>
      </c>
      <c r="J37" s="16">
        <v>30600</v>
      </c>
      <c r="K37" s="16">
        <v>29400</v>
      </c>
      <c r="L37" s="17">
        <v>19622.830000000002</v>
      </c>
      <c r="M37" s="17">
        <v>19622.830000000002</v>
      </c>
      <c r="N37" s="17">
        <v>19622.830000000002</v>
      </c>
      <c r="O37" s="18">
        <v>1</v>
      </c>
      <c r="P37" s="17">
        <v>10977.17</v>
      </c>
      <c r="Q37" s="17">
        <v>9777.17</v>
      </c>
      <c r="R37" s="17">
        <v>9777.17</v>
      </c>
      <c r="S37" s="17">
        <v>1</v>
      </c>
      <c r="T37" s="17">
        <v>9777.17</v>
      </c>
      <c r="U37" s="17">
        <v>392</v>
      </c>
      <c r="V37" s="16">
        <v>30600</v>
      </c>
      <c r="W37" s="17">
        <v>2007.13</v>
      </c>
      <c r="X37" s="17">
        <v>32607.13</v>
      </c>
      <c r="Y37" s="17">
        <v>8151.78</v>
      </c>
      <c r="Z37" s="17">
        <v>9533.9500000000007</v>
      </c>
      <c r="AA37" s="17">
        <v>0</v>
      </c>
      <c r="AB37" s="17">
        <v>13230.65</v>
      </c>
      <c r="AC37" s="17">
        <v>0</v>
      </c>
      <c r="AD37" s="17">
        <v>0</v>
      </c>
      <c r="AE37" s="17">
        <v>99.06</v>
      </c>
      <c r="AF37" s="17">
        <v>7621.22</v>
      </c>
      <c r="AG37" s="17">
        <v>0</v>
      </c>
      <c r="AH37" s="17">
        <v>0</v>
      </c>
      <c r="AI37" s="17">
        <v>0</v>
      </c>
      <c r="AJ37" s="17">
        <v>19622.830000000002</v>
      </c>
      <c r="AK37" s="17">
        <v>9777.17</v>
      </c>
    </row>
    <row r="38" spans="1:37" x14ac:dyDescent="0.2">
      <c r="A38" s="14" t="s">
        <v>33</v>
      </c>
      <c r="B38" s="14">
        <v>99</v>
      </c>
      <c r="C38" s="14">
        <v>1</v>
      </c>
      <c r="D38" s="14" t="s">
        <v>122</v>
      </c>
      <c r="E38" s="15">
        <v>9</v>
      </c>
      <c r="F38" s="15" t="s">
        <v>58</v>
      </c>
      <c r="G38" s="16">
        <v>320</v>
      </c>
      <c r="H38" s="16">
        <v>294</v>
      </c>
      <c r="I38" s="16">
        <v>4453983</v>
      </c>
      <c r="J38" s="16">
        <v>38400</v>
      </c>
      <c r="K38" s="16">
        <v>35280</v>
      </c>
      <c r="L38" s="17">
        <v>14921.47</v>
      </c>
      <c r="M38" s="17">
        <v>14921.47</v>
      </c>
      <c r="N38" s="17">
        <v>14921.47</v>
      </c>
      <c r="O38" s="18">
        <v>1</v>
      </c>
      <c r="P38" s="17">
        <v>23478.53</v>
      </c>
      <c r="Q38" s="17">
        <v>20358.53</v>
      </c>
      <c r="R38" s="17">
        <v>20358.53</v>
      </c>
      <c r="S38" s="17">
        <v>1</v>
      </c>
      <c r="T38" s="17">
        <v>20358.53</v>
      </c>
      <c r="U38" s="17">
        <v>470.4</v>
      </c>
      <c r="V38" s="16">
        <v>38400</v>
      </c>
      <c r="W38" s="17">
        <v>14656.05</v>
      </c>
      <c r="X38" s="17">
        <v>53056.05</v>
      </c>
      <c r="Y38" s="17">
        <v>13264.01</v>
      </c>
      <c r="Z38" s="17">
        <v>18695.189999999999</v>
      </c>
      <c r="AA38" s="17">
        <v>0</v>
      </c>
      <c r="AB38" s="17">
        <v>14643.68</v>
      </c>
      <c r="AC38" s="17">
        <v>0</v>
      </c>
      <c r="AD38" s="17">
        <v>0</v>
      </c>
      <c r="AE38" s="17">
        <v>15790.31</v>
      </c>
      <c r="AF38" s="17">
        <v>16376.39</v>
      </c>
      <c r="AG38" s="17">
        <v>3112.38</v>
      </c>
      <c r="AH38" s="17">
        <v>1316.36</v>
      </c>
      <c r="AI38" s="17">
        <v>1796.02</v>
      </c>
      <c r="AJ38" s="17">
        <v>13605.11</v>
      </c>
      <c r="AK38" s="17">
        <v>18562.509999999998</v>
      </c>
    </row>
    <row r="39" spans="1:37" x14ac:dyDescent="0.2">
      <c r="A39" s="14" t="s">
        <v>33</v>
      </c>
      <c r="B39" s="14">
        <v>100</v>
      </c>
      <c r="C39" s="14">
        <v>1</v>
      </c>
      <c r="D39" s="14" t="s">
        <v>123</v>
      </c>
      <c r="E39" s="15">
        <v>9</v>
      </c>
      <c r="F39" s="15" t="s">
        <v>58</v>
      </c>
      <c r="G39" s="16">
        <v>100</v>
      </c>
      <c r="H39" s="16">
        <v>77</v>
      </c>
      <c r="I39" s="16">
        <v>2507124</v>
      </c>
      <c r="J39" s="16">
        <v>18000</v>
      </c>
      <c r="K39" s="16">
        <v>18000</v>
      </c>
      <c r="L39" s="17">
        <v>8399.2199999999993</v>
      </c>
      <c r="M39" s="17">
        <v>8399.2199999999993</v>
      </c>
      <c r="N39" s="17">
        <v>8399.2199999999993</v>
      </c>
      <c r="O39" s="18">
        <v>1</v>
      </c>
      <c r="P39" s="17">
        <v>9600.7800000000007</v>
      </c>
      <c r="Q39" s="17">
        <v>9600.7800000000007</v>
      </c>
      <c r="R39" s="17">
        <v>9600.7800000000007</v>
      </c>
      <c r="S39" s="17">
        <v>1</v>
      </c>
      <c r="T39" s="17">
        <v>9600.7800000000007</v>
      </c>
      <c r="U39" s="17">
        <v>123.2</v>
      </c>
      <c r="V39" s="16">
        <v>18000</v>
      </c>
      <c r="W39" s="17">
        <v>5402.74</v>
      </c>
      <c r="X39" s="17">
        <v>23402.74</v>
      </c>
      <c r="Y39" s="17">
        <v>5850.69</v>
      </c>
      <c r="Z39" s="17">
        <v>858.09</v>
      </c>
      <c r="AA39" s="17">
        <v>0</v>
      </c>
      <c r="AB39" s="17">
        <v>1176.58</v>
      </c>
      <c r="AC39" s="17">
        <v>0</v>
      </c>
      <c r="AD39" s="17">
        <v>0</v>
      </c>
      <c r="AE39" s="17">
        <v>-8006.59</v>
      </c>
      <c r="AF39" s="17">
        <v>-1990.64</v>
      </c>
      <c r="AG39" s="17">
        <v>0</v>
      </c>
      <c r="AH39" s="17">
        <v>0</v>
      </c>
      <c r="AI39" s="17">
        <v>0</v>
      </c>
      <c r="AJ39" s="17">
        <v>8399.2199999999993</v>
      </c>
      <c r="AK39" s="17">
        <v>9600.7800000000007</v>
      </c>
    </row>
    <row r="40" spans="1:37" x14ac:dyDescent="0.2">
      <c r="A40" s="14" t="s">
        <v>33</v>
      </c>
      <c r="B40" s="14">
        <v>108</v>
      </c>
      <c r="C40" s="14">
        <v>1</v>
      </c>
      <c r="D40" s="14" t="s">
        <v>124</v>
      </c>
      <c r="E40" s="15">
        <v>10</v>
      </c>
      <c r="F40" s="15" t="s">
        <v>56</v>
      </c>
      <c r="G40" s="16">
        <v>444</v>
      </c>
      <c r="H40" s="16">
        <v>494</v>
      </c>
      <c r="I40" s="16">
        <v>11131937</v>
      </c>
      <c r="J40" s="16">
        <v>53280</v>
      </c>
      <c r="K40" s="16">
        <v>59280</v>
      </c>
      <c r="L40" s="17">
        <v>37293.550000000003</v>
      </c>
      <c r="M40" s="17">
        <v>37293.550000000003</v>
      </c>
      <c r="N40" s="17">
        <v>37293.550000000003</v>
      </c>
      <c r="O40" s="18">
        <v>1</v>
      </c>
      <c r="P40" s="17">
        <v>15986.45</v>
      </c>
      <c r="Q40" s="17">
        <v>21986.45</v>
      </c>
      <c r="R40" s="17">
        <v>21986.45</v>
      </c>
      <c r="S40" s="17">
        <v>1</v>
      </c>
      <c r="T40" s="17">
        <v>21986.45</v>
      </c>
      <c r="U40" s="17">
        <v>790.4</v>
      </c>
      <c r="V40" s="16">
        <v>53280</v>
      </c>
      <c r="W40" s="17">
        <v>4627.07</v>
      </c>
      <c r="X40" s="17">
        <v>57907.07</v>
      </c>
      <c r="Y40" s="17">
        <v>14476.77</v>
      </c>
      <c r="Z40" s="17">
        <v>14288.51</v>
      </c>
      <c r="AA40" s="17">
        <v>0</v>
      </c>
      <c r="AB40" s="17">
        <v>12623.83</v>
      </c>
      <c r="AC40" s="17">
        <v>0</v>
      </c>
      <c r="AD40" s="17">
        <v>0</v>
      </c>
      <c r="AE40" s="17">
        <v>15710</v>
      </c>
      <c r="AF40" s="17">
        <v>14207.45</v>
      </c>
      <c r="AG40" s="17">
        <v>0</v>
      </c>
      <c r="AH40" s="17">
        <v>0</v>
      </c>
      <c r="AI40" s="17">
        <v>0</v>
      </c>
      <c r="AJ40" s="17">
        <v>37293.550000000003</v>
      </c>
      <c r="AK40" s="17">
        <v>21986.45</v>
      </c>
    </row>
    <row r="41" spans="1:37" x14ac:dyDescent="0.2">
      <c r="A41" s="14" t="s">
        <v>33</v>
      </c>
      <c r="B41" s="14">
        <v>110</v>
      </c>
      <c r="C41" s="14">
        <v>1</v>
      </c>
      <c r="D41" s="14" t="s">
        <v>125</v>
      </c>
      <c r="E41" s="15">
        <v>10</v>
      </c>
      <c r="F41" s="15" t="s">
        <v>56</v>
      </c>
      <c r="G41" s="16">
        <v>1410</v>
      </c>
      <c r="H41" s="16">
        <v>1420</v>
      </c>
      <c r="I41" s="16">
        <v>27049759</v>
      </c>
      <c r="J41" s="16">
        <v>169200</v>
      </c>
      <c r="K41" s="16">
        <v>170400</v>
      </c>
      <c r="L41" s="17">
        <v>90620.479999999996</v>
      </c>
      <c r="M41" s="17">
        <v>90620.479999999996</v>
      </c>
      <c r="N41" s="17">
        <v>90620.479999999996</v>
      </c>
      <c r="O41" s="18">
        <v>1</v>
      </c>
      <c r="P41" s="17">
        <v>78579.520000000004</v>
      </c>
      <c r="Q41" s="17">
        <v>79779.520000000004</v>
      </c>
      <c r="R41" s="17">
        <v>79779.520000000004</v>
      </c>
      <c r="S41" s="17">
        <v>1</v>
      </c>
      <c r="T41" s="17">
        <v>79779.520000000004</v>
      </c>
      <c r="U41" s="17">
        <v>2272</v>
      </c>
      <c r="V41" s="16">
        <v>169200</v>
      </c>
      <c r="W41" s="17">
        <v>50144.42</v>
      </c>
      <c r="X41" s="17">
        <v>219344.42</v>
      </c>
      <c r="Y41" s="17">
        <v>54836.11</v>
      </c>
      <c r="Z41" s="17">
        <v>36514.92</v>
      </c>
      <c r="AA41" s="17">
        <v>0</v>
      </c>
      <c r="AB41" s="17">
        <v>21011.439999999999</v>
      </c>
      <c r="AC41" s="17">
        <v>0</v>
      </c>
      <c r="AD41" s="17">
        <v>0</v>
      </c>
      <c r="AE41" s="17">
        <v>34816.71</v>
      </c>
      <c r="AF41" s="17">
        <v>30781.02</v>
      </c>
      <c r="AG41" s="17">
        <v>0</v>
      </c>
      <c r="AH41" s="17">
        <v>0</v>
      </c>
      <c r="AI41" s="17">
        <v>0</v>
      </c>
      <c r="AJ41" s="17">
        <v>90620.479999999996</v>
      </c>
      <c r="AK41" s="17">
        <v>79779.520000000004</v>
      </c>
    </row>
    <row r="42" spans="1:37" x14ac:dyDescent="0.2">
      <c r="A42" s="14" t="s">
        <v>33</v>
      </c>
      <c r="B42" s="14">
        <v>111</v>
      </c>
      <c r="C42" s="14">
        <v>1</v>
      </c>
      <c r="D42" s="14" t="s">
        <v>126</v>
      </c>
      <c r="E42" s="15">
        <v>10</v>
      </c>
      <c r="F42" s="15" t="s">
        <v>56</v>
      </c>
      <c r="G42" s="16">
        <v>795</v>
      </c>
      <c r="H42" s="16">
        <v>799</v>
      </c>
      <c r="I42" s="16">
        <v>14219495</v>
      </c>
      <c r="J42" s="16">
        <v>95400</v>
      </c>
      <c r="K42" s="16">
        <v>95880</v>
      </c>
      <c r="L42" s="17">
        <v>47637.3</v>
      </c>
      <c r="M42" s="17">
        <v>47637.3</v>
      </c>
      <c r="N42" s="17">
        <v>47637.3</v>
      </c>
      <c r="O42" s="18">
        <v>1</v>
      </c>
      <c r="P42" s="17">
        <v>47762.7</v>
      </c>
      <c r="Q42" s="17">
        <v>48242.7</v>
      </c>
      <c r="R42" s="17">
        <v>48242.7</v>
      </c>
      <c r="S42" s="17">
        <v>1</v>
      </c>
      <c r="T42" s="17">
        <v>48242.7</v>
      </c>
      <c r="U42" s="17">
        <v>1278.4000000000001</v>
      </c>
      <c r="V42" s="16">
        <v>95400</v>
      </c>
      <c r="W42" s="17">
        <v>23538.91</v>
      </c>
      <c r="X42" s="17">
        <v>118938.91</v>
      </c>
      <c r="Y42" s="17">
        <v>29734.73</v>
      </c>
      <c r="Z42" s="17">
        <v>19741.919999999998</v>
      </c>
      <c r="AA42" s="17">
        <v>0</v>
      </c>
      <c r="AB42" s="17">
        <v>17387.990000000002</v>
      </c>
      <c r="AC42" s="17">
        <v>0</v>
      </c>
      <c r="AD42" s="17">
        <v>0</v>
      </c>
      <c r="AE42" s="17">
        <v>26977.67</v>
      </c>
      <c r="AF42" s="17">
        <v>21369.19</v>
      </c>
      <c r="AG42" s="17">
        <v>0</v>
      </c>
      <c r="AH42" s="17">
        <v>0</v>
      </c>
      <c r="AI42" s="17">
        <v>0</v>
      </c>
      <c r="AJ42" s="17">
        <v>47637.3</v>
      </c>
      <c r="AK42" s="17">
        <v>48242.7</v>
      </c>
    </row>
    <row r="43" spans="1:37" x14ac:dyDescent="0.2">
      <c r="A43" s="14" t="s">
        <v>33</v>
      </c>
      <c r="B43" s="14">
        <v>112</v>
      </c>
      <c r="C43" s="14">
        <v>1</v>
      </c>
      <c r="D43" s="14" t="s">
        <v>398</v>
      </c>
      <c r="E43" s="15">
        <v>10</v>
      </c>
      <c r="F43" s="15" t="s">
        <v>56</v>
      </c>
      <c r="G43" s="16">
        <v>4660</v>
      </c>
      <c r="H43" s="16">
        <v>4638</v>
      </c>
      <c r="I43" s="16">
        <v>68959633</v>
      </c>
      <c r="J43" s="16">
        <v>559200</v>
      </c>
      <c r="K43" s="16">
        <v>556560</v>
      </c>
      <c r="L43" s="17">
        <v>231024.42</v>
      </c>
      <c r="M43" s="17">
        <v>231024.42</v>
      </c>
      <c r="N43" s="17">
        <v>231024.42</v>
      </c>
      <c r="O43" s="18">
        <v>1</v>
      </c>
      <c r="P43" s="17">
        <v>328175.58</v>
      </c>
      <c r="Q43" s="17">
        <v>325535.58</v>
      </c>
      <c r="R43" s="17">
        <v>325535.58</v>
      </c>
      <c r="S43" s="17">
        <v>1</v>
      </c>
      <c r="T43" s="17">
        <v>325535.58</v>
      </c>
      <c r="U43" s="17">
        <v>7420.8</v>
      </c>
      <c r="V43" s="16">
        <v>559200</v>
      </c>
      <c r="W43" s="17">
        <v>158449.04</v>
      </c>
      <c r="X43" s="17">
        <v>717649.04</v>
      </c>
      <c r="Y43" s="17">
        <v>179412.26</v>
      </c>
      <c r="Z43" s="17">
        <v>0</v>
      </c>
      <c r="AA43" s="17">
        <v>0</v>
      </c>
      <c r="AB43" s="17">
        <v>32456.02</v>
      </c>
      <c r="AC43" s="17">
        <v>0</v>
      </c>
      <c r="AD43" s="17">
        <v>0</v>
      </c>
      <c r="AE43" s="17">
        <v>0</v>
      </c>
      <c r="AF43" s="17">
        <v>10818.67</v>
      </c>
      <c r="AG43" s="17">
        <v>0</v>
      </c>
      <c r="AH43" s="17">
        <v>0</v>
      </c>
      <c r="AI43" s="17">
        <v>0</v>
      </c>
      <c r="AJ43" s="17">
        <v>231024.42</v>
      </c>
      <c r="AK43" s="17">
        <v>325535.58</v>
      </c>
    </row>
    <row r="44" spans="1:37" x14ac:dyDescent="0.2">
      <c r="A44" s="14" t="s">
        <v>33</v>
      </c>
      <c r="B44" s="14">
        <v>113</v>
      </c>
      <c r="C44" s="14">
        <v>1</v>
      </c>
      <c r="D44" s="14" t="s">
        <v>127</v>
      </c>
      <c r="E44" s="15">
        <v>11</v>
      </c>
      <c r="F44" s="15" t="s">
        <v>66</v>
      </c>
      <c r="G44" s="16">
        <v>333</v>
      </c>
      <c r="H44" s="16">
        <v>338</v>
      </c>
      <c r="I44" s="16">
        <v>23342996</v>
      </c>
      <c r="J44" s="16">
        <v>39960</v>
      </c>
      <c r="K44" s="16">
        <v>40560</v>
      </c>
      <c r="L44" s="17">
        <v>39960</v>
      </c>
      <c r="M44" s="17">
        <v>40560</v>
      </c>
      <c r="N44" s="17">
        <v>39960</v>
      </c>
      <c r="O44" s="18">
        <v>1</v>
      </c>
      <c r="P44" s="17">
        <v>0</v>
      </c>
      <c r="Q44" s="17">
        <v>0</v>
      </c>
      <c r="R44" s="17">
        <v>0</v>
      </c>
      <c r="S44" s="17">
        <v>1</v>
      </c>
      <c r="T44" s="17">
        <v>0</v>
      </c>
      <c r="U44" s="17">
        <v>540.79999999999995</v>
      </c>
      <c r="V44" s="16">
        <v>39960</v>
      </c>
      <c r="W44" s="17">
        <v>532.79999999999995</v>
      </c>
      <c r="X44" s="17">
        <v>40492.800000000003</v>
      </c>
      <c r="Y44" s="17">
        <v>10123.200000000001</v>
      </c>
      <c r="Z44" s="17">
        <v>596.79999999999995</v>
      </c>
      <c r="AA44" s="17">
        <v>0</v>
      </c>
      <c r="AB44" s="17">
        <v>9160.48</v>
      </c>
      <c r="AC44" s="17">
        <v>0</v>
      </c>
      <c r="AD44" s="17">
        <v>0</v>
      </c>
      <c r="AE44" s="17">
        <v>8068.1</v>
      </c>
      <c r="AF44" s="17">
        <v>5941.79</v>
      </c>
      <c r="AG44" s="17">
        <v>0</v>
      </c>
      <c r="AH44" s="17">
        <v>0</v>
      </c>
      <c r="AI44" s="17">
        <v>0</v>
      </c>
      <c r="AJ44" s="17">
        <v>40560</v>
      </c>
      <c r="AK44" s="17">
        <v>0</v>
      </c>
    </row>
    <row r="45" spans="1:37" x14ac:dyDescent="0.2">
      <c r="A45" s="14" t="s">
        <v>33</v>
      </c>
      <c r="B45" s="14">
        <v>115</v>
      </c>
      <c r="C45" s="14">
        <v>1</v>
      </c>
      <c r="D45" s="14" t="s">
        <v>128</v>
      </c>
      <c r="E45" s="15">
        <v>11</v>
      </c>
      <c r="F45" s="15" t="s">
        <v>66</v>
      </c>
      <c r="G45" s="16">
        <v>535</v>
      </c>
      <c r="H45" s="16">
        <v>257</v>
      </c>
      <c r="I45" s="16">
        <v>5344007</v>
      </c>
      <c r="J45" s="16">
        <v>64200</v>
      </c>
      <c r="K45" s="16">
        <v>30840</v>
      </c>
      <c r="L45" s="17">
        <v>17903.169999999998</v>
      </c>
      <c r="M45" s="17">
        <v>17903.169999999998</v>
      </c>
      <c r="N45" s="17">
        <v>17903.169999999998</v>
      </c>
      <c r="O45" s="18">
        <v>1</v>
      </c>
      <c r="P45" s="17">
        <v>46296.83</v>
      </c>
      <c r="Q45" s="17">
        <v>12936.83</v>
      </c>
      <c r="R45" s="17">
        <v>12936.83</v>
      </c>
      <c r="S45" s="17">
        <v>1</v>
      </c>
      <c r="T45" s="17">
        <v>12936.83</v>
      </c>
      <c r="U45" s="17">
        <v>411.2</v>
      </c>
      <c r="V45" s="16">
        <v>64200</v>
      </c>
      <c r="W45" s="17">
        <v>856</v>
      </c>
      <c r="X45" s="17">
        <v>65056</v>
      </c>
      <c r="Y45" s="17">
        <v>16264</v>
      </c>
      <c r="Z45" s="17">
        <v>36438.81</v>
      </c>
      <c r="AA45" s="17">
        <v>4719.46</v>
      </c>
      <c r="AB45" s="17">
        <v>32964.879999999997</v>
      </c>
      <c r="AC45" s="17">
        <v>9204.91</v>
      </c>
      <c r="AD45" s="17">
        <v>0</v>
      </c>
      <c r="AE45" s="17">
        <v>10776.67</v>
      </c>
      <c r="AF45" s="17">
        <v>22085.33</v>
      </c>
      <c r="AG45" s="17">
        <v>5821.33</v>
      </c>
      <c r="AH45" s="17">
        <v>3379.39</v>
      </c>
      <c r="AI45" s="17">
        <v>2441.94</v>
      </c>
      <c r="AJ45" s="17">
        <v>14523.78</v>
      </c>
      <c r="AK45" s="17">
        <v>10494.89</v>
      </c>
    </row>
    <row r="46" spans="1:37" x14ac:dyDescent="0.2">
      <c r="A46" s="14" t="s">
        <v>33</v>
      </c>
      <c r="B46" s="14">
        <v>116</v>
      </c>
      <c r="C46" s="14">
        <v>1</v>
      </c>
      <c r="D46" s="14" t="s">
        <v>129</v>
      </c>
      <c r="E46" s="15">
        <v>11</v>
      </c>
      <c r="F46" s="15" t="s">
        <v>66</v>
      </c>
      <c r="G46" s="16">
        <v>351</v>
      </c>
      <c r="H46" s="16">
        <v>350</v>
      </c>
      <c r="I46" s="16">
        <v>12593882</v>
      </c>
      <c r="J46" s="16">
        <v>42120</v>
      </c>
      <c r="K46" s="16">
        <v>42000</v>
      </c>
      <c r="L46" s="17">
        <v>42120</v>
      </c>
      <c r="M46" s="17">
        <v>42000</v>
      </c>
      <c r="N46" s="17">
        <v>42120</v>
      </c>
      <c r="O46" s="18">
        <v>1</v>
      </c>
      <c r="P46" s="17">
        <v>0</v>
      </c>
      <c r="Q46" s="17">
        <v>0</v>
      </c>
      <c r="R46" s="17">
        <v>0</v>
      </c>
      <c r="S46" s="17">
        <v>1</v>
      </c>
      <c r="T46" s="17">
        <v>0</v>
      </c>
      <c r="U46" s="17">
        <v>560</v>
      </c>
      <c r="V46" s="16">
        <v>42120</v>
      </c>
      <c r="W46" s="17">
        <v>947.1</v>
      </c>
      <c r="X46" s="17">
        <v>43067.1</v>
      </c>
      <c r="Y46" s="17">
        <v>10766.78</v>
      </c>
      <c r="Z46" s="17">
        <v>15390.57</v>
      </c>
      <c r="AA46" s="17">
        <v>0</v>
      </c>
      <c r="AB46" s="17">
        <v>3455.94</v>
      </c>
      <c r="AC46" s="17">
        <v>0</v>
      </c>
      <c r="AD46" s="17">
        <v>0</v>
      </c>
      <c r="AE46" s="17">
        <v>15147.41</v>
      </c>
      <c r="AF46" s="17">
        <v>11331.31</v>
      </c>
      <c r="AG46" s="17">
        <v>564.53</v>
      </c>
      <c r="AH46" s="17">
        <v>564.53</v>
      </c>
      <c r="AI46" s="17">
        <v>0</v>
      </c>
      <c r="AJ46" s="17">
        <v>41435.47</v>
      </c>
      <c r="AK46" s="17">
        <v>0</v>
      </c>
    </row>
    <row r="47" spans="1:37" x14ac:dyDescent="0.2">
      <c r="A47" s="14" t="s">
        <v>33</v>
      </c>
      <c r="B47" s="14">
        <v>118</v>
      </c>
      <c r="C47" s="14">
        <v>1</v>
      </c>
      <c r="D47" s="14" t="s">
        <v>89</v>
      </c>
      <c r="E47" s="15">
        <v>11</v>
      </c>
      <c r="F47" s="15" t="s">
        <v>66</v>
      </c>
      <c r="G47" s="16">
        <v>196</v>
      </c>
      <c r="H47" s="16">
        <v>201</v>
      </c>
      <c r="I47" s="16">
        <v>20967473</v>
      </c>
      <c r="J47" s="16">
        <v>23520</v>
      </c>
      <c r="K47" s="16">
        <v>24120</v>
      </c>
      <c r="L47" s="17">
        <v>23520</v>
      </c>
      <c r="M47" s="17">
        <v>24120</v>
      </c>
      <c r="N47" s="17">
        <v>23520</v>
      </c>
      <c r="O47" s="18">
        <v>1</v>
      </c>
      <c r="P47" s="17">
        <v>0</v>
      </c>
      <c r="Q47" s="17">
        <v>0</v>
      </c>
      <c r="R47" s="17">
        <v>0</v>
      </c>
      <c r="S47" s="17">
        <v>1</v>
      </c>
      <c r="T47" s="17">
        <v>0</v>
      </c>
      <c r="U47" s="17">
        <v>321.60000000000002</v>
      </c>
      <c r="V47" s="16">
        <v>23520</v>
      </c>
      <c r="W47" s="17">
        <v>313.60000000000002</v>
      </c>
      <c r="X47" s="17">
        <v>23833.599999999999</v>
      </c>
      <c r="Y47" s="17">
        <v>5958.4</v>
      </c>
      <c r="Z47" s="17">
        <v>11458.11</v>
      </c>
      <c r="AA47" s="17">
        <v>0</v>
      </c>
      <c r="AB47" s="17">
        <v>8641.51</v>
      </c>
      <c r="AC47" s="17">
        <v>0</v>
      </c>
      <c r="AD47" s="17">
        <v>0</v>
      </c>
      <c r="AE47" s="17">
        <v>9913.19</v>
      </c>
      <c r="AF47" s="17">
        <v>10004.27</v>
      </c>
      <c r="AG47" s="17">
        <v>4045.87</v>
      </c>
      <c r="AH47" s="17">
        <v>4045.87</v>
      </c>
      <c r="AI47" s="17">
        <v>0</v>
      </c>
      <c r="AJ47" s="17">
        <v>20074.13</v>
      </c>
      <c r="AK47" s="17">
        <v>0</v>
      </c>
    </row>
    <row r="48" spans="1:37" x14ac:dyDescent="0.2">
      <c r="A48" s="14" t="s">
        <v>33</v>
      </c>
      <c r="B48" s="14">
        <v>129</v>
      </c>
      <c r="C48" s="14">
        <v>1</v>
      </c>
      <c r="D48" s="14" t="s">
        <v>130</v>
      </c>
      <c r="E48" s="15">
        <v>12</v>
      </c>
      <c r="F48" s="15" t="s">
        <v>64</v>
      </c>
      <c r="G48" s="16">
        <v>497</v>
      </c>
      <c r="H48" s="16">
        <v>546</v>
      </c>
      <c r="I48" s="16">
        <v>5966891</v>
      </c>
      <c r="J48" s="16">
        <v>59640</v>
      </c>
      <c r="K48" s="16">
        <v>65520</v>
      </c>
      <c r="L48" s="17">
        <v>19989.919999999998</v>
      </c>
      <c r="M48" s="17">
        <v>19989.919999999998</v>
      </c>
      <c r="N48" s="17">
        <v>19989.919999999998</v>
      </c>
      <c r="O48" s="18">
        <v>1</v>
      </c>
      <c r="P48" s="17">
        <v>39650.080000000002</v>
      </c>
      <c r="Q48" s="17">
        <v>45530.080000000002</v>
      </c>
      <c r="R48" s="17">
        <v>45530.080000000002</v>
      </c>
      <c r="S48" s="17">
        <v>1</v>
      </c>
      <c r="T48" s="17">
        <v>45530.080000000002</v>
      </c>
      <c r="U48" s="17">
        <v>873.6</v>
      </c>
      <c r="V48" s="16">
        <v>59640</v>
      </c>
      <c r="W48" s="17">
        <v>3781.2</v>
      </c>
      <c r="X48" s="17">
        <v>63421.2</v>
      </c>
      <c r="Y48" s="17">
        <v>15855.3</v>
      </c>
      <c r="Z48" s="17">
        <v>11160.56</v>
      </c>
      <c r="AA48" s="17">
        <v>0</v>
      </c>
      <c r="AB48" s="17">
        <v>26866.3</v>
      </c>
      <c r="AC48" s="17">
        <v>1612.85</v>
      </c>
      <c r="AD48" s="17">
        <v>0</v>
      </c>
      <c r="AE48" s="17">
        <v>15204.85</v>
      </c>
      <c r="AF48" s="17">
        <v>17206.29</v>
      </c>
      <c r="AG48" s="17">
        <v>1350.99</v>
      </c>
      <c r="AH48" s="17">
        <v>412.18</v>
      </c>
      <c r="AI48" s="17">
        <v>938.81</v>
      </c>
      <c r="AJ48" s="17">
        <v>19577.740000000002</v>
      </c>
      <c r="AK48" s="17">
        <v>44591.27</v>
      </c>
    </row>
    <row r="49" spans="1:37" x14ac:dyDescent="0.2">
      <c r="A49" s="14" t="s">
        <v>33</v>
      </c>
      <c r="B49" s="14">
        <v>138</v>
      </c>
      <c r="C49" s="14">
        <v>1</v>
      </c>
      <c r="D49" s="14" t="s">
        <v>131</v>
      </c>
      <c r="E49" s="15">
        <v>13</v>
      </c>
      <c r="F49" s="15" t="s">
        <v>67</v>
      </c>
      <c r="G49" s="16">
        <v>1575</v>
      </c>
      <c r="H49" s="16">
        <v>1595</v>
      </c>
      <c r="I49" s="16">
        <v>21534986</v>
      </c>
      <c r="J49" s="16">
        <v>189000</v>
      </c>
      <c r="K49" s="16">
        <v>191400</v>
      </c>
      <c r="L49" s="17">
        <v>72145.22</v>
      </c>
      <c r="M49" s="17">
        <v>72145.22</v>
      </c>
      <c r="N49" s="17">
        <v>72145.22</v>
      </c>
      <c r="O49" s="18">
        <v>1</v>
      </c>
      <c r="P49" s="17">
        <v>116854.78</v>
      </c>
      <c r="Q49" s="17">
        <v>119254.78</v>
      </c>
      <c r="R49" s="17">
        <v>119254.78</v>
      </c>
      <c r="S49" s="17">
        <v>1</v>
      </c>
      <c r="T49" s="17">
        <v>119254.78</v>
      </c>
      <c r="U49" s="17">
        <v>2552</v>
      </c>
      <c r="V49" s="16">
        <v>189000</v>
      </c>
      <c r="W49" s="17">
        <v>42566.87</v>
      </c>
      <c r="X49" s="17">
        <v>231566.87</v>
      </c>
      <c r="Y49" s="17">
        <v>57891.72</v>
      </c>
      <c r="Z49" s="17">
        <v>44082.28</v>
      </c>
      <c r="AA49" s="17">
        <v>0</v>
      </c>
      <c r="AB49" s="17">
        <v>43784.67</v>
      </c>
      <c r="AC49" s="17">
        <v>0</v>
      </c>
      <c r="AD49" s="17">
        <v>0</v>
      </c>
      <c r="AE49" s="17">
        <v>43710.93</v>
      </c>
      <c r="AF49" s="17">
        <v>43859.29</v>
      </c>
      <c r="AG49" s="17">
        <v>0</v>
      </c>
      <c r="AH49" s="17">
        <v>0</v>
      </c>
      <c r="AI49" s="17">
        <v>0</v>
      </c>
      <c r="AJ49" s="17">
        <v>72145.22</v>
      </c>
      <c r="AK49" s="17">
        <v>119254.78</v>
      </c>
    </row>
    <row r="50" spans="1:37" x14ac:dyDescent="0.2">
      <c r="A50" s="14" t="s">
        <v>33</v>
      </c>
      <c r="B50" s="14">
        <v>139</v>
      </c>
      <c r="C50" s="14">
        <v>1</v>
      </c>
      <c r="D50" s="14" t="s">
        <v>132</v>
      </c>
      <c r="E50" s="15">
        <v>13</v>
      </c>
      <c r="F50" s="15" t="s">
        <v>67</v>
      </c>
      <c r="G50" s="16">
        <v>329</v>
      </c>
      <c r="H50" s="16">
        <v>324</v>
      </c>
      <c r="I50" s="16">
        <v>6478573</v>
      </c>
      <c r="J50" s="16">
        <v>39480</v>
      </c>
      <c r="K50" s="16">
        <v>38880</v>
      </c>
      <c r="L50" s="17">
        <v>21704.13</v>
      </c>
      <c r="M50" s="17">
        <v>21704.13</v>
      </c>
      <c r="N50" s="17">
        <v>21704.13</v>
      </c>
      <c r="O50" s="18">
        <v>1</v>
      </c>
      <c r="P50" s="17">
        <v>17775.87</v>
      </c>
      <c r="Q50" s="17">
        <v>17175.87</v>
      </c>
      <c r="R50" s="17">
        <v>17175.87</v>
      </c>
      <c r="S50" s="17">
        <v>1</v>
      </c>
      <c r="T50" s="17">
        <v>17175.87</v>
      </c>
      <c r="U50" s="17">
        <v>518.4</v>
      </c>
      <c r="V50" s="16">
        <v>39480</v>
      </c>
      <c r="W50" s="17">
        <v>1708.75</v>
      </c>
      <c r="X50" s="17">
        <v>41188.75</v>
      </c>
      <c r="Y50" s="17">
        <v>10297.19</v>
      </c>
      <c r="Z50" s="17">
        <v>5788.4</v>
      </c>
      <c r="AA50" s="17">
        <v>0</v>
      </c>
      <c r="AB50" s="17">
        <v>6693.51</v>
      </c>
      <c r="AC50" s="17">
        <v>0</v>
      </c>
      <c r="AD50" s="17">
        <v>0</v>
      </c>
      <c r="AE50" s="17">
        <v>5276.95</v>
      </c>
      <c r="AF50" s="17">
        <v>5919.62</v>
      </c>
      <c r="AG50" s="17">
        <v>0</v>
      </c>
      <c r="AH50" s="17">
        <v>0</v>
      </c>
      <c r="AI50" s="17">
        <v>0</v>
      </c>
      <c r="AJ50" s="17">
        <v>21704.13</v>
      </c>
      <c r="AK50" s="17">
        <v>17175.87</v>
      </c>
    </row>
    <row r="51" spans="1:37" x14ac:dyDescent="0.2">
      <c r="A51" s="14" t="s">
        <v>33</v>
      </c>
      <c r="B51" s="14">
        <v>146</v>
      </c>
      <c r="C51" s="14">
        <v>1</v>
      </c>
      <c r="D51" s="14" t="s">
        <v>133</v>
      </c>
      <c r="E51" s="15">
        <v>14</v>
      </c>
      <c r="F51" s="15" t="s">
        <v>60</v>
      </c>
      <c r="G51" s="16">
        <v>288</v>
      </c>
      <c r="H51" s="16">
        <v>285</v>
      </c>
      <c r="I51" s="16">
        <v>4721837</v>
      </c>
      <c r="J51" s="16">
        <v>34560</v>
      </c>
      <c r="K51" s="16">
        <v>34200</v>
      </c>
      <c r="L51" s="17">
        <v>15818.82</v>
      </c>
      <c r="M51" s="17">
        <v>15818.82</v>
      </c>
      <c r="N51" s="17">
        <v>15818.82</v>
      </c>
      <c r="O51" s="18">
        <v>1</v>
      </c>
      <c r="P51" s="17">
        <v>18741.18</v>
      </c>
      <c r="Q51" s="17">
        <v>18381.18</v>
      </c>
      <c r="R51" s="17">
        <v>18381.18</v>
      </c>
      <c r="S51" s="17">
        <v>1</v>
      </c>
      <c r="T51" s="17">
        <v>18381.18</v>
      </c>
      <c r="U51" s="17">
        <v>456</v>
      </c>
      <c r="V51" s="16">
        <v>34560</v>
      </c>
      <c r="W51" s="17">
        <v>1316.8</v>
      </c>
      <c r="X51" s="17">
        <v>35876.800000000003</v>
      </c>
      <c r="Y51" s="17">
        <v>8969.2000000000007</v>
      </c>
      <c r="Z51" s="17">
        <v>5396.53</v>
      </c>
      <c r="AA51" s="17">
        <v>0</v>
      </c>
      <c r="AB51" s="17">
        <v>10143.280000000001</v>
      </c>
      <c r="AC51" s="17">
        <v>0</v>
      </c>
      <c r="AD51" s="17">
        <v>0</v>
      </c>
      <c r="AE51" s="17">
        <v>10203.549999999999</v>
      </c>
      <c r="AF51" s="17">
        <v>8581.1200000000008</v>
      </c>
      <c r="AG51" s="17">
        <v>0</v>
      </c>
      <c r="AH51" s="17">
        <v>0</v>
      </c>
      <c r="AI51" s="17">
        <v>0</v>
      </c>
      <c r="AJ51" s="17">
        <v>15818.82</v>
      </c>
      <c r="AK51" s="17">
        <v>18381.18</v>
      </c>
    </row>
    <row r="52" spans="1:37" x14ac:dyDescent="0.2">
      <c r="A52" s="14" t="s">
        <v>33</v>
      </c>
      <c r="B52" s="14">
        <v>150</v>
      </c>
      <c r="C52" s="14">
        <v>1</v>
      </c>
      <c r="D52" s="14" t="s">
        <v>134</v>
      </c>
      <c r="E52" s="15">
        <v>14</v>
      </c>
      <c r="F52" s="15" t="s">
        <v>60</v>
      </c>
      <c r="G52" s="16">
        <v>254</v>
      </c>
      <c r="H52" s="16">
        <v>262</v>
      </c>
      <c r="I52" s="16">
        <v>2991134</v>
      </c>
      <c r="J52" s="16">
        <v>30480</v>
      </c>
      <c r="K52" s="16">
        <v>31440</v>
      </c>
      <c r="L52" s="17">
        <v>10020.719999999999</v>
      </c>
      <c r="M52" s="17">
        <v>10020.719999999999</v>
      </c>
      <c r="N52" s="17">
        <v>10020.719999999999</v>
      </c>
      <c r="O52" s="18">
        <v>1</v>
      </c>
      <c r="P52" s="17">
        <v>20459.28</v>
      </c>
      <c r="Q52" s="17">
        <v>21419.279999999999</v>
      </c>
      <c r="R52" s="17">
        <v>21419.279999999999</v>
      </c>
      <c r="S52" s="17">
        <v>1</v>
      </c>
      <c r="T52" s="17">
        <v>21419.279999999999</v>
      </c>
      <c r="U52" s="17">
        <v>0</v>
      </c>
      <c r="V52" s="16">
        <v>30480</v>
      </c>
      <c r="W52" s="17">
        <v>1316</v>
      </c>
      <c r="X52" s="17">
        <v>31796</v>
      </c>
      <c r="Y52" s="17">
        <v>7949</v>
      </c>
      <c r="Z52" s="17">
        <v>31663.13</v>
      </c>
      <c r="AA52" s="17">
        <v>11542.37</v>
      </c>
      <c r="AB52" s="17">
        <v>48708.42</v>
      </c>
      <c r="AC52" s="17">
        <v>19020.060000000001</v>
      </c>
      <c r="AD52" s="17">
        <v>0</v>
      </c>
      <c r="AE52" s="17">
        <v>61499.35</v>
      </c>
      <c r="AF52" s="17">
        <v>37102.82</v>
      </c>
      <c r="AG52" s="17">
        <v>29153.82</v>
      </c>
      <c r="AH52" s="17">
        <v>9292.06</v>
      </c>
      <c r="AI52" s="17">
        <v>19861.759999999998</v>
      </c>
      <c r="AJ52" s="17">
        <v>728.66</v>
      </c>
      <c r="AK52" s="17">
        <v>1557.52</v>
      </c>
    </row>
    <row r="53" spans="1:37" x14ac:dyDescent="0.2">
      <c r="A53" s="14" t="s">
        <v>33</v>
      </c>
      <c r="B53" s="14">
        <v>152</v>
      </c>
      <c r="C53" s="14">
        <v>1</v>
      </c>
      <c r="D53" s="14" t="s">
        <v>135</v>
      </c>
      <c r="E53" s="15">
        <v>14</v>
      </c>
      <c r="F53" s="15" t="s">
        <v>60</v>
      </c>
      <c r="G53" s="16">
        <v>1939</v>
      </c>
      <c r="H53" s="16">
        <v>1985</v>
      </c>
      <c r="I53" s="16">
        <v>26099292</v>
      </c>
      <c r="J53" s="16">
        <v>232680</v>
      </c>
      <c r="K53" s="16">
        <v>238200</v>
      </c>
      <c r="L53" s="17">
        <v>87436.28</v>
      </c>
      <c r="M53" s="17">
        <v>87436.28</v>
      </c>
      <c r="N53" s="17">
        <v>87436.28</v>
      </c>
      <c r="O53" s="18">
        <v>1</v>
      </c>
      <c r="P53" s="17">
        <v>145243.72</v>
      </c>
      <c r="Q53" s="17">
        <v>150763.72</v>
      </c>
      <c r="R53" s="17">
        <v>150763.72</v>
      </c>
      <c r="S53" s="17">
        <v>1</v>
      </c>
      <c r="T53" s="17">
        <v>150763.72</v>
      </c>
      <c r="U53" s="17">
        <v>3176</v>
      </c>
      <c r="V53" s="16">
        <v>232680</v>
      </c>
      <c r="W53" s="17">
        <v>22231.17</v>
      </c>
      <c r="X53" s="17">
        <v>254911.17</v>
      </c>
      <c r="Y53" s="17">
        <v>63727.79</v>
      </c>
      <c r="Z53" s="17">
        <v>46043.68</v>
      </c>
      <c r="AA53" s="17">
        <v>0</v>
      </c>
      <c r="AB53" s="17">
        <v>58867.92</v>
      </c>
      <c r="AC53" s="17">
        <v>0</v>
      </c>
      <c r="AD53" s="17">
        <v>0</v>
      </c>
      <c r="AE53" s="17">
        <v>75500.66</v>
      </c>
      <c r="AF53" s="17">
        <v>60137.42</v>
      </c>
      <c r="AG53" s="17">
        <v>0</v>
      </c>
      <c r="AH53" s="17">
        <v>0</v>
      </c>
      <c r="AI53" s="17">
        <v>0</v>
      </c>
      <c r="AJ53" s="17">
        <v>87436.28</v>
      </c>
      <c r="AK53" s="17">
        <v>150763.72</v>
      </c>
    </row>
    <row r="54" spans="1:37" x14ac:dyDescent="0.2">
      <c r="A54" s="14" t="s">
        <v>33</v>
      </c>
      <c r="B54" s="14">
        <v>162</v>
      </c>
      <c r="C54" s="14">
        <v>1</v>
      </c>
      <c r="D54" s="14" t="s">
        <v>136</v>
      </c>
      <c r="E54" s="15">
        <v>15</v>
      </c>
      <c r="F54" s="15" t="s">
        <v>62</v>
      </c>
      <c r="G54" s="16">
        <v>513</v>
      </c>
      <c r="H54" s="16">
        <v>512</v>
      </c>
      <c r="I54" s="16">
        <v>5839144</v>
      </c>
      <c r="J54" s="16">
        <v>61560</v>
      </c>
      <c r="K54" s="16">
        <v>61440</v>
      </c>
      <c r="L54" s="17">
        <v>19561.95</v>
      </c>
      <c r="M54" s="17">
        <v>19561.95</v>
      </c>
      <c r="N54" s="17">
        <v>19561.95</v>
      </c>
      <c r="O54" s="18">
        <v>1</v>
      </c>
      <c r="P54" s="17">
        <v>41998.05</v>
      </c>
      <c r="Q54" s="17">
        <v>41878.050000000003</v>
      </c>
      <c r="R54" s="17">
        <v>41878.050000000003</v>
      </c>
      <c r="S54" s="17">
        <v>1</v>
      </c>
      <c r="T54" s="17">
        <v>41878.050000000003</v>
      </c>
      <c r="U54" s="17">
        <v>819.2</v>
      </c>
      <c r="V54" s="16">
        <v>61560</v>
      </c>
      <c r="W54" s="17">
        <v>3401.8</v>
      </c>
      <c r="X54" s="17">
        <v>64961.8</v>
      </c>
      <c r="Y54" s="17">
        <v>16240.45</v>
      </c>
      <c r="Z54" s="17">
        <v>16118.22</v>
      </c>
      <c r="AA54" s="17">
        <v>0</v>
      </c>
      <c r="AB54" s="17">
        <v>22215.08</v>
      </c>
      <c r="AC54" s="17">
        <v>1788.09</v>
      </c>
      <c r="AD54" s="17">
        <v>0</v>
      </c>
      <c r="AE54" s="17">
        <v>18337.830000000002</v>
      </c>
      <c r="AF54" s="17">
        <v>18294.349999999999</v>
      </c>
      <c r="AG54" s="17">
        <v>2053.9</v>
      </c>
      <c r="AH54" s="17">
        <v>653.94000000000005</v>
      </c>
      <c r="AI54" s="17">
        <v>1399.96</v>
      </c>
      <c r="AJ54" s="17">
        <v>18908.009999999998</v>
      </c>
      <c r="AK54" s="17">
        <v>40478.089999999997</v>
      </c>
    </row>
    <row r="55" spans="1:37" x14ac:dyDescent="0.2">
      <c r="A55" s="14" t="s">
        <v>33</v>
      </c>
      <c r="B55" s="14">
        <v>166</v>
      </c>
      <c r="C55" s="14">
        <v>1</v>
      </c>
      <c r="D55" s="14" t="s">
        <v>137</v>
      </c>
      <c r="E55" s="15">
        <v>16</v>
      </c>
      <c r="F55" s="15" t="s">
        <v>58</v>
      </c>
      <c r="G55" s="16">
        <v>218</v>
      </c>
      <c r="H55" s="16">
        <v>193</v>
      </c>
      <c r="I55" s="16">
        <v>19575598</v>
      </c>
      <c r="J55" s="16">
        <v>26160</v>
      </c>
      <c r="K55" s="16">
        <v>23160</v>
      </c>
      <c r="L55" s="17">
        <v>26160</v>
      </c>
      <c r="M55" s="17">
        <v>23160</v>
      </c>
      <c r="N55" s="17">
        <v>26160</v>
      </c>
      <c r="O55" s="18">
        <v>1</v>
      </c>
      <c r="P55" s="17">
        <v>0</v>
      </c>
      <c r="Q55" s="17">
        <v>0</v>
      </c>
      <c r="R55" s="17">
        <v>0</v>
      </c>
      <c r="S55" s="17">
        <v>1</v>
      </c>
      <c r="T55" s="17">
        <v>0</v>
      </c>
      <c r="U55" s="17">
        <v>308.8</v>
      </c>
      <c r="V55" s="16">
        <v>26160</v>
      </c>
      <c r="W55" s="17">
        <v>9236.82</v>
      </c>
      <c r="X55" s="17">
        <v>35396.82</v>
      </c>
      <c r="Y55" s="17">
        <v>8849.2099999999991</v>
      </c>
      <c r="Z55" s="17">
        <v>6396.57</v>
      </c>
      <c r="AA55" s="17">
        <v>0</v>
      </c>
      <c r="AB55" s="17">
        <v>14169.26</v>
      </c>
      <c r="AC55" s="17">
        <v>0</v>
      </c>
      <c r="AD55" s="17">
        <v>0</v>
      </c>
      <c r="AE55" s="17">
        <v>21669.4</v>
      </c>
      <c r="AF55" s="17">
        <v>14078.41</v>
      </c>
      <c r="AG55" s="17">
        <v>5229.2</v>
      </c>
      <c r="AH55" s="17">
        <v>5229.2</v>
      </c>
      <c r="AI55" s="17">
        <v>0</v>
      </c>
      <c r="AJ55" s="17">
        <v>17930.8</v>
      </c>
      <c r="AK55" s="17">
        <v>0</v>
      </c>
    </row>
    <row r="56" spans="1:37" x14ac:dyDescent="0.2">
      <c r="A56" s="14" t="s">
        <v>33</v>
      </c>
      <c r="B56" s="14">
        <v>173</v>
      </c>
      <c r="C56" s="14">
        <v>1</v>
      </c>
      <c r="D56" s="14" t="s">
        <v>138</v>
      </c>
      <c r="E56" s="15">
        <v>17</v>
      </c>
      <c r="F56" s="15" t="s">
        <v>65</v>
      </c>
      <c r="G56" s="16">
        <v>192</v>
      </c>
      <c r="H56" s="16">
        <v>180</v>
      </c>
      <c r="I56" s="16">
        <v>3432122</v>
      </c>
      <c r="J56" s="16">
        <v>23040</v>
      </c>
      <c r="K56" s="16">
        <v>21600</v>
      </c>
      <c r="L56" s="17">
        <v>11498.09</v>
      </c>
      <c r="M56" s="17">
        <v>11498.09</v>
      </c>
      <c r="N56" s="17">
        <v>11498.09</v>
      </c>
      <c r="O56" s="18">
        <v>1</v>
      </c>
      <c r="P56" s="17">
        <v>11541.91</v>
      </c>
      <c r="Q56" s="17">
        <v>10101.91</v>
      </c>
      <c r="R56" s="17">
        <v>10101.91</v>
      </c>
      <c r="S56" s="17">
        <v>1</v>
      </c>
      <c r="T56" s="17">
        <v>10101.91</v>
      </c>
      <c r="U56" s="17">
        <v>288</v>
      </c>
      <c r="V56" s="16">
        <v>23040</v>
      </c>
      <c r="W56" s="17">
        <v>4092.9</v>
      </c>
      <c r="X56" s="17">
        <v>27132.9</v>
      </c>
      <c r="Y56" s="17">
        <v>6783.23</v>
      </c>
      <c r="Z56" s="17">
        <v>4457.82</v>
      </c>
      <c r="AA56" s="17">
        <v>0</v>
      </c>
      <c r="AB56" s="17">
        <v>5804.03</v>
      </c>
      <c r="AC56" s="17">
        <v>0</v>
      </c>
      <c r="AD56" s="17">
        <v>0</v>
      </c>
      <c r="AE56" s="17">
        <v>5335.72</v>
      </c>
      <c r="AF56" s="17">
        <v>5199.1899999999996</v>
      </c>
      <c r="AG56" s="17">
        <v>0</v>
      </c>
      <c r="AH56" s="17">
        <v>0</v>
      </c>
      <c r="AI56" s="17">
        <v>0</v>
      </c>
      <c r="AJ56" s="17">
        <v>11498.09</v>
      </c>
      <c r="AK56" s="17">
        <v>10101.91</v>
      </c>
    </row>
    <row r="57" spans="1:37" x14ac:dyDescent="0.2">
      <c r="A57" s="14" t="s">
        <v>33</v>
      </c>
      <c r="B57" s="14">
        <v>177</v>
      </c>
      <c r="C57" s="14">
        <v>1</v>
      </c>
      <c r="D57" s="14" t="s">
        <v>139</v>
      </c>
      <c r="E57" s="15">
        <v>17</v>
      </c>
      <c r="F57" s="15" t="s">
        <v>65</v>
      </c>
      <c r="G57" s="16">
        <v>385</v>
      </c>
      <c r="H57" s="16">
        <v>382</v>
      </c>
      <c r="I57" s="16">
        <v>6085094</v>
      </c>
      <c r="J57" s="16">
        <v>46200</v>
      </c>
      <c r="K57" s="16">
        <v>45840</v>
      </c>
      <c r="L57" s="17">
        <v>20385.919999999998</v>
      </c>
      <c r="M57" s="17">
        <v>20385.919999999998</v>
      </c>
      <c r="N57" s="17">
        <v>20385.919999999998</v>
      </c>
      <c r="O57" s="18">
        <v>1</v>
      </c>
      <c r="P57" s="17">
        <v>25814.080000000002</v>
      </c>
      <c r="Q57" s="17">
        <v>25454.080000000002</v>
      </c>
      <c r="R57" s="17">
        <v>25454.080000000002</v>
      </c>
      <c r="S57" s="17">
        <v>1</v>
      </c>
      <c r="T57" s="17">
        <v>25454.080000000002</v>
      </c>
      <c r="U57" s="17">
        <v>611.20000000000005</v>
      </c>
      <c r="V57" s="16">
        <v>46200</v>
      </c>
      <c r="W57" s="17">
        <v>1147.94</v>
      </c>
      <c r="X57" s="17">
        <v>47347.94</v>
      </c>
      <c r="Y57" s="17">
        <v>11836.99</v>
      </c>
      <c r="Z57" s="17">
        <v>8705.5</v>
      </c>
      <c r="AA57" s="17">
        <v>0</v>
      </c>
      <c r="AB57" s="17">
        <v>14526.94</v>
      </c>
      <c r="AC57" s="17">
        <v>0</v>
      </c>
      <c r="AD57" s="17">
        <v>0</v>
      </c>
      <c r="AE57" s="17">
        <v>10483.32</v>
      </c>
      <c r="AF57" s="17">
        <v>11238.59</v>
      </c>
      <c r="AG57" s="17">
        <v>0</v>
      </c>
      <c r="AH57" s="17">
        <v>0</v>
      </c>
      <c r="AI57" s="17">
        <v>0</v>
      </c>
      <c r="AJ57" s="17">
        <v>20385.919999999998</v>
      </c>
      <c r="AK57" s="17">
        <v>25454.080000000002</v>
      </c>
    </row>
    <row r="58" spans="1:37" x14ac:dyDescent="0.2">
      <c r="A58" s="14" t="s">
        <v>33</v>
      </c>
      <c r="B58" s="14">
        <v>181</v>
      </c>
      <c r="C58" s="14">
        <v>1</v>
      </c>
      <c r="D58" s="14" t="s">
        <v>140</v>
      </c>
      <c r="E58" s="15">
        <v>18</v>
      </c>
      <c r="F58" s="15" t="s">
        <v>66</v>
      </c>
      <c r="G58" s="16">
        <v>3414</v>
      </c>
      <c r="H58" s="16">
        <v>3375</v>
      </c>
      <c r="I58" s="16">
        <v>70453822</v>
      </c>
      <c r="J58" s="16">
        <v>409680</v>
      </c>
      <c r="K58" s="16">
        <v>405000</v>
      </c>
      <c r="L58" s="17">
        <v>236030.17</v>
      </c>
      <c r="M58" s="17">
        <v>236030.17</v>
      </c>
      <c r="N58" s="17">
        <v>236030.17</v>
      </c>
      <c r="O58" s="18">
        <v>1</v>
      </c>
      <c r="P58" s="17">
        <v>173649.83</v>
      </c>
      <c r="Q58" s="17">
        <v>168969.83</v>
      </c>
      <c r="R58" s="17">
        <v>168969.83</v>
      </c>
      <c r="S58" s="17">
        <v>1</v>
      </c>
      <c r="T58" s="17">
        <v>168969.83</v>
      </c>
      <c r="U58" s="17">
        <v>5400</v>
      </c>
      <c r="V58" s="16">
        <v>409680</v>
      </c>
      <c r="W58" s="17">
        <v>43685.65</v>
      </c>
      <c r="X58" s="17">
        <v>453365.65</v>
      </c>
      <c r="Y58" s="17">
        <v>113341.41</v>
      </c>
      <c r="Z58" s="17">
        <v>55618.37</v>
      </c>
      <c r="AA58" s="17">
        <v>0</v>
      </c>
      <c r="AB58" s="17">
        <v>87035.99</v>
      </c>
      <c r="AC58" s="17">
        <v>0</v>
      </c>
      <c r="AD58" s="17">
        <v>0</v>
      </c>
      <c r="AE58" s="17">
        <v>96106.98</v>
      </c>
      <c r="AF58" s="17">
        <v>79587.11</v>
      </c>
      <c r="AG58" s="17">
        <v>0</v>
      </c>
      <c r="AH58" s="17">
        <v>0</v>
      </c>
      <c r="AI58" s="17">
        <v>0</v>
      </c>
      <c r="AJ58" s="17">
        <v>236030.17</v>
      </c>
      <c r="AK58" s="17">
        <v>168969.83</v>
      </c>
    </row>
    <row r="59" spans="1:37" x14ac:dyDescent="0.2">
      <c r="A59" s="14" t="s">
        <v>33</v>
      </c>
      <c r="B59" s="14">
        <v>182</v>
      </c>
      <c r="C59" s="14">
        <v>1</v>
      </c>
      <c r="D59" s="14" t="s">
        <v>141</v>
      </c>
      <c r="E59" s="15">
        <v>18</v>
      </c>
      <c r="F59" s="15" t="s">
        <v>66</v>
      </c>
      <c r="G59" s="16">
        <v>450</v>
      </c>
      <c r="H59" s="16">
        <v>465</v>
      </c>
      <c r="I59" s="16">
        <v>28054408</v>
      </c>
      <c r="J59" s="16">
        <v>54000</v>
      </c>
      <c r="K59" s="16">
        <v>55800</v>
      </c>
      <c r="L59" s="17">
        <v>54000</v>
      </c>
      <c r="M59" s="17">
        <v>55800</v>
      </c>
      <c r="N59" s="17">
        <v>54000</v>
      </c>
      <c r="O59" s="18">
        <v>1</v>
      </c>
      <c r="P59" s="17">
        <v>0</v>
      </c>
      <c r="Q59" s="17">
        <v>0</v>
      </c>
      <c r="R59" s="17">
        <v>0</v>
      </c>
      <c r="S59" s="17">
        <v>1</v>
      </c>
      <c r="T59" s="17">
        <v>0</v>
      </c>
      <c r="U59" s="17">
        <v>744</v>
      </c>
      <c r="V59" s="16">
        <v>54000</v>
      </c>
      <c r="W59" s="17">
        <v>11371.11</v>
      </c>
      <c r="X59" s="17">
        <v>65371.11</v>
      </c>
      <c r="Y59" s="17">
        <v>16342.78</v>
      </c>
      <c r="Z59" s="17">
        <v>3243.33</v>
      </c>
      <c r="AA59" s="17">
        <v>0</v>
      </c>
      <c r="AB59" s="17">
        <v>16758.64</v>
      </c>
      <c r="AC59" s="17">
        <v>0</v>
      </c>
      <c r="AD59" s="17">
        <v>0</v>
      </c>
      <c r="AE59" s="17">
        <v>10052.030000000001</v>
      </c>
      <c r="AF59" s="17">
        <v>10018</v>
      </c>
      <c r="AG59" s="17">
        <v>0</v>
      </c>
      <c r="AH59" s="17">
        <v>0</v>
      </c>
      <c r="AI59" s="17">
        <v>0</v>
      </c>
      <c r="AJ59" s="17">
        <v>55800</v>
      </c>
      <c r="AK59" s="17">
        <v>0</v>
      </c>
    </row>
    <row r="60" spans="1:37" x14ac:dyDescent="0.2">
      <c r="A60" s="14" t="s">
        <v>33</v>
      </c>
      <c r="B60" s="14">
        <v>186</v>
      </c>
      <c r="C60" s="14">
        <v>1</v>
      </c>
      <c r="D60" s="14" t="s">
        <v>142</v>
      </c>
      <c r="E60" s="15">
        <v>18</v>
      </c>
      <c r="F60" s="15" t="s">
        <v>66</v>
      </c>
      <c r="G60" s="16">
        <v>630</v>
      </c>
      <c r="H60" s="16">
        <v>635</v>
      </c>
      <c r="I60" s="16">
        <v>40616559</v>
      </c>
      <c r="J60" s="16">
        <v>75600</v>
      </c>
      <c r="K60" s="16">
        <v>76200</v>
      </c>
      <c r="L60" s="17">
        <v>75600</v>
      </c>
      <c r="M60" s="17">
        <v>76200</v>
      </c>
      <c r="N60" s="17">
        <v>75600</v>
      </c>
      <c r="O60" s="18">
        <v>1</v>
      </c>
      <c r="P60" s="17">
        <v>0</v>
      </c>
      <c r="Q60" s="17">
        <v>0</v>
      </c>
      <c r="R60" s="17">
        <v>0</v>
      </c>
      <c r="S60" s="17">
        <v>1</v>
      </c>
      <c r="T60" s="17">
        <v>0</v>
      </c>
      <c r="U60" s="17">
        <v>1016</v>
      </c>
      <c r="V60" s="16">
        <v>75600</v>
      </c>
      <c r="W60" s="17">
        <v>16792.5</v>
      </c>
      <c r="X60" s="17">
        <v>92392.5</v>
      </c>
      <c r="Y60" s="17">
        <v>23098.13</v>
      </c>
      <c r="Z60" s="17">
        <v>12832.36</v>
      </c>
      <c r="AA60" s="17">
        <v>0</v>
      </c>
      <c r="AB60" s="17">
        <v>14768.94</v>
      </c>
      <c r="AC60" s="17">
        <v>0</v>
      </c>
      <c r="AD60" s="17">
        <v>0</v>
      </c>
      <c r="AE60" s="17">
        <v>33993.89</v>
      </c>
      <c r="AF60" s="17">
        <v>20531.73</v>
      </c>
      <c r="AG60" s="17">
        <v>0</v>
      </c>
      <c r="AH60" s="17">
        <v>0</v>
      </c>
      <c r="AI60" s="17">
        <v>0</v>
      </c>
      <c r="AJ60" s="17">
        <v>76200</v>
      </c>
      <c r="AK60" s="17">
        <v>0</v>
      </c>
    </row>
    <row r="61" spans="1:37" x14ac:dyDescent="0.2">
      <c r="A61" s="14" t="s">
        <v>33</v>
      </c>
      <c r="B61" s="14">
        <v>191</v>
      </c>
      <c r="C61" s="14">
        <v>1</v>
      </c>
      <c r="D61" s="14" t="s">
        <v>143</v>
      </c>
      <c r="E61" s="15">
        <v>19</v>
      </c>
      <c r="F61" s="15" t="s">
        <v>56</v>
      </c>
      <c r="G61" s="16">
        <v>4055</v>
      </c>
      <c r="H61" s="16">
        <v>3930</v>
      </c>
      <c r="I61" s="16">
        <v>77849587</v>
      </c>
      <c r="J61" s="16">
        <v>486600</v>
      </c>
      <c r="K61" s="16">
        <v>471600</v>
      </c>
      <c r="L61" s="17">
        <v>260807.02</v>
      </c>
      <c r="M61" s="17">
        <v>260807.02</v>
      </c>
      <c r="N61" s="17">
        <v>260807.02</v>
      </c>
      <c r="O61" s="18">
        <v>1</v>
      </c>
      <c r="P61" s="17">
        <v>225792.98</v>
      </c>
      <c r="Q61" s="17">
        <v>210792.98</v>
      </c>
      <c r="R61" s="17">
        <v>210792.98</v>
      </c>
      <c r="S61" s="17">
        <v>1</v>
      </c>
      <c r="T61" s="17">
        <v>210792.98</v>
      </c>
      <c r="U61" s="17">
        <v>6288</v>
      </c>
      <c r="V61" s="16">
        <v>486600</v>
      </c>
      <c r="W61" s="17">
        <v>43452.65</v>
      </c>
      <c r="X61" s="17">
        <v>530052.65</v>
      </c>
      <c r="Y61" s="17">
        <v>132513.16</v>
      </c>
      <c r="Z61" s="17">
        <v>24128.71</v>
      </c>
      <c r="AA61" s="17">
        <v>0</v>
      </c>
      <c r="AB61" s="17">
        <v>68533.47</v>
      </c>
      <c r="AC61" s="17">
        <v>0</v>
      </c>
      <c r="AD61" s="17">
        <v>0</v>
      </c>
      <c r="AE61" s="17">
        <v>55664.14</v>
      </c>
      <c r="AF61" s="17">
        <v>49442.11</v>
      </c>
      <c r="AG61" s="17">
        <v>0</v>
      </c>
      <c r="AH61" s="17">
        <v>0</v>
      </c>
      <c r="AI61" s="17">
        <v>0</v>
      </c>
      <c r="AJ61" s="17">
        <v>260807.02</v>
      </c>
      <c r="AK61" s="17">
        <v>210792.98</v>
      </c>
    </row>
    <row r="62" spans="1:37" x14ac:dyDescent="0.2">
      <c r="A62" s="14" t="s">
        <v>33</v>
      </c>
      <c r="B62" s="14">
        <v>192</v>
      </c>
      <c r="C62" s="14">
        <v>1</v>
      </c>
      <c r="D62" s="14" t="s">
        <v>144</v>
      </c>
      <c r="E62" s="15">
        <v>19</v>
      </c>
      <c r="F62" s="15" t="s">
        <v>56</v>
      </c>
      <c r="G62" s="16">
        <v>2860</v>
      </c>
      <c r="H62" s="16">
        <v>2860</v>
      </c>
      <c r="I62" s="16">
        <v>36053459</v>
      </c>
      <c r="J62" s="16">
        <v>343200</v>
      </c>
      <c r="K62" s="16">
        <v>343200</v>
      </c>
      <c r="L62" s="17">
        <v>120784.14</v>
      </c>
      <c r="M62" s="17">
        <v>120784.14</v>
      </c>
      <c r="N62" s="17">
        <v>120784.14</v>
      </c>
      <c r="O62" s="18">
        <v>1</v>
      </c>
      <c r="P62" s="17">
        <v>222415.86</v>
      </c>
      <c r="Q62" s="17">
        <v>222415.86</v>
      </c>
      <c r="R62" s="17">
        <v>222415.86</v>
      </c>
      <c r="S62" s="17">
        <v>1</v>
      </c>
      <c r="T62" s="17">
        <v>222415.86</v>
      </c>
      <c r="U62" s="17">
        <v>4576</v>
      </c>
      <c r="V62" s="16">
        <v>343200</v>
      </c>
      <c r="W62" s="17">
        <v>41505</v>
      </c>
      <c r="X62" s="17">
        <v>384705</v>
      </c>
      <c r="Y62" s="17">
        <v>96176.25</v>
      </c>
      <c r="Z62" s="17">
        <v>100929.04</v>
      </c>
      <c r="AA62" s="17">
        <v>0</v>
      </c>
      <c r="AB62" s="17">
        <v>168921.21</v>
      </c>
      <c r="AC62" s="17">
        <v>14709.58</v>
      </c>
      <c r="AD62" s="17">
        <v>0</v>
      </c>
      <c r="AE62" s="17">
        <v>128073.56</v>
      </c>
      <c r="AF62" s="17">
        <v>127738.08</v>
      </c>
      <c r="AG62" s="17">
        <v>31561.83</v>
      </c>
      <c r="AH62" s="17">
        <v>11107.72</v>
      </c>
      <c r="AI62" s="17">
        <v>20454.11</v>
      </c>
      <c r="AJ62" s="17">
        <v>109676.42</v>
      </c>
      <c r="AK62" s="17">
        <v>201961.75</v>
      </c>
    </row>
    <row r="63" spans="1:37" x14ac:dyDescent="0.2">
      <c r="A63" s="14" t="s">
        <v>33</v>
      </c>
      <c r="B63" s="14">
        <v>194</v>
      </c>
      <c r="C63" s="14">
        <v>1</v>
      </c>
      <c r="D63" s="14" t="s">
        <v>145</v>
      </c>
      <c r="E63" s="15">
        <v>19</v>
      </c>
      <c r="F63" s="15" t="s">
        <v>56</v>
      </c>
      <c r="G63" s="16">
        <v>4570</v>
      </c>
      <c r="H63" s="16">
        <v>4560</v>
      </c>
      <c r="I63" s="16">
        <v>76934911</v>
      </c>
      <c r="J63" s="16">
        <v>548400</v>
      </c>
      <c r="K63" s="16">
        <v>547200</v>
      </c>
      <c r="L63" s="17">
        <v>257742.72</v>
      </c>
      <c r="M63" s="17">
        <v>257742.72</v>
      </c>
      <c r="N63" s="17">
        <v>257742.72</v>
      </c>
      <c r="O63" s="18">
        <v>1</v>
      </c>
      <c r="P63" s="17">
        <v>290657.28000000003</v>
      </c>
      <c r="Q63" s="17">
        <v>289457.28000000003</v>
      </c>
      <c r="R63" s="17">
        <v>289457.28000000003</v>
      </c>
      <c r="S63" s="17">
        <v>1</v>
      </c>
      <c r="T63" s="17">
        <v>289457.28000000003</v>
      </c>
      <c r="U63" s="17">
        <v>7296</v>
      </c>
      <c r="V63" s="16">
        <v>548400</v>
      </c>
      <c r="W63" s="17">
        <v>109452.52</v>
      </c>
      <c r="X63" s="17">
        <v>657852.52</v>
      </c>
      <c r="Y63" s="17">
        <v>164463.13</v>
      </c>
      <c r="Z63" s="17">
        <v>68227</v>
      </c>
      <c r="AA63" s="17">
        <v>0</v>
      </c>
      <c r="AB63" s="17">
        <v>89474</v>
      </c>
      <c r="AC63" s="17">
        <v>0</v>
      </c>
      <c r="AD63" s="17">
        <v>0</v>
      </c>
      <c r="AE63" s="17">
        <v>142480</v>
      </c>
      <c r="AF63" s="17">
        <v>100060.33</v>
      </c>
      <c r="AG63" s="17">
        <v>0</v>
      </c>
      <c r="AH63" s="17">
        <v>0</v>
      </c>
      <c r="AI63" s="17">
        <v>0</v>
      </c>
      <c r="AJ63" s="17">
        <v>257742.72</v>
      </c>
      <c r="AK63" s="17">
        <v>289457.28000000003</v>
      </c>
    </row>
    <row r="64" spans="1:37" x14ac:dyDescent="0.2">
      <c r="A64" s="14" t="s">
        <v>33</v>
      </c>
      <c r="B64" s="14">
        <v>195</v>
      </c>
      <c r="C64" s="14">
        <v>1</v>
      </c>
      <c r="D64" s="14" t="s">
        <v>146</v>
      </c>
      <c r="E64" s="15">
        <v>19</v>
      </c>
      <c r="F64" s="15" t="s">
        <v>56</v>
      </c>
      <c r="G64" s="16">
        <v>98</v>
      </c>
      <c r="H64" s="16">
        <v>108</v>
      </c>
      <c r="I64" s="16">
        <v>5881893</v>
      </c>
      <c r="J64" s="16">
        <v>18000</v>
      </c>
      <c r="K64" s="16">
        <v>18000</v>
      </c>
      <c r="L64" s="17">
        <v>18000</v>
      </c>
      <c r="M64" s="17">
        <v>18000</v>
      </c>
      <c r="N64" s="17">
        <v>18000</v>
      </c>
      <c r="O64" s="18">
        <v>1</v>
      </c>
      <c r="P64" s="17">
        <v>0</v>
      </c>
      <c r="Q64" s="17">
        <v>0</v>
      </c>
      <c r="R64" s="17">
        <v>0</v>
      </c>
      <c r="S64" s="17">
        <v>1</v>
      </c>
      <c r="T64" s="17">
        <v>0</v>
      </c>
      <c r="U64" s="17">
        <v>172.8</v>
      </c>
      <c r="V64" s="16">
        <v>18000</v>
      </c>
      <c r="W64" s="17">
        <v>1371.8</v>
      </c>
      <c r="X64" s="17">
        <v>19371.8</v>
      </c>
      <c r="Y64" s="17">
        <v>4842.95</v>
      </c>
      <c r="Z64" s="17">
        <v>-2213.0700000000002</v>
      </c>
      <c r="AA64" s="17">
        <v>0</v>
      </c>
      <c r="AB64" s="17">
        <v>-7326.82</v>
      </c>
      <c r="AC64" s="17">
        <v>0</v>
      </c>
      <c r="AD64" s="17">
        <v>0</v>
      </c>
      <c r="AE64" s="17">
        <v>-2983.48</v>
      </c>
      <c r="AF64" s="17">
        <v>-4174.46</v>
      </c>
      <c r="AG64" s="17">
        <v>0</v>
      </c>
      <c r="AH64" s="17">
        <v>0</v>
      </c>
      <c r="AI64" s="17">
        <v>0</v>
      </c>
      <c r="AJ64" s="17">
        <v>18000</v>
      </c>
      <c r="AK64" s="17">
        <v>0</v>
      </c>
    </row>
    <row r="65" spans="1:37" x14ac:dyDescent="0.2">
      <c r="A65" s="14" t="s">
        <v>33</v>
      </c>
      <c r="B65" s="14">
        <v>196</v>
      </c>
      <c r="C65" s="14">
        <v>1</v>
      </c>
      <c r="D65" s="14" t="s">
        <v>71</v>
      </c>
      <c r="E65" s="15">
        <v>19</v>
      </c>
      <c r="F65" s="15" t="s">
        <v>56</v>
      </c>
      <c r="G65" s="16">
        <v>10100</v>
      </c>
      <c r="H65" s="16">
        <v>10915</v>
      </c>
      <c r="I65" s="16">
        <v>186762519</v>
      </c>
      <c r="J65" s="16">
        <v>1212000</v>
      </c>
      <c r="K65" s="16">
        <v>1309800</v>
      </c>
      <c r="L65" s="17">
        <v>625680.59</v>
      </c>
      <c r="M65" s="17">
        <v>625680.59</v>
      </c>
      <c r="N65" s="17">
        <v>625680.59</v>
      </c>
      <c r="O65" s="18">
        <v>1</v>
      </c>
      <c r="P65" s="17">
        <v>586319.41</v>
      </c>
      <c r="Q65" s="17">
        <v>684119.41</v>
      </c>
      <c r="R65" s="17">
        <v>684119.41</v>
      </c>
      <c r="S65" s="17">
        <v>1</v>
      </c>
      <c r="T65" s="17">
        <v>684119.41</v>
      </c>
      <c r="U65" s="17">
        <v>17464</v>
      </c>
      <c r="V65" s="16">
        <v>1212000</v>
      </c>
      <c r="W65" s="17">
        <v>152027.01999999999</v>
      </c>
      <c r="X65" s="17">
        <v>1364027.02</v>
      </c>
      <c r="Y65" s="17">
        <v>341006.76</v>
      </c>
      <c r="Z65" s="17">
        <v>216903.66</v>
      </c>
      <c r="AA65" s="17">
        <v>0</v>
      </c>
      <c r="AB65" s="17">
        <v>156566.63</v>
      </c>
      <c r="AC65" s="17">
        <v>0</v>
      </c>
      <c r="AD65" s="17">
        <v>0</v>
      </c>
      <c r="AE65" s="17">
        <v>87035.23</v>
      </c>
      <c r="AF65" s="17">
        <v>153501.84</v>
      </c>
      <c r="AG65" s="17">
        <v>0</v>
      </c>
      <c r="AH65" s="17">
        <v>0</v>
      </c>
      <c r="AI65" s="17">
        <v>0</v>
      </c>
      <c r="AJ65" s="17">
        <v>625680.59</v>
      </c>
      <c r="AK65" s="17">
        <v>684119.41</v>
      </c>
    </row>
    <row r="66" spans="1:37" x14ac:dyDescent="0.2">
      <c r="A66" s="14" t="s">
        <v>33</v>
      </c>
      <c r="B66" s="14">
        <v>197</v>
      </c>
      <c r="C66" s="14">
        <v>1</v>
      </c>
      <c r="D66" s="14" t="s">
        <v>73</v>
      </c>
      <c r="E66" s="15">
        <v>19</v>
      </c>
      <c r="F66" s="15" t="s">
        <v>56</v>
      </c>
      <c r="G66" s="16">
        <v>3105</v>
      </c>
      <c r="H66" s="16">
        <v>3065</v>
      </c>
      <c r="I66" s="16">
        <v>74064066</v>
      </c>
      <c r="J66" s="16">
        <v>372600</v>
      </c>
      <c r="K66" s="16">
        <v>367800</v>
      </c>
      <c r="L66" s="17">
        <v>248124.99</v>
      </c>
      <c r="M66" s="17">
        <v>248124.99</v>
      </c>
      <c r="N66" s="17">
        <v>248124.99</v>
      </c>
      <c r="O66" s="18">
        <v>1</v>
      </c>
      <c r="P66" s="17">
        <v>124475.01</v>
      </c>
      <c r="Q66" s="17">
        <v>119675.01</v>
      </c>
      <c r="R66" s="17">
        <v>119675.01</v>
      </c>
      <c r="S66" s="17">
        <v>1</v>
      </c>
      <c r="T66" s="17">
        <v>119675.01</v>
      </c>
      <c r="U66" s="17">
        <v>4904</v>
      </c>
      <c r="V66" s="16">
        <v>372600</v>
      </c>
      <c r="W66" s="17">
        <v>44794.63</v>
      </c>
      <c r="X66" s="17">
        <v>417394.63</v>
      </c>
      <c r="Y66" s="17">
        <v>104348.66</v>
      </c>
      <c r="Z66" s="17">
        <v>67582</v>
      </c>
      <c r="AA66" s="17">
        <v>0</v>
      </c>
      <c r="AB66" s="17">
        <v>59139</v>
      </c>
      <c r="AC66" s="17">
        <v>0</v>
      </c>
      <c r="AD66" s="17">
        <v>0</v>
      </c>
      <c r="AE66" s="17">
        <v>6296</v>
      </c>
      <c r="AF66" s="17">
        <v>44339</v>
      </c>
      <c r="AG66" s="17">
        <v>0</v>
      </c>
      <c r="AH66" s="17">
        <v>0</v>
      </c>
      <c r="AI66" s="17">
        <v>0</v>
      </c>
      <c r="AJ66" s="17">
        <v>248124.99</v>
      </c>
      <c r="AK66" s="17">
        <v>119675.01</v>
      </c>
    </row>
    <row r="67" spans="1:37" x14ac:dyDescent="0.2">
      <c r="A67" s="14" t="s">
        <v>33</v>
      </c>
      <c r="B67" s="14">
        <v>199</v>
      </c>
      <c r="C67" s="14">
        <v>1</v>
      </c>
      <c r="D67" s="14" t="s">
        <v>93</v>
      </c>
      <c r="E67" s="15">
        <v>19</v>
      </c>
      <c r="F67" s="15" t="s">
        <v>56</v>
      </c>
      <c r="G67" s="16">
        <v>1660</v>
      </c>
      <c r="H67" s="16">
        <v>1800</v>
      </c>
      <c r="I67" s="16">
        <v>34510252</v>
      </c>
      <c r="J67" s="16">
        <v>199200</v>
      </c>
      <c r="K67" s="16">
        <v>216000</v>
      </c>
      <c r="L67" s="17">
        <v>115614.18</v>
      </c>
      <c r="M67" s="17">
        <v>115614.18</v>
      </c>
      <c r="N67" s="17">
        <v>115614.18</v>
      </c>
      <c r="O67" s="18">
        <v>1</v>
      </c>
      <c r="P67" s="17">
        <v>83585.820000000007</v>
      </c>
      <c r="Q67" s="17">
        <v>100385.82</v>
      </c>
      <c r="R67" s="17">
        <v>100385.82</v>
      </c>
      <c r="S67" s="17">
        <v>1</v>
      </c>
      <c r="T67" s="17">
        <v>100385.82</v>
      </c>
      <c r="U67" s="17">
        <v>2880</v>
      </c>
      <c r="V67" s="16">
        <v>199200</v>
      </c>
      <c r="W67" s="17">
        <v>2656</v>
      </c>
      <c r="X67" s="17">
        <v>201856</v>
      </c>
      <c r="Y67" s="17">
        <v>50464</v>
      </c>
      <c r="Z67" s="17">
        <v>9368.01</v>
      </c>
      <c r="AA67" s="17">
        <v>0</v>
      </c>
      <c r="AB67" s="17">
        <v>9632.01</v>
      </c>
      <c r="AC67" s="17">
        <v>0</v>
      </c>
      <c r="AD67" s="17">
        <v>0</v>
      </c>
      <c r="AE67" s="17">
        <v>9543.91</v>
      </c>
      <c r="AF67" s="17">
        <v>9514.64</v>
      </c>
      <c r="AG67" s="17">
        <v>0</v>
      </c>
      <c r="AH67" s="17">
        <v>0</v>
      </c>
      <c r="AI67" s="17">
        <v>0</v>
      </c>
      <c r="AJ67" s="17">
        <v>115614.18</v>
      </c>
      <c r="AK67" s="17">
        <v>100385.82</v>
      </c>
    </row>
    <row r="68" spans="1:37" x14ac:dyDescent="0.2">
      <c r="A68" s="14" t="s">
        <v>33</v>
      </c>
      <c r="B68" s="14">
        <v>200</v>
      </c>
      <c r="C68" s="14">
        <v>1</v>
      </c>
      <c r="D68" s="14" t="s">
        <v>147</v>
      </c>
      <c r="E68" s="15">
        <v>19</v>
      </c>
      <c r="F68" s="15" t="s">
        <v>56</v>
      </c>
      <c r="G68" s="16">
        <v>2025</v>
      </c>
      <c r="H68" s="16">
        <v>2030</v>
      </c>
      <c r="I68" s="16">
        <v>43255626</v>
      </c>
      <c r="J68" s="16">
        <v>243000</v>
      </c>
      <c r="K68" s="16">
        <v>243600</v>
      </c>
      <c r="L68" s="17">
        <v>144912.4</v>
      </c>
      <c r="M68" s="17">
        <v>144912.4</v>
      </c>
      <c r="N68" s="17">
        <v>144912.4</v>
      </c>
      <c r="O68" s="18">
        <v>1</v>
      </c>
      <c r="P68" s="17">
        <v>98087.6</v>
      </c>
      <c r="Q68" s="17">
        <v>98687.6</v>
      </c>
      <c r="R68" s="17">
        <v>98687.6</v>
      </c>
      <c r="S68" s="17">
        <v>1</v>
      </c>
      <c r="T68" s="17">
        <v>98687.6</v>
      </c>
      <c r="U68" s="17">
        <v>3248</v>
      </c>
      <c r="V68" s="16">
        <v>243000</v>
      </c>
      <c r="W68" s="17">
        <v>16899.87</v>
      </c>
      <c r="X68" s="17">
        <v>259899.87</v>
      </c>
      <c r="Y68" s="17">
        <v>64974.97</v>
      </c>
      <c r="Z68" s="17">
        <v>45444.19</v>
      </c>
      <c r="AA68" s="17">
        <v>0</v>
      </c>
      <c r="AB68" s="17">
        <v>47916.49</v>
      </c>
      <c r="AC68" s="17">
        <v>0</v>
      </c>
      <c r="AD68" s="17">
        <v>0</v>
      </c>
      <c r="AE68" s="17">
        <v>39606.99</v>
      </c>
      <c r="AF68" s="17">
        <v>44322.559999999998</v>
      </c>
      <c r="AG68" s="17">
        <v>0</v>
      </c>
      <c r="AH68" s="17">
        <v>0</v>
      </c>
      <c r="AI68" s="17">
        <v>0</v>
      </c>
      <c r="AJ68" s="17">
        <v>144912.4</v>
      </c>
      <c r="AK68" s="17">
        <v>98687.6</v>
      </c>
    </row>
    <row r="69" spans="1:37" x14ac:dyDescent="0.2">
      <c r="A69" s="14" t="s">
        <v>33</v>
      </c>
      <c r="B69" s="14">
        <v>203</v>
      </c>
      <c r="C69" s="14">
        <v>1</v>
      </c>
      <c r="D69" s="14" t="s">
        <v>148</v>
      </c>
      <c r="E69" s="15">
        <v>20</v>
      </c>
      <c r="F69" s="15" t="s">
        <v>61</v>
      </c>
      <c r="G69" s="16">
        <v>270</v>
      </c>
      <c r="H69" s="16">
        <v>296</v>
      </c>
      <c r="I69" s="16">
        <v>6327543</v>
      </c>
      <c r="J69" s="16">
        <v>32400</v>
      </c>
      <c r="K69" s="16">
        <v>35520</v>
      </c>
      <c r="L69" s="17">
        <v>21198.15</v>
      </c>
      <c r="M69" s="17">
        <v>21198.15</v>
      </c>
      <c r="N69" s="17">
        <v>21198.15</v>
      </c>
      <c r="O69" s="18">
        <v>1</v>
      </c>
      <c r="P69" s="17">
        <v>11201.85</v>
      </c>
      <c r="Q69" s="17">
        <v>14321.85</v>
      </c>
      <c r="R69" s="17">
        <v>14321.85</v>
      </c>
      <c r="S69" s="17">
        <v>1</v>
      </c>
      <c r="T69" s="17">
        <v>14321.85</v>
      </c>
      <c r="U69" s="17">
        <v>473.6</v>
      </c>
      <c r="V69" s="16">
        <v>32400</v>
      </c>
      <c r="W69" s="17">
        <v>2013</v>
      </c>
      <c r="X69" s="17">
        <v>34413</v>
      </c>
      <c r="Y69" s="17">
        <v>8603.25</v>
      </c>
      <c r="Z69" s="17">
        <v>369.14</v>
      </c>
      <c r="AA69" s="17">
        <v>0</v>
      </c>
      <c r="AB69" s="17">
        <v>-3902.61</v>
      </c>
      <c r="AC69" s="17">
        <v>0</v>
      </c>
      <c r="AD69" s="17">
        <v>0</v>
      </c>
      <c r="AE69" s="17">
        <v>-1154.33</v>
      </c>
      <c r="AF69" s="17">
        <v>-1562.6</v>
      </c>
      <c r="AG69" s="17">
        <v>0</v>
      </c>
      <c r="AH69" s="17">
        <v>0</v>
      </c>
      <c r="AI69" s="17">
        <v>0</v>
      </c>
      <c r="AJ69" s="17">
        <v>21198.15</v>
      </c>
      <c r="AK69" s="17">
        <v>14321.85</v>
      </c>
    </row>
    <row r="70" spans="1:37" x14ac:dyDescent="0.2">
      <c r="A70" s="14" t="s">
        <v>33</v>
      </c>
      <c r="B70" s="14">
        <v>204</v>
      </c>
      <c r="C70" s="14">
        <v>1</v>
      </c>
      <c r="D70" s="14" t="s">
        <v>400</v>
      </c>
      <c r="E70" s="15">
        <v>20</v>
      </c>
      <c r="F70" s="15" t="s">
        <v>61</v>
      </c>
      <c r="G70" s="16">
        <v>825</v>
      </c>
      <c r="H70" s="16">
        <v>810</v>
      </c>
      <c r="I70" s="16">
        <v>7839477</v>
      </c>
      <c r="J70" s="16">
        <v>99000</v>
      </c>
      <c r="K70" s="16">
        <v>97200</v>
      </c>
      <c r="L70" s="17">
        <v>26263.35</v>
      </c>
      <c r="M70" s="17">
        <v>26263.35</v>
      </c>
      <c r="N70" s="17">
        <v>26263.35</v>
      </c>
      <c r="O70" s="18">
        <v>1</v>
      </c>
      <c r="P70" s="17">
        <v>72736.649999999994</v>
      </c>
      <c r="Q70" s="17">
        <v>70936.649999999994</v>
      </c>
      <c r="R70" s="17">
        <v>70936.649999999994</v>
      </c>
      <c r="S70" s="17">
        <v>1</v>
      </c>
      <c r="T70" s="17">
        <v>70936.649999999994</v>
      </c>
      <c r="U70" s="17">
        <v>1296</v>
      </c>
      <c r="V70" s="16">
        <v>99000</v>
      </c>
      <c r="W70" s="17">
        <v>6993.11</v>
      </c>
      <c r="X70" s="17">
        <v>105993.11</v>
      </c>
      <c r="Y70" s="17">
        <v>26498.28</v>
      </c>
      <c r="Z70" s="17">
        <v>22258.44</v>
      </c>
      <c r="AA70" s="17">
        <v>0</v>
      </c>
      <c r="AB70" s="17">
        <v>39707.620000000003</v>
      </c>
      <c r="AC70" s="17">
        <v>0</v>
      </c>
      <c r="AD70" s="17">
        <v>0</v>
      </c>
      <c r="AE70" s="17">
        <v>59004.06</v>
      </c>
      <c r="AF70" s="17">
        <v>40323.370000000003</v>
      </c>
      <c r="AG70" s="17">
        <v>13825.09</v>
      </c>
      <c r="AH70" s="17">
        <v>3735.53</v>
      </c>
      <c r="AI70" s="17">
        <v>10089.56</v>
      </c>
      <c r="AJ70" s="17">
        <v>22527.82</v>
      </c>
      <c r="AK70" s="17">
        <v>60847.09</v>
      </c>
    </row>
    <row r="71" spans="1:37" x14ac:dyDescent="0.2">
      <c r="A71" s="14" t="s">
        <v>33</v>
      </c>
      <c r="B71" s="14">
        <v>206</v>
      </c>
      <c r="C71" s="14">
        <v>1</v>
      </c>
      <c r="D71" s="14" t="s">
        <v>149</v>
      </c>
      <c r="E71" s="15">
        <v>21</v>
      </c>
      <c r="F71" s="15" t="s">
        <v>60</v>
      </c>
      <c r="G71" s="16">
        <v>1506</v>
      </c>
      <c r="H71" s="16">
        <v>1552</v>
      </c>
      <c r="I71" s="16">
        <v>46263649</v>
      </c>
      <c r="J71" s="16">
        <v>180720</v>
      </c>
      <c r="K71" s="16">
        <v>186240</v>
      </c>
      <c r="L71" s="17">
        <v>154989.70000000001</v>
      </c>
      <c r="M71" s="17">
        <v>154989.70000000001</v>
      </c>
      <c r="N71" s="17">
        <v>154989.70000000001</v>
      </c>
      <c r="O71" s="18">
        <v>1</v>
      </c>
      <c r="P71" s="17">
        <v>25730.3</v>
      </c>
      <c r="Q71" s="17">
        <v>31250.3</v>
      </c>
      <c r="R71" s="17">
        <v>31250.3</v>
      </c>
      <c r="S71" s="17">
        <v>1</v>
      </c>
      <c r="T71" s="17">
        <v>31250.3</v>
      </c>
      <c r="U71" s="17">
        <v>2483.1999999999998</v>
      </c>
      <c r="V71" s="16">
        <v>180720</v>
      </c>
      <c r="W71" s="17">
        <v>56668.33</v>
      </c>
      <c r="X71" s="17">
        <v>237388.33</v>
      </c>
      <c r="Y71" s="17">
        <v>59347.08</v>
      </c>
      <c r="Z71" s="17">
        <v>40117.33</v>
      </c>
      <c r="AA71" s="17">
        <v>0</v>
      </c>
      <c r="AB71" s="17">
        <v>56922.22</v>
      </c>
      <c r="AC71" s="17">
        <v>0</v>
      </c>
      <c r="AD71" s="17">
        <v>0</v>
      </c>
      <c r="AE71" s="17">
        <v>44522.25</v>
      </c>
      <c r="AF71" s="17">
        <v>47187.27</v>
      </c>
      <c r="AG71" s="17">
        <v>0</v>
      </c>
      <c r="AH71" s="17">
        <v>0</v>
      </c>
      <c r="AI71" s="17">
        <v>0</v>
      </c>
      <c r="AJ71" s="17">
        <v>154989.70000000001</v>
      </c>
      <c r="AK71" s="17">
        <v>31250.3</v>
      </c>
    </row>
    <row r="72" spans="1:37" x14ac:dyDescent="0.2">
      <c r="A72" s="14" t="s">
        <v>33</v>
      </c>
      <c r="B72" s="14">
        <v>207</v>
      </c>
      <c r="C72" s="14">
        <v>1</v>
      </c>
      <c r="D72" s="14" t="s">
        <v>150</v>
      </c>
      <c r="E72" s="15">
        <v>21</v>
      </c>
      <c r="F72" s="15" t="s">
        <v>60</v>
      </c>
      <c r="G72" s="16">
        <v>120</v>
      </c>
      <c r="H72" s="16">
        <v>121</v>
      </c>
      <c r="I72" s="16">
        <v>3096794</v>
      </c>
      <c r="J72" s="16">
        <v>18000</v>
      </c>
      <c r="K72" s="16">
        <v>18000</v>
      </c>
      <c r="L72" s="17">
        <v>10374.69</v>
      </c>
      <c r="M72" s="17">
        <v>10374.69</v>
      </c>
      <c r="N72" s="17">
        <v>10374.69</v>
      </c>
      <c r="O72" s="18">
        <v>1</v>
      </c>
      <c r="P72" s="17">
        <v>7625.31</v>
      </c>
      <c r="Q72" s="17">
        <v>7625.31</v>
      </c>
      <c r="R72" s="17">
        <v>7625.31</v>
      </c>
      <c r="S72" s="17">
        <v>1</v>
      </c>
      <c r="T72" s="17">
        <v>7625.31</v>
      </c>
      <c r="U72" s="17">
        <v>193.6</v>
      </c>
      <c r="V72" s="16">
        <v>18000</v>
      </c>
      <c r="W72" s="17">
        <v>12274.57</v>
      </c>
      <c r="X72" s="17">
        <v>30274.57</v>
      </c>
      <c r="Y72" s="17">
        <v>7568.64</v>
      </c>
      <c r="Z72" s="17">
        <v>273.31</v>
      </c>
      <c r="AA72" s="17">
        <v>0</v>
      </c>
      <c r="AB72" s="17">
        <v>5472.89</v>
      </c>
      <c r="AC72" s="17">
        <v>0</v>
      </c>
      <c r="AD72" s="17">
        <v>0</v>
      </c>
      <c r="AE72" s="17">
        <v>14579.57</v>
      </c>
      <c r="AF72" s="17">
        <v>6775.26</v>
      </c>
      <c r="AG72" s="17">
        <v>0</v>
      </c>
      <c r="AH72" s="17">
        <v>0</v>
      </c>
      <c r="AI72" s="17">
        <v>0</v>
      </c>
      <c r="AJ72" s="17">
        <v>10374.69</v>
      </c>
      <c r="AK72" s="17">
        <v>7625.31</v>
      </c>
    </row>
    <row r="73" spans="1:37" x14ac:dyDescent="0.2">
      <c r="A73" s="14" t="s">
        <v>33</v>
      </c>
      <c r="B73" s="14">
        <v>208</v>
      </c>
      <c r="C73" s="14">
        <v>1</v>
      </c>
      <c r="D73" s="14" t="s">
        <v>151</v>
      </c>
      <c r="E73" s="15">
        <v>21</v>
      </c>
      <c r="F73" s="15" t="s">
        <v>60</v>
      </c>
      <c r="G73" s="16">
        <v>74</v>
      </c>
      <c r="H73" s="16">
        <v>111</v>
      </c>
      <c r="I73" s="16">
        <v>2225729</v>
      </c>
      <c r="J73" s="16">
        <v>18000</v>
      </c>
      <c r="K73" s="16">
        <v>18000</v>
      </c>
      <c r="L73" s="17">
        <v>7456.5</v>
      </c>
      <c r="M73" s="17">
        <v>7456.5</v>
      </c>
      <c r="N73" s="17">
        <v>7456.5</v>
      </c>
      <c r="O73" s="18">
        <v>1</v>
      </c>
      <c r="P73" s="17">
        <v>10543.5</v>
      </c>
      <c r="Q73" s="17">
        <v>10543.5</v>
      </c>
      <c r="R73" s="17">
        <v>10543.5</v>
      </c>
      <c r="S73" s="17">
        <v>1</v>
      </c>
      <c r="T73" s="17">
        <v>10543.5</v>
      </c>
      <c r="U73" s="17">
        <v>177.6</v>
      </c>
      <c r="V73" s="16">
        <v>18000</v>
      </c>
      <c r="W73" s="17">
        <v>118.4</v>
      </c>
      <c r="X73" s="17">
        <v>18118.400000000001</v>
      </c>
      <c r="Y73" s="17">
        <v>4529.6000000000004</v>
      </c>
      <c r="Z73" s="17">
        <v>2837.07</v>
      </c>
      <c r="AA73" s="17">
        <v>0</v>
      </c>
      <c r="AB73" s="17">
        <v>2846.62</v>
      </c>
      <c r="AC73" s="17">
        <v>0</v>
      </c>
      <c r="AD73" s="17">
        <v>0</v>
      </c>
      <c r="AE73" s="17">
        <v>3675.35</v>
      </c>
      <c r="AF73" s="17">
        <v>3119.68</v>
      </c>
      <c r="AG73" s="17">
        <v>0</v>
      </c>
      <c r="AH73" s="17">
        <v>0</v>
      </c>
      <c r="AI73" s="17">
        <v>0</v>
      </c>
      <c r="AJ73" s="17">
        <v>7456.5</v>
      </c>
      <c r="AK73" s="17">
        <v>10543.5</v>
      </c>
    </row>
    <row r="74" spans="1:37" x14ac:dyDescent="0.2">
      <c r="A74" s="14" t="s">
        <v>33</v>
      </c>
      <c r="B74" s="14">
        <v>213</v>
      </c>
      <c r="C74" s="14">
        <v>1</v>
      </c>
      <c r="D74" s="14" t="s">
        <v>152</v>
      </c>
      <c r="E74" s="15">
        <v>21</v>
      </c>
      <c r="F74" s="15" t="s">
        <v>60</v>
      </c>
      <c r="G74" s="16">
        <v>270</v>
      </c>
      <c r="H74" s="16">
        <v>273</v>
      </c>
      <c r="I74" s="16">
        <v>5050332</v>
      </c>
      <c r="J74" s="16">
        <v>32400</v>
      </c>
      <c r="K74" s="16">
        <v>32760</v>
      </c>
      <c r="L74" s="17">
        <v>16919.32</v>
      </c>
      <c r="M74" s="17">
        <v>16919.32</v>
      </c>
      <c r="N74" s="17">
        <v>16919.32</v>
      </c>
      <c r="O74" s="18">
        <v>1</v>
      </c>
      <c r="P74" s="17">
        <v>15480.68</v>
      </c>
      <c r="Q74" s="17">
        <v>15840.68</v>
      </c>
      <c r="R74" s="17">
        <v>15840.68</v>
      </c>
      <c r="S74" s="17">
        <v>1</v>
      </c>
      <c r="T74" s="17">
        <v>15840.68</v>
      </c>
      <c r="U74" s="17">
        <v>436.8</v>
      </c>
      <c r="V74" s="16">
        <v>32400</v>
      </c>
      <c r="W74" s="17">
        <v>645.85</v>
      </c>
      <c r="X74" s="17">
        <v>33045.85</v>
      </c>
      <c r="Y74" s="17">
        <v>8261.4599999999991</v>
      </c>
      <c r="Z74" s="17">
        <v>4073.15</v>
      </c>
      <c r="AA74" s="17">
        <v>0</v>
      </c>
      <c r="AB74" s="17">
        <v>15725.13</v>
      </c>
      <c r="AC74" s="17">
        <v>0</v>
      </c>
      <c r="AD74" s="17">
        <v>0</v>
      </c>
      <c r="AE74" s="17">
        <v>26680.66</v>
      </c>
      <c r="AF74" s="17">
        <v>15492.98</v>
      </c>
      <c r="AG74" s="17">
        <v>7231.52</v>
      </c>
      <c r="AH74" s="17">
        <v>3734.81</v>
      </c>
      <c r="AI74" s="17">
        <v>3496.71</v>
      </c>
      <c r="AJ74" s="17">
        <v>13184.51</v>
      </c>
      <c r="AK74" s="17">
        <v>12343.97</v>
      </c>
    </row>
    <row r="75" spans="1:37" x14ac:dyDescent="0.2">
      <c r="A75" s="14" t="s">
        <v>33</v>
      </c>
      <c r="B75" s="14">
        <v>227</v>
      </c>
      <c r="C75" s="14">
        <v>1</v>
      </c>
      <c r="D75" s="14" t="s">
        <v>153</v>
      </c>
      <c r="E75" s="15">
        <v>55</v>
      </c>
      <c r="F75" s="15" t="s">
        <v>61</v>
      </c>
      <c r="G75" s="16">
        <v>325</v>
      </c>
      <c r="H75" s="16">
        <v>325</v>
      </c>
      <c r="I75" s="16">
        <v>5892491</v>
      </c>
      <c r="J75" s="16">
        <v>39000</v>
      </c>
      <c r="K75" s="16">
        <v>39000</v>
      </c>
      <c r="L75" s="17">
        <v>19740.669999999998</v>
      </c>
      <c r="M75" s="17">
        <v>19740.669999999998</v>
      </c>
      <c r="N75" s="17">
        <v>19740.669999999998</v>
      </c>
      <c r="O75" s="18">
        <v>1</v>
      </c>
      <c r="P75" s="17">
        <v>19259.330000000002</v>
      </c>
      <c r="Q75" s="17">
        <v>19259.330000000002</v>
      </c>
      <c r="R75" s="17">
        <v>19259.330000000002</v>
      </c>
      <c r="S75" s="17">
        <v>1</v>
      </c>
      <c r="T75" s="17">
        <v>19259.330000000002</v>
      </c>
      <c r="U75" s="17">
        <v>520</v>
      </c>
      <c r="V75" s="16">
        <v>39000</v>
      </c>
      <c r="W75" s="17">
        <v>2144.5500000000002</v>
      </c>
      <c r="X75" s="17">
        <v>41144.550000000003</v>
      </c>
      <c r="Y75" s="17">
        <v>10286.14</v>
      </c>
      <c r="Z75" s="17">
        <v>7139.16</v>
      </c>
      <c r="AA75" s="17">
        <v>0</v>
      </c>
      <c r="AB75" s="17">
        <v>12299.12</v>
      </c>
      <c r="AC75" s="17">
        <v>0</v>
      </c>
      <c r="AD75" s="17">
        <v>0</v>
      </c>
      <c r="AE75" s="17">
        <v>16935.37</v>
      </c>
      <c r="AF75" s="17">
        <v>12124.55</v>
      </c>
      <c r="AG75" s="17">
        <v>1838.41</v>
      </c>
      <c r="AH75" s="17">
        <v>930.55</v>
      </c>
      <c r="AI75" s="17">
        <v>907.86</v>
      </c>
      <c r="AJ75" s="17">
        <v>18810.12</v>
      </c>
      <c r="AK75" s="17">
        <v>18351.47</v>
      </c>
    </row>
    <row r="76" spans="1:37" x14ac:dyDescent="0.2">
      <c r="A76" s="14" t="s">
        <v>33</v>
      </c>
      <c r="B76" s="14">
        <v>229</v>
      </c>
      <c r="C76" s="14">
        <v>1</v>
      </c>
      <c r="D76" s="14" t="s">
        <v>154</v>
      </c>
      <c r="E76" s="15">
        <v>23</v>
      </c>
      <c r="F76" s="15" t="s">
        <v>61</v>
      </c>
      <c r="G76" s="16">
        <v>136</v>
      </c>
      <c r="H76" s="16">
        <v>133</v>
      </c>
      <c r="I76" s="16">
        <v>2220411</v>
      </c>
      <c r="J76" s="16">
        <v>18000</v>
      </c>
      <c r="K76" s="16">
        <v>18000</v>
      </c>
      <c r="L76" s="17">
        <v>7438.69</v>
      </c>
      <c r="M76" s="17">
        <v>7438.69</v>
      </c>
      <c r="N76" s="17">
        <v>7438.69</v>
      </c>
      <c r="O76" s="18">
        <v>1</v>
      </c>
      <c r="P76" s="17">
        <v>10561.31</v>
      </c>
      <c r="Q76" s="17">
        <v>10561.31</v>
      </c>
      <c r="R76" s="17">
        <v>10561.31</v>
      </c>
      <c r="S76" s="17">
        <v>1</v>
      </c>
      <c r="T76" s="17">
        <v>10561.31</v>
      </c>
      <c r="U76" s="17">
        <v>0</v>
      </c>
      <c r="V76" s="16">
        <v>18000</v>
      </c>
      <c r="W76" s="17">
        <v>332.32</v>
      </c>
      <c r="X76" s="17">
        <v>18332.32</v>
      </c>
      <c r="Y76" s="17">
        <v>4583.08</v>
      </c>
      <c r="Z76" s="17">
        <v>2574.85</v>
      </c>
      <c r="AA76" s="17">
        <v>0</v>
      </c>
      <c r="AB76" s="17">
        <v>1652.07</v>
      </c>
      <c r="AC76" s="17">
        <v>0</v>
      </c>
      <c r="AD76" s="17">
        <v>0</v>
      </c>
      <c r="AE76" s="17">
        <v>4690.08</v>
      </c>
      <c r="AF76" s="17">
        <v>2972.33</v>
      </c>
      <c r="AG76" s="17">
        <v>0</v>
      </c>
      <c r="AH76" s="17">
        <v>0</v>
      </c>
      <c r="AI76" s="17">
        <v>0</v>
      </c>
      <c r="AJ76" s="17">
        <v>7438.69</v>
      </c>
      <c r="AK76" s="17">
        <v>10561.31</v>
      </c>
    </row>
    <row r="77" spans="1:37" x14ac:dyDescent="0.2">
      <c r="A77" s="14" t="s">
        <v>33</v>
      </c>
      <c r="B77" s="14">
        <v>238</v>
      </c>
      <c r="C77" s="14">
        <v>1</v>
      </c>
      <c r="D77" s="14" t="s">
        <v>155</v>
      </c>
      <c r="E77" s="15">
        <v>23</v>
      </c>
      <c r="F77" s="15" t="s">
        <v>61</v>
      </c>
      <c r="G77" s="16">
        <v>195</v>
      </c>
      <c r="H77" s="16">
        <v>181</v>
      </c>
      <c r="I77" s="16">
        <v>2347569</v>
      </c>
      <c r="J77" s="16">
        <v>23400</v>
      </c>
      <c r="K77" s="16">
        <v>21720</v>
      </c>
      <c r="L77" s="17">
        <v>7864.68</v>
      </c>
      <c r="M77" s="17">
        <v>7864.68</v>
      </c>
      <c r="N77" s="17">
        <v>7864.68</v>
      </c>
      <c r="O77" s="18">
        <v>1</v>
      </c>
      <c r="P77" s="17">
        <v>15535.32</v>
      </c>
      <c r="Q77" s="17">
        <v>13855.32</v>
      </c>
      <c r="R77" s="17">
        <v>13855.32</v>
      </c>
      <c r="S77" s="17">
        <v>1</v>
      </c>
      <c r="T77" s="17">
        <v>13855.32</v>
      </c>
      <c r="U77" s="17">
        <v>0</v>
      </c>
      <c r="V77" s="16">
        <v>23400</v>
      </c>
      <c r="W77" s="17">
        <v>913.25</v>
      </c>
      <c r="X77" s="17">
        <v>24313.25</v>
      </c>
      <c r="Y77" s="17">
        <v>6078.31</v>
      </c>
      <c r="Z77" s="17">
        <v>22353.67</v>
      </c>
      <c r="AA77" s="17">
        <v>8471.2900000000009</v>
      </c>
      <c r="AB77" s="17">
        <v>26961.46</v>
      </c>
      <c r="AC77" s="17">
        <v>11269.87</v>
      </c>
      <c r="AD77" s="17">
        <v>0</v>
      </c>
      <c r="AE77" s="17">
        <v>19005.189999999999</v>
      </c>
      <c r="AF77" s="17">
        <v>16193.05</v>
      </c>
      <c r="AG77" s="17">
        <v>10114.74</v>
      </c>
      <c r="AH77" s="17">
        <v>3662.49</v>
      </c>
      <c r="AI77" s="17">
        <v>6452.25</v>
      </c>
      <c r="AJ77" s="17">
        <v>4202.1899999999996</v>
      </c>
      <c r="AK77" s="17">
        <v>7403.07</v>
      </c>
    </row>
    <row r="78" spans="1:37" x14ac:dyDescent="0.2">
      <c r="A78" s="14" t="s">
        <v>33</v>
      </c>
      <c r="B78" s="14">
        <v>239</v>
      </c>
      <c r="C78" s="14">
        <v>1</v>
      </c>
      <c r="D78" s="14" t="s">
        <v>401</v>
      </c>
      <c r="E78" s="15">
        <v>23</v>
      </c>
      <c r="F78" s="15" t="s">
        <v>61</v>
      </c>
      <c r="G78" s="16">
        <v>195</v>
      </c>
      <c r="H78" s="16">
        <v>228</v>
      </c>
      <c r="I78" s="16">
        <v>4148041</v>
      </c>
      <c r="J78" s="16">
        <v>23400</v>
      </c>
      <c r="K78" s="16">
        <v>27360</v>
      </c>
      <c r="L78" s="17">
        <v>13896.52</v>
      </c>
      <c r="M78" s="17">
        <v>13896.52</v>
      </c>
      <c r="N78" s="17">
        <v>13896.52</v>
      </c>
      <c r="O78" s="18">
        <v>1</v>
      </c>
      <c r="P78" s="17">
        <v>9503.48</v>
      </c>
      <c r="Q78" s="17">
        <v>13463.48</v>
      </c>
      <c r="R78" s="17">
        <v>13463.48</v>
      </c>
      <c r="S78" s="17">
        <v>1</v>
      </c>
      <c r="T78" s="17">
        <v>13463.48</v>
      </c>
      <c r="U78" s="17">
        <v>364.8</v>
      </c>
      <c r="V78" s="16">
        <v>23400</v>
      </c>
      <c r="W78" s="17">
        <v>1071</v>
      </c>
      <c r="X78" s="17">
        <v>24471</v>
      </c>
      <c r="Y78" s="17">
        <v>6117.75</v>
      </c>
      <c r="Z78" s="17">
        <v>2813.87</v>
      </c>
      <c r="AA78" s="17">
        <v>0</v>
      </c>
      <c r="AB78" s="17">
        <v>7680.08</v>
      </c>
      <c r="AC78" s="17">
        <v>0</v>
      </c>
      <c r="AD78" s="17">
        <v>0</v>
      </c>
      <c r="AE78" s="17">
        <v>3439.42</v>
      </c>
      <c r="AF78" s="17">
        <v>4644.46</v>
      </c>
      <c r="AG78" s="17">
        <v>0</v>
      </c>
      <c r="AH78" s="17">
        <v>0</v>
      </c>
      <c r="AI78" s="17">
        <v>0</v>
      </c>
      <c r="AJ78" s="17">
        <v>13896.52</v>
      </c>
      <c r="AK78" s="17">
        <v>13463.48</v>
      </c>
    </row>
    <row r="79" spans="1:37" x14ac:dyDescent="0.2">
      <c r="A79" s="14" t="s">
        <v>33</v>
      </c>
      <c r="B79" s="14">
        <v>241</v>
      </c>
      <c r="C79" s="14">
        <v>1</v>
      </c>
      <c r="D79" s="14" t="s">
        <v>156</v>
      </c>
      <c r="E79" s="15">
        <v>24</v>
      </c>
      <c r="F79" s="15" t="s">
        <v>61</v>
      </c>
      <c r="G79" s="16">
        <v>1415</v>
      </c>
      <c r="H79" s="16">
        <v>1411</v>
      </c>
      <c r="I79" s="16">
        <v>18656228</v>
      </c>
      <c r="J79" s="16">
        <v>169800</v>
      </c>
      <c r="K79" s="16">
        <v>169320</v>
      </c>
      <c r="L79" s="17">
        <v>62500.98</v>
      </c>
      <c r="M79" s="17">
        <v>62500.98</v>
      </c>
      <c r="N79" s="17">
        <v>62500.98</v>
      </c>
      <c r="O79" s="18">
        <v>1</v>
      </c>
      <c r="P79" s="17">
        <v>107299.02</v>
      </c>
      <c r="Q79" s="17">
        <v>106819.02</v>
      </c>
      <c r="R79" s="17">
        <v>106819.02</v>
      </c>
      <c r="S79" s="17">
        <v>1</v>
      </c>
      <c r="T79" s="17">
        <v>106819.02</v>
      </c>
      <c r="U79" s="17">
        <v>2257.6</v>
      </c>
      <c r="V79" s="16">
        <v>169800</v>
      </c>
      <c r="W79" s="17">
        <v>49748.44</v>
      </c>
      <c r="X79" s="17">
        <v>219548.44</v>
      </c>
      <c r="Y79" s="17">
        <v>54887.11</v>
      </c>
      <c r="Z79" s="17">
        <v>48822.03</v>
      </c>
      <c r="AA79" s="17">
        <v>0</v>
      </c>
      <c r="AB79" s="17">
        <v>43703.96</v>
      </c>
      <c r="AC79" s="17">
        <v>0</v>
      </c>
      <c r="AD79" s="17">
        <v>0</v>
      </c>
      <c r="AE79" s="17">
        <v>59625</v>
      </c>
      <c r="AF79" s="17">
        <v>50717</v>
      </c>
      <c r="AG79" s="17">
        <v>0</v>
      </c>
      <c r="AH79" s="17">
        <v>0</v>
      </c>
      <c r="AI79" s="17">
        <v>0</v>
      </c>
      <c r="AJ79" s="17">
        <v>62500.98</v>
      </c>
      <c r="AK79" s="17">
        <v>106819.02</v>
      </c>
    </row>
    <row r="80" spans="1:37" x14ac:dyDescent="0.2">
      <c r="A80" s="14" t="s">
        <v>33</v>
      </c>
      <c r="B80" s="14">
        <v>242</v>
      </c>
      <c r="C80" s="14">
        <v>1</v>
      </c>
      <c r="D80" s="14" t="s">
        <v>157</v>
      </c>
      <c r="E80" s="15">
        <v>24</v>
      </c>
      <c r="F80" s="15" t="s">
        <v>61</v>
      </c>
      <c r="G80" s="16">
        <v>81</v>
      </c>
      <c r="H80" s="16">
        <v>80</v>
      </c>
      <c r="I80" s="16">
        <v>1980489</v>
      </c>
      <c r="J80" s="16">
        <v>18000</v>
      </c>
      <c r="K80" s="16">
        <v>18000</v>
      </c>
      <c r="L80" s="17">
        <v>6634.92</v>
      </c>
      <c r="M80" s="17">
        <v>6634.92</v>
      </c>
      <c r="N80" s="17">
        <v>6634.92</v>
      </c>
      <c r="O80" s="18">
        <v>1</v>
      </c>
      <c r="P80" s="17">
        <v>11365.08</v>
      </c>
      <c r="Q80" s="17">
        <v>11365.08</v>
      </c>
      <c r="R80" s="17">
        <v>11365.08</v>
      </c>
      <c r="S80" s="17">
        <v>1</v>
      </c>
      <c r="T80" s="17">
        <v>11365.08</v>
      </c>
      <c r="U80" s="17">
        <v>128</v>
      </c>
      <c r="V80" s="16">
        <v>18000</v>
      </c>
      <c r="W80" s="17">
        <v>394.6</v>
      </c>
      <c r="X80" s="17">
        <v>18394.599999999999</v>
      </c>
      <c r="Y80" s="17">
        <v>4598.6499999999996</v>
      </c>
      <c r="Z80" s="17">
        <v>-58082.52</v>
      </c>
      <c r="AA80" s="17">
        <v>0</v>
      </c>
      <c r="AB80" s="17">
        <v>-101701.85</v>
      </c>
      <c r="AC80" s="17">
        <v>0</v>
      </c>
      <c r="AD80" s="17">
        <v>0</v>
      </c>
      <c r="AE80" s="17">
        <v>-121745.24</v>
      </c>
      <c r="AF80" s="17">
        <v>-93843.199999999997</v>
      </c>
      <c r="AG80" s="17">
        <v>0</v>
      </c>
      <c r="AH80" s="17">
        <v>0</v>
      </c>
      <c r="AI80" s="17">
        <v>0</v>
      </c>
      <c r="AJ80" s="17">
        <v>6634.92</v>
      </c>
      <c r="AK80" s="17">
        <v>11365.08</v>
      </c>
    </row>
    <row r="81" spans="1:37" x14ac:dyDescent="0.2">
      <c r="A81" s="14" t="s">
        <v>33</v>
      </c>
      <c r="B81" s="14">
        <v>252</v>
      </c>
      <c r="C81" s="14">
        <v>1</v>
      </c>
      <c r="D81" s="14" t="s">
        <v>158</v>
      </c>
      <c r="E81" s="15">
        <v>25</v>
      </c>
      <c r="F81" s="15" t="s">
        <v>61</v>
      </c>
      <c r="G81" s="16">
        <v>435</v>
      </c>
      <c r="H81" s="16">
        <v>445</v>
      </c>
      <c r="I81" s="16">
        <v>11463587</v>
      </c>
      <c r="J81" s="16">
        <v>52200</v>
      </c>
      <c r="K81" s="16">
        <v>53400</v>
      </c>
      <c r="L81" s="17">
        <v>38404.620000000003</v>
      </c>
      <c r="M81" s="17">
        <v>38404.620000000003</v>
      </c>
      <c r="N81" s="17">
        <v>38404.620000000003</v>
      </c>
      <c r="O81" s="18">
        <v>1</v>
      </c>
      <c r="P81" s="17">
        <v>13795.38</v>
      </c>
      <c r="Q81" s="17">
        <v>14995.38</v>
      </c>
      <c r="R81" s="17">
        <v>14995.38</v>
      </c>
      <c r="S81" s="17">
        <v>1</v>
      </c>
      <c r="T81" s="17">
        <v>14995.38</v>
      </c>
      <c r="U81" s="17">
        <v>712</v>
      </c>
      <c r="V81" s="16">
        <v>52200</v>
      </c>
      <c r="W81" s="17">
        <v>6378.77</v>
      </c>
      <c r="X81" s="17">
        <v>58578.77</v>
      </c>
      <c r="Y81" s="17">
        <v>14644.69</v>
      </c>
      <c r="Z81" s="17">
        <v>19045.689999999999</v>
      </c>
      <c r="AA81" s="17">
        <v>1329.53</v>
      </c>
      <c r="AB81" s="17">
        <v>12926.9</v>
      </c>
      <c r="AC81" s="17">
        <v>0</v>
      </c>
      <c r="AD81" s="17">
        <v>0</v>
      </c>
      <c r="AE81" s="17">
        <v>13323.21</v>
      </c>
      <c r="AF81" s="17">
        <v>14655.42</v>
      </c>
      <c r="AG81" s="17">
        <v>10.73</v>
      </c>
      <c r="AH81" s="17">
        <v>7.72</v>
      </c>
      <c r="AI81" s="17">
        <v>3.01</v>
      </c>
      <c r="AJ81" s="17">
        <v>38396.9</v>
      </c>
      <c r="AK81" s="17">
        <v>14992.37</v>
      </c>
    </row>
    <row r="82" spans="1:37" x14ac:dyDescent="0.2">
      <c r="A82" s="14" t="s">
        <v>33</v>
      </c>
      <c r="B82" s="14">
        <v>253</v>
      </c>
      <c r="C82" s="14">
        <v>1</v>
      </c>
      <c r="D82" s="14" t="s">
        <v>159</v>
      </c>
      <c r="E82" s="15">
        <v>25</v>
      </c>
      <c r="F82" s="15" t="s">
        <v>61</v>
      </c>
      <c r="G82" s="16">
        <v>262</v>
      </c>
      <c r="H82" s="16">
        <v>239</v>
      </c>
      <c r="I82" s="16">
        <v>3529625</v>
      </c>
      <c r="J82" s="16">
        <v>31440</v>
      </c>
      <c r="K82" s="16">
        <v>28680</v>
      </c>
      <c r="L82" s="17">
        <v>11824.74</v>
      </c>
      <c r="M82" s="17">
        <v>11824.74</v>
      </c>
      <c r="N82" s="17">
        <v>11824.74</v>
      </c>
      <c r="O82" s="18">
        <v>1</v>
      </c>
      <c r="P82" s="17">
        <v>19615.259999999998</v>
      </c>
      <c r="Q82" s="17">
        <v>16855.259999999998</v>
      </c>
      <c r="R82" s="17">
        <v>16855.259999999998</v>
      </c>
      <c r="S82" s="17">
        <v>1</v>
      </c>
      <c r="T82" s="17">
        <v>16855.259999999998</v>
      </c>
      <c r="U82" s="17">
        <v>382.4</v>
      </c>
      <c r="V82" s="16">
        <v>31440</v>
      </c>
      <c r="W82" s="17">
        <v>1982.2</v>
      </c>
      <c r="X82" s="17">
        <v>33422.199999999997</v>
      </c>
      <c r="Y82" s="17">
        <v>8355.5499999999993</v>
      </c>
      <c r="Z82" s="17">
        <v>-8949.61</v>
      </c>
      <c r="AA82" s="17">
        <v>0</v>
      </c>
      <c r="AB82" s="17">
        <v>2689.36</v>
      </c>
      <c r="AC82" s="17">
        <v>0</v>
      </c>
      <c r="AD82" s="17">
        <v>0</v>
      </c>
      <c r="AE82" s="17">
        <v>-1904.77</v>
      </c>
      <c r="AF82" s="17">
        <v>-2721.67</v>
      </c>
      <c r="AG82" s="17">
        <v>0</v>
      </c>
      <c r="AH82" s="17">
        <v>0</v>
      </c>
      <c r="AI82" s="17">
        <v>0</v>
      </c>
      <c r="AJ82" s="17">
        <v>11824.74</v>
      </c>
      <c r="AK82" s="17">
        <v>16855.259999999998</v>
      </c>
    </row>
    <row r="83" spans="1:37" x14ac:dyDescent="0.2">
      <c r="A83" s="14" t="s">
        <v>33</v>
      </c>
      <c r="B83" s="14">
        <v>255</v>
      </c>
      <c r="C83" s="14">
        <v>1</v>
      </c>
      <c r="D83" s="14" t="s">
        <v>160</v>
      </c>
      <c r="E83" s="15">
        <v>25</v>
      </c>
      <c r="F83" s="15" t="s">
        <v>61</v>
      </c>
      <c r="G83" s="16">
        <v>505</v>
      </c>
      <c r="H83" s="16">
        <v>503</v>
      </c>
      <c r="I83" s="16">
        <v>6391857</v>
      </c>
      <c r="J83" s="16">
        <v>60600</v>
      </c>
      <c r="K83" s="16">
        <v>60360</v>
      </c>
      <c r="L83" s="17">
        <v>21413.62</v>
      </c>
      <c r="M83" s="17">
        <v>21413.62</v>
      </c>
      <c r="N83" s="17">
        <v>21413.62</v>
      </c>
      <c r="O83" s="18">
        <v>1</v>
      </c>
      <c r="P83" s="17">
        <v>39186.379999999997</v>
      </c>
      <c r="Q83" s="17">
        <v>38946.379999999997</v>
      </c>
      <c r="R83" s="17">
        <v>38946.379999999997</v>
      </c>
      <c r="S83" s="17">
        <v>1</v>
      </c>
      <c r="T83" s="17">
        <v>38946.379999999997</v>
      </c>
      <c r="U83" s="17">
        <v>804.8</v>
      </c>
      <c r="V83" s="16">
        <v>60600</v>
      </c>
      <c r="W83" s="17">
        <v>13616.39</v>
      </c>
      <c r="X83" s="17">
        <v>74216.39</v>
      </c>
      <c r="Y83" s="17">
        <v>18554.099999999999</v>
      </c>
      <c r="Z83" s="17">
        <v>6900.33</v>
      </c>
      <c r="AA83" s="17">
        <v>0</v>
      </c>
      <c r="AB83" s="17">
        <v>10808.44</v>
      </c>
      <c r="AC83" s="17">
        <v>0</v>
      </c>
      <c r="AD83" s="17">
        <v>0</v>
      </c>
      <c r="AE83" s="17">
        <v>22474.080000000002</v>
      </c>
      <c r="AF83" s="17">
        <v>13394.28</v>
      </c>
      <c r="AG83" s="17">
        <v>0</v>
      </c>
      <c r="AH83" s="17">
        <v>0</v>
      </c>
      <c r="AI83" s="17">
        <v>0</v>
      </c>
      <c r="AJ83" s="17">
        <v>21413.62</v>
      </c>
      <c r="AK83" s="17">
        <v>38946.379999999997</v>
      </c>
    </row>
    <row r="84" spans="1:37" x14ac:dyDescent="0.2">
      <c r="A84" s="14" t="s">
        <v>33</v>
      </c>
      <c r="B84" s="14">
        <v>256</v>
      </c>
      <c r="C84" s="14">
        <v>1</v>
      </c>
      <c r="D84" s="14" t="s">
        <v>161</v>
      </c>
      <c r="E84" s="15">
        <v>25</v>
      </c>
      <c r="F84" s="15" t="s">
        <v>61</v>
      </c>
      <c r="G84" s="16">
        <v>1073</v>
      </c>
      <c r="H84" s="16">
        <v>1109</v>
      </c>
      <c r="I84" s="16">
        <v>28421185</v>
      </c>
      <c r="J84" s="16">
        <v>128760</v>
      </c>
      <c r="K84" s="16">
        <v>133080</v>
      </c>
      <c r="L84" s="17">
        <v>95214.95</v>
      </c>
      <c r="M84" s="17">
        <v>95214.95</v>
      </c>
      <c r="N84" s="17">
        <v>95214.95</v>
      </c>
      <c r="O84" s="18">
        <v>1</v>
      </c>
      <c r="P84" s="17">
        <v>33545.050000000003</v>
      </c>
      <c r="Q84" s="17">
        <v>37865.050000000003</v>
      </c>
      <c r="R84" s="17">
        <v>37865.050000000003</v>
      </c>
      <c r="S84" s="17">
        <v>1</v>
      </c>
      <c r="T84" s="17">
        <v>37865.050000000003</v>
      </c>
      <c r="U84" s="17">
        <v>1774.4</v>
      </c>
      <c r="V84" s="16">
        <v>128760</v>
      </c>
      <c r="W84" s="17">
        <v>29974.57</v>
      </c>
      <c r="X84" s="17">
        <v>158734.57</v>
      </c>
      <c r="Y84" s="17">
        <v>39683.64</v>
      </c>
      <c r="Z84" s="17">
        <v>-7757.09</v>
      </c>
      <c r="AA84" s="17">
        <v>0</v>
      </c>
      <c r="AB84" s="17">
        <v>2405.04</v>
      </c>
      <c r="AC84" s="17">
        <v>0</v>
      </c>
      <c r="AD84" s="17">
        <v>0</v>
      </c>
      <c r="AE84" s="17">
        <v>8476.2999999999993</v>
      </c>
      <c r="AF84" s="17">
        <v>1041.42</v>
      </c>
      <c r="AG84" s="17">
        <v>0</v>
      </c>
      <c r="AH84" s="17">
        <v>0</v>
      </c>
      <c r="AI84" s="17">
        <v>0</v>
      </c>
      <c r="AJ84" s="17">
        <v>95214.95</v>
      </c>
      <c r="AK84" s="17">
        <v>37865.050000000003</v>
      </c>
    </row>
    <row r="85" spans="1:37" x14ac:dyDescent="0.2">
      <c r="A85" s="14" t="s">
        <v>33</v>
      </c>
      <c r="B85" s="14">
        <v>261</v>
      </c>
      <c r="C85" s="14">
        <v>1</v>
      </c>
      <c r="D85" s="14" t="s">
        <v>162</v>
      </c>
      <c r="E85" s="15">
        <v>26</v>
      </c>
      <c r="F85" s="15" t="s">
        <v>60</v>
      </c>
      <c r="G85" s="16">
        <v>91</v>
      </c>
      <c r="H85" s="16">
        <v>105</v>
      </c>
      <c r="I85" s="16">
        <v>2175556</v>
      </c>
      <c r="J85" s="16">
        <v>18000</v>
      </c>
      <c r="K85" s="16">
        <v>18000</v>
      </c>
      <c r="L85" s="17">
        <v>7288.42</v>
      </c>
      <c r="M85" s="17">
        <v>7288.42</v>
      </c>
      <c r="N85" s="17">
        <v>7288.42</v>
      </c>
      <c r="O85" s="18">
        <v>1</v>
      </c>
      <c r="P85" s="17">
        <v>10711.58</v>
      </c>
      <c r="Q85" s="17">
        <v>10711.58</v>
      </c>
      <c r="R85" s="17">
        <v>10711.58</v>
      </c>
      <c r="S85" s="17">
        <v>1</v>
      </c>
      <c r="T85" s="17">
        <v>10711.58</v>
      </c>
      <c r="U85" s="17">
        <v>168</v>
      </c>
      <c r="V85" s="16">
        <v>18000</v>
      </c>
      <c r="W85" s="17">
        <v>5454.4</v>
      </c>
      <c r="X85" s="17">
        <v>23454.400000000001</v>
      </c>
      <c r="Y85" s="17">
        <v>5863.6</v>
      </c>
      <c r="Z85" s="17">
        <v>-1294.43</v>
      </c>
      <c r="AA85" s="17">
        <v>0</v>
      </c>
      <c r="AB85" s="17">
        <v>-5609.95</v>
      </c>
      <c r="AC85" s="17">
        <v>0</v>
      </c>
      <c r="AD85" s="17">
        <v>0</v>
      </c>
      <c r="AE85" s="17">
        <v>-6854.8</v>
      </c>
      <c r="AF85" s="17">
        <v>-4586.3900000000003</v>
      </c>
      <c r="AG85" s="17">
        <v>0</v>
      </c>
      <c r="AH85" s="17">
        <v>0</v>
      </c>
      <c r="AI85" s="17">
        <v>0</v>
      </c>
      <c r="AJ85" s="17">
        <v>7288.42</v>
      </c>
      <c r="AK85" s="17">
        <v>10711.58</v>
      </c>
    </row>
    <row r="86" spans="1:37" x14ac:dyDescent="0.2">
      <c r="A86" s="14" t="s">
        <v>33</v>
      </c>
      <c r="B86" s="14">
        <v>264</v>
      </c>
      <c r="C86" s="14">
        <v>1</v>
      </c>
      <c r="D86" s="14" t="s">
        <v>163</v>
      </c>
      <c r="E86" s="15">
        <v>26</v>
      </c>
      <c r="F86" s="15" t="s">
        <v>60</v>
      </c>
      <c r="G86" s="16">
        <v>48</v>
      </c>
      <c r="H86" s="16">
        <v>46</v>
      </c>
      <c r="I86" s="16">
        <v>2507781</v>
      </c>
      <c r="J86" s="16">
        <v>18000</v>
      </c>
      <c r="K86" s="16">
        <v>18000</v>
      </c>
      <c r="L86" s="17">
        <v>8401.42</v>
      </c>
      <c r="M86" s="17">
        <v>8401.42</v>
      </c>
      <c r="N86" s="17">
        <v>8401.42</v>
      </c>
      <c r="O86" s="18">
        <v>1</v>
      </c>
      <c r="P86" s="17">
        <v>9598.58</v>
      </c>
      <c r="Q86" s="17">
        <v>9598.58</v>
      </c>
      <c r="R86" s="17">
        <v>9598.58</v>
      </c>
      <c r="S86" s="17">
        <v>1</v>
      </c>
      <c r="T86" s="17">
        <v>9598.58</v>
      </c>
      <c r="U86" s="17">
        <v>73.599999999999994</v>
      </c>
      <c r="V86" s="16">
        <v>18000</v>
      </c>
      <c r="W86" s="17">
        <v>164.8</v>
      </c>
      <c r="X86" s="17">
        <v>18164.8</v>
      </c>
      <c r="Y86" s="17">
        <v>4541.2</v>
      </c>
      <c r="Z86" s="17">
        <v>-15297.19</v>
      </c>
      <c r="AA86" s="17">
        <v>0</v>
      </c>
      <c r="AB86" s="17">
        <v>-5427.54</v>
      </c>
      <c r="AC86" s="17">
        <v>0</v>
      </c>
      <c r="AD86" s="17">
        <v>0</v>
      </c>
      <c r="AE86" s="17">
        <v>-7015.41</v>
      </c>
      <c r="AF86" s="17">
        <v>-9246.7099999999991</v>
      </c>
      <c r="AG86" s="17">
        <v>0</v>
      </c>
      <c r="AH86" s="17">
        <v>0</v>
      </c>
      <c r="AI86" s="17">
        <v>0</v>
      </c>
      <c r="AJ86" s="17">
        <v>8401.42</v>
      </c>
      <c r="AK86" s="17">
        <v>9598.58</v>
      </c>
    </row>
    <row r="87" spans="1:37" x14ac:dyDescent="0.2">
      <c r="A87" s="14" t="s">
        <v>33</v>
      </c>
      <c r="B87" s="14">
        <v>270</v>
      </c>
      <c r="C87" s="14">
        <v>1</v>
      </c>
      <c r="D87" s="14" t="s">
        <v>164</v>
      </c>
      <c r="E87" s="15">
        <v>27</v>
      </c>
      <c r="F87" s="15" t="s">
        <v>56</v>
      </c>
      <c r="G87" s="16">
        <v>3005</v>
      </c>
      <c r="H87" s="16">
        <v>3005</v>
      </c>
      <c r="I87" s="16">
        <v>115052074</v>
      </c>
      <c r="J87" s="16">
        <v>360600</v>
      </c>
      <c r="K87" s="16">
        <v>360600</v>
      </c>
      <c r="L87" s="17">
        <v>360600</v>
      </c>
      <c r="M87" s="17">
        <v>360600</v>
      </c>
      <c r="N87" s="17">
        <v>360600</v>
      </c>
      <c r="O87" s="18">
        <v>1</v>
      </c>
      <c r="P87" s="17">
        <v>0</v>
      </c>
      <c r="Q87" s="17">
        <v>0</v>
      </c>
      <c r="R87" s="17">
        <v>0</v>
      </c>
      <c r="S87" s="17">
        <v>1</v>
      </c>
      <c r="T87" s="17">
        <v>0</v>
      </c>
      <c r="U87" s="17">
        <v>4808</v>
      </c>
      <c r="V87" s="16">
        <v>360600</v>
      </c>
      <c r="W87" s="17">
        <v>87186.7</v>
      </c>
      <c r="X87" s="17">
        <v>447786.7</v>
      </c>
      <c r="Y87" s="17">
        <v>111946.68</v>
      </c>
      <c r="Z87" s="17">
        <v>31062.77</v>
      </c>
      <c r="AA87" s="17">
        <v>0</v>
      </c>
      <c r="AB87" s="17">
        <v>51838.37</v>
      </c>
      <c r="AC87" s="17">
        <v>0</v>
      </c>
      <c r="AD87" s="17">
        <v>0</v>
      </c>
      <c r="AE87" s="17">
        <v>87106</v>
      </c>
      <c r="AF87" s="17">
        <v>56669.05</v>
      </c>
      <c r="AG87" s="17">
        <v>0</v>
      </c>
      <c r="AH87" s="17">
        <v>0</v>
      </c>
      <c r="AI87" s="17">
        <v>0</v>
      </c>
      <c r="AJ87" s="17">
        <v>360600</v>
      </c>
      <c r="AK87" s="17">
        <v>0</v>
      </c>
    </row>
    <row r="88" spans="1:37" x14ac:dyDescent="0.2">
      <c r="A88" s="14" t="s">
        <v>33</v>
      </c>
      <c r="B88" s="14">
        <v>271</v>
      </c>
      <c r="C88" s="14">
        <v>1</v>
      </c>
      <c r="D88" s="14" t="s">
        <v>165</v>
      </c>
      <c r="E88" s="15">
        <v>27</v>
      </c>
      <c r="F88" s="15" t="s">
        <v>56</v>
      </c>
      <c r="G88" s="16">
        <v>4679</v>
      </c>
      <c r="H88" s="16">
        <v>4749</v>
      </c>
      <c r="I88" s="16">
        <v>139570063</v>
      </c>
      <c r="J88" s="16">
        <v>561480</v>
      </c>
      <c r="K88" s="16">
        <v>569880</v>
      </c>
      <c r="L88" s="17">
        <v>467579.25</v>
      </c>
      <c r="M88" s="17">
        <v>467579.25</v>
      </c>
      <c r="N88" s="17">
        <v>467579.25</v>
      </c>
      <c r="O88" s="18">
        <v>1</v>
      </c>
      <c r="P88" s="17">
        <v>93900.75</v>
      </c>
      <c r="Q88" s="17">
        <v>102300.75</v>
      </c>
      <c r="R88" s="17">
        <v>102300.75</v>
      </c>
      <c r="S88" s="17">
        <v>1</v>
      </c>
      <c r="T88" s="17">
        <v>102300.75</v>
      </c>
      <c r="U88" s="17">
        <v>7598.4</v>
      </c>
      <c r="V88" s="16">
        <v>561480</v>
      </c>
      <c r="W88" s="17">
        <v>569622.13</v>
      </c>
      <c r="X88" s="17">
        <v>1131102.1299999999</v>
      </c>
      <c r="Y88" s="17">
        <v>282775.53000000003</v>
      </c>
      <c r="Z88" s="17">
        <v>20863.490000000002</v>
      </c>
      <c r="AA88" s="17">
        <v>0</v>
      </c>
      <c r="AB88" s="17">
        <v>229912.21</v>
      </c>
      <c r="AC88" s="17">
        <v>0</v>
      </c>
      <c r="AD88" s="17">
        <v>0</v>
      </c>
      <c r="AE88" s="17">
        <v>136072.51999999999</v>
      </c>
      <c r="AF88" s="17">
        <v>128949.41</v>
      </c>
      <c r="AG88" s="17">
        <v>0</v>
      </c>
      <c r="AH88" s="17">
        <v>0</v>
      </c>
      <c r="AI88" s="17">
        <v>0</v>
      </c>
      <c r="AJ88" s="17">
        <v>467579.25</v>
      </c>
      <c r="AK88" s="17">
        <v>102300.75</v>
      </c>
    </row>
    <row r="89" spans="1:37" x14ac:dyDescent="0.2">
      <c r="A89" s="14" t="s">
        <v>33</v>
      </c>
      <c r="B89" s="14">
        <v>272</v>
      </c>
      <c r="C89" s="14">
        <v>1</v>
      </c>
      <c r="D89" s="14" t="s">
        <v>166</v>
      </c>
      <c r="E89" s="15">
        <v>27</v>
      </c>
      <c r="F89" s="15" t="s">
        <v>56</v>
      </c>
      <c r="G89" s="16">
        <v>5162</v>
      </c>
      <c r="H89" s="16">
        <v>5307</v>
      </c>
      <c r="I89" s="16">
        <v>114782826</v>
      </c>
      <c r="J89" s="16">
        <v>619440</v>
      </c>
      <c r="K89" s="16">
        <v>636840</v>
      </c>
      <c r="L89" s="17">
        <v>384538.54</v>
      </c>
      <c r="M89" s="17">
        <v>384538.54</v>
      </c>
      <c r="N89" s="17">
        <v>384538.54</v>
      </c>
      <c r="O89" s="18">
        <v>1</v>
      </c>
      <c r="P89" s="17">
        <v>234901.46</v>
      </c>
      <c r="Q89" s="17">
        <v>252301.46</v>
      </c>
      <c r="R89" s="17">
        <v>252301.46</v>
      </c>
      <c r="S89" s="17">
        <v>1</v>
      </c>
      <c r="T89" s="17">
        <v>252301.46</v>
      </c>
      <c r="U89" s="17">
        <v>8491.2000000000007</v>
      </c>
      <c r="V89" s="16">
        <v>619440</v>
      </c>
      <c r="W89" s="17">
        <v>303931.07</v>
      </c>
      <c r="X89" s="17">
        <v>923371.07</v>
      </c>
      <c r="Y89" s="17">
        <v>230842.77</v>
      </c>
      <c r="Z89" s="17">
        <v>193005.77</v>
      </c>
      <c r="AA89" s="17">
        <v>0</v>
      </c>
      <c r="AB89" s="17">
        <v>241379.32</v>
      </c>
      <c r="AC89" s="17">
        <v>0</v>
      </c>
      <c r="AD89" s="17">
        <v>0</v>
      </c>
      <c r="AE89" s="17">
        <v>252916.18</v>
      </c>
      <c r="AF89" s="17">
        <v>229100.42</v>
      </c>
      <c r="AG89" s="17">
        <v>0</v>
      </c>
      <c r="AH89" s="17">
        <v>0</v>
      </c>
      <c r="AI89" s="17">
        <v>0</v>
      </c>
      <c r="AJ89" s="17">
        <v>384538.54</v>
      </c>
      <c r="AK89" s="17">
        <v>252301.46</v>
      </c>
    </row>
    <row r="90" spans="1:37" x14ac:dyDescent="0.2">
      <c r="A90" s="14" t="s">
        <v>33</v>
      </c>
      <c r="B90" s="14">
        <v>273</v>
      </c>
      <c r="C90" s="14">
        <v>1</v>
      </c>
      <c r="D90" s="14" t="s">
        <v>167</v>
      </c>
      <c r="E90" s="15">
        <v>27</v>
      </c>
      <c r="F90" s="15" t="s">
        <v>56</v>
      </c>
      <c r="G90" s="16">
        <v>2870</v>
      </c>
      <c r="H90" s="16">
        <v>2870</v>
      </c>
      <c r="I90" s="16">
        <v>96600354</v>
      </c>
      <c r="J90" s="16">
        <v>344400</v>
      </c>
      <c r="K90" s="16">
        <v>344400</v>
      </c>
      <c r="L90" s="17">
        <v>323624.71000000002</v>
      </c>
      <c r="M90" s="17">
        <v>323624.71000000002</v>
      </c>
      <c r="N90" s="17">
        <v>273624.71000000002</v>
      </c>
      <c r="O90" s="18">
        <v>0.8455000547</v>
      </c>
      <c r="P90" s="17">
        <v>20775.29</v>
      </c>
      <c r="Q90" s="17">
        <v>20775.29</v>
      </c>
      <c r="R90" s="17">
        <v>17565.509999999998</v>
      </c>
      <c r="S90" s="17">
        <v>1</v>
      </c>
      <c r="T90" s="17">
        <v>17565.509999999998</v>
      </c>
      <c r="U90" s="17">
        <v>4592</v>
      </c>
      <c r="V90" s="16">
        <v>344400</v>
      </c>
      <c r="W90" s="17">
        <v>291125.05</v>
      </c>
      <c r="X90" s="17">
        <v>635525.05000000005</v>
      </c>
      <c r="Y90" s="17">
        <v>158881.26</v>
      </c>
      <c r="Z90" s="17">
        <v>258284.32</v>
      </c>
      <c r="AA90" s="17">
        <v>0</v>
      </c>
      <c r="AB90" s="17">
        <v>357736.8</v>
      </c>
      <c r="AC90" s="17">
        <v>0</v>
      </c>
      <c r="AD90" s="17">
        <v>0</v>
      </c>
      <c r="AE90" s="17">
        <v>68001.039999999994</v>
      </c>
      <c r="AF90" s="17">
        <v>228007.39</v>
      </c>
      <c r="AG90" s="17">
        <v>69126.13</v>
      </c>
      <c r="AH90" s="17">
        <v>64956.22</v>
      </c>
      <c r="AI90" s="17">
        <v>4169.91</v>
      </c>
      <c r="AJ90" s="17">
        <v>258668.49</v>
      </c>
      <c r="AK90" s="17">
        <v>13395.6</v>
      </c>
    </row>
    <row r="91" spans="1:37" x14ac:dyDescent="0.2">
      <c r="A91" s="14" t="s">
        <v>33</v>
      </c>
      <c r="B91" s="14">
        <v>276</v>
      </c>
      <c r="C91" s="14">
        <v>1</v>
      </c>
      <c r="D91" s="14" t="s">
        <v>168</v>
      </c>
      <c r="E91" s="15">
        <v>27</v>
      </c>
      <c r="F91" s="15" t="s">
        <v>56</v>
      </c>
      <c r="G91" s="16">
        <v>3140</v>
      </c>
      <c r="H91" s="16">
        <v>2920</v>
      </c>
      <c r="I91" s="16">
        <v>94307786</v>
      </c>
      <c r="J91" s="16">
        <v>376800</v>
      </c>
      <c r="K91" s="16">
        <v>350400</v>
      </c>
      <c r="L91" s="17">
        <v>315944.28999999998</v>
      </c>
      <c r="M91" s="17">
        <v>315944.28999999998</v>
      </c>
      <c r="N91" s="17">
        <v>315944.28999999998</v>
      </c>
      <c r="O91" s="18">
        <v>1</v>
      </c>
      <c r="P91" s="17">
        <v>60855.71</v>
      </c>
      <c r="Q91" s="17">
        <v>34455.71</v>
      </c>
      <c r="R91" s="17">
        <v>34455.71</v>
      </c>
      <c r="S91" s="17">
        <v>1</v>
      </c>
      <c r="T91" s="17">
        <v>34455.71</v>
      </c>
      <c r="U91" s="17">
        <v>4672</v>
      </c>
      <c r="V91" s="16">
        <v>376800</v>
      </c>
      <c r="W91" s="17">
        <v>445374.74</v>
      </c>
      <c r="X91" s="17">
        <v>822174.74</v>
      </c>
      <c r="Y91" s="17">
        <v>205543.69</v>
      </c>
      <c r="Z91" s="17">
        <v>72537.42</v>
      </c>
      <c r="AA91" s="17">
        <v>0</v>
      </c>
      <c r="AB91" s="17">
        <v>33537.5</v>
      </c>
      <c r="AC91" s="17">
        <v>0</v>
      </c>
      <c r="AD91" s="17">
        <v>0</v>
      </c>
      <c r="AE91" s="17">
        <v>14891.48</v>
      </c>
      <c r="AF91" s="17">
        <v>40322.129999999997</v>
      </c>
      <c r="AG91" s="17">
        <v>0</v>
      </c>
      <c r="AH91" s="17">
        <v>0</v>
      </c>
      <c r="AI91" s="17">
        <v>0</v>
      </c>
      <c r="AJ91" s="17">
        <v>315944.28999999998</v>
      </c>
      <c r="AK91" s="17">
        <v>34455.71</v>
      </c>
    </row>
    <row r="92" spans="1:37" x14ac:dyDescent="0.2">
      <c r="A92" s="14" t="s">
        <v>33</v>
      </c>
      <c r="B92" s="14">
        <v>277</v>
      </c>
      <c r="C92" s="14">
        <v>1</v>
      </c>
      <c r="D92" s="14" t="s">
        <v>169</v>
      </c>
      <c r="E92" s="15">
        <v>27</v>
      </c>
      <c r="F92" s="15" t="s">
        <v>56</v>
      </c>
      <c r="G92" s="16">
        <v>1069</v>
      </c>
      <c r="H92" s="16">
        <v>1115</v>
      </c>
      <c r="I92" s="16">
        <v>45408775</v>
      </c>
      <c r="J92" s="16">
        <v>128280</v>
      </c>
      <c r="K92" s="16">
        <v>133800</v>
      </c>
      <c r="L92" s="17">
        <v>128280</v>
      </c>
      <c r="M92" s="17">
        <v>133800</v>
      </c>
      <c r="N92" s="17">
        <v>128280</v>
      </c>
      <c r="O92" s="18">
        <v>1</v>
      </c>
      <c r="P92" s="17">
        <v>0</v>
      </c>
      <c r="Q92" s="17">
        <v>0</v>
      </c>
      <c r="R92" s="17">
        <v>0</v>
      </c>
      <c r="S92" s="17">
        <v>1</v>
      </c>
      <c r="T92" s="17">
        <v>0</v>
      </c>
      <c r="U92" s="17">
        <v>1784</v>
      </c>
      <c r="V92" s="16">
        <v>128280</v>
      </c>
      <c r="W92" s="17">
        <v>21253.86</v>
      </c>
      <c r="X92" s="17">
        <v>149533.85999999999</v>
      </c>
      <c r="Y92" s="17">
        <v>37383.47</v>
      </c>
      <c r="Z92" s="17">
        <v>29586.3</v>
      </c>
      <c r="AA92" s="17">
        <v>0</v>
      </c>
      <c r="AB92" s="17">
        <v>31480.55</v>
      </c>
      <c r="AC92" s="17">
        <v>0</v>
      </c>
      <c r="AD92" s="17">
        <v>0</v>
      </c>
      <c r="AE92" s="17">
        <v>56570.77</v>
      </c>
      <c r="AF92" s="17">
        <v>39212.54</v>
      </c>
      <c r="AG92" s="17">
        <v>1829.07</v>
      </c>
      <c r="AH92" s="17">
        <v>1829.07</v>
      </c>
      <c r="AI92" s="17">
        <v>0</v>
      </c>
      <c r="AJ92" s="17">
        <v>131970.93</v>
      </c>
      <c r="AK92" s="17">
        <v>0</v>
      </c>
    </row>
    <row r="93" spans="1:37" x14ac:dyDescent="0.2">
      <c r="A93" s="14" t="s">
        <v>33</v>
      </c>
      <c r="B93" s="14">
        <v>278</v>
      </c>
      <c r="C93" s="14">
        <v>1</v>
      </c>
      <c r="D93" s="14" t="s">
        <v>170</v>
      </c>
      <c r="E93" s="15">
        <v>27</v>
      </c>
      <c r="F93" s="15" t="s">
        <v>56</v>
      </c>
      <c r="G93" s="16">
        <v>880</v>
      </c>
      <c r="H93" s="16">
        <v>873</v>
      </c>
      <c r="I93" s="16">
        <v>45720036</v>
      </c>
      <c r="J93" s="16">
        <v>105600</v>
      </c>
      <c r="K93" s="16">
        <v>104760</v>
      </c>
      <c r="L93" s="17">
        <v>105600</v>
      </c>
      <c r="M93" s="17">
        <v>104760</v>
      </c>
      <c r="N93" s="17">
        <v>105600</v>
      </c>
      <c r="O93" s="18">
        <v>1</v>
      </c>
      <c r="P93" s="17">
        <v>0</v>
      </c>
      <c r="Q93" s="17">
        <v>0</v>
      </c>
      <c r="R93" s="17">
        <v>0</v>
      </c>
      <c r="S93" s="17">
        <v>1</v>
      </c>
      <c r="T93" s="17">
        <v>0</v>
      </c>
      <c r="U93" s="17">
        <v>1396.8</v>
      </c>
      <c r="V93" s="16">
        <v>105600</v>
      </c>
      <c r="W93" s="17">
        <v>80800.73</v>
      </c>
      <c r="X93" s="17">
        <v>186400.73</v>
      </c>
      <c r="Y93" s="17">
        <v>46600.18</v>
      </c>
      <c r="Z93" s="17">
        <v>46263.31</v>
      </c>
      <c r="AA93" s="17">
        <v>0</v>
      </c>
      <c r="AB93" s="17">
        <v>44409.26</v>
      </c>
      <c r="AC93" s="17">
        <v>0</v>
      </c>
      <c r="AD93" s="17">
        <v>0</v>
      </c>
      <c r="AE93" s="17">
        <v>28716.43</v>
      </c>
      <c r="AF93" s="17">
        <v>39796.33</v>
      </c>
      <c r="AG93" s="17">
        <v>0</v>
      </c>
      <c r="AH93" s="17">
        <v>0</v>
      </c>
      <c r="AI93" s="17">
        <v>0</v>
      </c>
      <c r="AJ93" s="17">
        <v>104760</v>
      </c>
      <c r="AK93" s="17">
        <v>0</v>
      </c>
    </row>
    <row r="94" spans="1:37" x14ac:dyDescent="0.2">
      <c r="A94" s="14" t="s">
        <v>33</v>
      </c>
      <c r="B94" s="14">
        <v>279</v>
      </c>
      <c r="C94" s="14">
        <v>1</v>
      </c>
      <c r="D94" s="14" t="s">
        <v>171</v>
      </c>
      <c r="E94" s="15">
        <v>27</v>
      </c>
      <c r="F94" s="15" t="s">
        <v>56</v>
      </c>
      <c r="G94" s="16">
        <v>9732</v>
      </c>
      <c r="H94" s="16">
        <v>9598</v>
      </c>
      <c r="I94" s="16">
        <v>175000647</v>
      </c>
      <c r="J94" s="16">
        <v>1167840</v>
      </c>
      <c r="K94" s="16">
        <v>1151760</v>
      </c>
      <c r="L94" s="17">
        <v>586276.67000000004</v>
      </c>
      <c r="M94" s="17">
        <v>586276.67000000004</v>
      </c>
      <c r="N94" s="17">
        <v>586276.67000000004</v>
      </c>
      <c r="O94" s="18">
        <v>1</v>
      </c>
      <c r="P94" s="17">
        <v>581563.32999999996</v>
      </c>
      <c r="Q94" s="17">
        <v>565483.32999999996</v>
      </c>
      <c r="R94" s="17">
        <v>565483.32999999996</v>
      </c>
      <c r="S94" s="17">
        <v>1</v>
      </c>
      <c r="T94" s="17">
        <v>565483.32999999996</v>
      </c>
      <c r="U94" s="17">
        <v>15356.8</v>
      </c>
      <c r="V94" s="16">
        <v>1167840</v>
      </c>
      <c r="W94" s="17">
        <v>291968.33</v>
      </c>
      <c r="X94" s="17">
        <v>1459808.33</v>
      </c>
      <c r="Y94" s="17">
        <v>364952.08</v>
      </c>
      <c r="Z94" s="17">
        <v>243333.5</v>
      </c>
      <c r="AA94" s="17">
        <v>0</v>
      </c>
      <c r="AB94" s="17">
        <v>245705.5</v>
      </c>
      <c r="AC94" s="17">
        <v>0</v>
      </c>
      <c r="AD94" s="17">
        <v>0</v>
      </c>
      <c r="AE94" s="17">
        <v>186079.79</v>
      </c>
      <c r="AF94" s="17">
        <v>225039.6</v>
      </c>
      <c r="AG94" s="17">
        <v>0</v>
      </c>
      <c r="AH94" s="17">
        <v>0</v>
      </c>
      <c r="AI94" s="17">
        <v>0</v>
      </c>
      <c r="AJ94" s="17">
        <v>586276.67000000004</v>
      </c>
      <c r="AK94" s="17">
        <v>565483.32999999996</v>
      </c>
    </row>
    <row r="95" spans="1:37" x14ac:dyDescent="0.2">
      <c r="A95" s="14" t="s">
        <v>33</v>
      </c>
      <c r="B95" s="14">
        <v>280</v>
      </c>
      <c r="C95" s="14">
        <v>1</v>
      </c>
      <c r="D95" s="14" t="s">
        <v>172</v>
      </c>
      <c r="E95" s="15">
        <v>27</v>
      </c>
      <c r="F95" s="15" t="s">
        <v>56</v>
      </c>
      <c r="G95" s="16">
        <v>2067</v>
      </c>
      <c r="H95" s="16">
        <v>2437</v>
      </c>
      <c r="I95" s="16">
        <v>45589001</v>
      </c>
      <c r="J95" s="16">
        <v>248040</v>
      </c>
      <c r="K95" s="16">
        <v>292440</v>
      </c>
      <c r="L95" s="17">
        <v>152729.54</v>
      </c>
      <c r="M95" s="17">
        <v>152729.54</v>
      </c>
      <c r="N95" s="17">
        <v>152729.54</v>
      </c>
      <c r="O95" s="18">
        <v>1</v>
      </c>
      <c r="P95" s="17">
        <v>95310.46</v>
      </c>
      <c r="Q95" s="17">
        <v>139710.46</v>
      </c>
      <c r="R95" s="17">
        <v>139710.46</v>
      </c>
      <c r="S95" s="17">
        <v>1</v>
      </c>
      <c r="T95" s="17">
        <v>139710.46</v>
      </c>
      <c r="U95" s="17">
        <v>3899.2</v>
      </c>
      <c r="V95" s="16">
        <v>248040</v>
      </c>
      <c r="W95" s="17">
        <v>3307.2</v>
      </c>
      <c r="X95" s="17">
        <v>251347.20000000001</v>
      </c>
      <c r="Y95" s="17">
        <v>62836.800000000003</v>
      </c>
      <c r="Z95" s="17">
        <v>57603.82</v>
      </c>
      <c r="AA95" s="17">
        <v>0</v>
      </c>
      <c r="AB95" s="17">
        <v>19090.22</v>
      </c>
      <c r="AC95" s="17">
        <v>0</v>
      </c>
      <c r="AD95" s="17">
        <v>0</v>
      </c>
      <c r="AE95" s="17">
        <v>21390.89</v>
      </c>
      <c r="AF95" s="17">
        <v>32694.98</v>
      </c>
      <c r="AG95" s="17">
        <v>0</v>
      </c>
      <c r="AH95" s="17">
        <v>0</v>
      </c>
      <c r="AI95" s="17">
        <v>0</v>
      </c>
      <c r="AJ95" s="17">
        <v>152729.54</v>
      </c>
      <c r="AK95" s="17">
        <v>139710.46</v>
      </c>
    </row>
    <row r="96" spans="1:37" x14ac:dyDescent="0.2">
      <c r="A96" s="14" t="s">
        <v>33</v>
      </c>
      <c r="B96" s="14">
        <v>281</v>
      </c>
      <c r="C96" s="14">
        <v>1</v>
      </c>
      <c r="D96" s="14" t="s">
        <v>173</v>
      </c>
      <c r="E96" s="15">
        <v>27</v>
      </c>
      <c r="F96" s="15" t="s">
        <v>56</v>
      </c>
      <c r="G96" s="16">
        <v>6615</v>
      </c>
      <c r="H96" s="16">
        <v>6720</v>
      </c>
      <c r="I96" s="16">
        <v>113451470</v>
      </c>
      <c r="J96" s="16">
        <v>793800</v>
      </c>
      <c r="K96" s="16">
        <v>806400</v>
      </c>
      <c r="L96" s="17">
        <v>380078.31</v>
      </c>
      <c r="M96" s="17">
        <v>380078.31</v>
      </c>
      <c r="N96" s="17">
        <v>380078.31</v>
      </c>
      <c r="O96" s="18">
        <v>1</v>
      </c>
      <c r="P96" s="17">
        <v>413721.69</v>
      </c>
      <c r="Q96" s="17">
        <v>426321.69</v>
      </c>
      <c r="R96" s="17">
        <v>426321.69</v>
      </c>
      <c r="S96" s="17">
        <v>1</v>
      </c>
      <c r="T96" s="17">
        <v>426321.69</v>
      </c>
      <c r="U96" s="17">
        <v>10752</v>
      </c>
      <c r="V96" s="16">
        <v>793800</v>
      </c>
      <c r="W96" s="17">
        <v>281766.49</v>
      </c>
      <c r="X96" s="17">
        <v>1075566.49</v>
      </c>
      <c r="Y96" s="17">
        <v>268891.62</v>
      </c>
      <c r="Z96" s="17">
        <v>131581.67000000001</v>
      </c>
      <c r="AA96" s="17">
        <v>0</v>
      </c>
      <c r="AB96" s="17">
        <v>168623.92</v>
      </c>
      <c r="AC96" s="17">
        <v>0</v>
      </c>
      <c r="AD96" s="17">
        <v>0</v>
      </c>
      <c r="AE96" s="17">
        <v>210139.64</v>
      </c>
      <c r="AF96" s="17">
        <v>170115.08</v>
      </c>
      <c r="AG96" s="17">
        <v>0</v>
      </c>
      <c r="AH96" s="17">
        <v>0</v>
      </c>
      <c r="AI96" s="17">
        <v>0</v>
      </c>
      <c r="AJ96" s="17">
        <v>380078.31</v>
      </c>
      <c r="AK96" s="17">
        <v>426321.69</v>
      </c>
    </row>
    <row r="97" spans="1:37" x14ac:dyDescent="0.2">
      <c r="A97" s="14" t="s">
        <v>33</v>
      </c>
      <c r="B97" s="14">
        <v>282</v>
      </c>
      <c r="C97" s="14">
        <v>1</v>
      </c>
      <c r="D97" s="14" t="s">
        <v>174</v>
      </c>
      <c r="E97" s="15">
        <v>27</v>
      </c>
      <c r="F97" s="15" t="s">
        <v>56</v>
      </c>
      <c r="G97" s="16">
        <v>315</v>
      </c>
      <c r="H97" s="16">
        <v>315</v>
      </c>
      <c r="I97" s="16">
        <v>11452810</v>
      </c>
      <c r="J97" s="16">
        <v>37800</v>
      </c>
      <c r="K97" s="16">
        <v>37800</v>
      </c>
      <c r="L97" s="17">
        <v>37800</v>
      </c>
      <c r="M97" s="17">
        <v>37800</v>
      </c>
      <c r="N97" s="17">
        <v>37800</v>
      </c>
      <c r="O97" s="18">
        <v>1</v>
      </c>
      <c r="P97" s="17">
        <v>0</v>
      </c>
      <c r="Q97" s="17">
        <v>0</v>
      </c>
      <c r="R97" s="17">
        <v>0</v>
      </c>
      <c r="S97" s="17">
        <v>1</v>
      </c>
      <c r="T97" s="17">
        <v>0</v>
      </c>
      <c r="U97" s="17">
        <v>504</v>
      </c>
      <c r="V97" s="16">
        <v>37800</v>
      </c>
      <c r="W97" s="17">
        <v>20776.86</v>
      </c>
      <c r="X97" s="17">
        <v>58576.86</v>
      </c>
      <c r="Y97" s="17">
        <v>14644.22</v>
      </c>
      <c r="Z97" s="17">
        <v>-31654.93</v>
      </c>
      <c r="AA97" s="17">
        <v>0</v>
      </c>
      <c r="AB97" s="17">
        <v>-34225.79</v>
      </c>
      <c r="AC97" s="17">
        <v>0</v>
      </c>
      <c r="AD97" s="17">
        <v>0</v>
      </c>
      <c r="AE97" s="17">
        <v>-16025.58</v>
      </c>
      <c r="AF97" s="17">
        <v>-27302.1</v>
      </c>
      <c r="AG97" s="17">
        <v>0</v>
      </c>
      <c r="AH97" s="17">
        <v>0</v>
      </c>
      <c r="AI97" s="17">
        <v>0</v>
      </c>
      <c r="AJ97" s="17">
        <v>37800</v>
      </c>
      <c r="AK97" s="17">
        <v>0</v>
      </c>
    </row>
    <row r="98" spans="1:37" x14ac:dyDescent="0.2">
      <c r="A98" s="14" t="s">
        <v>33</v>
      </c>
      <c r="B98" s="14">
        <v>283</v>
      </c>
      <c r="C98" s="14">
        <v>1</v>
      </c>
      <c r="D98" s="14" t="s">
        <v>175</v>
      </c>
      <c r="E98" s="15">
        <v>27</v>
      </c>
      <c r="F98" s="15" t="s">
        <v>56</v>
      </c>
      <c r="G98" s="16">
        <v>3127</v>
      </c>
      <c r="H98" s="16">
        <v>3151</v>
      </c>
      <c r="I98" s="16">
        <v>59116318</v>
      </c>
      <c r="J98" s="16">
        <v>375240</v>
      </c>
      <c r="K98" s="16">
        <v>378120</v>
      </c>
      <c r="L98" s="17">
        <v>198047.94</v>
      </c>
      <c r="M98" s="17">
        <v>198047.94</v>
      </c>
      <c r="N98" s="17">
        <v>198047.94</v>
      </c>
      <c r="O98" s="18">
        <v>1</v>
      </c>
      <c r="P98" s="17">
        <v>177192.06</v>
      </c>
      <c r="Q98" s="17">
        <v>180072.06</v>
      </c>
      <c r="R98" s="17">
        <v>180072.06</v>
      </c>
      <c r="S98" s="17">
        <v>1</v>
      </c>
      <c r="T98" s="17">
        <v>180072.06</v>
      </c>
      <c r="U98" s="17">
        <v>5041.6000000000004</v>
      </c>
      <c r="V98" s="16">
        <v>375240</v>
      </c>
      <c r="W98" s="17">
        <v>126027.3</v>
      </c>
      <c r="X98" s="17">
        <v>501267.3</v>
      </c>
      <c r="Y98" s="17">
        <v>125316.83</v>
      </c>
      <c r="Z98" s="17">
        <v>-45293.23</v>
      </c>
      <c r="AA98" s="17">
        <v>0</v>
      </c>
      <c r="AB98" s="17">
        <v>-3238</v>
      </c>
      <c r="AC98" s="17">
        <v>0</v>
      </c>
      <c r="AD98" s="17">
        <v>0</v>
      </c>
      <c r="AE98" s="17">
        <v>-4207.74</v>
      </c>
      <c r="AF98" s="17">
        <v>-17579.66</v>
      </c>
      <c r="AG98" s="17">
        <v>0</v>
      </c>
      <c r="AH98" s="17">
        <v>0</v>
      </c>
      <c r="AI98" s="17">
        <v>0</v>
      </c>
      <c r="AJ98" s="17">
        <v>198047.94</v>
      </c>
      <c r="AK98" s="17">
        <v>180072.06</v>
      </c>
    </row>
    <row r="99" spans="1:37" x14ac:dyDescent="0.2">
      <c r="A99" s="14" t="s">
        <v>33</v>
      </c>
      <c r="B99" s="14">
        <v>284</v>
      </c>
      <c r="C99" s="14">
        <v>1</v>
      </c>
      <c r="D99" s="14" t="s">
        <v>176</v>
      </c>
      <c r="E99" s="15">
        <v>27</v>
      </c>
      <c r="F99" s="15" t="s">
        <v>56</v>
      </c>
      <c r="G99" s="16">
        <v>3270</v>
      </c>
      <c r="H99" s="16">
        <v>3245</v>
      </c>
      <c r="I99" s="16">
        <v>132167781</v>
      </c>
      <c r="J99" s="16">
        <v>392400</v>
      </c>
      <c r="K99" s="16">
        <v>389400</v>
      </c>
      <c r="L99" s="17">
        <v>392400</v>
      </c>
      <c r="M99" s="17">
        <v>389400</v>
      </c>
      <c r="N99" s="17">
        <v>392400</v>
      </c>
      <c r="O99" s="18">
        <v>1</v>
      </c>
      <c r="P99" s="17">
        <v>0</v>
      </c>
      <c r="Q99" s="17">
        <v>0</v>
      </c>
      <c r="R99" s="17">
        <v>0</v>
      </c>
      <c r="S99" s="17">
        <v>1</v>
      </c>
      <c r="T99" s="17">
        <v>0</v>
      </c>
      <c r="U99" s="17">
        <v>5192</v>
      </c>
      <c r="V99" s="16">
        <v>392400</v>
      </c>
      <c r="W99" s="17">
        <v>167110.88</v>
      </c>
      <c r="X99" s="17">
        <v>559510.88</v>
      </c>
      <c r="Y99" s="17">
        <v>139877.72</v>
      </c>
      <c r="Z99" s="17">
        <v>62184.800000000003</v>
      </c>
      <c r="AA99" s="17">
        <v>0</v>
      </c>
      <c r="AB99" s="17">
        <v>65183.98</v>
      </c>
      <c r="AC99" s="17">
        <v>0</v>
      </c>
      <c r="AD99" s="17">
        <v>0</v>
      </c>
      <c r="AE99" s="17">
        <v>84096.59</v>
      </c>
      <c r="AF99" s="17">
        <v>70488.460000000006</v>
      </c>
      <c r="AG99" s="17">
        <v>0</v>
      </c>
      <c r="AH99" s="17">
        <v>0</v>
      </c>
      <c r="AI99" s="17">
        <v>0</v>
      </c>
      <c r="AJ99" s="17">
        <v>389400</v>
      </c>
      <c r="AK99" s="17">
        <v>0</v>
      </c>
    </row>
    <row r="100" spans="1:37" x14ac:dyDescent="0.2">
      <c r="A100" s="14" t="s">
        <v>33</v>
      </c>
      <c r="B100" s="14">
        <v>286</v>
      </c>
      <c r="C100" s="14">
        <v>1</v>
      </c>
      <c r="D100" s="14" t="s">
        <v>177</v>
      </c>
      <c r="E100" s="15">
        <v>27</v>
      </c>
      <c r="F100" s="15" t="s">
        <v>56</v>
      </c>
      <c r="G100" s="16">
        <v>1060</v>
      </c>
      <c r="H100" s="16">
        <v>965</v>
      </c>
      <c r="I100" s="16">
        <v>9303087</v>
      </c>
      <c r="J100" s="16">
        <v>127200</v>
      </c>
      <c r="K100" s="16">
        <v>115800</v>
      </c>
      <c r="L100" s="17">
        <v>31166.639999999999</v>
      </c>
      <c r="M100" s="17">
        <v>31166.639999999999</v>
      </c>
      <c r="N100" s="17">
        <v>31166.639999999999</v>
      </c>
      <c r="O100" s="18">
        <v>1</v>
      </c>
      <c r="P100" s="17">
        <v>96033.36</v>
      </c>
      <c r="Q100" s="17">
        <v>84633.36</v>
      </c>
      <c r="R100" s="17">
        <v>84633.36</v>
      </c>
      <c r="S100" s="17">
        <v>1</v>
      </c>
      <c r="T100" s="17">
        <v>84633.36</v>
      </c>
      <c r="U100" s="17">
        <v>1544</v>
      </c>
      <c r="V100" s="16">
        <v>127200</v>
      </c>
      <c r="W100" s="17">
        <v>7735.83</v>
      </c>
      <c r="X100" s="17">
        <v>134935.82999999999</v>
      </c>
      <c r="Y100" s="17">
        <v>33733.96</v>
      </c>
      <c r="Z100" s="17">
        <v>21668.28</v>
      </c>
      <c r="AA100" s="17">
        <v>0</v>
      </c>
      <c r="AB100" s="17">
        <v>45735.55</v>
      </c>
      <c r="AC100" s="17">
        <v>0</v>
      </c>
      <c r="AD100" s="17">
        <v>0</v>
      </c>
      <c r="AE100" s="17">
        <v>32760.9</v>
      </c>
      <c r="AF100" s="17">
        <v>33388.239999999998</v>
      </c>
      <c r="AG100" s="17">
        <v>0</v>
      </c>
      <c r="AH100" s="17">
        <v>0</v>
      </c>
      <c r="AI100" s="17">
        <v>0</v>
      </c>
      <c r="AJ100" s="17">
        <v>31166.639999999999</v>
      </c>
      <c r="AK100" s="17">
        <v>84633.36</v>
      </c>
    </row>
    <row r="101" spans="1:37" x14ac:dyDescent="0.2">
      <c r="A101" s="14" t="s">
        <v>33</v>
      </c>
      <c r="B101" s="14">
        <v>294</v>
      </c>
      <c r="C101" s="14">
        <v>1</v>
      </c>
      <c r="D101" s="14" t="s">
        <v>178</v>
      </c>
      <c r="E101" s="15">
        <v>28</v>
      </c>
      <c r="F101" s="15" t="s">
        <v>61</v>
      </c>
      <c r="G101" s="16">
        <v>171</v>
      </c>
      <c r="H101" s="16">
        <v>167</v>
      </c>
      <c r="I101" s="16">
        <v>3117682</v>
      </c>
      <c r="J101" s="16">
        <v>20520</v>
      </c>
      <c r="K101" s="16">
        <v>20040</v>
      </c>
      <c r="L101" s="17">
        <v>10444.67</v>
      </c>
      <c r="M101" s="17">
        <v>10444.67</v>
      </c>
      <c r="N101" s="17">
        <v>10444.67</v>
      </c>
      <c r="O101" s="18">
        <v>1</v>
      </c>
      <c r="P101" s="17">
        <v>10075.33</v>
      </c>
      <c r="Q101" s="17">
        <v>9595.33</v>
      </c>
      <c r="R101" s="17">
        <v>9595.33</v>
      </c>
      <c r="S101" s="17">
        <v>1</v>
      </c>
      <c r="T101" s="17">
        <v>9595.33</v>
      </c>
      <c r="U101" s="17">
        <v>267.2</v>
      </c>
      <c r="V101" s="16">
        <v>20520</v>
      </c>
      <c r="W101" s="17">
        <v>929.1</v>
      </c>
      <c r="X101" s="17">
        <v>21449.1</v>
      </c>
      <c r="Y101" s="17">
        <v>5362.28</v>
      </c>
      <c r="Z101" s="17">
        <v>0</v>
      </c>
      <c r="AA101" s="17">
        <v>0</v>
      </c>
      <c r="AB101" s="17">
        <v>141.32</v>
      </c>
      <c r="AC101" s="17">
        <v>0</v>
      </c>
      <c r="AD101" s="17">
        <v>0</v>
      </c>
      <c r="AE101" s="17">
        <v>0</v>
      </c>
      <c r="AF101" s="17">
        <v>47.11</v>
      </c>
      <c r="AG101" s="17">
        <v>0</v>
      </c>
      <c r="AH101" s="17">
        <v>0</v>
      </c>
      <c r="AI101" s="17">
        <v>0</v>
      </c>
      <c r="AJ101" s="17">
        <v>10444.67</v>
      </c>
      <c r="AK101" s="17">
        <v>9595.33</v>
      </c>
    </row>
    <row r="102" spans="1:37" x14ac:dyDescent="0.2">
      <c r="A102" s="14" t="s">
        <v>33</v>
      </c>
      <c r="B102" s="14">
        <v>297</v>
      </c>
      <c r="C102" s="14">
        <v>1</v>
      </c>
      <c r="D102" s="14" t="s">
        <v>179</v>
      </c>
      <c r="E102" s="15">
        <v>28</v>
      </c>
      <c r="F102" s="15" t="s">
        <v>61</v>
      </c>
      <c r="G102" s="16">
        <v>116</v>
      </c>
      <c r="H102" s="16">
        <v>116</v>
      </c>
      <c r="I102" s="16">
        <v>2239855</v>
      </c>
      <c r="J102" s="16">
        <v>18000</v>
      </c>
      <c r="K102" s="16">
        <v>18000</v>
      </c>
      <c r="L102" s="17">
        <v>7503.83</v>
      </c>
      <c r="M102" s="17">
        <v>7503.83</v>
      </c>
      <c r="N102" s="17">
        <v>7503.83</v>
      </c>
      <c r="O102" s="18">
        <v>1</v>
      </c>
      <c r="P102" s="17">
        <v>10496.17</v>
      </c>
      <c r="Q102" s="17">
        <v>10496.17</v>
      </c>
      <c r="R102" s="17">
        <v>10496.17</v>
      </c>
      <c r="S102" s="17">
        <v>1</v>
      </c>
      <c r="T102" s="17">
        <v>10496.17</v>
      </c>
      <c r="U102" s="17">
        <v>185.6</v>
      </c>
      <c r="V102" s="16">
        <v>18000</v>
      </c>
      <c r="W102" s="17">
        <v>3165.6</v>
      </c>
      <c r="X102" s="17">
        <v>21165.599999999999</v>
      </c>
      <c r="Y102" s="17">
        <v>5291.4</v>
      </c>
      <c r="Z102" s="17">
        <v>1030.29</v>
      </c>
      <c r="AA102" s="17">
        <v>0</v>
      </c>
      <c r="AB102" s="17">
        <v>2240.83</v>
      </c>
      <c r="AC102" s="17">
        <v>0</v>
      </c>
      <c r="AD102" s="17">
        <v>0</v>
      </c>
      <c r="AE102" s="17">
        <v>2868.31</v>
      </c>
      <c r="AF102" s="17">
        <v>2046.48</v>
      </c>
      <c r="AG102" s="17">
        <v>0</v>
      </c>
      <c r="AH102" s="17">
        <v>0</v>
      </c>
      <c r="AI102" s="17">
        <v>0</v>
      </c>
      <c r="AJ102" s="17">
        <v>7503.83</v>
      </c>
      <c r="AK102" s="17">
        <v>10496.17</v>
      </c>
    </row>
    <row r="103" spans="1:37" x14ac:dyDescent="0.2">
      <c r="A103" s="14" t="s">
        <v>33</v>
      </c>
      <c r="B103" s="14">
        <v>299</v>
      </c>
      <c r="C103" s="14">
        <v>1</v>
      </c>
      <c r="D103" s="14" t="s">
        <v>180</v>
      </c>
      <c r="E103" s="15">
        <v>28</v>
      </c>
      <c r="F103" s="15" t="s">
        <v>61</v>
      </c>
      <c r="G103" s="16">
        <v>350</v>
      </c>
      <c r="H103" s="16">
        <v>374</v>
      </c>
      <c r="I103" s="16">
        <v>5692913</v>
      </c>
      <c r="J103" s="16">
        <v>42000</v>
      </c>
      <c r="K103" s="16">
        <v>44880</v>
      </c>
      <c r="L103" s="17">
        <v>19072.060000000001</v>
      </c>
      <c r="M103" s="17">
        <v>19072.060000000001</v>
      </c>
      <c r="N103" s="17">
        <v>19072.060000000001</v>
      </c>
      <c r="O103" s="18">
        <v>1</v>
      </c>
      <c r="P103" s="17">
        <v>22927.94</v>
      </c>
      <c r="Q103" s="17">
        <v>25807.94</v>
      </c>
      <c r="R103" s="17">
        <v>25807.94</v>
      </c>
      <c r="S103" s="17">
        <v>1</v>
      </c>
      <c r="T103" s="17">
        <v>25807.94</v>
      </c>
      <c r="U103" s="17">
        <v>598.4</v>
      </c>
      <c r="V103" s="16">
        <v>42000</v>
      </c>
      <c r="W103" s="17">
        <v>2815.1</v>
      </c>
      <c r="X103" s="17">
        <v>44815.1</v>
      </c>
      <c r="Y103" s="17">
        <v>11203.78</v>
      </c>
      <c r="Z103" s="17">
        <v>4720.57</v>
      </c>
      <c r="AA103" s="17">
        <v>0</v>
      </c>
      <c r="AB103" s="17">
        <v>4946.41</v>
      </c>
      <c r="AC103" s="17">
        <v>0</v>
      </c>
      <c r="AD103" s="17">
        <v>0</v>
      </c>
      <c r="AE103" s="17">
        <v>5813.62</v>
      </c>
      <c r="AF103" s="17">
        <v>5160.2</v>
      </c>
      <c r="AG103" s="17">
        <v>0</v>
      </c>
      <c r="AH103" s="17">
        <v>0</v>
      </c>
      <c r="AI103" s="17">
        <v>0</v>
      </c>
      <c r="AJ103" s="17">
        <v>19072.060000000001</v>
      </c>
      <c r="AK103" s="17">
        <v>25807.94</v>
      </c>
    </row>
    <row r="104" spans="1:37" x14ac:dyDescent="0.2">
      <c r="A104" s="14" t="s">
        <v>33</v>
      </c>
      <c r="B104" s="14">
        <v>300</v>
      </c>
      <c r="C104" s="14">
        <v>1</v>
      </c>
      <c r="D104" s="14" t="s">
        <v>181</v>
      </c>
      <c r="E104" s="15">
        <v>28</v>
      </c>
      <c r="F104" s="15" t="s">
        <v>61</v>
      </c>
      <c r="G104" s="16">
        <v>540</v>
      </c>
      <c r="H104" s="16">
        <v>505</v>
      </c>
      <c r="I104" s="16">
        <v>7522756</v>
      </c>
      <c r="J104" s="16">
        <v>64800</v>
      </c>
      <c r="K104" s="16">
        <v>60600</v>
      </c>
      <c r="L104" s="17">
        <v>25202.29</v>
      </c>
      <c r="M104" s="17">
        <v>25202.29</v>
      </c>
      <c r="N104" s="17">
        <v>25202.29</v>
      </c>
      <c r="O104" s="18">
        <v>1</v>
      </c>
      <c r="P104" s="17">
        <v>39597.71</v>
      </c>
      <c r="Q104" s="17">
        <v>35397.71</v>
      </c>
      <c r="R104" s="17">
        <v>35397.71</v>
      </c>
      <c r="S104" s="17">
        <v>1</v>
      </c>
      <c r="T104" s="17">
        <v>35397.71</v>
      </c>
      <c r="U104" s="17">
        <v>808</v>
      </c>
      <c r="V104" s="16">
        <v>64800</v>
      </c>
      <c r="W104" s="17">
        <v>14048.03</v>
      </c>
      <c r="X104" s="17">
        <v>78848.03</v>
      </c>
      <c r="Y104" s="17">
        <v>19712.009999999998</v>
      </c>
      <c r="Z104" s="17">
        <v>2811.45</v>
      </c>
      <c r="AA104" s="17">
        <v>0</v>
      </c>
      <c r="AB104" s="17">
        <v>-5497.64</v>
      </c>
      <c r="AC104" s="17">
        <v>0</v>
      </c>
      <c r="AD104" s="17">
        <v>0</v>
      </c>
      <c r="AE104" s="17">
        <v>-9956.32</v>
      </c>
      <c r="AF104" s="17">
        <v>-4214.17</v>
      </c>
      <c r="AG104" s="17">
        <v>0</v>
      </c>
      <c r="AH104" s="17">
        <v>0</v>
      </c>
      <c r="AI104" s="17">
        <v>0</v>
      </c>
      <c r="AJ104" s="17">
        <v>25202.29</v>
      </c>
      <c r="AK104" s="17">
        <v>35397.71</v>
      </c>
    </row>
    <row r="105" spans="1:37" x14ac:dyDescent="0.2">
      <c r="A105" s="14" t="s">
        <v>33</v>
      </c>
      <c r="B105" s="14">
        <v>306</v>
      </c>
      <c r="C105" s="14">
        <v>1</v>
      </c>
      <c r="D105" s="14" t="s">
        <v>182</v>
      </c>
      <c r="E105" s="15">
        <v>29</v>
      </c>
      <c r="F105" s="15" t="s">
        <v>62</v>
      </c>
      <c r="G105" s="16">
        <v>100</v>
      </c>
      <c r="H105" s="16">
        <v>89</v>
      </c>
      <c r="I105" s="16">
        <v>3628222</v>
      </c>
      <c r="J105" s="16">
        <v>18000</v>
      </c>
      <c r="K105" s="16">
        <v>18000</v>
      </c>
      <c r="L105" s="17">
        <v>12155.05</v>
      </c>
      <c r="M105" s="17">
        <v>12155.05</v>
      </c>
      <c r="N105" s="17">
        <v>12155.05</v>
      </c>
      <c r="O105" s="18">
        <v>1</v>
      </c>
      <c r="P105" s="17">
        <v>5844.95</v>
      </c>
      <c r="Q105" s="17">
        <v>5844.95</v>
      </c>
      <c r="R105" s="17">
        <v>5844.95</v>
      </c>
      <c r="S105" s="17">
        <v>1</v>
      </c>
      <c r="T105" s="17">
        <v>5844.95</v>
      </c>
      <c r="U105" s="17">
        <v>142.4</v>
      </c>
      <c r="V105" s="16">
        <v>18000</v>
      </c>
      <c r="W105" s="17">
        <v>839</v>
      </c>
      <c r="X105" s="17">
        <v>18839</v>
      </c>
      <c r="Y105" s="17">
        <v>4709.75</v>
      </c>
      <c r="Z105" s="17">
        <v>4013</v>
      </c>
      <c r="AA105" s="17">
        <v>0</v>
      </c>
      <c r="AB105" s="17">
        <v>9504.41</v>
      </c>
      <c r="AC105" s="17">
        <v>352.97</v>
      </c>
      <c r="AD105" s="17">
        <v>0</v>
      </c>
      <c r="AE105" s="17">
        <v>7377.5</v>
      </c>
      <c r="AF105" s="17">
        <v>6847.31</v>
      </c>
      <c r="AG105" s="17">
        <v>2137.56</v>
      </c>
      <c r="AH105" s="17">
        <v>1443.45</v>
      </c>
      <c r="AI105" s="17">
        <v>694.11</v>
      </c>
      <c r="AJ105" s="17">
        <v>10711.6</v>
      </c>
      <c r="AK105" s="17">
        <v>5150.84</v>
      </c>
    </row>
    <row r="106" spans="1:37" x14ac:dyDescent="0.2">
      <c r="A106" s="14" t="s">
        <v>33</v>
      </c>
      <c r="B106" s="14">
        <v>308</v>
      </c>
      <c r="C106" s="14">
        <v>1</v>
      </c>
      <c r="D106" s="14" t="s">
        <v>183</v>
      </c>
      <c r="E106" s="15">
        <v>29</v>
      </c>
      <c r="F106" s="15" t="s">
        <v>62</v>
      </c>
      <c r="G106" s="16">
        <v>190</v>
      </c>
      <c r="H106" s="16">
        <v>195</v>
      </c>
      <c r="I106" s="16">
        <v>7973228</v>
      </c>
      <c r="J106" s="16">
        <v>22800</v>
      </c>
      <c r="K106" s="16">
        <v>23400</v>
      </c>
      <c r="L106" s="17">
        <v>22800</v>
      </c>
      <c r="M106" s="17">
        <v>23400</v>
      </c>
      <c r="N106" s="17">
        <v>22800</v>
      </c>
      <c r="O106" s="18">
        <v>1</v>
      </c>
      <c r="P106" s="17">
        <v>0</v>
      </c>
      <c r="Q106" s="17">
        <v>0</v>
      </c>
      <c r="R106" s="17">
        <v>0</v>
      </c>
      <c r="S106" s="17">
        <v>1</v>
      </c>
      <c r="T106" s="17">
        <v>0</v>
      </c>
      <c r="U106" s="17">
        <v>312</v>
      </c>
      <c r="V106" s="16">
        <v>22800</v>
      </c>
      <c r="W106" s="17">
        <v>12459.44</v>
      </c>
      <c r="X106" s="17">
        <v>35259.440000000002</v>
      </c>
      <c r="Y106" s="17">
        <v>8814.86</v>
      </c>
      <c r="Z106" s="17">
        <v>840.68</v>
      </c>
      <c r="AA106" s="17">
        <v>0</v>
      </c>
      <c r="AB106" s="17">
        <v>-223.14</v>
      </c>
      <c r="AC106" s="17">
        <v>0</v>
      </c>
      <c r="AD106" s="17">
        <v>0</v>
      </c>
      <c r="AE106" s="17">
        <v>1345.43</v>
      </c>
      <c r="AF106" s="17">
        <v>654.32000000000005</v>
      </c>
      <c r="AG106" s="17">
        <v>0</v>
      </c>
      <c r="AH106" s="17">
        <v>0</v>
      </c>
      <c r="AI106" s="17">
        <v>0</v>
      </c>
      <c r="AJ106" s="17">
        <v>23400</v>
      </c>
      <c r="AK106" s="17">
        <v>0</v>
      </c>
    </row>
    <row r="107" spans="1:37" x14ac:dyDescent="0.2">
      <c r="A107" s="14" t="s">
        <v>33</v>
      </c>
      <c r="B107" s="14">
        <v>309</v>
      </c>
      <c r="C107" s="14">
        <v>1</v>
      </c>
      <c r="D107" s="14" t="s">
        <v>184</v>
      </c>
      <c r="E107" s="15">
        <v>29</v>
      </c>
      <c r="F107" s="15" t="s">
        <v>62</v>
      </c>
      <c r="G107" s="16">
        <v>642</v>
      </c>
      <c r="H107" s="16">
        <v>705</v>
      </c>
      <c r="I107" s="16">
        <v>25624440</v>
      </c>
      <c r="J107" s="16">
        <v>77040</v>
      </c>
      <c r="K107" s="16">
        <v>84600</v>
      </c>
      <c r="L107" s="17">
        <v>77040</v>
      </c>
      <c r="M107" s="17">
        <v>84600</v>
      </c>
      <c r="N107" s="17">
        <v>77040</v>
      </c>
      <c r="O107" s="18">
        <v>1</v>
      </c>
      <c r="P107" s="17">
        <v>0</v>
      </c>
      <c r="Q107" s="17">
        <v>0</v>
      </c>
      <c r="R107" s="17">
        <v>0</v>
      </c>
      <c r="S107" s="17">
        <v>1</v>
      </c>
      <c r="T107" s="17">
        <v>0</v>
      </c>
      <c r="U107" s="17">
        <v>1128</v>
      </c>
      <c r="V107" s="16">
        <v>77040</v>
      </c>
      <c r="W107" s="17">
        <v>7627.45</v>
      </c>
      <c r="X107" s="17">
        <v>84667.45</v>
      </c>
      <c r="Y107" s="17">
        <v>21166.86</v>
      </c>
      <c r="Z107" s="17">
        <v>0.48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0.16</v>
      </c>
      <c r="AG107" s="17">
        <v>0</v>
      </c>
      <c r="AH107" s="17">
        <v>0</v>
      </c>
      <c r="AI107" s="17">
        <v>0</v>
      </c>
      <c r="AJ107" s="17">
        <v>84600</v>
      </c>
      <c r="AK107" s="17">
        <v>0</v>
      </c>
    </row>
    <row r="108" spans="1:37" x14ac:dyDescent="0.2">
      <c r="A108" s="14" t="s">
        <v>33</v>
      </c>
      <c r="B108" s="14">
        <v>314</v>
      </c>
      <c r="C108" s="14">
        <v>1</v>
      </c>
      <c r="D108" s="14" t="s">
        <v>185</v>
      </c>
      <c r="E108" s="15">
        <v>30</v>
      </c>
      <c r="F108" s="15" t="s">
        <v>67</v>
      </c>
      <c r="G108" s="16">
        <v>350</v>
      </c>
      <c r="H108" s="16">
        <v>370</v>
      </c>
      <c r="I108" s="16">
        <v>6124344</v>
      </c>
      <c r="J108" s="16">
        <v>42000</v>
      </c>
      <c r="K108" s="16">
        <v>44400</v>
      </c>
      <c r="L108" s="17">
        <v>20517.41</v>
      </c>
      <c r="M108" s="17">
        <v>20517.41</v>
      </c>
      <c r="N108" s="17">
        <v>20517.41</v>
      </c>
      <c r="O108" s="18">
        <v>1</v>
      </c>
      <c r="P108" s="17">
        <v>21482.59</v>
      </c>
      <c r="Q108" s="17">
        <v>23882.59</v>
      </c>
      <c r="R108" s="17">
        <v>23882.59</v>
      </c>
      <c r="S108" s="17">
        <v>1</v>
      </c>
      <c r="T108" s="17">
        <v>23882.59</v>
      </c>
      <c r="U108" s="17">
        <v>592</v>
      </c>
      <c r="V108" s="16">
        <v>42000</v>
      </c>
      <c r="W108" s="17">
        <v>1344</v>
      </c>
      <c r="X108" s="17">
        <v>43344</v>
      </c>
      <c r="Y108" s="17">
        <v>10836</v>
      </c>
      <c r="Z108" s="17">
        <v>20655.169999999998</v>
      </c>
      <c r="AA108" s="17">
        <v>1067.6099999999999</v>
      </c>
      <c r="AB108" s="17">
        <v>23237.41</v>
      </c>
      <c r="AC108" s="17">
        <v>5941.73</v>
      </c>
      <c r="AD108" s="17">
        <v>0</v>
      </c>
      <c r="AE108" s="17">
        <v>27780.46</v>
      </c>
      <c r="AF108" s="17">
        <v>21554.57</v>
      </c>
      <c r="AG108" s="17">
        <v>10718.57</v>
      </c>
      <c r="AH108" s="17">
        <v>4953.09</v>
      </c>
      <c r="AI108" s="17">
        <v>5765.48</v>
      </c>
      <c r="AJ108" s="17">
        <v>15564.32</v>
      </c>
      <c r="AK108" s="17">
        <v>18117.11</v>
      </c>
    </row>
    <row r="109" spans="1:37" x14ac:dyDescent="0.2">
      <c r="A109" s="14" t="s">
        <v>33</v>
      </c>
      <c r="B109" s="14">
        <v>316</v>
      </c>
      <c r="C109" s="14">
        <v>1</v>
      </c>
      <c r="D109" s="14" t="s">
        <v>186</v>
      </c>
      <c r="E109" s="15">
        <v>31</v>
      </c>
      <c r="F109" s="15" t="s">
        <v>58</v>
      </c>
      <c r="G109" s="16">
        <v>535</v>
      </c>
      <c r="H109" s="16">
        <v>510</v>
      </c>
      <c r="I109" s="16">
        <v>7225498</v>
      </c>
      <c r="J109" s="16">
        <v>64200</v>
      </c>
      <c r="K109" s="16">
        <v>61200</v>
      </c>
      <c r="L109" s="17">
        <v>24206.43</v>
      </c>
      <c r="M109" s="17">
        <v>24206.43</v>
      </c>
      <c r="N109" s="17">
        <v>24206.43</v>
      </c>
      <c r="O109" s="18">
        <v>1</v>
      </c>
      <c r="P109" s="17">
        <v>39993.57</v>
      </c>
      <c r="Q109" s="17">
        <v>36993.57</v>
      </c>
      <c r="R109" s="17">
        <v>36993.57</v>
      </c>
      <c r="S109" s="17">
        <v>1</v>
      </c>
      <c r="T109" s="17">
        <v>36993.57</v>
      </c>
      <c r="U109" s="17">
        <v>816</v>
      </c>
      <c r="V109" s="16">
        <v>64200</v>
      </c>
      <c r="W109" s="17">
        <v>22081.040000000001</v>
      </c>
      <c r="X109" s="17">
        <v>86281.04</v>
      </c>
      <c r="Y109" s="17">
        <v>21570.26</v>
      </c>
      <c r="Z109" s="17">
        <v>4906.26</v>
      </c>
      <c r="AA109" s="17">
        <v>0</v>
      </c>
      <c r="AB109" s="17">
        <v>24175.919999999998</v>
      </c>
      <c r="AC109" s="17">
        <v>0</v>
      </c>
      <c r="AD109" s="17">
        <v>0</v>
      </c>
      <c r="AE109" s="17">
        <v>41380.239999999998</v>
      </c>
      <c r="AF109" s="17">
        <v>23487.47</v>
      </c>
      <c r="AG109" s="17">
        <v>1917.21</v>
      </c>
      <c r="AH109" s="17">
        <v>758.31</v>
      </c>
      <c r="AI109" s="17">
        <v>1158.9000000000001</v>
      </c>
      <c r="AJ109" s="17">
        <v>23448.12</v>
      </c>
      <c r="AK109" s="17">
        <v>35834.67</v>
      </c>
    </row>
    <row r="110" spans="1:37" x14ac:dyDescent="0.2">
      <c r="A110" s="14" t="s">
        <v>33</v>
      </c>
      <c r="B110" s="14">
        <v>317</v>
      </c>
      <c r="C110" s="14">
        <v>1</v>
      </c>
      <c r="D110" s="14" t="s">
        <v>187</v>
      </c>
      <c r="E110" s="15">
        <v>31</v>
      </c>
      <c r="F110" s="15" t="s">
        <v>58</v>
      </c>
      <c r="G110" s="16">
        <v>375</v>
      </c>
      <c r="H110" s="16">
        <v>395</v>
      </c>
      <c r="I110" s="16">
        <v>9669139</v>
      </c>
      <c r="J110" s="16">
        <v>45000</v>
      </c>
      <c r="K110" s="16">
        <v>47400</v>
      </c>
      <c r="L110" s="17">
        <v>32392.97</v>
      </c>
      <c r="M110" s="17">
        <v>32392.97</v>
      </c>
      <c r="N110" s="17">
        <v>32392.97</v>
      </c>
      <c r="O110" s="18">
        <v>1</v>
      </c>
      <c r="P110" s="17">
        <v>12607.03</v>
      </c>
      <c r="Q110" s="17">
        <v>15007.03</v>
      </c>
      <c r="R110" s="17">
        <v>15007.03</v>
      </c>
      <c r="S110" s="17">
        <v>1</v>
      </c>
      <c r="T110" s="17">
        <v>15007.03</v>
      </c>
      <c r="U110" s="17">
        <v>632</v>
      </c>
      <c r="V110" s="16">
        <v>45000</v>
      </c>
      <c r="W110" s="17">
        <v>39375.21</v>
      </c>
      <c r="X110" s="17">
        <v>84375.21</v>
      </c>
      <c r="Y110" s="17">
        <v>21093.8</v>
      </c>
      <c r="Z110" s="17">
        <v>17168.240000000002</v>
      </c>
      <c r="AA110" s="17">
        <v>0</v>
      </c>
      <c r="AB110" s="17">
        <v>30573.29</v>
      </c>
      <c r="AC110" s="17">
        <v>0</v>
      </c>
      <c r="AD110" s="17">
        <v>0</v>
      </c>
      <c r="AE110" s="17">
        <v>27783.43</v>
      </c>
      <c r="AF110" s="17">
        <v>25174.99</v>
      </c>
      <c r="AG110" s="17">
        <v>4081.19</v>
      </c>
      <c r="AH110" s="17">
        <v>2789.07</v>
      </c>
      <c r="AI110" s="17">
        <v>1292.1199999999999</v>
      </c>
      <c r="AJ110" s="17">
        <v>29603.9</v>
      </c>
      <c r="AK110" s="17">
        <v>13714.91</v>
      </c>
    </row>
    <row r="111" spans="1:37" x14ac:dyDescent="0.2">
      <c r="A111" s="14" t="s">
        <v>33</v>
      </c>
      <c r="B111" s="14">
        <v>318</v>
      </c>
      <c r="C111" s="14">
        <v>1</v>
      </c>
      <c r="D111" s="14" t="s">
        <v>188</v>
      </c>
      <c r="E111" s="15">
        <v>31</v>
      </c>
      <c r="F111" s="15" t="s">
        <v>58</v>
      </c>
      <c r="G111" s="16">
        <v>1484</v>
      </c>
      <c r="H111" s="16">
        <v>1500</v>
      </c>
      <c r="I111" s="16">
        <v>47907752</v>
      </c>
      <c r="J111" s="16">
        <v>178080</v>
      </c>
      <c r="K111" s="16">
        <v>180000</v>
      </c>
      <c r="L111" s="17">
        <v>160497.68</v>
      </c>
      <c r="M111" s="17">
        <v>160497.68</v>
      </c>
      <c r="N111" s="17">
        <v>160497.68</v>
      </c>
      <c r="O111" s="18">
        <v>1</v>
      </c>
      <c r="P111" s="17">
        <v>17582.32</v>
      </c>
      <c r="Q111" s="17">
        <v>19502.32</v>
      </c>
      <c r="R111" s="17">
        <v>19502.32</v>
      </c>
      <c r="S111" s="17">
        <v>1</v>
      </c>
      <c r="T111" s="17">
        <v>19502.32</v>
      </c>
      <c r="U111" s="17">
        <v>2400</v>
      </c>
      <c r="V111" s="16">
        <v>178080</v>
      </c>
      <c r="W111" s="17">
        <v>91460.71</v>
      </c>
      <c r="X111" s="17">
        <v>269540.71000000002</v>
      </c>
      <c r="Y111" s="17">
        <v>67385.179999999993</v>
      </c>
      <c r="Z111" s="17">
        <v>5938.61</v>
      </c>
      <c r="AA111" s="17">
        <v>0</v>
      </c>
      <c r="AB111" s="17">
        <v>5938.61</v>
      </c>
      <c r="AC111" s="17">
        <v>0</v>
      </c>
      <c r="AD111" s="17">
        <v>0</v>
      </c>
      <c r="AE111" s="17">
        <v>0</v>
      </c>
      <c r="AF111" s="17">
        <v>3959.07</v>
      </c>
      <c r="AG111" s="17">
        <v>0</v>
      </c>
      <c r="AH111" s="17">
        <v>0</v>
      </c>
      <c r="AI111" s="17">
        <v>0</v>
      </c>
      <c r="AJ111" s="17">
        <v>160497.68</v>
      </c>
      <c r="AK111" s="17">
        <v>19502.32</v>
      </c>
    </row>
    <row r="112" spans="1:37" x14ac:dyDescent="0.2">
      <c r="A112" s="14" t="s">
        <v>33</v>
      </c>
      <c r="B112" s="14">
        <v>319</v>
      </c>
      <c r="C112" s="14">
        <v>1</v>
      </c>
      <c r="D112" s="14" t="s">
        <v>189</v>
      </c>
      <c r="E112" s="15">
        <v>31</v>
      </c>
      <c r="F112" s="15" t="s">
        <v>58</v>
      </c>
      <c r="G112" s="16">
        <v>220</v>
      </c>
      <c r="H112" s="16">
        <v>240</v>
      </c>
      <c r="I112" s="16">
        <v>4422621</v>
      </c>
      <c r="J112" s="16">
        <v>26400</v>
      </c>
      <c r="K112" s="16">
        <v>28800</v>
      </c>
      <c r="L112" s="17">
        <v>14816.4</v>
      </c>
      <c r="M112" s="17">
        <v>14816.4</v>
      </c>
      <c r="N112" s="17">
        <v>14816.4</v>
      </c>
      <c r="O112" s="18">
        <v>1</v>
      </c>
      <c r="P112" s="17">
        <v>11583.6</v>
      </c>
      <c r="Q112" s="17">
        <v>13983.6</v>
      </c>
      <c r="R112" s="17">
        <v>13983.6</v>
      </c>
      <c r="S112" s="17">
        <v>1</v>
      </c>
      <c r="T112" s="17">
        <v>13983.6</v>
      </c>
      <c r="U112" s="17">
        <v>384</v>
      </c>
      <c r="V112" s="16">
        <v>26400</v>
      </c>
      <c r="W112" s="17">
        <v>382</v>
      </c>
      <c r="X112" s="17">
        <v>26782</v>
      </c>
      <c r="Y112" s="17">
        <v>6695.5</v>
      </c>
      <c r="Z112" s="17">
        <v>5111.97</v>
      </c>
      <c r="AA112" s="17">
        <v>0</v>
      </c>
      <c r="AB112" s="17">
        <v>12133.35</v>
      </c>
      <c r="AC112" s="17">
        <v>0</v>
      </c>
      <c r="AD112" s="17">
        <v>0</v>
      </c>
      <c r="AE112" s="17">
        <v>13745.05</v>
      </c>
      <c r="AF112" s="17">
        <v>10330.120000000001</v>
      </c>
      <c r="AG112" s="17">
        <v>3634.62</v>
      </c>
      <c r="AH112" s="17">
        <v>1869.86</v>
      </c>
      <c r="AI112" s="17">
        <v>1764.76</v>
      </c>
      <c r="AJ112" s="17">
        <v>12946.54</v>
      </c>
      <c r="AK112" s="17">
        <v>12218.84</v>
      </c>
    </row>
    <row r="113" spans="1:37" x14ac:dyDescent="0.2">
      <c r="A113" s="14" t="s">
        <v>33</v>
      </c>
      <c r="B113" s="14">
        <v>330</v>
      </c>
      <c r="C113" s="14">
        <v>1</v>
      </c>
      <c r="D113" s="14" t="s">
        <v>190</v>
      </c>
      <c r="E113" s="15">
        <v>32</v>
      </c>
      <c r="F113" s="15" t="s">
        <v>65</v>
      </c>
      <c r="G113" s="16">
        <v>80</v>
      </c>
      <c r="H113" s="16">
        <v>82</v>
      </c>
      <c r="I113" s="16">
        <v>2775005</v>
      </c>
      <c r="J113" s="16">
        <v>18000</v>
      </c>
      <c r="K113" s="16">
        <v>18000</v>
      </c>
      <c r="L113" s="17">
        <v>9296.66</v>
      </c>
      <c r="M113" s="17">
        <v>9296.66</v>
      </c>
      <c r="N113" s="17">
        <v>9296.66</v>
      </c>
      <c r="O113" s="18">
        <v>1</v>
      </c>
      <c r="P113" s="17">
        <v>8703.34</v>
      </c>
      <c r="Q113" s="17">
        <v>8703.34</v>
      </c>
      <c r="R113" s="17">
        <v>8703.34</v>
      </c>
      <c r="S113" s="17">
        <v>1</v>
      </c>
      <c r="T113" s="17">
        <v>8703.34</v>
      </c>
      <c r="U113" s="17">
        <v>131.19999999999999</v>
      </c>
      <c r="V113" s="16">
        <v>18000</v>
      </c>
      <c r="W113" s="17">
        <v>390</v>
      </c>
      <c r="X113" s="17">
        <v>18390</v>
      </c>
      <c r="Y113" s="17">
        <v>4597.5</v>
      </c>
      <c r="Z113" s="17">
        <v>-6453.65</v>
      </c>
      <c r="AA113" s="17">
        <v>0</v>
      </c>
      <c r="AB113" s="17">
        <v>-9274.11</v>
      </c>
      <c r="AC113" s="17">
        <v>0</v>
      </c>
      <c r="AD113" s="17">
        <v>0</v>
      </c>
      <c r="AE113" s="17">
        <v>-10617.24</v>
      </c>
      <c r="AF113" s="17">
        <v>-8781.67</v>
      </c>
      <c r="AG113" s="17">
        <v>0</v>
      </c>
      <c r="AH113" s="17">
        <v>0</v>
      </c>
      <c r="AI113" s="17">
        <v>0</v>
      </c>
      <c r="AJ113" s="17">
        <v>9296.66</v>
      </c>
      <c r="AK113" s="17">
        <v>8703.34</v>
      </c>
    </row>
    <row r="114" spans="1:37" x14ac:dyDescent="0.2">
      <c r="A114" s="14" t="s">
        <v>33</v>
      </c>
      <c r="B114" s="14">
        <v>332</v>
      </c>
      <c r="C114" s="14">
        <v>1</v>
      </c>
      <c r="D114" s="14" t="s">
        <v>191</v>
      </c>
      <c r="E114" s="15">
        <v>33</v>
      </c>
      <c r="F114" s="15" t="s">
        <v>67</v>
      </c>
      <c r="G114" s="16">
        <v>725</v>
      </c>
      <c r="H114" s="16">
        <v>740</v>
      </c>
      <c r="I114" s="16">
        <v>10873908</v>
      </c>
      <c r="J114" s="16">
        <v>87000</v>
      </c>
      <c r="K114" s="16">
        <v>88800</v>
      </c>
      <c r="L114" s="17">
        <v>36429.11</v>
      </c>
      <c r="M114" s="17">
        <v>36429.11</v>
      </c>
      <c r="N114" s="17">
        <v>36429.11</v>
      </c>
      <c r="O114" s="18">
        <v>1</v>
      </c>
      <c r="P114" s="17">
        <v>50570.89</v>
      </c>
      <c r="Q114" s="17">
        <v>52370.89</v>
      </c>
      <c r="R114" s="17">
        <v>52370.89</v>
      </c>
      <c r="S114" s="17">
        <v>1</v>
      </c>
      <c r="T114" s="17">
        <v>52370.89</v>
      </c>
      <c r="U114" s="17">
        <v>1184</v>
      </c>
      <c r="V114" s="16">
        <v>87000</v>
      </c>
      <c r="W114" s="17">
        <v>14093.57</v>
      </c>
      <c r="X114" s="17">
        <v>101093.57</v>
      </c>
      <c r="Y114" s="17">
        <v>25273.39</v>
      </c>
      <c r="Z114" s="17">
        <v>16398.2</v>
      </c>
      <c r="AA114" s="17">
        <v>0</v>
      </c>
      <c r="AB114" s="17">
        <v>28317.37</v>
      </c>
      <c r="AC114" s="17">
        <v>0</v>
      </c>
      <c r="AD114" s="17">
        <v>0</v>
      </c>
      <c r="AE114" s="17">
        <v>29703.87</v>
      </c>
      <c r="AF114" s="17">
        <v>24806.48</v>
      </c>
      <c r="AG114" s="17">
        <v>0</v>
      </c>
      <c r="AH114" s="17">
        <v>0</v>
      </c>
      <c r="AI114" s="17">
        <v>0</v>
      </c>
      <c r="AJ114" s="17">
        <v>36429.11</v>
      </c>
      <c r="AK114" s="17">
        <v>52370.89</v>
      </c>
    </row>
    <row r="115" spans="1:37" x14ac:dyDescent="0.2">
      <c r="A115" s="14" t="s">
        <v>33</v>
      </c>
      <c r="B115" s="14">
        <v>333</v>
      </c>
      <c r="C115" s="14">
        <v>1</v>
      </c>
      <c r="D115" s="14" t="s">
        <v>192</v>
      </c>
      <c r="E115" s="15">
        <v>33</v>
      </c>
      <c r="F115" s="15" t="s">
        <v>67</v>
      </c>
      <c r="G115" s="16">
        <v>194</v>
      </c>
      <c r="H115" s="16">
        <v>170</v>
      </c>
      <c r="I115" s="16">
        <v>3646088</v>
      </c>
      <c r="J115" s="16">
        <v>23280</v>
      </c>
      <c r="K115" s="16">
        <v>20400</v>
      </c>
      <c r="L115" s="17">
        <v>12214.91</v>
      </c>
      <c r="M115" s="17">
        <v>12214.91</v>
      </c>
      <c r="N115" s="17">
        <v>12214.91</v>
      </c>
      <c r="O115" s="18">
        <v>1</v>
      </c>
      <c r="P115" s="17">
        <v>11065.09</v>
      </c>
      <c r="Q115" s="17">
        <v>8185.09</v>
      </c>
      <c r="R115" s="17">
        <v>8185.09</v>
      </c>
      <c r="S115" s="17">
        <v>1</v>
      </c>
      <c r="T115" s="17">
        <v>8185.09</v>
      </c>
      <c r="U115" s="17">
        <v>272</v>
      </c>
      <c r="V115" s="16">
        <v>23280</v>
      </c>
      <c r="W115" s="17">
        <v>292.39999999999998</v>
      </c>
      <c r="X115" s="17">
        <v>23572.400000000001</v>
      </c>
      <c r="Y115" s="17">
        <v>5893.1</v>
      </c>
      <c r="Z115" s="17">
        <v>-2086.69</v>
      </c>
      <c r="AA115" s="17">
        <v>0</v>
      </c>
      <c r="AB115" s="17">
        <v>-15190.35</v>
      </c>
      <c r="AC115" s="17">
        <v>0</v>
      </c>
      <c r="AD115" s="17">
        <v>0</v>
      </c>
      <c r="AE115" s="17">
        <v>-17165.45</v>
      </c>
      <c r="AF115" s="17">
        <v>-11480.83</v>
      </c>
      <c r="AG115" s="17">
        <v>0</v>
      </c>
      <c r="AH115" s="17">
        <v>0</v>
      </c>
      <c r="AI115" s="17">
        <v>0</v>
      </c>
      <c r="AJ115" s="17">
        <v>12214.91</v>
      </c>
      <c r="AK115" s="17">
        <v>8185.09</v>
      </c>
    </row>
    <row r="116" spans="1:37" x14ac:dyDescent="0.2">
      <c r="A116" s="14" t="s">
        <v>33</v>
      </c>
      <c r="B116" s="14">
        <v>345</v>
      </c>
      <c r="C116" s="14">
        <v>1</v>
      </c>
      <c r="D116" s="14" t="s">
        <v>193</v>
      </c>
      <c r="E116" s="15">
        <v>34</v>
      </c>
      <c r="F116" s="15" t="s">
        <v>68</v>
      </c>
      <c r="G116" s="16">
        <v>539</v>
      </c>
      <c r="H116" s="16">
        <v>523</v>
      </c>
      <c r="I116" s="16">
        <v>13937002</v>
      </c>
      <c r="J116" s="16">
        <v>64680</v>
      </c>
      <c r="K116" s="16">
        <v>62760</v>
      </c>
      <c r="L116" s="17">
        <v>46690.91</v>
      </c>
      <c r="M116" s="17">
        <v>46690.91</v>
      </c>
      <c r="N116" s="17">
        <v>46690.91</v>
      </c>
      <c r="O116" s="18">
        <v>1</v>
      </c>
      <c r="P116" s="17">
        <v>17989.09</v>
      </c>
      <c r="Q116" s="17">
        <v>16069.09</v>
      </c>
      <c r="R116" s="17">
        <v>16069.09</v>
      </c>
      <c r="S116" s="17">
        <v>1</v>
      </c>
      <c r="T116" s="17">
        <v>16069.09</v>
      </c>
      <c r="U116" s="17">
        <v>836.8</v>
      </c>
      <c r="V116" s="16">
        <v>64680</v>
      </c>
      <c r="W116" s="17">
        <v>21299.63</v>
      </c>
      <c r="X116" s="17">
        <v>85979.63</v>
      </c>
      <c r="Y116" s="17">
        <v>21494.91</v>
      </c>
      <c r="Z116" s="17">
        <v>1810.12</v>
      </c>
      <c r="AA116" s="17">
        <v>0</v>
      </c>
      <c r="AB116" s="17">
        <v>4451.08</v>
      </c>
      <c r="AC116" s="17">
        <v>0</v>
      </c>
      <c r="AD116" s="17">
        <v>0</v>
      </c>
      <c r="AE116" s="17">
        <v>5881.83</v>
      </c>
      <c r="AF116" s="17">
        <v>4047.68</v>
      </c>
      <c r="AG116" s="17">
        <v>0</v>
      </c>
      <c r="AH116" s="17">
        <v>0</v>
      </c>
      <c r="AI116" s="17">
        <v>0</v>
      </c>
      <c r="AJ116" s="17">
        <v>46690.91</v>
      </c>
      <c r="AK116" s="17">
        <v>16069.09</v>
      </c>
    </row>
    <row r="117" spans="1:37" x14ac:dyDescent="0.2">
      <c r="A117" s="14" t="s">
        <v>33</v>
      </c>
      <c r="B117" s="14">
        <v>347</v>
      </c>
      <c r="C117" s="14">
        <v>1</v>
      </c>
      <c r="D117" s="14" t="s">
        <v>194</v>
      </c>
      <c r="E117" s="15">
        <v>34</v>
      </c>
      <c r="F117" s="15" t="s">
        <v>68</v>
      </c>
      <c r="G117" s="16">
        <v>2120</v>
      </c>
      <c r="H117" s="16">
        <v>1901</v>
      </c>
      <c r="I117" s="16">
        <v>21555426</v>
      </c>
      <c r="J117" s="16">
        <v>254400</v>
      </c>
      <c r="K117" s="16">
        <v>228120</v>
      </c>
      <c r="L117" s="17">
        <v>72213.69</v>
      </c>
      <c r="M117" s="17">
        <v>72213.69</v>
      </c>
      <c r="N117" s="17">
        <v>72213.69</v>
      </c>
      <c r="O117" s="18">
        <v>1</v>
      </c>
      <c r="P117" s="17">
        <v>182186.31</v>
      </c>
      <c r="Q117" s="17">
        <v>155906.31</v>
      </c>
      <c r="R117" s="17">
        <v>155906.31</v>
      </c>
      <c r="S117" s="17">
        <v>1</v>
      </c>
      <c r="T117" s="17">
        <v>155906.31</v>
      </c>
      <c r="U117" s="17">
        <v>3041.6</v>
      </c>
      <c r="V117" s="16">
        <v>254400</v>
      </c>
      <c r="W117" s="17">
        <v>37405.85</v>
      </c>
      <c r="X117" s="17">
        <v>291805.84999999998</v>
      </c>
      <c r="Y117" s="17">
        <v>72951.460000000006</v>
      </c>
      <c r="Z117" s="17">
        <v>12611</v>
      </c>
      <c r="AA117" s="17">
        <v>0</v>
      </c>
      <c r="AB117" s="17">
        <v>0</v>
      </c>
      <c r="AC117" s="17">
        <v>0</v>
      </c>
      <c r="AD117" s="17">
        <v>0</v>
      </c>
      <c r="AE117" s="17">
        <v>72889.5</v>
      </c>
      <c r="AF117" s="17">
        <v>28500.17</v>
      </c>
      <c r="AG117" s="17">
        <v>0</v>
      </c>
      <c r="AH117" s="17">
        <v>0</v>
      </c>
      <c r="AI117" s="17">
        <v>0</v>
      </c>
      <c r="AJ117" s="17">
        <v>72213.69</v>
      </c>
      <c r="AK117" s="17">
        <v>155906.31</v>
      </c>
    </row>
    <row r="118" spans="1:37" x14ac:dyDescent="0.2">
      <c r="A118" s="14" t="s">
        <v>33</v>
      </c>
      <c r="B118" s="14">
        <v>356</v>
      </c>
      <c r="C118" s="14">
        <v>1</v>
      </c>
      <c r="D118" s="14" t="s">
        <v>195</v>
      </c>
      <c r="E118" s="15">
        <v>35</v>
      </c>
      <c r="F118" s="15" t="s">
        <v>59</v>
      </c>
      <c r="G118" s="16">
        <v>48</v>
      </c>
      <c r="H118" s="16">
        <v>67</v>
      </c>
      <c r="I118" s="16">
        <v>868169</v>
      </c>
      <c r="J118" s="16">
        <v>18000</v>
      </c>
      <c r="K118" s="16">
        <v>18000</v>
      </c>
      <c r="L118" s="17">
        <v>2908.49</v>
      </c>
      <c r="M118" s="17">
        <v>2908.49</v>
      </c>
      <c r="N118" s="17">
        <v>2908.49</v>
      </c>
      <c r="O118" s="18">
        <v>1</v>
      </c>
      <c r="P118" s="17">
        <v>15091.51</v>
      </c>
      <c r="Q118" s="17">
        <v>15091.51</v>
      </c>
      <c r="R118" s="17">
        <v>15091.51</v>
      </c>
      <c r="S118" s="17">
        <v>1</v>
      </c>
      <c r="T118" s="17">
        <v>15091.51</v>
      </c>
      <c r="U118" s="17">
        <v>0</v>
      </c>
      <c r="V118" s="16">
        <v>18000</v>
      </c>
      <c r="W118" s="17">
        <v>0</v>
      </c>
      <c r="X118" s="17">
        <v>18000</v>
      </c>
      <c r="Y118" s="17">
        <v>4500</v>
      </c>
      <c r="Z118" s="17">
        <v>0</v>
      </c>
      <c r="AA118" s="17">
        <v>0</v>
      </c>
      <c r="AB118" s="17">
        <v>1.18</v>
      </c>
      <c r="AC118" s="17">
        <v>0</v>
      </c>
      <c r="AD118" s="17">
        <v>0</v>
      </c>
      <c r="AE118" s="17">
        <v>7.0000000000000007E-2</v>
      </c>
      <c r="AF118" s="17">
        <v>0.42</v>
      </c>
      <c r="AG118" s="17">
        <v>0</v>
      </c>
      <c r="AH118" s="17">
        <v>0</v>
      </c>
      <c r="AI118" s="17">
        <v>0</v>
      </c>
      <c r="AJ118" s="17">
        <v>2908.49</v>
      </c>
      <c r="AK118" s="17">
        <v>15091.51</v>
      </c>
    </row>
    <row r="119" spans="1:37" x14ac:dyDescent="0.2">
      <c r="A119" s="14" t="s">
        <v>33</v>
      </c>
      <c r="B119" s="14">
        <v>361</v>
      </c>
      <c r="C119" s="14">
        <v>1</v>
      </c>
      <c r="D119" s="14" t="s">
        <v>196</v>
      </c>
      <c r="E119" s="15">
        <v>36</v>
      </c>
      <c r="F119" s="15" t="s">
        <v>58</v>
      </c>
      <c r="G119" s="16">
        <v>458</v>
      </c>
      <c r="H119" s="16">
        <v>451</v>
      </c>
      <c r="I119" s="16">
        <v>9395018</v>
      </c>
      <c r="J119" s="16">
        <v>54960</v>
      </c>
      <c r="K119" s="16">
        <v>54120</v>
      </c>
      <c r="L119" s="17">
        <v>31474.63</v>
      </c>
      <c r="M119" s="17">
        <v>31474.63</v>
      </c>
      <c r="N119" s="17">
        <v>31474.63</v>
      </c>
      <c r="O119" s="18">
        <v>1</v>
      </c>
      <c r="P119" s="17">
        <v>23485.37</v>
      </c>
      <c r="Q119" s="17">
        <v>22645.37</v>
      </c>
      <c r="R119" s="17">
        <v>22645.37</v>
      </c>
      <c r="S119" s="17">
        <v>1</v>
      </c>
      <c r="T119" s="17">
        <v>22645.37</v>
      </c>
      <c r="U119" s="17">
        <v>0</v>
      </c>
      <c r="V119" s="16">
        <v>54960</v>
      </c>
      <c r="W119" s="17">
        <v>3215</v>
      </c>
      <c r="X119" s="17">
        <v>58175</v>
      </c>
      <c r="Y119" s="17">
        <v>14543.75</v>
      </c>
      <c r="Z119" s="17">
        <v>13941.72</v>
      </c>
      <c r="AA119" s="17">
        <v>0</v>
      </c>
      <c r="AB119" s="17">
        <v>14517.6</v>
      </c>
      <c r="AC119" s="17">
        <v>0</v>
      </c>
      <c r="AD119" s="17">
        <v>0</v>
      </c>
      <c r="AE119" s="17">
        <v>13872.17</v>
      </c>
      <c r="AF119" s="17">
        <v>14110.5</v>
      </c>
      <c r="AG119" s="17">
        <v>0</v>
      </c>
      <c r="AH119" s="17">
        <v>0</v>
      </c>
      <c r="AI119" s="17">
        <v>0</v>
      </c>
      <c r="AJ119" s="17">
        <v>31474.63</v>
      </c>
      <c r="AK119" s="17">
        <v>22645.37</v>
      </c>
    </row>
    <row r="120" spans="1:37" x14ac:dyDescent="0.2">
      <c r="A120" s="14" t="s">
        <v>33</v>
      </c>
      <c r="B120" s="14">
        <v>362</v>
      </c>
      <c r="C120" s="14">
        <v>1</v>
      </c>
      <c r="D120" s="14" t="s">
        <v>197</v>
      </c>
      <c r="E120" s="15">
        <v>36</v>
      </c>
      <c r="F120" s="15" t="s">
        <v>58</v>
      </c>
      <c r="G120" s="16">
        <v>47</v>
      </c>
      <c r="H120" s="16">
        <v>52</v>
      </c>
      <c r="I120" s="16">
        <v>1650441</v>
      </c>
      <c r="J120" s="16">
        <v>18000</v>
      </c>
      <c r="K120" s="16">
        <v>18000</v>
      </c>
      <c r="L120" s="17">
        <v>5529.21</v>
      </c>
      <c r="M120" s="17">
        <v>5529.21</v>
      </c>
      <c r="N120" s="17">
        <v>5529.21</v>
      </c>
      <c r="O120" s="18">
        <v>1</v>
      </c>
      <c r="P120" s="17">
        <v>12470.79</v>
      </c>
      <c r="Q120" s="17">
        <v>12470.79</v>
      </c>
      <c r="R120" s="17">
        <v>12470.79</v>
      </c>
      <c r="S120" s="17">
        <v>1</v>
      </c>
      <c r="T120" s="17">
        <v>12470.79</v>
      </c>
      <c r="U120" s="17">
        <v>0</v>
      </c>
      <c r="V120" s="16">
        <v>18000</v>
      </c>
      <c r="W120" s="17">
        <v>7538</v>
      </c>
      <c r="X120" s="17">
        <v>25538</v>
      </c>
      <c r="Y120" s="17">
        <v>6384.5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5529.21</v>
      </c>
      <c r="AK120" s="17">
        <v>12470.79</v>
      </c>
    </row>
    <row r="121" spans="1:37" x14ac:dyDescent="0.2">
      <c r="A121" s="14" t="s">
        <v>33</v>
      </c>
      <c r="B121" s="14">
        <v>363</v>
      </c>
      <c r="C121" s="14">
        <v>1</v>
      </c>
      <c r="D121" s="14" t="s">
        <v>198</v>
      </c>
      <c r="E121" s="15">
        <v>36</v>
      </c>
      <c r="F121" s="15" t="s">
        <v>58</v>
      </c>
      <c r="G121" s="16">
        <v>52</v>
      </c>
      <c r="H121" s="16">
        <v>60</v>
      </c>
      <c r="I121" s="16">
        <v>1785797</v>
      </c>
      <c r="J121" s="16">
        <v>18000</v>
      </c>
      <c r="K121" s="16">
        <v>18000</v>
      </c>
      <c r="L121" s="17">
        <v>5982.67</v>
      </c>
      <c r="M121" s="17">
        <v>5982.67</v>
      </c>
      <c r="N121" s="17">
        <v>5982.67</v>
      </c>
      <c r="O121" s="18">
        <v>1</v>
      </c>
      <c r="P121" s="17">
        <v>12017.33</v>
      </c>
      <c r="Q121" s="17">
        <v>12017.33</v>
      </c>
      <c r="R121" s="17">
        <v>12017.33</v>
      </c>
      <c r="S121" s="17">
        <v>1</v>
      </c>
      <c r="T121" s="17">
        <v>12017.33</v>
      </c>
      <c r="U121" s="17">
        <v>0</v>
      </c>
      <c r="V121" s="16">
        <v>18000</v>
      </c>
      <c r="W121" s="17">
        <v>0</v>
      </c>
      <c r="X121" s="17">
        <v>18000</v>
      </c>
      <c r="Y121" s="17">
        <v>4500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5982.67</v>
      </c>
      <c r="AK121" s="17">
        <v>12017.33</v>
      </c>
    </row>
    <row r="122" spans="1:37" x14ac:dyDescent="0.2">
      <c r="A122" s="14" t="s">
        <v>33</v>
      </c>
      <c r="B122" s="14">
        <v>378</v>
      </c>
      <c r="C122" s="14">
        <v>1</v>
      </c>
      <c r="D122" s="14" t="s">
        <v>199</v>
      </c>
      <c r="E122" s="15">
        <v>37</v>
      </c>
      <c r="F122" s="15" t="s">
        <v>64</v>
      </c>
      <c r="G122" s="16">
        <v>149</v>
      </c>
      <c r="H122" s="16">
        <v>162</v>
      </c>
      <c r="I122" s="16">
        <v>3784187</v>
      </c>
      <c r="J122" s="16">
        <v>18000</v>
      </c>
      <c r="K122" s="16">
        <v>19440</v>
      </c>
      <c r="L122" s="17">
        <v>12677.56</v>
      </c>
      <c r="M122" s="17">
        <v>12677.56</v>
      </c>
      <c r="N122" s="17">
        <v>12677.56</v>
      </c>
      <c r="O122" s="18">
        <v>1</v>
      </c>
      <c r="P122" s="17">
        <v>5322.44</v>
      </c>
      <c r="Q122" s="17">
        <v>6762.44</v>
      </c>
      <c r="R122" s="17">
        <v>6762.44</v>
      </c>
      <c r="S122" s="17">
        <v>1</v>
      </c>
      <c r="T122" s="17">
        <v>6762.44</v>
      </c>
      <c r="U122" s="17">
        <v>259.2</v>
      </c>
      <c r="V122" s="16">
        <v>18000</v>
      </c>
      <c r="W122" s="17">
        <v>2204.0700000000002</v>
      </c>
      <c r="X122" s="17">
        <v>20204.07</v>
      </c>
      <c r="Y122" s="17">
        <v>5051.0200000000004</v>
      </c>
      <c r="Z122" s="17">
        <v>-23728.48</v>
      </c>
      <c r="AA122" s="17">
        <v>0</v>
      </c>
      <c r="AB122" s="17">
        <v>-18823.39</v>
      </c>
      <c r="AC122" s="17">
        <v>0</v>
      </c>
      <c r="AD122" s="17">
        <v>0</v>
      </c>
      <c r="AE122" s="17">
        <v>-14495.56</v>
      </c>
      <c r="AF122" s="17">
        <v>-19015.810000000001</v>
      </c>
      <c r="AG122" s="17">
        <v>0</v>
      </c>
      <c r="AH122" s="17">
        <v>0</v>
      </c>
      <c r="AI122" s="17">
        <v>0</v>
      </c>
      <c r="AJ122" s="17">
        <v>12677.56</v>
      </c>
      <c r="AK122" s="17">
        <v>6762.44</v>
      </c>
    </row>
    <row r="123" spans="1:37" x14ac:dyDescent="0.2">
      <c r="A123" s="14" t="s">
        <v>33</v>
      </c>
      <c r="B123" s="14">
        <v>381</v>
      </c>
      <c r="C123" s="14">
        <v>1</v>
      </c>
      <c r="D123" s="14" t="s">
        <v>200</v>
      </c>
      <c r="E123" s="15">
        <v>38</v>
      </c>
      <c r="F123" s="15" t="s">
        <v>58</v>
      </c>
      <c r="G123" s="16">
        <v>652</v>
      </c>
      <c r="H123" s="16">
        <v>614</v>
      </c>
      <c r="I123" s="16">
        <v>25098174</v>
      </c>
      <c r="J123" s="16">
        <v>78240</v>
      </c>
      <c r="K123" s="16">
        <v>73680</v>
      </c>
      <c r="L123" s="17">
        <v>78240</v>
      </c>
      <c r="M123" s="17">
        <v>73680</v>
      </c>
      <c r="N123" s="17">
        <v>78240</v>
      </c>
      <c r="O123" s="18">
        <v>1</v>
      </c>
      <c r="P123" s="17">
        <v>0</v>
      </c>
      <c r="Q123" s="17">
        <v>0</v>
      </c>
      <c r="R123" s="17">
        <v>0</v>
      </c>
      <c r="S123" s="17">
        <v>1</v>
      </c>
      <c r="T123" s="17">
        <v>0</v>
      </c>
      <c r="U123" s="17">
        <v>982.4</v>
      </c>
      <c r="V123" s="16">
        <v>78240</v>
      </c>
      <c r="W123" s="17">
        <v>30175.62</v>
      </c>
      <c r="X123" s="17">
        <v>108415.62</v>
      </c>
      <c r="Y123" s="17">
        <v>27103.91</v>
      </c>
      <c r="Z123" s="17">
        <v>13996.65</v>
      </c>
      <c r="AA123" s="17">
        <v>8466.02</v>
      </c>
      <c r="AB123" s="17">
        <v>4278.3999999999996</v>
      </c>
      <c r="AC123" s="17">
        <v>0</v>
      </c>
      <c r="AD123" s="17">
        <v>0</v>
      </c>
      <c r="AE123" s="17">
        <v>15226.71</v>
      </c>
      <c r="AF123" s="17">
        <v>8345.25</v>
      </c>
      <c r="AG123" s="17">
        <v>0</v>
      </c>
      <c r="AH123" s="17">
        <v>0</v>
      </c>
      <c r="AI123" s="17">
        <v>0</v>
      </c>
      <c r="AJ123" s="17">
        <v>73680</v>
      </c>
      <c r="AK123" s="17">
        <v>0</v>
      </c>
    </row>
    <row r="124" spans="1:37" x14ac:dyDescent="0.2">
      <c r="A124" s="14" t="s">
        <v>33</v>
      </c>
      <c r="B124" s="14">
        <v>390</v>
      </c>
      <c r="C124" s="14">
        <v>1</v>
      </c>
      <c r="D124" s="14" t="s">
        <v>201</v>
      </c>
      <c r="E124" s="15">
        <v>39</v>
      </c>
      <c r="F124" s="15" t="s">
        <v>62</v>
      </c>
      <c r="G124" s="16">
        <v>196</v>
      </c>
      <c r="H124" s="16">
        <v>235</v>
      </c>
      <c r="I124" s="16">
        <v>4819686</v>
      </c>
      <c r="J124" s="16">
        <v>23520</v>
      </c>
      <c r="K124" s="16">
        <v>28200</v>
      </c>
      <c r="L124" s="17">
        <v>16146.62</v>
      </c>
      <c r="M124" s="17">
        <v>16146.62</v>
      </c>
      <c r="N124" s="17">
        <v>16146.62</v>
      </c>
      <c r="O124" s="18">
        <v>1</v>
      </c>
      <c r="P124" s="17">
        <v>7373.38</v>
      </c>
      <c r="Q124" s="17">
        <v>12053.38</v>
      </c>
      <c r="R124" s="17">
        <v>12053.38</v>
      </c>
      <c r="S124" s="17">
        <v>1</v>
      </c>
      <c r="T124" s="17">
        <v>12053.38</v>
      </c>
      <c r="U124" s="17">
        <v>376</v>
      </c>
      <c r="V124" s="16">
        <v>23520</v>
      </c>
      <c r="W124" s="17">
        <v>17760.86</v>
      </c>
      <c r="X124" s="17">
        <v>41280.86</v>
      </c>
      <c r="Y124" s="17">
        <v>10320.219999999999</v>
      </c>
      <c r="Z124" s="17">
        <v>875.76</v>
      </c>
      <c r="AA124" s="17">
        <v>0</v>
      </c>
      <c r="AB124" s="17">
        <v>-5925.78</v>
      </c>
      <c r="AC124" s="17">
        <v>0</v>
      </c>
      <c r="AD124" s="17">
        <v>0</v>
      </c>
      <c r="AE124" s="17">
        <v>0</v>
      </c>
      <c r="AF124" s="17">
        <v>-1683.34</v>
      </c>
      <c r="AG124" s="17">
        <v>0</v>
      </c>
      <c r="AH124" s="17">
        <v>0</v>
      </c>
      <c r="AI124" s="17">
        <v>0</v>
      </c>
      <c r="AJ124" s="17">
        <v>16146.62</v>
      </c>
      <c r="AK124" s="17">
        <v>12053.38</v>
      </c>
    </row>
    <row r="125" spans="1:37" x14ac:dyDescent="0.2">
      <c r="A125" s="14" t="s">
        <v>33</v>
      </c>
      <c r="B125" s="14">
        <v>391</v>
      </c>
      <c r="C125" s="14">
        <v>1</v>
      </c>
      <c r="D125" s="14" t="s">
        <v>202</v>
      </c>
      <c r="E125" s="15">
        <v>40</v>
      </c>
      <c r="F125" s="15" t="s">
        <v>57</v>
      </c>
      <c r="G125" s="16">
        <v>134</v>
      </c>
      <c r="H125" s="16">
        <v>72</v>
      </c>
      <c r="I125" s="16">
        <v>4817848</v>
      </c>
      <c r="J125" s="16">
        <v>18000</v>
      </c>
      <c r="K125" s="16">
        <v>18000</v>
      </c>
      <c r="L125" s="17">
        <v>16140.47</v>
      </c>
      <c r="M125" s="17">
        <v>16140.47</v>
      </c>
      <c r="N125" s="17">
        <v>16140.47</v>
      </c>
      <c r="O125" s="18">
        <v>1</v>
      </c>
      <c r="P125" s="17">
        <v>1859.53</v>
      </c>
      <c r="Q125" s="17">
        <v>1859.53</v>
      </c>
      <c r="R125" s="17">
        <v>1859.53</v>
      </c>
      <c r="S125" s="17">
        <v>1</v>
      </c>
      <c r="T125" s="17">
        <v>1859.53</v>
      </c>
      <c r="U125" s="17">
        <v>115.2</v>
      </c>
      <c r="V125" s="16">
        <v>18000</v>
      </c>
      <c r="W125" s="17">
        <v>2168.0500000000002</v>
      </c>
      <c r="X125" s="17">
        <v>20168.05</v>
      </c>
      <c r="Y125" s="17">
        <v>5042.01</v>
      </c>
      <c r="Z125" s="17">
        <v>7658.39</v>
      </c>
      <c r="AA125" s="17">
        <v>0</v>
      </c>
      <c r="AB125" s="17">
        <v>17099.32</v>
      </c>
      <c r="AC125" s="17">
        <v>3522.67</v>
      </c>
      <c r="AD125" s="17">
        <v>0</v>
      </c>
      <c r="AE125" s="17">
        <v>9821.59</v>
      </c>
      <c r="AF125" s="17">
        <v>10352.209999999999</v>
      </c>
      <c r="AG125" s="17">
        <v>5310.2</v>
      </c>
      <c r="AH125" s="17">
        <v>4761.62</v>
      </c>
      <c r="AI125" s="17">
        <v>548.58000000000004</v>
      </c>
      <c r="AJ125" s="17">
        <v>11378.85</v>
      </c>
      <c r="AK125" s="17">
        <v>1310.95</v>
      </c>
    </row>
    <row r="126" spans="1:37" x14ac:dyDescent="0.2">
      <c r="A126" s="14" t="s">
        <v>33</v>
      </c>
      <c r="B126" s="14">
        <v>392</v>
      </c>
      <c r="C126" s="14">
        <v>1</v>
      </c>
      <c r="D126" s="14" t="s">
        <v>203</v>
      </c>
      <c r="E126" s="15">
        <v>40</v>
      </c>
      <c r="F126" s="15" t="s">
        <v>57</v>
      </c>
      <c r="G126" s="16">
        <v>317</v>
      </c>
      <c r="H126" s="16">
        <v>307</v>
      </c>
      <c r="I126" s="16">
        <v>4593874</v>
      </c>
      <c r="J126" s="16">
        <v>38040</v>
      </c>
      <c r="K126" s="16">
        <v>36840</v>
      </c>
      <c r="L126" s="17">
        <v>15390.12</v>
      </c>
      <c r="M126" s="17">
        <v>15390.12</v>
      </c>
      <c r="N126" s="17">
        <v>15390.12</v>
      </c>
      <c r="O126" s="18">
        <v>1</v>
      </c>
      <c r="P126" s="17">
        <v>22649.88</v>
      </c>
      <c r="Q126" s="17">
        <v>21449.88</v>
      </c>
      <c r="R126" s="17">
        <v>21449.88</v>
      </c>
      <c r="S126" s="17">
        <v>1</v>
      </c>
      <c r="T126" s="17">
        <v>21449.88</v>
      </c>
      <c r="U126" s="17">
        <v>491.2</v>
      </c>
      <c r="V126" s="16">
        <v>38040</v>
      </c>
      <c r="W126" s="17">
        <v>1607.7</v>
      </c>
      <c r="X126" s="17">
        <v>39647.699999999997</v>
      </c>
      <c r="Y126" s="17">
        <v>9911.93</v>
      </c>
      <c r="Z126" s="17">
        <v>9365.2099999999991</v>
      </c>
      <c r="AA126" s="17">
        <v>1009.06</v>
      </c>
      <c r="AB126" s="17">
        <v>18333.59</v>
      </c>
      <c r="AC126" s="17">
        <v>1907.89</v>
      </c>
      <c r="AD126" s="17">
        <v>0</v>
      </c>
      <c r="AE126" s="17">
        <v>17610.07</v>
      </c>
      <c r="AF126" s="17">
        <v>14130.64</v>
      </c>
      <c r="AG126" s="17">
        <v>4218.71</v>
      </c>
      <c r="AH126" s="17">
        <v>1762.39</v>
      </c>
      <c r="AI126" s="17">
        <v>2456.3200000000002</v>
      </c>
      <c r="AJ126" s="17">
        <v>13627.73</v>
      </c>
      <c r="AK126" s="17">
        <v>18993.560000000001</v>
      </c>
    </row>
    <row r="127" spans="1:37" x14ac:dyDescent="0.2">
      <c r="A127" s="14" t="s">
        <v>33</v>
      </c>
      <c r="B127" s="14">
        <v>394</v>
      </c>
      <c r="C127" s="14">
        <v>1</v>
      </c>
      <c r="D127" s="14" t="s">
        <v>204</v>
      </c>
      <c r="E127" s="15">
        <v>40</v>
      </c>
      <c r="F127" s="15" t="s">
        <v>57</v>
      </c>
      <c r="G127" s="16">
        <v>601</v>
      </c>
      <c r="H127" s="16">
        <v>622</v>
      </c>
      <c r="I127" s="16">
        <v>10456307</v>
      </c>
      <c r="J127" s="16">
        <v>72120</v>
      </c>
      <c r="K127" s="16">
        <v>74640</v>
      </c>
      <c r="L127" s="17">
        <v>35030.089999999997</v>
      </c>
      <c r="M127" s="17">
        <v>35030.089999999997</v>
      </c>
      <c r="N127" s="17">
        <v>35030.089999999997</v>
      </c>
      <c r="O127" s="18">
        <v>1</v>
      </c>
      <c r="P127" s="17">
        <v>37089.910000000003</v>
      </c>
      <c r="Q127" s="17">
        <v>39609.910000000003</v>
      </c>
      <c r="R127" s="17">
        <v>39609.910000000003</v>
      </c>
      <c r="S127" s="17">
        <v>1</v>
      </c>
      <c r="T127" s="17">
        <v>39609.910000000003</v>
      </c>
      <c r="U127" s="17">
        <v>995.2</v>
      </c>
      <c r="V127" s="16">
        <v>72120</v>
      </c>
      <c r="W127" s="17">
        <v>6042.6</v>
      </c>
      <c r="X127" s="17">
        <v>78162.600000000006</v>
      </c>
      <c r="Y127" s="17">
        <v>19540.650000000001</v>
      </c>
      <c r="Z127" s="17">
        <v>13916.63</v>
      </c>
      <c r="AA127" s="17">
        <v>0</v>
      </c>
      <c r="AB127" s="17">
        <v>16146.54</v>
      </c>
      <c r="AC127" s="17">
        <v>0</v>
      </c>
      <c r="AD127" s="17">
        <v>0</v>
      </c>
      <c r="AE127" s="17">
        <v>11181.53</v>
      </c>
      <c r="AF127" s="17">
        <v>13748.23</v>
      </c>
      <c r="AG127" s="17">
        <v>0</v>
      </c>
      <c r="AH127" s="17">
        <v>0</v>
      </c>
      <c r="AI127" s="17">
        <v>0</v>
      </c>
      <c r="AJ127" s="17">
        <v>35030.089999999997</v>
      </c>
      <c r="AK127" s="17">
        <v>39609.910000000003</v>
      </c>
    </row>
    <row r="128" spans="1:37" x14ac:dyDescent="0.2">
      <c r="A128" s="14" t="s">
        <v>33</v>
      </c>
      <c r="B128" s="14">
        <v>402</v>
      </c>
      <c r="C128" s="14">
        <v>1</v>
      </c>
      <c r="D128" s="14" t="s">
        <v>205</v>
      </c>
      <c r="E128" s="15">
        <v>41</v>
      </c>
      <c r="F128" s="15" t="s">
        <v>65</v>
      </c>
      <c r="G128" s="16">
        <v>41</v>
      </c>
      <c r="H128" s="16">
        <v>49</v>
      </c>
      <c r="I128" s="16">
        <v>1242852</v>
      </c>
      <c r="J128" s="16">
        <v>18000</v>
      </c>
      <c r="K128" s="16">
        <v>18000</v>
      </c>
      <c r="L128" s="17">
        <v>4163.7299999999996</v>
      </c>
      <c r="M128" s="17">
        <v>4163.7299999999996</v>
      </c>
      <c r="N128" s="17">
        <v>4163.7299999999996</v>
      </c>
      <c r="O128" s="18">
        <v>1</v>
      </c>
      <c r="P128" s="17">
        <v>13836.27</v>
      </c>
      <c r="Q128" s="17">
        <v>13836.27</v>
      </c>
      <c r="R128" s="17">
        <v>13836.27</v>
      </c>
      <c r="S128" s="17">
        <v>1</v>
      </c>
      <c r="T128" s="17">
        <v>13836.27</v>
      </c>
      <c r="U128" s="17">
        <v>78.400000000000006</v>
      </c>
      <c r="V128" s="16">
        <v>18000</v>
      </c>
      <c r="W128" s="17">
        <v>490.6</v>
      </c>
      <c r="X128" s="17">
        <v>18490.599999999999</v>
      </c>
      <c r="Y128" s="17">
        <v>4622.6499999999996</v>
      </c>
      <c r="Z128" s="17">
        <v>9663.34</v>
      </c>
      <c r="AA128" s="17">
        <v>5297.8</v>
      </c>
      <c r="AB128" s="17">
        <v>8365.82</v>
      </c>
      <c r="AC128" s="17">
        <v>2455.87</v>
      </c>
      <c r="AD128" s="17">
        <v>0</v>
      </c>
      <c r="AE128" s="17">
        <v>10855.01</v>
      </c>
      <c r="AF128" s="17">
        <v>7043.5</v>
      </c>
      <c r="AG128" s="17">
        <v>2420.85</v>
      </c>
      <c r="AH128" s="17">
        <v>559.99</v>
      </c>
      <c r="AI128" s="17">
        <v>1860.86</v>
      </c>
      <c r="AJ128" s="17">
        <v>3603.74</v>
      </c>
      <c r="AK128" s="17">
        <v>11975.41</v>
      </c>
    </row>
    <row r="129" spans="1:37" x14ac:dyDescent="0.2">
      <c r="A129" s="14" t="s">
        <v>33</v>
      </c>
      <c r="B129" s="14">
        <v>403</v>
      </c>
      <c r="C129" s="14">
        <v>1</v>
      </c>
      <c r="D129" s="14" t="s">
        <v>206</v>
      </c>
      <c r="E129" s="15">
        <v>41</v>
      </c>
      <c r="F129" s="15" t="s">
        <v>65</v>
      </c>
      <c r="G129" s="16">
        <v>59</v>
      </c>
      <c r="H129" s="16">
        <v>55</v>
      </c>
      <c r="I129" s="16">
        <v>1602000</v>
      </c>
      <c r="J129" s="16">
        <v>18000</v>
      </c>
      <c r="K129" s="16">
        <v>18000</v>
      </c>
      <c r="L129" s="17">
        <v>5366.92</v>
      </c>
      <c r="M129" s="17">
        <v>5366.92</v>
      </c>
      <c r="N129" s="17">
        <v>5366.92</v>
      </c>
      <c r="O129" s="18">
        <v>1</v>
      </c>
      <c r="P129" s="17">
        <v>12633.08</v>
      </c>
      <c r="Q129" s="17">
        <v>12633.08</v>
      </c>
      <c r="R129" s="17">
        <v>12633.08</v>
      </c>
      <c r="S129" s="17">
        <v>1</v>
      </c>
      <c r="T129" s="17">
        <v>12633.08</v>
      </c>
      <c r="U129" s="17">
        <v>88</v>
      </c>
      <c r="V129" s="16">
        <v>18000</v>
      </c>
      <c r="W129" s="17">
        <v>0</v>
      </c>
      <c r="X129" s="17">
        <v>18000</v>
      </c>
      <c r="Y129" s="17">
        <v>4500</v>
      </c>
      <c r="Z129" s="17">
        <v>11463.65</v>
      </c>
      <c r="AA129" s="17">
        <v>5889.07</v>
      </c>
      <c r="AB129" s="17">
        <v>8720.6299999999992</v>
      </c>
      <c r="AC129" s="17">
        <v>3677.89</v>
      </c>
      <c r="AD129" s="17">
        <v>0</v>
      </c>
      <c r="AE129" s="17">
        <v>8850.52</v>
      </c>
      <c r="AF129" s="17">
        <v>6489.28</v>
      </c>
      <c r="AG129" s="17">
        <v>1989.28</v>
      </c>
      <c r="AH129" s="17">
        <v>593.13</v>
      </c>
      <c r="AI129" s="17">
        <v>1396.15</v>
      </c>
      <c r="AJ129" s="17">
        <v>4773.79</v>
      </c>
      <c r="AK129" s="17">
        <v>11236.93</v>
      </c>
    </row>
    <row r="130" spans="1:37" x14ac:dyDescent="0.2">
      <c r="A130" s="14" t="s">
        <v>33</v>
      </c>
      <c r="B130" s="14">
        <v>404</v>
      </c>
      <c r="C130" s="14">
        <v>1</v>
      </c>
      <c r="D130" s="14" t="s">
        <v>207</v>
      </c>
      <c r="E130" s="15">
        <v>41</v>
      </c>
      <c r="F130" s="15" t="s">
        <v>65</v>
      </c>
      <c r="G130" s="16">
        <v>95</v>
      </c>
      <c r="H130" s="16">
        <v>94</v>
      </c>
      <c r="I130" s="16">
        <v>1986784</v>
      </c>
      <c r="J130" s="16">
        <v>18000</v>
      </c>
      <c r="K130" s="16">
        <v>18000</v>
      </c>
      <c r="L130" s="17">
        <v>6656</v>
      </c>
      <c r="M130" s="17">
        <v>6656</v>
      </c>
      <c r="N130" s="17">
        <v>6656</v>
      </c>
      <c r="O130" s="18">
        <v>1</v>
      </c>
      <c r="P130" s="17">
        <v>11344</v>
      </c>
      <c r="Q130" s="17">
        <v>11344</v>
      </c>
      <c r="R130" s="17">
        <v>11344</v>
      </c>
      <c r="S130" s="17">
        <v>1</v>
      </c>
      <c r="T130" s="17">
        <v>11344</v>
      </c>
      <c r="U130" s="17">
        <v>150.4</v>
      </c>
      <c r="V130" s="16">
        <v>18000</v>
      </c>
      <c r="W130" s="17">
        <v>333</v>
      </c>
      <c r="X130" s="17">
        <v>18333</v>
      </c>
      <c r="Y130" s="17">
        <v>4583.25</v>
      </c>
      <c r="Z130" s="17">
        <v>15470.7</v>
      </c>
      <c r="AA130" s="17">
        <v>8621.6</v>
      </c>
      <c r="AB130" s="17">
        <v>20358.330000000002</v>
      </c>
      <c r="AC130" s="17">
        <v>5914.75</v>
      </c>
      <c r="AD130" s="17">
        <v>0</v>
      </c>
      <c r="AE130" s="17">
        <v>19186.38</v>
      </c>
      <c r="AF130" s="17">
        <v>13493.02</v>
      </c>
      <c r="AG130" s="17">
        <v>8909.77</v>
      </c>
      <c r="AH130" s="17">
        <v>3294.63</v>
      </c>
      <c r="AI130" s="17">
        <v>5615.14</v>
      </c>
      <c r="AJ130" s="17">
        <v>3361.37</v>
      </c>
      <c r="AK130" s="17">
        <v>5728.86</v>
      </c>
    </row>
    <row r="131" spans="1:37" x14ac:dyDescent="0.2">
      <c r="A131" s="14" t="s">
        <v>33</v>
      </c>
      <c r="B131" s="14">
        <v>413</v>
      </c>
      <c r="C131" s="14">
        <v>1</v>
      </c>
      <c r="D131" s="14" t="s">
        <v>208</v>
      </c>
      <c r="E131" s="15">
        <v>42</v>
      </c>
      <c r="F131" s="15" t="s">
        <v>65</v>
      </c>
      <c r="G131" s="16">
        <v>1000</v>
      </c>
      <c r="H131" s="16">
        <v>1031</v>
      </c>
      <c r="I131" s="16">
        <v>13324971</v>
      </c>
      <c r="J131" s="16">
        <v>120000</v>
      </c>
      <c r="K131" s="16">
        <v>123720</v>
      </c>
      <c r="L131" s="17">
        <v>44640.52</v>
      </c>
      <c r="M131" s="17">
        <v>44640.52</v>
      </c>
      <c r="N131" s="17">
        <v>44640.52</v>
      </c>
      <c r="O131" s="18">
        <v>1</v>
      </c>
      <c r="P131" s="17">
        <v>75359.48</v>
      </c>
      <c r="Q131" s="17">
        <v>79079.48</v>
      </c>
      <c r="R131" s="17">
        <v>79079.48</v>
      </c>
      <c r="S131" s="17">
        <v>1</v>
      </c>
      <c r="T131" s="17">
        <v>79079.48</v>
      </c>
      <c r="U131" s="17">
        <v>1649.6</v>
      </c>
      <c r="V131" s="16">
        <v>120000</v>
      </c>
      <c r="W131" s="17">
        <v>7743.74</v>
      </c>
      <c r="X131" s="17">
        <v>127743.74</v>
      </c>
      <c r="Y131" s="17">
        <v>31935.94</v>
      </c>
      <c r="Z131" s="17">
        <v>45618.62</v>
      </c>
      <c r="AA131" s="17">
        <v>8165.28</v>
      </c>
      <c r="AB131" s="17">
        <v>42279.07</v>
      </c>
      <c r="AC131" s="17">
        <v>4886.4399999999996</v>
      </c>
      <c r="AD131" s="17">
        <v>0</v>
      </c>
      <c r="AE131" s="17">
        <v>22701.89</v>
      </c>
      <c r="AF131" s="17">
        <v>32515.95</v>
      </c>
      <c r="AG131" s="17">
        <v>580.01</v>
      </c>
      <c r="AH131" s="17">
        <v>209.28</v>
      </c>
      <c r="AI131" s="17">
        <v>370.73</v>
      </c>
      <c r="AJ131" s="17">
        <v>44431.24</v>
      </c>
      <c r="AK131" s="17">
        <v>78708.75</v>
      </c>
    </row>
    <row r="132" spans="1:37" x14ac:dyDescent="0.2">
      <c r="A132" s="14" t="s">
        <v>33</v>
      </c>
      <c r="B132" s="14">
        <v>414</v>
      </c>
      <c r="C132" s="14">
        <v>1</v>
      </c>
      <c r="D132" s="14" t="s">
        <v>209</v>
      </c>
      <c r="E132" s="15">
        <v>42</v>
      </c>
      <c r="F132" s="15" t="s">
        <v>65</v>
      </c>
      <c r="G132" s="16">
        <v>167</v>
      </c>
      <c r="H132" s="16">
        <v>162</v>
      </c>
      <c r="I132" s="16">
        <v>3110792</v>
      </c>
      <c r="J132" s="16">
        <v>20040</v>
      </c>
      <c r="K132" s="16">
        <v>19440</v>
      </c>
      <c r="L132" s="17">
        <v>10421.59</v>
      </c>
      <c r="M132" s="17">
        <v>10421.59</v>
      </c>
      <c r="N132" s="17">
        <v>10421.59</v>
      </c>
      <c r="O132" s="18">
        <v>1</v>
      </c>
      <c r="P132" s="17">
        <v>9618.41</v>
      </c>
      <c r="Q132" s="17">
        <v>9018.41</v>
      </c>
      <c r="R132" s="17">
        <v>9018.41</v>
      </c>
      <c r="S132" s="17">
        <v>1</v>
      </c>
      <c r="T132" s="17">
        <v>9018.41</v>
      </c>
      <c r="U132" s="17">
        <v>0</v>
      </c>
      <c r="V132" s="16">
        <v>20040</v>
      </c>
      <c r="W132" s="17">
        <v>395</v>
      </c>
      <c r="X132" s="17">
        <v>20435</v>
      </c>
      <c r="Y132" s="17">
        <v>5108.75</v>
      </c>
      <c r="Z132" s="17">
        <v>10655.89</v>
      </c>
      <c r="AA132" s="17">
        <v>5212.76</v>
      </c>
      <c r="AB132" s="17">
        <v>18599.93</v>
      </c>
      <c r="AC132" s="17">
        <v>3081.19</v>
      </c>
      <c r="AD132" s="17">
        <v>0</v>
      </c>
      <c r="AE132" s="17">
        <v>18560.25</v>
      </c>
      <c r="AF132" s="17">
        <v>13174.04</v>
      </c>
      <c r="AG132" s="17">
        <v>8065.29</v>
      </c>
      <c r="AH132" s="17">
        <v>4323.72</v>
      </c>
      <c r="AI132" s="17">
        <v>3741.57</v>
      </c>
      <c r="AJ132" s="17">
        <v>6097.87</v>
      </c>
      <c r="AK132" s="17">
        <v>5276.84</v>
      </c>
    </row>
    <row r="133" spans="1:37" x14ac:dyDescent="0.2">
      <c r="A133" s="14" t="s">
        <v>33</v>
      </c>
      <c r="B133" s="14">
        <v>415</v>
      </c>
      <c r="C133" s="14">
        <v>1</v>
      </c>
      <c r="D133" s="14" t="s">
        <v>210</v>
      </c>
      <c r="E133" s="15">
        <v>42</v>
      </c>
      <c r="F133" s="15" t="s">
        <v>65</v>
      </c>
      <c r="G133" s="16">
        <v>65</v>
      </c>
      <c r="H133" s="16">
        <v>56</v>
      </c>
      <c r="I133" s="16">
        <v>1482322</v>
      </c>
      <c r="J133" s="16">
        <v>18000</v>
      </c>
      <c r="K133" s="16">
        <v>18000</v>
      </c>
      <c r="L133" s="17">
        <v>4965.99</v>
      </c>
      <c r="M133" s="17">
        <v>4965.99</v>
      </c>
      <c r="N133" s="17">
        <v>4965.99</v>
      </c>
      <c r="O133" s="18">
        <v>1</v>
      </c>
      <c r="P133" s="17">
        <v>13034.01</v>
      </c>
      <c r="Q133" s="17">
        <v>13034.01</v>
      </c>
      <c r="R133" s="17">
        <v>13034.01</v>
      </c>
      <c r="S133" s="17">
        <v>1</v>
      </c>
      <c r="T133" s="17">
        <v>13034.01</v>
      </c>
      <c r="U133" s="17">
        <v>89.6</v>
      </c>
      <c r="V133" s="16">
        <v>18000</v>
      </c>
      <c r="W133" s="17">
        <v>104</v>
      </c>
      <c r="X133" s="17">
        <v>18104</v>
      </c>
      <c r="Y133" s="17">
        <v>4526</v>
      </c>
      <c r="Z133" s="17">
        <v>1119.08</v>
      </c>
      <c r="AA133" s="17">
        <v>0</v>
      </c>
      <c r="AB133" s="17">
        <v>746.36</v>
      </c>
      <c r="AC133" s="17">
        <v>0</v>
      </c>
      <c r="AD133" s="17">
        <v>0</v>
      </c>
      <c r="AE133" s="17">
        <v>515</v>
      </c>
      <c r="AF133" s="17">
        <v>793.48</v>
      </c>
      <c r="AG133" s="17">
        <v>0</v>
      </c>
      <c r="AH133" s="17">
        <v>0</v>
      </c>
      <c r="AI133" s="17">
        <v>0</v>
      </c>
      <c r="AJ133" s="17">
        <v>4965.99</v>
      </c>
      <c r="AK133" s="17">
        <v>13034.01</v>
      </c>
    </row>
    <row r="134" spans="1:37" x14ac:dyDescent="0.2">
      <c r="A134" s="14" t="s">
        <v>33</v>
      </c>
      <c r="B134" s="14">
        <v>423</v>
      </c>
      <c r="C134" s="14">
        <v>1</v>
      </c>
      <c r="D134" s="14" t="s">
        <v>211</v>
      </c>
      <c r="E134" s="15">
        <v>43</v>
      </c>
      <c r="F134" s="15" t="s">
        <v>68</v>
      </c>
      <c r="G134" s="16">
        <v>1311</v>
      </c>
      <c r="H134" s="16">
        <v>1394</v>
      </c>
      <c r="I134" s="16">
        <v>18060222</v>
      </c>
      <c r="J134" s="16">
        <v>157320</v>
      </c>
      <c r="K134" s="16">
        <v>167280</v>
      </c>
      <c r="L134" s="17">
        <v>60504.27</v>
      </c>
      <c r="M134" s="17">
        <v>60504.27</v>
      </c>
      <c r="N134" s="17">
        <v>60504.27</v>
      </c>
      <c r="O134" s="18">
        <v>1</v>
      </c>
      <c r="P134" s="17">
        <v>96815.73</v>
      </c>
      <c r="Q134" s="17">
        <v>106775.73</v>
      </c>
      <c r="R134" s="17">
        <v>106775.73</v>
      </c>
      <c r="S134" s="17">
        <v>1</v>
      </c>
      <c r="T134" s="17">
        <v>106775.73</v>
      </c>
      <c r="U134" s="17">
        <v>2230.4</v>
      </c>
      <c r="V134" s="16">
        <v>157320</v>
      </c>
      <c r="W134" s="17">
        <v>21746.98</v>
      </c>
      <c r="X134" s="17">
        <v>179066.98</v>
      </c>
      <c r="Y134" s="17">
        <v>44766.75</v>
      </c>
      <c r="Z134" s="17">
        <v>29042.13</v>
      </c>
      <c r="AA134" s="17">
        <v>0</v>
      </c>
      <c r="AB134" s="17">
        <v>29653.95</v>
      </c>
      <c r="AC134" s="17">
        <v>0</v>
      </c>
      <c r="AD134" s="17">
        <v>0</v>
      </c>
      <c r="AE134" s="17">
        <v>33994.269999999997</v>
      </c>
      <c r="AF134" s="17">
        <v>30896.78</v>
      </c>
      <c r="AG134" s="17">
        <v>0</v>
      </c>
      <c r="AH134" s="17">
        <v>0</v>
      </c>
      <c r="AI134" s="17">
        <v>0</v>
      </c>
      <c r="AJ134" s="17">
        <v>60504.27</v>
      </c>
      <c r="AK134" s="17">
        <v>106775.73</v>
      </c>
    </row>
    <row r="135" spans="1:37" x14ac:dyDescent="0.2">
      <c r="A135" s="14" t="s">
        <v>33</v>
      </c>
      <c r="B135" s="14">
        <v>424</v>
      </c>
      <c r="C135" s="14">
        <v>1</v>
      </c>
      <c r="D135" s="14" t="s">
        <v>212</v>
      </c>
      <c r="E135" s="15">
        <v>43</v>
      </c>
      <c r="F135" s="15" t="s">
        <v>68</v>
      </c>
      <c r="G135" s="16">
        <v>183</v>
      </c>
      <c r="H135" s="16">
        <v>182</v>
      </c>
      <c r="I135" s="16">
        <v>3134838</v>
      </c>
      <c r="J135" s="16">
        <v>21960</v>
      </c>
      <c r="K135" s="16">
        <v>21840</v>
      </c>
      <c r="L135" s="17">
        <v>10502.15</v>
      </c>
      <c r="M135" s="17">
        <v>10502.15</v>
      </c>
      <c r="N135" s="17">
        <v>10502.15</v>
      </c>
      <c r="O135" s="18">
        <v>1</v>
      </c>
      <c r="P135" s="17">
        <v>11457.85</v>
      </c>
      <c r="Q135" s="17">
        <v>11337.85</v>
      </c>
      <c r="R135" s="17">
        <v>11337.85</v>
      </c>
      <c r="S135" s="17">
        <v>1</v>
      </c>
      <c r="T135" s="17">
        <v>11337.85</v>
      </c>
      <c r="U135" s="17">
        <v>291.2</v>
      </c>
      <c r="V135" s="16">
        <v>21960</v>
      </c>
      <c r="W135" s="17">
        <v>479.83</v>
      </c>
      <c r="X135" s="17">
        <v>22439.83</v>
      </c>
      <c r="Y135" s="17">
        <v>5609.96</v>
      </c>
      <c r="Z135" s="17">
        <v>37597.29</v>
      </c>
      <c r="AA135" s="17">
        <v>19451.02</v>
      </c>
      <c r="AB135" s="17">
        <v>27132.02</v>
      </c>
      <c r="AC135" s="17">
        <v>14464.83</v>
      </c>
      <c r="AD135" s="17">
        <v>0</v>
      </c>
      <c r="AE135" s="17">
        <v>7626.39</v>
      </c>
      <c r="AF135" s="17">
        <v>12813.28</v>
      </c>
      <c r="AG135" s="17">
        <v>7203.32</v>
      </c>
      <c r="AH135" s="17">
        <v>3463.84</v>
      </c>
      <c r="AI135" s="17">
        <v>3739.48</v>
      </c>
      <c r="AJ135" s="17">
        <v>7038.31</v>
      </c>
      <c r="AK135" s="17">
        <v>7598.37</v>
      </c>
    </row>
    <row r="136" spans="1:37" x14ac:dyDescent="0.2">
      <c r="A136" s="14" t="s">
        <v>33</v>
      </c>
      <c r="B136" s="14">
        <v>432</v>
      </c>
      <c r="C136" s="14">
        <v>1</v>
      </c>
      <c r="D136" s="14" t="s">
        <v>213</v>
      </c>
      <c r="E136" s="15">
        <v>44</v>
      </c>
      <c r="F136" s="15" t="s">
        <v>62</v>
      </c>
      <c r="G136" s="16">
        <v>309</v>
      </c>
      <c r="H136" s="16">
        <v>308</v>
      </c>
      <c r="I136" s="16">
        <v>2156256</v>
      </c>
      <c r="J136" s="16">
        <v>37080</v>
      </c>
      <c r="K136" s="16">
        <v>36960</v>
      </c>
      <c r="L136" s="17">
        <v>7223.76</v>
      </c>
      <c r="M136" s="17">
        <v>7223.76</v>
      </c>
      <c r="N136" s="17">
        <v>7223.76</v>
      </c>
      <c r="O136" s="18">
        <v>1</v>
      </c>
      <c r="P136" s="17">
        <v>29856.240000000002</v>
      </c>
      <c r="Q136" s="17">
        <v>29736.240000000002</v>
      </c>
      <c r="R136" s="17">
        <v>29736.240000000002</v>
      </c>
      <c r="S136" s="17">
        <v>1</v>
      </c>
      <c r="T136" s="17">
        <v>29736.240000000002</v>
      </c>
      <c r="U136" s="17">
        <v>492.8</v>
      </c>
      <c r="V136" s="16">
        <v>37080</v>
      </c>
      <c r="W136" s="17">
        <v>494.4</v>
      </c>
      <c r="X136" s="17">
        <v>37574.400000000001</v>
      </c>
      <c r="Y136" s="17">
        <v>9393.6</v>
      </c>
      <c r="Z136" s="17">
        <v>8107.49</v>
      </c>
      <c r="AA136" s="17">
        <v>0</v>
      </c>
      <c r="AB136" s="17">
        <v>9213.56</v>
      </c>
      <c r="AC136" s="17">
        <v>0</v>
      </c>
      <c r="AD136" s="17">
        <v>0</v>
      </c>
      <c r="AE136" s="17">
        <v>5258.73</v>
      </c>
      <c r="AF136" s="17">
        <v>7526.59</v>
      </c>
      <c r="AG136" s="17">
        <v>0</v>
      </c>
      <c r="AH136" s="17">
        <v>0</v>
      </c>
      <c r="AI136" s="17">
        <v>0</v>
      </c>
      <c r="AJ136" s="17">
        <v>7223.76</v>
      </c>
      <c r="AK136" s="17">
        <v>29736.240000000002</v>
      </c>
    </row>
    <row r="137" spans="1:37" x14ac:dyDescent="0.2">
      <c r="A137" s="14" t="s">
        <v>33</v>
      </c>
      <c r="B137" s="14">
        <v>435</v>
      </c>
      <c r="C137" s="14">
        <v>1</v>
      </c>
      <c r="D137" s="14" t="s">
        <v>214</v>
      </c>
      <c r="E137" s="15">
        <v>44</v>
      </c>
      <c r="F137" s="15" t="s">
        <v>62</v>
      </c>
      <c r="G137" s="16">
        <v>169</v>
      </c>
      <c r="H137" s="16">
        <v>180</v>
      </c>
      <c r="I137" s="16">
        <v>4243016</v>
      </c>
      <c r="J137" s="16">
        <v>20280</v>
      </c>
      <c r="K137" s="16">
        <v>21600</v>
      </c>
      <c r="L137" s="17">
        <v>14214.7</v>
      </c>
      <c r="M137" s="17">
        <v>14214.7</v>
      </c>
      <c r="N137" s="17">
        <v>14214.7</v>
      </c>
      <c r="O137" s="18">
        <v>1</v>
      </c>
      <c r="P137" s="17">
        <v>6065.3</v>
      </c>
      <c r="Q137" s="17">
        <v>7385.3</v>
      </c>
      <c r="R137" s="17">
        <v>7385.3</v>
      </c>
      <c r="S137" s="17">
        <v>1</v>
      </c>
      <c r="T137" s="17">
        <v>7385.3</v>
      </c>
      <c r="U137" s="17">
        <v>288</v>
      </c>
      <c r="V137" s="16">
        <v>20280</v>
      </c>
      <c r="W137" s="17">
        <v>8594.4</v>
      </c>
      <c r="X137" s="17">
        <v>28874.400000000001</v>
      </c>
      <c r="Y137" s="17">
        <v>7218.6</v>
      </c>
      <c r="Z137" s="17">
        <v>-109707.5</v>
      </c>
      <c r="AA137" s="17">
        <v>0</v>
      </c>
      <c r="AB137" s="17">
        <v>-149206.9</v>
      </c>
      <c r="AC137" s="17">
        <v>0</v>
      </c>
      <c r="AD137" s="17">
        <v>0</v>
      </c>
      <c r="AE137" s="17">
        <v>-130175.52</v>
      </c>
      <c r="AF137" s="17">
        <v>-129696.64</v>
      </c>
      <c r="AG137" s="17">
        <v>0</v>
      </c>
      <c r="AH137" s="17">
        <v>0</v>
      </c>
      <c r="AI137" s="17">
        <v>0</v>
      </c>
      <c r="AJ137" s="17">
        <v>14214.7</v>
      </c>
      <c r="AK137" s="17">
        <v>7385.3</v>
      </c>
    </row>
    <row r="138" spans="1:37" x14ac:dyDescent="0.2">
      <c r="A138" s="14" t="s">
        <v>33</v>
      </c>
      <c r="B138" s="14">
        <v>441</v>
      </c>
      <c r="C138" s="14">
        <v>1</v>
      </c>
      <c r="D138" s="14" t="s">
        <v>84</v>
      </c>
      <c r="E138" s="15">
        <v>45</v>
      </c>
      <c r="F138" s="15" t="s">
        <v>59</v>
      </c>
      <c r="G138" s="16">
        <v>99</v>
      </c>
      <c r="H138" s="16">
        <v>101</v>
      </c>
      <c r="I138" s="16">
        <v>2375320</v>
      </c>
      <c r="J138" s="16">
        <v>18000</v>
      </c>
      <c r="K138" s="16">
        <v>18000</v>
      </c>
      <c r="L138" s="17">
        <v>7957.65</v>
      </c>
      <c r="M138" s="17">
        <v>7957.65</v>
      </c>
      <c r="N138" s="17">
        <v>7957.65</v>
      </c>
      <c r="O138" s="18">
        <v>1</v>
      </c>
      <c r="P138" s="17">
        <v>10042.35</v>
      </c>
      <c r="Q138" s="17">
        <v>10042.35</v>
      </c>
      <c r="R138" s="17">
        <v>10042.35</v>
      </c>
      <c r="S138" s="17">
        <v>1</v>
      </c>
      <c r="T138" s="17">
        <v>10042.35</v>
      </c>
      <c r="U138" s="17">
        <v>161.6</v>
      </c>
      <c r="V138" s="16">
        <v>18000</v>
      </c>
      <c r="W138" s="17">
        <v>158.4</v>
      </c>
      <c r="X138" s="17">
        <v>18158.400000000001</v>
      </c>
      <c r="Y138" s="17">
        <v>4539.6000000000004</v>
      </c>
      <c r="Z138" s="17">
        <v>0</v>
      </c>
      <c r="AA138" s="17">
        <v>0</v>
      </c>
      <c r="AB138" s="17">
        <v>-1.37</v>
      </c>
      <c r="AC138" s="17">
        <v>0</v>
      </c>
      <c r="AD138" s="17">
        <v>0</v>
      </c>
      <c r="AE138" s="17">
        <v>-0.18</v>
      </c>
      <c r="AF138" s="17">
        <v>-0.52</v>
      </c>
      <c r="AG138" s="17">
        <v>0</v>
      </c>
      <c r="AH138" s="17">
        <v>0</v>
      </c>
      <c r="AI138" s="17">
        <v>0</v>
      </c>
      <c r="AJ138" s="17">
        <v>7957.65</v>
      </c>
      <c r="AK138" s="17">
        <v>10042.35</v>
      </c>
    </row>
    <row r="139" spans="1:37" x14ac:dyDescent="0.2">
      <c r="A139" s="14" t="s">
        <v>33</v>
      </c>
      <c r="B139" s="14">
        <v>447</v>
      </c>
      <c r="C139" s="14">
        <v>1</v>
      </c>
      <c r="D139" s="14" t="s">
        <v>215</v>
      </c>
      <c r="E139" s="15">
        <v>45</v>
      </c>
      <c r="F139" s="15" t="s">
        <v>59</v>
      </c>
      <c r="G139" s="16">
        <v>36</v>
      </c>
      <c r="H139" s="16">
        <v>35</v>
      </c>
      <c r="I139" s="16">
        <v>1117611</v>
      </c>
      <c r="J139" s="16">
        <v>18000</v>
      </c>
      <c r="K139" s="16">
        <v>18000</v>
      </c>
      <c r="L139" s="17">
        <v>3744.15</v>
      </c>
      <c r="M139" s="17">
        <v>3744.15</v>
      </c>
      <c r="N139" s="17">
        <v>3744.15</v>
      </c>
      <c r="O139" s="18">
        <v>1</v>
      </c>
      <c r="P139" s="17">
        <v>14255.85</v>
      </c>
      <c r="Q139" s="17">
        <v>14255.85</v>
      </c>
      <c r="R139" s="17">
        <v>14255.85</v>
      </c>
      <c r="S139" s="17">
        <v>1</v>
      </c>
      <c r="T139" s="17">
        <v>14255.85</v>
      </c>
      <c r="U139" s="17">
        <v>0</v>
      </c>
      <c r="V139" s="16">
        <v>18000</v>
      </c>
      <c r="W139" s="17">
        <v>687</v>
      </c>
      <c r="X139" s="17">
        <v>18687</v>
      </c>
      <c r="Y139" s="17">
        <v>4671.75</v>
      </c>
      <c r="Z139" s="17">
        <v>0</v>
      </c>
      <c r="AA139" s="17">
        <v>0</v>
      </c>
      <c r="AB139" s="17">
        <v>1397.74</v>
      </c>
      <c r="AC139" s="17">
        <v>0</v>
      </c>
      <c r="AD139" s="17">
        <v>0</v>
      </c>
      <c r="AE139" s="17">
        <v>383.16</v>
      </c>
      <c r="AF139" s="17">
        <v>593.63</v>
      </c>
      <c r="AG139" s="17">
        <v>0</v>
      </c>
      <c r="AH139" s="17">
        <v>0</v>
      </c>
      <c r="AI139" s="17">
        <v>0</v>
      </c>
      <c r="AJ139" s="17">
        <v>3744.15</v>
      </c>
      <c r="AK139" s="17">
        <v>14255.85</v>
      </c>
    </row>
    <row r="140" spans="1:37" x14ac:dyDescent="0.2">
      <c r="A140" s="14" t="s">
        <v>33</v>
      </c>
      <c r="B140" s="14">
        <v>458</v>
      </c>
      <c r="C140" s="14">
        <v>1</v>
      </c>
      <c r="D140" s="14" t="s">
        <v>216</v>
      </c>
      <c r="E140" s="15">
        <v>46</v>
      </c>
      <c r="F140" s="15" t="s">
        <v>57</v>
      </c>
      <c r="G140" s="16">
        <v>220</v>
      </c>
      <c r="H140" s="16">
        <v>210</v>
      </c>
      <c r="I140" s="16">
        <v>3588495</v>
      </c>
      <c r="J140" s="16">
        <v>26400</v>
      </c>
      <c r="K140" s="16">
        <v>25200</v>
      </c>
      <c r="L140" s="17">
        <v>12021.96</v>
      </c>
      <c r="M140" s="17">
        <v>12021.96</v>
      </c>
      <c r="N140" s="17">
        <v>12021.96</v>
      </c>
      <c r="O140" s="18">
        <v>1</v>
      </c>
      <c r="P140" s="17">
        <v>14378.04</v>
      </c>
      <c r="Q140" s="17">
        <v>13178.04</v>
      </c>
      <c r="R140" s="17">
        <v>13178.04</v>
      </c>
      <c r="S140" s="17">
        <v>1</v>
      </c>
      <c r="T140" s="17">
        <v>13178.04</v>
      </c>
      <c r="U140" s="17">
        <v>336</v>
      </c>
      <c r="V140" s="16">
        <v>26400</v>
      </c>
      <c r="W140" s="17">
        <v>661</v>
      </c>
      <c r="X140" s="17">
        <v>27061</v>
      </c>
      <c r="Y140" s="17">
        <v>6765.25</v>
      </c>
      <c r="Z140" s="17">
        <v>448.7</v>
      </c>
      <c r="AA140" s="17">
        <v>0</v>
      </c>
      <c r="AB140" s="17">
        <v>1936.29</v>
      </c>
      <c r="AC140" s="17">
        <v>0</v>
      </c>
      <c r="AD140" s="17">
        <v>0</v>
      </c>
      <c r="AE140" s="17">
        <v>1880.98</v>
      </c>
      <c r="AF140" s="17">
        <v>1421.99</v>
      </c>
      <c r="AG140" s="17">
        <v>0</v>
      </c>
      <c r="AH140" s="17">
        <v>0</v>
      </c>
      <c r="AI140" s="17">
        <v>0</v>
      </c>
      <c r="AJ140" s="17">
        <v>12021.96</v>
      </c>
      <c r="AK140" s="17">
        <v>13178.04</v>
      </c>
    </row>
    <row r="141" spans="1:37" x14ac:dyDescent="0.2">
      <c r="A141" s="14" t="s">
        <v>33</v>
      </c>
      <c r="B141" s="14">
        <v>463</v>
      </c>
      <c r="C141" s="14">
        <v>1</v>
      </c>
      <c r="D141" s="14" t="s">
        <v>217</v>
      </c>
      <c r="E141" s="15">
        <v>47</v>
      </c>
      <c r="F141" s="15" t="s">
        <v>68</v>
      </c>
      <c r="G141" s="16">
        <v>330</v>
      </c>
      <c r="H141" s="16">
        <v>358</v>
      </c>
      <c r="I141" s="16">
        <v>5552870</v>
      </c>
      <c r="J141" s="16">
        <v>39600</v>
      </c>
      <c r="K141" s="16">
        <v>42960</v>
      </c>
      <c r="L141" s="17">
        <v>18602.89</v>
      </c>
      <c r="M141" s="17">
        <v>18602.89</v>
      </c>
      <c r="N141" s="17">
        <v>18602.89</v>
      </c>
      <c r="O141" s="18">
        <v>1</v>
      </c>
      <c r="P141" s="17">
        <v>20997.11</v>
      </c>
      <c r="Q141" s="17">
        <v>24357.11</v>
      </c>
      <c r="R141" s="17">
        <v>24357.11</v>
      </c>
      <c r="S141" s="17">
        <v>1</v>
      </c>
      <c r="T141" s="17">
        <v>24357.11</v>
      </c>
      <c r="U141" s="17">
        <v>572.79999999999995</v>
      </c>
      <c r="V141" s="16">
        <v>39600</v>
      </c>
      <c r="W141" s="17">
        <v>528</v>
      </c>
      <c r="X141" s="17">
        <v>40128</v>
      </c>
      <c r="Y141" s="17">
        <v>10032</v>
      </c>
      <c r="Z141" s="17">
        <v>8160.16</v>
      </c>
      <c r="AA141" s="17">
        <v>0</v>
      </c>
      <c r="AB141" s="17">
        <v>9951.23</v>
      </c>
      <c r="AC141" s="17">
        <v>0</v>
      </c>
      <c r="AD141" s="17">
        <v>0</v>
      </c>
      <c r="AE141" s="17">
        <v>13135.13</v>
      </c>
      <c r="AF141" s="17">
        <v>10415.51</v>
      </c>
      <c r="AG141" s="17">
        <v>383.51</v>
      </c>
      <c r="AH141" s="17">
        <v>166.07</v>
      </c>
      <c r="AI141" s="17">
        <v>217.44</v>
      </c>
      <c r="AJ141" s="17">
        <v>18436.82</v>
      </c>
      <c r="AK141" s="17">
        <v>24139.67</v>
      </c>
    </row>
    <row r="142" spans="1:37" x14ac:dyDescent="0.2">
      <c r="A142" s="14" t="s">
        <v>33</v>
      </c>
      <c r="B142" s="14">
        <v>465</v>
      </c>
      <c r="C142" s="14">
        <v>1</v>
      </c>
      <c r="D142" s="14" t="s">
        <v>218</v>
      </c>
      <c r="E142" s="15">
        <v>47</v>
      </c>
      <c r="F142" s="15" t="s">
        <v>68</v>
      </c>
      <c r="G142" s="16">
        <v>825</v>
      </c>
      <c r="H142" s="16">
        <v>800</v>
      </c>
      <c r="I142" s="16">
        <v>12166185</v>
      </c>
      <c r="J142" s="16">
        <v>99000</v>
      </c>
      <c r="K142" s="16">
        <v>96000</v>
      </c>
      <c r="L142" s="17">
        <v>40758.42</v>
      </c>
      <c r="M142" s="17">
        <v>40758.42</v>
      </c>
      <c r="N142" s="17">
        <v>40758.42</v>
      </c>
      <c r="O142" s="18">
        <v>1</v>
      </c>
      <c r="P142" s="17">
        <v>58241.58</v>
      </c>
      <c r="Q142" s="17">
        <v>55241.58</v>
      </c>
      <c r="R142" s="17">
        <v>55241.58</v>
      </c>
      <c r="S142" s="17">
        <v>1</v>
      </c>
      <c r="T142" s="17">
        <v>55241.58</v>
      </c>
      <c r="U142" s="17">
        <v>1280</v>
      </c>
      <c r="V142" s="16">
        <v>99000</v>
      </c>
      <c r="W142" s="17">
        <v>10955.56</v>
      </c>
      <c r="X142" s="17">
        <v>109955.56</v>
      </c>
      <c r="Y142" s="17">
        <v>27488.89</v>
      </c>
      <c r="Z142" s="17">
        <v>1672.63</v>
      </c>
      <c r="AA142" s="17">
        <v>0</v>
      </c>
      <c r="AB142" s="17">
        <v>3122.01</v>
      </c>
      <c r="AC142" s="17">
        <v>0</v>
      </c>
      <c r="AD142" s="17">
        <v>0</v>
      </c>
      <c r="AE142" s="17">
        <v>-3547.52</v>
      </c>
      <c r="AF142" s="17">
        <v>415.71</v>
      </c>
      <c r="AG142" s="17">
        <v>0</v>
      </c>
      <c r="AH142" s="17">
        <v>0</v>
      </c>
      <c r="AI142" s="17">
        <v>0</v>
      </c>
      <c r="AJ142" s="17">
        <v>40758.42</v>
      </c>
      <c r="AK142" s="17">
        <v>55241.58</v>
      </c>
    </row>
    <row r="143" spans="1:37" x14ac:dyDescent="0.2">
      <c r="A143" s="14" t="s">
        <v>33</v>
      </c>
      <c r="B143" s="14">
        <v>466</v>
      </c>
      <c r="C143" s="14">
        <v>1</v>
      </c>
      <c r="D143" s="14" t="s">
        <v>219</v>
      </c>
      <c r="E143" s="15">
        <v>86</v>
      </c>
      <c r="F143" s="15" t="s">
        <v>63</v>
      </c>
      <c r="G143" s="16">
        <v>905</v>
      </c>
      <c r="H143" s="16">
        <v>884</v>
      </c>
      <c r="I143" s="16">
        <v>11771395</v>
      </c>
      <c r="J143" s="16">
        <v>108600</v>
      </c>
      <c r="K143" s="16">
        <v>106080</v>
      </c>
      <c r="L143" s="17">
        <v>39435.82</v>
      </c>
      <c r="M143" s="17">
        <v>39435.82</v>
      </c>
      <c r="N143" s="17">
        <v>39435.82</v>
      </c>
      <c r="O143" s="18">
        <v>1</v>
      </c>
      <c r="P143" s="17">
        <v>69164.179999999993</v>
      </c>
      <c r="Q143" s="17">
        <v>66644.179999999993</v>
      </c>
      <c r="R143" s="17">
        <v>66644.179999999993</v>
      </c>
      <c r="S143" s="17">
        <v>1</v>
      </c>
      <c r="T143" s="17">
        <v>66644.179999999993</v>
      </c>
      <c r="U143" s="17">
        <v>1414.4</v>
      </c>
      <c r="V143" s="16">
        <v>108600</v>
      </c>
      <c r="W143" s="17">
        <v>29770.02</v>
      </c>
      <c r="X143" s="17">
        <v>138370.01999999999</v>
      </c>
      <c r="Y143" s="17">
        <v>34592.51</v>
      </c>
      <c r="Z143" s="17">
        <v>10082.19</v>
      </c>
      <c r="AA143" s="17">
        <v>0</v>
      </c>
      <c r="AB143" s="17">
        <v>11079.54</v>
      </c>
      <c r="AC143" s="17">
        <v>0</v>
      </c>
      <c r="AD143" s="17">
        <v>0</v>
      </c>
      <c r="AE143" s="17">
        <v>22434.77</v>
      </c>
      <c r="AF143" s="17">
        <v>14532.17</v>
      </c>
      <c r="AG143" s="17">
        <v>0</v>
      </c>
      <c r="AH143" s="17">
        <v>0</v>
      </c>
      <c r="AI143" s="17">
        <v>0</v>
      </c>
      <c r="AJ143" s="17">
        <v>39435.82</v>
      </c>
      <c r="AK143" s="17">
        <v>66644.179999999993</v>
      </c>
    </row>
    <row r="144" spans="1:37" x14ac:dyDescent="0.2">
      <c r="A144" s="14" t="s">
        <v>33</v>
      </c>
      <c r="B144" s="14">
        <v>473</v>
      </c>
      <c r="C144" s="14">
        <v>1</v>
      </c>
      <c r="D144" s="14" t="s">
        <v>220</v>
      </c>
      <c r="E144" s="15">
        <v>48</v>
      </c>
      <c r="F144" s="15" t="s">
        <v>67</v>
      </c>
      <c r="G144" s="16">
        <v>119</v>
      </c>
      <c r="H144" s="16">
        <v>153</v>
      </c>
      <c r="I144" s="16">
        <v>7240913</v>
      </c>
      <c r="J144" s="16">
        <v>18000</v>
      </c>
      <c r="K144" s="16">
        <v>18360</v>
      </c>
      <c r="L144" s="17">
        <v>18000</v>
      </c>
      <c r="M144" s="17">
        <v>18360</v>
      </c>
      <c r="N144" s="17">
        <v>18000</v>
      </c>
      <c r="O144" s="18">
        <v>1</v>
      </c>
      <c r="P144" s="17">
        <v>0</v>
      </c>
      <c r="Q144" s="17">
        <v>0</v>
      </c>
      <c r="R144" s="17">
        <v>0</v>
      </c>
      <c r="S144" s="17">
        <v>1</v>
      </c>
      <c r="T144" s="17">
        <v>0</v>
      </c>
      <c r="U144" s="17">
        <v>244.8</v>
      </c>
      <c r="V144" s="16">
        <v>18000</v>
      </c>
      <c r="W144" s="17">
        <v>1477.14</v>
      </c>
      <c r="X144" s="17">
        <v>19477.14</v>
      </c>
      <c r="Y144" s="17">
        <v>4869.29</v>
      </c>
      <c r="Z144" s="17">
        <v>5265.05</v>
      </c>
      <c r="AA144" s="17">
        <v>0</v>
      </c>
      <c r="AB144" s="17">
        <v>12384.67</v>
      </c>
      <c r="AC144" s="17">
        <v>0</v>
      </c>
      <c r="AD144" s="17">
        <v>0</v>
      </c>
      <c r="AE144" s="17">
        <v>18671.54</v>
      </c>
      <c r="AF144" s="17">
        <v>12107.09</v>
      </c>
      <c r="AG144" s="17">
        <v>7237.8</v>
      </c>
      <c r="AH144" s="17">
        <v>7237.8</v>
      </c>
      <c r="AI144" s="17">
        <v>0</v>
      </c>
      <c r="AJ144" s="17">
        <v>11122.2</v>
      </c>
      <c r="AK144" s="17">
        <v>0</v>
      </c>
    </row>
    <row r="145" spans="1:37" x14ac:dyDescent="0.2">
      <c r="A145" s="14" t="s">
        <v>33</v>
      </c>
      <c r="B145" s="14">
        <v>477</v>
      </c>
      <c r="C145" s="14">
        <v>1</v>
      </c>
      <c r="D145" s="14" t="s">
        <v>221</v>
      </c>
      <c r="E145" s="15">
        <v>48</v>
      </c>
      <c r="F145" s="15" t="s">
        <v>67</v>
      </c>
      <c r="G145" s="16">
        <v>1551</v>
      </c>
      <c r="H145" s="16">
        <v>1579</v>
      </c>
      <c r="I145" s="16">
        <v>21526861</v>
      </c>
      <c r="J145" s="16">
        <v>186120</v>
      </c>
      <c r="K145" s="16">
        <v>189480</v>
      </c>
      <c r="L145" s="17">
        <v>72118</v>
      </c>
      <c r="M145" s="17">
        <v>72118</v>
      </c>
      <c r="N145" s="17">
        <v>72118</v>
      </c>
      <c r="O145" s="18">
        <v>1</v>
      </c>
      <c r="P145" s="17">
        <v>114002</v>
      </c>
      <c r="Q145" s="17">
        <v>117362</v>
      </c>
      <c r="R145" s="17">
        <v>117362</v>
      </c>
      <c r="S145" s="17">
        <v>1</v>
      </c>
      <c r="T145" s="17">
        <v>117362</v>
      </c>
      <c r="U145" s="17">
        <v>2526.4</v>
      </c>
      <c r="V145" s="16">
        <v>186120</v>
      </c>
      <c r="W145" s="17">
        <v>17760.439999999999</v>
      </c>
      <c r="X145" s="17">
        <v>203880.44</v>
      </c>
      <c r="Y145" s="17">
        <v>50970.11</v>
      </c>
      <c r="Z145" s="17">
        <v>-13866.27</v>
      </c>
      <c r="AA145" s="17">
        <v>0</v>
      </c>
      <c r="AB145" s="17">
        <v>38232.47</v>
      </c>
      <c r="AC145" s="17">
        <v>0</v>
      </c>
      <c r="AD145" s="17">
        <v>0</v>
      </c>
      <c r="AE145" s="17">
        <v>51309.13</v>
      </c>
      <c r="AF145" s="17">
        <v>25225.11</v>
      </c>
      <c r="AG145" s="17">
        <v>0</v>
      </c>
      <c r="AH145" s="17">
        <v>0</v>
      </c>
      <c r="AI145" s="17">
        <v>0</v>
      </c>
      <c r="AJ145" s="17">
        <v>72118</v>
      </c>
      <c r="AK145" s="17">
        <v>117362</v>
      </c>
    </row>
    <row r="146" spans="1:37" x14ac:dyDescent="0.2">
      <c r="A146" s="14" t="s">
        <v>33</v>
      </c>
      <c r="B146" s="14">
        <v>480</v>
      </c>
      <c r="C146" s="14">
        <v>1</v>
      </c>
      <c r="D146" s="14" t="s">
        <v>222</v>
      </c>
      <c r="E146" s="15">
        <v>48</v>
      </c>
      <c r="F146" s="15" t="s">
        <v>67</v>
      </c>
      <c r="G146" s="16">
        <v>375</v>
      </c>
      <c r="H146" s="16">
        <v>380</v>
      </c>
      <c r="I146" s="16">
        <v>9612804</v>
      </c>
      <c r="J146" s="16">
        <v>45000</v>
      </c>
      <c r="K146" s="16">
        <v>45600</v>
      </c>
      <c r="L146" s="17">
        <v>32204.240000000002</v>
      </c>
      <c r="M146" s="17">
        <v>32204.240000000002</v>
      </c>
      <c r="N146" s="17">
        <v>32204.240000000002</v>
      </c>
      <c r="O146" s="18">
        <v>1</v>
      </c>
      <c r="P146" s="17">
        <v>12795.76</v>
      </c>
      <c r="Q146" s="17">
        <v>13395.76</v>
      </c>
      <c r="R146" s="17">
        <v>13395.76</v>
      </c>
      <c r="S146" s="17">
        <v>1</v>
      </c>
      <c r="T146" s="17">
        <v>13395.76</v>
      </c>
      <c r="U146" s="17">
        <v>608</v>
      </c>
      <c r="V146" s="16">
        <v>45000</v>
      </c>
      <c r="W146" s="17">
        <v>7057.11</v>
      </c>
      <c r="X146" s="17">
        <v>52057.11</v>
      </c>
      <c r="Y146" s="17">
        <v>13014.28</v>
      </c>
      <c r="Z146" s="17">
        <v>-5592.45</v>
      </c>
      <c r="AA146" s="17">
        <v>0</v>
      </c>
      <c r="AB146" s="17">
        <v>-11743.72</v>
      </c>
      <c r="AC146" s="17">
        <v>0</v>
      </c>
      <c r="AD146" s="17">
        <v>0</v>
      </c>
      <c r="AE146" s="17">
        <v>-21088.2</v>
      </c>
      <c r="AF146" s="17">
        <v>-12808.12</v>
      </c>
      <c r="AG146" s="17">
        <v>0</v>
      </c>
      <c r="AH146" s="17">
        <v>0</v>
      </c>
      <c r="AI146" s="17">
        <v>0</v>
      </c>
      <c r="AJ146" s="17">
        <v>32204.240000000002</v>
      </c>
      <c r="AK146" s="17">
        <v>13395.76</v>
      </c>
    </row>
    <row r="147" spans="1:37" x14ac:dyDescent="0.2">
      <c r="A147" s="14" t="s">
        <v>33</v>
      </c>
      <c r="B147" s="14">
        <v>482</v>
      </c>
      <c r="C147" s="14">
        <v>1</v>
      </c>
      <c r="D147" s="14" t="s">
        <v>223</v>
      </c>
      <c r="E147" s="15">
        <v>49</v>
      </c>
      <c r="F147" s="15" t="s">
        <v>66</v>
      </c>
      <c r="G147" s="16">
        <v>1140</v>
      </c>
      <c r="H147" s="16">
        <v>1110</v>
      </c>
      <c r="I147" s="16">
        <v>14858161</v>
      </c>
      <c r="J147" s="16">
        <v>136800</v>
      </c>
      <c r="K147" s="16">
        <v>133200</v>
      </c>
      <c r="L147" s="17">
        <v>49776.92</v>
      </c>
      <c r="M147" s="17">
        <v>49776.92</v>
      </c>
      <c r="N147" s="17">
        <v>49776.92</v>
      </c>
      <c r="O147" s="18">
        <v>1</v>
      </c>
      <c r="P147" s="17">
        <v>87023.08</v>
      </c>
      <c r="Q147" s="17">
        <v>83423.08</v>
      </c>
      <c r="R147" s="17">
        <v>83423.08</v>
      </c>
      <c r="S147" s="17">
        <v>1</v>
      </c>
      <c r="T147" s="17">
        <v>83423.08</v>
      </c>
      <c r="U147" s="17">
        <v>1776</v>
      </c>
      <c r="V147" s="16">
        <v>136800</v>
      </c>
      <c r="W147" s="17">
        <v>9072</v>
      </c>
      <c r="X147" s="17">
        <v>145872</v>
      </c>
      <c r="Y147" s="17">
        <v>36468</v>
      </c>
      <c r="Z147" s="17">
        <v>32999.74</v>
      </c>
      <c r="AA147" s="17">
        <v>0</v>
      </c>
      <c r="AB147" s="17">
        <v>58923.98</v>
      </c>
      <c r="AC147" s="17">
        <v>0</v>
      </c>
      <c r="AD147" s="17">
        <v>0</v>
      </c>
      <c r="AE147" s="17">
        <v>31228.91</v>
      </c>
      <c r="AF147" s="17">
        <v>41050.879999999997</v>
      </c>
      <c r="AG147" s="17">
        <v>4582.88</v>
      </c>
      <c r="AH147" s="17">
        <v>1712.63</v>
      </c>
      <c r="AI147" s="17">
        <v>2870.25</v>
      </c>
      <c r="AJ147" s="17">
        <v>48064.29</v>
      </c>
      <c r="AK147" s="17">
        <v>80552.83</v>
      </c>
    </row>
    <row r="148" spans="1:37" x14ac:dyDescent="0.2">
      <c r="A148" s="14" t="s">
        <v>33</v>
      </c>
      <c r="B148" s="14">
        <v>484</v>
      </c>
      <c r="C148" s="14">
        <v>1</v>
      </c>
      <c r="D148" s="14" t="s">
        <v>224</v>
      </c>
      <c r="E148" s="15">
        <v>49</v>
      </c>
      <c r="F148" s="15" t="s">
        <v>66</v>
      </c>
      <c r="G148" s="16">
        <v>320</v>
      </c>
      <c r="H148" s="16">
        <v>343</v>
      </c>
      <c r="I148" s="16">
        <v>5207633</v>
      </c>
      <c r="J148" s="16">
        <v>38400</v>
      </c>
      <c r="K148" s="16">
        <v>41160</v>
      </c>
      <c r="L148" s="17">
        <v>17446.3</v>
      </c>
      <c r="M148" s="17">
        <v>17446.3</v>
      </c>
      <c r="N148" s="17">
        <v>17446.3</v>
      </c>
      <c r="O148" s="18">
        <v>1</v>
      </c>
      <c r="P148" s="17">
        <v>20953.7</v>
      </c>
      <c r="Q148" s="17">
        <v>23713.7</v>
      </c>
      <c r="R148" s="17">
        <v>23713.7</v>
      </c>
      <c r="S148" s="17">
        <v>1</v>
      </c>
      <c r="T148" s="17">
        <v>23713.7</v>
      </c>
      <c r="U148" s="17">
        <v>0</v>
      </c>
      <c r="V148" s="16">
        <v>38400</v>
      </c>
      <c r="W148" s="17">
        <v>0</v>
      </c>
      <c r="X148" s="17">
        <v>38400</v>
      </c>
      <c r="Y148" s="17">
        <v>9600</v>
      </c>
      <c r="Z148" s="17">
        <v>9416.84</v>
      </c>
      <c r="AA148" s="17">
        <v>904.15</v>
      </c>
      <c r="AB148" s="17">
        <v>7250.12</v>
      </c>
      <c r="AC148" s="17">
        <v>0</v>
      </c>
      <c r="AD148" s="17">
        <v>0</v>
      </c>
      <c r="AE148" s="17">
        <v>7133.64</v>
      </c>
      <c r="AF148" s="17">
        <v>7632.15</v>
      </c>
      <c r="AG148" s="17">
        <v>0</v>
      </c>
      <c r="AH148" s="17">
        <v>0</v>
      </c>
      <c r="AI148" s="17">
        <v>0</v>
      </c>
      <c r="AJ148" s="17">
        <v>17446.3</v>
      </c>
      <c r="AK148" s="17">
        <v>23713.7</v>
      </c>
    </row>
    <row r="149" spans="1:37" x14ac:dyDescent="0.2">
      <c r="A149" s="14" t="s">
        <v>33</v>
      </c>
      <c r="B149" s="14">
        <v>485</v>
      </c>
      <c r="C149" s="14">
        <v>1</v>
      </c>
      <c r="D149" s="14" t="s">
        <v>225</v>
      </c>
      <c r="E149" s="15">
        <v>49</v>
      </c>
      <c r="F149" s="15" t="s">
        <v>66</v>
      </c>
      <c r="G149" s="16">
        <v>282</v>
      </c>
      <c r="H149" s="16">
        <v>281</v>
      </c>
      <c r="I149" s="16">
        <v>3863100</v>
      </c>
      <c r="J149" s="16">
        <v>33840</v>
      </c>
      <c r="K149" s="16">
        <v>33720</v>
      </c>
      <c r="L149" s="17">
        <v>12941.93</v>
      </c>
      <c r="M149" s="17">
        <v>12941.93</v>
      </c>
      <c r="N149" s="17">
        <v>12941.93</v>
      </c>
      <c r="O149" s="18">
        <v>1</v>
      </c>
      <c r="P149" s="17">
        <v>20898.07</v>
      </c>
      <c r="Q149" s="17">
        <v>20778.07</v>
      </c>
      <c r="R149" s="17">
        <v>20778.07</v>
      </c>
      <c r="S149" s="17">
        <v>1</v>
      </c>
      <c r="T149" s="17">
        <v>20778.07</v>
      </c>
      <c r="U149" s="17">
        <v>449.6</v>
      </c>
      <c r="V149" s="16">
        <v>33840</v>
      </c>
      <c r="W149" s="17">
        <v>451.2</v>
      </c>
      <c r="X149" s="17">
        <v>34291.199999999997</v>
      </c>
      <c r="Y149" s="17">
        <v>8572.7999999999993</v>
      </c>
      <c r="Z149" s="17">
        <v>14584.44</v>
      </c>
      <c r="AA149" s="17">
        <v>11293.8</v>
      </c>
      <c r="AB149" s="17">
        <v>10093.209999999999</v>
      </c>
      <c r="AC149" s="17">
        <v>929.84</v>
      </c>
      <c r="AD149" s="17">
        <v>0</v>
      </c>
      <c r="AE149" s="17">
        <v>10635.61</v>
      </c>
      <c r="AF149" s="17">
        <v>7696.54</v>
      </c>
      <c r="AG149" s="17">
        <v>0</v>
      </c>
      <c r="AH149" s="17">
        <v>0</v>
      </c>
      <c r="AI149" s="17">
        <v>0</v>
      </c>
      <c r="AJ149" s="17">
        <v>12941.93</v>
      </c>
      <c r="AK149" s="17">
        <v>20778.07</v>
      </c>
    </row>
    <row r="150" spans="1:37" x14ac:dyDescent="0.2">
      <c r="A150" s="14" t="s">
        <v>33</v>
      </c>
      <c r="B150" s="14">
        <v>486</v>
      </c>
      <c r="C150" s="14">
        <v>1</v>
      </c>
      <c r="D150" s="14" t="s">
        <v>226</v>
      </c>
      <c r="E150" s="15">
        <v>49</v>
      </c>
      <c r="F150" s="15" t="s">
        <v>66</v>
      </c>
      <c r="G150" s="16">
        <v>96</v>
      </c>
      <c r="H150" s="16">
        <v>89</v>
      </c>
      <c r="I150" s="16">
        <v>2465488</v>
      </c>
      <c r="J150" s="16">
        <v>18000</v>
      </c>
      <c r="K150" s="16">
        <v>18000</v>
      </c>
      <c r="L150" s="17">
        <v>8259.73</v>
      </c>
      <c r="M150" s="17">
        <v>8259.73</v>
      </c>
      <c r="N150" s="17">
        <v>8259.73</v>
      </c>
      <c r="O150" s="18">
        <v>1</v>
      </c>
      <c r="P150" s="17">
        <v>9740.27</v>
      </c>
      <c r="Q150" s="17">
        <v>9740.27</v>
      </c>
      <c r="R150" s="17">
        <v>9740.27</v>
      </c>
      <c r="S150" s="17">
        <v>1</v>
      </c>
      <c r="T150" s="17">
        <v>9740.27</v>
      </c>
      <c r="U150" s="17">
        <v>142.4</v>
      </c>
      <c r="V150" s="16">
        <v>18000</v>
      </c>
      <c r="W150" s="17">
        <v>153.6</v>
      </c>
      <c r="X150" s="17">
        <v>18153.599999999999</v>
      </c>
      <c r="Y150" s="17">
        <v>4538.3999999999996</v>
      </c>
      <c r="Z150" s="17">
        <v>3796.93</v>
      </c>
      <c r="AA150" s="17">
        <v>0</v>
      </c>
      <c r="AB150" s="17">
        <v>3707.83</v>
      </c>
      <c r="AC150" s="17">
        <v>0</v>
      </c>
      <c r="AD150" s="17">
        <v>0</v>
      </c>
      <c r="AE150" s="17">
        <v>7161.01</v>
      </c>
      <c r="AF150" s="17">
        <v>4888.59</v>
      </c>
      <c r="AG150" s="17">
        <v>350.19</v>
      </c>
      <c r="AH150" s="17">
        <v>160.69</v>
      </c>
      <c r="AI150" s="17">
        <v>189.5</v>
      </c>
      <c r="AJ150" s="17">
        <v>8099.04</v>
      </c>
      <c r="AK150" s="17">
        <v>9550.77</v>
      </c>
    </row>
    <row r="151" spans="1:37" x14ac:dyDescent="0.2">
      <c r="A151" s="14" t="s">
        <v>33</v>
      </c>
      <c r="B151" s="14">
        <v>487</v>
      </c>
      <c r="C151" s="14">
        <v>1</v>
      </c>
      <c r="D151" s="14" t="s">
        <v>227</v>
      </c>
      <c r="E151" s="15">
        <v>49</v>
      </c>
      <c r="F151" s="15" t="s">
        <v>66</v>
      </c>
      <c r="G151" s="16">
        <v>114</v>
      </c>
      <c r="H151" s="16">
        <v>117</v>
      </c>
      <c r="I151" s="16">
        <v>1651288</v>
      </c>
      <c r="J151" s="16">
        <v>18000</v>
      </c>
      <c r="K151" s="16">
        <v>18000</v>
      </c>
      <c r="L151" s="17">
        <v>5532.05</v>
      </c>
      <c r="M151" s="17">
        <v>5532.05</v>
      </c>
      <c r="N151" s="17">
        <v>5532.05</v>
      </c>
      <c r="O151" s="18">
        <v>1</v>
      </c>
      <c r="P151" s="17">
        <v>12467.95</v>
      </c>
      <c r="Q151" s="17">
        <v>12467.95</v>
      </c>
      <c r="R151" s="17">
        <v>12467.95</v>
      </c>
      <c r="S151" s="17">
        <v>1</v>
      </c>
      <c r="T151" s="17">
        <v>12467.95</v>
      </c>
      <c r="U151" s="17">
        <v>187.2</v>
      </c>
      <c r="V151" s="16">
        <v>18000</v>
      </c>
      <c r="W151" s="17">
        <v>182.4</v>
      </c>
      <c r="X151" s="17">
        <v>18182.400000000001</v>
      </c>
      <c r="Y151" s="17">
        <v>4545.6000000000004</v>
      </c>
      <c r="Z151" s="17">
        <v>6196.09</v>
      </c>
      <c r="AA151" s="17">
        <v>1740.38</v>
      </c>
      <c r="AB151" s="17">
        <v>5453.11</v>
      </c>
      <c r="AC151" s="17">
        <v>976.38</v>
      </c>
      <c r="AD151" s="17">
        <v>0</v>
      </c>
      <c r="AE151" s="17">
        <v>5600.27</v>
      </c>
      <c r="AF151" s="17">
        <v>4844.24</v>
      </c>
      <c r="AG151" s="17">
        <v>298.64</v>
      </c>
      <c r="AH151" s="17">
        <v>91.78</v>
      </c>
      <c r="AI151" s="17">
        <v>206.86</v>
      </c>
      <c r="AJ151" s="17">
        <v>5440.27</v>
      </c>
      <c r="AK151" s="17">
        <v>12261.09</v>
      </c>
    </row>
    <row r="152" spans="1:37" x14ac:dyDescent="0.2">
      <c r="A152" s="14" t="s">
        <v>33</v>
      </c>
      <c r="B152" s="14">
        <v>492</v>
      </c>
      <c r="C152" s="14">
        <v>1</v>
      </c>
      <c r="D152" s="14" t="s">
        <v>228</v>
      </c>
      <c r="E152" s="15">
        <v>50</v>
      </c>
      <c r="F152" s="15" t="s">
        <v>61</v>
      </c>
      <c r="G152" s="16">
        <v>1964</v>
      </c>
      <c r="H152" s="16">
        <v>1910</v>
      </c>
      <c r="I152" s="16">
        <v>16385358</v>
      </c>
      <c r="J152" s="16">
        <v>235680</v>
      </c>
      <c r="K152" s="16">
        <v>229200</v>
      </c>
      <c r="L152" s="17">
        <v>54893.24</v>
      </c>
      <c r="M152" s="17">
        <v>54893.24</v>
      </c>
      <c r="N152" s="17">
        <v>54893.24</v>
      </c>
      <c r="O152" s="18">
        <v>1</v>
      </c>
      <c r="P152" s="17">
        <v>180786.76</v>
      </c>
      <c r="Q152" s="17">
        <v>174306.76</v>
      </c>
      <c r="R152" s="17">
        <v>174306.76</v>
      </c>
      <c r="S152" s="17">
        <v>1</v>
      </c>
      <c r="T152" s="17">
        <v>174306.76</v>
      </c>
      <c r="U152" s="17">
        <v>3056</v>
      </c>
      <c r="V152" s="16">
        <v>235680</v>
      </c>
      <c r="W152" s="17">
        <v>63867.95</v>
      </c>
      <c r="X152" s="17">
        <v>299547.95</v>
      </c>
      <c r="Y152" s="17">
        <v>74886.990000000005</v>
      </c>
      <c r="Z152" s="17">
        <v>84036.47</v>
      </c>
      <c r="AA152" s="17">
        <v>0</v>
      </c>
      <c r="AB152" s="17">
        <v>84360.29</v>
      </c>
      <c r="AC152" s="17">
        <v>4864.6499999999996</v>
      </c>
      <c r="AD152" s="17">
        <v>0</v>
      </c>
      <c r="AE152" s="17">
        <v>42415.68</v>
      </c>
      <c r="AF152" s="17">
        <v>68649.259999999995</v>
      </c>
      <c r="AG152" s="17">
        <v>0</v>
      </c>
      <c r="AH152" s="17">
        <v>0</v>
      </c>
      <c r="AI152" s="17">
        <v>0</v>
      </c>
      <c r="AJ152" s="17">
        <v>54893.24</v>
      </c>
      <c r="AK152" s="17">
        <v>174306.76</v>
      </c>
    </row>
    <row r="153" spans="1:37" x14ac:dyDescent="0.2">
      <c r="A153" s="14" t="s">
        <v>33</v>
      </c>
      <c r="B153" s="14">
        <v>495</v>
      </c>
      <c r="C153" s="14">
        <v>1</v>
      </c>
      <c r="D153" s="14" t="s">
        <v>229</v>
      </c>
      <c r="E153" s="15">
        <v>50</v>
      </c>
      <c r="F153" s="15" t="s">
        <v>61</v>
      </c>
      <c r="G153" s="16">
        <v>119</v>
      </c>
      <c r="H153" s="16">
        <v>127</v>
      </c>
      <c r="I153" s="16">
        <v>2777716</v>
      </c>
      <c r="J153" s="16">
        <v>18000</v>
      </c>
      <c r="K153" s="16">
        <v>18000</v>
      </c>
      <c r="L153" s="17">
        <v>9305.74</v>
      </c>
      <c r="M153" s="17">
        <v>9305.74</v>
      </c>
      <c r="N153" s="17">
        <v>9305.74</v>
      </c>
      <c r="O153" s="18">
        <v>1</v>
      </c>
      <c r="P153" s="17">
        <v>8694.26</v>
      </c>
      <c r="Q153" s="17">
        <v>8694.26</v>
      </c>
      <c r="R153" s="17">
        <v>8694.26</v>
      </c>
      <c r="S153" s="17">
        <v>1</v>
      </c>
      <c r="T153" s="17">
        <v>8694.26</v>
      </c>
      <c r="U153" s="17">
        <v>203.2</v>
      </c>
      <c r="V153" s="16">
        <v>18000</v>
      </c>
      <c r="W153" s="17">
        <v>2825.4</v>
      </c>
      <c r="X153" s="17">
        <v>20825.400000000001</v>
      </c>
      <c r="Y153" s="17">
        <v>5206.3500000000004</v>
      </c>
      <c r="Z153" s="17">
        <v>-11671.77</v>
      </c>
      <c r="AA153" s="17">
        <v>0</v>
      </c>
      <c r="AB153" s="17">
        <v>-14282.03</v>
      </c>
      <c r="AC153" s="17">
        <v>0</v>
      </c>
      <c r="AD153" s="17">
        <v>0</v>
      </c>
      <c r="AE153" s="17">
        <v>-14242.93</v>
      </c>
      <c r="AF153" s="17">
        <v>-13398.91</v>
      </c>
      <c r="AG153" s="17">
        <v>0</v>
      </c>
      <c r="AH153" s="17">
        <v>0</v>
      </c>
      <c r="AI153" s="17">
        <v>0</v>
      </c>
      <c r="AJ153" s="17">
        <v>9305.74</v>
      </c>
      <c r="AK153" s="17">
        <v>8694.26</v>
      </c>
    </row>
    <row r="154" spans="1:37" x14ac:dyDescent="0.2">
      <c r="A154" s="14" t="s">
        <v>33</v>
      </c>
      <c r="B154" s="14">
        <v>497</v>
      </c>
      <c r="C154" s="14">
        <v>1</v>
      </c>
      <c r="D154" s="14" t="s">
        <v>230</v>
      </c>
      <c r="E154" s="15">
        <v>50</v>
      </c>
      <c r="F154" s="15" t="s">
        <v>61</v>
      </c>
      <c r="G154" s="16">
        <v>76</v>
      </c>
      <c r="H154" s="16">
        <v>74</v>
      </c>
      <c r="I154" s="16">
        <v>1424610</v>
      </c>
      <c r="J154" s="16">
        <v>18000</v>
      </c>
      <c r="K154" s="16">
        <v>18000</v>
      </c>
      <c r="L154" s="17">
        <v>4772.6400000000003</v>
      </c>
      <c r="M154" s="17">
        <v>4772.6400000000003</v>
      </c>
      <c r="N154" s="17">
        <v>4772.6400000000003</v>
      </c>
      <c r="O154" s="18">
        <v>1</v>
      </c>
      <c r="P154" s="17">
        <v>13227.36</v>
      </c>
      <c r="Q154" s="17">
        <v>13227.36</v>
      </c>
      <c r="R154" s="17">
        <v>13227.36</v>
      </c>
      <c r="S154" s="17">
        <v>1</v>
      </c>
      <c r="T154" s="17">
        <v>13227.36</v>
      </c>
      <c r="U154" s="17">
        <v>118.4</v>
      </c>
      <c r="V154" s="16">
        <v>18000</v>
      </c>
      <c r="W154" s="17">
        <v>9432.91</v>
      </c>
      <c r="X154" s="17">
        <v>27432.91</v>
      </c>
      <c r="Y154" s="17">
        <v>6858.23</v>
      </c>
      <c r="Z154" s="17">
        <v>1434.73</v>
      </c>
      <c r="AA154" s="17">
        <v>0</v>
      </c>
      <c r="AB154" s="17">
        <v>3530.75</v>
      </c>
      <c r="AC154" s="17">
        <v>0</v>
      </c>
      <c r="AD154" s="17">
        <v>0</v>
      </c>
      <c r="AE154" s="17">
        <v>3301.42</v>
      </c>
      <c r="AF154" s="17">
        <v>2755.63</v>
      </c>
      <c r="AG154" s="17">
        <v>0</v>
      </c>
      <c r="AH154" s="17">
        <v>0</v>
      </c>
      <c r="AI154" s="17">
        <v>0</v>
      </c>
      <c r="AJ154" s="17">
        <v>4772.6400000000003</v>
      </c>
      <c r="AK154" s="17">
        <v>13227.36</v>
      </c>
    </row>
    <row r="155" spans="1:37" x14ac:dyDescent="0.2">
      <c r="A155" s="14" t="s">
        <v>33</v>
      </c>
      <c r="B155" s="14">
        <v>499</v>
      </c>
      <c r="C155" s="14">
        <v>1</v>
      </c>
      <c r="D155" s="14" t="s">
        <v>231</v>
      </c>
      <c r="E155" s="15">
        <v>50</v>
      </c>
      <c r="F155" s="15" t="s">
        <v>61</v>
      </c>
      <c r="G155" s="16">
        <v>149</v>
      </c>
      <c r="H155" s="16">
        <v>141</v>
      </c>
      <c r="I155" s="16">
        <v>2997010</v>
      </c>
      <c r="J155" s="16">
        <v>18000</v>
      </c>
      <c r="K155" s="16">
        <v>18000</v>
      </c>
      <c r="L155" s="17">
        <v>10040.4</v>
      </c>
      <c r="M155" s="17">
        <v>10040.4</v>
      </c>
      <c r="N155" s="17">
        <v>10040.4</v>
      </c>
      <c r="O155" s="18">
        <v>1</v>
      </c>
      <c r="P155" s="17">
        <v>7959.6</v>
      </c>
      <c r="Q155" s="17">
        <v>7959.6</v>
      </c>
      <c r="R155" s="17">
        <v>7959.6</v>
      </c>
      <c r="S155" s="17">
        <v>1</v>
      </c>
      <c r="T155" s="17">
        <v>7959.6</v>
      </c>
      <c r="U155" s="17">
        <v>225.6</v>
      </c>
      <c r="V155" s="16">
        <v>18000</v>
      </c>
      <c r="W155" s="17">
        <v>2861.43</v>
      </c>
      <c r="X155" s="17">
        <v>20861.43</v>
      </c>
      <c r="Y155" s="17">
        <v>5215.3599999999997</v>
      </c>
      <c r="Z155" s="17">
        <v>2337.34</v>
      </c>
      <c r="AA155" s="17">
        <v>0</v>
      </c>
      <c r="AB155" s="17">
        <v>3987.07</v>
      </c>
      <c r="AC155" s="17">
        <v>0</v>
      </c>
      <c r="AD155" s="17">
        <v>0</v>
      </c>
      <c r="AE155" s="17">
        <v>3749.26</v>
      </c>
      <c r="AF155" s="17">
        <v>3357.89</v>
      </c>
      <c r="AG155" s="17">
        <v>0</v>
      </c>
      <c r="AH155" s="17">
        <v>0</v>
      </c>
      <c r="AI155" s="17">
        <v>0</v>
      </c>
      <c r="AJ155" s="17">
        <v>10040.4</v>
      </c>
      <c r="AK155" s="17">
        <v>7959.6</v>
      </c>
    </row>
    <row r="156" spans="1:37" x14ac:dyDescent="0.2">
      <c r="A156" s="14" t="s">
        <v>33</v>
      </c>
      <c r="B156" s="14">
        <v>500</v>
      </c>
      <c r="C156" s="14">
        <v>1</v>
      </c>
      <c r="D156" s="14" t="s">
        <v>232</v>
      </c>
      <c r="E156" s="15">
        <v>50</v>
      </c>
      <c r="F156" s="15" t="s">
        <v>61</v>
      </c>
      <c r="G156" s="16">
        <v>199</v>
      </c>
      <c r="H156" s="16">
        <v>201</v>
      </c>
      <c r="I156" s="16">
        <v>4999850</v>
      </c>
      <c r="J156" s="16">
        <v>23880</v>
      </c>
      <c r="K156" s="16">
        <v>24120</v>
      </c>
      <c r="L156" s="17">
        <v>16750.2</v>
      </c>
      <c r="M156" s="17">
        <v>16750.2</v>
      </c>
      <c r="N156" s="17">
        <v>16750.2</v>
      </c>
      <c r="O156" s="18">
        <v>1</v>
      </c>
      <c r="P156" s="17">
        <v>7129.8</v>
      </c>
      <c r="Q156" s="17">
        <v>7369.8</v>
      </c>
      <c r="R156" s="17">
        <v>7369.8</v>
      </c>
      <c r="S156" s="17">
        <v>1</v>
      </c>
      <c r="T156" s="17">
        <v>7369.8</v>
      </c>
      <c r="U156" s="17">
        <v>321.60000000000002</v>
      </c>
      <c r="V156" s="16">
        <v>23880</v>
      </c>
      <c r="W156" s="17">
        <v>7376.4</v>
      </c>
      <c r="X156" s="17">
        <v>31256.400000000001</v>
      </c>
      <c r="Y156" s="17">
        <v>7814.1</v>
      </c>
      <c r="Z156" s="17">
        <v>-11933.98</v>
      </c>
      <c r="AA156" s="17">
        <v>0</v>
      </c>
      <c r="AB156" s="17">
        <v>0</v>
      </c>
      <c r="AC156" s="17">
        <v>0</v>
      </c>
      <c r="AD156" s="17">
        <v>0</v>
      </c>
      <c r="AE156" s="17">
        <v>271.7</v>
      </c>
      <c r="AF156" s="17">
        <v>-3887.43</v>
      </c>
      <c r="AG156" s="17">
        <v>0</v>
      </c>
      <c r="AH156" s="17">
        <v>0</v>
      </c>
      <c r="AI156" s="17">
        <v>0</v>
      </c>
      <c r="AJ156" s="17">
        <v>16750.2</v>
      </c>
      <c r="AK156" s="17">
        <v>7369.8</v>
      </c>
    </row>
    <row r="157" spans="1:37" x14ac:dyDescent="0.2">
      <c r="A157" s="14" t="s">
        <v>33</v>
      </c>
      <c r="B157" s="14">
        <v>505</v>
      </c>
      <c r="C157" s="14">
        <v>1</v>
      </c>
      <c r="D157" s="14" t="s">
        <v>233</v>
      </c>
      <c r="E157" s="15">
        <v>51</v>
      </c>
      <c r="F157" s="15" t="s">
        <v>65</v>
      </c>
      <c r="G157" s="16">
        <v>103</v>
      </c>
      <c r="H157" s="16">
        <v>89</v>
      </c>
      <c r="I157" s="16">
        <v>3836913</v>
      </c>
      <c r="J157" s="16">
        <v>18000</v>
      </c>
      <c r="K157" s="16">
        <v>18000</v>
      </c>
      <c r="L157" s="17">
        <v>12854.2</v>
      </c>
      <c r="M157" s="17">
        <v>12854.2</v>
      </c>
      <c r="N157" s="17">
        <v>12854.2</v>
      </c>
      <c r="O157" s="18">
        <v>1</v>
      </c>
      <c r="P157" s="17">
        <v>5145.8</v>
      </c>
      <c r="Q157" s="17">
        <v>5145.8</v>
      </c>
      <c r="R157" s="17">
        <v>5145.8</v>
      </c>
      <c r="S157" s="17">
        <v>1</v>
      </c>
      <c r="T157" s="17">
        <v>5145.8</v>
      </c>
      <c r="U157" s="17">
        <v>142.4</v>
      </c>
      <c r="V157" s="16">
        <v>18000</v>
      </c>
      <c r="W157" s="17">
        <v>164.8</v>
      </c>
      <c r="X157" s="17">
        <v>18164.8</v>
      </c>
      <c r="Y157" s="17">
        <v>4541.2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12854.2</v>
      </c>
      <c r="AK157" s="17">
        <v>5145.8</v>
      </c>
    </row>
    <row r="158" spans="1:37" x14ac:dyDescent="0.2">
      <c r="A158" s="14" t="s">
        <v>33</v>
      </c>
      <c r="B158" s="14">
        <v>507</v>
      </c>
      <c r="C158" s="14">
        <v>1</v>
      </c>
      <c r="D158" s="14" t="s">
        <v>234</v>
      </c>
      <c r="E158" s="15">
        <v>52</v>
      </c>
      <c r="F158" s="15" t="s">
        <v>57</v>
      </c>
      <c r="G158" s="16">
        <v>164</v>
      </c>
      <c r="H158" s="16">
        <v>138</v>
      </c>
      <c r="I158" s="16">
        <v>3758886</v>
      </c>
      <c r="J158" s="16">
        <v>19680</v>
      </c>
      <c r="K158" s="16">
        <v>18000</v>
      </c>
      <c r="L158" s="17">
        <v>12592.79</v>
      </c>
      <c r="M158" s="17">
        <v>12592.79</v>
      </c>
      <c r="N158" s="17">
        <v>12592.79</v>
      </c>
      <c r="O158" s="18">
        <v>1</v>
      </c>
      <c r="P158" s="17">
        <v>7087.21</v>
      </c>
      <c r="Q158" s="17">
        <v>5407.21</v>
      </c>
      <c r="R158" s="17">
        <v>5407.21</v>
      </c>
      <c r="S158" s="17">
        <v>1</v>
      </c>
      <c r="T158" s="17">
        <v>5407.21</v>
      </c>
      <c r="U158" s="17">
        <v>220.8</v>
      </c>
      <c r="V158" s="16">
        <v>19680</v>
      </c>
      <c r="W158" s="17">
        <v>1191.4000000000001</v>
      </c>
      <c r="X158" s="17">
        <v>20871.400000000001</v>
      </c>
      <c r="Y158" s="17">
        <v>5217.8500000000004</v>
      </c>
      <c r="Z158" s="17">
        <v>3539.12</v>
      </c>
      <c r="AA158" s="17">
        <v>0</v>
      </c>
      <c r="AB158" s="17">
        <v>5052.51</v>
      </c>
      <c r="AC158" s="17">
        <v>0</v>
      </c>
      <c r="AD158" s="17">
        <v>0</v>
      </c>
      <c r="AE158" s="17">
        <v>5324.42</v>
      </c>
      <c r="AF158" s="17">
        <v>4638.68</v>
      </c>
      <c r="AG158" s="17">
        <v>0</v>
      </c>
      <c r="AH158" s="17">
        <v>0</v>
      </c>
      <c r="AI158" s="17">
        <v>0</v>
      </c>
      <c r="AJ158" s="17">
        <v>12592.79</v>
      </c>
      <c r="AK158" s="17">
        <v>5407.21</v>
      </c>
    </row>
    <row r="159" spans="1:37" x14ac:dyDescent="0.2">
      <c r="A159" s="14" t="s">
        <v>33</v>
      </c>
      <c r="B159" s="14">
        <v>508</v>
      </c>
      <c r="C159" s="14">
        <v>1</v>
      </c>
      <c r="D159" s="14" t="s">
        <v>235</v>
      </c>
      <c r="E159" s="15">
        <v>52</v>
      </c>
      <c r="F159" s="15" t="s">
        <v>57</v>
      </c>
      <c r="G159" s="16">
        <v>775</v>
      </c>
      <c r="H159" s="16">
        <v>802</v>
      </c>
      <c r="I159" s="16">
        <v>10315597</v>
      </c>
      <c r="J159" s="16">
        <v>93000</v>
      </c>
      <c r="K159" s="16">
        <v>96240</v>
      </c>
      <c r="L159" s="17">
        <v>34558.69</v>
      </c>
      <c r="M159" s="17">
        <v>34558.69</v>
      </c>
      <c r="N159" s="17">
        <v>34558.69</v>
      </c>
      <c r="O159" s="18">
        <v>1</v>
      </c>
      <c r="P159" s="17">
        <v>58441.31</v>
      </c>
      <c r="Q159" s="17">
        <v>61681.31</v>
      </c>
      <c r="R159" s="17">
        <v>61681.31</v>
      </c>
      <c r="S159" s="17">
        <v>1</v>
      </c>
      <c r="T159" s="17">
        <v>61681.31</v>
      </c>
      <c r="U159" s="17">
        <v>1283.2</v>
      </c>
      <c r="V159" s="16">
        <v>93000</v>
      </c>
      <c r="W159" s="17">
        <v>53954.47</v>
      </c>
      <c r="X159" s="17">
        <v>146954.47</v>
      </c>
      <c r="Y159" s="17">
        <v>36738.620000000003</v>
      </c>
      <c r="Z159" s="17">
        <v>31107.86</v>
      </c>
      <c r="AA159" s="17">
        <v>0</v>
      </c>
      <c r="AB159" s="17">
        <v>36047.96</v>
      </c>
      <c r="AC159" s="17">
        <v>0</v>
      </c>
      <c r="AD159" s="17">
        <v>0</v>
      </c>
      <c r="AE159" s="17">
        <v>41514.36</v>
      </c>
      <c r="AF159" s="17">
        <v>36223.39</v>
      </c>
      <c r="AG159" s="17">
        <v>0</v>
      </c>
      <c r="AH159" s="17">
        <v>0</v>
      </c>
      <c r="AI159" s="17">
        <v>0</v>
      </c>
      <c r="AJ159" s="17">
        <v>34558.69</v>
      </c>
      <c r="AK159" s="17">
        <v>61681.31</v>
      </c>
    </row>
    <row r="160" spans="1:37" x14ac:dyDescent="0.2">
      <c r="A160" s="14" t="s">
        <v>33</v>
      </c>
      <c r="B160" s="14">
        <v>511</v>
      </c>
      <c r="C160" s="14">
        <v>1</v>
      </c>
      <c r="D160" s="14" t="s">
        <v>236</v>
      </c>
      <c r="E160" s="15">
        <v>53</v>
      </c>
      <c r="F160" s="15" t="s">
        <v>65</v>
      </c>
      <c r="G160" s="16">
        <v>149</v>
      </c>
      <c r="H160" s="16">
        <v>157</v>
      </c>
      <c r="I160" s="16">
        <v>3541980</v>
      </c>
      <c r="J160" s="16">
        <v>18000</v>
      </c>
      <c r="K160" s="16">
        <v>18840</v>
      </c>
      <c r="L160" s="17">
        <v>11866.13</v>
      </c>
      <c r="M160" s="17">
        <v>11866.13</v>
      </c>
      <c r="N160" s="17">
        <v>11866.13</v>
      </c>
      <c r="O160" s="18">
        <v>1</v>
      </c>
      <c r="P160" s="17">
        <v>6133.87</v>
      </c>
      <c r="Q160" s="17">
        <v>6973.87</v>
      </c>
      <c r="R160" s="17">
        <v>6973.87</v>
      </c>
      <c r="S160" s="17">
        <v>1</v>
      </c>
      <c r="T160" s="17">
        <v>6973.87</v>
      </c>
      <c r="U160" s="17">
        <v>251.2</v>
      </c>
      <c r="V160" s="16">
        <v>18000</v>
      </c>
      <c r="W160" s="17">
        <v>238.4</v>
      </c>
      <c r="X160" s="17">
        <v>18238.400000000001</v>
      </c>
      <c r="Y160" s="17">
        <v>4559.6000000000004</v>
      </c>
      <c r="Z160" s="17">
        <v>4325.2299999999996</v>
      </c>
      <c r="AA160" s="17">
        <v>0</v>
      </c>
      <c r="AB160" s="17">
        <v>14614.78</v>
      </c>
      <c r="AC160" s="17">
        <v>3774.55</v>
      </c>
      <c r="AD160" s="17">
        <v>0</v>
      </c>
      <c r="AE160" s="17">
        <v>22915.48</v>
      </c>
      <c r="AF160" s="17">
        <v>12693.65</v>
      </c>
      <c r="AG160" s="17">
        <v>8134.05</v>
      </c>
      <c r="AH160" s="17">
        <v>5123.13</v>
      </c>
      <c r="AI160" s="17">
        <v>3010.92</v>
      </c>
      <c r="AJ160" s="17">
        <v>6743</v>
      </c>
      <c r="AK160" s="17">
        <v>3962.95</v>
      </c>
    </row>
    <row r="161" spans="1:37" x14ac:dyDescent="0.2">
      <c r="A161" s="14" t="s">
        <v>33</v>
      </c>
      <c r="B161" s="14">
        <v>513</v>
      </c>
      <c r="C161" s="14">
        <v>1</v>
      </c>
      <c r="D161" s="14" t="s">
        <v>237</v>
      </c>
      <c r="E161" s="15">
        <v>53</v>
      </c>
      <c r="F161" s="15" t="s">
        <v>65</v>
      </c>
      <c r="G161" s="16">
        <v>53</v>
      </c>
      <c r="H161" s="16">
        <v>46</v>
      </c>
      <c r="I161" s="16">
        <v>1719131</v>
      </c>
      <c r="J161" s="16">
        <v>18000</v>
      </c>
      <c r="K161" s="16">
        <v>18000</v>
      </c>
      <c r="L161" s="17">
        <v>5759.33</v>
      </c>
      <c r="M161" s="17">
        <v>5759.33</v>
      </c>
      <c r="N161" s="17">
        <v>5759.33</v>
      </c>
      <c r="O161" s="18">
        <v>1</v>
      </c>
      <c r="P161" s="17">
        <v>12240.67</v>
      </c>
      <c r="Q161" s="17">
        <v>12240.67</v>
      </c>
      <c r="R161" s="17">
        <v>12240.67</v>
      </c>
      <c r="S161" s="17">
        <v>1</v>
      </c>
      <c r="T161" s="17">
        <v>12240.67</v>
      </c>
      <c r="U161" s="17">
        <v>73.599999999999994</v>
      </c>
      <c r="V161" s="16">
        <v>18000</v>
      </c>
      <c r="W161" s="17">
        <v>84.8</v>
      </c>
      <c r="X161" s="17">
        <v>18084.8</v>
      </c>
      <c r="Y161" s="17">
        <v>4521.2</v>
      </c>
      <c r="Z161" s="17">
        <v>5748.1</v>
      </c>
      <c r="AA161" s="17">
        <v>230.18</v>
      </c>
      <c r="AB161" s="17">
        <v>1818.18</v>
      </c>
      <c r="AC161" s="17">
        <v>0</v>
      </c>
      <c r="AD161" s="17">
        <v>0</v>
      </c>
      <c r="AE161" s="17">
        <v>42.7</v>
      </c>
      <c r="AF161" s="17">
        <v>2459.6</v>
      </c>
      <c r="AG161" s="17">
        <v>0</v>
      </c>
      <c r="AH161" s="17">
        <v>0</v>
      </c>
      <c r="AI161" s="17">
        <v>0</v>
      </c>
      <c r="AJ161" s="17">
        <v>5759.33</v>
      </c>
      <c r="AK161" s="17">
        <v>12240.67</v>
      </c>
    </row>
    <row r="162" spans="1:37" x14ac:dyDescent="0.2">
      <c r="A162" s="14" t="s">
        <v>33</v>
      </c>
      <c r="B162" s="14">
        <v>514</v>
      </c>
      <c r="C162" s="14">
        <v>1</v>
      </c>
      <c r="D162" s="14" t="s">
        <v>238</v>
      </c>
      <c r="E162" s="15">
        <v>53</v>
      </c>
      <c r="F162" s="15" t="s">
        <v>65</v>
      </c>
      <c r="G162" s="16">
        <v>33</v>
      </c>
      <c r="H162" s="16">
        <v>23</v>
      </c>
      <c r="I162" s="16">
        <v>1552358</v>
      </c>
      <c r="J162" s="16">
        <v>18000</v>
      </c>
      <c r="K162" s="16">
        <v>18000</v>
      </c>
      <c r="L162" s="17">
        <v>5200.62</v>
      </c>
      <c r="M162" s="17">
        <v>5200.62</v>
      </c>
      <c r="N162" s="17">
        <v>5200.62</v>
      </c>
      <c r="O162" s="18">
        <v>1</v>
      </c>
      <c r="P162" s="17">
        <v>12799.38</v>
      </c>
      <c r="Q162" s="17">
        <v>12799.38</v>
      </c>
      <c r="R162" s="17">
        <v>12799.38</v>
      </c>
      <c r="S162" s="17">
        <v>1</v>
      </c>
      <c r="T162" s="17">
        <v>12799.38</v>
      </c>
      <c r="U162" s="17">
        <v>36.799999999999997</v>
      </c>
      <c r="V162" s="16">
        <v>18000</v>
      </c>
      <c r="W162" s="17">
        <v>6162.9</v>
      </c>
      <c r="X162" s="17">
        <v>24162.9</v>
      </c>
      <c r="Y162" s="17">
        <v>6040.73</v>
      </c>
      <c r="Z162" s="17">
        <v>10505.89</v>
      </c>
      <c r="AA162" s="17">
        <v>8764.7999999999993</v>
      </c>
      <c r="AB162" s="17">
        <v>13629.68</v>
      </c>
      <c r="AC162" s="17">
        <v>5015.09</v>
      </c>
      <c r="AD162" s="17">
        <v>0</v>
      </c>
      <c r="AE162" s="17">
        <v>24859.86</v>
      </c>
      <c r="AF162" s="17">
        <v>11738.51</v>
      </c>
      <c r="AG162" s="17">
        <v>5697.78</v>
      </c>
      <c r="AH162" s="17">
        <v>1646.22</v>
      </c>
      <c r="AI162" s="17">
        <v>4051.56</v>
      </c>
      <c r="AJ162" s="17">
        <v>3554.4</v>
      </c>
      <c r="AK162" s="17">
        <v>8747.82</v>
      </c>
    </row>
    <row r="163" spans="1:37" x14ac:dyDescent="0.2">
      <c r="A163" s="14" t="s">
        <v>33</v>
      </c>
      <c r="B163" s="14">
        <v>516</v>
      </c>
      <c r="C163" s="14">
        <v>1</v>
      </c>
      <c r="D163" s="14" t="s">
        <v>239</v>
      </c>
      <c r="E163" s="15">
        <v>53</v>
      </c>
      <c r="F163" s="15" t="s">
        <v>65</v>
      </c>
      <c r="G163" s="16">
        <v>38</v>
      </c>
      <c r="H163" s="16">
        <v>45</v>
      </c>
      <c r="I163" s="16">
        <v>1216722</v>
      </c>
      <c r="J163" s="16">
        <v>18000</v>
      </c>
      <c r="K163" s="16">
        <v>18000</v>
      </c>
      <c r="L163" s="17">
        <v>4076.19</v>
      </c>
      <c r="M163" s="17">
        <v>4076.19</v>
      </c>
      <c r="N163" s="17">
        <v>4076.19</v>
      </c>
      <c r="O163" s="18">
        <v>1</v>
      </c>
      <c r="P163" s="17">
        <v>13923.81</v>
      </c>
      <c r="Q163" s="17">
        <v>13923.81</v>
      </c>
      <c r="R163" s="17">
        <v>13923.81</v>
      </c>
      <c r="S163" s="17">
        <v>1</v>
      </c>
      <c r="T163" s="17">
        <v>13923.81</v>
      </c>
      <c r="U163" s="17">
        <v>72</v>
      </c>
      <c r="V163" s="16">
        <v>18000</v>
      </c>
      <c r="W163" s="17">
        <v>60.8</v>
      </c>
      <c r="X163" s="17">
        <v>18060.8</v>
      </c>
      <c r="Y163" s="17">
        <v>4515.2</v>
      </c>
      <c r="Z163" s="17">
        <v>11014.52</v>
      </c>
      <c r="AA163" s="17">
        <v>0</v>
      </c>
      <c r="AB163" s="17">
        <v>738.21</v>
      </c>
      <c r="AC163" s="17">
        <v>0</v>
      </c>
      <c r="AD163" s="17">
        <v>0</v>
      </c>
      <c r="AE163" s="17">
        <v>13025.74</v>
      </c>
      <c r="AF163" s="17">
        <v>8259.49</v>
      </c>
      <c r="AG163" s="17">
        <v>3744.29</v>
      </c>
      <c r="AH163" s="17">
        <v>847.91</v>
      </c>
      <c r="AI163" s="17">
        <v>2896.38</v>
      </c>
      <c r="AJ163" s="17">
        <v>3228.28</v>
      </c>
      <c r="AK163" s="17">
        <v>11027.43</v>
      </c>
    </row>
    <row r="164" spans="1:37" x14ac:dyDescent="0.2">
      <c r="A164" s="14" t="s">
        <v>33</v>
      </c>
      <c r="B164" s="14">
        <v>518</v>
      </c>
      <c r="C164" s="14">
        <v>1</v>
      </c>
      <c r="D164" s="14" t="s">
        <v>240</v>
      </c>
      <c r="E164" s="15">
        <v>53</v>
      </c>
      <c r="F164" s="15" t="s">
        <v>65</v>
      </c>
      <c r="G164" s="16">
        <v>1081</v>
      </c>
      <c r="H164" s="16">
        <v>1113</v>
      </c>
      <c r="I164" s="16">
        <v>10431593</v>
      </c>
      <c r="J164" s="16">
        <v>129720</v>
      </c>
      <c r="K164" s="16">
        <v>133560</v>
      </c>
      <c r="L164" s="17">
        <v>34947.300000000003</v>
      </c>
      <c r="M164" s="17">
        <v>34947.300000000003</v>
      </c>
      <c r="N164" s="17">
        <v>34947.300000000003</v>
      </c>
      <c r="O164" s="18">
        <v>1</v>
      </c>
      <c r="P164" s="17">
        <v>94772.7</v>
      </c>
      <c r="Q164" s="17">
        <v>98612.7</v>
      </c>
      <c r="R164" s="17">
        <v>98612.7</v>
      </c>
      <c r="S164" s="17">
        <v>1</v>
      </c>
      <c r="T164" s="17">
        <v>98612.7</v>
      </c>
      <c r="U164" s="17">
        <v>1780.8</v>
      </c>
      <c r="V164" s="16">
        <v>129720</v>
      </c>
      <c r="W164" s="17">
        <v>11464.48</v>
      </c>
      <c r="X164" s="17">
        <v>141184.48000000001</v>
      </c>
      <c r="Y164" s="17">
        <v>35296.120000000003</v>
      </c>
      <c r="Z164" s="17">
        <v>27516.14</v>
      </c>
      <c r="AA164" s="17">
        <v>0</v>
      </c>
      <c r="AB164" s="17">
        <v>27546.76</v>
      </c>
      <c r="AC164" s="17">
        <v>0</v>
      </c>
      <c r="AD164" s="17">
        <v>0</v>
      </c>
      <c r="AE164" s="17">
        <v>22602.6</v>
      </c>
      <c r="AF164" s="17">
        <v>25888.5</v>
      </c>
      <c r="AG164" s="17">
        <v>0</v>
      </c>
      <c r="AH164" s="17">
        <v>0</v>
      </c>
      <c r="AI164" s="17">
        <v>0</v>
      </c>
      <c r="AJ164" s="17">
        <v>34947.300000000003</v>
      </c>
      <c r="AK164" s="17">
        <v>98612.7</v>
      </c>
    </row>
    <row r="165" spans="1:37" x14ac:dyDescent="0.2">
      <c r="A165" s="14" t="s">
        <v>33</v>
      </c>
      <c r="B165" s="14">
        <v>531</v>
      </c>
      <c r="C165" s="14">
        <v>1</v>
      </c>
      <c r="D165" s="14" t="s">
        <v>241</v>
      </c>
      <c r="E165" s="15">
        <v>55</v>
      </c>
      <c r="F165" s="15" t="s">
        <v>61</v>
      </c>
      <c r="G165" s="16">
        <v>555</v>
      </c>
      <c r="H165" s="16">
        <v>525</v>
      </c>
      <c r="I165" s="16">
        <v>7900992</v>
      </c>
      <c r="J165" s="16">
        <v>66600</v>
      </c>
      <c r="K165" s="16">
        <v>63000</v>
      </c>
      <c r="L165" s="17">
        <v>26469.43</v>
      </c>
      <c r="M165" s="17">
        <v>26469.43</v>
      </c>
      <c r="N165" s="17">
        <v>26469.43</v>
      </c>
      <c r="O165" s="18">
        <v>1</v>
      </c>
      <c r="P165" s="17">
        <v>40130.57</v>
      </c>
      <c r="Q165" s="17">
        <v>36530.57</v>
      </c>
      <c r="R165" s="17">
        <v>36530.57</v>
      </c>
      <c r="S165" s="17">
        <v>1</v>
      </c>
      <c r="T165" s="17">
        <v>36530.57</v>
      </c>
      <c r="U165" s="17">
        <v>840</v>
      </c>
      <c r="V165" s="16">
        <v>66600</v>
      </c>
      <c r="W165" s="17">
        <v>1414</v>
      </c>
      <c r="X165" s="17">
        <v>68014</v>
      </c>
      <c r="Y165" s="17">
        <v>17003.5</v>
      </c>
      <c r="Z165" s="17">
        <v>2586.3000000000002</v>
      </c>
      <c r="AA165" s="17">
        <v>0</v>
      </c>
      <c r="AB165" s="17">
        <v>250.01</v>
      </c>
      <c r="AC165" s="17">
        <v>0</v>
      </c>
      <c r="AD165" s="17">
        <v>0</v>
      </c>
      <c r="AE165" s="17">
        <v>1963.82</v>
      </c>
      <c r="AF165" s="17">
        <v>1600.04</v>
      </c>
      <c r="AG165" s="17">
        <v>0</v>
      </c>
      <c r="AH165" s="17">
        <v>0</v>
      </c>
      <c r="AI165" s="17">
        <v>0</v>
      </c>
      <c r="AJ165" s="17">
        <v>26469.43</v>
      </c>
      <c r="AK165" s="17">
        <v>36530.57</v>
      </c>
    </row>
    <row r="166" spans="1:37" x14ac:dyDescent="0.2">
      <c r="A166" s="14" t="s">
        <v>33</v>
      </c>
      <c r="B166" s="14">
        <v>533</v>
      </c>
      <c r="C166" s="14">
        <v>1</v>
      </c>
      <c r="D166" s="14" t="s">
        <v>242</v>
      </c>
      <c r="E166" s="15">
        <v>55</v>
      </c>
      <c r="F166" s="15" t="s">
        <v>61</v>
      </c>
      <c r="G166" s="16">
        <v>284</v>
      </c>
      <c r="H166" s="16">
        <v>294</v>
      </c>
      <c r="I166" s="16">
        <v>4342815</v>
      </c>
      <c r="J166" s="16">
        <v>34080</v>
      </c>
      <c r="K166" s="16">
        <v>35280</v>
      </c>
      <c r="L166" s="17">
        <v>14549.04</v>
      </c>
      <c r="M166" s="17">
        <v>14549.04</v>
      </c>
      <c r="N166" s="17">
        <v>14549.04</v>
      </c>
      <c r="O166" s="18">
        <v>1</v>
      </c>
      <c r="P166" s="17">
        <v>19530.96</v>
      </c>
      <c r="Q166" s="17">
        <v>20730.96</v>
      </c>
      <c r="R166" s="17">
        <v>20730.96</v>
      </c>
      <c r="S166" s="17">
        <v>1</v>
      </c>
      <c r="T166" s="17">
        <v>20730.96</v>
      </c>
      <c r="U166" s="17">
        <v>470.4</v>
      </c>
      <c r="V166" s="16">
        <v>34080</v>
      </c>
      <c r="W166" s="17">
        <v>9962.9599999999991</v>
      </c>
      <c r="X166" s="17">
        <v>44042.96</v>
      </c>
      <c r="Y166" s="17">
        <v>11010.74</v>
      </c>
      <c r="Z166" s="17">
        <v>22537.39</v>
      </c>
      <c r="AA166" s="17">
        <v>6138.03</v>
      </c>
      <c r="AB166" s="17">
        <v>29401.15</v>
      </c>
      <c r="AC166" s="17">
        <v>9353.33</v>
      </c>
      <c r="AD166" s="17">
        <v>0</v>
      </c>
      <c r="AE166" s="17">
        <v>19031.39</v>
      </c>
      <c r="AF166" s="17">
        <v>18492.86</v>
      </c>
      <c r="AG166" s="17">
        <v>7482.12</v>
      </c>
      <c r="AH166" s="17">
        <v>3085.53</v>
      </c>
      <c r="AI166" s="17">
        <v>4396.59</v>
      </c>
      <c r="AJ166" s="17">
        <v>11463.51</v>
      </c>
      <c r="AK166" s="17">
        <v>16334.37</v>
      </c>
    </row>
    <row r="167" spans="1:37" x14ac:dyDescent="0.2">
      <c r="A167" s="14" t="s">
        <v>33</v>
      </c>
      <c r="B167" s="14">
        <v>534</v>
      </c>
      <c r="C167" s="14">
        <v>1</v>
      </c>
      <c r="D167" s="14" t="s">
        <v>243</v>
      </c>
      <c r="E167" s="15">
        <v>55</v>
      </c>
      <c r="F167" s="15" t="s">
        <v>61</v>
      </c>
      <c r="G167" s="16">
        <v>570</v>
      </c>
      <c r="H167" s="16">
        <v>559</v>
      </c>
      <c r="I167" s="16">
        <v>8528964</v>
      </c>
      <c r="J167" s="16">
        <v>68400</v>
      </c>
      <c r="K167" s="16">
        <v>67080</v>
      </c>
      <c r="L167" s="17">
        <v>28573.22</v>
      </c>
      <c r="M167" s="17">
        <v>28573.22</v>
      </c>
      <c r="N167" s="17">
        <v>28573.22</v>
      </c>
      <c r="O167" s="18">
        <v>1</v>
      </c>
      <c r="P167" s="17">
        <v>39826.78</v>
      </c>
      <c r="Q167" s="17">
        <v>38506.78</v>
      </c>
      <c r="R167" s="17">
        <v>38506.78</v>
      </c>
      <c r="S167" s="17">
        <v>1</v>
      </c>
      <c r="T167" s="17">
        <v>38506.78</v>
      </c>
      <c r="U167" s="17">
        <v>894.4</v>
      </c>
      <c r="V167" s="16">
        <v>68400</v>
      </c>
      <c r="W167" s="17">
        <v>8008</v>
      </c>
      <c r="X167" s="17">
        <v>76408</v>
      </c>
      <c r="Y167" s="17">
        <v>19102</v>
      </c>
      <c r="Z167" s="17">
        <v>48667.79</v>
      </c>
      <c r="AA167" s="17">
        <v>32878.519999999997</v>
      </c>
      <c r="AB167" s="17">
        <v>10240.01</v>
      </c>
      <c r="AC167" s="17">
        <v>7775.61</v>
      </c>
      <c r="AD167" s="17">
        <v>0</v>
      </c>
      <c r="AE167" s="17">
        <v>-5426.79</v>
      </c>
      <c r="AF167" s="17">
        <v>4275.63</v>
      </c>
      <c r="AG167" s="17">
        <v>0</v>
      </c>
      <c r="AH167" s="17">
        <v>0</v>
      </c>
      <c r="AI167" s="17">
        <v>0</v>
      </c>
      <c r="AJ167" s="17">
        <v>28573.22</v>
      </c>
      <c r="AK167" s="17">
        <v>38506.78</v>
      </c>
    </row>
    <row r="168" spans="1:37" x14ac:dyDescent="0.2">
      <c r="A168" s="14" t="s">
        <v>33</v>
      </c>
      <c r="B168" s="14">
        <v>535</v>
      </c>
      <c r="C168" s="14">
        <v>1</v>
      </c>
      <c r="D168" s="14" t="s">
        <v>244</v>
      </c>
      <c r="E168" s="15">
        <v>55</v>
      </c>
      <c r="F168" s="15" t="s">
        <v>61</v>
      </c>
      <c r="G168" s="16">
        <v>7963</v>
      </c>
      <c r="H168" s="16">
        <v>8409</v>
      </c>
      <c r="I168" s="16">
        <v>124667146</v>
      </c>
      <c r="J168" s="16">
        <v>955560</v>
      </c>
      <c r="K168" s="16">
        <v>1009080</v>
      </c>
      <c r="L168" s="17">
        <v>417652.39</v>
      </c>
      <c r="M168" s="17">
        <v>417652.39</v>
      </c>
      <c r="N168" s="17">
        <v>417652.39</v>
      </c>
      <c r="O168" s="18">
        <v>1</v>
      </c>
      <c r="P168" s="17">
        <v>537907.61</v>
      </c>
      <c r="Q168" s="17">
        <v>591427.61</v>
      </c>
      <c r="R168" s="17">
        <v>591427.61</v>
      </c>
      <c r="S168" s="17">
        <v>1</v>
      </c>
      <c r="T168" s="17">
        <v>591427.61</v>
      </c>
      <c r="U168" s="17">
        <v>13454.4</v>
      </c>
      <c r="V168" s="16">
        <v>955560</v>
      </c>
      <c r="W168" s="17">
        <v>174204.88</v>
      </c>
      <c r="X168" s="17">
        <v>1129764.8799999999</v>
      </c>
      <c r="Y168" s="17">
        <v>282441.21999999997</v>
      </c>
      <c r="Z168" s="17">
        <v>161004.54999999999</v>
      </c>
      <c r="AA168" s="17">
        <v>0</v>
      </c>
      <c r="AB168" s="17">
        <v>228016.36</v>
      </c>
      <c r="AC168" s="17">
        <v>0</v>
      </c>
      <c r="AD168" s="17">
        <v>0</v>
      </c>
      <c r="AE168" s="17">
        <v>358639.74</v>
      </c>
      <c r="AF168" s="17">
        <v>249220.22</v>
      </c>
      <c r="AG168" s="17">
        <v>0</v>
      </c>
      <c r="AH168" s="17">
        <v>0</v>
      </c>
      <c r="AI168" s="17">
        <v>0</v>
      </c>
      <c r="AJ168" s="17">
        <v>417652.39</v>
      </c>
      <c r="AK168" s="17">
        <v>591427.61</v>
      </c>
    </row>
    <row r="169" spans="1:37" x14ac:dyDescent="0.2">
      <c r="A169" s="14" t="s">
        <v>33</v>
      </c>
      <c r="B169" s="14">
        <v>542</v>
      </c>
      <c r="C169" s="14">
        <v>1</v>
      </c>
      <c r="D169" s="14" t="s">
        <v>245</v>
      </c>
      <c r="E169" s="15">
        <v>56</v>
      </c>
      <c r="F169" s="15" t="s">
        <v>60</v>
      </c>
      <c r="G169" s="16">
        <v>154</v>
      </c>
      <c r="H169" s="16">
        <v>151</v>
      </c>
      <c r="I169" s="16">
        <v>13950186</v>
      </c>
      <c r="J169" s="16">
        <v>18480</v>
      </c>
      <c r="K169" s="16">
        <v>18120</v>
      </c>
      <c r="L169" s="17">
        <v>18480</v>
      </c>
      <c r="M169" s="17">
        <v>18120</v>
      </c>
      <c r="N169" s="17">
        <v>18480</v>
      </c>
      <c r="O169" s="18">
        <v>1</v>
      </c>
      <c r="P169" s="17">
        <v>0</v>
      </c>
      <c r="Q169" s="17">
        <v>0</v>
      </c>
      <c r="R169" s="17">
        <v>0</v>
      </c>
      <c r="S169" s="17">
        <v>1</v>
      </c>
      <c r="T169" s="17">
        <v>0</v>
      </c>
      <c r="U169" s="17">
        <v>241.6</v>
      </c>
      <c r="V169" s="16">
        <v>18480</v>
      </c>
      <c r="W169" s="17">
        <v>493.4</v>
      </c>
      <c r="X169" s="17">
        <v>18973.400000000001</v>
      </c>
      <c r="Y169" s="17">
        <v>4743.3500000000004</v>
      </c>
      <c r="Z169" s="17">
        <v>1965.37</v>
      </c>
      <c r="AA169" s="17">
        <v>0</v>
      </c>
      <c r="AB169" s="17">
        <v>-3324.47</v>
      </c>
      <c r="AC169" s="17">
        <v>0</v>
      </c>
      <c r="AD169" s="17">
        <v>0</v>
      </c>
      <c r="AE169" s="17">
        <v>-12289.99</v>
      </c>
      <c r="AF169" s="17">
        <v>-4549.7</v>
      </c>
      <c r="AG169" s="17">
        <v>0</v>
      </c>
      <c r="AH169" s="17">
        <v>0</v>
      </c>
      <c r="AI169" s="17">
        <v>0</v>
      </c>
      <c r="AJ169" s="17">
        <v>18120</v>
      </c>
      <c r="AK169" s="17">
        <v>0</v>
      </c>
    </row>
    <row r="170" spans="1:37" x14ac:dyDescent="0.2">
      <c r="A170" s="14" t="s">
        <v>33</v>
      </c>
      <c r="B170" s="14">
        <v>544</v>
      </c>
      <c r="C170" s="14">
        <v>1</v>
      </c>
      <c r="D170" s="14" t="s">
        <v>246</v>
      </c>
      <c r="E170" s="15">
        <v>56</v>
      </c>
      <c r="F170" s="15" t="s">
        <v>60</v>
      </c>
      <c r="G170" s="16">
        <v>1150</v>
      </c>
      <c r="H170" s="16">
        <v>1191</v>
      </c>
      <c r="I170" s="16">
        <v>18483902</v>
      </c>
      <c r="J170" s="16">
        <v>138000</v>
      </c>
      <c r="K170" s="16">
        <v>142920</v>
      </c>
      <c r="L170" s="17">
        <v>61923.66</v>
      </c>
      <c r="M170" s="17">
        <v>61923.66</v>
      </c>
      <c r="N170" s="17">
        <v>61923.66</v>
      </c>
      <c r="O170" s="18">
        <v>1</v>
      </c>
      <c r="P170" s="17">
        <v>76076.34</v>
      </c>
      <c r="Q170" s="17">
        <v>80996.34</v>
      </c>
      <c r="R170" s="17">
        <v>80996.34</v>
      </c>
      <c r="S170" s="17">
        <v>1</v>
      </c>
      <c r="T170" s="17">
        <v>80996.34</v>
      </c>
      <c r="U170" s="17">
        <v>1905.6</v>
      </c>
      <c r="V170" s="16">
        <v>138000</v>
      </c>
      <c r="W170" s="17">
        <v>27278.74</v>
      </c>
      <c r="X170" s="17">
        <v>165278.74</v>
      </c>
      <c r="Y170" s="17">
        <v>41319.69</v>
      </c>
      <c r="Z170" s="17">
        <v>11318.3</v>
      </c>
      <c r="AA170" s="17">
        <v>0</v>
      </c>
      <c r="AB170" s="17">
        <v>7246.26</v>
      </c>
      <c r="AC170" s="17">
        <v>0</v>
      </c>
      <c r="AD170" s="17">
        <v>0</v>
      </c>
      <c r="AE170" s="17">
        <v>12621.16</v>
      </c>
      <c r="AF170" s="17">
        <v>10395.24</v>
      </c>
      <c r="AG170" s="17">
        <v>0</v>
      </c>
      <c r="AH170" s="17">
        <v>0</v>
      </c>
      <c r="AI170" s="17">
        <v>0</v>
      </c>
      <c r="AJ170" s="17">
        <v>61923.66</v>
      </c>
      <c r="AK170" s="17">
        <v>80996.34</v>
      </c>
    </row>
    <row r="171" spans="1:37" x14ac:dyDescent="0.2">
      <c r="A171" s="14" t="s">
        <v>33</v>
      </c>
      <c r="B171" s="14">
        <v>545</v>
      </c>
      <c r="C171" s="14">
        <v>1</v>
      </c>
      <c r="D171" s="14" t="s">
        <v>247</v>
      </c>
      <c r="E171" s="15">
        <v>56</v>
      </c>
      <c r="F171" s="15" t="s">
        <v>60</v>
      </c>
      <c r="G171" s="16">
        <v>124</v>
      </c>
      <c r="H171" s="16">
        <v>124</v>
      </c>
      <c r="I171" s="16">
        <v>5158924</v>
      </c>
      <c r="J171" s="16">
        <v>18000</v>
      </c>
      <c r="K171" s="16">
        <v>18000</v>
      </c>
      <c r="L171" s="17">
        <v>17283.12</v>
      </c>
      <c r="M171" s="17">
        <v>17283.12</v>
      </c>
      <c r="N171" s="17">
        <v>17283.12</v>
      </c>
      <c r="O171" s="18">
        <v>1</v>
      </c>
      <c r="P171" s="17">
        <v>716.88</v>
      </c>
      <c r="Q171" s="17">
        <v>716.88</v>
      </c>
      <c r="R171" s="17">
        <v>716.88</v>
      </c>
      <c r="S171" s="17">
        <v>1</v>
      </c>
      <c r="T171" s="17">
        <v>716.88</v>
      </c>
      <c r="U171" s="17">
        <v>198.4</v>
      </c>
      <c r="V171" s="16">
        <v>18000</v>
      </c>
      <c r="W171" s="17">
        <v>676.86</v>
      </c>
      <c r="X171" s="17">
        <v>18676.86</v>
      </c>
      <c r="Y171" s="17">
        <v>4669.22</v>
      </c>
      <c r="Z171" s="17">
        <v>1166.22</v>
      </c>
      <c r="AA171" s="17">
        <v>0</v>
      </c>
      <c r="AB171" s="17">
        <v>1250.0899999999999</v>
      </c>
      <c r="AC171" s="17">
        <v>0</v>
      </c>
      <c r="AD171" s="17">
        <v>0</v>
      </c>
      <c r="AE171" s="17">
        <v>2993.42</v>
      </c>
      <c r="AF171" s="17">
        <v>1803.24</v>
      </c>
      <c r="AG171" s="17">
        <v>0</v>
      </c>
      <c r="AH171" s="17">
        <v>0</v>
      </c>
      <c r="AI171" s="17">
        <v>0</v>
      </c>
      <c r="AJ171" s="17">
        <v>17283.12</v>
      </c>
      <c r="AK171" s="17">
        <v>716.88</v>
      </c>
    </row>
    <row r="172" spans="1:37" x14ac:dyDescent="0.2">
      <c r="A172" s="14" t="s">
        <v>33</v>
      </c>
      <c r="B172" s="14">
        <v>547</v>
      </c>
      <c r="C172" s="14">
        <v>1</v>
      </c>
      <c r="D172" s="14" t="s">
        <v>248</v>
      </c>
      <c r="E172" s="15">
        <v>56</v>
      </c>
      <c r="F172" s="15" t="s">
        <v>60</v>
      </c>
      <c r="G172" s="16">
        <v>143</v>
      </c>
      <c r="H172" s="16">
        <v>135</v>
      </c>
      <c r="I172" s="16">
        <v>4667402</v>
      </c>
      <c r="J172" s="16">
        <v>18000</v>
      </c>
      <c r="K172" s="16">
        <v>18000</v>
      </c>
      <c r="L172" s="17">
        <v>15636.45</v>
      </c>
      <c r="M172" s="17">
        <v>15636.45</v>
      </c>
      <c r="N172" s="17">
        <v>15636.45</v>
      </c>
      <c r="O172" s="18">
        <v>1</v>
      </c>
      <c r="P172" s="17">
        <v>2363.5500000000002</v>
      </c>
      <c r="Q172" s="17">
        <v>2363.5500000000002</v>
      </c>
      <c r="R172" s="17">
        <v>2363.5500000000002</v>
      </c>
      <c r="S172" s="17">
        <v>1</v>
      </c>
      <c r="T172" s="17">
        <v>2363.5500000000002</v>
      </c>
      <c r="U172" s="17">
        <v>216</v>
      </c>
      <c r="V172" s="16">
        <v>18000</v>
      </c>
      <c r="W172" s="17">
        <v>1970.3</v>
      </c>
      <c r="X172" s="17">
        <v>19970.3</v>
      </c>
      <c r="Y172" s="17">
        <v>4992.58</v>
      </c>
      <c r="Z172" s="17">
        <v>6663.16</v>
      </c>
      <c r="AA172" s="17">
        <v>0</v>
      </c>
      <c r="AB172" s="17">
        <v>2432.2199999999998</v>
      </c>
      <c r="AC172" s="17">
        <v>0</v>
      </c>
      <c r="AD172" s="17">
        <v>0</v>
      </c>
      <c r="AE172" s="17">
        <v>-2119.5300000000002</v>
      </c>
      <c r="AF172" s="17">
        <v>2325.2800000000002</v>
      </c>
      <c r="AG172" s="17">
        <v>0</v>
      </c>
      <c r="AH172" s="17">
        <v>0</v>
      </c>
      <c r="AI172" s="17">
        <v>0</v>
      </c>
      <c r="AJ172" s="17">
        <v>15636.45</v>
      </c>
      <c r="AK172" s="17">
        <v>2363.5500000000002</v>
      </c>
    </row>
    <row r="173" spans="1:37" x14ac:dyDescent="0.2">
      <c r="A173" s="14" t="s">
        <v>33</v>
      </c>
      <c r="B173" s="14">
        <v>548</v>
      </c>
      <c r="C173" s="14">
        <v>1</v>
      </c>
      <c r="D173" s="14" t="s">
        <v>249</v>
      </c>
      <c r="E173" s="15">
        <v>56</v>
      </c>
      <c r="F173" s="15" t="s">
        <v>60</v>
      </c>
      <c r="G173" s="16">
        <v>374</v>
      </c>
      <c r="H173" s="16">
        <v>353</v>
      </c>
      <c r="I173" s="16">
        <v>17102671</v>
      </c>
      <c r="J173" s="16">
        <v>44880</v>
      </c>
      <c r="K173" s="16">
        <v>42360</v>
      </c>
      <c r="L173" s="17">
        <v>44880</v>
      </c>
      <c r="M173" s="17">
        <v>42360</v>
      </c>
      <c r="N173" s="17">
        <v>44880</v>
      </c>
      <c r="O173" s="18">
        <v>1</v>
      </c>
      <c r="P173" s="17">
        <v>0</v>
      </c>
      <c r="Q173" s="17">
        <v>0</v>
      </c>
      <c r="R173" s="17">
        <v>0</v>
      </c>
      <c r="S173" s="17">
        <v>1</v>
      </c>
      <c r="T173" s="17">
        <v>0</v>
      </c>
      <c r="U173" s="17">
        <v>564.79999999999995</v>
      </c>
      <c r="V173" s="16">
        <v>44880</v>
      </c>
      <c r="W173" s="17">
        <v>9024.4699999999993</v>
      </c>
      <c r="X173" s="17">
        <v>53904.47</v>
      </c>
      <c r="Y173" s="17">
        <v>13476.12</v>
      </c>
      <c r="Z173" s="17">
        <v>6878.71</v>
      </c>
      <c r="AA173" s="17">
        <v>0</v>
      </c>
      <c r="AB173" s="17">
        <v>6518.21</v>
      </c>
      <c r="AC173" s="17">
        <v>0</v>
      </c>
      <c r="AD173" s="17">
        <v>0</v>
      </c>
      <c r="AE173" s="17">
        <v>11037.43</v>
      </c>
      <c r="AF173" s="17">
        <v>8144.78</v>
      </c>
      <c r="AG173" s="17">
        <v>0</v>
      </c>
      <c r="AH173" s="17">
        <v>0</v>
      </c>
      <c r="AI173" s="17">
        <v>0</v>
      </c>
      <c r="AJ173" s="17">
        <v>42360</v>
      </c>
      <c r="AK173" s="17">
        <v>0</v>
      </c>
    </row>
    <row r="174" spans="1:37" x14ac:dyDescent="0.2">
      <c r="A174" s="14" t="s">
        <v>33</v>
      </c>
      <c r="B174" s="14">
        <v>549</v>
      </c>
      <c r="C174" s="14">
        <v>1</v>
      </c>
      <c r="D174" s="14" t="s">
        <v>250</v>
      </c>
      <c r="E174" s="15">
        <v>56</v>
      </c>
      <c r="F174" s="15" t="s">
        <v>60</v>
      </c>
      <c r="G174" s="16">
        <v>373</v>
      </c>
      <c r="H174" s="16">
        <v>409</v>
      </c>
      <c r="I174" s="16">
        <v>19131130</v>
      </c>
      <c r="J174" s="16">
        <v>44760</v>
      </c>
      <c r="K174" s="16">
        <v>49080</v>
      </c>
      <c r="L174" s="17">
        <v>44760</v>
      </c>
      <c r="M174" s="17">
        <v>49080</v>
      </c>
      <c r="N174" s="17">
        <v>44760</v>
      </c>
      <c r="O174" s="18">
        <v>1</v>
      </c>
      <c r="P174" s="17">
        <v>0</v>
      </c>
      <c r="Q174" s="17">
        <v>0</v>
      </c>
      <c r="R174" s="17">
        <v>0</v>
      </c>
      <c r="S174" s="17">
        <v>1</v>
      </c>
      <c r="T174" s="17">
        <v>0</v>
      </c>
      <c r="U174" s="17">
        <v>654.4</v>
      </c>
      <c r="V174" s="16">
        <v>44760</v>
      </c>
      <c r="W174" s="17">
        <v>596.79999999999995</v>
      </c>
      <c r="X174" s="17">
        <v>45356.800000000003</v>
      </c>
      <c r="Y174" s="17">
        <v>11339.2</v>
      </c>
      <c r="Z174" s="17">
        <v>41600.339999999997</v>
      </c>
      <c r="AA174" s="17">
        <v>11937.58</v>
      </c>
      <c r="AB174" s="17">
        <v>-15750</v>
      </c>
      <c r="AC174" s="17">
        <v>0</v>
      </c>
      <c r="AD174" s="17">
        <v>0</v>
      </c>
      <c r="AE174" s="17">
        <v>951.35</v>
      </c>
      <c r="AF174" s="17">
        <v>4954.7</v>
      </c>
      <c r="AG174" s="17">
        <v>0</v>
      </c>
      <c r="AH174" s="17">
        <v>0</v>
      </c>
      <c r="AI174" s="17">
        <v>0</v>
      </c>
      <c r="AJ174" s="17">
        <v>49080</v>
      </c>
      <c r="AK174" s="17">
        <v>0</v>
      </c>
    </row>
    <row r="175" spans="1:37" x14ac:dyDescent="0.2">
      <c r="A175" s="14" t="s">
        <v>33</v>
      </c>
      <c r="B175" s="14">
        <v>550</v>
      </c>
      <c r="C175" s="14">
        <v>1</v>
      </c>
      <c r="D175" s="14" t="s">
        <v>251</v>
      </c>
      <c r="E175" s="15">
        <v>56</v>
      </c>
      <c r="F175" s="15" t="s">
        <v>60</v>
      </c>
      <c r="G175" s="16">
        <v>99</v>
      </c>
      <c r="H175" s="16">
        <v>88</v>
      </c>
      <c r="I175" s="16">
        <v>3104954</v>
      </c>
      <c r="J175" s="16">
        <v>18000</v>
      </c>
      <c r="K175" s="16">
        <v>18000</v>
      </c>
      <c r="L175" s="17">
        <v>10402.030000000001</v>
      </c>
      <c r="M175" s="17">
        <v>10402.030000000001</v>
      </c>
      <c r="N175" s="17">
        <v>10402.030000000001</v>
      </c>
      <c r="O175" s="18">
        <v>1</v>
      </c>
      <c r="P175" s="17">
        <v>7597.97</v>
      </c>
      <c r="Q175" s="17">
        <v>7597.97</v>
      </c>
      <c r="R175" s="17">
        <v>7597.97</v>
      </c>
      <c r="S175" s="17">
        <v>1</v>
      </c>
      <c r="T175" s="17">
        <v>7597.97</v>
      </c>
      <c r="U175" s="17">
        <v>140.80000000000001</v>
      </c>
      <c r="V175" s="16">
        <v>18000</v>
      </c>
      <c r="W175" s="17">
        <v>1815.5</v>
      </c>
      <c r="X175" s="17">
        <v>19815.5</v>
      </c>
      <c r="Y175" s="17">
        <v>4953.88</v>
      </c>
      <c r="Z175" s="17">
        <v>394.9</v>
      </c>
      <c r="AA175" s="17">
        <v>0</v>
      </c>
      <c r="AB175" s="17">
        <v>651.73</v>
      </c>
      <c r="AC175" s="17">
        <v>0</v>
      </c>
      <c r="AD175" s="17">
        <v>0</v>
      </c>
      <c r="AE175" s="17">
        <v>7943.09</v>
      </c>
      <c r="AF175" s="17">
        <v>2996.57</v>
      </c>
      <c r="AG175" s="17">
        <v>0</v>
      </c>
      <c r="AH175" s="17">
        <v>0</v>
      </c>
      <c r="AI175" s="17">
        <v>0</v>
      </c>
      <c r="AJ175" s="17">
        <v>10402.030000000001</v>
      </c>
      <c r="AK175" s="17">
        <v>7597.97</v>
      </c>
    </row>
    <row r="176" spans="1:37" x14ac:dyDescent="0.2">
      <c r="A176" s="14" t="s">
        <v>33</v>
      </c>
      <c r="B176" s="14">
        <v>553</v>
      </c>
      <c r="C176" s="14">
        <v>1</v>
      </c>
      <c r="D176" s="14" t="s">
        <v>252</v>
      </c>
      <c r="E176" s="15">
        <v>56</v>
      </c>
      <c r="F176" s="15" t="s">
        <v>60</v>
      </c>
      <c r="G176" s="16">
        <v>240</v>
      </c>
      <c r="H176" s="16">
        <v>232</v>
      </c>
      <c r="I176" s="16">
        <v>3202730</v>
      </c>
      <c r="J176" s="16">
        <v>28800</v>
      </c>
      <c r="K176" s="16">
        <v>27840</v>
      </c>
      <c r="L176" s="17">
        <v>10729.59</v>
      </c>
      <c r="M176" s="17">
        <v>10729.59</v>
      </c>
      <c r="N176" s="17">
        <v>10729.59</v>
      </c>
      <c r="O176" s="18">
        <v>1</v>
      </c>
      <c r="P176" s="17">
        <v>18070.41</v>
      </c>
      <c r="Q176" s="17">
        <v>17110.41</v>
      </c>
      <c r="R176" s="17">
        <v>17110.41</v>
      </c>
      <c r="S176" s="17">
        <v>1</v>
      </c>
      <c r="T176" s="17">
        <v>17110.41</v>
      </c>
      <c r="U176" s="17">
        <v>371.2</v>
      </c>
      <c r="V176" s="16">
        <v>28800</v>
      </c>
      <c r="W176" s="17">
        <v>384</v>
      </c>
      <c r="X176" s="17">
        <v>29184</v>
      </c>
      <c r="Y176" s="17">
        <v>7296</v>
      </c>
      <c r="Z176" s="17">
        <v>12880.58</v>
      </c>
      <c r="AA176" s="17">
        <v>0</v>
      </c>
      <c r="AB176" s="17">
        <v>6011.01</v>
      </c>
      <c r="AC176" s="17">
        <v>0</v>
      </c>
      <c r="AD176" s="17">
        <v>0</v>
      </c>
      <c r="AE176" s="17">
        <v>2960.23</v>
      </c>
      <c r="AF176" s="17">
        <v>7283.94</v>
      </c>
      <c r="AG176" s="17">
        <v>0</v>
      </c>
      <c r="AH176" s="17">
        <v>0</v>
      </c>
      <c r="AI176" s="17">
        <v>0</v>
      </c>
      <c r="AJ176" s="17">
        <v>10729.59</v>
      </c>
      <c r="AK176" s="17">
        <v>17110.41</v>
      </c>
    </row>
    <row r="177" spans="1:37" x14ac:dyDescent="0.2">
      <c r="A177" s="14" t="s">
        <v>33</v>
      </c>
      <c r="B177" s="14">
        <v>561</v>
      </c>
      <c r="C177" s="14">
        <v>1</v>
      </c>
      <c r="D177" s="14" t="s">
        <v>253</v>
      </c>
      <c r="E177" s="15">
        <v>57</v>
      </c>
      <c r="F177" s="15" t="s">
        <v>59</v>
      </c>
      <c r="G177" s="16">
        <v>49</v>
      </c>
      <c r="H177" s="16">
        <v>71</v>
      </c>
      <c r="I177" s="16">
        <v>852334</v>
      </c>
      <c r="J177" s="16">
        <v>18000</v>
      </c>
      <c r="K177" s="16">
        <v>18000</v>
      </c>
      <c r="L177" s="17">
        <v>2855.44</v>
      </c>
      <c r="M177" s="17">
        <v>2855.44</v>
      </c>
      <c r="N177" s="17">
        <v>2855.44</v>
      </c>
      <c r="O177" s="18">
        <v>1</v>
      </c>
      <c r="P177" s="17">
        <v>15144.56</v>
      </c>
      <c r="Q177" s="17">
        <v>15144.56</v>
      </c>
      <c r="R177" s="17">
        <v>15144.56</v>
      </c>
      <c r="S177" s="17">
        <v>1</v>
      </c>
      <c r="T177" s="17">
        <v>15144.56</v>
      </c>
      <c r="U177" s="17">
        <v>0</v>
      </c>
      <c r="V177" s="16">
        <v>18000</v>
      </c>
      <c r="W177" s="17">
        <v>0</v>
      </c>
      <c r="X177" s="17">
        <v>18000</v>
      </c>
      <c r="Y177" s="17">
        <v>4500</v>
      </c>
      <c r="Z177" s="17">
        <v>0</v>
      </c>
      <c r="AA177" s="17">
        <v>0</v>
      </c>
      <c r="AB177" s="17">
        <v>0.21</v>
      </c>
      <c r="AC177" s="17">
        <v>0</v>
      </c>
      <c r="AD177" s="17">
        <v>0</v>
      </c>
      <c r="AE177" s="17">
        <v>1796.55</v>
      </c>
      <c r="AF177" s="17">
        <v>598.91999999999996</v>
      </c>
      <c r="AG177" s="17">
        <v>0</v>
      </c>
      <c r="AH177" s="17">
        <v>0</v>
      </c>
      <c r="AI177" s="17">
        <v>0</v>
      </c>
      <c r="AJ177" s="17">
        <v>2855.44</v>
      </c>
      <c r="AK177" s="17">
        <v>15144.56</v>
      </c>
    </row>
    <row r="178" spans="1:37" x14ac:dyDescent="0.2">
      <c r="A178" s="14" t="s">
        <v>33</v>
      </c>
      <c r="B178" s="14">
        <v>564</v>
      </c>
      <c r="C178" s="14">
        <v>1</v>
      </c>
      <c r="D178" s="14" t="s">
        <v>254</v>
      </c>
      <c r="E178" s="15">
        <v>57</v>
      </c>
      <c r="F178" s="15" t="s">
        <v>59</v>
      </c>
      <c r="G178" s="16">
        <v>871</v>
      </c>
      <c r="H178" s="16">
        <v>861</v>
      </c>
      <c r="I178" s="16">
        <v>7882532</v>
      </c>
      <c r="J178" s="16">
        <v>104520</v>
      </c>
      <c r="K178" s="16">
        <v>103320</v>
      </c>
      <c r="L178" s="17">
        <v>26407.59</v>
      </c>
      <c r="M178" s="17">
        <v>26407.59</v>
      </c>
      <c r="N178" s="17">
        <v>26407.59</v>
      </c>
      <c r="O178" s="18">
        <v>1</v>
      </c>
      <c r="P178" s="17">
        <v>78112.41</v>
      </c>
      <c r="Q178" s="17">
        <v>76912.41</v>
      </c>
      <c r="R178" s="17">
        <v>76912.41</v>
      </c>
      <c r="S178" s="17">
        <v>1</v>
      </c>
      <c r="T178" s="17">
        <v>76912.41</v>
      </c>
      <c r="U178" s="17">
        <v>1377.6</v>
      </c>
      <c r="V178" s="16">
        <v>104520</v>
      </c>
      <c r="W178" s="17">
        <v>27838.38</v>
      </c>
      <c r="X178" s="17">
        <v>132358.38</v>
      </c>
      <c r="Y178" s="17">
        <v>33089.599999999999</v>
      </c>
      <c r="Z178" s="17">
        <v>-717.55</v>
      </c>
      <c r="AA178" s="17">
        <v>0</v>
      </c>
      <c r="AB178" s="17">
        <v>4245.47</v>
      </c>
      <c r="AC178" s="17">
        <v>0</v>
      </c>
      <c r="AD178" s="17">
        <v>0</v>
      </c>
      <c r="AE178" s="17">
        <v>-1146.29</v>
      </c>
      <c r="AF178" s="17">
        <v>793.88</v>
      </c>
      <c r="AG178" s="17">
        <v>0</v>
      </c>
      <c r="AH178" s="17">
        <v>0</v>
      </c>
      <c r="AI178" s="17">
        <v>0</v>
      </c>
      <c r="AJ178" s="17">
        <v>26407.59</v>
      </c>
      <c r="AK178" s="17">
        <v>76912.41</v>
      </c>
    </row>
    <row r="179" spans="1:37" x14ac:dyDescent="0.2">
      <c r="A179" s="14" t="s">
        <v>33</v>
      </c>
      <c r="B179" s="14">
        <v>577</v>
      </c>
      <c r="C179" s="14">
        <v>1</v>
      </c>
      <c r="D179" s="14" t="s">
        <v>255</v>
      </c>
      <c r="E179" s="15">
        <v>58</v>
      </c>
      <c r="F179" s="15" t="s">
        <v>67</v>
      </c>
      <c r="G179" s="16">
        <v>122</v>
      </c>
      <c r="H179" s="16">
        <v>129</v>
      </c>
      <c r="I179" s="16">
        <v>4534472</v>
      </c>
      <c r="J179" s="16">
        <v>18000</v>
      </c>
      <c r="K179" s="16">
        <v>18000</v>
      </c>
      <c r="L179" s="17">
        <v>15191.12</v>
      </c>
      <c r="M179" s="17">
        <v>15191.12</v>
      </c>
      <c r="N179" s="17">
        <v>15191.12</v>
      </c>
      <c r="O179" s="18">
        <v>1</v>
      </c>
      <c r="P179" s="17">
        <v>2808.88</v>
      </c>
      <c r="Q179" s="17">
        <v>2808.88</v>
      </c>
      <c r="R179" s="17">
        <v>2808.88</v>
      </c>
      <c r="S179" s="17">
        <v>1</v>
      </c>
      <c r="T179" s="17">
        <v>2808.88</v>
      </c>
      <c r="U179" s="17">
        <v>206.4</v>
      </c>
      <c r="V179" s="16">
        <v>18000</v>
      </c>
      <c r="W179" s="17">
        <v>984.2</v>
      </c>
      <c r="X179" s="17">
        <v>18984.2</v>
      </c>
      <c r="Y179" s="17">
        <v>4746.05</v>
      </c>
      <c r="Z179" s="17">
        <v>13791.78</v>
      </c>
      <c r="AA179" s="17">
        <v>5289.41</v>
      </c>
      <c r="AB179" s="17">
        <v>4337.2</v>
      </c>
      <c r="AC179" s="17">
        <v>1781</v>
      </c>
      <c r="AD179" s="17">
        <v>0</v>
      </c>
      <c r="AE179" s="17">
        <v>1097.9000000000001</v>
      </c>
      <c r="AF179" s="17">
        <v>4052.16</v>
      </c>
      <c r="AG179" s="17">
        <v>0</v>
      </c>
      <c r="AH179" s="17">
        <v>0</v>
      </c>
      <c r="AI179" s="17">
        <v>0</v>
      </c>
      <c r="AJ179" s="17">
        <v>15191.12</v>
      </c>
      <c r="AK179" s="17">
        <v>2808.88</v>
      </c>
    </row>
    <row r="180" spans="1:37" x14ac:dyDescent="0.2">
      <c r="A180" s="14" t="s">
        <v>33</v>
      </c>
      <c r="B180" s="14">
        <v>578</v>
      </c>
      <c r="C180" s="14">
        <v>1</v>
      </c>
      <c r="D180" s="14" t="s">
        <v>256</v>
      </c>
      <c r="E180" s="15">
        <v>58</v>
      </c>
      <c r="F180" s="15" t="s">
        <v>67</v>
      </c>
      <c r="G180" s="16">
        <v>645</v>
      </c>
      <c r="H180" s="16">
        <v>675</v>
      </c>
      <c r="I180" s="16">
        <v>12658435</v>
      </c>
      <c r="J180" s="16">
        <v>77400</v>
      </c>
      <c r="K180" s="16">
        <v>81000</v>
      </c>
      <c r="L180" s="17">
        <v>42407.53</v>
      </c>
      <c r="M180" s="17">
        <v>42407.53</v>
      </c>
      <c r="N180" s="17">
        <v>42407.53</v>
      </c>
      <c r="O180" s="18">
        <v>1</v>
      </c>
      <c r="P180" s="17">
        <v>34992.47</v>
      </c>
      <c r="Q180" s="17">
        <v>38592.47</v>
      </c>
      <c r="R180" s="17">
        <v>38592.47</v>
      </c>
      <c r="S180" s="17">
        <v>1</v>
      </c>
      <c r="T180" s="17">
        <v>38592.47</v>
      </c>
      <c r="U180" s="17">
        <v>1080</v>
      </c>
      <c r="V180" s="16">
        <v>77400</v>
      </c>
      <c r="W180" s="17">
        <v>46004.98</v>
      </c>
      <c r="X180" s="17">
        <v>123404.98</v>
      </c>
      <c r="Y180" s="17">
        <v>30851.25</v>
      </c>
      <c r="Z180" s="17">
        <v>-32974.959999999999</v>
      </c>
      <c r="AA180" s="17">
        <v>0</v>
      </c>
      <c r="AB180" s="17">
        <v>-47448.31</v>
      </c>
      <c r="AC180" s="17">
        <v>0</v>
      </c>
      <c r="AD180" s="17">
        <v>0</v>
      </c>
      <c r="AE180" s="17">
        <v>-19706.21</v>
      </c>
      <c r="AF180" s="17">
        <v>-33376.49</v>
      </c>
      <c r="AG180" s="17">
        <v>0</v>
      </c>
      <c r="AH180" s="17">
        <v>0</v>
      </c>
      <c r="AI180" s="17">
        <v>0</v>
      </c>
      <c r="AJ180" s="17">
        <v>42407.53</v>
      </c>
      <c r="AK180" s="17">
        <v>38592.47</v>
      </c>
    </row>
    <row r="181" spans="1:37" x14ac:dyDescent="0.2">
      <c r="A181" s="14" t="s">
        <v>33</v>
      </c>
      <c r="B181" s="14">
        <v>581</v>
      </c>
      <c r="C181" s="14">
        <v>1</v>
      </c>
      <c r="D181" s="14" t="s">
        <v>257</v>
      </c>
      <c r="E181" s="15">
        <v>59</v>
      </c>
      <c r="F181" s="15" t="s">
        <v>65</v>
      </c>
      <c r="G181" s="16">
        <v>154</v>
      </c>
      <c r="H181" s="16">
        <v>157</v>
      </c>
      <c r="I181" s="16">
        <v>2510119</v>
      </c>
      <c r="J181" s="16">
        <v>18480</v>
      </c>
      <c r="K181" s="16">
        <v>18840</v>
      </c>
      <c r="L181" s="17">
        <v>8409.25</v>
      </c>
      <c r="M181" s="17">
        <v>8409.25</v>
      </c>
      <c r="N181" s="17">
        <v>8409.25</v>
      </c>
      <c r="O181" s="18">
        <v>1</v>
      </c>
      <c r="P181" s="17">
        <v>10070.75</v>
      </c>
      <c r="Q181" s="17">
        <v>10430.75</v>
      </c>
      <c r="R181" s="17">
        <v>10430.75</v>
      </c>
      <c r="S181" s="17">
        <v>1</v>
      </c>
      <c r="T181" s="17">
        <v>10430.75</v>
      </c>
      <c r="U181" s="17">
        <v>251.2</v>
      </c>
      <c r="V181" s="16">
        <v>18480</v>
      </c>
      <c r="W181" s="17">
        <v>14264.67</v>
      </c>
      <c r="X181" s="17">
        <v>32744.67</v>
      </c>
      <c r="Y181" s="17">
        <v>8186.17</v>
      </c>
      <c r="Z181" s="17">
        <v>7760.31</v>
      </c>
      <c r="AA181" s="17">
        <v>0</v>
      </c>
      <c r="AB181" s="17">
        <v>7259.83</v>
      </c>
      <c r="AC181" s="17">
        <v>0</v>
      </c>
      <c r="AD181" s="17">
        <v>0</v>
      </c>
      <c r="AE181" s="17">
        <v>7787.63</v>
      </c>
      <c r="AF181" s="17">
        <v>7602.59</v>
      </c>
      <c r="AG181" s="17">
        <v>0</v>
      </c>
      <c r="AH181" s="17">
        <v>0</v>
      </c>
      <c r="AI181" s="17">
        <v>0</v>
      </c>
      <c r="AJ181" s="17">
        <v>8409.25</v>
      </c>
      <c r="AK181" s="17">
        <v>10430.75</v>
      </c>
    </row>
    <row r="182" spans="1:37" x14ac:dyDescent="0.2">
      <c r="A182" s="14" t="s">
        <v>33</v>
      </c>
      <c r="B182" s="14">
        <v>592</v>
      </c>
      <c r="C182" s="14">
        <v>1</v>
      </c>
      <c r="D182" s="14" t="s">
        <v>258</v>
      </c>
      <c r="E182" s="15">
        <v>60</v>
      </c>
      <c r="F182" s="15" t="s">
        <v>59</v>
      </c>
      <c r="G182" s="16">
        <v>37</v>
      </c>
      <c r="H182" s="16">
        <v>35</v>
      </c>
      <c r="I182" s="16">
        <v>1187414</v>
      </c>
      <c r="J182" s="16">
        <v>18000</v>
      </c>
      <c r="K182" s="16">
        <v>18000</v>
      </c>
      <c r="L182" s="17">
        <v>3978</v>
      </c>
      <c r="M182" s="17">
        <v>3978</v>
      </c>
      <c r="N182" s="17">
        <v>3978</v>
      </c>
      <c r="O182" s="18">
        <v>1</v>
      </c>
      <c r="P182" s="17">
        <v>14022</v>
      </c>
      <c r="Q182" s="17">
        <v>14022</v>
      </c>
      <c r="R182" s="17">
        <v>14022</v>
      </c>
      <c r="S182" s="17">
        <v>1</v>
      </c>
      <c r="T182" s="17">
        <v>14022</v>
      </c>
      <c r="U182" s="17">
        <v>56</v>
      </c>
      <c r="V182" s="16">
        <v>18000</v>
      </c>
      <c r="W182" s="17">
        <v>59.2</v>
      </c>
      <c r="X182" s="17">
        <v>18059.2</v>
      </c>
      <c r="Y182" s="17">
        <v>4514.8</v>
      </c>
      <c r="Z182" s="17">
        <v>3276.14</v>
      </c>
      <c r="AA182" s="17">
        <v>0</v>
      </c>
      <c r="AB182" s="17">
        <v>10432.799999999999</v>
      </c>
      <c r="AC182" s="17">
        <v>2411.9899999999998</v>
      </c>
      <c r="AD182" s="17">
        <v>0</v>
      </c>
      <c r="AE182" s="17">
        <v>7872.45</v>
      </c>
      <c r="AF182" s="17">
        <v>6389.8</v>
      </c>
      <c r="AG182" s="17">
        <v>1875</v>
      </c>
      <c r="AH182" s="17">
        <v>414.38</v>
      </c>
      <c r="AI182" s="17">
        <v>1460.62</v>
      </c>
      <c r="AJ182" s="17">
        <v>3563.62</v>
      </c>
      <c r="AK182" s="17">
        <v>12561.38</v>
      </c>
    </row>
    <row r="183" spans="1:37" x14ac:dyDescent="0.2">
      <c r="A183" s="14" t="s">
        <v>33</v>
      </c>
      <c r="B183" s="14">
        <v>593</v>
      </c>
      <c r="C183" s="14">
        <v>1</v>
      </c>
      <c r="D183" s="14" t="s">
        <v>259</v>
      </c>
      <c r="E183" s="15">
        <v>60</v>
      </c>
      <c r="F183" s="15" t="s">
        <v>59</v>
      </c>
      <c r="G183" s="16">
        <v>656</v>
      </c>
      <c r="H183" s="16">
        <v>630</v>
      </c>
      <c r="I183" s="16">
        <v>6444014</v>
      </c>
      <c r="J183" s="16">
        <v>78720</v>
      </c>
      <c r="K183" s="16">
        <v>75600</v>
      </c>
      <c r="L183" s="17">
        <v>21588.35</v>
      </c>
      <c r="M183" s="17">
        <v>21588.35</v>
      </c>
      <c r="N183" s="17">
        <v>21588.35</v>
      </c>
      <c r="O183" s="18">
        <v>1</v>
      </c>
      <c r="P183" s="17">
        <v>57131.65</v>
      </c>
      <c r="Q183" s="17">
        <v>54011.65</v>
      </c>
      <c r="R183" s="17">
        <v>54011.65</v>
      </c>
      <c r="S183" s="17">
        <v>1</v>
      </c>
      <c r="T183" s="17">
        <v>54011.65</v>
      </c>
      <c r="U183" s="17">
        <v>1008</v>
      </c>
      <c r="V183" s="16">
        <v>78720</v>
      </c>
      <c r="W183" s="17">
        <v>2513.6</v>
      </c>
      <c r="X183" s="17">
        <v>81233.600000000006</v>
      </c>
      <c r="Y183" s="17">
        <v>20308.400000000001</v>
      </c>
      <c r="Z183" s="17">
        <v>17855.09</v>
      </c>
      <c r="AA183" s="17">
        <v>0</v>
      </c>
      <c r="AB183" s="17">
        <v>20504.22</v>
      </c>
      <c r="AC183" s="17">
        <v>0</v>
      </c>
      <c r="AD183" s="17">
        <v>0</v>
      </c>
      <c r="AE183" s="17">
        <v>21796.85</v>
      </c>
      <c r="AF183" s="17">
        <v>20052.05</v>
      </c>
      <c r="AG183" s="17">
        <v>0</v>
      </c>
      <c r="AH183" s="17">
        <v>0</v>
      </c>
      <c r="AI183" s="17">
        <v>0</v>
      </c>
      <c r="AJ183" s="17">
        <v>21588.35</v>
      </c>
      <c r="AK183" s="17">
        <v>54011.65</v>
      </c>
    </row>
    <row r="184" spans="1:37" x14ac:dyDescent="0.2">
      <c r="A184" s="14" t="s">
        <v>33</v>
      </c>
      <c r="B184" s="14">
        <v>595</v>
      </c>
      <c r="C184" s="14">
        <v>1</v>
      </c>
      <c r="D184" s="14" t="s">
        <v>260</v>
      </c>
      <c r="E184" s="15">
        <v>60</v>
      </c>
      <c r="F184" s="15" t="s">
        <v>59</v>
      </c>
      <c r="G184" s="16">
        <v>640</v>
      </c>
      <c r="H184" s="16">
        <v>640</v>
      </c>
      <c r="I184" s="16">
        <v>8371419</v>
      </c>
      <c r="J184" s="16">
        <v>76800</v>
      </c>
      <c r="K184" s="16">
        <v>76800</v>
      </c>
      <c r="L184" s="17">
        <v>28045.43</v>
      </c>
      <c r="M184" s="17">
        <v>28045.43</v>
      </c>
      <c r="N184" s="17">
        <v>28045.43</v>
      </c>
      <c r="O184" s="18">
        <v>1</v>
      </c>
      <c r="P184" s="17">
        <v>48754.57</v>
      </c>
      <c r="Q184" s="17">
        <v>48754.57</v>
      </c>
      <c r="R184" s="17">
        <v>48754.57</v>
      </c>
      <c r="S184" s="17">
        <v>1</v>
      </c>
      <c r="T184" s="17">
        <v>48754.57</v>
      </c>
      <c r="U184" s="17">
        <v>1024</v>
      </c>
      <c r="V184" s="16">
        <v>76800</v>
      </c>
      <c r="W184" s="17">
        <v>4494</v>
      </c>
      <c r="X184" s="17">
        <v>81294</v>
      </c>
      <c r="Y184" s="17">
        <v>20323.5</v>
      </c>
      <c r="Z184" s="17">
        <v>4096.05</v>
      </c>
      <c r="AA184" s="17">
        <v>0</v>
      </c>
      <c r="AB184" s="17">
        <v>2422.16</v>
      </c>
      <c r="AC184" s="17">
        <v>0</v>
      </c>
      <c r="AD184" s="17">
        <v>0</v>
      </c>
      <c r="AE184" s="17">
        <v>2269.1</v>
      </c>
      <c r="AF184" s="17">
        <v>2929.1</v>
      </c>
      <c r="AG184" s="17">
        <v>0</v>
      </c>
      <c r="AH184" s="17">
        <v>0</v>
      </c>
      <c r="AI184" s="17">
        <v>0</v>
      </c>
      <c r="AJ184" s="17">
        <v>28045.43</v>
      </c>
      <c r="AK184" s="17">
        <v>48754.57</v>
      </c>
    </row>
    <row r="185" spans="1:37" x14ac:dyDescent="0.2">
      <c r="A185" s="14" t="s">
        <v>33</v>
      </c>
      <c r="B185" s="14">
        <v>599</v>
      </c>
      <c r="C185" s="14">
        <v>1</v>
      </c>
      <c r="D185" s="14" t="s">
        <v>261</v>
      </c>
      <c r="E185" s="15">
        <v>60</v>
      </c>
      <c r="F185" s="15" t="s">
        <v>59</v>
      </c>
      <c r="G185" s="16">
        <v>164</v>
      </c>
      <c r="H185" s="16">
        <v>181</v>
      </c>
      <c r="I185" s="16">
        <v>3555997</v>
      </c>
      <c r="J185" s="16">
        <v>19680</v>
      </c>
      <c r="K185" s="16">
        <v>21720</v>
      </c>
      <c r="L185" s="17">
        <v>11913.09</v>
      </c>
      <c r="M185" s="17">
        <v>11913.09</v>
      </c>
      <c r="N185" s="17">
        <v>11913.09</v>
      </c>
      <c r="O185" s="18">
        <v>1</v>
      </c>
      <c r="P185" s="17">
        <v>7766.91</v>
      </c>
      <c r="Q185" s="17">
        <v>9806.91</v>
      </c>
      <c r="R185" s="17">
        <v>9806.91</v>
      </c>
      <c r="S185" s="17">
        <v>1</v>
      </c>
      <c r="T185" s="17">
        <v>9806.91</v>
      </c>
      <c r="U185" s="17">
        <v>289.60000000000002</v>
      </c>
      <c r="V185" s="16">
        <v>19680</v>
      </c>
      <c r="W185" s="17">
        <v>1232.4000000000001</v>
      </c>
      <c r="X185" s="17">
        <v>20912.400000000001</v>
      </c>
      <c r="Y185" s="17">
        <v>5228.1000000000004</v>
      </c>
      <c r="Z185" s="17">
        <v>-0.38</v>
      </c>
      <c r="AA185" s="17">
        <v>0</v>
      </c>
      <c r="AB185" s="17">
        <v>-0.28999999999999998</v>
      </c>
      <c r="AC185" s="17">
        <v>0</v>
      </c>
      <c r="AD185" s="17">
        <v>0</v>
      </c>
      <c r="AE185" s="17">
        <v>2997.11</v>
      </c>
      <c r="AF185" s="17">
        <v>998.81</v>
      </c>
      <c r="AG185" s="17">
        <v>0</v>
      </c>
      <c r="AH185" s="17">
        <v>0</v>
      </c>
      <c r="AI185" s="17">
        <v>0</v>
      </c>
      <c r="AJ185" s="17">
        <v>11913.09</v>
      </c>
      <c r="AK185" s="17">
        <v>9806.91</v>
      </c>
    </row>
    <row r="186" spans="1:37" x14ac:dyDescent="0.2">
      <c r="A186" s="14" t="s">
        <v>33</v>
      </c>
      <c r="B186" s="14">
        <v>600</v>
      </c>
      <c r="C186" s="14">
        <v>1</v>
      </c>
      <c r="D186" s="14" t="s">
        <v>262</v>
      </c>
      <c r="E186" s="15">
        <v>60</v>
      </c>
      <c r="F186" s="15" t="s">
        <v>59</v>
      </c>
      <c r="G186" s="16">
        <v>32</v>
      </c>
      <c r="H186" s="16">
        <v>30</v>
      </c>
      <c r="I186" s="16">
        <v>1687044</v>
      </c>
      <c r="J186" s="16">
        <v>18000</v>
      </c>
      <c r="K186" s="16">
        <v>18000</v>
      </c>
      <c r="L186" s="17">
        <v>5651.83</v>
      </c>
      <c r="M186" s="17">
        <v>5651.83</v>
      </c>
      <c r="N186" s="17">
        <v>5651.83</v>
      </c>
      <c r="O186" s="18">
        <v>1</v>
      </c>
      <c r="P186" s="17">
        <v>12348.17</v>
      </c>
      <c r="Q186" s="17">
        <v>12348.17</v>
      </c>
      <c r="R186" s="17">
        <v>12348.17</v>
      </c>
      <c r="S186" s="17">
        <v>1</v>
      </c>
      <c r="T186" s="17">
        <v>12348.17</v>
      </c>
      <c r="U186" s="17">
        <v>48</v>
      </c>
      <c r="V186" s="16">
        <v>18000</v>
      </c>
      <c r="W186" s="17">
        <v>111.2</v>
      </c>
      <c r="X186" s="17">
        <v>18111.2</v>
      </c>
      <c r="Y186" s="17">
        <v>4527.8</v>
      </c>
      <c r="Z186" s="17">
        <v>-1846.07</v>
      </c>
      <c r="AA186" s="17">
        <v>0</v>
      </c>
      <c r="AB186" s="17">
        <v>3332.42</v>
      </c>
      <c r="AC186" s="17">
        <v>0</v>
      </c>
      <c r="AD186" s="17">
        <v>0</v>
      </c>
      <c r="AE186" s="17">
        <v>-1409.51</v>
      </c>
      <c r="AF186" s="17">
        <v>25.61</v>
      </c>
      <c r="AG186" s="17">
        <v>0</v>
      </c>
      <c r="AH186" s="17">
        <v>0</v>
      </c>
      <c r="AI186" s="17">
        <v>0</v>
      </c>
      <c r="AJ186" s="17">
        <v>5651.83</v>
      </c>
      <c r="AK186" s="17">
        <v>12348.17</v>
      </c>
    </row>
    <row r="187" spans="1:37" x14ac:dyDescent="0.2">
      <c r="A187" s="14" t="s">
        <v>33</v>
      </c>
      <c r="B187" s="14">
        <v>601</v>
      </c>
      <c r="C187" s="14">
        <v>1</v>
      </c>
      <c r="D187" s="14" t="s">
        <v>263</v>
      </c>
      <c r="E187" s="15">
        <v>60</v>
      </c>
      <c r="F187" s="15" t="s">
        <v>59</v>
      </c>
      <c r="G187" s="16">
        <v>250</v>
      </c>
      <c r="H187" s="16">
        <v>240</v>
      </c>
      <c r="I187" s="16">
        <v>2697019</v>
      </c>
      <c r="J187" s="16">
        <v>30000</v>
      </c>
      <c r="K187" s="16">
        <v>28800</v>
      </c>
      <c r="L187" s="17">
        <v>9035.39</v>
      </c>
      <c r="M187" s="17">
        <v>9035.39</v>
      </c>
      <c r="N187" s="17">
        <v>9035.39</v>
      </c>
      <c r="O187" s="18">
        <v>1</v>
      </c>
      <c r="P187" s="17">
        <v>20964.61</v>
      </c>
      <c r="Q187" s="17">
        <v>19764.61</v>
      </c>
      <c r="R187" s="17">
        <v>19764.61</v>
      </c>
      <c r="S187" s="17">
        <v>1</v>
      </c>
      <c r="T187" s="17">
        <v>19764.61</v>
      </c>
      <c r="U187" s="17">
        <v>384</v>
      </c>
      <c r="V187" s="16">
        <v>30000</v>
      </c>
      <c r="W187" s="17">
        <v>910</v>
      </c>
      <c r="X187" s="17">
        <v>30910</v>
      </c>
      <c r="Y187" s="17">
        <v>7727.5</v>
      </c>
      <c r="Z187" s="17">
        <v>2514.44</v>
      </c>
      <c r="AA187" s="17">
        <v>0</v>
      </c>
      <c r="AB187" s="17">
        <v>-1577.99</v>
      </c>
      <c r="AC187" s="17">
        <v>0</v>
      </c>
      <c r="AD187" s="17">
        <v>0</v>
      </c>
      <c r="AE187" s="17">
        <v>0</v>
      </c>
      <c r="AF187" s="17">
        <v>312.14999999999998</v>
      </c>
      <c r="AG187" s="17">
        <v>0</v>
      </c>
      <c r="AH187" s="17">
        <v>0</v>
      </c>
      <c r="AI187" s="17">
        <v>0</v>
      </c>
      <c r="AJ187" s="17">
        <v>9035.39</v>
      </c>
      <c r="AK187" s="17">
        <v>19764.61</v>
      </c>
    </row>
    <row r="188" spans="1:37" x14ac:dyDescent="0.2">
      <c r="A188" s="14" t="s">
        <v>33</v>
      </c>
      <c r="B188" s="14">
        <v>611</v>
      </c>
      <c r="C188" s="14">
        <v>1</v>
      </c>
      <c r="D188" s="14" t="s">
        <v>264</v>
      </c>
      <c r="E188" s="15">
        <v>61</v>
      </c>
      <c r="F188" s="15" t="s">
        <v>60</v>
      </c>
      <c r="G188" s="16">
        <v>19</v>
      </c>
      <c r="H188" s="16">
        <v>22</v>
      </c>
      <c r="I188" s="16">
        <v>1187123</v>
      </c>
      <c r="J188" s="16">
        <v>18000</v>
      </c>
      <c r="K188" s="16">
        <v>18000</v>
      </c>
      <c r="L188" s="17">
        <v>3977.03</v>
      </c>
      <c r="M188" s="17">
        <v>3977.03</v>
      </c>
      <c r="N188" s="17">
        <v>3977.03</v>
      </c>
      <c r="O188" s="18">
        <v>1</v>
      </c>
      <c r="P188" s="17">
        <v>14022.97</v>
      </c>
      <c r="Q188" s="17">
        <v>14022.97</v>
      </c>
      <c r="R188" s="17">
        <v>14022.97</v>
      </c>
      <c r="S188" s="17">
        <v>1</v>
      </c>
      <c r="T188" s="17">
        <v>14022.97</v>
      </c>
      <c r="U188" s="17">
        <v>35.200000000000003</v>
      </c>
      <c r="V188" s="16">
        <v>18000</v>
      </c>
      <c r="W188" s="17">
        <v>1698.5</v>
      </c>
      <c r="X188" s="17">
        <v>19698.5</v>
      </c>
      <c r="Y188" s="17">
        <v>4924.63</v>
      </c>
      <c r="Z188" s="17">
        <v>5154.1499999999996</v>
      </c>
      <c r="AA188" s="17">
        <v>721.01</v>
      </c>
      <c r="AB188" s="17">
        <v>7044.54</v>
      </c>
      <c r="AC188" s="17">
        <v>56.5</v>
      </c>
      <c r="AD188" s="17">
        <v>0</v>
      </c>
      <c r="AE188" s="17">
        <v>4140.8599999999997</v>
      </c>
      <c r="AF188" s="17">
        <v>5187.3500000000004</v>
      </c>
      <c r="AG188" s="17">
        <v>262.72000000000003</v>
      </c>
      <c r="AH188" s="17">
        <v>58.05</v>
      </c>
      <c r="AI188" s="17">
        <v>204.67</v>
      </c>
      <c r="AJ188" s="17">
        <v>3918.98</v>
      </c>
      <c r="AK188" s="17">
        <v>13818.3</v>
      </c>
    </row>
    <row r="189" spans="1:37" x14ac:dyDescent="0.2">
      <c r="A189" s="14" t="s">
        <v>33</v>
      </c>
      <c r="B189" s="14">
        <v>621</v>
      </c>
      <c r="C189" s="14">
        <v>1</v>
      </c>
      <c r="D189" s="14" t="s">
        <v>265</v>
      </c>
      <c r="E189" s="15">
        <v>62</v>
      </c>
      <c r="F189" s="15" t="s">
        <v>56</v>
      </c>
      <c r="G189" s="16">
        <v>4022</v>
      </c>
      <c r="H189" s="16">
        <v>4108</v>
      </c>
      <c r="I189" s="16">
        <v>107950997</v>
      </c>
      <c r="J189" s="16">
        <v>482640</v>
      </c>
      <c r="K189" s="16">
        <v>492960</v>
      </c>
      <c r="L189" s="17">
        <v>361650.95</v>
      </c>
      <c r="M189" s="17">
        <v>361650.95</v>
      </c>
      <c r="N189" s="17">
        <v>361650.95</v>
      </c>
      <c r="O189" s="18">
        <v>1</v>
      </c>
      <c r="P189" s="17">
        <v>120989.05</v>
      </c>
      <c r="Q189" s="17">
        <v>131309.04999999999</v>
      </c>
      <c r="R189" s="17">
        <v>131309.04999999999</v>
      </c>
      <c r="S189" s="17">
        <v>1</v>
      </c>
      <c r="T189" s="17">
        <v>131309.04999999999</v>
      </c>
      <c r="U189" s="17">
        <v>6572.8</v>
      </c>
      <c r="V189" s="16">
        <v>482640</v>
      </c>
      <c r="W189" s="17">
        <v>222149.06</v>
      </c>
      <c r="X189" s="17">
        <v>704789.06</v>
      </c>
      <c r="Y189" s="17">
        <v>176197.27</v>
      </c>
      <c r="Z189" s="17">
        <v>50139.59</v>
      </c>
      <c r="AA189" s="17">
        <v>0</v>
      </c>
      <c r="AB189" s="17">
        <v>80724.73</v>
      </c>
      <c r="AC189" s="17">
        <v>0</v>
      </c>
      <c r="AD189" s="17">
        <v>0</v>
      </c>
      <c r="AE189" s="17">
        <v>49998.69</v>
      </c>
      <c r="AF189" s="17">
        <v>60287.67</v>
      </c>
      <c r="AG189" s="17">
        <v>0</v>
      </c>
      <c r="AH189" s="17">
        <v>0</v>
      </c>
      <c r="AI189" s="17">
        <v>0</v>
      </c>
      <c r="AJ189" s="17">
        <v>361650.95</v>
      </c>
      <c r="AK189" s="17">
        <v>131309.04999999999</v>
      </c>
    </row>
    <row r="190" spans="1:37" x14ac:dyDescent="0.2">
      <c r="A190" s="14" t="s">
        <v>33</v>
      </c>
      <c r="B190" s="14">
        <v>622</v>
      </c>
      <c r="C190" s="14">
        <v>1</v>
      </c>
      <c r="D190" s="14" t="s">
        <v>266</v>
      </c>
      <c r="E190" s="15">
        <v>62</v>
      </c>
      <c r="F190" s="15" t="s">
        <v>56</v>
      </c>
      <c r="G190" s="16">
        <v>3579</v>
      </c>
      <c r="H190" s="16">
        <v>3410</v>
      </c>
      <c r="I190" s="16">
        <v>102429028</v>
      </c>
      <c r="J190" s="16">
        <v>429480</v>
      </c>
      <c r="K190" s="16">
        <v>409200</v>
      </c>
      <c r="L190" s="17">
        <v>343151.58</v>
      </c>
      <c r="M190" s="17">
        <v>343151.58</v>
      </c>
      <c r="N190" s="17">
        <v>343151.58</v>
      </c>
      <c r="O190" s="18">
        <v>1</v>
      </c>
      <c r="P190" s="17">
        <v>86328.42</v>
      </c>
      <c r="Q190" s="17">
        <v>66048.42</v>
      </c>
      <c r="R190" s="17">
        <v>66048.42</v>
      </c>
      <c r="S190" s="17">
        <v>1</v>
      </c>
      <c r="T190" s="17">
        <v>66048.42</v>
      </c>
      <c r="U190" s="17">
        <v>5456</v>
      </c>
      <c r="V190" s="16">
        <v>429480</v>
      </c>
      <c r="W190" s="17">
        <v>33493.71</v>
      </c>
      <c r="X190" s="17">
        <v>462973.71</v>
      </c>
      <c r="Y190" s="17">
        <v>115743.43</v>
      </c>
      <c r="Z190" s="17">
        <v>54377.3</v>
      </c>
      <c r="AA190" s="17">
        <v>0</v>
      </c>
      <c r="AB190" s="17">
        <v>66989.53</v>
      </c>
      <c r="AC190" s="17">
        <v>0</v>
      </c>
      <c r="AD190" s="17">
        <v>0</v>
      </c>
      <c r="AE190" s="17">
        <v>114690.58</v>
      </c>
      <c r="AF190" s="17">
        <v>78685.8</v>
      </c>
      <c r="AG190" s="17">
        <v>0</v>
      </c>
      <c r="AH190" s="17">
        <v>0</v>
      </c>
      <c r="AI190" s="17">
        <v>0</v>
      </c>
      <c r="AJ190" s="17">
        <v>343151.58</v>
      </c>
      <c r="AK190" s="17">
        <v>66048.42</v>
      </c>
    </row>
    <row r="191" spans="1:37" x14ac:dyDescent="0.2">
      <c r="A191" s="14" t="s">
        <v>33</v>
      </c>
      <c r="B191" s="14">
        <v>623</v>
      </c>
      <c r="C191" s="14">
        <v>1</v>
      </c>
      <c r="D191" s="14" t="s">
        <v>267</v>
      </c>
      <c r="E191" s="15">
        <v>62</v>
      </c>
      <c r="F191" s="15" t="s">
        <v>56</v>
      </c>
      <c r="G191" s="16">
        <v>2480</v>
      </c>
      <c r="H191" s="16">
        <v>2450</v>
      </c>
      <c r="I191" s="16">
        <v>74468453</v>
      </c>
      <c r="J191" s="16">
        <v>297600</v>
      </c>
      <c r="K191" s="16">
        <v>294000</v>
      </c>
      <c r="L191" s="17">
        <v>249479.74</v>
      </c>
      <c r="M191" s="17">
        <v>249479.74</v>
      </c>
      <c r="N191" s="17">
        <v>249479.74</v>
      </c>
      <c r="O191" s="18">
        <v>1</v>
      </c>
      <c r="P191" s="17">
        <v>48120.26</v>
      </c>
      <c r="Q191" s="17">
        <v>44520.26</v>
      </c>
      <c r="R191" s="17">
        <v>44520.26</v>
      </c>
      <c r="S191" s="17">
        <v>1</v>
      </c>
      <c r="T191" s="17">
        <v>44520.26</v>
      </c>
      <c r="U191" s="17">
        <v>3920</v>
      </c>
      <c r="V191" s="16">
        <v>297600</v>
      </c>
      <c r="W191" s="17">
        <v>60396.58</v>
      </c>
      <c r="X191" s="17">
        <v>357996.58</v>
      </c>
      <c r="Y191" s="17">
        <v>89499.15</v>
      </c>
      <c r="Z191" s="17">
        <v>64458.79</v>
      </c>
      <c r="AA191" s="17">
        <v>0</v>
      </c>
      <c r="AB191" s="17">
        <v>81769.62</v>
      </c>
      <c r="AC191" s="17">
        <v>0</v>
      </c>
      <c r="AD191" s="17">
        <v>0</v>
      </c>
      <c r="AE191" s="17">
        <v>76283.19</v>
      </c>
      <c r="AF191" s="17">
        <v>74170.53</v>
      </c>
      <c r="AG191" s="17">
        <v>0</v>
      </c>
      <c r="AH191" s="17">
        <v>0</v>
      </c>
      <c r="AI191" s="17">
        <v>0</v>
      </c>
      <c r="AJ191" s="17">
        <v>249479.74</v>
      </c>
      <c r="AK191" s="17">
        <v>44520.26</v>
      </c>
    </row>
    <row r="192" spans="1:37" x14ac:dyDescent="0.2">
      <c r="A192" s="14" t="s">
        <v>33</v>
      </c>
      <c r="B192" s="14">
        <v>624</v>
      </c>
      <c r="C192" s="14">
        <v>1</v>
      </c>
      <c r="D192" s="14" t="s">
        <v>268</v>
      </c>
      <c r="E192" s="15">
        <v>62</v>
      </c>
      <c r="F192" s="15" t="s">
        <v>56</v>
      </c>
      <c r="G192" s="16">
        <v>2848</v>
      </c>
      <c r="H192" s="16">
        <v>2366</v>
      </c>
      <c r="I192" s="16">
        <v>84651162</v>
      </c>
      <c r="J192" s="16">
        <v>341760</v>
      </c>
      <c r="K192" s="16">
        <v>283920</v>
      </c>
      <c r="L192" s="17">
        <v>283593.24</v>
      </c>
      <c r="M192" s="17">
        <v>283593.24</v>
      </c>
      <c r="N192" s="17">
        <v>283593.24</v>
      </c>
      <c r="O192" s="18">
        <v>1</v>
      </c>
      <c r="P192" s="17">
        <v>58166.76</v>
      </c>
      <c r="Q192" s="17">
        <v>326.76</v>
      </c>
      <c r="R192" s="17">
        <v>326.76</v>
      </c>
      <c r="S192" s="17">
        <v>1</v>
      </c>
      <c r="T192" s="17">
        <v>326.76</v>
      </c>
      <c r="U192" s="17">
        <v>3785.6</v>
      </c>
      <c r="V192" s="16">
        <v>341760</v>
      </c>
      <c r="W192" s="17">
        <v>43894.95</v>
      </c>
      <c r="X192" s="17">
        <v>385654.95</v>
      </c>
      <c r="Y192" s="17">
        <v>96413.74</v>
      </c>
      <c r="Z192" s="17">
        <v>88831</v>
      </c>
      <c r="AA192" s="17">
        <v>0</v>
      </c>
      <c r="AB192" s="17">
        <v>220608</v>
      </c>
      <c r="AC192" s="17">
        <v>14330.61</v>
      </c>
      <c r="AD192" s="17">
        <v>0</v>
      </c>
      <c r="AE192" s="17">
        <v>176865</v>
      </c>
      <c r="AF192" s="17">
        <v>157324.46</v>
      </c>
      <c r="AG192" s="17">
        <v>60910.720000000001</v>
      </c>
      <c r="AH192" s="17">
        <v>60840.62</v>
      </c>
      <c r="AI192" s="17">
        <v>70.099999999999994</v>
      </c>
      <c r="AJ192" s="17">
        <v>222752.62</v>
      </c>
      <c r="AK192" s="17">
        <v>256.66000000000003</v>
      </c>
    </row>
    <row r="193" spans="1:37" x14ac:dyDescent="0.2">
      <c r="A193" s="14" t="s">
        <v>33</v>
      </c>
      <c r="B193" s="14">
        <v>625</v>
      </c>
      <c r="C193" s="14">
        <v>1</v>
      </c>
      <c r="D193" s="14" t="s">
        <v>269</v>
      </c>
      <c r="E193" s="15">
        <v>62</v>
      </c>
      <c r="F193" s="15" t="s">
        <v>56</v>
      </c>
      <c r="G193" s="16">
        <v>23964</v>
      </c>
      <c r="H193" s="16">
        <v>23991</v>
      </c>
      <c r="I193" s="16">
        <v>303207342</v>
      </c>
      <c r="J193" s="16">
        <v>2875680</v>
      </c>
      <c r="K193" s="16">
        <v>2878920</v>
      </c>
      <c r="L193" s="17">
        <v>1015787.04</v>
      </c>
      <c r="M193" s="17">
        <v>1015787.04</v>
      </c>
      <c r="N193" s="17">
        <v>1015787.04</v>
      </c>
      <c r="O193" s="18">
        <v>1</v>
      </c>
      <c r="P193" s="17">
        <v>1859892.96</v>
      </c>
      <c r="Q193" s="17">
        <v>1863132.96</v>
      </c>
      <c r="R193" s="17">
        <v>1863132.96</v>
      </c>
      <c r="S193" s="17">
        <v>1</v>
      </c>
      <c r="T193" s="17">
        <v>1863132.96</v>
      </c>
      <c r="U193" s="17">
        <v>38385.599999999999</v>
      </c>
      <c r="V193" s="16">
        <v>2875680</v>
      </c>
      <c r="W193" s="17">
        <v>391142.86</v>
      </c>
      <c r="X193" s="17">
        <v>3266822.86</v>
      </c>
      <c r="Y193" s="17">
        <v>816705.72</v>
      </c>
      <c r="Z193" s="17">
        <v>344293.79</v>
      </c>
      <c r="AA193" s="17">
        <v>0</v>
      </c>
      <c r="AB193" s="17">
        <v>338369.7</v>
      </c>
      <c r="AC193" s="17">
        <v>0</v>
      </c>
      <c r="AD193" s="17">
        <v>0</v>
      </c>
      <c r="AE193" s="17">
        <v>53278.879999999997</v>
      </c>
      <c r="AF193" s="17">
        <v>245314.12</v>
      </c>
      <c r="AG193" s="17">
        <v>0</v>
      </c>
      <c r="AH193" s="17">
        <v>0</v>
      </c>
      <c r="AI193" s="17">
        <v>0</v>
      </c>
      <c r="AJ193" s="17">
        <v>1015787.04</v>
      </c>
      <c r="AK193" s="17">
        <v>1863132.96</v>
      </c>
    </row>
    <row r="194" spans="1:37" x14ac:dyDescent="0.2">
      <c r="A194" s="14" t="s">
        <v>33</v>
      </c>
      <c r="B194" s="14">
        <v>627</v>
      </c>
      <c r="C194" s="14">
        <v>1</v>
      </c>
      <c r="D194" s="14" t="s">
        <v>270</v>
      </c>
      <c r="E194" s="15">
        <v>63</v>
      </c>
      <c r="F194" s="15" t="s">
        <v>59</v>
      </c>
      <c r="G194" s="16">
        <v>80</v>
      </c>
      <c r="H194" s="16">
        <v>85</v>
      </c>
      <c r="I194" s="16">
        <v>1242419</v>
      </c>
      <c r="J194" s="16">
        <v>18000</v>
      </c>
      <c r="K194" s="16">
        <v>18000</v>
      </c>
      <c r="L194" s="17">
        <v>4162.28</v>
      </c>
      <c r="M194" s="17">
        <v>4162.28</v>
      </c>
      <c r="N194" s="17">
        <v>4162.28</v>
      </c>
      <c r="O194" s="18">
        <v>1</v>
      </c>
      <c r="P194" s="17">
        <v>13837.72</v>
      </c>
      <c r="Q194" s="17">
        <v>13837.72</v>
      </c>
      <c r="R194" s="17">
        <v>13837.72</v>
      </c>
      <c r="S194" s="17">
        <v>1</v>
      </c>
      <c r="T194" s="17">
        <v>13837.72</v>
      </c>
      <c r="U194" s="17">
        <v>136</v>
      </c>
      <c r="V194" s="16">
        <v>18000</v>
      </c>
      <c r="W194" s="17">
        <v>1247</v>
      </c>
      <c r="X194" s="17">
        <v>19247</v>
      </c>
      <c r="Y194" s="17">
        <v>4811.75</v>
      </c>
      <c r="Z194" s="17">
        <v>2535.65</v>
      </c>
      <c r="AA194" s="17">
        <v>0</v>
      </c>
      <c r="AB194" s="17">
        <v>2125.58</v>
      </c>
      <c r="AC194" s="17">
        <v>0</v>
      </c>
      <c r="AD194" s="17">
        <v>0</v>
      </c>
      <c r="AE194" s="17">
        <v>0.59</v>
      </c>
      <c r="AF194" s="17">
        <v>1553.94</v>
      </c>
      <c r="AG194" s="17">
        <v>0</v>
      </c>
      <c r="AH194" s="17">
        <v>0</v>
      </c>
      <c r="AI194" s="17">
        <v>0</v>
      </c>
      <c r="AJ194" s="17">
        <v>4162.28</v>
      </c>
      <c r="AK194" s="17">
        <v>13837.72</v>
      </c>
    </row>
    <row r="195" spans="1:37" x14ac:dyDescent="0.2">
      <c r="A195" s="14" t="s">
        <v>33</v>
      </c>
      <c r="B195" s="14">
        <v>628</v>
      </c>
      <c r="C195" s="14">
        <v>1</v>
      </c>
      <c r="D195" s="14" t="s">
        <v>271</v>
      </c>
      <c r="E195" s="15">
        <v>63</v>
      </c>
      <c r="F195" s="15" t="s">
        <v>59</v>
      </c>
      <c r="G195" s="16">
        <v>49</v>
      </c>
      <c r="H195" s="16">
        <v>48</v>
      </c>
      <c r="I195" s="16">
        <v>920098</v>
      </c>
      <c r="J195" s="16">
        <v>18000</v>
      </c>
      <c r="K195" s="16">
        <v>18000</v>
      </c>
      <c r="L195" s="17">
        <v>3082.46</v>
      </c>
      <c r="M195" s="17">
        <v>3082.46</v>
      </c>
      <c r="N195" s="17">
        <v>3082.46</v>
      </c>
      <c r="O195" s="18">
        <v>1</v>
      </c>
      <c r="P195" s="17">
        <v>14917.54</v>
      </c>
      <c r="Q195" s="17">
        <v>14917.54</v>
      </c>
      <c r="R195" s="17">
        <v>14917.54</v>
      </c>
      <c r="S195" s="17">
        <v>1</v>
      </c>
      <c r="T195" s="17">
        <v>14917.54</v>
      </c>
      <c r="U195" s="17">
        <v>76.8</v>
      </c>
      <c r="V195" s="16">
        <v>18000</v>
      </c>
      <c r="W195" s="17">
        <v>1670.4</v>
      </c>
      <c r="X195" s="17">
        <v>19670.400000000001</v>
      </c>
      <c r="Y195" s="17">
        <v>4917.6000000000004</v>
      </c>
      <c r="Z195" s="17">
        <v>-27391.72</v>
      </c>
      <c r="AA195" s="17">
        <v>0</v>
      </c>
      <c r="AB195" s="17">
        <v>-28924.41</v>
      </c>
      <c r="AC195" s="17">
        <v>0</v>
      </c>
      <c r="AD195" s="17">
        <v>0</v>
      </c>
      <c r="AE195" s="17">
        <v>0</v>
      </c>
      <c r="AF195" s="17">
        <v>-18772.04</v>
      </c>
      <c r="AG195" s="17">
        <v>0</v>
      </c>
      <c r="AH195" s="17">
        <v>0</v>
      </c>
      <c r="AI195" s="17">
        <v>0</v>
      </c>
      <c r="AJ195" s="17">
        <v>3082.46</v>
      </c>
      <c r="AK195" s="17">
        <v>14917.54</v>
      </c>
    </row>
    <row r="196" spans="1:37" x14ac:dyDescent="0.2">
      <c r="A196" s="14" t="s">
        <v>33</v>
      </c>
      <c r="B196" s="14">
        <v>630</v>
      </c>
      <c r="C196" s="14">
        <v>1</v>
      </c>
      <c r="D196" s="14" t="s">
        <v>272</v>
      </c>
      <c r="E196" s="15">
        <v>63</v>
      </c>
      <c r="F196" s="15" t="s">
        <v>59</v>
      </c>
      <c r="G196" s="16">
        <v>157</v>
      </c>
      <c r="H196" s="16">
        <v>159</v>
      </c>
      <c r="I196" s="16">
        <v>1301261</v>
      </c>
      <c r="J196" s="16">
        <v>18840</v>
      </c>
      <c r="K196" s="16">
        <v>19080</v>
      </c>
      <c r="L196" s="17">
        <v>4359.41</v>
      </c>
      <c r="M196" s="17">
        <v>4359.41</v>
      </c>
      <c r="N196" s="17">
        <v>4359.41</v>
      </c>
      <c r="O196" s="18">
        <v>1</v>
      </c>
      <c r="P196" s="17">
        <v>14480.59</v>
      </c>
      <c r="Q196" s="17">
        <v>14720.59</v>
      </c>
      <c r="R196" s="17">
        <v>14720.59</v>
      </c>
      <c r="S196" s="17">
        <v>1</v>
      </c>
      <c r="T196" s="17">
        <v>14720.59</v>
      </c>
      <c r="U196" s="17">
        <v>254.4</v>
      </c>
      <c r="V196" s="16">
        <v>18840</v>
      </c>
      <c r="W196" s="17">
        <v>2684.55</v>
      </c>
      <c r="X196" s="17">
        <v>21524.55</v>
      </c>
      <c r="Y196" s="17">
        <v>5381.14</v>
      </c>
      <c r="Z196" s="17">
        <v>-1386.62</v>
      </c>
      <c r="AA196" s="17">
        <v>0</v>
      </c>
      <c r="AB196" s="17">
        <v>-3584.03</v>
      </c>
      <c r="AC196" s="17">
        <v>0</v>
      </c>
      <c r="AD196" s="17">
        <v>0</v>
      </c>
      <c r="AE196" s="17">
        <v>1390.45</v>
      </c>
      <c r="AF196" s="17">
        <v>-1193.4000000000001</v>
      </c>
      <c r="AG196" s="17">
        <v>0</v>
      </c>
      <c r="AH196" s="17">
        <v>0</v>
      </c>
      <c r="AI196" s="17">
        <v>0</v>
      </c>
      <c r="AJ196" s="17">
        <v>4359.41</v>
      </c>
      <c r="AK196" s="17">
        <v>14720.59</v>
      </c>
    </row>
    <row r="197" spans="1:37" x14ac:dyDescent="0.2">
      <c r="A197" s="14" t="s">
        <v>33</v>
      </c>
      <c r="B197" s="14">
        <v>635</v>
      </c>
      <c r="C197" s="14">
        <v>1</v>
      </c>
      <c r="D197" s="14" t="s">
        <v>273</v>
      </c>
      <c r="E197" s="15">
        <v>64</v>
      </c>
      <c r="F197" s="15" t="s">
        <v>65</v>
      </c>
      <c r="G197" s="16">
        <v>46</v>
      </c>
      <c r="H197" s="16">
        <v>44</v>
      </c>
      <c r="I197" s="16">
        <v>1515246</v>
      </c>
      <c r="J197" s="16">
        <v>18000</v>
      </c>
      <c r="K197" s="16">
        <v>18000</v>
      </c>
      <c r="L197" s="17">
        <v>5076.29</v>
      </c>
      <c r="M197" s="17">
        <v>5076.29</v>
      </c>
      <c r="N197" s="17">
        <v>5076.29</v>
      </c>
      <c r="O197" s="18">
        <v>1</v>
      </c>
      <c r="P197" s="17">
        <v>12923.71</v>
      </c>
      <c r="Q197" s="17">
        <v>12923.71</v>
      </c>
      <c r="R197" s="17">
        <v>12923.71</v>
      </c>
      <c r="S197" s="17">
        <v>1</v>
      </c>
      <c r="T197" s="17">
        <v>12923.71</v>
      </c>
      <c r="U197" s="17">
        <v>0</v>
      </c>
      <c r="V197" s="16">
        <v>18000</v>
      </c>
      <c r="W197" s="17">
        <v>0</v>
      </c>
      <c r="X197" s="17">
        <v>18000</v>
      </c>
      <c r="Y197" s="17">
        <v>4500</v>
      </c>
      <c r="Z197" s="17">
        <v>21650.1</v>
      </c>
      <c r="AA197" s="17">
        <v>9561.5</v>
      </c>
      <c r="AB197" s="17">
        <v>22379.74</v>
      </c>
      <c r="AC197" s="17">
        <v>11181.96</v>
      </c>
      <c r="AD197" s="17">
        <v>0</v>
      </c>
      <c r="AE197" s="17">
        <v>20802.38</v>
      </c>
      <c r="AF197" s="17">
        <v>14696.25</v>
      </c>
      <c r="AG197" s="17">
        <v>10196.25</v>
      </c>
      <c r="AH197" s="17">
        <v>2875.51</v>
      </c>
      <c r="AI197" s="17">
        <v>7320.74</v>
      </c>
      <c r="AJ197" s="17">
        <v>2200.7800000000002</v>
      </c>
      <c r="AK197" s="17">
        <v>5602.97</v>
      </c>
    </row>
    <row r="198" spans="1:37" x14ac:dyDescent="0.2">
      <c r="A198" s="14" t="s">
        <v>33</v>
      </c>
      <c r="B198" s="14">
        <v>640</v>
      </c>
      <c r="C198" s="14">
        <v>1</v>
      </c>
      <c r="D198" s="14" t="s">
        <v>274</v>
      </c>
      <c r="E198" s="15">
        <v>64</v>
      </c>
      <c r="F198" s="15" t="s">
        <v>65</v>
      </c>
      <c r="G198" s="16">
        <v>165</v>
      </c>
      <c r="H198" s="16">
        <v>165</v>
      </c>
      <c r="I198" s="16">
        <v>3942265</v>
      </c>
      <c r="J198" s="16">
        <v>19800</v>
      </c>
      <c r="K198" s="16">
        <v>19800</v>
      </c>
      <c r="L198" s="17">
        <v>13207.14</v>
      </c>
      <c r="M198" s="17">
        <v>13207.14</v>
      </c>
      <c r="N198" s="17">
        <v>13207.14</v>
      </c>
      <c r="O198" s="18">
        <v>1</v>
      </c>
      <c r="P198" s="17">
        <v>6592.86</v>
      </c>
      <c r="Q198" s="17">
        <v>6592.86</v>
      </c>
      <c r="R198" s="17">
        <v>6592.86</v>
      </c>
      <c r="S198" s="17">
        <v>1</v>
      </c>
      <c r="T198" s="17">
        <v>6592.86</v>
      </c>
      <c r="U198" s="17">
        <v>264</v>
      </c>
      <c r="V198" s="16">
        <v>19800</v>
      </c>
      <c r="W198" s="17">
        <v>1121</v>
      </c>
      <c r="X198" s="17">
        <v>20921</v>
      </c>
      <c r="Y198" s="17">
        <v>5230.25</v>
      </c>
      <c r="Z198" s="17">
        <v>4493.76</v>
      </c>
      <c r="AA198" s="17">
        <v>0</v>
      </c>
      <c r="AB198" s="17">
        <v>7172.43</v>
      </c>
      <c r="AC198" s="17">
        <v>0</v>
      </c>
      <c r="AD198" s="17">
        <v>0</v>
      </c>
      <c r="AE198" s="17">
        <v>1772.05</v>
      </c>
      <c r="AF198" s="17">
        <v>4479.41</v>
      </c>
      <c r="AG198" s="17">
        <v>0</v>
      </c>
      <c r="AH198" s="17">
        <v>0</v>
      </c>
      <c r="AI198" s="17">
        <v>0</v>
      </c>
      <c r="AJ198" s="17">
        <v>13207.14</v>
      </c>
      <c r="AK198" s="17">
        <v>6592.86</v>
      </c>
    </row>
    <row r="199" spans="1:37" x14ac:dyDescent="0.2">
      <c r="A199" s="14" t="s">
        <v>33</v>
      </c>
      <c r="B199" s="14">
        <v>656</v>
      </c>
      <c r="C199" s="14">
        <v>1</v>
      </c>
      <c r="D199" s="14" t="s">
        <v>275</v>
      </c>
      <c r="E199" s="15">
        <v>66</v>
      </c>
      <c r="F199" s="15" t="s">
        <v>61</v>
      </c>
      <c r="G199" s="16">
        <v>1798</v>
      </c>
      <c r="H199" s="16">
        <v>1767</v>
      </c>
      <c r="I199" s="16">
        <v>32577131</v>
      </c>
      <c r="J199" s="16">
        <v>215760</v>
      </c>
      <c r="K199" s="16">
        <v>212040</v>
      </c>
      <c r="L199" s="17">
        <v>109137.95</v>
      </c>
      <c r="M199" s="17">
        <v>109137.95</v>
      </c>
      <c r="N199" s="17">
        <v>109137.95</v>
      </c>
      <c r="O199" s="18">
        <v>1</v>
      </c>
      <c r="P199" s="17">
        <v>106622.05</v>
      </c>
      <c r="Q199" s="17">
        <v>102902.05</v>
      </c>
      <c r="R199" s="17">
        <v>102902.05</v>
      </c>
      <c r="S199" s="17">
        <v>1</v>
      </c>
      <c r="T199" s="17">
        <v>102902.05</v>
      </c>
      <c r="U199" s="17">
        <v>2827.2</v>
      </c>
      <c r="V199" s="16">
        <v>215760</v>
      </c>
      <c r="W199" s="17">
        <v>33332.6</v>
      </c>
      <c r="X199" s="17">
        <v>249092.6</v>
      </c>
      <c r="Y199" s="17">
        <v>62273.15</v>
      </c>
      <c r="Z199" s="17">
        <v>171.64</v>
      </c>
      <c r="AA199" s="17">
        <v>0</v>
      </c>
      <c r="AB199" s="17">
        <v>3643.15</v>
      </c>
      <c r="AC199" s="17">
        <v>0</v>
      </c>
      <c r="AD199" s="17">
        <v>0</v>
      </c>
      <c r="AE199" s="17">
        <v>1553.78</v>
      </c>
      <c r="AF199" s="17">
        <v>1789.52</v>
      </c>
      <c r="AG199" s="17">
        <v>0</v>
      </c>
      <c r="AH199" s="17">
        <v>0</v>
      </c>
      <c r="AI199" s="17">
        <v>0</v>
      </c>
      <c r="AJ199" s="17">
        <v>109137.95</v>
      </c>
      <c r="AK199" s="17">
        <v>102902.05</v>
      </c>
    </row>
    <row r="200" spans="1:37" x14ac:dyDescent="0.2">
      <c r="A200" s="14" t="s">
        <v>33</v>
      </c>
      <c r="B200" s="14">
        <v>659</v>
      </c>
      <c r="C200" s="14">
        <v>1</v>
      </c>
      <c r="D200" s="14" t="s">
        <v>276</v>
      </c>
      <c r="E200" s="15">
        <v>66</v>
      </c>
      <c r="F200" s="15" t="s">
        <v>61</v>
      </c>
      <c r="G200" s="16">
        <v>1725</v>
      </c>
      <c r="H200" s="16">
        <v>1725</v>
      </c>
      <c r="I200" s="16">
        <v>32346621</v>
      </c>
      <c r="J200" s="16">
        <v>207000</v>
      </c>
      <c r="K200" s="16">
        <v>207000</v>
      </c>
      <c r="L200" s="17">
        <v>108365.71</v>
      </c>
      <c r="M200" s="17">
        <v>108365.71</v>
      </c>
      <c r="N200" s="17">
        <v>108365.71</v>
      </c>
      <c r="O200" s="18">
        <v>1</v>
      </c>
      <c r="P200" s="17">
        <v>98634.29</v>
      </c>
      <c r="Q200" s="17">
        <v>98634.29</v>
      </c>
      <c r="R200" s="17">
        <v>98634.29</v>
      </c>
      <c r="S200" s="17">
        <v>1</v>
      </c>
      <c r="T200" s="17">
        <v>98634.29</v>
      </c>
      <c r="U200" s="17">
        <v>2760</v>
      </c>
      <c r="V200" s="16">
        <v>207000</v>
      </c>
      <c r="W200" s="17">
        <v>38025.15</v>
      </c>
      <c r="X200" s="17">
        <v>245025.15</v>
      </c>
      <c r="Y200" s="17">
        <v>61256.29</v>
      </c>
      <c r="Z200" s="17">
        <v>32585.17</v>
      </c>
      <c r="AA200" s="17">
        <v>0</v>
      </c>
      <c r="AB200" s="17">
        <v>70908.95</v>
      </c>
      <c r="AC200" s="17">
        <v>0</v>
      </c>
      <c r="AD200" s="17">
        <v>0</v>
      </c>
      <c r="AE200" s="17">
        <v>79701.52</v>
      </c>
      <c r="AF200" s="17">
        <v>61065.21</v>
      </c>
      <c r="AG200" s="17">
        <v>0</v>
      </c>
      <c r="AH200" s="17">
        <v>0</v>
      </c>
      <c r="AI200" s="17">
        <v>0</v>
      </c>
      <c r="AJ200" s="17">
        <v>108365.71</v>
      </c>
      <c r="AK200" s="17">
        <v>98634.29</v>
      </c>
    </row>
    <row r="201" spans="1:37" x14ac:dyDescent="0.2">
      <c r="A201" s="14" t="s">
        <v>33</v>
      </c>
      <c r="B201" s="14">
        <v>671</v>
      </c>
      <c r="C201" s="14">
        <v>1</v>
      </c>
      <c r="D201" s="14" t="s">
        <v>277</v>
      </c>
      <c r="E201" s="15">
        <v>67</v>
      </c>
      <c r="F201" s="15" t="s">
        <v>65</v>
      </c>
      <c r="G201" s="16">
        <v>148</v>
      </c>
      <c r="H201" s="16">
        <v>144</v>
      </c>
      <c r="I201" s="16">
        <v>3065677</v>
      </c>
      <c r="J201" s="16">
        <v>18000</v>
      </c>
      <c r="K201" s="16">
        <v>18000</v>
      </c>
      <c r="L201" s="17">
        <v>10270.450000000001</v>
      </c>
      <c r="M201" s="17">
        <v>10270.450000000001</v>
      </c>
      <c r="N201" s="17">
        <v>10270.450000000001</v>
      </c>
      <c r="O201" s="18">
        <v>1</v>
      </c>
      <c r="P201" s="17">
        <v>7729.55</v>
      </c>
      <c r="Q201" s="17">
        <v>7729.55</v>
      </c>
      <c r="R201" s="17">
        <v>7729.55</v>
      </c>
      <c r="S201" s="17">
        <v>1</v>
      </c>
      <c r="T201" s="17">
        <v>7729.55</v>
      </c>
      <c r="U201" s="17">
        <v>230.4</v>
      </c>
      <c r="V201" s="16">
        <v>18000</v>
      </c>
      <c r="W201" s="17">
        <v>356.8</v>
      </c>
      <c r="X201" s="17">
        <v>18356.8</v>
      </c>
      <c r="Y201" s="17">
        <v>4589.2</v>
      </c>
      <c r="Z201" s="17">
        <v>31033.94</v>
      </c>
      <c r="AA201" s="17">
        <v>13111.78</v>
      </c>
      <c r="AB201" s="17">
        <v>32076.2</v>
      </c>
      <c r="AC201" s="17">
        <v>17151.13</v>
      </c>
      <c r="AD201" s="17">
        <v>0</v>
      </c>
      <c r="AE201" s="17">
        <v>26715.119999999999</v>
      </c>
      <c r="AF201" s="17">
        <v>19854.12</v>
      </c>
      <c r="AG201" s="17">
        <v>15264.92</v>
      </c>
      <c r="AH201" s="17">
        <v>8709.8700000000008</v>
      </c>
      <c r="AI201" s="17">
        <v>6555.05</v>
      </c>
      <c r="AJ201" s="17">
        <v>1560.58</v>
      </c>
      <c r="AK201" s="17">
        <v>1174.5</v>
      </c>
    </row>
    <row r="202" spans="1:37" x14ac:dyDescent="0.2">
      <c r="A202" s="14" t="s">
        <v>33</v>
      </c>
      <c r="B202" s="14">
        <v>676</v>
      </c>
      <c r="C202" s="14">
        <v>1</v>
      </c>
      <c r="D202" s="14" t="s">
        <v>278</v>
      </c>
      <c r="E202" s="15">
        <v>68</v>
      </c>
      <c r="F202" s="15" t="s">
        <v>59</v>
      </c>
      <c r="G202" s="16">
        <v>77</v>
      </c>
      <c r="H202" s="16">
        <v>54</v>
      </c>
      <c r="I202" s="16">
        <v>755483</v>
      </c>
      <c r="J202" s="16">
        <v>18000</v>
      </c>
      <c r="K202" s="16">
        <v>18000</v>
      </c>
      <c r="L202" s="17">
        <v>2530.9699999999998</v>
      </c>
      <c r="M202" s="17">
        <v>2530.9699999999998</v>
      </c>
      <c r="N202" s="17">
        <v>2530.9699999999998</v>
      </c>
      <c r="O202" s="18">
        <v>1</v>
      </c>
      <c r="P202" s="17">
        <v>15469.03</v>
      </c>
      <c r="Q202" s="17">
        <v>15469.03</v>
      </c>
      <c r="R202" s="17">
        <v>15469.03</v>
      </c>
      <c r="S202" s="17">
        <v>1</v>
      </c>
      <c r="T202" s="17">
        <v>15469.03</v>
      </c>
      <c r="U202" s="17">
        <v>0</v>
      </c>
      <c r="V202" s="16">
        <v>18000</v>
      </c>
      <c r="W202" s="17">
        <v>0</v>
      </c>
      <c r="X202" s="17">
        <v>18000</v>
      </c>
      <c r="Y202" s="17">
        <v>4500</v>
      </c>
      <c r="Z202" s="17">
        <v>0</v>
      </c>
      <c r="AA202" s="17">
        <v>0</v>
      </c>
      <c r="AB202" s="17">
        <v>99.05</v>
      </c>
      <c r="AC202" s="17">
        <v>0</v>
      </c>
      <c r="AD202" s="17">
        <v>0</v>
      </c>
      <c r="AE202" s="17">
        <v>213.34</v>
      </c>
      <c r="AF202" s="17">
        <v>104.13</v>
      </c>
      <c r="AG202" s="17">
        <v>0</v>
      </c>
      <c r="AH202" s="17">
        <v>0</v>
      </c>
      <c r="AI202" s="17">
        <v>0</v>
      </c>
      <c r="AJ202" s="17">
        <v>2530.9699999999998</v>
      </c>
      <c r="AK202" s="17">
        <v>15469.03</v>
      </c>
    </row>
    <row r="203" spans="1:37" x14ac:dyDescent="0.2">
      <c r="A203" s="14" t="s">
        <v>33</v>
      </c>
      <c r="B203" s="14">
        <v>682</v>
      </c>
      <c r="C203" s="14">
        <v>1</v>
      </c>
      <c r="D203" s="14" t="s">
        <v>279</v>
      </c>
      <c r="E203" s="15">
        <v>68</v>
      </c>
      <c r="F203" s="15" t="s">
        <v>59</v>
      </c>
      <c r="G203" s="16">
        <v>435</v>
      </c>
      <c r="H203" s="16">
        <v>409</v>
      </c>
      <c r="I203" s="16">
        <v>4552796</v>
      </c>
      <c r="J203" s="16">
        <v>52200</v>
      </c>
      <c r="K203" s="16">
        <v>49080</v>
      </c>
      <c r="L203" s="17">
        <v>15252.5</v>
      </c>
      <c r="M203" s="17">
        <v>15252.5</v>
      </c>
      <c r="N203" s="17">
        <v>15252.5</v>
      </c>
      <c r="O203" s="18">
        <v>1</v>
      </c>
      <c r="P203" s="17">
        <v>36947.5</v>
      </c>
      <c r="Q203" s="17">
        <v>33827.5</v>
      </c>
      <c r="R203" s="17">
        <v>33827.5</v>
      </c>
      <c r="S203" s="17">
        <v>1</v>
      </c>
      <c r="T203" s="17">
        <v>33827.5</v>
      </c>
      <c r="U203" s="17">
        <v>654.4</v>
      </c>
      <c r="V203" s="16">
        <v>52200</v>
      </c>
      <c r="W203" s="17">
        <v>696</v>
      </c>
      <c r="X203" s="17">
        <v>52896</v>
      </c>
      <c r="Y203" s="17">
        <v>13224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15252.5</v>
      </c>
      <c r="AK203" s="17">
        <v>33827.5</v>
      </c>
    </row>
    <row r="204" spans="1:37" x14ac:dyDescent="0.2">
      <c r="A204" s="14" t="s">
        <v>33</v>
      </c>
      <c r="B204" s="14">
        <v>690</v>
      </c>
      <c r="C204" s="14">
        <v>1</v>
      </c>
      <c r="D204" s="14" t="s">
        <v>280</v>
      </c>
      <c r="E204" s="15">
        <v>68</v>
      </c>
      <c r="F204" s="15" t="s">
        <v>59</v>
      </c>
      <c r="G204" s="16">
        <v>385</v>
      </c>
      <c r="H204" s="16">
        <v>378</v>
      </c>
      <c r="I204" s="16">
        <v>4289789</v>
      </c>
      <c r="J204" s="16">
        <v>46200</v>
      </c>
      <c r="K204" s="16">
        <v>45360</v>
      </c>
      <c r="L204" s="17">
        <v>14371.39</v>
      </c>
      <c r="M204" s="17">
        <v>14371.39</v>
      </c>
      <c r="N204" s="17">
        <v>14371.39</v>
      </c>
      <c r="O204" s="18">
        <v>1</v>
      </c>
      <c r="P204" s="17">
        <v>31828.61</v>
      </c>
      <c r="Q204" s="17">
        <v>30988.61</v>
      </c>
      <c r="R204" s="17">
        <v>30988.61</v>
      </c>
      <c r="S204" s="17">
        <v>1</v>
      </c>
      <c r="T204" s="17">
        <v>30988.61</v>
      </c>
      <c r="U204" s="17">
        <v>604.79999999999995</v>
      </c>
      <c r="V204" s="16">
        <v>46200</v>
      </c>
      <c r="W204" s="17">
        <v>7583.9</v>
      </c>
      <c r="X204" s="17">
        <v>53783.9</v>
      </c>
      <c r="Y204" s="17">
        <v>13445.98</v>
      </c>
      <c r="Z204" s="17">
        <v>-6120.46</v>
      </c>
      <c r="AA204" s="17">
        <v>0</v>
      </c>
      <c r="AB204" s="17">
        <v>-7088.53</v>
      </c>
      <c r="AC204" s="17">
        <v>0</v>
      </c>
      <c r="AD204" s="17">
        <v>0</v>
      </c>
      <c r="AE204" s="17">
        <v>-9748.7900000000009</v>
      </c>
      <c r="AF204" s="17">
        <v>-7652.59</v>
      </c>
      <c r="AG204" s="17">
        <v>0</v>
      </c>
      <c r="AH204" s="17">
        <v>0</v>
      </c>
      <c r="AI204" s="17">
        <v>0</v>
      </c>
      <c r="AJ204" s="17">
        <v>14371.39</v>
      </c>
      <c r="AK204" s="17">
        <v>30988.61</v>
      </c>
    </row>
    <row r="205" spans="1:37" x14ac:dyDescent="0.2">
      <c r="A205" s="14" t="s">
        <v>33</v>
      </c>
      <c r="B205" s="14">
        <v>695</v>
      </c>
      <c r="C205" s="14">
        <v>1</v>
      </c>
      <c r="D205" s="14" t="s">
        <v>281</v>
      </c>
      <c r="E205" s="15">
        <v>69</v>
      </c>
      <c r="F205" s="15" t="s">
        <v>58</v>
      </c>
      <c r="G205" s="16">
        <v>377</v>
      </c>
      <c r="H205" s="16">
        <v>384</v>
      </c>
      <c r="I205" s="16">
        <v>2725385</v>
      </c>
      <c r="J205" s="16">
        <v>45240</v>
      </c>
      <c r="K205" s="16">
        <v>46080</v>
      </c>
      <c r="L205" s="17">
        <v>9130.42</v>
      </c>
      <c r="M205" s="17">
        <v>9130.42</v>
      </c>
      <c r="N205" s="17">
        <v>9130.42</v>
      </c>
      <c r="O205" s="18">
        <v>1</v>
      </c>
      <c r="P205" s="17">
        <v>36109.58</v>
      </c>
      <c r="Q205" s="17">
        <v>36949.58</v>
      </c>
      <c r="R205" s="17">
        <v>36949.58</v>
      </c>
      <c r="S205" s="17">
        <v>1</v>
      </c>
      <c r="T205" s="17">
        <v>36949.58</v>
      </c>
      <c r="U205" s="17">
        <v>614.4</v>
      </c>
      <c r="V205" s="16">
        <v>45240</v>
      </c>
      <c r="W205" s="17">
        <v>5316.89</v>
      </c>
      <c r="X205" s="17">
        <v>50556.89</v>
      </c>
      <c r="Y205" s="17">
        <v>12639.22</v>
      </c>
      <c r="Z205" s="17">
        <v>1150.96</v>
      </c>
      <c r="AA205" s="17">
        <v>0</v>
      </c>
      <c r="AB205" s="17">
        <v>8955.81</v>
      </c>
      <c r="AC205" s="17">
        <v>0</v>
      </c>
      <c r="AD205" s="17">
        <v>0</v>
      </c>
      <c r="AE205" s="17">
        <v>9924.19</v>
      </c>
      <c r="AF205" s="17">
        <v>6676.99</v>
      </c>
      <c r="AG205" s="17">
        <v>0</v>
      </c>
      <c r="AH205" s="17">
        <v>0</v>
      </c>
      <c r="AI205" s="17">
        <v>0</v>
      </c>
      <c r="AJ205" s="17">
        <v>9130.42</v>
      </c>
      <c r="AK205" s="17">
        <v>36949.58</v>
      </c>
    </row>
    <row r="206" spans="1:37" x14ac:dyDescent="0.2">
      <c r="A206" s="14" t="s">
        <v>33</v>
      </c>
      <c r="B206" s="14">
        <v>696</v>
      </c>
      <c r="C206" s="14">
        <v>1</v>
      </c>
      <c r="D206" s="14" t="s">
        <v>282</v>
      </c>
      <c r="E206" s="15">
        <v>69</v>
      </c>
      <c r="F206" s="15" t="s">
        <v>58</v>
      </c>
      <c r="G206" s="16">
        <v>196</v>
      </c>
      <c r="H206" s="16">
        <v>197</v>
      </c>
      <c r="I206" s="16">
        <v>8910279</v>
      </c>
      <c r="J206" s="16">
        <v>23520</v>
      </c>
      <c r="K206" s="16">
        <v>23640</v>
      </c>
      <c r="L206" s="17">
        <v>23520</v>
      </c>
      <c r="M206" s="17">
        <v>23640</v>
      </c>
      <c r="N206" s="17">
        <v>23520</v>
      </c>
      <c r="O206" s="18">
        <v>1</v>
      </c>
      <c r="P206" s="17">
        <v>0</v>
      </c>
      <c r="Q206" s="17">
        <v>0</v>
      </c>
      <c r="R206" s="17">
        <v>0</v>
      </c>
      <c r="S206" s="17">
        <v>1</v>
      </c>
      <c r="T206" s="17">
        <v>0</v>
      </c>
      <c r="U206" s="17">
        <v>315.2</v>
      </c>
      <c r="V206" s="16">
        <v>23520</v>
      </c>
      <c r="W206" s="17">
        <v>10022.6</v>
      </c>
      <c r="X206" s="17">
        <v>33542.6</v>
      </c>
      <c r="Y206" s="17">
        <v>8385.65</v>
      </c>
      <c r="Z206" s="17">
        <v>4494.4799999999996</v>
      </c>
      <c r="AA206" s="17">
        <v>0</v>
      </c>
      <c r="AB206" s="17">
        <v>1746.86</v>
      </c>
      <c r="AC206" s="17">
        <v>0</v>
      </c>
      <c r="AD206" s="17">
        <v>0</v>
      </c>
      <c r="AE206" s="17">
        <v>8091.39</v>
      </c>
      <c r="AF206" s="17">
        <v>4777.58</v>
      </c>
      <c r="AG206" s="17">
        <v>0</v>
      </c>
      <c r="AH206" s="17">
        <v>0</v>
      </c>
      <c r="AI206" s="17">
        <v>0</v>
      </c>
      <c r="AJ206" s="17">
        <v>23640</v>
      </c>
      <c r="AK206" s="17">
        <v>0</v>
      </c>
    </row>
    <row r="207" spans="1:37" x14ac:dyDescent="0.2">
      <c r="A207" s="14" t="s">
        <v>33</v>
      </c>
      <c r="B207" s="14">
        <v>698</v>
      </c>
      <c r="C207" s="14">
        <v>1</v>
      </c>
      <c r="D207" s="14" t="s">
        <v>283</v>
      </c>
      <c r="E207" s="15">
        <v>69</v>
      </c>
      <c r="F207" s="15" t="s">
        <v>58</v>
      </c>
      <c r="G207" s="16">
        <v>75</v>
      </c>
      <c r="H207" s="16">
        <v>53</v>
      </c>
      <c r="I207" s="16">
        <v>2629860</v>
      </c>
      <c r="J207" s="16">
        <v>18000</v>
      </c>
      <c r="K207" s="16">
        <v>18000</v>
      </c>
      <c r="L207" s="17">
        <v>8810.4</v>
      </c>
      <c r="M207" s="17">
        <v>8810.4</v>
      </c>
      <c r="N207" s="17">
        <v>8810.4</v>
      </c>
      <c r="O207" s="18">
        <v>1</v>
      </c>
      <c r="P207" s="17">
        <v>9189.6</v>
      </c>
      <c r="Q207" s="17">
        <v>9189.6</v>
      </c>
      <c r="R207" s="17">
        <v>9189.6</v>
      </c>
      <c r="S207" s="17">
        <v>1</v>
      </c>
      <c r="T207" s="17">
        <v>9189.6</v>
      </c>
      <c r="U207" s="17">
        <v>84.8</v>
      </c>
      <c r="V207" s="16">
        <v>18000</v>
      </c>
      <c r="W207" s="17">
        <v>1399</v>
      </c>
      <c r="X207" s="17">
        <v>19399</v>
      </c>
      <c r="Y207" s="17">
        <v>4849.75</v>
      </c>
      <c r="Z207" s="17">
        <v>4934.12</v>
      </c>
      <c r="AA207" s="17">
        <v>0</v>
      </c>
      <c r="AB207" s="17">
        <v>4826.7</v>
      </c>
      <c r="AC207" s="17">
        <v>0</v>
      </c>
      <c r="AD207" s="17">
        <v>0</v>
      </c>
      <c r="AE207" s="17">
        <v>4599.08</v>
      </c>
      <c r="AF207" s="17">
        <v>4786.63</v>
      </c>
      <c r="AG207" s="17">
        <v>0</v>
      </c>
      <c r="AH207" s="17">
        <v>0</v>
      </c>
      <c r="AI207" s="17">
        <v>0</v>
      </c>
      <c r="AJ207" s="17">
        <v>8810.4</v>
      </c>
      <c r="AK207" s="17">
        <v>9189.6</v>
      </c>
    </row>
    <row r="208" spans="1:37" x14ac:dyDescent="0.2">
      <c r="A208" s="14" t="s">
        <v>33</v>
      </c>
      <c r="B208" s="14">
        <v>700</v>
      </c>
      <c r="C208" s="14">
        <v>1</v>
      </c>
      <c r="D208" s="14" t="s">
        <v>284</v>
      </c>
      <c r="E208" s="15">
        <v>69</v>
      </c>
      <c r="F208" s="15" t="s">
        <v>58</v>
      </c>
      <c r="G208" s="16">
        <v>610</v>
      </c>
      <c r="H208" s="16">
        <v>625</v>
      </c>
      <c r="I208" s="16">
        <v>13322560</v>
      </c>
      <c r="J208" s="16">
        <v>73200</v>
      </c>
      <c r="K208" s="16">
        <v>75000</v>
      </c>
      <c r="L208" s="17">
        <v>44632.44</v>
      </c>
      <c r="M208" s="17">
        <v>44632.44</v>
      </c>
      <c r="N208" s="17">
        <v>44632.44</v>
      </c>
      <c r="O208" s="18">
        <v>1</v>
      </c>
      <c r="P208" s="17">
        <v>28567.56</v>
      </c>
      <c r="Q208" s="17">
        <v>30367.56</v>
      </c>
      <c r="R208" s="17">
        <v>30367.56</v>
      </c>
      <c r="S208" s="17">
        <v>1</v>
      </c>
      <c r="T208" s="17">
        <v>30367.56</v>
      </c>
      <c r="U208" s="17">
        <v>1000</v>
      </c>
      <c r="V208" s="16">
        <v>73200</v>
      </c>
      <c r="W208" s="17">
        <v>976</v>
      </c>
      <c r="X208" s="17">
        <v>74176</v>
      </c>
      <c r="Y208" s="17">
        <v>18544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44632.44</v>
      </c>
      <c r="AK208" s="17">
        <v>30367.56</v>
      </c>
    </row>
    <row r="209" spans="1:37" x14ac:dyDescent="0.2">
      <c r="A209" s="14" t="s">
        <v>33</v>
      </c>
      <c r="B209" s="14">
        <v>701</v>
      </c>
      <c r="C209" s="14">
        <v>1</v>
      </c>
      <c r="D209" s="14" t="s">
        <v>285</v>
      </c>
      <c r="E209" s="15">
        <v>69</v>
      </c>
      <c r="F209" s="15" t="s">
        <v>58</v>
      </c>
      <c r="G209" s="16">
        <v>1000</v>
      </c>
      <c r="H209" s="16">
        <v>1010</v>
      </c>
      <c r="I209" s="16">
        <v>12261975</v>
      </c>
      <c r="J209" s="16">
        <v>120000</v>
      </c>
      <c r="K209" s="16">
        <v>121200</v>
      </c>
      <c r="L209" s="17">
        <v>41079.33</v>
      </c>
      <c r="M209" s="17">
        <v>41079.33</v>
      </c>
      <c r="N209" s="17">
        <v>41079.33</v>
      </c>
      <c r="O209" s="18">
        <v>1</v>
      </c>
      <c r="P209" s="17">
        <v>78920.67</v>
      </c>
      <c r="Q209" s="17">
        <v>80120.67</v>
      </c>
      <c r="R209" s="17">
        <v>80120.67</v>
      </c>
      <c r="S209" s="17">
        <v>1</v>
      </c>
      <c r="T209" s="17">
        <v>80120.67</v>
      </c>
      <c r="U209" s="17">
        <v>1616</v>
      </c>
      <c r="V209" s="16">
        <v>120000</v>
      </c>
      <c r="W209" s="17">
        <v>10527.67</v>
      </c>
      <c r="X209" s="17">
        <v>130527.67</v>
      </c>
      <c r="Y209" s="17">
        <v>32631.919999999998</v>
      </c>
      <c r="Z209" s="17">
        <v>6846.23</v>
      </c>
      <c r="AA209" s="17">
        <v>0</v>
      </c>
      <c r="AB209" s="17">
        <v>22328.6</v>
      </c>
      <c r="AC209" s="17">
        <v>0</v>
      </c>
      <c r="AD209" s="17">
        <v>0</v>
      </c>
      <c r="AE209" s="17">
        <v>24073.31</v>
      </c>
      <c r="AF209" s="17">
        <v>17749.38</v>
      </c>
      <c r="AG209" s="17">
        <v>0</v>
      </c>
      <c r="AH209" s="17">
        <v>0</v>
      </c>
      <c r="AI209" s="17">
        <v>0</v>
      </c>
      <c r="AJ209" s="17">
        <v>41079.33</v>
      </c>
      <c r="AK209" s="17">
        <v>80120.67</v>
      </c>
    </row>
    <row r="210" spans="1:37" x14ac:dyDescent="0.2">
      <c r="A210" s="14" t="s">
        <v>33</v>
      </c>
      <c r="B210" s="14">
        <v>704</v>
      </c>
      <c r="C210" s="14">
        <v>1</v>
      </c>
      <c r="D210" s="14" t="s">
        <v>286</v>
      </c>
      <c r="E210" s="15">
        <v>69</v>
      </c>
      <c r="F210" s="15" t="s">
        <v>58</v>
      </c>
      <c r="G210" s="16">
        <v>707</v>
      </c>
      <c r="H210" s="16">
        <v>728</v>
      </c>
      <c r="I210" s="16">
        <v>11646727</v>
      </c>
      <c r="J210" s="16">
        <v>84840</v>
      </c>
      <c r="K210" s="16">
        <v>87360</v>
      </c>
      <c r="L210" s="17">
        <v>39018.17</v>
      </c>
      <c r="M210" s="17">
        <v>39018.17</v>
      </c>
      <c r="N210" s="17">
        <v>39018.17</v>
      </c>
      <c r="O210" s="18">
        <v>1</v>
      </c>
      <c r="P210" s="17">
        <v>45821.83</v>
      </c>
      <c r="Q210" s="17">
        <v>48341.83</v>
      </c>
      <c r="R210" s="17">
        <v>48341.83</v>
      </c>
      <c r="S210" s="17">
        <v>1</v>
      </c>
      <c r="T210" s="17">
        <v>48341.83</v>
      </c>
      <c r="U210" s="17">
        <v>1164.8</v>
      </c>
      <c r="V210" s="16">
        <v>84840</v>
      </c>
      <c r="W210" s="17">
        <v>92935.42</v>
      </c>
      <c r="X210" s="17">
        <v>177775.42</v>
      </c>
      <c r="Y210" s="17">
        <v>44443.86</v>
      </c>
      <c r="Z210" s="17">
        <v>30007.03</v>
      </c>
      <c r="AA210" s="17">
        <v>0</v>
      </c>
      <c r="AB210" s="17">
        <v>32726.04</v>
      </c>
      <c r="AC210" s="17">
        <v>0</v>
      </c>
      <c r="AD210" s="17">
        <v>0</v>
      </c>
      <c r="AE210" s="17">
        <v>26592.639999999999</v>
      </c>
      <c r="AF210" s="17">
        <v>29775.24</v>
      </c>
      <c r="AG210" s="17">
        <v>0</v>
      </c>
      <c r="AH210" s="17">
        <v>0</v>
      </c>
      <c r="AI210" s="17">
        <v>0</v>
      </c>
      <c r="AJ210" s="17">
        <v>39018.17</v>
      </c>
      <c r="AK210" s="17">
        <v>48341.83</v>
      </c>
    </row>
    <row r="211" spans="1:37" x14ac:dyDescent="0.2">
      <c r="A211" s="14" t="s">
        <v>33</v>
      </c>
      <c r="B211" s="14">
        <v>706</v>
      </c>
      <c r="C211" s="14">
        <v>1</v>
      </c>
      <c r="D211" s="14" t="s">
        <v>287</v>
      </c>
      <c r="E211" s="15">
        <v>69</v>
      </c>
      <c r="F211" s="15" t="s">
        <v>58</v>
      </c>
      <c r="G211" s="16">
        <v>572</v>
      </c>
      <c r="H211" s="16">
        <v>604</v>
      </c>
      <c r="I211" s="16">
        <v>6803429</v>
      </c>
      <c r="J211" s="16">
        <v>68640</v>
      </c>
      <c r="K211" s="16">
        <v>72480</v>
      </c>
      <c r="L211" s="17">
        <v>22792.44</v>
      </c>
      <c r="M211" s="17">
        <v>22792.44</v>
      </c>
      <c r="N211" s="17">
        <v>22792.44</v>
      </c>
      <c r="O211" s="18">
        <v>1</v>
      </c>
      <c r="P211" s="17">
        <v>45847.56</v>
      </c>
      <c r="Q211" s="17">
        <v>49687.56</v>
      </c>
      <c r="R211" s="17">
        <v>49687.56</v>
      </c>
      <c r="S211" s="17">
        <v>1</v>
      </c>
      <c r="T211" s="17">
        <v>49687.56</v>
      </c>
      <c r="U211" s="17">
        <v>966.4</v>
      </c>
      <c r="V211" s="16">
        <v>68640</v>
      </c>
      <c r="W211" s="17">
        <v>18692.509999999998</v>
      </c>
      <c r="X211" s="17">
        <v>87332.51</v>
      </c>
      <c r="Y211" s="17">
        <v>21833.13</v>
      </c>
      <c r="Z211" s="17">
        <v>11852.47</v>
      </c>
      <c r="AA211" s="17">
        <v>0</v>
      </c>
      <c r="AB211" s="17">
        <v>6798.62</v>
      </c>
      <c r="AC211" s="17">
        <v>0</v>
      </c>
      <c r="AD211" s="17">
        <v>0</v>
      </c>
      <c r="AE211" s="17">
        <v>5228.09</v>
      </c>
      <c r="AF211" s="17">
        <v>7959.73</v>
      </c>
      <c r="AG211" s="17">
        <v>0</v>
      </c>
      <c r="AH211" s="17">
        <v>0</v>
      </c>
      <c r="AI211" s="17">
        <v>0</v>
      </c>
      <c r="AJ211" s="17">
        <v>22792.44</v>
      </c>
      <c r="AK211" s="17">
        <v>49687.56</v>
      </c>
    </row>
    <row r="212" spans="1:37" x14ac:dyDescent="0.2">
      <c r="A212" s="14" t="s">
        <v>33</v>
      </c>
      <c r="B212" s="14">
        <v>707</v>
      </c>
      <c r="C212" s="14">
        <v>1</v>
      </c>
      <c r="D212" s="14" t="s">
        <v>288</v>
      </c>
      <c r="E212" s="15">
        <v>69</v>
      </c>
      <c r="F212" s="15" t="s">
        <v>58</v>
      </c>
      <c r="G212" s="16">
        <v>47</v>
      </c>
      <c r="H212" s="16">
        <v>43</v>
      </c>
      <c r="I212" s="16">
        <v>96798</v>
      </c>
      <c r="J212" s="16">
        <v>18000</v>
      </c>
      <c r="K212" s="16">
        <v>18000</v>
      </c>
      <c r="L212" s="17">
        <v>324.29000000000002</v>
      </c>
      <c r="M212" s="17">
        <v>324.29000000000002</v>
      </c>
      <c r="N212" s="17">
        <v>324.29000000000002</v>
      </c>
      <c r="O212" s="18">
        <v>1</v>
      </c>
      <c r="P212" s="17">
        <v>17675.71</v>
      </c>
      <c r="Q212" s="17">
        <v>17675.71</v>
      </c>
      <c r="R212" s="17">
        <v>17675.71</v>
      </c>
      <c r="S212" s="17">
        <v>1</v>
      </c>
      <c r="T212" s="17">
        <v>17675.71</v>
      </c>
      <c r="U212" s="17">
        <v>0</v>
      </c>
      <c r="V212" s="16">
        <v>18000</v>
      </c>
      <c r="W212" s="17">
        <v>0</v>
      </c>
      <c r="X212" s="17">
        <v>18000</v>
      </c>
      <c r="Y212" s="17">
        <v>4500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427.43</v>
      </c>
      <c r="AF212" s="17">
        <v>142.47999999999999</v>
      </c>
      <c r="AG212" s="17">
        <v>0</v>
      </c>
      <c r="AH212" s="17">
        <v>0</v>
      </c>
      <c r="AI212" s="17">
        <v>0</v>
      </c>
      <c r="AJ212" s="17">
        <v>324.29000000000002</v>
      </c>
      <c r="AK212" s="17">
        <v>17675.71</v>
      </c>
    </row>
    <row r="213" spans="1:37" x14ac:dyDescent="0.2">
      <c r="A213" s="14" t="s">
        <v>33</v>
      </c>
      <c r="B213" s="14">
        <v>709</v>
      </c>
      <c r="C213" s="14">
        <v>1</v>
      </c>
      <c r="D213" s="14" t="s">
        <v>289</v>
      </c>
      <c r="E213" s="15">
        <v>69</v>
      </c>
      <c r="F213" s="15" t="s">
        <v>58</v>
      </c>
      <c r="G213" s="16">
        <v>5830</v>
      </c>
      <c r="H213" s="16">
        <v>5953</v>
      </c>
      <c r="I213" s="16">
        <v>75919250</v>
      </c>
      <c r="J213" s="16">
        <v>699600</v>
      </c>
      <c r="K213" s="16">
        <v>714360</v>
      </c>
      <c r="L213" s="17">
        <v>254340.12</v>
      </c>
      <c r="M213" s="17">
        <v>254340.12</v>
      </c>
      <c r="N213" s="17">
        <v>254340.12</v>
      </c>
      <c r="O213" s="18">
        <v>1</v>
      </c>
      <c r="P213" s="17">
        <v>445259.88</v>
      </c>
      <c r="Q213" s="17">
        <v>460019.88</v>
      </c>
      <c r="R213" s="17">
        <v>460019.88</v>
      </c>
      <c r="S213" s="17">
        <v>1</v>
      </c>
      <c r="T213" s="17">
        <v>460019.88</v>
      </c>
      <c r="U213" s="17">
        <v>9524.7999999999993</v>
      </c>
      <c r="V213" s="16">
        <v>699600</v>
      </c>
      <c r="W213" s="17">
        <v>3951173.2</v>
      </c>
      <c r="X213" s="17">
        <v>4650773.2</v>
      </c>
      <c r="Y213" s="17">
        <v>1162693.3</v>
      </c>
      <c r="Z213" s="17">
        <v>126761.48</v>
      </c>
      <c r="AA213" s="17">
        <v>0</v>
      </c>
      <c r="AB213" s="17">
        <v>187236.48000000001</v>
      </c>
      <c r="AC213" s="17">
        <v>0</v>
      </c>
      <c r="AD213" s="17">
        <v>0</v>
      </c>
      <c r="AE213" s="17">
        <v>187329.08</v>
      </c>
      <c r="AF213" s="17">
        <v>167109.01</v>
      </c>
      <c r="AG213" s="17">
        <v>0</v>
      </c>
      <c r="AH213" s="17">
        <v>0</v>
      </c>
      <c r="AI213" s="17">
        <v>0</v>
      </c>
      <c r="AJ213" s="17">
        <v>254340.12</v>
      </c>
      <c r="AK213" s="17">
        <v>460019.88</v>
      </c>
    </row>
    <row r="214" spans="1:37" x14ac:dyDescent="0.2">
      <c r="A214" s="14" t="s">
        <v>33</v>
      </c>
      <c r="B214" s="14">
        <v>712</v>
      </c>
      <c r="C214" s="14">
        <v>1</v>
      </c>
      <c r="D214" s="14" t="s">
        <v>290</v>
      </c>
      <c r="E214" s="15">
        <v>69</v>
      </c>
      <c r="F214" s="15" t="s">
        <v>58</v>
      </c>
      <c r="G214" s="16">
        <v>350</v>
      </c>
      <c r="H214" s="16">
        <v>352</v>
      </c>
      <c r="I214" s="16">
        <v>3894286</v>
      </c>
      <c r="J214" s="16">
        <v>42000</v>
      </c>
      <c r="K214" s="16">
        <v>42240</v>
      </c>
      <c r="L214" s="17">
        <v>13046.4</v>
      </c>
      <c r="M214" s="17">
        <v>13046.4</v>
      </c>
      <c r="N214" s="17">
        <v>13046.4</v>
      </c>
      <c r="O214" s="18">
        <v>1</v>
      </c>
      <c r="P214" s="17">
        <v>28953.599999999999</v>
      </c>
      <c r="Q214" s="17">
        <v>29193.599999999999</v>
      </c>
      <c r="R214" s="17">
        <v>29193.599999999999</v>
      </c>
      <c r="S214" s="17">
        <v>1</v>
      </c>
      <c r="T214" s="17">
        <v>29193.599999999999</v>
      </c>
      <c r="U214" s="17">
        <v>563.20000000000005</v>
      </c>
      <c r="V214" s="16">
        <v>42000</v>
      </c>
      <c r="W214" s="17">
        <v>2806.5</v>
      </c>
      <c r="X214" s="17">
        <v>44806.5</v>
      </c>
      <c r="Y214" s="17">
        <v>11201.63</v>
      </c>
      <c r="Z214" s="17">
        <v>28361.68</v>
      </c>
      <c r="AA214" s="17">
        <v>2641.17</v>
      </c>
      <c r="AB214" s="17">
        <v>12782.41</v>
      </c>
      <c r="AC214" s="17">
        <v>7819.08</v>
      </c>
      <c r="AD214" s="17">
        <v>0</v>
      </c>
      <c r="AE214" s="17">
        <v>3745.27</v>
      </c>
      <c r="AF214" s="17">
        <v>11476.37</v>
      </c>
      <c r="AG214" s="17">
        <v>274.74</v>
      </c>
      <c r="AH214" s="17">
        <v>84.86</v>
      </c>
      <c r="AI214" s="17">
        <v>189.88</v>
      </c>
      <c r="AJ214" s="17">
        <v>12961.54</v>
      </c>
      <c r="AK214" s="17">
        <v>29003.72</v>
      </c>
    </row>
    <row r="215" spans="1:37" x14ac:dyDescent="0.2">
      <c r="A215" s="14" t="s">
        <v>33</v>
      </c>
      <c r="B215" s="14">
        <v>716</v>
      </c>
      <c r="C215" s="14">
        <v>1</v>
      </c>
      <c r="D215" s="14" t="s">
        <v>291</v>
      </c>
      <c r="E215" s="15">
        <v>70</v>
      </c>
      <c r="F215" s="15" t="s">
        <v>56</v>
      </c>
      <c r="G215" s="16">
        <v>859</v>
      </c>
      <c r="H215" s="16">
        <v>883</v>
      </c>
      <c r="I215" s="16">
        <v>12398728</v>
      </c>
      <c r="J215" s="16">
        <v>103080</v>
      </c>
      <c r="K215" s="16">
        <v>105960</v>
      </c>
      <c r="L215" s="17">
        <v>41537.47</v>
      </c>
      <c r="M215" s="17">
        <v>41537.47</v>
      </c>
      <c r="N215" s="17">
        <v>41537.47</v>
      </c>
      <c r="O215" s="18">
        <v>1</v>
      </c>
      <c r="P215" s="17">
        <v>61542.53</v>
      </c>
      <c r="Q215" s="17">
        <v>64422.53</v>
      </c>
      <c r="R215" s="17">
        <v>64422.53</v>
      </c>
      <c r="S215" s="17">
        <v>1</v>
      </c>
      <c r="T215" s="17">
        <v>64422.53</v>
      </c>
      <c r="U215" s="17">
        <v>1412.8</v>
      </c>
      <c r="V215" s="16">
        <v>103080</v>
      </c>
      <c r="W215" s="17">
        <v>15647.3</v>
      </c>
      <c r="X215" s="17">
        <v>118727.3</v>
      </c>
      <c r="Y215" s="17">
        <v>29681.83</v>
      </c>
      <c r="Z215" s="17">
        <v>4431.0600000000004</v>
      </c>
      <c r="AA215" s="17">
        <v>0</v>
      </c>
      <c r="AB215" s="17">
        <v>-22183.279999999999</v>
      </c>
      <c r="AC215" s="17">
        <v>0</v>
      </c>
      <c r="AD215" s="17">
        <v>0</v>
      </c>
      <c r="AE215" s="17">
        <v>0</v>
      </c>
      <c r="AF215" s="17">
        <v>-5917.41</v>
      </c>
      <c r="AG215" s="17">
        <v>0</v>
      </c>
      <c r="AH215" s="17">
        <v>0</v>
      </c>
      <c r="AI215" s="17">
        <v>0</v>
      </c>
      <c r="AJ215" s="17">
        <v>41537.47</v>
      </c>
      <c r="AK215" s="17">
        <v>64422.53</v>
      </c>
    </row>
    <row r="216" spans="1:37" x14ac:dyDescent="0.2">
      <c r="A216" s="14" t="s">
        <v>33</v>
      </c>
      <c r="B216" s="14">
        <v>717</v>
      </c>
      <c r="C216" s="14">
        <v>1</v>
      </c>
      <c r="D216" s="14" t="s">
        <v>292</v>
      </c>
      <c r="E216" s="15">
        <v>70</v>
      </c>
      <c r="F216" s="15" t="s">
        <v>56</v>
      </c>
      <c r="G216" s="16">
        <v>940</v>
      </c>
      <c r="H216" s="16">
        <v>935</v>
      </c>
      <c r="I216" s="16">
        <v>13564689</v>
      </c>
      <c r="J216" s="16">
        <v>112800</v>
      </c>
      <c r="K216" s="16">
        <v>112200</v>
      </c>
      <c r="L216" s="17">
        <v>45443.61</v>
      </c>
      <c r="M216" s="17">
        <v>45443.61</v>
      </c>
      <c r="N216" s="17">
        <v>45443.61</v>
      </c>
      <c r="O216" s="18">
        <v>1</v>
      </c>
      <c r="P216" s="17">
        <v>67356.39</v>
      </c>
      <c r="Q216" s="17">
        <v>66756.39</v>
      </c>
      <c r="R216" s="17">
        <v>66756.39</v>
      </c>
      <c r="S216" s="17">
        <v>1</v>
      </c>
      <c r="T216" s="17">
        <v>66756.39</v>
      </c>
      <c r="U216" s="17">
        <v>1496</v>
      </c>
      <c r="V216" s="16">
        <v>112800</v>
      </c>
      <c r="W216" s="17">
        <v>63386.46</v>
      </c>
      <c r="X216" s="17">
        <v>176186.46</v>
      </c>
      <c r="Y216" s="17">
        <v>44046.62</v>
      </c>
      <c r="Z216" s="17">
        <v>46453.21</v>
      </c>
      <c r="AA216" s="17">
        <v>0</v>
      </c>
      <c r="AB216" s="17">
        <v>48113.87</v>
      </c>
      <c r="AC216" s="17">
        <v>0</v>
      </c>
      <c r="AD216" s="17">
        <v>0</v>
      </c>
      <c r="AE216" s="17">
        <v>35199.74</v>
      </c>
      <c r="AF216" s="17">
        <v>43255.61</v>
      </c>
      <c r="AG216" s="17">
        <v>0</v>
      </c>
      <c r="AH216" s="17">
        <v>0</v>
      </c>
      <c r="AI216" s="17">
        <v>0</v>
      </c>
      <c r="AJ216" s="17">
        <v>45443.61</v>
      </c>
      <c r="AK216" s="17">
        <v>66756.39</v>
      </c>
    </row>
    <row r="217" spans="1:37" x14ac:dyDescent="0.2">
      <c r="A217" s="14" t="s">
        <v>33</v>
      </c>
      <c r="B217" s="14">
        <v>719</v>
      </c>
      <c r="C217" s="14">
        <v>1</v>
      </c>
      <c r="D217" s="14" t="s">
        <v>92</v>
      </c>
      <c r="E217" s="15">
        <v>70</v>
      </c>
      <c r="F217" s="15" t="s">
        <v>56</v>
      </c>
      <c r="G217" s="16">
        <v>4215</v>
      </c>
      <c r="H217" s="16">
        <v>4395</v>
      </c>
      <c r="I217" s="16">
        <v>55207430</v>
      </c>
      <c r="J217" s="16">
        <v>505800</v>
      </c>
      <c r="K217" s="16">
        <v>527400</v>
      </c>
      <c r="L217" s="17">
        <v>184952.62</v>
      </c>
      <c r="M217" s="17">
        <v>184952.62</v>
      </c>
      <c r="N217" s="17">
        <v>184952.62</v>
      </c>
      <c r="O217" s="18">
        <v>1</v>
      </c>
      <c r="P217" s="17">
        <v>320847.38</v>
      </c>
      <c r="Q217" s="17">
        <v>342447.38</v>
      </c>
      <c r="R217" s="17">
        <v>342447.38</v>
      </c>
      <c r="S217" s="17">
        <v>1</v>
      </c>
      <c r="T217" s="17">
        <v>342447.38</v>
      </c>
      <c r="U217" s="17">
        <v>7032</v>
      </c>
      <c r="V217" s="16">
        <v>505800</v>
      </c>
      <c r="W217" s="17">
        <v>48121.82</v>
      </c>
      <c r="X217" s="17">
        <v>553921.81999999995</v>
      </c>
      <c r="Y217" s="17">
        <v>138480.46</v>
      </c>
      <c r="Z217" s="17">
        <v>22549.9</v>
      </c>
      <c r="AA217" s="17">
        <v>0</v>
      </c>
      <c r="AB217" s="17">
        <v>39542.9</v>
      </c>
      <c r="AC217" s="17">
        <v>0</v>
      </c>
      <c r="AD217" s="17">
        <v>0</v>
      </c>
      <c r="AE217" s="17">
        <v>38226</v>
      </c>
      <c r="AF217" s="17">
        <v>33439.599999999999</v>
      </c>
      <c r="AG217" s="17">
        <v>0</v>
      </c>
      <c r="AH217" s="17">
        <v>0</v>
      </c>
      <c r="AI217" s="17">
        <v>0</v>
      </c>
      <c r="AJ217" s="17">
        <v>184952.62</v>
      </c>
      <c r="AK217" s="17">
        <v>342447.38</v>
      </c>
    </row>
    <row r="218" spans="1:37" x14ac:dyDescent="0.2">
      <c r="A218" s="14" t="s">
        <v>33</v>
      </c>
      <c r="B218" s="14">
        <v>720</v>
      </c>
      <c r="C218" s="14">
        <v>1</v>
      </c>
      <c r="D218" s="14" t="s">
        <v>293</v>
      </c>
      <c r="E218" s="15">
        <v>70</v>
      </c>
      <c r="F218" s="15" t="s">
        <v>56</v>
      </c>
      <c r="G218" s="16">
        <v>3656</v>
      </c>
      <c r="H218" s="16">
        <v>3829</v>
      </c>
      <c r="I218" s="16">
        <v>54009678</v>
      </c>
      <c r="J218" s="16">
        <v>438720</v>
      </c>
      <c r="K218" s="16">
        <v>459480</v>
      </c>
      <c r="L218" s="17">
        <v>180939.98</v>
      </c>
      <c r="M218" s="17">
        <v>180939.98</v>
      </c>
      <c r="N218" s="17">
        <v>180939.98</v>
      </c>
      <c r="O218" s="18">
        <v>1</v>
      </c>
      <c r="P218" s="17">
        <v>257780.02</v>
      </c>
      <c r="Q218" s="17">
        <v>278540.02</v>
      </c>
      <c r="R218" s="17">
        <v>278540.02</v>
      </c>
      <c r="S218" s="17">
        <v>1</v>
      </c>
      <c r="T218" s="17">
        <v>278540.02</v>
      </c>
      <c r="U218" s="17">
        <v>6126.4</v>
      </c>
      <c r="V218" s="16">
        <v>438720</v>
      </c>
      <c r="W218" s="17">
        <v>87621.6</v>
      </c>
      <c r="X218" s="17">
        <v>526341.6</v>
      </c>
      <c r="Y218" s="17">
        <v>131585.4</v>
      </c>
      <c r="Z218" s="17">
        <v>10226.48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3408.83</v>
      </c>
      <c r="AG218" s="17">
        <v>0</v>
      </c>
      <c r="AH218" s="17">
        <v>0</v>
      </c>
      <c r="AI218" s="17">
        <v>0</v>
      </c>
      <c r="AJ218" s="17">
        <v>180939.98</v>
      </c>
      <c r="AK218" s="17">
        <v>278540.02</v>
      </c>
    </row>
    <row r="219" spans="1:37" x14ac:dyDescent="0.2">
      <c r="A219" s="14" t="s">
        <v>33</v>
      </c>
      <c r="B219" s="14">
        <v>721</v>
      </c>
      <c r="C219" s="14">
        <v>1</v>
      </c>
      <c r="D219" s="14" t="s">
        <v>90</v>
      </c>
      <c r="E219" s="15">
        <v>70</v>
      </c>
      <c r="F219" s="15" t="s">
        <v>56</v>
      </c>
      <c r="G219" s="16">
        <v>1470</v>
      </c>
      <c r="H219" s="16">
        <v>1471</v>
      </c>
      <c r="I219" s="16">
        <v>26025169</v>
      </c>
      <c r="J219" s="16">
        <v>176400</v>
      </c>
      <c r="K219" s="16">
        <v>176520</v>
      </c>
      <c r="L219" s="17">
        <v>87187.96</v>
      </c>
      <c r="M219" s="17">
        <v>87187.96</v>
      </c>
      <c r="N219" s="17">
        <v>87187.96</v>
      </c>
      <c r="O219" s="18">
        <v>1</v>
      </c>
      <c r="P219" s="17">
        <v>89212.04</v>
      </c>
      <c r="Q219" s="17">
        <v>89332.04</v>
      </c>
      <c r="R219" s="17">
        <v>89332.04</v>
      </c>
      <c r="S219" s="17">
        <v>1</v>
      </c>
      <c r="T219" s="17">
        <v>89332.04</v>
      </c>
      <c r="U219" s="17">
        <v>2353.6</v>
      </c>
      <c r="V219" s="16">
        <v>176400</v>
      </c>
      <c r="W219" s="17">
        <v>28533</v>
      </c>
      <c r="X219" s="17">
        <v>204933</v>
      </c>
      <c r="Y219" s="17">
        <v>51233.25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7589</v>
      </c>
      <c r="AF219" s="17">
        <v>2529.67</v>
      </c>
      <c r="AG219" s="17">
        <v>0</v>
      </c>
      <c r="AH219" s="17">
        <v>0</v>
      </c>
      <c r="AI219" s="17">
        <v>0</v>
      </c>
      <c r="AJ219" s="17">
        <v>87187.96</v>
      </c>
      <c r="AK219" s="17">
        <v>89332.04</v>
      </c>
    </row>
    <row r="220" spans="1:37" x14ac:dyDescent="0.2">
      <c r="A220" s="14" t="s">
        <v>33</v>
      </c>
      <c r="B220" s="14">
        <v>726</v>
      </c>
      <c r="C220" s="14">
        <v>1</v>
      </c>
      <c r="D220" s="14" t="s">
        <v>294</v>
      </c>
      <c r="E220" s="15">
        <v>71</v>
      </c>
      <c r="F220" s="15" t="s">
        <v>63</v>
      </c>
      <c r="G220" s="16">
        <v>1127</v>
      </c>
      <c r="H220" s="16">
        <v>1119</v>
      </c>
      <c r="I220" s="16">
        <v>23368505</v>
      </c>
      <c r="J220" s="16">
        <v>135240</v>
      </c>
      <c r="K220" s="16">
        <v>134280</v>
      </c>
      <c r="L220" s="17">
        <v>78287.759999999995</v>
      </c>
      <c r="M220" s="17">
        <v>78287.759999999995</v>
      </c>
      <c r="N220" s="17">
        <v>78287.759999999995</v>
      </c>
      <c r="O220" s="18">
        <v>1</v>
      </c>
      <c r="P220" s="17">
        <v>56952.24</v>
      </c>
      <c r="Q220" s="17">
        <v>55992.24</v>
      </c>
      <c r="R220" s="17">
        <v>55992.24</v>
      </c>
      <c r="S220" s="17">
        <v>1</v>
      </c>
      <c r="T220" s="17">
        <v>55992.24</v>
      </c>
      <c r="U220" s="17">
        <v>1790.4</v>
      </c>
      <c r="V220" s="16">
        <v>135240</v>
      </c>
      <c r="W220" s="17">
        <v>22409.77</v>
      </c>
      <c r="X220" s="17">
        <v>157649.76999999999</v>
      </c>
      <c r="Y220" s="17">
        <v>39412.44</v>
      </c>
      <c r="Z220" s="17">
        <v>30660.99</v>
      </c>
      <c r="AA220" s="17">
        <v>0</v>
      </c>
      <c r="AB220" s="17">
        <v>43073.65</v>
      </c>
      <c r="AC220" s="17">
        <v>0</v>
      </c>
      <c r="AD220" s="17">
        <v>0</v>
      </c>
      <c r="AE220" s="17">
        <v>40266.54</v>
      </c>
      <c r="AF220" s="17">
        <v>38000.39</v>
      </c>
      <c r="AG220" s="17">
        <v>0</v>
      </c>
      <c r="AH220" s="17">
        <v>0</v>
      </c>
      <c r="AI220" s="17">
        <v>0</v>
      </c>
      <c r="AJ220" s="17">
        <v>78287.759999999995</v>
      </c>
      <c r="AK220" s="17">
        <v>55992.24</v>
      </c>
    </row>
    <row r="221" spans="1:37" x14ac:dyDescent="0.2">
      <c r="A221" s="14" t="s">
        <v>33</v>
      </c>
      <c r="B221" s="14">
        <v>727</v>
      </c>
      <c r="C221" s="14">
        <v>1</v>
      </c>
      <c r="D221" s="14" t="s">
        <v>295</v>
      </c>
      <c r="E221" s="15">
        <v>71</v>
      </c>
      <c r="F221" s="15" t="s">
        <v>63</v>
      </c>
      <c r="G221" s="16">
        <v>1899</v>
      </c>
      <c r="H221" s="16">
        <v>1755</v>
      </c>
      <c r="I221" s="16">
        <v>16528509</v>
      </c>
      <c r="J221" s="16">
        <v>227880</v>
      </c>
      <c r="K221" s="16">
        <v>210600</v>
      </c>
      <c r="L221" s="17">
        <v>55372.82</v>
      </c>
      <c r="M221" s="17">
        <v>55372.82</v>
      </c>
      <c r="N221" s="17">
        <v>55372.82</v>
      </c>
      <c r="O221" s="18">
        <v>1</v>
      </c>
      <c r="P221" s="17">
        <v>172507.18</v>
      </c>
      <c r="Q221" s="17">
        <v>155227.18</v>
      </c>
      <c r="R221" s="17">
        <v>155227.18</v>
      </c>
      <c r="S221" s="17">
        <v>1</v>
      </c>
      <c r="T221" s="17">
        <v>155227.18</v>
      </c>
      <c r="U221" s="17">
        <v>2808</v>
      </c>
      <c r="V221" s="16">
        <v>227880</v>
      </c>
      <c r="W221" s="17">
        <v>15492.8</v>
      </c>
      <c r="X221" s="17">
        <v>243372.79999999999</v>
      </c>
      <c r="Y221" s="17">
        <v>60843.199999999997</v>
      </c>
      <c r="Z221" s="17">
        <v>-2255.5700000000002</v>
      </c>
      <c r="AA221" s="17">
        <v>0</v>
      </c>
      <c r="AB221" s="17">
        <v>37771.19</v>
      </c>
      <c r="AC221" s="17">
        <v>0</v>
      </c>
      <c r="AD221" s="17">
        <v>0</v>
      </c>
      <c r="AE221" s="17">
        <v>59124.57</v>
      </c>
      <c r="AF221" s="17">
        <v>31546.73</v>
      </c>
      <c r="AG221" s="17">
        <v>0</v>
      </c>
      <c r="AH221" s="17">
        <v>0</v>
      </c>
      <c r="AI221" s="17">
        <v>0</v>
      </c>
      <c r="AJ221" s="17">
        <v>55372.82</v>
      </c>
      <c r="AK221" s="17">
        <v>155227.18</v>
      </c>
    </row>
    <row r="222" spans="1:37" x14ac:dyDescent="0.2">
      <c r="A222" s="14" t="s">
        <v>33</v>
      </c>
      <c r="B222" s="14">
        <v>728</v>
      </c>
      <c r="C222" s="14">
        <v>1</v>
      </c>
      <c r="D222" s="14" t="s">
        <v>296</v>
      </c>
      <c r="E222" s="15">
        <v>71</v>
      </c>
      <c r="F222" s="15" t="s">
        <v>63</v>
      </c>
      <c r="G222" s="16">
        <v>4753</v>
      </c>
      <c r="H222" s="16">
        <v>4810</v>
      </c>
      <c r="I222" s="16">
        <v>79612865</v>
      </c>
      <c r="J222" s="16">
        <v>570360</v>
      </c>
      <c r="K222" s="16">
        <v>577200</v>
      </c>
      <c r="L222" s="17">
        <v>266714.23999999999</v>
      </c>
      <c r="M222" s="17">
        <v>266714.23999999999</v>
      </c>
      <c r="N222" s="17">
        <v>266714.23999999999</v>
      </c>
      <c r="O222" s="18">
        <v>1</v>
      </c>
      <c r="P222" s="17">
        <v>303645.76</v>
      </c>
      <c r="Q222" s="17">
        <v>310485.76000000001</v>
      </c>
      <c r="R222" s="17">
        <v>310485.76000000001</v>
      </c>
      <c r="S222" s="17">
        <v>1</v>
      </c>
      <c r="T222" s="17">
        <v>310485.76000000001</v>
      </c>
      <c r="U222" s="17">
        <v>7696</v>
      </c>
      <c r="V222" s="16">
        <v>570360</v>
      </c>
      <c r="W222" s="17">
        <v>67896.710000000006</v>
      </c>
      <c r="X222" s="17">
        <v>638256.71</v>
      </c>
      <c r="Y222" s="17">
        <v>159564.18</v>
      </c>
      <c r="Z222" s="17">
        <v>188027.4</v>
      </c>
      <c r="AA222" s="17">
        <v>0</v>
      </c>
      <c r="AB222" s="17">
        <v>153588.48000000001</v>
      </c>
      <c r="AC222" s="17">
        <v>0</v>
      </c>
      <c r="AD222" s="17">
        <v>0</v>
      </c>
      <c r="AE222" s="17">
        <v>134461.95000000001</v>
      </c>
      <c r="AF222" s="17">
        <v>158692.60999999999</v>
      </c>
      <c r="AG222" s="17">
        <v>0</v>
      </c>
      <c r="AH222" s="17">
        <v>0</v>
      </c>
      <c r="AI222" s="17">
        <v>0</v>
      </c>
      <c r="AJ222" s="17">
        <v>266714.23999999999</v>
      </c>
      <c r="AK222" s="17">
        <v>310485.76000000001</v>
      </c>
    </row>
    <row r="223" spans="1:37" x14ac:dyDescent="0.2">
      <c r="A223" s="14" t="s">
        <v>33</v>
      </c>
      <c r="B223" s="14">
        <v>738</v>
      </c>
      <c r="C223" s="14">
        <v>1</v>
      </c>
      <c r="D223" s="14" t="s">
        <v>297</v>
      </c>
      <c r="E223" s="15">
        <v>73</v>
      </c>
      <c r="F223" s="15" t="s">
        <v>63</v>
      </c>
      <c r="G223" s="16">
        <v>325</v>
      </c>
      <c r="H223" s="16">
        <v>325</v>
      </c>
      <c r="I223" s="16">
        <v>5117993</v>
      </c>
      <c r="J223" s="16">
        <v>39000</v>
      </c>
      <c r="K223" s="16">
        <v>39000</v>
      </c>
      <c r="L223" s="17">
        <v>17145.990000000002</v>
      </c>
      <c r="M223" s="17">
        <v>17145.990000000002</v>
      </c>
      <c r="N223" s="17">
        <v>17145.990000000002</v>
      </c>
      <c r="O223" s="18">
        <v>1</v>
      </c>
      <c r="P223" s="17">
        <v>21854.01</v>
      </c>
      <c r="Q223" s="17">
        <v>21854.01</v>
      </c>
      <c r="R223" s="17">
        <v>21854.01</v>
      </c>
      <c r="S223" s="17">
        <v>1</v>
      </c>
      <c r="T223" s="17">
        <v>21854.01</v>
      </c>
      <c r="U223" s="17">
        <v>520</v>
      </c>
      <c r="V223" s="16">
        <v>39000</v>
      </c>
      <c r="W223" s="17">
        <v>22067.97</v>
      </c>
      <c r="X223" s="17">
        <v>61067.97</v>
      </c>
      <c r="Y223" s="17">
        <v>15266.99</v>
      </c>
      <c r="Z223" s="17">
        <v>-13371.74</v>
      </c>
      <c r="AA223" s="17">
        <v>0</v>
      </c>
      <c r="AB223" s="17">
        <v>-15425.37</v>
      </c>
      <c r="AC223" s="17">
        <v>0</v>
      </c>
      <c r="AD223" s="17">
        <v>0</v>
      </c>
      <c r="AE223" s="17">
        <v>6585.51</v>
      </c>
      <c r="AF223" s="17">
        <v>-7403.87</v>
      </c>
      <c r="AG223" s="17">
        <v>0</v>
      </c>
      <c r="AH223" s="17">
        <v>0</v>
      </c>
      <c r="AI223" s="17">
        <v>0</v>
      </c>
      <c r="AJ223" s="17">
        <v>17145.990000000002</v>
      </c>
      <c r="AK223" s="17">
        <v>21854.01</v>
      </c>
    </row>
    <row r="224" spans="1:37" x14ac:dyDescent="0.2">
      <c r="A224" s="14" t="s">
        <v>33</v>
      </c>
      <c r="B224" s="14">
        <v>739</v>
      </c>
      <c r="C224" s="14">
        <v>1</v>
      </c>
      <c r="D224" s="14" t="s">
        <v>298</v>
      </c>
      <c r="E224" s="15">
        <v>73</v>
      </c>
      <c r="F224" s="15" t="s">
        <v>63</v>
      </c>
      <c r="G224" s="16">
        <v>268</v>
      </c>
      <c r="H224" s="16">
        <v>283</v>
      </c>
      <c r="I224" s="16">
        <v>6932339</v>
      </c>
      <c r="J224" s="16">
        <v>32160</v>
      </c>
      <c r="K224" s="16">
        <v>33960</v>
      </c>
      <c r="L224" s="17">
        <v>23224.31</v>
      </c>
      <c r="M224" s="17">
        <v>23224.31</v>
      </c>
      <c r="N224" s="17">
        <v>23224.31</v>
      </c>
      <c r="O224" s="18">
        <v>1</v>
      </c>
      <c r="P224" s="17">
        <v>8935.69</v>
      </c>
      <c r="Q224" s="17">
        <v>10735.69</v>
      </c>
      <c r="R224" s="17">
        <v>10735.69</v>
      </c>
      <c r="S224" s="17">
        <v>1</v>
      </c>
      <c r="T224" s="17">
        <v>10735.69</v>
      </c>
      <c r="U224" s="17">
        <v>452.8</v>
      </c>
      <c r="V224" s="16">
        <v>32160</v>
      </c>
      <c r="W224" s="17">
        <v>48982.26</v>
      </c>
      <c r="X224" s="17">
        <v>81142.259999999995</v>
      </c>
      <c r="Y224" s="17">
        <v>20285.57</v>
      </c>
      <c r="Z224" s="17">
        <v>14953.13</v>
      </c>
      <c r="AA224" s="17">
        <v>0</v>
      </c>
      <c r="AB224" s="17">
        <v>16841.96</v>
      </c>
      <c r="AC224" s="17">
        <v>0</v>
      </c>
      <c r="AD224" s="17">
        <v>0</v>
      </c>
      <c r="AE224" s="17">
        <v>18341.740000000002</v>
      </c>
      <c r="AF224" s="17">
        <v>16712.28</v>
      </c>
      <c r="AG224" s="17">
        <v>0</v>
      </c>
      <c r="AH224" s="17">
        <v>0</v>
      </c>
      <c r="AI224" s="17">
        <v>0</v>
      </c>
      <c r="AJ224" s="17">
        <v>23224.31</v>
      </c>
      <c r="AK224" s="17">
        <v>10735.69</v>
      </c>
    </row>
    <row r="225" spans="1:37" x14ac:dyDescent="0.2">
      <c r="A225" s="14" t="s">
        <v>33</v>
      </c>
      <c r="B225" s="14">
        <v>740</v>
      </c>
      <c r="C225" s="14">
        <v>1</v>
      </c>
      <c r="D225" s="14" t="s">
        <v>299</v>
      </c>
      <c r="E225" s="15">
        <v>73</v>
      </c>
      <c r="F225" s="15" t="s">
        <v>63</v>
      </c>
      <c r="G225" s="16">
        <v>645</v>
      </c>
      <c r="H225" s="16">
        <v>635</v>
      </c>
      <c r="I225" s="16">
        <v>8838971</v>
      </c>
      <c r="J225" s="16">
        <v>77400</v>
      </c>
      <c r="K225" s="16">
        <v>76200</v>
      </c>
      <c r="L225" s="17">
        <v>29611.79</v>
      </c>
      <c r="M225" s="17">
        <v>29611.79</v>
      </c>
      <c r="N225" s="17">
        <v>29611.79</v>
      </c>
      <c r="O225" s="18">
        <v>1</v>
      </c>
      <c r="P225" s="17">
        <v>47788.21</v>
      </c>
      <c r="Q225" s="17">
        <v>46588.21</v>
      </c>
      <c r="R225" s="17">
        <v>46588.21</v>
      </c>
      <c r="S225" s="17">
        <v>1</v>
      </c>
      <c r="T225" s="17">
        <v>46588.21</v>
      </c>
      <c r="U225" s="17">
        <v>0</v>
      </c>
      <c r="V225" s="16">
        <v>77400</v>
      </c>
      <c r="W225" s="17">
        <v>18145.419999999998</v>
      </c>
      <c r="X225" s="17">
        <v>95545.42</v>
      </c>
      <c r="Y225" s="17">
        <v>23886.36</v>
      </c>
      <c r="Z225" s="17">
        <v>26357.37</v>
      </c>
      <c r="AA225" s="17">
        <v>0</v>
      </c>
      <c r="AB225" s="17">
        <v>10371.27</v>
      </c>
      <c r="AC225" s="17">
        <v>0</v>
      </c>
      <c r="AD225" s="17">
        <v>0</v>
      </c>
      <c r="AE225" s="17">
        <v>15107.01</v>
      </c>
      <c r="AF225" s="17">
        <v>17278.55</v>
      </c>
      <c r="AG225" s="17">
        <v>0</v>
      </c>
      <c r="AH225" s="17">
        <v>0</v>
      </c>
      <c r="AI225" s="17">
        <v>0</v>
      </c>
      <c r="AJ225" s="17">
        <v>29611.79</v>
      </c>
      <c r="AK225" s="17">
        <v>46588.21</v>
      </c>
    </row>
    <row r="226" spans="1:37" x14ac:dyDescent="0.2">
      <c r="A226" s="14" t="s">
        <v>33</v>
      </c>
      <c r="B226" s="14">
        <v>741</v>
      </c>
      <c r="C226" s="14">
        <v>1</v>
      </c>
      <c r="D226" s="14" t="s">
        <v>300</v>
      </c>
      <c r="E226" s="15">
        <v>73</v>
      </c>
      <c r="F226" s="15" t="s">
        <v>63</v>
      </c>
      <c r="G226" s="16">
        <v>337</v>
      </c>
      <c r="H226" s="16">
        <v>290</v>
      </c>
      <c r="I226" s="16">
        <v>8106864</v>
      </c>
      <c r="J226" s="16">
        <v>40440</v>
      </c>
      <c r="K226" s="16">
        <v>34800</v>
      </c>
      <c r="L226" s="17">
        <v>27159.13</v>
      </c>
      <c r="M226" s="17">
        <v>27159.13</v>
      </c>
      <c r="N226" s="17">
        <v>27159.13</v>
      </c>
      <c r="O226" s="18">
        <v>1</v>
      </c>
      <c r="P226" s="17">
        <v>13280.87</v>
      </c>
      <c r="Q226" s="17">
        <v>7640.87</v>
      </c>
      <c r="R226" s="17">
        <v>7640.87</v>
      </c>
      <c r="S226" s="17">
        <v>1</v>
      </c>
      <c r="T226" s="17">
        <v>7640.87</v>
      </c>
      <c r="U226" s="17">
        <v>464</v>
      </c>
      <c r="V226" s="16">
        <v>40440</v>
      </c>
      <c r="W226" s="17">
        <v>1648.93</v>
      </c>
      <c r="X226" s="17">
        <v>42088.93</v>
      </c>
      <c r="Y226" s="17">
        <v>10522.23</v>
      </c>
      <c r="Z226" s="17">
        <v>13450.83</v>
      </c>
      <c r="AA226" s="17">
        <v>0</v>
      </c>
      <c r="AB226" s="17">
        <v>8540.36</v>
      </c>
      <c r="AC226" s="17">
        <v>0</v>
      </c>
      <c r="AD226" s="17">
        <v>0</v>
      </c>
      <c r="AE226" s="17">
        <v>10631.81</v>
      </c>
      <c r="AF226" s="17">
        <v>10874.33</v>
      </c>
      <c r="AG226" s="17">
        <v>352.1</v>
      </c>
      <c r="AH226" s="17">
        <v>274.79000000000002</v>
      </c>
      <c r="AI226" s="17">
        <v>77.31</v>
      </c>
      <c r="AJ226" s="17">
        <v>26884.34</v>
      </c>
      <c r="AK226" s="17">
        <v>7563.56</v>
      </c>
    </row>
    <row r="227" spans="1:37" x14ac:dyDescent="0.2">
      <c r="A227" s="14" t="s">
        <v>33</v>
      </c>
      <c r="B227" s="14">
        <v>742</v>
      </c>
      <c r="C227" s="14">
        <v>1</v>
      </c>
      <c r="D227" s="14" t="s">
        <v>301</v>
      </c>
      <c r="E227" s="15">
        <v>73</v>
      </c>
      <c r="F227" s="15" t="s">
        <v>63</v>
      </c>
      <c r="G227" s="16">
        <v>7705</v>
      </c>
      <c r="H227" s="16">
        <v>7693</v>
      </c>
      <c r="I227" s="16">
        <v>88300102</v>
      </c>
      <c r="J227" s="16">
        <v>924600</v>
      </c>
      <c r="K227" s="16">
        <v>923160</v>
      </c>
      <c r="L227" s="17">
        <v>295817.7</v>
      </c>
      <c r="M227" s="17">
        <v>295817.7</v>
      </c>
      <c r="N227" s="17">
        <v>295817.7</v>
      </c>
      <c r="O227" s="18">
        <v>1</v>
      </c>
      <c r="P227" s="17">
        <v>628782.30000000005</v>
      </c>
      <c r="Q227" s="17">
        <v>627342.30000000005</v>
      </c>
      <c r="R227" s="17">
        <v>627342.30000000005</v>
      </c>
      <c r="S227" s="17">
        <v>1</v>
      </c>
      <c r="T227" s="17">
        <v>627342.30000000005</v>
      </c>
      <c r="U227" s="17">
        <v>12308.8</v>
      </c>
      <c r="V227" s="16">
        <v>924600</v>
      </c>
      <c r="W227" s="17">
        <v>40097.35</v>
      </c>
      <c r="X227" s="17">
        <v>964697.35</v>
      </c>
      <c r="Y227" s="17">
        <v>241174.34</v>
      </c>
      <c r="Z227" s="17">
        <v>-53890.78</v>
      </c>
      <c r="AA227" s="17">
        <v>0</v>
      </c>
      <c r="AB227" s="17">
        <v>26936.66</v>
      </c>
      <c r="AC227" s="17">
        <v>0</v>
      </c>
      <c r="AD227" s="17">
        <v>0</v>
      </c>
      <c r="AE227" s="17">
        <v>27499.06</v>
      </c>
      <c r="AF227" s="17">
        <v>181.65</v>
      </c>
      <c r="AG227" s="17">
        <v>0</v>
      </c>
      <c r="AH227" s="17">
        <v>0</v>
      </c>
      <c r="AI227" s="17">
        <v>0</v>
      </c>
      <c r="AJ227" s="17">
        <v>295817.7</v>
      </c>
      <c r="AK227" s="17">
        <v>627342.30000000005</v>
      </c>
    </row>
    <row r="228" spans="1:37" x14ac:dyDescent="0.2">
      <c r="A228" s="14" t="s">
        <v>33</v>
      </c>
      <c r="B228" s="14">
        <v>743</v>
      </c>
      <c r="C228" s="14">
        <v>1</v>
      </c>
      <c r="D228" s="14" t="s">
        <v>302</v>
      </c>
      <c r="E228" s="15">
        <v>73</v>
      </c>
      <c r="F228" s="15" t="s">
        <v>63</v>
      </c>
      <c r="G228" s="16">
        <v>460</v>
      </c>
      <c r="H228" s="16">
        <v>495</v>
      </c>
      <c r="I228" s="16">
        <v>7684423</v>
      </c>
      <c r="J228" s="16">
        <v>55200</v>
      </c>
      <c r="K228" s="16">
        <v>59400</v>
      </c>
      <c r="L228" s="17">
        <v>25743.89</v>
      </c>
      <c r="M228" s="17">
        <v>25743.89</v>
      </c>
      <c r="N228" s="17">
        <v>25743.89</v>
      </c>
      <c r="O228" s="18">
        <v>1</v>
      </c>
      <c r="P228" s="17">
        <v>29456.11</v>
      </c>
      <c r="Q228" s="17">
        <v>33656.11</v>
      </c>
      <c r="R228" s="17">
        <v>33656.11</v>
      </c>
      <c r="S228" s="17">
        <v>1</v>
      </c>
      <c r="T228" s="17">
        <v>33656.11</v>
      </c>
      <c r="U228" s="17">
        <v>792</v>
      </c>
      <c r="V228" s="16">
        <v>55200</v>
      </c>
      <c r="W228" s="17">
        <v>13633.55</v>
      </c>
      <c r="X228" s="17">
        <v>68833.55</v>
      </c>
      <c r="Y228" s="17">
        <v>17208.39</v>
      </c>
      <c r="Z228" s="17">
        <v>-120952.07</v>
      </c>
      <c r="AA228" s="17">
        <v>0</v>
      </c>
      <c r="AB228" s="17">
        <v>-139615.85999999999</v>
      </c>
      <c r="AC228" s="17">
        <v>0</v>
      </c>
      <c r="AD228" s="17">
        <v>0</v>
      </c>
      <c r="AE228" s="17">
        <v>-159500.18</v>
      </c>
      <c r="AF228" s="17">
        <v>-140022.70000000001</v>
      </c>
      <c r="AG228" s="17">
        <v>0</v>
      </c>
      <c r="AH228" s="17">
        <v>0</v>
      </c>
      <c r="AI228" s="17">
        <v>0</v>
      </c>
      <c r="AJ228" s="17">
        <v>25743.89</v>
      </c>
      <c r="AK228" s="17">
        <v>33656.11</v>
      </c>
    </row>
    <row r="229" spans="1:37" x14ac:dyDescent="0.2">
      <c r="A229" s="14" t="s">
        <v>33</v>
      </c>
      <c r="B229" s="14">
        <v>745</v>
      </c>
      <c r="C229" s="14">
        <v>1</v>
      </c>
      <c r="D229" s="14" t="s">
        <v>303</v>
      </c>
      <c r="E229" s="15">
        <v>73</v>
      </c>
      <c r="F229" s="15" t="s">
        <v>63</v>
      </c>
      <c r="G229" s="16">
        <v>594</v>
      </c>
      <c r="H229" s="16">
        <v>653</v>
      </c>
      <c r="I229" s="16">
        <v>7949117</v>
      </c>
      <c r="J229" s="16">
        <v>71280</v>
      </c>
      <c r="K229" s="16">
        <v>78360</v>
      </c>
      <c r="L229" s="17">
        <v>26630.65</v>
      </c>
      <c r="M229" s="17">
        <v>26630.65</v>
      </c>
      <c r="N229" s="17">
        <v>26630.65</v>
      </c>
      <c r="O229" s="18">
        <v>1</v>
      </c>
      <c r="P229" s="17">
        <v>44649.35</v>
      </c>
      <c r="Q229" s="17">
        <v>51729.35</v>
      </c>
      <c r="R229" s="17">
        <v>51729.35</v>
      </c>
      <c r="S229" s="17">
        <v>1</v>
      </c>
      <c r="T229" s="17">
        <v>51729.35</v>
      </c>
      <c r="U229" s="17">
        <v>1044.8</v>
      </c>
      <c r="V229" s="16">
        <v>71280</v>
      </c>
      <c r="W229" s="17">
        <v>13851.63</v>
      </c>
      <c r="X229" s="17">
        <v>85131.63</v>
      </c>
      <c r="Y229" s="17">
        <v>21282.91</v>
      </c>
      <c r="Z229" s="17">
        <v>5345.53</v>
      </c>
      <c r="AA229" s="17">
        <v>0</v>
      </c>
      <c r="AB229" s="17">
        <v>42929.91</v>
      </c>
      <c r="AC229" s="17">
        <v>0</v>
      </c>
      <c r="AD229" s="17">
        <v>0</v>
      </c>
      <c r="AE229" s="17">
        <v>12040.14</v>
      </c>
      <c r="AF229" s="17">
        <v>20105.189999999999</v>
      </c>
      <c r="AG229" s="17">
        <v>0</v>
      </c>
      <c r="AH229" s="17">
        <v>0</v>
      </c>
      <c r="AI229" s="17">
        <v>0</v>
      </c>
      <c r="AJ229" s="17">
        <v>26630.65</v>
      </c>
      <c r="AK229" s="17">
        <v>51729.35</v>
      </c>
    </row>
    <row r="230" spans="1:37" x14ac:dyDescent="0.2">
      <c r="A230" s="14" t="s">
        <v>33</v>
      </c>
      <c r="B230" s="14">
        <v>748</v>
      </c>
      <c r="C230" s="14">
        <v>1</v>
      </c>
      <c r="D230" s="14" t="s">
        <v>304</v>
      </c>
      <c r="E230" s="15">
        <v>73</v>
      </c>
      <c r="F230" s="15" t="s">
        <v>63</v>
      </c>
      <c r="G230" s="16">
        <v>1177</v>
      </c>
      <c r="H230" s="16">
        <v>1225</v>
      </c>
      <c r="I230" s="16">
        <v>16046570</v>
      </c>
      <c r="J230" s="16">
        <v>141240</v>
      </c>
      <c r="K230" s="16">
        <v>147000</v>
      </c>
      <c r="L230" s="17">
        <v>53758.26</v>
      </c>
      <c r="M230" s="17">
        <v>53758.26</v>
      </c>
      <c r="N230" s="17">
        <v>53758.26</v>
      </c>
      <c r="O230" s="18">
        <v>1</v>
      </c>
      <c r="P230" s="17">
        <v>87481.74</v>
      </c>
      <c r="Q230" s="17">
        <v>93241.74</v>
      </c>
      <c r="R230" s="17">
        <v>93241.74</v>
      </c>
      <c r="S230" s="17">
        <v>1</v>
      </c>
      <c r="T230" s="17">
        <v>93241.74</v>
      </c>
      <c r="U230" s="17">
        <v>1960</v>
      </c>
      <c r="V230" s="16">
        <v>141240</v>
      </c>
      <c r="W230" s="17">
        <v>51391.03</v>
      </c>
      <c r="X230" s="17">
        <v>192631.03</v>
      </c>
      <c r="Y230" s="17">
        <v>48157.760000000002</v>
      </c>
      <c r="Z230" s="17">
        <v>12876.94</v>
      </c>
      <c r="AA230" s="17">
        <v>0</v>
      </c>
      <c r="AB230" s="17">
        <v>0</v>
      </c>
      <c r="AC230" s="17">
        <v>0</v>
      </c>
      <c r="AD230" s="17">
        <v>0</v>
      </c>
      <c r="AE230" s="17">
        <v>552.65</v>
      </c>
      <c r="AF230" s="17">
        <v>4476.53</v>
      </c>
      <c r="AG230" s="17">
        <v>0</v>
      </c>
      <c r="AH230" s="17">
        <v>0</v>
      </c>
      <c r="AI230" s="17">
        <v>0</v>
      </c>
      <c r="AJ230" s="17">
        <v>53758.26</v>
      </c>
      <c r="AK230" s="17">
        <v>93241.74</v>
      </c>
    </row>
    <row r="231" spans="1:37" x14ac:dyDescent="0.2">
      <c r="A231" s="14" t="s">
        <v>33</v>
      </c>
      <c r="B231" s="14">
        <v>750</v>
      </c>
      <c r="C231" s="14">
        <v>1</v>
      </c>
      <c r="D231" s="14" t="s">
        <v>305</v>
      </c>
      <c r="E231" s="15">
        <v>73</v>
      </c>
      <c r="F231" s="15" t="s">
        <v>63</v>
      </c>
      <c r="G231" s="16">
        <v>625</v>
      </c>
      <c r="H231" s="16">
        <v>781</v>
      </c>
      <c r="I231" s="16">
        <v>15725392</v>
      </c>
      <c r="J231" s="16">
        <v>75000</v>
      </c>
      <c r="K231" s="16">
        <v>93720</v>
      </c>
      <c r="L231" s="17">
        <v>52682.26</v>
      </c>
      <c r="M231" s="17">
        <v>52682.26</v>
      </c>
      <c r="N231" s="17">
        <v>52682.26</v>
      </c>
      <c r="O231" s="18">
        <v>1</v>
      </c>
      <c r="P231" s="17">
        <v>22317.74</v>
      </c>
      <c r="Q231" s="17">
        <v>41037.74</v>
      </c>
      <c r="R231" s="17">
        <v>41037.74</v>
      </c>
      <c r="S231" s="17">
        <v>1</v>
      </c>
      <c r="T231" s="17">
        <v>41037.74</v>
      </c>
      <c r="U231" s="17">
        <v>0</v>
      </c>
      <c r="V231" s="16">
        <v>75000</v>
      </c>
      <c r="W231" s="17">
        <v>16562.05</v>
      </c>
      <c r="X231" s="17">
        <v>91562.05</v>
      </c>
      <c r="Y231" s="17">
        <v>22890.51</v>
      </c>
      <c r="Z231" s="17">
        <v>26774.18</v>
      </c>
      <c r="AA231" s="17">
        <v>2583.14</v>
      </c>
      <c r="AB231" s="17">
        <v>15571.16</v>
      </c>
      <c r="AC231" s="17">
        <v>0</v>
      </c>
      <c r="AD231" s="17">
        <v>0</v>
      </c>
      <c r="AE231" s="17">
        <v>23892.01</v>
      </c>
      <c r="AF231" s="17">
        <v>21218.07</v>
      </c>
      <c r="AG231" s="17">
        <v>0</v>
      </c>
      <c r="AH231" s="17">
        <v>0</v>
      </c>
      <c r="AI231" s="17">
        <v>0</v>
      </c>
      <c r="AJ231" s="17">
        <v>52682.26</v>
      </c>
      <c r="AK231" s="17">
        <v>41037.74</v>
      </c>
    </row>
    <row r="232" spans="1:37" x14ac:dyDescent="0.2">
      <c r="A232" s="14" t="s">
        <v>33</v>
      </c>
      <c r="B232" s="14">
        <v>756</v>
      </c>
      <c r="C232" s="14">
        <v>1</v>
      </c>
      <c r="D232" s="14" t="s">
        <v>306</v>
      </c>
      <c r="E232" s="15">
        <v>74</v>
      </c>
      <c r="F232" s="15" t="s">
        <v>61</v>
      </c>
      <c r="G232" s="16">
        <v>209</v>
      </c>
      <c r="H232" s="16">
        <v>218</v>
      </c>
      <c r="I232" s="16">
        <v>5059750</v>
      </c>
      <c r="J232" s="16">
        <v>25080</v>
      </c>
      <c r="K232" s="16">
        <v>26160</v>
      </c>
      <c r="L232" s="17">
        <v>16950.87</v>
      </c>
      <c r="M232" s="17">
        <v>16950.87</v>
      </c>
      <c r="N232" s="17">
        <v>16950.87</v>
      </c>
      <c r="O232" s="18">
        <v>1</v>
      </c>
      <c r="P232" s="17">
        <v>8129.13</v>
      </c>
      <c r="Q232" s="17">
        <v>9209.1299999999992</v>
      </c>
      <c r="R232" s="17">
        <v>9209.1299999999992</v>
      </c>
      <c r="S232" s="17">
        <v>1</v>
      </c>
      <c r="T232" s="17">
        <v>9209.1299999999992</v>
      </c>
      <c r="U232" s="17">
        <v>0</v>
      </c>
      <c r="V232" s="16">
        <v>25080</v>
      </c>
      <c r="W232" s="17">
        <v>353</v>
      </c>
      <c r="X232" s="17">
        <v>25433</v>
      </c>
      <c r="Y232" s="17">
        <v>6358.25</v>
      </c>
      <c r="Z232" s="17">
        <v>2887.96</v>
      </c>
      <c r="AA232" s="17">
        <v>0</v>
      </c>
      <c r="AB232" s="17">
        <v>251.23</v>
      </c>
      <c r="AC232" s="17">
        <v>0</v>
      </c>
      <c r="AD232" s="17">
        <v>0</v>
      </c>
      <c r="AE232" s="17">
        <v>-8900.64</v>
      </c>
      <c r="AF232" s="17">
        <v>-1920.48</v>
      </c>
      <c r="AG232" s="17">
        <v>0</v>
      </c>
      <c r="AH232" s="17">
        <v>0</v>
      </c>
      <c r="AI232" s="17">
        <v>0</v>
      </c>
      <c r="AJ232" s="17">
        <v>16950.87</v>
      </c>
      <c r="AK232" s="17">
        <v>9209.1299999999992</v>
      </c>
    </row>
    <row r="233" spans="1:37" x14ac:dyDescent="0.2">
      <c r="A233" s="14" t="s">
        <v>33</v>
      </c>
      <c r="B233" s="14">
        <v>761</v>
      </c>
      <c r="C233" s="14">
        <v>1</v>
      </c>
      <c r="D233" s="14" t="s">
        <v>307</v>
      </c>
      <c r="E233" s="15">
        <v>74</v>
      </c>
      <c r="F233" s="15" t="s">
        <v>61</v>
      </c>
      <c r="G233" s="16">
        <v>2207</v>
      </c>
      <c r="H233" s="16">
        <v>2260</v>
      </c>
      <c r="I233" s="16">
        <v>31264769</v>
      </c>
      <c r="J233" s="16">
        <v>264840</v>
      </c>
      <c r="K233" s="16">
        <v>271200</v>
      </c>
      <c r="L233" s="17">
        <v>104741.35</v>
      </c>
      <c r="M233" s="17">
        <v>104741.35</v>
      </c>
      <c r="N233" s="17">
        <v>104741.35</v>
      </c>
      <c r="O233" s="18">
        <v>1</v>
      </c>
      <c r="P233" s="17">
        <v>160098.65</v>
      </c>
      <c r="Q233" s="17">
        <v>166458.65</v>
      </c>
      <c r="R233" s="17">
        <v>166458.65</v>
      </c>
      <c r="S233" s="17">
        <v>1</v>
      </c>
      <c r="T233" s="17">
        <v>166458.65</v>
      </c>
      <c r="U233" s="17">
        <v>3616</v>
      </c>
      <c r="V233" s="16">
        <v>264840</v>
      </c>
      <c r="W233" s="17">
        <v>26134.720000000001</v>
      </c>
      <c r="X233" s="17">
        <v>290974.71999999997</v>
      </c>
      <c r="Y233" s="17">
        <v>72743.679999999993</v>
      </c>
      <c r="Z233" s="17">
        <v>38771.31</v>
      </c>
      <c r="AA233" s="17">
        <v>0</v>
      </c>
      <c r="AB233" s="17">
        <v>52545.71</v>
      </c>
      <c r="AC233" s="17">
        <v>0</v>
      </c>
      <c r="AD233" s="17">
        <v>0</v>
      </c>
      <c r="AE233" s="17">
        <v>51363.03</v>
      </c>
      <c r="AF233" s="17">
        <v>47560.02</v>
      </c>
      <c r="AG233" s="17">
        <v>0</v>
      </c>
      <c r="AH233" s="17">
        <v>0</v>
      </c>
      <c r="AI233" s="17">
        <v>0</v>
      </c>
      <c r="AJ233" s="17">
        <v>104741.35</v>
      </c>
      <c r="AK233" s="17">
        <v>166458.65</v>
      </c>
    </row>
    <row r="234" spans="1:37" x14ac:dyDescent="0.2">
      <c r="A234" s="14" t="s">
        <v>33</v>
      </c>
      <c r="B234" s="14">
        <v>763</v>
      </c>
      <c r="C234" s="14">
        <v>1</v>
      </c>
      <c r="D234" s="14" t="s">
        <v>308</v>
      </c>
      <c r="E234" s="15">
        <v>74</v>
      </c>
      <c r="F234" s="15" t="s">
        <v>61</v>
      </c>
      <c r="G234" s="16">
        <v>235</v>
      </c>
      <c r="H234" s="16">
        <v>220</v>
      </c>
      <c r="I234" s="16">
        <v>3676520</v>
      </c>
      <c r="J234" s="16">
        <v>28200</v>
      </c>
      <c r="K234" s="16">
        <v>26400</v>
      </c>
      <c r="L234" s="17">
        <v>12316.86</v>
      </c>
      <c r="M234" s="17">
        <v>12316.86</v>
      </c>
      <c r="N234" s="17">
        <v>12316.86</v>
      </c>
      <c r="O234" s="18">
        <v>1</v>
      </c>
      <c r="P234" s="17">
        <v>15883.14</v>
      </c>
      <c r="Q234" s="17">
        <v>14083.14</v>
      </c>
      <c r="R234" s="17">
        <v>14083.14</v>
      </c>
      <c r="S234" s="17">
        <v>1</v>
      </c>
      <c r="T234" s="17">
        <v>14083.14</v>
      </c>
      <c r="U234" s="17">
        <v>0</v>
      </c>
      <c r="V234" s="16">
        <v>28200</v>
      </c>
      <c r="W234" s="17">
        <v>1056</v>
      </c>
      <c r="X234" s="17">
        <v>29256</v>
      </c>
      <c r="Y234" s="17">
        <v>7314</v>
      </c>
      <c r="Z234" s="17">
        <v>6658.12</v>
      </c>
      <c r="AA234" s="17">
        <v>689.15</v>
      </c>
      <c r="AB234" s="17">
        <v>11215.59</v>
      </c>
      <c r="AC234" s="17">
        <v>0</v>
      </c>
      <c r="AD234" s="17">
        <v>0</v>
      </c>
      <c r="AE234" s="17">
        <v>9630.48</v>
      </c>
      <c r="AF234" s="17">
        <v>8938.35</v>
      </c>
      <c r="AG234" s="17">
        <v>1624.35</v>
      </c>
      <c r="AH234" s="17">
        <v>757.84</v>
      </c>
      <c r="AI234" s="17">
        <v>866.51</v>
      </c>
      <c r="AJ234" s="17">
        <v>11559.02</v>
      </c>
      <c r="AK234" s="17">
        <v>13216.63</v>
      </c>
    </row>
    <row r="235" spans="1:37" x14ac:dyDescent="0.2">
      <c r="A235" s="14" t="s">
        <v>33</v>
      </c>
      <c r="B235" s="14">
        <v>768</v>
      </c>
      <c r="C235" s="14">
        <v>1</v>
      </c>
      <c r="D235" s="14" t="s">
        <v>309</v>
      </c>
      <c r="E235" s="15">
        <v>75</v>
      </c>
      <c r="F235" s="15" t="s">
        <v>60</v>
      </c>
      <c r="G235" s="16">
        <v>81</v>
      </c>
      <c r="H235" s="16">
        <v>88</v>
      </c>
      <c r="I235" s="16">
        <v>1742752</v>
      </c>
      <c r="J235" s="16">
        <v>18000</v>
      </c>
      <c r="K235" s="16">
        <v>18000</v>
      </c>
      <c r="L235" s="17">
        <v>5838.46</v>
      </c>
      <c r="M235" s="17">
        <v>5838.46</v>
      </c>
      <c r="N235" s="17">
        <v>5838.46</v>
      </c>
      <c r="O235" s="18">
        <v>1</v>
      </c>
      <c r="P235" s="17">
        <v>12161.54</v>
      </c>
      <c r="Q235" s="17">
        <v>12161.54</v>
      </c>
      <c r="R235" s="17">
        <v>12161.54</v>
      </c>
      <c r="S235" s="17">
        <v>1</v>
      </c>
      <c r="T235" s="17">
        <v>12161.54</v>
      </c>
      <c r="U235" s="17">
        <v>0</v>
      </c>
      <c r="V235" s="16">
        <v>18000</v>
      </c>
      <c r="W235" s="17">
        <v>15231.5</v>
      </c>
      <c r="X235" s="17">
        <v>33231.5</v>
      </c>
      <c r="Y235" s="17">
        <v>8307.8799999999992</v>
      </c>
      <c r="Z235" s="17">
        <v>5448.44</v>
      </c>
      <c r="AA235" s="17">
        <v>0</v>
      </c>
      <c r="AB235" s="17">
        <v>9667.67</v>
      </c>
      <c r="AC235" s="17">
        <v>0</v>
      </c>
      <c r="AD235" s="17">
        <v>0</v>
      </c>
      <c r="AE235" s="17">
        <v>-2102.08</v>
      </c>
      <c r="AF235" s="17">
        <v>4338.01</v>
      </c>
      <c r="AG235" s="17">
        <v>0</v>
      </c>
      <c r="AH235" s="17">
        <v>0</v>
      </c>
      <c r="AI235" s="17">
        <v>0</v>
      </c>
      <c r="AJ235" s="17">
        <v>5838.46</v>
      </c>
      <c r="AK235" s="17">
        <v>12161.54</v>
      </c>
    </row>
    <row r="236" spans="1:37" x14ac:dyDescent="0.2">
      <c r="A236" s="14" t="s">
        <v>33</v>
      </c>
      <c r="B236" s="14">
        <v>769</v>
      </c>
      <c r="C236" s="14">
        <v>1</v>
      </c>
      <c r="D236" s="14" t="s">
        <v>310</v>
      </c>
      <c r="E236" s="15">
        <v>75</v>
      </c>
      <c r="F236" s="15" t="s">
        <v>60</v>
      </c>
      <c r="G236" s="16">
        <v>437</v>
      </c>
      <c r="H236" s="16">
        <v>443</v>
      </c>
      <c r="I236" s="16">
        <v>6050898</v>
      </c>
      <c r="J236" s="16">
        <v>52440</v>
      </c>
      <c r="K236" s="16">
        <v>53160</v>
      </c>
      <c r="L236" s="17">
        <v>20271.36</v>
      </c>
      <c r="M236" s="17">
        <v>20271.36</v>
      </c>
      <c r="N236" s="17">
        <v>20271.36</v>
      </c>
      <c r="O236" s="18">
        <v>1</v>
      </c>
      <c r="P236" s="17">
        <v>32168.639999999999</v>
      </c>
      <c r="Q236" s="17">
        <v>32888.639999999999</v>
      </c>
      <c r="R236" s="17">
        <v>32888.639999999999</v>
      </c>
      <c r="S236" s="17">
        <v>1</v>
      </c>
      <c r="T236" s="17">
        <v>32888.639999999999</v>
      </c>
      <c r="U236" s="17">
        <v>708.8</v>
      </c>
      <c r="V236" s="16">
        <v>52440</v>
      </c>
      <c r="W236" s="17">
        <v>25393.7</v>
      </c>
      <c r="X236" s="17">
        <v>77833.7</v>
      </c>
      <c r="Y236" s="17">
        <v>19458.43</v>
      </c>
      <c r="Z236" s="17">
        <v>15542.97</v>
      </c>
      <c r="AA236" s="17">
        <v>0</v>
      </c>
      <c r="AB236" s="17">
        <v>15316.59</v>
      </c>
      <c r="AC236" s="17">
        <v>0</v>
      </c>
      <c r="AD236" s="17">
        <v>0</v>
      </c>
      <c r="AE236" s="17">
        <v>17602.79</v>
      </c>
      <c r="AF236" s="17">
        <v>16154.12</v>
      </c>
      <c r="AG236" s="17">
        <v>0</v>
      </c>
      <c r="AH236" s="17">
        <v>0</v>
      </c>
      <c r="AI236" s="17">
        <v>0</v>
      </c>
      <c r="AJ236" s="17">
        <v>20271.36</v>
      </c>
      <c r="AK236" s="17">
        <v>32888.639999999999</v>
      </c>
    </row>
    <row r="237" spans="1:37" x14ac:dyDescent="0.2">
      <c r="A237" s="14" t="s">
        <v>33</v>
      </c>
      <c r="B237" s="14">
        <v>771</v>
      </c>
      <c r="C237" s="14">
        <v>1</v>
      </c>
      <c r="D237" s="14" t="s">
        <v>311</v>
      </c>
      <c r="E237" s="15">
        <v>75</v>
      </c>
      <c r="F237" s="15" t="s">
        <v>60</v>
      </c>
      <c r="G237" s="16">
        <v>48</v>
      </c>
      <c r="H237" s="16">
        <v>72</v>
      </c>
      <c r="I237" s="16">
        <v>3201380</v>
      </c>
      <c r="J237" s="16">
        <v>18000</v>
      </c>
      <c r="K237" s="16">
        <v>18000</v>
      </c>
      <c r="L237" s="17">
        <v>10725.07</v>
      </c>
      <c r="M237" s="17">
        <v>10725.07</v>
      </c>
      <c r="N237" s="17">
        <v>10725.07</v>
      </c>
      <c r="O237" s="18">
        <v>1</v>
      </c>
      <c r="P237" s="17">
        <v>7274.93</v>
      </c>
      <c r="Q237" s="17">
        <v>7274.93</v>
      </c>
      <c r="R237" s="17">
        <v>7274.93</v>
      </c>
      <c r="S237" s="17">
        <v>1</v>
      </c>
      <c r="T237" s="17">
        <v>7274.93</v>
      </c>
      <c r="U237" s="17">
        <v>115.2</v>
      </c>
      <c r="V237" s="16">
        <v>18000</v>
      </c>
      <c r="W237" s="17">
        <v>7327.45</v>
      </c>
      <c r="X237" s="17">
        <v>25327.45</v>
      </c>
      <c r="Y237" s="17">
        <v>6331.86</v>
      </c>
      <c r="Z237" s="17">
        <v>5875.26</v>
      </c>
      <c r="AA237" s="17">
        <v>0</v>
      </c>
      <c r="AB237" s="17">
        <v>1822.55</v>
      </c>
      <c r="AC237" s="17">
        <v>0</v>
      </c>
      <c r="AD237" s="17">
        <v>0</v>
      </c>
      <c r="AE237" s="17">
        <v>2425.6</v>
      </c>
      <c r="AF237" s="17">
        <v>3374.47</v>
      </c>
      <c r="AG237" s="17">
        <v>0</v>
      </c>
      <c r="AH237" s="17">
        <v>0</v>
      </c>
      <c r="AI237" s="17">
        <v>0</v>
      </c>
      <c r="AJ237" s="17">
        <v>10725.07</v>
      </c>
      <c r="AK237" s="17">
        <v>7274.93</v>
      </c>
    </row>
    <row r="238" spans="1:37" x14ac:dyDescent="0.2">
      <c r="A238" s="14" t="s">
        <v>33</v>
      </c>
      <c r="B238" s="14">
        <v>775</v>
      </c>
      <c r="C238" s="14">
        <v>1</v>
      </c>
      <c r="D238" s="14" t="s">
        <v>69</v>
      </c>
      <c r="E238" s="15">
        <v>76</v>
      </c>
      <c r="F238" s="15" t="s">
        <v>64</v>
      </c>
      <c r="G238" s="16">
        <v>203</v>
      </c>
      <c r="H238" s="16">
        <v>231</v>
      </c>
      <c r="I238" s="16">
        <v>4954098</v>
      </c>
      <c r="J238" s="16">
        <v>24360</v>
      </c>
      <c r="K238" s="16">
        <v>27720</v>
      </c>
      <c r="L238" s="17">
        <v>16596.919999999998</v>
      </c>
      <c r="M238" s="17">
        <v>16596.919999999998</v>
      </c>
      <c r="N238" s="17">
        <v>16596.919999999998</v>
      </c>
      <c r="O238" s="18">
        <v>1</v>
      </c>
      <c r="P238" s="17">
        <v>7763.08</v>
      </c>
      <c r="Q238" s="17">
        <v>11123.08</v>
      </c>
      <c r="R238" s="17">
        <v>11123.08</v>
      </c>
      <c r="S238" s="17">
        <v>1</v>
      </c>
      <c r="T238" s="17">
        <v>11123.08</v>
      </c>
      <c r="U238" s="17">
        <v>369.6</v>
      </c>
      <c r="V238" s="16">
        <v>24360</v>
      </c>
      <c r="W238" s="17">
        <v>7127.8</v>
      </c>
      <c r="X238" s="17">
        <v>31487.8</v>
      </c>
      <c r="Y238" s="17">
        <v>7871.95</v>
      </c>
      <c r="Z238" s="17">
        <v>7289.09</v>
      </c>
      <c r="AA238" s="17">
        <v>534.37</v>
      </c>
      <c r="AB238" s="17">
        <v>-751.06</v>
      </c>
      <c r="AC238" s="17">
        <v>0</v>
      </c>
      <c r="AD238" s="17">
        <v>0</v>
      </c>
      <c r="AE238" s="17">
        <v>2711.28</v>
      </c>
      <c r="AF238" s="17">
        <v>2904.98</v>
      </c>
      <c r="AG238" s="17">
        <v>0</v>
      </c>
      <c r="AH238" s="17">
        <v>0</v>
      </c>
      <c r="AI238" s="17">
        <v>0</v>
      </c>
      <c r="AJ238" s="17">
        <v>16596.919999999998</v>
      </c>
      <c r="AK238" s="17">
        <v>11123.08</v>
      </c>
    </row>
    <row r="239" spans="1:37" x14ac:dyDescent="0.2">
      <c r="A239" s="14" t="s">
        <v>33</v>
      </c>
      <c r="B239" s="14">
        <v>777</v>
      </c>
      <c r="C239" s="14">
        <v>1</v>
      </c>
      <c r="D239" s="14" t="s">
        <v>312</v>
      </c>
      <c r="E239" s="15">
        <v>76</v>
      </c>
      <c r="F239" s="15" t="s">
        <v>64</v>
      </c>
      <c r="G239" s="16">
        <v>296</v>
      </c>
      <c r="H239" s="16">
        <v>283</v>
      </c>
      <c r="I239" s="16">
        <v>7950639</v>
      </c>
      <c r="J239" s="16">
        <v>35520</v>
      </c>
      <c r="K239" s="16">
        <v>33960</v>
      </c>
      <c r="L239" s="17">
        <v>26635.75</v>
      </c>
      <c r="M239" s="17">
        <v>26635.75</v>
      </c>
      <c r="N239" s="17">
        <v>26635.75</v>
      </c>
      <c r="O239" s="18">
        <v>1</v>
      </c>
      <c r="P239" s="17">
        <v>8884.25</v>
      </c>
      <c r="Q239" s="17">
        <v>7324.25</v>
      </c>
      <c r="R239" s="17">
        <v>7324.25</v>
      </c>
      <c r="S239" s="17">
        <v>1</v>
      </c>
      <c r="T239" s="17">
        <v>7324.25</v>
      </c>
      <c r="U239" s="17">
        <v>452.8</v>
      </c>
      <c r="V239" s="16">
        <v>35520</v>
      </c>
      <c r="W239" s="17">
        <v>18347.099999999999</v>
      </c>
      <c r="X239" s="17">
        <v>53867.1</v>
      </c>
      <c r="Y239" s="17">
        <v>13466.78</v>
      </c>
      <c r="Z239" s="17">
        <v>8758.25</v>
      </c>
      <c r="AA239" s="17">
        <v>0</v>
      </c>
      <c r="AB239" s="17">
        <v>11997.68</v>
      </c>
      <c r="AC239" s="17">
        <v>0</v>
      </c>
      <c r="AD239" s="17">
        <v>0</v>
      </c>
      <c r="AE239" s="17">
        <v>13643.46</v>
      </c>
      <c r="AF239" s="17">
        <v>11466.46</v>
      </c>
      <c r="AG239" s="17">
        <v>0</v>
      </c>
      <c r="AH239" s="17">
        <v>0</v>
      </c>
      <c r="AI239" s="17">
        <v>0</v>
      </c>
      <c r="AJ239" s="17">
        <v>26635.75</v>
      </c>
      <c r="AK239" s="17">
        <v>7324.25</v>
      </c>
    </row>
    <row r="240" spans="1:37" x14ac:dyDescent="0.2">
      <c r="A240" s="14" t="s">
        <v>33</v>
      </c>
      <c r="B240" s="14">
        <v>786</v>
      </c>
      <c r="C240" s="14">
        <v>1</v>
      </c>
      <c r="D240" s="14" t="s">
        <v>313</v>
      </c>
      <c r="E240" s="15">
        <v>77</v>
      </c>
      <c r="F240" s="15" t="s">
        <v>66</v>
      </c>
      <c r="G240" s="16">
        <v>147</v>
      </c>
      <c r="H240" s="16">
        <v>126</v>
      </c>
      <c r="I240" s="16">
        <v>1505600</v>
      </c>
      <c r="J240" s="16">
        <v>18000</v>
      </c>
      <c r="K240" s="16">
        <v>18000</v>
      </c>
      <c r="L240" s="17">
        <v>5043.97</v>
      </c>
      <c r="M240" s="17">
        <v>5043.97</v>
      </c>
      <c r="N240" s="17">
        <v>5043.97</v>
      </c>
      <c r="O240" s="18">
        <v>1</v>
      </c>
      <c r="P240" s="17">
        <v>12956.03</v>
      </c>
      <c r="Q240" s="17">
        <v>12956.03</v>
      </c>
      <c r="R240" s="17">
        <v>12956.03</v>
      </c>
      <c r="S240" s="17">
        <v>1</v>
      </c>
      <c r="T240" s="17">
        <v>12956.03</v>
      </c>
      <c r="U240" s="17">
        <v>201.6</v>
      </c>
      <c r="V240" s="16">
        <v>18000</v>
      </c>
      <c r="W240" s="17">
        <v>235.2</v>
      </c>
      <c r="X240" s="17">
        <v>18235.2</v>
      </c>
      <c r="Y240" s="17">
        <v>4558.8</v>
      </c>
      <c r="Z240" s="17">
        <v>6606.51</v>
      </c>
      <c r="AA240" s="17">
        <v>710.86</v>
      </c>
      <c r="AB240" s="17">
        <v>7421.12</v>
      </c>
      <c r="AC240" s="17">
        <v>1774.37</v>
      </c>
      <c r="AD240" s="17">
        <v>0</v>
      </c>
      <c r="AE240" s="17">
        <v>5646.13</v>
      </c>
      <c r="AF240" s="17">
        <v>5729.51</v>
      </c>
      <c r="AG240" s="17">
        <v>1170.71</v>
      </c>
      <c r="AH240" s="17">
        <v>328.06</v>
      </c>
      <c r="AI240" s="17">
        <v>842.65</v>
      </c>
      <c r="AJ240" s="17">
        <v>4715.91</v>
      </c>
      <c r="AK240" s="17">
        <v>12113.38</v>
      </c>
    </row>
    <row r="241" spans="1:37" x14ac:dyDescent="0.2">
      <c r="A241" s="14" t="s">
        <v>33</v>
      </c>
      <c r="B241" s="14">
        <v>787</v>
      </c>
      <c r="C241" s="14">
        <v>1</v>
      </c>
      <c r="D241" s="14" t="s">
        <v>314</v>
      </c>
      <c r="E241" s="15">
        <v>77</v>
      </c>
      <c r="F241" s="15" t="s">
        <v>66</v>
      </c>
      <c r="G241" s="16">
        <v>168</v>
      </c>
      <c r="H241" s="16">
        <v>114</v>
      </c>
      <c r="I241" s="16">
        <v>2281999</v>
      </c>
      <c r="J241" s="16">
        <v>20160</v>
      </c>
      <c r="K241" s="16">
        <v>18000</v>
      </c>
      <c r="L241" s="17">
        <v>7645.02</v>
      </c>
      <c r="M241" s="17">
        <v>7645.02</v>
      </c>
      <c r="N241" s="17">
        <v>7645.02</v>
      </c>
      <c r="O241" s="18">
        <v>1</v>
      </c>
      <c r="P241" s="17">
        <v>12514.98</v>
      </c>
      <c r="Q241" s="17">
        <v>10354.98</v>
      </c>
      <c r="R241" s="17">
        <v>10354.98</v>
      </c>
      <c r="S241" s="17">
        <v>1</v>
      </c>
      <c r="T241" s="17">
        <v>10354.98</v>
      </c>
      <c r="U241" s="17">
        <v>182.4</v>
      </c>
      <c r="V241" s="16">
        <v>20160</v>
      </c>
      <c r="W241" s="17">
        <v>1841.94</v>
      </c>
      <c r="X241" s="17">
        <v>22001.94</v>
      </c>
      <c r="Y241" s="17">
        <v>5500.49</v>
      </c>
      <c r="Z241" s="17">
        <v>8221.1200000000008</v>
      </c>
      <c r="AA241" s="17">
        <v>2710.11</v>
      </c>
      <c r="AB241" s="17">
        <v>3997.45</v>
      </c>
      <c r="AC241" s="17">
        <v>742.3</v>
      </c>
      <c r="AD241" s="17">
        <v>0</v>
      </c>
      <c r="AE241" s="17">
        <v>3886.56</v>
      </c>
      <c r="AF241" s="17">
        <v>4217.57</v>
      </c>
      <c r="AG241" s="17">
        <v>0</v>
      </c>
      <c r="AH241" s="17">
        <v>0</v>
      </c>
      <c r="AI241" s="17">
        <v>0</v>
      </c>
      <c r="AJ241" s="17">
        <v>7645.02</v>
      </c>
      <c r="AK241" s="17">
        <v>10354.98</v>
      </c>
    </row>
    <row r="242" spans="1:37" x14ac:dyDescent="0.2">
      <c r="A242" s="14" t="s">
        <v>33</v>
      </c>
      <c r="B242" s="14">
        <v>801</v>
      </c>
      <c r="C242" s="14">
        <v>1</v>
      </c>
      <c r="D242" s="14" t="s">
        <v>315</v>
      </c>
      <c r="E242" s="15">
        <v>78</v>
      </c>
      <c r="F242" s="15" t="s">
        <v>60</v>
      </c>
      <c r="G242" s="16">
        <v>18</v>
      </c>
      <c r="H242" s="16">
        <v>17</v>
      </c>
      <c r="I242" s="16">
        <v>862210</v>
      </c>
      <c r="J242" s="16">
        <v>18000</v>
      </c>
      <c r="K242" s="16">
        <v>18000</v>
      </c>
      <c r="L242" s="17">
        <v>2888.52</v>
      </c>
      <c r="M242" s="17">
        <v>2888.52</v>
      </c>
      <c r="N242" s="17">
        <v>2888.52</v>
      </c>
      <c r="O242" s="18">
        <v>1</v>
      </c>
      <c r="P242" s="17">
        <v>15111.48</v>
      </c>
      <c r="Q242" s="17">
        <v>15111.48</v>
      </c>
      <c r="R242" s="17">
        <v>15111.48</v>
      </c>
      <c r="S242" s="17">
        <v>1</v>
      </c>
      <c r="T242" s="17">
        <v>15111.48</v>
      </c>
      <c r="U242" s="17">
        <v>27.2</v>
      </c>
      <c r="V242" s="16">
        <v>18000</v>
      </c>
      <c r="W242" s="17">
        <v>28.8</v>
      </c>
      <c r="X242" s="17">
        <v>18028.8</v>
      </c>
      <c r="Y242" s="17">
        <v>4507.2</v>
      </c>
      <c r="Z242" s="17">
        <v>-1525.85</v>
      </c>
      <c r="AA242" s="17">
        <v>0</v>
      </c>
      <c r="AB242" s="17">
        <v>721.37</v>
      </c>
      <c r="AC242" s="17">
        <v>0</v>
      </c>
      <c r="AD242" s="17">
        <v>0</v>
      </c>
      <c r="AE242" s="17">
        <v>4719.78</v>
      </c>
      <c r="AF242" s="17">
        <v>1305.0999999999999</v>
      </c>
      <c r="AG242" s="17">
        <v>0</v>
      </c>
      <c r="AH242" s="17">
        <v>0</v>
      </c>
      <c r="AI242" s="17">
        <v>0</v>
      </c>
      <c r="AJ242" s="17">
        <v>2888.52</v>
      </c>
      <c r="AK242" s="17">
        <v>15111.48</v>
      </c>
    </row>
    <row r="243" spans="1:37" x14ac:dyDescent="0.2">
      <c r="A243" s="14" t="s">
        <v>33</v>
      </c>
      <c r="B243" s="14">
        <v>803</v>
      </c>
      <c r="C243" s="14">
        <v>1</v>
      </c>
      <c r="D243" s="14" t="s">
        <v>316</v>
      </c>
      <c r="E243" s="15">
        <v>78</v>
      </c>
      <c r="F243" s="15" t="s">
        <v>60</v>
      </c>
      <c r="G243" s="16">
        <v>98</v>
      </c>
      <c r="H243" s="16">
        <v>88</v>
      </c>
      <c r="I243" s="16">
        <v>4214289</v>
      </c>
      <c r="J243" s="16">
        <v>18000</v>
      </c>
      <c r="K243" s="16">
        <v>18000</v>
      </c>
      <c r="L243" s="17">
        <v>14118.46</v>
      </c>
      <c r="M243" s="17">
        <v>14118.46</v>
      </c>
      <c r="N243" s="17">
        <v>14118.46</v>
      </c>
      <c r="O243" s="18">
        <v>1</v>
      </c>
      <c r="P243" s="17">
        <v>3881.54</v>
      </c>
      <c r="Q243" s="17">
        <v>3881.54</v>
      </c>
      <c r="R243" s="17">
        <v>3881.54</v>
      </c>
      <c r="S243" s="17">
        <v>1</v>
      </c>
      <c r="T243" s="17">
        <v>3881.54</v>
      </c>
      <c r="U243" s="17">
        <v>0</v>
      </c>
      <c r="V243" s="16">
        <v>18000</v>
      </c>
      <c r="W243" s="17">
        <v>1254.2</v>
      </c>
      <c r="X243" s="17">
        <v>19254.2</v>
      </c>
      <c r="Y243" s="17">
        <v>4813.55</v>
      </c>
      <c r="Z243" s="17">
        <v>7087.27</v>
      </c>
      <c r="AA243" s="17">
        <v>0</v>
      </c>
      <c r="AB243" s="17">
        <v>1463.77</v>
      </c>
      <c r="AC243" s="17">
        <v>0</v>
      </c>
      <c r="AD243" s="17">
        <v>0</v>
      </c>
      <c r="AE243" s="17">
        <v>3737.78</v>
      </c>
      <c r="AF243" s="17">
        <v>4096.2700000000004</v>
      </c>
      <c r="AG243" s="17">
        <v>0</v>
      </c>
      <c r="AH243" s="17">
        <v>0</v>
      </c>
      <c r="AI243" s="17">
        <v>0</v>
      </c>
      <c r="AJ243" s="17">
        <v>14118.46</v>
      </c>
      <c r="AK243" s="17">
        <v>3881.54</v>
      </c>
    </row>
    <row r="244" spans="1:37" x14ac:dyDescent="0.2">
      <c r="A244" s="14" t="s">
        <v>33</v>
      </c>
      <c r="B244" s="14">
        <v>811</v>
      </c>
      <c r="C244" s="14">
        <v>1</v>
      </c>
      <c r="D244" s="14" t="s">
        <v>317</v>
      </c>
      <c r="E244" s="15">
        <v>79</v>
      </c>
      <c r="F244" s="15" t="s">
        <v>61</v>
      </c>
      <c r="G244" s="16">
        <v>272</v>
      </c>
      <c r="H244" s="16">
        <v>295</v>
      </c>
      <c r="I244" s="16">
        <v>5997581</v>
      </c>
      <c r="J244" s="16">
        <v>32640</v>
      </c>
      <c r="K244" s="16">
        <v>35400</v>
      </c>
      <c r="L244" s="17">
        <v>20092.740000000002</v>
      </c>
      <c r="M244" s="17">
        <v>20092.740000000002</v>
      </c>
      <c r="N244" s="17">
        <v>20092.740000000002</v>
      </c>
      <c r="O244" s="18">
        <v>1</v>
      </c>
      <c r="P244" s="17">
        <v>12547.26</v>
      </c>
      <c r="Q244" s="17">
        <v>15307.26</v>
      </c>
      <c r="R244" s="17">
        <v>15307.26</v>
      </c>
      <c r="S244" s="17">
        <v>1</v>
      </c>
      <c r="T244" s="17">
        <v>15307.26</v>
      </c>
      <c r="U244" s="17">
        <v>472</v>
      </c>
      <c r="V244" s="16">
        <v>32640</v>
      </c>
      <c r="W244" s="17">
        <v>1645.3</v>
      </c>
      <c r="X244" s="17">
        <v>34285.300000000003</v>
      </c>
      <c r="Y244" s="17">
        <v>8571.33</v>
      </c>
      <c r="Z244" s="17">
        <v>1824.07</v>
      </c>
      <c r="AA244" s="17">
        <v>0</v>
      </c>
      <c r="AB244" s="17">
        <v>987.81</v>
      </c>
      <c r="AC244" s="17">
        <v>0</v>
      </c>
      <c r="AD244" s="17">
        <v>0</v>
      </c>
      <c r="AE244" s="17">
        <v>8640.16</v>
      </c>
      <c r="AF244" s="17">
        <v>3817.35</v>
      </c>
      <c r="AG244" s="17">
        <v>0</v>
      </c>
      <c r="AH244" s="17">
        <v>0</v>
      </c>
      <c r="AI244" s="17">
        <v>0</v>
      </c>
      <c r="AJ244" s="17">
        <v>20092.740000000002</v>
      </c>
      <c r="AK244" s="17">
        <v>15307.26</v>
      </c>
    </row>
    <row r="245" spans="1:37" x14ac:dyDescent="0.2">
      <c r="A245" s="14" t="s">
        <v>33</v>
      </c>
      <c r="B245" s="14">
        <v>813</v>
      </c>
      <c r="C245" s="14">
        <v>1</v>
      </c>
      <c r="D245" s="14" t="s">
        <v>318</v>
      </c>
      <c r="E245" s="15">
        <v>79</v>
      </c>
      <c r="F245" s="15" t="s">
        <v>61</v>
      </c>
      <c r="G245" s="16">
        <v>530</v>
      </c>
      <c r="H245" s="16">
        <v>546</v>
      </c>
      <c r="I245" s="16">
        <v>11144186</v>
      </c>
      <c r="J245" s="16">
        <v>63600</v>
      </c>
      <c r="K245" s="16">
        <v>65520</v>
      </c>
      <c r="L245" s="17">
        <v>37334.58</v>
      </c>
      <c r="M245" s="17">
        <v>37334.58</v>
      </c>
      <c r="N245" s="17">
        <v>37334.58</v>
      </c>
      <c r="O245" s="18">
        <v>1</v>
      </c>
      <c r="P245" s="17">
        <v>26265.42</v>
      </c>
      <c r="Q245" s="17">
        <v>28185.42</v>
      </c>
      <c r="R245" s="17">
        <v>28185.42</v>
      </c>
      <c r="S245" s="17">
        <v>1</v>
      </c>
      <c r="T245" s="17">
        <v>28185.42</v>
      </c>
      <c r="U245" s="17">
        <v>873.6</v>
      </c>
      <c r="V245" s="16">
        <v>63600</v>
      </c>
      <c r="W245" s="17">
        <v>4583</v>
      </c>
      <c r="X245" s="17">
        <v>68183</v>
      </c>
      <c r="Y245" s="17">
        <v>17045.75</v>
      </c>
      <c r="Z245" s="17">
        <v>26085.64</v>
      </c>
      <c r="AA245" s="17">
        <v>8754.43</v>
      </c>
      <c r="AB245" s="17">
        <v>25123.79</v>
      </c>
      <c r="AC245" s="17">
        <v>5298.44</v>
      </c>
      <c r="AD245" s="17">
        <v>0</v>
      </c>
      <c r="AE245" s="17">
        <v>18098.759999999998</v>
      </c>
      <c r="AF245" s="17">
        <v>18418.439999999999</v>
      </c>
      <c r="AG245" s="17">
        <v>1372.69</v>
      </c>
      <c r="AH245" s="17">
        <v>782.19</v>
      </c>
      <c r="AI245" s="17">
        <v>590.5</v>
      </c>
      <c r="AJ245" s="17">
        <v>36552.39</v>
      </c>
      <c r="AK245" s="17">
        <v>27594.92</v>
      </c>
    </row>
    <row r="246" spans="1:37" x14ac:dyDescent="0.2">
      <c r="A246" s="14" t="s">
        <v>33</v>
      </c>
      <c r="B246" s="14">
        <v>818</v>
      </c>
      <c r="C246" s="14">
        <v>1</v>
      </c>
      <c r="D246" s="14" t="s">
        <v>319</v>
      </c>
      <c r="E246" s="15">
        <v>80</v>
      </c>
      <c r="F246" s="15" t="s">
        <v>66</v>
      </c>
      <c r="G246" s="16">
        <v>97</v>
      </c>
      <c r="H246" s="16">
        <v>90</v>
      </c>
      <c r="I246" s="16">
        <v>1379068</v>
      </c>
      <c r="J246" s="16">
        <v>18000</v>
      </c>
      <c r="K246" s="16">
        <v>18000</v>
      </c>
      <c r="L246" s="17">
        <v>4620.07</v>
      </c>
      <c r="M246" s="17">
        <v>4620.07</v>
      </c>
      <c r="N246" s="17">
        <v>4620.07</v>
      </c>
      <c r="O246" s="18">
        <v>1</v>
      </c>
      <c r="P246" s="17">
        <v>13379.93</v>
      </c>
      <c r="Q246" s="17">
        <v>13379.93</v>
      </c>
      <c r="R246" s="17">
        <v>13379.93</v>
      </c>
      <c r="S246" s="17">
        <v>1</v>
      </c>
      <c r="T246" s="17">
        <v>13379.93</v>
      </c>
      <c r="U246" s="17">
        <v>144</v>
      </c>
      <c r="V246" s="16">
        <v>18000</v>
      </c>
      <c r="W246" s="17">
        <v>155.19999999999999</v>
      </c>
      <c r="X246" s="17">
        <v>18155.2</v>
      </c>
      <c r="Y246" s="17">
        <v>4538.8</v>
      </c>
      <c r="Z246" s="17">
        <v>4017.25</v>
      </c>
      <c r="AA246" s="17">
        <v>0</v>
      </c>
      <c r="AB246" s="17">
        <v>10502.32</v>
      </c>
      <c r="AC246" s="17">
        <v>102.59</v>
      </c>
      <c r="AD246" s="17">
        <v>0</v>
      </c>
      <c r="AE246" s="17">
        <v>13176.46</v>
      </c>
      <c r="AF246" s="17">
        <v>9197.81</v>
      </c>
      <c r="AG246" s="17">
        <v>4659.01</v>
      </c>
      <c r="AH246" s="17">
        <v>1195.83</v>
      </c>
      <c r="AI246" s="17">
        <v>3463.18</v>
      </c>
      <c r="AJ246" s="17">
        <v>3424.24</v>
      </c>
      <c r="AK246" s="17">
        <v>9916.75</v>
      </c>
    </row>
    <row r="247" spans="1:37" x14ac:dyDescent="0.2">
      <c r="A247" s="14" t="s">
        <v>33</v>
      </c>
      <c r="B247" s="14">
        <v>820</v>
      </c>
      <c r="C247" s="14">
        <v>1</v>
      </c>
      <c r="D247" s="14" t="s">
        <v>320</v>
      </c>
      <c r="E247" s="15">
        <v>80</v>
      </c>
      <c r="F247" s="15" t="s">
        <v>66</v>
      </c>
      <c r="G247" s="16">
        <v>159</v>
      </c>
      <c r="H247" s="16">
        <v>160</v>
      </c>
      <c r="I247" s="16">
        <v>2955682</v>
      </c>
      <c r="J247" s="16">
        <v>19080</v>
      </c>
      <c r="K247" s="16">
        <v>19200</v>
      </c>
      <c r="L247" s="17">
        <v>9901.9500000000007</v>
      </c>
      <c r="M247" s="17">
        <v>9901.9500000000007</v>
      </c>
      <c r="N247" s="17">
        <v>9901.9500000000007</v>
      </c>
      <c r="O247" s="18">
        <v>1</v>
      </c>
      <c r="P247" s="17">
        <v>9178.0499999999993</v>
      </c>
      <c r="Q247" s="17">
        <v>9298.0499999999993</v>
      </c>
      <c r="R247" s="17">
        <v>9298.0499999999993</v>
      </c>
      <c r="S247" s="17">
        <v>1</v>
      </c>
      <c r="T247" s="17">
        <v>9298.0499999999993</v>
      </c>
      <c r="U247" s="17">
        <v>256</v>
      </c>
      <c r="V247" s="16">
        <v>19080</v>
      </c>
      <c r="W247" s="17">
        <v>7380.75</v>
      </c>
      <c r="X247" s="17">
        <v>26460.75</v>
      </c>
      <c r="Y247" s="17">
        <v>6615.19</v>
      </c>
      <c r="Z247" s="17">
        <v>4452.9799999999996</v>
      </c>
      <c r="AA247" s="17">
        <v>0</v>
      </c>
      <c r="AB247" s="17">
        <v>6349.98</v>
      </c>
      <c r="AC247" s="17">
        <v>0</v>
      </c>
      <c r="AD247" s="17">
        <v>0</v>
      </c>
      <c r="AE247" s="17">
        <v>6059.56</v>
      </c>
      <c r="AF247" s="17">
        <v>5620.84</v>
      </c>
      <c r="AG247" s="17">
        <v>0</v>
      </c>
      <c r="AH247" s="17">
        <v>0</v>
      </c>
      <c r="AI247" s="17">
        <v>0</v>
      </c>
      <c r="AJ247" s="17">
        <v>9901.9500000000007</v>
      </c>
      <c r="AK247" s="17">
        <v>9298.0499999999993</v>
      </c>
    </row>
    <row r="248" spans="1:37" x14ac:dyDescent="0.2">
      <c r="A248" s="14" t="s">
        <v>33</v>
      </c>
      <c r="B248" s="14">
        <v>821</v>
      </c>
      <c r="C248" s="14">
        <v>1</v>
      </c>
      <c r="D248" s="14" t="s">
        <v>321</v>
      </c>
      <c r="E248" s="15">
        <v>80</v>
      </c>
      <c r="F248" s="15" t="s">
        <v>66</v>
      </c>
      <c r="G248" s="16">
        <v>276</v>
      </c>
      <c r="H248" s="16">
        <v>289</v>
      </c>
      <c r="I248" s="16">
        <v>3614992</v>
      </c>
      <c r="J248" s="16">
        <v>33120</v>
      </c>
      <c r="K248" s="16">
        <v>34680</v>
      </c>
      <c r="L248" s="17">
        <v>12110.73</v>
      </c>
      <c r="M248" s="17">
        <v>12110.73</v>
      </c>
      <c r="N248" s="17">
        <v>12110.73</v>
      </c>
      <c r="O248" s="18">
        <v>1</v>
      </c>
      <c r="P248" s="17">
        <v>21009.27</v>
      </c>
      <c r="Q248" s="17">
        <v>22569.27</v>
      </c>
      <c r="R248" s="17">
        <v>22569.27</v>
      </c>
      <c r="S248" s="17">
        <v>1</v>
      </c>
      <c r="T248" s="17">
        <v>22569.27</v>
      </c>
      <c r="U248" s="17">
        <v>462.4</v>
      </c>
      <c r="V248" s="16">
        <v>33120</v>
      </c>
      <c r="W248" s="17">
        <v>441.6</v>
      </c>
      <c r="X248" s="17">
        <v>33561.599999999999</v>
      </c>
      <c r="Y248" s="17">
        <v>8390.4</v>
      </c>
      <c r="Z248" s="17">
        <v>5999.16</v>
      </c>
      <c r="AA248" s="17">
        <v>0</v>
      </c>
      <c r="AB248" s="17">
        <v>6218.94</v>
      </c>
      <c r="AC248" s="17">
        <v>0</v>
      </c>
      <c r="AD248" s="17">
        <v>0</v>
      </c>
      <c r="AE248" s="17">
        <v>6615.86</v>
      </c>
      <c r="AF248" s="17">
        <v>6277.99</v>
      </c>
      <c r="AG248" s="17">
        <v>0</v>
      </c>
      <c r="AH248" s="17">
        <v>0</v>
      </c>
      <c r="AI248" s="17">
        <v>0</v>
      </c>
      <c r="AJ248" s="17">
        <v>12110.73</v>
      </c>
      <c r="AK248" s="17">
        <v>22569.27</v>
      </c>
    </row>
    <row r="249" spans="1:37" x14ac:dyDescent="0.2">
      <c r="A249" s="14" t="s">
        <v>33</v>
      </c>
      <c r="B249" s="14">
        <v>829</v>
      </c>
      <c r="C249" s="14">
        <v>1</v>
      </c>
      <c r="D249" s="14" t="s">
        <v>322</v>
      </c>
      <c r="E249" s="15">
        <v>81</v>
      </c>
      <c r="F249" s="15" t="s">
        <v>57</v>
      </c>
      <c r="G249" s="16">
        <v>907</v>
      </c>
      <c r="H249" s="16">
        <v>881</v>
      </c>
      <c r="I249" s="16">
        <v>9962395</v>
      </c>
      <c r="J249" s="16">
        <v>108840</v>
      </c>
      <c r="K249" s="16">
        <v>105720</v>
      </c>
      <c r="L249" s="17">
        <v>33375.42</v>
      </c>
      <c r="M249" s="17">
        <v>33375.42</v>
      </c>
      <c r="N249" s="17">
        <v>33375.42</v>
      </c>
      <c r="O249" s="18">
        <v>1</v>
      </c>
      <c r="P249" s="17">
        <v>75464.58</v>
      </c>
      <c r="Q249" s="17">
        <v>72344.58</v>
      </c>
      <c r="R249" s="17">
        <v>72344.58</v>
      </c>
      <c r="S249" s="17">
        <v>1</v>
      </c>
      <c r="T249" s="17">
        <v>72344.58</v>
      </c>
      <c r="U249" s="17">
        <v>1409.6</v>
      </c>
      <c r="V249" s="16">
        <v>108840</v>
      </c>
      <c r="W249" s="17">
        <v>15037.64</v>
      </c>
      <c r="X249" s="17">
        <v>123877.64</v>
      </c>
      <c r="Y249" s="17">
        <v>30969.41</v>
      </c>
      <c r="Z249" s="17">
        <v>16170.29</v>
      </c>
      <c r="AA249" s="17">
        <v>0</v>
      </c>
      <c r="AB249" s="17">
        <v>5176.9799999999996</v>
      </c>
      <c r="AC249" s="17">
        <v>0</v>
      </c>
      <c r="AD249" s="17">
        <v>0</v>
      </c>
      <c r="AE249" s="17">
        <v>25556.16</v>
      </c>
      <c r="AF249" s="17">
        <v>15634.48</v>
      </c>
      <c r="AG249" s="17">
        <v>0</v>
      </c>
      <c r="AH249" s="17">
        <v>0</v>
      </c>
      <c r="AI249" s="17">
        <v>0</v>
      </c>
      <c r="AJ249" s="17">
        <v>33375.42</v>
      </c>
      <c r="AK249" s="17">
        <v>72344.58</v>
      </c>
    </row>
    <row r="250" spans="1:37" x14ac:dyDescent="0.2">
      <c r="A250" s="14" t="s">
        <v>33</v>
      </c>
      <c r="B250" s="14">
        <v>831</v>
      </c>
      <c r="C250" s="14">
        <v>1</v>
      </c>
      <c r="D250" s="14" t="s">
        <v>323</v>
      </c>
      <c r="E250" s="15">
        <v>82</v>
      </c>
      <c r="F250" s="15" t="s">
        <v>56</v>
      </c>
      <c r="G250" s="16">
        <v>3205</v>
      </c>
      <c r="H250" s="16">
        <v>3225</v>
      </c>
      <c r="I250" s="16">
        <v>64581335</v>
      </c>
      <c r="J250" s="16">
        <v>384600</v>
      </c>
      <c r="K250" s="16">
        <v>387000</v>
      </c>
      <c r="L250" s="17">
        <v>216356.51</v>
      </c>
      <c r="M250" s="17">
        <v>216356.51</v>
      </c>
      <c r="N250" s="17">
        <v>216356.51</v>
      </c>
      <c r="O250" s="18">
        <v>1</v>
      </c>
      <c r="P250" s="17">
        <v>168243.49</v>
      </c>
      <c r="Q250" s="17">
        <v>170643.49</v>
      </c>
      <c r="R250" s="17">
        <v>170643.49</v>
      </c>
      <c r="S250" s="17">
        <v>1</v>
      </c>
      <c r="T250" s="17">
        <v>170643.49</v>
      </c>
      <c r="U250" s="17">
        <v>5160</v>
      </c>
      <c r="V250" s="16">
        <v>384600</v>
      </c>
      <c r="W250" s="17">
        <v>74950.61</v>
      </c>
      <c r="X250" s="17">
        <v>459550.61</v>
      </c>
      <c r="Y250" s="17">
        <v>114887.65</v>
      </c>
      <c r="Z250" s="17">
        <v>35356</v>
      </c>
      <c r="AA250" s="17">
        <v>0</v>
      </c>
      <c r="AB250" s="17">
        <v>84786</v>
      </c>
      <c r="AC250" s="17">
        <v>0</v>
      </c>
      <c r="AD250" s="17">
        <v>0</v>
      </c>
      <c r="AE250" s="17">
        <v>88864</v>
      </c>
      <c r="AF250" s="17">
        <v>69668.67</v>
      </c>
      <c r="AG250" s="17">
        <v>0</v>
      </c>
      <c r="AH250" s="17">
        <v>0</v>
      </c>
      <c r="AI250" s="17">
        <v>0</v>
      </c>
      <c r="AJ250" s="17">
        <v>216356.51</v>
      </c>
      <c r="AK250" s="17">
        <v>170643.49</v>
      </c>
    </row>
    <row r="251" spans="1:37" x14ac:dyDescent="0.2">
      <c r="A251" s="14" t="s">
        <v>33</v>
      </c>
      <c r="B251" s="14">
        <v>832</v>
      </c>
      <c r="C251" s="14">
        <v>1</v>
      </c>
      <c r="D251" s="14" t="s">
        <v>324</v>
      </c>
      <c r="E251" s="15">
        <v>82</v>
      </c>
      <c r="F251" s="15" t="s">
        <v>56</v>
      </c>
      <c r="G251" s="16">
        <v>910</v>
      </c>
      <c r="H251" s="16">
        <v>880</v>
      </c>
      <c r="I251" s="16">
        <v>25484947</v>
      </c>
      <c r="J251" s="16">
        <v>109200</v>
      </c>
      <c r="K251" s="16">
        <v>105600</v>
      </c>
      <c r="L251" s="17">
        <v>85378.14</v>
      </c>
      <c r="M251" s="17">
        <v>85378.14</v>
      </c>
      <c r="N251" s="17">
        <v>85378.14</v>
      </c>
      <c r="O251" s="18">
        <v>1</v>
      </c>
      <c r="P251" s="17">
        <v>23821.86</v>
      </c>
      <c r="Q251" s="17">
        <v>20221.86</v>
      </c>
      <c r="R251" s="17">
        <v>20221.86</v>
      </c>
      <c r="S251" s="17">
        <v>1</v>
      </c>
      <c r="T251" s="17">
        <v>20221.86</v>
      </c>
      <c r="U251" s="17">
        <v>1408</v>
      </c>
      <c r="V251" s="16">
        <v>109200</v>
      </c>
      <c r="W251" s="17">
        <v>32496.48</v>
      </c>
      <c r="X251" s="17">
        <v>141696.48000000001</v>
      </c>
      <c r="Y251" s="17">
        <v>35424.120000000003</v>
      </c>
      <c r="Z251" s="17">
        <v>15978.27</v>
      </c>
      <c r="AA251" s="17">
        <v>0</v>
      </c>
      <c r="AB251" s="17">
        <v>8524.35</v>
      </c>
      <c r="AC251" s="17">
        <v>0</v>
      </c>
      <c r="AD251" s="17">
        <v>0</v>
      </c>
      <c r="AE251" s="17">
        <v>8192.69</v>
      </c>
      <c r="AF251" s="17">
        <v>10898.44</v>
      </c>
      <c r="AG251" s="17">
        <v>0</v>
      </c>
      <c r="AH251" s="17">
        <v>0</v>
      </c>
      <c r="AI251" s="17">
        <v>0</v>
      </c>
      <c r="AJ251" s="17">
        <v>85378.14</v>
      </c>
      <c r="AK251" s="17">
        <v>20221.86</v>
      </c>
    </row>
    <row r="252" spans="1:37" x14ac:dyDescent="0.2">
      <c r="A252" s="14" t="s">
        <v>33</v>
      </c>
      <c r="B252" s="14">
        <v>833</v>
      </c>
      <c r="C252" s="14">
        <v>1</v>
      </c>
      <c r="D252" s="14" t="s">
        <v>325</v>
      </c>
      <c r="E252" s="15">
        <v>82</v>
      </c>
      <c r="F252" s="15" t="s">
        <v>56</v>
      </c>
      <c r="G252" s="16">
        <v>7844</v>
      </c>
      <c r="H252" s="16">
        <v>7894</v>
      </c>
      <c r="I252" s="16">
        <v>115411558</v>
      </c>
      <c r="J252" s="16">
        <v>941280</v>
      </c>
      <c r="K252" s="16">
        <v>947280</v>
      </c>
      <c r="L252" s="17">
        <v>386644.88</v>
      </c>
      <c r="M252" s="17">
        <v>386644.88</v>
      </c>
      <c r="N252" s="17">
        <v>386644.88</v>
      </c>
      <c r="O252" s="18">
        <v>1</v>
      </c>
      <c r="P252" s="17">
        <v>554635.12</v>
      </c>
      <c r="Q252" s="17">
        <v>560635.12</v>
      </c>
      <c r="R252" s="17">
        <v>560635.12</v>
      </c>
      <c r="S252" s="17">
        <v>1</v>
      </c>
      <c r="T252" s="17">
        <v>560635.12</v>
      </c>
      <c r="U252" s="17">
        <v>12630.4</v>
      </c>
      <c r="V252" s="16">
        <v>941280</v>
      </c>
      <c r="W252" s="17">
        <v>173360.96</v>
      </c>
      <c r="X252" s="17">
        <v>1114640.96</v>
      </c>
      <c r="Y252" s="17">
        <v>278660.24</v>
      </c>
      <c r="Z252" s="17">
        <v>194972.21</v>
      </c>
      <c r="AA252" s="17">
        <v>0</v>
      </c>
      <c r="AB252" s="17">
        <v>181214.96</v>
      </c>
      <c r="AC252" s="17">
        <v>0</v>
      </c>
      <c r="AD252" s="17">
        <v>0</v>
      </c>
      <c r="AE252" s="17">
        <v>134209.59</v>
      </c>
      <c r="AF252" s="17">
        <v>170132.25</v>
      </c>
      <c r="AG252" s="17">
        <v>0</v>
      </c>
      <c r="AH252" s="17">
        <v>0</v>
      </c>
      <c r="AI252" s="17">
        <v>0</v>
      </c>
      <c r="AJ252" s="17">
        <v>386644.88</v>
      </c>
      <c r="AK252" s="17">
        <v>560635.12</v>
      </c>
    </row>
    <row r="253" spans="1:37" x14ac:dyDescent="0.2">
      <c r="A253" s="14" t="s">
        <v>33</v>
      </c>
      <c r="B253" s="14">
        <v>834</v>
      </c>
      <c r="C253" s="14">
        <v>1</v>
      </c>
      <c r="D253" s="14" t="s">
        <v>395</v>
      </c>
      <c r="E253" s="15">
        <v>82</v>
      </c>
      <c r="F253" s="15" t="s">
        <v>56</v>
      </c>
      <c r="G253" s="16">
        <v>3855</v>
      </c>
      <c r="H253" s="16">
        <v>3930</v>
      </c>
      <c r="I253" s="16">
        <v>99859466</v>
      </c>
      <c r="J253" s="16">
        <v>462600</v>
      </c>
      <c r="K253" s="16">
        <v>471600</v>
      </c>
      <c r="L253" s="17">
        <v>334543.19</v>
      </c>
      <c r="M253" s="17">
        <v>334543.19</v>
      </c>
      <c r="N253" s="17">
        <v>334543.19</v>
      </c>
      <c r="O253" s="18">
        <v>1</v>
      </c>
      <c r="P253" s="17">
        <v>128056.81</v>
      </c>
      <c r="Q253" s="17">
        <v>137056.81</v>
      </c>
      <c r="R253" s="17">
        <v>137056.81</v>
      </c>
      <c r="S253" s="17">
        <v>1</v>
      </c>
      <c r="T253" s="17">
        <v>137056.81</v>
      </c>
      <c r="U253" s="17">
        <v>6288</v>
      </c>
      <c r="V253" s="16">
        <v>462600</v>
      </c>
      <c r="W253" s="17">
        <v>80691.05</v>
      </c>
      <c r="X253" s="17">
        <v>543291.05000000005</v>
      </c>
      <c r="Y253" s="17">
        <v>135822.76</v>
      </c>
      <c r="Z253" s="17">
        <v>4334.6000000000004</v>
      </c>
      <c r="AA253" s="17">
        <v>0</v>
      </c>
      <c r="AB253" s="17">
        <v>0</v>
      </c>
      <c r="AC253" s="17">
        <v>0</v>
      </c>
      <c r="AD253" s="17">
        <v>0</v>
      </c>
      <c r="AE253" s="17">
        <v>2089.04</v>
      </c>
      <c r="AF253" s="17">
        <v>2141.21</v>
      </c>
      <c r="AG253" s="17">
        <v>0</v>
      </c>
      <c r="AH253" s="17">
        <v>0</v>
      </c>
      <c r="AI253" s="17">
        <v>0</v>
      </c>
      <c r="AJ253" s="17">
        <v>334543.19</v>
      </c>
      <c r="AK253" s="17">
        <v>137056.81</v>
      </c>
    </row>
    <row r="254" spans="1:37" x14ac:dyDescent="0.2">
      <c r="A254" s="14" t="s">
        <v>33</v>
      </c>
      <c r="B254" s="14">
        <v>836</v>
      </c>
      <c r="C254" s="14">
        <v>1</v>
      </c>
      <c r="D254" s="14" t="s">
        <v>326</v>
      </c>
      <c r="E254" s="15">
        <v>83</v>
      </c>
      <c r="F254" s="15" t="s">
        <v>57</v>
      </c>
      <c r="G254" s="16">
        <v>39</v>
      </c>
      <c r="H254" s="16">
        <v>52</v>
      </c>
      <c r="I254" s="16">
        <v>1963925</v>
      </c>
      <c r="J254" s="16">
        <v>18000</v>
      </c>
      <c r="K254" s="16">
        <v>18000</v>
      </c>
      <c r="L254" s="17">
        <v>6579.42</v>
      </c>
      <c r="M254" s="17">
        <v>6579.42</v>
      </c>
      <c r="N254" s="17">
        <v>6579.42</v>
      </c>
      <c r="O254" s="18">
        <v>1</v>
      </c>
      <c r="P254" s="17">
        <v>11420.58</v>
      </c>
      <c r="Q254" s="17">
        <v>11420.58</v>
      </c>
      <c r="R254" s="17">
        <v>11420.58</v>
      </c>
      <c r="S254" s="17">
        <v>1</v>
      </c>
      <c r="T254" s="17">
        <v>11420.58</v>
      </c>
      <c r="U254" s="17">
        <v>83.2</v>
      </c>
      <c r="V254" s="16">
        <v>18000</v>
      </c>
      <c r="W254" s="17">
        <v>258.39999999999998</v>
      </c>
      <c r="X254" s="17">
        <v>18258.400000000001</v>
      </c>
      <c r="Y254" s="17">
        <v>4564.6000000000004</v>
      </c>
      <c r="Z254" s="17">
        <v>3690.85</v>
      </c>
      <c r="AA254" s="17">
        <v>0</v>
      </c>
      <c r="AB254" s="17">
        <v>3690.85</v>
      </c>
      <c r="AC254" s="17">
        <v>0</v>
      </c>
      <c r="AD254" s="17">
        <v>0</v>
      </c>
      <c r="AE254" s="17">
        <v>3045.76</v>
      </c>
      <c r="AF254" s="17">
        <v>3475.82</v>
      </c>
      <c r="AG254" s="17">
        <v>0</v>
      </c>
      <c r="AH254" s="17">
        <v>0</v>
      </c>
      <c r="AI254" s="17">
        <v>0</v>
      </c>
      <c r="AJ254" s="17">
        <v>6579.42</v>
      </c>
      <c r="AK254" s="17">
        <v>11420.58</v>
      </c>
    </row>
    <row r="255" spans="1:37" x14ac:dyDescent="0.2">
      <c r="A255" s="14" t="s">
        <v>33</v>
      </c>
      <c r="B255" s="14">
        <v>837</v>
      </c>
      <c r="C255" s="14">
        <v>1</v>
      </c>
      <c r="D255" s="14" t="s">
        <v>327</v>
      </c>
      <c r="E255" s="15">
        <v>83</v>
      </c>
      <c r="F255" s="15" t="s">
        <v>57</v>
      </c>
      <c r="G255" s="16">
        <v>218</v>
      </c>
      <c r="H255" s="16">
        <v>240</v>
      </c>
      <c r="I255" s="16">
        <v>3711131</v>
      </c>
      <c r="J255" s="16">
        <v>26160</v>
      </c>
      <c r="K255" s="16">
        <v>28800</v>
      </c>
      <c r="L255" s="17">
        <v>12432.81</v>
      </c>
      <c r="M255" s="17">
        <v>12432.81</v>
      </c>
      <c r="N255" s="17">
        <v>12432.81</v>
      </c>
      <c r="O255" s="18">
        <v>1</v>
      </c>
      <c r="P255" s="17">
        <v>13727.19</v>
      </c>
      <c r="Q255" s="17">
        <v>16367.19</v>
      </c>
      <c r="R255" s="17">
        <v>16367.19</v>
      </c>
      <c r="S255" s="17">
        <v>1</v>
      </c>
      <c r="T255" s="17">
        <v>16367.19</v>
      </c>
      <c r="U255" s="17">
        <v>384</v>
      </c>
      <c r="V255" s="16">
        <v>26160</v>
      </c>
      <c r="W255" s="17">
        <v>5465.6</v>
      </c>
      <c r="X255" s="17">
        <v>31625.599999999999</v>
      </c>
      <c r="Y255" s="17">
        <v>7906.4</v>
      </c>
      <c r="Z255" s="17">
        <v>2.73</v>
      </c>
      <c r="AA255" s="17">
        <v>0</v>
      </c>
      <c r="AB255" s="17">
        <v>142.66999999999999</v>
      </c>
      <c r="AC255" s="17">
        <v>0</v>
      </c>
      <c r="AD255" s="17">
        <v>0</v>
      </c>
      <c r="AE255" s="17">
        <v>1335.77</v>
      </c>
      <c r="AF255" s="17">
        <v>493.72</v>
      </c>
      <c r="AG255" s="17">
        <v>0</v>
      </c>
      <c r="AH255" s="17">
        <v>0</v>
      </c>
      <c r="AI255" s="17">
        <v>0</v>
      </c>
      <c r="AJ255" s="17">
        <v>12432.81</v>
      </c>
      <c r="AK255" s="17">
        <v>16367.19</v>
      </c>
    </row>
    <row r="256" spans="1:37" x14ac:dyDescent="0.2">
      <c r="A256" s="14" t="s">
        <v>33</v>
      </c>
      <c r="B256" s="14">
        <v>840</v>
      </c>
      <c r="C256" s="14">
        <v>1</v>
      </c>
      <c r="D256" s="14" t="s">
        <v>328</v>
      </c>
      <c r="E256" s="15">
        <v>83</v>
      </c>
      <c r="F256" s="15" t="s">
        <v>57</v>
      </c>
      <c r="G256" s="16">
        <v>410</v>
      </c>
      <c r="H256" s="16">
        <v>432</v>
      </c>
      <c r="I256" s="16">
        <v>6061316</v>
      </c>
      <c r="J256" s="16">
        <v>49200</v>
      </c>
      <c r="K256" s="16">
        <v>51840</v>
      </c>
      <c r="L256" s="17">
        <v>20306.259999999998</v>
      </c>
      <c r="M256" s="17">
        <v>20306.259999999998</v>
      </c>
      <c r="N256" s="17">
        <v>20306.259999999998</v>
      </c>
      <c r="O256" s="18">
        <v>1</v>
      </c>
      <c r="P256" s="17">
        <v>28893.74</v>
      </c>
      <c r="Q256" s="17">
        <v>31533.74</v>
      </c>
      <c r="R256" s="17">
        <v>31533.74</v>
      </c>
      <c r="S256" s="17">
        <v>1</v>
      </c>
      <c r="T256" s="17">
        <v>31533.74</v>
      </c>
      <c r="U256" s="17">
        <v>691.2</v>
      </c>
      <c r="V256" s="16">
        <v>49200</v>
      </c>
      <c r="W256" s="17">
        <v>130808.44</v>
      </c>
      <c r="X256" s="17">
        <v>180008.44</v>
      </c>
      <c r="Y256" s="17">
        <v>45002.11</v>
      </c>
      <c r="Z256" s="17">
        <v>13641.94</v>
      </c>
      <c r="AA256" s="17">
        <v>0</v>
      </c>
      <c r="AB256" s="17">
        <v>15664.51</v>
      </c>
      <c r="AC256" s="17">
        <v>0</v>
      </c>
      <c r="AD256" s="17">
        <v>0</v>
      </c>
      <c r="AE256" s="17">
        <v>15873.12</v>
      </c>
      <c r="AF256" s="17">
        <v>15059.86</v>
      </c>
      <c r="AG256" s="17">
        <v>0</v>
      </c>
      <c r="AH256" s="17">
        <v>0</v>
      </c>
      <c r="AI256" s="17">
        <v>0</v>
      </c>
      <c r="AJ256" s="17">
        <v>20306.259999999998</v>
      </c>
      <c r="AK256" s="17">
        <v>31533.74</v>
      </c>
    </row>
    <row r="257" spans="1:37" x14ac:dyDescent="0.2">
      <c r="A257" s="14" t="s">
        <v>33</v>
      </c>
      <c r="B257" s="14">
        <v>846</v>
      </c>
      <c r="C257" s="14">
        <v>1</v>
      </c>
      <c r="D257" s="14" t="s">
        <v>329</v>
      </c>
      <c r="E257" s="15">
        <v>84</v>
      </c>
      <c r="F257" s="15" t="s">
        <v>60</v>
      </c>
      <c r="G257" s="16">
        <v>382</v>
      </c>
      <c r="H257" s="16">
        <v>386</v>
      </c>
      <c r="I257" s="16">
        <v>5764414</v>
      </c>
      <c r="J257" s="16">
        <v>45840</v>
      </c>
      <c r="K257" s="16">
        <v>46320</v>
      </c>
      <c r="L257" s="17">
        <v>19311.59</v>
      </c>
      <c r="M257" s="17">
        <v>19311.59</v>
      </c>
      <c r="N257" s="17">
        <v>19311.59</v>
      </c>
      <c r="O257" s="18">
        <v>1</v>
      </c>
      <c r="P257" s="17">
        <v>26528.41</v>
      </c>
      <c r="Q257" s="17">
        <v>27008.41</v>
      </c>
      <c r="R257" s="17">
        <v>27008.41</v>
      </c>
      <c r="S257" s="17">
        <v>1</v>
      </c>
      <c r="T257" s="17">
        <v>27008.41</v>
      </c>
      <c r="U257" s="17">
        <v>617.6</v>
      </c>
      <c r="V257" s="16">
        <v>45840</v>
      </c>
      <c r="W257" s="17">
        <v>67343.45</v>
      </c>
      <c r="X257" s="17">
        <v>113183.45</v>
      </c>
      <c r="Y257" s="17">
        <v>28295.86</v>
      </c>
      <c r="Z257" s="17">
        <v>11207.97</v>
      </c>
      <c r="AA257" s="17">
        <v>0</v>
      </c>
      <c r="AB257" s="17">
        <v>20446.240000000002</v>
      </c>
      <c r="AC257" s="17">
        <v>0</v>
      </c>
      <c r="AD257" s="17">
        <v>0</v>
      </c>
      <c r="AE257" s="17">
        <v>20127.98</v>
      </c>
      <c r="AF257" s="17">
        <v>17260.73</v>
      </c>
      <c r="AG257" s="17">
        <v>0</v>
      </c>
      <c r="AH257" s="17">
        <v>0</v>
      </c>
      <c r="AI257" s="17">
        <v>0</v>
      </c>
      <c r="AJ257" s="17">
        <v>19311.59</v>
      </c>
      <c r="AK257" s="17">
        <v>27008.41</v>
      </c>
    </row>
    <row r="258" spans="1:37" x14ac:dyDescent="0.2">
      <c r="A258" s="14" t="s">
        <v>33</v>
      </c>
      <c r="B258" s="14">
        <v>850</v>
      </c>
      <c r="C258" s="14">
        <v>1</v>
      </c>
      <c r="D258" s="14" t="s">
        <v>330</v>
      </c>
      <c r="E258" s="15">
        <v>84</v>
      </c>
      <c r="F258" s="15" t="s">
        <v>60</v>
      </c>
      <c r="G258" s="16">
        <v>40</v>
      </c>
      <c r="H258" s="16">
        <v>38</v>
      </c>
      <c r="I258" s="16">
        <v>1930748</v>
      </c>
      <c r="J258" s="16">
        <v>18000</v>
      </c>
      <c r="K258" s="16">
        <v>18000</v>
      </c>
      <c r="L258" s="17">
        <v>6468.28</v>
      </c>
      <c r="M258" s="17">
        <v>6468.28</v>
      </c>
      <c r="N258" s="17">
        <v>6468.28</v>
      </c>
      <c r="O258" s="18">
        <v>1</v>
      </c>
      <c r="P258" s="17">
        <v>11531.72</v>
      </c>
      <c r="Q258" s="17">
        <v>11531.72</v>
      </c>
      <c r="R258" s="17">
        <v>11531.72</v>
      </c>
      <c r="S258" s="17">
        <v>1</v>
      </c>
      <c r="T258" s="17">
        <v>11531.72</v>
      </c>
      <c r="U258" s="17">
        <v>60.8</v>
      </c>
      <c r="V258" s="16">
        <v>18000</v>
      </c>
      <c r="W258" s="17">
        <v>64</v>
      </c>
      <c r="X258" s="17">
        <v>18064</v>
      </c>
      <c r="Y258" s="17">
        <v>4516</v>
      </c>
      <c r="Z258" s="17">
        <v>-8249.56</v>
      </c>
      <c r="AA258" s="17">
        <v>0</v>
      </c>
      <c r="AB258" s="17">
        <v>-19063.39</v>
      </c>
      <c r="AC258" s="17">
        <v>0</v>
      </c>
      <c r="AD258" s="17">
        <v>0</v>
      </c>
      <c r="AE258" s="17">
        <v>-24230.81</v>
      </c>
      <c r="AF258" s="17">
        <v>-17181.25</v>
      </c>
      <c r="AG258" s="17">
        <v>0</v>
      </c>
      <c r="AH258" s="17">
        <v>0</v>
      </c>
      <c r="AI258" s="17">
        <v>0</v>
      </c>
      <c r="AJ258" s="17">
        <v>6468.28</v>
      </c>
      <c r="AK258" s="17">
        <v>11531.72</v>
      </c>
    </row>
    <row r="259" spans="1:37" x14ac:dyDescent="0.2">
      <c r="A259" s="14" t="s">
        <v>33</v>
      </c>
      <c r="B259" s="14">
        <v>852</v>
      </c>
      <c r="C259" s="14">
        <v>1</v>
      </c>
      <c r="D259" s="14" t="s">
        <v>331</v>
      </c>
      <c r="E259" s="15">
        <v>84</v>
      </c>
      <c r="F259" s="15" t="s">
        <v>60</v>
      </c>
      <c r="G259" s="16">
        <v>35</v>
      </c>
      <c r="H259" s="16">
        <v>32</v>
      </c>
      <c r="I259" s="16">
        <v>3335197</v>
      </c>
      <c r="J259" s="16">
        <v>18000</v>
      </c>
      <c r="K259" s="16">
        <v>18000</v>
      </c>
      <c r="L259" s="17">
        <v>11173.38</v>
      </c>
      <c r="M259" s="17">
        <v>11173.38</v>
      </c>
      <c r="N259" s="17">
        <v>11173.38</v>
      </c>
      <c r="O259" s="18">
        <v>1</v>
      </c>
      <c r="P259" s="17">
        <v>6826.62</v>
      </c>
      <c r="Q259" s="17">
        <v>6826.62</v>
      </c>
      <c r="R259" s="17">
        <v>6826.62</v>
      </c>
      <c r="S259" s="17">
        <v>1</v>
      </c>
      <c r="T259" s="17">
        <v>6826.62</v>
      </c>
      <c r="U259" s="17">
        <v>51.2</v>
      </c>
      <c r="V259" s="16">
        <v>18000</v>
      </c>
      <c r="W259" s="17">
        <v>56</v>
      </c>
      <c r="X259" s="17">
        <v>18056</v>
      </c>
      <c r="Y259" s="17">
        <v>4514</v>
      </c>
      <c r="Z259" s="17">
        <v>5838.47</v>
      </c>
      <c r="AA259" s="17">
        <v>0</v>
      </c>
      <c r="AB259" s="17">
        <v>6582.78</v>
      </c>
      <c r="AC259" s="17">
        <v>40.04</v>
      </c>
      <c r="AD259" s="17">
        <v>0</v>
      </c>
      <c r="AE259" s="17">
        <v>0</v>
      </c>
      <c r="AF259" s="17">
        <v>4127.07</v>
      </c>
      <c r="AG259" s="17">
        <v>0</v>
      </c>
      <c r="AH259" s="17">
        <v>0</v>
      </c>
      <c r="AI259" s="17">
        <v>0</v>
      </c>
      <c r="AJ259" s="17">
        <v>11173.38</v>
      </c>
      <c r="AK259" s="17">
        <v>6826.62</v>
      </c>
    </row>
    <row r="260" spans="1:37" x14ac:dyDescent="0.2">
      <c r="A260" s="14" t="s">
        <v>33</v>
      </c>
      <c r="B260" s="14">
        <v>857</v>
      </c>
      <c r="C260" s="14">
        <v>1</v>
      </c>
      <c r="D260" s="14" t="s">
        <v>332</v>
      </c>
      <c r="E260" s="15">
        <v>85</v>
      </c>
      <c r="F260" s="15" t="s">
        <v>61</v>
      </c>
      <c r="G260" s="16">
        <v>277</v>
      </c>
      <c r="H260" s="16">
        <v>302</v>
      </c>
      <c r="I260" s="16">
        <v>4617387</v>
      </c>
      <c r="J260" s="16">
        <v>33240</v>
      </c>
      <c r="K260" s="16">
        <v>36240</v>
      </c>
      <c r="L260" s="17">
        <v>15468.89</v>
      </c>
      <c r="M260" s="17">
        <v>15468.89</v>
      </c>
      <c r="N260" s="17">
        <v>15468.89</v>
      </c>
      <c r="O260" s="18">
        <v>1</v>
      </c>
      <c r="P260" s="17">
        <v>17771.11</v>
      </c>
      <c r="Q260" s="17">
        <v>20771.11</v>
      </c>
      <c r="R260" s="17">
        <v>20771.11</v>
      </c>
      <c r="S260" s="17">
        <v>1</v>
      </c>
      <c r="T260" s="17">
        <v>20771.11</v>
      </c>
      <c r="U260" s="17">
        <v>483.2</v>
      </c>
      <c r="V260" s="16">
        <v>33240</v>
      </c>
      <c r="W260" s="17">
        <v>3330</v>
      </c>
      <c r="X260" s="17">
        <v>36570</v>
      </c>
      <c r="Y260" s="17">
        <v>9142.5</v>
      </c>
      <c r="Z260" s="17">
        <v>24371.360000000001</v>
      </c>
      <c r="AA260" s="17">
        <v>1591.85</v>
      </c>
      <c r="AB260" s="17">
        <v>40552.25</v>
      </c>
      <c r="AC260" s="17">
        <v>14841.33</v>
      </c>
      <c r="AD260" s="17">
        <v>0</v>
      </c>
      <c r="AE260" s="17">
        <v>33535.370000000003</v>
      </c>
      <c r="AF260" s="17">
        <v>27341.93</v>
      </c>
      <c r="AG260" s="17">
        <v>18199.43</v>
      </c>
      <c r="AH260" s="17">
        <v>7768.35</v>
      </c>
      <c r="AI260" s="17">
        <v>10431.08</v>
      </c>
      <c r="AJ260" s="17">
        <v>7700.54</v>
      </c>
      <c r="AK260" s="17">
        <v>10340.030000000001</v>
      </c>
    </row>
    <row r="261" spans="1:37" x14ac:dyDescent="0.2">
      <c r="A261" s="14" t="s">
        <v>33</v>
      </c>
      <c r="B261" s="14">
        <v>858</v>
      </c>
      <c r="C261" s="14">
        <v>1</v>
      </c>
      <c r="D261" s="14" t="s">
        <v>333</v>
      </c>
      <c r="E261" s="15">
        <v>85</v>
      </c>
      <c r="F261" s="15" t="s">
        <v>61</v>
      </c>
      <c r="G261" s="16">
        <v>418</v>
      </c>
      <c r="H261" s="16">
        <v>418</v>
      </c>
      <c r="I261" s="16">
        <v>5519940</v>
      </c>
      <c r="J261" s="16">
        <v>50160</v>
      </c>
      <c r="K261" s="16">
        <v>50160</v>
      </c>
      <c r="L261" s="17">
        <v>18492.57</v>
      </c>
      <c r="M261" s="17">
        <v>18492.57</v>
      </c>
      <c r="N261" s="17">
        <v>18492.57</v>
      </c>
      <c r="O261" s="18">
        <v>1</v>
      </c>
      <c r="P261" s="17">
        <v>31667.43</v>
      </c>
      <c r="Q261" s="17">
        <v>31667.43</v>
      </c>
      <c r="R261" s="17">
        <v>31667.43</v>
      </c>
      <c r="S261" s="17">
        <v>1</v>
      </c>
      <c r="T261" s="17">
        <v>31667.43</v>
      </c>
      <c r="U261" s="17">
        <v>668.8</v>
      </c>
      <c r="V261" s="16">
        <v>50160</v>
      </c>
      <c r="W261" s="17">
        <v>5054.62</v>
      </c>
      <c r="X261" s="17">
        <v>55214.62</v>
      </c>
      <c r="Y261" s="17">
        <v>13803.66</v>
      </c>
      <c r="Z261" s="17">
        <v>27976.7</v>
      </c>
      <c r="AA261" s="17">
        <v>3720.13</v>
      </c>
      <c r="AB261" s="17">
        <v>43345.3</v>
      </c>
      <c r="AC261" s="17">
        <v>12480.86</v>
      </c>
      <c r="AD261" s="17">
        <v>0</v>
      </c>
      <c r="AE261" s="17">
        <v>42354.96</v>
      </c>
      <c r="AF261" s="17">
        <v>32491.99</v>
      </c>
      <c r="AG261" s="17">
        <v>18688.330000000002</v>
      </c>
      <c r="AH261" s="17">
        <v>6889.86</v>
      </c>
      <c r="AI261" s="17">
        <v>11798.47</v>
      </c>
      <c r="AJ261" s="17">
        <v>11602.71</v>
      </c>
      <c r="AK261" s="17">
        <v>19868.96</v>
      </c>
    </row>
    <row r="262" spans="1:37" x14ac:dyDescent="0.2">
      <c r="A262" s="14" t="s">
        <v>33</v>
      </c>
      <c r="B262" s="14">
        <v>861</v>
      </c>
      <c r="C262" s="14">
        <v>1</v>
      </c>
      <c r="D262" s="14" t="s">
        <v>334</v>
      </c>
      <c r="E262" s="15">
        <v>85</v>
      </c>
      <c r="F262" s="15" t="s">
        <v>61</v>
      </c>
      <c r="G262" s="16">
        <v>2026</v>
      </c>
      <c r="H262" s="16">
        <v>2067</v>
      </c>
      <c r="I262" s="16">
        <v>31721374</v>
      </c>
      <c r="J262" s="16">
        <v>243120</v>
      </c>
      <c r="K262" s="16">
        <v>248040</v>
      </c>
      <c r="L262" s="17">
        <v>106271.03999999999</v>
      </c>
      <c r="M262" s="17">
        <v>106271.03999999999</v>
      </c>
      <c r="N262" s="17">
        <v>106271.03999999999</v>
      </c>
      <c r="O262" s="18">
        <v>1</v>
      </c>
      <c r="P262" s="17">
        <v>136848.95999999999</v>
      </c>
      <c r="Q262" s="17">
        <v>141768.95999999999</v>
      </c>
      <c r="R262" s="17">
        <v>141768.95999999999</v>
      </c>
      <c r="S262" s="17">
        <v>1</v>
      </c>
      <c r="T262" s="17">
        <v>141768.95999999999</v>
      </c>
      <c r="U262" s="17">
        <v>3307.2</v>
      </c>
      <c r="V262" s="16">
        <v>243120</v>
      </c>
      <c r="W262" s="17">
        <v>16111.6</v>
      </c>
      <c r="X262" s="17">
        <v>259231.6</v>
      </c>
      <c r="Y262" s="17">
        <v>64807.9</v>
      </c>
      <c r="Z262" s="17">
        <v>38740.43</v>
      </c>
      <c r="AA262" s="17">
        <v>0</v>
      </c>
      <c r="AB262" s="17">
        <v>49904.76</v>
      </c>
      <c r="AC262" s="17">
        <v>0</v>
      </c>
      <c r="AD262" s="17">
        <v>0</v>
      </c>
      <c r="AE262" s="17">
        <v>41070.239999999998</v>
      </c>
      <c r="AF262" s="17">
        <v>43238.48</v>
      </c>
      <c r="AG262" s="17">
        <v>0</v>
      </c>
      <c r="AH262" s="17">
        <v>0</v>
      </c>
      <c r="AI262" s="17">
        <v>0</v>
      </c>
      <c r="AJ262" s="17">
        <v>106271.03999999999</v>
      </c>
      <c r="AK262" s="17">
        <v>141768.95999999999</v>
      </c>
    </row>
    <row r="263" spans="1:37" x14ac:dyDescent="0.2">
      <c r="A263" s="14" t="s">
        <v>33</v>
      </c>
      <c r="B263" s="14">
        <v>876</v>
      </c>
      <c r="C263" s="14">
        <v>1</v>
      </c>
      <c r="D263" s="14" t="s">
        <v>335</v>
      </c>
      <c r="E263" s="15">
        <v>86</v>
      </c>
      <c r="F263" s="15" t="s">
        <v>63</v>
      </c>
      <c r="G263" s="16">
        <v>697</v>
      </c>
      <c r="H263" s="16">
        <v>700</v>
      </c>
      <c r="I263" s="16">
        <v>19686033</v>
      </c>
      <c r="J263" s="16">
        <v>83640</v>
      </c>
      <c r="K263" s="16">
        <v>84000</v>
      </c>
      <c r="L263" s="17">
        <v>65950.97</v>
      </c>
      <c r="M263" s="17">
        <v>65950.97</v>
      </c>
      <c r="N263" s="17">
        <v>65950.97</v>
      </c>
      <c r="O263" s="18">
        <v>1</v>
      </c>
      <c r="P263" s="17">
        <v>17689.03</v>
      </c>
      <c r="Q263" s="17">
        <v>18049.03</v>
      </c>
      <c r="R263" s="17">
        <v>18049.03</v>
      </c>
      <c r="S263" s="17">
        <v>1</v>
      </c>
      <c r="T263" s="17">
        <v>18049.03</v>
      </c>
      <c r="U263" s="17">
        <v>1120</v>
      </c>
      <c r="V263" s="16">
        <v>83640</v>
      </c>
      <c r="W263" s="17">
        <v>41781.410000000003</v>
      </c>
      <c r="X263" s="17">
        <v>125421.41</v>
      </c>
      <c r="Y263" s="17">
        <v>31355.35</v>
      </c>
      <c r="Z263" s="17">
        <v>16921.439999999999</v>
      </c>
      <c r="AA263" s="17">
        <v>0</v>
      </c>
      <c r="AB263" s="17">
        <v>42512.28</v>
      </c>
      <c r="AC263" s="17">
        <v>0</v>
      </c>
      <c r="AD263" s="17">
        <v>0</v>
      </c>
      <c r="AE263" s="17">
        <v>32122.69</v>
      </c>
      <c r="AF263" s="17">
        <v>30518.799999999999</v>
      </c>
      <c r="AG263" s="17">
        <v>0</v>
      </c>
      <c r="AH263" s="17">
        <v>0</v>
      </c>
      <c r="AI263" s="17">
        <v>0</v>
      </c>
      <c r="AJ263" s="17">
        <v>65950.97</v>
      </c>
      <c r="AK263" s="17">
        <v>18049.03</v>
      </c>
    </row>
    <row r="264" spans="1:37" x14ac:dyDescent="0.2">
      <c r="A264" s="14" t="s">
        <v>33</v>
      </c>
      <c r="B264" s="14">
        <v>877</v>
      </c>
      <c r="C264" s="14">
        <v>1</v>
      </c>
      <c r="D264" s="14" t="s">
        <v>336</v>
      </c>
      <c r="E264" s="15">
        <v>86</v>
      </c>
      <c r="F264" s="15" t="s">
        <v>63</v>
      </c>
      <c r="G264" s="16">
        <v>3137</v>
      </c>
      <c r="H264" s="16">
        <v>3295</v>
      </c>
      <c r="I264" s="16">
        <v>39002204</v>
      </c>
      <c r="J264" s="16">
        <v>376440</v>
      </c>
      <c r="K264" s="16">
        <v>395400</v>
      </c>
      <c r="L264" s="17">
        <v>130662.84</v>
      </c>
      <c r="M264" s="17">
        <v>130662.84</v>
      </c>
      <c r="N264" s="17">
        <v>130662.84</v>
      </c>
      <c r="O264" s="18">
        <v>1</v>
      </c>
      <c r="P264" s="17">
        <v>245777.16</v>
      </c>
      <c r="Q264" s="17">
        <v>264737.15999999997</v>
      </c>
      <c r="R264" s="17">
        <v>264737.15999999997</v>
      </c>
      <c r="S264" s="17">
        <v>1</v>
      </c>
      <c r="T264" s="17">
        <v>264737.15999999997</v>
      </c>
      <c r="U264" s="17">
        <v>5272</v>
      </c>
      <c r="V264" s="16">
        <v>376440</v>
      </c>
      <c r="W264" s="17">
        <v>331772.25</v>
      </c>
      <c r="X264" s="17">
        <v>708212.25</v>
      </c>
      <c r="Y264" s="17">
        <v>177053.06</v>
      </c>
      <c r="Z264" s="17">
        <v>50984.56</v>
      </c>
      <c r="AA264" s="17">
        <v>0</v>
      </c>
      <c r="AB264" s="17">
        <v>81675.520000000004</v>
      </c>
      <c r="AC264" s="17">
        <v>0</v>
      </c>
      <c r="AD264" s="17">
        <v>0</v>
      </c>
      <c r="AE264" s="17">
        <v>69225.67</v>
      </c>
      <c r="AF264" s="17">
        <v>67295.25</v>
      </c>
      <c r="AG264" s="17">
        <v>0</v>
      </c>
      <c r="AH264" s="17">
        <v>0</v>
      </c>
      <c r="AI264" s="17">
        <v>0</v>
      </c>
      <c r="AJ264" s="17">
        <v>130662.84</v>
      </c>
      <c r="AK264" s="17">
        <v>264737.15999999997</v>
      </c>
    </row>
    <row r="265" spans="1:37" x14ac:dyDescent="0.2">
      <c r="A265" s="14" t="s">
        <v>33</v>
      </c>
      <c r="B265" s="14">
        <v>879</v>
      </c>
      <c r="C265" s="14">
        <v>1</v>
      </c>
      <c r="D265" s="14" t="s">
        <v>337</v>
      </c>
      <c r="E265" s="15">
        <v>86</v>
      </c>
      <c r="F265" s="15" t="s">
        <v>63</v>
      </c>
      <c r="G265" s="16">
        <v>880</v>
      </c>
      <c r="H265" s="16">
        <v>900</v>
      </c>
      <c r="I265" s="16">
        <v>18663372</v>
      </c>
      <c r="J265" s="16">
        <v>105600</v>
      </c>
      <c r="K265" s="16">
        <v>108000</v>
      </c>
      <c r="L265" s="17">
        <v>62524.91</v>
      </c>
      <c r="M265" s="17">
        <v>62524.91</v>
      </c>
      <c r="N265" s="17">
        <v>62524.91</v>
      </c>
      <c r="O265" s="18">
        <v>1</v>
      </c>
      <c r="P265" s="17">
        <v>43075.09</v>
      </c>
      <c r="Q265" s="17">
        <v>45475.09</v>
      </c>
      <c r="R265" s="17">
        <v>45475.09</v>
      </c>
      <c r="S265" s="17">
        <v>1</v>
      </c>
      <c r="T265" s="17">
        <v>45475.09</v>
      </c>
      <c r="U265" s="17">
        <v>1440</v>
      </c>
      <c r="V265" s="16">
        <v>105600</v>
      </c>
      <c r="W265" s="17">
        <v>30555.85</v>
      </c>
      <c r="X265" s="17">
        <v>136155.85</v>
      </c>
      <c r="Y265" s="17">
        <v>34038.959999999999</v>
      </c>
      <c r="Z265" s="17">
        <v>7923.86</v>
      </c>
      <c r="AA265" s="17">
        <v>0</v>
      </c>
      <c r="AB265" s="17">
        <v>8764.89</v>
      </c>
      <c r="AC265" s="17">
        <v>0</v>
      </c>
      <c r="AD265" s="17">
        <v>0</v>
      </c>
      <c r="AE265" s="17">
        <v>13086.56</v>
      </c>
      <c r="AF265" s="17">
        <v>9925.1</v>
      </c>
      <c r="AG265" s="17">
        <v>0</v>
      </c>
      <c r="AH265" s="17">
        <v>0</v>
      </c>
      <c r="AI265" s="17">
        <v>0</v>
      </c>
      <c r="AJ265" s="17">
        <v>62524.91</v>
      </c>
      <c r="AK265" s="17">
        <v>45475.09</v>
      </c>
    </row>
    <row r="266" spans="1:37" x14ac:dyDescent="0.2">
      <c r="A266" s="14" t="s">
        <v>33</v>
      </c>
      <c r="B266" s="14">
        <v>881</v>
      </c>
      <c r="C266" s="14">
        <v>1</v>
      </c>
      <c r="D266" s="14" t="s">
        <v>338</v>
      </c>
      <c r="E266" s="15">
        <v>86</v>
      </c>
      <c r="F266" s="15" t="s">
        <v>63</v>
      </c>
      <c r="G266" s="16">
        <v>457</v>
      </c>
      <c r="H266" s="16">
        <v>462</v>
      </c>
      <c r="I266" s="16">
        <v>6817350</v>
      </c>
      <c r="J266" s="16">
        <v>54840</v>
      </c>
      <c r="K266" s="16">
        <v>55440</v>
      </c>
      <c r="L266" s="17">
        <v>22839.08</v>
      </c>
      <c r="M266" s="17">
        <v>22839.08</v>
      </c>
      <c r="N266" s="17">
        <v>22839.08</v>
      </c>
      <c r="O266" s="18">
        <v>1</v>
      </c>
      <c r="P266" s="17">
        <v>32000.92</v>
      </c>
      <c r="Q266" s="17">
        <v>32600.92</v>
      </c>
      <c r="R266" s="17">
        <v>32600.92</v>
      </c>
      <c r="S266" s="17">
        <v>1</v>
      </c>
      <c r="T266" s="17">
        <v>32600.92</v>
      </c>
      <c r="U266" s="17">
        <v>739.2</v>
      </c>
      <c r="V266" s="16">
        <v>54840</v>
      </c>
      <c r="W266" s="17">
        <v>3005.83</v>
      </c>
      <c r="X266" s="17">
        <v>57845.83</v>
      </c>
      <c r="Y266" s="17">
        <v>14461.46</v>
      </c>
      <c r="Z266" s="17">
        <v>18936.22</v>
      </c>
      <c r="AA266" s="17">
        <v>2174.92</v>
      </c>
      <c r="AB266" s="17">
        <v>24026.03</v>
      </c>
      <c r="AC266" s="17">
        <v>4297.01</v>
      </c>
      <c r="AD266" s="17">
        <v>0</v>
      </c>
      <c r="AE266" s="17">
        <v>23867.62</v>
      </c>
      <c r="AF266" s="17">
        <v>20119.310000000001</v>
      </c>
      <c r="AG266" s="17">
        <v>5657.85</v>
      </c>
      <c r="AH266" s="17">
        <v>2330.81</v>
      </c>
      <c r="AI266" s="17">
        <v>3327.04</v>
      </c>
      <c r="AJ266" s="17">
        <v>20508.27</v>
      </c>
      <c r="AK266" s="17">
        <v>29273.88</v>
      </c>
    </row>
    <row r="267" spans="1:37" x14ac:dyDescent="0.2">
      <c r="A267" s="14" t="s">
        <v>33</v>
      </c>
      <c r="B267" s="14">
        <v>882</v>
      </c>
      <c r="C267" s="14">
        <v>1</v>
      </c>
      <c r="D267" s="14" t="s">
        <v>339</v>
      </c>
      <c r="E267" s="15">
        <v>86</v>
      </c>
      <c r="F267" s="15" t="s">
        <v>63</v>
      </c>
      <c r="G267" s="16">
        <v>1547</v>
      </c>
      <c r="H267" s="16">
        <v>1582</v>
      </c>
      <c r="I267" s="16">
        <v>28757166</v>
      </c>
      <c r="J267" s="16">
        <v>185640</v>
      </c>
      <c r="K267" s="16">
        <v>189840</v>
      </c>
      <c r="L267" s="17">
        <v>96340.53</v>
      </c>
      <c r="M267" s="17">
        <v>96340.53</v>
      </c>
      <c r="N267" s="17">
        <v>96340.53</v>
      </c>
      <c r="O267" s="18">
        <v>1</v>
      </c>
      <c r="P267" s="17">
        <v>89299.47</v>
      </c>
      <c r="Q267" s="17">
        <v>93499.47</v>
      </c>
      <c r="R267" s="17">
        <v>93499.47</v>
      </c>
      <c r="S267" s="17">
        <v>1</v>
      </c>
      <c r="T267" s="17">
        <v>93499.47</v>
      </c>
      <c r="U267" s="17">
        <v>2531.1999999999998</v>
      </c>
      <c r="V267" s="16">
        <v>185640</v>
      </c>
      <c r="W267" s="17">
        <v>25149.23</v>
      </c>
      <c r="X267" s="17">
        <v>210789.23</v>
      </c>
      <c r="Y267" s="17">
        <v>52697.31</v>
      </c>
      <c r="Z267" s="17">
        <v>3228.64</v>
      </c>
      <c r="AA267" s="17">
        <v>0</v>
      </c>
      <c r="AB267" s="17">
        <v>13570.7</v>
      </c>
      <c r="AC267" s="17">
        <v>0</v>
      </c>
      <c r="AD267" s="17">
        <v>0</v>
      </c>
      <c r="AE267" s="17">
        <v>15356.61</v>
      </c>
      <c r="AF267" s="17">
        <v>10718.65</v>
      </c>
      <c r="AG267" s="17">
        <v>0</v>
      </c>
      <c r="AH267" s="17">
        <v>0</v>
      </c>
      <c r="AI267" s="17">
        <v>0</v>
      </c>
      <c r="AJ267" s="17">
        <v>96340.53</v>
      </c>
      <c r="AK267" s="17">
        <v>93499.47</v>
      </c>
    </row>
    <row r="268" spans="1:37" x14ac:dyDescent="0.2">
      <c r="A268" s="14" t="s">
        <v>33</v>
      </c>
      <c r="B268" s="14">
        <v>883</v>
      </c>
      <c r="C268" s="14">
        <v>1</v>
      </c>
      <c r="D268" s="14" t="s">
        <v>340</v>
      </c>
      <c r="E268" s="15">
        <v>86</v>
      </c>
      <c r="F268" s="15" t="s">
        <v>63</v>
      </c>
      <c r="G268" s="16">
        <v>749</v>
      </c>
      <c r="H268" s="16">
        <v>726</v>
      </c>
      <c r="I268" s="16">
        <v>13377836</v>
      </c>
      <c r="J268" s="16">
        <v>89880</v>
      </c>
      <c r="K268" s="16">
        <v>87120</v>
      </c>
      <c r="L268" s="17">
        <v>44817.62</v>
      </c>
      <c r="M268" s="17">
        <v>44817.62</v>
      </c>
      <c r="N268" s="17">
        <v>44817.62</v>
      </c>
      <c r="O268" s="18">
        <v>1</v>
      </c>
      <c r="P268" s="17">
        <v>45062.38</v>
      </c>
      <c r="Q268" s="17">
        <v>42302.38</v>
      </c>
      <c r="R268" s="17">
        <v>42302.38</v>
      </c>
      <c r="S268" s="17">
        <v>1</v>
      </c>
      <c r="T268" s="17">
        <v>42302.38</v>
      </c>
      <c r="U268" s="17">
        <v>1161.5999999999999</v>
      </c>
      <c r="V268" s="16">
        <v>89880</v>
      </c>
      <c r="W268" s="17">
        <v>19247.95</v>
      </c>
      <c r="X268" s="17">
        <v>109127.95</v>
      </c>
      <c r="Y268" s="17">
        <v>27281.99</v>
      </c>
      <c r="Z268" s="17">
        <v>12698.24</v>
      </c>
      <c r="AA268" s="17">
        <v>0</v>
      </c>
      <c r="AB268" s="17">
        <v>18868.3</v>
      </c>
      <c r="AC268" s="17">
        <v>0</v>
      </c>
      <c r="AD268" s="17">
        <v>0</v>
      </c>
      <c r="AE268" s="17">
        <v>20064.97</v>
      </c>
      <c r="AF268" s="17">
        <v>17210.5</v>
      </c>
      <c r="AG268" s="17">
        <v>0</v>
      </c>
      <c r="AH268" s="17">
        <v>0</v>
      </c>
      <c r="AI268" s="17">
        <v>0</v>
      </c>
      <c r="AJ268" s="17">
        <v>44817.62</v>
      </c>
      <c r="AK268" s="17">
        <v>42302.38</v>
      </c>
    </row>
    <row r="269" spans="1:37" x14ac:dyDescent="0.2">
      <c r="A269" s="14" t="s">
        <v>33</v>
      </c>
      <c r="B269" s="14">
        <v>885</v>
      </c>
      <c r="C269" s="14">
        <v>1</v>
      </c>
      <c r="D269" s="14" t="s">
        <v>341</v>
      </c>
      <c r="E269" s="15">
        <v>86</v>
      </c>
      <c r="F269" s="15" t="s">
        <v>63</v>
      </c>
      <c r="G269" s="16">
        <v>2285</v>
      </c>
      <c r="H269" s="16">
        <v>1873</v>
      </c>
      <c r="I269" s="16">
        <v>23729437</v>
      </c>
      <c r="J269" s="16">
        <v>274200</v>
      </c>
      <c r="K269" s="16">
        <v>224760</v>
      </c>
      <c r="L269" s="17">
        <v>79496.94</v>
      </c>
      <c r="M269" s="17">
        <v>79496.94</v>
      </c>
      <c r="N269" s="17">
        <v>79496.94</v>
      </c>
      <c r="O269" s="18">
        <v>1</v>
      </c>
      <c r="P269" s="17">
        <v>194703.06</v>
      </c>
      <c r="Q269" s="17">
        <v>145263.06</v>
      </c>
      <c r="R269" s="17">
        <v>145263.06</v>
      </c>
      <c r="S269" s="17">
        <v>1</v>
      </c>
      <c r="T269" s="17">
        <v>145263.06</v>
      </c>
      <c r="U269" s="17">
        <v>2996.8</v>
      </c>
      <c r="V269" s="16">
        <v>274200</v>
      </c>
      <c r="W269" s="17">
        <v>41112.99</v>
      </c>
      <c r="X269" s="17">
        <v>315312.99</v>
      </c>
      <c r="Y269" s="17">
        <v>78828.25</v>
      </c>
      <c r="Z269" s="17">
        <v>96612.42</v>
      </c>
      <c r="AA269" s="17">
        <v>0</v>
      </c>
      <c r="AB269" s="17">
        <v>125019.83</v>
      </c>
      <c r="AC269" s="17">
        <v>10808.63</v>
      </c>
      <c r="AD269" s="17">
        <v>0</v>
      </c>
      <c r="AE269" s="17">
        <v>129161.97</v>
      </c>
      <c r="AF269" s="17">
        <v>113328.53</v>
      </c>
      <c r="AG269" s="17">
        <v>34500.28</v>
      </c>
      <c r="AH269" s="17">
        <v>12202.65</v>
      </c>
      <c r="AI269" s="17">
        <v>22297.63</v>
      </c>
      <c r="AJ269" s="17">
        <v>67294.289999999994</v>
      </c>
      <c r="AK269" s="17">
        <v>122965.43</v>
      </c>
    </row>
    <row r="270" spans="1:37" x14ac:dyDescent="0.2">
      <c r="A270" s="14" t="s">
        <v>33</v>
      </c>
      <c r="B270" s="14">
        <v>891</v>
      </c>
      <c r="C270" s="14">
        <v>1</v>
      </c>
      <c r="D270" s="14" t="s">
        <v>342</v>
      </c>
      <c r="E270" s="15">
        <v>87</v>
      </c>
      <c r="F270" s="15" t="s">
        <v>64</v>
      </c>
      <c r="G270" s="16">
        <v>149</v>
      </c>
      <c r="H270" s="16">
        <v>168</v>
      </c>
      <c r="I270" s="16">
        <v>4084351</v>
      </c>
      <c r="J270" s="16">
        <v>18000</v>
      </c>
      <c r="K270" s="16">
        <v>20160</v>
      </c>
      <c r="L270" s="17">
        <v>13683.15</v>
      </c>
      <c r="M270" s="17">
        <v>13683.15</v>
      </c>
      <c r="N270" s="17">
        <v>13683.15</v>
      </c>
      <c r="O270" s="18">
        <v>1</v>
      </c>
      <c r="P270" s="17">
        <v>4316.8500000000004</v>
      </c>
      <c r="Q270" s="17">
        <v>6476.85</v>
      </c>
      <c r="R270" s="17">
        <v>6476.85</v>
      </c>
      <c r="S270" s="17">
        <v>1</v>
      </c>
      <c r="T270" s="17">
        <v>6476.85</v>
      </c>
      <c r="U270" s="17">
        <v>268.8</v>
      </c>
      <c r="V270" s="16">
        <v>18000</v>
      </c>
      <c r="W270" s="17">
        <v>3983.18</v>
      </c>
      <c r="X270" s="17">
        <v>21983.18</v>
      </c>
      <c r="Y270" s="17">
        <v>5495.8</v>
      </c>
      <c r="Z270" s="17">
        <v>-13210.92</v>
      </c>
      <c r="AA270" s="17">
        <v>0</v>
      </c>
      <c r="AB270" s="17">
        <v>-16754.669999999998</v>
      </c>
      <c r="AC270" s="17">
        <v>0</v>
      </c>
      <c r="AD270" s="17">
        <v>0</v>
      </c>
      <c r="AE270" s="17">
        <v>-43526.61</v>
      </c>
      <c r="AF270" s="17">
        <v>-24497.4</v>
      </c>
      <c r="AG270" s="17">
        <v>0</v>
      </c>
      <c r="AH270" s="17">
        <v>0</v>
      </c>
      <c r="AI270" s="17">
        <v>0</v>
      </c>
      <c r="AJ270" s="17">
        <v>13683.15</v>
      </c>
      <c r="AK270" s="17">
        <v>6476.85</v>
      </c>
    </row>
    <row r="271" spans="1:37" x14ac:dyDescent="0.2">
      <c r="A271" s="14" t="s">
        <v>33</v>
      </c>
      <c r="B271" s="14">
        <v>911</v>
      </c>
      <c r="C271" s="14">
        <v>1</v>
      </c>
      <c r="D271" s="14" t="s">
        <v>343</v>
      </c>
      <c r="E271" s="15">
        <v>30</v>
      </c>
      <c r="F271" s="15" t="s">
        <v>67</v>
      </c>
      <c r="G271" s="16">
        <v>1930</v>
      </c>
      <c r="H271" s="16">
        <v>1990</v>
      </c>
      <c r="I271" s="16">
        <v>30975137</v>
      </c>
      <c r="J271" s="16">
        <v>231600</v>
      </c>
      <c r="K271" s="16">
        <v>238800</v>
      </c>
      <c r="L271" s="17">
        <v>103771.05</v>
      </c>
      <c r="M271" s="17">
        <v>103771.05</v>
      </c>
      <c r="N271" s="17">
        <v>103771.05</v>
      </c>
      <c r="O271" s="18">
        <v>1</v>
      </c>
      <c r="P271" s="17">
        <v>127828.95</v>
      </c>
      <c r="Q271" s="17">
        <v>135028.95000000001</v>
      </c>
      <c r="R271" s="17">
        <v>135028.95000000001</v>
      </c>
      <c r="S271" s="17">
        <v>1</v>
      </c>
      <c r="T271" s="17">
        <v>135028.95000000001</v>
      </c>
      <c r="U271" s="17">
        <v>3184</v>
      </c>
      <c r="V271" s="16">
        <v>231600</v>
      </c>
      <c r="W271" s="17">
        <v>23441.81</v>
      </c>
      <c r="X271" s="17">
        <v>255041.81</v>
      </c>
      <c r="Y271" s="17">
        <v>63760.45</v>
      </c>
      <c r="Z271" s="17">
        <v>37974.620000000003</v>
      </c>
      <c r="AA271" s="17">
        <v>0</v>
      </c>
      <c r="AB271" s="17">
        <v>55366.43</v>
      </c>
      <c r="AC271" s="17">
        <v>0</v>
      </c>
      <c r="AD271" s="17">
        <v>0</v>
      </c>
      <c r="AE271" s="17">
        <v>52969.96</v>
      </c>
      <c r="AF271" s="17">
        <v>48770.34</v>
      </c>
      <c r="AG271" s="17">
        <v>0</v>
      </c>
      <c r="AH271" s="17">
        <v>0</v>
      </c>
      <c r="AI271" s="17">
        <v>0</v>
      </c>
      <c r="AJ271" s="17">
        <v>103771.05</v>
      </c>
      <c r="AK271" s="17">
        <v>135028.95000000001</v>
      </c>
    </row>
    <row r="272" spans="1:37" x14ac:dyDescent="0.2">
      <c r="A272" s="14" t="s">
        <v>33</v>
      </c>
      <c r="B272" s="14">
        <v>912</v>
      </c>
      <c r="C272" s="14">
        <v>1</v>
      </c>
      <c r="D272" s="14" t="s">
        <v>344</v>
      </c>
      <c r="E272" s="15">
        <v>48</v>
      </c>
      <c r="F272" s="15" t="s">
        <v>67</v>
      </c>
      <c r="G272" s="16">
        <v>900</v>
      </c>
      <c r="H272" s="16">
        <v>825</v>
      </c>
      <c r="I272" s="16">
        <v>11066089</v>
      </c>
      <c r="J272" s="16">
        <v>108000</v>
      </c>
      <c r="K272" s="16">
        <v>99000</v>
      </c>
      <c r="L272" s="17">
        <v>37072.949999999997</v>
      </c>
      <c r="M272" s="17">
        <v>37072.949999999997</v>
      </c>
      <c r="N272" s="17">
        <v>37072.949999999997</v>
      </c>
      <c r="O272" s="18">
        <v>1</v>
      </c>
      <c r="P272" s="17">
        <v>70927.05</v>
      </c>
      <c r="Q272" s="17">
        <v>61927.05</v>
      </c>
      <c r="R272" s="17">
        <v>61927.05</v>
      </c>
      <c r="S272" s="17">
        <v>1</v>
      </c>
      <c r="T272" s="17">
        <v>61927.05</v>
      </c>
      <c r="U272" s="17">
        <v>1320</v>
      </c>
      <c r="V272" s="16">
        <v>108000</v>
      </c>
      <c r="W272" s="17">
        <v>10867.96</v>
      </c>
      <c r="X272" s="17">
        <v>118867.96</v>
      </c>
      <c r="Y272" s="17">
        <v>29716.99</v>
      </c>
      <c r="Z272" s="17">
        <v>29480.87</v>
      </c>
      <c r="AA272" s="17">
        <v>785.96</v>
      </c>
      <c r="AB272" s="17">
        <v>28617.52</v>
      </c>
      <c r="AC272" s="17">
        <v>0</v>
      </c>
      <c r="AD272" s="17">
        <v>0</v>
      </c>
      <c r="AE272" s="17">
        <v>57024.45</v>
      </c>
      <c r="AF272" s="17">
        <v>38112.29</v>
      </c>
      <c r="AG272" s="17">
        <v>8395.2999999999993</v>
      </c>
      <c r="AH272" s="17">
        <v>3143.82</v>
      </c>
      <c r="AI272" s="17">
        <v>5251.48</v>
      </c>
      <c r="AJ272" s="17">
        <v>33929.129999999997</v>
      </c>
      <c r="AK272" s="17">
        <v>56675.57</v>
      </c>
    </row>
    <row r="273" spans="1:37" x14ac:dyDescent="0.2">
      <c r="A273" s="14" t="s">
        <v>33</v>
      </c>
      <c r="B273" s="14">
        <v>914</v>
      </c>
      <c r="C273" s="14">
        <v>1</v>
      </c>
      <c r="D273" s="14" t="s">
        <v>345</v>
      </c>
      <c r="E273" s="15">
        <v>14</v>
      </c>
      <c r="F273" s="15" t="s">
        <v>60</v>
      </c>
      <c r="G273" s="16">
        <v>88</v>
      </c>
      <c r="H273" s="16">
        <v>88</v>
      </c>
      <c r="I273" s="16">
        <v>2231534</v>
      </c>
      <c r="J273" s="16">
        <v>18000</v>
      </c>
      <c r="K273" s="16">
        <v>18000</v>
      </c>
      <c r="L273" s="17">
        <v>7475.95</v>
      </c>
      <c r="M273" s="17">
        <v>7475.95</v>
      </c>
      <c r="N273" s="17">
        <v>7475.95</v>
      </c>
      <c r="O273" s="18">
        <v>1</v>
      </c>
      <c r="P273" s="17">
        <v>10524.05</v>
      </c>
      <c r="Q273" s="17">
        <v>10524.05</v>
      </c>
      <c r="R273" s="17">
        <v>10524.05</v>
      </c>
      <c r="S273" s="17">
        <v>1</v>
      </c>
      <c r="T273" s="17">
        <v>10524.05</v>
      </c>
      <c r="U273" s="17">
        <v>140.80000000000001</v>
      </c>
      <c r="V273" s="16">
        <v>18000</v>
      </c>
      <c r="W273" s="17">
        <v>845</v>
      </c>
      <c r="X273" s="17">
        <v>18845</v>
      </c>
      <c r="Y273" s="17">
        <v>4711.25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7475.95</v>
      </c>
      <c r="AK273" s="17">
        <v>10524.05</v>
      </c>
    </row>
    <row r="274" spans="1:37" x14ac:dyDescent="0.2">
      <c r="A274" s="14" t="s">
        <v>33</v>
      </c>
      <c r="B274" s="14">
        <v>2071</v>
      </c>
      <c r="C274" s="14">
        <v>1</v>
      </c>
      <c r="D274" s="14" t="s">
        <v>74</v>
      </c>
      <c r="E274" s="15">
        <v>7</v>
      </c>
      <c r="F274" s="15" t="s">
        <v>57</v>
      </c>
      <c r="G274" s="16">
        <v>394</v>
      </c>
      <c r="H274" s="16">
        <v>403</v>
      </c>
      <c r="I274" s="16">
        <v>7845037</v>
      </c>
      <c r="J274" s="16">
        <v>47280</v>
      </c>
      <c r="K274" s="16">
        <v>48360</v>
      </c>
      <c r="L274" s="17">
        <v>26281.97</v>
      </c>
      <c r="M274" s="17">
        <v>26281.97</v>
      </c>
      <c r="N274" s="17">
        <v>26281.97</v>
      </c>
      <c r="O274" s="18">
        <v>1</v>
      </c>
      <c r="P274" s="17">
        <v>20998.03</v>
      </c>
      <c r="Q274" s="17">
        <v>22078.03</v>
      </c>
      <c r="R274" s="17">
        <v>22078.03</v>
      </c>
      <c r="S274" s="17">
        <v>1</v>
      </c>
      <c r="T274" s="17">
        <v>22078.03</v>
      </c>
      <c r="U274" s="17">
        <v>644.79999999999995</v>
      </c>
      <c r="V274" s="16">
        <v>47280</v>
      </c>
      <c r="W274" s="17">
        <v>3054.8</v>
      </c>
      <c r="X274" s="17">
        <v>50334.8</v>
      </c>
      <c r="Y274" s="17">
        <v>12583.7</v>
      </c>
      <c r="Z274" s="17">
        <v>6298.95</v>
      </c>
      <c r="AA274" s="17">
        <v>0</v>
      </c>
      <c r="AB274" s="17">
        <v>10820.05</v>
      </c>
      <c r="AC274" s="17">
        <v>0</v>
      </c>
      <c r="AD274" s="17">
        <v>0</v>
      </c>
      <c r="AE274" s="17">
        <v>13750.01</v>
      </c>
      <c r="AF274" s="17">
        <v>10289.67</v>
      </c>
      <c r="AG274" s="17">
        <v>0</v>
      </c>
      <c r="AH274" s="17">
        <v>0</v>
      </c>
      <c r="AI274" s="17">
        <v>0</v>
      </c>
      <c r="AJ274" s="17">
        <v>26281.97</v>
      </c>
      <c r="AK274" s="17">
        <v>22078.03</v>
      </c>
    </row>
    <row r="275" spans="1:37" x14ac:dyDescent="0.2">
      <c r="A275" s="14" t="s">
        <v>33</v>
      </c>
      <c r="B275" s="14">
        <v>2125</v>
      </c>
      <c r="C275" s="14">
        <v>1</v>
      </c>
      <c r="D275" s="14" t="s">
        <v>346</v>
      </c>
      <c r="E275" s="15">
        <v>20</v>
      </c>
      <c r="F275" s="15" t="s">
        <v>61</v>
      </c>
      <c r="G275" s="16">
        <v>584</v>
      </c>
      <c r="H275" s="16">
        <v>586</v>
      </c>
      <c r="I275" s="16">
        <v>8219307</v>
      </c>
      <c r="J275" s="16">
        <v>70080</v>
      </c>
      <c r="K275" s="16">
        <v>70320</v>
      </c>
      <c r="L275" s="17">
        <v>27535.83</v>
      </c>
      <c r="M275" s="17">
        <v>27535.83</v>
      </c>
      <c r="N275" s="17">
        <v>27535.83</v>
      </c>
      <c r="O275" s="18">
        <v>1</v>
      </c>
      <c r="P275" s="17">
        <v>42544.17</v>
      </c>
      <c r="Q275" s="17">
        <v>42784.17</v>
      </c>
      <c r="R275" s="17">
        <v>42784.17</v>
      </c>
      <c r="S275" s="17">
        <v>1</v>
      </c>
      <c r="T275" s="17">
        <v>42784.17</v>
      </c>
      <c r="U275" s="17">
        <v>0</v>
      </c>
      <c r="V275" s="16">
        <v>70080</v>
      </c>
      <c r="W275" s="17">
        <v>2284</v>
      </c>
      <c r="X275" s="17">
        <v>72364</v>
      </c>
      <c r="Y275" s="17">
        <v>18091</v>
      </c>
      <c r="Z275" s="17">
        <v>13745.49</v>
      </c>
      <c r="AA275" s="17">
        <v>0</v>
      </c>
      <c r="AB275" s="17">
        <v>23921.8</v>
      </c>
      <c r="AC275" s="17">
        <v>0</v>
      </c>
      <c r="AD275" s="17">
        <v>0</v>
      </c>
      <c r="AE275" s="17">
        <v>32211.89</v>
      </c>
      <c r="AF275" s="17">
        <v>23293.06</v>
      </c>
      <c r="AG275" s="17">
        <v>5202.0600000000004</v>
      </c>
      <c r="AH275" s="17">
        <v>2037.02</v>
      </c>
      <c r="AI275" s="17">
        <v>3165.04</v>
      </c>
      <c r="AJ275" s="17">
        <v>25498.81</v>
      </c>
      <c r="AK275" s="17">
        <v>39619.129999999997</v>
      </c>
    </row>
    <row r="276" spans="1:37" x14ac:dyDescent="0.2">
      <c r="A276" s="14" t="s">
        <v>33</v>
      </c>
      <c r="B276" s="14">
        <v>2134</v>
      </c>
      <c r="C276" s="14">
        <v>1</v>
      </c>
      <c r="D276" s="14" t="s">
        <v>347</v>
      </c>
      <c r="E276" s="15">
        <v>22</v>
      </c>
      <c r="F276" s="15" t="s">
        <v>57</v>
      </c>
      <c r="G276" s="16">
        <v>299</v>
      </c>
      <c r="H276" s="16">
        <v>278</v>
      </c>
      <c r="I276" s="16">
        <v>7787626</v>
      </c>
      <c r="J276" s="16">
        <v>35880</v>
      </c>
      <c r="K276" s="16">
        <v>33360</v>
      </c>
      <c r="L276" s="17">
        <v>26089.64</v>
      </c>
      <c r="M276" s="17">
        <v>26089.64</v>
      </c>
      <c r="N276" s="17">
        <v>26089.64</v>
      </c>
      <c r="O276" s="18">
        <v>1</v>
      </c>
      <c r="P276" s="17">
        <v>9790.36</v>
      </c>
      <c r="Q276" s="17">
        <v>7270.36</v>
      </c>
      <c r="R276" s="17">
        <v>7270.36</v>
      </c>
      <c r="S276" s="17">
        <v>1</v>
      </c>
      <c r="T276" s="17">
        <v>7270.36</v>
      </c>
      <c r="U276" s="17">
        <v>0</v>
      </c>
      <c r="V276" s="16">
        <v>35880</v>
      </c>
      <c r="W276" s="17">
        <v>655</v>
      </c>
      <c r="X276" s="17">
        <v>36535</v>
      </c>
      <c r="Y276" s="17">
        <v>9133.75</v>
      </c>
      <c r="Z276" s="17">
        <v>8852.2199999999993</v>
      </c>
      <c r="AA276" s="17">
        <v>0</v>
      </c>
      <c r="AB276" s="17">
        <v>6709.96</v>
      </c>
      <c r="AC276" s="17">
        <v>0</v>
      </c>
      <c r="AD276" s="17">
        <v>0</v>
      </c>
      <c r="AE276" s="17">
        <v>6782.37</v>
      </c>
      <c r="AF276" s="17">
        <v>7448.18</v>
      </c>
      <c r="AG276" s="17">
        <v>0</v>
      </c>
      <c r="AH276" s="17">
        <v>0</v>
      </c>
      <c r="AI276" s="17">
        <v>0</v>
      </c>
      <c r="AJ276" s="17">
        <v>26089.64</v>
      </c>
      <c r="AK276" s="17">
        <v>7270.36</v>
      </c>
    </row>
    <row r="277" spans="1:37" x14ac:dyDescent="0.2">
      <c r="A277" s="14" t="s">
        <v>33</v>
      </c>
      <c r="B277" s="14">
        <v>2135</v>
      </c>
      <c r="C277" s="14">
        <v>1</v>
      </c>
      <c r="D277" s="14" t="s">
        <v>348</v>
      </c>
      <c r="E277" s="15">
        <v>7</v>
      </c>
      <c r="F277" s="15" t="s">
        <v>57</v>
      </c>
      <c r="G277" s="16">
        <v>408</v>
      </c>
      <c r="H277" s="16">
        <v>337</v>
      </c>
      <c r="I277" s="16">
        <v>8457745</v>
      </c>
      <c r="J277" s="16">
        <v>48960</v>
      </c>
      <c r="K277" s="16">
        <v>40440</v>
      </c>
      <c r="L277" s="17">
        <v>28334.63</v>
      </c>
      <c r="M277" s="17">
        <v>28334.63</v>
      </c>
      <c r="N277" s="17">
        <v>28334.63</v>
      </c>
      <c r="O277" s="18">
        <v>1</v>
      </c>
      <c r="P277" s="17">
        <v>20625.37</v>
      </c>
      <c r="Q277" s="17">
        <v>12105.37</v>
      </c>
      <c r="R277" s="17">
        <v>12105.37</v>
      </c>
      <c r="S277" s="17">
        <v>1</v>
      </c>
      <c r="T277" s="17">
        <v>12105.37</v>
      </c>
      <c r="U277" s="17">
        <v>539.20000000000005</v>
      </c>
      <c r="V277" s="16">
        <v>48960</v>
      </c>
      <c r="W277" s="17">
        <v>5344.55</v>
      </c>
      <c r="X277" s="17">
        <v>54304.55</v>
      </c>
      <c r="Y277" s="17">
        <v>13576.14</v>
      </c>
      <c r="Z277" s="17">
        <v>18612.52</v>
      </c>
      <c r="AA277" s="17">
        <v>0</v>
      </c>
      <c r="AB277" s="17">
        <v>5048.92</v>
      </c>
      <c r="AC277" s="17">
        <v>0</v>
      </c>
      <c r="AD277" s="17">
        <v>0</v>
      </c>
      <c r="AE277" s="17">
        <v>5067.37</v>
      </c>
      <c r="AF277" s="17">
        <v>9576.27</v>
      </c>
      <c r="AG277" s="17">
        <v>0</v>
      </c>
      <c r="AH277" s="17">
        <v>0</v>
      </c>
      <c r="AI277" s="17">
        <v>0</v>
      </c>
      <c r="AJ277" s="17">
        <v>28334.63</v>
      </c>
      <c r="AK277" s="17">
        <v>12105.37</v>
      </c>
    </row>
    <row r="278" spans="1:37" x14ac:dyDescent="0.2">
      <c r="A278" s="14" t="s">
        <v>33</v>
      </c>
      <c r="B278" s="14">
        <v>2137</v>
      </c>
      <c r="C278" s="14">
        <v>1</v>
      </c>
      <c r="D278" s="14" t="s">
        <v>349</v>
      </c>
      <c r="E278" s="15">
        <v>23</v>
      </c>
      <c r="F278" s="15" t="s">
        <v>61</v>
      </c>
      <c r="G278" s="16">
        <v>319</v>
      </c>
      <c r="H278" s="16">
        <v>322</v>
      </c>
      <c r="I278" s="16">
        <v>5445179</v>
      </c>
      <c r="J278" s="16">
        <v>38280</v>
      </c>
      <c r="K278" s="16">
        <v>38640</v>
      </c>
      <c r="L278" s="17">
        <v>18242.11</v>
      </c>
      <c r="M278" s="17">
        <v>18242.11</v>
      </c>
      <c r="N278" s="17">
        <v>18242.11</v>
      </c>
      <c r="O278" s="18">
        <v>1</v>
      </c>
      <c r="P278" s="17">
        <v>20037.89</v>
      </c>
      <c r="Q278" s="17">
        <v>20397.89</v>
      </c>
      <c r="R278" s="17">
        <v>20397.89</v>
      </c>
      <c r="S278" s="17">
        <v>1</v>
      </c>
      <c r="T278" s="17">
        <v>20397.89</v>
      </c>
      <c r="U278" s="17">
        <v>515.20000000000005</v>
      </c>
      <c r="V278" s="16">
        <v>38280</v>
      </c>
      <c r="W278" s="17">
        <v>1858.4</v>
      </c>
      <c r="X278" s="17">
        <v>40138.400000000001</v>
      </c>
      <c r="Y278" s="17">
        <v>10034.6</v>
      </c>
      <c r="Z278" s="17">
        <v>9218.3700000000008</v>
      </c>
      <c r="AA278" s="17">
        <v>0</v>
      </c>
      <c r="AB278" s="17">
        <v>9000.1299999999992</v>
      </c>
      <c r="AC278" s="17">
        <v>0</v>
      </c>
      <c r="AD278" s="17">
        <v>0</v>
      </c>
      <c r="AE278" s="17">
        <v>8358.59</v>
      </c>
      <c r="AF278" s="17">
        <v>8859.0300000000007</v>
      </c>
      <c r="AG278" s="17">
        <v>0</v>
      </c>
      <c r="AH278" s="17">
        <v>0</v>
      </c>
      <c r="AI278" s="17">
        <v>0</v>
      </c>
      <c r="AJ278" s="17">
        <v>18242.11</v>
      </c>
      <c r="AK278" s="17">
        <v>20397.89</v>
      </c>
    </row>
    <row r="279" spans="1:37" x14ac:dyDescent="0.2">
      <c r="A279" s="14" t="s">
        <v>33</v>
      </c>
      <c r="B279" s="14">
        <v>2142</v>
      </c>
      <c r="C279" s="14">
        <v>1</v>
      </c>
      <c r="D279" s="14" t="s">
        <v>350</v>
      </c>
      <c r="E279" s="15">
        <v>69</v>
      </c>
      <c r="F279" s="15" t="s">
        <v>58</v>
      </c>
      <c r="G279" s="16">
        <v>700</v>
      </c>
      <c r="H279" s="16">
        <v>690</v>
      </c>
      <c r="I279" s="16">
        <v>40485757</v>
      </c>
      <c r="J279" s="16">
        <v>84000</v>
      </c>
      <c r="K279" s="16">
        <v>82800</v>
      </c>
      <c r="L279" s="17">
        <v>84000</v>
      </c>
      <c r="M279" s="17">
        <v>82800</v>
      </c>
      <c r="N279" s="17">
        <v>84000</v>
      </c>
      <c r="O279" s="18">
        <v>1</v>
      </c>
      <c r="P279" s="17">
        <v>0</v>
      </c>
      <c r="Q279" s="17">
        <v>0</v>
      </c>
      <c r="R279" s="17">
        <v>0</v>
      </c>
      <c r="S279" s="17">
        <v>1</v>
      </c>
      <c r="T279" s="17">
        <v>0</v>
      </c>
      <c r="U279" s="17">
        <v>1104</v>
      </c>
      <c r="V279" s="16">
        <v>84000</v>
      </c>
      <c r="W279" s="17">
        <v>13951</v>
      </c>
      <c r="X279" s="17">
        <v>97951</v>
      </c>
      <c r="Y279" s="17">
        <v>24487.75</v>
      </c>
      <c r="Z279" s="17">
        <v>606.98</v>
      </c>
      <c r="AA279" s="17">
        <v>0</v>
      </c>
      <c r="AB279" s="17">
        <v>9271.51</v>
      </c>
      <c r="AC279" s="17">
        <v>0</v>
      </c>
      <c r="AD279" s="17">
        <v>0</v>
      </c>
      <c r="AE279" s="17">
        <v>1213.6500000000001</v>
      </c>
      <c r="AF279" s="17">
        <v>3697.38</v>
      </c>
      <c r="AG279" s="17">
        <v>0</v>
      </c>
      <c r="AH279" s="17">
        <v>0</v>
      </c>
      <c r="AI279" s="17">
        <v>0</v>
      </c>
      <c r="AJ279" s="17">
        <v>82800</v>
      </c>
      <c r="AK279" s="17">
        <v>0</v>
      </c>
    </row>
    <row r="280" spans="1:37" x14ac:dyDescent="0.2">
      <c r="A280" s="14" t="s">
        <v>33</v>
      </c>
      <c r="B280" s="14">
        <v>2143</v>
      </c>
      <c r="C280" s="14">
        <v>1</v>
      </c>
      <c r="D280" s="14" t="s">
        <v>72</v>
      </c>
      <c r="E280" s="15">
        <v>40</v>
      </c>
      <c r="F280" s="15" t="s">
        <v>57</v>
      </c>
      <c r="G280" s="16">
        <v>388</v>
      </c>
      <c r="H280" s="16">
        <v>409</v>
      </c>
      <c r="I280" s="16">
        <v>9562248</v>
      </c>
      <c r="J280" s="16">
        <v>46560</v>
      </c>
      <c r="K280" s="16">
        <v>49080</v>
      </c>
      <c r="L280" s="17">
        <v>32034.87</v>
      </c>
      <c r="M280" s="17">
        <v>32034.87</v>
      </c>
      <c r="N280" s="17">
        <v>32034.87</v>
      </c>
      <c r="O280" s="18">
        <v>1</v>
      </c>
      <c r="P280" s="17">
        <v>14525.13</v>
      </c>
      <c r="Q280" s="17">
        <v>17045.13</v>
      </c>
      <c r="R280" s="17">
        <v>17045.13</v>
      </c>
      <c r="S280" s="17">
        <v>1</v>
      </c>
      <c r="T280" s="17">
        <v>17045.13</v>
      </c>
      <c r="U280" s="17">
        <v>654.4</v>
      </c>
      <c r="V280" s="16">
        <v>46560</v>
      </c>
      <c r="W280" s="17">
        <v>3722.45</v>
      </c>
      <c r="X280" s="17">
        <v>50282.45</v>
      </c>
      <c r="Y280" s="17">
        <v>12570.61</v>
      </c>
      <c r="Z280" s="17">
        <v>11896.65</v>
      </c>
      <c r="AA280" s="17">
        <v>0</v>
      </c>
      <c r="AB280" s="17">
        <v>9137.9599999999991</v>
      </c>
      <c r="AC280" s="17">
        <v>0</v>
      </c>
      <c r="AD280" s="17">
        <v>0</v>
      </c>
      <c r="AE280" s="17">
        <v>4604.6899999999996</v>
      </c>
      <c r="AF280" s="17">
        <v>8546.43</v>
      </c>
      <c r="AG280" s="17">
        <v>0</v>
      </c>
      <c r="AH280" s="17">
        <v>0</v>
      </c>
      <c r="AI280" s="17">
        <v>0</v>
      </c>
      <c r="AJ280" s="17">
        <v>32034.87</v>
      </c>
      <c r="AK280" s="17">
        <v>17045.13</v>
      </c>
    </row>
    <row r="281" spans="1:37" x14ac:dyDescent="0.2">
      <c r="A281" s="14" t="s">
        <v>33</v>
      </c>
      <c r="B281" s="14">
        <v>2144</v>
      </c>
      <c r="C281" s="14">
        <v>1</v>
      </c>
      <c r="D281" s="14" t="s">
        <v>351</v>
      </c>
      <c r="E281" s="15">
        <v>13</v>
      </c>
      <c r="F281" s="15" t="s">
        <v>67</v>
      </c>
      <c r="G281" s="16">
        <v>1220</v>
      </c>
      <c r="H281" s="16">
        <v>1135</v>
      </c>
      <c r="I281" s="16">
        <v>26130297</v>
      </c>
      <c r="J281" s="16">
        <v>146400</v>
      </c>
      <c r="K281" s="16">
        <v>136200</v>
      </c>
      <c r="L281" s="17">
        <v>87540.15</v>
      </c>
      <c r="M281" s="17">
        <v>87540.15</v>
      </c>
      <c r="N281" s="17">
        <v>87540.15</v>
      </c>
      <c r="O281" s="18">
        <v>1</v>
      </c>
      <c r="P281" s="17">
        <v>58859.85</v>
      </c>
      <c r="Q281" s="17">
        <v>48659.85</v>
      </c>
      <c r="R281" s="17">
        <v>48659.85</v>
      </c>
      <c r="S281" s="17">
        <v>1</v>
      </c>
      <c r="T281" s="17">
        <v>48659.85</v>
      </c>
      <c r="U281" s="17">
        <v>1816</v>
      </c>
      <c r="V281" s="16">
        <v>146400</v>
      </c>
      <c r="W281" s="17">
        <v>16086.47</v>
      </c>
      <c r="X281" s="17">
        <v>162486.47</v>
      </c>
      <c r="Y281" s="17">
        <v>40621.620000000003</v>
      </c>
      <c r="Z281" s="17">
        <v>2997.49</v>
      </c>
      <c r="AA281" s="17">
        <v>0</v>
      </c>
      <c r="AB281" s="17">
        <v>-6070.07</v>
      </c>
      <c r="AC281" s="17">
        <v>0</v>
      </c>
      <c r="AD281" s="17">
        <v>0</v>
      </c>
      <c r="AE281" s="17">
        <v>-1618.12</v>
      </c>
      <c r="AF281" s="17">
        <v>-1563.57</v>
      </c>
      <c r="AG281" s="17">
        <v>0</v>
      </c>
      <c r="AH281" s="17">
        <v>0</v>
      </c>
      <c r="AI281" s="17">
        <v>0</v>
      </c>
      <c r="AJ281" s="17">
        <v>87540.15</v>
      </c>
      <c r="AK281" s="17">
        <v>48659.85</v>
      </c>
    </row>
    <row r="282" spans="1:37" x14ac:dyDescent="0.2">
      <c r="A282" s="14" t="s">
        <v>33</v>
      </c>
      <c r="B282" s="14">
        <v>2149</v>
      </c>
      <c r="C282" s="14">
        <v>1</v>
      </c>
      <c r="D282" s="14" t="s">
        <v>352</v>
      </c>
      <c r="E282" s="15">
        <v>61</v>
      </c>
      <c r="F282" s="15" t="s">
        <v>60</v>
      </c>
      <c r="G282" s="16">
        <v>523</v>
      </c>
      <c r="H282" s="16">
        <v>523</v>
      </c>
      <c r="I282" s="16">
        <v>13677747</v>
      </c>
      <c r="J282" s="16">
        <v>62760</v>
      </c>
      <c r="K282" s="16">
        <v>62760</v>
      </c>
      <c r="L282" s="17">
        <v>45822.37</v>
      </c>
      <c r="M282" s="17">
        <v>45822.37</v>
      </c>
      <c r="N282" s="17">
        <v>45822.37</v>
      </c>
      <c r="O282" s="18">
        <v>1</v>
      </c>
      <c r="P282" s="17">
        <v>16937.63</v>
      </c>
      <c r="Q282" s="17">
        <v>16937.63</v>
      </c>
      <c r="R282" s="17">
        <v>16937.63</v>
      </c>
      <c r="S282" s="17">
        <v>1</v>
      </c>
      <c r="T282" s="17">
        <v>16937.63</v>
      </c>
      <c r="U282" s="17">
        <v>836.8</v>
      </c>
      <c r="V282" s="16">
        <v>62760</v>
      </c>
      <c r="W282" s="17">
        <v>4057.3</v>
      </c>
      <c r="X282" s="17">
        <v>66817.3</v>
      </c>
      <c r="Y282" s="17">
        <v>16704.330000000002</v>
      </c>
      <c r="Z282" s="17">
        <v>10580.01</v>
      </c>
      <c r="AA282" s="17">
        <v>0</v>
      </c>
      <c r="AB282" s="17">
        <v>10641.51</v>
      </c>
      <c r="AC282" s="17">
        <v>0</v>
      </c>
      <c r="AD282" s="17">
        <v>0</v>
      </c>
      <c r="AE282" s="17">
        <v>11277.05</v>
      </c>
      <c r="AF282" s="17">
        <v>10832.86</v>
      </c>
      <c r="AG282" s="17">
        <v>0</v>
      </c>
      <c r="AH282" s="17">
        <v>0</v>
      </c>
      <c r="AI282" s="17">
        <v>0</v>
      </c>
      <c r="AJ282" s="17">
        <v>45822.37</v>
      </c>
      <c r="AK282" s="17">
        <v>16937.63</v>
      </c>
    </row>
    <row r="283" spans="1:37" x14ac:dyDescent="0.2">
      <c r="A283" s="14" t="s">
        <v>33</v>
      </c>
      <c r="B283" s="14">
        <v>2154</v>
      </c>
      <c r="C283" s="14">
        <v>1</v>
      </c>
      <c r="D283" s="14" t="s">
        <v>353</v>
      </c>
      <c r="E283" s="15">
        <v>69</v>
      </c>
      <c r="F283" s="15" t="s">
        <v>58</v>
      </c>
      <c r="G283" s="16">
        <v>506</v>
      </c>
      <c r="H283" s="16">
        <v>530</v>
      </c>
      <c r="I283" s="16">
        <v>5500010</v>
      </c>
      <c r="J283" s="16">
        <v>60720</v>
      </c>
      <c r="K283" s="16">
        <v>63600</v>
      </c>
      <c r="L283" s="17">
        <v>18425.8</v>
      </c>
      <c r="M283" s="17">
        <v>18425.8</v>
      </c>
      <c r="N283" s="17">
        <v>18425.8</v>
      </c>
      <c r="O283" s="18">
        <v>1</v>
      </c>
      <c r="P283" s="17">
        <v>42294.2</v>
      </c>
      <c r="Q283" s="17">
        <v>45174.2</v>
      </c>
      <c r="R283" s="17">
        <v>45174.2</v>
      </c>
      <c r="S283" s="17">
        <v>1</v>
      </c>
      <c r="T283" s="17">
        <v>45174.2</v>
      </c>
      <c r="U283" s="17">
        <v>848</v>
      </c>
      <c r="V283" s="16">
        <v>60720</v>
      </c>
      <c r="W283" s="17">
        <v>3764.6</v>
      </c>
      <c r="X283" s="17">
        <v>64484.6</v>
      </c>
      <c r="Y283" s="17">
        <v>16121.15</v>
      </c>
      <c r="Z283" s="17">
        <v>14786.6</v>
      </c>
      <c r="AA283" s="17">
        <v>0</v>
      </c>
      <c r="AB283" s="17">
        <v>19932.080000000002</v>
      </c>
      <c r="AC283" s="17">
        <v>0</v>
      </c>
      <c r="AD283" s="17">
        <v>0</v>
      </c>
      <c r="AE283" s="17">
        <v>15404.74</v>
      </c>
      <c r="AF283" s="17">
        <v>16707.810000000001</v>
      </c>
      <c r="AG283" s="17">
        <v>586.66</v>
      </c>
      <c r="AH283" s="17">
        <v>169.96</v>
      </c>
      <c r="AI283" s="17">
        <v>416.7</v>
      </c>
      <c r="AJ283" s="17">
        <v>18255.84</v>
      </c>
      <c r="AK283" s="17">
        <v>44757.5</v>
      </c>
    </row>
    <row r="284" spans="1:37" x14ac:dyDescent="0.2">
      <c r="A284" s="14" t="s">
        <v>33</v>
      </c>
      <c r="B284" s="14">
        <v>2155</v>
      </c>
      <c r="C284" s="14">
        <v>1</v>
      </c>
      <c r="D284" s="14" t="s">
        <v>354</v>
      </c>
      <c r="E284" s="15">
        <v>80</v>
      </c>
      <c r="F284" s="15" t="s">
        <v>66</v>
      </c>
      <c r="G284" s="16">
        <v>491</v>
      </c>
      <c r="H284" s="16">
        <v>438</v>
      </c>
      <c r="I284" s="16">
        <v>5336411</v>
      </c>
      <c r="J284" s="16">
        <v>58920</v>
      </c>
      <c r="K284" s="16">
        <v>52560</v>
      </c>
      <c r="L284" s="17">
        <v>17877.72</v>
      </c>
      <c r="M284" s="17">
        <v>17877.72</v>
      </c>
      <c r="N284" s="17">
        <v>17877.72</v>
      </c>
      <c r="O284" s="18">
        <v>1</v>
      </c>
      <c r="P284" s="17">
        <v>41042.28</v>
      </c>
      <c r="Q284" s="17">
        <v>34682.28</v>
      </c>
      <c r="R284" s="17">
        <v>34682.28</v>
      </c>
      <c r="S284" s="17">
        <v>1</v>
      </c>
      <c r="T284" s="17">
        <v>34682.28</v>
      </c>
      <c r="U284" s="17">
        <v>700.8</v>
      </c>
      <c r="V284" s="16">
        <v>58920</v>
      </c>
      <c r="W284" s="17">
        <v>1163.76</v>
      </c>
      <c r="X284" s="17">
        <v>60083.76</v>
      </c>
      <c r="Y284" s="17">
        <v>15020.94</v>
      </c>
      <c r="Z284" s="17">
        <v>7338.9</v>
      </c>
      <c r="AA284" s="17">
        <v>0</v>
      </c>
      <c r="AB284" s="17">
        <v>19251.28</v>
      </c>
      <c r="AC284" s="17">
        <v>0</v>
      </c>
      <c r="AD284" s="17">
        <v>0</v>
      </c>
      <c r="AE284" s="17">
        <v>15046.59</v>
      </c>
      <c r="AF284" s="17">
        <v>13878.92</v>
      </c>
      <c r="AG284" s="17">
        <v>0</v>
      </c>
      <c r="AH284" s="17">
        <v>0</v>
      </c>
      <c r="AI284" s="17">
        <v>0</v>
      </c>
      <c r="AJ284" s="17">
        <v>17877.72</v>
      </c>
      <c r="AK284" s="17">
        <v>34682.28</v>
      </c>
    </row>
    <row r="285" spans="1:37" x14ac:dyDescent="0.2">
      <c r="A285" s="14" t="s">
        <v>33</v>
      </c>
      <c r="B285" s="14">
        <v>2159</v>
      </c>
      <c r="C285" s="14">
        <v>1</v>
      </c>
      <c r="D285" s="14" t="s">
        <v>355</v>
      </c>
      <c r="E285" s="15">
        <v>65</v>
      </c>
      <c r="F285" s="15" t="s">
        <v>68</v>
      </c>
      <c r="G285" s="16">
        <v>257</v>
      </c>
      <c r="H285" s="16">
        <v>277</v>
      </c>
      <c r="I285" s="16">
        <v>7384322</v>
      </c>
      <c r="J285" s="16">
        <v>30840</v>
      </c>
      <c r="K285" s="16">
        <v>33240</v>
      </c>
      <c r="L285" s="17">
        <v>24738.51</v>
      </c>
      <c r="M285" s="17">
        <v>24738.51</v>
      </c>
      <c r="N285" s="17">
        <v>24738.51</v>
      </c>
      <c r="O285" s="18">
        <v>1</v>
      </c>
      <c r="P285" s="17">
        <v>6101.49</v>
      </c>
      <c r="Q285" s="17">
        <v>8501.49</v>
      </c>
      <c r="R285" s="17">
        <v>8501.49</v>
      </c>
      <c r="S285" s="17">
        <v>1</v>
      </c>
      <c r="T285" s="17">
        <v>8501.49</v>
      </c>
      <c r="U285" s="17">
        <v>443.2</v>
      </c>
      <c r="V285" s="16">
        <v>30887.43</v>
      </c>
      <c r="W285" s="17">
        <v>2579.58</v>
      </c>
      <c r="X285" s="17">
        <v>33467.01</v>
      </c>
      <c r="Y285" s="17">
        <v>8366.75</v>
      </c>
      <c r="Z285" s="17">
        <v>9144.2199999999993</v>
      </c>
      <c r="AA285" s="17">
        <v>572.16999999999996</v>
      </c>
      <c r="AB285" s="17">
        <v>9754.4</v>
      </c>
      <c r="AC285" s="17">
        <v>3278.56</v>
      </c>
      <c r="AD285" s="17">
        <v>0</v>
      </c>
      <c r="AE285" s="17">
        <v>10320.799999999999</v>
      </c>
      <c r="AF285" s="17">
        <v>8456.23</v>
      </c>
      <c r="AG285" s="17">
        <v>89.48</v>
      </c>
      <c r="AH285" s="17">
        <v>66.59</v>
      </c>
      <c r="AI285" s="17">
        <v>22.89</v>
      </c>
      <c r="AJ285" s="17">
        <v>24671.919999999998</v>
      </c>
      <c r="AK285" s="17">
        <v>8478.6</v>
      </c>
    </row>
    <row r="286" spans="1:37" x14ac:dyDescent="0.2">
      <c r="A286" s="14" t="s">
        <v>33</v>
      </c>
      <c r="B286" s="14">
        <v>2164</v>
      </c>
      <c r="C286" s="14">
        <v>1</v>
      </c>
      <c r="D286" s="14" t="s">
        <v>79</v>
      </c>
      <c r="E286" s="15">
        <v>14</v>
      </c>
      <c r="F286" s="15" t="s">
        <v>60</v>
      </c>
      <c r="G286" s="16">
        <v>542</v>
      </c>
      <c r="H286" s="16">
        <v>580</v>
      </c>
      <c r="I286" s="16">
        <v>5078089</v>
      </c>
      <c r="J286" s="16">
        <v>65040</v>
      </c>
      <c r="K286" s="16">
        <v>69600</v>
      </c>
      <c r="L286" s="17">
        <v>17012.310000000001</v>
      </c>
      <c r="M286" s="17">
        <v>17012.310000000001</v>
      </c>
      <c r="N286" s="17">
        <v>17012.310000000001</v>
      </c>
      <c r="O286" s="18">
        <v>1</v>
      </c>
      <c r="P286" s="17">
        <v>48027.69</v>
      </c>
      <c r="Q286" s="17">
        <v>52587.69</v>
      </c>
      <c r="R286" s="17">
        <v>52587.69</v>
      </c>
      <c r="S286" s="17">
        <v>1</v>
      </c>
      <c r="T286" s="17">
        <v>52587.69</v>
      </c>
      <c r="U286" s="17">
        <v>928</v>
      </c>
      <c r="V286" s="16">
        <v>65040</v>
      </c>
      <c r="W286" s="17">
        <v>3715.7</v>
      </c>
      <c r="X286" s="17">
        <v>68755.7</v>
      </c>
      <c r="Y286" s="17">
        <v>17188.93</v>
      </c>
      <c r="Z286" s="17">
        <v>20042.52</v>
      </c>
      <c r="AA286" s="17">
        <v>0</v>
      </c>
      <c r="AB286" s="17">
        <v>25450.41</v>
      </c>
      <c r="AC286" s="17">
        <v>1389.32</v>
      </c>
      <c r="AD286" s="17">
        <v>0</v>
      </c>
      <c r="AE286" s="17">
        <v>14697.82</v>
      </c>
      <c r="AF286" s="17">
        <v>19600.48</v>
      </c>
      <c r="AG286" s="17">
        <v>2411.5500000000002</v>
      </c>
      <c r="AH286" s="17">
        <v>589.45000000000005</v>
      </c>
      <c r="AI286" s="17">
        <v>1822.1</v>
      </c>
      <c r="AJ286" s="17">
        <v>16422.86</v>
      </c>
      <c r="AK286" s="17">
        <v>50765.59</v>
      </c>
    </row>
    <row r="287" spans="1:37" x14ac:dyDescent="0.2">
      <c r="A287" s="14" t="s">
        <v>33</v>
      </c>
      <c r="B287" s="14">
        <v>2165</v>
      </c>
      <c r="C287" s="14">
        <v>1</v>
      </c>
      <c r="D287" s="14" t="s">
        <v>356</v>
      </c>
      <c r="E287" s="15">
        <v>58</v>
      </c>
      <c r="F287" s="15" t="s">
        <v>67</v>
      </c>
      <c r="G287" s="16">
        <v>333</v>
      </c>
      <c r="H287" s="16">
        <v>319</v>
      </c>
      <c r="I287" s="16">
        <v>9747089</v>
      </c>
      <c r="J287" s="16">
        <v>39960</v>
      </c>
      <c r="K287" s="16">
        <v>38280</v>
      </c>
      <c r="L287" s="17">
        <v>32654.11</v>
      </c>
      <c r="M287" s="17">
        <v>32654.11</v>
      </c>
      <c r="N287" s="17">
        <v>32654.11</v>
      </c>
      <c r="O287" s="18">
        <v>1</v>
      </c>
      <c r="P287" s="17">
        <v>7305.89</v>
      </c>
      <c r="Q287" s="17">
        <v>5625.89</v>
      </c>
      <c r="R287" s="17">
        <v>5625.89</v>
      </c>
      <c r="S287" s="17">
        <v>1</v>
      </c>
      <c r="T287" s="17">
        <v>5625.89</v>
      </c>
      <c r="U287" s="17">
        <v>0</v>
      </c>
      <c r="V287" s="16">
        <v>39960</v>
      </c>
      <c r="W287" s="17">
        <v>13517.56</v>
      </c>
      <c r="X287" s="17">
        <v>53477.56</v>
      </c>
      <c r="Y287" s="17">
        <v>13369.39</v>
      </c>
      <c r="Z287" s="17">
        <v>5840.43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1946.81</v>
      </c>
      <c r="AG287" s="17">
        <v>0</v>
      </c>
      <c r="AH287" s="17">
        <v>0</v>
      </c>
      <c r="AI287" s="17">
        <v>0</v>
      </c>
      <c r="AJ287" s="17">
        <v>32654.11</v>
      </c>
      <c r="AK287" s="17">
        <v>5625.89</v>
      </c>
    </row>
    <row r="288" spans="1:37" x14ac:dyDescent="0.2">
      <c r="A288" s="14" t="s">
        <v>33</v>
      </c>
      <c r="B288" s="14">
        <v>2167</v>
      </c>
      <c r="C288" s="14">
        <v>1</v>
      </c>
      <c r="D288" s="14" t="s">
        <v>357</v>
      </c>
      <c r="E288" s="15">
        <v>42</v>
      </c>
      <c r="F288" s="15" t="s">
        <v>65</v>
      </c>
      <c r="G288" s="16">
        <v>290</v>
      </c>
      <c r="H288" s="16">
        <v>280</v>
      </c>
      <c r="I288" s="16">
        <v>4092414</v>
      </c>
      <c r="J288" s="16">
        <v>34800</v>
      </c>
      <c r="K288" s="16">
        <v>33600</v>
      </c>
      <c r="L288" s="17">
        <v>13710.16</v>
      </c>
      <c r="M288" s="17">
        <v>13710.16</v>
      </c>
      <c r="N288" s="17">
        <v>13710.16</v>
      </c>
      <c r="O288" s="18">
        <v>1</v>
      </c>
      <c r="P288" s="17">
        <v>21089.84</v>
      </c>
      <c r="Q288" s="17">
        <v>19889.84</v>
      </c>
      <c r="R288" s="17">
        <v>19889.84</v>
      </c>
      <c r="S288" s="17">
        <v>1</v>
      </c>
      <c r="T288" s="17">
        <v>19889.84</v>
      </c>
      <c r="U288" s="17">
        <v>448</v>
      </c>
      <c r="V288" s="16">
        <v>34800</v>
      </c>
      <c r="W288" s="17">
        <v>4493.13</v>
      </c>
      <c r="X288" s="17">
        <v>39293.129999999997</v>
      </c>
      <c r="Y288" s="17">
        <v>9823.2800000000007</v>
      </c>
      <c r="Z288" s="17">
        <v>35308.49</v>
      </c>
      <c r="AA288" s="17">
        <v>7944.43</v>
      </c>
      <c r="AB288" s="17">
        <v>46221.15</v>
      </c>
      <c r="AC288" s="17">
        <v>16988.22</v>
      </c>
      <c r="AD288" s="17">
        <v>0</v>
      </c>
      <c r="AE288" s="17">
        <v>34953.03</v>
      </c>
      <c r="AF288" s="17">
        <v>30516.67</v>
      </c>
      <c r="AG288" s="17">
        <v>20693.39</v>
      </c>
      <c r="AH288" s="17">
        <v>8443.74</v>
      </c>
      <c r="AI288" s="17">
        <v>12249.65</v>
      </c>
      <c r="AJ288" s="17">
        <v>5266.42</v>
      </c>
      <c r="AK288" s="17">
        <v>7640.19</v>
      </c>
    </row>
    <row r="289" spans="1:37" x14ac:dyDescent="0.2">
      <c r="A289" s="14" t="s">
        <v>33</v>
      </c>
      <c r="B289" s="14">
        <v>2168</v>
      </c>
      <c r="C289" s="14">
        <v>1</v>
      </c>
      <c r="D289" s="14" t="s">
        <v>402</v>
      </c>
      <c r="E289" s="15">
        <v>81</v>
      </c>
      <c r="F289" s="15" t="s">
        <v>57</v>
      </c>
      <c r="G289" s="16">
        <v>286</v>
      </c>
      <c r="H289" s="16">
        <v>301</v>
      </c>
      <c r="I289" s="16">
        <v>7435708</v>
      </c>
      <c r="J289" s="16">
        <v>34320</v>
      </c>
      <c r="K289" s="16">
        <v>36120</v>
      </c>
      <c r="L289" s="17">
        <v>24910.66</v>
      </c>
      <c r="M289" s="17">
        <v>24910.66</v>
      </c>
      <c r="N289" s="17">
        <v>24910.66</v>
      </c>
      <c r="O289" s="18">
        <v>1</v>
      </c>
      <c r="P289" s="17">
        <v>9409.34</v>
      </c>
      <c r="Q289" s="17">
        <v>11209.34</v>
      </c>
      <c r="R289" s="17">
        <v>11209.34</v>
      </c>
      <c r="S289" s="17">
        <v>1</v>
      </c>
      <c r="T289" s="17">
        <v>11209.34</v>
      </c>
      <c r="U289" s="17">
        <v>0</v>
      </c>
      <c r="V289" s="16">
        <v>34320</v>
      </c>
      <c r="W289" s="17">
        <v>2197.6</v>
      </c>
      <c r="X289" s="17">
        <v>36517.599999999999</v>
      </c>
      <c r="Y289" s="17">
        <v>9129.4</v>
      </c>
      <c r="Z289" s="17">
        <v>-9059</v>
      </c>
      <c r="AA289" s="17">
        <v>0</v>
      </c>
      <c r="AB289" s="17">
        <v>-2186.1999999999998</v>
      </c>
      <c r="AC289" s="17">
        <v>0</v>
      </c>
      <c r="AD289" s="17">
        <v>0</v>
      </c>
      <c r="AE289" s="17">
        <v>3634.38</v>
      </c>
      <c r="AF289" s="17">
        <v>-2536.94</v>
      </c>
      <c r="AG289" s="17">
        <v>0</v>
      </c>
      <c r="AH289" s="17">
        <v>0</v>
      </c>
      <c r="AI289" s="17">
        <v>0</v>
      </c>
      <c r="AJ289" s="17">
        <v>24910.66</v>
      </c>
      <c r="AK289" s="17">
        <v>11209.34</v>
      </c>
    </row>
    <row r="290" spans="1:37" x14ac:dyDescent="0.2">
      <c r="A290" s="14" t="s">
        <v>33</v>
      </c>
      <c r="B290" s="14">
        <v>2169</v>
      </c>
      <c r="C290" s="14">
        <v>1</v>
      </c>
      <c r="D290" s="14" t="s">
        <v>358</v>
      </c>
      <c r="E290" s="15">
        <v>51</v>
      </c>
      <c r="F290" s="15" t="s">
        <v>65</v>
      </c>
      <c r="G290" s="16">
        <v>309</v>
      </c>
      <c r="H290" s="16">
        <v>321</v>
      </c>
      <c r="I290" s="16">
        <v>6219967</v>
      </c>
      <c r="J290" s="16">
        <v>37080</v>
      </c>
      <c r="K290" s="16">
        <v>38520</v>
      </c>
      <c r="L290" s="17">
        <v>20837.759999999998</v>
      </c>
      <c r="M290" s="17">
        <v>20837.759999999998</v>
      </c>
      <c r="N290" s="17">
        <v>20837.759999999998</v>
      </c>
      <c r="O290" s="18">
        <v>1</v>
      </c>
      <c r="P290" s="17">
        <v>16242.24</v>
      </c>
      <c r="Q290" s="17">
        <v>17682.240000000002</v>
      </c>
      <c r="R290" s="17">
        <v>17682.240000000002</v>
      </c>
      <c r="S290" s="17">
        <v>1</v>
      </c>
      <c r="T290" s="17">
        <v>17682.240000000002</v>
      </c>
      <c r="U290" s="17">
        <v>513.6</v>
      </c>
      <c r="V290" s="16">
        <v>37080</v>
      </c>
      <c r="W290" s="17">
        <v>48199.59</v>
      </c>
      <c r="X290" s="17">
        <v>85279.59</v>
      </c>
      <c r="Y290" s="17">
        <v>21319.9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20837.759999999998</v>
      </c>
      <c r="AK290" s="17">
        <v>17682.240000000002</v>
      </c>
    </row>
    <row r="291" spans="1:37" x14ac:dyDescent="0.2">
      <c r="A291" s="14" t="s">
        <v>33</v>
      </c>
      <c r="B291" s="14">
        <v>2170</v>
      </c>
      <c r="C291" s="14">
        <v>1</v>
      </c>
      <c r="D291" s="14" t="s">
        <v>359</v>
      </c>
      <c r="E291" s="15">
        <v>77</v>
      </c>
      <c r="F291" s="15" t="s">
        <v>66</v>
      </c>
      <c r="G291" s="16">
        <v>609</v>
      </c>
      <c r="H291" s="16">
        <v>599</v>
      </c>
      <c r="I291" s="16">
        <v>11754133</v>
      </c>
      <c r="J291" s="16">
        <v>73080</v>
      </c>
      <c r="K291" s="16">
        <v>71880</v>
      </c>
      <c r="L291" s="17">
        <v>39377.99</v>
      </c>
      <c r="M291" s="17">
        <v>39377.99</v>
      </c>
      <c r="N291" s="17">
        <v>39377.99</v>
      </c>
      <c r="O291" s="18">
        <v>1</v>
      </c>
      <c r="P291" s="17">
        <v>33702.01</v>
      </c>
      <c r="Q291" s="17">
        <v>32502.01</v>
      </c>
      <c r="R291" s="17">
        <v>32502.01</v>
      </c>
      <c r="S291" s="17">
        <v>1</v>
      </c>
      <c r="T291" s="17">
        <v>32502.01</v>
      </c>
      <c r="U291" s="17">
        <v>958.4</v>
      </c>
      <c r="V291" s="16">
        <v>73080</v>
      </c>
      <c r="W291" s="17">
        <v>974.4</v>
      </c>
      <c r="X291" s="17">
        <v>74054.399999999994</v>
      </c>
      <c r="Y291" s="17">
        <v>18513.599999999999</v>
      </c>
      <c r="Z291" s="17">
        <v>16661.34</v>
      </c>
      <c r="AA291" s="17">
        <v>0</v>
      </c>
      <c r="AB291" s="17">
        <v>19841.63</v>
      </c>
      <c r="AC291" s="17">
        <v>0</v>
      </c>
      <c r="AD291" s="17">
        <v>0</v>
      </c>
      <c r="AE291" s="17">
        <v>18372.75</v>
      </c>
      <c r="AF291" s="17">
        <v>18291.91</v>
      </c>
      <c r="AG291" s="17">
        <v>0</v>
      </c>
      <c r="AH291" s="17">
        <v>0</v>
      </c>
      <c r="AI291" s="17">
        <v>0</v>
      </c>
      <c r="AJ291" s="17">
        <v>39377.99</v>
      </c>
      <c r="AK291" s="17">
        <v>32502.01</v>
      </c>
    </row>
    <row r="292" spans="1:37" x14ac:dyDescent="0.2">
      <c r="A292" s="14" t="s">
        <v>33</v>
      </c>
      <c r="B292" s="14">
        <v>2171</v>
      </c>
      <c r="C292" s="14">
        <v>1</v>
      </c>
      <c r="D292" s="14" t="s">
        <v>360</v>
      </c>
      <c r="E292" s="15">
        <v>35</v>
      </c>
      <c r="F292" s="15" t="s">
        <v>59</v>
      </c>
      <c r="G292" s="16">
        <v>88</v>
      </c>
      <c r="H292" s="16">
        <v>82</v>
      </c>
      <c r="I292" s="16">
        <v>4545006</v>
      </c>
      <c r="J292" s="16">
        <v>18000</v>
      </c>
      <c r="K292" s="16">
        <v>18000</v>
      </c>
      <c r="L292" s="17">
        <v>15226.41</v>
      </c>
      <c r="M292" s="17">
        <v>15226.41</v>
      </c>
      <c r="N292" s="17">
        <v>15226.41</v>
      </c>
      <c r="O292" s="18">
        <v>1</v>
      </c>
      <c r="P292" s="17">
        <v>2773.59</v>
      </c>
      <c r="Q292" s="17">
        <v>2773.59</v>
      </c>
      <c r="R292" s="17">
        <v>2773.59</v>
      </c>
      <c r="S292" s="17">
        <v>1</v>
      </c>
      <c r="T292" s="17">
        <v>2773.59</v>
      </c>
      <c r="U292" s="17">
        <v>0</v>
      </c>
      <c r="V292" s="16">
        <v>18000</v>
      </c>
      <c r="W292" s="17">
        <v>0</v>
      </c>
      <c r="X292" s="17">
        <v>18000</v>
      </c>
      <c r="Y292" s="17">
        <v>4500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15226.41</v>
      </c>
      <c r="AK292" s="17">
        <v>2773.59</v>
      </c>
    </row>
    <row r="293" spans="1:37" x14ac:dyDescent="0.2">
      <c r="A293" s="14" t="s">
        <v>33</v>
      </c>
      <c r="B293" s="14">
        <v>2172</v>
      </c>
      <c r="C293" s="14">
        <v>1</v>
      </c>
      <c r="D293" s="14" t="s">
        <v>361</v>
      </c>
      <c r="E293" s="15">
        <v>25</v>
      </c>
      <c r="F293" s="15" t="s">
        <v>61</v>
      </c>
      <c r="G293" s="16">
        <v>337</v>
      </c>
      <c r="H293" s="16">
        <v>331</v>
      </c>
      <c r="I293" s="16">
        <v>8037408</v>
      </c>
      <c r="J293" s="16">
        <v>40440</v>
      </c>
      <c r="K293" s="16">
        <v>39720</v>
      </c>
      <c r="L293" s="17">
        <v>26926.44</v>
      </c>
      <c r="M293" s="17">
        <v>26926.44</v>
      </c>
      <c r="N293" s="17">
        <v>26926.44</v>
      </c>
      <c r="O293" s="18">
        <v>1</v>
      </c>
      <c r="P293" s="17">
        <v>13513.56</v>
      </c>
      <c r="Q293" s="17">
        <v>12793.56</v>
      </c>
      <c r="R293" s="17">
        <v>12793.56</v>
      </c>
      <c r="S293" s="17">
        <v>1</v>
      </c>
      <c r="T293" s="17">
        <v>12793.56</v>
      </c>
      <c r="U293" s="17">
        <v>529.6</v>
      </c>
      <c r="V293" s="16">
        <v>40440</v>
      </c>
      <c r="W293" s="17">
        <v>3543.98</v>
      </c>
      <c r="X293" s="17">
        <v>43983.98</v>
      </c>
      <c r="Y293" s="17">
        <v>10996</v>
      </c>
      <c r="Z293" s="17">
        <v>-408.06</v>
      </c>
      <c r="AA293" s="17">
        <v>0</v>
      </c>
      <c r="AB293" s="17">
        <v>3401.81</v>
      </c>
      <c r="AC293" s="17">
        <v>0</v>
      </c>
      <c r="AD293" s="17">
        <v>0</v>
      </c>
      <c r="AE293" s="17">
        <v>2499.75</v>
      </c>
      <c r="AF293" s="17">
        <v>1831.17</v>
      </c>
      <c r="AG293" s="17">
        <v>0</v>
      </c>
      <c r="AH293" s="17">
        <v>0</v>
      </c>
      <c r="AI293" s="17">
        <v>0</v>
      </c>
      <c r="AJ293" s="17">
        <v>26926.44</v>
      </c>
      <c r="AK293" s="17">
        <v>12793.56</v>
      </c>
    </row>
    <row r="294" spans="1:37" x14ac:dyDescent="0.2">
      <c r="A294" s="14" t="s">
        <v>33</v>
      </c>
      <c r="B294" s="14">
        <v>2174</v>
      </c>
      <c r="C294" s="14">
        <v>1</v>
      </c>
      <c r="D294" s="14" t="s">
        <v>362</v>
      </c>
      <c r="E294" s="15">
        <v>11</v>
      </c>
      <c r="F294" s="15" t="s">
        <v>66</v>
      </c>
      <c r="G294" s="16">
        <v>450</v>
      </c>
      <c r="H294" s="16">
        <v>455</v>
      </c>
      <c r="I294" s="16">
        <v>19459320</v>
      </c>
      <c r="J294" s="16">
        <v>54000</v>
      </c>
      <c r="K294" s="16">
        <v>54600</v>
      </c>
      <c r="L294" s="17">
        <v>54000</v>
      </c>
      <c r="M294" s="17">
        <v>54600</v>
      </c>
      <c r="N294" s="17">
        <v>54000</v>
      </c>
      <c r="O294" s="18">
        <v>1</v>
      </c>
      <c r="P294" s="17">
        <v>0</v>
      </c>
      <c r="Q294" s="17">
        <v>0</v>
      </c>
      <c r="R294" s="17">
        <v>0</v>
      </c>
      <c r="S294" s="17">
        <v>1</v>
      </c>
      <c r="T294" s="17">
        <v>0</v>
      </c>
      <c r="U294" s="17">
        <v>728</v>
      </c>
      <c r="V294" s="16">
        <v>54000</v>
      </c>
      <c r="W294" s="17">
        <v>3397</v>
      </c>
      <c r="X294" s="17">
        <v>57397</v>
      </c>
      <c r="Y294" s="17">
        <v>14349.25</v>
      </c>
      <c r="Z294" s="17">
        <v>5508.23</v>
      </c>
      <c r="AA294" s="17">
        <v>0</v>
      </c>
      <c r="AB294" s="17">
        <v>4770.8100000000004</v>
      </c>
      <c r="AC294" s="17">
        <v>0</v>
      </c>
      <c r="AD294" s="17">
        <v>0</v>
      </c>
      <c r="AE294" s="17">
        <v>13912.03</v>
      </c>
      <c r="AF294" s="17">
        <v>8063.69</v>
      </c>
      <c r="AG294" s="17">
        <v>0</v>
      </c>
      <c r="AH294" s="17">
        <v>0</v>
      </c>
      <c r="AI294" s="17">
        <v>0</v>
      </c>
      <c r="AJ294" s="17">
        <v>54600</v>
      </c>
      <c r="AK294" s="17">
        <v>0</v>
      </c>
    </row>
    <row r="295" spans="1:37" x14ac:dyDescent="0.2">
      <c r="A295" s="14" t="s">
        <v>33</v>
      </c>
      <c r="B295" s="14">
        <v>2176</v>
      </c>
      <c r="C295" s="14">
        <v>1</v>
      </c>
      <c r="D295" s="14" t="s">
        <v>363</v>
      </c>
      <c r="E295" s="15">
        <v>45</v>
      </c>
      <c r="F295" s="15" t="s">
        <v>59</v>
      </c>
      <c r="G295" s="16">
        <v>210</v>
      </c>
      <c r="H295" s="16">
        <v>210</v>
      </c>
      <c r="I295" s="16">
        <v>4080869</v>
      </c>
      <c r="J295" s="16">
        <v>25200</v>
      </c>
      <c r="K295" s="16">
        <v>25200</v>
      </c>
      <c r="L295" s="17">
        <v>13671.48</v>
      </c>
      <c r="M295" s="17">
        <v>13671.48</v>
      </c>
      <c r="N295" s="17">
        <v>13671.48</v>
      </c>
      <c r="O295" s="18">
        <v>1</v>
      </c>
      <c r="P295" s="17">
        <v>11528.52</v>
      </c>
      <c r="Q295" s="17">
        <v>11528.52</v>
      </c>
      <c r="R295" s="17">
        <v>11528.52</v>
      </c>
      <c r="S295" s="17">
        <v>1</v>
      </c>
      <c r="T295" s="17">
        <v>11528.52</v>
      </c>
      <c r="U295" s="17">
        <v>336</v>
      </c>
      <c r="V295" s="16">
        <v>25200</v>
      </c>
      <c r="W295" s="17">
        <v>797</v>
      </c>
      <c r="X295" s="17">
        <v>25997</v>
      </c>
      <c r="Y295" s="17">
        <v>6499.25</v>
      </c>
      <c r="Z295" s="17">
        <v>-1112.05</v>
      </c>
      <c r="AA295" s="17">
        <v>0</v>
      </c>
      <c r="AB295" s="17">
        <v>-720.91</v>
      </c>
      <c r="AC295" s="17">
        <v>0</v>
      </c>
      <c r="AD295" s="17">
        <v>0</v>
      </c>
      <c r="AE295" s="17">
        <v>-607.14</v>
      </c>
      <c r="AF295" s="17">
        <v>-813.37</v>
      </c>
      <c r="AG295" s="17">
        <v>0</v>
      </c>
      <c r="AH295" s="17">
        <v>0</v>
      </c>
      <c r="AI295" s="17">
        <v>0</v>
      </c>
      <c r="AJ295" s="17">
        <v>13671.48</v>
      </c>
      <c r="AK295" s="17">
        <v>11528.52</v>
      </c>
    </row>
    <row r="296" spans="1:37" x14ac:dyDescent="0.2">
      <c r="A296" s="14" t="s">
        <v>33</v>
      </c>
      <c r="B296" s="14">
        <v>2180</v>
      </c>
      <c r="C296" s="14">
        <v>1</v>
      </c>
      <c r="D296" s="14" t="s">
        <v>364</v>
      </c>
      <c r="E296" s="15">
        <v>12</v>
      </c>
      <c r="F296" s="15" t="s">
        <v>64</v>
      </c>
      <c r="G296" s="16">
        <v>264</v>
      </c>
      <c r="H296" s="16">
        <v>305</v>
      </c>
      <c r="I296" s="16">
        <v>7187388</v>
      </c>
      <c r="J296" s="16">
        <v>31680</v>
      </c>
      <c r="K296" s="16">
        <v>36600</v>
      </c>
      <c r="L296" s="17">
        <v>24078.76</v>
      </c>
      <c r="M296" s="17">
        <v>24078.76</v>
      </c>
      <c r="N296" s="17">
        <v>24078.76</v>
      </c>
      <c r="O296" s="18">
        <v>1</v>
      </c>
      <c r="P296" s="17">
        <v>7601.24</v>
      </c>
      <c r="Q296" s="17">
        <v>12521.24</v>
      </c>
      <c r="R296" s="17">
        <v>12521.24</v>
      </c>
      <c r="S296" s="17">
        <v>1</v>
      </c>
      <c r="T296" s="17">
        <v>12521.24</v>
      </c>
      <c r="U296" s="17">
        <v>0</v>
      </c>
      <c r="V296" s="16">
        <v>31680</v>
      </c>
      <c r="W296" s="17">
        <v>0</v>
      </c>
      <c r="X296" s="17">
        <v>31680</v>
      </c>
      <c r="Y296" s="17">
        <v>7920</v>
      </c>
      <c r="Z296" s="17">
        <v>11335.74</v>
      </c>
      <c r="AA296" s="17">
        <v>2434.7399999999998</v>
      </c>
      <c r="AB296" s="17">
        <v>20102</v>
      </c>
      <c r="AC296" s="17">
        <v>1952.13</v>
      </c>
      <c r="AD296" s="17">
        <v>0</v>
      </c>
      <c r="AE296" s="17">
        <v>28434.6</v>
      </c>
      <c r="AF296" s="17">
        <v>18495.16</v>
      </c>
      <c r="AG296" s="17">
        <v>10575.16</v>
      </c>
      <c r="AH296" s="17">
        <v>6957.29</v>
      </c>
      <c r="AI296" s="17">
        <v>3617.87</v>
      </c>
      <c r="AJ296" s="17">
        <v>17121.47</v>
      </c>
      <c r="AK296" s="17">
        <v>8903.3700000000008</v>
      </c>
    </row>
    <row r="297" spans="1:37" x14ac:dyDescent="0.2">
      <c r="A297" s="14" t="s">
        <v>33</v>
      </c>
      <c r="B297" s="14">
        <v>2184</v>
      </c>
      <c r="C297" s="14">
        <v>1</v>
      </c>
      <c r="D297" s="14" t="s">
        <v>365</v>
      </c>
      <c r="E297" s="15">
        <v>67</v>
      </c>
      <c r="F297" s="15" t="s">
        <v>65</v>
      </c>
      <c r="G297" s="16">
        <v>498</v>
      </c>
      <c r="H297" s="16">
        <v>491</v>
      </c>
      <c r="I297" s="16">
        <v>7655977</v>
      </c>
      <c r="J297" s="16">
        <v>59760</v>
      </c>
      <c r="K297" s="16">
        <v>58920</v>
      </c>
      <c r="L297" s="17">
        <v>25648.59</v>
      </c>
      <c r="M297" s="17">
        <v>25648.59</v>
      </c>
      <c r="N297" s="17">
        <v>25648.59</v>
      </c>
      <c r="O297" s="18">
        <v>1</v>
      </c>
      <c r="P297" s="17">
        <v>34111.410000000003</v>
      </c>
      <c r="Q297" s="17">
        <v>33271.410000000003</v>
      </c>
      <c r="R297" s="17">
        <v>33271.410000000003</v>
      </c>
      <c r="S297" s="17">
        <v>1</v>
      </c>
      <c r="T297" s="17">
        <v>33271.410000000003</v>
      </c>
      <c r="U297" s="17">
        <v>785.6</v>
      </c>
      <c r="V297" s="16">
        <v>59760</v>
      </c>
      <c r="W297" s="17">
        <v>24424.47</v>
      </c>
      <c r="X297" s="17">
        <v>84184.47</v>
      </c>
      <c r="Y297" s="17">
        <v>21046.12</v>
      </c>
      <c r="Z297" s="17">
        <v>19385.59</v>
      </c>
      <c r="AA297" s="17">
        <v>0</v>
      </c>
      <c r="AB297" s="17">
        <v>22647.65</v>
      </c>
      <c r="AC297" s="17">
        <v>0</v>
      </c>
      <c r="AD297" s="17">
        <v>0</v>
      </c>
      <c r="AE297" s="17">
        <v>25019.99</v>
      </c>
      <c r="AF297" s="17">
        <v>22351.08</v>
      </c>
      <c r="AG297" s="17">
        <v>1304.96</v>
      </c>
      <c r="AH297" s="17">
        <v>568.05999999999995</v>
      </c>
      <c r="AI297" s="17">
        <v>736.9</v>
      </c>
      <c r="AJ297" s="17">
        <v>25080.53</v>
      </c>
      <c r="AK297" s="17">
        <v>32534.51</v>
      </c>
    </row>
    <row r="298" spans="1:37" x14ac:dyDescent="0.2">
      <c r="A298" s="14" t="s">
        <v>33</v>
      </c>
      <c r="B298" s="14">
        <v>2190</v>
      </c>
      <c r="C298" s="14">
        <v>1</v>
      </c>
      <c r="D298" s="14" t="s">
        <v>82</v>
      </c>
      <c r="E298" s="15">
        <v>87</v>
      </c>
      <c r="F298" s="15" t="s">
        <v>64</v>
      </c>
      <c r="G298" s="16">
        <v>405</v>
      </c>
      <c r="H298" s="16">
        <v>387</v>
      </c>
      <c r="I298" s="16">
        <v>7967798</v>
      </c>
      <c r="J298" s="16">
        <v>48600</v>
      </c>
      <c r="K298" s="16">
        <v>46440</v>
      </c>
      <c r="L298" s="17">
        <v>26693.24</v>
      </c>
      <c r="M298" s="17">
        <v>26693.24</v>
      </c>
      <c r="N298" s="17">
        <v>26693.24</v>
      </c>
      <c r="O298" s="18">
        <v>1</v>
      </c>
      <c r="P298" s="17">
        <v>21906.76</v>
      </c>
      <c r="Q298" s="17">
        <v>19746.759999999998</v>
      </c>
      <c r="R298" s="17">
        <v>19746.759999999998</v>
      </c>
      <c r="S298" s="17">
        <v>1</v>
      </c>
      <c r="T298" s="17">
        <v>19746.759999999998</v>
      </c>
      <c r="U298" s="17">
        <v>619.20000000000005</v>
      </c>
      <c r="V298" s="16">
        <v>48600</v>
      </c>
      <c r="W298" s="17">
        <v>2106</v>
      </c>
      <c r="X298" s="17">
        <v>50706</v>
      </c>
      <c r="Y298" s="17">
        <v>12676.5</v>
      </c>
      <c r="Z298" s="17">
        <v>15959.74</v>
      </c>
      <c r="AA298" s="17">
        <v>0</v>
      </c>
      <c r="AB298" s="17">
        <v>11193.13</v>
      </c>
      <c r="AC298" s="17">
        <v>0</v>
      </c>
      <c r="AD298" s="17">
        <v>0</v>
      </c>
      <c r="AE298" s="17">
        <v>7946.14</v>
      </c>
      <c r="AF298" s="17">
        <v>11699.67</v>
      </c>
      <c r="AG298" s="17">
        <v>0</v>
      </c>
      <c r="AH298" s="17">
        <v>0</v>
      </c>
      <c r="AI298" s="17">
        <v>0</v>
      </c>
      <c r="AJ298" s="17">
        <v>26693.24</v>
      </c>
      <c r="AK298" s="17">
        <v>19746.759999999998</v>
      </c>
    </row>
    <row r="299" spans="1:37" x14ac:dyDescent="0.2">
      <c r="A299" s="14" t="s">
        <v>33</v>
      </c>
      <c r="B299" s="14">
        <v>2198</v>
      </c>
      <c r="C299" s="14">
        <v>1</v>
      </c>
      <c r="D299" s="14" t="s">
        <v>83</v>
      </c>
      <c r="E299" s="15">
        <v>23</v>
      </c>
      <c r="F299" s="15" t="s">
        <v>61</v>
      </c>
      <c r="G299" s="16">
        <v>316</v>
      </c>
      <c r="H299" s="16">
        <v>311</v>
      </c>
      <c r="I299" s="16">
        <v>5297501</v>
      </c>
      <c r="J299" s="16">
        <v>37920</v>
      </c>
      <c r="K299" s="16">
        <v>37320</v>
      </c>
      <c r="L299" s="17">
        <v>17747.37</v>
      </c>
      <c r="M299" s="17">
        <v>17747.37</v>
      </c>
      <c r="N299" s="17">
        <v>17747.37</v>
      </c>
      <c r="O299" s="18">
        <v>1</v>
      </c>
      <c r="P299" s="17">
        <v>20172.63</v>
      </c>
      <c r="Q299" s="17">
        <v>19572.63</v>
      </c>
      <c r="R299" s="17">
        <v>19572.63</v>
      </c>
      <c r="S299" s="17">
        <v>1</v>
      </c>
      <c r="T299" s="17">
        <v>19572.63</v>
      </c>
      <c r="U299" s="17">
        <v>497.6</v>
      </c>
      <c r="V299" s="16">
        <v>37920</v>
      </c>
      <c r="W299" s="17">
        <v>4851.67</v>
      </c>
      <c r="X299" s="17">
        <v>42771.67</v>
      </c>
      <c r="Y299" s="17">
        <v>10692.92</v>
      </c>
      <c r="Z299" s="17">
        <v>8118.28</v>
      </c>
      <c r="AA299" s="17">
        <v>0</v>
      </c>
      <c r="AB299" s="17">
        <v>22148.17</v>
      </c>
      <c r="AC299" s="17">
        <v>0</v>
      </c>
      <c r="AD299" s="17">
        <v>0</v>
      </c>
      <c r="AE299" s="17">
        <v>18153.93</v>
      </c>
      <c r="AF299" s="17">
        <v>16140.13</v>
      </c>
      <c r="AG299" s="17">
        <v>5447.21</v>
      </c>
      <c r="AH299" s="17">
        <v>2590.4</v>
      </c>
      <c r="AI299" s="17">
        <v>2856.81</v>
      </c>
      <c r="AJ299" s="17">
        <v>15156.97</v>
      </c>
      <c r="AK299" s="17">
        <v>16715.82</v>
      </c>
    </row>
    <row r="300" spans="1:37" x14ac:dyDescent="0.2">
      <c r="A300" s="14" t="s">
        <v>33</v>
      </c>
      <c r="B300" s="14">
        <v>2215</v>
      </c>
      <c r="C300" s="14">
        <v>1</v>
      </c>
      <c r="D300" s="14" t="s">
        <v>366</v>
      </c>
      <c r="E300" s="15">
        <v>54</v>
      </c>
      <c r="F300" s="15" t="s">
        <v>59</v>
      </c>
      <c r="G300" s="16">
        <v>103</v>
      </c>
      <c r="H300" s="16">
        <v>116</v>
      </c>
      <c r="I300" s="16">
        <v>1835357</v>
      </c>
      <c r="J300" s="16">
        <v>18000</v>
      </c>
      <c r="K300" s="16">
        <v>18000</v>
      </c>
      <c r="L300" s="17">
        <v>6148.7</v>
      </c>
      <c r="M300" s="17">
        <v>6148.7</v>
      </c>
      <c r="N300" s="17">
        <v>6148.7</v>
      </c>
      <c r="O300" s="18">
        <v>1</v>
      </c>
      <c r="P300" s="17">
        <v>11851.3</v>
      </c>
      <c r="Q300" s="17">
        <v>11851.3</v>
      </c>
      <c r="R300" s="17">
        <v>11851.3</v>
      </c>
      <c r="S300" s="17">
        <v>1</v>
      </c>
      <c r="T300" s="17">
        <v>11851.3</v>
      </c>
      <c r="U300" s="17">
        <v>185.6</v>
      </c>
      <c r="V300" s="16">
        <v>18000</v>
      </c>
      <c r="W300" s="17">
        <v>11574.8</v>
      </c>
      <c r="X300" s="17">
        <v>29574.799999999999</v>
      </c>
      <c r="Y300" s="17">
        <v>7393.7</v>
      </c>
      <c r="Z300" s="17">
        <v>-103137.52</v>
      </c>
      <c r="AA300" s="17">
        <v>0</v>
      </c>
      <c r="AB300" s="17">
        <v>-132542.59</v>
      </c>
      <c r="AC300" s="17">
        <v>0</v>
      </c>
      <c r="AD300" s="17">
        <v>0</v>
      </c>
      <c r="AE300" s="17">
        <v>-136842.25</v>
      </c>
      <c r="AF300" s="17">
        <v>-124174.12</v>
      </c>
      <c r="AG300" s="17">
        <v>0</v>
      </c>
      <c r="AH300" s="17">
        <v>0</v>
      </c>
      <c r="AI300" s="17">
        <v>0</v>
      </c>
      <c r="AJ300" s="17">
        <v>6148.7</v>
      </c>
      <c r="AK300" s="17">
        <v>11851.3</v>
      </c>
    </row>
    <row r="301" spans="1:37" x14ac:dyDescent="0.2">
      <c r="A301" s="14" t="s">
        <v>33</v>
      </c>
      <c r="B301" s="14">
        <v>2310</v>
      </c>
      <c r="C301" s="14">
        <v>1</v>
      </c>
      <c r="D301" s="14" t="s">
        <v>367</v>
      </c>
      <c r="E301" s="15">
        <v>72</v>
      </c>
      <c r="F301" s="15" t="s">
        <v>57</v>
      </c>
      <c r="G301" s="16">
        <v>675</v>
      </c>
      <c r="H301" s="16">
        <v>675</v>
      </c>
      <c r="I301" s="16">
        <v>8240363</v>
      </c>
      <c r="J301" s="16">
        <v>81000</v>
      </c>
      <c r="K301" s="16">
        <v>81000</v>
      </c>
      <c r="L301" s="17">
        <v>27606.37</v>
      </c>
      <c r="M301" s="17">
        <v>27606.37</v>
      </c>
      <c r="N301" s="17">
        <v>27606.37</v>
      </c>
      <c r="O301" s="18">
        <v>1</v>
      </c>
      <c r="P301" s="17">
        <v>53393.63</v>
      </c>
      <c r="Q301" s="17">
        <v>53393.63</v>
      </c>
      <c r="R301" s="17">
        <v>53393.63</v>
      </c>
      <c r="S301" s="17">
        <v>1</v>
      </c>
      <c r="T301" s="17">
        <v>53393.63</v>
      </c>
      <c r="U301" s="17">
        <v>1080</v>
      </c>
      <c r="V301" s="16">
        <v>81000</v>
      </c>
      <c r="W301" s="17">
        <v>20668.47</v>
      </c>
      <c r="X301" s="17">
        <v>101668.47</v>
      </c>
      <c r="Y301" s="17">
        <v>25417.119999999999</v>
      </c>
      <c r="Z301" s="17">
        <v>36823.129999999997</v>
      </c>
      <c r="AA301" s="17">
        <v>0</v>
      </c>
      <c r="AB301" s="17">
        <v>21588.18</v>
      </c>
      <c r="AC301" s="17">
        <v>0</v>
      </c>
      <c r="AD301" s="17">
        <v>0</v>
      </c>
      <c r="AE301" s="17">
        <v>14929.71</v>
      </c>
      <c r="AF301" s="17">
        <v>24447.01</v>
      </c>
      <c r="AG301" s="17">
        <v>0</v>
      </c>
      <c r="AH301" s="17">
        <v>0</v>
      </c>
      <c r="AI301" s="17">
        <v>0</v>
      </c>
      <c r="AJ301" s="17">
        <v>27606.37</v>
      </c>
      <c r="AK301" s="17">
        <v>53393.63</v>
      </c>
    </row>
    <row r="302" spans="1:37" x14ac:dyDescent="0.2">
      <c r="A302" s="14" t="s">
        <v>33</v>
      </c>
      <c r="B302" s="14">
        <v>2311</v>
      </c>
      <c r="C302" s="14">
        <v>1</v>
      </c>
      <c r="D302" s="14" t="s">
        <v>368</v>
      </c>
      <c r="E302" s="15">
        <v>15</v>
      </c>
      <c r="F302" s="15" t="s">
        <v>62</v>
      </c>
      <c r="G302" s="16">
        <v>198</v>
      </c>
      <c r="H302" s="16">
        <v>198</v>
      </c>
      <c r="I302" s="16">
        <v>4305446</v>
      </c>
      <c r="J302" s="16">
        <v>23760</v>
      </c>
      <c r="K302" s="16">
        <v>23760</v>
      </c>
      <c r="L302" s="17">
        <v>14423.85</v>
      </c>
      <c r="M302" s="17">
        <v>14423.85</v>
      </c>
      <c r="N302" s="17">
        <v>14423.85</v>
      </c>
      <c r="O302" s="18">
        <v>1</v>
      </c>
      <c r="P302" s="17">
        <v>9336.15</v>
      </c>
      <c r="Q302" s="17">
        <v>9336.15</v>
      </c>
      <c r="R302" s="17">
        <v>9336.15</v>
      </c>
      <c r="S302" s="17">
        <v>1</v>
      </c>
      <c r="T302" s="17">
        <v>9336.15</v>
      </c>
      <c r="U302" s="17">
        <v>316.8</v>
      </c>
      <c r="V302" s="16">
        <v>23760</v>
      </c>
      <c r="W302" s="17">
        <v>9530.7999999999993</v>
      </c>
      <c r="X302" s="17">
        <v>33290.800000000003</v>
      </c>
      <c r="Y302" s="17">
        <v>8322.7000000000007</v>
      </c>
      <c r="Z302" s="17">
        <v>3134.68</v>
      </c>
      <c r="AA302" s="17">
        <v>0</v>
      </c>
      <c r="AB302" s="17">
        <v>7505.29</v>
      </c>
      <c r="AC302" s="17">
        <v>0</v>
      </c>
      <c r="AD302" s="17">
        <v>0</v>
      </c>
      <c r="AE302" s="17">
        <v>8615.77</v>
      </c>
      <c r="AF302" s="17">
        <v>6418.58</v>
      </c>
      <c r="AG302" s="17">
        <v>0</v>
      </c>
      <c r="AH302" s="17">
        <v>0</v>
      </c>
      <c r="AI302" s="17">
        <v>0</v>
      </c>
      <c r="AJ302" s="17">
        <v>14423.85</v>
      </c>
      <c r="AK302" s="17">
        <v>9336.15</v>
      </c>
    </row>
    <row r="303" spans="1:37" x14ac:dyDescent="0.2">
      <c r="A303" s="14" t="s">
        <v>33</v>
      </c>
      <c r="B303" s="14">
        <v>2342</v>
      </c>
      <c r="C303" s="14">
        <v>1</v>
      </c>
      <c r="D303" s="14" t="s">
        <v>81</v>
      </c>
      <c r="E303" s="15">
        <v>26</v>
      </c>
      <c r="F303" s="15" t="s">
        <v>60</v>
      </c>
      <c r="G303" s="16">
        <v>322</v>
      </c>
      <c r="H303" s="16">
        <v>310</v>
      </c>
      <c r="I303" s="16">
        <v>6990186</v>
      </c>
      <c r="J303" s="16">
        <v>38640</v>
      </c>
      <c r="K303" s="16">
        <v>37200</v>
      </c>
      <c r="L303" s="17">
        <v>23418.1</v>
      </c>
      <c r="M303" s="17">
        <v>23418.1</v>
      </c>
      <c r="N303" s="17">
        <v>23418.1</v>
      </c>
      <c r="O303" s="18">
        <v>1</v>
      </c>
      <c r="P303" s="17">
        <v>15221.9</v>
      </c>
      <c r="Q303" s="17">
        <v>13781.9</v>
      </c>
      <c r="R303" s="17">
        <v>13781.9</v>
      </c>
      <c r="S303" s="17">
        <v>1</v>
      </c>
      <c r="T303" s="17">
        <v>13781.9</v>
      </c>
      <c r="U303" s="17">
        <v>496</v>
      </c>
      <c r="V303" s="16">
        <v>38640</v>
      </c>
      <c r="W303" s="17">
        <v>2213</v>
      </c>
      <c r="X303" s="17">
        <v>40853</v>
      </c>
      <c r="Y303" s="17">
        <v>10213.25</v>
      </c>
      <c r="Z303" s="17">
        <v>7038.06</v>
      </c>
      <c r="AA303" s="17">
        <v>0</v>
      </c>
      <c r="AB303" s="17">
        <v>15261.65</v>
      </c>
      <c r="AC303" s="17">
        <v>0</v>
      </c>
      <c r="AD303" s="17">
        <v>0</v>
      </c>
      <c r="AE303" s="17">
        <v>20363.39</v>
      </c>
      <c r="AF303" s="17">
        <v>14221.03</v>
      </c>
      <c r="AG303" s="17">
        <v>4007.78</v>
      </c>
      <c r="AH303" s="17">
        <v>2522.9699999999998</v>
      </c>
      <c r="AI303" s="17">
        <v>1484.81</v>
      </c>
      <c r="AJ303" s="17">
        <v>20895.13</v>
      </c>
      <c r="AK303" s="17">
        <v>12297.09</v>
      </c>
    </row>
    <row r="304" spans="1:37" x14ac:dyDescent="0.2">
      <c r="A304" s="14" t="s">
        <v>33</v>
      </c>
      <c r="B304" s="14">
        <v>2358</v>
      </c>
      <c r="C304" s="14">
        <v>1</v>
      </c>
      <c r="D304" s="14" t="s">
        <v>369</v>
      </c>
      <c r="E304" s="15">
        <v>35</v>
      </c>
      <c r="F304" s="15" t="s">
        <v>59</v>
      </c>
      <c r="G304" s="16">
        <v>78</v>
      </c>
      <c r="H304" s="16">
        <v>80</v>
      </c>
      <c r="I304" s="16">
        <v>1782286</v>
      </c>
      <c r="J304" s="16">
        <v>18000</v>
      </c>
      <c r="K304" s="16">
        <v>18000</v>
      </c>
      <c r="L304" s="17">
        <v>5970.91</v>
      </c>
      <c r="M304" s="17">
        <v>5970.91</v>
      </c>
      <c r="N304" s="17">
        <v>5970.91</v>
      </c>
      <c r="O304" s="18">
        <v>1</v>
      </c>
      <c r="P304" s="17">
        <v>12029.09</v>
      </c>
      <c r="Q304" s="17">
        <v>12029.09</v>
      </c>
      <c r="R304" s="17">
        <v>12029.09</v>
      </c>
      <c r="S304" s="17">
        <v>1</v>
      </c>
      <c r="T304" s="17">
        <v>12029.09</v>
      </c>
      <c r="U304" s="17">
        <v>128</v>
      </c>
      <c r="V304" s="16">
        <v>18000</v>
      </c>
      <c r="W304" s="17">
        <v>159.80000000000001</v>
      </c>
      <c r="X304" s="17">
        <v>18159.8</v>
      </c>
      <c r="Y304" s="17">
        <v>4539.95</v>
      </c>
      <c r="Z304" s="17">
        <v>213.59</v>
      </c>
      <c r="AA304" s="17">
        <v>0</v>
      </c>
      <c r="AB304" s="17">
        <v>307</v>
      </c>
      <c r="AC304" s="17">
        <v>0</v>
      </c>
      <c r="AD304" s="17">
        <v>0</v>
      </c>
      <c r="AE304" s="17">
        <v>990.56</v>
      </c>
      <c r="AF304" s="17">
        <v>503.72</v>
      </c>
      <c r="AG304" s="17">
        <v>0</v>
      </c>
      <c r="AH304" s="17">
        <v>0</v>
      </c>
      <c r="AI304" s="17">
        <v>0</v>
      </c>
      <c r="AJ304" s="17">
        <v>5970.91</v>
      </c>
      <c r="AK304" s="17">
        <v>12029.09</v>
      </c>
    </row>
    <row r="305" spans="1:37" x14ac:dyDescent="0.2">
      <c r="A305" s="14" t="s">
        <v>33</v>
      </c>
      <c r="B305" s="14">
        <v>2364</v>
      </c>
      <c r="C305" s="14">
        <v>1</v>
      </c>
      <c r="D305" s="14" t="s">
        <v>370</v>
      </c>
      <c r="E305" s="15">
        <v>73</v>
      </c>
      <c r="F305" s="15" t="s">
        <v>63</v>
      </c>
      <c r="G305" s="16">
        <v>231</v>
      </c>
      <c r="H305" s="16">
        <v>227</v>
      </c>
      <c r="I305" s="16">
        <v>5502019</v>
      </c>
      <c r="J305" s="16">
        <v>27720</v>
      </c>
      <c r="K305" s="16">
        <v>27240</v>
      </c>
      <c r="L305" s="17">
        <v>18432.53</v>
      </c>
      <c r="M305" s="17">
        <v>18432.53</v>
      </c>
      <c r="N305" s="17">
        <v>18432.53</v>
      </c>
      <c r="O305" s="18">
        <v>1</v>
      </c>
      <c r="P305" s="17">
        <v>9287.4699999999993</v>
      </c>
      <c r="Q305" s="17">
        <v>8807.4699999999993</v>
      </c>
      <c r="R305" s="17">
        <v>8807.4699999999993</v>
      </c>
      <c r="S305" s="17">
        <v>1</v>
      </c>
      <c r="T305" s="17">
        <v>8807.4699999999993</v>
      </c>
      <c r="U305" s="17">
        <v>0</v>
      </c>
      <c r="V305" s="16">
        <v>27720</v>
      </c>
      <c r="W305" s="17">
        <v>2480.5</v>
      </c>
      <c r="X305" s="17">
        <v>30200.5</v>
      </c>
      <c r="Y305" s="17">
        <v>7550.13</v>
      </c>
      <c r="Z305" s="17">
        <v>-14732.96</v>
      </c>
      <c r="AA305" s="17">
        <v>0</v>
      </c>
      <c r="AB305" s="17">
        <v>-26332.03</v>
      </c>
      <c r="AC305" s="17">
        <v>0</v>
      </c>
      <c r="AD305" s="17">
        <v>0</v>
      </c>
      <c r="AE305" s="17">
        <v>-26791</v>
      </c>
      <c r="AF305" s="17">
        <v>-22618.66</v>
      </c>
      <c r="AG305" s="17">
        <v>0</v>
      </c>
      <c r="AH305" s="17">
        <v>0</v>
      </c>
      <c r="AI305" s="17">
        <v>0</v>
      </c>
      <c r="AJ305" s="17">
        <v>18432.53</v>
      </c>
      <c r="AK305" s="17">
        <v>8807.4699999999993</v>
      </c>
    </row>
    <row r="306" spans="1:37" x14ac:dyDescent="0.2">
      <c r="A306" s="14" t="s">
        <v>33</v>
      </c>
      <c r="B306" s="14">
        <v>2365</v>
      </c>
      <c r="C306" s="14">
        <v>1</v>
      </c>
      <c r="D306" s="14" t="s">
        <v>77</v>
      </c>
      <c r="E306" s="15">
        <v>72</v>
      </c>
      <c r="F306" s="15" t="s">
        <v>57</v>
      </c>
      <c r="G306" s="16">
        <v>474</v>
      </c>
      <c r="H306" s="16">
        <v>503</v>
      </c>
      <c r="I306" s="16">
        <v>9088190</v>
      </c>
      <c r="J306" s="16">
        <v>56880</v>
      </c>
      <c r="K306" s="16">
        <v>60360</v>
      </c>
      <c r="L306" s="17">
        <v>30446.71</v>
      </c>
      <c r="M306" s="17">
        <v>30446.71</v>
      </c>
      <c r="N306" s="17">
        <v>30446.71</v>
      </c>
      <c r="O306" s="18">
        <v>1</v>
      </c>
      <c r="P306" s="17">
        <v>26433.29</v>
      </c>
      <c r="Q306" s="17">
        <v>29913.29</v>
      </c>
      <c r="R306" s="17">
        <v>29913.29</v>
      </c>
      <c r="S306" s="17">
        <v>1</v>
      </c>
      <c r="T306" s="17">
        <v>29913.29</v>
      </c>
      <c r="U306" s="17">
        <v>804.8</v>
      </c>
      <c r="V306" s="16">
        <v>56818.92</v>
      </c>
      <c r="W306" s="17">
        <v>35386.06</v>
      </c>
      <c r="X306" s="17">
        <v>92204.98</v>
      </c>
      <c r="Y306" s="17">
        <v>23051.25</v>
      </c>
      <c r="Z306" s="17">
        <v>16419.939999999999</v>
      </c>
      <c r="AA306" s="17">
        <v>154.05000000000001</v>
      </c>
      <c r="AB306" s="17">
        <v>22976.47</v>
      </c>
      <c r="AC306" s="17">
        <v>882.69</v>
      </c>
      <c r="AD306" s="17">
        <v>0</v>
      </c>
      <c r="AE306" s="17">
        <v>30057.68</v>
      </c>
      <c r="AF306" s="17">
        <v>22805.78</v>
      </c>
      <c r="AG306" s="17">
        <v>0</v>
      </c>
      <c r="AH306" s="17">
        <v>0</v>
      </c>
      <c r="AI306" s="17">
        <v>0</v>
      </c>
      <c r="AJ306" s="17">
        <v>30446.71</v>
      </c>
      <c r="AK306" s="17">
        <v>29913.29</v>
      </c>
    </row>
    <row r="307" spans="1:37" x14ac:dyDescent="0.2">
      <c r="A307" s="14" t="s">
        <v>33</v>
      </c>
      <c r="B307" s="14">
        <v>2396</v>
      </c>
      <c r="C307" s="14">
        <v>1</v>
      </c>
      <c r="D307" s="14" t="s">
        <v>80</v>
      </c>
      <c r="E307" s="15">
        <v>47</v>
      </c>
      <c r="F307" s="15" t="s">
        <v>68</v>
      </c>
      <c r="G307" s="16">
        <v>381</v>
      </c>
      <c r="H307" s="16">
        <v>354</v>
      </c>
      <c r="I307" s="16">
        <v>9698436</v>
      </c>
      <c r="J307" s="16">
        <v>45720</v>
      </c>
      <c r="K307" s="16">
        <v>42480</v>
      </c>
      <c r="L307" s="17">
        <v>32491.119999999999</v>
      </c>
      <c r="M307" s="17">
        <v>32491.119999999999</v>
      </c>
      <c r="N307" s="17">
        <v>32491.119999999999</v>
      </c>
      <c r="O307" s="18">
        <v>1</v>
      </c>
      <c r="P307" s="17">
        <v>13228.88</v>
      </c>
      <c r="Q307" s="17">
        <v>9988.8799999999992</v>
      </c>
      <c r="R307" s="17">
        <v>9988.8799999999992</v>
      </c>
      <c r="S307" s="17">
        <v>1</v>
      </c>
      <c r="T307" s="17">
        <v>9988.8799999999992</v>
      </c>
      <c r="U307" s="17">
        <v>566.4</v>
      </c>
      <c r="V307" s="16">
        <v>45720</v>
      </c>
      <c r="W307" s="17">
        <v>11335.62</v>
      </c>
      <c r="X307" s="17">
        <v>57055.62</v>
      </c>
      <c r="Y307" s="17">
        <v>14263.91</v>
      </c>
      <c r="Z307" s="17">
        <v>6076.23</v>
      </c>
      <c r="AA307" s="17">
        <v>0</v>
      </c>
      <c r="AB307" s="17">
        <v>4918.63</v>
      </c>
      <c r="AC307" s="17">
        <v>0</v>
      </c>
      <c r="AD307" s="17">
        <v>0</v>
      </c>
      <c r="AE307" s="17">
        <v>7835.68</v>
      </c>
      <c r="AF307" s="17">
        <v>6276.85</v>
      </c>
      <c r="AG307" s="17">
        <v>0</v>
      </c>
      <c r="AH307" s="17">
        <v>0</v>
      </c>
      <c r="AI307" s="17">
        <v>0</v>
      </c>
      <c r="AJ307" s="17">
        <v>32491.119999999999</v>
      </c>
      <c r="AK307" s="17">
        <v>9988.8799999999992</v>
      </c>
    </row>
    <row r="308" spans="1:37" x14ac:dyDescent="0.2">
      <c r="A308" s="14" t="s">
        <v>33</v>
      </c>
      <c r="B308" s="14">
        <v>2397</v>
      </c>
      <c r="C308" s="14">
        <v>1</v>
      </c>
      <c r="D308" s="14" t="s">
        <v>371</v>
      </c>
      <c r="E308" s="15">
        <v>40</v>
      </c>
      <c r="F308" s="15" t="s">
        <v>57</v>
      </c>
      <c r="G308" s="16">
        <v>673</v>
      </c>
      <c r="H308" s="16">
        <v>617</v>
      </c>
      <c r="I308" s="16">
        <v>8954197</v>
      </c>
      <c r="J308" s="16">
        <v>80760</v>
      </c>
      <c r="K308" s="16">
        <v>74040</v>
      </c>
      <c r="L308" s="17">
        <v>29997.81</v>
      </c>
      <c r="M308" s="17">
        <v>29997.81</v>
      </c>
      <c r="N308" s="17">
        <v>29997.81</v>
      </c>
      <c r="O308" s="18">
        <v>1</v>
      </c>
      <c r="P308" s="17">
        <v>50762.19</v>
      </c>
      <c r="Q308" s="17">
        <v>44042.19</v>
      </c>
      <c r="R308" s="17">
        <v>44042.19</v>
      </c>
      <c r="S308" s="17">
        <v>1</v>
      </c>
      <c r="T308" s="17">
        <v>44042.19</v>
      </c>
      <c r="U308" s="17">
        <v>987.2</v>
      </c>
      <c r="V308" s="16">
        <v>80760</v>
      </c>
      <c r="W308" s="17">
        <v>7445.7</v>
      </c>
      <c r="X308" s="17">
        <v>88205.7</v>
      </c>
      <c r="Y308" s="17">
        <v>22051.43</v>
      </c>
      <c r="Z308" s="17">
        <v>28411.52</v>
      </c>
      <c r="AA308" s="17">
        <v>3440.97</v>
      </c>
      <c r="AB308" s="17">
        <v>28263.74</v>
      </c>
      <c r="AC308" s="17">
        <v>1466.5</v>
      </c>
      <c r="AD308" s="17">
        <v>0</v>
      </c>
      <c r="AE308" s="17">
        <v>32846.29</v>
      </c>
      <c r="AF308" s="17">
        <v>28204.69</v>
      </c>
      <c r="AG308" s="17">
        <v>6153.26</v>
      </c>
      <c r="AH308" s="17">
        <v>2493.04</v>
      </c>
      <c r="AI308" s="17">
        <v>3660.22</v>
      </c>
      <c r="AJ308" s="17">
        <v>27504.77</v>
      </c>
      <c r="AK308" s="17">
        <v>40381.97</v>
      </c>
    </row>
    <row r="309" spans="1:37" x14ac:dyDescent="0.2">
      <c r="A309" s="14" t="s">
        <v>33</v>
      </c>
      <c r="B309" s="14">
        <v>2448</v>
      </c>
      <c r="C309" s="14">
        <v>1</v>
      </c>
      <c r="D309" s="14" t="s">
        <v>372</v>
      </c>
      <c r="E309" s="15">
        <v>46</v>
      </c>
      <c r="F309" s="15" t="s">
        <v>57</v>
      </c>
      <c r="G309" s="16">
        <v>249</v>
      </c>
      <c r="H309" s="16">
        <v>279</v>
      </c>
      <c r="I309" s="16">
        <v>7951212</v>
      </c>
      <c r="J309" s="16">
        <v>29880</v>
      </c>
      <c r="K309" s="16">
        <v>33480</v>
      </c>
      <c r="L309" s="17">
        <v>26637.67</v>
      </c>
      <c r="M309" s="17">
        <v>26637.67</v>
      </c>
      <c r="N309" s="17">
        <v>26637.67</v>
      </c>
      <c r="O309" s="18">
        <v>1</v>
      </c>
      <c r="P309" s="17">
        <v>3242.33</v>
      </c>
      <c r="Q309" s="17">
        <v>6842.33</v>
      </c>
      <c r="R309" s="17">
        <v>6842.33</v>
      </c>
      <c r="S309" s="17">
        <v>1</v>
      </c>
      <c r="T309" s="17">
        <v>6842.33</v>
      </c>
      <c r="U309" s="17">
        <v>446.4</v>
      </c>
      <c r="V309" s="16">
        <v>29880</v>
      </c>
      <c r="W309" s="17">
        <v>1335.9</v>
      </c>
      <c r="X309" s="17">
        <v>31215.9</v>
      </c>
      <c r="Y309" s="17">
        <v>7803.98</v>
      </c>
      <c r="Z309" s="17">
        <v>3823.04</v>
      </c>
      <c r="AA309" s="17">
        <v>0</v>
      </c>
      <c r="AB309" s="17">
        <v>9668.7800000000007</v>
      </c>
      <c r="AC309" s="17">
        <v>0</v>
      </c>
      <c r="AD309" s="17">
        <v>0</v>
      </c>
      <c r="AE309" s="17">
        <v>3394.63</v>
      </c>
      <c r="AF309" s="17">
        <v>5628.82</v>
      </c>
      <c r="AG309" s="17">
        <v>0</v>
      </c>
      <c r="AH309" s="17">
        <v>0</v>
      </c>
      <c r="AI309" s="17">
        <v>0</v>
      </c>
      <c r="AJ309" s="17">
        <v>26637.67</v>
      </c>
      <c r="AK309" s="17">
        <v>6842.33</v>
      </c>
    </row>
    <row r="310" spans="1:37" x14ac:dyDescent="0.2">
      <c r="A310" s="14" t="s">
        <v>33</v>
      </c>
      <c r="B310" s="14">
        <v>2527</v>
      </c>
      <c r="C310" s="14">
        <v>1</v>
      </c>
      <c r="D310" s="14" t="s">
        <v>373</v>
      </c>
      <c r="E310" s="15">
        <v>54</v>
      </c>
      <c r="F310" s="15" t="s">
        <v>59</v>
      </c>
      <c r="G310" s="16">
        <v>83</v>
      </c>
      <c r="H310" s="16">
        <v>84</v>
      </c>
      <c r="I310" s="16">
        <v>1982219</v>
      </c>
      <c r="J310" s="16">
        <v>18000</v>
      </c>
      <c r="K310" s="16">
        <v>18000</v>
      </c>
      <c r="L310" s="17">
        <v>6640.71</v>
      </c>
      <c r="M310" s="17">
        <v>6640.71</v>
      </c>
      <c r="N310" s="17">
        <v>6640.71</v>
      </c>
      <c r="O310" s="18">
        <v>1</v>
      </c>
      <c r="P310" s="17">
        <v>11359.29</v>
      </c>
      <c r="Q310" s="17">
        <v>11359.29</v>
      </c>
      <c r="R310" s="17">
        <v>11359.29</v>
      </c>
      <c r="S310" s="17">
        <v>1</v>
      </c>
      <c r="T310" s="17">
        <v>11359.29</v>
      </c>
      <c r="U310" s="17">
        <v>134.4</v>
      </c>
      <c r="V310" s="16">
        <v>18000</v>
      </c>
      <c r="W310" s="17">
        <v>132.80000000000001</v>
      </c>
      <c r="X310" s="17">
        <v>18132.8</v>
      </c>
      <c r="Y310" s="17">
        <v>4533.2</v>
      </c>
      <c r="Z310" s="17">
        <v>-34281.629999999997</v>
      </c>
      <c r="AA310" s="17">
        <v>0</v>
      </c>
      <c r="AB310" s="17">
        <v>-43662.39</v>
      </c>
      <c r="AC310" s="17">
        <v>0</v>
      </c>
      <c r="AD310" s="17">
        <v>0</v>
      </c>
      <c r="AE310" s="17">
        <v>-49910.69</v>
      </c>
      <c r="AF310" s="17">
        <v>-42618.239999999998</v>
      </c>
      <c r="AG310" s="17">
        <v>0</v>
      </c>
      <c r="AH310" s="17">
        <v>0</v>
      </c>
      <c r="AI310" s="17">
        <v>0</v>
      </c>
      <c r="AJ310" s="17">
        <v>6640.71</v>
      </c>
      <c r="AK310" s="17">
        <v>11359.29</v>
      </c>
    </row>
    <row r="311" spans="1:37" x14ac:dyDescent="0.2">
      <c r="A311" s="14" t="s">
        <v>33</v>
      </c>
      <c r="B311" s="14">
        <v>2534</v>
      </c>
      <c r="C311" s="14">
        <v>1</v>
      </c>
      <c r="D311" s="14" t="s">
        <v>76</v>
      </c>
      <c r="E311" s="15">
        <v>65</v>
      </c>
      <c r="F311" s="15" t="s">
        <v>68</v>
      </c>
      <c r="G311" s="16">
        <v>284</v>
      </c>
      <c r="H311" s="16">
        <v>221</v>
      </c>
      <c r="I311" s="16">
        <v>6893340</v>
      </c>
      <c r="J311" s="16">
        <v>34080</v>
      </c>
      <c r="K311" s="16">
        <v>26520</v>
      </c>
      <c r="L311" s="17">
        <v>23093.65</v>
      </c>
      <c r="M311" s="17">
        <v>23093.65</v>
      </c>
      <c r="N311" s="17">
        <v>23093.65</v>
      </c>
      <c r="O311" s="18">
        <v>1</v>
      </c>
      <c r="P311" s="17">
        <v>10986.35</v>
      </c>
      <c r="Q311" s="17">
        <v>3426.35</v>
      </c>
      <c r="R311" s="17">
        <v>3426.35</v>
      </c>
      <c r="S311" s="17">
        <v>1</v>
      </c>
      <c r="T311" s="17">
        <v>3426.35</v>
      </c>
      <c r="U311" s="17">
        <v>353.6</v>
      </c>
      <c r="V311" s="16">
        <v>34080</v>
      </c>
      <c r="W311" s="17">
        <v>1879.4</v>
      </c>
      <c r="X311" s="17">
        <v>35959.4</v>
      </c>
      <c r="Y311" s="17">
        <v>8989.85</v>
      </c>
      <c r="Z311" s="17">
        <v>8934.27</v>
      </c>
      <c r="AA311" s="17">
        <v>1183.99</v>
      </c>
      <c r="AB311" s="17">
        <v>14249.38</v>
      </c>
      <c r="AC311" s="17">
        <v>2058.77</v>
      </c>
      <c r="AD311" s="17">
        <v>0</v>
      </c>
      <c r="AE311" s="17">
        <v>9734.35</v>
      </c>
      <c r="AF311" s="17">
        <v>9891.75</v>
      </c>
      <c r="AG311" s="17">
        <v>901.9</v>
      </c>
      <c r="AH311" s="17">
        <v>785.38</v>
      </c>
      <c r="AI311" s="17">
        <v>116.52</v>
      </c>
      <c r="AJ311" s="17">
        <v>22308.27</v>
      </c>
      <c r="AK311" s="17">
        <v>3309.83</v>
      </c>
    </row>
    <row r="312" spans="1:37" x14ac:dyDescent="0.2">
      <c r="A312" s="14" t="s">
        <v>33</v>
      </c>
      <c r="B312" s="14">
        <v>2536</v>
      </c>
      <c r="C312" s="14">
        <v>1</v>
      </c>
      <c r="D312" s="14" t="s">
        <v>78</v>
      </c>
      <c r="E312" s="15">
        <v>46</v>
      </c>
      <c r="F312" s="15" t="s">
        <v>57</v>
      </c>
      <c r="G312" s="16">
        <v>79</v>
      </c>
      <c r="H312" s="16">
        <v>73</v>
      </c>
      <c r="I312" s="16">
        <v>3907829</v>
      </c>
      <c r="J312" s="16">
        <v>18000</v>
      </c>
      <c r="K312" s="16">
        <v>18000</v>
      </c>
      <c r="L312" s="17">
        <v>13091.77</v>
      </c>
      <c r="M312" s="17">
        <v>13091.77</v>
      </c>
      <c r="N312" s="17">
        <v>13091.77</v>
      </c>
      <c r="O312" s="18">
        <v>1</v>
      </c>
      <c r="P312" s="17">
        <v>4908.2299999999996</v>
      </c>
      <c r="Q312" s="17">
        <v>4908.2299999999996</v>
      </c>
      <c r="R312" s="17">
        <v>4908.2299999999996</v>
      </c>
      <c r="S312" s="17">
        <v>1</v>
      </c>
      <c r="T312" s="17">
        <v>4908.2299999999996</v>
      </c>
      <c r="U312" s="17">
        <v>116.8</v>
      </c>
      <c r="V312" s="16">
        <v>18000</v>
      </c>
      <c r="W312" s="17">
        <v>1976.4</v>
      </c>
      <c r="X312" s="17">
        <v>19976.400000000001</v>
      </c>
      <c r="Y312" s="17">
        <v>4994.1000000000004</v>
      </c>
      <c r="Z312" s="17">
        <v>4236.1099999999997</v>
      </c>
      <c r="AA312" s="17">
        <v>0</v>
      </c>
      <c r="AB312" s="17">
        <v>4723.45</v>
      </c>
      <c r="AC312" s="17">
        <v>0</v>
      </c>
      <c r="AD312" s="17">
        <v>0</v>
      </c>
      <c r="AE312" s="17">
        <v>3394.06</v>
      </c>
      <c r="AF312" s="17">
        <v>4117.87</v>
      </c>
      <c r="AG312" s="17">
        <v>0</v>
      </c>
      <c r="AH312" s="17">
        <v>0</v>
      </c>
      <c r="AI312" s="17">
        <v>0</v>
      </c>
      <c r="AJ312" s="17">
        <v>13091.77</v>
      </c>
      <c r="AK312" s="17">
        <v>4908.2299999999996</v>
      </c>
    </row>
    <row r="313" spans="1:37" x14ac:dyDescent="0.2">
      <c r="A313" s="14" t="s">
        <v>33</v>
      </c>
      <c r="B313" s="14">
        <v>2580</v>
      </c>
      <c r="C313" s="14">
        <v>1</v>
      </c>
      <c r="D313" s="14" t="s">
        <v>374</v>
      </c>
      <c r="E313" s="15">
        <v>58</v>
      </c>
      <c r="F313" s="15" t="s">
        <v>67</v>
      </c>
      <c r="G313" s="16">
        <v>305</v>
      </c>
      <c r="H313" s="16">
        <v>288</v>
      </c>
      <c r="I313" s="16">
        <v>7225204</v>
      </c>
      <c r="J313" s="16">
        <v>36600</v>
      </c>
      <c r="K313" s="16">
        <v>34560</v>
      </c>
      <c r="L313" s="17">
        <v>24205.439999999999</v>
      </c>
      <c r="M313" s="17">
        <v>24205.439999999999</v>
      </c>
      <c r="N313" s="17">
        <v>24205.439999999999</v>
      </c>
      <c r="O313" s="18">
        <v>1</v>
      </c>
      <c r="P313" s="17">
        <v>12394.56</v>
      </c>
      <c r="Q313" s="17">
        <v>10354.56</v>
      </c>
      <c r="R313" s="17">
        <v>10354.56</v>
      </c>
      <c r="S313" s="17">
        <v>1</v>
      </c>
      <c r="T313" s="17">
        <v>10354.56</v>
      </c>
      <c r="U313" s="17">
        <v>460.8</v>
      </c>
      <c r="V313" s="16">
        <v>36600</v>
      </c>
      <c r="W313" s="17">
        <v>836</v>
      </c>
      <c r="X313" s="17">
        <v>37436</v>
      </c>
      <c r="Y313" s="17">
        <v>9359</v>
      </c>
      <c r="Z313" s="17">
        <v>-1486.18</v>
      </c>
      <c r="AA313" s="17">
        <v>3967.13</v>
      </c>
      <c r="AB313" s="17">
        <v>-3279.99</v>
      </c>
      <c r="AC313" s="17">
        <v>0</v>
      </c>
      <c r="AD313" s="17">
        <v>0</v>
      </c>
      <c r="AE313" s="17">
        <v>5729.27</v>
      </c>
      <c r="AF313" s="17">
        <v>-1001.34</v>
      </c>
      <c r="AG313" s="17">
        <v>0</v>
      </c>
      <c r="AH313" s="17">
        <v>0</v>
      </c>
      <c r="AI313" s="17">
        <v>0</v>
      </c>
      <c r="AJ313" s="17">
        <v>24205.439999999999</v>
      </c>
      <c r="AK313" s="17">
        <v>10354.56</v>
      </c>
    </row>
    <row r="314" spans="1:37" x14ac:dyDescent="0.2">
      <c r="A314" s="14" t="s">
        <v>33</v>
      </c>
      <c r="B314" s="14">
        <v>2609</v>
      </c>
      <c r="C314" s="14">
        <v>1</v>
      </c>
      <c r="D314" s="14" t="s">
        <v>375</v>
      </c>
      <c r="E314" s="15">
        <v>60</v>
      </c>
      <c r="F314" s="15" t="s">
        <v>59</v>
      </c>
      <c r="G314" s="16">
        <v>174</v>
      </c>
      <c r="H314" s="16">
        <v>175</v>
      </c>
      <c r="I314" s="16">
        <v>3613289</v>
      </c>
      <c r="J314" s="16">
        <v>20880</v>
      </c>
      <c r="K314" s="16">
        <v>21000</v>
      </c>
      <c r="L314" s="17">
        <v>12105.02</v>
      </c>
      <c r="M314" s="17">
        <v>12105.02</v>
      </c>
      <c r="N314" s="17">
        <v>12105.02</v>
      </c>
      <c r="O314" s="18">
        <v>1</v>
      </c>
      <c r="P314" s="17">
        <v>8774.98</v>
      </c>
      <c r="Q314" s="17">
        <v>8894.98</v>
      </c>
      <c r="R314" s="17">
        <v>8894.98</v>
      </c>
      <c r="S314" s="17">
        <v>1</v>
      </c>
      <c r="T314" s="17">
        <v>8894.98</v>
      </c>
      <c r="U314" s="17">
        <v>280</v>
      </c>
      <c r="V314" s="16">
        <v>20880</v>
      </c>
      <c r="W314" s="17">
        <v>278.39999999999998</v>
      </c>
      <c r="X314" s="17">
        <v>21158.400000000001</v>
      </c>
      <c r="Y314" s="17">
        <v>5289.6</v>
      </c>
      <c r="Z314" s="17">
        <v>11674.94</v>
      </c>
      <c r="AA314" s="17">
        <v>0</v>
      </c>
      <c r="AB314" s="17">
        <v>21107.06</v>
      </c>
      <c r="AC314" s="17">
        <v>6905.49</v>
      </c>
      <c r="AD314" s="17">
        <v>0</v>
      </c>
      <c r="AE314" s="17">
        <v>30610.62</v>
      </c>
      <c r="AF314" s="17">
        <v>18829.04</v>
      </c>
      <c r="AG314" s="17">
        <v>13539.44</v>
      </c>
      <c r="AH314" s="17">
        <v>7804.53</v>
      </c>
      <c r="AI314" s="17">
        <v>5734.91</v>
      </c>
      <c r="AJ314" s="17">
        <v>4300.49</v>
      </c>
      <c r="AK314" s="17">
        <v>3160.07</v>
      </c>
    </row>
    <row r="315" spans="1:37" x14ac:dyDescent="0.2">
      <c r="A315" s="14" t="s">
        <v>33</v>
      </c>
      <c r="B315" s="14">
        <v>2683</v>
      </c>
      <c r="C315" s="14">
        <v>1</v>
      </c>
      <c r="D315" s="14" t="s">
        <v>376</v>
      </c>
      <c r="E315" s="15">
        <v>68</v>
      </c>
      <c r="F315" s="15" t="s">
        <v>59</v>
      </c>
      <c r="G315" s="16">
        <v>148</v>
      </c>
      <c r="H315" s="16">
        <v>137</v>
      </c>
      <c r="I315" s="16">
        <v>2007109</v>
      </c>
      <c r="J315" s="16">
        <v>18000</v>
      </c>
      <c r="K315" s="16">
        <v>18000</v>
      </c>
      <c r="L315" s="17">
        <v>6724.1</v>
      </c>
      <c r="M315" s="17">
        <v>6724.1</v>
      </c>
      <c r="N315" s="17">
        <v>6724.1</v>
      </c>
      <c r="O315" s="18">
        <v>1</v>
      </c>
      <c r="P315" s="17">
        <v>11275.9</v>
      </c>
      <c r="Q315" s="17">
        <v>11275.9</v>
      </c>
      <c r="R315" s="17">
        <v>11275.9</v>
      </c>
      <c r="S315" s="17">
        <v>1</v>
      </c>
      <c r="T315" s="17">
        <v>11275.9</v>
      </c>
      <c r="U315" s="17">
        <v>0</v>
      </c>
      <c r="V315" s="16">
        <v>18000</v>
      </c>
      <c r="W315" s="17">
        <v>0</v>
      </c>
      <c r="X315" s="17">
        <v>18000</v>
      </c>
      <c r="Y315" s="17">
        <v>4500</v>
      </c>
      <c r="Z315" s="17">
        <v>1241.77</v>
      </c>
      <c r="AA315" s="17">
        <v>0</v>
      </c>
      <c r="AB315" s="17">
        <v>-0.56000000000000005</v>
      </c>
      <c r="AC315" s="17">
        <v>0</v>
      </c>
      <c r="AD315" s="17">
        <v>0</v>
      </c>
      <c r="AE315" s="17">
        <v>168.02</v>
      </c>
      <c r="AF315" s="17">
        <v>469.74</v>
      </c>
      <c r="AG315" s="17">
        <v>0</v>
      </c>
      <c r="AH315" s="17">
        <v>0</v>
      </c>
      <c r="AI315" s="17">
        <v>0</v>
      </c>
      <c r="AJ315" s="17">
        <v>6724.1</v>
      </c>
      <c r="AK315" s="17">
        <v>11275.9</v>
      </c>
    </row>
    <row r="316" spans="1:37" x14ac:dyDescent="0.2">
      <c r="A316" s="14" t="s">
        <v>33</v>
      </c>
      <c r="B316" s="14">
        <v>2687</v>
      </c>
      <c r="C316" s="14">
        <v>1</v>
      </c>
      <c r="D316" s="14" t="s">
        <v>86</v>
      </c>
      <c r="E316" s="15">
        <v>86</v>
      </c>
      <c r="F316" s="15" t="s">
        <v>63</v>
      </c>
      <c r="G316" s="16">
        <v>610</v>
      </c>
      <c r="H316" s="16">
        <v>671</v>
      </c>
      <c r="I316" s="16">
        <v>10233198</v>
      </c>
      <c r="J316" s="16">
        <v>73200</v>
      </c>
      <c r="K316" s="16">
        <v>80520</v>
      </c>
      <c r="L316" s="17">
        <v>34282.65</v>
      </c>
      <c r="M316" s="17">
        <v>34282.65</v>
      </c>
      <c r="N316" s="17">
        <v>34282.65</v>
      </c>
      <c r="O316" s="18">
        <v>1</v>
      </c>
      <c r="P316" s="17">
        <v>38917.35</v>
      </c>
      <c r="Q316" s="17">
        <v>46237.35</v>
      </c>
      <c r="R316" s="17">
        <v>46237.35</v>
      </c>
      <c r="S316" s="17">
        <v>1</v>
      </c>
      <c r="T316" s="17">
        <v>46237.35</v>
      </c>
      <c r="U316" s="17">
        <v>1073.5999999999999</v>
      </c>
      <c r="V316" s="16">
        <v>73200</v>
      </c>
      <c r="W316" s="17">
        <v>2100</v>
      </c>
      <c r="X316" s="17">
        <v>75300</v>
      </c>
      <c r="Y316" s="17">
        <v>18825</v>
      </c>
      <c r="Z316" s="17">
        <v>7861.96</v>
      </c>
      <c r="AA316" s="17">
        <v>0</v>
      </c>
      <c r="AB316" s="17">
        <v>11101.66</v>
      </c>
      <c r="AC316" s="17">
        <v>0</v>
      </c>
      <c r="AD316" s="17">
        <v>0</v>
      </c>
      <c r="AE316" s="17">
        <v>5954.84</v>
      </c>
      <c r="AF316" s="17">
        <v>8306.15</v>
      </c>
      <c r="AG316" s="17">
        <v>0</v>
      </c>
      <c r="AH316" s="17">
        <v>0</v>
      </c>
      <c r="AI316" s="17">
        <v>0</v>
      </c>
      <c r="AJ316" s="17">
        <v>34282.65</v>
      </c>
      <c r="AK316" s="17">
        <v>46237.35</v>
      </c>
    </row>
    <row r="317" spans="1:37" x14ac:dyDescent="0.2">
      <c r="A317" s="14" t="s">
        <v>33</v>
      </c>
      <c r="B317" s="14">
        <v>2689</v>
      </c>
      <c r="C317" s="14">
        <v>1</v>
      </c>
      <c r="D317" s="14" t="s">
        <v>377</v>
      </c>
      <c r="E317" s="15">
        <v>59</v>
      </c>
      <c r="F317" s="15" t="s">
        <v>65</v>
      </c>
      <c r="G317" s="16">
        <v>361</v>
      </c>
      <c r="H317" s="16">
        <v>421</v>
      </c>
      <c r="I317" s="16">
        <v>8514790</v>
      </c>
      <c r="J317" s="16">
        <v>43320</v>
      </c>
      <c r="K317" s="16">
        <v>50520</v>
      </c>
      <c r="L317" s="17">
        <v>28525.74</v>
      </c>
      <c r="M317" s="17">
        <v>28525.74</v>
      </c>
      <c r="N317" s="17">
        <v>28525.74</v>
      </c>
      <c r="O317" s="18">
        <v>1</v>
      </c>
      <c r="P317" s="17">
        <v>14794.26</v>
      </c>
      <c r="Q317" s="17">
        <v>21994.26</v>
      </c>
      <c r="R317" s="17">
        <v>21994.26</v>
      </c>
      <c r="S317" s="17">
        <v>1</v>
      </c>
      <c r="T317" s="17">
        <v>21994.26</v>
      </c>
      <c r="U317" s="17">
        <v>673.6</v>
      </c>
      <c r="V317" s="16">
        <v>43320</v>
      </c>
      <c r="W317" s="17">
        <v>34150.6</v>
      </c>
      <c r="X317" s="17">
        <v>77470.600000000006</v>
      </c>
      <c r="Y317" s="17">
        <v>19367.650000000001</v>
      </c>
      <c r="Z317" s="17">
        <v>961.36</v>
      </c>
      <c r="AA317" s="17">
        <v>0</v>
      </c>
      <c r="AB317" s="17">
        <v>-774.36</v>
      </c>
      <c r="AC317" s="17">
        <v>0</v>
      </c>
      <c r="AD317" s="17">
        <v>0</v>
      </c>
      <c r="AE317" s="17">
        <v>29792.799999999999</v>
      </c>
      <c r="AF317" s="17">
        <v>9993.27</v>
      </c>
      <c r="AG317" s="17">
        <v>0</v>
      </c>
      <c r="AH317" s="17">
        <v>0</v>
      </c>
      <c r="AI317" s="17">
        <v>0</v>
      </c>
      <c r="AJ317" s="17">
        <v>28525.74</v>
      </c>
      <c r="AK317" s="17">
        <v>21994.26</v>
      </c>
    </row>
    <row r="318" spans="1:37" x14ac:dyDescent="0.2">
      <c r="A318" s="14" t="s">
        <v>33</v>
      </c>
      <c r="B318" s="14">
        <v>2711</v>
      </c>
      <c r="C318" s="14">
        <v>1</v>
      </c>
      <c r="D318" s="14" t="s">
        <v>378</v>
      </c>
      <c r="E318" s="15">
        <v>69</v>
      </c>
      <c r="F318" s="15" t="s">
        <v>58</v>
      </c>
      <c r="G318" s="16">
        <v>405</v>
      </c>
      <c r="H318" s="16">
        <v>400</v>
      </c>
      <c r="I318" s="16">
        <v>6887954</v>
      </c>
      <c r="J318" s="16">
        <v>48600</v>
      </c>
      <c r="K318" s="16">
        <v>48000</v>
      </c>
      <c r="L318" s="17">
        <v>23075.61</v>
      </c>
      <c r="M318" s="17">
        <v>23075.61</v>
      </c>
      <c r="N318" s="17">
        <v>23075.61</v>
      </c>
      <c r="O318" s="18">
        <v>1</v>
      </c>
      <c r="P318" s="17">
        <v>25524.39</v>
      </c>
      <c r="Q318" s="17">
        <v>24924.39</v>
      </c>
      <c r="R318" s="17">
        <v>24924.39</v>
      </c>
      <c r="S318" s="17">
        <v>1</v>
      </c>
      <c r="T318" s="17">
        <v>24924.39</v>
      </c>
      <c r="U318" s="17">
        <v>640</v>
      </c>
      <c r="V318" s="16">
        <v>48600</v>
      </c>
      <c r="W318" s="17">
        <v>6209.6</v>
      </c>
      <c r="X318" s="17">
        <v>54809.599999999999</v>
      </c>
      <c r="Y318" s="17">
        <v>13702.4</v>
      </c>
      <c r="Z318" s="17">
        <v>11109.26</v>
      </c>
      <c r="AA318" s="17">
        <v>0</v>
      </c>
      <c r="AB318" s="17">
        <v>18523.04</v>
      </c>
      <c r="AC318" s="17">
        <v>1508.76</v>
      </c>
      <c r="AD318" s="17">
        <v>0</v>
      </c>
      <c r="AE318" s="17">
        <v>11311.37</v>
      </c>
      <c r="AF318" s="17">
        <v>13144.97</v>
      </c>
      <c r="AG318" s="17">
        <v>0</v>
      </c>
      <c r="AH318" s="17">
        <v>0</v>
      </c>
      <c r="AI318" s="17">
        <v>0</v>
      </c>
      <c r="AJ318" s="17">
        <v>23075.61</v>
      </c>
      <c r="AK318" s="17">
        <v>24924.39</v>
      </c>
    </row>
    <row r="319" spans="1:37" x14ac:dyDescent="0.2">
      <c r="A319" s="14" t="s">
        <v>33</v>
      </c>
      <c r="B319" s="14">
        <v>2752</v>
      </c>
      <c r="C319" s="14">
        <v>1</v>
      </c>
      <c r="D319" s="14" t="s">
        <v>379</v>
      </c>
      <c r="E319" s="15">
        <v>46</v>
      </c>
      <c r="F319" s="15" t="s">
        <v>57</v>
      </c>
      <c r="G319" s="16">
        <v>791</v>
      </c>
      <c r="H319" s="16">
        <v>819</v>
      </c>
      <c r="I319" s="16">
        <v>11256488</v>
      </c>
      <c r="J319" s="16">
        <v>94920</v>
      </c>
      <c r="K319" s="16">
        <v>98280</v>
      </c>
      <c r="L319" s="17">
        <v>37710.81</v>
      </c>
      <c r="M319" s="17">
        <v>37710.81</v>
      </c>
      <c r="N319" s="17">
        <v>37710.81</v>
      </c>
      <c r="O319" s="18">
        <v>1</v>
      </c>
      <c r="P319" s="17">
        <v>57209.19</v>
      </c>
      <c r="Q319" s="17">
        <v>60569.19</v>
      </c>
      <c r="R319" s="17">
        <v>60569.19</v>
      </c>
      <c r="S319" s="17">
        <v>1</v>
      </c>
      <c r="T319" s="17">
        <v>60569.19</v>
      </c>
      <c r="U319" s="17">
        <v>1310.4000000000001</v>
      </c>
      <c r="V319" s="16">
        <v>94920</v>
      </c>
      <c r="W319" s="17">
        <v>24821.55</v>
      </c>
      <c r="X319" s="17">
        <v>119741.55</v>
      </c>
      <c r="Y319" s="17">
        <v>29935.39</v>
      </c>
      <c r="Z319" s="17">
        <v>16855.57</v>
      </c>
      <c r="AA319" s="17">
        <v>0</v>
      </c>
      <c r="AB319" s="17">
        <v>12856.29</v>
      </c>
      <c r="AC319" s="17">
        <v>0</v>
      </c>
      <c r="AD319" s="17">
        <v>0</v>
      </c>
      <c r="AE319" s="17">
        <v>16916.05</v>
      </c>
      <c r="AF319" s="17">
        <v>15542.64</v>
      </c>
      <c r="AG319" s="17">
        <v>0</v>
      </c>
      <c r="AH319" s="17">
        <v>0</v>
      </c>
      <c r="AI319" s="17">
        <v>0</v>
      </c>
      <c r="AJ319" s="17">
        <v>37710.81</v>
      </c>
      <c r="AK319" s="17">
        <v>60569.19</v>
      </c>
    </row>
    <row r="320" spans="1:37" x14ac:dyDescent="0.2">
      <c r="A320" s="14" t="s">
        <v>33</v>
      </c>
      <c r="B320" s="14">
        <v>2753</v>
      </c>
      <c r="C320" s="14">
        <v>1</v>
      </c>
      <c r="D320" s="14" t="s">
        <v>380</v>
      </c>
      <c r="E320" s="15">
        <v>77</v>
      </c>
      <c r="F320" s="15" t="s">
        <v>66</v>
      </c>
      <c r="G320" s="16">
        <v>581</v>
      </c>
      <c r="H320" s="16">
        <v>620</v>
      </c>
      <c r="I320" s="16">
        <v>7515465</v>
      </c>
      <c r="J320" s="16">
        <v>69720</v>
      </c>
      <c r="K320" s="16">
        <v>74400</v>
      </c>
      <c r="L320" s="17">
        <v>25177.86</v>
      </c>
      <c r="M320" s="17">
        <v>25177.86</v>
      </c>
      <c r="N320" s="17">
        <v>25177.86</v>
      </c>
      <c r="O320" s="18">
        <v>1</v>
      </c>
      <c r="P320" s="17">
        <v>44542.14</v>
      </c>
      <c r="Q320" s="17">
        <v>49222.14</v>
      </c>
      <c r="R320" s="17">
        <v>49222.14</v>
      </c>
      <c r="S320" s="17">
        <v>1</v>
      </c>
      <c r="T320" s="17">
        <v>49222.14</v>
      </c>
      <c r="U320" s="17">
        <v>992</v>
      </c>
      <c r="V320" s="16">
        <v>69720</v>
      </c>
      <c r="W320" s="17">
        <v>8850.82</v>
      </c>
      <c r="X320" s="17">
        <v>78570.820000000007</v>
      </c>
      <c r="Y320" s="17">
        <v>19642.71</v>
      </c>
      <c r="Z320" s="17">
        <v>17482.28</v>
      </c>
      <c r="AA320" s="17">
        <v>0</v>
      </c>
      <c r="AB320" s="17">
        <v>7255.66</v>
      </c>
      <c r="AC320" s="17">
        <v>0</v>
      </c>
      <c r="AD320" s="17">
        <v>0</v>
      </c>
      <c r="AE320" s="17">
        <v>5561.52</v>
      </c>
      <c r="AF320" s="17">
        <v>10099.82</v>
      </c>
      <c r="AG320" s="17">
        <v>0</v>
      </c>
      <c r="AH320" s="17">
        <v>0</v>
      </c>
      <c r="AI320" s="17">
        <v>0</v>
      </c>
      <c r="AJ320" s="17">
        <v>25177.86</v>
      </c>
      <c r="AK320" s="17">
        <v>49222.14</v>
      </c>
    </row>
    <row r="321" spans="1:37" x14ac:dyDescent="0.2">
      <c r="A321" s="14" t="s">
        <v>33</v>
      </c>
      <c r="B321" s="14">
        <v>2754</v>
      </c>
      <c r="C321" s="14">
        <v>1</v>
      </c>
      <c r="D321" s="14" t="s">
        <v>381</v>
      </c>
      <c r="E321" s="15">
        <v>64</v>
      </c>
      <c r="F321" s="15" t="s">
        <v>65</v>
      </c>
      <c r="G321" s="16">
        <v>157</v>
      </c>
      <c r="H321" s="16">
        <v>195</v>
      </c>
      <c r="I321" s="16">
        <v>3613885</v>
      </c>
      <c r="J321" s="16">
        <v>18840</v>
      </c>
      <c r="K321" s="16">
        <v>23400</v>
      </c>
      <c r="L321" s="17">
        <v>12107.02</v>
      </c>
      <c r="M321" s="17">
        <v>12107.02</v>
      </c>
      <c r="N321" s="17">
        <v>12107.02</v>
      </c>
      <c r="O321" s="18">
        <v>1</v>
      </c>
      <c r="P321" s="17">
        <v>6732.98</v>
      </c>
      <c r="Q321" s="17">
        <v>11292.98</v>
      </c>
      <c r="R321" s="17">
        <v>11292.98</v>
      </c>
      <c r="S321" s="17">
        <v>1</v>
      </c>
      <c r="T321" s="17">
        <v>11292.98</v>
      </c>
      <c r="U321" s="17">
        <v>312</v>
      </c>
      <c r="V321" s="16">
        <v>18840</v>
      </c>
      <c r="W321" s="17">
        <v>831.2</v>
      </c>
      <c r="X321" s="17">
        <v>19671.2</v>
      </c>
      <c r="Y321" s="17">
        <v>4917.8</v>
      </c>
      <c r="Z321" s="17">
        <v>843.15</v>
      </c>
      <c r="AA321" s="17">
        <v>0</v>
      </c>
      <c r="AB321" s="17">
        <v>8244.32</v>
      </c>
      <c r="AC321" s="17">
        <v>0</v>
      </c>
      <c r="AD321" s="17">
        <v>0</v>
      </c>
      <c r="AE321" s="17">
        <v>9478.3799999999992</v>
      </c>
      <c r="AF321" s="17">
        <v>6188.62</v>
      </c>
      <c r="AG321" s="17">
        <v>1270.82</v>
      </c>
      <c r="AH321" s="17">
        <v>657.51</v>
      </c>
      <c r="AI321" s="17">
        <v>613.30999999999995</v>
      </c>
      <c r="AJ321" s="17">
        <v>11449.51</v>
      </c>
      <c r="AK321" s="17">
        <v>10679.67</v>
      </c>
    </row>
    <row r="322" spans="1:37" x14ac:dyDescent="0.2">
      <c r="A322" s="14" t="s">
        <v>33</v>
      </c>
      <c r="B322" s="14">
        <v>2759</v>
      </c>
      <c r="C322" s="14">
        <v>1</v>
      </c>
      <c r="D322" s="14" t="s">
        <v>382</v>
      </c>
      <c r="E322" s="15">
        <v>77</v>
      </c>
      <c r="F322" s="15" t="s">
        <v>66</v>
      </c>
      <c r="G322" s="16">
        <v>156</v>
      </c>
      <c r="H322" s="16">
        <v>181</v>
      </c>
      <c r="I322" s="16">
        <v>1806097</v>
      </c>
      <c r="J322" s="16">
        <v>18720</v>
      </c>
      <c r="K322" s="16">
        <v>21720</v>
      </c>
      <c r="L322" s="17">
        <v>6050.68</v>
      </c>
      <c r="M322" s="17">
        <v>6050.68</v>
      </c>
      <c r="N322" s="17">
        <v>6050.68</v>
      </c>
      <c r="O322" s="18">
        <v>1</v>
      </c>
      <c r="P322" s="17">
        <v>12669.32</v>
      </c>
      <c r="Q322" s="17">
        <v>15669.32</v>
      </c>
      <c r="R322" s="17">
        <v>15669.32</v>
      </c>
      <c r="S322" s="17">
        <v>1</v>
      </c>
      <c r="T322" s="17">
        <v>15669.32</v>
      </c>
      <c r="U322" s="17">
        <v>289.60000000000002</v>
      </c>
      <c r="V322" s="16">
        <v>18720</v>
      </c>
      <c r="W322" s="17">
        <v>249.6</v>
      </c>
      <c r="X322" s="17">
        <v>18969.599999999999</v>
      </c>
      <c r="Y322" s="17">
        <v>4742.3999999999996</v>
      </c>
      <c r="Z322" s="17">
        <v>-301</v>
      </c>
      <c r="AA322" s="17">
        <v>0</v>
      </c>
      <c r="AB322" s="17">
        <v>-2808.39</v>
      </c>
      <c r="AC322" s="17">
        <v>0</v>
      </c>
      <c r="AD322" s="17">
        <v>0</v>
      </c>
      <c r="AE322" s="17">
        <v>-4388.3999999999996</v>
      </c>
      <c r="AF322" s="17">
        <v>-2499.2600000000002</v>
      </c>
      <c r="AG322" s="17">
        <v>0</v>
      </c>
      <c r="AH322" s="17">
        <v>0</v>
      </c>
      <c r="AI322" s="17">
        <v>0</v>
      </c>
      <c r="AJ322" s="17">
        <v>6050.68</v>
      </c>
      <c r="AK322" s="17">
        <v>15669.32</v>
      </c>
    </row>
    <row r="323" spans="1:37" x14ac:dyDescent="0.2">
      <c r="A323" s="14" t="s">
        <v>33</v>
      </c>
      <c r="B323" s="14">
        <v>2805</v>
      </c>
      <c r="C323" s="14">
        <v>1</v>
      </c>
      <c r="D323" s="14" t="s">
        <v>383</v>
      </c>
      <c r="E323" s="15">
        <v>79</v>
      </c>
      <c r="F323" s="15" t="s">
        <v>61</v>
      </c>
      <c r="G323" s="16">
        <v>435</v>
      </c>
      <c r="H323" s="16">
        <v>473</v>
      </c>
      <c r="I323" s="16">
        <v>7478420</v>
      </c>
      <c r="J323" s="16">
        <v>52200</v>
      </c>
      <c r="K323" s="16">
        <v>56760</v>
      </c>
      <c r="L323" s="17">
        <v>25053.75</v>
      </c>
      <c r="M323" s="17">
        <v>25053.75</v>
      </c>
      <c r="N323" s="17">
        <v>25053.75</v>
      </c>
      <c r="O323" s="18">
        <v>1</v>
      </c>
      <c r="P323" s="17">
        <v>27146.25</v>
      </c>
      <c r="Q323" s="17">
        <v>31706.25</v>
      </c>
      <c r="R323" s="17">
        <v>31706.25</v>
      </c>
      <c r="S323" s="17">
        <v>1</v>
      </c>
      <c r="T323" s="17">
        <v>31706.25</v>
      </c>
      <c r="U323" s="17">
        <v>756.8</v>
      </c>
      <c r="V323" s="16">
        <v>52200</v>
      </c>
      <c r="W323" s="17">
        <v>9336.85</v>
      </c>
      <c r="X323" s="17">
        <v>61536.85</v>
      </c>
      <c r="Y323" s="17">
        <v>15384.21</v>
      </c>
      <c r="Z323" s="17">
        <v>5555.7</v>
      </c>
      <c r="AA323" s="17">
        <v>0</v>
      </c>
      <c r="AB323" s="17">
        <v>-5447.66</v>
      </c>
      <c r="AC323" s="17">
        <v>0</v>
      </c>
      <c r="AD323" s="17">
        <v>0</v>
      </c>
      <c r="AE323" s="17">
        <v>-1987.59</v>
      </c>
      <c r="AF323" s="17">
        <v>-626.52</v>
      </c>
      <c r="AG323" s="17">
        <v>0</v>
      </c>
      <c r="AH323" s="17">
        <v>0</v>
      </c>
      <c r="AI323" s="17">
        <v>0</v>
      </c>
      <c r="AJ323" s="17">
        <v>25053.75</v>
      </c>
      <c r="AK323" s="17">
        <v>31706.25</v>
      </c>
    </row>
    <row r="324" spans="1:37" x14ac:dyDescent="0.2">
      <c r="A324" s="14" t="s">
        <v>33</v>
      </c>
      <c r="B324" s="14">
        <v>2835</v>
      </c>
      <c r="C324" s="14">
        <v>1</v>
      </c>
      <c r="D324" s="14" t="s">
        <v>75</v>
      </c>
      <c r="E324" s="15">
        <v>81</v>
      </c>
      <c r="F324" s="15" t="s">
        <v>57</v>
      </c>
      <c r="G324" s="16">
        <v>294</v>
      </c>
      <c r="H324" s="16">
        <v>298</v>
      </c>
      <c r="I324" s="16">
        <v>6234232</v>
      </c>
      <c r="J324" s="16">
        <v>35280</v>
      </c>
      <c r="K324" s="16">
        <v>35760</v>
      </c>
      <c r="L324" s="17">
        <v>20885.55</v>
      </c>
      <c r="M324" s="17">
        <v>20885.55</v>
      </c>
      <c r="N324" s="17">
        <v>20885.55</v>
      </c>
      <c r="O324" s="18">
        <v>1</v>
      </c>
      <c r="P324" s="17">
        <v>14394.45</v>
      </c>
      <c r="Q324" s="17">
        <v>14874.45</v>
      </c>
      <c r="R324" s="17">
        <v>14874.45</v>
      </c>
      <c r="S324" s="17">
        <v>1</v>
      </c>
      <c r="T324" s="17">
        <v>14874.45</v>
      </c>
      <c r="U324" s="17">
        <v>0</v>
      </c>
      <c r="V324" s="16">
        <v>35280</v>
      </c>
      <c r="W324" s="17">
        <v>750</v>
      </c>
      <c r="X324" s="17">
        <v>36030</v>
      </c>
      <c r="Y324" s="17">
        <v>9007.5</v>
      </c>
      <c r="Z324" s="17">
        <v>15719.99</v>
      </c>
      <c r="AA324" s="17">
        <v>0</v>
      </c>
      <c r="AB324" s="17">
        <v>4678.75</v>
      </c>
      <c r="AC324" s="17">
        <v>0</v>
      </c>
      <c r="AD324" s="17">
        <v>0</v>
      </c>
      <c r="AE324" s="17">
        <v>-1879.47</v>
      </c>
      <c r="AF324" s="17">
        <v>6173.09</v>
      </c>
      <c r="AG324" s="17">
        <v>0</v>
      </c>
      <c r="AH324" s="17">
        <v>0</v>
      </c>
      <c r="AI324" s="17">
        <v>0</v>
      </c>
      <c r="AJ324" s="17">
        <v>20885.55</v>
      </c>
      <c r="AK324" s="17">
        <v>14874.45</v>
      </c>
    </row>
    <row r="325" spans="1:37" x14ac:dyDescent="0.2">
      <c r="A325" s="14" t="s">
        <v>33</v>
      </c>
      <c r="B325" s="14">
        <v>2853</v>
      </c>
      <c r="C325" s="14">
        <v>1</v>
      </c>
      <c r="D325" s="14" t="s">
        <v>384</v>
      </c>
      <c r="E325" s="15">
        <v>37</v>
      </c>
      <c r="F325" s="15" t="s">
        <v>64</v>
      </c>
      <c r="G325" s="16">
        <v>360</v>
      </c>
      <c r="H325" s="16">
        <v>360</v>
      </c>
      <c r="I325" s="16">
        <v>9942541</v>
      </c>
      <c r="J325" s="16">
        <v>43200</v>
      </c>
      <c r="K325" s="16">
        <v>43200</v>
      </c>
      <c r="L325" s="17">
        <v>33308.9</v>
      </c>
      <c r="M325" s="17">
        <v>33308.9</v>
      </c>
      <c r="N325" s="17">
        <v>33308.9</v>
      </c>
      <c r="O325" s="18">
        <v>1</v>
      </c>
      <c r="P325" s="17">
        <v>9891.1</v>
      </c>
      <c r="Q325" s="17">
        <v>9891.1</v>
      </c>
      <c r="R325" s="17">
        <v>9891.1</v>
      </c>
      <c r="S325" s="17">
        <v>1</v>
      </c>
      <c r="T325" s="17">
        <v>9891.1</v>
      </c>
      <c r="U325" s="17">
        <v>576</v>
      </c>
      <c r="V325" s="16">
        <v>43200</v>
      </c>
      <c r="W325" s="17">
        <v>1875.55</v>
      </c>
      <c r="X325" s="17">
        <v>45075.55</v>
      </c>
      <c r="Y325" s="17">
        <v>11268.89</v>
      </c>
      <c r="Z325" s="17">
        <v>10428.450000000001</v>
      </c>
      <c r="AA325" s="17">
        <v>0</v>
      </c>
      <c r="AB325" s="17">
        <v>11546.67</v>
      </c>
      <c r="AC325" s="17">
        <v>0</v>
      </c>
      <c r="AD325" s="17">
        <v>0</v>
      </c>
      <c r="AE325" s="17">
        <v>11145.95</v>
      </c>
      <c r="AF325" s="17">
        <v>11040.36</v>
      </c>
      <c r="AG325" s="17">
        <v>0</v>
      </c>
      <c r="AH325" s="17">
        <v>0</v>
      </c>
      <c r="AI325" s="17">
        <v>0</v>
      </c>
      <c r="AJ325" s="17">
        <v>33308.9</v>
      </c>
      <c r="AK325" s="17">
        <v>9891.1</v>
      </c>
    </row>
    <row r="326" spans="1:37" x14ac:dyDescent="0.2">
      <c r="A326" s="14" t="s">
        <v>33</v>
      </c>
      <c r="B326" s="14">
        <v>2854</v>
      </c>
      <c r="C326" s="14">
        <v>1</v>
      </c>
      <c r="D326" s="14" t="s">
        <v>385</v>
      </c>
      <c r="E326" s="15">
        <v>54</v>
      </c>
      <c r="F326" s="15" t="s">
        <v>59</v>
      </c>
      <c r="G326" s="16">
        <v>170</v>
      </c>
      <c r="H326" s="16">
        <v>175</v>
      </c>
      <c r="I326" s="16">
        <v>3038211</v>
      </c>
      <c r="J326" s="16">
        <v>20400</v>
      </c>
      <c r="K326" s="16">
        <v>21000</v>
      </c>
      <c r="L326" s="17">
        <v>10178.43</v>
      </c>
      <c r="M326" s="17">
        <v>10178.43</v>
      </c>
      <c r="N326" s="17">
        <v>10178.43</v>
      </c>
      <c r="O326" s="18">
        <v>1</v>
      </c>
      <c r="P326" s="17">
        <v>10221.57</v>
      </c>
      <c r="Q326" s="17">
        <v>10821.57</v>
      </c>
      <c r="R326" s="17">
        <v>10821.57</v>
      </c>
      <c r="S326" s="17">
        <v>1</v>
      </c>
      <c r="T326" s="17">
        <v>10821.57</v>
      </c>
      <c r="U326" s="17">
        <v>0</v>
      </c>
      <c r="V326" s="16">
        <v>20400</v>
      </c>
      <c r="W326" s="17">
        <v>677</v>
      </c>
      <c r="X326" s="17">
        <v>21077</v>
      </c>
      <c r="Y326" s="17">
        <v>5269.25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0</v>
      </c>
      <c r="AG326" s="17">
        <v>0</v>
      </c>
      <c r="AH326" s="17">
        <v>0</v>
      </c>
      <c r="AI326" s="17">
        <v>0</v>
      </c>
      <c r="AJ326" s="17">
        <v>10178.43</v>
      </c>
      <c r="AK326" s="17">
        <v>10821.57</v>
      </c>
    </row>
    <row r="327" spans="1:37" x14ac:dyDescent="0.2">
      <c r="A327" s="14" t="s">
        <v>33</v>
      </c>
      <c r="B327" s="14">
        <v>2856</v>
      </c>
      <c r="C327" s="14">
        <v>1</v>
      </c>
      <c r="D327" s="14" t="s">
        <v>87</v>
      </c>
      <c r="E327" s="15">
        <v>45</v>
      </c>
      <c r="F327" s="15" t="s">
        <v>59</v>
      </c>
      <c r="G327" s="16">
        <v>117</v>
      </c>
      <c r="H327" s="16">
        <v>102</v>
      </c>
      <c r="I327" s="16">
        <v>2979192</v>
      </c>
      <c r="J327" s="16">
        <v>18000</v>
      </c>
      <c r="K327" s="16">
        <v>18000</v>
      </c>
      <c r="L327" s="17">
        <v>9980.7099999999991</v>
      </c>
      <c r="M327" s="17">
        <v>9980.7099999999991</v>
      </c>
      <c r="N327" s="17">
        <v>9980.7099999999991</v>
      </c>
      <c r="O327" s="18">
        <v>1</v>
      </c>
      <c r="P327" s="17">
        <v>8019.29</v>
      </c>
      <c r="Q327" s="17">
        <v>8019.29</v>
      </c>
      <c r="R327" s="17">
        <v>8019.29</v>
      </c>
      <c r="S327" s="17">
        <v>1</v>
      </c>
      <c r="T327" s="17">
        <v>8019.29</v>
      </c>
      <c r="U327" s="17">
        <v>163.19999999999999</v>
      </c>
      <c r="V327" s="16">
        <v>18000</v>
      </c>
      <c r="W327" s="17">
        <v>759.2</v>
      </c>
      <c r="X327" s="17">
        <v>18759.2</v>
      </c>
      <c r="Y327" s="17">
        <v>4689.8</v>
      </c>
      <c r="Z327" s="17">
        <v>293.97000000000003</v>
      </c>
      <c r="AA327" s="17">
        <v>0</v>
      </c>
      <c r="AB327" s="17">
        <v>541.28</v>
      </c>
      <c r="AC327" s="17">
        <v>0</v>
      </c>
      <c r="AD327" s="17">
        <v>0</v>
      </c>
      <c r="AE327" s="17">
        <v>0</v>
      </c>
      <c r="AF327" s="17">
        <v>278.42</v>
      </c>
      <c r="AG327" s="17">
        <v>0</v>
      </c>
      <c r="AH327" s="17">
        <v>0</v>
      </c>
      <c r="AI327" s="17">
        <v>0</v>
      </c>
      <c r="AJ327" s="17">
        <v>9980.7099999999991</v>
      </c>
      <c r="AK327" s="17">
        <v>8019.29</v>
      </c>
    </row>
    <row r="328" spans="1:37" x14ac:dyDescent="0.2">
      <c r="A328" s="14" t="s">
        <v>33</v>
      </c>
      <c r="B328" s="14">
        <v>2859</v>
      </c>
      <c r="C328" s="14">
        <v>1</v>
      </c>
      <c r="D328" s="14" t="s">
        <v>386</v>
      </c>
      <c r="E328" s="15">
        <v>43</v>
      </c>
      <c r="F328" s="15" t="s">
        <v>68</v>
      </c>
      <c r="G328" s="16">
        <v>917</v>
      </c>
      <c r="H328" s="16">
        <v>868</v>
      </c>
      <c r="I328" s="16">
        <v>13100232</v>
      </c>
      <c r="J328" s="16">
        <v>110040</v>
      </c>
      <c r="K328" s="16">
        <v>104160</v>
      </c>
      <c r="L328" s="17">
        <v>43887.61</v>
      </c>
      <c r="M328" s="17">
        <v>43887.61</v>
      </c>
      <c r="N328" s="17">
        <v>43887.61</v>
      </c>
      <c r="O328" s="18">
        <v>1</v>
      </c>
      <c r="P328" s="17">
        <v>66152.39</v>
      </c>
      <c r="Q328" s="17">
        <v>60272.39</v>
      </c>
      <c r="R328" s="17">
        <v>60272.39</v>
      </c>
      <c r="S328" s="17">
        <v>1</v>
      </c>
      <c r="T328" s="17">
        <v>60272.39</v>
      </c>
      <c r="U328" s="17">
        <v>1388.8</v>
      </c>
      <c r="V328" s="16">
        <v>110053.65</v>
      </c>
      <c r="W328" s="17">
        <v>6832.81</v>
      </c>
      <c r="X328" s="17">
        <v>116886.46</v>
      </c>
      <c r="Y328" s="17">
        <v>29221.62</v>
      </c>
      <c r="Z328" s="17">
        <v>21635.41</v>
      </c>
      <c r="AA328" s="17">
        <v>498.81</v>
      </c>
      <c r="AB328" s="17">
        <v>32544.45</v>
      </c>
      <c r="AC328" s="17">
        <v>2858.23</v>
      </c>
      <c r="AD328" s="17">
        <v>0</v>
      </c>
      <c r="AE328" s="17">
        <v>24475.360000000001</v>
      </c>
      <c r="AF328" s="17">
        <v>25099.39</v>
      </c>
      <c r="AG328" s="17">
        <v>0</v>
      </c>
      <c r="AH328" s="17">
        <v>0</v>
      </c>
      <c r="AI328" s="17">
        <v>0</v>
      </c>
      <c r="AJ328" s="17">
        <v>43887.61</v>
      </c>
      <c r="AK328" s="17">
        <v>60272.39</v>
      </c>
    </row>
    <row r="329" spans="1:37" x14ac:dyDescent="0.2">
      <c r="A329" s="14" t="s">
        <v>33</v>
      </c>
      <c r="B329" s="14">
        <v>2860</v>
      </c>
      <c r="C329" s="14">
        <v>1</v>
      </c>
      <c r="D329" s="14" t="s">
        <v>85</v>
      </c>
      <c r="E329" s="15">
        <v>22</v>
      </c>
      <c r="F329" s="15" t="s">
        <v>57</v>
      </c>
      <c r="G329" s="16">
        <v>556</v>
      </c>
      <c r="H329" s="16">
        <v>553</v>
      </c>
      <c r="I329" s="16">
        <v>10077223</v>
      </c>
      <c r="J329" s="16">
        <v>66720</v>
      </c>
      <c r="K329" s="16">
        <v>66360</v>
      </c>
      <c r="L329" s="17">
        <v>33760.11</v>
      </c>
      <c r="M329" s="17">
        <v>33760.11</v>
      </c>
      <c r="N329" s="17">
        <v>33760.11</v>
      </c>
      <c r="O329" s="18">
        <v>1</v>
      </c>
      <c r="P329" s="17">
        <v>32959.89</v>
      </c>
      <c r="Q329" s="17">
        <v>32599.89</v>
      </c>
      <c r="R329" s="17">
        <v>32599.89</v>
      </c>
      <c r="S329" s="17">
        <v>1</v>
      </c>
      <c r="T329" s="17">
        <v>32599.89</v>
      </c>
      <c r="U329" s="17">
        <v>884.8</v>
      </c>
      <c r="V329" s="16">
        <v>66720</v>
      </c>
      <c r="W329" s="17">
        <v>4160.9399999999996</v>
      </c>
      <c r="X329" s="17">
        <v>70880.94</v>
      </c>
      <c r="Y329" s="17">
        <v>17720.240000000002</v>
      </c>
      <c r="Z329" s="17">
        <v>16470.07</v>
      </c>
      <c r="AA329" s="17">
        <v>0</v>
      </c>
      <c r="AB329" s="17">
        <v>24970.93</v>
      </c>
      <c r="AC329" s="17">
        <v>1928.36</v>
      </c>
      <c r="AD329" s="17">
        <v>0</v>
      </c>
      <c r="AE329" s="17">
        <v>17725.080000000002</v>
      </c>
      <c r="AF329" s="17">
        <v>19079.240000000002</v>
      </c>
      <c r="AG329" s="17">
        <v>1359</v>
      </c>
      <c r="AH329" s="17">
        <v>691.38</v>
      </c>
      <c r="AI329" s="17">
        <v>667.62</v>
      </c>
      <c r="AJ329" s="17">
        <v>33068.730000000003</v>
      </c>
      <c r="AK329" s="17">
        <v>31932.27</v>
      </c>
    </row>
    <row r="330" spans="1:37" x14ac:dyDescent="0.2">
      <c r="A330" s="14" t="s">
        <v>33</v>
      </c>
      <c r="B330" s="14">
        <v>2884</v>
      </c>
      <c r="C330" s="14">
        <v>1</v>
      </c>
      <c r="D330" s="14" t="s">
        <v>387</v>
      </c>
      <c r="E330" s="15">
        <v>17</v>
      </c>
      <c r="F330" s="15" t="s">
        <v>65</v>
      </c>
      <c r="G330" s="16">
        <v>160</v>
      </c>
      <c r="H330" s="16">
        <v>121</v>
      </c>
      <c r="I330" s="16">
        <v>6378718</v>
      </c>
      <c r="J330" s="16">
        <v>19200</v>
      </c>
      <c r="K330" s="16">
        <v>18000</v>
      </c>
      <c r="L330" s="17">
        <v>19200</v>
      </c>
      <c r="M330" s="17">
        <v>18000</v>
      </c>
      <c r="N330" s="17">
        <v>19200</v>
      </c>
      <c r="O330" s="18">
        <v>1</v>
      </c>
      <c r="P330" s="17">
        <v>0</v>
      </c>
      <c r="Q330" s="17">
        <v>0</v>
      </c>
      <c r="R330" s="17">
        <v>0</v>
      </c>
      <c r="S330" s="17">
        <v>1</v>
      </c>
      <c r="T330" s="17">
        <v>0</v>
      </c>
      <c r="U330" s="17">
        <v>0</v>
      </c>
      <c r="V330" s="16">
        <v>19200</v>
      </c>
      <c r="W330" s="17">
        <v>256</v>
      </c>
      <c r="X330" s="17">
        <v>19456</v>
      </c>
      <c r="Y330" s="17">
        <v>4864</v>
      </c>
      <c r="Z330" s="17">
        <v>57036.92</v>
      </c>
      <c r="AA330" s="17">
        <v>19680</v>
      </c>
      <c r="AB330" s="17">
        <v>29089.5</v>
      </c>
      <c r="AC330" s="17">
        <v>19200</v>
      </c>
      <c r="AD330" s="17">
        <v>0</v>
      </c>
      <c r="AE330" s="17">
        <v>21590.55</v>
      </c>
      <c r="AF330" s="17">
        <v>22945.66</v>
      </c>
      <c r="AG330" s="17">
        <v>18000</v>
      </c>
      <c r="AH330" s="17">
        <v>18000</v>
      </c>
      <c r="AI330" s="17">
        <v>0</v>
      </c>
      <c r="AJ330" s="17">
        <v>0</v>
      </c>
      <c r="AK330" s="17">
        <v>0</v>
      </c>
    </row>
    <row r="331" spans="1:37" x14ac:dyDescent="0.2">
      <c r="A331" s="14" t="s">
        <v>33</v>
      </c>
      <c r="B331" s="14">
        <v>2886</v>
      </c>
      <c r="C331" s="14">
        <v>1</v>
      </c>
      <c r="D331" s="14" t="s">
        <v>394</v>
      </c>
      <c r="E331" s="15">
        <v>24</v>
      </c>
      <c r="F331" s="15" t="s">
        <v>61</v>
      </c>
      <c r="G331" s="16">
        <v>98</v>
      </c>
      <c r="H331" s="16">
        <v>139</v>
      </c>
      <c r="I331" s="16">
        <v>3327283</v>
      </c>
      <c r="J331" s="16">
        <v>18000</v>
      </c>
      <c r="K331" s="16">
        <v>18000</v>
      </c>
      <c r="L331" s="17">
        <v>11146.86</v>
      </c>
      <c r="M331" s="17">
        <v>11146.86</v>
      </c>
      <c r="N331" s="17">
        <v>11146.86</v>
      </c>
      <c r="O331" s="18">
        <v>1</v>
      </c>
      <c r="P331" s="17">
        <v>6853.14</v>
      </c>
      <c r="Q331" s="17">
        <v>6853.14</v>
      </c>
      <c r="R331" s="17">
        <v>6853.14</v>
      </c>
      <c r="S331" s="17">
        <v>1</v>
      </c>
      <c r="T331" s="17">
        <v>6853.14</v>
      </c>
      <c r="U331" s="17">
        <v>222.4</v>
      </c>
      <c r="V331" s="16">
        <v>18000</v>
      </c>
      <c r="W331" s="17">
        <v>156.80000000000001</v>
      </c>
      <c r="X331" s="17">
        <v>18156.8</v>
      </c>
      <c r="Y331" s="17">
        <v>4539.2</v>
      </c>
      <c r="Z331" s="17">
        <v>6972.06</v>
      </c>
      <c r="AA331" s="17">
        <v>0</v>
      </c>
      <c r="AB331" s="17">
        <v>12592.44</v>
      </c>
      <c r="AC331" s="17">
        <v>3022.39</v>
      </c>
      <c r="AD331" s="17">
        <v>0</v>
      </c>
      <c r="AE331" s="17">
        <v>9057.81</v>
      </c>
      <c r="AF331" s="17">
        <v>8533.31</v>
      </c>
      <c r="AG331" s="17">
        <v>3994.11</v>
      </c>
      <c r="AH331" s="17">
        <v>2473.4299999999998</v>
      </c>
      <c r="AI331" s="17">
        <v>1520.68</v>
      </c>
      <c r="AJ331" s="17">
        <v>8673.43</v>
      </c>
      <c r="AK331" s="17">
        <v>5332.46</v>
      </c>
    </row>
    <row r="332" spans="1:37" x14ac:dyDescent="0.2">
      <c r="A332" s="14" t="s">
        <v>33</v>
      </c>
      <c r="B332" s="14">
        <v>2888</v>
      </c>
      <c r="C332" s="14">
        <v>1</v>
      </c>
      <c r="D332" s="14" t="s">
        <v>88</v>
      </c>
      <c r="E332" s="15">
        <v>6</v>
      </c>
      <c r="F332" s="15" t="s">
        <v>64</v>
      </c>
      <c r="G332" s="16">
        <v>134</v>
      </c>
      <c r="H332" s="16">
        <v>136</v>
      </c>
      <c r="I332" s="16">
        <v>5227230</v>
      </c>
      <c r="J332" s="16">
        <v>18000</v>
      </c>
      <c r="K332" s="16">
        <v>18000</v>
      </c>
      <c r="L332" s="17">
        <v>17511.95</v>
      </c>
      <c r="M332" s="17">
        <v>17511.95</v>
      </c>
      <c r="N332" s="17">
        <v>17511.95</v>
      </c>
      <c r="O332" s="18">
        <v>1</v>
      </c>
      <c r="P332" s="17">
        <v>488.05</v>
      </c>
      <c r="Q332" s="17">
        <v>488.05</v>
      </c>
      <c r="R332" s="17">
        <v>488.05</v>
      </c>
      <c r="S332" s="17">
        <v>1</v>
      </c>
      <c r="T332" s="17">
        <v>488.05</v>
      </c>
      <c r="U332" s="17">
        <v>0</v>
      </c>
      <c r="V332" s="16">
        <v>18000</v>
      </c>
      <c r="W332" s="17">
        <v>80</v>
      </c>
      <c r="X332" s="17">
        <v>18080</v>
      </c>
      <c r="Y332" s="17">
        <v>4520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5609.21</v>
      </c>
      <c r="AF332" s="17">
        <v>1869.74</v>
      </c>
      <c r="AG332" s="17">
        <v>0</v>
      </c>
      <c r="AH332" s="17">
        <v>0</v>
      </c>
      <c r="AI332" s="17">
        <v>0</v>
      </c>
      <c r="AJ332" s="17">
        <v>17511.95</v>
      </c>
      <c r="AK332" s="17">
        <v>488.05</v>
      </c>
    </row>
    <row r="333" spans="1:37" x14ac:dyDescent="0.2">
      <c r="A333" s="14" t="s">
        <v>33</v>
      </c>
      <c r="B333" s="14">
        <v>2889</v>
      </c>
      <c r="C333" s="14">
        <v>1</v>
      </c>
      <c r="D333" s="14" t="s">
        <v>388</v>
      </c>
      <c r="E333" s="15">
        <v>3</v>
      </c>
      <c r="F333" s="15" t="s">
        <v>60</v>
      </c>
      <c r="G333" s="16">
        <v>301</v>
      </c>
      <c r="H333" s="16">
        <v>287</v>
      </c>
      <c r="I333" s="16">
        <v>10135686</v>
      </c>
      <c r="J333" s="16">
        <v>36120</v>
      </c>
      <c r="K333" s="16">
        <v>34440</v>
      </c>
      <c r="L333" s="17">
        <v>33955.97</v>
      </c>
      <c r="M333" s="17">
        <v>33955.97</v>
      </c>
      <c r="N333" s="17">
        <v>33955.97</v>
      </c>
      <c r="O333" s="18">
        <v>1</v>
      </c>
      <c r="P333" s="17">
        <v>2164.0300000000002</v>
      </c>
      <c r="Q333" s="17">
        <v>484.03</v>
      </c>
      <c r="R333" s="17">
        <v>484.03</v>
      </c>
      <c r="S333" s="17">
        <v>1</v>
      </c>
      <c r="T333" s="17">
        <v>484.03</v>
      </c>
      <c r="U333" s="17">
        <v>459.2</v>
      </c>
      <c r="V333" s="16">
        <v>36120</v>
      </c>
      <c r="W333" s="17">
        <v>4635.4799999999996</v>
      </c>
      <c r="X333" s="17">
        <v>40755.480000000003</v>
      </c>
      <c r="Y333" s="17">
        <v>10188.870000000001</v>
      </c>
      <c r="Z333" s="17">
        <v>-65460.46</v>
      </c>
      <c r="AA333" s="17">
        <v>0</v>
      </c>
      <c r="AB333" s="17">
        <v>-40862.370000000003</v>
      </c>
      <c r="AC333" s="17">
        <v>0</v>
      </c>
      <c r="AD333" s="17">
        <v>0</v>
      </c>
      <c r="AE333" s="17">
        <v>-77504.490000000005</v>
      </c>
      <c r="AF333" s="17">
        <v>-61275.77</v>
      </c>
      <c r="AG333" s="17">
        <v>0</v>
      </c>
      <c r="AH333" s="17">
        <v>0</v>
      </c>
      <c r="AI333" s="17">
        <v>0</v>
      </c>
      <c r="AJ333" s="17">
        <v>33955.97</v>
      </c>
      <c r="AK333" s="17">
        <v>484.03</v>
      </c>
    </row>
    <row r="334" spans="1:37" x14ac:dyDescent="0.2">
      <c r="A334" s="14" t="s">
        <v>33</v>
      </c>
      <c r="B334" s="14">
        <v>2890</v>
      </c>
      <c r="C334" s="14">
        <v>1</v>
      </c>
      <c r="D334" s="14" t="s">
        <v>389</v>
      </c>
      <c r="E334" s="15">
        <v>65</v>
      </c>
      <c r="F334" s="15" t="s">
        <v>68</v>
      </c>
      <c r="G334" s="16">
        <v>192</v>
      </c>
      <c r="H334" s="16">
        <v>230</v>
      </c>
      <c r="I334" s="16">
        <v>7197121</v>
      </c>
      <c r="J334" s="16">
        <v>23040</v>
      </c>
      <c r="K334" s="16">
        <v>27600</v>
      </c>
      <c r="L334" s="17">
        <v>23040</v>
      </c>
      <c r="M334" s="17">
        <v>24111.360000000001</v>
      </c>
      <c r="N334" s="17">
        <v>23040</v>
      </c>
      <c r="O334" s="18">
        <v>1</v>
      </c>
      <c r="P334" s="17">
        <v>0</v>
      </c>
      <c r="Q334" s="17">
        <v>3488.64</v>
      </c>
      <c r="R334" s="17">
        <v>3488.64</v>
      </c>
      <c r="S334" s="17">
        <v>1</v>
      </c>
      <c r="T334" s="17">
        <v>3488.64</v>
      </c>
      <c r="U334" s="17">
        <v>0</v>
      </c>
      <c r="V334" s="16">
        <v>23040</v>
      </c>
      <c r="W334" s="17">
        <v>10862.37</v>
      </c>
      <c r="X334" s="17">
        <v>33902.370000000003</v>
      </c>
      <c r="Y334" s="17">
        <v>8475.59</v>
      </c>
      <c r="Z334" s="17">
        <v>5303.72</v>
      </c>
      <c r="AA334" s="17">
        <v>0</v>
      </c>
      <c r="AB334" s="17">
        <v>3938.83</v>
      </c>
      <c r="AC334" s="17">
        <v>0</v>
      </c>
      <c r="AD334" s="17">
        <v>0</v>
      </c>
      <c r="AE334" s="17">
        <v>3242.02</v>
      </c>
      <c r="AF334" s="17">
        <v>4161.5200000000004</v>
      </c>
      <c r="AG334" s="17">
        <v>0</v>
      </c>
      <c r="AH334" s="17">
        <v>0</v>
      </c>
      <c r="AI334" s="17">
        <v>0</v>
      </c>
      <c r="AJ334" s="17">
        <v>24111.360000000001</v>
      </c>
      <c r="AK334" s="17">
        <v>3488.64</v>
      </c>
    </row>
    <row r="335" spans="1:37" x14ac:dyDescent="0.2">
      <c r="A335" s="14" t="s">
        <v>33</v>
      </c>
      <c r="B335" s="14">
        <v>2895</v>
      </c>
      <c r="C335" s="14">
        <v>1</v>
      </c>
      <c r="D335" s="14" t="s">
        <v>390</v>
      </c>
      <c r="E335" s="15">
        <v>32</v>
      </c>
      <c r="F335" s="15" t="s">
        <v>65</v>
      </c>
      <c r="G335" s="16">
        <v>413</v>
      </c>
      <c r="H335" s="16">
        <v>436</v>
      </c>
      <c r="I335" s="16">
        <v>10209574</v>
      </c>
      <c r="J335" s="16">
        <v>49560</v>
      </c>
      <c r="K335" s="16">
        <v>52320</v>
      </c>
      <c r="L335" s="17">
        <v>34203.5</v>
      </c>
      <c r="M335" s="17">
        <v>34203.5</v>
      </c>
      <c r="N335" s="17">
        <v>34203.5</v>
      </c>
      <c r="O335" s="18">
        <v>1</v>
      </c>
      <c r="P335" s="17">
        <v>15356.5</v>
      </c>
      <c r="Q335" s="17">
        <v>18116.5</v>
      </c>
      <c r="R335" s="17">
        <v>18116.5</v>
      </c>
      <c r="S335" s="17">
        <v>1</v>
      </c>
      <c r="T335" s="17">
        <v>18116.5</v>
      </c>
      <c r="U335" s="17">
        <v>0</v>
      </c>
      <c r="V335" s="16">
        <v>49560</v>
      </c>
      <c r="W335" s="17">
        <v>7172.98</v>
      </c>
      <c r="X335" s="17">
        <v>56732.98</v>
      </c>
      <c r="Y335" s="17">
        <v>14183.25</v>
      </c>
      <c r="Z335" s="17">
        <v>8260.1</v>
      </c>
      <c r="AA335" s="17">
        <v>0</v>
      </c>
      <c r="AB335" s="17">
        <v>11806.05</v>
      </c>
      <c r="AC335" s="17">
        <v>0</v>
      </c>
      <c r="AD335" s="17">
        <v>0</v>
      </c>
      <c r="AE335" s="17">
        <v>10090.59</v>
      </c>
      <c r="AF335" s="17">
        <v>10052.25</v>
      </c>
      <c r="AG335" s="17">
        <v>0</v>
      </c>
      <c r="AH335" s="17">
        <v>0</v>
      </c>
      <c r="AI335" s="17">
        <v>0</v>
      </c>
      <c r="AJ335" s="17">
        <v>34203.5</v>
      </c>
      <c r="AK335" s="17">
        <v>18116.5</v>
      </c>
    </row>
    <row r="336" spans="1:37" x14ac:dyDescent="0.2">
      <c r="A336" s="14" t="s">
        <v>33</v>
      </c>
      <c r="B336" s="14">
        <v>2897</v>
      </c>
      <c r="C336" s="14">
        <v>1</v>
      </c>
      <c r="D336" s="14" t="s">
        <v>391</v>
      </c>
      <c r="E336" s="15">
        <v>64</v>
      </c>
      <c r="F336" s="15" t="s">
        <v>65</v>
      </c>
      <c r="G336" s="16">
        <v>569</v>
      </c>
      <c r="H336" s="16">
        <v>562</v>
      </c>
      <c r="I336" s="16">
        <v>7302861</v>
      </c>
      <c r="J336" s="16">
        <v>68280</v>
      </c>
      <c r="K336" s="16">
        <v>67440</v>
      </c>
      <c r="L336" s="17">
        <v>24465.61</v>
      </c>
      <c r="M336" s="17">
        <v>24465.61</v>
      </c>
      <c r="N336" s="17">
        <v>24465.61</v>
      </c>
      <c r="O336" s="18">
        <v>1</v>
      </c>
      <c r="P336" s="17">
        <v>43814.39</v>
      </c>
      <c r="Q336" s="17">
        <v>42974.39</v>
      </c>
      <c r="R336" s="17">
        <v>42974.39</v>
      </c>
      <c r="S336" s="17">
        <v>1</v>
      </c>
      <c r="T336" s="17">
        <v>42974.39</v>
      </c>
      <c r="U336" s="17">
        <v>899.2</v>
      </c>
      <c r="V336" s="16">
        <v>68280</v>
      </c>
      <c r="W336" s="17">
        <v>26595.24</v>
      </c>
      <c r="X336" s="17">
        <v>94875.24</v>
      </c>
      <c r="Y336" s="17">
        <v>23718.81</v>
      </c>
      <c r="Z336" s="17">
        <v>15072.63</v>
      </c>
      <c r="AA336" s="17">
        <v>0</v>
      </c>
      <c r="AB336" s="17">
        <v>12421.2</v>
      </c>
      <c r="AC336" s="17">
        <v>0</v>
      </c>
      <c r="AD336" s="17">
        <v>0</v>
      </c>
      <c r="AE336" s="17">
        <v>14777.58</v>
      </c>
      <c r="AF336" s="17">
        <v>14090.47</v>
      </c>
      <c r="AG336" s="17">
        <v>0</v>
      </c>
      <c r="AH336" s="17">
        <v>0</v>
      </c>
      <c r="AI336" s="17">
        <v>0</v>
      </c>
      <c r="AJ336" s="17">
        <v>24465.61</v>
      </c>
      <c r="AK336" s="17">
        <v>42974.39</v>
      </c>
    </row>
    <row r="337" spans="1:37" x14ac:dyDescent="0.2">
      <c r="A337" s="14" t="s">
        <v>33</v>
      </c>
      <c r="B337" s="14">
        <v>2898</v>
      </c>
      <c r="C337" s="14">
        <v>1</v>
      </c>
      <c r="D337" s="14" t="s">
        <v>91</v>
      </c>
      <c r="E337" s="15">
        <v>17</v>
      </c>
      <c r="F337" s="15" t="s">
        <v>65</v>
      </c>
      <c r="G337" s="16">
        <v>160</v>
      </c>
      <c r="H337" s="16">
        <v>155</v>
      </c>
      <c r="I337" s="16">
        <v>4704623</v>
      </c>
      <c r="J337" s="16">
        <v>19200</v>
      </c>
      <c r="K337" s="16">
        <v>18600</v>
      </c>
      <c r="L337" s="17">
        <v>15761.15</v>
      </c>
      <c r="M337" s="17">
        <v>15761.15</v>
      </c>
      <c r="N337" s="17">
        <v>15761.15</v>
      </c>
      <c r="O337" s="18">
        <v>1</v>
      </c>
      <c r="P337" s="17">
        <v>3438.85</v>
      </c>
      <c r="Q337" s="17">
        <v>2838.85</v>
      </c>
      <c r="R337" s="17">
        <v>2838.85</v>
      </c>
      <c r="S337" s="17">
        <v>1</v>
      </c>
      <c r="T337" s="17">
        <v>2838.85</v>
      </c>
      <c r="U337" s="17">
        <v>0</v>
      </c>
      <c r="V337" s="16">
        <v>19200</v>
      </c>
      <c r="W337" s="17">
        <v>0</v>
      </c>
      <c r="X337" s="17">
        <v>19200</v>
      </c>
      <c r="Y337" s="17">
        <v>4800</v>
      </c>
      <c r="Z337" s="17">
        <v>-1749.7</v>
      </c>
      <c r="AA337" s="17">
        <v>0</v>
      </c>
      <c r="AB337" s="17">
        <v>238.59</v>
      </c>
      <c r="AC337" s="17">
        <v>0</v>
      </c>
      <c r="AD337" s="17">
        <v>0</v>
      </c>
      <c r="AE337" s="17">
        <v>19.22</v>
      </c>
      <c r="AF337" s="17">
        <v>-497.3</v>
      </c>
      <c r="AG337" s="17">
        <v>0</v>
      </c>
      <c r="AH337" s="17">
        <v>0</v>
      </c>
      <c r="AI337" s="17">
        <v>0</v>
      </c>
      <c r="AJ337" s="17">
        <v>15761.15</v>
      </c>
      <c r="AK337" s="17">
        <v>2838.85</v>
      </c>
    </row>
    <row r="338" spans="1:37" x14ac:dyDescent="0.2">
      <c r="A338" s="14" t="s">
        <v>33</v>
      </c>
      <c r="B338" s="14">
        <v>2899</v>
      </c>
      <c r="C338" s="14">
        <v>1</v>
      </c>
      <c r="D338" s="14" t="s">
        <v>397</v>
      </c>
      <c r="E338" s="15">
        <v>79</v>
      </c>
      <c r="F338" s="15" t="s">
        <v>61</v>
      </c>
      <c r="G338" s="16">
        <v>525</v>
      </c>
      <c r="H338" s="16">
        <v>520</v>
      </c>
      <c r="I338" s="16">
        <v>8443378</v>
      </c>
      <c r="J338" s="16">
        <v>63000</v>
      </c>
      <c r="K338" s="16">
        <v>62400</v>
      </c>
      <c r="L338" s="17">
        <v>28286.5</v>
      </c>
      <c r="M338" s="17">
        <v>28286.5</v>
      </c>
      <c r="N338" s="17">
        <v>28286.5</v>
      </c>
      <c r="O338" s="18">
        <v>1</v>
      </c>
      <c r="P338" s="17">
        <v>34713.5</v>
      </c>
      <c r="Q338" s="17">
        <v>34113.5</v>
      </c>
      <c r="R338" s="17">
        <v>34113.5</v>
      </c>
      <c r="S338" s="17">
        <v>1</v>
      </c>
      <c r="T338" s="17">
        <v>34113.5</v>
      </c>
      <c r="U338" s="17">
        <v>832</v>
      </c>
      <c r="V338" s="16">
        <v>63000</v>
      </c>
      <c r="W338" s="17">
        <v>4362.5</v>
      </c>
      <c r="X338" s="17">
        <v>67362.5</v>
      </c>
      <c r="Y338" s="17">
        <v>16840.63</v>
      </c>
      <c r="Z338" s="17">
        <v>11804.71</v>
      </c>
      <c r="AA338" s="17">
        <v>1281.54</v>
      </c>
      <c r="AB338" s="17">
        <v>6155.38</v>
      </c>
      <c r="AC338" s="17">
        <v>0</v>
      </c>
      <c r="AD338" s="17">
        <v>0</v>
      </c>
      <c r="AE338" s="17">
        <v>24899.75</v>
      </c>
      <c r="AF338" s="17">
        <v>13859.43</v>
      </c>
      <c r="AG338" s="17">
        <v>0</v>
      </c>
      <c r="AH338" s="17">
        <v>0</v>
      </c>
      <c r="AI338" s="17">
        <v>0</v>
      </c>
      <c r="AJ338" s="17">
        <v>28286.5</v>
      </c>
      <c r="AK338" s="17">
        <v>34113.5</v>
      </c>
    </row>
    <row r="339" spans="1:37" x14ac:dyDescent="0.2">
      <c r="A339" s="14" t="s">
        <v>33</v>
      </c>
      <c r="B339" s="14">
        <v>2902</v>
      </c>
      <c r="C339" s="14">
        <v>1</v>
      </c>
      <c r="D339" s="14" t="s">
        <v>399</v>
      </c>
      <c r="E339" s="15">
        <v>41</v>
      </c>
      <c r="F339" s="15" t="s">
        <v>65</v>
      </c>
      <c r="G339" s="16">
        <v>185</v>
      </c>
      <c r="H339" s="16">
        <v>162</v>
      </c>
      <c r="I339" s="16">
        <v>4175372</v>
      </c>
      <c r="J339" s="16">
        <v>22200</v>
      </c>
      <c r="K339" s="16">
        <v>19440</v>
      </c>
      <c r="L339" s="17">
        <v>13988.08</v>
      </c>
      <c r="M339" s="17">
        <v>13988.08</v>
      </c>
      <c r="N339" s="17">
        <v>13988.08</v>
      </c>
      <c r="O339" s="18">
        <v>1</v>
      </c>
      <c r="P339" s="17">
        <v>8211.92</v>
      </c>
      <c r="Q339" s="17">
        <v>5451.92</v>
      </c>
      <c r="R339" s="17">
        <v>5451.92</v>
      </c>
      <c r="S339" s="17">
        <v>1</v>
      </c>
      <c r="T339" s="17">
        <v>5451.92</v>
      </c>
      <c r="U339" s="17">
        <v>259.2</v>
      </c>
      <c r="V339" s="16">
        <v>22200</v>
      </c>
      <c r="W339" s="17">
        <v>25546.5</v>
      </c>
      <c r="X339" s="17">
        <v>47746.5</v>
      </c>
      <c r="Y339" s="17">
        <v>11936.63</v>
      </c>
      <c r="Z339" s="17">
        <v>-806.2</v>
      </c>
      <c r="AA339" s="17">
        <v>0</v>
      </c>
      <c r="AB339" s="17">
        <v>23367.63</v>
      </c>
      <c r="AC339" s="17">
        <v>0</v>
      </c>
      <c r="AD339" s="17">
        <v>0</v>
      </c>
      <c r="AE339" s="17">
        <v>30138.91</v>
      </c>
      <c r="AF339" s="17">
        <v>17566.78</v>
      </c>
      <c r="AG339" s="17">
        <v>5630.15</v>
      </c>
      <c r="AH339" s="17">
        <v>4051.18</v>
      </c>
      <c r="AI339" s="17">
        <v>1578.97</v>
      </c>
      <c r="AJ339" s="17">
        <v>9936.9</v>
      </c>
      <c r="AK339" s="17">
        <v>3872.95</v>
      </c>
    </row>
    <row r="340" spans="1:37" x14ac:dyDescent="0.2">
      <c r="A340" s="14" t="s">
        <v>33</v>
      </c>
      <c r="B340" s="14">
        <v>2903</v>
      </c>
      <c r="C340" s="14">
        <v>1</v>
      </c>
      <c r="D340" s="14" t="s">
        <v>403</v>
      </c>
      <c r="E340" s="15">
        <v>6</v>
      </c>
      <c r="F340" s="15" t="s">
        <v>64</v>
      </c>
      <c r="G340" s="16">
        <v>156</v>
      </c>
      <c r="H340" s="16">
        <v>147</v>
      </c>
      <c r="I340" s="16">
        <v>3921119</v>
      </c>
      <c r="J340" s="16">
        <v>18720</v>
      </c>
      <c r="K340" s="16">
        <v>18000</v>
      </c>
      <c r="L340" s="17">
        <v>13136.3</v>
      </c>
      <c r="M340" s="17">
        <v>13136.3</v>
      </c>
      <c r="N340" s="17">
        <v>13136.3</v>
      </c>
      <c r="O340" s="18">
        <v>1</v>
      </c>
      <c r="P340" s="17">
        <v>5583.7</v>
      </c>
      <c r="Q340" s="17">
        <v>4863.7</v>
      </c>
      <c r="R340" s="17">
        <v>4863.7</v>
      </c>
      <c r="S340" s="17">
        <v>1</v>
      </c>
      <c r="T340" s="17">
        <v>4863.7</v>
      </c>
      <c r="U340" s="17">
        <v>235.2</v>
      </c>
      <c r="V340" s="16">
        <v>36000</v>
      </c>
      <c r="W340" s="17">
        <v>7286.6</v>
      </c>
      <c r="X340" s="17">
        <v>43286.6</v>
      </c>
      <c r="Y340" s="17">
        <v>10821.65</v>
      </c>
      <c r="Z340" s="17">
        <v>-44951.15</v>
      </c>
      <c r="AA340" s="17">
        <v>2796.46</v>
      </c>
      <c r="AB340" s="17">
        <v>-1259.18</v>
      </c>
      <c r="AC340" s="17">
        <v>0</v>
      </c>
      <c r="AD340" s="17">
        <v>0</v>
      </c>
      <c r="AE340" s="17">
        <v>-0.3</v>
      </c>
      <c r="AF340" s="17">
        <v>-16335.7</v>
      </c>
      <c r="AG340" s="17">
        <v>0</v>
      </c>
      <c r="AH340" s="17">
        <v>0</v>
      </c>
      <c r="AI340" s="17">
        <v>0</v>
      </c>
      <c r="AJ340" s="17">
        <v>13136.3</v>
      </c>
      <c r="AK340" s="17">
        <v>4863.7</v>
      </c>
    </row>
    <row r="341" spans="1:37" x14ac:dyDescent="0.2">
      <c r="A341" s="14" t="s">
        <v>33</v>
      </c>
      <c r="B341" s="14">
        <v>2904</v>
      </c>
      <c r="C341" s="14">
        <v>1</v>
      </c>
      <c r="D341" s="14" t="s">
        <v>404</v>
      </c>
      <c r="E341" s="15">
        <v>42</v>
      </c>
      <c r="F341" s="15" t="s">
        <v>65</v>
      </c>
      <c r="G341" s="16">
        <v>321</v>
      </c>
      <c r="H341" s="16">
        <v>325</v>
      </c>
      <c r="I341" s="16">
        <v>7946346</v>
      </c>
      <c r="J341" s="16">
        <v>38520</v>
      </c>
      <c r="K341" s="16">
        <v>39000</v>
      </c>
      <c r="L341" s="17">
        <v>26621.37</v>
      </c>
      <c r="M341" s="17">
        <v>26621.37</v>
      </c>
      <c r="N341" s="17">
        <v>26621.37</v>
      </c>
      <c r="O341" s="18">
        <v>1</v>
      </c>
      <c r="P341" s="17">
        <v>11898.63</v>
      </c>
      <c r="Q341" s="17">
        <v>12378.63</v>
      </c>
      <c r="R341" s="17">
        <v>12378.63</v>
      </c>
      <c r="S341" s="17">
        <v>1</v>
      </c>
      <c r="T341" s="17">
        <v>12378.63</v>
      </c>
      <c r="U341" s="17">
        <v>520</v>
      </c>
      <c r="V341" s="16">
        <v>46920</v>
      </c>
      <c r="W341" s="17">
        <v>2435.6</v>
      </c>
      <c r="X341" s="17">
        <v>49355.6</v>
      </c>
      <c r="Y341" s="17">
        <v>12338.9</v>
      </c>
      <c r="Z341" s="17">
        <v>3030.5</v>
      </c>
      <c r="AA341" s="17">
        <v>11485.93</v>
      </c>
      <c r="AB341" s="17">
        <v>1784.81</v>
      </c>
      <c r="AC341" s="17">
        <v>0</v>
      </c>
      <c r="AD341" s="17">
        <v>0</v>
      </c>
      <c r="AE341" s="17">
        <v>-15379.14</v>
      </c>
      <c r="AF341" s="17">
        <v>-7349.92</v>
      </c>
      <c r="AG341" s="17">
        <v>0</v>
      </c>
      <c r="AH341" s="17">
        <v>0</v>
      </c>
      <c r="AI341" s="17">
        <v>0</v>
      </c>
      <c r="AJ341" s="17">
        <v>26621.37</v>
      </c>
      <c r="AK341" s="17">
        <v>12378.63</v>
      </c>
    </row>
  </sheetData>
  <sheetProtection password="8A77" sheet="1" objects="1" scenarios="1"/>
  <mergeCells count="22">
    <mergeCell ref="B5:D5"/>
    <mergeCell ref="B2:B3"/>
    <mergeCell ref="C2:C3"/>
    <mergeCell ref="D2:D3"/>
    <mergeCell ref="E2:E3"/>
    <mergeCell ref="V2:Y2"/>
    <mergeCell ref="Z2:AF2"/>
    <mergeCell ref="AG2:AK2"/>
    <mergeCell ref="A2:A3"/>
    <mergeCell ref="M2:M3"/>
    <mergeCell ref="N2:N3"/>
    <mergeCell ref="O2:O3"/>
    <mergeCell ref="Q2:Q3"/>
    <mergeCell ref="R2:R3"/>
    <mergeCell ref="U2:U3"/>
    <mergeCell ref="F2:F3"/>
    <mergeCell ref="K2:K3"/>
    <mergeCell ref="L2:L3"/>
    <mergeCell ref="G2:G3"/>
    <mergeCell ref="H2:H3"/>
    <mergeCell ref="I2:I3"/>
    <mergeCell ref="J2:J3"/>
  </mergeCells>
  <phoneticPr fontId="0" type="noConversion"/>
  <printOptions gridLines="1"/>
  <pageMargins left="0.36" right="0.24" top="0.75" bottom="0.75" header="0.3" footer="0.3"/>
  <pageSetup orientation="landscape" r:id="rId1"/>
  <headerFooter>
    <oddHeader>&amp;LMDE Program Finance&amp;CFY 2010 Early Childhood Family Education Revenue and Aid Calculation&amp;RFebruary 2010</oddHeader>
    <oddFooter>&amp;CPage &amp;P of &amp;N</oddFooter>
  </headerFooter>
  <colBreaks count="5" manualBreakCount="5">
    <brk id="9" max="1048575" man="1"/>
    <brk id="16" max="1048575" man="1"/>
    <brk id="21" max="1048575" man="1"/>
    <brk id="25" max="1048575" man="1"/>
    <brk id="32" max="1048575" man="1"/>
  </colBreaks>
  <ignoredErrors>
    <ignoredError sqref="F7:F3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1"/>
  <sheetViews>
    <sheetView topLeftCell="A2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E5" sqref="E5"/>
    </sheetView>
  </sheetViews>
  <sheetFormatPr defaultRowHeight="12.75" x14ac:dyDescent="0.2"/>
  <cols>
    <col min="1" max="1" width="6.7109375" style="24" customWidth="1"/>
    <col min="2" max="2" width="7.28515625" style="24" customWidth="1"/>
    <col min="3" max="3" width="6.140625" style="24" customWidth="1"/>
    <col min="4" max="4" width="31.85546875" style="24" customWidth="1"/>
    <col min="5" max="6" width="9.140625" style="24"/>
    <col min="7" max="7" width="10.5703125" style="24" bestFit="1" customWidth="1"/>
    <col min="8" max="8" width="11.28515625" style="24" customWidth="1"/>
    <col min="9" max="9" width="10.5703125" style="24" customWidth="1"/>
    <col min="10" max="11" width="13.42578125" style="24" customWidth="1"/>
    <col min="12" max="13" width="11.5703125" style="24" bestFit="1" customWidth="1"/>
    <col min="14" max="15" width="13.28515625" style="24" bestFit="1" customWidth="1"/>
    <col min="16" max="16" width="11.5703125" style="24" bestFit="1" customWidth="1"/>
    <col min="17" max="17" width="12.28515625" style="24" bestFit="1" customWidth="1"/>
    <col min="18" max="18" width="10.5703125" style="24" bestFit="1" customWidth="1"/>
    <col min="19" max="19" width="12.28515625" style="24" bestFit="1" customWidth="1"/>
    <col min="20" max="20" width="10.5703125" style="24" bestFit="1" customWidth="1"/>
    <col min="21" max="21" width="9.28515625" style="24" bestFit="1" customWidth="1"/>
    <col min="22" max="22" width="12.28515625" style="24" bestFit="1" customWidth="1"/>
    <col min="23" max="23" width="11.5703125" style="24" bestFit="1" customWidth="1"/>
    <col min="24" max="24" width="9.5703125" style="24" bestFit="1" customWidth="1"/>
    <col min="25" max="25" width="11.5703125" style="24" bestFit="1" customWidth="1"/>
    <col min="26" max="16384" width="9.140625" style="24"/>
  </cols>
  <sheetData>
    <row r="1" spans="1:25" hidden="1" x14ac:dyDescent="0.2">
      <c r="A1" s="24" t="s">
        <v>0</v>
      </c>
      <c r="B1" s="24" t="s">
        <v>1</v>
      </c>
      <c r="C1" s="24" t="s">
        <v>2</v>
      </c>
      <c r="D1" s="24" t="s">
        <v>53</v>
      </c>
      <c r="E1" s="24" t="s">
        <v>54</v>
      </c>
      <c r="F1" s="24" t="s">
        <v>55</v>
      </c>
      <c r="G1" s="24" t="s">
        <v>43</v>
      </c>
      <c r="H1" s="24" t="s">
        <v>44</v>
      </c>
      <c r="I1" s="24" t="s">
        <v>45</v>
      </c>
      <c r="J1" s="24" t="s">
        <v>46</v>
      </c>
      <c r="K1" s="24" t="s">
        <v>47</v>
      </c>
      <c r="L1" s="24" t="s">
        <v>14</v>
      </c>
      <c r="M1" s="24" t="s">
        <v>48</v>
      </c>
      <c r="N1" s="24" t="s">
        <v>18</v>
      </c>
      <c r="O1" s="24" t="s">
        <v>49</v>
      </c>
      <c r="P1" s="24" t="s">
        <v>20</v>
      </c>
      <c r="Q1" s="24" t="s">
        <v>21</v>
      </c>
      <c r="R1" s="24" t="s">
        <v>22</v>
      </c>
      <c r="S1" s="24" t="s">
        <v>23</v>
      </c>
      <c r="T1" s="24" t="s">
        <v>24</v>
      </c>
      <c r="U1" s="24" t="s">
        <v>25</v>
      </c>
      <c r="V1" s="24" t="s">
        <v>26</v>
      </c>
      <c r="W1" s="24" t="s">
        <v>27</v>
      </c>
      <c r="X1" s="24" t="s">
        <v>28</v>
      </c>
      <c r="Y1" s="24" t="s">
        <v>32</v>
      </c>
    </row>
    <row r="2" spans="1:25" ht="30.75" customHeight="1" x14ac:dyDescent="0.2">
      <c r="A2" s="43" t="s">
        <v>51</v>
      </c>
      <c r="B2" s="43" t="s">
        <v>52</v>
      </c>
      <c r="C2" s="43" t="s">
        <v>405</v>
      </c>
      <c r="D2" s="43" t="s">
        <v>406</v>
      </c>
      <c r="E2" s="43" t="s">
        <v>407</v>
      </c>
      <c r="F2" s="43" t="s">
        <v>420</v>
      </c>
      <c r="G2" s="43" t="s">
        <v>472</v>
      </c>
      <c r="H2" s="43" t="s">
        <v>473</v>
      </c>
      <c r="I2" s="44" t="s">
        <v>480</v>
      </c>
      <c r="J2" s="44"/>
      <c r="K2" s="44"/>
      <c r="L2" s="44"/>
      <c r="M2" s="46" t="s">
        <v>416</v>
      </c>
      <c r="N2" s="46"/>
      <c r="O2" s="46"/>
      <c r="P2" s="46"/>
      <c r="Q2" s="45" t="s">
        <v>463</v>
      </c>
      <c r="R2" s="45"/>
      <c r="S2" s="45"/>
      <c r="T2" s="45"/>
      <c r="U2" s="45"/>
      <c r="V2" s="45"/>
      <c r="W2" s="45"/>
      <c r="X2" s="43" t="s">
        <v>417</v>
      </c>
      <c r="Y2" s="43" t="s">
        <v>442</v>
      </c>
    </row>
    <row r="3" spans="1:25" ht="89.25" x14ac:dyDescent="0.2">
      <c r="A3" s="43"/>
      <c r="B3" s="43"/>
      <c r="C3" s="43"/>
      <c r="D3" s="43"/>
      <c r="E3" s="43"/>
      <c r="F3" s="43"/>
      <c r="G3" s="43"/>
      <c r="H3" s="43"/>
      <c r="I3" s="25" t="s">
        <v>474</v>
      </c>
      <c r="J3" s="26" t="s">
        <v>479</v>
      </c>
      <c r="K3" s="26" t="s">
        <v>478</v>
      </c>
      <c r="L3" s="26" t="s">
        <v>475</v>
      </c>
      <c r="M3" s="26" t="s">
        <v>476</v>
      </c>
      <c r="N3" s="26" t="s">
        <v>456</v>
      </c>
      <c r="O3" s="26" t="s">
        <v>415</v>
      </c>
      <c r="P3" s="26" t="s">
        <v>477</v>
      </c>
      <c r="Q3" s="26" t="s">
        <v>430</v>
      </c>
      <c r="R3" s="26" t="s">
        <v>464</v>
      </c>
      <c r="S3" s="26" t="s">
        <v>432</v>
      </c>
      <c r="T3" s="26" t="s">
        <v>465</v>
      </c>
      <c r="U3" s="26" t="s">
        <v>466</v>
      </c>
      <c r="V3" s="26" t="s">
        <v>435</v>
      </c>
      <c r="W3" s="26" t="s">
        <v>469</v>
      </c>
      <c r="X3" s="43"/>
      <c r="Y3" s="43"/>
    </row>
    <row r="4" spans="1:25" ht="6" customHeight="1" x14ac:dyDescent="0.2">
      <c r="I4" s="27"/>
      <c r="J4" s="28"/>
      <c r="K4" s="28"/>
      <c r="L4" s="28"/>
    </row>
    <row r="5" spans="1:25" s="29" customFormat="1" x14ac:dyDescent="0.2">
      <c r="A5" s="9" t="str">
        <f>+A7</f>
        <v>09-10</v>
      </c>
      <c r="B5" s="47" t="s">
        <v>444</v>
      </c>
      <c r="C5" s="47"/>
      <c r="D5" s="47"/>
      <c r="G5" s="32">
        <f>SUM(G7:G341)</f>
        <v>73716</v>
      </c>
      <c r="H5" s="32">
        <f>SUM(H7:H341)</f>
        <v>252488</v>
      </c>
      <c r="I5" s="33">
        <f>COUNTIF(I7:I341,"=Y")</f>
        <v>335</v>
      </c>
      <c r="J5" s="32">
        <f t="shared" ref="J5:Y5" si="0">SUM(J7:J341)</f>
        <v>5047500</v>
      </c>
      <c r="K5" s="32">
        <f t="shared" si="0"/>
        <v>5047499.9999999981</v>
      </c>
      <c r="L5" s="32">
        <f t="shared" si="0"/>
        <v>10094999.999999989</v>
      </c>
      <c r="M5" s="32">
        <f t="shared" si="0"/>
        <v>10094999.999999998</v>
      </c>
      <c r="N5" s="32">
        <f t="shared" si="0"/>
        <v>11634514.130000003</v>
      </c>
      <c r="O5" s="32">
        <f t="shared" si="0"/>
        <v>21729514.129999992</v>
      </c>
      <c r="P5" s="32">
        <f t="shared" si="0"/>
        <v>5432379.009999997</v>
      </c>
      <c r="Q5" s="32">
        <f t="shared" si="0"/>
        <v>1135393.4699999995</v>
      </c>
      <c r="R5" s="32">
        <f t="shared" si="0"/>
        <v>56036.10000000002</v>
      </c>
      <c r="S5" s="32">
        <f t="shared" si="0"/>
        <v>1470000.0100000009</v>
      </c>
      <c r="T5" s="32">
        <f t="shared" si="0"/>
        <v>66724.559999999983</v>
      </c>
      <c r="U5" s="32">
        <f t="shared" si="0"/>
        <v>0</v>
      </c>
      <c r="V5" s="32">
        <f t="shared" si="0"/>
        <v>1807160.4400000006</v>
      </c>
      <c r="W5" s="32">
        <f t="shared" si="0"/>
        <v>1429931.1299999994</v>
      </c>
      <c r="X5" s="32">
        <f t="shared" si="0"/>
        <v>77268.87</v>
      </c>
      <c r="Y5" s="32">
        <f t="shared" si="0"/>
        <v>10017731.129999988</v>
      </c>
    </row>
    <row r="6" spans="1:25" ht="6.75" customHeight="1" x14ac:dyDescent="0.2"/>
    <row r="7" spans="1:25" x14ac:dyDescent="0.2">
      <c r="A7" s="24" t="s">
        <v>33</v>
      </c>
      <c r="B7" s="24">
        <v>1</v>
      </c>
      <c r="C7" s="24">
        <v>1</v>
      </c>
      <c r="D7" s="24" t="s">
        <v>96</v>
      </c>
      <c r="E7" s="30">
        <v>1</v>
      </c>
      <c r="F7" s="30" t="s">
        <v>58</v>
      </c>
      <c r="G7" s="24">
        <v>128</v>
      </c>
      <c r="H7" s="24">
        <v>504</v>
      </c>
      <c r="I7" s="30" t="s">
        <v>50</v>
      </c>
      <c r="J7" s="31">
        <v>8764.4500000000007</v>
      </c>
      <c r="K7" s="31">
        <v>10075.49</v>
      </c>
      <c r="L7" s="31">
        <v>18839.939999999999</v>
      </c>
      <c r="M7" s="31">
        <v>19114.41</v>
      </c>
      <c r="N7" s="31">
        <v>29212.63</v>
      </c>
      <c r="O7" s="31">
        <v>48327.040000000001</v>
      </c>
      <c r="P7" s="31">
        <v>12081.76</v>
      </c>
      <c r="Q7" s="31">
        <v>-1999.92</v>
      </c>
      <c r="R7" s="31">
        <v>0</v>
      </c>
      <c r="S7" s="31">
        <v>6266.02</v>
      </c>
      <c r="T7" s="31">
        <v>0</v>
      </c>
      <c r="U7" s="31">
        <v>0</v>
      </c>
      <c r="V7" s="31">
        <v>10325.66</v>
      </c>
      <c r="W7" s="31">
        <v>4863.92</v>
      </c>
      <c r="X7" s="31">
        <v>0</v>
      </c>
      <c r="Y7" s="31">
        <v>18839.939999999999</v>
      </c>
    </row>
    <row r="8" spans="1:25" x14ac:dyDescent="0.2">
      <c r="A8" s="24" t="s">
        <v>33</v>
      </c>
      <c r="B8" s="24">
        <v>1</v>
      </c>
      <c r="C8" s="24">
        <v>3</v>
      </c>
      <c r="D8" s="24" t="s">
        <v>392</v>
      </c>
      <c r="E8" s="30">
        <v>27</v>
      </c>
      <c r="F8" s="30" t="s">
        <v>56</v>
      </c>
      <c r="G8" s="24">
        <v>5205</v>
      </c>
      <c r="H8" s="24">
        <v>22084</v>
      </c>
      <c r="I8" s="30" t="s">
        <v>50</v>
      </c>
      <c r="J8" s="31">
        <v>356398.06</v>
      </c>
      <c r="K8" s="31">
        <v>441482.37</v>
      </c>
      <c r="L8" s="31">
        <v>797880.43</v>
      </c>
      <c r="M8" s="31">
        <v>815697.41</v>
      </c>
      <c r="N8" s="31">
        <v>430521.84</v>
      </c>
      <c r="O8" s="31">
        <v>1246219.25</v>
      </c>
      <c r="P8" s="31">
        <v>311554.81</v>
      </c>
      <c r="Q8" s="31">
        <v>319151.58</v>
      </c>
      <c r="R8" s="31">
        <v>0</v>
      </c>
      <c r="S8" s="31">
        <v>357430.58</v>
      </c>
      <c r="T8" s="31">
        <v>0</v>
      </c>
      <c r="U8" s="31">
        <v>0</v>
      </c>
      <c r="V8" s="31">
        <v>173292.49</v>
      </c>
      <c r="W8" s="31">
        <v>283291.55</v>
      </c>
      <c r="X8" s="31">
        <v>0</v>
      </c>
      <c r="Y8" s="31">
        <v>797880.43</v>
      </c>
    </row>
    <row r="9" spans="1:25" x14ac:dyDescent="0.2">
      <c r="A9" s="24" t="s">
        <v>33</v>
      </c>
      <c r="B9" s="24">
        <v>2</v>
      </c>
      <c r="C9" s="24">
        <v>1</v>
      </c>
      <c r="D9" s="24" t="s">
        <v>94</v>
      </c>
      <c r="E9" s="30">
        <v>1</v>
      </c>
      <c r="F9" s="30" t="s">
        <v>58</v>
      </c>
      <c r="G9" s="24">
        <v>24</v>
      </c>
      <c r="H9" s="24">
        <v>193</v>
      </c>
      <c r="I9" s="30" t="s">
        <v>50</v>
      </c>
      <c r="J9" s="31">
        <v>1643.33</v>
      </c>
      <c r="K9" s="31">
        <v>3858.27</v>
      </c>
      <c r="L9" s="31">
        <v>5501.6</v>
      </c>
      <c r="M9" s="31">
        <v>4653.6000000000004</v>
      </c>
      <c r="N9" s="31">
        <v>617</v>
      </c>
      <c r="O9" s="31">
        <v>5270.6</v>
      </c>
      <c r="P9" s="31">
        <v>1317.65</v>
      </c>
      <c r="Q9" s="31">
        <v>999.64</v>
      </c>
      <c r="R9" s="31">
        <v>0</v>
      </c>
      <c r="S9" s="31">
        <v>1505.71</v>
      </c>
      <c r="T9" s="31">
        <v>0</v>
      </c>
      <c r="U9" s="31">
        <v>0</v>
      </c>
      <c r="V9" s="31">
        <v>1412.92</v>
      </c>
      <c r="W9" s="31">
        <v>1306.0899999999999</v>
      </c>
      <c r="X9" s="31">
        <v>0</v>
      </c>
      <c r="Y9" s="31">
        <v>5501.6</v>
      </c>
    </row>
    <row r="10" spans="1:25" x14ac:dyDescent="0.2">
      <c r="A10" s="24" t="s">
        <v>33</v>
      </c>
      <c r="B10" s="24">
        <v>4</v>
      </c>
      <c r="C10" s="24">
        <v>1</v>
      </c>
      <c r="D10" s="24" t="s">
        <v>95</v>
      </c>
      <c r="E10" s="30">
        <v>1</v>
      </c>
      <c r="F10" s="30" t="s">
        <v>58</v>
      </c>
      <c r="G10" s="24">
        <v>32</v>
      </c>
      <c r="H10" s="24">
        <v>253</v>
      </c>
      <c r="I10" s="30" t="s">
        <v>50</v>
      </c>
      <c r="J10" s="31">
        <v>2191.11</v>
      </c>
      <c r="K10" s="31">
        <v>5057.74</v>
      </c>
      <c r="L10" s="31">
        <v>7248.85</v>
      </c>
      <c r="M10" s="31">
        <v>7250.74</v>
      </c>
      <c r="N10" s="31">
        <v>3960</v>
      </c>
      <c r="O10" s="31">
        <v>11210.74</v>
      </c>
      <c r="P10" s="31">
        <v>2802.69</v>
      </c>
      <c r="Q10" s="31">
        <v>-361.05</v>
      </c>
      <c r="R10" s="31">
        <v>0</v>
      </c>
      <c r="S10" s="31">
        <v>-8770.7000000000007</v>
      </c>
      <c r="T10" s="31">
        <v>0</v>
      </c>
      <c r="U10" s="31">
        <v>0</v>
      </c>
      <c r="V10" s="31">
        <v>-18451.43</v>
      </c>
      <c r="W10" s="31">
        <v>-9194.39</v>
      </c>
      <c r="X10" s="31">
        <v>0</v>
      </c>
      <c r="Y10" s="31">
        <v>7248.85</v>
      </c>
    </row>
    <row r="11" spans="1:25" x14ac:dyDescent="0.2">
      <c r="A11" s="24" t="s">
        <v>33</v>
      </c>
      <c r="B11" s="24">
        <v>6</v>
      </c>
      <c r="C11" s="24">
        <v>3</v>
      </c>
      <c r="D11" s="24" t="s">
        <v>393</v>
      </c>
      <c r="E11" s="30">
        <v>19</v>
      </c>
      <c r="F11" s="30" t="s">
        <v>56</v>
      </c>
      <c r="G11" s="24">
        <v>264</v>
      </c>
      <c r="H11" s="24">
        <v>1269</v>
      </c>
      <c r="I11" s="30" t="s">
        <v>50</v>
      </c>
      <c r="J11" s="31">
        <v>18076.669999999998</v>
      </c>
      <c r="K11" s="31">
        <v>25368.639999999999</v>
      </c>
      <c r="L11" s="31">
        <v>43445.31</v>
      </c>
      <c r="M11" s="31">
        <v>42830.95</v>
      </c>
      <c r="N11" s="31">
        <v>40926.959999999999</v>
      </c>
      <c r="O11" s="31">
        <v>83757.91</v>
      </c>
      <c r="P11" s="31">
        <v>20939.48</v>
      </c>
      <c r="Q11" s="31">
        <v>-12719.37</v>
      </c>
      <c r="R11" s="31">
        <v>0</v>
      </c>
      <c r="S11" s="31">
        <v>-2944.54</v>
      </c>
      <c r="T11" s="31">
        <v>0</v>
      </c>
      <c r="U11" s="31">
        <v>0</v>
      </c>
      <c r="V11" s="31">
        <v>6056.87</v>
      </c>
      <c r="W11" s="31">
        <v>-3202.35</v>
      </c>
      <c r="X11" s="31">
        <v>0</v>
      </c>
      <c r="Y11" s="31">
        <v>43445.31</v>
      </c>
    </row>
    <row r="12" spans="1:25" x14ac:dyDescent="0.2">
      <c r="A12" s="24" t="s">
        <v>33</v>
      </c>
      <c r="B12" s="24">
        <v>11</v>
      </c>
      <c r="C12" s="24">
        <v>1</v>
      </c>
      <c r="D12" s="24" t="s">
        <v>97</v>
      </c>
      <c r="E12" s="30">
        <v>2</v>
      </c>
      <c r="F12" s="30" t="s">
        <v>56</v>
      </c>
      <c r="G12" s="24">
        <v>3100</v>
      </c>
      <c r="H12" s="24">
        <v>10325</v>
      </c>
      <c r="I12" s="30" t="s">
        <v>50</v>
      </c>
      <c r="J12" s="31">
        <v>212263.96</v>
      </c>
      <c r="K12" s="31">
        <v>206407.58</v>
      </c>
      <c r="L12" s="31">
        <v>418671.54</v>
      </c>
      <c r="M12" s="31">
        <v>422702.88</v>
      </c>
      <c r="N12" s="31">
        <v>713576.11</v>
      </c>
      <c r="O12" s="31">
        <v>1136278.99</v>
      </c>
      <c r="P12" s="31">
        <v>284069.75</v>
      </c>
      <c r="Q12" s="31">
        <v>123106.65</v>
      </c>
      <c r="R12" s="31">
        <v>0</v>
      </c>
      <c r="S12" s="31">
        <v>179128.25</v>
      </c>
      <c r="T12" s="31">
        <v>0</v>
      </c>
      <c r="U12" s="31">
        <v>0</v>
      </c>
      <c r="V12" s="31">
        <v>177680.78</v>
      </c>
      <c r="W12" s="31">
        <v>159971.89000000001</v>
      </c>
      <c r="X12" s="31">
        <v>0</v>
      </c>
      <c r="Y12" s="31">
        <v>418671.54</v>
      </c>
    </row>
    <row r="13" spans="1:25" x14ac:dyDescent="0.2">
      <c r="A13" s="24" t="s">
        <v>33</v>
      </c>
      <c r="B13" s="24">
        <v>12</v>
      </c>
      <c r="C13" s="24">
        <v>1</v>
      </c>
      <c r="D13" s="24" t="s">
        <v>396</v>
      </c>
      <c r="E13" s="30">
        <v>2</v>
      </c>
      <c r="F13" s="30" t="s">
        <v>56</v>
      </c>
      <c r="G13" s="24">
        <v>460</v>
      </c>
      <c r="H13" s="24">
        <v>901</v>
      </c>
      <c r="I13" s="30" t="s">
        <v>50</v>
      </c>
      <c r="J13" s="31">
        <v>31497.23</v>
      </c>
      <c r="K13" s="31">
        <v>18011.939999999999</v>
      </c>
      <c r="L13" s="31">
        <v>49509.17</v>
      </c>
      <c r="M13" s="31">
        <v>50579.32</v>
      </c>
      <c r="N13" s="31">
        <v>24263.5</v>
      </c>
      <c r="O13" s="31">
        <v>74842.820000000007</v>
      </c>
      <c r="P13" s="31">
        <v>18710.71</v>
      </c>
      <c r="Q13" s="31">
        <v>3783.26</v>
      </c>
      <c r="R13" s="31">
        <v>0</v>
      </c>
      <c r="S13" s="31">
        <v>27709.69</v>
      </c>
      <c r="T13" s="31">
        <v>0</v>
      </c>
      <c r="U13" s="31">
        <v>0</v>
      </c>
      <c r="V13" s="31">
        <v>21904.54</v>
      </c>
      <c r="W13" s="31">
        <v>17799.16</v>
      </c>
      <c r="X13" s="31">
        <v>0</v>
      </c>
      <c r="Y13" s="31">
        <v>49509.17</v>
      </c>
    </row>
    <row r="14" spans="1:25" x14ac:dyDescent="0.2">
      <c r="A14" s="24" t="s">
        <v>33</v>
      </c>
      <c r="B14" s="24">
        <v>13</v>
      </c>
      <c r="C14" s="24">
        <v>1</v>
      </c>
      <c r="D14" s="24" t="s">
        <v>98</v>
      </c>
      <c r="E14" s="30">
        <v>2</v>
      </c>
      <c r="F14" s="30" t="s">
        <v>56</v>
      </c>
      <c r="G14" s="24">
        <v>312</v>
      </c>
      <c r="H14" s="24">
        <v>1933</v>
      </c>
      <c r="I14" s="30" t="s">
        <v>50</v>
      </c>
      <c r="J14" s="31">
        <v>21363.34</v>
      </c>
      <c r="K14" s="31">
        <v>38642.699999999997</v>
      </c>
      <c r="L14" s="31">
        <v>60006.04</v>
      </c>
      <c r="M14" s="31">
        <v>59011.91</v>
      </c>
      <c r="N14" s="31">
        <v>14158.07</v>
      </c>
      <c r="O14" s="31">
        <v>73169.98</v>
      </c>
      <c r="P14" s="31">
        <v>18292.5</v>
      </c>
      <c r="Q14" s="31">
        <v>7792.64</v>
      </c>
      <c r="R14" s="31">
        <v>0</v>
      </c>
      <c r="S14" s="31">
        <v>22377.82</v>
      </c>
      <c r="T14" s="31">
        <v>0</v>
      </c>
      <c r="U14" s="31">
        <v>0</v>
      </c>
      <c r="V14" s="31">
        <v>23924.959999999999</v>
      </c>
      <c r="W14" s="31">
        <v>18031.810000000001</v>
      </c>
      <c r="X14" s="31">
        <v>0</v>
      </c>
      <c r="Y14" s="31">
        <v>60006.04</v>
      </c>
    </row>
    <row r="15" spans="1:25" x14ac:dyDescent="0.2">
      <c r="A15" s="24" t="s">
        <v>33</v>
      </c>
      <c r="B15" s="24">
        <v>14</v>
      </c>
      <c r="C15" s="24">
        <v>1</v>
      </c>
      <c r="D15" s="24" t="s">
        <v>99</v>
      </c>
      <c r="E15" s="30">
        <v>2</v>
      </c>
      <c r="F15" s="30" t="s">
        <v>56</v>
      </c>
      <c r="G15" s="24">
        <v>208</v>
      </c>
      <c r="H15" s="24">
        <v>1372</v>
      </c>
      <c r="I15" s="30" t="s">
        <v>50</v>
      </c>
      <c r="J15" s="31">
        <v>14242.23</v>
      </c>
      <c r="K15" s="31">
        <v>27427.72</v>
      </c>
      <c r="L15" s="31">
        <v>41669.949999999997</v>
      </c>
      <c r="M15" s="31">
        <v>39647.39</v>
      </c>
      <c r="N15" s="31">
        <v>15894.5</v>
      </c>
      <c r="O15" s="31">
        <v>55541.89</v>
      </c>
      <c r="P15" s="31">
        <v>13885.47</v>
      </c>
      <c r="Q15" s="31">
        <v>8674.32</v>
      </c>
      <c r="R15" s="31">
        <v>0</v>
      </c>
      <c r="S15" s="31">
        <v>6898</v>
      </c>
      <c r="T15" s="31">
        <v>0</v>
      </c>
      <c r="U15" s="31">
        <v>0</v>
      </c>
      <c r="V15" s="31">
        <v>8619.51</v>
      </c>
      <c r="W15" s="31">
        <v>8063.94</v>
      </c>
      <c r="X15" s="31">
        <v>0</v>
      </c>
      <c r="Y15" s="31">
        <v>41669.949999999997</v>
      </c>
    </row>
    <row r="16" spans="1:25" x14ac:dyDescent="0.2">
      <c r="A16" s="24" t="s">
        <v>33</v>
      </c>
      <c r="B16" s="24">
        <v>15</v>
      </c>
      <c r="C16" s="24">
        <v>1</v>
      </c>
      <c r="D16" s="24" t="s">
        <v>100</v>
      </c>
      <c r="E16" s="30">
        <v>2</v>
      </c>
      <c r="F16" s="30" t="s">
        <v>56</v>
      </c>
      <c r="G16" s="24">
        <v>489</v>
      </c>
      <c r="H16" s="24">
        <v>1345</v>
      </c>
      <c r="I16" s="30" t="s">
        <v>50</v>
      </c>
      <c r="J16" s="31">
        <v>33482.93</v>
      </c>
      <c r="K16" s="31">
        <v>26887.96</v>
      </c>
      <c r="L16" s="31">
        <v>60370.89</v>
      </c>
      <c r="M16" s="31">
        <v>59047.8</v>
      </c>
      <c r="N16" s="31">
        <v>0</v>
      </c>
      <c r="O16" s="31">
        <v>59047.8</v>
      </c>
      <c r="P16" s="31">
        <v>14761.95</v>
      </c>
      <c r="Q16" s="31">
        <v>11161.95</v>
      </c>
      <c r="R16" s="31">
        <v>0</v>
      </c>
      <c r="S16" s="31">
        <v>10580.5</v>
      </c>
      <c r="T16" s="31">
        <v>0</v>
      </c>
      <c r="U16" s="31">
        <v>0</v>
      </c>
      <c r="V16" s="31">
        <v>10468.91</v>
      </c>
      <c r="W16" s="31">
        <v>10737.12</v>
      </c>
      <c r="X16" s="31">
        <v>0</v>
      </c>
      <c r="Y16" s="31">
        <v>60370.89</v>
      </c>
    </row>
    <row r="17" spans="1:25" x14ac:dyDescent="0.2">
      <c r="A17" s="24" t="s">
        <v>33</v>
      </c>
      <c r="B17" s="24">
        <v>16</v>
      </c>
      <c r="C17" s="24">
        <v>1</v>
      </c>
      <c r="D17" s="24" t="s">
        <v>101</v>
      </c>
      <c r="E17" s="30">
        <v>2</v>
      </c>
      <c r="F17" s="30" t="s">
        <v>56</v>
      </c>
      <c r="G17" s="24">
        <v>498</v>
      </c>
      <c r="H17" s="24">
        <v>1436</v>
      </c>
      <c r="I17" s="30" t="s">
        <v>50</v>
      </c>
      <c r="J17" s="31">
        <v>34099.18</v>
      </c>
      <c r="K17" s="31">
        <v>28707.15</v>
      </c>
      <c r="L17" s="31">
        <v>62806.33</v>
      </c>
      <c r="M17" s="31">
        <v>63728.86</v>
      </c>
      <c r="N17" s="31">
        <v>12071</v>
      </c>
      <c r="O17" s="31">
        <v>75799.86</v>
      </c>
      <c r="P17" s="31">
        <v>18949.97</v>
      </c>
      <c r="Q17" s="31">
        <v>6247.34</v>
      </c>
      <c r="R17" s="31">
        <v>0</v>
      </c>
      <c r="S17" s="31">
        <v>7374.98</v>
      </c>
      <c r="T17" s="31">
        <v>0</v>
      </c>
      <c r="U17" s="31">
        <v>0</v>
      </c>
      <c r="V17" s="31">
        <v>9437.64</v>
      </c>
      <c r="W17" s="31">
        <v>7686.65</v>
      </c>
      <c r="X17" s="31">
        <v>0</v>
      </c>
      <c r="Y17" s="31">
        <v>62806.33</v>
      </c>
    </row>
    <row r="18" spans="1:25" x14ac:dyDescent="0.2">
      <c r="A18" s="24" t="s">
        <v>33</v>
      </c>
      <c r="B18" s="24">
        <v>22</v>
      </c>
      <c r="C18" s="24">
        <v>1</v>
      </c>
      <c r="D18" s="24" t="s">
        <v>102</v>
      </c>
      <c r="E18" s="30">
        <v>3</v>
      </c>
      <c r="F18" s="30" t="s">
        <v>60</v>
      </c>
      <c r="G18" s="24">
        <v>233</v>
      </c>
      <c r="H18" s="24">
        <v>946</v>
      </c>
      <c r="I18" s="30" t="s">
        <v>50</v>
      </c>
      <c r="J18" s="31">
        <v>15954.03</v>
      </c>
      <c r="K18" s="31">
        <v>18911.53</v>
      </c>
      <c r="L18" s="31">
        <v>34865.56</v>
      </c>
      <c r="M18" s="31">
        <v>35584.370000000003</v>
      </c>
      <c r="N18" s="31">
        <v>34358.69</v>
      </c>
      <c r="O18" s="31">
        <v>69943.06</v>
      </c>
      <c r="P18" s="31">
        <v>17485.77</v>
      </c>
      <c r="Q18" s="31">
        <v>12286.85</v>
      </c>
      <c r="R18" s="31">
        <v>0</v>
      </c>
      <c r="S18" s="31">
        <v>6550.15</v>
      </c>
      <c r="T18" s="31">
        <v>0</v>
      </c>
      <c r="U18" s="31">
        <v>0</v>
      </c>
      <c r="V18" s="31">
        <v>5427.59</v>
      </c>
      <c r="W18" s="31">
        <v>8088.2</v>
      </c>
      <c r="X18" s="31">
        <v>0</v>
      </c>
      <c r="Y18" s="31">
        <v>34865.56</v>
      </c>
    </row>
    <row r="19" spans="1:25" x14ac:dyDescent="0.2">
      <c r="A19" s="24" t="s">
        <v>33</v>
      </c>
      <c r="B19" s="24">
        <v>23</v>
      </c>
      <c r="C19" s="24">
        <v>1</v>
      </c>
      <c r="D19" s="24" t="s">
        <v>103</v>
      </c>
      <c r="E19" s="30">
        <v>3</v>
      </c>
      <c r="F19" s="30" t="s">
        <v>60</v>
      </c>
      <c r="G19" s="24">
        <v>94</v>
      </c>
      <c r="H19" s="24">
        <v>435</v>
      </c>
      <c r="I19" s="30" t="s">
        <v>50</v>
      </c>
      <c r="J19" s="31">
        <v>6436.39</v>
      </c>
      <c r="K19" s="31">
        <v>8696.11</v>
      </c>
      <c r="L19" s="31">
        <v>15132.5</v>
      </c>
      <c r="M19" s="31">
        <v>15152.83</v>
      </c>
      <c r="N19" s="31">
        <v>17672.3</v>
      </c>
      <c r="O19" s="31">
        <v>32825.129999999997</v>
      </c>
      <c r="P19" s="31">
        <v>8206.2800000000007</v>
      </c>
      <c r="Q19" s="31">
        <v>3723.61</v>
      </c>
      <c r="R19" s="31">
        <v>0</v>
      </c>
      <c r="S19" s="31">
        <v>5419.53</v>
      </c>
      <c r="T19" s="31">
        <v>0</v>
      </c>
      <c r="U19" s="31">
        <v>0</v>
      </c>
      <c r="V19" s="31">
        <v>11790.52</v>
      </c>
      <c r="W19" s="31">
        <v>6977.89</v>
      </c>
      <c r="X19" s="31">
        <v>0</v>
      </c>
      <c r="Y19" s="31">
        <v>15132.5</v>
      </c>
    </row>
    <row r="20" spans="1:25" x14ac:dyDescent="0.2">
      <c r="A20" s="24" t="s">
        <v>33</v>
      </c>
      <c r="B20" s="24">
        <v>25</v>
      </c>
      <c r="C20" s="24">
        <v>1</v>
      </c>
      <c r="D20" s="24" t="s">
        <v>104</v>
      </c>
      <c r="E20" s="30">
        <v>3</v>
      </c>
      <c r="F20" s="30" t="s">
        <v>60</v>
      </c>
      <c r="G20" s="24">
        <v>22</v>
      </c>
      <c r="H20" s="24">
        <v>72</v>
      </c>
      <c r="I20" s="30" t="s">
        <v>50</v>
      </c>
      <c r="J20" s="31">
        <v>1506.39</v>
      </c>
      <c r="K20" s="31">
        <v>1439.36</v>
      </c>
      <c r="L20" s="31">
        <v>2945.75</v>
      </c>
      <c r="M20" s="31">
        <v>2073.37</v>
      </c>
      <c r="N20" s="31">
        <v>0</v>
      </c>
      <c r="O20" s="31">
        <v>2073.37</v>
      </c>
      <c r="P20" s="31">
        <v>518.34</v>
      </c>
      <c r="Q20" s="31">
        <v>0</v>
      </c>
      <c r="R20" s="31">
        <v>0</v>
      </c>
      <c r="S20" s="31">
        <v>186.21</v>
      </c>
      <c r="T20" s="31">
        <v>0</v>
      </c>
      <c r="U20" s="31">
        <v>0</v>
      </c>
      <c r="V20" s="31">
        <v>199.62</v>
      </c>
      <c r="W20" s="31">
        <v>128.61000000000001</v>
      </c>
      <c r="X20" s="31">
        <v>0</v>
      </c>
      <c r="Y20" s="31">
        <v>2945.75</v>
      </c>
    </row>
    <row r="21" spans="1:25" x14ac:dyDescent="0.2">
      <c r="A21" s="24" t="s">
        <v>33</v>
      </c>
      <c r="B21" s="24">
        <v>31</v>
      </c>
      <c r="C21" s="24">
        <v>1</v>
      </c>
      <c r="D21" s="24" t="s">
        <v>105</v>
      </c>
      <c r="E21" s="30">
        <v>4</v>
      </c>
      <c r="F21" s="30" t="s">
        <v>62</v>
      </c>
      <c r="G21" s="24">
        <v>506</v>
      </c>
      <c r="H21" s="24">
        <v>2329</v>
      </c>
      <c r="I21" s="30" t="s">
        <v>50</v>
      </c>
      <c r="J21" s="31">
        <v>34646.959999999999</v>
      </c>
      <c r="K21" s="31">
        <v>46559.15</v>
      </c>
      <c r="L21" s="31">
        <v>81206.11</v>
      </c>
      <c r="M21" s="31">
        <v>82580.94</v>
      </c>
      <c r="N21" s="31">
        <v>0</v>
      </c>
      <c r="O21" s="31">
        <v>82580.94</v>
      </c>
      <c r="P21" s="31">
        <v>20645.240000000002</v>
      </c>
      <c r="Q21" s="31">
        <v>22331.84</v>
      </c>
      <c r="R21" s="31">
        <v>0</v>
      </c>
      <c r="S21" s="31">
        <v>26226.78</v>
      </c>
      <c r="T21" s="31">
        <v>6064.83</v>
      </c>
      <c r="U21" s="31">
        <v>0</v>
      </c>
      <c r="V21" s="31">
        <v>35381.519999999997</v>
      </c>
      <c r="W21" s="31">
        <v>25958.44</v>
      </c>
      <c r="X21" s="31">
        <v>5313.2</v>
      </c>
      <c r="Y21" s="31">
        <v>75892.91</v>
      </c>
    </row>
    <row r="22" spans="1:25" x14ac:dyDescent="0.2">
      <c r="A22" s="24" t="s">
        <v>33</v>
      </c>
      <c r="B22" s="24">
        <v>32</v>
      </c>
      <c r="C22" s="24">
        <v>1</v>
      </c>
      <c r="D22" s="24" t="s">
        <v>106</v>
      </c>
      <c r="E22" s="30">
        <v>4</v>
      </c>
      <c r="F22" s="30" t="s">
        <v>62</v>
      </c>
      <c r="G22" s="24">
        <v>47</v>
      </c>
      <c r="H22" s="24">
        <v>344</v>
      </c>
      <c r="I22" s="30" t="s">
        <v>50</v>
      </c>
      <c r="J22" s="31">
        <v>3218.2</v>
      </c>
      <c r="K22" s="31">
        <v>6876.92</v>
      </c>
      <c r="L22" s="31">
        <v>10095.120000000001</v>
      </c>
      <c r="M22" s="31">
        <v>10538.92</v>
      </c>
      <c r="N22" s="31">
        <v>0</v>
      </c>
      <c r="O22" s="31">
        <v>10538.92</v>
      </c>
      <c r="P22" s="31">
        <v>2634.73</v>
      </c>
      <c r="Q22" s="31">
        <v>-1599</v>
      </c>
      <c r="R22" s="31">
        <v>0</v>
      </c>
      <c r="S22" s="31">
        <v>-428.16</v>
      </c>
      <c r="T22" s="31">
        <v>0</v>
      </c>
      <c r="U22" s="31">
        <v>0</v>
      </c>
      <c r="V22" s="31">
        <v>2619.4499999999998</v>
      </c>
      <c r="W22" s="31">
        <v>197.43</v>
      </c>
      <c r="X22" s="31">
        <v>0</v>
      </c>
      <c r="Y22" s="31">
        <v>10095.120000000001</v>
      </c>
    </row>
    <row r="23" spans="1:25" x14ac:dyDescent="0.2">
      <c r="A23" s="24" t="s">
        <v>33</v>
      </c>
      <c r="B23" s="24">
        <v>36</v>
      </c>
      <c r="C23" s="24">
        <v>1</v>
      </c>
      <c r="D23" s="24" t="s">
        <v>107</v>
      </c>
      <c r="E23" s="30">
        <v>4</v>
      </c>
      <c r="F23" s="30" t="s">
        <v>62</v>
      </c>
      <c r="G23" s="24">
        <v>15</v>
      </c>
      <c r="H23" s="24">
        <v>174</v>
      </c>
      <c r="I23" s="30" t="s">
        <v>50</v>
      </c>
      <c r="J23" s="31">
        <v>1027.08</v>
      </c>
      <c r="K23" s="31">
        <v>3478.44</v>
      </c>
      <c r="L23" s="31">
        <v>4505.5200000000004</v>
      </c>
      <c r="M23" s="31">
        <v>4445.75</v>
      </c>
      <c r="N23" s="31">
        <v>0</v>
      </c>
      <c r="O23" s="31">
        <v>4445.75</v>
      </c>
      <c r="P23" s="31">
        <v>1111.44</v>
      </c>
      <c r="Q23" s="31">
        <v>-0.2</v>
      </c>
      <c r="R23" s="31">
        <v>0</v>
      </c>
      <c r="S23" s="31">
        <v>-0.36</v>
      </c>
      <c r="T23" s="31">
        <v>0</v>
      </c>
      <c r="U23" s="31">
        <v>0</v>
      </c>
      <c r="V23" s="31">
        <v>-0.36</v>
      </c>
      <c r="W23" s="31">
        <v>-0.31</v>
      </c>
      <c r="X23" s="31">
        <v>0</v>
      </c>
      <c r="Y23" s="31">
        <v>4505.5200000000004</v>
      </c>
    </row>
    <row r="24" spans="1:25" x14ac:dyDescent="0.2">
      <c r="A24" s="24" t="s">
        <v>33</v>
      </c>
      <c r="B24" s="24">
        <v>38</v>
      </c>
      <c r="C24" s="24">
        <v>1</v>
      </c>
      <c r="D24" s="24" t="s">
        <v>108</v>
      </c>
      <c r="E24" s="30">
        <v>4</v>
      </c>
      <c r="F24" s="30" t="s">
        <v>62</v>
      </c>
      <c r="G24" s="24">
        <v>161</v>
      </c>
      <c r="H24" s="24">
        <v>1144</v>
      </c>
      <c r="I24" s="30" t="s">
        <v>50</v>
      </c>
      <c r="J24" s="31">
        <v>11024.03</v>
      </c>
      <c r="K24" s="31">
        <v>22869.759999999998</v>
      </c>
      <c r="L24" s="31">
        <v>33893.79</v>
      </c>
      <c r="M24" s="31">
        <v>32134.16</v>
      </c>
      <c r="N24" s="31">
        <v>4450.63</v>
      </c>
      <c r="O24" s="31">
        <v>36584.79</v>
      </c>
      <c r="P24" s="31">
        <v>9146.2000000000007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0.1</v>
      </c>
      <c r="W24" s="31">
        <v>0.03</v>
      </c>
      <c r="X24" s="31">
        <v>0</v>
      </c>
      <c r="Y24" s="31">
        <v>33893.79</v>
      </c>
    </row>
    <row r="25" spans="1:25" x14ac:dyDescent="0.2">
      <c r="A25" s="24" t="s">
        <v>33</v>
      </c>
      <c r="B25" s="24">
        <v>47</v>
      </c>
      <c r="C25" s="24">
        <v>1</v>
      </c>
      <c r="D25" s="24" t="s">
        <v>109</v>
      </c>
      <c r="E25" s="30">
        <v>5</v>
      </c>
      <c r="F25" s="30" t="s">
        <v>63</v>
      </c>
      <c r="G25" s="24">
        <v>415</v>
      </c>
      <c r="H25" s="24">
        <v>1060</v>
      </c>
      <c r="I25" s="30" t="s">
        <v>50</v>
      </c>
      <c r="J25" s="31">
        <v>28415.98</v>
      </c>
      <c r="K25" s="31">
        <v>21190.51</v>
      </c>
      <c r="L25" s="31">
        <v>49606.49</v>
      </c>
      <c r="M25" s="31">
        <v>46560.86</v>
      </c>
      <c r="N25" s="31">
        <v>42365.22</v>
      </c>
      <c r="O25" s="31">
        <v>88926.080000000002</v>
      </c>
      <c r="P25" s="31">
        <v>22231.52</v>
      </c>
      <c r="Q25" s="31">
        <v>21916.82</v>
      </c>
      <c r="R25" s="31">
        <v>0</v>
      </c>
      <c r="S25" s="31">
        <v>23452.880000000001</v>
      </c>
      <c r="T25" s="31">
        <v>0</v>
      </c>
      <c r="U25" s="31">
        <v>0</v>
      </c>
      <c r="V25" s="31">
        <v>11973.87</v>
      </c>
      <c r="W25" s="31">
        <v>19114.52</v>
      </c>
      <c r="X25" s="31">
        <v>0</v>
      </c>
      <c r="Y25" s="31">
        <v>49606.49</v>
      </c>
    </row>
    <row r="26" spans="1:25" x14ac:dyDescent="0.2">
      <c r="A26" s="24" t="s">
        <v>33</v>
      </c>
      <c r="B26" s="24">
        <v>51</v>
      </c>
      <c r="C26" s="24">
        <v>1</v>
      </c>
      <c r="D26" s="24" t="s">
        <v>110</v>
      </c>
      <c r="E26" s="30">
        <v>5</v>
      </c>
      <c r="F26" s="30" t="s">
        <v>63</v>
      </c>
      <c r="G26" s="24">
        <v>156</v>
      </c>
      <c r="H26" s="24">
        <v>492</v>
      </c>
      <c r="I26" s="30" t="s">
        <v>50</v>
      </c>
      <c r="J26" s="31">
        <v>10681.67</v>
      </c>
      <c r="K26" s="31">
        <v>9835.6</v>
      </c>
      <c r="L26" s="31">
        <v>20517.27</v>
      </c>
      <c r="M26" s="31">
        <v>20401.78</v>
      </c>
      <c r="N26" s="31">
        <v>0</v>
      </c>
      <c r="O26" s="31">
        <v>20401.78</v>
      </c>
      <c r="P26" s="31">
        <v>5100.45</v>
      </c>
      <c r="Q26" s="31">
        <v>1658.77</v>
      </c>
      <c r="R26" s="31">
        <v>0</v>
      </c>
      <c r="S26" s="31">
        <v>1548.2</v>
      </c>
      <c r="T26" s="31">
        <v>0</v>
      </c>
      <c r="U26" s="31">
        <v>0</v>
      </c>
      <c r="V26" s="31">
        <v>-195.42</v>
      </c>
      <c r="W26" s="31">
        <v>1003.85</v>
      </c>
      <c r="X26" s="31">
        <v>0</v>
      </c>
      <c r="Y26" s="31">
        <v>20517.27</v>
      </c>
    </row>
    <row r="27" spans="1:25" x14ac:dyDescent="0.2">
      <c r="A27" s="24" t="s">
        <v>33</v>
      </c>
      <c r="B27" s="24">
        <v>75</v>
      </c>
      <c r="C27" s="24">
        <v>1</v>
      </c>
      <c r="D27" s="24" t="s">
        <v>111</v>
      </c>
      <c r="E27" s="30">
        <v>7</v>
      </c>
      <c r="F27" s="30" t="s">
        <v>57</v>
      </c>
      <c r="G27" s="24">
        <v>22</v>
      </c>
      <c r="H27" s="24">
        <v>123</v>
      </c>
      <c r="I27" s="30" t="s">
        <v>50</v>
      </c>
      <c r="J27" s="31">
        <v>1506.39</v>
      </c>
      <c r="K27" s="31">
        <v>2458.9</v>
      </c>
      <c r="L27" s="31">
        <v>3965.29</v>
      </c>
      <c r="M27" s="31">
        <v>4733.51</v>
      </c>
      <c r="N27" s="31">
        <v>0</v>
      </c>
      <c r="O27" s="31">
        <v>4733.51</v>
      </c>
      <c r="P27" s="31">
        <v>1183.3800000000001</v>
      </c>
      <c r="Q27" s="31">
        <v>319</v>
      </c>
      <c r="R27" s="31">
        <v>0</v>
      </c>
      <c r="S27" s="31">
        <v>17.149999999999999</v>
      </c>
      <c r="T27" s="31">
        <v>0</v>
      </c>
      <c r="U27" s="31">
        <v>0</v>
      </c>
      <c r="V27" s="31">
        <v>-994.86</v>
      </c>
      <c r="W27" s="31">
        <v>-219.57</v>
      </c>
      <c r="X27" s="31">
        <v>0</v>
      </c>
      <c r="Y27" s="31">
        <v>3965.29</v>
      </c>
    </row>
    <row r="28" spans="1:25" x14ac:dyDescent="0.2">
      <c r="A28" s="24" t="s">
        <v>33</v>
      </c>
      <c r="B28" s="24">
        <v>77</v>
      </c>
      <c r="C28" s="24">
        <v>1</v>
      </c>
      <c r="D28" s="24" t="s">
        <v>112</v>
      </c>
      <c r="E28" s="30">
        <v>7</v>
      </c>
      <c r="F28" s="30" t="s">
        <v>57</v>
      </c>
      <c r="G28" s="24">
        <v>669</v>
      </c>
      <c r="H28" s="24">
        <v>2298</v>
      </c>
      <c r="I28" s="30" t="s">
        <v>50</v>
      </c>
      <c r="J28" s="31">
        <v>45807.93</v>
      </c>
      <c r="K28" s="31">
        <v>45939.43</v>
      </c>
      <c r="L28" s="31">
        <v>91747.36</v>
      </c>
      <c r="M28" s="31">
        <v>88954.15</v>
      </c>
      <c r="N28" s="31">
        <v>64289.5</v>
      </c>
      <c r="O28" s="31">
        <v>153243.65</v>
      </c>
      <c r="P28" s="31">
        <v>38310.910000000003</v>
      </c>
      <c r="Q28" s="31">
        <v>23692.04</v>
      </c>
      <c r="R28" s="31">
        <v>0</v>
      </c>
      <c r="S28" s="31">
        <v>21904.44</v>
      </c>
      <c r="T28" s="31">
        <v>0</v>
      </c>
      <c r="U28" s="31">
        <v>0</v>
      </c>
      <c r="V28" s="31">
        <v>25020.15</v>
      </c>
      <c r="W28" s="31">
        <v>23538.880000000001</v>
      </c>
      <c r="X28" s="31">
        <v>0</v>
      </c>
      <c r="Y28" s="31">
        <v>91747.36</v>
      </c>
    </row>
    <row r="29" spans="1:25" x14ac:dyDescent="0.2">
      <c r="A29" s="24" t="s">
        <v>33</v>
      </c>
      <c r="B29" s="24">
        <v>81</v>
      </c>
      <c r="C29" s="24">
        <v>1</v>
      </c>
      <c r="D29" s="24" t="s">
        <v>113</v>
      </c>
      <c r="E29" s="30">
        <v>8</v>
      </c>
      <c r="F29" s="30" t="s">
        <v>57</v>
      </c>
      <c r="G29" s="24">
        <v>16</v>
      </c>
      <c r="H29" s="24">
        <v>62</v>
      </c>
      <c r="I29" s="30" t="s">
        <v>50</v>
      </c>
      <c r="J29" s="31">
        <v>1095.56</v>
      </c>
      <c r="K29" s="31">
        <v>1239.45</v>
      </c>
      <c r="L29" s="31">
        <v>2335.0100000000002</v>
      </c>
      <c r="M29" s="31">
        <v>2408.17</v>
      </c>
      <c r="N29" s="31">
        <v>258</v>
      </c>
      <c r="O29" s="31">
        <v>2666.17</v>
      </c>
      <c r="P29" s="31">
        <v>666.54</v>
      </c>
      <c r="Q29" s="31">
        <v>-1432.93</v>
      </c>
      <c r="R29" s="31">
        <v>0</v>
      </c>
      <c r="S29" s="31">
        <v>-2606.13</v>
      </c>
      <c r="T29" s="31">
        <v>0</v>
      </c>
      <c r="U29" s="31">
        <v>0</v>
      </c>
      <c r="V29" s="31">
        <v>-3961.21</v>
      </c>
      <c r="W29" s="31">
        <v>-2666.76</v>
      </c>
      <c r="X29" s="31">
        <v>0</v>
      </c>
      <c r="Y29" s="31">
        <v>2335.0100000000002</v>
      </c>
    </row>
    <row r="30" spans="1:25" x14ac:dyDescent="0.2">
      <c r="A30" s="24" t="s">
        <v>33</v>
      </c>
      <c r="B30" s="24">
        <v>84</v>
      </c>
      <c r="C30" s="24">
        <v>1</v>
      </c>
      <c r="D30" s="24" t="s">
        <v>114</v>
      </c>
      <c r="E30" s="30">
        <v>8</v>
      </c>
      <c r="F30" s="30" t="s">
        <v>57</v>
      </c>
      <c r="G30" s="24">
        <v>77</v>
      </c>
      <c r="H30" s="24">
        <v>289</v>
      </c>
      <c r="I30" s="30" t="s">
        <v>50</v>
      </c>
      <c r="J30" s="31">
        <v>5272.36</v>
      </c>
      <c r="K30" s="31">
        <v>5777.41</v>
      </c>
      <c r="L30" s="31">
        <v>11049.77</v>
      </c>
      <c r="M30" s="31">
        <v>12339.51</v>
      </c>
      <c r="N30" s="31">
        <v>31657.17</v>
      </c>
      <c r="O30" s="31">
        <v>43996.68</v>
      </c>
      <c r="P30" s="31">
        <v>10999.17</v>
      </c>
      <c r="Q30" s="31">
        <v>-14643.52</v>
      </c>
      <c r="R30" s="31">
        <v>0</v>
      </c>
      <c r="S30" s="31">
        <v>-16902.169999999998</v>
      </c>
      <c r="T30" s="31">
        <v>0</v>
      </c>
      <c r="U30" s="31">
        <v>0</v>
      </c>
      <c r="V30" s="31">
        <v>-16353.77</v>
      </c>
      <c r="W30" s="31">
        <v>-15966.49</v>
      </c>
      <c r="X30" s="31">
        <v>0</v>
      </c>
      <c r="Y30" s="31">
        <v>11049.77</v>
      </c>
    </row>
    <row r="31" spans="1:25" x14ac:dyDescent="0.2">
      <c r="A31" s="24" t="s">
        <v>33</v>
      </c>
      <c r="B31" s="24">
        <v>85</v>
      </c>
      <c r="C31" s="24">
        <v>1</v>
      </c>
      <c r="D31" s="24" t="s">
        <v>115</v>
      </c>
      <c r="E31" s="30">
        <v>8</v>
      </c>
      <c r="F31" s="30" t="s">
        <v>57</v>
      </c>
      <c r="G31" s="24">
        <v>24</v>
      </c>
      <c r="H31" s="24">
        <v>208</v>
      </c>
      <c r="I31" s="30" t="s">
        <v>50</v>
      </c>
      <c r="J31" s="31">
        <v>1643.33</v>
      </c>
      <c r="K31" s="31">
        <v>4158.1400000000003</v>
      </c>
      <c r="L31" s="31">
        <v>5801.47</v>
      </c>
      <c r="M31" s="31">
        <v>5948.31</v>
      </c>
      <c r="N31" s="31">
        <v>0</v>
      </c>
      <c r="O31" s="31">
        <v>5948.31</v>
      </c>
      <c r="P31" s="31">
        <v>1487.08</v>
      </c>
      <c r="Q31" s="31">
        <v>-3948.19</v>
      </c>
      <c r="R31" s="31">
        <v>0</v>
      </c>
      <c r="S31" s="31">
        <v>-5805.3</v>
      </c>
      <c r="T31" s="31">
        <v>0</v>
      </c>
      <c r="U31" s="31">
        <v>0</v>
      </c>
      <c r="V31" s="31">
        <v>-4425.47</v>
      </c>
      <c r="W31" s="31">
        <v>-4726.32</v>
      </c>
      <c r="X31" s="31">
        <v>0</v>
      </c>
      <c r="Y31" s="31">
        <v>5801.47</v>
      </c>
    </row>
    <row r="32" spans="1:25" x14ac:dyDescent="0.2">
      <c r="A32" s="24" t="s">
        <v>33</v>
      </c>
      <c r="B32" s="24">
        <v>88</v>
      </c>
      <c r="C32" s="24">
        <v>1</v>
      </c>
      <c r="D32" s="24" t="s">
        <v>116</v>
      </c>
      <c r="E32" s="30">
        <v>8</v>
      </c>
      <c r="F32" s="30" t="s">
        <v>57</v>
      </c>
      <c r="G32" s="24">
        <v>243</v>
      </c>
      <c r="H32" s="24">
        <v>480</v>
      </c>
      <c r="I32" s="30" t="s">
        <v>50</v>
      </c>
      <c r="J32" s="31">
        <v>16638.759999999998</v>
      </c>
      <c r="K32" s="31">
        <v>9595.7000000000007</v>
      </c>
      <c r="L32" s="31">
        <v>26234.46</v>
      </c>
      <c r="M32" s="31">
        <v>23711.93</v>
      </c>
      <c r="N32" s="31">
        <v>21592.28</v>
      </c>
      <c r="O32" s="31">
        <v>45304.21</v>
      </c>
      <c r="P32" s="31">
        <v>11326.05</v>
      </c>
      <c r="Q32" s="31">
        <v>3679.21</v>
      </c>
      <c r="R32" s="31">
        <v>0</v>
      </c>
      <c r="S32" s="31">
        <v>1150.27</v>
      </c>
      <c r="T32" s="31">
        <v>0</v>
      </c>
      <c r="U32" s="31">
        <v>0</v>
      </c>
      <c r="V32" s="31">
        <v>0</v>
      </c>
      <c r="W32" s="31">
        <v>1609.83</v>
      </c>
      <c r="X32" s="31">
        <v>0</v>
      </c>
      <c r="Y32" s="31">
        <v>26234.46</v>
      </c>
    </row>
    <row r="33" spans="1:25" x14ac:dyDescent="0.2">
      <c r="A33" s="24" t="s">
        <v>33</v>
      </c>
      <c r="B33" s="24">
        <v>91</v>
      </c>
      <c r="C33" s="24">
        <v>1</v>
      </c>
      <c r="D33" s="24" t="s">
        <v>117</v>
      </c>
      <c r="E33" s="30">
        <v>9</v>
      </c>
      <c r="F33" s="30" t="s">
        <v>58</v>
      </c>
      <c r="G33" s="24">
        <v>62</v>
      </c>
      <c r="H33" s="24">
        <v>258</v>
      </c>
      <c r="I33" s="30" t="s">
        <v>50</v>
      </c>
      <c r="J33" s="31">
        <v>4245.28</v>
      </c>
      <c r="K33" s="31">
        <v>5157.6899999999996</v>
      </c>
      <c r="L33" s="31">
        <v>9402.9699999999993</v>
      </c>
      <c r="M33" s="31">
        <v>8823.0300000000007</v>
      </c>
      <c r="N33" s="31">
        <v>15829.2</v>
      </c>
      <c r="O33" s="31">
        <v>24652.23</v>
      </c>
      <c r="P33" s="31">
        <v>6163.06</v>
      </c>
      <c r="Q33" s="31">
        <v>931.43</v>
      </c>
      <c r="R33" s="31">
        <v>0</v>
      </c>
      <c r="S33" s="31">
        <v>2999.97</v>
      </c>
      <c r="T33" s="31">
        <v>0</v>
      </c>
      <c r="U33" s="31">
        <v>0</v>
      </c>
      <c r="V33" s="31">
        <v>4477.93</v>
      </c>
      <c r="W33" s="31">
        <v>2803.11</v>
      </c>
      <c r="X33" s="31">
        <v>0</v>
      </c>
      <c r="Y33" s="31">
        <v>9402.9699999999993</v>
      </c>
    </row>
    <row r="34" spans="1:25" x14ac:dyDescent="0.2">
      <c r="A34" s="24" t="s">
        <v>33</v>
      </c>
      <c r="B34" s="24">
        <v>93</v>
      </c>
      <c r="C34" s="24">
        <v>1</v>
      </c>
      <c r="D34" s="24" t="s">
        <v>118</v>
      </c>
      <c r="E34" s="30">
        <v>9</v>
      </c>
      <c r="F34" s="30" t="s">
        <v>58</v>
      </c>
      <c r="G34" s="24">
        <v>35</v>
      </c>
      <c r="H34" s="24">
        <v>212</v>
      </c>
      <c r="I34" s="30" t="s">
        <v>50</v>
      </c>
      <c r="J34" s="31">
        <v>2396.5300000000002</v>
      </c>
      <c r="K34" s="31">
        <v>4238.1000000000004</v>
      </c>
      <c r="L34" s="31">
        <v>6634.63</v>
      </c>
      <c r="M34" s="31">
        <v>7053.44</v>
      </c>
      <c r="N34" s="31">
        <v>12710.75</v>
      </c>
      <c r="O34" s="31">
        <v>19764.189999999999</v>
      </c>
      <c r="P34" s="31">
        <v>4941.05</v>
      </c>
      <c r="Q34" s="31">
        <v>775.23</v>
      </c>
      <c r="R34" s="31">
        <v>0</v>
      </c>
      <c r="S34" s="31">
        <v>2349.39</v>
      </c>
      <c r="T34" s="31">
        <v>0</v>
      </c>
      <c r="U34" s="31">
        <v>0</v>
      </c>
      <c r="V34" s="31">
        <v>-10858.9</v>
      </c>
      <c r="W34" s="31">
        <v>-2578.09</v>
      </c>
      <c r="X34" s="31">
        <v>0</v>
      </c>
      <c r="Y34" s="31">
        <v>6634.63</v>
      </c>
    </row>
    <row r="35" spans="1:25" x14ac:dyDescent="0.2">
      <c r="A35" s="24" t="s">
        <v>33</v>
      </c>
      <c r="B35" s="24">
        <v>94</v>
      </c>
      <c r="C35" s="24">
        <v>1</v>
      </c>
      <c r="D35" s="24" t="s">
        <v>119</v>
      </c>
      <c r="E35" s="30">
        <v>9</v>
      </c>
      <c r="F35" s="30" t="s">
        <v>58</v>
      </c>
      <c r="G35" s="24">
        <v>264</v>
      </c>
      <c r="H35" s="24">
        <v>827</v>
      </c>
      <c r="I35" s="30" t="s">
        <v>50</v>
      </c>
      <c r="J35" s="31">
        <v>18076.669999999998</v>
      </c>
      <c r="K35" s="31">
        <v>16532.599999999999</v>
      </c>
      <c r="L35" s="31">
        <v>34609.269999999997</v>
      </c>
      <c r="M35" s="31">
        <v>33802.559999999998</v>
      </c>
      <c r="N35" s="31">
        <v>12985.45</v>
      </c>
      <c r="O35" s="31">
        <v>46788.01</v>
      </c>
      <c r="P35" s="31">
        <v>11697</v>
      </c>
      <c r="Q35" s="31">
        <v>3524.01</v>
      </c>
      <c r="R35" s="31">
        <v>0</v>
      </c>
      <c r="S35" s="31">
        <v>7826.61</v>
      </c>
      <c r="T35" s="31">
        <v>0</v>
      </c>
      <c r="U35" s="31">
        <v>0</v>
      </c>
      <c r="V35" s="31">
        <v>10389.450000000001</v>
      </c>
      <c r="W35" s="31">
        <v>7246.69</v>
      </c>
      <c r="X35" s="31">
        <v>0</v>
      </c>
      <c r="Y35" s="31">
        <v>34609.269999999997</v>
      </c>
    </row>
    <row r="36" spans="1:25" x14ac:dyDescent="0.2">
      <c r="A36" s="24" t="s">
        <v>33</v>
      </c>
      <c r="B36" s="24">
        <v>95</v>
      </c>
      <c r="C36" s="24">
        <v>1</v>
      </c>
      <c r="D36" s="24" t="s">
        <v>120</v>
      </c>
      <c r="E36" s="30">
        <v>9</v>
      </c>
      <c r="F36" s="30" t="s">
        <v>58</v>
      </c>
      <c r="G36" s="24">
        <v>18</v>
      </c>
      <c r="H36" s="24">
        <v>138</v>
      </c>
      <c r="I36" s="30" t="s">
        <v>50</v>
      </c>
      <c r="J36" s="31">
        <v>1232.5</v>
      </c>
      <c r="K36" s="31">
        <v>2758.76</v>
      </c>
      <c r="L36" s="31">
        <v>3991.26</v>
      </c>
      <c r="M36" s="31">
        <v>4303.1099999999997</v>
      </c>
      <c r="N36" s="31">
        <v>18713.48</v>
      </c>
      <c r="O36" s="31">
        <v>23016.59</v>
      </c>
      <c r="P36" s="31">
        <v>5754.15</v>
      </c>
      <c r="Q36" s="31">
        <v>2536.9899999999998</v>
      </c>
      <c r="R36" s="31">
        <v>0</v>
      </c>
      <c r="S36" s="31">
        <v>2503.5500000000002</v>
      </c>
      <c r="T36" s="31">
        <v>0</v>
      </c>
      <c r="U36" s="31">
        <v>0</v>
      </c>
      <c r="V36" s="31">
        <v>2503.5500000000002</v>
      </c>
      <c r="W36" s="31">
        <v>2514.6999999999998</v>
      </c>
      <c r="X36" s="31">
        <v>0</v>
      </c>
      <c r="Y36" s="31">
        <v>3991.26</v>
      </c>
    </row>
    <row r="37" spans="1:25" x14ac:dyDescent="0.2">
      <c r="A37" s="24" t="s">
        <v>33</v>
      </c>
      <c r="B37" s="24">
        <v>97</v>
      </c>
      <c r="C37" s="24">
        <v>1</v>
      </c>
      <c r="D37" s="24" t="s">
        <v>121</v>
      </c>
      <c r="E37" s="30">
        <v>9</v>
      </c>
      <c r="F37" s="30" t="s">
        <v>58</v>
      </c>
      <c r="G37" s="24">
        <v>49</v>
      </c>
      <c r="H37" s="24">
        <v>236</v>
      </c>
      <c r="I37" s="30" t="s">
        <v>50</v>
      </c>
      <c r="J37" s="31">
        <v>3355.14</v>
      </c>
      <c r="K37" s="31">
        <v>4717.8900000000003</v>
      </c>
      <c r="L37" s="31">
        <v>8073.03</v>
      </c>
      <c r="M37" s="31">
        <v>8581.6</v>
      </c>
      <c r="N37" s="31">
        <v>18347.5</v>
      </c>
      <c r="O37" s="31">
        <v>26929.1</v>
      </c>
      <c r="P37" s="31">
        <v>6732.28</v>
      </c>
      <c r="Q37" s="31">
        <v>-1862.03</v>
      </c>
      <c r="R37" s="31">
        <v>0</v>
      </c>
      <c r="S37" s="31">
        <v>-6903.96</v>
      </c>
      <c r="T37" s="31">
        <v>0</v>
      </c>
      <c r="U37" s="31">
        <v>0</v>
      </c>
      <c r="V37" s="31">
        <v>-3802.4</v>
      </c>
      <c r="W37" s="31">
        <v>-4189.46</v>
      </c>
      <c r="X37" s="31">
        <v>0</v>
      </c>
      <c r="Y37" s="31">
        <v>8073.03</v>
      </c>
    </row>
    <row r="38" spans="1:25" x14ac:dyDescent="0.2">
      <c r="A38" s="24" t="s">
        <v>33</v>
      </c>
      <c r="B38" s="24">
        <v>99</v>
      </c>
      <c r="C38" s="24">
        <v>1</v>
      </c>
      <c r="D38" s="24" t="s">
        <v>122</v>
      </c>
      <c r="E38" s="30">
        <v>9</v>
      </c>
      <c r="F38" s="30" t="s">
        <v>58</v>
      </c>
      <c r="G38" s="24">
        <v>70</v>
      </c>
      <c r="H38" s="24">
        <v>123</v>
      </c>
      <c r="I38" s="30" t="s">
        <v>50</v>
      </c>
      <c r="J38" s="31">
        <v>4793.0600000000004</v>
      </c>
      <c r="K38" s="31">
        <v>2458.9</v>
      </c>
      <c r="L38" s="31">
        <v>7251.96</v>
      </c>
      <c r="M38" s="31">
        <v>6814.86</v>
      </c>
      <c r="N38" s="31">
        <v>27988.28</v>
      </c>
      <c r="O38" s="31">
        <v>34803.14</v>
      </c>
      <c r="P38" s="31">
        <v>8700.7900000000009</v>
      </c>
      <c r="Q38" s="31">
        <v>8112.98</v>
      </c>
      <c r="R38" s="31">
        <v>0</v>
      </c>
      <c r="S38" s="31">
        <v>11988.8</v>
      </c>
      <c r="T38" s="31">
        <v>0</v>
      </c>
      <c r="U38" s="31">
        <v>0</v>
      </c>
      <c r="V38" s="31">
        <v>6762.12</v>
      </c>
      <c r="W38" s="31">
        <v>8954.6299999999992</v>
      </c>
      <c r="X38" s="31">
        <v>253.84</v>
      </c>
      <c r="Y38" s="31">
        <v>6998.12</v>
      </c>
    </row>
    <row r="39" spans="1:25" x14ac:dyDescent="0.2">
      <c r="A39" s="24" t="s">
        <v>33</v>
      </c>
      <c r="B39" s="24">
        <v>100</v>
      </c>
      <c r="C39" s="24">
        <v>1</v>
      </c>
      <c r="D39" s="24" t="s">
        <v>123</v>
      </c>
      <c r="E39" s="30">
        <v>9</v>
      </c>
      <c r="F39" s="30" t="s">
        <v>58</v>
      </c>
      <c r="G39" s="24">
        <v>15</v>
      </c>
      <c r="H39" s="24">
        <v>122</v>
      </c>
      <c r="I39" s="30" t="s">
        <v>50</v>
      </c>
      <c r="J39" s="31">
        <v>1027.08</v>
      </c>
      <c r="K39" s="31">
        <v>2438.91</v>
      </c>
      <c r="L39" s="31">
        <v>3465.99</v>
      </c>
      <c r="M39" s="31">
        <v>3892.21</v>
      </c>
      <c r="N39" s="31">
        <v>1578.95</v>
      </c>
      <c r="O39" s="31">
        <v>5471.16</v>
      </c>
      <c r="P39" s="31">
        <v>1367.79</v>
      </c>
      <c r="Q39" s="31">
        <v>-2339.66</v>
      </c>
      <c r="R39" s="31">
        <v>0</v>
      </c>
      <c r="S39" s="31">
        <v>241.9</v>
      </c>
      <c r="T39" s="31">
        <v>0</v>
      </c>
      <c r="U39" s="31">
        <v>0</v>
      </c>
      <c r="V39" s="31">
        <v>441.3</v>
      </c>
      <c r="W39" s="31">
        <v>-552.15</v>
      </c>
      <c r="X39" s="31">
        <v>0</v>
      </c>
      <c r="Y39" s="31">
        <v>3465.99</v>
      </c>
    </row>
    <row r="40" spans="1:25" x14ac:dyDescent="0.2">
      <c r="A40" s="24" t="s">
        <v>33</v>
      </c>
      <c r="B40" s="24">
        <v>108</v>
      </c>
      <c r="C40" s="24">
        <v>1</v>
      </c>
      <c r="D40" s="24" t="s">
        <v>124</v>
      </c>
      <c r="E40" s="30">
        <v>10</v>
      </c>
      <c r="F40" s="30" t="s">
        <v>56</v>
      </c>
      <c r="G40" s="24">
        <v>102</v>
      </c>
      <c r="H40" s="24">
        <v>211</v>
      </c>
      <c r="I40" s="30" t="s">
        <v>50</v>
      </c>
      <c r="J40" s="31">
        <v>6984.17</v>
      </c>
      <c r="K40" s="31">
        <v>4218.1099999999997</v>
      </c>
      <c r="L40" s="31">
        <v>11202.28</v>
      </c>
      <c r="M40" s="31">
        <v>11690.64</v>
      </c>
      <c r="N40" s="31">
        <v>0</v>
      </c>
      <c r="O40" s="31">
        <v>11690.64</v>
      </c>
      <c r="P40" s="31">
        <v>2922.66</v>
      </c>
      <c r="Q40" s="31">
        <v>688.43</v>
      </c>
      <c r="R40" s="31">
        <v>0</v>
      </c>
      <c r="S40" s="31">
        <v>2594.58</v>
      </c>
      <c r="T40" s="31">
        <v>0</v>
      </c>
      <c r="U40" s="31">
        <v>0</v>
      </c>
      <c r="V40" s="31">
        <v>5448</v>
      </c>
      <c r="W40" s="31">
        <v>2910.34</v>
      </c>
      <c r="X40" s="31">
        <v>0</v>
      </c>
      <c r="Y40" s="31">
        <v>11202.28</v>
      </c>
    </row>
    <row r="41" spans="1:25" x14ac:dyDescent="0.2">
      <c r="A41" s="24" t="s">
        <v>33</v>
      </c>
      <c r="B41" s="24">
        <v>110</v>
      </c>
      <c r="C41" s="24">
        <v>1</v>
      </c>
      <c r="D41" s="24" t="s">
        <v>125</v>
      </c>
      <c r="E41" s="30">
        <v>10</v>
      </c>
      <c r="F41" s="30" t="s">
        <v>56</v>
      </c>
      <c r="G41" s="24">
        <v>330</v>
      </c>
      <c r="H41" s="24">
        <v>255</v>
      </c>
      <c r="I41" s="30" t="s">
        <v>50</v>
      </c>
      <c r="J41" s="31">
        <v>22595.84</v>
      </c>
      <c r="K41" s="31">
        <v>5097.72</v>
      </c>
      <c r="L41" s="31">
        <v>27693.56</v>
      </c>
      <c r="M41" s="31">
        <v>23991.97</v>
      </c>
      <c r="N41" s="31">
        <v>16245.36</v>
      </c>
      <c r="O41" s="31">
        <v>40237.33</v>
      </c>
      <c r="P41" s="31">
        <v>10059.33</v>
      </c>
      <c r="Q41" s="31">
        <v>4457.03</v>
      </c>
      <c r="R41" s="31">
        <v>0</v>
      </c>
      <c r="S41" s="31">
        <v>2089.21</v>
      </c>
      <c r="T41" s="31">
        <v>0</v>
      </c>
      <c r="U41" s="31">
        <v>0</v>
      </c>
      <c r="V41" s="31">
        <v>5394.68</v>
      </c>
      <c r="W41" s="31">
        <v>3980.31</v>
      </c>
      <c r="X41" s="31">
        <v>0</v>
      </c>
      <c r="Y41" s="31">
        <v>27693.56</v>
      </c>
    </row>
    <row r="42" spans="1:25" x14ac:dyDescent="0.2">
      <c r="A42" s="24" t="s">
        <v>33</v>
      </c>
      <c r="B42" s="24">
        <v>111</v>
      </c>
      <c r="C42" s="24">
        <v>1</v>
      </c>
      <c r="D42" s="24" t="s">
        <v>126</v>
      </c>
      <c r="E42" s="30">
        <v>10</v>
      </c>
      <c r="F42" s="30" t="s">
        <v>56</v>
      </c>
      <c r="G42" s="24">
        <v>150</v>
      </c>
      <c r="H42" s="24">
        <v>271</v>
      </c>
      <c r="I42" s="30" t="s">
        <v>50</v>
      </c>
      <c r="J42" s="31">
        <v>10270.84</v>
      </c>
      <c r="K42" s="31">
        <v>5417.57</v>
      </c>
      <c r="L42" s="31">
        <v>15688.41</v>
      </c>
      <c r="M42" s="31">
        <v>15642.31</v>
      </c>
      <c r="N42" s="31">
        <v>0</v>
      </c>
      <c r="O42" s="31">
        <v>15642.31</v>
      </c>
      <c r="P42" s="31">
        <v>3910.58</v>
      </c>
      <c r="Q42" s="31">
        <v>1063.46</v>
      </c>
      <c r="R42" s="31">
        <v>0</v>
      </c>
      <c r="S42" s="31">
        <v>-2614.4899999999998</v>
      </c>
      <c r="T42" s="31">
        <v>0</v>
      </c>
      <c r="U42" s="31">
        <v>0</v>
      </c>
      <c r="V42" s="31">
        <v>-4340.08</v>
      </c>
      <c r="W42" s="31">
        <v>-1963.7</v>
      </c>
      <c r="X42" s="31">
        <v>0</v>
      </c>
      <c r="Y42" s="31">
        <v>15688.41</v>
      </c>
    </row>
    <row r="43" spans="1:25" x14ac:dyDescent="0.2">
      <c r="A43" s="24" t="s">
        <v>33</v>
      </c>
      <c r="B43" s="24">
        <v>112</v>
      </c>
      <c r="C43" s="24">
        <v>1</v>
      </c>
      <c r="D43" s="24" t="s">
        <v>398</v>
      </c>
      <c r="E43" s="30">
        <v>10</v>
      </c>
      <c r="F43" s="30" t="s">
        <v>56</v>
      </c>
      <c r="G43" s="24">
        <v>935</v>
      </c>
      <c r="H43" s="24">
        <v>1250</v>
      </c>
      <c r="I43" s="30" t="s">
        <v>50</v>
      </c>
      <c r="J43" s="31">
        <v>64021.55</v>
      </c>
      <c r="K43" s="31">
        <v>24988.81</v>
      </c>
      <c r="L43" s="31">
        <v>89010.36</v>
      </c>
      <c r="M43" s="31">
        <v>91609.68</v>
      </c>
      <c r="N43" s="31">
        <v>43929.55</v>
      </c>
      <c r="O43" s="31">
        <v>135539.23000000001</v>
      </c>
      <c r="P43" s="31">
        <v>33884.81</v>
      </c>
      <c r="Q43" s="31">
        <v>19917.91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6639.3</v>
      </c>
      <c r="X43" s="31">
        <v>0</v>
      </c>
      <c r="Y43" s="31">
        <v>89010.36</v>
      </c>
    </row>
    <row r="44" spans="1:25" x14ac:dyDescent="0.2">
      <c r="A44" s="24" t="s">
        <v>33</v>
      </c>
      <c r="B44" s="24">
        <v>113</v>
      </c>
      <c r="C44" s="24">
        <v>1</v>
      </c>
      <c r="D44" s="24" t="s">
        <v>127</v>
      </c>
      <c r="E44" s="30">
        <v>11</v>
      </c>
      <c r="F44" s="30" t="s">
        <v>66</v>
      </c>
      <c r="G44" s="24">
        <v>67</v>
      </c>
      <c r="H44" s="24">
        <v>369</v>
      </c>
      <c r="I44" s="30" t="s">
        <v>50</v>
      </c>
      <c r="J44" s="31">
        <v>4587.6400000000003</v>
      </c>
      <c r="K44" s="31">
        <v>7376.7</v>
      </c>
      <c r="L44" s="31">
        <v>11964.34</v>
      </c>
      <c r="M44" s="31">
        <v>11830.45</v>
      </c>
      <c r="N44" s="31">
        <v>6223</v>
      </c>
      <c r="O44" s="31">
        <v>18053.45</v>
      </c>
      <c r="P44" s="31">
        <v>4513.3599999999997</v>
      </c>
      <c r="Q44" s="31">
        <v>149.44</v>
      </c>
      <c r="R44" s="31">
        <v>0</v>
      </c>
      <c r="S44" s="31">
        <v>2243.59</v>
      </c>
      <c r="T44" s="31">
        <v>0</v>
      </c>
      <c r="U44" s="31">
        <v>0</v>
      </c>
      <c r="V44" s="31">
        <v>5603.48</v>
      </c>
      <c r="W44" s="31">
        <v>2665.5</v>
      </c>
      <c r="X44" s="31">
        <v>0</v>
      </c>
      <c r="Y44" s="31">
        <v>11964.34</v>
      </c>
    </row>
    <row r="45" spans="1:25" x14ac:dyDescent="0.2">
      <c r="A45" s="24" t="s">
        <v>33</v>
      </c>
      <c r="B45" s="24">
        <v>115</v>
      </c>
      <c r="C45" s="24">
        <v>1</v>
      </c>
      <c r="D45" s="24" t="s">
        <v>128</v>
      </c>
      <c r="E45" s="30">
        <v>11</v>
      </c>
      <c r="F45" s="30" t="s">
        <v>66</v>
      </c>
      <c r="G45" s="24">
        <v>60</v>
      </c>
      <c r="H45" s="24">
        <v>881</v>
      </c>
      <c r="I45" s="30" t="s">
        <v>50</v>
      </c>
      <c r="J45" s="31">
        <v>4108.33</v>
      </c>
      <c r="K45" s="31">
        <v>17612.11</v>
      </c>
      <c r="L45" s="31">
        <v>21720.44</v>
      </c>
      <c r="M45" s="31">
        <v>25631.68</v>
      </c>
      <c r="N45" s="31">
        <v>0</v>
      </c>
      <c r="O45" s="31">
        <v>25631.68</v>
      </c>
      <c r="P45" s="31">
        <v>6407.92</v>
      </c>
      <c r="Q45" s="31">
        <v>399.93</v>
      </c>
      <c r="R45" s="31">
        <v>0</v>
      </c>
      <c r="S45" s="31">
        <v>613.67999999999995</v>
      </c>
      <c r="T45" s="31">
        <v>0</v>
      </c>
      <c r="U45" s="31">
        <v>0</v>
      </c>
      <c r="V45" s="31">
        <v>-15786.42</v>
      </c>
      <c r="W45" s="31">
        <v>-4924.2700000000004</v>
      </c>
      <c r="X45" s="31">
        <v>0</v>
      </c>
      <c r="Y45" s="31">
        <v>21720.44</v>
      </c>
    </row>
    <row r="46" spans="1:25" x14ac:dyDescent="0.2">
      <c r="A46" s="24" t="s">
        <v>33</v>
      </c>
      <c r="B46" s="24">
        <v>116</v>
      </c>
      <c r="C46" s="24">
        <v>1</v>
      </c>
      <c r="D46" s="24" t="s">
        <v>129</v>
      </c>
      <c r="E46" s="30">
        <v>11</v>
      </c>
      <c r="F46" s="30" t="s">
        <v>66</v>
      </c>
      <c r="G46" s="24">
        <v>81</v>
      </c>
      <c r="H46" s="24">
        <v>402</v>
      </c>
      <c r="I46" s="30" t="s">
        <v>50</v>
      </c>
      <c r="J46" s="31">
        <v>5546.25</v>
      </c>
      <c r="K46" s="31">
        <v>8036.4</v>
      </c>
      <c r="L46" s="31">
        <v>13582.65</v>
      </c>
      <c r="M46" s="31">
        <v>12892.07</v>
      </c>
      <c r="N46" s="31">
        <v>25948.6</v>
      </c>
      <c r="O46" s="31">
        <v>38840.67</v>
      </c>
      <c r="P46" s="31">
        <v>9710.17</v>
      </c>
      <c r="Q46" s="31">
        <v>-5847.89</v>
      </c>
      <c r="R46" s="31">
        <v>0</v>
      </c>
      <c r="S46" s="31">
        <v>-8431.1</v>
      </c>
      <c r="T46" s="31">
        <v>0</v>
      </c>
      <c r="U46" s="31">
        <v>0</v>
      </c>
      <c r="V46" s="31">
        <v>-3649.01</v>
      </c>
      <c r="W46" s="31">
        <v>-5976</v>
      </c>
      <c r="X46" s="31">
        <v>0</v>
      </c>
      <c r="Y46" s="31">
        <v>13582.65</v>
      </c>
    </row>
    <row r="47" spans="1:25" x14ac:dyDescent="0.2">
      <c r="A47" s="24" t="s">
        <v>33</v>
      </c>
      <c r="B47" s="24">
        <v>118</v>
      </c>
      <c r="C47" s="24">
        <v>1</v>
      </c>
      <c r="D47" s="24" t="s">
        <v>89</v>
      </c>
      <c r="E47" s="30">
        <v>11</v>
      </c>
      <c r="F47" s="30" t="s">
        <v>66</v>
      </c>
      <c r="G47" s="24">
        <v>34</v>
      </c>
      <c r="H47" s="24">
        <v>272</v>
      </c>
      <c r="I47" s="30" t="s">
        <v>50</v>
      </c>
      <c r="J47" s="31">
        <v>2328.06</v>
      </c>
      <c r="K47" s="31">
        <v>5437.57</v>
      </c>
      <c r="L47" s="31">
        <v>7765.63</v>
      </c>
      <c r="M47" s="31">
        <v>8623.51</v>
      </c>
      <c r="N47" s="31">
        <v>0</v>
      </c>
      <c r="O47" s="31">
        <v>8623.51</v>
      </c>
      <c r="P47" s="31">
        <v>2155.88</v>
      </c>
      <c r="Q47" s="31">
        <v>-1362.86</v>
      </c>
      <c r="R47" s="31">
        <v>0</v>
      </c>
      <c r="S47" s="31">
        <v>-1362.17</v>
      </c>
      <c r="T47" s="31">
        <v>0</v>
      </c>
      <c r="U47" s="31">
        <v>0</v>
      </c>
      <c r="V47" s="31">
        <v>-2077.9699999999998</v>
      </c>
      <c r="W47" s="31">
        <v>-1601</v>
      </c>
      <c r="X47" s="31">
        <v>0</v>
      </c>
      <c r="Y47" s="31">
        <v>7765.63</v>
      </c>
    </row>
    <row r="48" spans="1:25" x14ac:dyDescent="0.2">
      <c r="A48" s="24" t="s">
        <v>33</v>
      </c>
      <c r="B48" s="24">
        <v>129</v>
      </c>
      <c r="C48" s="24">
        <v>1</v>
      </c>
      <c r="D48" s="24" t="s">
        <v>130</v>
      </c>
      <c r="E48" s="30">
        <v>12</v>
      </c>
      <c r="F48" s="30" t="s">
        <v>64</v>
      </c>
      <c r="G48" s="24">
        <v>126</v>
      </c>
      <c r="H48" s="24">
        <v>507</v>
      </c>
      <c r="I48" s="30" t="s">
        <v>50</v>
      </c>
      <c r="J48" s="31">
        <v>8627.5</v>
      </c>
      <c r="K48" s="31">
        <v>10135.459999999999</v>
      </c>
      <c r="L48" s="31">
        <v>18762.96</v>
      </c>
      <c r="M48" s="31">
        <v>16665.66</v>
      </c>
      <c r="N48" s="31">
        <v>0</v>
      </c>
      <c r="O48" s="31">
        <v>16665.66</v>
      </c>
      <c r="P48" s="31">
        <v>4166.42</v>
      </c>
      <c r="Q48" s="31">
        <v>-2822.31</v>
      </c>
      <c r="R48" s="31">
        <v>0</v>
      </c>
      <c r="S48" s="31">
        <v>248.01</v>
      </c>
      <c r="T48" s="31">
        <v>0</v>
      </c>
      <c r="U48" s="31">
        <v>0</v>
      </c>
      <c r="V48" s="31">
        <v>2223.67</v>
      </c>
      <c r="W48" s="31">
        <v>-116.88</v>
      </c>
      <c r="X48" s="31">
        <v>0</v>
      </c>
      <c r="Y48" s="31">
        <v>18762.96</v>
      </c>
    </row>
    <row r="49" spans="1:25" x14ac:dyDescent="0.2">
      <c r="A49" s="24" t="s">
        <v>33</v>
      </c>
      <c r="B49" s="24">
        <v>138</v>
      </c>
      <c r="C49" s="24">
        <v>1</v>
      </c>
      <c r="D49" s="24" t="s">
        <v>131</v>
      </c>
      <c r="E49" s="30">
        <v>13</v>
      </c>
      <c r="F49" s="30" t="s">
        <v>67</v>
      </c>
      <c r="G49" s="24">
        <v>319</v>
      </c>
      <c r="H49" s="24">
        <v>964</v>
      </c>
      <c r="I49" s="30" t="s">
        <v>50</v>
      </c>
      <c r="J49" s="31">
        <v>21842.65</v>
      </c>
      <c r="K49" s="31">
        <v>19271.37</v>
      </c>
      <c r="L49" s="31">
        <v>41114.019999999997</v>
      </c>
      <c r="M49" s="31">
        <v>40238.5</v>
      </c>
      <c r="N49" s="31">
        <v>7635.82</v>
      </c>
      <c r="O49" s="31">
        <v>47874.32</v>
      </c>
      <c r="P49" s="31">
        <v>11968.58</v>
      </c>
      <c r="Q49" s="31">
        <v>13428.18</v>
      </c>
      <c r="R49" s="31">
        <v>0</v>
      </c>
      <c r="S49" s="31">
        <v>12370.34</v>
      </c>
      <c r="T49" s="31">
        <v>0</v>
      </c>
      <c r="U49" s="31">
        <v>0</v>
      </c>
      <c r="V49" s="31">
        <v>12763.41</v>
      </c>
      <c r="W49" s="31">
        <v>12853.98</v>
      </c>
      <c r="X49" s="31">
        <v>885.4</v>
      </c>
      <c r="Y49" s="31">
        <v>40228.620000000003</v>
      </c>
    </row>
    <row r="50" spans="1:25" x14ac:dyDescent="0.2">
      <c r="A50" s="24" t="s">
        <v>33</v>
      </c>
      <c r="B50" s="24">
        <v>139</v>
      </c>
      <c r="C50" s="24">
        <v>1</v>
      </c>
      <c r="D50" s="24" t="s">
        <v>132</v>
      </c>
      <c r="E50" s="30">
        <v>13</v>
      </c>
      <c r="F50" s="30" t="s">
        <v>67</v>
      </c>
      <c r="G50" s="24">
        <v>78</v>
      </c>
      <c r="H50" s="24">
        <v>281</v>
      </c>
      <c r="I50" s="30" t="s">
        <v>50</v>
      </c>
      <c r="J50" s="31">
        <v>5340.84</v>
      </c>
      <c r="K50" s="31">
        <v>5617.48</v>
      </c>
      <c r="L50" s="31">
        <v>10958.32</v>
      </c>
      <c r="M50" s="31">
        <v>10101.44</v>
      </c>
      <c r="N50" s="31">
        <v>81519.31</v>
      </c>
      <c r="O50" s="31">
        <v>91620.75</v>
      </c>
      <c r="P50" s="31">
        <v>22905.19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10958.32</v>
      </c>
    </row>
    <row r="51" spans="1:25" x14ac:dyDescent="0.2">
      <c r="A51" s="24" t="s">
        <v>33</v>
      </c>
      <c r="B51" s="24">
        <v>146</v>
      </c>
      <c r="C51" s="24">
        <v>1</v>
      </c>
      <c r="D51" s="24" t="s">
        <v>133</v>
      </c>
      <c r="E51" s="30">
        <v>14</v>
      </c>
      <c r="F51" s="30" t="s">
        <v>60</v>
      </c>
      <c r="G51" s="24">
        <v>72</v>
      </c>
      <c r="H51" s="24">
        <v>167</v>
      </c>
      <c r="I51" s="30" t="s">
        <v>50</v>
      </c>
      <c r="J51" s="31">
        <v>4930</v>
      </c>
      <c r="K51" s="31">
        <v>3338.51</v>
      </c>
      <c r="L51" s="31">
        <v>8268.51</v>
      </c>
      <c r="M51" s="31">
        <v>7527.96</v>
      </c>
      <c r="N51" s="31">
        <v>47858.2</v>
      </c>
      <c r="O51" s="31">
        <v>55386.16</v>
      </c>
      <c r="P51" s="31">
        <v>13846.54</v>
      </c>
      <c r="Q51" s="31">
        <v>-7263.39</v>
      </c>
      <c r="R51" s="31">
        <v>0</v>
      </c>
      <c r="S51" s="31">
        <v>-245.88</v>
      </c>
      <c r="T51" s="31">
        <v>0</v>
      </c>
      <c r="U51" s="31">
        <v>0</v>
      </c>
      <c r="V51" s="31">
        <v>11473.85</v>
      </c>
      <c r="W51" s="31">
        <v>1321.53</v>
      </c>
      <c r="X51" s="31">
        <v>0</v>
      </c>
      <c r="Y51" s="31">
        <v>8268.51</v>
      </c>
    </row>
    <row r="52" spans="1:25" x14ac:dyDescent="0.2">
      <c r="A52" s="24" t="s">
        <v>33</v>
      </c>
      <c r="B52" s="24">
        <v>150</v>
      </c>
      <c r="C52" s="24">
        <v>1</v>
      </c>
      <c r="D52" s="24" t="s">
        <v>134</v>
      </c>
      <c r="E52" s="30">
        <v>14</v>
      </c>
      <c r="F52" s="30" t="s">
        <v>60</v>
      </c>
      <c r="G52" s="24">
        <v>58</v>
      </c>
      <c r="H52" s="24">
        <v>132</v>
      </c>
      <c r="I52" s="30" t="s">
        <v>50</v>
      </c>
      <c r="J52" s="31">
        <v>3971.39</v>
      </c>
      <c r="K52" s="31">
        <v>2638.82</v>
      </c>
      <c r="L52" s="31">
        <v>6610.21</v>
      </c>
      <c r="M52" s="31">
        <v>6102.12</v>
      </c>
      <c r="N52" s="31">
        <v>0</v>
      </c>
      <c r="O52" s="31">
        <v>6102.12</v>
      </c>
      <c r="P52" s="31">
        <v>1525.53</v>
      </c>
      <c r="Q52" s="31">
        <v>4719.6000000000004</v>
      </c>
      <c r="R52" s="31">
        <v>2804.92</v>
      </c>
      <c r="S52" s="31">
        <v>2628.98</v>
      </c>
      <c r="T52" s="31">
        <v>1232.7</v>
      </c>
      <c r="U52" s="31">
        <v>0</v>
      </c>
      <c r="V52" s="31">
        <v>1506.91</v>
      </c>
      <c r="W52" s="31">
        <v>1605.96</v>
      </c>
      <c r="X52" s="31">
        <v>80.430000000000007</v>
      </c>
      <c r="Y52" s="31">
        <v>6529.78</v>
      </c>
    </row>
    <row r="53" spans="1:25" x14ac:dyDescent="0.2">
      <c r="A53" s="24" t="s">
        <v>33</v>
      </c>
      <c r="B53" s="24">
        <v>152</v>
      </c>
      <c r="C53" s="24">
        <v>1</v>
      </c>
      <c r="D53" s="24" t="s">
        <v>135</v>
      </c>
      <c r="E53" s="30">
        <v>14</v>
      </c>
      <c r="F53" s="30" t="s">
        <v>60</v>
      </c>
      <c r="G53" s="24">
        <v>397</v>
      </c>
      <c r="H53" s="24">
        <v>1735</v>
      </c>
      <c r="I53" s="30" t="s">
        <v>50</v>
      </c>
      <c r="J53" s="31">
        <v>27183.48</v>
      </c>
      <c r="K53" s="31">
        <v>34684.47</v>
      </c>
      <c r="L53" s="31">
        <v>61867.95</v>
      </c>
      <c r="M53" s="31">
        <v>64279.29</v>
      </c>
      <c r="N53" s="31">
        <v>15692</v>
      </c>
      <c r="O53" s="31">
        <v>79971.289999999994</v>
      </c>
      <c r="P53" s="31">
        <v>19992.82</v>
      </c>
      <c r="Q53" s="31">
        <v>2078.89</v>
      </c>
      <c r="R53" s="31">
        <v>0</v>
      </c>
      <c r="S53" s="31">
        <v>9253.0499999999993</v>
      </c>
      <c r="T53" s="31">
        <v>0</v>
      </c>
      <c r="U53" s="31">
        <v>0</v>
      </c>
      <c r="V53" s="31">
        <v>20625.599999999999</v>
      </c>
      <c r="W53" s="31">
        <v>10652.51</v>
      </c>
      <c r="X53" s="31">
        <v>0</v>
      </c>
      <c r="Y53" s="31">
        <v>61867.95</v>
      </c>
    </row>
    <row r="54" spans="1:25" x14ac:dyDescent="0.2">
      <c r="A54" s="24" t="s">
        <v>33</v>
      </c>
      <c r="B54" s="24">
        <v>162</v>
      </c>
      <c r="C54" s="24">
        <v>1</v>
      </c>
      <c r="D54" s="24" t="s">
        <v>136</v>
      </c>
      <c r="E54" s="30">
        <v>15</v>
      </c>
      <c r="F54" s="30" t="s">
        <v>62</v>
      </c>
      <c r="G54" s="24">
        <v>106</v>
      </c>
      <c r="H54" s="24">
        <v>489</v>
      </c>
      <c r="I54" s="30" t="s">
        <v>50</v>
      </c>
      <c r="J54" s="31">
        <v>7258.06</v>
      </c>
      <c r="K54" s="31">
        <v>9775.6200000000008</v>
      </c>
      <c r="L54" s="31">
        <v>17033.68</v>
      </c>
      <c r="M54" s="31">
        <v>17139.560000000001</v>
      </c>
      <c r="N54" s="31">
        <v>20735.72</v>
      </c>
      <c r="O54" s="31">
        <v>37875.279999999999</v>
      </c>
      <c r="P54" s="31">
        <v>9468.82</v>
      </c>
      <c r="Q54" s="31">
        <v>7244.57</v>
      </c>
      <c r="R54" s="31">
        <v>0</v>
      </c>
      <c r="S54" s="31">
        <v>13217</v>
      </c>
      <c r="T54" s="31">
        <v>0</v>
      </c>
      <c r="U54" s="31">
        <v>0</v>
      </c>
      <c r="V54" s="31">
        <v>7733.31</v>
      </c>
      <c r="W54" s="31">
        <v>9398.2900000000009</v>
      </c>
      <c r="X54" s="31">
        <v>0</v>
      </c>
      <c r="Y54" s="31">
        <v>17033.68</v>
      </c>
    </row>
    <row r="55" spans="1:25" x14ac:dyDescent="0.2">
      <c r="A55" s="24" t="s">
        <v>33</v>
      </c>
      <c r="B55" s="24">
        <v>166</v>
      </c>
      <c r="C55" s="24">
        <v>1</v>
      </c>
      <c r="D55" s="24" t="s">
        <v>137</v>
      </c>
      <c r="E55" s="30">
        <v>16</v>
      </c>
      <c r="F55" s="30" t="s">
        <v>58</v>
      </c>
      <c r="G55" s="24">
        <v>35</v>
      </c>
      <c r="H55" s="24">
        <v>190</v>
      </c>
      <c r="I55" s="30" t="s">
        <v>50</v>
      </c>
      <c r="J55" s="31">
        <v>2396.5300000000002</v>
      </c>
      <c r="K55" s="31">
        <v>3798.3</v>
      </c>
      <c r="L55" s="31">
        <v>6194.83</v>
      </c>
      <c r="M55" s="31">
        <v>6797.94</v>
      </c>
      <c r="N55" s="31">
        <v>4400</v>
      </c>
      <c r="O55" s="31">
        <v>11197.94</v>
      </c>
      <c r="P55" s="31">
        <v>2799.49</v>
      </c>
      <c r="Q55" s="31">
        <v>8245.06</v>
      </c>
      <c r="R55" s="31">
        <v>1227.31</v>
      </c>
      <c r="S55" s="31">
        <v>8109.72</v>
      </c>
      <c r="T55" s="31">
        <v>3466.34</v>
      </c>
      <c r="U55" s="31">
        <v>0</v>
      </c>
      <c r="V55" s="31">
        <v>3859.57</v>
      </c>
      <c r="W55" s="31">
        <v>5173.57</v>
      </c>
      <c r="X55" s="31">
        <v>2374.08</v>
      </c>
      <c r="Y55" s="31">
        <v>3820.75</v>
      </c>
    </row>
    <row r="56" spans="1:25" x14ac:dyDescent="0.2">
      <c r="A56" s="24" t="s">
        <v>33</v>
      </c>
      <c r="B56" s="24">
        <v>173</v>
      </c>
      <c r="C56" s="24">
        <v>1</v>
      </c>
      <c r="D56" s="24" t="s">
        <v>138</v>
      </c>
      <c r="E56" s="30">
        <v>17</v>
      </c>
      <c r="F56" s="30" t="s">
        <v>65</v>
      </c>
      <c r="G56" s="24">
        <v>43</v>
      </c>
      <c r="H56" s="24">
        <v>229</v>
      </c>
      <c r="I56" s="30" t="s">
        <v>50</v>
      </c>
      <c r="J56" s="31">
        <v>2944.31</v>
      </c>
      <c r="K56" s="31">
        <v>4577.95</v>
      </c>
      <c r="L56" s="31">
        <v>7522.26</v>
      </c>
      <c r="M56" s="31">
        <v>8213.23</v>
      </c>
      <c r="N56" s="31">
        <v>0</v>
      </c>
      <c r="O56" s="31">
        <v>8213.23</v>
      </c>
      <c r="P56" s="31">
        <v>2053.31</v>
      </c>
      <c r="Q56" s="31">
        <v>1008.95</v>
      </c>
      <c r="R56" s="31">
        <v>0</v>
      </c>
      <c r="S56" s="31">
        <v>1500.19</v>
      </c>
      <c r="T56" s="31">
        <v>0</v>
      </c>
      <c r="U56" s="31">
        <v>0</v>
      </c>
      <c r="V56" s="31">
        <v>1440.32</v>
      </c>
      <c r="W56" s="31">
        <v>1316.49</v>
      </c>
      <c r="X56" s="31">
        <v>0</v>
      </c>
      <c r="Y56" s="31">
        <v>7522.26</v>
      </c>
    </row>
    <row r="57" spans="1:25" x14ac:dyDescent="0.2">
      <c r="A57" s="24" t="s">
        <v>33</v>
      </c>
      <c r="B57" s="24">
        <v>177</v>
      </c>
      <c r="C57" s="24">
        <v>1</v>
      </c>
      <c r="D57" s="24" t="s">
        <v>139</v>
      </c>
      <c r="E57" s="30">
        <v>17</v>
      </c>
      <c r="F57" s="30" t="s">
        <v>65</v>
      </c>
      <c r="G57" s="24">
        <v>80</v>
      </c>
      <c r="H57" s="24">
        <v>321</v>
      </c>
      <c r="I57" s="30" t="s">
        <v>50</v>
      </c>
      <c r="J57" s="31">
        <v>5477.78</v>
      </c>
      <c r="K57" s="31">
        <v>6417.13</v>
      </c>
      <c r="L57" s="31">
        <v>11894.91</v>
      </c>
      <c r="M57" s="31">
        <v>11526.66</v>
      </c>
      <c r="N57" s="31">
        <v>4392</v>
      </c>
      <c r="O57" s="31">
        <v>15918.66</v>
      </c>
      <c r="P57" s="31">
        <v>3979.67</v>
      </c>
      <c r="Q57" s="31">
        <v>3496.72</v>
      </c>
      <c r="R57" s="31">
        <v>0</v>
      </c>
      <c r="S57" s="31">
        <v>4431.21</v>
      </c>
      <c r="T57" s="31">
        <v>137.34</v>
      </c>
      <c r="U57" s="31">
        <v>0</v>
      </c>
      <c r="V57" s="31">
        <v>3079.86</v>
      </c>
      <c r="W57" s="31">
        <v>3623.48</v>
      </c>
      <c r="X57" s="31">
        <v>0</v>
      </c>
      <c r="Y57" s="31">
        <v>11894.91</v>
      </c>
    </row>
    <row r="58" spans="1:25" x14ac:dyDescent="0.2">
      <c r="A58" s="24" t="s">
        <v>33</v>
      </c>
      <c r="B58" s="24">
        <v>181</v>
      </c>
      <c r="C58" s="24">
        <v>1</v>
      </c>
      <c r="D58" s="24" t="s">
        <v>140</v>
      </c>
      <c r="E58" s="30">
        <v>18</v>
      </c>
      <c r="F58" s="30" t="s">
        <v>66</v>
      </c>
      <c r="G58" s="24">
        <v>674</v>
      </c>
      <c r="H58" s="24">
        <v>2681</v>
      </c>
      <c r="I58" s="30" t="s">
        <v>50</v>
      </c>
      <c r="J58" s="31">
        <v>46150.29</v>
      </c>
      <c r="K58" s="31">
        <v>53596</v>
      </c>
      <c r="L58" s="31">
        <v>99746.29</v>
      </c>
      <c r="M58" s="31">
        <v>99959.61</v>
      </c>
      <c r="N58" s="31">
        <v>132290.21</v>
      </c>
      <c r="O58" s="31">
        <v>232249.82</v>
      </c>
      <c r="P58" s="31">
        <v>58062.46</v>
      </c>
      <c r="Q58" s="31">
        <v>27640.58</v>
      </c>
      <c r="R58" s="31">
        <v>0</v>
      </c>
      <c r="S58" s="31">
        <v>38566.5</v>
      </c>
      <c r="T58" s="31">
        <v>0</v>
      </c>
      <c r="U58" s="31">
        <v>0</v>
      </c>
      <c r="V58" s="31">
        <v>21797.96</v>
      </c>
      <c r="W58" s="31">
        <v>29335.01</v>
      </c>
      <c r="X58" s="31">
        <v>0</v>
      </c>
      <c r="Y58" s="31">
        <v>99746.29</v>
      </c>
    </row>
    <row r="59" spans="1:25" x14ac:dyDescent="0.2">
      <c r="A59" s="24" t="s">
        <v>33</v>
      </c>
      <c r="B59" s="24">
        <v>182</v>
      </c>
      <c r="C59" s="24">
        <v>1</v>
      </c>
      <c r="D59" s="24" t="s">
        <v>141</v>
      </c>
      <c r="E59" s="30">
        <v>18</v>
      </c>
      <c r="F59" s="30" t="s">
        <v>66</v>
      </c>
      <c r="G59" s="24">
        <v>93</v>
      </c>
      <c r="H59" s="24">
        <v>601</v>
      </c>
      <c r="I59" s="30" t="s">
        <v>50</v>
      </c>
      <c r="J59" s="31">
        <v>6367.92</v>
      </c>
      <c r="K59" s="31">
        <v>12014.62</v>
      </c>
      <c r="L59" s="31">
        <v>18382.54</v>
      </c>
      <c r="M59" s="31">
        <v>17136.37</v>
      </c>
      <c r="N59" s="31">
        <v>375</v>
      </c>
      <c r="O59" s="31">
        <v>17511.37</v>
      </c>
      <c r="P59" s="31">
        <v>4377.84</v>
      </c>
      <c r="Q59" s="31">
        <v>131.30000000000001</v>
      </c>
      <c r="R59" s="31">
        <v>0</v>
      </c>
      <c r="S59" s="31">
        <v>2489.5500000000002</v>
      </c>
      <c r="T59" s="31">
        <v>0</v>
      </c>
      <c r="U59" s="31">
        <v>0</v>
      </c>
      <c r="V59" s="31">
        <v>2480.44</v>
      </c>
      <c r="W59" s="31">
        <v>1700.43</v>
      </c>
      <c r="X59" s="31">
        <v>0</v>
      </c>
      <c r="Y59" s="31">
        <v>18382.54</v>
      </c>
    </row>
    <row r="60" spans="1:25" x14ac:dyDescent="0.2">
      <c r="A60" s="24" t="s">
        <v>33</v>
      </c>
      <c r="B60" s="24">
        <v>186</v>
      </c>
      <c r="C60" s="24">
        <v>1</v>
      </c>
      <c r="D60" s="24" t="s">
        <v>142</v>
      </c>
      <c r="E60" s="30">
        <v>18</v>
      </c>
      <c r="F60" s="30" t="s">
        <v>66</v>
      </c>
      <c r="G60" s="24">
        <v>127</v>
      </c>
      <c r="H60" s="24">
        <v>467</v>
      </c>
      <c r="I60" s="30" t="s">
        <v>50</v>
      </c>
      <c r="J60" s="31">
        <v>8695.98</v>
      </c>
      <c r="K60" s="31">
        <v>9335.82</v>
      </c>
      <c r="L60" s="31">
        <v>18031.8</v>
      </c>
      <c r="M60" s="31">
        <v>17523.87</v>
      </c>
      <c r="N60" s="31">
        <v>33555.93</v>
      </c>
      <c r="O60" s="31">
        <v>51079.8</v>
      </c>
      <c r="P60" s="31">
        <v>12769.95</v>
      </c>
      <c r="Q60" s="31">
        <v>22263.02</v>
      </c>
      <c r="R60" s="31">
        <v>2433.12</v>
      </c>
      <c r="S60" s="31">
        <v>16875.93</v>
      </c>
      <c r="T60" s="31">
        <v>5020.38</v>
      </c>
      <c r="U60" s="31">
        <v>0</v>
      </c>
      <c r="V60" s="31">
        <v>154.13999999999999</v>
      </c>
      <c r="W60" s="31">
        <v>10613.2</v>
      </c>
      <c r="X60" s="31">
        <v>0</v>
      </c>
      <c r="Y60" s="31">
        <v>18031.8</v>
      </c>
    </row>
    <row r="61" spans="1:25" x14ac:dyDescent="0.2">
      <c r="A61" s="24" t="s">
        <v>33</v>
      </c>
      <c r="B61" s="24">
        <v>191</v>
      </c>
      <c r="C61" s="24">
        <v>1</v>
      </c>
      <c r="D61" s="24" t="s">
        <v>143</v>
      </c>
      <c r="E61" s="30">
        <v>19</v>
      </c>
      <c r="F61" s="30" t="s">
        <v>56</v>
      </c>
      <c r="G61" s="24">
        <v>786</v>
      </c>
      <c r="H61" s="24">
        <v>3046</v>
      </c>
      <c r="I61" s="30" t="s">
        <v>50</v>
      </c>
      <c r="J61" s="31">
        <v>53819.18</v>
      </c>
      <c r="K61" s="31">
        <v>60892.74</v>
      </c>
      <c r="L61" s="31">
        <v>114711.92</v>
      </c>
      <c r="M61" s="31">
        <v>114859.41</v>
      </c>
      <c r="N61" s="31">
        <v>0</v>
      </c>
      <c r="O61" s="31">
        <v>114859.41</v>
      </c>
      <c r="P61" s="31">
        <v>28714.85</v>
      </c>
      <c r="Q61" s="31">
        <v>27104.26</v>
      </c>
      <c r="R61" s="31">
        <v>0</v>
      </c>
      <c r="S61" s="31">
        <v>16404.5</v>
      </c>
      <c r="T61" s="31">
        <v>0</v>
      </c>
      <c r="U61" s="31">
        <v>0</v>
      </c>
      <c r="V61" s="31">
        <v>18643.73</v>
      </c>
      <c r="W61" s="31">
        <v>20717.5</v>
      </c>
      <c r="X61" s="31">
        <v>0</v>
      </c>
      <c r="Y61" s="31">
        <v>114711.92</v>
      </c>
    </row>
    <row r="62" spans="1:25" x14ac:dyDescent="0.2">
      <c r="A62" s="24" t="s">
        <v>33</v>
      </c>
      <c r="B62" s="24">
        <v>192</v>
      </c>
      <c r="C62" s="24">
        <v>1</v>
      </c>
      <c r="D62" s="24" t="s">
        <v>144</v>
      </c>
      <c r="E62" s="30">
        <v>19</v>
      </c>
      <c r="F62" s="30" t="s">
        <v>56</v>
      </c>
      <c r="G62" s="24">
        <v>572</v>
      </c>
      <c r="H62" s="24">
        <v>832</v>
      </c>
      <c r="I62" s="30" t="s">
        <v>50</v>
      </c>
      <c r="J62" s="31">
        <v>39166.120000000003</v>
      </c>
      <c r="K62" s="31">
        <v>16632.55</v>
      </c>
      <c r="L62" s="31">
        <v>55798.67</v>
      </c>
      <c r="M62" s="31">
        <v>56781.46</v>
      </c>
      <c r="N62" s="31">
        <v>720</v>
      </c>
      <c r="O62" s="31">
        <v>57501.46</v>
      </c>
      <c r="P62" s="31">
        <v>14375.37</v>
      </c>
      <c r="Q62" s="31">
        <v>20405.740000000002</v>
      </c>
      <c r="R62" s="31">
        <v>0</v>
      </c>
      <c r="S62" s="31">
        <v>22220.39</v>
      </c>
      <c r="T62" s="31">
        <v>2072.79</v>
      </c>
      <c r="U62" s="31">
        <v>0</v>
      </c>
      <c r="V62" s="31">
        <v>21144.99</v>
      </c>
      <c r="W62" s="31">
        <v>20566.11</v>
      </c>
      <c r="X62" s="31">
        <v>6190.74</v>
      </c>
      <c r="Y62" s="31">
        <v>49607.93</v>
      </c>
    </row>
    <row r="63" spans="1:25" x14ac:dyDescent="0.2">
      <c r="A63" s="24" t="s">
        <v>33</v>
      </c>
      <c r="B63" s="24">
        <v>194</v>
      </c>
      <c r="C63" s="24">
        <v>1</v>
      </c>
      <c r="D63" s="24" t="s">
        <v>145</v>
      </c>
      <c r="E63" s="30">
        <v>19</v>
      </c>
      <c r="F63" s="30" t="s">
        <v>56</v>
      </c>
      <c r="G63" s="24">
        <v>912</v>
      </c>
      <c r="H63" s="24">
        <v>990</v>
      </c>
      <c r="I63" s="30" t="s">
        <v>50</v>
      </c>
      <c r="J63" s="31">
        <v>62446.69</v>
      </c>
      <c r="K63" s="31">
        <v>19791.14</v>
      </c>
      <c r="L63" s="31">
        <v>82237.83</v>
      </c>
      <c r="M63" s="31">
        <v>78185.77</v>
      </c>
      <c r="N63" s="31">
        <v>0</v>
      </c>
      <c r="O63" s="31">
        <v>78185.77</v>
      </c>
      <c r="P63" s="31">
        <v>19546.439999999999</v>
      </c>
      <c r="Q63" s="31">
        <v>10363</v>
      </c>
      <c r="R63" s="31">
        <v>0</v>
      </c>
      <c r="S63" s="31">
        <v>12095</v>
      </c>
      <c r="T63" s="31">
        <v>0</v>
      </c>
      <c r="U63" s="31">
        <v>0</v>
      </c>
      <c r="V63" s="31">
        <v>12245</v>
      </c>
      <c r="W63" s="31">
        <v>11567.67</v>
      </c>
      <c r="X63" s="31">
        <v>0</v>
      </c>
      <c r="Y63" s="31">
        <v>82237.83</v>
      </c>
    </row>
    <row r="64" spans="1:25" x14ac:dyDescent="0.2">
      <c r="A64" s="24" t="s">
        <v>33</v>
      </c>
      <c r="B64" s="24">
        <v>195</v>
      </c>
      <c r="C64" s="24">
        <v>1</v>
      </c>
      <c r="D64" s="24" t="s">
        <v>146</v>
      </c>
      <c r="E64" s="30">
        <v>19</v>
      </c>
      <c r="F64" s="30" t="s">
        <v>56</v>
      </c>
      <c r="G64" s="24">
        <v>23</v>
      </c>
      <c r="H64" s="24">
        <v>71</v>
      </c>
      <c r="I64" s="30" t="s">
        <v>50</v>
      </c>
      <c r="J64" s="31">
        <v>1574.86</v>
      </c>
      <c r="K64" s="31">
        <v>1419.36</v>
      </c>
      <c r="L64" s="31">
        <v>2994.22</v>
      </c>
      <c r="M64" s="31">
        <v>3180.72</v>
      </c>
      <c r="N64" s="31">
        <v>0</v>
      </c>
      <c r="O64" s="31">
        <v>3180.72</v>
      </c>
      <c r="P64" s="31">
        <v>795.18</v>
      </c>
      <c r="Q64" s="31">
        <v>1275.46</v>
      </c>
      <c r="R64" s="31">
        <v>202.87</v>
      </c>
      <c r="S64" s="31">
        <v>3669.86</v>
      </c>
      <c r="T64" s="31">
        <v>856.2</v>
      </c>
      <c r="U64" s="31">
        <v>0</v>
      </c>
      <c r="V64" s="31">
        <v>5931.81</v>
      </c>
      <c r="W64" s="31">
        <v>3272.69</v>
      </c>
      <c r="X64" s="31">
        <v>2477.5100000000002</v>
      </c>
      <c r="Y64" s="31">
        <v>516.71</v>
      </c>
    </row>
    <row r="65" spans="1:25" x14ac:dyDescent="0.2">
      <c r="A65" s="24" t="s">
        <v>33</v>
      </c>
      <c r="B65" s="24">
        <v>196</v>
      </c>
      <c r="C65" s="24">
        <v>1</v>
      </c>
      <c r="D65" s="24" t="s">
        <v>71</v>
      </c>
      <c r="E65" s="30">
        <v>19</v>
      </c>
      <c r="F65" s="30" t="s">
        <v>56</v>
      </c>
      <c r="G65" s="24">
        <v>2183</v>
      </c>
      <c r="H65" s="24">
        <v>4744</v>
      </c>
      <c r="I65" s="30" t="s">
        <v>50</v>
      </c>
      <c r="J65" s="31">
        <v>149474.91</v>
      </c>
      <c r="K65" s="31">
        <v>94837.54</v>
      </c>
      <c r="L65" s="31">
        <v>244312.45</v>
      </c>
      <c r="M65" s="31">
        <v>223210.95</v>
      </c>
      <c r="N65" s="31">
        <v>169972.04</v>
      </c>
      <c r="O65" s="31">
        <v>393182.99</v>
      </c>
      <c r="P65" s="31">
        <v>98295.75</v>
      </c>
      <c r="Q65" s="31">
        <v>55585.07</v>
      </c>
      <c r="R65" s="31">
        <v>0</v>
      </c>
      <c r="S65" s="31">
        <v>84376.5</v>
      </c>
      <c r="T65" s="31">
        <v>0</v>
      </c>
      <c r="U65" s="31">
        <v>0</v>
      </c>
      <c r="V65" s="31">
        <v>62688.28</v>
      </c>
      <c r="W65" s="31">
        <v>67549.95</v>
      </c>
      <c r="X65" s="31">
        <v>0</v>
      </c>
      <c r="Y65" s="31">
        <v>244312.45</v>
      </c>
    </row>
    <row r="66" spans="1:25" x14ac:dyDescent="0.2">
      <c r="A66" s="24" t="s">
        <v>33</v>
      </c>
      <c r="B66" s="24">
        <v>197</v>
      </c>
      <c r="C66" s="24">
        <v>1</v>
      </c>
      <c r="D66" s="24" t="s">
        <v>73</v>
      </c>
      <c r="E66" s="30">
        <v>19</v>
      </c>
      <c r="F66" s="30" t="s">
        <v>56</v>
      </c>
      <c r="G66" s="24">
        <v>613</v>
      </c>
      <c r="H66" s="24">
        <v>1555</v>
      </c>
      <c r="I66" s="30" t="s">
        <v>50</v>
      </c>
      <c r="J66" s="31">
        <v>41973.49</v>
      </c>
      <c r="K66" s="31">
        <v>31086.080000000002</v>
      </c>
      <c r="L66" s="31">
        <v>73059.570000000007</v>
      </c>
      <c r="M66" s="31">
        <v>72859.12</v>
      </c>
      <c r="N66" s="31">
        <v>13349</v>
      </c>
      <c r="O66" s="31">
        <v>86208.12</v>
      </c>
      <c r="P66" s="31">
        <v>21552.03</v>
      </c>
      <c r="Q66" s="31">
        <v>9271</v>
      </c>
      <c r="R66" s="31">
        <v>0</v>
      </c>
      <c r="S66" s="31">
        <v>14041</v>
      </c>
      <c r="T66" s="31">
        <v>0</v>
      </c>
      <c r="U66" s="31">
        <v>0</v>
      </c>
      <c r="V66" s="31">
        <v>17175</v>
      </c>
      <c r="W66" s="31">
        <v>13495.67</v>
      </c>
      <c r="X66" s="31">
        <v>0</v>
      </c>
      <c r="Y66" s="31">
        <v>73059.570000000007</v>
      </c>
    </row>
    <row r="67" spans="1:25" x14ac:dyDescent="0.2">
      <c r="A67" s="24" t="s">
        <v>33</v>
      </c>
      <c r="B67" s="24">
        <v>199</v>
      </c>
      <c r="C67" s="24">
        <v>1</v>
      </c>
      <c r="D67" s="24" t="s">
        <v>93</v>
      </c>
      <c r="E67" s="30">
        <v>19</v>
      </c>
      <c r="F67" s="30" t="s">
        <v>56</v>
      </c>
      <c r="G67" s="24">
        <v>360</v>
      </c>
      <c r="H67" s="24">
        <v>980</v>
      </c>
      <c r="I67" s="30" t="s">
        <v>50</v>
      </c>
      <c r="J67" s="31">
        <v>24650.01</v>
      </c>
      <c r="K67" s="31">
        <v>19591.23</v>
      </c>
      <c r="L67" s="31">
        <v>44241.24</v>
      </c>
      <c r="M67" s="31">
        <v>41407.24</v>
      </c>
      <c r="N67" s="31">
        <v>0</v>
      </c>
      <c r="O67" s="31">
        <v>41407.24</v>
      </c>
      <c r="P67" s="31">
        <v>10351.81</v>
      </c>
      <c r="Q67" s="31">
        <v>18390.88</v>
      </c>
      <c r="R67" s="31">
        <v>11337.58</v>
      </c>
      <c r="S67" s="31">
        <v>-4362.2299999999996</v>
      </c>
      <c r="T67" s="31">
        <v>0</v>
      </c>
      <c r="U67" s="31">
        <v>0</v>
      </c>
      <c r="V67" s="31">
        <v>-6052.74</v>
      </c>
      <c r="W67" s="31">
        <v>-1120.56</v>
      </c>
      <c r="X67" s="31">
        <v>0</v>
      </c>
      <c r="Y67" s="31">
        <v>44241.24</v>
      </c>
    </row>
    <row r="68" spans="1:25" x14ac:dyDescent="0.2">
      <c r="A68" s="24" t="s">
        <v>33</v>
      </c>
      <c r="B68" s="24">
        <v>200</v>
      </c>
      <c r="C68" s="24">
        <v>1</v>
      </c>
      <c r="D68" s="24" t="s">
        <v>147</v>
      </c>
      <c r="E68" s="30">
        <v>19</v>
      </c>
      <c r="F68" s="30" t="s">
        <v>56</v>
      </c>
      <c r="G68" s="24">
        <v>406</v>
      </c>
      <c r="H68" s="24">
        <v>928</v>
      </c>
      <c r="I68" s="30" t="s">
        <v>50</v>
      </c>
      <c r="J68" s="31">
        <v>27799.73</v>
      </c>
      <c r="K68" s="31">
        <v>18551.689999999999</v>
      </c>
      <c r="L68" s="31">
        <v>46351.42</v>
      </c>
      <c r="M68" s="31">
        <v>44092.89</v>
      </c>
      <c r="N68" s="31">
        <v>29642.5</v>
      </c>
      <c r="O68" s="31">
        <v>73735.39</v>
      </c>
      <c r="P68" s="31">
        <v>18433.849999999999</v>
      </c>
      <c r="Q68" s="31">
        <v>4692.93</v>
      </c>
      <c r="R68" s="31">
        <v>0</v>
      </c>
      <c r="S68" s="31">
        <v>14061.96</v>
      </c>
      <c r="T68" s="31">
        <v>0</v>
      </c>
      <c r="U68" s="31">
        <v>0</v>
      </c>
      <c r="V68" s="31">
        <v>8321.01</v>
      </c>
      <c r="W68" s="31">
        <v>9025.2999999999993</v>
      </c>
      <c r="X68" s="31">
        <v>0</v>
      </c>
      <c r="Y68" s="31">
        <v>46351.42</v>
      </c>
    </row>
    <row r="69" spans="1:25" x14ac:dyDescent="0.2">
      <c r="A69" s="24" t="s">
        <v>33</v>
      </c>
      <c r="B69" s="24">
        <v>203</v>
      </c>
      <c r="C69" s="24">
        <v>1</v>
      </c>
      <c r="D69" s="24" t="s">
        <v>148</v>
      </c>
      <c r="E69" s="30">
        <v>20</v>
      </c>
      <c r="F69" s="30" t="s">
        <v>61</v>
      </c>
      <c r="G69" s="24">
        <v>56</v>
      </c>
      <c r="H69" s="24">
        <v>229</v>
      </c>
      <c r="I69" s="30" t="s">
        <v>50</v>
      </c>
      <c r="J69" s="31">
        <v>3834.45</v>
      </c>
      <c r="K69" s="31">
        <v>4577.95</v>
      </c>
      <c r="L69" s="31">
        <v>8412.4</v>
      </c>
      <c r="M69" s="31">
        <v>7714.71</v>
      </c>
      <c r="N69" s="31">
        <v>0</v>
      </c>
      <c r="O69" s="31">
        <v>7714.71</v>
      </c>
      <c r="P69" s="31">
        <v>1928.68</v>
      </c>
      <c r="Q69" s="31">
        <v>2233.94</v>
      </c>
      <c r="R69" s="31">
        <v>1275.6300000000001</v>
      </c>
      <c r="S69" s="31">
        <v>6020.66</v>
      </c>
      <c r="T69" s="31">
        <v>1026.25</v>
      </c>
      <c r="U69" s="31">
        <v>0</v>
      </c>
      <c r="V69" s="31">
        <v>0</v>
      </c>
      <c r="W69" s="31">
        <v>1984.24</v>
      </c>
      <c r="X69" s="31">
        <v>55.56</v>
      </c>
      <c r="Y69" s="31">
        <v>8356.84</v>
      </c>
    </row>
    <row r="70" spans="1:25" x14ac:dyDescent="0.2">
      <c r="A70" s="24" t="s">
        <v>33</v>
      </c>
      <c r="B70" s="24">
        <v>204</v>
      </c>
      <c r="C70" s="24">
        <v>1</v>
      </c>
      <c r="D70" s="24" t="s">
        <v>400</v>
      </c>
      <c r="E70" s="30">
        <v>20</v>
      </c>
      <c r="F70" s="30" t="s">
        <v>61</v>
      </c>
      <c r="G70" s="24">
        <v>162</v>
      </c>
      <c r="H70" s="24">
        <v>276</v>
      </c>
      <c r="I70" s="30" t="s">
        <v>50</v>
      </c>
      <c r="J70" s="31">
        <v>11092.5</v>
      </c>
      <c r="K70" s="31">
        <v>5517.53</v>
      </c>
      <c r="L70" s="31">
        <v>16610.03</v>
      </c>
      <c r="M70" s="31">
        <v>16439.48</v>
      </c>
      <c r="N70" s="31">
        <v>85757.43</v>
      </c>
      <c r="O70" s="31">
        <v>102196.91</v>
      </c>
      <c r="P70" s="31">
        <v>25549.23</v>
      </c>
      <c r="Q70" s="31">
        <v>7285.47</v>
      </c>
      <c r="R70" s="31">
        <v>0</v>
      </c>
      <c r="S70" s="31">
        <v>7578.57</v>
      </c>
      <c r="T70" s="31">
        <v>0</v>
      </c>
      <c r="U70" s="31">
        <v>0</v>
      </c>
      <c r="V70" s="31">
        <v>36304.07</v>
      </c>
      <c r="W70" s="31">
        <v>17056.04</v>
      </c>
      <c r="X70" s="31">
        <v>0</v>
      </c>
      <c r="Y70" s="31">
        <v>16610.03</v>
      </c>
    </row>
    <row r="71" spans="1:25" x14ac:dyDescent="0.2">
      <c r="A71" s="24" t="s">
        <v>33</v>
      </c>
      <c r="B71" s="24">
        <v>206</v>
      </c>
      <c r="C71" s="24">
        <v>1</v>
      </c>
      <c r="D71" s="24" t="s">
        <v>149</v>
      </c>
      <c r="E71" s="30">
        <v>21</v>
      </c>
      <c r="F71" s="30" t="s">
        <v>60</v>
      </c>
      <c r="G71" s="24">
        <v>330</v>
      </c>
      <c r="H71" s="24">
        <v>1081</v>
      </c>
      <c r="I71" s="30" t="s">
        <v>50</v>
      </c>
      <c r="J71" s="31">
        <v>22595.84</v>
      </c>
      <c r="K71" s="31">
        <v>21610.32</v>
      </c>
      <c r="L71" s="31">
        <v>44206.16</v>
      </c>
      <c r="M71" s="31">
        <v>42796.66</v>
      </c>
      <c r="N71" s="31">
        <v>82107.520000000004</v>
      </c>
      <c r="O71" s="31">
        <v>124904.18</v>
      </c>
      <c r="P71" s="31">
        <v>31226.05</v>
      </c>
      <c r="Q71" s="31">
        <v>20572.16</v>
      </c>
      <c r="R71" s="31">
        <v>0</v>
      </c>
      <c r="S71" s="31">
        <v>9925.68</v>
      </c>
      <c r="T71" s="31">
        <v>0</v>
      </c>
      <c r="U71" s="31">
        <v>0</v>
      </c>
      <c r="V71" s="31">
        <v>3965.57</v>
      </c>
      <c r="W71" s="31">
        <v>11487.8</v>
      </c>
      <c r="X71" s="31">
        <v>0</v>
      </c>
      <c r="Y71" s="31">
        <v>44206.16</v>
      </c>
    </row>
    <row r="72" spans="1:25" x14ac:dyDescent="0.2">
      <c r="A72" s="24" t="s">
        <v>33</v>
      </c>
      <c r="B72" s="24">
        <v>207</v>
      </c>
      <c r="C72" s="24">
        <v>1</v>
      </c>
      <c r="D72" s="24" t="s">
        <v>150</v>
      </c>
      <c r="E72" s="30">
        <v>21</v>
      </c>
      <c r="F72" s="30" t="s">
        <v>60</v>
      </c>
      <c r="G72" s="24">
        <v>22</v>
      </c>
      <c r="H72" s="24">
        <v>76</v>
      </c>
      <c r="I72" s="30" t="s">
        <v>50</v>
      </c>
      <c r="J72" s="31">
        <v>1506.39</v>
      </c>
      <c r="K72" s="31">
        <v>1519.32</v>
      </c>
      <c r="L72" s="31">
        <v>3025.71</v>
      </c>
      <c r="M72" s="31">
        <v>3050.57</v>
      </c>
      <c r="N72" s="31">
        <v>7445</v>
      </c>
      <c r="O72" s="31">
        <v>10495.57</v>
      </c>
      <c r="P72" s="31">
        <v>2623.89</v>
      </c>
      <c r="Q72" s="31">
        <v>7068.05</v>
      </c>
      <c r="R72" s="31">
        <v>0</v>
      </c>
      <c r="S72" s="31">
        <v>1679.87</v>
      </c>
      <c r="T72" s="31">
        <v>0</v>
      </c>
      <c r="U72" s="31">
        <v>0</v>
      </c>
      <c r="V72" s="31">
        <v>-974.31</v>
      </c>
      <c r="W72" s="31">
        <v>2591.1999999999998</v>
      </c>
      <c r="X72" s="31">
        <v>0</v>
      </c>
      <c r="Y72" s="31">
        <v>3025.71</v>
      </c>
    </row>
    <row r="73" spans="1:25" x14ac:dyDescent="0.2">
      <c r="A73" s="24" t="s">
        <v>33</v>
      </c>
      <c r="B73" s="24">
        <v>208</v>
      </c>
      <c r="C73" s="24">
        <v>1</v>
      </c>
      <c r="D73" s="24" t="s">
        <v>151</v>
      </c>
      <c r="E73" s="30">
        <v>21</v>
      </c>
      <c r="F73" s="30" t="s">
        <v>60</v>
      </c>
      <c r="G73" s="24">
        <v>22</v>
      </c>
      <c r="H73" s="24">
        <v>78</v>
      </c>
      <c r="I73" s="30" t="s">
        <v>50</v>
      </c>
      <c r="J73" s="31">
        <v>1506.39</v>
      </c>
      <c r="K73" s="31">
        <v>1559.3</v>
      </c>
      <c r="L73" s="31">
        <v>3065.69</v>
      </c>
      <c r="M73" s="31">
        <v>2737.21</v>
      </c>
      <c r="N73" s="31">
        <v>5827.1</v>
      </c>
      <c r="O73" s="31">
        <v>8564.31</v>
      </c>
      <c r="P73" s="31">
        <v>2141.08</v>
      </c>
      <c r="Q73" s="31">
        <v>536.47</v>
      </c>
      <c r="R73" s="31">
        <v>0</v>
      </c>
      <c r="S73" s="31">
        <v>584.61</v>
      </c>
      <c r="T73" s="31">
        <v>0</v>
      </c>
      <c r="U73" s="31">
        <v>0</v>
      </c>
      <c r="V73" s="31">
        <v>629.73</v>
      </c>
      <c r="W73" s="31">
        <v>583.6</v>
      </c>
      <c r="X73" s="31">
        <v>0</v>
      </c>
      <c r="Y73" s="31">
        <v>3065.69</v>
      </c>
    </row>
    <row r="74" spans="1:25" x14ac:dyDescent="0.2">
      <c r="A74" s="24" t="s">
        <v>33</v>
      </c>
      <c r="B74" s="24">
        <v>213</v>
      </c>
      <c r="C74" s="24">
        <v>1</v>
      </c>
      <c r="D74" s="24" t="s">
        <v>152</v>
      </c>
      <c r="E74" s="30">
        <v>21</v>
      </c>
      <c r="F74" s="30" t="s">
        <v>60</v>
      </c>
      <c r="G74" s="24">
        <v>67</v>
      </c>
      <c r="H74" s="24">
        <v>208</v>
      </c>
      <c r="I74" s="30" t="s">
        <v>50</v>
      </c>
      <c r="J74" s="31">
        <v>4587.6400000000003</v>
      </c>
      <c r="K74" s="31">
        <v>4158.1400000000003</v>
      </c>
      <c r="L74" s="31">
        <v>8745.7800000000007</v>
      </c>
      <c r="M74" s="31">
        <v>9627.5499999999993</v>
      </c>
      <c r="N74" s="31">
        <v>19625.900000000001</v>
      </c>
      <c r="O74" s="31">
        <v>29253.45</v>
      </c>
      <c r="P74" s="31">
        <v>7313.36</v>
      </c>
      <c r="Q74" s="31">
        <v>955.33</v>
      </c>
      <c r="R74" s="31">
        <v>0</v>
      </c>
      <c r="S74" s="31">
        <v>-962.96</v>
      </c>
      <c r="T74" s="31">
        <v>0</v>
      </c>
      <c r="U74" s="31">
        <v>0</v>
      </c>
      <c r="V74" s="31">
        <v>-14435.88</v>
      </c>
      <c r="W74" s="31">
        <v>-4814.5</v>
      </c>
      <c r="X74" s="31">
        <v>0</v>
      </c>
      <c r="Y74" s="31">
        <v>8745.7800000000007</v>
      </c>
    </row>
    <row r="75" spans="1:25" x14ac:dyDescent="0.2">
      <c r="A75" s="24" t="s">
        <v>33</v>
      </c>
      <c r="B75" s="24">
        <v>227</v>
      </c>
      <c r="C75" s="24">
        <v>1</v>
      </c>
      <c r="D75" s="24" t="s">
        <v>153</v>
      </c>
      <c r="E75" s="30">
        <v>55</v>
      </c>
      <c r="F75" s="30" t="s">
        <v>61</v>
      </c>
      <c r="G75" s="24">
        <v>63</v>
      </c>
      <c r="H75" s="24">
        <v>184</v>
      </c>
      <c r="I75" s="30" t="s">
        <v>50</v>
      </c>
      <c r="J75" s="31">
        <v>4313.75</v>
      </c>
      <c r="K75" s="31">
        <v>3678.35</v>
      </c>
      <c r="L75" s="31">
        <v>7992.1</v>
      </c>
      <c r="M75" s="31">
        <v>8111.52</v>
      </c>
      <c r="N75" s="31">
        <v>61990.400000000001</v>
      </c>
      <c r="O75" s="31">
        <v>70101.919999999998</v>
      </c>
      <c r="P75" s="31">
        <v>17525.48</v>
      </c>
      <c r="Q75" s="31">
        <v>3841.47</v>
      </c>
      <c r="R75" s="31">
        <v>0</v>
      </c>
      <c r="S75" s="31">
        <v>15382.58</v>
      </c>
      <c r="T75" s="31">
        <v>0</v>
      </c>
      <c r="U75" s="31">
        <v>0</v>
      </c>
      <c r="V75" s="31">
        <v>12105.1</v>
      </c>
      <c r="W75" s="31">
        <v>10443.049999999999</v>
      </c>
      <c r="X75" s="31">
        <v>0</v>
      </c>
      <c r="Y75" s="31">
        <v>7992.1</v>
      </c>
    </row>
    <row r="76" spans="1:25" x14ac:dyDescent="0.2">
      <c r="A76" s="24" t="s">
        <v>33</v>
      </c>
      <c r="B76" s="24">
        <v>229</v>
      </c>
      <c r="C76" s="24">
        <v>1</v>
      </c>
      <c r="D76" s="24" t="s">
        <v>154</v>
      </c>
      <c r="E76" s="30">
        <v>23</v>
      </c>
      <c r="F76" s="30" t="s">
        <v>61</v>
      </c>
      <c r="G76" s="24">
        <v>34</v>
      </c>
      <c r="H76" s="24">
        <v>129</v>
      </c>
      <c r="I76" s="30" t="s">
        <v>50</v>
      </c>
      <c r="J76" s="31">
        <v>2328.06</v>
      </c>
      <c r="K76" s="31">
        <v>2578.85</v>
      </c>
      <c r="L76" s="31">
        <v>4906.91</v>
      </c>
      <c r="M76" s="31">
        <v>5005.3100000000004</v>
      </c>
      <c r="N76" s="31">
        <v>0</v>
      </c>
      <c r="O76" s="31">
        <v>5005.3100000000004</v>
      </c>
      <c r="P76" s="31">
        <v>1251.33</v>
      </c>
      <c r="Q76" s="31">
        <v>-2287.48</v>
      </c>
      <c r="R76" s="31">
        <v>0</v>
      </c>
      <c r="S76" s="31">
        <v>-2287.6</v>
      </c>
      <c r="T76" s="31">
        <v>0</v>
      </c>
      <c r="U76" s="31">
        <v>0</v>
      </c>
      <c r="V76" s="31">
        <v>-1648.79</v>
      </c>
      <c r="W76" s="31">
        <v>-2074.62</v>
      </c>
      <c r="X76" s="31">
        <v>0</v>
      </c>
      <c r="Y76" s="31">
        <v>4906.91</v>
      </c>
    </row>
    <row r="77" spans="1:25" x14ac:dyDescent="0.2">
      <c r="A77" s="24" t="s">
        <v>33</v>
      </c>
      <c r="B77" s="24">
        <v>238</v>
      </c>
      <c r="C77" s="24">
        <v>1</v>
      </c>
      <c r="D77" s="24" t="s">
        <v>155</v>
      </c>
      <c r="E77" s="30">
        <v>23</v>
      </c>
      <c r="F77" s="30" t="s">
        <v>61</v>
      </c>
      <c r="G77" s="24">
        <v>41</v>
      </c>
      <c r="H77" s="24">
        <v>86</v>
      </c>
      <c r="I77" s="30" t="s">
        <v>50</v>
      </c>
      <c r="J77" s="31">
        <v>2807.36</v>
      </c>
      <c r="K77" s="31">
        <v>1719.23</v>
      </c>
      <c r="L77" s="31">
        <v>4526.59</v>
      </c>
      <c r="M77" s="31">
        <v>5046.8599999999997</v>
      </c>
      <c r="N77" s="31">
        <v>21410</v>
      </c>
      <c r="O77" s="31">
        <v>26456.86</v>
      </c>
      <c r="P77" s="31">
        <v>6614.22</v>
      </c>
      <c r="Q77" s="31">
        <v>-3299.29</v>
      </c>
      <c r="R77" s="31">
        <v>0</v>
      </c>
      <c r="S77" s="31">
        <v>-541.64</v>
      </c>
      <c r="T77" s="31">
        <v>0</v>
      </c>
      <c r="U77" s="31">
        <v>0</v>
      </c>
      <c r="V77" s="31">
        <v>3959.49</v>
      </c>
      <c r="W77" s="31">
        <v>39.520000000000003</v>
      </c>
      <c r="X77" s="31">
        <v>0</v>
      </c>
      <c r="Y77" s="31">
        <v>4526.59</v>
      </c>
    </row>
    <row r="78" spans="1:25" x14ac:dyDescent="0.2">
      <c r="A78" s="24" t="s">
        <v>33</v>
      </c>
      <c r="B78" s="24">
        <v>239</v>
      </c>
      <c r="C78" s="24">
        <v>1</v>
      </c>
      <c r="D78" s="24" t="s">
        <v>401</v>
      </c>
      <c r="E78" s="30">
        <v>23</v>
      </c>
      <c r="F78" s="30" t="s">
        <v>61</v>
      </c>
      <c r="G78" s="24">
        <v>46</v>
      </c>
      <c r="H78" s="24">
        <v>253</v>
      </c>
      <c r="I78" s="30" t="s">
        <v>50</v>
      </c>
      <c r="J78" s="31">
        <v>3149.72</v>
      </c>
      <c r="K78" s="31">
        <v>5057.74</v>
      </c>
      <c r="L78" s="31">
        <v>8207.4599999999991</v>
      </c>
      <c r="M78" s="31">
        <v>10224.59</v>
      </c>
      <c r="N78" s="31">
        <v>0</v>
      </c>
      <c r="O78" s="31">
        <v>10224.59</v>
      </c>
      <c r="P78" s="31">
        <v>2556.15</v>
      </c>
      <c r="Q78" s="31">
        <v>1731.35</v>
      </c>
      <c r="R78" s="31">
        <v>0</v>
      </c>
      <c r="S78" s="31">
        <v>6567.28</v>
      </c>
      <c r="T78" s="31">
        <v>413.77</v>
      </c>
      <c r="U78" s="31">
        <v>0</v>
      </c>
      <c r="V78" s="31">
        <v>5933.26</v>
      </c>
      <c r="W78" s="31">
        <v>4606.04</v>
      </c>
      <c r="X78" s="31">
        <v>2049.89</v>
      </c>
      <c r="Y78" s="31">
        <v>6157.57</v>
      </c>
    </row>
    <row r="79" spans="1:25" x14ac:dyDescent="0.2">
      <c r="A79" s="24" t="s">
        <v>33</v>
      </c>
      <c r="B79" s="24">
        <v>241</v>
      </c>
      <c r="C79" s="24">
        <v>1</v>
      </c>
      <c r="D79" s="24" t="s">
        <v>156</v>
      </c>
      <c r="E79" s="30">
        <v>24</v>
      </c>
      <c r="F79" s="30" t="s">
        <v>61</v>
      </c>
      <c r="G79" s="24">
        <v>325</v>
      </c>
      <c r="H79" s="24">
        <v>1352</v>
      </c>
      <c r="I79" s="30" t="s">
        <v>50</v>
      </c>
      <c r="J79" s="31">
        <v>22253.48</v>
      </c>
      <c r="K79" s="31">
        <v>27027.9</v>
      </c>
      <c r="L79" s="31">
        <v>49281.38</v>
      </c>
      <c r="M79" s="31">
        <v>51935.97</v>
      </c>
      <c r="N79" s="31">
        <v>32852</v>
      </c>
      <c r="O79" s="31">
        <v>84787.97</v>
      </c>
      <c r="P79" s="31">
        <v>21196.99</v>
      </c>
      <c r="Q79" s="31">
        <v>18307.54</v>
      </c>
      <c r="R79" s="31">
        <v>0</v>
      </c>
      <c r="S79" s="31">
        <v>18166.97</v>
      </c>
      <c r="T79" s="31">
        <v>0</v>
      </c>
      <c r="U79" s="31">
        <v>0</v>
      </c>
      <c r="V79" s="31">
        <v>19786.87</v>
      </c>
      <c r="W79" s="31">
        <v>18753.79</v>
      </c>
      <c r="X79" s="31">
        <v>0</v>
      </c>
      <c r="Y79" s="31">
        <v>49281.38</v>
      </c>
    </row>
    <row r="80" spans="1:25" x14ac:dyDescent="0.2">
      <c r="A80" s="24" t="s">
        <v>33</v>
      </c>
      <c r="B80" s="24">
        <v>242</v>
      </c>
      <c r="C80" s="24">
        <v>1</v>
      </c>
      <c r="D80" s="24" t="s">
        <v>157</v>
      </c>
      <c r="E80" s="30">
        <v>24</v>
      </c>
      <c r="F80" s="30" t="s">
        <v>61</v>
      </c>
      <c r="G80" s="24">
        <v>8</v>
      </c>
      <c r="H80" s="24">
        <v>163</v>
      </c>
      <c r="I80" s="30" t="s">
        <v>50</v>
      </c>
      <c r="J80" s="31">
        <v>547.78</v>
      </c>
      <c r="K80" s="31">
        <v>3258.54</v>
      </c>
      <c r="L80" s="31">
        <v>3806.32</v>
      </c>
      <c r="M80" s="31">
        <v>4373.46</v>
      </c>
      <c r="N80" s="31">
        <v>0</v>
      </c>
      <c r="O80" s="31">
        <v>4373.46</v>
      </c>
      <c r="P80" s="31">
        <v>1093.3699999999999</v>
      </c>
      <c r="Q80" s="31">
        <v>-12151.46</v>
      </c>
      <c r="R80" s="31">
        <v>0</v>
      </c>
      <c r="S80" s="31">
        <v>-22542.23</v>
      </c>
      <c r="T80" s="31">
        <v>0</v>
      </c>
      <c r="U80" s="31">
        <v>0</v>
      </c>
      <c r="V80" s="31">
        <v>-32425.73</v>
      </c>
      <c r="W80" s="31">
        <v>-22373.14</v>
      </c>
      <c r="X80" s="31">
        <v>0</v>
      </c>
      <c r="Y80" s="31">
        <v>3806.32</v>
      </c>
    </row>
    <row r="81" spans="1:25" x14ac:dyDescent="0.2">
      <c r="A81" s="24" t="s">
        <v>33</v>
      </c>
      <c r="B81" s="24">
        <v>252</v>
      </c>
      <c r="C81" s="24">
        <v>1</v>
      </c>
      <c r="D81" s="24" t="s">
        <v>158</v>
      </c>
      <c r="E81" s="30">
        <v>25</v>
      </c>
      <c r="F81" s="30" t="s">
        <v>61</v>
      </c>
      <c r="G81" s="24">
        <v>89</v>
      </c>
      <c r="H81" s="24">
        <v>226</v>
      </c>
      <c r="I81" s="30" t="s">
        <v>50</v>
      </c>
      <c r="J81" s="31">
        <v>6094.03</v>
      </c>
      <c r="K81" s="31">
        <v>4517.9799999999996</v>
      </c>
      <c r="L81" s="31">
        <v>10612.01</v>
      </c>
      <c r="M81" s="31">
        <v>10483.549999999999</v>
      </c>
      <c r="N81" s="31">
        <v>0</v>
      </c>
      <c r="O81" s="31">
        <v>10483.549999999999</v>
      </c>
      <c r="P81" s="31">
        <v>2620.89</v>
      </c>
      <c r="Q81" s="31">
        <v>3311.11</v>
      </c>
      <c r="R81" s="31">
        <v>0</v>
      </c>
      <c r="S81" s="31">
        <v>2169.12</v>
      </c>
      <c r="T81" s="31">
        <v>0</v>
      </c>
      <c r="U81" s="31">
        <v>0</v>
      </c>
      <c r="V81" s="31">
        <v>2569.15</v>
      </c>
      <c r="W81" s="31">
        <v>2683.13</v>
      </c>
      <c r="X81" s="31">
        <v>62.24</v>
      </c>
      <c r="Y81" s="31">
        <v>10549.77</v>
      </c>
    </row>
    <row r="82" spans="1:25" x14ac:dyDescent="0.2">
      <c r="A82" s="24" t="s">
        <v>33</v>
      </c>
      <c r="B82" s="24">
        <v>253</v>
      </c>
      <c r="C82" s="24">
        <v>1</v>
      </c>
      <c r="D82" s="24" t="s">
        <v>159</v>
      </c>
      <c r="E82" s="30">
        <v>25</v>
      </c>
      <c r="F82" s="30" t="s">
        <v>61</v>
      </c>
      <c r="G82" s="24">
        <v>65</v>
      </c>
      <c r="H82" s="24">
        <v>131</v>
      </c>
      <c r="I82" s="30" t="s">
        <v>50</v>
      </c>
      <c r="J82" s="31">
        <v>4450.7</v>
      </c>
      <c r="K82" s="31">
        <v>2618.83</v>
      </c>
      <c r="L82" s="31">
        <v>7069.53</v>
      </c>
      <c r="M82" s="31">
        <v>6647.95</v>
      </c>
      <c r="N82" s="31">
        <v>18210</v>
      </c>
      <c r="O82" s="31">
        <v>24857.95</v>
      </c>
      <c r="P82" s="31">
        <v>6214.49</v>
      </c>
      <c r="Q82" s="31">
        <v>-1448.97</v>
      </c>
      <c r="R82" s="31">
        <v>0</v>
      </c>
      <c r="S82" s="31">
        <v>2566.5700000000002</v>
      </c>
      <c r="T82" s="31">
        <v>0</v>
      </c>
      <c r="U82" s="31">
        <v>0</v>
      </c>
      <c r="V82" s="31">
        <v>1802.53</v>
      </c>
      <c r="W82" s="31">
        <v>973.38</v>
      </c>
      <c r="X82" s="31">
        <v>0</v>
      </c>
      <c r="Y82" s="31">
        <v>7069.53</v>
      </c>
    </row>
    <row r="83" spans="1:25" x14ac:dyDescent="0.2">
      <c r="A83" s="24" t="s">
        <v>33</v>
      </c>
      <c r="B83" s="24">
        <v>255</v>
      </c>
      <c r="C83" s="24">
        <v>1</v>
      </c>
      <c r="D83" s="24" t="s">
        <v>160</v>
      </c>
      <c r="E83" s="30">
        <v>25</v>
      </c>
      <c r="F83" s="30" t="s">
        <v>61</v>
      </c>
      <c r="G83" s="24">
        <v>135</v>
      </c>
      <c r="H83" s="24">
        <v>208</v>
      </c>
      <c r="I83" s="30" t="s">
        <v>50</v>
      </c>
      <c r="J83" s="31">
        <v>9243.75</v>
      </c>
      <c r="K83" s="31">
        <v>4158.1400000000003</v>
      </c>
      <c r="L83" s="31">
        <v>13401.89</v>
      </c>
      <c r="M83" s="31">
        <v>12923.35</v>
      </c>
      <c r="N83" s="31">
        <v>34096.25</v>
      </c>
      <c r="O83" s="31">
        <v>47019.6</v>
      </c>
      <c r="P83" s="31">
        <v>11754.9</v>
      </c>
      <c r="Q83" s="31">
        <v>10525.58</v>
      </c>
      <c r="R83" s="31">
        <v>2986.87</v>
      </c>
      <c r="S83" s="31">
        <v>1579.18</v>
      </c>
      <c r="T83" s="31">
        <v>409.33</v>
      </c>
      <c r="U83" s="31">
        <v>0</v>
      </c>
      <c r="V83" s="31">
        <v>4850.92</v>
      </c>
      <c r="W83" s="31">
        <v>4519.83</v>
      </c>
      <c r="X83" s="31">
        <v>0</v>
      </c>
      <c r="Y83" s="31">
        <v>13401.89</v>
      </c>
    </row>
    <row r="84" spans="1:25" x14ac:dyDescent="0.2">
      <c r="A84" s="24" t="s">
        <v>33</v>
      </c>
      <c r="B84" s="24">
        <v>256</v>
      </c>
      <c r="C84" s="24">
        <v>1</v>
      </c>
      <c r="D84" s="24" t="s">
        <v>161</v>
      </c>
      <c r="E84" s="30">
        <v>25</v>
      </c>
      <c r="F84" s="30" t="s">
        <v>61</v>
      </c>
      <c r="G84" s="24">
        <v>254</v>
      </c>
      <c r="H84" s="24">
        <v>703</v>
      </c>
      <c r="I84" s="30" t="s">
        <v>50</v>
      </c>
      <c r="J84" s="31">
        <v>17391.95</v>
      </c>
      <c r="K84" s="31">
        <v>14053.71</v>
      </c>
      <c r="L84" s="31">
        <v>31445.66</v>
      </c>
      <c r="M84" s="31">
        <v>28817.09</v>
      </c>
      <c r="N84" s="31">
        <v>18003</v>
      </c>
      <c r="O84" s="31">
        <v>46820.09</v>
      </c>
      <c r="P84" s="31">
        <v>11705.02</v>
      </c>
      <c r="Q84" s="31">
        <v>-9762.8799999999992</v>
      </c>
      <c r="R84" s="31">
        <v>0</v>
      </c>
      <c r="S84" s="31">
        <v>3625.78</v>
      </c>
      <c r="T84" s="31">
        <v>0</v>
      </c>
      <c r="U84" s="31">
        <v>0</v>
      </c>
      <c r="V84" s="31">
        <v>6816.4</v>
      </c>
      <c r="W84" s="31">
        <v>226.43</v>
      </c>
      <c r="X84" s="31">
        <v>0</v>
      </c>
      <c r="Y84" s="31">
        <v>31445.66</v>
      </c>
    </row>
    <row r="85" spans="1:25" x14ac:dyDescent="0.2">
      <c r="A85" s="24" t="s">
        <v>33</v>
      </c>
      <c r="B85" s="24">
        <v>261</v>
      </c>
      <c r="C85" s="24">
        <v>1</v>
      </c>
      <c r="D85" s="24" t="s">
        <v>162</v>
      </c>
      <c r="E85" s="30">
        <v>26</v>
      </c>
      <c r="F85" s="30" t="s">
        <v>60</v>
      </c>
      <c r="G85" s="24">
        <v>21</v>
      </c>
      <c r="H85" s="24">
        <v>78</v>
      </c>
      <c r="I85" s="30" t="s">
        <v>50</v>
      </c>
      <c r="J85" s="31">
        <v>1437.92</v>
      </c>
      <c r="K85" s="31">
        <v>1559.3</v>
      </c>
      <c r="L85" s="31">
        <v>2997.22</v>
      </c>
      <c r="M85" s="31">
        <v>3679.24</v>
      </c>
      <c r="N85" s="31">
        <v>0</v>
      </c>
      <c r="O85" s="31">
        <v>3679.24</v>
      </c>
      <c r="P85" s="31">
        <v>919.81</v>
      </c>
      <c r="Q85" s="31">
        <v>-3561.01</v>
      </c>
      <c r="R85" s="31">
        <v>0</v>
      </c>
      <c r="S85" s="31">
        <v>-3408.02</v>
      </c>
      <c r="T85" s="31">
        <v>0</v>
      </c>
      <c r="U85" s="31">
        <v>0</v>
      </c>
      <c r="V85" s="31">
        <v>-6308.82</v>
      </c>
      <c r="W85" s="31">
        <v>-4425.95</v>
      </c>
      <c r="X85" s="31">
        <v>0</v>
      </c>
      <c r="Y85" s="31">
        <v>2997.22</v>
      </c>
    </row>
    <row r="86" spans="1:25" x14ac:dyDescent="0.2">
      <c r="A86" s="24" t="s">
        <v>33</v>
      </c>
      <c r="B86" s="24">
        <v>264</v>
      </c>
      <c r="C86" s="24">
        <v>1</v>
      </c>
      <c r="D86" s="24" t="s">
        <v>163</v>
      </c>
      <c r="E86" s="30">
        <v>26</v>
      </c>
      <c r="F86" s="30" t="s">
        <v>60</v>
      </c>
      <c r="G86" s="24">
        <v>10</v>
      </c>
      <c r="H86" s="24">
        <v>61</v>
      </c>
      <c r="I86" s="30" t="s">
        <v>50</v>
      </c>
      <c r="J86" s="31">
        <v>684.72</v>
      </c>
      <c r="K86" s="31">
        <v>1219.45</v>
      </c>
      <c r="L86" s="31">
        <v>1904.17</v>
      </c>
      <c r="M86" s="31">
        <v>2071.7800000000002</v>
      </c>
      <c r="N86" s="31">
        <v>4464</v>
      </c>
      <c r="O86" s="31">
        <v>6535.78</v>
      </c>
      <c r="P86" s="31">
        <v>1633.95</v>
      </c>
      <c r="Q86" s="31">
        <v>968.11</v>
      </c>
      <c r="R86" s="31">
        <v>0</v>
      </c>
      <c r="S86" s="31">
        <v>1846.11</v>
      </c>
      <c r="T86" s="31">
        <v>0</v>
      </c>
      <c r="U86" s="31">
        <v>0</v>
      </c>
      <c r="V86" s="31">
        <v>1728.82</v>
      </c>
      <c r="W86" s="31">
        <v>1514.35</v>
      </c>
      <c r="X86" s="31">
        <v>0</v>
      </c>
      <c r="Y86" s="31">
        <v>1904.17</v>
      </c>
    </row>
    <row r="87" spans="1:25" x14ac:dyDescent="0.2">
      <c r="A87" s="24" t="s">
        <v>33</v>
      </c>
      <c r="B87" s="24">
        <v>270</v>
      </c>
      <c r="C87" s="24">
        <v>1</v>
      </c>
      <c r="D87" s="24" t="s">
        <v>164</v>
      </c>
      <c r="E87" s="30">
        <v>27</v>
      </c>
      <c r="F87" s="30" t="s">
        <v>56</v>
      </c>
      <c r="G87" s="24">
        <v>724</v>
      </c>
      <c r="H87" s="24">
        <v>1907</v>
      </c>
      <c r="I87" s="30" t="s">
        <v>50</v>
      </c>
      <c r="J87" s="31">
        <v>49573.91</v>
      </c>
      <c r="K87" s="31">
        <v>38122.93</v>
      </c>
      <c r="L87" s="31">
        <v>87696.84</v>
      </c>
      <c r="M87" s="31">
        <v>90388.14</v>
      </c>
      <c r="N87" s="31">
        <v>0</v>
      </c>
      <c r="O87" s="31">
        <v>90388.14</v>
      </c>
      <c r="P87" s="31">
        <v>22597.040000000001</v>
      </c>
      <c r="Q87" s="31">
        <v>-12045</v>
      </c>
      <c r="R87" s="31">
        <v>0</v>
      </c>
      <c r="S87" s="31">
        <v>4951.78</v>
      </c>
      <c r="T87" s="31">
        <v>0</v>
      </c>
      <c r="U87" s="31">
        <v>0</v>
      </c>
      <c r="V87" s="31">
        <v>28508</v>
      </c>
      <c r="W87" s="31">
        <v>7138.26</v>
      </c>
      <c r="X87" s="31">
        <v>0</v>
      </c>
      <c r="Y87" s="31">
        <v>87696.84</v>
      </c>
    </row>
    <row r="88" spans="1:25" x14ac:dyDescent="0.2">
      <c r="A88" s="24" t="s">
        <v>33</v>
      </c>
      <c r="B88" s="24">
        <v>271</v>
      </c>
      <c r="C88" s="24">
        <v>1</v>
      </c>
      <c r="D88" s="24" t="s">
        <v>165</v>
      </c>
      <c r="E88" s="30">
        <v>27</v>
      </c>
      <c r="F88" s="30" t="s">
        <v>56</v>
      </c>
      <c r="G88" s="24">
        <v>961</v>
      </c>
      <c r="H88" s="24">
        <v>3372</v>
      </c>
      <c r="I88" s="30" t="s">
        <v>50</v>
      </c>
      <c r="J88" s="31">
        <v>65801.83</v>
      </c>
      <c r="K88" s="31">
        <v>67409.820000000007</v>
      </c>
      <c r="L88" s="31">
        <v>133211.65</v>
      </c>
      <c r="M88" s="31">
        <v>127304.09</v>
      </c>
      <c r="N88" s="31">
        <v>537696.82999999996</v>
      </c>
      <c r="O88" s="31">
        <v>665000.92000000004</v>
      </c>
      <c r="P88" s="31">
        <v>166250.23000000001</v>
      </c>
      <c r="Q88" s="31">
        <v>15866.8</v>
      </c>
      <c r="R88" s="31">
        <v>0</v>
      </c>
      <c r="S88" s="31">
        <v>8702.5400000000009</v>
      </c>
      <c r="T88" s="31">
        <v>0</v>
      </c>
      <c r="U88" s="31">
        <v>0</v>
      </c>
      <c r="V88" s="31">
        <v>59930.239999999998</v>
      </c>
      <c r="W88" s="31">
        <v>28166.53</v>
      </c>
      <c r="X88" s="31">
        <v>0</v>
      </c>
      <c r="Y88" s="31">
        <v>133211.65</v>
      </c>
    </row>
    <row r="89" spans="1:25" x14ac:dyDescent="0.2">
      <c r="A89" s="24" t="s">
        <v>33</v>
      </c>
      <c r="B89" s="24">
        <v>272</v>
      </c>
      <c r="C89" s="24">
        <v>1</v>
      </c>
      <c r="D89" s="24" t="s">
        <v>166</v>
      </c>
      <c r="E89" s="30">
        <v>27</v>
      </c>
      <c r="F89" s="30" t="s">
        <v>56</v>
      </c>
      <c r="G89" s="24">
        <v>965</v>
      </c>
      <c r="H89" s="24">
        <v>1275</v>
      </c>
      <c r="I89" s="30" t="s">
        <v>50</v>
      </c>
      <c r="J89" s="31">
        <v>66075.72</v>
      </c>
      <c r="K89" s="31">
        <v>25488.59</v>
      </c>
      <c r="L89" s="31">
        <v>91564.31</v>
      </c>
      <c r="M89" s="31">
        <v>88598.45</v>
      </c>
      <c r="N89" s="31">
        <v>208063.34</v>
      </c>
      <c r="O89" s="31">
        <v>296661.78999999998</v>
      </c>
      <c r="P89" s="31">
        <v>74165.45</v>
      </c>
      <c r="Q89" s="31">
        <v>27366.400000000001</v>
      </c>
      <c r="R89" s="31">
        <v>0</v>
      </c>
      <c r="S89" s="31">
        <v>4339.7700000000004</v>
      </c>
      <c r="T89" s="31">
        <v>0</v>
      </c>
      <c r="U89" s="31">
        <v>0</v>
      </c>
      <c r="V89" s="31">
        <v>-25455.77</v>
      </c>
      <c r="W89" s="31">
        <v>2083.4699999999998</v>
      </c>
      <c r="X89" s="31">
        <v>0</v>
      </c>
      <c r="Y89" s="31">
        <v>91564.31</v>
      </c>
    </row>
    <row r="90" spans="1:25" x14ac:dyDescent="0.2">
      <c r="A90" s="24" t="s">
        <v>33</v>
      </c>
      <c r="B90" s="24">
        <v>273</v>
      </c>
      <c r="C90" s="24">
        <v>1</v>
      </c>
      <c r="D90" s="24" t="s">
        <v>167</v>
      </c>
      <c r="E90" s="30">
        <v>27</v>
      </c>
      <c r="F90" s="30" t="s">
        <v>56</v>
      </c>
      <c r="G90" s="24">
        <v>574</v>
      </c>
      <c r="H90" s="24">
        <v>501</v>
      </c>
      <c r="I90" s="30" t="s">
        <v>50</v>
      </c>
      <c r="J90" s="31">
        <v>39303.07</v>
      </c>
      <c r="K90" s="31">
        <v>10015.52</v>
      </c>
      <c r="L90" s="31">
        <v>49318.59</v>
      </c>
      <c r="M90" s="31">
        <v>50411</v>
      </c>
      <c r="N90" s="31">
        <v>9517.61</v>
      </c>
      <c r="O90" s="31">
        <v>59928.61</v>
      </c>
      <c r="P90" s="31">
        <v>14982.15</v>
      </c>
      <c r="Q90" s="31">
        <v>-4227.34</v>
      </c>
      <c r="R90" s="31">
        <v>0</v>
      </c>
      <c r="S90" s="31">
        <v>6005.83</v>
      </c>
      <c r="T90" s="31">
        <v>0</v>
      </c>
      <c r="U90" s="31">
        <v>0</v>
      </c>
      <c r="V90" s="31">
        <v>6619.42</v>
      </c>
      <c r="W90" s="31">
        <v>2799.3</v>
      </c>
      <c r="X90" s="31">
        <v>0</v>
      </c>
      <c r="Y90" s="31">
        <v>49318.59</v>
      </c>
    </row>
    <row r="91" spans="1:25" x14ac:dyDescent="0.2">
      <c r="A91" s="24" t="s">
        <v>33</v>
      </c>
      <c r="B91" s="24">
        <v>276</v>
      </c>
      <c r="C91" s="24">
        <v>1</v>
      </c>
      <c r="D91" s="24" t="s">
        <v>168</v>
      </c>
      <c r="E91" s="30">
        <v>27</v>
      </c>
      <c r="F91" s="30" t="s">
        <v>56</v>
      </c>
      <c r="G91" s="24">
        <v>584</v>
      </c>
      <c r="H91" s="24">
        <v>547</v>
      </c>
      <c r="I91" s="30" t="s">
        <v>50</v>
      </c>
      <c r="J91" s="31">
        <v>39987.79</v>
      </c>
      <c r="K91" s="31">
        <v>10935.1</v>
      </c>
      <c r="L91" s="31">
        <v>50922.89</v>
      </c>
      <c r="M91" s="31">
        <v>52158.79</v>
      </c>
      <c r="N91" s="31">
        <v>0</v>
      </c>
      <c r="O91" s="31">
        <v>52158.79</v>
      </c>
      <c r="P91" s="31">
        <v>13039.7</v>
      </c>
      <c r="Q91" s="31">
        <v>6439.78</v>
      </c>
      <c r="R91" s="31">
        <v>0</v>
      </c>
      <c r="S91" s="31">
        <v>13129.67</v>
      </c>
      <c r="T91" s="31">
        <v>0</v>
      </c>
      <c r="U91" s="31">
        <v>0</v>
      </c>
      <c r="V91" s="31">
        <v>13772.14</v>
      </c>
      <c r="W91" s="31">
        <v>11113.86</v>
      </c>
      <c r="X91" s="31">
        <v>0</v>
      </c>
      <c r="Y91" s="31">
        <v>50922.89</v>
      </c>
    </row>
    <row r="92" spans="1:25" x14ac:dyDescent="0.2">
      <c r="A92" s="24" t="s">
        <v>33</v>
      </c>
      <c r="B92" s="24">
        <v>277</v>
      </c>
      <c r="C92" s="24">
        <v>1</v>
      </c>
      <c r="D92" s="24" t="s">
        <v>169</v>
      </c>
      <c r="E92" s="30">
        <v>27</v>
      </c>
      <c r="F92" s="30" t="s">
        <v>56</v>
      </c>
      <c r="G92" s="24">
        <v>312</v>
      </c>
      <c r="H92" s="24">
        <v>282</v>
      </c>
      <c r="I92" s="30" t="s">
        <v>50</v>
      </c>
      <c r="J92" s="31">
        <v>21363.34</v>
      </c>
      <c r="K92" s="31">
        <v>5637.48</v>
      </c>
      <c r="L92" s="31">
        <v>27000.82</v>
      </c>
      <c r="M92" s="31">
        <v>25577.73</v>
      </c>
      <c r="N92" s="31">
        <v>304558.08000000002</v>
      </c>
      <c r="O92" s="31">
        <v>330135.81</v>
      </c>
      <c r="P92" s="31">
        <v>82533.95</v>
      </c>
      <c r="Q92" s="31">
        <v>52430.29</v>
      </c>
      <c r="R92" s="31">
        <v>0</v>
      </c>
      <c r="S92" s="31">
        <v>75106.7</v>
      </c>
      <c r="T92" s="31">
        <v>0</v>
      </c>
      <c r="U92" s="31">
        <v>0</v>
      </c>
      <c r="V92" s="31">
        <v>83133.5</v>
      </c>
      <c r="W92" s="31">
        <v>70223.5</v>
      </c>
      <c r="X92" s="31">
        <v>0</v>
      </c>
      <c r="Y92" s="31">
        <v>27000.82</v>
      </c>
    </row>
    <row r="93" spans="1:25" x14ac:dyDescent="0.2">
      <c r="A93" s="24" t="s">
        <v>33</v>
      </c>
      <c r="B93" s="24">
        <v>278</v>
      </c>
      <c r="C93" s="24">
        <v>1</v>
      </c>
      <c r="D93" s="24" t="s">
        <v>170</v>
      </c>
      <c r="E93" s="30">
        <v>27</v>
      </c>
      <c r="F93" s="30" t="s">
        <v>56</v>
      </c>
      <c r="G93" s="24">
        <v>175</v>
      </c>
      <c r="H93" s="24">
        <v>189</v>
      </c>
      <c r="I93" s="30" t="s">
        <v>50</v>
      </c>
      <c r="J93" s="31">
        <v>11982.64</v>
      </c>
      <c r="K93" s="31">
        <v>3778.31</v>
      </c>
      <c r="L93" s="31">
        <v>15760.95</v>
      </c>
      <c r="M93" s="31">
        <v>15108.27</v>
      </c>
      <c r="N93" s="31">
        <v>104267.03</v>
      </c>
      <c r="O93" s="31">
        <v>119375.3</v>
      </c>
      <c r="P93" s="31">
        <v>29843.83</v>
      </c>
      <c r="Q93" s="31">
        <v>27962.27</v>
      </c>
      <c r="R93" s="31">
        <v>0</v>
      </c>
      <c r="S93" s="31">
        <v>15809.22</v>
      </c>
      <c r="T93" s="31">
        <v>0</v>
      </c>
      <c r="U93" s="31">
        <v>0</v>
      </c>
      <c r="V93" s="31">
        <v>8537.11</v>
      </c>
      <c r="W93" s="31">
        <v>17436.2</v>
      </c>
      <c r="X93" s="31">
        <v>0</v>
      </c>
      <c r="Y93" s="31">
        <v>15760.95</v>
      </c>
    </row>
    <row r="94" spans="1:25" x14ac:dyDescent="0.2">
      <c r="A94" s="24" t="s">
        <v>33</v>
      </c>
      <c r="B94" s="24">
        <v>279</v>
      </c>
      <c r="C94" s="24">
        <v>1</v>
      </c>
      <c r="D94" s="24" t="s">
        <v>171</v>
      </c>
      <c r="E94" s="30">
        <v>27</v>
      </c>
      <c r="F94" s="30" t="s">
        <v>56</v>
      </c>
      <c r="G94" s="24">
        <v>1935</v>
      </c>
      <c r="H94" s="24">
        <v>6835</v>
      </c>
      <c r="I94" s="30" t="s">
        <v>50</v>
      </c>
      <c r="J94" s="31">
        <v>132493.79</v>
      </c>
      <c r="K94" s="31">
        <v>136638.82</v>
      </c>
      <c r="L94" s="31">
        <v>269132.61</v>
      </c>
      <c r="M94" s="31">
        <v>271293.33</v>
      </c>
      <c r="N94" s="31">
        <v>85020.55</v>
      </c>
      <c r="O94" s="31">
        <v>356313.88</v>
      </c>
      <c r="P94" s="31">
        <v>89078.47</v>
      </c>
      <c r="Q94" s="31">
        <v>0</v>
      </c>
      <c r="R94" s="31">
        <v>0</v>
      </c>
      <c r="S94" s="31">
        <v>56126.61</v>
      </c>
      <c r="T94" s="31">
        <v>0</v>
      </c>
      <c r="U94" s="31">
        <v>0</v>
      </c>
      <c r="V94" s="31">
        <v>71411.42</v>
      </c>
      <c r="W94" s="31">
        <v>42512.68</v>
      </c>
      <c r="X94" s="31">
        <v>0</v>
      </c>
      <c r="Y94" s="31">
        <v>269132.61</v>
      </c>
    </row>
    <row r="95" spans="1:25" x14ac:dyDescent="0.2">
      <c r="A95" s="24" t="s">
        <v>33</v>
      </c>
      <c r="B95" s="24">
        <v>280</v>
      </c>
      <c r="C95" s="24">
        <v>1</v>
      </c>
      <c r="D95" s="24" t="s">
        <v>172</v>
      </c>
      <c r="E95" s="30">
        <v>27</v>
      </c>
      <c r="F95" s="30" t="s">
        <v>56</v>
      </c>
      <c r="G95" s="24">
        <v>360</v>
      </c>
      <c r="H95" s="24">
        <v>2302</v>
      </c>
      <c r="I95" s="30" t="s">
        <v>50</v>
      </c>
      <c r="J95" s="31">
        <v>24650.01</v>
      </c>
      <c r="K95" s="31">
        <v>46019.39</v>
      </c>
      <c r="L95" s="31">
        <v>70669.399999999994</v>
      </c>
      <c r="M95" s="31">
        <v>68290.05</v>
      </c>
      <c r="N95" s="31">
        <v>0</v>
      </c>
      <c r="O95" s="31">
        <v>68290.05</v>
      </c>
      <c r="P95" s="31">
        <v>17072.509999999998</v>
      </c>
      <c r="Q95" s="31">
        <v>3389.48</v>
      </c>
      <c r="R95" s="31">
        <v>0</v>
      </c>
      <c r="S95" s="31">
        <v>33389.58</v>
      </c>
      <c r="T95" s="31">
        <v>0</v>
      </c>
      <c r="U95" s="31">
        <v>0</v>
      </c>
      <c r="V95" s="31">
        <v>3389.58</v>
      </c>
      <c r="W95" s="31">
        <v>13389.55</v>
      </c>
      <c r="X95" s="31">
        <v>0</v>
      </c>
      <c r="Y95" s="31">
        <v>70669.399999999994</v>
      </c>
    </row>
    <row r="96" spans="1:25" x14ac:dyDescent="0.2">
      <c r="A96" s="24" t="s">
        <v>33</v>
      </c>
      <c r="B96" s="24">
        <v>281</v>
      </c>
      <c r="C96" s="24">
        <v>1</v>
      </c>
      <c r="D96" s="24" t="s">
        <v>173</v>
      </c>
      <c r="E96" s="30">
        <v>27</v>
      </c>
      <c r="F96" s="30" t="s">
        <v>56</v>
      </c>
      <c r="G96" s="24">
        <v>1134</v>
      </c>
      <c r="H96" s="24">
        <v>5058</v>
      </c>
      <c r="I96" s="30" t="s">
        <v>50</v>
      </c>
      <c r="J96" s="31">
        <v>77647.53</v>
      </c>
      <c r="K96" s="31">
        <v>101114.73</v>
      </c>
      <c r="L96" s="31">
        <v>178762.26</v>
      </c>
      <c r="M96" s="31">
        <v>194566.79</v>
      </c>
      <c r="N96" s="31">
        <v>0</v>
      </c>
      <c r="O96" s="31">
        <v>194566.79</v>
      </c>
      <c r="P96" s="31">
        <v>48641.7</v>
      </c>
      <c r="Q96" s="31">
        <v>32263.97</v>
      </c>
      <c r="R96" s="31">
        <v>0</v>
      </c>
      <c r="S96" s="31">
        <v>33996.800000000003</v>
      </c>
      <c r="T96" s="31">
        <v>0</v>
      </c>
      <c r="U96" s="31">
        <v>0</v>
      </c>
      <c r="V96" s="31">
        <v>39130.85</v>
      </c>
      <c r="W96" s="31">
        <v>35130.54</v>
      </c>
      <c r="X96" s="31">
        <v>0</v>
      </c>
      <c r="Y96" s="31">
        <v>178762.26</v>
      </c>
    </row>
    <row r="97" spans="1:25" x14ac:dyDescent="0.2">
      <c r="A97" s="24" t="s">
        <v>33</v>
      </c>
      <c r="B97" s="24">
        <v>282</v>
      </c>
      <c r="C97" s="24">
        <v>1</v>
      </c>
      <c r="D97" s="24" t="s">
        <v>174</v>
      </c>
      <c r="E97" s="30">
        <v>27</v>
      </c>
      <c r="F97" s="30" t="s">
        <v>56</v>
      </c>
      <c r="G97" s="24">
        <v>63</v>
      </c>
      <c r="H97" s="24">
        <v>290</v>
      </c>
      <c r="I97" s="30" t="s">
        <v>50</v>
      </c>
      <c r="J97" s="31">
        <v>4313.75</v>
      </c>
      <c r="K97" s="31">
        <v>5797.4</v>
      </c>
      <c r="L97" s="31">
        <v>10111.15</v>
      </c>
      <c r="M97" s="31">
        <v>9672.64</v>
      </c>
      <c r="N97" s="31">
        <v>2800</v>
      </c>
      <c r="O97" s="31">
        <v>12472.64</v>
      </c>
      <c r="P97" s="31">
        <v>3118.16</v>
      </c>
      <c r="Q97" s="31">
        <v>-211.6</v>
      </c>
      <c r="R97" s="31">
        <v>0</v>
      </c>
      <c r="S97" s="31">
        <v>335.3</v>
      </c>
      <c r="T97" s="31">
        <v>0</v>
      </c>
      <c r="U97" s="31">
        <v>0</v>
      </c>
      <c r="V97" s="31">
        <v>335.3</v>
      </c>
      <c r="W97" s="31">
        <v>153</v>
      </c>
      <c r="X97" s="31">
        <v>0</v>
      </c>
      <c r="Y97" s="31">
        <v>10111.15</v>
      </c>
    </row>
    <row r="98" spans="1:25" x14ac:dyDescent="0.2">
      <c r="A98" s="24" t="s">
        <v>33</v>
      </c>
      <c r="B98" s="24">
        <v>283</v>
      </c>
      <c r="C98" s="24">
        <v>1</v>
      </c>
      <c r="D98" s="24" t="s">
        <v>175</v>
      </c>
      <c r="E98" s="30">
        <v>27</v>
      </c>
      <c r="F98" s="30" t="s">
        <v>56</v>
      </c>
      <c r="G98" s="24">
        <v>614</v>
      </c>
      <c r="H98" s="24">
        <v>1212</v>
      </c>
      <c r="I98" s="30" t="s">
        <v>50</v>
      </c>
      <c r="J98" s="31">
        <v>42041.96</v>
      </c>
      <c r="K98" s="31">
        <v>24229.15</v>
      </c>
      <c r="L98" s="31">
        <v>66271.11</v>
      </c>
      <c r="M98" s="31">
        <v>68694.39</v>
      </c>
      <c r="N98" s="31">
        <v>160</v>
      </c>
      <c r="O98" s="31">
        <v>68854.39</v>
      </c>
      <c r="P98" s="31">
        <v>17213.599999999999</v>
      </c>
      <c r="Q98" s="31">
        <v>29494.28</v>
      </c>
      <c r="R98" s="31">
        <v>2818.37</v>
      </c>
      <c r="S98" s="31">
        <v>21465.13</v>
      </c>
      <c r="T98" s="31">
        <v>10625.95</v>
      </c>
      <c r="U98" s="31">
        <v>0</v>
      </c>
      <c r="V98" s="31">
        <v>21465.13</v>
      </c>
      <c r="W98" s="31">
        <v>19660.07</v>
      </c>
      <c r="X98" s="31">
        <v>2446.4699999999998</v>
      </c>
      <c r="Y98" s="31">
        <v>63824.639999999999</v>
      </c>
    </row>
    <row r="99" spans="1:25" x14ac:dyDescent="0.2">
      <c r="A99" s="24" t="s">
        <v>33</v>
      </c>
      <c r="B99" s="24">
        <v>284</v>
      </c>
      <c r="C99" s="24">
        <v>1</v>
      </c>
      <c r="D99" s="24" t="s">
        <v>176</v>
      </c>
      <c r="E99" s="30">
        <v>27</v>
      </c>
      <c r="F99" s="30" t="s">
        <v>56</v>
      </c>
      <c r="G99" s="24">
        <v>649</v>
      </c>
      <c r="H99" s="24">
        <v>1351</v>
      </c>
      <c r="I99" s="30" t="s">
        <v>50</v>
      </c>
      <c r="J99" s="31">
        <v>44438.49</v>
      </c>
      <c r="K99" s="31">
        <v>27007.91</v>
      </c>
      <c r="L99" s="31">
        <v>71446.399999999994</v>
      </c>
      <c r="M99" s="31">
        <v>69888.73</v>
      </c>
      <c r="N99" s="31">
        <v>3000</v>
      </c>
      <c r="O99" s="31">
        <v>72888.73</v>
      </c>
      <c r="P99" s="31">
        <v>18222.18</v>
      </c>
      <c r="Q99" s="31">
        <v>196.56</v>
      </c>
      <c r="R99" s="31">
        <v>0</v>
      </c>
      <c r="S99" s="31">
        <v>192.65</v>
      </c>
      <c r="T99" s="31">
        <v>0</v>
      </c>
      <c r="U99" s="31">
        <v>0</v>
      </c>
      <c r="V99" s="31">
        <v>8346.76</v>
      </c>
      <c r="W99" s="31">
        <v>2911.99</v>
      </c>
      <c r="X99" s="31">
        <v>0</v>
      </c>
      <c r="Y99" s="31">
        <v>71446.399999999994</v>
      </c>
    </row>
    <row r="100" spans="1:25" x14ac:dyDescent="0.2">
      <c r="A100" s="24" t="s">
        <v>33</v>
      </c>
      <c r="B100" s="24">
        <v>286</v>
      </c>
      <c r="C100" s="24">
        <v>1</v>
      </c>
      <c r="D100" s="24" t="s">
        <v>177</v>
      </c>
      <c r="E100" s="30">
        <v>27</v>
      </c>
      <c r="F100" s="30" t="s">
        <v>56</v>
      </c>
      <c r="G100" s="24">
        <v>193</v>
      </c>
      <c r="H100" s="24">
        <v>1264</v>
      </c>
      <c r="I100" s="30" t="s">
        <v>50</v>
      </c>
      <c r="J100" s="31">
        <v>13215.14</v>
      </c>
      <c r="K100" s="31">
        <v>25268.69</v>
      </c>
      <c r="L100" s="31">
        <v>38483.83</v>
      </c>
      <c r="M100" s="31">
        <v>39951.81</v>
      </c>
      <c r="N100" s="31">
        <v>23095.7</v>
      </c>
      <c r="O100" s="31">
        <v>63047.51</v>
      </c>
      <c r="P100" s="31">
        <v>15761.88</v>
      </c>
      <c r="Q100" s="31">
        <v>14085.03</v>
      </c>
      <c r="R100" s="31">
        <v>0</v>
      </c>
      <c r="S100" s="31">
        <v>24369.64</v>
      </c>
      <c r="T100" s="31">
        <v>0</v>
      </c>
      <c r="U100" s="31">
        <v>0</v>
      </c>
      <c r="V100" s="31">
        <v>7885.59</v>
      </c>
      <c r="W100" s="31">
        <v>15446.75</v>
      </c>
      <c r="X100" s="31">
        <v>0</v>
      </c>
      <c r="Y100" s="31">
        <v>38483.83</v>
      </c>
    </row>
    <row r="101" spans="1:25" x14ac:dyDescent="0.2">
      <c r="A101" s="24" t="s">
        <v>33</v>
      </c>
      <c r="B101" s="24">
        <v>294</v>
      </c>
      <c r="C101" s="24">
        <v>1</v>
      </c>
      <c r="D101" s="24" t="s">
        <v>178</v>
      </c>
      <c r="E101" s="30">
        <v>28</v>
      </c>
      <c r="F101" s="30" t="s">
        <v>61</v>
      </c>
      <c r="G101" s="24">
        <v>36</v>
      </c>
      <c r="H101" s="24">
        <v>235</v>
      </c>
      <c r="I101" s="30" t="s">
        <v>50</v>
      </c>
      <c r="J101" s="31">
        <v>2465</v>
      </c>
      <c r="K101" s="31">
        <v>4697.8999999999996</v>
      </c>
      <c r="L101" s="31">
        <v>7162.9</v>
      </c>
      <c r="M101" s="31">
        <v>7516.79</v>
      </c>
      <c r="N101" s="31">
        <v>366</v>
      </c>
      <c r="O101" s="31">
        <v>7882.79</v>
      </c>
      <c r="P101" s="31">
        <v>1970.7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7162.9</v>
      </c>
    </row>
    <row r="102" spans="1:25" x14ac:dyDescent="0.2">
      <c r="A102" s="24" t="s">
        <v>33</v>
      </c>
      <c r="B102" s="24">
        <v>297</v>
      </c>
      <c r="C102" s="24">
        <v>1</v>
      </c>
      <c r="D102" s="24" t="s">
        <v>179</v>
      </c>
      <c r="E102" s="30">
        <v>28</v>
      </c>
      <c r="F102" s="30" t="s">
        <v>61</v>
      </c>
      <c r="G102" s="24">
        <v>27</v>
      </c>
      <c r="H102" s="24">
        <v>94</v>
      </c>
      <c r="I102" s="30" t="s">
        <v>50</v>
      </c>
      <c r="J102" s="31">
        <v>1848.75</v>
      </c>
      <c r="K102" s="31">
        <v>1879.16</v>
      </c>
      <c r="L102" s="31">
        <v>3727.91</v>
      </c>
      <c r="M102" s="31">
        <v>3652.4</v>
      </c>
      <c r="N102" s="31">
        <v>2152</v>
      </c>
      <c r="O102" s="31">
        <v>5804.4</v>
      </c>
      <c r="P102" s="31">
        <v>1451.1</v>
      </c>
      <c r="Q102" s="31">
        <v>162.27000000000001</v>
      </c>
      <c r="R102" s="31">
        <v>0</v>
      </c>
      <c r="S102" s="31">
        <v>1699.96</v>
      </c>
      <c r="T102" s="31">
        <v>0</v>
      </c>
      <c r="U102" s="31">
        <v>0</v>
      </c>
      <c r="V102" s="31">
        <v>1955.09</v>
      </c>
      <c r="W102" s="31">
        <v>1272.44</v>
      </c>
      <c r="X102" s="31">
        <v>0</v>
      </c>
      <c r="Y102" s="31">
        <v>3727.91</v>
      </c>
    </row>
    <row r="103" spans="1:25" x14ac:dyDescent="0.2">
      <c r="A103" s="24" t="s">
        <v>33</v>
      </c>
      <c r="B103" s="24">
        <v>299</v>
      </c>
      <c r="C103" s="24">
        <v>1</v>
      </c>
      <c r="D103" s="24" t="s">
        <v>180</v>
      </c>
      <c r="E103" s="30">
        <v>28</v>
      </c>
      <c r="F103" s="30" t="s">
        <v>61</v>
      </c>
      <c r="G103" s="24">
        <v>77</v>
      </c>
      <c r="H103" s="24">
        <v>201</v>
      </c>
      <c r="I103" s="30" t="s">
        <v>50</v>
      </c>
      <c r="J103" s="31">
        <v>5272.36</v>
      </c>
      <c r="K103" s="31">
        <v>4018.2</v>
      </c>
      <c r="L103" s="31">
        <v>9290.56</v>
      </c>
      <c r="M103" s="31">
        <v>9458.07</v>
      </c>
      <c r="N103" s="31">
        <v>40727.46</v>
      </c>
      <c r="O103" s="31">
        <v>50185.53</v>
      </c>
      <c r="P103" s="31">
        <v>12546.38</v>
      </c>
      <c r="Q103" s="31">
        <v>1672.12</v>
      </c>
      <c r="R103" s="31">
        <v>0</v>
      </c>
      <c r="S103" s="31">
        <v>4095.26</v>
      </c>
      <c r="T103" s="31">
        <v>0</v>
      </c>
      <c r="U103" s="31">
        <v>0</v>
      </c>
      <c r="V103" s="31">
        <v>8227.06</v>
      </c>
      <c r="W103" s="31">
        <v>4664.8100000000004</v>
      </c>
      <c r="X103" s="31">
        <v>0</v>
      </c>
      <c r="Y103" s="31">
        <v>9290.56</v>
      </c>
    </row>
    <row r="104" spans="1:25" x14ac:dyDescent="0.2">
      <c r="A104" s="24" t="s">
        <v>33</v>
      </c>
      <c r="B104" s="24">
        <v>300</v>
      </c>
      <c r="C104" s="24">
        <v>1</v>
      </c>
      <c r="D104" s="24" t="s">
        <v>181</v>
      </c>
      <c r="E104" s="30">
        <v>28</v>
      </c>
      <c r="F104" s="30" t="s">
        <v>61</v>
      </c>
      <c r="G104" s="24">
        <v>101</v>
      </c>
      <c r="H104" s="24">
        <v>271</v>
      </c>
      <c r="I104" s="30" t="s">
        <v>50</v>
      </c>
      <c r="J104" s="31">
        <v>6915.7</v>
      </c>
      <c r="K104" s="31">
        <v>5417.57</v>
      </c>
      <c r="L104" s="31">
        <v>12333.27</v>
      </c>
      <c r="M104" s="31">
        <v>12664.04</v>
      </c>
      <c r="N104" s="31">
        <v>13865.5</v>
      </c>
      <c r="O104" s="31">
        <v>26529.54</v>
      </c>
      <c r="P104" s="31">
        <v>6632.39</v>
      </c>
      <c r="Q104" s="31">
        <v>-2845.01</v>
      </c>
      <c r="R104" s="31">
        <v>0</v>
      </c>
      <c r="S104" s="31">
        <v>-6280.37</v>
      </c>
      <c r="T104" s="31">
        <v>0</v>
      </c>
      <c r="U104" s="31">
        <v>0</v>
      </c>
      <c r="V104" s="31">
        <v>-4352.3500000000004</v>
      </c>
      <c r="W104" s="31">
        <v>-4492.58</v>
      </c>
      <c r="X104" s="31">
        <v>0</v>
      </c>
      <c r="Y104" s="31">
        <v>12333.27</v>
      </c>
    </row>
    <row r="105" spans="1:25" x14ac:dyDescent="0.2">
      <c r="A105" s="24" t="s">
        <v>33</v>
      </c>
      <c r="B105" s="24">
        <v>306</v>
      </c>
      <c r="C105" s="24">
        <v>1</v>
      </c>
      <c r="D105" s="24" t="s">
        <v>182</v>
      </c>
      <c r="E105" s="30">
        <v>29</v>
      </c>
      <c r="F105" s="30" t="s">
        <v>62</v>
      </c>
      <c r="G105" s="24">
        <v>21</v>
      </c>
      <c r="H105" s="24">
        <v>196</v>
      </c>
      <c r="I105" s="30" t="s">
        <v>50</v>
      </c>
      <c r="J105" s="31">
        <v>1437.92</v>
      </c>
      <c r="K105" s="31">
        <v>3918.25</v>
      </c>
      <c r="L105" s="31">
        <v>5356.17</v>
      </c>
      <c r="M105" s="31">
        <v>4710.82</v>
      </c>
      <c r="N105" s="31">
        <v>0</v>
      </c>
      <c r="O105" s="31">
        <v>4710.82</v>
      </c>
      <c r="P105" s="31">
        <v>1177.71</v>
      </c>
      <c r="Q105" s="31">
        <v>1262.46</v>
      </c>
      <c r="R105" s="31">
        <v>0</v>
      </c>
      <c r="S105" s="31">
        <v>2151.96</v>
      </c>
      <c r="T105" s="31">
        <v>16.28</v>
      </c>
      <c r="U105" s="31">
        <v>0</v>
      </c>
      <c r="V105" s="31">
        <v>1050.4000000000001</v>
      </c>
      <c r="W105" s="31">
        <v>1482.85</v>
      </c>
      <c r="X105" s="31">
        <v>305.14</v>
      </c>
      <c r="Y105" s="31">
        <v>5051.03</v>
      </c>
    </row>
    <row r="106" spans="1:25" x14ac:dyDescent="0.2">
      <c r="A106" s="24" t="s">
        <v>33</v>
      </c>
      <c r="B106" s="24">
        <v>308</v>
      </c>
      <c r="C106" s="24">
        <v>1</v>
      </c>
      <c r="D106" s="24" t="s">
        <v>183</v>
      </c>
      <c r="E106" s="30">
        <v>29</v>
      </c>
      <c r="F106" s="30" t="s">
        <v>62</v>
      </c>
      <c r="G106" s="24">
        <v>39</v>
      </c>
      <c r="H106" s="24">
        <v>315</v>
      </c>
      <c r="I106" s="30" t="s">
        <v>50</v>
      </c>
      <c r="J106" s="31">
        <v>2670.42</v>
      </c>
      <c r="K106" s="31">
        <v>6297.18</v>
      </c>
      <c r="L106" s="31">
        <v>8967.6</v>
      </c>
      <c r="M106" s="31">
        <v>7912.98</v>
      </c>
      <c r="N106" s="31">
        <v>2445</v>
      </c>
      <c r="O106" s="31">
        <v>10357.98</v>
      </c>
      <c r="P106" s="31">
        <v>2589.5</v>
      </c>
      <c r="Q106" s="31">
        <v>-0.37</v>
      </c>
      <c r="R106" s="31">
        <v>0</v>
      </c>
      <c r="S106" s="31">
        <v>671.71</v>
      </c>
      <c r="T106" s="31">
        <v>0</v>
      </c>
      <c r="U106" s="31">
        <v>0</v>
      </c>
      <c r="V106" s="31">
        <v>1012.84</v>
      </c>
      <c r="W106" s="31">
        <v>561.39</v>
      </c>
      <c r="X106" s="31">
        <v>0</v>
      </c>
      <c r="Y106" s="31">
        <v>8967.6</v>
      </c>
    </row>
    <row r="107" spans="1:25" x14ac:dyDescent="0.2">
      <c r="A107" s="24" t="s">
        <v>33</v>
      </c>
      <c r="B107" s="24">
        <v>309</v>
      </c>
      <c r="C107" s="24">
        <v>1</v>
      </c>
      <c r="D107" s="24" t="s">
        <v>184</v>
      </c>
      <c r="E107" s="30">
        <v>29</v>
      </c>
      <c r="F107" s="30" t="s">
        <v>62</v>
      </c>
      <c r="G107" s="24">
        <v>171</v>
      </c>
      <c r="H107" s="24">
        <v>707</v>
      </c>
      <c r="I107" s="30" t="s">
        <v>50</v>
      </c>
      <c r="J107" s="31">
        <v>11708.75</v>
      </c>
      <c r="K107" s="31">
        <v>14133.67</v>
      </c>
      <c r="L107" s="31">
        <v>25842.42</v>
      </c>
      <c r="M107" s="31">
        <v>26179.37</v>
      </c>
      <c r="N107" s="31">
        <v>30270.5</v>
      </c>
      <c r="O107" s="31">
        <v>56449.87</v>
      </c>
      <c r="P107" s="31">
        <v>14112.47</v>
      </c>
      <c r="Q107" s="31">
        <v>806.58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268.86</v>
      </c>
      <c r="X107" s="31">
        <v>0</v>
      </c>
      <c r="Y107" s="31">
        <v>25842.42</v>
      </c>
    </row>
    <row r="108" spans="1:25" x14ac:dyDescent="0.2">
      <c r="A108" s="24" t="s">
        <v>33</v>
      </c>
      <c r="B108" s="24">
        <v>314</v>
      </c>
      <c r="C108" s="24">
        <v>1</v>
      </c>
      <c r="D108" s="24" t="s">
        <v>185</v>
      </c>
      <c r="E108" s="30">
        <v>30</v>
      </c>
      <c r="F108" s="30" t="s">
        <v>67</v>
      </c>
      <c r="G108" s="24">
        <v>74</v>
      </c>
      <c r="H108" s="24">
        <v>413</v>
      </c>
      <c r="I108" s="30" t="s">
        <v>50</v>
      </c>
      <c r="J108" s="31">
        <v>5066.95</v>
      </c>
      <c r="K108" s="31">
        <v>8256.2999999999993</v>
      </c>
      <c r="L108" s="31">
        <v>13323.25</v>
      </c>
      <c r="M108" s="31">
        <v>12630.19</v>
      </c>
      <c r="N108" s="31">
        <v>15472.5</v>
      </c>
      <c r="O108" s="31">
        <v>28102.69</v>
      </c>
      <c r="P108" s="31">
        <v>7025.67</v>
      </c>
      <c r="Q108" s="31">
        <v>8113.37</v>
      </c>
      <c r="R108" s="31">
        <v>268.66000000000003</v>
      </c>
      <c r="S108" s="31">
        <v>12374.42</v>
      </c>
      <c r="T108" s="31">
        <v>1527.74</v>
      </c>
      <c r="U108" s="31">
        <v>0</v>
      </c>
      <c r="V108" s="31">
        <v>12719.94</v>
      </c>
      <c r="W108" s="31">
        <v>10470.44</v>
      </c>
      <c r="X108" s="31">
        <v>3444.77</v>
      </c>
      <c r="Y108" s="31">
        <v>9878.48</v>
      </c>
    </row>
    <row r="109" spans="1:25" x14ac:dyDescent="0.2">
      <c r="A109" s="24" t="s">
        <v>33</v>
      </c>
      <c r="B109" s="24">
        <v>316</v>
      </c>
      <c r="C109" s="24">
        <v>1</v>
      </c>
      <c r="D109" s="24" t="s">
        <v>186</v>
      </c>
      <c r="E109" s="30">
        <v>31</v>
      </c>
      <c r="F109" s="30" t="s">
        <v>58</v>
      </c>
      <c r="G109" s="24">
        <v>102</v>
      </c>
      <c r="H109" s="24">
        <v>537</v>
      </c>
      <c r="I109" s="30" t="s">
        <v>50</v>
      </c>
      <c r="J109" s="31">
        <v>6984.17</v>
      </c>
      <c r="K109" s="31">
        <v>10735.19</v>
      </c>
      <c r="L109" s="31">
        <v>17719.36</v>
      </c>
      <c r="M109" s="31">
        <v>18468.830000000002</v>
      </c>
      <c r="N109" s="31">
        <v>34157.769999999997</v>
      </c>
      <c r="O109" s="31">
        <v>52626.6</v>
      </c>
      <c r="P109" s="31">
        <v>13156.65</v>
      </c>
      <c r="Q109" s="31">
        <v>27467</v>
      </c>
      <c r="R109" s="31">
        <v>0</v>
      </c>
      <c r="S109" s="31">
        <v>18037.400000000001</v>
      </c>
      <c r="T109" s="31">
        <v>3781</v>
      </c>
      <c r="U109" s="31">
        <v>0</v>
      </c>
      <c r="V109" s="31">
        <v>-3207.84</v>
      </c>
      <c r="W109" s="31">
        <v>12838.52</v>
      </c>
      <c r="X109" s="31">
        <v>0</v>
      </c>
      <c r="Y109" s="31">
        <v>17719.36</v>
      </c>
    </row>
    <row r="110" spans="1:25" x14ac:dyDescent="0.2">
      <c r="A110" s="24" t="s">
        <v>33</v>
      </c>
      <c r="B110" s="24">
        <v>317</v>
      </c>
      <c r="C110" s="24">
        <v>1</v>
      </c>
      <c r="D110" s="24" t="s">
        <v>187</v>
      </c>
      <c r="E110" s="30">
        <v>31</v>
      </c>
      <c r="F110" s="30" t="s">
        <v>58</v>
      </c>
      <c r="G110" s="24">
        <v>79</v>
      </c>
      <c r="H110" s="24">
        <v>529</v>
      </c>
      <c r="I110" s="30" t="s">
        <v>50</v>
      </c>
      <c r="J110" s="31">
        <v>5409.31</v>
      </c>
      <c r="K110" s="31">
        <v>10575.26</v>
      </c>
      <c r="L110" s="31">
        <v>15984.57</v>
      </c>
      <c r="M110" s="31">
        <v>16862.34</v>
      </c>
      <c r="N110" s="31">
        <v>114736.17</v>
      </c>
      <c r="O110" s="31">
        <v>131598.51</v>
      </c>
      <c r="P110" s="31">
        <v>32899.629999999997</v>
      </c>
      <c r="Q110" s="31">
        <v>26280.43</v>
      </c>
      <c r="R110" s="31">
        <v>0</v>
      </c>
      <c r="S110" s="31">
        <v>33472.33</v>
      </c>
      <c r="T110" s="31">
        <v>0</v>
      </c>
      <c r="U110" s="31">
        <v>0</v>
      </c>
      <c r="V110" s="31">
        <v>31684.23</v>
      </c>
      <c r="W110" s="31">
        <v>30479</v>
      </c>
      <c r="X110" s="31">
        <v>0</v>
      </c>
      <c r="Y110" s="31">
        <v>15984.57</v>
      </c>
    </row>
    <row r="111" spans="1:25" x14ac:dyDescent="0.2">
      <c r="A111" s="24" t="s">
        <v>33</v>
      </c>
      <c r="B111" s="24">
        <v>318</v>
      </c>
      <c r="C111" s="24">
        <v>1</v>
      </c>
      <c r="D111" s="24" t="s">
        <v>188</v>
      </c>
      <c r="E111" s="30">
        <v>31</v>
      </c>
      <c r="F111" s="30" t="s">
        <v>58</v>
      </c>
      <c r="G111" s="24">
        <v>300</v>
      </c>
      <c r="H111" s="24">
        <v>1421</v>
      </c>
      <c r="I111" s="30" t="s">
        <v>50</v>
      </c>
      <c r="J111" s="31">
        <v>20541.669999999998</v>
      </c>
      <c r="K111" s="31">
        <v>28407.279999999999</v>
      </c>
      <c r="L111" s="31">
        <v>48948.95</v>
      </c>
      <c r="M111" s="31">
        <v>50278.99</v>
      </c>
      <c r="N111" s="31">
        <v>4354.28</v>
      </c>
      <c r="O111" s="31">
        <v>54633.27</v>
      </c>
      <c r="P111" s="31">
        <v>13658.32</v>
      </c>
      <c r="Q111" s="31">
        <v>3799.4</v>
      </c>
      <c r="R111" s="31">
        <v>0</v>
      </c>
      <c r="S111" s="31">
        <v>3799.4</v>
      </c>
      <c r="T111" s="31">
        <v>0</v>
      </c>
      <c r="U111" s="31">
        <v>0</v>
      </c>
      <c r="V111" s="31">
        <v>0</v>
      </c>
      <c r="W111" s="31">
        <v>2532.9299999999998</v>
      </c>
      <c r="X111" s="31">
        <v>0</v>
      </c>
      <c r="Y111" s="31">
        <v>48948.95</v>
      </c>
    </row>
    <row r="112" spans="1:25" x14ac:dyDescent="0.2">
      <c r="A112" s="24" t="s">
        <v>33</v>
      </c>
      <c r="B112" s="24">
        <v>319</v>
      </c>
      <c r="C112" s="24">
        <v>1</v>
      </c>
      <c r="D112" s="24" t="s">
        <v>189</v>
      </c>
      <c r="E112" s="30">
        <v>31</v>
      </c>
      <c r="F112" s="30" t="s">
        <v>58</v>
      </c>
      <c r="G112" s="24">
        <v>48</v>
      </c>
      <c r="H112" s="24">
        <v>328</v>
      </c>
      <c r="I112" s="30" t="s">
        <v>50</v>
      </c>
      <c r="J112" s="31">
        <v>3286.67</v>
      </c>
      <c r="K112" s="31">
        <v>6557.06</v>
      </c>
      <c r="L112" s="31">
        <v>9843.73</v>
      </c>
      <c r="M112" s="31">
        <v>9287.35</v>
      </c>
      <c r="N112" s="31">
        <v>0</v>
      </c>
      <c r="O112" s="31">
        <v>9287.35</v>
      </c>
      <c r="P112" s="31">
        <v>2321.84</v>
      </c>
      <c r="Q112" s="31">
        <v>0</v>
      </c>
      <c r="R112" s="31">
        <v>0</v>
      </c>
      <c r="S112" s="31">
        <v>-832.77</v>
      </c>
      <c r="T112" s="31">
        <v>0</v>
      </c>
      <c r="U112" s="31">
        <v>0</v>
      </c>
      <c r="V112" s="31">
        <v>-832.77</v>
      </c>
      <c r="W112" s="31">
        <v>-555.17999999999995</v>
      </c>
      <c r="X112" s="31">
        <v>0</v>
      </c>
      <c r="Y112" s="31">
        <v>9843.73</v>
      </c>
    </row>
    <row r="113" spans="1:25" x14ac:dyDescent="0.2">
      <c r="A113" s="24" t="s">
        <v>33</v>
      </c>
      <c r="B113" s="24">
        <v>330</v>
      </c>
      <c r="C113" s="24">
        <v>1</v>
      </c>
      <c r="D113" s="24" t="s">
        <v>190</v>
      </c>
      <c r="E113" s="30">
        <v>32</v>
      </c>
      <c r="F113" s="30" t="s">
        <v>65</v>
      </c>
      <c r="G113" s="24">
        <v>20</v>
      </c>
      <c r="H113" s="24">
        <v>107</v>
      </c>
      <c r="I113" s="30" t="s">
        <v>50</v>
      </c>
      <c r="J113" s="31">
        <v>1369.44</v>
      </c>
      <c r="K113" s="31">
        <v>2139.04</v>
      </c>
      <c r="L113" s="31">
        <v>3508.48</v>
      </c>
      <c r="M113" s="31">
        <v>3316</v>
      </c>
      <c r="N113" s="31">
        <v>0</v>
      </c>
      <c r="O113" s="31">
        <v>3316</v>
      </c>
      <c r="P113" s="31">
        <v>829</v>
      </c>
      <c r="Q113" s="31">
        <v>9.35</v>
      </c>
      <c r="R113" s="31">
        <v>0</v>
      </c>
      <c r="S113" s="31">
        <v>1189.81</v>
      </c>
      <c r="T113" s="31">
        <v>0</v>
      </c>
      <c r="U113" s="31">
        <v>0</v>
      </c>
      <c r="V113" s="31">
        <v>680.81</v>
      </c>
      <c r="W113" s="31">
        <v>626.66</v>
      </c>
      <c r="X113" s="31">
        <v>0</v>
      </c>
      <c r="Y113" s="31">
        <v>3508.48</v>
      </c>
    </row>
    <row r="114" spans="1:25" x14ac:dyDescent="0.2">
      <c r="A114" s="24" t="s">
        <v>33</v>
      </c>
      <c r="B114" s="24">
        <v>332</v>
      </c>
      <c r="C114" s="24">
        <v>1</v>
      </c>
      <c r="D114" s="24" t="s">
        <v>191</v>
      </c>
      <c r="E114" s="30">
        <v>33</v>
      </c>
      <c r="F114" s="30" t="s">
        <v>67</v>
      </c>
      <c r="G114" s="24">
        <v>148</v>
      </c>
      <c r="H114" s="24">
        <v>742</v>
      </c>
      <c r="I114" s="30" t="s">
        <v>50</v>
      </c>
      <c r="J114" s="31">
        <v>10133.89</v>
      </c>
      <c r="K114" s="31">
        <v>14833.36</v>
      </c>
      <c r="L114" s="31">
        <v>24967.25</v>
      </c>
      <c r="M114" s="31">
        <v>25215.29</v>
      </c>
      <c r="N114" s="31">
        <v>9689.5</v>
      </c>
      <c r="O114" s="31">
        <v>34904.79</v>
      </c>
      <c r="P114" s="31">
        <v>8726.2000000000007</v>
      </c>
      <c r="Q114" s="31">
        <v>2586.79</v>
      </c>
      <c r="R114" s="31">
        <v>0</v>
      </c>
      <c r="S114" s="31">
        <v>7553.08</v>
      </c>
      <c r="T114" s="31">
        <v>0</v>
      </c>
      <c r="U114" s="31">
        <v>0</v>
      </c>
      <c r="V114" s="31">
        <v>5811.15</v>
      </c>
      <c r="W114" s="31">
        <v>5317.01</v>
      </c>
      <c r="X114" s="31">
        <v>0</v>
      </c>
      <c r="Y114" s="31">
        <v>24967.25</v>
      </c>
    </row>
    <row r="115" spans="1:25" x14ac:dyDescent="0.2">
      <c r="A115" s="24" t="s">
        <v>33</v>
      </c>
      <c r="B115" s="24">
        <v>333</v>
      </c>
      <c r="C115" s="24">
        <v>1</v>
      </c>
      <c r="D115" s="24" t="s">
        <v>192</v>
      </c>
      <c r="E115" s="30">
        <v>33</v>
      </c>
      <c r="F115" s="30" t="s">
        <v>67</v>
      </c>
      <c r="G115" s="24">
        <v>38</v>
      </c>
      <c r="H115" s="24">
        <v>331</v>
      </c>
      <c r="I115" s="30" t="s">
        <v>50</v>
      </c>
      <c r="J115" s="31">
        <v>2601.9499999999998</v>
      </c>
      <c r="K115" s="31">
        <v>6617.04</v>
      </c>
      <c r="L115" s="31">
        <v>9218.99</v>
      </c>
      <c r="M115" s="31">
        <v>8616.16</v>
      </c>
      <c r="N115" s="31">
        <v>20920.5</v>
      </c>
      <c r="O115" s="31">
        <v>29536.66</v>
      </c>
      <c r="P115" s="31">
        <v>7384.17</v>
      </c>
      <c r="Q115" s="31">
        <v>9128.7099999999991</v>
      </c>
      <c r="R115" s="31">
        <v>0</v>
      </c>
      <c r="S115" s="31">
        <v>2532.79</v>
      </c>
      <c r="T115" s="31">
        <v>382.61</v>
      </c>
      <c r="U115" s="31">
        <v>0</v>
      </c>
      <c r="V115" s="31">
        <v>-1669.26</v>
      </c>
      <c r="W115" s="31">
        <v>3203.21</v>
      </c>
      <c r="X115" s="31">
        <v>0</v>
      </c>
      <c r="Y115" s="31">
        <v>9218.99</v>
      </c>
    </row>
    <row r="116" spans="1:25" x14ac:dyDescent="0.2">
      <c r="A116" s="24" t="s">
        <v>33</v>
      </c>
      <c r="B116" s="24">
        <v>345</v>
      </c>
      <c r="C116" s="24">
        <v>1</v>
      </c>
      <c r="D116" s="24" t="s">
        <v>193</v>
      </c>
      <c r="E116" s="30">
        <v>34</v>
      </c>
      <c r="F116" s="30" t="s">
        <v>68</v>
      </c>
      <c r="G116" s="24">
        <v>123</v>
      </c>
      <c r="H116" s="24">
        <v>366</v>
      </c>
      <c r="I116" s="30" t="s">
        <v>50</v>
      </c>
      <c r="J116" s="31">
        <v>8422.09</v>
      </c>
      <c r="K116" s="31">
        <v>7316.72</v>
      </c>
      <c r="L116" s="31">
        <v>15738.81</v>
      </c>
      <c r="M116" s="31">
        <v>15650.99</v>
      </c>
      <c r="N116" s="31">
        <v>30450.959999999999</v>
      </c>
      <c r="O116" s="31">
        <v>46101.95</v>
      </c>
      <c r="P116" s="31">
        <v>11525.49</v>
      </c>
      <c r="Q116" s="31">
        <v>-7192.6</v>
      </c>
      <c r="R116" s="31">
        <v>0</v>
      </c>
      <c r="S116" s="31">
        <v>1153.23</v>
      </c>
      <c r="T116" s="31">
        <v>0</v>
      </c>
      <c r="U116" s="31">
        <v>0</v>
      </c>
      <c r="V116" s="31">
        <v>1693.28</v>
      </c>
      <c r="W116" s="31">
        <v>-1448.7</v>
      </c>
      <c r="X116" s="31">
        <v>0</v>
      </c>
      <c r="Y116" s="31">
        <v>15738.81</v>
      </c>
    </row>
    <row r="117" spans="1:25" x14ac:dyDescent="0.2">
      <c r="A117" s="24" t="s">
        <v>33</v>
      </c>
      <c r="B117" s="24">
        <v>347</v>
      </c>
      <c r="C117" s="24">
        <v>1</v>
      </c>
      <c r="D117" s="24" t="s">
        <v>194</v>
      </c>
      <c r="E117" s="30">
        <v>34</v>
      </c>
      <c r="F117" s="30" t="s">
        <v>68</v>
      </c>
      <c r="G117" s="24">
        <v>407</v>
      </c>
      <c r="H117" s="24">
        <v>1998</v>
      </c>
      <c r="I117" s="30" t="s">
        <v>50</v>
      </c>
      <c r="J117" s="31">
        <v>27868.2</v>
      </c>
      <c r="K117" s="31">
        <v>39942.120000000003</v>
      </c>
      <c r="L117" s="31">
        <v>67810.320000000007</v>
      </c>
      <c r="M117" s="31">
        <v>68505.42</v>
      </c>
      <c r="N117" s="31">
        <v>67858.240000000005</v>
      </c>
      <c r="O117" s="31">
        <v>136363.66</v>
      </c>
      <c r="P117" s="31">
        <v>34090.92</v>
      </c>
      <c r="Q117" s="31">
        <v>0</v>
      </c>
      <c r="R117" s="31">
        <v>0</v>
      </c>
      <c r="S117" s="31">
        <v>1660</v>
      </c>
      <c r="T117" s="31">
        <v>0</v>
      </c>
      <c r="U117" s="31">
        <v>0</v>
      </c>
      <c r="V117" s="31">
        <v>47370.67</v>
      </c>
      <c r="W117" s="31">
        <v>16343.56</v>
      </c>
      <c r="X117" s="31">
        <v>0</v>
      </c>
      <c r="Y117" s="31">
        <v>67810.320000000007</v>
      </c>
    </row>
    <row r="118" spans="1:25" x14ac:dyDescent="0.2">
      <c r="A118" s="24" t="s">
        <v>33</v>
      </c>
      <c r="B118" s="24">
        <v>356</v>
      </c>
      <c r="C118" s="24">
        <v>1</v>
      </c>
      <c r="D118" s="24" t="s">
        <v>195</v>
      </c>
      <c r="E118" s="30">
        <v>35</v>
      </c>
      <c r="F118" s="30" t="s">
        <v>59</v>
      </c>
      <c r="G118" s="24">
        <v>16</v>
      </c>
      <c r="H118" s="24">
        <v>97</v>
      </c>
      <c r="I118" s="30" t="s">
        <v>50</v>
      </c>
      <c r="J118" s="31">
        <v>1095.56</v>
      </c>
      <c r="K118" s="31">
        <v>1939.13</v>
      </c>
      <c r="L118" s="31">
        <v>3034.69</v>
      </c>
      <c r="M118" s="31">
        <v>2596.52</v>
      </c>
      <c r="N118" s="31">
        <v>0</v>
      </c>
      <c r="O118" s="31">
        <v>2596.52</v>
      </c>
      <c r="P118" s="31">
        <v>649.13</v>
      </c>
      <c r="Q118" s="31">
        <v>0</v>
      </c>
      <c r="R118" s="31">
        <v>0</v>
      </c>
      <c r="S118" s="31">
        <v>0.62</v>
      </c>
      <c r="T118" s="31">
        <v>0</v>
      </c>
      <c r="U118" s="31">
        <v>0</v>
      </c>
      <c r="V118" s="31">
        <v>-0.14000000000000001</v>
      </c>
      <c r="W118" s="31">
        <v>0.16</v>
      </c>
      <c r="X118" s="31">
        <v>0</v>
      </c>
      <c r="Y118" s="31">
        <v>3034.69</v>
      </c>
    </row>
    <row r="119" spans="1:25" x14ac:dyDescent="0.2">
      <c r="A119" s="24" t="s">
        <v>33</v>
      </c>
      <c r="B119" s="24">
        <v>361</v>
      </c>
      <c r="C119" s="24">
        <v>1</v>
      </c>
      <c r="D119" s="24" t="s">
        <v>196</v>
      </c>
      <c r="E119" s="30">
        <v>36</v>
      </c>
      <c r="F119" s="30" t="s">
        <v>58</v>
      </c>
      <c r="G119" s="24">
        <v>96</v>
      </c>
      <c r="H119" s="24">
        <v>406</v>
      </c>
      <c r="I119" s="30" t="s">
        <v>50</v>
      </c>
      <c r="J119" s="31">
        <v>6573.34</v>
      </c>
      <c r="K119" s="31">
        <v>8116.37</v>
      </c>
      <c r="L119" s="31">
        <v>14689.71</v>
      </c>
      <c r="M119" s="31">
        <v>16021.93</v>
      </c>
      <c r="N119" s="31">
        <v>51107.5</v>
      </c>
      <c r="O119" s="31">
        <v>67129.429999999993</v>
      </c>
      <c r="P119" s="31">
        <v>16782.36</v>
      </c>
      <c r="Q119" s="31">
        <v>3268.75</v>
      </c>
      <c r="R119" s="31">
        <v>0</v>
      </c>
      <c r="S119" s="31">
        <v>4170.42</v>
      </c>
      <c r="T119" s="31">
        <v>0</v>
      </c>
      <c r="U119" s="31">
        <v>0</v>
      </c>
      <c r="V119" s="31">
        <v>11168.34</v>
      </c>
      <c r="W119" s="31">
        <v>6202.5</v>
      </c>
      <c r="X119" s="31">
        <v>0</v>
      </c>
      <c r="Y119" s="31">
        <v>14689.71</v>
      </c>
    </row>
    <row r="120" spans="1:25" x14ac:dyDescent="0.2">
      <c r="A120" s="24" t="s">
        <v>33</v>
      </c>
      <c r="B120" s="24">
        <v>362</v>
      </c>
      <c r="C120" s="24">
        <v>1</v>
      </c>
      <c r="D120" s="24" t="s">
        <v>197</v>
      </c>
      <c r="E120" s="30">
        <v>36</v>
      </c>
      <c r="F120" s="30" t="s">
        <v>58</v>
      </c>
      <c r="G120" s="24">
        <v>18</v>
      </c>
      <c r="H120" s="24">
        <v>153</v>
      </c>
      <c r="I120" s="30" t="s">
        <v>50</v>
      </c>
      <c r="J120" s="31">
        <v>1232.5</v>
      </c>
      <c r="K120" s="31">
        <v>3058.63</v>
      </c>
      <c r="L120" s="31">
        <v>4291.13</v>
      </c>
      <c r="M120" s="31">
        <v>4409.6099999999997</v>
      </c>
      <c r="N120" s="31">
        <v>56782.16</v>
      </c>
      <c r="O120" s="31">
        <v>61191.77</v>
      </c>
      <c r="P120" s="31">
        <v>15297.94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4291.13</v>
      </c>
    </row>
    <row r="121" spans="1:25" x14ac:dyDescent="0.2">
      <c r="A121" s="24" t="s">
        <v>33</v>
      </c>
      <c r="B121" s="24">
        <v>363</v>
      </c>
      <c r="C121" s="24">
        <v>1</v>
      </c>
      <c r="D121" s="24" t="s">
        <v>198</v>
      </c>
      <c r="E121" s="30">
        <v>36</v>
      </c>
      <c r="F121" s="30" t="s">
        <v>58</v>
      </c>
      <c r="G121" s="24">
        <v>15</v>
      </c>
      <c r="H121" s="24">
        <v>202</v>
      </c>
      <c r="I121" s="30" t="s">
        <v>50</v>
      </c>
      <c r="J121" s="31">
        <v>1027.08</v>
      </c>
      <c r="K121" s="31">
        <v>4038.19</v>
      </c>
      <c r="L121" s="31">
        <v>5065.2700000000004</v>
      </c>
      <c r="M121" s="31">
        <v>4897.58</v>
      </c>
      <c r="N121" s="31">
        <v>61905.15</v>
      </c>
      <c r="O121" s="31">
        <v>66802.73</v>
      </c>
      <c r="P121" s="31">
        <v>16700.68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5065.2700000000004</v>
      </c>
    </row>
    <row r="122" spans="1:25" x14ac:dyDescent="0.2">
      <c r="A122" s="24" t="s">
        <v>33</v>
      </c>
      <c r="B122" s="24">
        <v>378</v>
      </c>
      <c r="C122" s="24">
        <v>1</v>
      </c>
      <c r="D122" s="24" t="s">
        <v>199</v>
      </c>
      <c r="E122" s="30">
        <v>37</v>
      </c>
      <c r="F122" s="30" t="s">
        <v>64</v>
      </c>
      <c r="G122" s="24">
        <v>29</v>
      </c>
      <c r="H122" s="24">
        <v>198</v>
      </c>
      <c r="I122" s="30" t="s">
        <v>50</v>
      </c>
      <c r="J122" s="31">
        <v>1985.7</v>
      </c>
      <c r="K122" s="31">
        <v>3958.23</v>
      </c>
      <c r="L122" s="31">
        <v>5943.93</v>
      </c>
      <c r="M122" s="31">
        <v>6108.85</v>
      </c>
      <c r="N122" s="31">
        <v>22194.85</v>
      </c>
      <c r="O122" s="31">
        <v>28303.7</v>
      </c>
      <c r="P122" s="31">
        <v>7075.93</v>
      </c>
      <c r="Q122" s="31">
        <v>7736.66</v>
      </c>
      <c r="R122" s="31">
        <v>0</v>
      </c>
      <c r="S122" s="31">
        <v>21023.46</v>
      </c>
      <c r="T122" s="31">
        <v>2753.74</v>
      </c>
      <c r="U122" s="31">
        <v>0</v>
      </c>
      <c r="V122" s="31">
        <v>17886.849999999999</v>
      </c>
      <c r="W122" s="31">
        <v>14631.08</v>
      </c>
      <c r="X122" s="31">
        <v>5943.93</v>
      </c>
      <c r="Y122" s="31">
        <v>0</v>
      </c>
    </row>
    <row r="123" spans="1:25" x14ac:dyDescent="0.2">
      <c r="A123" s="24" t="s">
        <v>33</v>
      </c>
      <c r="B123" s="24">
        <v>381</v>
      </c>
      <c r="C123" s="24">
        <v>1</v>
      </c>
      <c r="D123" s="24" t="s">
        <v>200</v>
      </c>
      <c r="E123" s="30">
        <v>38</v>
      </c>
      <c r="F123" s="30" t="s">
        <v>58</v>
      </c>
      <c r="G123" s="24">
        <v>112</v>
      </c>
      <c r="H123" s="24">
        <v>434</v>
      </c>
      <c r="I123" s="30" t="s">
        <v>50</v>
      </c>
      <c r="J123" s="31">
        <v>7668.89</v>
      </c>
      <c r="K123" s="31">
        <v>8676.1200000000008</v>
      </c>
      <c r="L123" s="31">
        <v>16345.01</v>
      </c>
      <c r="M123" s="31">
        <v>17803.03</v>
      </c>
      <c r="N123" s="31">
        <v>7699</v>
      </c>
      <c r="O123" s="31">
        <v>25502.03</v>
      </c>
      <c r="P123" s="31">
        <v>6375.51</v>
      </c>
      <c r="Q123" s="31">
        <v>-1304.68</v>
      </c>
      <c r="R123" s="31">
        <v>0</v>
      </c>
      <c r="S123" s="31">
        <v>2048.36</v>
      </c>
      <c r="T123" s="31">
        <v>0</v>
      </c>
      <c r="U123" s="31">
        <v>0</v>
      </c>
      <c r="V123" s="31">
        <v>2116.0100000000002</v>
      </c>
      <c r="W123" s="31">
        <v>953.23</v>
      </c>
      <c r="X123" s="31">
        <v>0</v>
      </c>
      <c r="Y123" s="31">
        <v>16345.01</v>
      </c>
    </row>
    <row r="124" spans="1:25" x14ac:dyDescent="0.2">
      <c r="A124" s="24" t="s">
        <v>33</v>
      </c>
      <c r="B124" s="24">
        <v>390</v>
      </c>
      <c r="C124" s="24">
        <v>1</v>
      </c>
      <c r="D124" s="24" t="s">
        <v>201</v>
      </c>
      <c r="E124" s="30">
        <v>39</v>
      </c>
      <c r="F124" s="30" t="s">
        <v>62</v>
      </c>
      <c r="G124" s="24">
        <v>53</v>
      </c>
      <c r="H124" s="24">
        <v>232</v>
      </c>
      <c r="I124" s="30" t="s">
        <v>50</v>
      </c>
      <c r="J124" s="31">
        <v>3629.03</v>
      </c>
      <c r="K124" s="31">
        <v>4637.92</v>
      </c>
      <c r="L124" s="31">
        <v>8266.9500000000007</v>
      </c>
      <c r="M124" s="31">
        <v>7707.35</v>
      </c>
      <c r="N124" s="31">
        <v>6345</v>
      </c>
      <c r="O124" s="31">
        <v>14052.35</v>
      </c>
      <c r="P124" s="31">
        <v>3513.09</v>
      </c>
      <c r="Q124" s="31">
        <v>71.510000000000005</v>
      </c>
      <c r="R124" s="31">
        <v>0</v>
      </c>
      <c r="S124" s="31">
        <v>-585.1</v>
      </c>
      <c r="T124" s="31">
        <v>0</v>
      </c>
      <c r="U124" s="31">
        <v>0</v>
      </c>
      <c r="V124" s="31">
        <v>0</v>
      </c>
      <c r="W124" s="31">
        <v>-171.2</v>
      </c>
      <c r="X124" s="31">
        <v>0</v>
      </c>
      <c r="Y124" s="31">
        <v>8266.9500000000007</v>
      </c>
    </row>
    <row r="125" spans="1:25" x14ac:dyDescent="0.2">
      <c r="A125" s="24" t="s">
        <v>33</v>
      </c>
      <c r="B125" s="24">
        <v>391</v>
      </c>
      <c r="C125" s="24">
        <v>1</v>
      </c>
      <c r="D125" s="24" t="s">
        <v>202</v>
      </c>
      <c r="E125" s="30">
        <v>40</v>
      </c>
      <c r="F125" s="30" t="s">
        <v>57</v>
      </c>
      <c r="G125" s="24">
        <v>20</v>
      </c>
      <c r="H125" s="24">
        <v>107</v>
      </c>
      <c r="I125" s="30" t="s">
        <v>50</v>
      </c>
      <c r="J125" s="31">
        <v>1369.44</v>
      </c>
      <c r="K125" s="31">
        <v>2139.04</v>
      </c>
      <c r="L125" s="31">
        <v>3508.48</v>
      </c>
      <c r="M125" s="31">
        <v>4843.1899999999996</v>
      </c>
      <c r="N125" s="31">
        <v>37217.5</v>
      </c>
      <c r="O125" s="31">
        <v>42060.69</v>
      </c>
      <c r="P125" s="31">
        <v>10515.17</v>
      </c>
      <c r="Q125" s="31">
        <v>-16488.25</v>
      </c>
      <c r="R125" s="31">
        <v>0</v>
      </c>
      <c r="S125" s="31">
        <v>-26236.55</v>
      </c>
      <c r="T125" s="31">
        <v>0</v>
      </c>
      <c r="U125" s="31">
        <v>0</v>
      </c>
      <c r="V125" s="31">
        <v>-33777.379999999997</v>
      </c>
      <c r="W125" s="31">
        <v>-25500.73</v>
      </c>
      <c r="X125" s="31">
        <v>0</v>
      </c>
      <c r="Y125" s="31">
        <v>3508.48</v>
      </c>
    </row>
    <row r="126" spans="1:25" x14ac:dyDescent="0.2">
      <c r="A126" s="24" t="s">
        <v>33</v>
      </c>
      <c r="B126" s="24">
        <v>392</v>
      </c>
      <c r="C126" s="24">
        <v>1</v>
      </c>
      <c r="D126" s="24" t="s">
        <v>203</v>
      </c>
      <c r="E126" s="30">
        <v>40</v>
      </c>
      <c r="F126" s="30" t="s">
        <v>57</v>
      </c>
      <c r="G126" s="24">
        <v>67</v>
      </c>
      <c r="H126" s="24">
        <v>227</v>
      </c>
      <c r="I126" s="30" t="s">
        <v>50</v>
      </c>
      <c r="J126" s="31">
        <v>4587.6400000000003</v>
      </c>
      <c r="K126" s="31">
        <v>4537.97</v>
      </c>
      <c r="L126" s="31">
        <v>9125.61</v>
      </c>
      <c r="M126" s="31">
        <v>8603.67</v>
      </c>
      <c r="N126" s="31">
        <v>35853.449999999997</v>
      </c>
      <c r="O126" s="31">
        <v>44457.120000000003</v>
      </c>
      <c r="P126" s="31">
        <v>11114.28</v>
      </c>
      <c r="Q126" s="31">
        <v>5497.45</v>
      </c>
      <c r="R126" s="31">
        <v>1696.35</v>
      </c>
      <c r="S126" s="31">
        <v>2309.0300000000002</v>
      </c>
      <c r="T126" s="31">
        <v>0</v>
      </c>
      <c r="U126" s="31">
        <v>0</v>
      </c>
      <c r="V126" s="31">
        <v>6600.29</v>
      </c>
      <c r="W126" s="31">
        <v>4236.8100000000004</v>
      </c>
      <c r="X126" s="31">
        <v>0</v>
      </c>
      <c r="Y126" s="31">
        <v>9125.61</v>
      </c>
    </row>
    <row r="127" spans="1:25" x14ac:dyDescent="0.2">
      <c r="A127" s="24" t="s">
        <v>33</v>
      </c>
      <c r="B127" s="24">
        <v>394</v>
      </c>
      <c r="C127" s="24">
        <v>1</v>
      </c>
      <c r="D127" s="24" t="s">
        <v>204</v>
      </c>
      <c r="E127" s="30">
        <v>40</v>
      </c>
      <c r="F127" s="30" t="s">
        <v>57</v>
      </c>
      <c r="G127" s="24">
        <v>133</v>
      </c>
      <c r="H127" s="24">
        <v>241</v>
      </c>
      <c r="I127" s="30" t="s">
        <v>50</v>
      </c>
      <c r="J127" s="31">
        <v>9106.81</v>
      </c>
      <c r="K127" s="31">
        <v>4817.84</v>
      </c>
      <c r="L127" s="31">
        <v>13924.65</v>
      </c>
      <c r="M127" s="31">
        <v>13610.22</v>
      </c>
      <c r="N127" s="31">
        <v>36453.19</v>
      </c>
      <c r="O127" s="31">
        <v>50063.41</v>
      </c>
      <c r="P127" s="31">
        <v>12515.85</v>
      </c>
      <c r="Q127" s="31">
        <v>6595.88</v>
      </c>
      <c r="R127" s="31">
        <v>0</v>
      </c>
      <c r="S127" s="31">
        <v>12603.48</v>
      </c>
      <c r="T127" s="31">
        <v>0</v>
      </c>
      <c r="U127" s="31">
        <v>0</v>
      </c>
      <c r="V127" s="31">
        <v>10989.28</v>
      </c>
      <c r="W127" s="31">
        <v>10062.879999999999</v>
      </c>
      <c r="X127" s="31">
        <v>0</v>
      </c>
      <c r="Y127" s="31">
        <v>13924.65</v>
      </c>
    </row>
    <row r="128" spans="1:25" x14ac:dyDescent="0.2">
      <c r="A128" s="24" t="s">
        <v>33</v>
      </c>
      <c r="B128" s="24">
        <v>402</v>
      </c>
      <c r="C128" s="24">
        <v>1</v>
      </c>
      <c r="D128" s="24" t="s">
        <v>205</v>
      </c>
      <c r="E128" s="30">
        <v>41</v>
      </c>
      <c r="F128" s="30" t="s">
        <v>65</v>
      </c>
      <c r="G128" s="24">
        <v>13</v>
      </c>
      <c r="H128" s="24">
        <v>77</v>
      </c>
      <c r="I128" s="30" t="s">
        <v>50</v>
      </c>
      <c r="J128" s="31">
        <v>890.14</v>
      </c>
      <c r="K128" s="31">
        <v>1539.31</v>
      </c>
      <c r="L128" s="31">
        <v>2429.4499999999998</v>
      </c>
      <c r="M128" s="31">
        <v>2278.0300000000002</v>
      </c>
      <c r="N128" s="31">
        <v>9246.58</v>
      </c>
      <c r="O128" s="31">
        <v>11524.61</v>
      </c>
      <c r="P128" s="31">
        <v>2881.15</v>
      </c>
      <c r="Q128" s="31">
        <v>-21161</v>
      </c>
      <c r="R128" s="31">
        <v>0</v>
      </c>
      <c r="S128" s="31">
        <v>-17342.240000000002</v>
      </c>
      <c r="T128" s="31">
        <v>0</v>
      </c>
      <c r="U128" s="31">
        <v>0</v>
      </c>
      <c r="V128" s="31">
        <v>-15148.55</v>
      </c>
      <c r="W128" s="31">
        <v>-17883.93</v>
      </c>
      <c r="X128" s="31">
        <v>0</v>
      </c>
      <c r="Y128" s="31">
        <v>2429.4499999999998</v>
      </c>
    </row>
    <row r="129" spans="1:25" x14ac:dyDescent="0.2">
      <c r="A129" s="24" t="s">
        <v>33</v>
      </c>
      <c r="B129" s="24">
        <v>403</v>
      </c>
      <c r="C129" s="24">
        <v>1</v>
      </c>
      <c r="D129" s="24" t="s">
        <v>206</v>
      </c>
      <c r="E129" s="30">
        <v>41</v>
      </c>
      <c r="F129" s="30" t="s">
        <v>65</v>
      </c>
      <c r="G129" s="24">
        <v>15</v>
      </c>
      <c r="H129" s="24">
        <v>55</v>
      </c>
      <c r="I129" s="30" t="s">
        <v>50</v>
      </c>
      <c r="J129" s="31">
        <v>1027.08</v>
      </c>
      <c r="K129" s="31">
        <v>1099.51</v>
      </c>
      <c r="L129" s="31">
        <v>2126.59</v>
      </c>
      <c r="M129" s="31">
        <v>2162.59</v>
      </c>
      <c r="N129" s="31">
        <v>0</v>
      </c>
      <c r="O129" s="31">
        <v>2162.59</v>
      </c>
      <c r="P129" s="31">
        <v>540.65</v>
      </c>
      <c r="Q129" s="31">
        <v>-5119.53</v>
      </c>
      <c r="R129" s="31">
        <v>0</v>
      </c>
      <c r="S129" s="31">
        <v>-8886.7800000000007</v>
      </c>
      <c r="T129" s="31">
        <v>0</v>
      </c>
      <c r="U129" s="31">
        <v>0</v>
      </c>
      <c r="V129" s="31">
        <v>-6808.53</v>
      </c>
      <c r="W129" s="31">
        <v>-6938.28</v>
      </c>
      <c r="X129" s="31">
        <v>0</v>
      </c>
      <c r="Y129" s="31">
        <v>2126.59</v>
      </c>
    </row>
    <row r="130" spans="1:25" x14ac:dyDescent="0.2">
      <c r="A130" s="24" t="s">
        <v>33</v>
      </c>
      <c r="B130" s="24">
        <v>404</v>
      </c>
      <c r="C130" s="24">
        <v>1</v>
      </c>
      <c r="D130" s="24" t="s">
        <v>207</v>
      </c>
      <c r="E130" s="30">
        <v>41</v>
      </c>
      <c r="F130" s="30" t="s">
        <v>65</v>
      </c>
      <c r="G130" s="24">
        <v>19</v>
      </c>
      <c r="H130" s="24">
        <v>48</v>
      </c>
      <c r="I130" s="30" t="s">
        <v>50</v>
      </c>
      <c r="J130" s="31">
        <v>1300.97</v>
      </c>
      <c r="K130" s="31">
        <v>959.57</v>
      </c>
      <c r="L130" s="31">
        <v>2260.54</v>
      </c>
      <c r="M130" s="31">
        <v>2567.73</v>
      </c>
      <c r="N130" s="31">
        <v>3951.25</v>
      </c>
      <c r="O130" s="31">
        <v>6518.98</v>
      </c>
      <c r="P130" s="31">
        <v>1629.75</v>
      </c>
      <c r="Q130" s="31">
        <v>-55307.71</v>
      </c>
      <c r="R130" s="31">
        <v>0</v>
      </c>
      <c r="S130" s="31">
        <v>-81063.210000000006</v>
      </c>
      <c r="T130" s="31">
        <v>0</v>
      </c>
      <c r="U130" s="31">
        <v>0</v>
      </c>
      <c r="V130" s="31">
        <v>-91651.11</v>
      </c>
      <c r="W130" s="31">
        <v>-76007.34</v>
      </c>
      <c r="X130" s="31">
        <v>0</v>
      </c>
      <c r="Y130" s="31">
        <v>2260.54</v>
      </c>
    </row>
    <row r="131" spans="1:25" x14ac:dyDescent="0.2">
      <c r="A131" s="24" t="s">
        <v>33</v>
      </c>
      <c r="B131" s="24">
        <v>413</v>
      </c>
      <c r="C131" s="24">
        <v>1</v>
      </c>
      <c r="D131" s="24" t="s">
        <v>208</v>
      </c>
      <c r="E131" s="30">
        <v>42</v>
      </c>
      <c r="F131" s="30" t="s">
        <v>65</v>
      </c>
      <c r="G131" s="24">
        <v>219</v>
      </c>
      <c r="H131" s="24">
        <v>674</v>
      </c>
      <c r="I131" s="30" t="s">
        <v>50</v>
      </c>
      <c r="J131" s="31">
        <v>14995.42</v>
      </c>
      <c r="K131" s="31">
        <v>13473.97</v>
      </c>
      <c r="L131" s="31">
        <v>28469.39</v>
      </c>
      <c r="M131" s="31">
        <v>29586.44</v>
      </c>
      <c r="N131" s="31">
        <v>23212.15</v>
      </c>
      <c r="O131" s="31">
        <v>52798.59</v>
      </c>
      <c r="P131" s="31">
        <v>13199.65</v>
      </c>
      <c r="Q131" s="31">
        <v>19705.29</v>
      </c>
      <c r="R131" s="31">
        <v>3062.86</v>
      </c>
      <c r="S131" s="31">
        <v>24731.759999999998</v>
      </c>
      <c r="T131" s="31">
        <v>7021.28</v>
      </c>
      <c r="U131" s="31">
        <v>0</v>
      </c>
      <c r="V131" s="31">
        <v>5472.02</v>
      </c>
      <c r="W131" s="31">
        <v>13274.98</v>
      </c>
      <c r="X131" s="31">
        <v>75.33</v>
      </c>
      <c r="Y131" s="31">
        <v>28394.06</v>
      </c>
    </row>
    <row r="132" spans="1:25" x14ac:dyDescent="0.2">
      <c r="A132" s="24" t="s">
        <v>33</v>
      </c>
      <c r="B132" s="24">
        <v>414</v>
      </c>
      <c r="C132" s="24">
        <v>1</v>
      </c>
      <c r="D132" s="24" t="s">
        <v>209</v>
      </c>
      <c r="E132" s="30">
        <v>42</v>
      </c>
      <c r="F132" s="30" t="s">
        <v>65</v>
      </c>
      <c r="G132" s="24">
        <v>42</v>
      </c>
      <c r="H132" s="24">
        <v>143</v>
      </c>
      <c r="I132" s="30" t="s">
        <v>50</v>
      </c>
      <c r="J132" s="31">
        <v>2875.83</v>
      </c>
      <c r="K132" s="31">
        <v>2858.72</v>
      </c>
      <c r="L132" s="31">
        <v>5734.55</v>
      </c>
      <c r="M132" s="31">
        <v>5632.38</v>
      </c>
      <c r="N132" s="31">
        <v>9165</v>
      </c>
      <c r="O132" s="31">
        <v>14797.38</v>
      </c>
      <c r="P132" s="31">
        <v>3699.35</v>
      </c>
      <c r="Q132" s="31">
        <v>16436.43</v>
      </c>
      <c r="R132" s="31">
        <v>6183.96</v>
      </c>
      <c r="S132" s="31">
        <v>1312.56</v>
      </c>
      <c r="T132" s="31">
        <v>3395.13</v>
      </c>
      <c r="U132" s="31">
        <v>0</v>
      </c>
      <c r="V132" s="31">
        <v>0</v>
      </c>
      <c r="W132" s="31">
        <v>2723.3</v>
      </c>
      <c r="X132" s="31">
        <v>0</v>
      </c>
      <c r="Y132" s="31">
        <v>5734.55</v>
      </c>
    </row>
    <row r="133" spans="1:25" x14ac:dyDescent="0.2">
      <c r="A133" s="24" t="s">
        <v>33</v>
      </c>
      <c r="B133" s="24">
        <v>415</v>
      </c>
      <c r="C133" s="24">
        <v>1</v>
      </c>
      <c r="D133" s="24" t="s">
        <v>210</v>
      </c>
      <c r="E133" s="30">
        <v>42</v>
      </c>
      <c r="F133" s="30" t="s">
        <v>65</v>
      </c>
      <c r="G133" s="24">
        <v>15</v>
      </c>
      <c r="H133" s="24">
        <v>90</v>
      </c>
      <c r="I133" s="30" t="s">
        <v>50</v>
      </c>
      <c r="J133" s="31">
        <v>1027.08</v>
      </c>
      <c r="K133" s="31">
        <v>1799.19</v>
      </c>
      <c r="L133" s="31">
        <v>2826.27</v>
      </c>
      <c r="M133" s="31">
        <v>2668.46</v>
      </c>
      <c r="N133" s="31">
        <v>9320</v>
      </c>
      <c r="O133" s="31">
        <v>11988.46</v>
      </c>
      <c r="P133" s="31">
        <v>2997.12</v>
      </c>
      <c r="Q133" s="31">
        <v>0.28999999999999998</v>
      </c>
      <c r="R133" s="31">
        <v>0</v>
      </c>
      <c r="S133" s="31">
        <v>7.94</v>
      </c>
      <c r="T133" s="31">
        <v>0</v>
      </c>
      <c r="U133" s="31">
        <v>0</v>
      </c>
      <c r="V133" s="31">
        <v>-0.21</v>
      </c>
      <c r="W133" s="31">
        <v>2.67</v>
      </c>
      <c r="X133" s="31">
        <v>0</v>
      </c>
      <c r="Y133" s="31">
        <v>2826.27</v>
      </c>
    </row>
    <row r="134" spans="1:25" x14ac:dyDescent="0.2">
      <c r="A134" s="24" t="s">
        <v>33</v>
      </c>
      <c r="B134" s="24">
        <v>423</v>
      </c>
      <c r="C134" s="24">
        <v>1</v>
      </c>
      <c r="D134" s="24" t="s">
        <v>211</v>
      </c>
      <c r="E134" s="30">
        <v>43</v>
      </c>
      <c r="F134" s="30" t="s">
        <v>68</v>
      </c>
      <c r="G134" s="24">
        <v>336</v>
      </c>
      <c r="H134" s="24">
        <v>869</v>
      </c>
      <c r="I134" s="30" t="s">
        <v>50</v>
      </c>
      <c r="J134" s="31">
        <v>23006.67</v>
      </c>
      <c r="K134" s="31">
        <v>17372.22</v>
      </c>
      <c r="L134" s="31">
        <v>40378.89</v>
      </c>
      <c r="M134" s="31">
        <v>36129.49</v>
      </c>
      <c r="N134" s="31">
        <v>5895.5</v>
      </c>
      <c r="O134" s="31">
        <v>42024.99</v>
      </c>
      <c r="P134" s="31">
        <v>10506.25</v>
      </c>
      <c r="Q134" s="31">
        <v>8817.82</v>
      </c>
      <c r="R134" s="31">
        <v>0</v>
      </c>
      <c r="S134" s="31">
        <v>13396.36</v>
      </c>
      <c r="T134" s="31">
        <v>0</v>
      </c>
      <c r="U134" s="31">
        <v>0</v>
      </c>
      <c r="V134" s="31">
        <v>9304.11</v>
      </c>
      <c r="W134" s="31">
        <v>10506.1</v>
      </c>
      <c r="X134" s="31">
        <v>0</v>
      </c>
      <c r="Y134" s="31">
        <v>40378.89</v>
      </c>
    </row>
    <row r="135" spans="1:25" x14ac:dyDescent="0.2">
      <c r="A135" s="24" t="s">
        <v>33</v>
      </c>
      <c r="B135" s="24">
        <v>424</v>
      </c>
      <c r="C135" s="24">
        <v>1</v>
      </c>
      <c r="D135" s="24" t="s">
        <v>212</v>
      </c>
      <c r="E135" s="30">
        <v>43</v>
      </c>
      <c r="F135" s="30" t="s">
        <v>68</v>
      </c>
      <c r="G135" s="24">
        <v>39</v>
      </c>
      <c r="H135" s="24">
        <v>120</v>
      </c>
      <c r="I135" s="30" t="s">
        <v>50</v>
      </c>
      <c r="J135" s="31">
        <v>2670.42</v>
      </c>
      <c r="K135" s="31">
        <v>2398.9299999999998</v>
      </c>
      <c r="L135" s="31">
        <v>5069.3500000000004</v>
      </c>
      <c r="M135" s="31">
        <v>5205.8100000000004</v>
      </c>
      <c r="N135" s="31">
        <v>25823.61</v>
      </c>
      <c r="O135" s="31">
        <v>31029.42</v>
      </c>
      <c r="P135" s="31">
        <v>7757.36</v>
      </c>
      <c r="Q135" s="31">
        <v>-49127.18</v>
      </c>
      <c r="R135" s="31">
        <v>0</v>
      </c>
      <c r="S135" s="31">
        <v>-42519.75</v>
      </c>
      <c r="T135" s="31">
        <v>0</v>
      </c>
      <c r="U135" s="31">
        <v>0</v>
      </c>
      <c r="V135" s="31">
        <v>-44198</v>
      </c>
      <c r="W135" s="31">
        <v>-45281.64</v>
      </c>
      <c r="X135" s="31">
        <v>0</v>
      </c>
      <c r="Y135" s="31">
        <v>5069.3500000000004</v>
      </c>
    </row>
    <row r="136" spans="1:25" x14ac:dyDescent="0.2">
      <c r="A136" s="24" t="s">
        <v>33</v>
      </c>
      <c r="B136" s="24">
        <v>432</v>
      </c>
      <c r="C136" s="24">
        <v>1</v>
      </c>
      <c r="D136" s="24" t="s">
        <v>213</v>
      </c>
      <c r="E136" s="30">
        <v>44</v>
      </c>
      <c r="F136" s="30" t="s">
        <v>62</v>
      </c>
      <c r="G136" s="24">
        <v>62</v>
      </c>
      <c r="H136" s="24">
        <v>430</v>
      </c>
      <c r="I136" s="30" t="s">
        <v>50</v>
      </c>
      <c r="J136" s="31">
        <v>4245.28</v>
      </c>
      <c r="K136" s="31">
        <v>8596.15</v>
      </c>
      <c r="L136" s="31">
        <v>12841.43</v>
      </c>
      <c r="M136" s="31">
        <v>13689.6</v>
      </c>
      <c r="N136" s="31">
        <v>0</v>
      </c>
      <c r="O136" s="31">
        <v>13689.6</v>
      </c>
      <c r="P136" s="31">
        <v>3422.4</v>
      </c>
      <c r="Q136" s="31">
        <v>2371.59</v>
      </c>
      <c r="R136" s="31">
        <v>0</v>
      </c>
      <c r="S136" s="31">
        <v>2376.02</v>
      </c>
      <c r="T136" s="31">
        <v>0</v>
      </c>
      <c r="U136" s="31">
        <v>0</v>
      </c>
      <c r="V136" s="31">
        <v>2605.8000000000002</v>
      </c>
      <c r="W136" s="31">
        <v>2451.14</v>
      </c>
      <c r="X136" s="31">
        <v>0</v>
      </c>
      <c r="Y136" s="31">
        <v>12841.43</v>
      </c>
    </row>
    <row r="137" spans="1:25" x14ac:dyDescent="0.2">
      <c r="A137" s="24" t="s">
        <v>33</v>
      </c>
      <c r="B137" s="24">
        <v>435</v>
      </c>
      <c r="C137" s="24">
        <v>1</v>
      </c>
      <c r="D137" s="24" t="s">
        <v>214</v>
      </c>
      <c r="E137" s="30">
        <v>44</v>
      </c>
      <c r="F137" s="30" t="s">
        <v>62</v>
      </c>
      <c r="G137" s="24">
        <v>39</v>
      </c>
      <c r="H137" s="24">
        <v>366</v>
      </c>
      <c r="I137" s="30" t="s">
        <v>50</v>
      </c>
      <c r="J137" s="31">
        <v>2670.42</v>
      </c>
      <c r="K137" s="31">
        <v>7316.72</v>
      </c>
      <c r="L137" s="31">
        <v>9987.14</v>
      </c>
      <c r="M137" s="31">
        <v>9899.09</v>
      </c>
      <c r="N137" s="31">
        <v>0</v>
      </c>
      <c r="O137" s="31">
        <v>9899.09</v>
      </c>
      <c r="P137" s="31">
        <v>2474.77</v>
      </c>
      <c r="Q137" s="31">
        <v>0</v>
      </c>
      <c r="R137" s="31">
        <v>0</v>
      </c>
      <c r="S137" s="31">
        <v>24.02</v>
      </c>
      <c r="T137" s="31">
        <v>0</v>
      </c>
      <c r="U137" s="31">
        <v>0</v>
      </c>
      <c r="V137" s="31">
        <v>75.53</v>
      </c>
      <c r="W137" s="31">
        <v>33.18</v>
      </c>
      <c r="X137" s="31">
        <v>0</v>
      </c>
      <c r="Y137" s="31">
        <v>9987.14</v>
      </c>
    </row>
    <row r="138" spans="1:25" x14ac:dyDescent="0.2">
      <c r="A138" s="24" t="s">
        <v>33</v>
      </c>
      <c r="B138" s="24">
        <v>441</v>
      </c>
      <c r="C138" s="24">
        <v>1</v>
      </c>
      <c r="D138" s="24" t="s">
        <v>84</v>
      </c>
      <c r="E138" s="30">
        <v>45</v>
      </c>
      <c r="F138" s="30" t="s">
        <v>59</v>
      </c>
      <c r="G138" s="24">
        <v>33</v>
      </c>
      <c r="H138" s="24">
        <v>177</v>
      </c>
      <c r="I138" s="30" t="s">
        <v>50</v>
      </c>
      <c r="J138" s="31">
        <v>2259.58</v>
      </c>
      <c r="K138" s="31">
        <v>3538.42</v>
      </c>
      <c r="L138" s="31">
        <v>5798</v>
      </c>
      <c r="M138" s="31">
        <v>5601.38</v>
      </c>
      <c r="N138" s="31">
        <v>4443</v>
      </c>
      <c r="O138" s="31">
        <v>10044.379999999999</v>
      </c>
      <c r="P138" s="31">
        <v>2511.1</v>
      </c>
      <c r="Q138" s="31">
        <v>0</v>
      </c>
      <c r="R138" s="31">
        <v>0</v>
      </c>
      <c r="S138" s="31">
        <v>0.02</v>
      </c>
      <c r="T138" s="31">
        <v>0</v>
      </c>
      <c r="U138" s="31">
        <v>0</v>
      </c>
      <c r="V138" s="31">
        <v>0.11</v>
      </c>
      <c r="W138" s="31">
        <v>0.04</v>
      </c>
      <c r="X138" s="31">
        <v>0</v>
      </c>
      <c r="Y138" s="31">
        <v>5798</v>
      </c>
    </row>
    <row r="139" spans="1:25" x14ac:dyDescent="0.2">
      <c r="A139" s="24" t="s">
        <v>33</v>
      </c>
      <c r="B139" s="24">
        <v>447</v>
      </c>
      <c r="C139" s="24">
        <v>1</v>
      </c>
      <c r="D139" s="24" t="s">
        <v>215</v>
      </c>
      <c r="E139" s="30">
        <v>45</v>
      </c>
      <c r="F139" s="30" t="s">
        <v>59</v>
      </c>
      <c r="G139" s="24">
        <v>7</v>
      </c>
      <c r="H139" s="24">
        <v>94</v>
      </c>
      <c r="I139" s="30" t="s">
        <v>50</v>
      </c>
      <c r="J139" s="31">
        <v>479.31</v>
      </c>
      <c r="K139" s="31">
        <v>1879.16</v>
      </c>
      <c r="L139" s="31">
        <v>2358.4699999999998</v>
      </c>
      <c r="M139" s="31">
        <v>2877.28</v>
      </c>
      <c r="N139" s="31">
        <v>0</v>
      </c>
      <c r="O139" s="31">
        <v>2877.28</v>
      </c>
      <c r="P139" s="31">
        <v>719.32</v>
      </c>
      <c r="Q139" s="31">
        <v>0</v>
      </c>
      <c r="R139" s="31">
        <v>0</v>
      </c>
      <c r="S139" s="31">
        <v>325.87</v>
      </c>
      <c r="T139" s="31">
        <v>0</v>
      </c>
      <c r="U139" s="31">
        <v>0</v>
      </c>
      <c r="V139" s="31">
        <v>-296.85000000000002</v>
      </c>
      <c r="W139" s="31">
        <v>9.67</v>
      </c>
      <c r="X139" s="31">
        <v>0</v>
      </c>
      <c r="Y139" s="31">
        <v>2358.4699999999998</v>
      </c>
    </row>
    <row r="140" spans="1:25" x14ac:dyDescent="0.2">
      <c r="A140" s="24" t="s">
        <v>33</v>
      </c>
      <c r="B140" s="24">
        <v>458</v>
      </c>
      <c r="C140" s="24">
        <v>1</v>
      </c>
      <c r="D140" s="24" t="s">
        <v>216</v>
      </c>
      <c r="E140" s="30">
        <v>46</v>
      </c>
      <c r="F140" s="30" t="s">
        <v>57</v>
      </c>
      <c r="G140" s="24">
        <v>42</v>
      </c>
      <c r="H140" s="24">
        <v>138</v>
      </c>
      <c r="I140" s="30" t="s">
        <v>50</v>
      </c>
      <c r="J140" s="31">
        <v>2875.83</v>
      </c>
      <c r="K140" s="31">
        <v>2758.76</v>
      </c>
      <c r="L140" s="31">
        <v>5634.59</v>
      </c>
      <c r="M140" s="31">
        <v>6033.37</v>
      </c>
      <c r="N140" s="31">
        <v>16876.59</v>
      </c>
      <c r="O140" s="31">
        <v>22909.96</v>
      </c>
      <c r="P140" s="31">
        <v>5727.49</v>
      </c>
      <c r="Q140" s="31">
        <v>0</v>
      </c>
      <c r="R140" s="31">
        <v>0</v>
      </c>
      <c r="S140" s="31">
        <v>0.28999999999999998</v>
      </c>
      <c r="T140" s="31">
        <v>0</v>
      </c>
      <c r="U140" s="31">
        <v>0</v>
      </c>
      <c r="V140" s="31">
        <v>0</v>
      </c>
      <c r="W140" s="31">
        <v>0.1</v>
      </c>
      <c r="X140" s="31">
        <v>0</v>
      </c>
      <c r="Y140" s="31">
        <v>5634.59</v>
      </c>
    </row>
    <row r="141" spans="1:25" x14ac:dyDescent="0.2">
      <c r="A141" s="24" t="s">
        <v>33</v>
      </c>
      <c r="B141" s="24">
        <v>463</v>
      </c>
      <c r="C141" s="24">
        <v>1</v>
      </c>
      <c r="D141" s="24" t="s">
        <v>217</v>
      </c>
      <c r="E141" s="30">
        <v>47</v>
      </c>
      <c r="F141" s="30" t="s">
        <v>68</v>
      </c>
      <c r="G141" s="24">
        <v>82</v>
      </c>
      <c r="H141" s="24">
        <v>332</v>
      </c>
      <c r="I141" s="30" t="s">
        <v>50</v>
      </c>
      <c r="J141" s="31">
        <v>5614.72</v>
      </c>
      <c r="K141" s="31">
        <v>6637.03</v>
      </c>
      <c r="L141" s="31">
        <v>12251.75</v>
      </c>
      <c r="M141" s="31">
        <v>11116.73</v>
      </c>
      <c r="N141" s="31">
        <v>63810</v>
      </c>
      <c r="O141" s="31">
        <v>74926.73</v>
      </c>
      <c r="P141" s="31">
        <v>18731.68</v>
      </c>
      <c r="Q141" s="31">
        <v>-22027.48</v>
      </c>
      <c r="R141" s="31">
        <v>0</v>
      </c>
      <c r="S141" s="31">
        <v>-41533.75</v>
      </c>
      <c r="T141" s="31">
        <v>0</v>
      </c>
      <c r="U141" s="31">
        <v>0</v>
      </c>
      <c r="V141" s="31">
        <v>-23640.45</v>
      </c>
      <c r="W141" s="31">
        <v>-29067.23</v>
      </c>
      <c r="X141" s="31">
        <v>0</v>
      </c>
      <c r="Y141" s="31">
        <v>12251.75</v>
      </c>
    </row>
    <row r="142" spans="1:25" x14ac:dyDescent="0.2">
      <c r="A142" s="24" t="s">
        <v>33</v>
      </c>
      <c r="B142" s="24">
        <v>465</v>
      </c>
      <c r="C142" s="24">
        <v>1</v>
      </c>
      <c r="D142" s="24" t="s">
        <v>218</v>
      </c>
      <c r="E142" s="30">
        <v>47</v>
      </c>
      <c r="F142" s="30" t="s">
        <v>68</v>
      </c>
      <c r="G142" s="24">
        <v>160</v>
      </c>
      <c r="H142" s="24">
        <v>611</v>
      </c>
      <c r="I142" s="30" t="s">
        <v>50</v>
      </c>
      <c r="J142" s="31">
        <v>10955.56</v>
      </c>
      <c r="K142" s="31">
        <v>12214.53</v>
      </c>
      <c r="L142" s="31">
        <v>23170.09</v>
      </c>
      <c r="M142" s="31">
        <v>22231.16</v>
      </c>
      <c r="N142" s="31">
        <v>49457.5</v>
      </c>
      <c r="O142" s="31">
        <v>71688.66</v>
      </c>
      <c r="P142" s="31">
        <v>17922.169999999998</v>
      </c>
      <c r="Q142" s="31">
        <v>-8703.52</v>
      </c>
      <c r="R142" s="31">
        <v>0</v>
      </c>
      <c r="S142" s="31">
        <v>-31413.58</v>
      </c>
      <c r="T142" s="31">
        <v>0</v>
      </c>
      <c r="U142" s="31">
        <v>0</v>
      </c>
      <c r="V142" s="31">
        <v>-25787.13</v>
      </c>
      <c r="W142" s="31">
        <v>-21968.080000000002</v>
      </c>
      <c r="X142" s="31">
        <v>0</v>
      </c>
      <c r="Y142" s="31">
        <v>23170.09</v>
      </c>
    </row>
    <row r="143" spans="1:25" x14ac:dyDescent="0.2">
      <c r="A143" s="24" t="s">
        <v>33</v>
      </c>
      <c r="B143" s="24">
        <v>466</v>
      </c>
      <c r="C143" s="24">
        <v>1</v>
      </c>
      <c r="D143" s="24" t="s">
        <v>219</v>
      </c>
      <c r="E143" s="30">
        <v>86</v>
      </c>
      <c r="F143" s="30" t="s">
        <v>63</v>
      </c>
      <c r="G143" s="24">
        <v>182</v>
      </c>
      <c r="H143" s="24">
        <v>702</v>
      </c>
      <c r="I143" s="30" t="s">
        <v>50</v>
      </c>
      <c r="J143" s="31">
        <v>12461.95</v>
      </c>
      <c r="K143" s="31">
        <v>14033.72</v>
      </c>
      <c r="L143" s="31">
        <v>26495.67</v>
      </c>
      <c r="M143" s="31">
        <v>27165.16</v>
      </c>
      <c r="N143" s="31">
        <v>72585.5</v>
      </c>
      <c r="O143" s="31">
        <v>99750.66</v>
      </c>
      <c r="P143" s="31">
        <v>24937.67</v>
      </c>
      <c r="Q143" s="31">
        <v>5421.02</v>
      </c>
      <c r="R143" s="31">
        <v>0</v>
      </c>
      <c r="S143" s="31">
        <v>7469.76</v>
      </c>
      <c r="T143" s="31">
        <v>0</v>
      </c>
      <c r="U143" s="31">
        <v>0</v>
      </c>
      <c r="V143" s="31">
        <v>4164.8</v>
      </c>
      <c r="W143" s="31">
        <v>5685.19</v>
      </c>
      <c r="X143" s="31">
        <v>0</v>
      </c>
      <c r="Y143" s="31">
        <v>26495.67</v>
      </c>
    </row>
    <row r="144" spans="1:25" x14ac:dyDescent="0.2">
      <c r="A144" s="24" t="s">
        <v>33</v>
      </c>
      <c r="B144" s="24">
        <v>473</v>
      </c>
      <c r="C144" s="24">
        <v>1</v>
      </c>
      <c r="D144" s="24" t="s">
        <v>220</v>
      </c>
      <c r="E144" s="30">
        <v>48</v>
      </c>
      <c r="F144" s="30" t="s">
        <v>67</v>
      </c>
      <c r="G144" s="24">
        <v>32</v>
      </c>
      <c r="H144" s="24">
        <v>255</v>
      </c>
      <c r="I144" s="30" t="s">
        <v>50</v>
      </c>
      <c r="J144" s="31">
        <v>2191.11</v>
      </c>
      <c r="K144" s="31">
        <v>5097.72</v>
      </c>
      <c r="L144" s="31">
        <v>7288.83</v>
      </c>
      <c r="M144" s="31">
        <v>6528.08</v>
      </c>
      <c r="N144" s="31">
        <v>8109.05</v>
      </c>
      <c r="O144" s="31">
        <v>14637.13</v>
      </c>
      <c r="P144" s="31">
        <v>3659.28</v>
      </c>
      <c r="Q144" s="31">
        <v>5646.16</v>
      </c>
      <c r="R144" s="31">
        <v>0</v>
      </c>
      <c r="S144" s="31">
        <v>2328.4</v>
      </c>
      <c r="T144" s="31">
        <v>0</v>
      </c>
      <c r="U144" s="31">
        <v>0</v>
      </c>
      <c r="V144" s="31">
        <v>1229.55</v>
      </c>
      <c r="W144" s="31">
        <v>3068.04</v>
      </c>
      <c r="X144" s="31">
        <v>0</v>
      </c>
      <c r="Y144" s="31">
        <v>7288.83</v>
      </c>
    </row>
    <row r="145" spans="1:25" x14ac:dyDescent="0.2">
      <c r="A145" s="24" t="s">
        <v>33</v>
      </c>
      <c r="B145" s="24">
        <v>477</v>
      </c>
      <c r="C145" s="24">
        <v>1</v>
      </c>
      <c r="D145" s="24" t="s">
        <v>221</v>
      </c>
      <c r="E145" s="30">
        <v>48</v>
      </c>
      <c r="F145" s="30" t="s">
        <v>67</v>
      </c>
      <c r="G145" s="24">
        <v>334</v>
      </c>
      <c r="H145" s="24">
        <v>886</v>
      </c>
      <c r="I145" s="30" t="s">
        <v>50</v>
      </c>
      <c r="J145" s="31">
        <v>22869.73</v>
      </c>
      <c r="K145" s="31">
        <v>17712.07</v>
      </c>
      <c r="L145" s="31">
        <v>40581.800000000003</v>
      </c>
      <c r="M145" s="31">
        <v>37941.61</v>
      </c>
      <c r="N145" s="31">
        <v>40620</v>
      </c>
      <c r="O145" s="31">
        <v>78561.61</v>
      </c>
      <c r="P145" s="31">
        <v>19640.400000000001</v>
      </c>
      <c r="Q145" s="31">
        <v>9154.39</v>
      </c>
      <c r="R145" s="31">
        <v>0</v>
      </c>
      <c r="S145" s="31">
        <v>37693.42</v>
      </c>
      <c r="T145" s="31">
        <v>0</v>
      </c>
      <c r="U145" s="31">
        <v>0</v>
      </c>
      <c r="V145" s="31">
        <v>8949.51</v>
      </c>
      <c r="W145" s="31">
        <v>18599.11</v>
      </c>
      <c r="X145" s="31">
        <v>0</v>
      </c>
      <c r="Y145" s="31">
        <v>40581.800000000003</v>
      </c>
    </row>
    <row r="146" spans="1:25" x14ac:dyDescent="0.2">
      <c r="A146" s="24" t="s">
        <v>33</v>
      </c>
      <c r="B146" s="24">
        <v>480</v>
      </c>
      <c r="C146" s="24">
        <v>1</v>
      </c>
      <c r="D146" s="24" t="s">
        <v>222</v>
      </c>
      <c r="E146" s="30">
        <v>48</v>
      </c>
      <c r="F146" s="30" t="s">
        <v>67</v>
      </c>
      <c r="G146" s="24">
        <v>75</v>
      </c>
      <c r="H146" s="24">
        <v>493</v>
      </c>
      <c r="I146" s="30" t="s">
        <v>50</v>
      </c>
      <c r="J146" s="31">
        <v>5135.42</v>
      </c>
      <c r="K146" s="31">
        <v>9855.59</v>
      </c>
      <c r="L146" s="31">
        <v>14991.01</v>
      </c>
      <c r="M146" s="31">
        <v>15532.1</v>
      </c>
      <c r="N146" s="31">
        <v>0</v>
      </c>
      <c r="O146" s="31">
        <v>15532.1</v>
      </c>
      <c r="P146" s="31">
        <v>3883.03</v>
      </c>
      <c r="Q146" s="31">
        <v>652.01</v>
      </c>
      <c r="R146" s="31">
        <v>0</v>
      </c>
      <c r="S146" s="31">
        <v>-1073.43</v>
      </c>
      <c r="T146" s="31">
        <v>0</v>
      </c>
      <c r="U146" s="31">
        <v>0</v>
      </c>
      <c r="V146" s="31">
        <v>-2915.91</v>
      </c>
      <c r="W146" s="31">
        <v>-1112.44</v>
      </c>
      <c r="X146" s="31">
        <v>0</v>
      </c>
      <c r="Y146" s="31">
        <v>14991.01</v>
      </c>
    </row>
    <row r="147" spans="1:25" x14ac:dyDescent="0.2">
      <c r="A147" s="24" t="s">
        <v>33</v>
      </c>
      <c r="B147" s="24">
        <v>482</v>
      </c>
      <c r="C147" s="24">
        <v>1</v>
      </c>
      <c r="D147" s="24" t="s">
        <v>223</v>
      </c>
      <c r="E147" s="30">
        <v>49</v>
      </c>
      <c r="F147" s="30" t="s">
        <v>66</v>
      </c>
      <c r="G147" s="24">
        <v>222</v>
      </c>
      <c r="H147" s="24">
        <v>1063</v>
      </c>
      <c r="I147" s="30" t="s">
        <v>50</v>
      </c>
      <c r="J147" s="31">
        <v>15200.84</v>
      </c>
      <c r="K147" s="31">
        <v>21250.49</v>
      </c>
      <c r="L147" s="31">
        <v>36451.33</v>
      </c>
      <c r="M147" s="31">
        <v>36119.660000000003</v>
      </c>
      <c r="N147" s="31">
        <v>15900</v>
      </c>
      <c r="O147" s="31">
        <v>52019.66</v>
      </c>
      <c r="P147" s="31">
        <v>13004.92</v>
      </c>
      <c r="Q147" s="31">
        <v>21193.94</v>
      </c>
      <c r="R147" s="31">
        <v>0</v>
      </c>
      <c r="S147" s="31">
        <v>-4204.72</v>
      </c>
      <c r="T147" s="31">
        <v>0</v>
      </c>
      <c r="U147" s="31">
        <v>0</v>
      </c>
      <c r="V147" s="31">
        <v>13276.45</v>
      </c>
      <c r="W147" s="31">
        <v>10088.56</v>
      </c>
      <c r="X147" s="31">
        <v>0</v>
      </c>
      <c r="Y147" s="31">
        <v>36451.33</v>
      </c>
    </row>
    <row r="148" spans="1:25" x14ac:dyDescent="0.2">
      <c r="A148" s="24" t="s">
        <v>33</v>
      </c>
      <c r="B148" s="24">
        <v>484</v>
      </c>
      <c r="C148" s="24">
        <v>1</v>
      </c>
      <c r="D148" s="24" t="s">
        <v>224</v>
      </c>
      <c r="E148" s="30">
        <v>49</v>
      </c>
      <c r="F148" s="30" t="s">
        <v>66</v>
      </c>
      <c r="G148" s="24">
        <v>67</v>
      </c>
      <c r="H148" s="24">
        <v>436</v>
      </c>
      <c r="I148" s="30" t="s">
        <v>50</v>
      </c>
      <c r="J148" s="31">
        <v>4587.6400000000003</v>
      </c>
      <c r="K148" s="31">
        <v>8716.1</v>
      </c>
      <c r="L148" s="31">
        <v>13303.74</v>
      </c>
      <c r="M148" s="31">
        <v>13188.51</v>
      </c>
      <c r="N148" s="31">
        <v>0</v>
      </c>
      <c r="O148" s="31">
        <v>13188.51</v>
      </c>
      <c r="P148" s="31">
        <v>3297.13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13303.74</v>
      </c>
    </row>
    <row r="149" spans="1:25" x14ac:dyDescent="0.2">
      <c r="A149" s="24" t="s">
        <v>33</v>
      </c>
      <c r="B149" s="24">
        <v>485</v>
      </c>
      <c r="C149" s="24">
        <v>1</v>
      </c>
      <c r="D149" s="24" t="s">
        <v>225</v>
      </c>
      <c r="E149" s="30">
        <v>49</v>
      </c>
      <c r="F149" s="30" t="s">
        <v>66</v>
      </c>
      <c r="G149" s="24">
        <v>55</v>
      </c>
      <c r="H149" s="24">
        <v>250</v>
      </c>
      <c r="I149" s="30" t="s">
        <v>50</v>
      </c>
      <c r="J149" s="31">
        <v>3765.97</v>
      </c>
      <c r="K149" s="31">
        <v>4997.76</v>
      </c>
      <c r="L149" s="31">
        <v>8763.73</v>
      </c>
      <c r="M149" s="31">
        <v>8172.3</v>
      </c>
      <c r="N149" s="31">
        <v>10345.200000000001</v>
      </c>
      <c r="O149" s="31">
        <v>18517.5</v>
      </c>
      <c r="P149" s="31">
        <v>4629.38</v>
      </c>
      <c r="Q149" s="31">
        <v>2789.56</v>
      </c>
      <c r="R149" s="31">
        <v>0</v>
      </c>
      <c r="S149" s="31">
        <v>1029.9100000000001</v>
      </c>
      <c r="T149" s="31">
        <v>0</v>
      </c>
      <c r="U149" s="31">
        <v>0</v>
      </c>
      <c r="V149" s="31">
        <v>-1204.1600000000001</v>
      </c>
      <c r="W149" s="31">
        <v>871.77</v>
      </c>
      <c r="X149" s="31">
        <v>0</v>
      </c>
      <c r="Y149" s="31">
        <v>8763.73</v>
      </c>
    </row>
    <row r="150" spans="1:25" x14ac:dyDescent="0.2">
      <c r="A150" s="24" t="s">
        <v>33</v>
      </c>
      <c r="B150" s="24">
        <v>486</v>
      </c>
      <c r="C150" s="24">
        <v>1</v>
      </c>
      <c r="D150" s="24" t="s">
        <v>226</v>
      </c>
      <c r="E150" s="30">
        <v>49</v>
      </c>
      <c r="F150" s="30" t="s">
        <v>66</v>
      </c>
      <c r="G150" s="24">
        <v>23</v>
      </c>
      <c r="H150" s="24">
        <v>159</v>
      </c>
      <c r="I150" s="30" t="s">
        <v>50</v>
      </c>
      <c r="J150" s="31">
        <v>1574.86</v>
      </c>
      <c r="K150" s="31">
        <v>3178.58</v>
      </c>
      <c r="L150" s="31">
        <v>4753.4399999999996</v>
      </c>
      <c r="M150" s="31">
        <v>4903.96</v>
      </c>
      <c r="N150" s="31">
        <v>0</v>
      </c>
      <c r="O150" s="31">
        <v>4903.96</v>
      </c>
      <c r="P150" s="31">
        <v>1225.99</v>
      </c>
      <c r="Q150" s="31">
        <v>-2151.46</v>
      </c>
      <c r="R150" s="31">
        <v>0</v>
      </c>
      <c r="S150" s="31">
        <v>-2189.2399999999998</v>
      </c>
      <c r="T150" s="31">
        <v>0</v>
      </c>
      <c r="U150" s="31">
        <v>0</v>
      </c>
      <c r="V150" s="31">
        <v>-1843.18</v>
      </c>
      <c r="W150" s="31">
        <v>-2061.29</v>
      </c>
      <c r="X150" s="31">
        <v>0</v>
      </c>
      <c r="Y150" s="31">
        <v>4753.4399999999996</v>
      </c>
    </row>
    <row r="151" spans="1:25" x14ac:dyDescent="0.2">
      <c r="A151" s="24" t="s">
        <v>33</v>
      </c>
      <c r="B151" s="24">
        <v>487</v>
      </c>
      <c r="C151" s="24">
        <v>1</v>
      </c>
      <c r="D151" s="24" t="s">
        <v>227</v>
      </c>
      <c r="E151" s="30">
        <v>49</v>
      </c>
      <c r="F151" s="30" t="s">
        <v>66</v>
      </c>
      <c r="G151" s="24">
        <v>28</v>
      </c>
      <c r="H151" s="24">
        <v>133</v>
      </c>
      <c r="I151" s="30" t="s">
        <v>50</v>
      </c>
      <c r="J151" s="31">
        <v>1917.22</v>
      </c>
      <c r="K151" s="31">
        <v>2658.81</v>
      </c>
      <c r="L151" s="31">
        <v>4576.03</v>
      </c>
      <c r="M151" s="31">
        <v>4408.6400000000003</v>
      </c>
      <c r="N151" s="31">
        <v>0</v>
      </c>
      <c r="O151" s="31">
        <v>4408.6400000000003</v>
      </c>
      <c r="P151" s="31">
        <v>1102.1600000000001</v>
      </c>
      <c r="Q151" s="31">
        <v>-699.64</v>
      </c>
      <c r="R151" s="31">
        <v>0</v>
      </c>
      <c r="S151" s="31">
        <v>-681.64</v>
      </c>
      <c r="T151" s="31">
        <v>0</v>
      </c>
      <c r="U151" s="31">
        <v>0</v>
      </c>
      <c r="V151" s="31">
        <v>-681.64</v>
      </c>
      <c r="W151" s="31">
        <v>-687.64</v>
      </c>
      <c r="X151" s="31">
        <v>0</v>
      </c>
      <c r="Y151" s="31">
        <v>4576.03</v>
      </c>
    </row>
    <row r="152" spans="1:25" x14ac:dyDescent="0.2">
      <c r="A152" s="24" t="s">
        <v>33</v>
      </c>
      <c r="B152" s="24">
        <v>492</v>
      </c>
      <c r="C152" s="24">
        <v>1</v>
      </c>
      <c r="D152" s="24" t="s">
        <v>228</v>
      </c>
      <c r="E152" s="30">
        <v>50</v>
      </c>
      <c r="F152" s="30" t="s">
        <v>61</v>
      </c>
      <c r="G152" s="24">
        <v>389</v>
      </c>
      <c r="H152" s="24">
        <v>2104</v>
      </c>
      <c r="I152" s="30" t="s">
        <v>50</v>
      </c>
      <c r="J152" s="31">
        <v>26635.7</v>
      </c>
      <c r="K152" s="31">
        <v>42061.17</v>
      </c>
      <c r="L152" s="31">
        <v>68696.87</v>
      </c>
      <c r="M152" s="31">
        <v>69635.179999999993</v>
      </c>
      <c r="N152" s="31">
        <v>1670</v>
      </c>
      <c r="O152" s="31">
        <v>71305.179999999993</v>
      </c>
      <c r="P152" s="31">
        <v>17826.3</v>
      </c>
      <c r="Q152" s="31">
        <v>12265.25</v>
      </c>
      <c r="R152" s="31">
        <v>0</v>
      </c>
      <c r="S152" s="31">
        <v>35861.769999999997</v>
      </c>
      <c r="T152" s="31">
        <v>0</v>
      </c>
      <c r="U152" s="31">
        <v>0</v>
      </c>
      <c r="V152" s="31">
        <v>30459.59</v>
      </c>
      <c r="W152" s="31">
        <v>26195.54</v>
      </c>
      <c r="X152" s="31">
        <v>8369.24</v>
      </c>
      <c r="Y152" s="31">
        <v>60327.63</v>
      </c>
    </row>
    <row r="153" spans="1:25" x14ac:dyDescent="0.2">
      <c r="A153" s="24" t="s">
        <v>33</v>
      </c>
      <c r="B153" s="24">
        <v>495</v>
      </c>
      <c r="C153" s="24">
        <v>1</v>
      </c>
      <c r="D153" s="24" t="s">
        <v>229</v>
      </c>
      <c r="E153" s="30">
        <v>50</v>
      </c>
      <c r="F153" s="30" t="s">
        <v>61</v>
      </c>
      <c r="G153" s="24">
        <v>24</v>
      </c>
      <c r="H153" s="24">
        <v>108</v>
      </c>
      <c r="I153" s="30" t="s">
        <v>50</v>
      </c>
      <c r="J153" s="31">
        <v>1643.33</v>
      </c>
      <c r="K153" s="31">
        <v>2159.0300000000002</v>
      </c>
      <c r="L153" s="31">
        <v>3802.36</v>
      </c>
      <c r="M153" s="31">
        <v>3518.08</v>
      </c>
      <c r="N153" s="31">
        <v>20340</v>
      </c>
      <c r="O153" s="31">
        <v>23858.080000000002</v>
      </c>
      <c r="P153" s="31">
        <v>5964.52</v>
      </c>
      <c r="Q153" s="31">
        <v>1359.5</v>
      </c>
      <c r="R153" s="31">
        <v>0</v>
      </c>
      <c r="S153" s="31">
        <v>7774.03</v>
      </c>
      <c r="T153" s="31">
        <v>0</v>
      </c>
      <c r="U153" s="31">
        <v>0</v>
      </c>
      <c r="V153" s="31">
        <v>-314.89</v>
      </c>
      <c r="W153" s="31">
        <v>2939.55</v>
      </c>
      <c r="X153" s="31">
        <v>0</v>
      </c>
      <c r="Y153" s="31">
        <v>3802.36</v>
      </c>
    </row>
    <row r="154" spans="1:25" x14ac:dyDescent="0.2">
      <c r="A154" s="24" t="s">
        <v>33</v>
      </c>
      <c r="B154" s="24">
        <v>497</v>
      </c>
      <c r="C154" s="24">
        <v>1</v>
      </c>
      <c r="D154" s="24" t="s">
        <v>230</v>
      </c>
      <c r="E154" s="30">
        <v>50</v>
      </c>
      <c r="F154" s="30" t="s">
        <v>61</v>
      </c>
      <c r="G154" s="24">
        <v>27</v>
      </c>
      <c r="H154" s="24">
        <v>116</v>
      </c>
      <c r="I154" s="30" t="s">
        <v>50</v>
      </c>
      <c r="J154" s="31">
        <v>1848.75</v>
      </c>
      <c r="K154" s="31">
        <v>2318.96</v>
      </c>
      <c r="L154" s="31">
        <v>4167.71</v>
      </c>
      <c r="M154" s="31">
        <v>4199.1899999999996</v>
      </c>
      <c r="N154" s="31">
        <v>0</v>
      </c>
      <c r="O154" s="31">
        <v>4199.1899999999996</v>
      </c>
      <c r="P154" s="31">
        <v>1049.8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4167.71</v>
      </c>
    </row>
    <row r="155" spans="1:25" x14ac:dyDescent="0.2">
      <c r="A155" s="24" t="s">
        <v>33</v>
      </c>
      <c r="B155" s="24">
        <v>499</v>
      </c>
      <c r="C155" s="24">
        <v>1</v>
      </c>
      <c r="D155" s="24" t="s">
        <v>231</v>
      </c>
      <c r="E155" s="30">
        <v>50</v>
      </c>
      <c r="F155" s="30" t="s">
        <v>61</v>
      </c>
      <c r="G155" s="24">
        <v>28</v>
      </c>
      <c r="H155" s="24">
        <v>116</v>
      </c>
      <c r="I155" s="30" t="s">
        <v>50</v>
      </c>
      <c r="J155" s="31">
        <v>1917.22</v>
      </c>
      <c r="K155" s="31">
        <v>2318.96</v>
      </c>
      <c r="L155" s="31">
        <v>4236.18</v>
      </c>
      <c r="M155" s="31">
        <v>4127.88</v>
      </c>
      <c r="N155" s="31">
        <v>0</v>
      </c>
      <c r="O155" s="31">
        <v>4127.88</v>
      </c>
      <c r="P155" s="31">
        <v>1031.97</v>
      </c>
      <c r="Q155" s="31">
        <v>183.13</v>
      </c>
      <c r="R155" s="31">
        <v>0</v>
      </c>
      <c r="S155" s="31">
        <v>229.9</v>
      </c>
      <c r="T155" s="31">
        <v>0</v>
      </c>
      <c r="U155" s="31">
        <v>0</v>
      </c>
      <c r="V155" s="31">
        <v>253.1</v>
      </c>
      <c r="W155" s="31">
        <v>222.04</v>
      </c>
      <c r="X155" s="31">
        <v>0</v>
      </c>
      <c r="Y155" s="31">
        <v>4236.18</v>
      </c>
    </row>
    <row r="156" spans="1:25" x14ac:dyDescent="0.2">
      <c r="A156" s="24" t="s">
        <v>33</v>
      </c>
      <c r="B156" s="24">
        <v>500</v>
      </c>
      <c r="C156" s="24">
        <v>1</v>
      </c>
      <c r="D156" s="24" t="s">
        <v>232</v>
      </c>
      <c r="E156" s="30">
        <v>50</v>
      </c>
      <c r="F156" s="30" t="s">
        <v>61</v>
      </c>
      <c r="G156" s="24">
        <v>31</v>
      </c>
      <c r="H156" s="24">
        <v>149</v>
      </c>
      <c r="I156" s="30" t="s">
        <v>50</v>
      </c>
      <c r="J156" s="31">
        <v>2122.64</v>
      </c>
      <c r="K156" s="31">
        <v>2978.67</v>
      </c>
      <c r="L156" s="31">
        <v>5101.3100000000004</v>
      </c>
      <c r="M156" s="31">
        <v>6066.95</v>
      </c>
      <c r="N156" s="31">
        <v>21825</v>
      </c>
      <c r="O156" s="31">
        <v>27891.95</v>
      </c>
      <c r="P156" s="31">
        <v>6972.99</v>
      </c>
      <c r="Q156" s="31">
        <v>-9900.2099999999991</v>
      </c>
      <c r="R156" s="31">
        <v>0</v>
      </c>
      <c r="S156" s="31">
        <v>0</v>
      </c>
      <c r="T156" s="31">
        <v>0</v>
      </c>
      <c r="U156" s="31">
        <v>0</v>
      </c>
      <c r="V156" s="31">
        <v>4693.01</v>
      </c>
      <c r="W156" s="31">
        <v>-1735.73</v>
      </c>
      <c r="X156" s="31">
        <v>0</v>
      </c>
      <c r="Y156" s="31">
        <v>5101.3100000000004</v>
      </c>
    </row>
    <row r="157" spans="1:25" x14ac:dyDescent="0.2">
      <c r="A157" s="24" t="s">
        <v>33</v>
      </c>
      <c r="B157" s="24">
        <v>505</v>
      </c>
      <c r="C157" s="24">
        <v>1</v>
      </c>
      <c r="D157" s="24" t="s">
        <v>233</v>
      </c>
      <c r="E157" s="30">
        <v>51</v>
      </c>
      <c r="F157" s="30" t="s">
        <v>65</v>
      </c>
      <c r="G157" s="24">
        <v>21</v>
      </c>
      <c r="H157" s="24">
        <v>125</v>
      </c>
      <c r="I157" s="30" t="s">
        <v>50</v>
      </c>
      <c r="J157" s="31">
        <v>1437.92</v>
      </c>
      <c r="K157" s="31">
        <v>2498.88</v>
      </c>
      <c r="L157" s="31">
        <v>3936.8</v>
      </c>
      <c r="M157" s="31">
        <v>4329.34</v>
      </c>
      <c r="N157" s="31">
        <v>0</v>
      </c>
      <c r="O157" s="31">
        <v>4329.34</v>
      </c>
      <c r="P157" s="31">
        <v>1082.3399999999999</v>
      </c>
      <c r="Q157" s="31">
        <v>31.06</v>
      </c>
      <c r="R157" s="31">
        <v>0</v>
      </c>
      <c r="S157" s="31">
        <v>31.06</v>
      </c>
      <c r="T157" s="31">
        <v>0</v>
      </c>
      <c r="U157" s="31">
        <v>0</v>
      </c>
      <c r="V157" s="31">
        <v>31.06</v>
      </c>
      <c r="W157" s="31">
        <v>31.06</v>
      </c>
      <c r="X157" s="31">
        <v>0</v>
      </c>
      <c r="Y157" s="31">
        <v>3936.8</v>
      </c>
    </row>
    <row r="158" spans="1:25" x14ac:dyDescent="0.2">
      <c r="A158" s="24" t="s">
        <v>33</v>
      </c>
      <c r="B158" s="24">
        <v>507</v>
      </c>
      <c r="C158" s="24">
        <v>1</v>
      </c>
      <c r="D158" s="24" t="s">
        <v>234</v>
      </c>
      <c r="E158" s="30">
        <v>52</v>
      </c>
      <c r="F158" s="30" t="s">
        <v>57</v>
      </c>
      <c r="G158" s="24">
        <v>36</v>
      </c>
      <c r="H158" s="24">
        <v>84</v>
      </c>
      <c r="I158" s="30" t="s">
        <v>50</v>
      </c>
      <c r="J158" s="31">
        <v>2465</v>
      </c>
      <c r="K158" s="31">
        <v>1679.25</v>
      </c>
      <c r="L158" s="31">
        <v>4144.25</v>
      </c>
      <c r="M158" s="31">
        <v>3802.03</v>
      </c>
      <c r="N158" s="31">
        <v>0</v>
      </c>
      <c r="O158" s="31">
        <v>3802.03</v>
      </c>
      <c r="P158" s="31">
        <v>950.51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4144.25</v>
      </c>
    </row>
    <row r="159" spans="1:25" x14ac:dyDescent="0.2">
      <c r="A159" s="24" t="s">
        <v>33</v>
      </c>
      <c r="B159" s="24">
        <v>508</v>
      </c>
      <c r="C159" s="24">
        <v>1</v>
      </c>
      <c r="D159" s="24" t="s">
        <v>235</v>
      </c>
      <c r="E159" s="30">
        <v>52</v>
      </c>
      <c r="F159" s="30" t="s">
        <v>57</v>
      </c>
      <c r="G159" s="24">
        <v>213</v>
      </c>
      <c r="H159" s="24">
        <v>593</v>
      </c>
      <c r="I159" s="30" t="s">
        <v>50</v>
      </c>
      <c r="J159" s="31">
        <v>14584.59</v>
      </c>
      <c r="K159" s="31">
        <v>11854.69</v>
      </c>
      <c r="L159" s="31">
        <v>26439.279999999999</v>
      </c>
      <c r="M159" s="31">
        <v>22485.07</v>
      </c>
      <c r="N159" s="31">
        <v>127594.9</v>
      </c>
      <c r="O159" s="31">
        <v>150079.97</v>
      </c>
      <c r="P159" s="31">
        <v>37519.99</v>
      </c>
      <c r="Q159" s="31">
        <v>22676.31</v>
      </c>
      <c r="R159" s="31">
        <v>0</v>
      </c>
      <c r="S159" s="31">
        <v>-1084.99</v>
      </c>
      <c r="T159" s="31">
        <v>0</v>
      </c>
      <c r="U159" s="31">
        <v>0</v>
      </c>
      <c r="V159" s="31">
        <v>-714.51</v>
      </c>
      <c r="W159" s="31">
        <v>6958.94</v>
      </c>
      <c r="X159" s="31">
        <v>0</v>
      </c>
      <c r="Y159" s="31">
        <v>26439.279999999999</v>
      </c>
    </row>
    <row r="160" spans="1:25" x14ac:dyDescent="0.2">
      <c r="A160" s="24" t="s">
        <v>33</v>
      </c>
      <c r="B160" s="24">
        <v>511</v>
      </c>
      <c r="C160" s="24">
        <v>1</v>
      </c>
      <c r="D160" s="24" t="s">
        <v>236</v>
      </c>
      <c r="E160" s="30">
        <v>53</v>
      </c>
      <c r="F160" s="30" t="s">
        <v>65</v>
      </c>
      <c r="G160" s="24">
        <v>39</v>
      </c>
      <c r="H160" s="24">
        <v>238</v>
      </c>
      <c r="I160" s="30" t="s">
        <v>50</v>
      </c>
      <c r="J160" s="31">
        <v>2670.42</v>
      </c>
      <c r="K160" s="31">
        <v>4757.87</v>
      </c>
      <c r="L160" s="31">
        <v>7428.29</v>
      </c>
      <c r="M160" s="31">
        <v>7196.7</v>
      </c>
      <c r="N160" s="31">
        <v>0</v>
      </c>
      <c r="O160" s="31">
        <v>7196.7</v>
      </c>
      <c r="P160" s="31">
        <v>1799.18</v>
      </c>
      <c r="Q160" s="31">
        <v>-1740.05</v>
      </c>
      <c r="R160" s="31">
        <v>0</v>
      </c>
      <c r="S160" s="31">
        <v>-1723.08</v>
      </c>
      <c r="T160" s="31">
        <v>0</v>
      </c>
      <c r="U160" s="31">
        <v>0</v>
      </c>
      <c r="V160" s="31">
        <v>5056.74</v>
      </c>
      <c r="W160" s="31">
        <v>531.20000000000005</v>
      </c>
      <c r="X160" s="31">
        <v>0</v>
      </c>
      <c r="Y160" s="31">
        <v>7428.29</v>
      </c>
    </row>
    <row r="161" spans="1:25" x14ac:dyDescent="0.2">
      <c r="A161" s="24" t="s">
        <v>33</v>
      </c>
      <c r="B161" s="24">
        <v>513</v>
      </c>
      <c r="C161" s="24">
        <v>1</v>
      </c>
      <c r="D161" s="24" t="s">
        <v>237</v>
      </c>
      <c r="E161" s="30">
        <v>53</v>
      </c>
      <c r="F161" s="30" t="s">
        <v>65</v>
      </c>
      <c r="G161" s="24">
        <v>12</v>
      </c>
      <c r="H161" s="24">
        <v>68</v>
      </c>
      <c r="I161" s="30" t="s">
        <v>50</v>
      </c>
      <c r="J161" s="31">
        <v>821.67</v>
      </c>
      <c r="K161" s="31">
        <v>1359.39</v>
      </c>
      <c r="L161" s="31">
        <v>2181.06</v>
      </c>
      <c r="M161" s="31">
        <v>2223.98</v>
      </c>
      <c r="N161" s="31">
        <v>7440</v>
      </c>
      <c r="O161" s="31">
        <v>9663.98</v>
      </c>
      <c r="P161" s="31">
        <v>2416</v>
      </c>
      <c r="Q161" s="31">
        <v>3499.07</v>
      </c>
      <c r="R161" s="31">
        <v>0</v>
      </c>
      <c r="S161" s="31">
        <v>-1969.27</v>
      </c>
      <c r="T161" s="31">
        <v>0</v>
      </c>
      <c r="U161" s="31">
        <v>0</v>
      </c>
      <c r="V161" s="31">
        <v>0</v>
      </c>
      <c r="W161" s="31">
        <v>509.93</v>
      </c>
      <c r="X161" s="31">
        <v>0</v>
      </c>
      <c r="Y161" s="31">
        <v>2181.06</v>
      </c>
    </row>
    <row r="162" spans="1:25" x14ac:dyDescent="0.2">
      <c r="A162" s="24" t="s">
        <v>33</v>
      </c>
      <c r="B162" s="24">
        <v>514</v>
      </c>
      <c r="C162" s="24">
        <v>1</v>
      </c>
      <c r="D162" s="24" t="s">
        <v>238</v>
      </c>
      <c r="E162" s="30">
        <v>53</v>
      </c>
      <c r="F162" s="30" t="s">
        <v>65</v>
      </c>
      <c r="G162" s="24">
        <v>2</v>
      </c>
      <c r="H162" s="24">
        <v>80</v>
      </c>
      <c r="I162" s="30" t="s">
        <v>50</v>
      </c>
      <c r="J162" s="31">
        <v>136.94</v>
      </c>
      <c r="K162" s="31">
        <v>1599.28</v>
      </c>
      <c r="L162" s="31">
        <v>1736.22</v>
      </c>
      <c r="M162" s="31">
        <v>2432.8000000000002</v>
      </c>
      <c r="N162" s="31">
        <v>0</v>
      </c>
      <c r="O162" s="31">
        <v>2432.8000000000002</v>
      </c>
      <c r="P162" s="31">
        <v>608.20000000000005</v>
      </c>
      <c r="Q162" s="31">
        <v>4556.55</v>
      </c>
      <c r="R162" s="31">
        <v>2240.48</v>
      </c>
      <c r="S162" s="31">
        <v>3411.43</v>
      </c>
      <c r="T162" s="31">
        <v>2255.0300000000002</v>
      </c>
      <c r="U162" s="31">
        <v>0</v>
      </c>
      <c r="V162" s="31">
        <v>3269.88</v>
      </c>
      <c r="W162" s="31">
        <v>2247.4499999999998</v>
      </c>
      <c r="X162" s="31">
        <v>1639.25</v>
      </c>
      <c r="Y162" s="31">
        <v>96.97</v>
      </c>
    </row>
    <row r="163" spans="1:25" x14ac:dyDescent="0.2">
      <c r="A163" s="24" t="s">
        <v>33</v>
      </c>
      <c r="B163" s="24">
        <v>516</v>
      </c>
      <c r="C163" s="24">
        <v>1</v>
      </c>
      <c r="D163" s="24" t="s">
        <v>239</v>
      </c>
      <c r="E163" s="30">
        <v>53</v>
      </c>
      <c r="F163" s="30" t="s">
        <v>65</v>
      </c>
      <c r="G163" s="24">
        <v>10</v>
      </c>
      <c r="H163" s="24">
        <v>41</v>
      </c>
      <c r="I163" s="30" t="s">
        <v>50</v>
      </c>
      <c r="J163" s="31">
        <v>684.72</v>
      </c>
      <c r="K163" s="31">
        <v>819.63</v>
      </c>
      <c r="L163" s="31">
        <v>1504.35</v>
      </c>
      <c r="M163" s="31">
        <v>1251.58</v>
      </c>
      <c r="N163" s="31">
        <v>0</v>
      </c>
      <c r="O163" s="31">
        <v>1251.58</v>
      </c>
      <c r="P163" s="31">
        <v>312.89999999999998</v>
      </c>
      <c r="Q163" s="31">
        <v>-10560.69</v>
      </c>
      <c r="R163" s="31">
        <v>0</v>
      </c>
      <c r="S163" s="31">
        <v>-6568.95</v>
      </c>
      <c r="T163" s="31">
        <v>0</v>
      </c>
      <c r="U163" s="31">
        <v>0</v>
      </c>
      <c r="V163" s="31">
        <v>-6521.21</v>
      </c>
      <c r="W163" s="31">
        <v>-7883.62</v>
      </c>
      <c r="X163" s="31">
        <v>0</v>
      </c>
      <c r="Y163" s="31">
        <v>1504.35</v>
      </c>
    </row>
    <row r="164" spans="1:25" x14ac:dyDescent="0.2">
      <c r="A164" s="24" t="s">
        <v>33</v>
      </c>
      <c r="B164" s="24">
        <v>518</v>
      </c>
      <c r="C164" s="24">
        <v>1</v>
      </c>
      <c r="D164" s="24" t="s">
        <v>240</v>
      </c>
      <c r="E164" s="30">
        <v>53</v>
      </c>
      <c r="F164" s="30" t="s">
        <v>65</v>
      </c>
      <c r="G164" s="24">
        <v>223</v>
      </c>
      <c r="H164" s="24">
        <v>1286</v>
      </c>
      <c r="I164" s="30" t="s">
        <v>50</v>
      </c>
      <c r="J164" s="31">
        <v>15269.31</v>
      </c>
      <c r="K164" s="31">
        <v>25708.49</v>
      </c>
      <c r="L164" s="31">
        <v>40977.800000000003</v>
      </c>
      <c r="M164" s="31">
        <v>39326.33</v>
      </c>
      <c r="N164" s="31">
        <v>0</v>
      </c>
      <c r="O164" s="31">
        <v>39326.33</v>
      </c>
      <c r="P164" s="31">
        <v>9831.58</v>
      </c>
      <c r="Q164" s="31">
        <v>3336.87</v>
      </c>
      <c r="R164" s="31">
        <v>0</v>
      </c>
      <c r="S164" s="31">
        <v>4465.3100000000004</v>
      </c>
      <c r="T164" s="31">
        <v>0</v>
      </c>
      <c r="U164" s="31">
        <v>0</v>
      </c>
      <c r="V164" s="31">
        <v>2640.17</v>
      </c>
      <c r="W164" s="31">
        <v>3480.78</v>
      </c>
      <c r="X164" s="31">
        <v>0</v>
      </c>
      <c r="Y164" s="31">
        <v>40977.800000000003</v>
      </c>
    </row>
    <row r="165" spans="1:25" x14ac:dyDescent="0.2">
      <c r="A165" s="24" t="s">
        <v>33</v>
      </c>
      <c r="B165" s="24">
        <v>531</v>
      </c>
      <c r="C165" s="24">
        <v>1</v>
      </c>
      <c r="D165" s="24" t="s">
        <v>241</v>
      </c>
      <c r="E165" s="30">
        <v>55</v>
      </c>
      <c r="F165" s="30" t="s">
        <v>61</v>
      </c>
      <c r="G165" s="24">
        <v>105</v>
      </c>
      <c r="H165" s="24">
        <v>203</v>
      </c>
      <c r="I165" s="30" t="s">
        <v>50</v>
      </c>
      <c r="J165" s="31">
        <v>7189.59</v>
      </c>
      <c r="K165" s="31">
        <v>4058.18</v>
      </c>
      <c r="L165" s="31">
        <v>11247.77</v>
      </c>
      <c r="M165" s="31">
        <v>11335.38</v>
      </c>
      <c r="N165" s="31">
        <v>122802.3</v>
      </c>
      <c r="O165" s="31">
        <v>134137.68</v>
      </c>
      <c r="P165" s="31">
        <v>33534.42</v>
      </c>
      <c r="Q165" s="31">
        <v>458.66</v>
      </c>
      <c r="R165" s="31">
        <v>0</v>
      </c>
      <c r="S165" s="31">
        <v>265.7</v>
      </c>
      <c r="T165" s="31">
        <v>0</v>
      </c>
      <c r="U165" s="31">
        <v>0</v>
      </c>
      <c r="V165" s="31">
        <v>524.79</v>
      </c>
      <c r="W165" s="31">
        <v>416.38</v>
      </c>
      <c r="X165" s="31">
        <v>0</v>
      </c>
      <c r="Y165" s="31">
        <v>11247.77</v>
      </c>
    </row>
    <row r="166" spans="1:25" x14ac:dyDescent="0.2">
      <c r="A166" s="24" t="s">
        <v>33</v>
      </c>
      <c r="B166" s="24">
        <v>533</v>
      </c>
      <c r="C166" s="24">
        <v>1</v>
      </c>
      <c r="D166" s="24" t="s">
        <v>242</v>
      </c>
      <c r="E166" s="30">
        <v>55</v>
      </c>
      <c r="F166" s="30" t="s">
        <v>61</v>
      </c>
      <c r="G166" s="24">
        <v>56</v>
      </c>
      <c r="H166" s="24">
        <v>174</v>
      </c>
      <c r="I166" s="30" t="s">
        <v>50</v>
      </c>
      <c r="J166" s="31">
        <v>3834.45</v>
      </c>
      <c r="K166" s="31">
        <v>3478.44</v>
      </c>
      <c r="L166" s="31">
        <v>7312.89</v>
      </c>
      <c r="M166" s="31">
        <v>7263.49</v>
      </c>
      <c r="N166" s="31">
        <v>23130</v>
      </c>
      <c r="O166" s="31">
        <v>30393.49</v>
      </c>
      <c r="P166" s="31">
        <v>7598.37</v>
      </c>
      <c r="Q166" s="31">
        <v>5160.0600000000004</v>
      </c>
      <c r="R166" s="31">
        <v>0</v>
      </c>
      <c r="S166" s="31">
        <v>0</v>
      </c>
      <c r="T166" s="31">
        <v>0</v>
      </c>
      <c r="U166" s="31">
        <v>0</v>
      </c>
      <c r="V166" s="31">
        <v>-604.45000000000005</v>
      </c>
      <c r="W166" s="31">
        <v>1518.54</v>
      </c>
      <c r="X166" s="31">
        <v>0</v>
      </c>
      <c r="Y166" s="31">
        <v>7312.89</v>
      </c>
    </row>
    <row r="167" spans="1:25" x14ac:dyDescent="0.2">
      <c r="A167" s="24" t="s">
        <v>33</v>
      </c>
      <c r="B167" s="24">
        <v>534</v>
      </c>
      <c r="C167" s="24">
        <v>1</v>
      </c>
      <c r="D167" s="24" t="s">
        <v>243</v>
      </c>
      <c r="E167" s="30">
        <v>55</v>
      </c>
      <c r="F167" s="30" t="s">
        <v>61</v>
      </c>
      <c r="G167" s="24">
        <v>113</v>
      </c>
      <c r="H167" s="24">
        <v>355</v>
      </c>
      <c r="I167" s="30" t="s">
        <v>50</v>
      </c>
      <c r="J167" s="31">
        <v>7737.36</v>
      </c>
      <c r="K167" s="31">
        <v>7096.82</v>
      </c>
      <c r="L167" s="31">
        <v>14834.18</v>
      </c>
      <c r="M167" s="31">
        <v>15576.49</v>
      </c>
      <c r="N167" s="31">
        <v>19700</v>
      </c>
      <c r="O167" s="31">
        <v>35276.49</v>
      </c>
      <c r="P167" s="31">
        <v>8819.1200000000008</v>
      </c>
      <c r="Q167" s="31">
        <v>4021.19</v>
      </c>
      <c r="R167" s="31">
        <v>1609.1</v>
      </c>
      <c r="S167" s="31">
        <v>8094.09</v>
      </c>
      <c r="T167" s="31">
        <v>0</v>
      </c>
      <c r="U167" s="31">
        <v>0</v>
      </c>
      <c r="V167" s="31">
        <v>1015.43</v>
      </c>
      <c r="W167" s="31">
        <v>3840.54</v>
      </c>
      <c r="X167" s="31">
        <v>0</v>
      </c>
      <c r="Y167" s="31">
        <v>14834.18</v>
      </c>
    </row>
    <row r="168" spans="1:25" x14ac:dyDescent="0.2">
      <c r="A168" s="24" t="s">
        <v>33</v>
      </c>
      <c r="B168" s="24">
        <v>535</v>
      </c>
      <c r="C168" s="24">
        <v>1</v>
      </c>
      <c r="D168" s="24" t="s">
        <v>244</v>
      </c>
      <c r="E168" s="30">
        <v>55</v>
      </c>
      <c r="F168" s="30" t="s">
        <v>61</v>
      </c>
      <c r="G168" s="24">
        <v>1631</v>
      </c>
      <c r="H168" s="24">
        <v>4813</v>
      </c>
      <c r="I168" s="30" t="s">
        <v>50</v>
      </c>
      <c r="J168" s="31">
        <v>111678.23</v>
      </c>
      <c r="K168" s="31">
        <v>96216.92</v>
      </c>
      <c r="L168" s="31">
        <v>207895.15</v>
      </c>
      <c r="M168" s="31">
        <v>202488.55</v>
      </c>
      <c r="N168" s="31">
        <v>0</v>
      </c>
      <c r="O168" s="31">
        <v>202488.55</v>
      </c>
      <c r="P168" s="31">
        <v>50622.14</v>
      </c>
      <c r="Q168" s="31">
        <v>3332.85</v>
      </c>
      <c r="R168" s="31">
        <v>0</v>
      </c>
      <c r="S168" s="31">
        <v>-31814.98</v>
      </c>
      <c r="T168" s="31">
        <v>0</v>
      </c>
      <c r="U168" s="31">
        <v>0</v>
      </c>
      <c r="V168" s="31">
        <v>1481.9</v>
      </c>
      <c r="W168" s="31">
        <v>-9000.08</v>
      </c>
      <c r="X168" s="31">
        <v>0</v>
      </c>
      <c r="Y168" s="31">
        <v>207895.15</v>
      </c>
    </row>
    <row r="169" spans="1:25" x14ac:dyDescent="0.2">
      <c r="A169" s="24" t="s">
        <v>33</v>
      </c>
      <c r="B169" s="24">
        <v>542</v>
      </c>
      <c r="C169" s="24">
        <v>1</v>
      </c>
      <c r="D169" s="24" t="s">
        <v>245</v>
      </c>
      <c r="E169" s="30">
        <v>56</v>
      </c>
      <c r="F169" s="30" t="s">
        <v>60</v>
      </c>
      <c r="G169" s="24">
        <v>32</v>
      </c>
      <c r="H169" s="24">
        <v>194</v>
      </c>
      <c r="I169" s="30" t="s">
        <v>50</v>
      </c>
      <c r="J169" s="31">
        <v>2191.11</v>
      </c>
      <c r="K169" s="31">
        <v>3878.26</v>
      </c>
      <c r="L169" s="31">
        <v>6069.37</v>
      </c>
      <c r="M169" s="31">
        <v>7552.58</v>
      </c>
      <c r="N169" s="31">
        <v>13825.38</v>
      </c>
      <c r="O169" s="31">
        <v>21377.96</v>
      </c>
      <c r="P169" s="31">
        <v>5344.49</v>
      </c>
      <c r="Q169" s="31">
        <v>-42789.74</v>
      </c>
      <c r="R169" s="31">
        <v>0</v>
      </c>
      <c r="S169" s="31">
        <v>-53130.84</v>
      </c>
      <c r="T169" s="31">
        <v>0</v>
      </c>
      <c r="U169" s="31">
        <v>0</v>
      </c>
      <c r="V169" s="31">
        <v>-63300.84</v>
      </c>
      <c r="W169" s="31">
        <v>-53073.81</v>
      </c>
      <c r="X169" s="31">
        <v>0</v>
      </c>
      <c r="Y169" s="31">
        <v>6069.37</v>
      </c>
    </row>
    <row r="170" spans="1:25" x14ac:dyDescent="0.2">
      <c r="A170" s="24" t="s">
        <v>33</v>
      </c>
      <c r="B170" s="24">
        <v>544</v>
      </c>
      <c r="C170" s="24">
        <v>1</v>
      </c>
      <c r="D170" s="24" t="s">
        <v>246</v>
      </c>
      <c r="E170" s="30">
        <v>56</v>
      </c>
      <c r="F170" s="30" t="s">
        <v>60</v>
      </c>
      <c r="G170" s="24">
        <v>255</v>
      </c>
      <c r="H170" s="24">
        <v>681</v>
      </c>
      <c r="I170" s="30" t="s">
        <v>50</v>
      </c>
      <c r="J170" s="31">
        <v>17460.419999999998</v>
      </c>
      <c r="K170" s="31">
        <v>13613.9</v>
      </c>
      <c r="L170" s="31">
        <v>31074.32</v>
      </c>
      <c r="M170" s="31">
        <v>28243.09</v>
      </c>
      <c r="N170" s="31">
        <v>9444.64</v>
      </c>
      <c r="O170" s="31">
        <v>37687.730000000003</v>
      </c>
      <c r="P170" s="31">
        <v>9421.93</v>
      </c>
      <c r="Q170" s="31">
        <v>-156.62</v>
      </c>
      <c r="R170" s="31">
        <v>0</v>
      </c>
      <c r="S170" s="31">
        <v>1837.09</v>
      </c>
      <c r="T170" s="31">
        <v>0</v>
      </c>
      <c r="U170" s="31">
        <v>0</v>
      </c>
      <c r="V170" s="31">
        <v>640.91999999999996</v>
      </c>
      <c r="W170" s="31">
        <v>773.8</v>
      </c>
      <c r="X170" s="31">
        <v>0</v>
      </c>
      <c r="Y170" s="31">
        <v>31074.32</v>
      </c>
    </row>
    <row r="171" spans="1:25" x14ac:dyDescent="0.2">
      <c r="A171" s="24" t="s">
        <v>33</v>
      </c>
      <c r="B171" s="24">
        <v>545</v>
      </c>
      <c r="C171" s="24">
        <v>1</v>
      </c>
      <c r="D171" s="24" t="s">
        <v>247</v>
      </c>
      <c r="E171" s="30">
        <v>56</v>
      </c>
      <c r="F171" s="30" t="s">
        <v>60</v>
      </c>
      <c r="G171" s="24">
        <v>25</v>
      </c>
      <c r="H171" s="24">
        <v>144</v>
      </c>
      <c r="I171" s="30" t="s">
        <v>50</v>
      </c>
      <c r="J171" s="31">
        <v>1711.81</v>
      </c>
      <c r="K171" s="31">
        <v>2878.71</v>
      </c>
      <c r="L171" s="31">
        <v>4590.5200000000004</v>
      </c>
      <c r="M171" s="31">
        <v>5241.96</v>
      </c>
      <c r="N171" s="31">
        <v>18473.669999999998</v>
      </c>
      <c r="O171" s="31">
        <v>23715.63</v>
      </c>
      <c r="P171" s="31">
        <v>5928.91</v>
      </c>
      <c r="Q171" s="31">
        <v>185.76</v>
      </c>
      <c r="R171" s="31">
        <v>0</v>
      </c>
      <c r="S171" s="31">
        <v>335.63</v>
      </c>
      <c r="T171" s="31">
        <v>0</v>
      </c>
      <c r="U171" s="31">
        <v>0</v>
      </c>
      <c r="V171" s="31">
        <v>2252.6799999999998</v>
      </c>
      <c r="W171" s="31">
        <v>924.69</v>
      </c>
      <c r="X171" s="31">
        <v>0</v>
      </c>
      <c r="Y171" s="31">
        <v>4590.5200000000004</v>
      </c>
    </row>
    <row r="172" spans="1:25" x14ac:dyDescent="0.2">
      <c r="A172" s="24" t="s">
        <v>33</v>
      </c>
      <c r="B172" s="24">
        <v>547</v>
      </c>
      <c r="C172" s="24">
        <v>1</v>
      </c>
      <c r="D172" s="24" t="s">
        <v>248</v>
      </c>
      <c r="E172" s="30">
        <v>56</v>
      </c>
      <c r="F172" s="30" t="s">
        <v>60</v>
      </c>
      <c r="G172" s="24">
        <v>36</v>
      </c>
      <c r="H172" s="24">
        <v>214</v>
      </c>
      <c r="I172" s="30" t="s">
        <v>50</v>
      </c>
      <c r="J172" s="31">
        <v>2465</v>
      </c>
      <c r="K172" s="31">
        <v>4278.08</v>
      </c>
      <c r="L172" s="31">
        <v>6743.08</v>
      </c>
      <c r="M172" s="31">
        <v>6360.19</v>
      </c>
      <c r="N172" s="31">
        <v>2318</v>
      </c>
      <c r="O172" s="31">
        <v>8678.19</v>
      </c>
      <c r="P172" s="31">
        <v>2169.5500000000002</v>
      </c>
      <c r="Q172" s="31">
        <v>-2359.71</v>
      </c>
      <c r="R172" s="31">
        <v>0</v>
      </c>
      <c r="S172" s="31">
        <v>-17228.88</v>
      </c>
      <c r="T172" s="31">
        <v>0</v>
      </c>
      <c r="U172" s="31">
        <v>0</v>
      </c>
      <c r="V172" s="31">
        <v>-36991.99</v>
      </c>
      <c r="W172" s="31">
        <v>-18860.189999999999</v>
      </c>
      <c r="X172" s="31">
        <v>0</v>
      </c>
      <c r="Y172" s="31">
        <v>6743.08</v>
      </c>
    </row>
    <row r="173" spans="1:25" x14ac:dyDescent="0.2">
      <c r="A173" s="24" t="s">
        <v>33</v>
      </c>
      <c r="B173" s="24">
        <v>548</v>
      </c>
      <c r="C173" s="24">
        <v>1</v>
      </c>
      <c r="D173" s="24" t="s">
        <v>249</v>
      </c>
      <c r="E173" s="30">
        <v>56</v>
      </c>
      <c r="F173" s="30" t="s">
        <v>60</v>
      </c>
      <c r="G173" s="24">
        <v>73</v>
      </c>
      <c r="H173" s="24">
        <v>411</v>
      </c>
      <c r="I173" s="30" t="s">
        <v>50</v>
      </c>
      <c r="J173" s="31">
        <v>4998.47</v>
      </c>
      <c r="K173" s="31">
        <v>8216.32</v>
      </c>
      <c r="L173" s="31">
        <v>13214.79</v>
      </c>
      <c r="M173" s="31">
        <v>13716.44</v>
      </c>
      <c r="N173" s="31">
        <v>14410.41</v>
      </c>
      <c r="O173" s="31">
        <v>28126.85</v>
      </c>
      <c r="P173" s="31">
        <v>7031.71</v>
      </c>
      <c r="Q173" s="31">
        <v>-30451.54</v>
      </c>
      <c r="R173" s="31">
        <v>0</v>
      </c>
      <c r="S173" s="31">
        <v>-36949.550000000003</v>
      </c>
      <c r="T173" s="31">
        <v>0</v>
      </c>
      <c r="U173" s="31">
        <v>0</v>
      </c>
      <c r="V173" s="31">
        <v>-25228.13</v>
      </c>
      <c r="W173" s="31">
        <v>-30876.41</v>
      </c>
      <c r="X173" s="31">
        <v>0</v>
      </c>
      <c r="Y173" s="31">
        <v>13214.79</v>
      </c>
    </row>
    <row r="174" spans="1:25" x14ac:dyDescent="0.2">
      <c r="A174" s="24" t="s">
        <v>33</v>
      </c>
      <c r="B174" s="24">
        <v>549</v>
      </c>
      <c r="C174" s="24">
        <v>1</v>
      </c>
      <c r="D174" s="24" t="s">
        <v>250</v>
      </c>
      <c r="E174" s="30">
        <v>56</v>
      </c>
      <c r="F174" s="30" t="s">
        <v>60</v>
      </c>
      <c r="G174" s="24">
        <v>90</v>
      </c>
      <c r="H174" s="24">
        <v>583</v>
      </c>
      <c r="I174" s="30" t="s">
        <v>50</v>
      </c>
      <c r="J174" s="31">
        <v>6162.5</v>
      </c>
      <c r="K174" s="31">
        <v>11654.78</v>
      </c>
      <c r="L174" s="31">
        <v>17817.28</v>
      </c>
      <c r="M174" s="31">
        <v>18797.25</v>
      </c>
      <c r="N174" s="31">
        <v>65775.070000000007</v>
      </c>
      <c r="O174" s="31">
        <v>84572.32</v>
      </c>
      <c r="P174" s="31">
        <v>21143.08</v>
      </c>
      <c r="Q174" s="31">
        <v>-24187.599999999999</v>
      </c>
      <c r="R174" s="31">
        <v>0</v>
      </c>
      <c r="S174" s="31">
        <v>3812.42</v>
      </c>
      <c r="T174" s="31">
        <v>0</v>
      </c>
      <c r="U174" s="31">
        <v>0</v>
      </c>
      <c r="V174" s="31">
        <v>1018.17</v>
      </c>
      <c r="W174" s="31">
        <v>-6452.34</v>
      </c>
      <c r="X174" s="31">
        <v>0</v>
      </c>
      <c r="Y174" s="31">
        <v>17817.28</v>
      </c>
    </row>
    <row r="175" spans="1:25" x14ac:dyDescent="0.2">
      <c r="A175" s="24" t="s">
        <v>33</v>
      </c>
      <c r="B175" s="24">
        <v>550</v>
      </c>
      <c r="C175" s="24">
        <v>1</v>
      </c>
      <c r="D175" s="24" t="s">
        <v>251</v>
      </c>
      <c r="E175" s="30">
        <v>56</v>
      </c>
      <c r="F175" s="30" t="s">
        <v>60</v>
      </c>
      <c r="G175" s="24">
        <v>23</v>
      </c>
      <c r="H175" s="24">
        <v>233</v>
      </c>
      <c r="I175" s="30" t="s">
        <v>50</v>
      </c>
      <c r="J175" s="31">
        <v>1574.86</v>
      </c>
      <c r="K175" s="31">
        <v>4657.91</v>
      </c>
      <c r="L175" s="31">
        <v>6232.77</v>
      </c>
      <c r="M175" s="31">
        <v>6425.75</v>
      </c>
      <c r="N175" s="31">
        <v>36936.49</v>
      </c>
      <c r="O175" s="31">
        <v>43362.239999999998</v>
      </c>
      <c r="P175" s="31">
        <v>10840.56</v>
      </c>
      <c r="Q175" s="31">
        <v>-7026.89</v>
      </c>
      <c r="R175" s="31">
        <v>0</v>
      </c>
      <c r="S175" s="31">
        <v>-6440.79</v>
      </c>
      <c r="T175" s="31">
        <v>0</v>
      </c>
      <c r="U175" s="31">
        <v>0</v>
      </c>
      <c r="V175" s="31">
        <v>691.92</v>
      </c>
      <c r="W175" s="31">
        <v>-4258.59</v>
      </c>
      <c r="X175" s="31">
        <v>0</v>
      </c>
      <c r="Y175" s="31">
        <v>6232.77</v>
      </c>
    </row>
    <row r="176" spans="1:25" x14ac:dyDescent="0.2">
      <c r="A176" s="24" t="s">
        <v>33</v>
      </c>
      <c r="B176" s="24">
        <v>553</v>
      </c>
      <c r="C176" s="24">
        <v>1</v>
      </c>
      <c r="D176" s="24" t="s">
        <v>252</v>
      </c>
      <c r="E176" s="30">
        <v>56</v>
      </c>
      <c r="F176" s="30" t="s">
        <v>60</v>
      </c>
      <c r="G176" s="24">
        <v>63</v>
      </c>
      <c r="H176" s="24">
        <v>300</v>
      </c>
      <c r="I176" s="30" t="s">
        <v>50</v>
      </c>
      <c r="J176" s="31">
        <v>4313.75</v>
      </c>
      <c r="K176" s="31">
        <v>5997.31</v>
      </c>
      <c r="L176" s="31">
        <v>10311.06</v>
      </c>
      <c r="M176" s="31">
        <v>10673.85</v>
      </c>
      <c r="N176" s="31">
        <v>8404.84</v>
      </c>
      <c r="O176" s="31">
        <v>19078.689999999999</v>
      </c>
      <c r="P176" s="31">
        <v>4769.67</v>
      </c>
      <c r="Q176" s="31">
        <v>-789.24</v>
      </c>
      <c r="R176" s="31">
        <v>0</v>
      </c>
      <c r="S176" s="31">
        <v>4228.2299999999996</v>
      </c>
      <c r="T176" s="31">
        <v>0</v>
      </c>
      <c r="U176" s="31">
        <v>0</v>
      </c>
      <c r="V176" s="31">
        <v>4303.96</v>
      </c>
      <c r="W176" s="31">
        <v>2580.98</v>
      </c>
      <c r="X176" s="31">
        <v>0</v>
      </c>
      <c r="Y176" s="31">
        <v>10311.06</v>
      </c>
    </row>
    <row r="177" spans="1:25" x14ac:dyDescent="0.2">
      <c r="A177" s="24" t="s">
        <v>33</v>
      </c>
      <c r="B177" s="24">
        <v>561</v>
      </c>
      <c r="C177" s="24">
        <v>1</v>
      </c>
      <c r="D177" s="24" t="s">
        <v>253</v>
      </c>
      <c r="E177" s="30">
        <v>57</v>
      </c>
      <c r="F177" s="30" t="s">
        <v>59</v>
      </c>
      <c r="G177" s="24">
        <v>17</v>
      </c>
      <c r="H177" s="24">
        <v>116</v>
      </c>
      <c r="I177" s="30" t="s">
        <v>50</v>
      </c>
      <c r="J177" s="31">
        <v>1164.03</v>
      </c>
      <c r="K177" s="31">
        <v>2318.96</v>
      </c>
      <c r="L177" s="31">
        <v>3482.99</v>
      </c>
      <c r="M177" s="31">
        <v>3280.83</v>
      </c>
      <c r="N177" s="31">
        <v>0</v>
      </c>
      <c r="O177" s="31">
        <v>3280.83</v>
      </c>
      <c r="P177" s="31">
        <v>820.21</v>
      </c>
      <c r="Q177" s="31">
        <v>0</v>
      </c>
      <c r="R177" s="31">
        <v>0</v>
      </c>
      <c r="S177" s="31">
        <v>0.36</v>
      </c>
      <c r="T177" s="31">
        <v>0</v>
      </c>
      <c r="U177" s="31">
        <v>0</v>
      </c>
      <c r="V177" s="31">
        <v>-30.19</v>
      </c>
      <c r="W177" s="31">
        <v>-9.94</v>
      </c>
      <c r="X177" s="31">
        <v>0</v>
      </c>
      <c r="Y177" s="31">
        <v>3482.99</v>
      </c>
    </row>
    <row r="178" spans="1:25" x14ac:dyDescent="0.2">
      <c r="A178" s="24" t="s">
        <v>33</v>
      </c>
      <c r="B178" s="24">
        <v>564</v>
      </c>
      <c r="C178" s="24">
        <v>1</v>
      </c>
      <c r="D178" s="24" t="s">
        <v>254</v>
      </c>
      <c r="E178" s="30">
        <v>57</v>
      </c>
      <c r="F178" s="30" t="s">
        <v>59</v>
      </c>
      <c r="G178" s="24">
        <v>181</v>
      </c>
      <c r="H178" s="24">
        <v>647</v>
      </c>
      <c r="I178" s="30" t="s">
        <v>50</v>
      </c>
      <c r="J178" s="31">
        <v>12393.48</v>
      </c>
      <c r="K178" s="31">
        <v>12934.21</v>
      </c>
      <c r="L178" s="31">
        <v>25327.69</v>
      </c>
      <c r="M178" s="31">
        <v>25658.44</v>
      </c>
      <c r="N178" s="31">
        <v>67524</v>
      </c>
      <c r="O178" s="31">
        <v>93182.44</v>
      </c>
      <c r="P178" s="31">
        <v>23295.61</v>
      </c>
      <c r="Q178" s="31">
        <v>-5122.9799999999996</v>
      </c>
      <c r="R178" s="31">
        <v>0</v>
      </c>
      <c r="S178" s="31">
        <v>-11206.74</v>
      </c>
      <c r="T178" s="31">
        <v>0</v>
      </c>
      <c r="U178" s="31">
        <v>0</v>
      </c>
      <c r="V178" s="31">
        <v>-5281.02</v>
      </c>
      <c r="W178" s="31">
        <v>-7203.58</v>
      </c>
      <c r="X178" s="31">
        <v>0</v>
      </c>
      <c r="Y178" s="31">
        <v>25327.69</v>
      </c>
    </row>
    <row r="179" spans="1:25" x14ac:dyDescent="0.2">
      <c r="A179" s="24" t="s">
        <v>33</v>
      </c>
      <c r="B179" s="24">
        <v>577</v>
      </c>
      <c r="C179" s="24">
        <v>1</v>
      </c>
      <c r="D179" s="24" t="s">
        <v>255</v>
      </c>
      <c r="E179" s="30">
        <v>58</v>
      </c>
      <c r="F179" s="30" t="s">
        <v>67</v>
      </c>
      <c r="G179" s="24">
        <v>35</v>
      </c>
      <c r="H179" s="24">
        <v>229</v>
      </c>
      <c r="I179" s="30" t="s">
        <v>50</v>
      </c>
      <c r="J179" s="31">
        <v>2396.5300000000002</v>
      </c>
      <c r="K179" s="31">
        <v>4577.95</v>
      </c>
      <c r="L179" s="31">
        <v>6974.48</v>
      </c>
      <c r="M179" s="31">
        <v>7256.5</v>
      </c>
      <c r="N179" s="31">
        <v>2267</v>
      </c>
      <c r="O179" s="31">
        <v>9523.5</v>
      </c>
      <c r="P179" s="31">
        <v>2380.88</v>
      </c>
      <c r="Q179" s="31">
        <v>-22291.23</v>
      </c>
      <c r="R179" s="31">
        <v>0</v>
      </c>
      <c r="S179" s="31">
        <v>0</v>
      </c>
      <c r="T179" s="31">
        <v>0</v>
      </c>
      <c r="U179" s="31">
        <v>0</v>
      </c>
      <c r="V179" s="31">
        <v>-1806.42</v>
      </c>
      <c r="W179" s="31">
        <v>-8032.55</v>
      </c>
      <c r="X179" s="31">
        <v>0</v>
      </c>
      <c r="Y179" s="31">
        <v>6974.48</v>
      </c>
    </row>
    <row r="180" spans="1:25" x14ac:dyDescent="0.2">
      <c r="A180" s="24" t="s">
        <v>33</v>
      </c>
      <c r="B180" s="24">
        <v>578</v>
      </c>
      <c r="C180" s="24">
        <v>1</v>
      </c>
      <c r="D180" s="24" t="s">
        <v>256</v>
      </c>
      <c r="E180" s="30">
        <v>58</v>
      </c>
      <c r="F180" s="30" t="s">
        <v>67</v>
      </c>
      <c r="G180" s="24">
        <v>135</v>
      </c>
      <c r="H180" s="24">
        <v>610</v>
      </c>
      <c r="I180" s="30" t="s">
        <v>50</v>
      </c>
      <c r="J180" s="31">
        <v>9243.75</v>
      </c>
      <c r="K180" s="31">
        <v>12194.54</v>
      </c>
      <c r="L180" s="31">
        <v>21438.29</v>
      </c>
      <c r="M180" s="31">
        <v>19817.59</v>
      </c>
      <c r="N180" s="31">
        <v>530</v>
      </c>
      <c r="O180" s="31">
        <v>20347.59</v>
      </c>
      <c r="P180" s="31">
        <v>5086.8999999999996</v>
      </c>
      <c r="Q180" s="31">
        <v>-12110.29</v>
      </c>
      <c r="R180" s="31">
        <v>0</v>
      </c>
      <c r="S180" s="31">
        <v>-40457.43</v>
      </c>
      <c r="T180" s="31">
        <v>0</v>
      </c>
      <c r="U180" s="31">
        <v>0</v>
      </c>
      <c r="V180" s="31">
        <v>-33922.089999999997</v>
      </c>
      <c r="W180" s="31">
        <v>-28829.94</v>
      </c>
      <c r="X180" s="31">
        <v>0</v>
      </c>
      <c r="Y180" s="31">
        <v>21438.29</v>
      </c>
    </row>
    <row r="181" spans="1:25" x14ac:dyDescent="0.2">
      <c r="A181" s="24" t="s">
        <v>33</v>
      </c>
      <c r="B181" s="24">
        <v>581</v>
      </c>
      <c r="C181" s="24">
        <v>1</v>
      </c>
      <c r="D181" s="24" t="s">
        <v>257</v>
      </c>
      <c r="E181" s="30">
        <v>59</v>
      </c>
      <c r="F181" s="30" t="s">
        <v>65</v>
      </c>
      <c r="G181" s="24">
        <v>39</v>
      </c>
      <c r="H181" s="24">
        <v>108</v>
      </c>
      <c r="I181" s="30" t="s">
        <v>50</v>
      </c>
      <c r="J181" s="31">
        <v>2670.42</v>
      </c>
      <c r="K181" s="31">
        <v>2159.0300000000002</v>
      </c>
      <c r="L181" s="31">
        <v>4829.45</v>
      </c>
      <c r="M181" s="31">
        <v>4768.68</v>
      </c>
      <c r="N181" s="31">
        <v>4158.5</v>
      </c>
      <c r="O181" s="31">
        <v>8927.18</v>
      </c>
      <c r="P181" s="31">
        <v>2231.8000000000002</v>
      </c>
      <c r="Q181" s="31">
        <v>1201.79</v>
      </c>
      <c r="R181" s="31">
        <v>0</v>
      </c>
      <c r="S181" s="31">
        <v>2214.3000000000002</v>
      </c>
      <c r="T181" s="31">
        <v>0</v>
      </c>
      <c r="U181" s="31">
        <v>0</v>
      </c>
      <c r="V181" s="31">
        <v>-543.79</v>
      </c>
      <c r="W181" s="31">
        <v>957.43</v>
      </c>
      <c r="X181" s="31">
        <v>0</v>
      </c>
      <c r="Y181" s="31">
        <v>4829.45</v>
      </c>
    </row>
    <row r="182" spans="1:25" x14ac:dyDescent="0.2">
      <c r="A182" s="24" t="s">
        <v>33</v>
      </c>
      <c r="B182" s="24">
        <v>592</v>
      </c>
      <c r="C182" s="24">
        <v>1</v>
      </c>
      <c r="D182" s="24" t="s">
        <v>258</v>
      </c>
      <c r="E182" s="30">
        <v>60</v>
      </c>
      <c r="F182" s="30" t="s">
        <v>59</v>
      </c>
      <c r="G182" s="24">
        <v>9</v>
      </c>
      <c r="H182" s="24">
        <v>89</v>
      </c>
      <c r="I182" s="30" t="s">
        <v>50</v>
      </c>
      <c r="J182" s="31">
        <v>616.25</v>
      </c>
      <c r="K182" s="31">
        <v>1779.2</v>
      </c>
      <c r="L182" s="31">
        <v>2395.4499999999998</v>
      </c>
      <c r="M182" s="31">
        <v>2062.84</v>
      </c>
      <c r="N182" s="31">
        <v>0</v>
      </c>
      <c r="O182" s="31">
        <v>2062.84</v>
      </c>
      <c r="P182" s="31">
        <v>515.71</v>
      </c>
      <c r="Q182" s="31">
        <v>-2842.91</v>
      </c>
      <c r="R182" s="31">
        <v>0</v>
      </c>
      <c r="S182" s="31">
        <v>-10754.64</v>
      </c>
      <c r="T182" s="31">
        <v>0</v>
      </c>
      <c r="U182" s="31">
        <v>0</v>
      </c>
      <c r="V182" s="31">
        <v>-22541.03</v>
      </c>
      <c r="W182" s="31">
        <v>-12046.19</v>
      </c>
      <c r="X182" s="31">
        <v>0</v>
      </c>
      <c r="Y182" s="31">
        <v>2395.4499999999998</v>
      </c>
    </row>
    <row r="183" spans="1:25" x14ac:dyDescent="0.2">
      <c r="A183" s="24" t="s">
        <v>33</v>
      </c>
      <c r="B183" s="24">
        <v>593</v>
      </c>
      <c r="C183" s="24">
        <v>1</v>
      </c>
      <c r="D183" s="24" t="s">
        <v>259</v>
      </c>
      <c r="E183" s="30">
        <v>60</v>
      </c>
      <c r="F183" s="30" t="s">
        <v>59</v>
      </c>
      <c r="G183" s="24">
        <v>165</v>
      </c>
      <c r="H183" s="24">
        <v>531</v>
      </c>
      <c r="I183" s="30" t="s">
        <v>50</v>
      </c>
      <c r="J183" s="31">
        <v>11297.92</v>
      </c>
      <c r="K183" s="31">
        <v>10615.25</v>
      </c>
      <c r="L183" s="31">
        <v>21913.17</v>
      </c>
      <c r="M183" s="31">
        <v>19363.189999999999</v>
      </c>
      <c r="N183" s="31">
        <v>11260.5</v>
      </c>
      <c r="O183" s="31">
        <v>30623.69</v>
      </c>
      <c r="P183" s="31">
        <v>7655.92</v>
      </c>
      <c r="Q183" s="31">
        <v>0</v>
      </c>
      <c r="R183" s="31">
        <v>0</v>
      </c>
      <c r="S183" s="31">
        <v>17282.48</v>
      </c>
      <c r="T183" s="31">
        <v>0</v>
      </c>
      <c r="U183" s="31">
        <v>0</v>
      </c>
      <c r="V183" s="31">
        <v>5640.62</v>
      </c>
      <c r="W183" s="31">
        <v>7641.03</v>
      </c>
      <c r="X183" s="31">
        <v>0</v>
      </c>
      <c r="Y183" s="31">
        <v>21913.17</v>
      </c>
    </row>
    <row r="184" spans="1:25" x14ac:dyDescent="0.2">
      <c r="A184" s="24" t="s">
        <v>33</v>
      </c>
      <c r="B184" s="24">
        <v>595</v>
      </c>
      <c r="C184" s="24">
        <v>1</v>
      </c>
      <c r="D184" s="24" t="s">
        <v>260</v>
      </c>
      <c r="E184" s="30">
        <v>60</v>
      </c>
      <c r="F184" s="30" t="s">
        <v>59</v>
      </c>
      <c r="G184" s="24">
        <v>128</v>
      </c>
      <c r="H184" s="24">
        <v>519</v>
      </c>
      <c r="I184" s="30" t="s">
        <v>50</v>
      </c>
      <c r="J184" s="31">
        <v>8764.4500000000007</v>
      </c>
      <c r="K184" s="31">
        <v>10375.35</v>
      </c>
      <c r="L184" s="31">
        <v>19139.8</v>
      </c>
      <c r="M184" s="31">
        <v>19257.669999999998</v>
      </c>
      <c r="N184" s="31">
        <v>26859.5</v>
      </c>
      <c r="O184" s="31">
        <v>46117.17</v>
      </c>
      <c r="P184" s="31">
        <v>11529.29</v>
      </c>
      <c r="Q184" s="31">
        <v>0</v>
      </c>
      <c r="R184" s="31">
        <v>0</v>
      </c>
      <c r="S184" s="31">
        <v>-5288.37</v>
      </c>
      <c r="T184" s="31">
        <v>0</v>
      </c>
      <c r="U184" s="31">
        <v>0</v>
      </c>
      <c r="V184" s="31">
        <v>-11727.6</v>
      </c>
      <c r="W184" s="31">
        <v>-5671.99</v>
      </c>
      <c r="X184" s="31">
        <v>0</v>
      </c>
      <c r="Y184" s="31">
        <v>19139.8</v>
      </c>
    </row>
    <row r="185" spans="1:25" x14ac:dyDescent="0.2">
      <c r="A185" s="24" t="s">
        <v>33</v>
      </c>
      <c r="B185" s="24">
        <v>599</v>
      </c>
      <c r="C185" s="24">
        <v>1</v>
      </c>
      <c r="D185" s="24" t="s">
        <v>261</v>
      </c>
      <c r="E185" s="30">
        <v>60</v>
      </c>
      <c r="F185" s="30" t="s">
        <v>59</v>
      </c>
      <c r="G185" s="24">
        <v>46</v>
      </c>
      <c r="H185" s="24">
        <v>173</v>
      </c>
      <c r="I185" s="30" t="s">
        <v>50</v>
      </c>
      <c r="J185" s="31">
        <v>3149.72</v>
      </c>
      <c r="K185" s="31">
        <v>3458.45</v>
      </c>
      <c r="L185" s="31">
        <v>6608.17</v>
      </c>
      <c r="M185" s="31">
        <v>6645.73</v>
      </c>
      <c r="N185" s="31">
        <v>4025</v>
      </c>
      <c r="O185" s="31">
        <v>10670.73</v>
      </c>
      <c r="P185" s="31">
        <v>2667.68</v>
      </c>
      <c r="Q185" s="31">
        <v>58.57</v>
      </c>
      <c r="R185" s="31">
        <v>0</v>
      </c>
      <c r="S185" s="31">
        <v>0.13</v>
      </c>
      <c r="T185" s="31">
        <v>0</v>
      </c>
      <c r="U185" s="31">
        <v>0</v>
      </c>
      <c r="V185" s="31">
        <v>2152.15</v>
      </c>
      <c r="W185" s="31">
        <v>736.95</v>
      </c>
      <c r="X185" s="31">
        <v>0</v>
      </c>
      <c r="Y185" s="31">
        <v>6608.17</v>
      </c>
    </row>
    <row r="186" spans="1:25" x14ac:dyDescent="0.2">
      <c r="A186" s="24" t="s">
        <v>33</v>
      </c>
      <c r="B186" s="24">
        <v>600</v>
      </c>
      <c r="C186" s="24">
        <v>1</v>
      </c>
      <c r="D186" s="24" t="s">
        <v>262</v>
      </c>
      <c r="E186" s="30">
        <v>60</v>
      </c>
      <c r="F186" s="30" t="s">
        <v>59</v>
      </c>
      <c r="G186" s="24">
        <v>15</v>
      </c>
      <c r="H186" s="24">
        <v>67</v>
      </c>
      <c r="I186" s="30" t="s">
        <v>50</v>
      </c>
      <c r="J186" s="31">
        <v>1027.08</v>
      </c>
      <c r="K186" s="31">
        <v>1339.4</v>
      </c>
      <c r="L186" s="31">
        <v>2366.48</v>
      </c>
      <c r="M186" s="31">
        <v>2133.17</v>
      </c>
      <c r="N186" s="31">
        <v>13912.58</v>
      </c>
      <c r="O186" s="31">
        <v>16045.75</v>
      </c>
      <c r="P186" s="31">
        <v>4011.44</v>
      </c>
      <c r="Q186" s="31">
        <v>0.37</v>
      </c>
      <c r="R186" s="31">
        <v>0</v>
      </c>
      <c r="S186" s="31">
        <v>-5757.92</v>
      </c>
      <c r="T186" s="31">
        <v>0</v>
      </c>
      <c r="U186" s="31">
        <v>0</v>
      </c>
      <c r="V186" s="31">
        <v>-4491.26</v>
      </c>
      <c r="W186" s="31">
        <v>-3416.27</v>
      </c>
      <c r="X186" s="31">
        <v>0</v>
      </c>
      <c r="Y186" s="31">
        <v>2366.48</v>
      </c>
    </row>
    <row r="187" spans="1:25" x14ac:dyDescent="0.2">
      <c r="A187" s="24" t="s">
        <v>33</v>
      </c>
      <c r="B187" s="24">
        <v>601</v>
      </c>
      <c r="C187" s="24">
        <v>1</v>
      </c>
      <c r="D187" s="24" t="s">
        <v>263</v>
      </c>
      <c r="E187" s="30">
        <v>60</v>
      </c>
      <c r="F187" s="30" t="s">
        <v>59</v>
      </c>
      <c r="G187" s="24">
        <v>48</v>
      </c>
      <c r="H187" s="24">
        <v>285</v>
      </c>
      <c r="I187" s="30" t="s">
        <v>50</v>
      </c>
      <c r="J187" s="31">
        <v>3286.67</v>
      </c>
      <c r="K187" s="31">
        <v>5697.45</v>
      </c>
      <c r="L187" s="31">
        <v>8984.1200000000008</v>
      </c>
      <c r="M187" s="31">
        <v>9699.84</v>
      </c>
      <c r="N187" s="31">
        <v>4100.1400000000003</v>
      </c>
      <c r="O187" s="31">
        <v>13799.98</v>
      </c>
      <c r="P187" s="31">
        <v>3450</v>
      </c>
      <c r="Q187" s="31">
        <v>303.72000000000003</v>
      </c>
      <c r="R187" s="31">
        <v>0</v>
      </c>
      <c r="S187" s="31">
        <v>-816.59</v>
      </c>
      <c r="T187" s="31">
        <v>0</v>
      </c>
      <c r="U187" s="31">
        <v>0</v>
      </c>
      <c r="V187" s="31">
        <v>2615.52</v>
      </c>
      <c r="W187" s="31">
        <v>700.88</v>
      </c>
      <c r="X187" s="31">
        <v>0</v>
      </c>
      <c r="Y187" s="31">
        <v>8984.1200000000008</v>
      </c>
    </row>
    <row r="188" spans="1:25" x14ac:dyDescent="0.2">
      <c r="A188" s="24" t="s">
        <v>33</v>
      </c>
      <c r="B188" s="24">
        <v>611</v>
      </c>
      <c r="C188" s="24">
        <v>1</v>
      </c>
      <c r="D188" s="24" t="s">
        <v>264</v>
      </c>
      <c r="E188" s="30">
        <v>61</v>
      </c>
      <c r="F188" s="30" t="s">
        <v>60</v>
      </c>
      <c r="G188" s="24">
        <v>3</v>
      </c>
      <c r="H188" s="24">
        <v>31</v>
      </c>
      <c r="I188" s="30" t="s">
        <v>50</v>
      </c>
      <c r="J188" s="31">
        <v>205.42</v>
      </c>
      <c r="K188" s="31">
        <v>619.72</v>
      </c>
      <c r="L188" s="31">
        <v>825.14</v>
      </c>
      <c r="M188" s="31">
        <v>1136.1300000000001</v>
      </c>
      <c r="N188" s="31">
        <v>0</v>
      </c>
      <c r="O188" s="31">
        <v>1136.1300000000001</v>
      </c>
      <c r="P188" s="31">
        <v>284.02999999999997</v>
      </c>
      <c r="Q188" s="31">
        <v>479.1</v>
      </c>
      <c r="R188" s="31">
        <v>0</v>
      </c>
      <c r="S188" s="31">
        <v>122.03</v>
      </c>
      <c r="T188" s="31">
        <v>399.2</v>
      </c>
      <c r="U188" s="31">
        <v>0</v>
      </c>
      <c r="V188" s="31">
        <v>858.96</v>
      </c>
      <c r="W188" s="31">
        <v>353.63</v>
      </c>
      <c r="X188" s="31">
        <v>69.599999999999994</v>
      </c>
      <c r="Y188" s="31">
        <v>755.54</v>
      </c>
    </row>
    <row r="189" spans="1:25" x14ac:dyDescent="0.2">
      <c r="A189" s="24" t="s">
        <v>33</v>
      </c>
      <c r="B189" s="24">
        <v>621</v>
      </c>
      <c r="C189" s="24">
        <v>1</v>
      </c>
      <c r="D189" s="24" t="s">
        <v>265</v>
      </c>
      <c r="E189" s="30">
        <v>62</v>
      </c>
      <c r="F189" s="30" t="s">
        <v>56</v>
      </c>
      <c r="G189" s="24">
        <v>1042</v>
      </c>
      <c r="H189" s="24">
        <v>2210</v>
      </c>
      <c r="I189" s="30" t="s">
        <v>50</v>
      </c>
      <c r="J189" s="31">
        <v>71348.08</v>
      </c>
      <c r="K189" s="31">
        <v>44180.22</v>
      </c>
      <c r="L189" s="31">
        <v>115528.3</v>
      </c>
      <c r="M189" s="31">
        <v>101083.07</v>
      </c>
      <c r="N189" s="31">
        <v>13383</v>
      </c>
      <c r="O189" s="31">
        <v>114466.07</v>
      </c>
      <c r="P189" s="31">
        <v>28616.52</v>
      </c>
      <c r="Q189" s="31">
        <v>3049.97</v>
      </c>
      <c r="R189" s="31">
        <v>0</v>
      </c>
      <c r="S189" s="31">
        <v>10111.709999999999</v>
      </c>
      <c r="T189" s="31">
        <v>0</v>
      </c>
      <c r="U189" s="31">
        <v>0</v>
      </c>
      <c r="V189" s="31">
        <v>12603.23</v>
      </c>
      <c r="W189" s="31">
        <v>8588.2999999999993</v>
      </c>
      <c r="X189" s="31">
        <v>0</v>
      </c>
      <c r="Y189" s="31">
        <v>115528.3</v>
      </c>
    </row>
    <row r="190" spans="1:25" x14ac:dyDescent="0.2">
      <c r="A190" s="24" t="s">
        <v>33</v>
      </c>
      <c r="B190" s="24">
        <v>622</v>
      </c>
      <c r="C190" s="24">
        <v>1</v>
      </c>
      <c r="D190" s="24" t="s">
        <v>266</v>
      </c>
      <c r="E190" s="30">
        <v>62</v>
      </c>
      <c r="F190" s="30" t="s">
        <v>56</v>
      </c>
      <c r="G190" s="24">
        <v>844</v>
      </c>
      <c r="H190" s="24">
        <v>3770</v>
      </c>
      <c r="I190" s="30" t="s">
        <v>50</v>
      </c>
      <c r="J190" s="31">
        <v>57790.57</v>
      </c>
      <c r="K190" s="31">
        <v>75366.259999999995</v>
      </c>
      <c r="L190" s="31">
        <v>133156.82999999999</v>
      </c>
      <c r="M190" s="31">
        <v>135602.45000000001</v>
      </c>
      <c r="N190" s="31">
        <v>2679</v>
      </c>
      <c r="O190" s="31">
        <v>138281.45000000001</v>
      </c>
      <c r="P190" s="31">
        <v>34570.36</v>
      </c>
      <c r="Q190" s="31">
        <v>20709.54</v>
      </c>
      <c r="R190" s="31">
        <v>0</v>
      </c>
      <c r="S190" s="31">
        <v>51407.03</v>
      </c>
      <c r="T190" s="31">
        <v>0</v>
      </c>
      <c r="U190" s="31">
        <v>0</v>
      </c>
      <c r="V190" s="31">
        <v>29573.01</v>
      </c>
      <c r="W190" s="31">
        <v>33896.53</v>
      </c>
      <c r="X190" s="31">
        <v>0</v>
      </c>
      <c r="Y190" s="31">
        <v>133156.82999999999</v>
      </c>
    </row>
    <row r="191" spans="1:25" x14ac:dyDescent="0.2">
      <c r="A191" s="24" t="s">
        <v>33</v>
      </c>
      <c r="B191" s="24">
        <v>623</v>
      </c>
      <c r="C191" s="24">
        <v>1</v>
      </c>
      <c r="D191" s="24" t="s">
        <v>267</v>
      </c>
      <c r="E191" s="30">
        <v>62</v>
      </c>
      <c r="F191" s="30" t="s">
        <v>56</v>
      </c>
      <c r="G191" s="24">
        <v>490</v>
      </c>
      <c r="H191" s="24">
        <v>2348</v>
      </c>
      <c r="I191" s="30" t="s">
        <v>50</v>
      </c>
      <c r="J191" s="31">
        <v>33551.4</v>
      </c>
      <c r="K191" s="31">
        <v>46938.98</v>
      </c>
      <c r="L191" s="31">
        <v>80490.38</v>
      </c>
      <c r="M191" s="31">
        <v>77690.710000000006</v>
      </c>
      <c r="N191" s="31">
        <v>3864.55</v>
      </c>
      <c r="O191" s="31">
        <v>81555.259999999995</v>
      </c>
      <c r="P191" s="31">
        <v>20388.82</v>
      </c>
      <c r="Q191" s="31">
        <v>5795.69</v>
      </c>
      <c r="R191" s="31">
        <v>0</v>
      </c>
      <c r="S191" s="31">
        <v>13164.52</v>
      </c>
      <c r="T191" s="31">
        <v>0</v>
      </c>
      <c r="U191" s="31">
        <v>0</v>
      </c>
      <c r="V191" s="31">
        <v>24667.43</v>
      </c>
      <c r="W191" s="31">
        <v>14542.55</v>
      </c>
      <c r="X191" s="31">
        <v>0</v>
      </c>
      <c r="Y191" s="31">
        <v>80490.38</v>
      </c>
    </row>
    <row r="192" spans="1:25" x14ac:dyDescent="0.2">
      <c r="A192" s="24" t="s">
        <v>33</v>
      </c>
      <c r="B192" s="24">
        <v>624</v>
      </c>
      <c r="C192" s="24">
        <v>1</v>
      </c>
      <c r="D192" s="24" t="s">
        <v>268</v>
      </c>
      <c r="E192" s="30">
        <v>62</v>
      </c>
      <c r="F192" s="30" t="s">
        <v>56</v>
      </c>
      <c r="G192" s="24">
        <v>489</v>
      </c>
      <c r="H192" s="24">
        <v>2018</v>
      </c>
      <c r="I192" s="30" t="s">
        <v>50</v>
      </c>
      <c r="J192" s="31">
        <v>33482.93</v>
      </c>
      <c r="K192" s="31">
        <v>40341.94</v>
      </c>
      <c r="L192" s="31">
        <v>73824.87</v>
      </c>
      <c r="M192" s="31">
        <v>85736.23</v>
      </c>
      <c r="N192" s="31">
        <v>557</v>
      </c>
      <c r="O192" s="31">
        <v>86293.23</v>
      </c>
      <c r="P192" s="31">
        <v>21573.31</v>
      </c>
      <c r="Q192" s="31">
        <v>-5365</v>
      </c>
      <c r="R192" s="31">
        <v>0</v>
      </c>
      <c r="S192" s="31">
        <v>-42027</v>
      </c>
      <c r="T192" s="31">
        <v>0</v>
      </c>
      <c r="U192" s="31">
        <v>0</v>
      </c>
      <c r="V192" s="31">
        <v>0</v>
      </c>
      <c r="W192" s="31">
        <v>-15797.33</v>
      </c>
      <c r="X192" s="31">
        <v>0</v>
      </c>
      <c r="Y192" s="31">
        <v>73824.87</v>
      </c>
    </row>
    <row r="193" spans="1:25" x14ac:dyDescent="0.2">
      <c r="A193" s="24" t="s">
        <v>33</v>
      </c>
      <c r="B193" s="24">
        <v>625</v>
      </c>
      <c r="C193" s="24">
        <v>1</v>
      </c>
      <c r="D193" s="24" t="s">
        <v>269</v>
      </c>
      <c r="E193" s="30">
        <v>62</v>
      </c>
      <c r="F193" s="30" t="s">
        <v>56</v>
      </c>
      <c r="G193" s="24">
        <v>4320</v>
      </c>
      <c r="H193" s="24">
        <v>26990</v>
      </c>
      <c r="I193" s="30" t="s">
        <v>50</v>
      </c>
      <c r="J193" s="31">
        <v>295800.09999999998</v>
      </c>
      <c r="K193" s="31">
        <v>539558.41</v>
      </c>
      <c r="L193" s="31">
        <v>835358.51</v>
      </c>
      <c r="M193" s="31">
        <v>875132.01</v>
      </c>
      <c r="N193" s="31">
        <v>1447591.45</v>
      </c>
      <c r="O193" s="31">
        <v>2322723.46</v>
      </c>
      <c r="P193" s="31">
        <v>580680.87</v>
      </c>
      <c r="Q193" s="31">
        <v>224509.82</v>
      </c>
      <c r="R193" s="31">
        <v>0</v>
      </c>
      <c r="S193" s="31">
        <v>216962.8</v>
      </c>
      <c r="T193" s="31">
        <v>0</v>
      </c>
      <c r="U193" s="31">
        <v>0</v>
      </c>
      <c r="V193" s="31">
        <v>554314.23</v>
      </c>
      <c r="W193" s="31">
        <v>331928.95</v>
      </c>
      <c r="X193" s="31">
        <v>0</v>
      </c>
      <c r="Y193" s="31">
        <v>835358.51</v>
      </c>
    </row>
    <row r="194" spans="1:25" x14ac:dyDescent="0.2">
      <c r="A194" s="24" t="s">
        <v>33</v>
      </c>
      <c r="B194" s="24">
        <v>627</v>
      </c>
      <c r="C194" s="24">
        <v>1</v>
      </c>
      <c r="D194" s="24" t="s">
        <v>270</v>
      </c>
      <c r="E194" s="30">
        <v>63</v>
      </c>
      <c r="F194" s="30" t="s">
        <v>59</v>
      </c>
      <c r="G194" s="24">
        <v>20</v>
      </c>
      <c r="H194" s="24">
        <v>97</v>
      </c>
      <c r="I194" s="30" t="s">
        <v>50</v>
      </c>
      <c r="J194" s="31">
        <v>1369.44</v>
      </c>
      <c r="K194" s="31">
        <v>1939.13</v>
      </c>
      <c r="L194" s="31">
        <v>3308.57</v>
      </c>
      <c r="M194" s="31">
        <v>2919.8</v>
      </c>
      <c r="N194" s="31">
        <v>277</v>
      </c>
      <c r="O194" s="31">
        <v>3196.8</v>
      </c>
      <c r="P194" s="31">
        <v>799.2</v>
      </c>
      <c r="Q194" s="31">
        <v>242.96</v>
      </c>
      <c r="R194" s="31">
        <v>0</v>
      </c>
      <c r="S194" s="31">
        <v>50.24</v>
      </c>
      <c r="T194" s="31">
        <v>0</v>
      </c>
      <c r="U194" s="31">
        <v>0</v>
      </c>
      <c r="V194" s="31">
        <v>0.46</v>
      </c>
      <c r="W194" s="31">
        <v>97.89</v>
      </c>
      <c r="X194" s="31">
        <v>0</v>
      </c>
      <c r="Y194" s="31">
        <v>3308.57</v>
      </c>
    </row>
    <row r="195" spans="1:25" x14ac:dyDescent="0.2">
      <c r="A195" s="24" t="s">
        <v>33</v>
      </c>
      <c r="B195" s="24">
        <v>628</v>
      </c>
      <c r="C195" s="24">
        <v>1</v>
      </c>
      <c r="D195" s="24" t="s">
        <v>271</v>
      </c>
      <c r="E195" s="30">
        <v>63</v>
      </c>
      <c r="F195" s="30" t="s">
        <v>59</v>
      </c>
      <c r="G195" s="24">
        <v>11</v>
      </c>
      <c r="H195" s="24">
        <v>115</v>
      </c>
      <c r="I195" s="30" t="s">
        <v>50</v>
      </c>
      <c r="J195" s="31">
        <v>753.19</v>
      </c>
      <c r="K195" s="31">
        <v>2298.9699999999998</v>
      </c>
      <c r="L195" s="31">
        <v>3052.16</v>
      </c>
      <c r="M195" s="31">
        <v>3035.24</v>
      </c>
      <c r="N195" s="31">
        <v>0</v>
      </c>
      <c r="O195" s="31">
        <v>3035.24</v>
      </c>
      <c r="P195" s="31">
        <v>758.81</v>
      </c>
      <c r="Q195" s="31">
        <v>-513.33000000000004</v>
      </c>
      <c r="R195" s="31">
        <v>0</v>
      </c>
      <c r="S195" s="31">
        <v>-413.9</v>
      </c>
      <c r="T195" s="31">
        <v>0</v>
      </c>
      <c r="U195" s="31">
        <v>0</v>
      </c>
      <c r="V195" s="31">
        <v>0</v>
      </c>
      <c r="W195" s="31">
        <v>-309.08</v>
      </c>
      <c r="X195" s="31">
        <v>0</v>
      </c>
      <c r="Y195" s="31">
        <v>3052.16</v>
      </c>
    </row>
    <row r="196" spans="1:25" x14ac:dyDescent="0.2">
      <c r="A196" s="24" t="s">
        <v>33</v>
      </c>
      <c r="B196" s="24">
        <v>630</v>
      </c>
      <c r="C196" s="24">
        <v>1</v>
      </c>
      <c r="D196" s="24" t="s">
        <v>272</v>
      </c>
      <c r="E196" s="30">
        <v>63</v>
      </c>
      <c r="F196" s="30" t="s">
        <v>59</v>
      </c>
      <c r="G196" s="24">
        <v>41</v>
      </c>
      <c r="H196" s="24">
        <v>163</v>
      </c>
      <c r="I196" s="30" t="s">
        <v>50</v>
      </c>
      <c r="J196" s="31">
        <v>2807.36</v>
      </c>
      <c r="K196" s="31">
        <v>3258.54</v>
      </c>
      <c r="L196" s="31">
        <v>6065.9</v>
      </c>
      <c r="M196" s="31">
        <v>5721.6</v>
      </c>
      <c r="N196" s="31">
        <v>2275</v>
      </c>
      <c r="O196" s="31">
        <v>7996.6</v>
      </c>
      <c r="P196" s="31">
        <v>1999.15</v>
      </c>
      <c r="Q196" s="31">
        <v>-4691.57</v>
      </c>
      <c r="R196" s="31">
        <v>0</v>
      </c>
      <c r="S196" s="31">
        <v>-12850.38</v>
      </c>
      <c r="T196" s="31">
        <v>0</v>
      </c>
      <c r="U196" s="31">
        <v>0</v>
      </c>
      <c r="V196" s="31">
        <v>-14642.47</v>
      </c>
      <c r="W196" s="31">
        <v>-10728.14</v>
      </c>
      <c r="X196" s="31">
        <v>0</v>
      </c>
      <c r="Y196" s="31">
        <v>6065.9</v>
      </c>
    </row>
    <row r="197" spans="1:25" x14ac:dyDescent="0.2">
      <c r="A197" s="24" t="s">
        <v>33</v>
      </c>
      <c r="B197" s="24">
        <v>635</v>
      </c>
      <c r="C197" s="24">
        <v>1</v>
      </c>
      <c r="D197" s="24" t="s">
        <v>273</v>
      </c>
      <c r="E197" s="30">
        <v>64</v>
      </c>
      <c r="F197" s="30" t="s">
        <v>65</v>
      </c>
      <c r="G197" s="24">
        <v>11</v>
      </c>
      <c r="H197" s="24">
        <v>15</v>
      </c>
      <c r="I197" s="30" t="s">
        <v>50</v>
      </c>
      <c r="J197" s="31">
        <v>753.19</v>
      </c>
      <c r="K197" s="31">
        <v>299.87</v>
      </c>
      <c r="L197" s="31">
        <v>1053.06</v>
      </c>
      <c r="M197" s="31">
        <v>1063.22</v>
      </c>
      <c r="N197" s="31">
        <v>0</v>
      </c>
      <c r="O197" s="31">
        <v>1063.22</v>
      </c>
      <c r="P197" s="31">
        <v>265.81</v>
      </c>
      <c r="Q197" s="31">
        <v>-12768.7</v>
      </c>
      <c r="R197" s="31">
        <v>0</v>
      </c>
      <c r="S197" s="31">
        <v>-11651.79</v>
      </c>
      <c r="T197" s="31">
        <v>0</v>
      </c>
      <c r="U197" s="31">
        <v>0</v>
      </c>
      <c r="V197" s="31">
        <v>-11651.79</v>
      </c>
      <c r="W197" s="31">
        <v>-12024.09</v>
      </c>
      <c r="X197" s="31">
        <v>0</v>
      </c>
      <c r="Y197" s="31">
        <v>1053.06</v>
      </c>
    </row>
    <row r="198" spans="1:25" x14ac:dyDescent="0.2">
      <c r="A198" s="24" t="s">
        <v>33</v>
      </c>
      <c r="B198" s="24">
        <v>640</v>
      </c>
      <c r="C198" s="24">
        <v>1</v>
      </c>
      <c r="D198" s="24" t="s">
        <v>274</v>
      </c>
      <c r="E198" s="30">
        <v>64</v>
      </c>
      <c r="F198" s="30" t="s">
        <v>65</v>
      </c>
      <c r="G198" s="24">
        <v>33</v>
      </c>
      <c r="H198" s="24">
        <v>112</v>
      </c>
      <c r="I198" s="30" t="s">
        <v>50</v>
      </c>
      <c r="J198" s="31">
        <v>2259.58</v>
      </c>
      <c r="K198" s="31">
        <v>2239</v>
      </c>
      <c r="L198" s="31">
        <v>4498.58</v>
      </c>
      <c r="M198" s="31">
        <v>4622.2299999999996</v>
      </c>
      <c r="N198" s="31">
        <v>10978.9</v>
      </c>
      <c r="O198" s="31">
        <v>15601.13</v>
      </c>
      <c r="P198" s="31">
        <v>3900.28</v>
      </c>
      <c r="Q198" s="31">
        <v>462.53</v>
      </c>
      <c r="R198" s="31">
        <v>0</v>
      </c>
      <c r="S198" s="31">
        <v>2490.06</v>
      </c>
      <c r="T198" s="31">
        <v>0</v>
      </c>
      <c r="U198" s="31">
        <v>0</v>
      </c>
      <c r="V198" s="31">
        <v>-765.17</v>
      </c>
      <c r="W198" s="31">
        <v>729.14</v>
      </c>
      <c r="X198" s="31">
        <v>0</v>
      </c>
      <c r="Y198" s="31">
        <v>4498.58</v>
      </c>
    </row>
    <row r="199" spans="1:25" x14ac:dyDescent="0.2">
      <c r="A199" s="24" t="s">
        <v>33</v>
      </c>
      <c r="B199" s="24">
        <v>656</v>
      </c>
      <c r="C199" s="24">
        <v>1</v>
      </c>
      <c r="D199" s="24" t="s">
        <v>275</v>
      </c>
      <c r="E199" s="30">
        <v>66</v>
      </c>
      <c r="F199" s="30" t="s">
        <v>61</v>
      </c>
      <c r="G199" s="24">
        <v>391</v>
      </c>
      <c r="H199" s="24">
        <v>1717</v>
      </c>
      <c r="I199" s="30" t="s">
        <v>50</v>
      </c>
      <c r="J199" s="31">
        <v>26772.65</v>
      </c>
      <c r="K199" s="31">
        <v>34324.629999999997</v>
      </c>
      <c r="L199" s="31">
        <v>61097.279999999999</v>
      </c>
      <c r="M199" s="31">
        <v>59610.1</v>
      </c>
      <c r="N199" s="31">
        <v>29058.7</v>
      </c>
      <c r="O199" s="31">
        <v>88668.800000000003</v>
      </c>
      <c r="P199" s="31">
        <v>22167.200000000001</v>
      </c>
      <c r="Q199" s="31">
        <v>4726.75</v>
      </c>
      <c r="R199" s="31">
        <v>0</v>
      </c>
      <c r="S199" s="31">
        <v>-1480.9</v>
      </c>
      <c r="T199" s="31">
        <v>0</v>
      </c>
      <c r="U199" s="31">
        <v>0</v>
      </c>
      <c r="V199" s="31">
        <v>-10793.22</v>
      </c>
      <c r="W199" s="31">
        <v>-2515.79</v>
      </c>
      <c r="X199" s="31">
        <v>0</v>
      </c>
      <c r="Y199" s="31">
        <v>61097.279999999999</v>
      </c>
    </row>
    <row r="200" spans="1:25" x14ac:dyDescent="0.2">
      <c r="A200" s="24" t="s">
        <v>33</v>
      </c>
      <c r="B200" s="24">
        <v>659</v>
      </c>
      <c r="C200" s="24">
        <v>1</v>
      </c>
      <c r="D200" s="24" t="s">
        <v>276</v>
      </c>
      <c r="E200" s="30">
        <v>66</v>
      </c>
      <c r="F200" s="30" t="s">
        <v>61</v>
      </c>
      <c r="G200" s="24">
        <v>345</v>
      </c>
      <c r="H200" s="24">
        <v>727</v>
      </c>
      <c r="I200" s="30" t="s">
        <v>50</v>
      </c>
      <c r="J200" s="31">
        <v>23622.92</v>
      </c>
      <c r="K200" s="31">
        <v>14533.49</v>
      </c>
      <c r="L200" s="31">
        <v>38156.410000000003</v>
      </c>
      <c r="M200" s="31">
        <v>37553.03</v>
      </c>
      <c r="N200" s="31">
        <v>97872.95</v>
      </c>
      <c r="O200" s="31">
        <v>135425.98000000001</v>
      </c>
      <c r="P200" s="31">
        <v>33856.5</v>
      </c>
      <c r="Q200" s="31">
        <v>10483.16</v>
      </c>
      <c r="R200" s="31">
        <v>0</v>
      </c>
      <c r="S200" s="31">
        <v>-9329.83</v>
      </c>
      <c r="T200" s="31">
        <v>0</v>
      </c>
      <c r="U200" s="31">
        <v>0</v>
      </c>
      <c r="V200" s="31">
        <v>-42608.19</v>
      </c>
      <c r="W200" s="31">
        <v>-13818.29</v>
      </c>
      <c r="X200" s="31">
        <v>0</v>
      </c>
      <c r="Y200" s="31">
        <v>38156.410000000003</v>
      </c>
    </row>
    <row r="201" spans="1:25" x14ac:dyDescent="0.2">
      <c r="A201" s="24" t="s">
        <v>33</v>
      </c>
      <c r="B201" s="24">
        <v>671</v>
      </c>
      <c r="C201" s="24">
        <v>1</v>
      </c>
      <c r="D201" s="24" t="s">
        <v>277</v>
      </c>
      <c r="E201" s="30">
        <v>67</v>
      </c>
      <c r="F201" s="30" t="s">
        <v>65</v>
      </c>
      <c r="G201" s="24">
        <v>36</v>
      </c>
      <c r="H201" s="24">
        <v>89</v>
      </c>
      <c r="I201" s="30" t="s">
        <v>50</v>
      </c>
      <c r="J201" s="31">
        <v>2465</v>
      </c>
      <c r="K201" s="31">
        <v>1779.2</v>
      </c>
      <c r="L201" s="31">
        <v>4244.2</v>
      </c>
      <c r="M201" s="31">
        <v>4569.78</v>
      </c>
      <c r="N201" s="31">
        <v>3985.82</v>
      </c>
      <c r="O201" s="31">
        <v>8555.6</v>
      </c>
      <c r="P201" s="31">
        <v>2138.9</v>
      </c>
      <c r="Q201" s="31">
        <v>4959.54</v>
      </c>
      <c r="R201" s="31">
        <v>1974.24</v>
      </c>
      <c r="S201" s="31">
        <v>8414.33</v>
      </c>
      <c r="T201" s="31">
        <v>2551.42</v>
      </c>
      <c r="U201" s="31">
        <v>0</v>
      </c>
      <c r="V201" s="31">
        <v>12173.97</v>
      </c>
      <c r="W201" s="31">
        <v>7007.39</v>
      </c>
      <c r="X201" s="31">
        <v>4244.2</v>
      </c>
      <c r="Y201" s="31">
        <v>0</v>
      </c>
    </row>
    <row r="202" spans="1:25" x14ac:dyDescent="0.2">
      <c r="A202" s="24" t="s">
        <v>33</v>
      </c>
      <c r="B202" s="24">
        <v>676</v>
      </c>
      <c r="C202" s="24">
        <v>1</v>
      </c>
      <c r="D202" s="24" t="s">
        <v>278</v>
      </c>
      <c r="E202" s="30">
        <v>68</v>
      </c>
      <c r="F202" s="30" t="s">
        <v>59</v>
      </c>
      <c r="G202" s="24">
        <v>12</v>
      </c>
      <c r="H202" s="24">
        <v>114</v>
      </c>
      <c r="I202" s="30" t="s">
        <v>50</v>
      </c>
      <c r="J202" s="31">
        <v>821.67</v>
      </c>
      <c r="K202" s="31">
        <v>2278.98</v>
      </c>
      <c r="L202" s="31">
        <v>3100.65</v>
      </c>
      <c r="M202" s="31">
        <v>3865.99</v>
      </c>
      <c r="N202" s="31">
        <v>0</v>
      </c>
      <c r="O202" s="31">
        <v>3865.99</v>
      </c>
      <c r="P202" s="31">
        <v>966.5</v>
      </c>
      <c r="Q202" s="31">
        <v>0</v>
      </c>
      <c r="R202" s="31">
        <v>0</v>
      </c>
      <c r="S202" s="31">
        <v>-429.2</v>
      </c>
      <c r="T202" s="31">
        <v>0</v>
      </c>
      <c r="U202" s="31">
        <v>0</v>
      </c>
      <c r="V202" s="31">
        <v>1.18</v>
      </c>
      <c r="W202" s="31">
        <v>-142.66999999999999</v>
      </c>
      <c r="X202" s="31">
        <v>0</v>
      </c>
      <c r="Y202" s="31">
        <v>3100.65</v>
      </c>
    </row>
    <row r="203" spans="1:25" x14ac:dyDescent="0.2">
      <c r="A203" s="24" t="s">
        <v>33</v>
      </c>
      <c r="B203" s="24">
        <v>682</v>
      </c>
      <c r="C203" s="24">
        <v>1</v>
      </c>
      <c r="D203" s="24" t="s">
        <v>279</v>
      </c>
      <c r="E203" s="30">
        <v>68</v>
      </c>
      <c r="F203" s="30" t="s">
        <v>59</v>
      </c>
      <c r="G203" s="24">
        <v>106</v>
      </c>
      <c r="H203" s="24">
        <v>314</v>
      </c>
      <c r="I203" s="30" t="s">
        <v>50</v>
      </c>
      <c r="J203" s="31">
        <v>7258.06</v>
      </c>
      <c r="K203" s="31">
        <v>6277.19</v>
      </c>
      <c r="L203" s="31">
        <v>13535.25</v>
      </c>
      <c r="M203" s="31">
        <v>13612.17</v>
      </c>
      <c r="N203" s="31">
        <v>26155</v>
      </c>
      <c r="O203" s="31">
        <v>39767.17</v>
      </c>
      <c r="P203" s="31">
        <v>9941.7900000000009</v>
      </c>
      <c r="Q203" s="31">
        <v>0</v>
      </c>
      <c r="R203" s="31">
        <v>0</v>
      </c>
      <c r="S203" s="31">
        <v>0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13535.25</v>
      </c>
    </row>
    <row r="204" spans="1:25" x14ac:dyDescent="0.2">
      <c r="A204" s="24" t="s">
        <v>33</v>
      </c>
      <c r="B204" s="24">
        <v>690</v>
      </c>
      <c r="C204" s="24">
        <v>1</v>
      </c>
      <c r="D204" s="24" t="s">
        <v>280</v>
      </c>
      <c r="E204" s="30">
        <v>68</v>
      </c>
      <c r="F204" s="30" t="s">
        <v>59</v>
      </c>
      <c r="G204" s="24">
        <v>82</v>
      </c>
      <c r="H204" s="24">
        <v>356</v>
      </c>
      <c r="I204" s="30" t="s">
        <v>50</v>
      </c>
      <c r="J204" s="31">
        <v>5614.72</v>
      </c>
      <c r="K204" s="31">
        <v>7116.81</v>
      </c>
      <c r="L204" s="31">
        <v>12731.53</v>
      </c>
      <c r="M204" s="31">
        <v>14607.62</v>
      </c>
      <c r="N204" s="31">
        <v>49953</v>
      </c>
      <c r="O204" s="31">
        <v>64560.62</v>
      </c>
      <c r="P204" s="31">
        <v>16140.16</v>
      </c>
      <c r="Q204" s="31">
        <v>-22966.31</v>
      </c>
      <c r="R204" s="31">
        <v>0</v>
      </c>
      <c r="S204" s="31">
        <v>-6264.05</v>
      </c>
      <c r="T204" s="31">
        <v>0</v>
      </c>
      <c r="U204" s="31">
        <v>0</v>
      </c>
      <c r="V204" s="31">
        <v>-9107.58</v>
      </c>
      <c r="W204" s="31">
        <v>-12779.31</v>
      </c>
      <c r="X204" s="31">
        <v>0</v>
      </c>
      <c r="Y204" s="31">
        <v>12731.53</v>
      </c>
    </row>
    <row r="205" spans="1:25" x14ac:dyDescent="0.2">
      <c r="A205" s="24" t="s">
        <v>33</v>
      </c>
      <c r="B205" s="24">
        <v>695</v>
      </c>
      <c r="C205" s="24">
        <v>1</v>
      </c>
      <c r="D205" s="24" t="s">
        <v>281</v>
      </c>
      <c r="E205" s="30">
        <v>69</v>
      </c>
      <c r="F205" s="30" t="s">
        <v>58</v>
      </c>
      <c r="G205" s="24">
        <v>76</v>
      </c>
      <c r="H205" s="24">
        <v>326</v>
      </c>
      <c r="I205" s="30" t="s">
        <v>50</v>
      </c>
      <c r="J205" s="31">
        <v>5203.8900000000003</v>
      </c>
      <c r="K205" s="31">
        <v>6517.08</v>
      </c>
      <c r="L205" s="31">
        <v>11720.97</v>
      </c>
      <c r="M205" s="31">
        <v>11746.02</v>
      </c>
      <c r="N205" s="31">
        <v>3191</v>
      </c>
      <c r="O205" s="31">
        <v>14937.02</v>
      </c>
      <c r="P205" s="31">
        <v>3734.26</v>
      </c>
      <c r="Q205" s="31">
        <v>-4918.79</v>
      </c>
      <c r="R205" s="31">
        <v>0</v>
      </c>
      <c r="S205" s="31">
        <v>253.02</v>
      </c>
      <c r="T205" s="31">
        <v>0</v>
      </c>
      <c r="U205" s="31">
        <v>0</v>
      </c>
      <c r="V205" s="31">
        <v>4289.25</v>
      </c>
      <c r="W205" s="31">
        <v>-125.51</v>
      </c>
      <c r="X205" s="31">
        <v>0</v>
      </c>
      <c r="Y205" s="31">
        <v>11720.97</v>
      </c>
    </row>
    <row r="206" spans="1:25" x14ac:dyDescent="0.2">
      <c r="A206" s="24" t="s">
        <v>33</v>
      </c>
      <c r="B206" s="24">
        <v>696</v>
      </c>
      <c r="C206" s="24">
        <v>1</v>
      </c>
      <c r="D206" s="24" t="s">
        <v>282</v>
      </c>
      <c r="E206" s="30">
        <v>69</v>
      </c>
      <c r="F206" s="30" t="s">
        <v>58</v>
      </c>
      <c r="G206" s="24">
        <v>39</v>
      </c>
      <c r="H206" s="24">
        <v>189</v>
      </c>
      <c r="I206" s="30" t="s">
        <v>50</v>
      </c>
      <c r="J206" s="31">
        <v>2670.42</v>
      </c>
      <c r="K206" s="31">
        <v>3778.31</v>
      </c>
      <c r="L206" s="31">
        <v>6448.73</v>
      </c>
      <c r="M206" s="31">
        <v>6670.36</v>
      </c>
      <c r="N206" s="31">
        <v>85</v>
      </c>
      <c r="O206" s="31">
        <v>6755.36</v>
      </c>
      <c r="P206" s="31">
        <v>1688.84</v>
      </c>
      <c r="Q206" s="31">
        <v>1764.45</v>
      </c>
      <c r="R206" s="31">
        <v>0</v>
      </c>
      <c r="S206" s="31">
        <v>4145.4799999999996</v>
      </c>
      <c r="T206" s="31">
        <v>278.29000000000002</v>
      </c>
      <c r="U206" s="31">
        <v>0</v>
      </c>
      <c r="V206" s="31">
        <v>4183.8100000000004</v>
      </c>
      <c r="W206" s="31">
        <v>3271.82</v>
      </c>
      <c r="X206" s="31">
        <v>1582.98</v>
      </c>
      <c r="Y206" s="31">
        <v>4865.75</v>
      </c>
    </row>
    <row r="207" spans="1:25" x14ac:dyDescent="0.2">
      <c r="A207" s="24" t="s">
        <v>33</v>
      </c>
      <c r="B207" s="24">
        <v>698</v>
      </c>
      <c r="C207" s="24">
        <v>1</v>
      </c>
      <c r="D207" s="24" t="s">
        <v>283</v>
      </c>
      <c r="E207" s="30">
        <v>69</v>
      </c>
      <c r="F207" s="30" t="s">
        <v>58</v>
      </c>
      <c r="G207" s="24">
        <v>14</v>
      </c>
      <c r="H207" s="24">
        <v>108</v>
      </c>
      <c r="I207" s="30" t="s">
        <v>50</v>
      </c>
      <c r="J207" s="31">
        <v>958.61</v>
      </c>
      <c r="K207" s="31">
        <v>2159.0300000000002</v>
      </c>
      <c r="L207" s="31">
        <v>3117.64</v>
      </c>
      <c r="M207" s="31">
        <v>4150.92</v>
      </c>
      <c r="N207" s="31">
        <v>2349.5</v>
      </c>
      <c r="O207" s="31">
        <v>6500.42</v>
      </c>
      <c r="P207" s="31">
        <v>1625.11</v>
      </c>
      <c r="Q207" s="31">
        <v>-2156.5300000000002</v>
      </c>
      <c r="R207" s="31">
        <v>0</v>
      </c>
      <c r="S207" s="31">
        <v>248.24</v>
      </c>
      <c r="T207" s="31">
        <v>0</v>
      </c>
      <c r="U207" s="31">
        <v>0</v>
      </c>
      <c r="V207" s="31">
        <v>-661.18</v>
      </c>
      <c r="W207" s="31">
        <v>-856.49</v>
      </c>
      <c r="X207" s="31">
        <v>0</v>
      </c>
      <c r="Y207" s="31">
        <v>3117.64</v>
      </c>
    </row>
    <row r="208" spans="1:25" x14ac:dyDescent="0.2">
      <c r="A208" s="24" t="s">
        <v>33</v>
      </c>
      <c r="B208" s="24">
        <v>700</v>
      </c>
      <c r="C208" s="24">
        <v>1</v>
      </c>
      <c r="D208" s="24" t="s">
        <v>284</v>
      </c>
      <c r="E208" s="30">
        <v>69</v>
      </c>
      <c r="F208" s="30" t="s">
        <v>58</v>
      </c>
      <c r="G208" s="24">
        <v>125</v>
      </c>
      <c r="H208" s="24">
        <v>230</v>
      </c>
      <c r="I208" s="30" t="s">
        <v>50</v>
      </c>
      <c r="J208" s="31">
        <v>8559.0300000000007</v>
      </c>
      <c r="K208" s="31">
        <v>4597.9399999999996</v>
      </c>
      <c r="L208" s="31">
        <v>13156.97</v>
      </c>
      <c r="M208" s="31">
        <v>13217.22</v>
      </c>
      <c r="N208" s="31">
        <v>109995.98</v>
      </c>
      <c r="O208" s="31">
        <v>123213.2</v>
      </c>
      <c r="P208" s="31">
        <v>30803.3</v>
      </c>
      <c r="Q208" s="31">
        <v>23943.08</v>
      </c>
      <c r="R208" s="31">
        <v>0</v>
      </c>
      <c r="S208" s="31">
        <v>33431.269999999997</v>
      </c>
      <c r="T208" s="31">
        <v>0</v>
      </c>
      <c r="U208" s="31">
        <v>0</v>
      </c>
      <c r="V208" s="31">
        <v>22825.759999999998</v>
      </c>
      <c r="W208" s="31">
        <v>26733.37</v>
      </c>
      <c r="X208" s="31">
        <v>0</v>
      </c>
      <c r="Y208" s="31">
        <v>13156.97</v>
      </c>
    </row>
    <row r="209" spans="1:25" x14ac:dyDescent="0.2">
      <c r="A209" s="24" t="s">
        <v>33</v>
      </c>
      <c r="B209" s="24">
        <v>701</v>
      </c>
      <c r="C209" s="24">
        <v>1</v>
      </c>
      <c r="D209" s="24" t="s">
        <v>285</v>
      </c>
      <c r="E209" s="30">
        <v>69</v>
      </c>
      <c r="F209" s="30" t="s">
        <v>58</v>
      </c>
      <c r="G209" s="24">
        <v>202</v>
      </c>
      <c r="H209" s="24">
        <v>885</v>
      </c>
      <c r="I209" s="30" t="s">
        <v>50</v>
      </c>
      <c r="J209" s="31">
        <v>13831.39</v>
      </c>
      <c r="K209" s="31">
        <v>17692.080000000002</v>
      </c>
      <c r="L209" s="31">
        <v>31523.47</v>
      </c>
      <c r="M209" s="31">
        <v>31882.11</v>
      </c>
      <c r="N209" s="31">
        <v>11133.5</v>
      </c>
      <c r="O209" s="31">
        <v>43015.61</v>
      </c>
      <c r="P209" s="31">
        <v>10753.9</v>
      </c>
      <c r="Q209" s="31">
        <v>4561.09</v>
      </c>
      <c r="R209" s="31">
        <v>0</v>
      </c>
      <c r="S209" s="31">
        <v>2938.5</v>
      </c>
      <c r="T209" s="31">
        <v>0</v>
      </c>
      <c r="U209" s="31">
        <v>0</v>
      </c>
      <c r="V209" s="31">
        <v>2977.19</v>
      </c>
      <c r="W209" s="31">
        <v>3492.26</v>
      </c>
      <c r="X209" s="31">
        <v>0</v>
      </c>
      <c r="Y209" s="31">
        <v>31523.47</v>
      </c>
    </row>
    <row r="210" spans="1:25" x14ac:dyDescent="0.2">
      <c r="A210" s="24" t="s">
        <v>33</v>
      </c>
      <c r="B210" s="24">
        <v>704</v>
      </c>
      <c r="C210" s="24">
        <v>1</v>
      </c>
      <c r="D210" s="24" t="s">
        <v>286</v>
      </c>
      <c r="E210" s="30">
        <v>69</v>
      </c>
      <c r="F210" s="30" t="s">
        <v>58</v>
      </c>
      <c r="G210" s="24">
        <v>146</v>
      </c>
      <c r="H210" s="24">
        <v>427</v>
      </c>
      <c r="I210" s="30" t="s">
        <v>50</v>
      </c>
      <c r="J210" s="31">
        <v>9996.9500000000007</v>
      </c>
      <c r="K210" s="31">
        <v>8536.18</v>
      </c>
      <c r="L210" s="31">
        <v>18533.13</v>
      </c>
      <c r="M210" s="31">
        <v>17252.689999999999</v>
      </c>
      <c r="N210" s="31">
        <v>18830.32</v>
      </c>
      <c r="O210" s="31">
        <v>36083.01</v>
      </c>
      <c r="P210" s="31">
        <v>9020.75</v>
      </c>
      <c r="Q210" s="31">
        <v>-133.33000000000001</v>
      </c>
      <c r="R210" s="31">
        <v>506.98</v>
      </c>
      <c r="S210" s="31">
        <v>-3094.41</v>
      </c>
      <c r="T210" s="31">
        <v>0</v>
      </c>
      <c r="U210" s="31">
        <v>0</v>
      </c>
      <c r="V210" s="31">
        <v>-5004.66</v>
      </c>
      <c r="W210" s="31">
        <v>-2913.13</v>
      </c>
      <c r="X210" s="31">
        <v>0</v>
      </c>
      <c r="Y210" s="31">
        <v>18533.13</v>
      </c>
    </row>
    <row r="211" spans="1:25" x14ac:dyDescent="0.2">
      <c r="A211" s="24" t="s">
        <v>33</v>
      </c>
      <c r="B211" s="24">
        <v>706</v>
      </c>
      <c r="C211" s="24">
        <v>1</v>
      </c>
      <c r="D211" s="24" t="s">
        <v>287</v>
      </c>
      <c r="E211" s="30">
        <v>69</v>
      </c>
      <c r="F211" s="30" t="s">
        <v>58</v>
      </c>
      <c r="G211" s="24">
        <v>119</v>
      </c>
      <c r="H211" s="24">
        <v>569</v>
      </c>
      <c r="I211" s="30" t="s">
        <v>50</v>
      </c>
      <c r="J211" s="31">
        <v>8148.2</v>
      </c>
      <c r="K211" s="31">
        <v>11374.91</v>
      </c>
      <c r="L211" s="31">
        <v>19523.11</v>
      </c>
      <c r="M211" s="31">
        <v>21016.09</v>
      </c>
      <c r="N211" s="31">
        <v>18716.45</v>
      </c>
      <c r="O211" s="31">
        <v>39732.54</v>
      </c>
      <c r="P211" s="31">
        <v>9933.14</v>
      </c>
      <c r="Q211" s="31">
        <v>10944.71</v>
      </c>
      <c r="R211" s="31">
        <v>0</v>
      </c>
      <c r="S211" s="31">
        <v>9103.2999999999993</v>
      </c>
      <c r="T211" s="31">
        <v>0</v>
      </c>
      <c r="U211" s="31">
        <v>0</v>
      </c>
      <c r="V211" s="31">
        <v>7470.01</v>
      </c>
      <c r="W211" s="31">
        <v>9172.67</v>
      </c>
      <c r="X211" s="31">
        <v>0</v>
      </c>
      <c r="Y211" s="31">
        <v>19523.11</v>
      </c>
    </row>
    <row r="212" spans="1:25" x14ac:dyDescent="0.2">
      <c r="A212" s="24" t="s">
        <v>33</v>
      </c>
      <c r="B212" s="24">
        <v>707</v>
      </c>
      <c r="C212" s="24">
        <v>1</v>
      </c>
      <c r="D212" s="24" t="s">
        <v>288</v>
      </c>
      <c r="E212" s="30">
        <v>69</v>
      </c>
      <c r="F212" s="30" t="s">
        <v>58</v>
      </c>
      <c r="G212" s="24">
        <v>14</v>
      </c>
      <c r="H212" s="24">
        <v>60</v>
      </c>
      <c r="I212" s="30" t="s">
        <v>50</v>
      </c>
      <c r="J212" s="31">
        <v>958.61</v>
      </c>
      <c r="K212" s="31">
        <v>1199.46</v>
      </c>
      <c r="L212" s="31">
        <v>2158.0700000000002</v>
      </c>
      <c r="M212" s="31">
        <v>1779.5</v>
      </c>
      <c r="N212" s="31">
        <v>0</v>
      </c>
      <c r="O212" s="31">
        <v>1779.5</v>
      </c>
      <c r="P212" s="31">
        <v>444.88</v>
      </c>
      <c r="Q212" s="31">
        <v>356.42</v>
      </c>
      <c r="R212" s="31">
        <v>0</v>
      </c>
      <c r="S212" s="31">
        <v>303.20999999999998</v>
      </c>
      <c r="T212" s="31">
        <v>0</v>
      </c>
      <c r="U212" s="31">
        <v>0</v>
      </c>
      <c r="V212" s="31">
        <v>300.58999999999997</v>
      </c>
      <c r="W212" s="31">
        <v>320.07</v>
      </c>
      <c r="X212" s="31">
        <v>0</v>
      </c>
      <c r="Y212" s="31">
        <v>2158.0700000000002</v>
      </c>
    </row>
    <row r="213" spans="1:25" x14ac:dyDescent="0.2">
      <c r="A213" s="24" t="s">
        <v>33</v>
      </c>
      <c r="B213" s="24">
        <v>709</v>
      </c>
      <c r="C213" s="24">
        <v>1</v>
      </c>
      <c r="D213" s="24" t="s">
        <v>289</v>
      </c>
      <c r="E213" s="30">
        <v>69</v>
      </c>
      <c r="F213" s="30" t="s">
        <v>58</v>
      </c>
      <c r="G213" s="24">
        <v>1171</v>
      </c>
      <c r="H213" s="24">
        <v>3974</v>
      </c>
      <c r="I213" s="30" t="s">
        <v>50</v>
      </c>
      <c r="J213" s="31">
        <v>80181</v>
      </c>
      <c r="K213" s="31">
        <v>79444.429999999993</v>
      </c>
      <c r="L213" s="31">
        <v>159625.43</v>
      </c>
      <c r="M213" s="31">
        <v>161566.19</v>
      </c>
      <c r="N213" s="31">
        <v>30335</v>
      </c>
      <c r="O213" s="31">
        <v>191901.19</v>
      </c>
      <c r="P213" s="31">
        <v>47975.3</v>
      </c>
      <c r="Q213" s="31">
        <v>42006.89</v>
      </c>
      <c r="R213" s="31">
        <v>0</v>
      </c>
      <c r="S213" s="31">
        <v>45966.71</v>
      </c>
      <c r="T213" s="31">
        <v>0</v>
      </c>
      <c r="U213" s="31">
        <v>0</v>
      </c>
      <c r="V213" s="31">
        <v>46916.27</v>
      </c>
      <c r="W213" s="31">
        <v>44963.29</v>
      </c>
      <c r="X213" s="31">
        <v>0</v>
      </c>
      <c r="Y213" s="31">
        <v>159625.43</v>
      </c>
    </row>
    <row r="214" spans="1:25" x14ac:dyDescent="0.2">
      <c r="A214" s="24" t="s">
        <v>33</v>
      </c>
      <c r="B214" s="24">
        <v>712</v>
      </c>
      <c r="C214" s="24">
        <v>1</v>
      </c>
      <c r="D214" s="24" t="s">
        <v>290</v>
      </c>
      <c r="E214" s="30">
        <v>69</v>
      </c>
      <c r="F214" s="30" t="s">
        <v>58</v>
      </c>
      <c r="G214" s="24">
        <v>70</v>
      </c>
      <c r="H214" s="24">
        <v>270</v>
      </c>
      <c r="I214" s="30" t="s">
        <v>50</v>
      </c>
      <c r="J214" s="31">
        <v>4793.0600000000004</v>
      </c>
      <c r="K214" s="31">
        <v>5397.58</v>
      </c>
      <c r="L214" s="31">
        <v>10190.64</v>
      </c>
      <c r="M214" s="31">
        <v>9707.82</v>
      </c>
      <c r="N214" s="31">
        <v>2500</v>
      </c>
      <c r="O214" s="31">
        <v>12207.82</v>
      </c>
      <c r="P214" s="31">
        <v>3051.96</v>
      </c>
      <c r="Q214" s="31">
        <v>2632.24</v>
      </c>
      <c r="R214" s="31">
        <v>0</v>
      </c>
      <c r="S214" s="31">
        <v>3835.01</v>
      </c>
      <c r="T214" s="31">
        <v>52.48</v>
      </c>
      <c r="U214" s="31">
        <v>0</v>
      </c>
      <c r="V214" s="31">
        <v>3037.65</v>
      </c>
      <c r="W214" s="31">
        <v>3150.81</v>
      </c>
      <c r="X214" s="31">
        <v>98.85</v>
      </c>
      <c r="Y214" s="31">
        <v>10091.790000000001</v>
      </c>
    </row>
    <row r="215" spans="1:25" x14ac:dyDescent="0.2">
      <c r="A215" s="24" t="s">
        <v>33</v>
      </c>
      <c r="B215" s="24">
        <v>716</v>
      </c>
      <c r="C215" s="24">
        <v>1</v>
      </c>
      <c r="D215" s="24" t="s">
        <v>291</v>
      </c>
      <c r="E215" s="30">
        <v>70</v>
      </c>
      <c r="F215" s="30" t="s">
        <v>56</v>
      </c>
      <c r="G215" s="24">
        <v>191</v>
      </c>
      <c r="H215" s="24">
        <v>229</v>
      </c>
      <c r="I215" s="30" t="s">
        <v>50</v>
      </c>
      <c r="J215" s="31">
        <v>13078.2</v>
      </c>
      <c r="K215" s="31">
        <v>4577.95</v>
      </c>
      <c r="L215" s="31">
        <v>17656.150000000001</v>
      </c>
      <c r="M215" s="31">
        <v>16932.86</v>
      </c>
      <c r="N215" s="31">
        <v>0</v>
      </c>
      <c r="O215" s="31">
        <v>16932.86</v>
      </c>
      <c r="P215" s="31">
        <v>4233.22</v>
      </c>
      <c r="Q215" s="31">
        <v>1830.69</v>
      </c>
      <c r="R215" s="31">
        <v>0</v>
      </c>
      <c r="S215" s="31">
        <v>-6905.44</v>
      </c>
      <c r="T215" s="31">
        <v>0</v>
      </c>
      <c r="U215" s="31">
        <v>0</v>
      </c>
      <c r="V215" s="31">
        <v>0</v>
      </c>
      <c r="W215" s="31">
        <v>-1691.58</v>
      </c>
      <c r="X215" s="31">
        <v>0</v>
      </c>
      <c r="Y215" s="31">
        <v>17656.150000000001</v>
      </c>
    </row>
    <row r="216" spans="1:25" x14ac:dyDescent="0.2">
      <c r="A216" s="24" t="s">
        <v>33</v>
      </c>
      <c r="B216" s="24">
        <v>717</v>
      </c>
      <c r="C216" s="24">
        <v>1</v>
      </c>
      <c r="D216" s="24" t="s">
        <v>292</v>
      </c>
      <c r="E216" s="30">
        <v>70</v>
      </c>
      <c r="F216" s="30" t="s">
        <v>56</v>
      </c>
      <c r="G216" s="24">
        <v>187</v>
      </c>
      <c r="H216" s="24">
        <v>383</v>
      </c>
      <c r="I216" s="30" t="s">
        <v>50</v>
      </c>
      <c r="J216" s="31">
        <v>12804.31</v>
      </c>
      <c r="K216" s="31">
        <v>7656.57</v>
      </c>
      <c r="L216" s="31">
        <v>20460.88</v>
      </c>
      <c r="M216" s="31">
        <v>19923.990000000002</v>
      </c>
      <c r="N216" s="31">
        <v>10215.379999999999</v>
      </c>
      <c r="O216" s="31">
        <v>30139.37</v>
      </c>
      <c r="P216" s="31">
        <v>7534.84</v>
      </c>
      <c r="Q216" s="31">
        <v>8141.9</v>
      </c>
      <c r="R216" s="31">
        <v>0</v>
      </c>
      <c r="S216" s="31">
        <v>5719.1</v>
      </c>
      <c r="T216" s="31">
        <v>0</v>
      </c>
      <c r="U216" s="31">
        <v>0</v>
      </c>
      <c r="V216" s="31">
        <v>8358.16</v>
      </c>
      <c r="W216" s="31">
        <v>7406.39</v>
      </c>
      <c r="X216" s="31">
        <v>0</v>
      </c>
      <c r="Y216" s="31">
        <v>20460.88</v>
      </c>
    </row>
    <row r="217" spans="1:25" x14ac:dyDescent="0.2">
      <c r="A217" s="24" t="s">
        <v>33</v>
      </c>
      <c r="B217" s="24">
        <v>719</v>
      </c>
      <c r="C217" s="24">
        <v>1</v>
      </c>
      <c r="D217" s="24" t="s">
        <v>92</v>
      </c>
      <c r="E217" s="30">
        <v>70</v>
      </c>
      <c r="F217" s="30" t="s">
        <v>56</v>
      </c>
      <c r="G217" s="24">
        <v>835</v>
      </c>
      <c r="H217" s="24">
        <v>681</v>
      </c>
      <c r="I217" s="30" t="s">
        <v>50</v>
      </c>
      <c r="J217" s="31">
        <v>57174.32</v>
      </c>
      <c r="K217" s="31">
        <v>13613.9</v>
      </c>
      <c r="L217" s="31">
        <v>70788.22</v>
      </c>
      <c r="M217" s="31">
        <v>64789.16</v>
      </c>
      <c r="N217" s="31">
        <v>239248.5</v>
      </c>
      <c r="O217" s="31">
        <v>304037.65999999997</v>
      </c>
      <c r="P217" s="31">
        <v>76009.42</v>
      </c>
      <c r="Q217" s="31">
        <v>13396.36</v>
      </c>
      <c r="R217" s="31">
        <v>0</v>
      </c>
      <c r="S217" s="31">
        <v>8624.36</v>
      </c>
      <c r="T217" s="31">
        <v>0</v>
      </c>
      <c r="U217" s="31">
        <v>0</v>
      </c>
      <c r="V217" s="31">
        <v>17666</v>
      </c>
      <c r="W217" s="31">
        <v>13228.91</v>
      </c>
      <c r="X217" s="31">
        <v>0</v>
      </c>
      <c r="Y217" s="31">
        <v>70788.22</v>
      </c>
    </row>
    <row r="218" spans="1:25" x14ac:dyDescent="0.2">
      <c r="A218" s="24" t="s">
        <v>33</v>
      </c>
      <c r="B218" s="24">
        <v>720</v>
      </c>
      <c r="C218" s="24">
        <v>1</v>
      </c>
      <c r="D218" s="24" t="s">
        <v>293</v>
      </c>
      <c r="E218" s="30">
        <v>70</v>
      </c>
      <c r="F218" s="30" t="s">
        <v>56</v>
      </c>
      <c r="G218" s="24">
        <v>765</v>
      </c>
      <c r="H218" s="24">
        <v>1820</v>
      </c>
      <c r="I218" s="30" t="s">
        <v>50</v>
      </c>
      <c r="J218" s="31">
        <v>52381.27</v>
      </c>
      <c r="K218" s="31">
        <v>36383.71</v>
      </c>
      <c r="L218" s="31">
        <v>88764.98</v>
      </c>
      <c r="M218" s="31">
        <v>83962.04</v>
      </c>
      <c r="N218" s="31">
        <v>26341</v>
      </c>
      <c r="O218" s="31">
        <v>110303.03999999999</v>
      </c>
      <c r="P218" s="31">
        <v>27575.759999999998</v>
      </c>
      <c r="Q218" s="31">
        <v>0</v>
      </c>
      <c r="R218" s="31">
        <v>0</v>
      </c>
      <c r="S218" s="31">
        <v>124</v>
      </c>
      <c r="T218" s="31">
        <v>0</v>
      </c>
      <c r="U218" s="31">
        <v>0</v>
      </c>
      <c r="V218" s="31">
        <v>124</v>
      </c>
      <c r="W218" s="31">
        <v>82.67</v>
      </c>
      <c r="X218" s="31">
        <v>0</v>
      </c>
      <c r="Y218" s="31">
        <v>88764.98</v>
      </c>
    </row>
    <row r="219" spans="1:25" x14ac:dyDescent="0.2">
      <c r="A219" s="24" t="s">
        <v>33</v>
      </c>
      <c r="B219" s="24">
        <v>721</v>
      </c>
      <c r="C219" s="24">
        <v>1</v>
      </c>
      <c r="D219" s="24" t="s">
        <v>90</v>
      </c>
      <c r="E219" s="30">
        <v>70</v>
      </c>
      <c r="F219" s="30" t="s">
        <v>56</v>
      </c>
      <c r="G219" s="24">
        <v>281</v>
      </c>
      <c r="H219" s="24">
        <v>402</v>
      </c>
      <c r="I219" s="30" t="s">
        <v>50</v>
      </c>
      <c r="J219" s="31">
        <v>19240.7</v>
      </c>
      <c r="K219" s="31">
        <v>8036.4</v>
      </c>
      <c r="L219" s="31">
        <v>27277.1</v>
      </c>
      <c r="M219" s="31">
        <v>28536.51</v>
      </c>
      <c r="N219" s="31">
        <v>130119</v>
      </c>
      <c r="O219" s="31">
        <v>158655.51</v>
      </c>
      <c r="P219" s="31">
        <v>39663.879999999997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30382</v>
      </c>
      <c r="W219" s="31">
        <v>10127.33</v>
      </c>
      <c r="X219" s="31">
        <v>0</v>
      </c>
      <c r="Y219" s="31">
        <v>27277.1</v>
      </c>
    </row>
    <row r="220" spans="1:25" x14ac:dyDescent="0.2">
      <c r="A220" s="24" t="s">
        <v>33</v>
      </c>
      <c r="B220" s="24">
        <v>726</v>
      </c>
      <c r="C220" s="24">
        <v>1</v>
      </c>
      <c r="D220" s="24" t="s">
        <v>294</v>
      </c>
      <c r="E220" s="30">
        <v>71</v>
      </c>
      <c r="F220" s="30" t="s">
        <v>63</v>
      </c>
      <c r="G220" s="24">
        <v>249</v>
      </c>
      <c r="H220" s="24">
        <v>494</v>
      </c>
      <c r="I220" s="30" t="s">
        <v>50</v>
      </c>
      <c r="J220" s="31">
        <v>17049.59</v>
      </c>
      <c r="K220" s="31">
        <v>9875.58</v>
      </c>
      <c r="L220" s="31">
        <v>26925.17</v>
      </c>
      <c r="M220" s="31">
        <v>24966.69</v>
      </c>
      <c r="N220" s="31">
        <v>76173.279999999999</v>
      </c>
      <c r="O220" s="31">
        <v>101139.97</v>
      </c>
      <c r="P220" s="31">
        <v>25284.99</v>
      </c>
      <c r="Q220" s="31">
        <v>16448.34</v>
      </c>
      <c r="R220" s="31">
        <v>0</v>
      </c>
      <c r="S220" s="31">
        <v>7762.33</v>
      </c>
      <c r="T220" s="31">
        <v>0</v>
      </c>
      <c r="U220" s="31">
        <v>0</v>
      </c>
      <c r="V220" s="31">
        <v>17253.75</v>
      </c>
      <c r="W220" s="31">
        <v>13821.47</v>
      </c>
      <c r="X220" s="31">
        <v>0</v>
      </c>
      <c r="Y220" s="31">
        <v>26925.17</v>
      </c>
    </row>
    <row r="221" spans="1:25" x14ac:dyDescent="0.2">
      <c r="A221" s="24" t="s">
        <v>33</v>
      </c>
      <c r="B221" s="24">
        <v>727</v>
      </c>
      <c r="C221" s="24">
        <v>1</v>
      </c>
      <c r="D221" s="24" t="s">
        <v>295</v>
      </c>
      <c r="E221" s="30">
        <v>71</v>
      </c>
      <c r="F221" s="30" t="s">
        <v>63</v>
      </c>
      <c r="G221" s="24">
        <v>403</v>
      </c>
      <c r="H221" s="24">
        <v>876</v>
      </c>
      <c r="I221" s="30" t="s">
        <v>50</v>
      </c>
      <c r="J221" s="31">
        <v>27594.31</v>
      </c>
      <c r="K221" s="31">
        <v>17512.16</v>
      </c>
      <c r="L221" s="31">
        <v>45106.47</v>
      </c>
      <c r="M221" s="31">
        <v>44365.31</v>
      </c>
      <c r="N221" s="31">
        <v>73447.63</v>
      </c>
      <c r="O221" s="31">
        <v>117812.94</v>
      </c>
      <c r="P221" s="31">
        <v>29453.24</v>
      </c>
      <c r="Q221" s="31">
        <v>-1888.08</v>
      </c>
      <c r="R221" s="31">
        <v>0</v>
      </c>
      <c r="S221" s="31">
        <v>18565.189999999999</v>
      </c>
      <c r="T221" s="31">
        <v>0</v>
      </c>
      <c r="U221" s="31">
        <v>0</v>
      </c>
      <c r="V221" s="31">
        <v>26220.43</v>
      </c>
      <c r="W221" s="31">
        <v>14299.18</v>
      </c>
      <c r="X221" s="31">
        <v>0</v>
      </c>
      <c r="Y221" s="31">
        <v>45106.47</v>
      </c>
    </row>
    <row r="222" spans="1:25" x14ac:dyDescent="0.2">
      <c r="A222" s="24" t="s">
        <v>33</v>
      </c>
      <c r="B222" s="24">
        <v>728</v>
      </c>
      <c r="C222" s="24">
        <v>1</v>
      </c>
      <c r="D222" s="24" t="s">
        <v>296</v>
      </c>
      <c r="E222" s="30">
        <v>71</v>
      </c>
      <c r="F222" s="30" t="s">
        <v>63</v>
      </c>
      <c r="G222" s="24">
        <v>1185</v>
      </c>
      <c r="H222" s="24">
        <v>2050</v>
      </c>
      <c r="I222" s="30" t="s">
        <v>50</v>
      </c>
      <c r="J222" s="31">
        <v>81139.61</v>
      </c>
      <c r="K222" s="31">
        <v>40981.65</v>
      </c>
      <c r="L222" s="31">
        <v>122121.26</v>
      </c>
      <c r="M222" s="31">
        <v>117501.83</v>
      </c>
      <c r="N222" s="31">
        <v>153728.38</v>
      </c>
      <c r="O222" s="31">
        <v>271230.21000000002</v>
      </c>
      <c r="P222" s="31">
        <v>67807.55</v>
      </c>
      <c r="Q222" s="31">
        <v>85349.17</v>
      </c>
      <c r="R222" s="31">
        <v>0</v>
      </c>
      <c r="S222" s="31">
        <v>40811.79</v>
      </c>
      <c r="T222" s="31">
        <v>0</v>
      </c>
      <c r="U222" s="31">
        <v>0</v>
      </c>
      <c r="V222" s="31">
        <v>58979.38</v>
      </c>
      <c r="W222" s="31">
        <v>61713.45</v>
      </c>
      <c r="X222" s="31">
        <v>0</v>
      </c>
      <c r="Y222" s="31">
        <v>122121.26</v>
      </c>
    </row>
    <row r="223" spans="1:25" x14ac:dyDescent="0.2">
      <c r="A223" s="24" t="s">
        <v>33</v>
      </c>
      <c r="B223" s="24">
        <v>738</v>
      </c>
      <c r="C223" s="24">
        <v>1</v>
      </c>
      <c r="D223" s="24" t="s">
        <v>297</v>
      </c>
      <c r="E223" s="30">
        <v>73</v>
      </c>
      <c r="F223" s="30" t="s">
        <v>63</v>
      </c>
      <c r="G223" s="24">
        <v>65</v>
      </c>
      <c r="H223" s="24">
        <v>233</v>
      </c>
      <c r="I223" s="30" t="s">
        <v>50</v>
      </c>
      <c r="J223" s="31">
        <v>4450.7</v>
      </c>
      <c r="K223" s="31">
        <v>4657.91</v>
      </c>
      <c r="L223" s="31">
        <v>9108.61</v>
      </c>
      <c r="M223" s="31">
        <v>9278.0499999999993</v>
      </c>
      <c r="N223" s="31">
        <v>0</v>
      </c>
      <c r="O223" s="31">
        <v>9278.0499999999993</v>
      </c>
      <c r="P223" s="31">
        <v>2319.5100000000002</v>
      </c>
      <c r="Q223" s="31">
        <v>-6541.43</v>
      </c>
      <c r="R223" s="31">
        <v>0</v>
      </c>
      <c r="S223" s="31">
        <v>-21459.82</v>
      </c>
      <c r="T223" s="31">
        <v>0</v>
      </c>
      <c r="U223" s="31">
        <v>0</v>
      </c>
      <c r="V223" s="31">
        <v>-21459.82</v>
      </c>
      <c r="W223" s="31">
        <v>-16487.02</v>
      </c>
      <c r="X223" s="31">
        <v>0</v>
      </c>
      <c r="Y223" s="31">
        <v>9108.61</v>
      </c>
    </row>
    <row r="224" spans="1:25" x14ac:dyDescent="0.2">
      <c r="A224" s="24" t="s">
        <v>33</v>
      </c>
      <c r="B224" s="24">
        <v>739</v>
      </c>
      <c r="C224" s="24">
        <v>1</v>
      </c>
      <c r="D224" s="24" t="s">
        <v>298</v>
      </c>
      <c r="E224" s="30">
        <v>73</v>
      </c>
      <c r="F224" s="30" t="s">
        <v>63</v>
      </c>
      <c r="G224" s="24">
        <v>58</v>
      </c>
      <c r="H224" s="24">
        <v>176</v>
      </c>
      <c r="I224" s="30" t="s">
        <v>50</v>
      </c>
      <c r="J224" s="31">
        <v>3971.39</v>
      </c>
      <c r="K224" s="31">
        <v>3518.42</v>
      </c>
      <c r="L224" s="31">
        <v>7489.81</v>
      </c>
      <c r="M224" s="31">
        <v>7052.46</v>
      </c>
      <c r="N224" s="31">
        <v>31897.3</v>
      </c>
      <c r="O224" s="31">
        <v>38949.760000000002</v>
      </c>
      <c r="P224" s="31">
        <v>9737.44</v>
      </c>
      <c r="Q224" s="31">
        <v>2950.79</v>
      </c>
      <c r="R224" s="31">
        <v>0</v>
      </c>
      <c r="S224" s="31">
        <v>1532.81</v>
      </c>
      <c r="T224" s="31">
        <v>0</v>
      </c>
      <c r="U224" s="31">
        <v>0</v>
      </c>
      <c r="V224" s="31">
        <v>9530.25</v>
      </c>
      <c r="W224" s="31">
        <v>4671.28</v>
      </c>
      <c r="X224" s="31">
        <v>0</v>
      </c>
      <c r="Y224" s="31">
        <v>7489.81</v>
      </c>
    </row>
    <row r="225" spans="1:25" x14ac:dyDescent="0.2">
      <c r="A225" s="24" t="s">
        <v>33</v>
      </c>
      <c r="B225" s="24">
        <v>740</v>
      </c>
      <c r="C225" s="24">
        <v>1</v>
      </c>
      <c r="D225" s="24" t="s">
        <v>299</v>
      </c>
      <c r="E225" s="30">
        <v>73</v>
      </c>
      <c r="F225" s="30" t="s">
        <v>63</v>
      </c>
      <c r="G225" s="24">
        <v>127</v>
      </c>
      <c r="H225" s="24">
        <v>459</v>
      </c>
      <c r="I225" s="30" t="s">
        <v>50</v>
      </c>
      <c r="J225" s="31">
        <v>8695.98</v>
      </c>
      <c r="K225" s="31">
        <v>9175.89</v>
      </c>
      <c r="L225" s="31">
        <v>17871.87</v>
      </c>
      <c r="M225" s="31">
        <v>18221.29</v>
      </c>
      <c r="N225" s="31">
        <v>7322.66</v>
      </c>
      <c r="O225" s="31">
        <v>25543.95</v>
      </c>
      <c r="P225" s="31">
        <v>6385.99</v>
      </c>
      <c r="Q225" s="31">
        <v>1750.24</v>
      </c>
      <c r="R225" s="31">
        <v>0</v>
      </c>
      <c r="S225" s="31">
        <v>5100.24</v>
      </c>
      <c r="T225" s="31">
        <v>0</v>
      </c>
      <c r="U225" s="31">
        <v>0</v>
      </c>
      <c r="V225" s="31">
        <v>4152.6000000000004</v>
      </c>
      <c r="W225" s="31">
        <v>3667.69</v>
      </c>
      <c r="X225" s="31">
        <v>0</v>
      </c>
      <c r="Y225" s="31">
        <v>17871.87</v>
      </c>
    </row>
    <row r="226" spans="1:25" x14ac:dyDescent="0.2">
      <c r="A226" s="24" t="s">
        <v>33</v>
      </c>
      <c r="B226" s="24">
        <v>741</v>
      </c>
      <c r="C226" s="24">
        <v>1</v>
      </c>
      <c r="D226" s="24" t="s">
        <v>300</v>
      </c>
      <c r="E226" s="30">
        <v>73</v>
      </c>
      <c r="F226" s="30" t="s">
        <v>63</v>
      </c>
      <c r="G226" s="24">
        <v>81</v>
      </c>
      <c r="H226" s="24">
        <v>353</v>
      </c>
      <c r="I226" s="30" t="s">
        <v>50</v>
      </c>
      <c r="J226" s="31">
        <v>5546.25</v>
      </c>
      <c r="K226" s="31">
        <v>7056.84</v>
      </c>
      <c r="L226" s="31">
        <v>12603.09</v>
      </c>
      <c r="M226" s="31">
        <v>12517.94</v>
      </c>
      <c r="N226" s="31">
        <v>16591.080000000002</v>
      </c>
      <c r="O226" s="31">
        <v>29109.02</v>
      </c>
      <c r="P226" s="31">
        <v>7277.26</v>
      </c>
      <c r="Q226" s="31">
        <v>2406</v>
      </c>
      <c r="R226" s="31">
        <v>0</v>
      </c>
      <c r="S226" s="31">
        <v>8605.41</v>
      </c>
      <c r="T226" s="31">
        <v>0</v>
      </c>
      <c r="U226" s="31">
        <v>0</v>
      </c>
      <c r="V226" s="31">
        <v>6875.8</v>
      </c>
      <c r="W226" s="31">
        <v>5962.4</v>
      </c>
      <c r="X226" s="31">
        <v>0</v>
      </c>
      <c r="Y226" s="31">
        <v>12603.09</v>
      </c>
    </row>
    <row r="227" spans="1:25" x14ac:dyDescent="0.2">
      <c r="A227" s="24" t="s">
        <v>33</v>
      </c>
      <c r="B227" s="24">
        <v>742</v>
      </c>
      <c r="C227" s="24">
        <v>1</v>
      </c>
      <c r="D227" s="24" t="s">
        <v>301</v>
      </c>
      <c r="E227" s="30">
        <v>73</v>
      </c>
      <c r="F227" s="30" t="s">
        <v>63</v>
      </c>
      <c r="G227" s="24">
        <v>1481</v>
      </c>
      <c r="H227" s="24">
        <v>4244</v>
      </c>
      <c r="I227" s="30" t="s">
        <v>50</v>
      </c>
      <c r="J227" s="31">
        <v>101407.39</v>
      </c>
      <c r="K227" s="31">
        <v>84842.01</v>
      </c>
      <c r="L227" s="31">
        <v>186249.4</v>
      </c>
      <c r="M227" s="31">
        <v>180568.09</v>
      </c>
      <c r="N227" s="31">
        <v>256256.49</v>
      </c>
      <c r="O227" s="31">
        <v>436824.58</v>
      </c>
      <c r="P227" s="31">
        <v>109206.15</v>
      </c>
      <c r="Q227" s="31">
        <v>-151832.17000000001</v>
      </c>
      <c r="R227" s="31">
        <v>0</v>
      </c>
      <c r="S227" s="31">
        <v>-109103.74</v>
      </c>
      <c r="T227" s="31">
        <v>0</v>
      </c>
      <c r="U227" s="31">
        <v>0</v>
      </c>
      <c r="V227" s="31">
        <v>921.51</v>
      </c>
      <c r="W227" s="31">
        <v>-86671.47</v>
      </c>
      <c r="X227" s="31">
        <v>0</v>
      </c>
      <c r="Y227" s="31">
        <v>186249.4</v>
      </c>
    </row>
    <row r="228" spans="1:25" x14ac:dyDescent="0.2">
      <c r="A228" s="24" t="s">
        <v>33</v>
      </c>
      <c r="B228" s="24">
        <v>743</v>
      </c>
      <c r="C228" s="24">
        <v>1</v>
      </c>
      <c r="D228" s="24" t="s">
        <v>302</v>
      </c>
      <c r="E228" s="30">
        <v>73</v>
      </c>
      <c r="F228" s="30" t="s">
        <v>63</v>
      </c>
      <c r="G228" s="24">
        <v>85</v>
      </c>
      <c r="H228" s="24">
        <v>405</v>
      </c>
      <c r="I228" s="30" t="s">
        <v>50</v>
      </c>
      <c r="J228" s="31">
        <v>5820.14</v>
      </c>
      <c r="K228" s="31">
        <v>8096.37</v>
      </c>
      <c r="L228" s="31">
        <v>13916.51</v>
      </c>
      <c r="M228" s="31">
        <v>15491.43</v>
      </c>
      <c r="N228" s="31">
        <v>0</v>
      </c>
      <c r="O228" s="31">
        <v>15491.43</v>
      </c>
      <c r="P228" s="31">
        <v>3872.86</v>
      </c>
      <c r="Q228" s="31">
        <v>3982.39</v>
      </c>
      <c r="R228" s="31">
        <v>0</v>
      </c>
      <c r="S228" s="31">
        <v>2909.63</v>
      </c>
      <c r="T228" s="31">
        <v>0</v>
      </c>
      <c r="U228" s="31">
        <v>0</v>
      </c>
      <c r="V228" s="31">
        <v>1519.34</v>
      </c>
      <c r="W228" s="31">
        <v>2803.79</v>
      </c>
      <c r="X228" s="31">
        <v>0</v>
      </c>
      <c r="Y228" s="31">
        <v>13916.51</v>
      </c>
    </row>
    <row r="229" spans="1:25" x14ac:dyDescent="0.2">
      <c r="A229" s="24" t="s">
        <v>33</v>
      </c>
      <c r="B229" s="24">
        <v>745</v>
      </c>
      <c r="C229" s="24">
        <v>1</v>
      </c>
      <c r="D229" s="24" t="s">
        <v>303</v>
      </c>
      <c r="E229" s="30">
        <v>73</v>
      </c>
      <c r="F229" s="30" t="s">
        <v>63</v>
      </c>
      <c r="G229" s="24">
        <v>144</v>
      </c>
      <c r="H229" s="24">
        <v>328</v>
      </c>
      <c r="I229" s="30" t="s">
        <v>50</v>
      </c>
      <c r="J229" s="31">
        <v>9860</v>
      </c>
      <c r="K229" s="31">
        <v>6557.06</v>
      </c>
      <c r="L229" s="31">
        <v>16417.060000000001</v>
      </c>
      <c r="M229" s="31">
        <v>15192.43</v>
      </c>
      <c r="N229" s="31">
        <v>75236.539999999994</v>
      </c>
      <c r="O229" s="31">
        <v>90428.97</v>
      </c>
      <c r="P229" s="31">
        <v>22607.24</v>
      </c>
      <c r="Q229" s="31">
        <v>11788.95</v>
      </c>
      <c r="R229" s="31">
        <v>0</v>
      </c>
      <c r="S229" s="31">
        <v>22555.46</v>
      </c>
      <c r="T229" s="31">
        <v>0</v>
      </c>
      <c r="U229" s="31">
        <v>0</v>
      </c>
      <c r="V229" s="31">
        <v>33338.639999999999</v>
      </c>
      <c r="W229" s="31">
        <v>22561.02</v>
      </c>
      <c r="X229" s="31">
        <v>0</v>
      </c>
      <c r="Y229" s="31">
        <v>16417.060000000001</v>
      </c>
    </row>
    <row r="230" spans="1:25" x14ac:dyDescent="0.2">
      <c r="A230" s="24" t="s">
        <v>33</v>
      </c>
      <c r="B230" s="24">
        <v>748</v>
      </c>
      <c r="C230" s="24">
        <v>1</v>
      </c>
      <c r="D230" s="24" t="s">
        <v>304</v>
      </c>
      <c r="E230" s="30">
        <v>73</v>
      </c>
      <c r="F230" s="30" t="s">
        <v>63</v>
      </c>
      <c r="G230" s="24">
        <v>291</v>
      </c>
      <c r="H230" s="24">
        <v>424</v>
      </c>
      <c r="I230" s="30" t="s">
        <v>50</v>
      </c>
      <c r="J230" s="31">
        <v>19925.419999999998</v>
      </c>
      <c r="K230" s="31">
        <v>8476.2000000000007</v>
      </c>
      <c r="L230" s="31">
        <v>28401.62</v>
      </c>
      <c r="M230" s="31">
        <v>28053.05</v>
      </c>
      <c r="N230" s="31">
        <v>112977.25</v>
      </c>
      <c r="O230" s="31">
        <v>141030.29999999999</v>
      </c>
      <c r="P230" s="31">
        <v>35257.58</v>
      </c>
      <c r="Q230" s="31">
        <v>7834.31</v>
      </c>
      <c r="R230" s="31">
        <v>0</v>
      </c>
      <c r="S230" s="31">
        <v>14276.32</v>
      </c>
      <c r="T230" s="31">
        <v>0</v>
      </c>
      <c r="U230" s="31">
        <v>0</v>
      </c>
      <c r="V230" s="31">
        <v>0</v>
      </c>
      <c r="W230" s="31">
        <v>7370.21</v>
      </c>
      <c r="X230" s="31">
        <v>0</v>
      </c>
      <c r="Y230" s="31">
        <v>28401.62</v>
      </c>
    </row>
    <row r="231" spans="1:25" x14ac:dyDescent="0.2">
      <c r="A231" s="24" t="s">
        <v>33</v>
      </c>
      <c r="B231" s="24">
        <v>750</v>
      </c>
      <c r="C231" s="24">
        <v>1</v>
      </c>
      <c r="D231" s="24" t="s">
        <v>305</v>
      </c>
      <c r="E231" s="30">
        <v>73</v>
      </c>
      <c r="F231" s="30" t="s">
        <v>63</v>
      </c>
      <c r="G231" s="24">
        <v>197</v>
      </c>
      <c r="H231" s="24">
        <v>540</v>
      </c>
      <c r="I231" s="30" t="s">
        <v>50</v>
      </c>
      <c r="J231" s="31">
        <v>13489.03</v>
      </c>
      <c r="K231" s="31">
        <v>10795.17</v>
      </c>
      <c r="L231" s="31">
        <v>24284.2</v>
      </c>
      <c r="M231" s="31">
        <v>18570.8</v>
      </c>
      <c r="N231" s="31">
        <v>27421.33</v>
      </c>
      <c r="O231" s="31">
        <v>45992.13</v>
      </c>
      <c r="P231" s="31">
        <v>11498.03</v>
      </c>
      <c r="Q231" s="31">
        <v>16957.830000000002</v>
      </c>
      <c r="R231" s="31">
        <v>0</v>
      </c>
      <c r="S231" s="31">
        <v>16375.9</v>
      </c>
      <c r="T231" s="31">
        <v>2743.99</v>
      </c>
      <c r="U231" s="31">
        <v>0</v>
      </c>
      <c r="V231" s="31">
        <v>15701.06</v>
      </c>
      <c r="W231" s="31">
        <v>15430.27</v>
      </c>
      <c r="X231" s="31">
        <v>3932.24</v>
      </c>
      <c r="Y231" s="31">
        <v>20351.96</v>
      </c>
    </row>
    <row r="232" spans="1:25" x14ac:dyDescent="0.2">
      <c r="A232" s="24" t="s">
        <v>33</v>
      </c>
      <c r="B232" s="24">
        <v>756</v>
      </c>
      <c r="C232" s="24">
        <v>1</v>
      </c>
      <c r="D232" s="24" t="s">
        <v>306</v>
      </c>
      <c r="E232" s="30">
        <v>74</v>
      </c>
      <c r="F232" s="30" t="s">
        <v>61</v>
      </c>
      <c r="G232" s="24">
        <v>52</v>
      </c>
      <c r="H232" s="24">
        <v>189</v>
      </c>
      <c r="I232" s="30" t="s">
        <v>50</v>
      </c>
      <c r="J232" s="31">
        <v>3560.56</v>
      </c>
      <c r="K232" s="31">
        <v>3778.31</v>
      </c>
      <c r="L232" s="31">
        <v>7338.87</v>
      </c>
      <c r="M232" s="31">
        <v>7217.78</v>
      </c>
      <c r="N232" s="31">
        <v>29409.5</v>
      </c>
      <c r="O232" s="31">
        <v>36627.279999999999</v>
      </c>
      <c r="P232" s="31">
        <v>9156.82</v>
      </c>
      <c r="Q232" s="31">
        <v>1415.77</v>
      </c>
      <c r="R232" s="31">
        <v>0</v>
      </c>
      <c r="S232" s="31">
        <v>1690.99</v>
      </c>
      <c r="T232" s="31">
        <v>0</v>
      </c>
      <c r="U232" s="31">
        <v>0</v>
      </c>
      <c r="V232" s="31">
        <v>6307.05</v>
      </c>
      <c r="W232" s="31">
        <v>3137.94</v>
      </c>
      <c r="X232" s="31">
        <v>0</v>
      </c>
      <c r="Y232" s="31">
        <v>7338.87</v>
      </c>
    </row>
    <row r="233" spans="1:25" x14ac:dyDescent="0.2">
      <c r="A233" s="24" t="s">
        <v>33</v>
      </c>
      <c r="B233" s="24">
        <v>761</v>
      </c>
      <c r="C233" s="24">
        <v>1</v>
      </c>
      <c r="D233" s="24" t="s">
        <v>307</v>
      </c>
      <c r="E233" s="30">
        <v>74</v>
      </c>
      <c r="F233" s="30" t="s">
        <v>61</v>
      </c>
      <c r="G233" s="24">
        <v>511</v>
      </c>
      <c r="H233" s="24">
        <v>1550</v>
      </c>
      <c r="I233" s="30" t="s">
        <v>50</v>
      </c>
      <c r="J233" s="31">
        <v>34989.32</v>
      </c>
      <c r="K233" s="31">
        <v>30986.13</v>
      </c>
      <c r="L233" s="31">
        <v>65975.45</v>
      </c>
      <c r="M233" s="31">
        <v>64704.19</v>
      </c>
      <c r="N233" s="31">
        <v>18737.5</v>
      </c>
      <c r="O233" s="31">
        <v>83441.69</v>
      </c>
      <c r="P233" s="31">
        <v>20860.419999999998</v>
      </c>
      <c r="Q233" s="31">
        <v>0</v>
      </c>
      <c r="R233" s="31">
        <v>0</v>
      </c>
      <c r="S233" s="31">
        <v>5062.46</v>
      </c>
      <c r="T233" s="31">
        <v>0</v>
      </c>
      <c r="U233" s="31">
        <v>0</v>
      </c>
      <c r="V233" s="31">
        <v>-2708.92</v>
      </c>
      <c r="W233" s="31">
        <v>784.51</v>
      </c>
      <c r="X233" s="31">
        <v>0</v>
      </c>
      <c r="Y233" s="31">
        <v>65975.45</v>
      </c>
    </row>
    <row r="234" spans="1:25" x14ac:dyDescent="0.2">
      <c r="A234" s="24" t="s">
        <v>33</v>
      </c>
      <c r="B234" s="24">
        <v>763</v>
      </c>
      <c r="C234" s="24">
        <v>1</v>
      </c>
      <c r="D234" s="24" t="s">
        <v>308</v>
      </c>
      <c r="E234" s="30">
        <v>74</v>
      </c>
      <c r="F234" s="30" t="s">
        <v>61</v>
      </c>
      <c r="G234" s="24">
        <v>44</v>
      </c>
      <c r="H234" s="24">
        <v>178</v>
      </c>
      <c r="I234" s="30" t="s">
        <v>50</v>
      </c>
      <c r="J234" s="31">
        <v>3012.78</v>
      </c>
      <c r="K234" s="31">
        <v>3558.41</v>
      </c>
      <c r="L234" s="31">
        <v>6571.19</v>
      </c>
      <c r="M234" s="31">
        <v>6669.38</v>
      </c>
      <c r="N234" s="31">
        <v>0</v>
      </c>
      <c r="O234" s="31">
        <v>6669.38</v>
      </c>
      <c r="P234" s="31">
        <v>1667.35</v>
      </c>
      <c r="Q234" s="31">
        <v>1317.88</v>
      </c>
      <c r="R234" s="31">
        <v>0</v>
      </c>
      <c r="S234" s="31">
        <v>403.51</v>
      </c>
      <c r="T234" s="31">
        <v>0</v>
      </c>
      <c r="U234" s="31">
        <v>0</v>
      </c>
      <c r="V234" s="31">
        <v>1674.59</v>
      </c>
      <c r="W234" s="31">
        <v>1131.99</v>
      </c>
      <c r="X234" s="31">
        <v>0</v>
      </c>
      <c r="Y234" s="31">
        <v>6571.19</v>
      </c>
    </row>
    <row r="235" spans="1:25" x14ac:dyDescent="0.2">
      <c r="A235" s="24" t="s">
        <v>33</v>
      </c>
      <c r="B235" s="24">
        <v>768</v>
      </c>
      <c r="C235" s="24">
        <v>1</v>
      </c>
      <c r="D235" s="24" t="s">
        <v>309</v>
      </c>
      <c r="E235" s="30">
        <v>75</v>
      </c>
      <c r="F235" s="30" t="s">
        <v>60</v>
      </c>
      <c r="G235" s="24">
        <v>21</v>
      </c>
      <c r="H235" s="24">
        <v>88</v>
      </c>
      <c r="I235" s="30" t="s">
        <v>50</v>
      </c>
      <c r="J235" s="31">
        <v>1437.92</v>
      </c>
      <c r="K235" s="31">
        <v>1759.21</v>
      </c>
      <c r="L235" s="31">
        <v>3197.13</v>
      </c>
      <c r="M235" s="31">
        <v>2982.8</v>
      </c>
      <c r="N235" s="31">
        <v>0</v>
      </c>
      <c r="O235" s="31">
        <v>2982.8</v>
      </c>
      <c r="P235" s="31">
        <v>745.7</v>
      </c>
      <c r="Q235" s="31">
        <v>354.27</v>
      </c>
      <c r="R235" s="31">
        <v>57.45</v>
      </c>
      <c r="S235" s="31">
        <v>1659.6</v>
      </c>
      <c r="T235" s="31">
        <v>218.03</v>
      </c>
      <c r="U235" s="31">
        <v>0</v>
      </c>
      <c r="V235" s="31">
        <v>464.38</v>
      </c>
      <c r="W235" s="31">
        <v>734.26</v>
      </c>
      <c r="X235" s="31">
        <v>0</v>
      </c>
      <c r="Y235" s="31">
        <v>3197.13</v>
      </c>
    </row>
    <row r="236" spans="1:25" x14ac:dyDescent="0.2">
      <c r="A236" s="24" t="s">
        <v>33</v>
      </c>
      <c r="B236" s="24">
        <v>769</v>
      </c>
      <c r="C236" s="24">
        <v>1</v>
      </c>
      <c r="D236" s="24" t="s">
        <v>310</v>
      </c>
      <c r="E236" s="30">
        <v>75</v>
      </c>
      <c r="F236" s="30" t="s">
        <v>60</v>
      </c>
      <c r="G236" s="24">
        <v>96</v>
      </c>
      <c r="H236" s="24">
        <v>233</v>
      </c>
      <c r="I236" s="30" t="s">
        <v>50</v>
      </c>
      <c r="J236" s="31">
        <v>6573.34</v>
      </c>
      <c r="K236" s="31">
        <v>4657.91</v>
      </c>
      <c r="L236" s="31">
        <v>11231.25</v>
      </c>
      <c r="M236" s="31">
        <v>10882.93</v>
      </c>
      <c r="N236" s="31">
        <v>0</v>
      </c>
      <c r="O236" s="31">
        <v>10882.93</v>
      </c>
      <c r="P236" s="31">
        <v>2720.73</v>
      </c>
      <c r="Q236" s="31">
        <v>-3404.84</v>
      </c>
      <c r="R236" s="31">
        <v>0</v>
      </c>
      <c r="S236" s="31">
        <v>5995.97</v>
      </c>
      <c r="T236" s="31">
        <v>0</v>
      </c>
      <c r="U236" s="31">
        <v>0</v>
      </c>
      <c r="V236" s="31">
        <v>4474.08</v>
      </c>
      <c r="W236" s="31">
        <v>2355.0700000000002</v>
      </c>
      <c r="X236" s="31">
        <v>0</v>
      </c>
      <c r="Y236" s="31">
        <v>11231.25</v>
      </c>
    </row>
    <row r="237" spans="1:25" x14ac:dyDescent="0.2">
      <c r="A237" s="24" t="s">
        <v>33</v>
      </c>
      <c r="B237" s="24">
        <v>771</v>
      </c>
      <c r="C237" s="24">
        <v>1</v>
      </c>
      <c r="D237" s="24" t="s">
        <v>311</v>
      </c>
      <c r="E237" s="30">
        <v>75</v>
      </c>
      <c r="F237" s="30" t="s">
        <v>60</v>
      </c>
      <c r="G237" s="24">
        <v>24</v>
      </c>
      <c r="H237" s="24">
        <v>59</v>
      </c>
      <c r="I237" s="30" t="s">
        <v>50</v>
      </c>
      <c r="J237" s="31">
        <v>1643.33</v>
      </c>
      <c r="K237" s="31">
        <v>1179.47</v>
      </c>
      <c r="L237" s="31">
        <v>2822.8</v>
      </c>
      <c r="M237" s="31">
        <v>2727.29</v>
      </c>
      <c r="N237" s="31">
        <v>18711.55</v>
      </c>
      <c r="O237" s="31">
        <v>21438.84</v>
      </c>
      <c r="P237" s="31">
        <v>5359.71</v>
      </c>
      <c r="Q237" s="31">
        <v>-14456.32</v>
      </c>
      <c r="R237" s="31">
        <v>0</v>
      </c>
      <c r="S237" s="31">
        <v>-12804.05</v>
      </c>
      <c r="T237" s="31">
        <v>0</v>
      </c>
      <c r="U237" s="31">
        <v>0</v>
      </c>
      <c r="V237" s="31">
        <v>50.44</v>
      </c>
      <c r="W237" s="31">
        <v>-9069.98</v>
      </c>
      <c r="X237" s="31">
        <v>0</v>
      </c>
      <c r="Y237" s="31">
        <v>2822.8</v>
      </c>
    </row>
    <row r="238" spans="1:25" x14ac:dyDescent="0.2">
      <c r="A238" s="24" t="s">
        <v>33</v>
      </c>
      <c r="B238" s="24">
        <v>775</v>
      </c>
      <c r="C238" s="24">
        <v>1</v>
      </c>
      <c r="D238" s="24" t="s">
        <v>69</v>
      </c>
      <c r="E238" s="30">
        <v>76</v>
      </c>
      <c r="F238" s="30" t="s">
        <v>64</v>
      </c>
      <c r="G238" s="24">
        <v>56</v>
      </c>
      <c r="H238" s="24">
        <v>198</v>
      </c>
      <c r="I238" s="30" t="s">
        <v>50</v>
      </c>
      <c r="J238" s="31">
        <v>3834.45</v>
      </c>
      <c r="K238" s="31">
        <v>3958.23</v>
      </c>
      <c r="L238" s="31">
        <v>7792.68</v>
      </c>
      <c r="M238" s="31">
        <v>6632.62</v>
      </c>
      <c r="N238" s="31">
        <v>0</v>
      </c>
      <c r="O238" s="31">
        <v>6632.62</v>
      </c>
      <c r="P238" s="31">
        <v>1658.16</v>
      </c>
      <c r="Q238" s="31">
        <v>-11286.54</v>
      </c>
      <c r="R238" s="31">
        <v>0</v>
      </c>
      <c r="S238" s="31">
        <v>-12126.33</v>
      </c>
      <c r="T238" s="31">
        <v>0</v>
      </c>
      <c r="U238" s="31">
        <v>0</v>
      </c>
      <c r="V238" s="31">
        <v>-16583.09</v>
      </c>
      <c r="W238" s="31">
        <v>-13331.99</v>
      </c>
      <c r="X238" s="31">
        <v>0</v>
      </c>
      <c r="Y238" s="31">
        <v>7792.68</v>
      </c>
    </row>
    <row r="239" spans="1:25" x14ac:dyDescent="0.2">
      <c r="A239" s="24" t="s">
        <v>33</v>
      </c>
      <c r="B239" s="24">
        <v>777</v>
      </c>
      <c r="C239" s="24">
        <v>1</v>
      </c>
      <c r="D239" s="24" t="s">
        <v>312</v>
      </c>
      <c r="E239" s="30">
        <v>76</v>
      </c>
      <c r="F239" s="30" t="s">
        <v>64</v>
      </c>
      <c r="G239" s="24">
        <v>55</v>
      </c>
      <c r="H239" s="24">
        <v>295</v>
      </c>
      <c r="I239" s="30" t="s">
        <v>50</v>
      </c>
      <c r="J239" s="31">
        <v>3765.97</v>
      </c>
      <c r="K239" s="31">
        <v>5897.36</v>
      </c>
      <c r="L239" s="31">
        <v>9663.33</v>
      </c>
      <c r="M239" s="31">
        <v>11379.24</v>
      </c>
      <c r="N239" s="31">
        <v>-160</v>
      </c>
      <c r="O239" s="31">
        <v>11219.24</v>
      </c>
      <c r="P239" s="31">
        <v>2804.81</v>
      </c>
      <c r="Q239" s="31">
        <v>1134.54</v>
      </c>
      <c r="R239" s="31">
        <v>0</v>
      </c>
      <c r="S239" s="31">
        <v>1889.32</v>
      </c>
      <c r="T239" s="31">
        <v>0</v>
      </c>
      <c r="U239" s="31">
        <v>0</v>
      </c>
      <c r="V239" s="31">
        <v>267.85000000000002</v>
      </c>
      <c r="W239" s="31">
        <v>1097.24</v>
      </c>
      <c r="X239" s="31">
        <v>0</v>
      </c>
      <c r="Y239" s="31">
        <v>9663.33</v>
      </c>
    </row>
    <row r="240" spans="1:25" x14ac:dyDescent="0.2">
      <c r="A240" s="24" t="s">
        <v>33</v>
      </c>
      <c r="B240" s="24">
        <v>786</v>
      </c>
      <c r="C240" s="24">
        <v>1</v>
      </c>
      <c r="D240" s="24" t="s">
        <v>313</v>
      </c>
      <c r="E240" s="30">
        <v>77</v>
      </c>
      <c r="F240" s="30" t="s">
        <v>66</v>
      </c>
      <c r="G240" s="24">
        <v>30</v>
      </c>
      <c r="H240" s="24">
        <v>307</v>
      </c>
      <c r="I240" s="30" t="s">
        <v>50</v>
      </c>
      <c r="J240" s="31">
        <v>2054.17</v>
      </c>
      <c r="K240" s="31">
        <v>6137.25</v>
      </c>
      <c r="L240" s="31">
        <v>8191.42</v>
      </c>
      <c r="M240" s="31">
        <v>8428.7800000000007</v>
      </c>
      <c r="N240" s="31">
        <v>0</v>
      </c>
      <c r="O240" s="31">
        <v>8428.7800000000007</v>
      </c>
      <c r="P240" s="31">
        <v>2107.1999999999998</v>
      </c>
      <c r="Q240" s="31">
        <v>4723.41</v>
      </c>
      <c r="R240" s="31">
        <v>1541.79</v>
      </c>
      <c r="S240" s="31">
        <v>3221.2</v>
      </c>
      <c r="T240" s="31">
        <v>1080.6099999999999</v>
      </c>
      <c r="U240" s="31">
        <v>0</v>
      </c>
      <c r="V240" s="31">
        <v>841.83</v>
      </c>
      <c r="W240" s="31">
        <v>2054.6799999999998</v>
      </c>
      <c r="X240" s="31">
        <v>0</v>
      </c>
      <c r="Y240" s="31">
        <v>8191.42</v>
      </c>
    </row>
    <row r="241" spans="1:25" x14ac:dyDescent="0.2">
      <c r="A241" s="24" t="s">
        <v>33</v>
      </c>
      <c r="B241" s="24">
        <v>787</v>
      </c>
      <c r="C241" s="24">
        <v>1</v>
      </c>
      <c r="D241" s="24" t="s">
        <v>314</v>
      </c>
      <c r="E241" s="30">
        <v>77</v>
      </c>
      <c r="F241" s="30" t="s">
        <v>66</v>
      </c>
      <c r="G241" s="24">
        <v>26</v>
      </c>
      <c r="H241" s="24">
        <v>239</v>
      </c>
      <c r="I241" s="30" t="s">
        <v>50</v>
      </c>
      <c r="J241" s="31">
        <v>1780.28</v>
      </c>
      <c r="K241" s="31">
        <v>4777.8599999999997</v>
      </c>
      <c r="L241" s="31">
        <v>6558.14</v>
      </c>
      <c r="M241" s="31">
        <v>7715.68</v>
      </c>
      <c r="N241" s="31">
        <v>0</v>
      </c>
      <c r="O241" s="31">
        <v>7715.68</v>
      </c>
      <c r="P241" s="31">
        <v>1928.92</v>
      </c>
      <c r="Q241" s="31">
        <v>402.81</v>
      </c>
      <c r="R241" s="31">
        <v>0</v>
      </c>
      <c r="S241" s="31">
        <v>1702.36</v>
      </c>
      <c r="T241" s="31">
        <v>0</v>
      </c>
      <c r="U241" s="31">
        <v>0</v>
      </c>
      <c r="V241" s="31">
        <v>1700.52</v>
      </c>
      <c r="W241" s="31">
        <v>1268.56</v>
      </c>
      <c r="X241" s="31">
        <v>0</v>
      </c>
      <c r="Y241" s="31">
        <v>6558.14</v>
      </c>
    </row>
    <row r="242" spans="1:25" x14ac:dyDescent="0.2">
      <c r="A242" s="24" t="s">
        <v>33</v>
      </c>
      <c r="B242" s="24">
        <v>801</v>
      </c>
      <c r="C242" s="24">
        <v>1</v>
      </c>
      <c r="D242" s="24" t="s">
        <v>315</v>
      </c>
      <c r="E242" s="30">
        <v>78</v>
      </c>
      <c r="F242" s="30" t="s">
        <v>60</v>
      </c>
      <c r="G242" s="24">
        <v>8</v>
      </c>
      <c r="H242" s="24">
        <v>49</v>
      </c>
      <c r="I242" s="30" t="s">
        <v>50</v>
      </c>
      <c r="J242" s="31">
        <v>547.78</v>
      </c>
      <c r="K242" s="31">
        <v>979.56</v>
      </c>
      <c r="L242" s="31">
        <v>1527.34</v>
      </c>
      <c r="M242" s="31">
        <v>1538.09</v>
      </c>
      <c r="N242" s="31">
        <v>0</v>
      </c>
      <c r="O242" s="31">
        <v>1538.09</v>
      </c>
      <c r="P242" s="31">
        <v>384.52</v>
      </c>
      <c r="Q242" s="31">
        <v>818.48</v>
      </c>
      <c r="R242" s="31">
        <v>398.2</v>
      </c>
      <c r="S242" s="31">
        <v>1707.05</v>
      </c>
      <c r="T242" s="31">
        <v>220.45</v>
      </c>
      <c r="U242" s="31">
        <v>0</v>
      </c>
      <c r="V242" s="31">
        <v>-7.07</v>
      </c>
      <c r="W242" s="31">
        <v>633.27</v>
      </c>
      <c r="X242" s="31">
        <v>248.75</v>
      </c>
      <c r="Y242" s="31">
        <v>1278.5899999999999</v>
      </c>
    </row>
    <row r="243" spans="1:25" x14ac:dyDescent="0.2">
      <c r="A243" s="24" t="s">
        <v>33</v>
      </c>
      <c r="B243" s="24">
        <v>803</v>
      </c>
      <c r="C243" s="24">
        <v>1</v>
      </c>
      <c r="D243" s="24" t="s">
        <v>316</v>
      </c>
      <c r="E243" s="30">
        <v>78</v>
      </c>
      <c r="F243" s="30" t="s">
        <v>60</v>
      </c>
      <c r="G243" s="24">
        <v>32</v>
      </c>
      <c r="H243" s="24">
        <v>104</v>
      </c>
      <c r="I243" s="30" t="s">
        <v>50</v>
      </c>
      <c r="J243" s="31">
        <v>2191.11</v>
      </c>
      <c r="K243" s="31">
        <v>2079.0700000000002</v>
      </c>
      <c r="L243" s="31">
        <v>4270.18</v>
      </c>
      <c r="M243" s="31">
        <v>4235.96</v>
      </c>
      <c r="N243" s="31">
        <v>12825.5</v>
      </c>
      <c r="O243" s="31">
        <v>17061.46</v>
      </c>
      <c r="P243" s="31">
        <v>4265.37</v>
      </c>
      <c r="Q243" s="31">
        <v>4064.3</v>
      </c>
      <c r="R243" s="31">
        <v>0</v>
      </c>
      <c r="S243" s="31">
        <v>1850.47</v>
      </c>
      <c r="T243" s="31">
        <v>0</v>
      </c>
      <c r="U243" s="31">
        <v>0</v>
      </c>
      <c r="V243" s="31">
        <v>1134.8699999999999</v>
      </c>
      <c r="W243" s="31">
        <v>2349.88</v>
      </c>
      <c r="X243" s="31">
        <v>0</v>
      </c>
      <c r="Y243" s="31">
        <v>4270.18</v>
      </c>
    </row>
    <row r="244" spans="1:25" x14ac:dyDescent="0.2">
      <c r="A244" s="24" t="s">
        <v>33</v>
      </c>
      <c r="B244" s="24">
        <v>811</v>
      </c>
      <c r="C244" s="24">
        <v>1</v>
      </c>
      <c r="D244" s="24" t="s">
        <v>317</v>
      </c>
      <c r="E244" s="30">
        <v>79</v>
      </c>
      <c r="F244" s="30" t="s">
        <v>61</v>
      </c>
      <c r="G244" s="24">
        <v>66</v>
      </c>
      <c r="H244" s="24">
        <v>204</v>
      </c>
      <c r="I244" s="30" t="s">
        <v>50</v>
      </c>
      <c r="J244" s="31">
        <v>4519.17</v>
      </c>
      <c r="K244" s="31">
        <v>4078.17</v>
      </c>
      <c r="L244" s="31">
        <v>8597.34</v>
      </c>
      <c r="M244" s="31">
        <v>7001</v>
      </c>
      <c r="N244" s="31">
        <v>13480.7</v>
      </c>
      <c r="O244" s="31">
        <v>20481.7</v>
      </c>
      <c r="P244" s="31">
        <v>5120.43</v>
      </c>
      <c r="Q244" s="31">
        <v>2815.38</v>
      </c>
      <c r="R244" s="31">
        <v>0</v>
      </c>
      <c r="S244" s="31">
        <v>5484.28</v>
      </c>
      <c r="T244" s="31">
        <v>0</v>
      </c>
      <c r="U244" s="31">
        <v>0</v>
      </c>
      <c r="V244" s="31">
        <v>-1842.68</v>
      </c>
      <c r="W244" s="31">
        <v>2152.33</v>
      </c>
      <c r="X244" s="31">
        <v>0</v>
      </c>
      <c r="Y244" s="31">
        <v>8597.34</v>
      </c>
    </row>
    <row r="245" spans="1:25" x14ac:dyDescent="0.2">
      <c r="A245" s="24" t="s">
        <v>33</v>
      </c>
      <c r="B245" s="24">
        <v>813</v>
      </c>
      <c r="C245" s="24">
        <v>1</v>
      </c>
      <c r="D245" s="24" t="s">
        <v>318</v>
      </c>
      <c r="E245" s="30">
        <v>79</v>
      </c>
      <c r="F245" s="30" t="s">
        <v>61</v>
      </c>
      <c r="G245" s="24">
        <v>123</v>
      </c>
      <c r="H245" s="24">
        <v>295</v>
      </c>
      <c r="I245" s="30" t="s">
        <v>50</v>
      </c>
      <c r="J245" s="31">
        <v>8422.09</v>
      </c>
      <c r="K245" s="31">
        <v>5897.36</v>
      </c>
      <c r="L245" s="31">
        <v>14319.45</v>
      </c>
      <c r="M245" s="31">
        <v>13484.24</v>
      </c>
      <c r="N245" s="31">
        <v>0</v>
      </c>
      <c r="O245" s="31">
        <v>13484.24</v>
      </c>
      <c r="P245" s="31">
        <v>3371.06</v>
      </c>
      <c r="Q245" s="31">
        <v>3114.07</v>
      </c>
      <c r="R245" s="31">
        <v>677.87</v>
      </c>
      <c r="S245" s="31">
        <v>4978.1000000000004</v>
      </c>
      <c r="T245" s="31">
        <v>607.99</v>
      </c>
      <c r="U245" s="31">
        <v>0</v>
      </c>
      <c r="V245" s="31">
        <v>-1251.1300000000001</v>
      </c>
      <c r="W245" s="31">
        <v>1851.73</v>
      </c>
      <c r="X245" s="31">
        <v>0</v>
      </c>
      <c r="Y245" s="31">
        <v>14319.45</v>
      </c>
    </row>
    <row r="246" spans="1:25" x14ac:dyDescent="0.2">
      <c r="A246" s="24" t="s">
        <v>33</v>
      </c>
      <c r="B246" s="24">
        <v>818</v>
      </c>
      <c r="C246" s="24">
        <v>1</v>
      </c>
      <c r="D246" s="24" t="s">
        <v>319</v>
      </c>
      <c r="E246" s="30">
        <v>80</v>
      </c>
      <c r="F246" s="30" t="s">
        <v>66</v>
      </c>
      <c r="G246" s="24">
        <v>29</v>
      </c>
      <c r="H246" s="24">
        <v>245</v>
      </c>
      <c r="I246" s="30" t="s">
        <v>50</v>
      </c>
      <c r="J246" s="31">
        <v>1985.7</v>
      </c>
      <c r="K246" s="31">
        <v>4897.8100000000004</v>
      </c>
      <c r="L246" s="31">
        <v>6883.51</v>
      </c>
      <c r="M246" s="31">
        <v>5732.5</v>
      </c>
      <c r="N246" s="31">
        <v>0</v>
      </c>
      <c r="O246" s="31">
        <v>5732.5</v>
      </c>
      <c r="P246" s="31">
        <v>1433.13</v>
      </c>
      <c r="Q246" s="31">
        <v>2610.64</v>
      </c>
      <c r="R246" s="31">
        <v>1945.55</v>
      </c>
      <c r="S246" s="31">
        <v>515.14</v>
      </c>
      <c r="T246" s="31">
        <v>0</v>
      </c>
      <c r="U246" s="31">
        <v>0</v>
      </c>
      <c r="V246" s="31">
        <v>353.48</v>
      </c>
      <c r="W246" s="31">
        <v>511.24</v>
      </c>
      <c r="X246" s="31">
        <v>0</v>
      </c>
      <c r="Y246" s="31">
        <v>6883.51</v>
      </c>
    </row>
    <row r="247" spans="1:25" x14ac:dyDescent="0.2">
      <c r="A247" s="24" t="s">
        <v>33</v>
      </c>
      <c r="B247" s="24">
        <v>820</v>
      </c>
      <c r="C247" s="24">
        <v>1</v>
      </c>
      <c r="D247" s="24" t="s">
        <v>320</v>
      </c>
      <c r="E247" s="30">
        <v>80</v>
      </c>
      <c r="F247" s="30" t="s">
        <v>66</v>
      </c>
      <c r="G247" s="24">
        <v>32</v>
      </c>
      <c r="H247" s="24">
        <v>284</v>
      </c>
      <c r="I247" s="30" t="s">
        <v>50</v>
      </c>
      <c r="J247" s="31">
        <v>2191.11</v>
      </c>
      <c r="K247" s="31">
        <v>5677.46</v>
      </c>
      <c r="L247" s="31">
        <v>7868.57</v>
      </c>
      <c r="M247" s="31">
        <v>8341.16</v>
      </c>
      <c r="N247" s="31">
        <v>10366.35</v>
      </c>
      <c r="O247" s="31">
        <v>18707.509999999998</v>
      </c>
      <c r="P247" s="31">
        <v>4676.88</v>
      </c>
      <c r="Q247" s="31">
        <v>1881.66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627.22</v>
      </c>
      <c r="X247" s="31">
        <v>0</v>
      </c>
      <c r="Y247" s="31">
        <v>7868.57</v>
      </c>
    </row>
    <row r="248" spans="1:25" x14ac:dyDescent="0.2">
      <c r="A248" s="24" t="s">
        <v>33</v>
      </c>
      <c r="B248" s="24">
        <v>821</v>
      </c>
      <c r="C248" s="24">
        <v>1</v>
      </c>
      <c r="D248" s="24" t="s">
        <v>321</v>
      </c>
      <c r="E248" s="30">
        <v>80</v>
      </c>
      <c r="F248" s="30" t="s">
        <v>66</v>
      </c>
      <c r="G248" s="24">
        <v>72</v>
      </c>
      <c r="H248" s="24">
        <v>368</v>
      </c>
      <c r="I248" s="30" t="s">
        <v>50</v>
      </c>
      <c r="J248" s="31">
        <v>4930</v>
      </c>
      <c r="K248" s="31">
        <v>7356.71</v>
      </c>
      <c r="L248" s="31">
        <v>12286.71</v>
      </c>
      <c r="M248" s="31">
        <v>11211.71</v>
      </c>
      <c r="N248" s="31">
        <v>7414.5</v>
      </c>
      <c r="O248" s="31">
        <v>18626.21</v>
      </c>
      <c r="P248" s="31">
        <v>4656.55</v>
      </c>
      <c r="Q248" s="31">
        <v>5271.95</v>
      </c>
      <c r="R248" s="31">
        <v>0</v>
      </c>
      <c r="S248" s="31">
        <v>6435.83</v>
      </c>
      <c r="T248" s="31">
        <v>0</v>
      </c>
      <c r="U248" s="31">
        <v>0</v>
      </c>
      <c r="V248" s="31">
        <v>6434.89</v>
      </c>
      <c r="W248" s="31">
        <v>6047.56</v>
      </c>
      <c r="X248" s="31">
        <v>1391.01</v>
      </c>
      <c r="Y248" s="31">
        <v>10895.7</v>
      </c>
    </row>
    <row r="249" spans="1:25" x14ac:dyDescent="0.2">
      <c r="A249" s="24" t="s">
        <v>33</v>
      </c>
      <c r="B249" s="24">
        <v>829</v>
      </c>
      <c r="C249" s="24">
        <v>1</v>
      </c>
      <c r="D249" s="24" t="s">
        <v>322</v>
      </c>
      <c r="E249" s="30">
        <v>81</v>
      </c>
      <c r="F249" s="30" t="s">
        <v>57</v>
      </c>
      <c r="G249" s="24">
        <v>202</v>
      </c>
      <c r="H249" s="24">
        <v>600</v>
      </c>
      <c r="I249" s="30" t="s">
        <v>50</v>
      </c>
      <c r="J249" s="31">
        <v>13831.39</v>
      </c>
      <c r="K249" s="31">
        <v>11994.63</v>
      </c>
      <c r="L249" s="31">
        <v>25826.02</v>
      </c>
      <c r="M249" s="31">
        <v>26120.45</v>
      </c>
      <c r="N249" s="31">
        <v>19859.87</v>
      </c>
      <c r="O249" s="31">
        <v>45980.32</v>
      </c>
      <c r="P249" s="31">
        <v>11495.08</v>
      </c>
      <c r="Q249" s="31">
        <v>6556.64</v>
      </c>
      <c r="R249" s="31">
        <v>0</v>
      </c>
      <c r="S249" s="31">
        <v>5739.35</v>
      </c>
      <c r="T249" s="31">
        <v>0</v>
      </c>
      <c r="U249" s="31">
        <v>0</v>
      </c>
      <c r="V249" s="31">
        <v>1779.44</v>
      </c>
      <c r="W249" s="31">
        <v>4691.8100000000004</v>
      </c>
      <c r="X249" s="31">
        <v>0</v>
      </c>
      <c r="Y249" s="31">
        <v>25826.02</v>
      </c>
    </row>
    <row r="250" spans="1:25" x14ac:dyDescent="0.2">
      <c r="A250" s="24" t="s">
        <v>33</v>
      </c>
      <c r="B250" s="24">
        <v>831</v>
      </c>
      <c r="C250" s="24">
        <v>1</v>
      </c>
      <c r="D250" s="24" t="s">
        <v>323</v>
      </c>
      <c r="E250" s="30">
        <v>82</v>
      </c>
      <c r="F250" s="30" t="s">
        <v>56</v>
      </c>
      <c r="G250" s="24">
        <v>645</v>
      </c>
      <c r="H250" s="24">
        <v>1408</v>
      </c>
      <c r="I250" s="30" t="s">
        <v>50</v>
      </c>
      <c r="J250" s="31">
        <v>44164.6</v>
      </c>
      <c r="K250" s="31">
        <v>28147.4</v>
      </c>
      <c r="L250" s="31">
        <v>72312</v>
      </c>
      <c r="M250" s="31">
        <v>72167.12</v>
      </c>
      <c r="N250" s="31">
        <v>57122.25</v>
      </c>
      <c r="O250" s="31">
        <v>129289.37</v>
      </c>
      <c r="P250" s="31">
        <v>32322.34</v>
      </c>
      <c r="Q250" s="31">
        <v>20822.46</v>
      </c>
      <c r="R250" s="31">
        <v>0</v>
      </c>
      <c r="S250" s="31">
        <v>41370.92</v>
      </c>
      <c r="T250" s="31">
        <v>0</v>
      </c>
      <c r="U250" s="31">
        <v>0</v>
      </c>
      <c r="V250" s="31">
        <v>32994.5</v>
      </c>
      <c r="W250" s="31">
        <v>31729.29</v>
      </c>
      <c r="X250" s="31">
        <v>0</v>
      </c>
      <c r="Y250" s="31">
        <v>72312</v>
      </c>
    </row>
    <row r="251" spans="1:25" x14ac:dyDescent="0.2">
      <c r="A251" s="24" t="s">
        <v>33</v>
      </c>
      <c r="B251" s="24">
        <v>832</v>
      </c>
      <c r="C251" s="24">
        <v>1</v>
      </c>
      <c r="D251" s="24" t="s">
        <v>324</v>
      </c>
      <c r="E251" s="30">
        <v>82</v>
      </c>
      <c r="F251" s="30" t="s">
        <v>56</v>
      </c>
      <c r="G251" s="24">
        <v>182</v>
      </c>
      <c r="H251" s="24">
        <v>256</v>
      </c>
      <c r="I251" s="30" t="s">
        <v>50</v>
      </c>
      <c r="J251" s="31">
        <v>12461.95</v>
      </c>
      <c r="K251" s="31">
        <v>5117.71</v>
      </c>
      <c r="L251" s="31">
        <v>17579.66</v>
      </c>
      <c r="M251" s="31">
        <v>17383.099999999999</v>
      </c>
      <c r="N251" s="31">
        <v>0</v>
      </c>
      <c r="O251" s="31">
        <v>17383.099999999999</v>
      </c>
      <c r="P251" s="31">
        <v>4345.78</v>
      </c>
      <c r="Q251" s="31">
        <v>2298.31</v>
      </c>
      <c r="R251" s="31">
        <v>0</v>
      </c>
      <c r="S251" s="31">
        <v>3468.62</v>
      </c>
      <c r="T251" s="31">
        <v>0</v>
      </c>
      <c r="U251" s="31">
        <v>0</v>
      </c>
      <c r="V251" s="31">
        <v>5050.1899999999996</v>
      </c>
      <c r="W251" s="31">
        <v>3605.71</v>
      </c>
      <c r="X251" s="31">
        <v>0</v>
      </c>
      <c r="Y251" s="31">
        <v>17579.66</v>
      </c>
    </row>
    <row r="252" spans="1:25" x14ac:dyDescent="0.2">
      <c r="A252" s="24" t="s">
        <v>33</v>
      </c>
      <c r="B252" s="24">
        <v>833</v>
      </c>
      <c r="C252" s="24">
        <v>1</v>
      </c>
      <c r="D252" s="24" t="s">
        <v>325</v>
      </c>
      <c r="E252" s="30">
        <v>82</v>
      </c>
      <c r="F252" s="30" t="s">
        <v>56</v>
      </c>
      <c r="G252" s="24">
        <v>1635</v>
      </c>
      <c r="H252" s="24">
        <v>2383</v>
      </c>
      <c r="I252" s="30" t="s">
        <v>50</v>
      </c>
      <c r="J252" s="31">
        <v>111952.12</v>
      </c>
      <c r="K252" s="31">
        <v>47638.67</v>
      </c>
      <c r="L252" s="31">
        <v>159590.79</v>
      </c>
      <c r="M252" s="31">
        <v>152608.23000000001</v>
      </c>
      <c r="N252" s="31">
        <v>256735.38</v>
      </c>
      <c r="O252" s="31">
        <v>409343.61</v>
      </c>
      <c r="P252" s="31">
        <v>102335.9</v>
      </c>
      <c r="Q252" s="31">
        <v>10023.94</v>
      </c>
      <c r="R252" s="31">
        <v>0</v>
      </c>
      <c r="S252" s="31">
        <v>3524.01</v>
      </c>
      <c r="T252" s="31">
        <v>0</v>
      </c>
      <c r="U252" s="31">
        <v>0</v>
      </c>
      <c r="V252" s="31">
        <v>-29692.77</v>
      </c>
      <c r="W252" s="31">
        <v>-5381.61</v>
      </c>
      <c r="X252" s="31">
        <v>0</v>
      </c>
      <c r="Y252" s="31">
        <v>159590.79</v>
      </c>
    </row>
    <row r="253" spans="1:25" x14ac:dyDescent="0.2">
      <c r="A253" s="24" t="s">
        <v>33</v>
      </c>
      <c r="B253" s="24">
        <v>834</v>
      </c>
      <c r="C253" s="24">
        <v>1</v>
      </c>
      <c r="D253" s="24" t="s">
        <v>395</v>
      </c>
      <c r="E253" s="30">
        <v>82</v>
      </c>
      <c r="F253" s="30" t="s">
        <v>56</v>
      </c>
      <c r="G253" s="24">
        <v>786</v>
      </c>
      <c r="H253" s="24">
        <v>1023</v>
      </c>
      <c r="I253" s="30" t="s">
        <v>50</v>
      </c>
      <c r="J253" s="31">
        <v>53819.18</v>
      </c>
      <c r="K253" s="31">
        <v>20450.84</v>
      </c>
      <c r="L253" s="31">
        <v>74270.02</v>
      </c>
      <c r="M253" s="31">
        <v>73327.7</v>
      </c>
      <c r="N253" s="31">
        <v>27439.24</v>
      </c>
      <c r="O253" s="31">
        <v>100766.94</v>
      </c>
      <c r="P253" s="31">
        <v>25191.74</v>
      </c>
      <c r="Q253" s="31">
        <v>6583.89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2194.63</v>
      </c>
      <c r="X253" s="31">
        <v>0</v>
      </c>
      <c r="Y253" s="31">
        <v>74270.02</v>
      </c>
    </row>
    <row r="254" spans="1:25" x14ac:dyDescent="0.2">
      <c r="A254" s="24" t="s">
        <v>33</v>
      </c>
      <c r="B254" s="24">
        <v>836</v>
      </c>
      <c r="C254" s="24">
        <v>1</v>
      </c>
      <c r="D254" s="24" t="s">
        <v>326</v>
      </c>
      <c r="E254" s="30">
        <v>83</v>
      </c>
      <c r="F254" s="30" t="s">
        <v>57</v>
      </c>
      <c r="G254" s="24">
        <v>13</v>
      </c>
      <c r="H254" s="24">
        <v>133</v>
      </c>
      <c r="I254" s="30" t="s">
        <v>50</v>
      </c>
      <c r="J254" s="31">
        <v>890.14</v>
      </c>
      <c r="K254" s="31">
        <v>2658.81</v>
      </c>
      <c r="L254" s="31">
        <v>3548.95</v>
      </c>
      <c r="M254" s="31">
        <v>3212.08</v>
      </c>
      <c r="N254" s="31">
        <v>2215</v>
      </c>
      <c r="O254" s="31">
        <v>5427.08</v>
      </c>
      <c r="P254" s="31">
        <v>1356.77</v>
      </c>
      <c r="Q254" s="31">
        <v>699.67</v>
      </c>
      <c r="R254" s="31">
        <v>0</v>
      </c>
      <c r="S254" s="31">
        <v>856.59</v>
      </c>
      <c r="T254" s="31">
        <v>0</v>
      </c>
      <c r="U254" s="31">
        <v>0</v>
      </c>
      <c r="V254" s="31">
        <v>500.05</v>
      </c>
      <c r="W254" s="31">
        <v>685.44</v>
      </c>
      <c r="X254" s="31">
        <v>0</v>
      </c>
      <c r="Y254" s="31">
        <v>3548.95</v>
      </c>
    </row>
    <row r="255" spans="1:25" x14ac:dyDescent="0.2">
      <c r="A255" s="24" t="s">
        <v>33</v>
      </c>
      <c r="B255" s="24">
        <v>837</v>
      </c>
      <c r="C255" s="24">
        <v>1</v>
      </c>
      <c r="D255" s="24" t="s">
        <v>327</v>
      </c>
      <c r="E255" s="30">
        <v>83</v>
      </c>
      <c r="F255" s="30" t="s">
        <v>57</v>
      </c>
      <c r="G255" s="24">
        <v>44</v>
      </c>
      <c r="H255" s="24">
        <v>256</v>
      </c>
      <c r="I255" s="30" t="s">
        <v>50</v>
      </c>
      <c r="J255" s="31">
        <v>3012.78</v>
      </c>
      <c r="K255" s="31">
        <v>5117.71</v>
      </c>
      <c r="L255" s="31">
        <v>8130.49</v>
      </c>
      <c r="M255" s="31">
        <v>7064.95</v>
      </c>
      <c r="N255" s="31">
        <v>8405.25</v>
      </c>
      <c r="O255" s="31">
        <v>15470.2</v>
      </c>
      <c r="P255" s="31">
        <v>3867.55</v>
      </c>
      <c r="Q255" s="31">
        <v>56.75</v>
      </c>
      <c r="R255" s="31">
        <v>0</v>
      </c>
      <c r="S255" s="31">
        <v>157.04</v>
      </c>
      <c r="T255" s="31">
        <v>0</v>
      </c>
      <c r="U255" s="31">
        <v>0</v>
      </c>
      <c r="V255" s="31">
        <v>884.81</v>
      </c>
      <c r="W255" s="31">
        <v>366.2</v>
      </c>
      <c r="X255" s="31">
        <v>0</v>
      </c>
      <c r="Y255" s="31">
        <v>8130.49</v>
      </c>
    </row>
    <row r="256" spans="1:25" x14ac:dyDescent="0.2">
      <c r="A256" s="24" t="s">
        <v>33</v>
      </c>
      <c r="B256" s="24">
        <v>840</v>
      </c>
      <c r="C256" s="24">
        <v>1</v>
      </c>
      <c r="D256" s="24" t="s">
        <v>328</v>
      </c>
      <c r="E256" s="30">
        <v>83</v>
      </c>
      <c r="F256" s="30" t="s">
        <v>57</v>
      </c>
      <c r="G256" s="24">
        <v>79</v>
      </c>
      <c r="H256" s="24">
        <v>561</v>
      </c>
      <c r="I256" s="30" t="s">
        <v>50</v>
      </c>
      <c r="J256" s="31">
        <v>5409.31</v>
      </c>
      <c r="K256" s="31">
        <v>11214.98</v>
      </c>
      <c r="L256" s="31">
        <v>16624.29</v>
      </c>
      <c r="M256" s="31">
        <v>17508.900000000001</v>
      </c>
      <c r="N256" s="31">
        <v>675</v>
      </c>
      <c r="O256" s="31">
        <v>18183.900000000001</v>
      </c>
      <c r="P256" s="31">
        <v>4545.9799999999996</v>
      </c>
      <c r="Q256" s="31">
        <v>3973.98</v>
      </c>
      <c r="R256" s="31">
        <v>0</v>
      </c>
      <c r="S256" s="31">
        <v>3996.49</v>
      </c>
      <c r="T256" s="31">
        <v>0</v>
      </c>
      <c r="U256" s="31">
        <v>0</v>
      </c>
      <c r="V256" s="31">
        <v>3721.29</v>
      </c>
      <c r="W256" s="31">
        <v>3897.25</v>
      </c>
      <c r="X256" s="31">
        <v>0</v>
      </c>
      <c r="Y256" s="31">
        <v>16624.29</v>
      </c>
    </row>
    <row r="257" spans="1:25" x14ac:dyDescent="0.2">
      <c r="A257" s="24" t="s">
        <v>33</v>
      </c>
      <c r="B257" s="24">
        <v>846</v>
      </c>
      <c r="C257" s="24">
        <v>1</v>
      </c>
      <c r="D257" s="24" t="s">
        <v>329</v>
      </c>
      <c r="E257" s="30">
        <v>84</v>
      </c>
      <c r="F257" s="30" t="s">
        <v>60</v>
      </c>
      <c r="G257" s="24">
        <v>80</v>
      </c>
      <c r="H257" s="24">
        <v>277</v>
      </c>
      <c r="I257" s="30" t="s">
        <v>50</v>
      </c>
      <c r="J257" s="31">
        <v>5477.78</v>
      </c>
      <c r="K257" s="31">
        <v>5537.52</v>
      </c>
      <c r="L257" s="31">
        <v>11015.3</v>
      </c>
      <c r="M257" s="31">
        <v>10212.719999999999</v>
      </c>
      <c r="N257" s="31">
        <v>29293.43</v>
      </c>
      <c r="O257" s="31">
        <v>39506.15</v>
      </c>
      <c r="P257" s="31">
        <v>9876.5400000000009</v>
      </c>
      <c r="Q257" s="31">
        <v>-5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-1.67</v>
      </c>
      <c r="X257" s="31">
        <v>0</v>
      </c>
      <c r="Y257" s="31">
        <v>11015.3</v>
      </c>
    </row>
    <row r="258" spans="1:25" x14ac:dyDescent="0.2">
      <c r="A258" s="24" t="s">
        <v>33</v>
      </c>
      <c r="B258" s="24">
        <v>850</v>
      </c>
      <c r="C258" s="24">
        <v>1</v>
      </c>
      <c r="D258" s="24" t="s">
        <v>330</v>
      </c>
      <c r="E258" s="30">
        <v>84</v>
      </c>
      <c r="F258" s="30" t="s">
        <v>60</v>
      </c>
      <c r="G258" s="24">
        <v>11</v>
      </c>
      <c r="H258" s="24">
        <v>84</v>
      </c>
      <c r="I258" s="30" t="s">
        <v>50</v>
      </c>
      <c r="J258" s="31">
        <v>753.19</v>
      </c>
      <c r="K258" s="31">
        <v>1679.25</v>
      </c>
      <c r="L258" s="31">
        <v>2432.44</v>
      </c>
      <c r="M258" s="31">
        <v>3016.37</v>
      </c>
      <c r="N258" s="31">
        <v>0</v>
      </c>
      <c r="O258" s="31">
        <v>3016.37</v>
      </c>
      <c r="P258" s="31">
        <v>754.09</v>
      </c>
      <c r="Q258" s="31">
        <v>1610.29</v>
      </c>
      <c r="R258" s="31">
        <v>526.19000000000005</v>
      </c>
      <c r="S258" s="31">
        <v>1905.1</v>
      </c>
      <c r="T258" s="31">
        <v>753.09</v>
      </c>
      <c r="U258" s="31">
        <v>0</v>
      </c>
      <c r="V258" s="31">
        <v>-0.81</v>
      </c>
      <c r="W258" s="31">
        <v>745.1</v>
      </c>
      <c r="X258" s="31">
        <v>0</v>
      </c>
      <c r="Y258" s="31">
        <v>2432.44</v>
      </c>
    </row>
    <row r="259" spans="1:25" x14ac:dyDescent="0.2">
      <c r="A259" s="24" t="s">
        <v>33</v>
      </c>
      <c r="B259" s="24">
        <v>852</v>
      </c>
      <c r="C259" s="24">
        <v>1</v>
      </c>
      <c r="D259" s="24" t="s">
        <v>331</v>
      </c>
      <c r="E259" s="30">
        <v>84</v>
      </c>
      <c r="F259" s="30" t="s">
        <v>60</v>
      </c>
      <c r="G259" s="24">
        <v>7</v>
      </c>
      <c r="H259" s="24">
        <v>67</v>
      </c>
      <c r="I259" s="30" t="s">
        <v>50</v>
      </c>
      <c r="J259" s="31">
        <v>479.31</v>
      </c>
      <c r="K259" s="31">
        <v>1339.4</v>
      </c>
      <c r="L259" s="31">
        <v>1818.71</v>
      </c>
      <c r="M259" s="31">
        <v>2168.35</v>
      </c>
      <c r="N259" s="31">
        <v>0</v>
      </c>
      <c r="O259" s="31">
        <v>2168.35</v>
      </c>
      <c r="P259" s="31">
        <v>542.09</v>
      </c>
      <c r="Q259" s="31">
        <v>-81.680000000000007</v>
      </c>
      <c r="R259" s="31">
        <v>570.14</v>
      </c>
      <c r="S259" s="31">
        <v>-38.96</v>
      </c>
      <c r="T259" s="31">
        <v>0</v>
      </c>
      <c r="U259" s="31">
        <v>0</v>
      </c>
      <c r="V259" s="31">
        <v>0</v>
      </c>
      <c r="W259" s="31">
        <v>-230.26</v>
      </c>
      <c r="X259" s="31">
        <v>0</v>
      </c>
      <c r="Y259" s="31">
        <v>1818.71</v>
      </c>
    </row>
    <row r="260" spans="1:25" x14ac:dyDescent="0.2">
      <c r="A260" s="24" t="s">
        <v>33</v>
      </c>
      <c r="B260" s="24">
        <v>857</v>
      </c>
      <c r="C260" s="24">
        <v>1</v>
      </c>
      <c r="D260" s="24" t="s">
        <v>332</v>
      </c>
      <c r="E260" s="30">
        <v>85</v>
      </c>
      <c r="F260" s="30" t="s">
        <v>61</v>
      </c>
      <c r="G260" s="24">
        <v>96</v>
      </c>
      <c r="H260" s="24">
        <v>267</v>
      </c>
      <c r="I260" s="30" t="s">
        <v>50</v>
      </c>
      <c r="J260" s="31">
        <v>6573.34</v>
      </c>
      <c r="K260" s="31">
        <v>5337.61</v>
      </c>
      <c r="L260" s="31">
        <v>11910.95</v>
      </c>
      <c r="M260" s="31">
        <v>9675.2199999999993</v>
      </c>
      <c r="N260" s="31">
        <v>68378.429999999993</v>
      </c>
      <c r="O260" s="31">
        <v>78053.649999999994</v>
      </c>
      <c r="P260" s="31">
        <v>19513.41</v>
      </c>
      <c r="Q260" s="31">
        <v>-30252</v>
      </c>
      <c r="R260" s="31">
        <v>0</v>
      </c>
      <c r="S260" s="31">
        <v>-26990.47</v>
      </c>
      <c r="T260" s="31">
        <v>0</v>
      </c>
      <c r="U260" s="31">
        <v>0</v>
      </c>
      <c r="V260" s="31">
        <v>-30000</v>
      </c>
      <c r="W260" s="31">
        <v>-29080.82</v>
      </c>
      <c r="X260" s="31">
        <v>0</v>
      </c>
      <c r="Y260" s="31">
        <v>11910.95</v>
      </c>
    </row>
    <row r="261" spans="1:25" x14ac:dyDescent="0.2">
      <c r="A261" s="24" t="s">
        <v>33</v>
      </c>
      <c r="B261" s="24">
        <v>858</v>
      </c>
      <c r="C261" s="24">
        <v>1</v>
      </c>
      <c r="D261" s="24" t="s">
        <v>333</v>
      </c>
      <c r="E261" s="30">
        <v>85</v>
      </c>
      <c r="F261" s="30" t="s">
        <v>61</v>
      </c>
      <c r="G261" s="24">
        <v>101</v>
      </c>
      <c r="H261" s="24">
        <v>269</v>
      </c>
      <c r="I261" s="30" t="s">
        <v>50</v>
      </c>
      <c r="J261" s="31">
        <v>6915.7</v>
      </c>
      <c r="K261" s="31">
        <v>5377.59</v>
      </c>
      <c r="L261" s="31">
        <v>12293.29</v>
      </c>
      <c r="M261" s="31">
        <v>13320.51</v>
      </c>
      <c r="N261" s="31">
        <v>0</v>
      </c>
      <c r="O261" s="31">
        <v>13320.51</v>
      </c>
      <c r="P261" s="31">
        <v>3330.13</v>
      </c>
      <c r="Q261" s="31">
        <v>2469.56</v>
      </c>
      <c r="R261" s="31">
        <v>3493.65</v>
      </c>
      <c r="S261" s="31">
        <v>8423.74</v>
      </c>
      <c r="T261" s="31">
        <v>0</v>
      </c>
      <c r="U261" s="31">
        <v>0</v>
      </c>
      <c r="V261" s="31">
        <v>8423.74</v>
      </c>
      <c r="W261" s="31">
        <v>5274.46</v>
      </c>
      <c r="X261" s="31">
        <v>1944.33</v>
      </c>
      <c r="Y261" s="31">
        <v>10348.959999999999</v>
      </c>
    </row>
    <row r="262" spans="1:25" x14ac:dyDescent="0.2">
      <c r="A262" s="24" t="s">
        <v>33</v>
      </c>
      <c r="B262" s="24">
        <v>861</v>
      </c>
      <c r="C262" s="24">
        <v>1</v>
      </c>
      <c r="D262" s="24" t="s">
        <v>334</v>
      </c>
      <c r="E262" s="30">
        <v>85</v>
      </c>
      <c r="F262" s="30" t="s">
        <v>61</v>
      </c>
      <c r="G262" s="24">
        <v>413</v>
      </c>
      <c r="H262" s="24">
        <v>1157</v>
      </c>
      <c r="I262" s="30" t="s">
        <v>50</v>
      </c>
      <c r="J262" s="31">
        <v>28279.040000000001</v>
      </c>
      <c r="K262" s="31">
        <v>23129.64</v>
      </c>
      <c r="L262" s="31">
        <v>51408.68</v>
      </c>
      <c r="M262" s="31">
        <v>50999.97</v>
      </c>
      <c r="N262" s="31">
        <v>1130</v>
      </c>
      <c r="O262" s="31">
        <v>52129.97</v>
      </c>
      <c r="P262" s="31">
        <v>13032.49</v>
      </c>
      <c r="Q262" s="31">
        <v>2877.61</v>
      </c>
      <c r="R262" s="31">
        <v>0</v>
      </c>
      <c r="S262" s="31">
        <v>6811.02</v>
      </c>
      <c r="T262" s="31">
        <v>0</v>
      </c>
      <c r="U262" s="31">
        <v>0</v>
      </c>
      <c r="V262" s="31">
        <v>9313.34</v>
      </c>
      <c r="W262" s="31">
        <v>6333.99</v>
      </c>
      <c r="X262" s="31">
        <v>0</v>
      </c>
      <c r="Y262" s="31">
        <v>51408.68</v>
      </c>
    </row>
    <row r="263" spans="1:25" x14ac:dyDescent="0.2">
      <c r="A263" s="24" t="s">
        <v>33</v>
      </c>
      <c r="B263" s="24">
        <v>876</v>
      </c>
      <c r="C263" s="24">
        <v>1</v>
      </c>
      <c r="D263" s="24" t="s">
        <v>335</v>
      </c>
      <c r="E263" s="30">
        <v>86</v>
      </c>
      <c r="F263" s="30" t="s">
        <v>63</v>
      </c>
      <c r="G263" s="24">
        <v>150</v>
      </c>
      <c r="H263" s="24">
        <v>352</v>
      </c>
      <c r="I263" s="30" t="s">
        <v>50</v>
      </c>
      <c r="J263" s="31">
        <v>10270.84</v>
      </c>
      <c r="K263" s="31">
        <v>7036.85</v>
      </c>
      <c r="L263" s="31">
        <v>17307.689999999999</v>
      </c>
      <c r="M263" s="31">
        <v>18026.21</v>
      </c>
      <c r="N263" s="31">
        <v>82851</v>
      </c>
      <c r="O263" s="31">
        <v>100877.21</v>
      </c>
      <c r="P263" s="31">
        <v>25219.3</v>
      </c>
      <c r="Q263" s="31">
        <v>8407.49</v>
      </c>
      <c r="R263" s="31">
        <v>0</v>
      </c>
      <c r="S263" s="31">
        <v>16742.27</v>
      </c>
      <c r="T263" s="31">
        <v>0</v>
      </c>
      <c r="U263" s="31">
        <v>0</v>
      </c>
      <c r="V263" s="31">
        <v>23770.35</v>
      </c>
      <c r="W263" s="31">
        <v>16306.7</v>
      </c>
      <c r="X263" s="31">
        <v>0</v>
      </c>
      <c r="Y263" s="31">
        <v>17307.689999999999</v>
      </c>
    </row>
    <row r="264" spans="1:25" x14ac:dyDescent="0.2">
      <c r="A264" s="24" t="s">
        <v>33</v>
      </c>
      <c r="B264" s="24">
        <v>877</v>
      </c>
      <c r="C264" s="24">
        <v>1</v>
      </c>
      <c r="D264" s="24" t="s">
        <v>336</v>
      </c>
      <c r="E264" s="30">
        <v>86</v>
      </c>
      <c r="F264" s="30" t="s">
        <v>63</v>
      </c>
      <c r="G264" s="24">
        <v>624</v>
      </c>
      <c r="H264" s="24">
        <v>1375</v>
      </c>
      <c r="I264" s="30" t="s">
        <v>50</v>
      </c>
      <c r="J264" s="31">
        <v>42726.68</v>
      </c>
      <c r="K264" s="31">
        <v>27487.69</v>
      </c>
      <c r="L264" s="31">
        <v>70214.37</v>
      </c>
      <c r="M264" s="31">
        <v>67608.490000000005</v>
      </c>
      <c r="N264" s="31">
        <v>209059.09</v>
      </c>
      <c r="O264" s="31">
        <v>276667.58</v>
      </c>
      <c r="P264" s="31">
        <v>69166.899999999994</v>
      </c>
      <c r="Q264" s="31">
        <v>11424.65</v>
      </c>
      <c r="R264" s="31">
        <v>0</v>
      </c>
      <c r="S264" s="31">
        <v>20552.849999999999</v>
      </c>
      <c r="T264" s="31">
        <v>0</v>
      </c>
      <c r="U264" s="31">
        <v>0</v>
      </c>
      <c r="V264" s="31">
        <v>44430.48</v>
      </c>
      <c r="W264" s="31">
        <v>25469.33</v>
      </c>
      <c r="X264" s="31">
        <v>0</v>
      </c>
      <c r="Y264" s="31">
        <v>70214.37</v>
      </c>
    </row>
    <row r="265" spans="1:25" x14ac:dyDescent="0.2">
      <c r="A265" s="24" t="s">
        <v>33</v>
      </c>
      <c r="B265" s="24">
        <v>879</v>
      </c>
      <c r="C265" s="24">
        <v>1</v>
      </c>
      <c r="D265" s="24" t="s">
        <v>337</v>
      </c>
      <c r="E265" s="30">
        <v>86</v>
      </c>
      <c r="F265" s="30" t="s">
        <v>63</v>
      </c>
      <c r="G265" s="24">
        <v>180</v>
      </c>
      <c r="H265" s="24">
        <v>326</v>
      </c>
      <c r="I265" s="30" t="s">
        <v>50</v>
      </c>
      <c r="J265" s="31">
        <v>12325</v>
      </c>
      <c r="K265" s="31">
        <v>6517.08</v>
      </c>
      <c r="L265" s="31">
        <v>18842.080000000002</v>
      </c>
      <c r="M265" s="31">
        <v>17625.5</v>
      </c>
      <c r="N265" s="31">
        <v>0</v>
      </c>
      <c r="O265" s="31">
        <v>17625.5</v>
      </c>
      <c r="P265" s="31">
        <v>4406.38</v>
      </c>
      <c r="Q265" s="31">
        <v>-4553.91</v>
      </c>
      <c r="R265" s="31">
        <v>0</v>
      </c>
      <c r="S265" s="31">
        <v>-2405.52</v>
      </c>
      <c r="T265" s="31">
        <v>0</v>
      </c>
      <c r="U265" s="31">
        <v>0</v>
      </c>
      <c r="V265" s="31">
        <v>-1169.4100000000001</v>
      </c>
      <c r="W265" s="31">
        <v>-2709.61</v>
      </c>
      <c r="X265" s="31">
        <v>0</v>
      </c>
      <c r="Y265" s="31">
        <v>18842.080000000002</v>
      </c>
    </row>
    <row r="266" spans="1:25" x14ac:dyDescent="0.2">
      <c r="A266" s="24" t="s">
        <v>33</v>
      </c>
      <c r="B266" s="24">
        <v>881</v>
      </c>
      <c r="C266" s="24">
        <v>1</v>
      </c>
      <c r="D266" s="24" t="s">
        <v>338</v>
      </c>
      <c r="E266" s="30">
        <v>86</v>
      </c>
      <c r="F266" s="30" t="s">
        <v>63</v>
      </c>
      <c r="G266" s="24">
        <v>93</v>
      </c>
      <c r="H266" s="24">
        <v>151</v>
      </c>
      <c r="I266" s="30" t="s">
        <v>50</v>
      </c>
      <c r="J266" s="31">
        <v>6367.92</v>
      </c>
      <c r="K266" s="31">
        <v>3018.65</v>
      </c>
      <c r="L266" s="31">
        <v>9386.57</v>
      </c>
      <c r="M266" s="31">
        <v>9413.59</v>
      </c>
      <c r="N266" s="31">
        <v>0</v>
      </c>
      <c r="O266" s="31">
        <v>9413.59</v>
      </c>
      <c r="P266" s="31">
        <v>2353.4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9386.57</v>
      </c>
    </row>
    <row r="267" spans="1:25" x14ac:dyDescent="0.2">
      <c r="A267" s="24" t="s">
        <v>33</v>
      </c>
      <c r="B267" s="24">
        <v>882</v>
      </c>
      <c r="C267" s="24">
        <v>1</v>
      </c>
      <c r="D267" s="24" t="s">
        <v>339</v>
      </c>
      <c r="E267" s="30">
        <v>86</v>
      </c>
      <c r="F267" s="30" t="s">
        <v>63</v>
      </c>
      <c r="G267" s="24">
        <v>305</v>
      </c>
      <c r="H267" s="24">
        <v>875</v>
      </c>
      <c r="I267" s="30" t="s">
        <v>50</v>
      </c>
      <c r="J267" s="31">
        <v>20884.03</v>
      </c>
      <c r="K267" s="31">
        <v>17492.169999999998</v>
      </c>
      <c r="L267" s="31">
        <v>38376.199999999997</v>
      </c>
      <c r="M267" s="31">
        <v>38887.79</v>
      </c>
      <c r="N267" s="31">
        <v>53912.5</v>
      </c>
      <c r="O267" s="31">
        <v>92800.29</v>
      </c>
      <c r="P267" s="31">
        <v>23200.07</v>
      </c>
      <c r="Q267" s="31">
        <v>9307.68</v>
      </c>
      <c r="R267" s="31">
        <v>0</v>
      </c>
      <c r="S267" s="31">
        <v>8295.57</v>
      </c>
      <c r="T267" s="31">
        <v>0</v>
      </c>
      <c r="U267" s="31">
        <v>0</v>
      </c>
      <c r="V267" s="31">
        <v>13195.17</v>
      </c>
      <c r="W267" s="31">
        <v>10266.14</v>
      </c>
      <c r="X267" s="31">
        <v>0</v>
      </c>
      <c r="Y267" s="31">
        <v>38376.199999999997</v>
      </c>
    </row>
    <row r="268" spans="1:25" x14ac:dyDescent="0.2">
      <c r="A268" s="24" t="s">
        <v>33</v>
      </c>
      <c r="B268" s="24">
        <v>883</v>
      </c>
      <c r="C268" s="24">
        <v>1</v>
      </c>
      <c r="D268" s="24" t="s">
        <v>340</v>
      </c>
      <c r="E268" s="30">
        <v>86</v>
      </c>
      <c r="F268" s="30" t="s">
        <v>63</v>
      </c>
      <c r="G268" s="24">
        <v>159</v>
      </c>
      <c r="H268" s="24">
        <v>360</v>
      </c>
      <c r="I268" s="30" t="s">
        <v>50</v>
      </c>
      <c r="J268" s="31">
        <v>10887.09</v>
      </c>
      <c r="K268" s="31">
        <v>7196.78</v>
      </c>
      <c r="L268" s="31">
        <v>18083.87</v>
      </c>
      <c r="M268" s="31">
        <v>19234.91</v>
      </c>
      <c r="N268" s="31">
        <v>153694.15</v>
      </c>
      <c r="O268" s="31">
        <v>172929.06</v>
      </c>
      <c r="P268" s="31">
        <v>43232.27</v>
      </c>
      <c r="Q268" s="31">
        <v>8449.81</v>
      </c>
      <c r="R268" s="31">
        <v>0</v>
      </c>
      <c r="S268" s="31">
        <v>32514.27</v>
      </c>
      <c r="T268" s="31">
        <v>0</v>
      </c>
      <c r="U268" s="31">
        <v>0</v>
      </c>
      <c r="V268" s="31">
        <v>44355.13</v>
      </c>
      <c r="W268" s="31">
        <v>28439.74</v>
      </c>
      <c r="X268" s="31">
        <v>0</v>
      </c>
      <c r="Y268" s="31">
        <v>18083.87</v>
      </c>
    </row>
    <row r="269" spans="1:25" x14ac:dyDescent="0.2">
      <c r="A269" s="24" t="s">
        <v>33</v>
      </c>
      <c r="B269" s="24">
        <v>885</v>
      </c>
      <c r="C269" s="24">
        <v>1</v>
      </c>
      <c r="D269" s="24" t="s">
        <v>341</v>
      </c>
      <c r="E269" s="30">
        <v>86</v>
      </c>
      <c r="F269" s="30" t="s">
        <v>63</v>
      </c>
      <c r="G269" s="24">
        <v>452</v>
      </c>
      <c r="H269" s="24">
        <v>595</v>
      </c>
      <c r="I269" s="30" t="s">
        <v>50</v>
      </c>
      <c r="J269" s="31">
        <v>30949.45</v>
      </c>
      <c r="K269" s="31">
        <v>11894.67</v>
      </c>
      <c r="L269" s="31">
        <v>42844.12</v>
      </c>
      <c r="M269" s="31">
        <v>44328.11</v>
      </c>
      <c r="N269" s="31">
        <v>253862.08</v>
      </c>
      <c r="O269" s="31">
        <v>298190.19</v>
      </c>
      <c r="P269" s="31">
        <v>74547.55</v>
      </c>
      <c r="Q269" s="31">
        <v>-2547.2399999999998</v>
      </c>
      <c r="R269" s="31">
        <v>0</v>
      </c>
      <c r="S269" s="31">
        <v>-53082.6</v>
      </c>
      <c r="T269" s="31">
        <v>0</v>
      </c>
      <c r="U269" s="31">
        <v>0</v>
      </c>
      <c r="V269" s="31">
        <v>-5202.66</v>
      </c>
      <c r="W269" s="31">
        <v>-20277.5</v>
      </c>
      <c r="X269" s="31">
        <v>0</v>
      </c>
      <c r="Y269" s="31">
        <v>42844.12</v>
      </c>
    </row>
    <row r="270" spans="1:25" x14ac:dyDescent="0.2">
      <c r="A270" s="24" t="s">
        <v>33</v>
      </c>
      <c r="B270" s="24">
        <v>891</v>
      </c>
      <c r="C270" s="24">
        <v>1</v>
      </c>
      <c r="D270" s="24" t="s">
        <v>342</v>
      </c>
      <c r="E270" s="30">
        <v>87</v>
      </c>
      <c r="F270" s="30" t="s">
        <v>64</v>
      </c>
      <c r="G270" s="24">
        <v>35</v>
      </c>
      <c r="H270" s="24">
        <v>189</v>
      </c>
      <c r="I270" s="30" t="s">
        <v>50</v>
      </c>
      <c r="J270" s="31">
        <v>2396.5300000000002</v>
      </c>
      <c r="K270" s="31">
        <v>3778.31</v>
      </c>
      <c r="L270" s="31">
        <v>6174.84</v>
      </c>
      <c r="M270" s="31">
        <v>5959.21</v>
      </c>
      <c r="N270" s="31">
        <v>18252.72</v>
      </c>
      <c r="O270" s="31">
        <v>24211.93</v>
      </c>
      <c r="P270" s="31">
        <v>6052.98</v>
      </c>
      <c r="Q270" s="31">
        <v>-12412.39</v>
      </c>
      <c r="R270" s="31">
        <v>0</v>
      </c>
      <c r="S270" s="31">
        <v>-4874.8</v>
      </c>
      <c r="T270" s="31">
        <v>0</v>
      </c>
      <c r="U270" s="31">
        <v>0</v>
      </c>
      <c r="V270" s="31">
        <v>-7108.09</v>
      </c>
      <c r="W270" s="31">
        <v>-8131.76</v>
      </c>
      <c r="X270" s="31">
        <v>0</v>
      </c>
      <c r="Y270" s="31">
        <v>6174.84</v>
      </c>
    </row>
    <row r="271" spans="1:25" x14ac:dyDescent="0.2">
      <c r="A271" s="24" t="s">
        <v>33</v>
      </c>
      <c r="B271" s="24">
        <v>911</v>
      </c>
      <c r="C271" s="24">
        <v>1</v>
      </c>
      <c r="D271" s="24" t="s">
        <v>343</v>
      </c>
      <c r="E271" s="30">
        <v>30</v>
      </c>
      <c r="F271" s="30" t="s">
        <v>67</v>
      </c>
      <c r="G271" s="24">
        <v>398</v>
      </c>
      <c r="H271" s="24">
        <v>1509</v>
      </c>
      <c r="I271" s="30" t="s">
        <v>50</v>
      </c>
      <c r="J271" s="31">
        <v>27251.95</v>
      </c>
      <c r="K271" s="31">
        <v>30166.49</v>
      </c>
      <c r="L271" s="31">
        <v>57418.44</v>
      </c>
      <c r="M271" s="31">
        <v>54676.99</v>
      </c>
      <c r="N271" s="31">
        <v>0</v>
      </c>
      <c r="O271" s="31">
        <v>54676.99</v>
      </c>
      <c r="P271" s="31">
        <v>13669.25</v>
      </c>
      <c r="Q271" s="31">
        <v>11996.34</v>
      </c>
      <c r="R271" s="31">
        <v>0</v>
      </c>
      <c r="S271" s="31">
        <v>12147.68</v>
      </c>
      <c r="T271" s="31">
        <v>0</v>
      </c>
      <c r="U271" s="31">
        <v>0</v>
      </c>
      <c r="V271" s="31">
        <v>13116.15</v>
      </c>
      <c r="W271" s="31">
        <v>12420.06</v>
      </c>
      <c r="X271" s="31">
        <v>0</v>
      </c>
      <c r="Y271" s="31">
        <v>57418.44</v>
      </c>
    </row>
    <row r="272" spans="1:25" x14ac:dyDescent="0.2">
      <c r="A272" s="24" t="s">
        <v>33</v>
      </c>
      <c r="B272" s="24">
        <v>912</v>
      </c>
      <c r="C272" s="24">
        <v>1</v>
      </c>
      <c r="D272" s="24" t="s">
        <v>344</v>
      </c>
      <c r="E272" s="30">
        <v>48</v>
      </c>
      <c r="F272" s="30" t="s">
        <v>67</v>
      </c>
      <c r="G272" s="24">
        <v>151</v>
      </c>
      <c r="H272" s="24">
        <v>735</v>
      </c>
      <c r="I272" s="30" t="s">
        <v>50</v>
      </c>
      <c r="J272" s="31">
        <v>10339.31</v>
      </c>
      <c r="K272" s="31">
        <v>14693.42</v>
      </c>
      <c r="L272" s="31">
        <v>25032.73</v>
      </c>
      <c r="M272" s="31">
        <v>25385.65</v>
      </c>
      <c r="N272" s="31">
        <v>61426.21</v>
      </c>
      <c r="O272" s="31">
        <v>86811.86</v>
      </c>
      <c r="P272" s="31">
        <v>21702.97</v>
      </c>
      <c r="Q272" s="31">
        <v>-56608.51</v>
      </c>
      <c r="R272" s="31">
        <v>0</v>
      </c>
      <c r="S272" s="31">
        <v>-37181.660000000003</v>
      </c>
      <c r="T272" s="31">
        <v>0</v>
      </c>
      <c r="U272" s="31">
        <v>0</v>
      </c>
      <c r="V272" s="31">
        <v>-17645.73</v>
      </c>
      <c r="W272" s="31">
        <v>-37145.300000000003</v>
      </c>
      <c r="X272" s="31">
        <v>0</v>
      </c>
      <c r="Y272" s="31">
        <v>25032.73</v>
      </c>
    </row>
    <row r="273" spans="1:25" x14ac:dyDescent="0.2">
      <c r="A273" s="24" t="s">
        <v>33</v>
      </c>
      <c r="B273" s="24">
        <v>914</v>
      </c>
      <c r="C273" s="24">
        <v>1</v>
      </c>
      <c r="D273" s="24" t="s">
        <v>345</v>
      </c>
      <c r="E273" s="30">
        <v>14</v>
      </c>
      <c r="F273" s="30" t="s">
        <v>60</v>
      </c>
      <c r="G273" s="24">
        <v>14</v>
      </c>
      <c r="H273" s="24">
        <v>87</v>
      </c>
      <c r="I273" s="30" t="s">
        <v>50</v>
      </c>
      <c r="J273" s="31">
        <v>958.61</v>
      </c>
      <c r="K273" s="31">
        <v>1739.22</v>
      </c>
      <c r="L273" s="31">
        <v>2697.83</v>
      </c>
      <c r="M273" s="31">
        <v>3595.78</v>
      </c>
      <c r="N273" s="31">
        <v>16601</v>
      </c>
      <c r="O273" s="31">
        <v>20196.78</v>
      </c>
      <c r="P273" s="31">
        <v>5049.2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2697.83</v>
      </c>
    </row>
    <row r="274" spans="1:25" x14ac:dyDescent="0.2">
      <c r="A274" s="24" t="s">
        <v>33</v>
      </c>
      <c r="B274" s="24">
        <v>2071</v>
      </c>
      <c r="C274" s="24">
        <v>1</v>
      </c>
      <c r="D274" s="24" t="s">
        <v>74</v>
      </c>
      <c r="E274" s="30">
        <v>7</v>
      </c>
      <c r="F274" s="30" t="s">
        <v>57</v>
      </c>
      <c r="G274" s="24">
        <v>77</v>
      </c>
      <c r="H274" s="24">
        <v>259</v>
      </c>
      <c r="I274" s="30" t="s">
        <v>50</v>
      </c>
      <c r="J274" s="31">
        <v>5272.36</v>
      </c>
      <c r="K274" s="31">
        <v>5177.68</v>
      </c>
      <c r="L274" s="31">
        <v>10450.040000000001</v>
      </c>
      <c r="M274" s="31">
        <v>9785.52</v>
      </c>
      <c r="N274" s="31">
        <v>164329.79999999999</v>
      </c>
      <c r="O274" s="31">
        <v>174115.32</v>
      </c>
      <c r="P274" s="31">
        <v>43528.83</v>
      </c>
      <c r="Q274" s="31">
        <v>11254.35</v>
      </c>
      <c r="R274" s="31">
        <v>0</v>
      </c>
      <c r="S274" s="31">
        <v>11076.22</v>
      </c>
      <c r="T274" s="31">
        <v>0</v>
      </c>
      <c r="U274" s="31">
        <v>0</v>
      </c>
      <c r="V274" s="31">
        <v>46296.800000000003</v>
      </c>
      <c r="W274" s="31">
        <v>22875.79</v>
      </c>
      <c r="X274" s="31">
        <v>0</v>
      </c>
      <c r="Y274" s="31">
        <v>10450.040000000001</v>
      </c>
    </row>
    <row r="275" spans="1:25" x14ac:dyDescent="0.2">
      <c r="A275" s="24" t="s">
        <v>33</v>
      </c>
      <c r="B275" s="24">
        <v>2125</v>
      </c>
      <c r="C275" s="24">
        <v>1</v>
      </c>
      <c r="D275" s="24" t="s">
        <v>346</v>
      </c>
      <c r="E275" s="30">
        <v>20</v>
      </c>
      <c r="F275" s="30" t="s">
        <v>61</v>
      </c>
      <c r="G275" s="24">
        <v>111</v>
      </c>
      <c r="H275" s="24">
        <v>384</v>
      </c>
      <c r="I275" s="30" t="s">
        <v>50</v>
      </c>
      <c r="J275" s="31">
        <v>7600.42</v>
      </c>
      <c r="K275" s="31">
        <v>7676.56</v>
      </c>
      <c r="L275" s="31">
        <v>15276.98</v>
      </c>
      <c r="M275" s="31">
        <v>16500.61</v>
      </c>
      <c r="N275" s="31">
        <v>57980</v>
      </c>
      <c r="O275" s="31">
        <v>74480.61</v>
      </c>
      <c r="P275" s="31">
        <v>18620.150000000001</v>
      </c>
      <c r="Q275" s="31">
        <v>3550.94</v>
      </c>
      <c r="R275" s="31">
        <v>0</v>
      </c>
      <c r="S275" s="31">
        <v>5172.93</v>
      </c>
      <c r="T275" s="31">
        <v>0</v>
      </c>
      <c r="U275" s="31">
        <v>0</v>
      </c>
      <c r="V275" s="31">
        <v>15385.82</v>
      </c>
      <c r="W275" s="31">
        <v>8036.56</v>
      </c>
      <c r="X275" s="31">
        <v>0</v>
      </c>
      <c r="Y275" s="31">
        <v>15276.98</v>
      </c>
    </row>
    <row r="276" spans="1:25" x14ac:dyDescent="0.2">
      <c r="A276" s="24" t="s">
        <v>33</v>
      </c>
      <c r="B276" s="24">
        <v>2134</v>
      </c>
      <c r="C276" s="24">
        <v>1</v>
      </c>
      <c r="D276" s="24" t="s">
        <v>347</v>
      </c>
      <c r="E276" s="30">
        <v>22</v>
      </c>
      <c r="F276" s="30" t="s">
        <v>57</v>
      </c>
      <c r="G276" s="24">
        <v>73</v>
      </c>
      <c r="H276" s="24">
        <v>311</v>
      </c>
      <c r="I276" s="30" t="s">
        <v>50</v>
      </c>
      <c r="J276" s="31">
        <v>4998.47</v>
      </c>
      <c r="K276" s="31">
        <v>6217.22</v>
      </c>
      <c r="L276" s="31">
        <v>11215.69</v>
      </c>
      <c r="M276" s="31">
        <v>14109.1</v>
      </c>
      <c r="N276" s="31">
        <v>16857.25</v>
      </c>
      <c r="O276" s="31">
        <v>30966.35</v>
      </c>
      <c r="P276" s="31">
        <v>7741.59</v>
      </c>
      <c r="Q276" s="31">
        <v>6583.24</v>
      </c>
      <c r="R276" s="31">
        <v>279.3</v>
      </c>
      <c r="S276" s="31">
        <v>7405.77</v>
      </c>
      <c r="T276" s="31">
        <v>0</v>
      </c>
      <c r="U276" s="31">
        <v>0</v>
      </c>
      <c r="V276" s="31">
        <v>7402.09</v>
      </c>
      <c r="W276" s="31">
        <v>7037.27</v>
      </c>
      <c r="X276" s="31">
        <v>0</v>
      </c>
      <c r="Y276" s="31">
        <v>11215.69</v>
      </c>
    </row>
    <row r="277" spans="1:25" x14ac:dyDescent="0.2">
      <c r="A277" s="24" t="s">
        <v>33</v>
      </c>
      <c r="B277" s="24">
        <v>2135</v>
      </c>
      <c r="C277" s="24">
        <v>1</v>
      </c>
      <c r="D277" s="24" t="s">
        <v>348</v>
      </c>
      <c r="E277" s="30">
        <v>7</v>
      </c>
      <c r="F277" s="30" t="s">
        <v>57</v>
      </c>
      <c r="G277" s="24">
        <v>61</v>
      </c>
      <c r="H277" s="24">
        <v>389</v>
      </c>
      <c r="I277" s="30" t="s">
        <v>50</v>
      </c>
      <c r="J277" s="31">
        <v>4176.8100000000004</v>
      </c>
      <c r="K277" s="31">
        <v>7776.52</v>
      </c>
      <c r="L277" s="31">
        <v>11953.33</v>
      </c>
      <c r="M277" s="31">
        <v>14287.53</v>
      </c>
      <c r="N277" s="31">
        <v>41368</v>
      </c>
      <c r="O277" s="31">
        <v>55655.53</v>
      </c>
      <c r="P277" s="31">
        <v>13913.88</v>
      </c>
      <c r="Q277" s="31">
        <v>3794.25</v>
      </c>
      <c r="R277" s="31">
        <v>0</v>
      </c>
      <c r="S277" s="31">
        <v>13364.96</v>
      </c>
      <c r="T277" s="31">
        <v>0</v>
      </c>
      <c r="U277" s="31">
        <v>0</v>
      </c>
      <c r="V277" s="31">
        <v>13689.97</v>
      </c>
      <c r="W277" s="31">
        <v>10283.06</v>
      </c>
      <c r="X277" s="31">
        <v>0</v>
      </c>
      <c r="Y277" s="31">
        <v>11953.33</v>
      </c>
    </row>
    <row r="278" spans="1:25" x14ac:dyDescent="0.2">
      <c r="A278" s="24" t="s">
        <v>33</v>
      </c>
      <c r="B278" s="24">
        <v>2137</v>
      </c>
      <c r="C278" s="24">
        <v>1</v>
      </c>
      <c r="D278" s="24" t="s">
        <v>349</v>
      </c>
      <c r="E278" s="30">
        <v>23</v>
      </c>
      <c r="F278" s="30" t="s">
        <v>61</v>
      </c>
      <c r="G278" s="24">
        <v>66</v>
      </c>
      <c r="H278" s="24">
        <v>194</v>
      </c>
      <c r="I278" s="30" t="s">
        <v>50</v>
      </c>
      <c r="J278" s="31">
        <v>4519.17</v>
      </c>
      <c r="K278" s="31">
        <v>3878.26</v>
      </c>
      <c r="L278" s="31">
        <v>8397.43</v>
      </c>
      <c r="M278" s="31">
        <v>7766.19</v>
      </c>
      <c r="N278" s="31">
        <v>29407</v>
      </c>
      <c r="O278" s="31">
        <v>37173.19</v>
      </c>
      <c r="P278" s="31">
        <v>9293.2999999999993</v>
      </c>
      <c r="Q278" s="31">
        <v>6374.36</v>
      </c>
      <c r="R278" s="31">
        <v>0</v>
      </c>
      <c r="S278" s="31">
        <v>6110.52</v>
      </c>
      <c r="T278" s="31">
        <v>0</v>
      </c>
      <c r="U278" s="31">
        <v>0</v>
      </c>
      <c r="V278" s="31">
        <v>6410.61</v>
      </c>
      <c r="W278" s="31">
        <v>6298.5</v>
      </c>
      <c r="X278" s="31">
        <v>0</v>
      </c>
      <c r="Y278" s="31">
        <v>8397.43</v>
      </c>
    </row>
    <row r="279" spans="1:25" x14ac:dyDescent="0.2">
      <c r="A279" s="24" t="s">
        <v>33</v>
      </c>
      <c r="B279" s="24">
        <v>2142</v>
      </c>
      <c r="C279" s="24">
        <v>1</v>
      </c>
      <c r="D279" s="24" t="s">
        <v>350</v>
      </c>
      <c r="E279" s="30">
        <v>69</v>
      </c>
      <c r="F279" s="30" t="s">
        <v>58</v>
      </c>
      <c r="G279" s="24">
        <v>138</v>
      </c>
      <c r="H279" s="24">
        <v>909</v>
      </c>
      <c r="I279" s="30" t="s">
        <v>50</v>
      </c>
      <c r="J279" s="31">
        <v>9449.17</v>
      </c>
      <c r="K279" s="31">
        <v>18171.86</v>
      </c>
      <c r="L279" s="31">
        <v>27621.03</v>
      </c>
      <c r="M279" s="31">
        <v>27982.26</v>
      </c>
      <c r="N279" s="31">
        <v>18127.5</v>
      </c>
      <c r="O279" s="31">
        <v>46109.760000000002</v>
      </c>
      <c r="P279" s="31">
        <v>11527.44</v>
      </c>
      <c r="Q279" s="31">
        <v>616.55999999999995</v>
      </c>
      <c r="R279" s="31">
        <v>0</v>
      </c>
      <c r="S279" s="31">
        <v>472.12</v>
      </c>
      <c r="T279" s="31">
        <v>0</v>
      </c>
      <c r="U279" s="31">
        <v>0</v>
      </c>
      <c r="V279" s="31">
        <v>0</v>
      </c>
      <c r="W279" s="31">
        <v>362.89</v>
      </c>
      <c r="X279" s="31">
        <v>0</v>
      </c>
      <c r="Y279" s="31">
        <v>27621.03</v>
      </c>
    </row>
    <row r="280" spans="1:25" x14ac:dyDescent="0.2">
      <c r="A280" s="24" t="s">
        <v>33</v>
      </c>
      <c r="B280" s="24">
        <v>2143</v>
      </c>
      <c r="C280" s="24">
        <v>1</v>
      </c>
      <c r="D280" s="24" t="s">
        <v>72</v>
      </c>
      <c r="E280" s="30">
        <v>40</v>
      </c>
      <c r="F280" s="30" t="s">
        <v>57</v>
      </c>
      <c r="G280" s="24">
        <v>69</v>
      </c>
      <c r="H280" s="24">
        <v>259</v>
      </c>
      <c r="I280" s="30" t="s">
        <v>50</v>
      </c>
      <c r="J280" s="31">
        <v>4724.58</v>
      </c>
      <c r="K280" s="31">
        <v>5177.68</v>
      </c>
      <c r="L280" s="31">
        <v>9902.26</v>
      </c>
      <c r="M280" s="31">
        <v>10586.23</v>
      </c>
      <c r="N280" s="31">
        <v>12251.4</v>
      </c>
      <c r="O280" s="31">
        <v>22837.63</v>
      </c>
      <c r="P280" s="31">
        <v>5709.41</v>
      </c>
      <c r="Q280" s="31">
        <v>1137.06</v>
      </c>
      <c r="R280" s="31">
        <v>0</v>
      </c>
      <c r="S280" s="31">
        <v>910.69</v>
      </c>
      <c r="T280" s="31">
        <v>0</v>
      </c>
      <c r="U280" s="31">
        <v>0</v>
      </c>
      <c r="V280" s="31">
        <v>-5981.63</v>
      </c>
      <c r="W280" s="31">
        <v>-1311.29</v>
      </c>
      <c r="X280" s="31">
        <v>0</v>
      </c>
      <c r="Y280" s="31">
        <v>9902.26</v>
      </c>
    </row>
    <row r="281" spans="1:25" x14ac:dyDescent="0.2">
      <c r="A281" s="24" t="s">
        <v>33</v>
      </c>
      <c r="B281" s="24">
        <v>2144</v>
      </c>
      <c r="C281" s="24">
        <v>1</v>
      </c>
      <c r="D281" s="24" t="s">
        <v>351</v>
      </c>
      <c r="E281" s="30">
        <v>13</v>
      </c>
      <c r="F281" s="30" t="s">
        <v>67</v>
      </c>
      <c r="G281" s="24">
        <v>227</v>
      </c>
      <c r="H281" s="24">
        <v>656</v>
      </c>
      <c r="I281" s="30" t="s">
        <v>50</v>
      </c>
      <c r="J281" s="31">
        <v>15543.2</v>
      </c>
      <c r="K281" s="31">
        <v>13114.13</v>
      </c>
      <c r="L281" s="31">
        <v>28657.33</v>
      </c>
      <c r="M281" s="31">
        <v>28849.34</v>
      </c>
      <c r="N281" s="31">
        <v>3564.5</v>
      </c>
      <c r="O281" s="31">
        <v>32413.84</v>
      </c>
      <c r="P281" s="31">
        <v>8103.46</v>
      </c>
      <c r="Q281" s="31">
        <v>1502.67</v>
      </c>
      <c r="R281" s="31">
        <v>0</v>
      </c>
      <c r="S281" s="31">
        <v>-1449.47</v>
      </c>
      <c r="T281" s="31">
        <v>0</v>
      </c>
      <c r="U281" s="31">
        <v>0</v>
      </c>
      <c r="V281" s="31">
        <v>-2420.71</v>
      </c>
      <c r="W281" s="31">
        <v>-789.17</v>
      </c>
      <c r="X281" s="31">
        <v>0</v>
      </c>
      <c r="Y281" s="31">
        <v>28657.33</v>
      </c>
    </row>
    <row r="282" spans="1:25" x14ac:dyDescent="0.2">
      <c r="A282" s="24" t="s">
        <v>33</v>
      </c>
      <c r="B282" s="24">
        <v>2149</v>
      </c>
      <c r="C282" s="24">
        <v>1</v>
      </c>
      <c r="D282" s="24" t="s">
        <v>352</v>
      </c>
      <c r="E282" s="30">
        <v>61</v>
      </c>
      <c r="F282" s="30" t="s">
        <v>60</v>
      </c>
      <c r="G282" s="24">
        <v>105</v>
      </c>
      <c r="H282" s="24">
        <v>410</v>
      </c>
      <c r="I282" s="30" t="s">
        <v>50</v>
      </c>
      <c r="J282" s="31">
        <v>7189.59</v>
      </c>
      <c r="K282" s="31">
        <v>8196.33</v>
      </c>
      <c r="L282" s="31">
        <v>15385.92</v>
      </c>
      <c r="M282" s="31">
        <v>16833.810000000001</v>
      </c>
      <c r="N282" s="31">
        <v>520</v>
      </c>
      <c r="O282" s="31">
        <v>17353.810000000001</v>
      </c>
      <c r="P282" s="31">
        <v>4338.45</v>
      </c>
      <c r="Q282" s="31">
        <v>2.99</v>
      </c>
      <c r="R282" s="31">
        <v>0</v>
      </c>
      <c r="S282" s="31">
        <v>1056.8499999999999</v>
      </c>
      <c r="T282" s="31">
        <v>0</v>
      </c>
      <c r="U282" s="31">
        <v>0</v>
      </c>
      <c r="V282" s="31">
        <v>3505.78</v>
      </c>
      <c r="W282" s="31">
        <v>1521.87</v>
      </c>
      <c r="X282" s="31">
        <v>0</v>
      </c>
      <c r="Y282" s="31">
        <v>15385.92</v>
      </c>
    </row>
    <row r="283" spans="1:25" x14ac:dyDescent="0.2">
      <c r="A283" s="24" t="s">
        <v>33</v>
      </c>
      <c r="B283" s="24">
        <v>2154</v>
      </c>
      <c r="C283" s="24">
        <v>1</v>
      </c>
      <c r="D283" s="24" t="s">
        <v>353</v>
      </c>
      <c r="E283" s="30">
        <v>69</v>
      </c>
      <c r="F283" s="30" t="s">
        <v>58</v>
      </c>
      <c r="G283" s="24">
        <v>116</v>
      </c>
      <c r="H283" s="24">
        <v>469</v>
      </c>
      <c r="I283" s="30" t="s">
        <v>50</v>
      </c>
      <c r="J283" s="31">
        <v>7942.78</v>
      </c>
      <c r="K283" s="31">
        <v>9375.7999999999993</v>
      </c>
      <c r="L283" s="31">
        <v>17318.580000000002</v>
      </c>
      <c r="M283" s="31">
        <v>17473.38</v>
      </c>
      <c r="N283" s="31">
        <v>6450</v>
      </c>
      <c r="O283" s="31">
        <v>23923.38</v>
      </c>
      <c r="P283" s="31">
        <v>5980.85</v>
      </c>
      <c r="Q283" s="31">
        <v>5092.05</v>
      </c>
      <c r="R283" s="31">
        <v>0</v>
      </c>
      <c r="S283" s="31">
        <v>8096.59</v>
      </c>
      <c r="T283" s="31">
        <v>0</v>
      </c>
      <c r="U283" s="31">
        <v>0</v>
      </c>
      <c r="V283" s="31">
        <v>12154.99</v>
      </c>
      <c r="W283" s="31">
        <v>8447.8799999999992</v>
      </c>
      <c r="X283" s="31">
        <v>2467.0300000000002</v>
      </c>
      <c r="Y283" s="31">
        <v>14851.55</v>
      </c>
    </row>
    <row r="284" spans="1:25" x14ac:dyDescent="0.2">
      <c r="A284" s="24" t="s">
        <v>33</v>
      </c>
      <c r="B284" s="24">
        <v>2155</v>
      </c>
      <c r="C284" s="24">
        <v>1</v>
      </c>
      <c r="D284" s="24" t="s">
        <v>354</v>
      </c>
      <c r="E284" s="30">
        <v>80</v>
      </c>
      <c r="F284" s="30" t="s">
        <v>66</v>
      </c>
      <c r="G284" s="24">
        <v>106</v>
      </c>
      <c r="H284" s="24">
        <v>610</v>
      </c>
      <c r="I284" s="30" t="s">
        <v>50</v>
      </c>
      <c r="J284" s="31">
        <v>7258.06</v>
      </c>
      <c r="K284" s="31">
        <v>12194.54</v>
      </c>
      <c r="L284" s="31">
        <v>19452.599999999999</v>
      </c>
      <c r="M284" s="31">
        <v>22652.97</v>
      </c>
      <c r="N284" s="31">
        <v>34061.699999999997</v>
      </c>
      <c r="O284" s="31">
        <v>56714.67</v>
      </c>
      <c r="P284" s="31">
        <v>14178.67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19452.599999999999</v>
      </c>
    </row>
    <row r="285" spans="1:25" x14ac:dyDescent="0.2">
      <c r="A285" s="24" t="s">
        <v>33</v>
      </c>
      <c r="B285" s="24">
        <v>2159</v>
      </c>
      <c r="C285" s="24">
        <v>1</v>
      </c>
      <c r="D285" s="24" t="s">
        <v>355</v>
      </c>
      <c r="E285" s="30">
        <v>65</v>
      </c>
      <c r="F285" s="30" t="s">
        <v>68</v>
      </c>
      <c r="G285" s="24">
        <v>49</v>
      </c>
      <c r="H285" s="24">
        <v>238</v>
      </c>
      <c r="I285" s="30" t="s">
        <v>50</v>
      </c>
      <c r="J285" s="31">
        <v>3355.14</v>
      </c>
      <c r="K285" s="31">
        <v>4757.87</v>
      </c>
      <c r="L285" s="31">
        <v>8113.01</v>
      </c>
      <c r="M285" s="31">
        <v>8544.86</v>
      </c>
      <c r="N285" s="31">
        <v>25357.95</v>
      </c>
      <c r="O285" s="31">
        <v>33902.81</v>
      </c>
      <c r="P285" s="31">
        <v>8475.7000000000007</v>
      </c>
      <c r="Q285" s="31">
        <v>1452.47</v>
      </c>
      <c r="R285" s="31">
        <v>200.65</v>
      </c>
      <c r="S285" s="31">
        <v>2928.12</v>
      </c>
      <c r="T285" s="31">
        <v>866.5</v>
      </c>
      <c r="U285" s="31">
        <v>0</v>
      </c>
      <c r="V285" s="31">
        <v>4237.2700000000004</v>
      </c>
      <c r="W285" s="31">
        <v>2516.9</v>
      </c>
      <c r="X285" s="31">
        <v>0</v>
      </c>
      <c r="Y285" s="31">
        <v>8113.01</v>
      </c>
    </row>
    <row r="286" spans="1:25" x14ac:dyDescent="0.2">
      <c r="A286" s="24" t="s">
        <v>33</v>
      </c>
      <c r="B286" s="24">
        <v>2164</v>
      </c>
      <c r="C286" s="24">
        <v>1</v>
      </c>
      <c r="D286" s="24" t="s">
        <v>79</v>
      </c>
      <c r="E286" s="30">
        <v>14</v>
      </c>
      <c r="F286" s="30" t="s">
        <v>60</v>
      </c>
      <c r="G286" s="24">
        <v>133</v>
      </c>
      <c r="H286" s="24">
        <v>358</v>
      </c>
      <c r="I286" s="30" t="s">
        <v>50</v>
      </c>
      <c r="J286" s="31">
        <v>9106.81</v>
      </c>
      <c r="K286" s="31">
        <v>7156.8</v>
      </c>
      <c r="L286" s="31">
        <v>16263.61</v>
      </c>
      <c r="M286" s="31">
        <v>17044.849999999999</v>
      </c>
      <c r="N286" s="31">
        <v>62316.5</v>
      </c>
      <c r="O286" s="31">
        <v>79361.350000000006</v>
      </c>
      <c r="P286" s="31">
        <v>19840.34</v>
      </c>
      <c r="Q286" s="31">
        <v>11671.97</v>
      </c>
      <c r="R286" s="31">
        <v>0</v>
      </c>
      <c r="S286" s="31">
        <v>19171.05</v>
      </c>
      <c r="T286" s="31">
        <v>0</v>
      </c>
      <c r="U286" s="31">
        <v>0</v>
      </c>
      <c r="V286" s="31">
        <v>35269.25</v>
      </c>
      <c r="W286" s="31">
        <v>22037.42</v>
      </c>
      <c r="X286" s="31">
        <v>2197.08</v>
      </c>
      <c r="Y286" s="31">
        <v>14066.53</v>
      </c>
    </row>
    <row r="287" spans="1:25" x14ac:dyDescent="0.2">
      <c r="A287" s="24" t="s">
        <v>33</v>
      </c>
      <c r="B287" s="24">
        <v>2165</v>
      </c>
      <c r="C287" s="24">
        <v>1</v>
      </c>
      <c r="D287" s="24" t="s">
        <v>356</v>
      </c>
      <c r="E287" s="30">
        <v>58</v>
      </c>
      <c r="F287" s="30" t="s">
        <v>67</v>
      </c>
      <c r="G287" s="24">
        <v>72</v>
      </c>
      <c r="H287" s="24">
        <v>477</v>
      </c>
      <c r="I287" s="30" t="s">
        <v>50</v>
      </c>
      <c r="J287" s="31">
        <v>4930</v>
      </c>
      <c r="K287" s="31">
        <v>9535.73</v>
      </c>
      <c r="L287" s="31">
        <v>14465.73</v>
      </c>
      <c r="M287" s="31">
        <v>16022.29</v>
      </c>
      <c r="N287" s="31">
        <v>30797.83</v>
      </c>
      <c r="O287" s="31">
        <v>46820.12</v>
      </c>
      <c r="P287" s="31">
        <v>11705.03</v>
      </c>
      <c r="Q287" s="31">
        <v>1488.3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496.1</v>
      </c>
      <c r="X287" s="31">
        <v>0</v>
      </c>
      <c r="Y287" s="31">
        <v>14465.73</v>
      </c>
    </row>
    <row r="288" spans="1:25" x14ac:dyDescent="0.2">
      <c r="A288" s="24" t="s">
        <v>33</v>
      </c>
      <c r="B288" s="24">
        <v>2167</v>
      </c>
      <c r="C288" s="24">
        <v>1</v>
      </c>
      <c r="D288" s="24" t="s">
        <v>357</v>
      </c>
      <c r="E288" s="30">
        <v>42</v>
      </c>
      <c r="F288" s="30" t="s">
        <v>65</v>
      </c>
      <c r="G288" s="24">
        <v>56</v>
      </c>
      <c r="H288" s="24">
        <v>163</v>
      </c>
      <c r="I288" s="30" t="s">
        <v>50</v>
      </c>
      <c r="J288" s="31">
        <v>3834.45</v>
      </c>
      <c r="K288" s="31">
        <v>3258.54</v>
      </c>
      <c r="L288" s="31">
        <v>7092.99</v>
      </c>
      <c r="M288" s="31">
        <v>7630.28</v>
      </c>
      <c r="N288" s="31">
        <v>25025.96</v>
      </c>
      <c r="O288" s="31">
        <v>32656.240000000002</v>
      </c>
      <c r="P288" s="31">
        <v>8164.06</v>
      </c>
      <c r="Q288" s="31">
        <v>9820.01</v>
      </c>
      <c r="R288" s="31">
        <v>692.8</v>
      </c>
      <c r="S288" s="31">
        <v>15543.44</v>
      </c>
      <c r="T288" s="31">
        <v>242.95</v>
      </c>
      <c r="U288" s="31">
        <v>0</v>
      </c>
      <c r="V288" s="31">
        <v>23402.57</v>
      </c>
      <c r="W288" s="31">
        <v>15943.42</v>
      </c>
      <c r="X288" s="31">
        <v>7092.99</v>
      </c>
      <c r="Y288" s="31">
        <v>0</v>
      </c>
    </row>
    <row r="289" spans="1:25" x14ac:dyDescent="0.2">
      <c r="A289" s="24" t="s">
        <v>33</v>
      </c>
      <c r="B289" s="24">
        <v>2168</v>
      </c>
      <c r="C289" s="24">
        <v>1</v>
      </c>
      <c r="D289" s="24" t="s">
        <v>402</v>
      </c>
      <c r="E289" s="30">
        <v>81</v>
      </c>
      <c r="F289" s="30" t="s">
        <v>57</v>
      </c>
      <c r="G289" s="24">
        <v>60</v>
      </c>
      <c r="H289" s="24">
        <v>317</v>
      </c>
      <c r="I289" s="30" t="s">
        <v>50</v>
      </c>
      <c r="J289" s="31">
        <v>4108.33</v>
      </c>
      <c r="K289" s="31">
        <v>6337.16</v>
      </c>
      <c r="L289" s="31">
        <v>10445.49</v>
      </c>
      <c r="M289" s="31">
        <v>10419.94</v>
      </c>
      <c r="N289" s="31">
        <v>0</v>
      </c>
      <c r="O289" s="31">
        <v>10419.94</v>
      </c>
      <c r="P289" s="31">
        <v>2604.9899999999998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-5963.45</v>
      </c>
      <c r="W289" s="31">
        <v>-1987.82</v>
      </c>
      <c r="X289" s="31">
        <v>0</v>
      </c>
      <c r="Y289" s="31">
        <v>10445.49</v>
      </c>
    </row>
    <row r="290" spans="1:25" x14ac:dyDescent="0.2">
      <c r="A290" s="24" t="s">
        <v>33</v>
      </c>
      <c r="B290" s="24">
        <v>2169</v>
      </c>
      <c r="C290" s="24">
        <v>1</v>
      </c>
      <c r="D290" s="24" t="s">
        <v>358</v>
      </c>
      <c r="E290" s="30">
        <v>51</v>
      </c>
      <c r="F290" s="30" t="s">
        <v>65</v>
      </c>
      <c r="G290" s="24">
        <v>61</v>
      </c>
      <c r="H290" s="24">
        <v>237</v>
      </c>
      <c r="I290" s="30" t="s">
        <v>50</v>
      </c>
      <c r="J290" s="31">
        <v>4176.8100000000004</v>
      </c>
      <c r="K290" s="31">
        <v>4737.88</v>
      </c>
      <c r="L290" s="31">
        <v>8914.69</v>
      </c>
      <c r="M290" s="31">
        <v>8573.27</v>
      </c>
      <c r="N290" s="31">
        <v>39853.86</v>
      </c>
      <c r="O290" s="31">
        <v>48427.13</v>
      </c>
      <c r="P290" s="31">
        <v>12106.78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8914.69</v>
      </c>
    </row>
    <row r="291" spans="1:25" x14ac:dyDescent="0.2">
      <c r="A291" s="24" t="s">
        <v>33</v>
      </c>
      <c r="B291" s="24">
        <v>2170</v>
      </c>
      <c r="C291" s="24">
        <v>1</v>
      </c>
      <c r="D291" s="24" t="s">
        <v>359</v>
      </c>
      <c r="E291" s="30">
        <v>77</v>
      </c>
      <c r="F291" s="30" t="s">
        <v>66</v>
      </c>
      <c r="G291" s="24">
        <v>122</v>
      </c>
      <c r="H291" s="24">
        <v>763</v>
      </c>
      <c r="I291" s="30" t="s">
        <v>50</v>
      </c>
      <c r="J291" s="31">
        <v>8353.61</v>
      </c>
      <c r="K291" s="31">
        <v>15253.17</v>
      </c>
      <c r="L291" s="31">
        <v>23606.78</v>
      </c>
      <c r="M291" s="31">
        <v>23675.95</v>
      </c>
      <c r="N291" s="31">
        <v>0</v>
      </c>
      <c r="O291" s="31">
        <v>23675.95</v>
      </c>
      <c r="P291" s="31">
        <v>5918.99</v>
      </c>
      <c r="Q291" s="31">
        <v>5692.07</v>
      </c>
      <c r="R291" s="31">
        <v>0</v>
      </c>
      <c r="S291" s="31">
        <v>5692.07</v>
      </c>
      <c r="T291" s="31">
        <v>0</v>
      </c>
      <c r="U291" s="31">
        <v>0</v>
      </c>
      <c r="V291" s="31">
        <v>5878.43</v>
      </c>
      <c r="W291" s="31">
        <v>5754.19</v>
      </c>
      <c r="X291" s="31">
        <v>0</v>
      </c>
      <c r="Y291" s="31">
        <v>23606.78</v>
      </c>
    </row>
    <row r="292" spans="1:25" x14ac:dyDescent="0.2">
      <c r="A292" s="24" t="s">
        <v>33</v>
      </c>
      <c r="B292" s="24">
        <v>2171</v>
      </c>
      <c r="C292" s="24">
        <v>1</v>
      </c>
      <c r="D292" s="24" t="s">
        <v>360</v>
      </c>
      <c r="E292" s="30">
        <v>35</v>
      </c>
      <c r="F292" s="30" t="s">
        <v>59</v>
      </c>
      <c r="G292" s="24">
        <v>15</v>
      </c>
      <c r="H292" s="24">
        <v>76</v>
      </c>
      <c r="I292" s="30" t="s">
        <v>50</v>
      </c>
      <c r="J292" s="31">
        <v>1027.08</v>
      </c>
      <c r="K292" s="31">
        <v>1519.32</v>
      </c>
      <c r="L292" s="31">
        <v>2546.4</v>
      </c>
      <c r="M292" s="31">
        <v>2819.08</v>
      </c>
      <c r="N292" s="31">
        <v>2310</v>
      </c>
      <c r="O292" s="31">
        <v>5129.08</v>
      </c>
      <c r="P292" s="31">
        <v>1282.27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2546.4</v>
      </c>
    </row>
    <row r="293" spans="1:25" x14ac:dyDescent="0.2">
      <c r="A293" s="24" t="s">
        <v>33</v>
      </c>
      <c r="B293" s="24">
        <v>2172</v>
      </c>
      <c r="C293" s="24">
        <v>1</v>
      </c>
      <c r="D293" s="24" t="s">
        <v>361</v>
      </c>
      <c r="E293" s="30">
        <v>25</v>
      </c>
      <c r="F293" s="30" t="s">
        <v>61</v>
      </c>
      <c r="G293" s="24">
        <v>68</v>
      </c>
      <c r="H293" s="24">
        <v>187</v>
      </c>
      <c r="I293" s="30" t="s">
        <v>50</v>
      </c>
      <c r="J293" s="31">
        <v>4656.1099999999997</v>
      </c>
      <c r="K293" s="31">
        <v>3738.33</v>
      </c>
      <c r="L293" s="31">
        <v>8394.44</v>
      </c>
      <c r="M293" s="31">
        <v>9288.58</v>
      </c>
      <c r="N293" s="31">
        <v>20771.580000000002</v>
      </c>
      <c r="O293" s="31">
        <v>30060.16</v>
      </c>
      <c r="P293" s="31">
        <v>7515.04</v>
      </c>
      <c r="Q293" s="31">
        <v>-13997.96</v>
      </c>
      <c r="R293" s="31">
        <v>0</v>
      </c>
      <c r="S293" s="31">
        <v>-21709.85</v>
      </c>
      <c r="T293" s="31">
        <v>0</v>
      </c>
      <c r="U293" s="31">
        <v>0</v>
      </c>
      <c r="V293" s="31">
        <v>0</v>
      </c>
      <c r="W293" s="31">
        <v>-11902.6</v>
      </c>
      <c r="X293" s="31">
        <v>0</v>
      </c>
      <c r="Y293" s="31">
        <v>8394.44</v>
      </c>
    </row>
    <row r="294" spans="1:25" x14ac:dyDescent="0.2">
      <c r="A294" s="24" t="s">
        <v>33</v>
      </c>
      <c r="B294" s="24">
        <v>2174</v>
      </c>
      <c r="C294" s="24">
        <v>1</v>
      </c>
      <c r="D294" s="24" t="s">
        <v>362</v>
      </c>
      <c r="E294" s="30">
        <v>11</v>
      </c>
      <c r="F294" s="30" t="s">
        <v>66</v>
      </c>
      <c r="G294" s="24">
        <v>95</v>
      </c>
      <c r="H294" s="24">
        <v>538</v>
      </c>
      <c r="I294" s="30" t="s">
        <v>50</v>
      </c>
      <c r="J294" s="31">
        <v>6504.86</v>
      </c>
      <c r="K294" s="31">
        <v>10755.18</v>
      </c>
      <c r="L294" s="31">
        <v>17260.04</v>
      </c>
      <c r="M294" s="31">
        <v>17336.86</v>
      </c>
      <c r="N294" s="31">
        <v>10420</v>
      </c>
      <c r="O294" s="31">
        <v>27756.86</v>
      </c>
      <c r="P294" s="31">
        <v>6939.22</v>
      </c>
      <c r="Q294" s="31">
        <v>4717.8599999999997</v>
      </c>
      <c r="R294" s="31">
        <v>0</v>
      </c>
      <c r="S294" s="31">
        <v>1074.6400000000001</v>
      </c>
      <c r="T294" s="31">
        <v>0</v>
      </c>
      <c r="U294" s="31">
        <v>0</v>
      </c>
      <c r="V294" s="31">
        <v>2803.48</v>
      </c>
      <c r="W294" s="31">
        <v>2865.33</v>
      </c>
      <c r="X294" s="31">
        <v>0</v>
      </c>
      <c r="Y294" s="31">
        <v>17260.04</v>
      </c>
    </row>
    <row r="295" spans="1:25" x14ac:dyDescent="0.2">
      <c r="A295" s="24" t="s">
        <v>33</v>
      </c>
      <c r="B295" s="24">
        <v>2176</v>
      </c>
      <c r="C295" s="24">
        <v>1</v>
      </c>
      <c r="D295" s="24" t="s">
        <v>363</v>
      </c>
      <c r="E295" s="30">
        <v>45</v>
      </c>
      <c r="F295" s="30" t="s">
        <v>59</v>
      </c>
      <c r="G295" s="24">
        <v>43</v>
      </c>
      <c r="H295" s="24">
        <v>198</v>
      </c>
      <c r="I295" s="30" t="s">
        <v>50</v>
      </c>
      <c r="J295" s="31">
        <v>2944.31</v>
      </c>
      <c r="K295" s="31">
        <v>3958.23</v>
      </c>
      <c r="L295" s="31">
        <v>6902.54</v>
      </c>
      <c r="M295" s="31">
        <v>6844.63</v>
      </c>
      <c r="N295" s="31">
        <v>12228.15</v>
      </c>
      <c r="O295" s="31">
        <v>19072.78</v>
      </c>
      <c r="P295" s="31">
        <v>4768.2</v>
      </c>
      <c r="Q295" s="31">
        <v>567.77</v>
      </c>
      <c r="R295" s="31">
        <v>0</v>
      </c>
      <c r="S295" s="31">
        <v>46.3</v>
      </c>
      <c r="T295" s="31">
        <v>0</v>
      </c>
      <c r="U295" s="31">
        <v>0</v>
      </c>
      <c r="V295" s="31">
        <v>200.15</v>
      </c>
      <c r="W295" s="31">
        <v>271.41000000000003</v>
      </c>
      <c r="X295" s="31">
        <v>0</v>
      </c>
      <c r="Y295" s="31">
        <v>6902.54</v>
      </c>
    </row>
    <row r="296" spans="1:25" x14ac:dyDescent="0.2">
      <c r="A296" s="24" t="s">
        <v>33</v>
      </c>
      <c r="B296" s="24">
        <v>2180</v>
      </c>
      <c r="C296" s="24">
        <v>1</v>
      </c>
      <c r="D296" s="24" t="s">
        <v>364</v>
      </c>
      <c r="E296" s="30">
        <v>12</v>
      </c>
      <c r="F296" s="30" t="s">
        <v>64</v>
      </c>
      <c r="G296" s="24">
        <v>61</v>
      </c>
      <c r="H296" s="24">
        <v>256</v>
      </c>
      <c r="I296" s="30" t="s">
        <v>50</v>
      </c>
      <c r="J296" s="31">
        <v>4176.8100000000004</v>
      </c>
      <c r="K296" s="31">
        <v>5117.71</v>
      </c>
      <c r="L296" s="31">
        <v>9294.52</v>
      </c>
      <c r="M296" s="31">
        <v>8650.35</v>
      </c>
      <c r="N296" s="31">
        <v>0</v>
      </c>
      <c r="O296" s="31">
        <v>8650.35</v>
      </c>
      <c r="P296" s="31">
        <v>2162.59</v>
      </c>
      <c r="Q296" s="31">
        <v>1983.12</v>
      </c>
      <c r="R296" s="31">
        <v>292</v>
      </c>
      <c r="S296" s="31">
        <v>2126.56</v>
      </c>
      <c r="T296" s="31">
        <v>0</v>
      </c>
      <c r="U296" s="31">
        <v>0</v>
      </c>
      <c r="V296" s="31">
        <v>2154.46</v>
      </c>
      <c r="W296" s="31">
        <v>1990.71</v>
      </c>
      <c r="X296" s="31">
        <v>0</v>
      </c>
      <c r="Y296" s="31">
        <v>9294.52</v>
      </c>
    </row>
    <row r="297" spans="1:25" x14ac:dyDescent="0.2">
      <c r="A297" s="24" t="s">
        <v>33</v>
      </c>
      <c r="B297" s="24">
        <v>2184</v>
      </c>
      <c r="C297" s="24">
        <v>1</v>
      </c>
      <c r="D297" s="24" t="s">
        <v>365</v>
      </c>
      <c r="E297" s="30">
        <v>67</v>
      </c>
      <c r="F297" s="30" t="s">
        <v>65</v>
      </c>
      <c r="G297" s="24">
        <v>96</v>
      </c>
      <c r="H297" s="24">
        <v>363</v>
      </c>
      <c r="I297" s="30" t="s">
        <v>50</v>
      </c>
      <c r="J297" s="31">
        <v>6573.34</v>
      </c>
      <c r="K297" s="31">
        <v>7256.75</v>
      </c>
      <c r="L297" s="31">
        <v>13830.09</v>
      </c>
      <c r="M297" s="31">
        <v>14239.24</v>
      </c>
      <c r="N297" s="31">
        <v>4215</v>
      </c>
      <c r="O297" s="31">
        <v>18454.240000000002</v>
      </c>
      <c r="P297" s="31">
        <v>4613.5600000000004</v>
      </c>
      <c r="Q297" s="31">
        <v>3142.22</v>
      </c>
      <c r="R297" s="31">
        <v>118.47</v>
      </c>
      <c r="S297" s="31">
        <v>2543.65</v>
      </c>
      <c r="T297" s="31">
        <v>0</v>
      </c>
      <c r="U297" s="31">
        <v>0</v>
      </c>
      <c r="V297" s="31">
        <v>3732.4</v>
      </c>
      <c r="W297" s="31">
        <v>3099.93</v>
      </c>
      <c r="X297" s="31">
        <v>0</v>
      </c>
      <c r="Y297" s="31">
        <v>13830.09</v>
      </c>
    </row>
    <row r="298" spans="1:25" x14ac:dyDescent="0.2">
      <c r="A298" s="24" t="s">
        <v>33</v>
      </c>
      <c r="B298" s="24">
        <v>2190</v>
      </c>
      <c r="C298" s="24">
        <v>1</v>
      </c>
      <c r="D298" s="24" t="s">
        <v>82</v>
      </c>
      <c r="E298" s="30">
        <v>87</v>
      </c>
      <c r="F298" s="30" t="s">
        <v>64</v>
      </c>
      <c r="G298" s="24">
        <v>77</v>
      </c>
      <c r="H298" s="24">
        <v>387</v>
      </c>
      <c r="I298" s="30" t="s">
        <v>50</v>
      </c>
      <c r="J298" s="31">
        <v>5272.36</v>
      </c>
      <c r="K298" s="31">
        <v>7736.54</v>
      </c>
      <c r="L298" s="31">
        <v>13008.9</v>
      </c>
      <c r="M298" s="31">
        <v>14240.22</v>
      </c>
      <c r="N298" s="31">
        <v>10325</v>
      </c>
      <c r="O298" s="31">
        <v>24565.22</v>
      </c>
      <c r="P298" s="31">
        <v>6141.31</v>
      </c>
      <c r="Q298" s="31">
        <v>5011.2299999999996</v>
      </c>
      <c r="R298" s="31">
        <v>0</v>
      </c>
      <c r="S298" s="31">
        <v>10412.67</v>
      </c>
      <c r="T298" s="31">
        <v>0</v>
      </c>
      <c r="U298" s="31">
        <v>0</v>
      </c>
      <c r="V298" s="31">
        <v>2888.27</v>
      </c>
      <c r="W298" s="31">
        <v>6104.06</v>
      </c>
      <c r="X298" s="31">
        <v>0</v>
      </c>
      <c r="Y298" s="31">
        <v>13008.9</v>
      </c>
    </row>
    <row r="299" spans="1:25" x14ac:dyDescent="0.2">
      <c r="A299" s="24" t="s">
        <v>33</v>
      </c>
      <c r="B299" s="24">
        <v>2198</v>
      </c>
      <c r="C299" s="24">
        <v>1</v>
      </c>
      <c r="D299" s="24" t="s">
        <v>83</v>
      </c>
      <c r="E299" s="30">
        <v>23</v>
      </c>
      <c r="F299" s="30" t="s">
        <v>61</v>
      </c>
      <c r="G299" s="24">
        <v>40</v>
      </c>
      <c r="H299" s="24">
        <v>159</v>
      </c>
      <c r="I299" s="30" t="s">
        <v>50</v>
      </c>
      <c r="J299" s="31">
        <v>2738.89</v>
      </c>
      <c r="K299" s="31">
        <v>3178.58</v>
      </c>
      <c r="L299" s="31">
        <v>5917.47</v>
      </c>
      <c r="M299" s="31">
        <v>7317.54</v>
      </c>
      <c r="N299" s="31">
        <v>37336.26</v>
      </c>
      <c r="O299" s="31">
        <v>44653.8</v>
      </c>
      <c r="P299" s="31">
        <v>11163.45</v>
      </c>
      <c r="Q299" s="31">
        <v>-32460.93</v>
      </c>
      <c r="R299" s="31">
        <v>0</v>
      </c>
      <c r="S299" s="31">
        <v>-30536.79</v>
      </c>
      <c r="T299" s="31">
        <v>0</v>
      </c>
      <c r="U299" s="31">
        <v>0</v>
      </c>
      <c r="V299" s="31">
        <v>-29074.26</v>
      </c>
      <c r="W299" s="31">
        <v>-30690.66</v>
      </c>
      <c r="X299" s="31">
        <v>0</v>
      </c>
      <c r="Y299" s="31">
        <v>5917.47</v>
      </c>
    </row>
    <row r="300" spans="1:25" x14ac:dyDescent="0.2">
      <c r="A300" s="24" t="s">
        <v>33</v>
      </c>
      <c r="B300" s="24">
        <v>2215</v>
      </c>
      <c r="C300" s="24">
        <v>1</v>
      </c>
      <c r="D300" s="24" t="s">
        <v>366</v>
      </c>
      <c r="E300" s="30">
        <v>54</v>
      </c>
      <c r="F300" s="30" t="s">
        <v>59</v>
      </c>
      <c r="G300" s="24">
        <v>26</v>
      </c>
      <c r="H300" s="24">
        <v>184</v>
      </c>
      <c r="I300" s="30" t="s">
        <v>50</v>
      </c>
      <c r="J300" s="31">
        <v>1780.28</v>
      </c>
      <c r="K300" s="31">
        <v>3678.35</v>
      </c>
      <c r="L300" s="31">
        <v>5458.63</v>
      </c>
      <c r="M300" s="31">
        <v>5071.8599999999997</v>
      </c>
      <c r="N300" s="31">
        <v>4590</v>
      </c>
      <c r="O300" s="31">
        <v>9661.86</v>
      </c>
      <c r="P300" s="31">
        <v>2415.4699999999998</v>
      </c>
      <c r="Q300" s="31">
        <v>0</v>
      </c>
      <c r="R300" s="31">
        <v>0</v>
      </c>
      <c r="S300" s="31">
        <v>1007</v>
      </c>
      <c r="T300" s="31">
        <v>0</v>
      </c>
      <c r="U300" s="31">
        <v>0</v>
      </c>
      <c r="V300" s="31">
        <v>10150.5</v>
      </c>
      <c r="W300" s="31">
        <v>3719.17</v>
      </c>
      <c r="X300" s="31">
        <v>1303.7</v>
      </c>
      <c r="Y300" s="31">
        <v>4154.93</v>
      </c>
    </row>
    <row r="301" spans="1:25" x14ac:dyDescent="0.2">
      <c r="A301" s="24" t="s">
        <v>33</v>
      </c>
      <c r="B301" s="24">
        <v>2310</v>
      </c>
      <c r="C301" s="24">
        <v>1</v>
      </c>
      <c r="D301" s="24" t="s">
        <v>367</v>
      </c>
      <c r="E301" s="30">
        <v>72</v>
      </c>
      <c r="F301" s="30" t="s">
        <v>57</v>
      </c>
      <c r="G301" s="24">
        <v>135</v>
      </c>
      <c r="H301" s="24">
        <v>488</v>
      </c>
      <c r="I301" s="30" t="s">
        <v>50</v>
      </c>
      <c r="J301" s="31">
        <v>9243.75</v>
      </c>
      <c r="K301" s="31">
        <v>9755.6299999999992</v>
      </c>
      <c r="L301" s="31">
        <v>18999.38</v>
      </c>
      <c r="M301" s="31">
        <v>18674.72</v>
      </c>
      <c r="N301" s="31">
        <v>20312.419999999998</v>
      </c>
      <c r="O301" s="31">
        <v>38987.14</v>
      </c>
      <c r="P301" s="31">
        <v>9746.7900000000009</v>
      </c>
      <c r="Q301" s="31">
        <v>5848.14</v>
      </c>
      <c r="R301" s="31">
        <v>0</v>
      </c>
      <c r="S301" s="31">
        <v>27088.33</v>
      </c>
      <c r="T301" s="31">
        <v>0</v>
      </c>
      <c r="U301" s="31">
        <v>0</v>
      </c>
      <c r="V301" s="31">
        <v>4172</v>
      </c>
      <c r="W301" s="31">
        <v>12369.49</v>
      </c>
      <c r="X301" s="31">
        <v>2622.7</v>
      </c>
      <c r="Y301" s="31">
        <v>16376.68</v>
      </c>
    </row>
    <row r="302" spans="1:25" x14ac:dyDescent="0.2">
      <c r="A302" s="24" t="s">
        <v>33</v>
      </c>
      <c r="B302" s="24">
        <v>2311</v>
      </c>
      <c r="C302" s="24">
        <v>1</v>
      </c>
      <c r="D302" s="24" t="s">
        <v>368</v>
      </c>
      <c r="E302" s="30">
        <v>15</v>
      </c>
      <c r="F302" s="30" t="s">
        <v>62</v>
      </c>
      <c r="G302" s="24">
        <v>42</v>
      </c>
      <c r="H302" s="24">
        <v>229</v>
      </c>
      <c r="I302" s="30" t="s">
        <v>50</v>
      </c>
      <c r="J302" s="31">
        <v>2875.83</v>
      </c>
      <c r="K302" s="31">
        <v>4577.95</v>
      </c>
      <c r="L302" s="31">
        <v>7453.78</v>
      </c>
      <c r="M302" s="31">
        <v>7570.83</v>
      </c>
      <c r="N302" s="31">
        <v>10942</v>
      </c>
      <c r="O302" s="31">
        <v>18512.830000000002</v>
      </c>
      <c r="P302" s="31">
        <v>4628.21</v>
      </c>
      <c r="Q302" s="31">
        <v>2442.16</v>
      </c>
      <c r="R302" s="31">
        <v>0</v>
      </c>
      <c r="S302" s="31">
        <v>4016.02</v>
      </c>
      <c r="T302" s="31">
        <v>0</v>
      </c>
      <c r="U302" s="31">
        <v>0</v>
      </c>
      <c r="V302" s="31">
        <v>4373.3500000000004</v>
      </c>
      <c r="W302" s="31">
        <v>3610.51</v>
      </c>
      <c r="X302" s="31">
        <v>0</v>
      </c>
      <c r="Y302" s="31">
        <v>7453.78</v>
      </c>
    </row>
    <row r="303" spans="1:25" x14ac:dyDescent="0.2">
      <c r="A303" s="24" t="s">
        <v>33</v>
      </c>
      <c r="B303" s="24">
        <v>2342</v>
      </c>
      <c r="C303" s="24">
        <v>1</v>
      </c>
      <c r="D303" s="24" t="s">
        <v>81</v>
      </c>
      <c r="E303" s="30">
        <v>26</v>
      </c>
      <c r="F303" s="30" t="s">
        <v>60</v>
      </c>
      <c r="G303" s="24">
        <v>54</v>
      </c>
      <c r="H303" s="24">
        <v>291</v>
      </c>
      <c r="I303" s="30" t="s">
        <v>50</v>
      </c>
      <c r="J303" s="31">
        <v>3697.5</v>
      </c>
      <c r="K303" s="31">
        <v>5817.4</v>
      </c>
      <c r="L303" s="31">
        <v>9514.9</v>
      </c>
      <c r="M303" s="31">
        <v>11385</v>
      </c>
      <c r="N303" s="31">
        <v>8419.5499999999993</v>
      </c>
      <c r="O303" s="31">
        <v>19804.55</v>
      </c>
      <c r="P303" s="31">
        <v>4951.1400000000003</v>
      </c>
      <c r="Q303" s="31">
        <v>-7946.94</v>
      </c>
      <c r="R303" s="31">
        <v>0</v>
      </c>
      <c r="S303" s="31">
        <v>-5724.89</v>
      </c>
      <c r="T303" s="31">
        <v>0</v>
      </c>
      <c r="U303" s="31">
        <v>0</v>
      </c>
      <c r="V303" s="31">
        <v>-5694.82</v>
      </c>
      <c r="W303" s="31">
        <v>-6455.55</v>
      </c>
      <c r="X303" s="31">
        <v>0</v>
      </c>
      <c r="Y303" s="31">
        <v>9514.9</v>
      </c>
    </row>
    <row r="304" spans="1:25" x14ac:dyDescent="0.2">
      <c r="A304" s="24" t="s">
        <v>33</v>
      </c>
      <c r="B304" s="24">
        <v>2358</v>
      </c>
      <c r="C304" s="24">
        <v>1</v>
      </c>
      <c r="D304" s="24" t="s">
        <v>369</v>
      </c>
      <c r="E304" s="30">
        <v>35</v>
      </c>
      <c r="F304" s="30" t="s">
        <v>59</v>
      </c>
      <c r="G304" s="24">
        <v>18</v>
      </c>
      <c r="H304" s="24">
        <v>111</v>
      </c>
      <c r="I304" s="30" t="s">
        <v>50</v>
      </c>
      <c r="J304" s="31">
        <v>1232.5</v>
      </c>
      <c r="K304" s="31">
        <v>2219.0100000000002</v>
      </c>
      <c r="L304" s="31">
        <v>3451.51</v>
      </c>
      <c r="M304" s="31">
        <v>3364.28</v>
      </c>
      <c r="N304" s="31">
        <v>0</v>
      </c>
      <c r="O304" s="31">
        <v>3364.28</v>
      </c>
      <c r="P304" s="31">
        <v>841.07</v>
      </c>
      <c r="Q304" s="31">
        <v>446.04</v>
      </c>
      <c r="R304" s="31">
        <v>0</v>
      </c>
      <c r="S304" s="31">
        <v>-0.11</v>
      </c>
      <c r="T304" s="31">
        <v>0</v>
      </c>
      <c r="U304" s="31">
        <v>0</v>
      </c>
      <c r="V304" s="31">
        <v>380.36</v>
      </c>
      <c r="W304" s="31">
        <v>275.43</v>
      </c>
      <c r="X304" s="31">
        <v>0</v>
      </c>
      <c r="Y304" s="31">
        <v>3451.51</v>
      </c>
    </row>
    <row r="305" spans="1:25" x14ac:dyDescent="0.2">
      <c r="A305" s="24" t="s">
        <v>33</v>
      </c>
      <c r="B305" s="24">
        <v>2364</v>
      </c>
      <c r="C305" s="24">
        <v>1</v>
      </c>
      <c r="D305" s="24" t="s">
        <v>370</v>
      </c>
      <c r="E305" s="30">
        <v>73</v>
      </c>
      <c r="F305" s="30" t="s">
        <v>63</v>
      </c>
      <c r="G305" s="24">
        <v>47</v>
      </c>
      <c r="H305" s="24">
        <v>314</v>
      </c>
      <c r="I305" s="30" t="s">
        <v>50</v>
      </c>
      <c r="J305" s="31">
        <v>3218.2</v>
      </c>
      <c r="K305" s="31">
        <v>6277.19</v>
      </c>
      <c r="L305" s="31">
        <v>9495.39</v>
      </c>
      <c r="M305" s="31">
        <v>9318.35</v>
      </c>
      <c r="N305" s="31">
        <v>10261.6</v>
      </c>
      <c r="O305" s="31">
        <v>19579.95</v>
      </c>
      <c r="P305" s="31">
        <v>4894.99</v>
      </c>
      <c r="Q305" s="31">
        <v>1263.6500000000001</v>
      </c>
      <c r="R305" s="31">
        <v>0</v>
      </c>
      <c r="S305" s="31">
        <v>1899.77</v>
      </c>
      <c r="T305" s="31">
        <v>0</v>
      </c>
      <c r="U305" s="31">
        <v>0</v>
      </c>
      <c r="V305" s="31">
        <v>1691.63</v>
      </c>
      <c r="W305" s="31">
        <v>1618.35</v>
      </c>
      <c r="X305" s="31">
        <v>0</v>
      </c>
      <c r="Y305" s="31">
        <v>9495.39</v>
      </c>
    </row>
    <row r="306" spans="1:25" x14ac:dyDescent="0.2">
      <c r="A306" s="24" t="s">
        <v>33</v>
      </c>
      <c r="B306" s="24">
        <v>2365</v>
      </c>
      <c r="C306" s="24">
        <v>1</v>
      </c>
      <c r="D306" s="24" t="s">
        <v>77</v>
      </c>
      <c r="E306" s="30">
        <v>72</v>
      </c>
      <c r="F306" s="30" t="s">
        <v>57</v>
      </c>
      <c r="G306" s="24">
        <v>101</v>
      </c>
      <c r="H306" s="24">
        <v>634</v>
      </c>
      <c r="I306" s="30" t="s">
        <v>50</v>
      </c>
      <c r="J306" s="31">
        <v>6915.7</v>
      </c>
      <c r="K306" s="31">
        <v>12674.33</v>
      </c>
      <c r="L306" s="31">
        <v>19590.03</v>
      </c>
      <c r="M306" s="31">
        <v>13053.42</v>
      </c>
      <c r="N306" s="31">
        <v>20727.5</v>
      </c>
      <c r="O306" s="31">
        <v>33780.92</v>
      </c>
      <c r="P306" s="31">
        <v>8445.23</v>
      </c>
      <c r="Q306" s="31">
        <v>766.37</v>
      </c>
      <c r="R306" s="31">
        <v>76.14</v>
      </c>
      <c r="S306" s="31">
        <v>-22.26</v>
      </c>
      <c r="T306" s="31">
        <v>328.79</v>
      </c>
      <c r="U306" s="31">
        <v>0</v>
      </c>
      <c r="V306" s="31">
        <v>686.42</v>
      </c>
      <c r="W306" s="31">
        <v>341.87</v>
      </c>
      <c r="X306" s="31">
        <v>0</v>
      </c>
      <c r="Y306" s="31">
        <v>19590.03</v>
      </c>
    </row>
    <row r="307" spans="1:25" x14ac:dyDescent="0.2">
      <c r="A307" s="24" t="s">
        <v>33</v>
      </c>
      <c r="B307" s="24">
        <v>2396</v>
      </c>
      <c r="C307" s="24">
        <v>1</v>
      </c>
      <c r="D307" s="24" t="s">
        <v>80</v>
      </c>
      <c r="E307" s="30">
        <v>47</v>
      </c>
      <c r="F307" s="30" t="s">
        <v>68</v>
      </c>
      <c r="G307" s="24">
        <v>71</v>
      </c>
      <c r="H307" s="24">
        <v>340</v>
      </c>
      <c r="I307" s="30" t="s">
        <v>50</v>
      </c>
      <c r="J307" s="31">
        <v>4861.53</v>
      </c>
      <c r="K307" s="31">
        <v>6796.96</v>
      </c>
      <c r="L307" s="31">
        <v>11658.49</v>
      </c>
      <c r="M307" s="31">
        <v>12547.36</v>
      </c>
      <c r="N307" s="31">
        <v>75106.59</v>
      </c>
      <c r="O307" s="31">
        <v>87653.95</v>
      </c>
      <c r="P307" s="31">
        <v>21913.49</v>
      </c>
      <c r="Q307" s="31">
        <v>178.09</v>
      </c>
      <c r="R307" s="31">
        <v>0</v>
      </c>
      <c r="S307" s="31">
        <v>-5843.89</v>
      </c>
      <c r="T307" s="31">
        <v>0</v>
      </c>
      <c r="U307" s="31">
        <v>0</v>
      </c>
      <c r="V307" s="31">
        <v>1906.63</v>
      </c>
      <c r="W307" s="31">
        <v>-1253.06</v>
      </c>
      <c r="X307" s="31">
        <v>0</v>
      </c>
      <c r="Y307" s="31">
        <v>11658.49</v>
      </c>
    </row>
    <row r="308" spans="1:25" x14ac:dyDescent="0.2">
      <c r="A308" s="24" t="s">
        <v>33</v>
      </c>
      <c r="B308" s="24">
        <v>2397</v>
      </c>
      <c r="C308" s="24">
        <v>1</v>
      </c>
      <c r="D308" s="24" t="s">
        <v>371</v>
      </c>
      <c r="E308" s="30">
        <v>40</v>
      </c>
      <c r="F308" s="30" t="s">
        <v>57</v>
      </c>
      <c r="G308" s="24">
        <v>130</v>
      </c>
      <c r="H308" s="24">
        <v>344</v>
      </c>
      <c r="I308" s="30" t="s">
        <v>50</v>
      </c>
      <c r="J308" s="31">
        <v>8901.39</v>
      </c>
      <c r="K308" s="31">
        <v>6876.92</v>
      </c>
      <c r="L308" s="31">
        <v>15778.31</v>
      </c>
      <c r="M308" s="31">
        <v>16520.11</v>
      </c>
      <c r="N308" s="31">
        <v>34571.5</v>
      </c>
      <c r="O308" s="31">
        <v>51091.61</v>
      </c>
      <c r="P308" s="31">
        <v>12772.9</v>
      </c>
      <c r="Q308" s="31">
        <v>-289.69</v>
      </c>
      <c r="R308" s="31">
        <v>0</v>
      </c>
      <c r="S308" s="31">
        <v>8696.81</v>
      </c>
      <c r="T308" s="31">
        <v>0</v>
      </c>
      <c r="U308" s="31">
        <v>0</v>
      </c>
      <c r="V308" s="31">
        <v>14126.37</v>
      </c>
      <c r="W308" s="31">
        <v>7511.16</v>
      </c>
      <c r="X308" s="31">
        <v>0</v>
      </c>
      <c r="Y308" s="31">
        <v>15778.31</v>
      </c>
    </row>
    <row r="309" spans="1:25" x14ac:dyDescent="0.2">
      <c r="A309" s="24" t="s">
        <v>33</v>
      </c>
      <c r="B309" s="24">
        <v>2448</v>
      </c>
      <c r="C309" s="24">
        <v>1</v>
      </c>
      <c r="D309" s="24" t="s">
        <v>372</v>
      </c>
      <c r="E309" s="30">
        <v>46</v>
      </c>
      <c r="F309" s="30" t="s">
        <v>57</v>
      </c>
      <c r="G309" s="24">
        <v>70</v>
      </c>
      <c r="H309" s="24">
        <v>264</v>
      </c>
      <c r="I309" s="30" t="s">
        <v>50</v>
      </c>
      <c r="J309" s="31">
        <v>4793.0600000000004</v>
      </c>
      <c r="K309" s="31">
        <v>5277.64</v>
      </c>
      <c r="L309" s="31">
        <v>10070.700000000001</v>
      </c>
      <c r="M309" s="31">
        <v>8580.01</v>
      </c>
      <c r="N309" s="31">
        <v>56798.92</v>
      </c>
      <c r="O309" s="31">
        <v>65378.93</v>
      </c>
      <c r="P309" s="31">
        <v>16344.73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10070.700000000001</v>
      </c>
    </row>
    <row r="310" spans="1:25" x14ac:dyDescent="0.2">
      <c r="A310" s="24" t="s">
        <v>33</v>
      </c>
      <c r="B310" s="24">
        <v>2527</v>
      </c>
      <c r="C310" s="24">
        <v>1</v>
      </c>
      <c r="D310" s="24" t="s">
        <v>373</v>
      </c>
      <c r="E310" s="30">
        <v>54</v>
      </c>
      <c r="F310" s="30" t="s">
        <v>59</v>
      </c>
      <c r="G310" s="24">
        <v>23</v>
      </c>
      <c r="H310" s="24">
        <v>139</v>
      </c>
      <c r="I310" s="30" t="s">
        <v>50</v>
      </c>
      <c r="J310" s="31">
        <v>1574.86</v>
      </c>
      <c r="K310" s="31">
        <v>2778.76</v>
      </c>
      <c r="L310" s="31">
        <v>4353.62</v>
      </c>
      <c r="M310" s="31">
        <v>4332.53</v>
      </c>
      <c r="N310" s="31">
        <v>502.74</v>
      </c>
      <c r="O310" s="31">
        <v>4835.2700000000004</v>
      </c>
      <c r="P310" s="31">
        <v>1208.82</v>
      </c>
      <c r="Q310" s="31">
        <v>389.45</v>
      </c>
      <c r="R310" s="31">
        <v>0</v>
      </c>
      <c r="S310" s="31">
        <v>115.43</v>
      </c>
      <c r="T310" s="31">
        <v>0</v>
      </c>
      <c r="U310" s="31">
        <v>0</v>
      </c>
      <c r="V310" s="31">
        <v>-318.29000000000002</v>
      </c>
      <c r="W310" s="31">
        <v>62.2</v>
      </c>
      <c r="X310" s="31">
        <v>0</v>
      </c>
      <c r="Y310" s="31">
        <v>4353.62</v>
      </c>
    </row>
    <row r="311" spans="1:25" x14ac:dyDescent="0.2">
      <c r="A311" s="24" t="s">
        <v>33</v>
      </c>
      <c r="B311" s="24">
        <v>2534</v>
      </c>
      <c r="C311" s="24">
        <v>1</v>
      </c>
      <c r="D311" s="24" t="s">
        <v>76</v>
      </c>
      <c r="E311" s="30">
        <v>65</v>
      </c>
      <c r="F311" s="30" t="s">
        <v>68</v>
      </c>
      <c r="G311" s="24">
        <v>63</v>
      </c>
      <c r="H311" s="24">
        <v>302</v>
      </c>
      <c r="I311" s="30" t="s">
        <v>50</v>
      </c>
      <c r="J311" s="31">
        <v>4313.75</v>
      </c>
      <c r="K311" s="31">
        <v>6037.3</v>
      </c>
      <c r="L311" s="31">
        <v>10351.049999999999</v>
      </c>
      <c r="M311" s="31">
        <v>10086.120000000001</v>
      </c>
      <c r="N311" s="31">
        <v>16158.56</v>
      </c>
      <c r="O311" s="31">
        <v>26244.68</v>
      </c>
      <c r="P311" s="31">
        <v>6561.17</v>
      </c>
      <c r="Q311" s="31">
        <v>5243.45</v>
      </c>
      <c r="R311" s="31">
        <v>0</v>
      </c>
      <c r="S311" s="31">
        <v>1462.42</v>
      </c>
      <c r="T311" s="31">
        <v>0</v>
      </c>
      <c r="U311" s="31">
        <v>0</v>
      </c>
      <c r="V311" s="31">
        <v>-3322.12</v>
      </c>
      <c r="W311" s="31">
        <v>1127.92</v>
      </c>
      <c r="X311" s="31">
        <v>0</v>
      </c>
      <c r="Y311" s="31">
        <v>10351.049999999999</v>
      </c>
    </row>
    <row r="312" spans="1:25" x14ac:dyDescent="0.2">
      <c r="A312" s="24" t="s">
        <v>33</v>
      </c>
      <c r="B312" s="24">
        <v>2536</v>
      </c>
      <c r="C312" s="24">
        <v>1</v>
      </c>
      <c r="D312" s="24" t="s">
        <v>78</v>
      </c>
      <c r="E312" s="30">
        <v>46</v>
      </c>
      <c r="F312" s="30" t="s">
        <v>57</v>
      </c>
      <c r="G312" s="24">
        <v>15</v>
      </c>
      <c r="H312" s="24">
        <v>93</v>
      </c>
      <c r="I312" s="30" t="s">
        <v>50</v>
      </c>
      <c r="J312" s="31">
        <v>1027.08</v>
      </c>
      <c r="K312" s="31">
        <v>1859.17</v>
      </c>
      <c r="L312" s="31">
        <v>2886.25</v>
      </c>
      <c r="M312" s="31">
        <v>3928.98</v>
      </c>
      <c r="N312" s="31">
        <v>4025</v>
      </c>
      <c r="O312" s="31">
        <v>7953.98</v>
      </c>
      <c r="P312" s="31">
        <v>1988.5</v>
      </c>
      <c r="Q312" s="31">
        <v>-1968.54</v>
      </c>
      <c r="R312" s="31">
        <v>0</v>
      </c>
      <c r="S312" s="31">
        <v>6202.69</v>
      </c>
      <c r="T312" s="31">
        <v>0</v>
      </c>
      <c r="U312" s="31">
        <v>0</v>
      </c>
      <c r="V312" s="31">
        <v>-11549.57</v>
      </c>
      <c r="W312" s="31">
        <v>-2438.4699999999998</v>
      </c>
      <c r="X312" s="31">
        <v>0</v>
      </c>
      <c r="Y312" s="31">
        <v>2886.25</v>
      </c>
    </row>
    <row r="313" spans="1:25" x14ac:dyDescent="0.2">
      <c r="A313" s="24" t="s">
        <v>33</v>
      </c>
      <c r="B313" s="24">
        <v>2580</v>
      </c>
      <c r="C313" s="24">
        <v>1</v>
      </c>
      <c r="D313" s="24" t="s">
        <v>374</v>
      </c>
      <c r="E313" s="30">
        <v>58</v>
      </c>
      <c r="F313" s="30" t="s">
        <v>67</v>
      </c>
      <c r="G313" s="24">
        <v>57</v>
      </c>
      <c r="H313" s="24">
        <v>422</v>
      </c>
      <c r="I313" s="30" t="s">
        <v>50</v>
      </c>
      <c r="J313" s="31">
        <v>3902.92</v>
      </c>
      <c r="K313" s="31">
        <v>8436.2199999999993</v>
      </c>
      <c r="L313" s="31">
        <v>12339.14</v>
      </c>
      <c r="M313" s="31">
        <v>12564.01</v>
      </c>
      <c r="N313" s="31">
        <v>3696</v>
      </c>
      <c r="O313" s="31">
        <v>16260.01</v>
      </c>
      <c r="P313" s="31">
        <v>4065</v>
      </c>
      <c r="Q313" s="31">
        <v>-19952.66</v>
      </c>
      <c r="R313" s="31">
        <v>0</v>
      </c>
      <c r="S313" s="31">
        <v>-20221.41</v>
      </c>
      <c r="T313" s="31">
        <v>0</v>
      </c>
      <c r="U313" s="31">
        <v>0</v>
      </c>
      <c r="V313" s="31">
        <v>-19286.34</v>
      </c>
      <c r="W313" s="31">
        <v>-19820.14</v>
      </c>
      <c r="X313" s="31">
        <v>0</v>
      </c>
      <c r="Y313" s="31">
        <v>12339.14</v>
      </c>
    </row>
    <row r="314" spans="1:25" x14ac:dyDescent="0.2">
      <c r="A314" s="24" t="s">
        <v>33</v>
      </c>
      <c r="B314" s="24">
        <v>2609</v>
      </c>
      <c r="C314" s="24">
        <v>1</v>
      </c>
      <c r="D314" s="24" t="s">
        <v>375</v>
      </c>
      <c r="E314" s="30">
        <v>60</v>
      </c>
      <c r="F314" s="30" t="s">
        <v>59</v>
      </c>
      <c r="G314" s="24">
        <v>35</v>
      </c>
      <c r="H314" s="24">
        <v>193</v>
      </c>
      <c r="I314" s="30" t="s">
        <v>50</v>
      </c>
      <c r="J314" s="31">
        <v>2396.5300000000002</v>
      </c>
      <c r="K314" s="31">
        <v>3858.27</v>
      </c>
      <c r="L314" s="31">
        <v>6254.8</v>
      </c>
      <c r="M314" s="31">
        <v>7799.14</v>
      </c>
      <c r="N314" s="31">
        <v>3935</v>
      </c>
      <c r="O314" s="31">
        <v>11734.14</v>
      </c>
      <c r="P314" s="31">
        <v>2933.54</v>
      </c>
      <c r="Q314" s="31">
        <v>-0.34</v>
      </c>
      <c r="R314" s="31">
        <v>0</v>
      </c>
      <c r="S314" s="31">
        <v>-1117.6600000000001</v>
      </c>
      <c r="T314" s="31">
        <v>0</v>
      </c>
      <c r="U314" s="31">
        <v>0</v>
      </c>
      <c r="V314" s="31">
        <v>2089.79</v>
      </c>
      <c r="W314" s="31">
        <v>323.93</v>
      </c>
      <c r="X314" s="31">
        <v>0</v>
      </c>
      <c r="Y314" s="31">
        <v>6254.8</v>
      </c>
    </row>
    <row r="315" spans="1:25" x14ac:dyDescent="0.2">
      <c r="A315" s="24" t="s">
        <v>33</v>
      </c>
      <c r="B315" s="24">
        <v>2683</v>
      </c>
      <c r="C315" s="24">
        <v>1</v>
      </c>
      <c r="D315" s="24" t="s">
        <v>376</v>
      </c>
      <c r="E315" s="30">
        <v>68</v>
      </c>
      <c r="F315" s="30" t="s">
        <v>59</v>
      </c>
      <c r="G315" s="24">
        <v>30</v>
      </c>
      <c r="H315" s="24">
        <v>188</v>
      </c>
      <c r="I315" s="30" t="s">
        <v>50</v>
      </c>
      <c r="J315" s="31">
        <v>2054.17</v>
      </c>
      <c r="K315" s="31">
        <v>3758.32</v>
      </c>
      <c r="L315" s="31">
        <v>5812.49</v>
      </c>
      <c r="M315" s="31">
        <v>7069.75</v>
      </c>
      <c r="N315" s="31">
        <v>5800</v>
      </c>
      <c r="O315" s="31">
        <v>12869.75</v>
      </c>
      <c r="P315" s="31">
        <v>3217.44</v>
      </c>
      <c r="Q315" s="31">
        <v>1260.06</v>
      </c>
      <c r="R315" s="31">
        <v>0</v>
      </c>
      <c r="S315" s="31">
        <v>0.64</v>
      </c>
      <c r="T315" s="31">
        <v>0</v>
      </c>
      <c r="U315" s="31">
        <v>0</v>
      </c>
      <c r="V315" s="31">
        <v>707.25</v>
      </c>
      <c r="W315" s="31">
        <v>655.98</v>
      </c>
      <c r="X315" s="31">
        <v>0</v>
      </c>
      <c r="Y315" s="31">
        <v>5812.49</v>
      </c>
    </row>
    <row r="316" spans="1:25" x14ac:dyDescent="0.2">
      <c r="A316" s="24" t="s">
        <v>33</v>
      </c>
      <c r="B316" s="24">
        <v>2687</v>
      </c>
      <c r="C316" s="24">
        <v>1</v>
      </c>
      <c r="D316" s="24" t="s">
        <v>86</v>
      </c>
      <c r="E316" s="30">
        <v>86</v>
      </c>
      <c r="F316" s="30" t="s">
        <v>63</v>
      </c>
      <c r="G316" s="24">
        <v>131</v>
      </c>
      <c r="H316" s="24">
        <v>297</v>
      </c>
      <c r="I316" s="30" t="s">
        <v>50</v>
      </c>
      <c r="J316" s="31">
        <v>8969.86</v>
      </c>
      <c r="K316" s="31">
        <v>5937.34</v>
      </c>
      <c r="L316" s="31">
        <v>14907.2</v>
      </c>
      <c r="M316" s="31">
        <v>12275.82</v>
      </c>
      <c r="N316" s="31">
        <v>0</v>
      </c>
      <c r="O316" s="31">
        <v>12275.82</v>
      </c>
      <c r="P316" s="31">
        <v>3068.96</v>
      </c>
      <c r="Q316" s="31">
        <v>0</v>
      </c>
      <c r="R316" s="31">
        <v>0</v>
      </c>
      <c r="S316" s="31">
        <v>2424.58</v>
      </c>
      <c r="T316" s="31">
        <v>0</v>
      </c>
      <c r="U316" s="31">
        <v>0</v>
      </c>
      <c r="V316" s="31">
        <v>1978.11</v>
      </c>
      <c r="W316" s="31">
        <v>1467.56</v>
      </c>
      <c r="X316" s="31">
        <v>0</v>
      </c>
      <c r="Y316" s="31">
        <v>14907.2</v>
      </c>
    </row>
    <row r="317" spans="1:25" x14ac:dyDescent="0.2">
      <c r="A317" s="24" t="s">
        <v>33</v>
      </c>
      <c r="B317" s="24">
        <v>2689</v>
      </c>
      <c r="C317" s="24">
        <v>1</v>
      </c>
      <c r="D317" s="24" t="s">
        <v>377</v>
      </c>
      <c r="E317" s="30">
        <v>59</v>
      </c>
      <c r="F317" s="30" t="s">
        <v>65</v>
      </c>
      <c r="G317" s="24">
        <v>94</v>
      </c>
      <c r="H317" s="24">
        <v>494</v>
      </c>
      <c r="I317" s="30" t="s">
        <v>50</v>
      </c>
      <c r="J317" s="31">
        <v>6436.39</v>
      </c>
      <c r="K317" s="31">
        <v>9875.58</v>
      </c>
      <c r="L317" s="31">
        <v>16311.97</v>
      </c>
      <c r="M317" s="31">
        <v>14661.04</v>
      </c>
      <c r="N317" s="31">
        <v>5434</v>
      </c>
      <c r="O317" s="31">
        <v>20095.04</v>
      </c>
      <c r="P317" s="31">
        <v>5023.76</v>
      </c>
      <c r="Q317" s="31">
        <v>3759.5</v>
      </c>
      <c r="R317" s="31">
        <v>1212.53</v>
      </c>
      <c r="S317" s="31">
        <v>3366.53</v>
      </c>
      <c r="T317" s="31">
        <v>0</v>
      </c>
      <c r="U317" s="31">
        <v>0</v>
      </c>
      <c r="V317" s="31">
        <v>6489.45</v>
      </c>
      <c r="W317" s="31">
        <v>4134.32</v>
      </c>
      <c r="X317" s="31">
        <v>0</v>
      </c>
      <c r="Y317" s="31">
        <v>16311.97</v>
      </c>
    </row>
    <row r="318" spans="1:25" x14ac:dyDescent="0.2">
      <c r="A318" s="24" t="s">
        <v>33</v>
      </c>
      <c r="B318" s="24">
        <v>2711</v>
      </c>
      <c r="C318" s="24">
        <v>1</v>
      </c>
      <c r="D318" s="24" t="s">
        <v>378</v>
      </c>
      <c r="E318" s="30">
        <v>69</v>
      </c>
      <c r="F318" s="30" t="s">
        <v>58</v>
      </c>
      <c r="G318" s="24">
        <v>80</v>
      </c>
      <c r="H318" s="24">
        <v>343</v>
      </c>
      <c r="I318" s="30" t="s">
        <v>50</v>
      </c>
      <c r="J318" s="31">
        <v>5477.78</v>
      </c>
      <c r="K318" s="31">
        <v>6856.93</v>
      </c>
      <c r="L318" s="31">
        <v>12334.71</v>
      </c>
      <c r="M318" s="31">
        <v>12424.57</v>
      </c>
      <c r="N318" s="31">
        <v>21895</v>
      </c>
      <c r="O318" s="31">
        <v>34319.57</v>
      </c>
      <c r="P318" s="31">
        <v>8579.89</v>
      </c>
      <c r="Q318" s="31">
        <v>-1899.24</v>
      </c>
      <c r="R318" s="31">
        <v>0</v>
      </c>
      <c r="S318" s="31">
        <v>-96.99</v>
      </c>
      <c r="T318" s="31">
        <v>0</v>
      </c>
      <c r="U318" s="31">
        <v>0</v>
      </c>
      <c r="V318" s="31">
        <v>4165.38</v>
      </c>
      <c r="W318" s="31">
        <v>723.05</v>
      </c>
      <c r="X318" s="31">
        <v>0</v>
      </c>
      <c r="Y318" s="31">
        <v>12334.71</v>
      </c>
    </row>
    <row r="319" spans="1:25" x14ac:dyDescent="0.2">
      <c r="A319" s="24" t="s">
        <v>33</v>
      </c>
      <c r="B319" s="24">
        <v>2752</v>
      </c>
      <c r="C319" s="24">
        <v>1</v>
      </c>
      <c r="D319" s="24" t="s">
        <v>379</v>
      </c>
      <c r="E319" s="30">
        <v>46</v>
      </c>
      <c r="F319" s="30" t="s">
        <v>57</v>
      </c>
      <c r="G319" s="24">
        <v>158</v>
      </c>
      <c r="H319" s="24">
        <v>686</v>
      </c>
      <c r="I319" s="30" t="s">
        <v>50</v>
      </c>
      <c r="J319" s="31">
        <v>10818.61</v>
      </c>
      <c r="K319" s="31">
        <v>13713.86</v>
      </c>
      <c r="L319" s="31">
        <v>24532.47</v>
      </c>
      <c r="M319" s="31">
        <v>23871.93</v>
      </c>
      <c r="N319" s="31">
        <v>48034.2</v>
      </c>
      <c r="O319" s="31">
        <v>71906.13</v>
      </c>
      <c r="P319" s="31">
        <v>17976.53</v>
      </c>
      <c r="Q319" s="31">
        <v>6139.91</v>
      </c>
      <c r="R319" s="31">
        <v>0</v>
      </c>
      <c r="S319" s="31">
        <v>4963</v>
      </c>
      <c r="T319" s="31">
        <v>0</v>
      </c>
      <c r="U319" s="31">
        <v>0</v>
      </c>
      <c r="V319" s="31">
        <v>13424.04</v>
      </c>
      <c r="W319" s="31">
        <v>8175.65</v>
      </c>
      <c r="X319" s="31">
        <v>0</v>
      </c>
      <c r="Y319" s="31">
        <v>24532.47</v>
      </c>
    </row>
    <row r="320" spans="1:25" x14ac:dyDescent="0.2">
      <c r="A320" s="24" t="s">
        <v>33</v>
      </c>
      <c r="B320" s="24">
        <v>2753</v>
      </c>
      <c r="C320" s="24">
        <v>1</v>
      </c>
      <c r="D320" s="24" t="s">
        <v>380</v>
      </c>
      <c r="E320" s="30">
        <v>77</v>
      </c>
      <c r="F320" s="30" t="s">
        <v>66</v>
      </c>
      <c r="G320" s="24">
        <v>121</v>
      </c>
      <c r="H320" s="24">
        <v>559</v>
      </c>
      <c r="I320" s="30" t="s">
        <v>50</v>
      </c>
      <c r="J320" s="31">
        <v>8285.14</v>
      </c>
      <c r="K320" s="31">
        <v>11175</v>
      </c>
      <c r="L320" s="31">
        <v>19460.14</v>
      </c>
      <c r="M320" s="31">
        <v>22203.69</v>
      </c>
      <c r="N320" s="31">
        <v>4920</v>
      </c>
      <c r="O320" s="31">
        <v>27123.69</v>
      </c>
      <c r="P320" s="31">
        <v>6780.92</v>
      </c>
      <c r="Q320" s="31">
        <v>0</v>
      </c>
      <c r="R320" s="31">
        <v>0</v>
      </c>
      <c r="S320" s="31">
        <v>-731.22</v>
      </c>
      <c r="T320" s="31">
        <v>0</v>
      </c>
      <c r="U320" s="31">
        <v>0</v>
      </c>
      <c r="V320" s="31">
        <v>-5837.95</v>
      </c>
      <c r="W320" s="31">
        <v>-2189.7199999999998</v>
      </c>
      <c r="X320" s="31">
        <v>0</v>
      </c>
      <c r="Y320" s="31">
        <v>19460.14</v>
      </c>
    </row>
    <row r="321" spans="1:25" x14ac:dyDescent="0.2">
      <c r="A321" s="24" t="s">
        <v>33</v>
      </c>
      <c r="B321" s="24">
        <v>2754</v>
      </c>
      <c r="C321" s="24">
        <v>1</v>
      </c>
      <c r="D321" s="24" t="s">
        <v>381</v>
      </c>
      <c r="E321" s="30">
        <v>64</v>
      </c>
      <c r="F321" s="30" t="s">
        <v>65</v>
      </c>
      <c r="G321" s="24">
        <v>39</v>
      </c>
      <c r="H321" s="24">
        <v>192</v>
      </c>
      <c r="I321" s="30" t="s">
        <v>50</v>
      </c>
      <c r="J321" s="31">
        <v>2670.42</v>
      </c>
      <c r="K321" s="31">
        <v>3838.28</v>
      </c>
      <c r="L321" s="31">
        <v>6508.7</v>
      </c>
      <c r="M321" s="31">
        <v>5782.99</v>
      </c>
      <c r="N321" s="31">
        <v>25567.35</v>
      </c>
      <c r="O321" s="31">
        <v>31350.34</v>
      </c>
      <c r="P321" s="31">
        <v>7837.59</v>
      </c>
      <c r="Q321" s="31">
        <v>0</v>
      </c>
      <c r="R321" s="31">
        <v>0</v>
      </c>
      <c r="S321" s="31">
        <v>-8138.91</v>
      </c>
      <c r="T321" s="31">
        <v>0</v>
      </c>
      <c r="U321" s="31">
        <v>0</v>
      </c>
      <c r="V321" s="31">
        <v>-12733.15</v>
      </c>
      <c r="W321" s="31">
        <v>-6957.35</v>
      </c>
      <c r="X321" s="31">
        <v>0</v>
      </c>
      <c r="Y321" s="31">
        <v>6508.7</v>
      </c>
    </row>
    <row r="322" spans="1:25" x14ac:dyDescent="0.2">
      <c r="A322" s="24" t="s">
        <v>33</v>
      </c>
      <c r="B322" s="24">
        <v>2759</v>
      </c>
      <c r="C322" s="24">
        <v>1</v>
      </c>
      <c r="D322" s="24" t="s">
        <v>382</v>
      </c>
      <c r="E322" s="30">
        <v>77</v>
      </c>
      <c r="F322" s="30" t="s">
        <v>66</v>
      </c>
      <c r="G322" s="24">
        <v>34</v>
      </c>
      <c r="H322" s="24">
        <v>151</v>
      </c>
      <c r="I322" s="30" t="s">
        <v>50</v>
      </c>
      <c r="J322" s="31">
        <v>2328.06</v>
      </c>
      <c r="K322" s="31">
        <v>3018.65</v>
      </c>
      <c r="L322" s="31">
        <v>5346.71</v>
      </c>
      <c r="M322" s="31">
        <v>5287.05</v>
      </c>
      <c r="N322" s="31">
        <v>0</v>
      </c>
      <c r="O322" s="31">
        <v>5287.05</v>
      </c>
      <c r="P322" s="31">
        <v>1321.76</v>
      </c>
      <c r="Q322" s="31">
        <v>-714.52</v>
      </c>
      <c r="R322" s="31">
        <v>0</v>
      </c>
      <c r="S322" s="31">
        <v>-228.33</v>
      </c>
      <c r="T322" s="31">
        <v>0</v>
      </c>
      <c r="U322" s="31">
        <v>0</v>
      </c>
      <c r="V322" s="31">
        <v>-89.11</v>
      </c>
      <c r="W322" s="31">
        <v>-343.99</v>
      </c>
      <c r="X322" s="31">
        <v>0</v>
      </c>
      <c r="Y322" s="31">
        <v>5346.71</v>
      </c>
    </row>
    <row r="323" spans="1:25" x14ac:dyDescent="0.2">
      <c r="A323" s="24" t="s">
        <v>33</v>
      </c>
      <c r="B323" s="24">
        <v>2805</v>
      </c>
      <c r="C323" s="24">
        <v>1</v>
      </c>
      <c r="D323" s="24" t="s">
        <v>383</v>
      </c>
      <c r="E323" s="30">
        <v>79</v>
      </c>
      <c r="F323" s="30" t="s">
        <v>61</v>
      </c>
      <c r="G323" s="24">
        <v>93</v>
      </c>
      <c r="H323" s="24">
        <v>205</v>
      </c>
      <c r="I323" s="30" t="s">
        <v>50</v>
      </c>
      <c r="J323" s="31">
        <v>6367.92</v>
      </c>
      <c r="K323" s="31">
        <v>4098.17</v>
      </c>
      <c r="L323" s="31">
        <v>10466.09</v>
      </c>
      <c r="M323" s="31">
        <v>10877.18</v>
      </c>
      <c r="N323" s="31">
        <v>36585.82</v>
      </c>
      <c r="O323" s="31">
        <v>47463</v>
      </c>
      <c r="P323" s="31">
        <v>11865.75</v>
      </c>
      <c r="Q323" s="31">
        <v>6083.15</v>
      </c>
      <c r="R323" s="31">
        <v>0</v>
      </c>
      <c r="S323" s="31">
        <v>11838.77</v>
      </c>
      <c r="T323" s="31">
        <v>0</v>
      </c>
      <c r="U323" s="31">
        <v>0</v>
      </c>
      <c r="V323" s="31">
        <v>11279.34</v>
      </c>
      <c r="W323" s="31">
        <v>9733.75</v>
      </c>
      <c r="X323" s="31">
        <v>0</v>
      </c>
      <c r="Y323" s="31">
        <v>10466.09</v>
      </c>
    </row>
    <row r="324" spans="1:25" x14ac:dyDescent="0.2">
      <c r="A324" s="24" t="s">
        <v>33</v>
      </c>
      <c r="B324" s="24">
        <v>2835</v>
      </c>
      <c r="C324" s="24">
        <v>1</v>
      </c>
      <c r="D324" s="24" t="s">
        <v>75</v>
      </c>
      <c r="E324" s="30">
        <v>81</v>
      </c>
      <c r="F324" s="30" t="s">
        <v>57</v>
      </c>
      <c r="G324" s="24">
        <v>62</v>
      </c>
      <c r="H324" s="24">
        <v>128</v>
      </c>
      <c r="I324" s="30" t="s">
        <v>50</v>
      </c>
      <c r="J324" s="31">
        <v>4245.28</v>
      </c>
      <c r="K324" s="31">
        <v>2558.85</v>
      </c>
      <c r="L324" s="31">
        <v>6804.13</v>
      </c>
      <c r="M324" s="31">
        <v>7164.36</v>
      </c>
      <c r="N324" s="31">
        <v>37446</v>
      </c>
      <c r="O324" s="31">
        <v>44610.36</v>
      </c>
      <c r="P324" s="31">
        <v>11152.59</v>
      </c>
      <c r="Q324" s="31">
        <v>-755.62</v>
      </c>
      <c r="R324" s="31">
        <v>0</v>
      </c>
      <c r="S324" s="31">
        <v>236.66</v>
      </c>
      <c r="T324" s="31">
        <v>0</v>
      </c>
      <c r="U324" s="31">
        <v>0</v>
      </c>
      <c r="V324" s="31">
        <v>-6071.29</v>
      </c>
      <c r="W324" s="31">
        <v>-2196.75</v>
      </c>
      <c r="X324" s="31">
        <v>0</v>
      </c>
      <c r="Y324" s="31">
        <v>6804.13</v>
      </c>
    </row>
    <row r="325" spans="1:25" x14ac:dyDescent="0.2">
      <c r="A325" s="24" t="s">
        <v>33</v>
      </c>
      <c r="B325" s="24">
        <v>2853</v>
      </c>
      <c r="C325" s="24">
        <v>1</v>
      </c>
      <c r="D325" s="24" t="s">
        <v>384</v>
      </c>
      <c r="E325" s="30">
        <v>37</v>
      </c>
      <c r="F325" s="30" t="s">
        <v>64</v>
      </c>
      <c r="G325" s="24">
        <v>72</v>
      </c>
      <c r="H325" s="24">
        <v>324</v>
      </c>
      <c r="I325" s="30" t="s">
        <v>50</v>
      </c>
      <c r="J325" s="31">
        <v>4930</v>
      </c>
      <c r="K325" s="31">
        <v>6477.1</v>
      </c>
      <c r="L325" s="31">
        <v>11407.1</v>
      </c>
      <c r="M325" s="31">
        <v>11703.49</v>
      </c>
      <c r="N325" s="31">
        <v>59791.040000000001</v>
      </c>
      <c r="O325" s="31">
        <v>71494.53</v>
      </c>
      <c r="P325" s="31">
        <v>17873.63</v>
      </c>
      <c r="Q325" s="31">
        <v>-34444.11</v>
      </c>
      <c r="R325" s="31">
        <v>0</v>
      </c>
      <c r="S325" s="31">
        <v>-20751.09</v>
      </c>
      <c r="T325" s="31">
        <v>0</v>
      </c>
      <c r="U325" s="31">
        <v>0</v>
      </c>
      <c r="V325" s="31">
        <v>-17390.13</v>
      </c>
      <c r="W325" s="31">
        <v>-24195.11</v>
      </c>
      <c r="X325" s="31">
        <v>0</v>
      </c>
      <c r="Y325" s="31">
        <v>11407.1</v>
      </c>
    </row>
    <row r="326" spans="1:25" x14ac:dyDescent="0.2">
      <c r="A326" s="24" t="s">
        <v>33</v>
      </c>
      <c r="B326" s="24">
        <v>2854</v>
      </c>
      <c r="C326" s="24">
        <v>1</v>
      </c>
      <c r="D326" s="24" t="s">
        <v>385</v>
      </c>
      <c r="E326" s="30">
        <v>54</v>
      </c>
      <c r="F326" s="30" t="s">
        <v>59</v>
      </c>
      <c r="G326" s="24">
        <v>40</v>
      </c>
      <c r="H326" s="24">
        <v>232</v>
      </c>
      <c r="I326" s="30" t="s">
        <v>50</v>
      </c>
      <c r="J326" s="31">
        <v>2738.89</v>
      </c>
      <c r="K326" s="31">
        <v>4637.92</v>
      </c>
      <c r="L326" s="31">
        <v>7376.81</v>
      </c>
      <c r="M326" s="31">
        <v>6591.07</v>
      </c>
      <c r="N326" s="31">
        <v>8651.5</v>
      </c>
      <c r="O326" s="31">
        <v>15242.57</v>
      </c>
      <c r="P326" s="31">
        <v>3810.64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7376.81</v>
      </c>
    </row>
    <row r="327" spans="1:25" x14ac:dyDescent="0.2">
      <c r="A327" s="24" t="s">
        <v>33</v>
      </c>
      <c r="B327" s="24">
        <v>2856</v>
      </c>
      <c r="C327" s="24">
        <v>1</v>
      </c>
      <c r="D327" s="24" t="s">
        <v>87</v>
      </c>
      <c r="E327" s="30">
        <v>45</v>
      </c>
      <c r="F327" s="30" t="s">
        <v>59</v>
      </c>
      <c r="G327" s="24">
        <v>14</v>
      </c>
      <c r="H327" s="24">
        <v>152</v>
      </c>
      <c r="I327" s="30" t="s">
        <v>50</v>
      </c>
      <c r="J327" s="31">
        <v>958.61</v>
      </c>
      <c r="K327" s="31">
        <v>3038.64</v>
      </c>
      <c r="L327" s="31">
        <v>3997.25</v>
      </c>
      <c r="M327" s="31">
        <v>4702.5</v>
      </c>
      <c r="N327" s="31">
        <v>14990</v>
      </c>
      <c r="O327" s="31">
        <v>19692.5</v>
      </c>
      <c r="P327" s="31">
        <v>4923.13</v>
      </c>
      <c r="Q327" s="31">
        <v>62.75</v>
      </c>
      <c r="R327" s="31">
        <v>0</v>
      </c>
      <c r="S327" s="31">
        <v>252.36</v>
      </c>
      <c r="T327" s="31">
        <v>0</v>
      </c>
      <c r="U327" s="31">
        <v>0</v>
      </c>
      <c r="V327" s="31">
        <v>0</v>
      </c>
      <c r="W327" s="31">
        <v>105.04</v>
      </c>
      <c r="X327" s="31">
        <v>0</v>
      </c>
      <c r="Y327" s="31">
        <v>3997.25</v>
      </c>
    </row>
    <row r="328" spans="1:25" x14ac:dyDescent="0.2">
      <c r="A328" s="24" t="s">
        <v>33</v>
      </c>
      <c r="B328" s="24">
        <v>2859</v>
      </c>
      <c r="C328" s="24">
        <v>1</v>
      </c>
      <c r="D328" s="24" t="s">
        <v>386</v>
      </c>
      <c r="E328" s="30">
        <v>43</v>
      </c>
      <c r="F328" s="30" t="s">
        <v>68</v>
      </c>
      <c r="G328" s="24">
        <v>174</v>
      </c>
      <c r="H328" s="24">
        <v>302</v>
      </c>
      <c r="I328" s="30" t="s">
        <v>50</v>
      </c>
      <c r="J328" s="31">
        <v>11914.17</v>
      </c>
      <c r="K328" s="31">
        <v>6037.3</v>
      </c>
      <c r="L328" s="31">
        <v>17951.47</v>
      </c>
      <c r="M328" s="31">
        <v>26777.97</v>
      </c>
      <c r="N328" s="31">
        <v>30322.97</v>
      </c>
      <c r="O328" s="31">
        <v>57100.94</v>
      </c>
      <c r="P328" s="31">
        <v>14275.24</v>
      </c>
      <c r="Q328" s="31">
        <v>17368.919999999998</v>
      </c>
      <c r="R328" s="31">
        <v>322.79000000000002</v>
      </c>
      <c r="S328" s="31">
        <v>28778.240000000002</v>
      </c>
      <c r="T328" s="31">
        <v>2923.28</v>
      </c>
      <c r="U328" s="31">
        <v>0</v>
      </c>
      <c r="V328" s="31">
        <v>17246.97</v>
      </c>
      <c r="W328" s="31">
        <v>20049.349999999999</v>
      </c>
      <c r="X328" s="31">
        <v>5774.11</v>
      </c>
      <c r="Y328" s="31">
        <v>12177.36</v>
      </c>
    </row>
    <row r="329" spans="1:25" x14ac:dyDescent="0.2">
      <c r="A329" s="24" t="s">
        <v>33</v>
      </c>
      <c r="B329" s="24">
        <v>2860</v>
      </c>
      <c r="C329" s="24">
        <v>1</v>
      </c>
      <c r="D329" s="24" t="s">
        <v>85</v>
      </c>
      <c r="E329" s="30">
        <v>22</v>
      </c>
      <c r="F329" s="30" t="s">
        <v>57</v>
      </c>
      <c r="G329" s="24">
        <v>132</v>
      </c>
      <c r="H329" s="24">
        <v>500</v>
      </c>
      <c r="I329" s="30" t="s">
        <v>50</v>
      </c>
      <c r="J329" s="31">
        <v>9038.34</v>
      </c>
      <c r="K329" s="31">
        <v>9995.52</v>
      </c>
      <c r="L329" s="31">
        <v>19033.86</v>
      </c>
      <c r="M329" s="31">
        <v>18612.71</v>
      </c>
      <c r="N329" s="31">
        <v>0</v>
      </c>
      <c r="O329" s="31">
        <v>18612.71</v>
      </c>
      <c r="P329" s="31">
        <v>4653.18</v>
      </c>
      <c r="Q329" s="31">
        <v>2544.6999999999998</v>
      </c>
      <c r="R329" s="31">
        <v>304.26</v>
      </c>
      <c r="S329" s="31">
        <v>-4675.29</v>
      </c>
      <c r="T329" s="31">
        <v>0</v>
      </c>
      <c r="U329" s="31">
        <v>0</v>
      </c>
      <c r="V329" s="31">
        <v>-1895.39</v>
      </c>
      <c r="W329" s="31">
        <v>-1443.41</v>
      </c>
      <c r="X329" s="31">
        <v>0</v>
      </c>
      <c r="Y329" s="31">
        <v>19033.86</v>
      </c>
    </row>
    <row r="330" spans="1:25" x14ac:dyDescent="0.2">
      <c r="A330" s="24" t="s">
        <v>33</v>
      </c>
      <c r="B330" s="24">
        <v>2884</v>
      </c>
      <c r="C330" s="24">
        <v>1</v>
      </c>
      <c r="D330" s="24" t="s">
        <v>387</v>
      </c>
      <c r="E330" s="30">
        <v>17</v>
      </c>
      <c r="F330" s="30" t="s">
        <v>65</v>
      </c>
      <c r="G330" s="24">
        <v>30</v>
      </c>
      <c r="H330" s="24">
        <v>202</v>
      </c>
      <c r="I330" s="30" t="s">
        <v>50</v>
      </c>
      <c r="J330" s="31">
        <v>2054.17</v>
      </c>
      <c r="K330" s="31">
        <v>4038.19</v>
      </c>
      <c r="L330" s="31">
        <v>6092.36</v>
      </c>
      <c r="M330" s="31">
        <v>7970.22</v>
      </c>
      <c r="N330" s="31">
        <v>6595</v>
      </c>
      <c r="O330" s="31">
        <v>14565.22</v>
      </c>
      <c r="P330" s="31">
        <v>3641.31</v>
      </c>
      <c r="Q330" s="31">
        <v>-80971.63</v>
      </c>
      <c r="R330" s="31">
        <v>0</v>
      </c>
      <c r="S330" s="31">
        <v>-91859.86</v>
      </c>
      <c r="T330" s="31">
        <v>0</v>
      </c>
      <c r="U330" s="31">
        <v>0</v>
      </c>
      <c r="V330" s="31">
        <v>-107460.65</v>
      </c>
      <c r="W330" s="31">
        <v>-93430.71</v>
      </c>
      <c r="X330" s="31">
        <v>0</v>
      </c>
      <c r="Y330" s="31">
        <v>6092.36</v>
      </c>
    </row>
    <row r="331" spans="1:25" x14ac:dyDescent="0.2">
      <c r="A331" s="24" t="s">
        <v>33</v>
      </c>
      <c r="B331" s="24">
        <v>2886</v>
      </c>
      <c r="C331" s="24">
        <v>1</v>
      </c>
      <c r="D331" s="24" t="s">
        <v>394</v>
      </c>
      <c r="E331" s="30">
        <v>24</v>
      </c>
      <c r="F331" s="30" t="s">
        <v>61</v>
      </c>
      <c r="G331" s="24">
        <v>42</v>
      </c>
      <c r="H331" s="24">
        <v>123</v>
      </c>
      <c r="I331" s="30" t="s">
        <v>50</v>
      </c>
      <c r="J331" s="31">
        <v>2875.83</v>
      </c>
      <c r="K331" s="31">
        <v>2458.9</v>
      </c>
      <c r="L331" s="31">
        <v>5334.73</v>
      </c>
      <c r="M331" s="31">
        <v>3969.91</v>
      </c>
      <c r="N331" s="31">
        <v>0</v>
      </c>
      <c r="O331" s="31">
        <v>3969.91</v>
      </c>
      <c r="P331" s="31">
        <v>992.48</v>
      </c>
      <c r="Q331" s="31">
        <v>-11.29</v>
      </c>
      <c r="R331" s="31">
        <v>0</v>
      </c>
      <c r="S331" s="31">
        <v>0</v>
      </c>
      <c r="T331" s="31">
        <v>0</v>
      </c>
      <c r="U331" s="31">
        <v>0</v>
      </c>
      <c r="V331" s="31">
        <v>-688.5</v>
      </c>
      <c r="W331" s="31">
        <v>-233.26</v>
      </c>
      <c r="X331" s="31">
        <v>0</v>
      </c>
      <c r="Y331" s="31">
        <v>5334.73</v>
      </c>
    </row>
    <row r="332" spans="1:25" x14ac:dyDescent="0.2">
      <c r="A332" s="24" t="s">
        <v>33</v>
      </c>
      <c r="B332" s="24">
        <v>2888</v>
      </c>
      <c r="C332" s="24">
        <v>1</v>
      </c>
      <c r="D332" s="24" t="s">
        <v>88</v>
      </c>
      <c r="E332" s="30">
        <v>6</v>
      </c>
      <c r="F332" s="30" t="s">
        <v>64</v>
      </c>
      <c r="G332" s="24">
        <v>27</v>
      </c>
      <c r="H332" s="24">
        <v>167</v>
      </c>
      <c r="I332" s="30" t="s">
        <v>50</v>
      </c>
      <c r="J332" s="31">
        <v>1848.75</v>
      </c>
      <c r="K332" s="31">
        <v>3338.51</v>
      </c>
      <c r="L332" s="31">
        <v>5187.26</v>
      </c>
      <c r="M332" s="31">
        <v>5513.76</v>
      </c>
      <c r="N332" s="31">
        <v>21410</v>
      </c>
      <c r="O332" s="31">
        <v>26923.759999999998</v>
      </c>
      <c r="P332" s="31">
        <v>6730.94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5401.41</v>
      </c>
      <c r="W332" s="31">
        <v>1800.47</v>
      </c>
      <c r="X332" s="31">
        <v>0</v>
      </c>
      <c r="Y332" s="31">
        <v>5187.26</v>
      </c>
    </row>
    <row r="333" spans="1:25" x14ac:dyDescent="0.2">
      <c r="A333" s="24" t="s">
        <v>33</v>
      </c>
      <c r="B333" s="24">
        <v>2889</v>
      </c>
      <c r="C333" s="24">
        <v>1</v>
      </c>
      <c r="D333" s="24" t="s">
        <v>388</v>
      </c>
      <c r="E333" s="30">
        <v>3</v>
      </c>
      <c r="F333" s="30" t="s">
        <v>60</v>
      </c>
      <c r="G333" s="24">
        <v>63</v>
      </c>
      <c r="H333" s="24">
        <v>213</v>
      </c>
      <c r="I333" s="30" t="s">
        <v>50</v>
      </c>
      <c r="J333" s="31">
        <v>4313.75</v>
      </c>
      <c r="K333" s="31">
        <v>4258.09</v>
      </c>
      <c r="L333" s="31">
        <v>8571.84</v>
      </c>
      <c r="M333" s="31">
        <v>7586.16</v>
      </c>
      <c r="N333" s="31">
        <v>7215.54</v>
      </c>
      <c r="O333" s="31">
        <v>14801.7</v>
      </c>
      <c r="P333" s="31">
        <v>3700.43</v>
      </c>
      <c r="Q333" s="31">
        <v>-39186.42</v>
      </c>
      <c r="R333" s="31">
        <v>0</v>
      </c>
      <c r="S333" s="31">
        <v>-10835.62</v>
      </c>
      <c r="T333" s="31">
        <v>0</v>
      </c>
      <c r="U333" s="31">
        <v>0</v>
      </c>
      <c r="V333" s="31">
        <v>-29442.799999999999</v>
      </c>
      <c r="W333" s="31">
        <v>-26488.28</v>
      </c>
      <c r="X333" s="31">
        <v>0</v>
      </c>
      <c r="Y333" s="31">
        <v>8571.84</v>
      </c>
    </row>
    <row r="334" spans="1:25" x14ac:dyDescent="0.2">
      <c r="A334" s="24" t="s">
        <v>33</v>
      </c>
      <c r="B334" s="24">
        <v>2890</v>
      </c>
      <c r="C334" s="24">
        <v>1</v>
      </c>
      <c r="D334" s="24" t="s">
        <v>389</v>
      </c>
      <c r="E334" s="30">
        <v>65</v>
      </c>
      <c r="F334" s="30" t="s">
        <v>68</v>
      </c>
      <c r="G334" s="24">
        <v>46</v>
      </c>
      <c r="H334" s="24">
        <v>262</v>
      </c>
      <c r="I334" s="30" t="s">
        <v>50</v>
      </c>
      <c r="J334" s="31">
        <v>3149.72</v>
      </c>
      <c r="K334" s="31">
        <v>5237.6499999999996</v>
      </c>
      <c r="L334" s="31">
        <v>8387.3700000000008</v>
      </c>
      <c r="M334" s="31">
        <v>7613.36</v>
      </c>
      <c r="N334" s="31">
        <v>13339</v>
      </c>
      <c r="O334" s="31">
        <v>20952.36</v>
      </c>
      <c r="P334" s="31">
        <v>5238.09</v>
      </c>
      <c r="Q334" s="31">
        <v>2506.81</v>
      </c>
      <c r="R334" s="31">
        <v>97.55</v>
      </c>
      <c r="S334" s="31">
        <v>5453.36</v>
      </c>
      <c r="T334" s="31">
        <v>292.66000000000003</v>
      </c>
      <c r="U334" s="31">
        <v>0</v>
      </c>
      <c r="V334" s="31">
        <v>9141.14</v>
      </c>
      <c r="W334" s="31">
        <v>5570.37</v>
      </c>
      <c r="X334" s="31">
        <v>332.28</v>
      </c>
      <c r="Y334" s="31">
        <v>8055.09</v>
      </c>
    </row>
    <row r="335" spans="1:25" x14ac:dyDescent="0.2">
      <c r="A335" s="24" t="s">
        <v>33</v>
      </c>
      <c r="B335" s="24">
        <v>2895</v>
      </c>
      <c r="C335" s="24">
        <v>1</v>
      </c>
      <c r="D335" s="24" t="s">
        <v>390</v>
      </c>
      <c r="E335" s="30">
        <v>32</v>
      </c>
      <c r="F335" s="30" t="s">
        <v>65</v>
      </c>
      <c r="G335" s="24">
        <v>102</v>
      </c>
      <c r="H335" s="24">
        <v>362</v>
      </c>
      <c r="I335" s="30" t="s">
        <v>50</v>
      </c>
      <c r="J335" s="31">
        <v>6984.17</v>
      </c>
      <c r="K335" s="31">
        <v>7236.76</v>
      </c>
      <c r="L335" s="31">
        <v>14220.93</v>
      </c>
      <c r="M335" s="31">
        <v>14354.68</v>
      </c>
      <c r="N335" s="31">
        <v>14821.5</v>
      </c>
      <c r="O335" s="31">
        <v>29176.18</v>
      </c>
      <c r="P335" s="31">
        <v>7294.05</v>
      </c>
      <c r="Q335" s="31">
        <v>2496.4299999999998</v>
      </c>
      <c r="R335" s="31">
        <v>0</v>
      </c>
      <c r="S335" s="31">
        <v>2995.36</v>
      </c>
      <c r="T335" s="31">
        <v>0</v>
      </c>
      <c r="U335" s="31">
        <v>0</v>
      </c>
      <c r="V335" s="31">
        <v>5096.3500000000004</v>
      </c>
      <c r="W335" s="31">
        <v>3529.38</v>
      </c>
      <c r="X335" s="31">
        <v>0</v>
      </c>
      <c r="Y335" s="31">
        <v>14220.93</v>
      </c>
    </row>
    <row r="336" spans="1:25" x14ac:dyDescent="0.2">
      <c r="A336" s="24" t="s">
        <v>33</v>
      </c>
      <c r="B336" s="24">
        <v>2897</v>
      </c>
      <c r="C336" s="24">
        <v>1</v>
      </c>
      <c r="D336" s="24" t="s">
        <v>391</v>
      </c>
      <c r="E336" s="30">
        <v>64</v>
      </c>
      <c r="F336" s="30" t="s">
        <v>65</v>
      </c>
      <c r="G336" s="24">
        <v>100</v>
      </c>
      <c r="H336" s="24">
        <v>417</v>
      </c>
      <c r="I336" s="30" t="s">
        <v>50</v>
      </c>
      <c r="J336" s="31">
        <v>6847.22</v>
      </c>
      <c r="K336" s="31">
        <v>8336.27</v>
      </c>
      <c r="L336" s="31">
        <v>15183.49</v>
      </c>
      <c r="M336" s="31">
        <v>18152.54</v>
      </c>
      <c r="N336" s="31">
        <v>36900</v>
      </c>
      <c r="O336" s="31">
        <v>55052.54</v>
      </c>
      <c r="P336" s="31">
        <v>13763.14</v>
      </c>
      <c r="Q336" s="31">
        <v>-5397.03</v>
      </c>
      <c r="R336" s="31">
        <v>0</v>
      </c>
      <c r="S336" s="31">
        <v>-8736.32</v>
      </c>
      <c r="T336" s="31">
        <v>0</v>
      </c>
      <c r="U336" s="31">
        <v>0</v>
      </c>
      <c r="V336" s="31">
        <v>-10197.34</v>
      </c>
      <c r="W336" s="31">
        <v>-8110.23</v>
      </c>
      <c r="X336" s="31">
        <v>0</v>
      </c>
      <c r="Y336" s="31">
        <v>15183.49</v>
      </c>
    </row>
    <row r="337" spans="1:25" x14ac:dyDescent="0.2">
      <c r="A337" s="24" t="s">
        <v>33</v>
      </c>
      <c r="B337" s="24">
        <v>2898</v>
      </c>
      <c r="C337" s="24">
        <v>1</v>
      </c>
      <c r="D337" s="24" t="s">
        <v>91</v>
      </c>
      <c r="E337" s="30">
        <v>17</v>
      </c>
      <c r="F337" s="30" t="s">
        <v>65</v>
      </c>
      <c r="G337" s="24">
        <v>33</v>
      </c>
      <c r="H337" s="24">
        <v>287</v>
      </c>
      <c r="I337" s="30" t="s">
        <v>50</v>
      </c>
      <c r="J337" s="31">
        <v>2259.58</v>
      </c>
      <c r="K337" s="31">
        <v>5737.43</v>
      </c>
      <c r="L337" s="31">
        <v>7997.01</v>
      </c>
      <c r="M337" s="31">
        <v>8493.36</v>
      </c>
      <c r="N337" s="31">
        <v>2556.5</v>
      </c>
      <c r="O337" s="31">
        <v>11049.86</v>
      </c>
      <c r="P337" s="31">
        <v>2762.47</v>
      </c>
      <c r="Q337" s="31">
        <v>-2504.29</v>
      </c>
      <c r="R337" s="31">
        <v>0</v>
      </c>
      <c r="S337" s="31">
        <v>-1942.73</v>
      </c>
      <c r="T337" s="31">
        <v>0</v>
      </c>
      <c r="U337" s="31">
        <v>0</v>
      </c>
      <c r="V337" s="31">
        <v>60.04</v>
      </c>
      <c r="W337" s="31">
        <v>-1462.33</v>
      </c>
      <c r="X337" s="31">
        <v>0</v>
      </c>
      <c r="Y337" s="31">
        <v>7997.01</v>
      </c>
    </row>
    <row r="338" spans="1:25" x14ac:dyDescent="0.2">
      <c r="A338" s="24" t="s">
        <v>33</v>
      </c>
      <c r="B338" s="24">
        <v>2899</v>
      </c>
      <c r="C338" s="24">
        <v>1</v>
      </c>
      <c r="D338" s="24" t="s">
        <v>397</v>
      </c>
      <c r="E338" s="30">
        <v>79</v>
      </c>
      <c r="F338" s="30" t="s">
        <v>61</v>
      </c>
      <c r="G338" s="24">
        <v>104</v>
      </c>
      <c r="H338" s="24">
        <v>282</v>
      </c>
      <c r="I338" s="30" t="s">
        <v>50</v>
      </c>
      <c r="J338" s="31">
        <v>7121.11</v>
      </c>
      <c r="K338" s="31">
        <v>5637.48</v>
      </c>
      <c r="L338" s="31">
        <v>12758.59</v>
      </c>
      <c r="M338" s="31">
        <v>12908.02</v>
      </c>
      <c r="N338" s="31">
        <v>57655</v>
      </c>
      <c r="O338" s="31">
        <v>70563.02</v>
      </c>
      <c r="P338" s="31">
        <v>17640.759999999998</v>
      </c>
      <c r="Q338" s="31">
        <v>13721.61</v>
      </c>
      <c r="R338" s="31">
        <v>0</v>
      </c>
      <c r="S338" s="31">
        <v>13048.46</v>
      </c>
      <c r="T338" s="31">
        <v>0</v>
      </c>
      <c r="U338" s="31">
        <v>0</v>
      </c>
      <c r="V338" s="31">
        <v>-2336.6</v>
      </c>
      <c r="W338" s="31">
        <v>8144.49</v>
      </c>
      <c r="X338" s="31">
        <v>0</v>
      </c>
      <c r="Y338" s="31">
        <v>12758.59</v>
      </c>
    </row>
    <row r="339" spans="1:25" x14ac:dyDescent="0.2">
      <c r="A339" s="24" t="s">
        <v>33</v>
      </c>
      <c r="B339" s="24">
        <v>2902</v>
      </c>
      <c r="C339" s="24">
        <v>1</v>
      </c>
      <c r="D339" s="24" t="s">
        <v>399</v>
      </c>
      <c r="E339" s="30">
        <v>41</v>
      </c>
      <c r="F339" s="30" t="s">
        <v>65</v>
      </c>
      <c r="G339" s="24">
        <v>55</v>
      </c>
      <c r="H339" s="24">
        <v>192</v>
      </c>
      <c r="I339" s="30" t="s">
        <v>50</v>
      </c>
      <c r="J339" s="31">
        <v>3765.97</v>
      </c>
      <c r="K339" s="31">
        <v>3838.28</v>
      </c>
      <c r="L339" s="31">
        <v>7604.25</v>
      </c>
      <c r="M339" s="31">
        <v>6309.34</v>
      </c>
      <c r="N339" s="31">
        <v>0</v>
      </c>
      <c r="O339" s="31">
        <v>6309.34</v>
      </c>
      <c r="P339" s="31">
        <v>1577.34</v>
      </c>
      <c r="Q339" s="31">
        <v>0.69</v>
      </c>
      <c r="R339" s="31">
        <v>0</v>
      </c>
      <c r="S339" s="31">
        <v>1.45</v>
      </c>
      <c r="T339" s="31">
        <v>0</v>
      </c>
      <c r="U339" s="31">
        <v>0</v>
      </c>
      <c r="V339" s="31">
        <v>1.79</v>
      </c>
      <c r="W339" s="31">
        <v>1.31</v>
      </c>
      <c r="X339" s="31">
        <v>0</v>
      </c>
      <c r="Y339" s="31">
        <v>7604.25</v>
      </c>
    </row>
    <row r="340" spans="1:25" x14ac:dyDescent="0.2">
      <c r="A340" s="24" t="s">
        <v>33</v>
      </c>
      <c r="B340" s="24">
        <v>2903</v>
      </c>
      <c r="C340" s="24">
        <v>1</v>
      </c>
      <c r="D340" s="24" t="s">
        <v>403</v>
      </c>
      <c r="E340" s="30">
        <v>6</v>
      </c>
      <c r="F340" s="30" t="s">
        <v>64</v>
      </c>
      <c r="G340" s="24">
        <v>30</v>
      </c>
      <c r="H340" s="24">
        <v>249</v>
      </c>
      <c r="I340" s="30" t="s">
        <v>50</v>
      </c>
      <c r="J340" s="31">
        <v>2054.17</v>
      </c>
      <c r="K340" s="31">
        <v>4977.7700000000004</v>
      </c>
      <c r="L340" s="31">
        <v>7031.94</v>
      </c>
      <c r="M340" s="31">
        <v>7139.46</v>
      </c>
      <c r="N340" s="31">
        <v>26680.93</v>
      </c>
      <c r="O340" s="31">
        <v>33820.39</v>
      </c>
      <c r="P340" s="31">
        <v>8455.1</v>
      </c>
      <c r="Q340" s="31">
        <v>-5742.44</v>
      </c>
      <c r="R340" s="31">
        <v>599.47</v>
      </c>
      <c r="S340" s="31">
        <v>-416.23</v>
      </c>
      <c r="T340" s="31">
        <v>706.14</v>
      </c>
      <c r="U340" s="31">
        <v>0</v>
      </c>
      <c r="V340" s="31">
        <v>-0.2</v>
      </c>
      <c r="W340" s="31">
        <v>-2488.16</v>
      </c>
      <c r="X340" s="31">
        <v>0</v>
      </c>
      <c r="Y340" s="31">
        <v>7031.94</v>
      </c>
    </row>
    <row r="341" spans="1:25" x14ac:dyDescent="0.2">
      <c r="A341" s="24" t="s">
        <v>33</v>
      </c>
      <c r="B341" s="24">
        <v>2904</v>
      </c>
      <c r="C341" s="24">
        <v>1</v>
      </c>
      <c r="D341" s="24" t="s">
        <v>404</v>
      </c>
      <c r="E341" s="30">
        <v>42</v>
      </c>
      <c r="F341" s="30" t="s">
        <v>65</v>
      </c>
      <c r="G341" s="24">
        <v>83</v>
      </c>
      <c r="H341" s="24">
        <v>372</v>
      </c>
      <c r="I341" s="30" t="s">
        <v>50</v>
      </c>
      <c r="J341" s="31">
        <v>5683.2</v>
      </c>
      <c r="K341" s="31">
        <v>7436.67</v>
      </c>
      <c r="L341" s="31">
        <v>13119.87</v>
      </c>
      <c r="M341" s="31">
        <v>12044.06</v>
      </c>
      <c r="N341" s="31">
        <v>2574</v>
      </c>
      <c r="O341" s="31">
        <v>14618.06</v>
      </c>
      <c r="P341" s="31">
        <v>3654.52</v>
      </c>
      <c r="Q341" s="31">
        <v>-21787.19</v>
      </c>
      <c r="R341" s="31">
        <v>0</v>
      </c>
      <c r="S341" s="31">
        <v>-41794.57</v>
      </c>
      <c r="T341" s="31">
        <v>0</v>
      </c>
      <c r="U341" s="31">
        <v>0</v>
      </c>
      <c r="V341" s="31">
        <v>-62928.95</v>
      </c>
      <c r="W341" s="31">
        <v>-42170.239999999998</v>
      </c>
      <c r="X341" s="31">
        <v>0</v>
      </c>
      <c r="Y341" s="31">
        <v>13119.87</v>
      </c>
    </row>
  </sheetData>
  <sheetProtection password="8A77" sheet="1" objects="1" scenarios="1"/>
  <mergeCells count="14">
    <mergeCell ref="E2:E3"/>
    <mergeCell ref="C2:C3"/>
    <mergeCell ref="B2:B3"/>
    <mergeCell ref="A2:A3"/>
    <mergeCell ref="B5:D5"/>
    <mergeCell ref="D2:D3"/>
    <mergeCell ref="X2:X3"/>
    <mergeCell ref="Y2:Y3"/>
    <mergeCell ref="I2:L2"/>
    <mergeCell ref="F2:F3"/>
    <mergeCell ref="Q2:W2"/>
    <mergeCell ref="M2:P2"/>
    <mergeCell ref="H2:H3"/>
    <mergeCell ref="G2:G3"/>
  </mergeCells>
  <phoneticPr fontId="0" type="noConversion"/>
  <printOptions gridLines="1"/>
  <pageMargins left="0.38" right="0.31" top="0.53" bottom="0.57999999999999996" header="0.3" footer="0.3"/>
  <pageSetup scale="80" orientation="portrait" r:id="rId1"/>
  <headerFooter>
    <oddHeader>&amp;LMDE Program Finance&amp;CFY 2010 School Readiness Aid Calculation &amp;RFebruary 2010</oddHeader>
    <oddFooter>&amp;CPage &amp;P of &amp;N</oddFooter>
  </headerFooter>
  <colBreaks count="4" manualBreakCount="4">
    <brk id="8" max="1048575" man="1"/>
    <brk id="12" max="1048575" man="1"/>
    <brk id="16" max="1048575" man="1"/>
    <brk id="23" max="1048575" man="1"/>
  </colBreaks>
  <ignoredErrors>
    <ignoredError sqref="F7:F341" numberStoredAsText="1"/>
    <ignoredError sqref="I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0910 Community Education</vt:lpstr>
      <vt:lpstr>0910 ECFE</vt:lpstr>
      <vt:lpstr>0910 School Readiness</vt:lpstr>
      <vt:lpstr>'0910 Community Education'!Print_Area</vt:lpstr>
      <vt:lpstr>'0910 ECFE'!Print_Area</vt:lpstr>
      <vt:lpstr>'0910 School Readiness'!Print_Area</vt:lpstr>
      <vt:lpstr>'0910 Community Education'!Print_Titles</vt:lpstr>
      <vt:lpstr>'0910 ECFE'!Print_Titles</vt:lpstr>
      <vt:lpstr>'0910 School Readiness'!Print_Titles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 2010 Community Revenue Adjusted for Excess Fund Balance</dc:title>
  <dc:creator>sysadmin</dc:creator>
  <dc:description>District-by-district 2009-10 revenue and aid entitlement calculations for community education, early childhood family education and school readiness,including adjustments for excess fund balance.</dc:description>
  <cp:lastModifiedBy>EDU-UCMPROD$</cp:lastModifiedBy>
  <cp:lastPrinted>2010-02-08T20:53:55Z</cp:lastPrinted>
  <dcterms:created xsi:type="dcterms:W3CDTF">2010-02-08T16:49:38Z</dcterms:created>
  <dcterms:modified xsi:type="dcterms:W3CDTF">2011-10-20T16:21:57Z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003165</vt:lpwstr>
  </property>
</Properties>
</file>