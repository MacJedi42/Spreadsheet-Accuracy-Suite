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700" yWindow="320" windowWidth="23100" windowHeight="14860" tabRatio="500" activeTab="1"/>
  </bookViews>
  <sheets>
    <sheet name="Men Ind." sheetId="1" r:id="rId1"/>
    <sheet name="Men Team" sheetId="3" r:id="rId2"/>
    <sheet name="Women Ind." sheetId="2" r:id="rId3"/>
    <sheet name="Women Team" sheetId="4" r:id="rId4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0" i="3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P24" i="4"/>
  <c r="P22" i="4"/>
  <c r="P20" i="4"/>
  <c r="P18" i="4"/>
  <c r="P14" i="4"/>
  <c r="P10" i="4"/>
  <c r="P6" i="4"/>
  <c r="T8" i="3"/>
  <c r="V8" i="3"/>
  <c r="P36" i="3"/>
  <c r="P35" i="3"/>
  <c r="P34" i="3"/>
  <c r="P33" i="3"/>
  <c r="P30" i="3"/>
  <c r="P26" i="3"/>
  <c r="P22" i="3"/>
  <c r="P18" i="3"/>
  <c r="P14" i="3"/>
  <c r="P6" i="3"/>
  <c r="T2" i="3"/>
  <c r="V2" i="3"/>
  <c r="D3" i="2"/>
  <c r="F3" i="2"/>
  <c r="L3" i="2"/>
  <c r="M3" i="2"/>
  <c r="D4" i="2"/>
  <c r="F4" i="2"/>
  <c r="L4" i="2"/>
  <c r="M4" i="2"/>
  <c r="F6" i="2"/>
  <c r="H6" i="2"/>
  <c r="L6" i="2"/>
  <c r="M6" i="2"/>
  <c r="D5" i="2"/>
  <c r="H5" i="2"/>
  <c r="L5" i="2"/>
  <c r="M5" i="2"/>
  <c r="F7" i="2"/>
  <c r="H7" i="2"/>
  <c r="L7" i="2"/>
  <c r="M7" i="2"/>
  <c r="D9" i="2"/>
  <c r="F9" i="2"/>
  <c r="L9" i="2"/>
  <c r="M9" i="2"/>
  <c r="D8" i="2"/>
  <c r="H8" i="2"/>
  <c r="L8" i="2"/>
  <c r="M8" i="2"/>
  <c r="D10" i="2"/>
  <c r="H10" i="2"/>
  <c r="L10" i="2"/>
  <c r="M10" i="2"/>
  <c r="D11" i="2"/>
  <c r="H11" i="2"/>
  <c r="L11" i="2"/>
  <c r="M11" i="2"/>
  <c r="D12" i="2"/>
  <c r="H12" i="2"/>
  <c r="L12" i="2"/>
  <c r="M12" i="2"/>
  <c r="F13" i="2"/>
  <c r="H13" i="2"/>
  <c r="L13" i="2"/>
  <c r="M13" i="2"/>
  <c r="D14" i="2"/>
  <c r="H14" i="2"/>
  <c r="L14" i="2"/>
  <c r="M14" i="2"/>
  <c r="D15" i="2"/>
  <c r="H15" i="2"/>
  <c r="L15" i="2"/>
  <c r="M15" i="2"/>
  <c r="D16" i="2"/>
  <c r="H16" i="2"/>
  <c r="L16" i="2"/>
  <c r="M16" i="2"/>
  <c r="D17" i="2"/>
  <c r="H17" i="2"/>
  <c r="L17" i="2"/>
  <c r="M17" i="2"/>
  <c r="D18" i="2"/>
  <c r="H18" i="2"/>
  <c r="L18" i="2"/>
  <c r="M18" i="2"/>
  <c r="D19" i="2"/>
  <c r="H19" i="2"/>
  <c r="L19" i="2"/>
  <c r="M19" i="2"/>
  <c r="D20" i="2"/>
  <c r="L20" i="2"/>
  <c r="M20" i="2"/>
  <c r="H21" i="2"/>
  <c r="L21" i="2"/>
  <c r="M21" i="2"/>
  <c r="H22" i="2"/>
  <c r="L22" i="2"/>
  <c r="M22" i="2"/>
  <c r="F24" i="2"/>
  <c r="L24" i="2"/>
  <c r="M24" i="2"/>
  <c r="D25" i="2"/>
  <c r="L25" i="2"/>
  <c r="M25" i="2"/>
  <c r="H23" i="2"/>
  <c r="L23" i="2"/>
  <c r="M23" i="2"/>
  <c r="H26" i="2"/>
  <c r="L26" i="2"/>
  <c r="M26" i="2"/>
  <c r="D27" i="2"/>
  <c r="L27" i="2"/>
  <c r="M27" i="2"/>
  <c r="F28" i="2"/>
  <c r="L28" i="2"/>
  <c r="M28" i="2"/>
  <c r="H29" i="2"/>
  <c r="L29" i="2"/>
  <c r="M29" i="2"/>
  <c r="F30" i="2"/>
  <c r="L30" i="2"/>
  <c r="M30" i="2"/>
  <c r="D31" i="2"/>
  <c r="L31" i="2"/>
  <c r="M31" i="2"/>
  <c r="D33" i="2"/>
  <c r="L33" i="2"/>
  <c r="M33" i="2"/>
  <c r="H32" i="2"/>
  <c r="L32" i="2"/>
  <c r="M32" i="2"/>
  <c r="L34" i="2"/>
  <c r="M34" i="2"/>
  <c r="F35" i="2"/>
  <c r="L35" i="2"/>
  <c r="M35" i="2"/>
  <c r="D36" i="2"/>
  <c r="L36" i="2"/>
  <c r="M36" i="2"/>
  <c r="D37" i="2"/>
  <c r="L37" i="2"/>
  <c r="M37" i="2"/>
  <c r="F38" i="2"/>
  <c r="L38" i="2"/>
  <c r="M38" i="2"/>
  <c r="F39" i="2"/>
  <c r="L39" i="2"/>
  <c r="M39" i="2"/>
  <c r="D40" i="2"/>
  <c r="L40" i="2"/>
  <c r="M40" i="2"/>
  <c r="H41" i="2"/>
  <c r="L41" i="2"/>
  <c r="M41" i="2"/>
  <c r="D42" i="2"/>
  <c r="L42" i="2"/>
  <c r="M42" i="2"/>
  <c r="D44" i="2"/>
  <c r="L44" i="2"/>
  <c r="M44" i="2"/>
  <c r="F45" i="2"/>
  <c r="L45" i="2"/>
  <c r="M45" i="2"/>
  <c r="H43" i="2"/>
  <c r="L43" i="2"/>
  <c r="M43" i="2"/>
  <c r="H46" i="2"/>
  <c r="L46" i="2"/>
  <c r="M46" i="2"/>
  <c r="D47" i="2"/>
  <c r="L47" i="2"/>
  <c r="M47" i="2"/>
  <c r="D48" i="2"/>
  <c r="L48" i="2"/>
  <c r="M48" i="2"/>
  <c r="H49" i="2"/>
  <c r="L49" i="2"/>
  <c r="M49" i="2"/>
  <c r="D50" i="2"/>
  <c r="L50" i="2"/>
  <c r="M50" i="2"/>
  <c r="D52" i="2"/>
  <c r="L52" i="2"/>
  <c r="M52" i="2"/>
  <c r="H51" i="2"/>
  <c r="L51" i="2"/>
  <c r="M51" i="2"/>
  <c r="D53" i="2"/>
  <c r="L53" i="2"/>
  <c r="M53" i="2"/>
  <c r="H54" i="2"/>
  <c r="L54" i="2"/>
  <c r="M54" i="2"/>
  <c r="D56" i="2"/>
  <c r="L56" i="2"/>
  <c r="M56" i="2"/>
  <c r="H55" i="2"/>
  <c r="L55" i="2"/>
  <c r="M55" i="2"/>
  <c r="D58" i="2"/>
  <c r="L58" i="2"/>
  <c r="M58" i="2"/>
  <c r="H57" i="2"/>
  <c r="L57" i="2"/>
  <c r="M57" i="2"/>
  <c r="D59" i="2"/>
  <c r="L59" i="2"/>
  <c r="M59" i="2"/>
  <c r="H60" i="2"/>
  <c r="L60" i="2"/>
  <c r="M60" i="2"/>
  <c r="D61" i="2"/>
  <c r="L61" i="2"/>
  <c r="M61" i="2"/>
  <c r="D62" i="2"/>
  <c r="L62" i="2"/>
  <c r="M62" i="2"/>
  <c r="D64" i="2"/>
  <c r="L64" i="2"/>
  <c r="M64" i="2"/>
  <c r="H63" i="2"/>
  <c r="L63" i="2"/>
  <c r="M63" i="2"/>
  <c r="H65" i="2"/>
  <c r="L65" i="2"/>
  <c r="M65" i="2"/>
  <c r="D66" i="2"/>
  <c r="L66" i="2"/>
  <c r="M66" i="2"/>
  <c r="H67" i="2"/>
  <c r="L67" i="2"/>
  <c r="M67" i="2"/>
  <c r="D68" i="2"/>
  <c r="L68" i="2"/>
  <c r="M68" i="2"/>
  <c r="H69" i="2"/>
  <c r="L69" i="2"/>
  <c r="M69" i="2"/>
  <c r="D70" i="2"/>
  <c r="L70" i="2"/>
  <c r="M70" i="2"/>
  <c r="H71" i="2"/>
  <c r="L71" i="2"/>
  <c r="M71" i="2"/>
  <c r="D72" i="2"/>
  <c r="L72" i="2"/>
  <c r="M72" i="2"/>
  <c r="D73" i="2"/>
  <c r="L73" i="2"/>
  <c r="M73" i="2"/>
  <c r="D74" i="2"/>
  <c r="L74" i="2"/>
  <c r="M74" i="2"/>
  <c r="D75" i="2"/>
  <c r="L75" i="2"/>
  <c r="M75" i="2"/>
  <c r="D76" i="2"/>
  <c r="L76" i="2"/>
  <c r="M76" i="2"/>
  <c r="D77" i="2"/>
  <c r="L77" i="2"/>
  <c r="M77" i="2"/>
  <c r="D78" i="2"/>
  <c r="L78" i="2"/>
  <c r="M78" i="2"/>
  <c r="D79" i="2"/>
  <c r="L79" i="2"/>
  <c r="M79" i="2"/>
  <c r="D80" i="2"/>
  <c r="L80" i="2"/>
  <c r="M80" i="2"/>
  <c r="D81" i="2"/>
  <c r="L81" i="2"/>
  <c r="M81" i="2"/>
  <c r="D82" i="2"/>
  <c r="L82" i="2"/>
  <c r="M82" i="2"/>
  <c r="D83" i="2"/>
  <c r="L83" i="2"/>
  <c r="M83" i="2"/>
  <c r="D84" i="2"/>
  <c r="L84" i="2"/>
  <c r="M84" i="2"/>
  <c r="D85" i="2"/>
  <c r="L85" i="2"/>
  <c r="M85" i="2"/>
  <c r="D2" i="2"/>
  <c r="H2" i="2"/>
  <c r="L2" i="2"/>
  <c r="M2" i="2"/>
  <c r="L9" i="1"/>
  <c r="M9" i="1"/>
  <c r="F84" i="1"/>
  <c r="L84" i="1"/>
  <c r="M84" i="1"/>
  <c r="D2" i="1"/>
  <c r="L2" i="1"/>
  <c r="M2" i="1"/>
  <c r="L30" i="1"/>
  <c r="M30" i="1"/>
  <c r="D85" i="1"/>
  <c r="L85" i="1"/>
  <c r="M85" i="1"/>
  <c r="L63" i="1"/>
  <c r="M63" i="1"/>
  <c r="F21" i="1"/>
  <c r="L21" i="1"/>
  <c r="M21" i="1"/>
  <c r="F95" i="1"/>
  <c r="L95" i="1"/>
  <c r="M95" i="1"/>
  <c r="L54" i="1"/>
  <c r="M54" i="1"/>
  <c r="L42" i="1"/>
  <c r="M42" i="1"/>
  <c r="D70" i="1"/>
  <c r="F70" i="1"/>
  <c r="L70" i="1"/>
  <c r="M70" i="1"/>
  <c r="D35" i="1"/>
  <c r="L35" i="1"/>
  <c r="M35" i="1"/>
  <c r="D74" i="1"/>
  <c r="L74" i="1"/>
  <c r="M74" i="1"/>
  <c r="D108" i="1"/>
  <c r="L108" i="1"/>
  <c r="M108" i="1"/>
  <c r="D78" i="1"/>
  <c r="L78" i="1"/>
  <c r="M78" i="1"/>
  <c r="F14" i="1"/>
  <c r="L14" i="1"/>
  <c r="M14" i="1"/>
  <c r="L51" i="1"/>
  <c r="M51" i="1"/>
  <c r="L24" i="1"/>
  <c r="M24" i="1"/>
  <c r="F91" i="1"/>
  <c r="L91" i="1"/>
  <c r="M91" i="1"/>
  <c r="D45" i="1"/>
  <c r="L45" i="1"/>
  <c r="M45" i="1"/>
  <c r="D68" i="1"/>
  <c r="F68" i="1"/>
  <c r="L68" i="1"/>
  <c r="M68" i="1"/>
  <c r="D31" i="1"/>
  <c r="L31" i="1"/>
  <c r="M31" i="1"/>
  <c r="L62" i="1"/>
  <c r="M62" i="1"/>
  <c r="D125" i="1"/>
  <c r="L125" i="1"/>
  <c r="M125" i="1"/>
  <c r="F4" i="1"/>
  <c r="L4" i="1"/>
  <c r="M4" i="1"/>
  <c r="F26" i="1"/>
  <c r="L26" i="1"/>
  <c r="M26" i="1"/>
  <c r="L34" i="1"/>
  <c r="M34" i="1"/>
  <c r="F72" i="1"/>
  <c r="L72" i="1"/>
  <c r="M72" i="1"/>
  <c r="D113" i="1"/>
  <c r="L113" i="1"/>
  <c r="M113" i="1"/>
  <c r="D18" i="1"/>
  <c r="L18" i="1"/>
  <c r="M18" i="1"/>
  <c r="D66" i="1"/>
  <c r="F66" i="1"/>
  <c r="L66" i="1"/>
  <c r="M66" i="1"/>
  <c r="D76" i="1"/>
  <c r="L76" i="1"/>
  <c r="M76" i="1"/>
  <c r="D49" i="1"/>
  <c r="L49" i="1"/>
  <c r="M49" i="1"/>
  <c r="D67" i="1"/>
  <c r="F67" i="1"/>
  <c r="L67" i="1"/>
  <c r="M67" i="1"/>
  <c r="F101" i="1"/>
  <c r="L101" i="1"/>
  <c r="M101" i="1"/>
  <c r="L40" i="1"/>
  <c r="M40" i="1"/>
  <c r="F86" i="1"/>
  <c r="L86" i="1"/>
  <c r="M86" i="1"/>
  <c r="F99" i="1"/>
  <c r="L99" i="1"/>
  <c r="M99" i="1"/>
  <c r="D23" i="1"/>
  <c r="L23" i="1"/>
  <c r="M23" i="1"/>
  <c r="D126" i="1"/>
  <c r="L126" i="1"/>
  <c r="M126" i="1"/>
  <c r="D127" i="1"/>
  <c r="L127" i="1"/>
  <c r="M127" i="1"/>
  <c r="L38" i="1"/>
  <c r="M38" i="1"/>
  <c r="L43" i="1"/>
  <c r="M43" i="1"/>
  <c r="D25" i="1"/>
  <c r="L25" i="1"/>
  <c r="M25" i="1"/>
  <c r="L55" i="1"/>
  <c r="M55" i="1"/>
  <c r="D83" i="1"/>
  <c r="L83" i="1"/>
  <c r="M83" i="1"/>
  <c r="D100" i="1"/>
  <c r="L100" i="1"/>
  <c r="M100" i="1"/>
  <c r="L52" i="1"/>
  <c r="M52" i="1"/>
  <c r="F57" i="1"/>
  <c r="L57" i="1"/>
  <c r="M57" i="1"/>
  <c r="F3" i="1"/>
  <c r="L3" i="1"/>
  <c r="M3" i="1"/>
  <c r="F29" i="1"/>
  <c r="L29" i="1"/>
  <c r="M29" i="1"/>
  <c r="L27" i="1"/>
  <c r="M27" i="1"/>
  <c r="L8" i="1"/>
  <c r="M8" i="1"/>
  <c r="L41" i="1"/>
  <c r="M41" i="1"/>
  <c r="D10" i="1"/>
  <c r="L10" i="1"/>
  <c r="M10" i="1"/>
  <c r="F96" i="1"/>
  <c r="L96" i="1"/>
  <c r="M96" i="1"/>
  <c r="D47" i="1"/>
  <c r="L47" i="1"/>
  <c r="M47" i="1"/>
  <c r="D120" i="1"/>
  <c r="L120" i="1"/>
  <c r="M120" i="1"/>
  <c r="D117" i="1"/>
  <c r="L117" i="1"/>
  <c r="M117" i="1"/>
  <c r="D106" i="1"/>
  <c r="L106" i="1"/>
  <c r="M106" i="1"/>
  <c r="D97" i="1"/>
  <c r="L97" i="1"/>
  <c r="M97" i="1"/>
  <c r="F80" i="1"/>
  <c r="L80" i="1"/>
  <c r="M80" i="1"/>
  <c r="D87" i="1"/>
  <c r="L87" i="1"/>
  <c r="M87" i="1"/>
  <c r="D89" i="1"/>
  <c r="L89" i="1"/>
  <c r="M89" i="1"/>
  <c r="D93" i="1"/>
  <c r="L93" i="1"/>
  <c r="M93" i="1"/>
  <c r="D115" i="1"/>
  <c r="L115" i="1"/>
  <c r="M115" i="1"/>
  <c r="F6" i="1"/>
  <c r="L6" i="1"/>
  <c r="M6" i="1"/>
  <c r="L16" i="1"/>
  <c r="M16" i="1"/>
  <c r="L20" i="1"/>
  <c r="M20" i="1"/>
  <c r="D103" i="1"/>
  <c r="L103" i="1"/>
  <c r="M103" i="1"/>
  <c r="L19" i="1"/>
  <c r="M19" i="1"/>
  <c r="L48" i="1"/>
  <c r="M48" i="1"/>
  <c r="L61" i="1"/>
  <c r="M61" i="1"/>
  <c r="D122" i="1"/>
  <c r="L122" i="1"/>
  <c r="M122" i="1"/>
  <c r="F44" i="1"/>
  <c r="L44" i="1"/>
  <c r="M44" i="1"/>
  <c r="D64" i="1"/>
  <c r="F64" i="1"/>
  <c r="L64" i="1"/>
  <c r="M64" i="1"/>
  <c r="D81" i="1"/>
  <c r="L81" i="1"/>
  <c r="M81" i="1"/>
  <c r="D82" i="1"/>
  <c r="L82" i="1"/>
  <c r="M82" i="1"/>
  <c r="D28" i="1"/>
  <c r="L28" i="1"/>
  <c r="M28" i="1"/>
  <c r="D79" i="1"/>
  <c r="L79" i="1"/>
  <c r="M79" i="1"/>
  <c r="F58" i="1"/>
  <c r="L58" i="1"/>
  <c r="M58" i="1"/>
  <c r="D112" i="1"/>
  <c r="L112" i="1"/>
  <c r="M112" i="1"/>
  <c r="D130" i="1"/>
  <c r="L130" i="1"/>
  <c r="M130" i="1"/>
  <c r="D116" i="1"/>
  <c r="L116" i="1"/>
  <c r="M116" i="1"/>
  <c r="D32" i="1"/>
  <c r="L32" i="1"/>
  <c r="M32" i="1"/>
  <c r="D65" i="1"/>
  <c r="F65" i="1"/>
  <c r="L65" i="1"/>
  <c r="M65" i="1"/>
  <c r="L50" i="1"/>
  <c r="M50" i="1"/>
  <c r="F104" i="1"/>
  <c r="L104" i="1"/>
  <c r="M104" i="1"/>
  <c r="D71" i="1"/>
  <c r="F71" i="1"/>
  <c r="L71" i="1"/>
  <c r="M71" i="1"/>
  <c r="D73" i="1"/>
  <c r="L73" i="1"/>
  <c r="M73" i="1"/>
  <c r="D69" i="1"/>
  <c r="F69" i="1"/>
  <c r="L69" i="1"/>
  <c r="M69" i="1"/>
  <c r="L39" i="1"/>
  <c r="M39" i="1"/>
  <c r="D109" i="1"/>
  <c r="L109" i="1"/>
  <c r="M109" i="1"/>
  <c r="L17" i="1"/>
  <c r="M17" i="1"/>
  <c r="D98" i="1"/>
  <c r="L98" i="1"/>
  <c r="M98" i="1"/>
  <c r="D110" i="1"/>
  <c r="L110" i="1"/>
  <c r="M110" i="1"/>
  <c r="D5" i="1"/>
  <c r="L5" i="1"/>
  <c r="M5" i="1"/>
  <c r="D119" i="1"/>
  <c r="L119" i="1"/>
  <c r="M119" i="1"/>
  <c r="L36" i="1"/>
  <c r="M36" i="1"/>
  <c r="F94" i="1"/>
  <c r="L94" i="1"/>
  <c r="M94" i="1"/>
  <c r="D92" i="1"/>
  <c r="L92" i="1"/>
  <c r="M92" i="1"/>
  <c r="F75" i="1"/>
  <c r="L75" i="1"/>
  <c r="M75" i="1"/>
  <c r="D15" i="1"/>
  <c r="L15" i="1"/>
  <c r="M15" i="1"/>
  <c r="D124" i="1"/>
  <c r="L124" i="1"/>
  <c r="M124" i="1"/>
  <c r="F88" i="1"/>
  <c r="L88" i="1"/>
  <c r="M88" i="1"/>
  <c r="L53" i="1"/>
  <c r="M53" i="1"/>
  <c r="D131" i="1"/>
  <c r="L131" i="1"/>
  <c r="M131" i="1"/>
  <c r="L22" i="1"/>
  <c r="M22" i="1"/>
  <c r="F11" i="1"/>
  <c r="L11" i="1"/>
  <c r="M11" i="1"/>
  <c r="D77" i="1"/>
  <c r="F77" i="1"/>
  <c r="L77" i="1"/>
  <c r="M77" i="1"/>
  <c r="D37" i="1"/>
  <c r="L37" i="1"/>
  <c r="M37" i="1"/>
  <c r="D118" i="1"/>
  <c r="L118" i="1"/>
  <c r="M118" i="1"/>
  <c r="D102" i="1"/>
  <c r="L102" i="1"/>
  <c r="M102" i="1"/>
  <c r="D114" i="1"/>
  <c r="L114" i="1"/>
  <c r="M114" i="1"/>
  <c r="D46" i="1"/>
  <c r="L46" i="1"/>
  <c r="M46" i="1"/>
  <c r="L59" i="1"/>
  <c r="M59" i="1"/>
  <c r="F13" i="1"/>
  <c r="L13" i="1"/>
  <c r="M13" i="1"/>
  <c r="L56" i="1"/>
  <c r="M56" i="1"/>
  <c r="D121" i="1"/>
  <c r="L121" i="1"/>
  <c r="M121" i="1"/>
  <c r="L60" i="1"/>
  <c r="M60" i="1"/>
  <c r="D107" i="1"/>
  <c r="L107" i="1"/>
  <c r="M107" i="1"/>
  <c r="D128" i="1"/>
  <c r="L128" i="1"/>
  <c r="M128" i="1"/>
  <c r="D105" i="1"/>
  <c r="L105" i="1"/>
  <c r="M105" i="1"/>
  <c r="D111" i="1"/>
  <c r="L111" i="1"/>
  <c r="M111" i="1"/>
  <c r="D123" i="1"/>
  <c r="L123" i="1"/>
  <c r="M123" i="1"/>
  <c r="D12" i="1"/>
  <c r="L12" i="1"/>
  <c r="M12" i="1"/>
  <c r="F7" i="1"/>
  <c r="L7" i="1"/>
  <c r="M7" i="1"/>
  <c r="D90" i="1"/>
  <c r="L90" i="1"/>
  <c r="M90" i="1"/>
  <c r="D129" i="1"/>
  <c r="L129" i="1"/>
  <c r="M129" i="1"/>
  <c r="L33" i="1"/>
  <c r="M33" i="1"/>
  <c r="T14" i="4"/>
  <c r="T12" i="4"/>
  <c r="T13" i="4"/>
  <c r="T11" i="4"/>
  <c r="T10" i="4"/>
  <c r="T7" i="4"/>
  <c r="V7" i="4"/>
  <c r="V3" i="4"/>
  <c r="V8" i="4"/>
  <c r="V9" i="4"/>
  <c r="V5" i="4"/>
  <c r="V4" i="4"/>
  <c r="V10" i="4"/>
  <c r="V11" i="4"/>
  <c r="V13" i="4"/>
  <c r="V12" i="4"/>
  <c r="V6" i="4"/>
  <c r="V14" i="4"/>
  <c r="V15" i="4"/>
  <c r="T2" i="4"/>
  <c r="V2" i="4"/>
  <c r="J15" i="4"/>
  <c r="J6" i="4"/>
  <c r="J9" i="4"/>
  <c r="J12" i="4"/>
  <c r="V3" i="3"/>
  <c r="V4" i="3"/>
  <c r="V5" i="3"/>
  <c r="V6" i="3"/>
  <c r="V7" i="3"/>
  <c r="V9" i="3"/>
  <c r="T11" i="3"/>
  <c r="V11" i="3"/>
  <c r="T13" i="3"/>
  <c r="V13" i="3"/>
  <c r="V12" i="3"/>
  <c r="T14" i="3"/>
  <c r="V14" i="3"/>
  <c r="V10" i="3"/>
  <c r="T15" i="3"/>
  <c r="V15" i="3"/>
  <c r="V16" i="3"/>
  <c r="V17" i="3"/>
  <c r="J26" i="3"/>
  <c r="J25" i="3"/>
  <c r="J22" i="3"/>
  <c r="J18" i="3"/>
  <c r="J14" i="3"/>
  <c r="J10" i="3"/>
  <c r="J6" i="3"/>
  <c r="L89" i="2"/>
  <c r="L86" i="2"/>
  <c r="L90" i="2"/>
  <c r="L87" i="2"/>
  <c r="L88" i="2"/>
  <c r="L134" i="1"/>
  <c r="L136" i="1"/>
  <c r="L132" i="1"/>
  <c r="L135" i="1"/>
  <c r="L133" i="1"/>
  <c r="D3" i="1"/>
  <c r="D38" i="3"/>
  <c r="D18" i="3"/>
  <c r="D38" i="4"/>
  <c r="D37" i="4"/>
  <c r="D36" i="4"/>
  <c r="D33" i="4"/>
  <c r="D30" i="4"/>
  <c r="D26" i="4"/>
  <c r="D22" i="4"/>
  <c r="D18" i="4"/>
  <c r="D14" i="4"/>
  <c r="D10" i="4"/>
  <c r="D6" i="4"/>
  <c r="D47" i="3"/>
  <c r="D44" i="3"/>
  <c r="D46" i="3"/>
  <c r="D41" i="3"/>
  <c r="D34" i="3"/>
  <c r="D30" i="3"/>
  <c r="D26" i="3"/>
  <c r="D22" i="3"/>
  <c r="D14" i="3"/>
  <c r="D10" i="3"/>
  <c r="D6" i="3"/>
</calcChain>
</file>

<file path=xl/sharedStrings.xml><?xml version="1.0" encoding="utf-8"?>
<sst xmlns="http://schemas.openxmlformats.org/spreadsheetml/2006/main" count="1006" uniqueCount="440">
  <si>
    <t>School</t>
  </si>
  <si>
    <t>Patriot's</t>
  </si>
  <si>
    <t>C2</t>
  </si>
  <si>
    <t>Wilmington</t>
  </si>
  <si>
    <t>Bugeye</t>
  </si>
  <si>
    <t>Rev3</t>
  </si>
  <si>
    <t>Quinn</t>
  </si>
  <si>
    <t>Giroux</t>
  </si>
  <si>
    <t>Will</t>
  </si>
  <si>
    <t>Bowman</t>
  </si>
  <si>
    <t>Christopher</t>
  </si>
  <si>
    <t>Brown</t>
  </si>
  <si>
    <t>Melissa</t>
  </si>
  <si>
    <t>Maloof</t>
  </si>
  <si>
    <t>Anna</t>
  </si>
  <si>
    <t>Gainey</t>
  </si>
  <si>
    <t>Haberman</t>
  </si>
  <si>
    <t>Eliza</t>
  </si>
  <si>
    <t>Henderson</t>
  </si>
  <si>
    <t>Barry</t>
  </si>
  <si>
    <t>McCarron</t>
  </si>
  <si>
    <t>Chrissy</t>
  </si>
  <si>
    <t>Esposito</t>
  </si>
  <si>
    <t>Benjamin</t>
  </si>
  <si>
    <t>Rachunok</t>
  </si>
  <si>
    <t>Peter</t>
  </si>
  <si>
    <t>Fredrickson</t>
  </si>
  <si>
    <t>Monika</t>
  </si>
  <si>
    <t>Schoenberg</t>
  </si>
  <si>
    <t>Pincus</t>
  </si>
  <si>
    <t>Abigail</t>
  </si>
  <si>
    <t>Smith</t>
  </si>
  <si>
    <t>Megan</t>
  </si>
  <si>
    <t>Baner</t>
  </si>
  <si>
    <t>Kathryn</t>
  </si>
  <si>
    <t>Leach</t>
  </si>
  <si>
    <t>Elliott</t>
  </si>
  <si>
    <t>Collins</t>
  </si>
  <si>
    <t>August</t>
  </si>
  <si>
    <t>Kahsar</t>
  </si>
  <si>
    <t>Alex</t>
  </si>
  <si>
    <t>Villec</t>
  </si>
  <si>
    <t>Scott</t>
  </si>
  <si>
    <t>Booker</t>
  </si>
  <si>
    <t>Aimee</t>
  </si>
  <si>
    <t>Moores</t>
  </si>
  <si>
    <t>Kory</t>
  </si>
  <si>
    <t>Gray</t>
  </si>
  <si>
    <t>Virginia Tech</t>
  </si>
  <si>
    <t>University of Virginia</t>
  </si>
  <si>
    <t>Old Dominion University</t>
  </si>
  <si>
    <t>James Madison University</t>
  </si>
  <si>
    <t>NC State University</t>
  </si>
  <si>
    <t>Georgetown University</t>
  </si>
  <si>
    <t>George Washington University</t>
  </si>
  <si>
    <t>First Name</t>
  </si>
  <si>
    <t>Last Name</t>
  </si>
  <si>
    <t>Frederick</t>
  </si>
  <si>
    <t>Fischl</t>
  </si>
  <si>
    <t>Ian</t>
  </si>
  <si>
    <t>Rappaport</t>
  </si>
  <si>
    <t>Darby</t>
  </si>
  <si>
    <t>Charles</t>
  </si>
  <si>
    <t>Julie Anne</t>
  </si>
  <si>
    <t>Stern</t>
  </si>
  <si>
    <t>Total</t>
  </si>
  <si>
    <t>Patriots</t>
  </si>
  <si>
    <t>Navy</t>
  </si>
  <si>
    <t>NC State</t>
  </si>
  <si>
    <t>Duke</t>
  </si>
  <si>
    <t>Georgetown</t>
  </si>
  <si>
    <t>James Madison</t>
  </si>
  <si>
    <t>Maryland</t>
  </si>
  <si>
    <t>Liberty</t>
  </si>
  <si>
    <t>George Mason</t>
  </si>
  <si>
    <t>William and Mary</t>
  </si>
  <si>
    <t>VCU</t>
  </si>
  <si>
    <t>Rory</t>
  </si>
  <si>
    <t>Burke</t>
  </si>
  <si>
    <t>Michael</t>
  </si>
  <si>
    <t>Lindler</t>
  </si>
  <si>
    <t>Chris</t>
  </si>
  <si>
    <t>Fundanish</t>
  </si>
  <si>
    <t>Marshall</t>
  </si>
  <si>
    <t>Gifford</t>
  </si>
  <si>
    <t>Mary Evan</t>
  </si>
  <si>
    <t>Goodrich</t>
  </si>
  <si>
    <t>David</t>
  </si>
  <si>
    <t>Via</t>
  </si>
  <si>
    <t>Karley</t>
  </si>
  <si>
    <t>Kendrick</t>
  </si>
  <si>
    <t>Jessica</t>
  </si>
  <si>
    <t>Wingo</t>
  </si>
  <si>
    <t>Logan</t>
  </si>
  <si>
    <t>Cerwin</t>
  </si>
  <si>
    <t>Jake</t>
  </si>
  <si>
    <t>Jedlicka</t>
  </si>
  <si>
    <t>UNC - Chapel Hill</t>
  </si>
  <si>
    <t>Paul</t>
  </si>
  <si>
    <t>Gannett</t>
  </si>
  <si>
    <t>Charlie</t>
  </si>
  <si>
    <t>Lambrecht</t>
  </si>
  <si>
    <t>Lindsey</t>
  </si>
  <si>
    <t>Fulton</t>
  </si>
  <si>
    <t xml:space="preserve">Chris </t>
  </si>
  <si>
    <t>Horne</t>
  </si>
  <si>
    <t>Stubbs</t>
  </si>
  <si>
    <t>Mary Claire</t>
  </si>
  <si>
    <t>Lachiewicz</t>
  </si>
  <si>
    <t xml:space="preserve">Bryan </t>
  </si>
  <si>
    <t>Dietz</t>
  </si>
  <si>
    <t>Kimberly</t>
  </si>
  <si>
    <t>Spence</t>
  </si>
  <si>
    <t>Fundy</t>
  </si>
  <si>
    <t>Connor</t>
  </si>
  <si>
    <t>Campbell</t>
  </si>
  <si>
    <t>Katie</t>
  </si>
  <si>
    <t>Glanton</t>
  </si>
  <si>
    <t>Madeleine</t>
  </si>
  <si>
    <t>Gaffaney</t>
  </si>
  <si>
    <t>Matt</t>
  </si>
  <si>
    <t>Jewell</t>
  </si>
  <si>
    <t>Colin</t>
  </si>
  <si>
    <t>Squier</t>
  </si>
  <si>
    <t>Richard</t>
  </si>
  <si>
    <t>Kirchgessner</t>
  </si>
  <si>
    <t xml:space="preserve">Danny </t>
  </si>
  <si>
    <t>Ford</t>
  </si>
  <si>
    <t>Courtney</t>
  </si>
  <si>
    <t>Melia</t>
  </si>
  <si>
    <t>Erin</t>
  </si>
  <si>
    <t>Horil</t>
  </si>
  <si>
    <t>Samantha</t>
  </si>
  <si>
    <t>Shaffer</t>
  </si>
  <si>
    <t>Gabrielle</t>
  </si>
  <si>
    <t>Esparraguera</t>
  </si>
  <si>
    <t>Meghan</t>
  </si>
  <si>
    <t>Pietraccini</t>
  </si>
  <si>
    <t>Joseph</t>
  </si>
  <si>
    <t>Anderson</t>
  </si>
  <si>
    <t>Liberty University</t>
  </si>
  <si>
    <t>MacFarlane</t>
  </si>
  <si>
    <t>United States Naval Academy</t>
  </si>
  <si>
    <t>Clayton</t>
  </si>
  <si>
    <t>Petty</t>
  </si>
  <si>
    <t>Brahm</t>
  </si>
  <si>
    <t xml:space="preserve">Tim </t>
  </si>
  <si>
    <t>Hendricks</t>
  </si>
  <si>
    <t xml:space="preserve">Edith </t>
  </si>
  <si>
    <t>Nault</t>
  </si>
  <si>
    <t>Grayson</t>
  </si>
  <si>
    <t>Cobb</t>
  </si>
  <si>
    <t>Catherine</t>
  </si>
  <si>
    <t>O'Donnell</t>
  </si>
  <si>
    <t>Kevin</t>
  </si>
  <si>
    <t>Levi-Goerlich</t>
  </si>
  <si>
    <t>University of Maryland</t>
  </si>
  <si>
    <t xml:space="preserve">Jonathan </t>
  </si>
  <si>
    <t>Echevers</t>
  </si>
  <si>
    <t>Ismail</t>
  </si>
  <si>
    <t>Inlek</t>
  </si>
  <si>
    <t>Itziar</t>
  </si>
  <si>
    <t xml:space="preserve">Belausteguigoitia </t>
  </si>
  <si>
    <t>Frey</t>
  </si>
  <si>
    <t>Genevieve</t>
  </si>
  <si>
    <t>Brock</t>
  </si>
  <si>
    <t>King</t>
  </si>
  <si>
    <t>Zach</t>
  </si>
  <si>
    <t>Mix</t>
  </si>
  <si>
    <t>Patriot's #</t>
  </si>
  <si>
    <t>Jacob</t>
  </si>
  <si>
    <t>Dodge</t>
  </si>
  <si>
    <t>Kirk</t>
  </si>
  <si>
    <t>Malcolm</t>
  </si>
  <si>
    <t>Brett</t>
  </si>
  <si>
    <t>Enlow</t>
  </si>
  <si>
    <t>John</t>
  </si>
  <si>
    <t>Mackovjak</t>
  </si>
  <si>
    <t>Williams</t>
  </si>
  <si>
    <t xml:space="preserve">James </t>
  </si>
  <si>
    <t>Baldwin</t>
  </si>
  <si>
    <t>Gregory</t>
  </si>
  <si>
    <t>Pfister</t>
  </si>
  <si>
    <t>Cecala</t>
  </si>
  <si>
    <t>Dane</t>
  </si>
  <si>
    <t>Brandon</t>
  </si>
  <si>
    <t>Winters</t>
  </si>
  <si>
    <t>Evan</t>
  </si>
  <si>
    <t>Reynolds</t>
  </si>
  <si>
    <t>Miller</t>
  </si>
  <si>
    <t>Taylor</t>
  </si>
  <si>
    <t>Nick</t>
  </si>
  <si>
    <t>Poremski</t>
  </si>
  <si>
    <t>Ivan</t>
  </si>
  <si>
    <t>Garcia</t>
  </si>
  <si>
    <t>Ken</t>
  </si>
  <si>
    <t>Jensen</t>
  </si>
  <si>
    <t>Darren</t>
  </si>
  <si>
    <t>Thomas</t>
  </si>
  <si>
    <t>Bransford</t>
  </si>
  <si>
    <t>William</t>
  </si>
  <si>
    <t>Plews-Ogan</t>
  </si>
  <si>
    <t>Andrew</t>
  </si>
  <si>
    <t>Eli</t>
  </si>
  <si>
    <t>Powell</t>
  </si>
  <si>
    <t>Stephen</t>
  </si>
  <si>
    <t>Magee</t>
  </si>
  <si>
    <t>Samuel</t>
  </si>
  <si>
    <t>Viola</t>
  </si>
  <si>
    <t>McBride</t>
  </si>
  <si>
    <t>Deneen</t>
  </si>
  <si>
    <t>Darin</t>
  </si>
  <si>
    <t>Stiefvater</t>
  </si>
  <si>
    <t>Josiah</t>
  </si>
  <si>
    <t>Slaydon</t>
  </si>
  <si>
    <t>Patrick</t>
  </si>
  <si>
    <t>Koons</t>
  </si>
  <si>
    <t>Brian</t>
  </si>
  <si>
    <t>Meyers</t>
  </si>
  <si>
    <t>George Mason University</t>
  </si>
  <si>
    <t>Steven</t>
  </si>
  <si>
    <t>Sloan</t>
  </si>
  <si>
    <t>Radcliffe</t>
  </si>
  <si>
    <t>Cameron</t>
  </si>
  <si>
    <t>Teaster</t>
  </si>
  <si>
    <t>Lockett</t>
  </si>
  <si>
    <t>Trevor</t>
  </si>
  <si>
    <t>Ellingson</t>
  </si>
  <si>
    <t>Vogel</t>
  </si>
  <si>
    <t>Bradley</t>
  </si>
  <si>
    <t>Rhyins</t>
  </si>
  <si>
    <t>Clark</t>
  </si>
  <si>
    <t>Daniel</t>
  </si>
  <si>
    <t>Wright</t>
  </si>
  <si>
    <t>Aaron</t>
  </si>
  <si>
    <t>McCray</t>
  </si>
  <si>
    <t>Wren</t>
  </si>
  <si>
    <t>Rudolph</t>
  </si>
  <si>
    <t>Sima</t>
  </si>
  <si>
    <t>Elizabeth</t>
  </si>
  <si>
    <t>Milewski</t>
  </si>
  <si>
    <t>Daphne</t>
  </si>
  <si>
    <t>Lane</t>
  </si>
  <si>
    <t>Ruchte</t>
  </si>
  <si>
    <t>Rebecca</t>
  </si>
  <si>
    <t>Babski</t>
  </si>
  <si>
    <t>Victoria</t>
  </si>
  <si>
    <t>Cook</t>
  </si>
  <si>
    <t>McKenna</t>
  </si>
  <si>
    <t>Cammie</t>
  </si>
  <si>
    <t>Genda</t>
  </si>
  <si>
    <t>Mullaly</t>
  </si>
  <si>
    <t>Kayla</t>
  </si>
  <si>
    <t>Coleman</t>
  </si>
  <si>
    <t>Caroline</t>
  </si>
  <si>
    <t>Stout</t>
  </si>
  <si>
    <t>Alyssa</t>
  </si>
  <si>
    <t>Kasher</t>
  </si>
  <si>
    <t>Jeannette</t>
  </si>
  <si>
    <t>Larsen</t>
  </si>
  <si>
    <t>Kelly</t>
  </si>
  <si>
    <t>Summers</t>
  </si>
  <si>
    <t>Caitlin</t>
  </si>
  <si>
    <t>Henry</t>
  </si>
  <si>
    <t>Zoe</t>
  </si>
  <si>
    <t>Dobrzanski</t>
  </si>
  <si>
    <t>Hannah</t>
  </si>
  <si>
    <t>Baldino</t>
  </si>
  <si>
    <t>Leanne</t>
  </si>
  <si>
    <t>Reidenbach</t>
  </si>
  <si>
    <t>Kiley</t>
  </si>
  <si>
    <t>Petencin</t>
  </si>
  <si>
    <t>Moore</t>
  </si>
  <si>
    <t xml:space="preserve">Lauren </t>
  </si>
  <si>
    <t>Van Vilet</t>
  </si>
  <si>
    <t>Molly</t>
  </si>
  <si>
    <t>Warrick</t>
  </si>
  <si>
    <t>Lindsay</t>
  </si>
  <si>
    <t>Beckner</t>
  </si>
  <si>
    <t>Allison</t>
  </si>
  <si>
    <t>Beck</t>
  </si>
  <si>
    <t>Katlin</t>
  </si>
  <si>
    <t>Magera</t>
  </si>
  <si>
    <t>Marcie</t>
  </si>
  <si>
    <t>Claire</t>
  </si>
  <si>
    <t>Lester</t>
  </si>
  <si>
    <t>Sarah</t>
  </si>
  <si>
    <t xml:space="preserve">Amanda </t>
  </si>
  <si>
    <t>Jones</t>
  </si>
  <si>
    <t>Lauren</t>
  </si>
  <si>
    <t>Savannah</t>
  </si>
  <si>
    <t>Butler</t>
  </si>
  <si>
    <t xml:space="preserve">UNC - Chapel Hill </t>
  </si>
  <si>
    <t>Bev</t>
  </si>
  <si>
    <t>Dobrenz</t>
  </si>
  <si>
    <t>Heydinger</t>
  </si>
  <si>
    <t>Team</t>
  </si>
  <si>
    <t>Athletes</t>
  </si>
  <si>
    <t>Ind. Score</t>
  </si>
  <si>
    <t>Levi-Goerich</t>
  </si>
  <si>
    <t>Jelicka</t>
  </si>
  <si>
    <t>Virginia</t>
  </si>
  <si>
    <t>Old Dominion</t>
  </si>
  <si>
    <t>UNC Chapel Hill</t>
  </si>
  <si>
    <t>Team Score</t>
  </si>
  <si>
    <t>Dobraznki</t>
  </si>
  <si>
    <t>C2 #</t>
  </si>
  <si>
    <t>Gil</t>
  </si>
  <si>
    <t>Cukierman</t>
  </si>
  <si>
    <t>Rees</t>
  </si>
  <si>
    <t>George</t>
  </si>
  <si>
    <t>Kuehnert</t>
  </si>
  <si>
    <t>Kyle</t>
  </si>
  <si>
    <t>Wilson</t>
  </si>
  <si>
    <t>UNC - Charlotte</t>
  </si>
  <si>
    <t>Sickenberger</t>
  </si>
  <si>
    <t>Jordan</t>
  </si>
  <si>
    <t>Ethan</t>
  </si>
  <si>
    <t>Baruch</t>
  </si>
  <si>
    <t>Harrison</t>
  </si>
  <si>
    <t>UNC - Wilmington</t>
  </si>
  <si>
    <t>Allen</t>
  </si>
  <si>
    <t>Ross</t>
  </si>
  <si>
    <t>Taggart</t>
  </si>
  <si>
    <t>Greg</t>
  </si>
  <si>
    <t>Evans</t>
  </si>
  <si>
    <t>Zachary</t>
  </si>
  <si>
    <t>Rivenbark</t>
  </si>
  <si>
    <t>Dylan</t>
  </si>
  <si>
    <t>Glatt-Dowd</t>
  </si>
  <si>
    <t>Pearlman</t>
  </si>
  <si>
    <t>Cahill</t>
  </si>
  <si>
    <t>Garrett</t>
  </si>
  <si>
    <t>Rapp</t>
  </si>
  <si>
    <t>Beaulieu</t>
  </si>
  <si>
    <t>Herritt</t>
  </si>
  <si>
    <t>Lucas</t>
  </si>
  <si>
    <t>Leo</t>
  </si>
  <si>
    <t>Feldman</t>
  </si>
  <si>
    <t>Matthews</t>
  </si>
  <si>
    <t>Sam</t>
  </si>
  <si>
    <t>Ermani</t>
  </si>
  <si>
    <t>Pawlowski</t>
  </si>
  <si>
    <t>Score/Race</t>
  </si>
  <si>
    <t>C2#</t>
  </si>
  <si>
    <t>Emily</t>
  </si>
  <si>
    <t>Bolthouse</t>
  </si>
  <si>
    <t>Nicki</t>
  </si>
  <si>
    <t>Zenlenski</t>
  </si>
  <si>
    <t>Karen</t>
  </si>
  <si>
    <t>Mandrachia</t>
  </si>
  <si>
    <t>Audrey</t>
  </si>
  <si>
    <t>Osinski</t>
  </si>
  <si>
    <t>Rachel</t>
  </si>
  <si>
    <t>Durkan</t>
  </si>
  <si>
    <t>Meagan</t>
  </si>
  <si>
    <t>Green</t>
  </si>
  <si>
    <t>Morgan</t>
  </si>
  <si>
    <t>Chocklott</t>
  </si>
  <si>
    <t>Pamela</t>
  </si>
  <si>
    <t>Creech</t>
  </si>
  <si>
    <t>Parker</t>
  </si>
  <si>
    <t>Athlete</t>
  </si>
  <si>
    <t>Team Omnium</t>
  </si>
  <si>
    <t xml:space="preserve">Total </t>
  </si>
  <si>
    <t># of Races</t>
  </si>
  <si>
    <t>Anne</t>
  </si>
  <si>
    <t>Pursifull</t>
  </si>
  <si>
    <t>Emerson</t>
  </si>
  <si>
    <t>Falzon</t>
  </si>
  <si>
    <t>Julianna</t>
  </si>
  <si>
    <t>Edquist</t>
  </si>
  <si>
    <t>Jen</t>
  </si>
  <si>
    <t>Kopenitz</t>
  </si>
  <si>
    <t>Colleen</t>
  </si>
  <si>
    <t>McCarthy</t>
  </si>
  <si>
    <t>Janet</t>
  </si>
  <si>
    <t>Colon</t>
  </si>
  <si>
    <t>Fritch</t>
  </si>
  <si>
    <t>Mark</t>
  </si>
  <si>
    <t>Pietryka</t>
  </si>
  <si>
    <t xml:space="preserve">Michael </t>
  </si>
  <si>
    <t>Habersetzer</t>
  </si>
  <si>
    <t>Lingard</t>
  </si>
  <si>
    <t>Nathaniel</t>
  </si>
  <si>
    <t>Fryer</t>
  </si>
  <si>
    <t>Ryan</t>
  </si>
  <si>
    <t>Bumgardner</t>
  </si>
  <si>
    <t>Adams</t>
  </si>
  <si>
    <t>Szerszen</t>
  </si>
  <si>
    <t>Mollie</t>
  </si>
  <si>
    <t>Brewer</t>
  </si>
  <si>
    <t>Polenz</t>
  </si>
  <si>
    <t>Tyler</t>
  </si>
  <si>
    <t>Billman</t>
  </si>
  <si>
    <t>Ashton</t>
  </si>
  <si>
    <t>Eric</t>
  </si>
  <si>
    <t>Golke</t>
  </si>
  <si>
    <t>Blake</t>
  </si>
  <si>
    <t>Theriot</t>
  </si>
  <si>
    <t>Sean</t>
  </si>
  <si>
    <t>Crawford</t>
  </si>
  <si>
    <t>Andy</t>
  </si>
  <si>
    <t>Ball</t>
  </si>
  <si>
    <t xml:space="preserve">William </t>
  </si>
  <si>
    <t>Chong</t>
  </si>
  <si>
    <t>Allie</t>
  </si>
  <si>
    <t>Middleton</t>
  </si>
  <si>
    <t>Hanna</t>
  </si>
  <si>
    <t>Wiegers</t>
  </si>
  <si>
    <t>Satcher</t>
  </si>
  <si>
    <t>Blower</t>
  </si>
  <si>
    <t>Edward</t>
  </si>
  <si>
    <t>Nguyen</t>
  </si>
  <si>
    <t>Raiti</t>
  </si>
  <si>
    <t>Julian</t>
  </si>
  <si>
    <t>Gaitan</t>
  </si>
  <si>
    <t>Alexandridis</t>
  </si>
  <si>
    <t>Walsh</t>
  </si>
  <si>
    <t>McSweeney</t>
  </si>
  <si>
    <t>Wilmington #</t>
  </si>
  <si>
    <t>Leonard</t>
  </si>
  <si>
    <t>Sal</t>
  </si>
  <si>
    <t>Serpe</t>
  </si>
  <si>
    <t>Eudy</t>
  </si>
  <si>
    <t>Jeremiah</t>
  </si>
  <si>
    <t>Rowley</t>
  </si>
  <si>
    <t>Graham</t>
  </si>
  <si>
    <t>Tate</t>
  </si>
  <si>
    <t>Devlin</t>
  </si>
  <si>
    <t>Paige</t>
  </si>
  <si>
    <t>Barham</t>
  </si>
  <si>
    <t>Heather</t>
  </si>
  <si>
    <t>Warner</t>
  </si>
  <si>
    <t>Ellen</t>
  </si>
  <si>
    <t>Peters</t>
  </si>
  <si>
    <t>Morris</t>
  </si>
  <si>
    <t>Mia</t>
  </si>
  <si>
    <t>Lockte</t>
  </si>
  <si>
    <t>George 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</si>
</sst>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FF00"/>
      <name val="Calibri"/>
      <scheme val="minor"/>
    </font>
    <font>
      <sz val="12"/>
      <name val="Calibri"/>
      <scheme val="minor"/>
    </font>
    <font>
      <sz val="12"/>
      <color rgb="FF22222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Font="1"/>
    <xf numFmtId="0" fontId="4" fillId="0" borderId="0" xfId="0" applyFont="1" applyFill="1"/>
    <xf numFmtId="0" fontId="0" fillId="0" borderId="0" xfId="0" applyFont="1"/>
    <xf numFmtId="0" fontId="5" fillId="0" borderId="0" xfId="0" applyFont="1" applyFill="1"/>
    <xf numFmtId="0" fontId="0" fillId="0" borderId="0" xfId="0" applyFill="1"/>
    <xf numFmtId="0" fontId="6" fillId="0" borderId="0" xfId="0" applyFont="1"/>
  </cellXfs>
  <cellStyles count="4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"/>
  <sheetViews>
    <sheetView workbookViewId="0">
      <selection activeCell="H17" sqref="H17"/>
    </sheetView>
  </sheetViews>
  <sheetFormatPr baseColWidth="10" defaultRowHeight="15" x14ac:dyDescent="0"/>
  <cols>
    <col min="1" max="1" width="10.83203125" bestFit="1" customWidth="1"/>
    <col min="2" max="2" width="15.6640625" customWidth="1"/>
    <col min="3" max="3" width="26.1640625" customWidth="1"/>
    <col min="5" max="5" width="0" hidden="1" customWidth="1"/>
    <col min="7" max="7" width="0" hidden="1" customWidth="1"/>
    <col min="8" max="8" width="11" customWidth="1"/>
    <col min="9" max="9" width="12.5" hidden="1" customWidth="1"/>
    <col min="16" max="16" width="13.6640625" bestFit="1" customWidth="1"/>
    <col min="19" max="20" width="13.6640625" bestFit="1" customWidth="1"/>
  </cols>
  <sheetData>
    <row r="1" spans="1:20" s="2" customFormat="1">
      <c r="A1" s="2" t="s">
        <v>55</v>
      </c>
      <c r="B1" s="2" t="s">
        <v>56</v>
      </c>
      <c r="C1" s="2" t="s">
        <v>0</v>
      </c>
      <c r="D1" s="2" t="s">
        <v>1</v>
      </c>
      <c r="E1" s="2" t="s">
        <v>169</v>
      </c>
      <c r="F1" s="2" t="s">
        <v>2</v>
      </c>
      <c r="G1" s="2" t="s">
        <v>306</v>
      </c>
      <c r="H1" s="2" t="s">
        <v>3</v>
      </c>
      <c r="I1" s="2" t="s">
        <v>420</v>
      </c>
      <c r="J1" s="2" t="s">
        <v>4</v>
      </c>
      <c r="K1" s="2" t="s">
        <v>5</v>
      </c>
      <c r="L1" s="2" t="s">
        <v>65</v>
      </c>
      <c r="M1" s="2" t="s">
        <v>343</v>
      </c>
      <c r="N1" s="2" t="s">
        <v>365</v>
      </c>
    </row>
    <row r="2" spans="1:20">
      <c r="A2" t="s">
        <v>138</v>
      </c>
      <c r="B2" t="s">
        <v>139</v>
      </c>
      <c r="C2" t="s">
        <v>140</v>
      </c>
      <c r="D2">
        <f>101-E2</f>
        <v>100</v>
      </c>
      <c r="E2">
        <v>1</v>
      </c>
      <c r="H2" s="6">
        <v>100</v>
      </c>
      <c r="I2" s="6">
        <v>1</v>
      </c>
      <c r="L2">
        <f>D2+H2</f>
        <v>200</v>
      </c>
      <c r="M2">
        <f>L2/N2</f>
        <v>100</v>
      </c>
      <c r="N2">
        <v>2</v>
      </c>
      <c r="P2" s="4"/>
    </row>
    <row r="3" spans="1:20">
      <c r="A3" s="1" t="s">
        <v>6</v>
      </c>
      <c r="B3" s="1" t="s">
        <v>7</v>
      </c>
      <c r="C3" s="1" t="s">
        <v>48</v>
      </c>
      <c r="D3">
        <f>101-E3</f>
        <v>95</v>
      </c>
      <c r="E3">
        <v>6</v>
      </c>
      <c r="F3">
        <f>101-G3</f>
        <v>99</v>
      </c>
      <c r="G3">
        <v>2</v>
      </c>
      <c r="H3" s="6">
        <v>99</v>
      </c>
      <c r="I3">
        <v>2</v>
      </c>
      <c r="L3">
        <f>F3+H3</f>
        <v>198</v>
      </c>
      <c r="M3">
        <f>L3/N3</f>
        <v>99</v>
      </c>
      <c r="N3" s="6">
        <v>2</v>
      </c>
    </row>
    <row r="4" spans="1:20">
      <c r="A4" s="1" t="s">
        <v>150</v>
      </c>
      <c r="B4" s="1" t="s">
        <v>151</v>
      </c>
      <c r="C4" s="1" t="s">
        <v>48</v>
      </c>
      <c r="F4">
        <f>101-G4</f>
        <v>97</v>
      </c>
      <c r="G4">
        <v>4</v>
      </c>
      <c r="H4" s="6">
        <v>98</v>
      </c>
      <c r="I4">
        <v>3</v>
      </c>
      <c r="L4">
        <f>F4+H4</f>
        <v>195</v>
      </c>
      <c r="M4">
        <f>L4/N4</f>
        <v>97.5</v>
      </c>
      <c r="N4" s="6">
        <v>2</v>
      </c>
    </row>
    <row r="5" spans="1:20">
      <c r="A5" s="1" t="s">
        <v>23</v>
      </c>
      <c r="B5" s="1" t="s">
        <v>24</v>
      </c>
      <c r="C5" s="1" t="s">
        <v>52</v>
      </c>
      <c r="D5">
        <f>101-E5</f>
        <v>97</v>
      </c>
      <c r="E5">
        <v>4</v>
      </c>
      <c r="H5" s="6">
        <f>102-I5</f>
        <v>97</v>
      </c>
      <c r="I5">
        <v>5</v>
      </c>
      <c r="L5">
        <f>D5+H5</f>
        <v>194</v>
      </c>
      <c r="M5">
        <f>L5/N5</f>
        <v>97</v>
      </c>
      <c r="N5" s="6">
        <v>2</v>
      </c>
    </row>
    <row r="6" spans="1:20">
      <c r="A6" s="1" t="s">
        <v>310</v>
      </c>
      <c r="B6" s="1" t="s">
        <v>311</v>
      </c>
      <c r="C6" s="1" t="s">
        <v>97</v>
      </c>
      <c r="F6">
        <f>101-G6</f>
        <v>91</v>
      </c>
      <c r="G6">
        <v>10</v>
      </c>
      <c r="H6" s="6">
        <f>102-I6</f>
        <v>96</v>
      </c>
      <c r="I6">
        <v>6</v>
      </c>
      <c r="L6">
        <f>F6+H6</f>
        <v>187</v>
      </c>
      <c r="M6">
        <f>L6/N6</f>
        <v>93.5</v>
      </c>
      <c r="N6" s="6">
        <v>2</v>
      </c>
    </row>
    <row r="7" spans="1:20">
      <c r="A7" s="1" t="s">
        <v>312</v>
      </c>
      <c r="B7" s="1" t="s">
        <v>313</v>
      </c>
      <c r="C7" s="1" t="s">
        <v>314</v>
      </c>
      <c r="F7">
        <f>101-G7</f>
        <v>89</v>
      </c>
      <c r="G7">
        <v>12</v>
      </c>
      <c r="H7" s="6">
        <f>102-I7</f>
        <v>95</v>
      </c>
      <c r="I7">
        <v>7</v>
      </c>
      <c r="L7">
        <f>F7+H7</f>
        <v>184</v>
      </c>
      <c r="M7">
        <f>L7/N7</f>
        <v>92</v>
      </c>
      <c r="N7" s="6">
        <v>2</v>
      </c>
    </row>
    <row r="8" spans="1:20">
      <c r="A8" s="5" t="s">
        <v>46</v>
      </c>
      <c r="B8" s="5" t="s">
        <v>47</v>
      </c>
      <c r="C8" s="5" t="s">
        <v>52</v>
      </c>
      <c r="E8">
        <v>74</v>
      </c>
      <c r="H8" s="6">
        <f>102-I8</f>
        <v>94</v>
      </c>
      <c r="I8">
        <v>8</v>
      </c>
      <c r="L8">
        <f>H8</f>
        <v>94</v>
      </c>
      <c r="M8">
        <f>L8/N8</f>
        <v>94</v>
      </c>
      <c r="N8" s="6">
        <v>1</v>
      </c>
      <c r="P8" s="6"/>
      <c r="Q8" s="6"/>
      <c r="R8" s="6"/>
      <c r="S8" s="6"/>
      <c r="T8" s="6"/>
    </row>
    <row r="9" spans="1:20">
      <c r="A9" s="1" t="s">
        <v>59</v>
      </c>
      <c r="B9" s="1" t="s">
        <v>417</v>
      </c>
      <c r="C9" s="1" t="s">
        <v>48</v>
      </c>
      <c r="H9" s="6">
        <f>102-I9</f>
        <v>93</v>
      </c>
      <c r="I9">
        <v>9</v>
      </c>
      <c r="L9">
        <f>H9</f>
        <v>93</v>
      </c>
      <c r="M9">
        <f>L9/N9</f>
        <v>93</v>
      </c>
      <c r="N9">
        <v>1</v>
      </c>
    </row>
    <row r="10" spans="1:20">
      <c r="A10" t="s">
        <v>146</v>
      </c>
      <c r="B10" t="s">
        <v>147</v>
      </c>
      <c r="C10" t="s">
        <v>75</v>
      </c>
      <c r="D10">
        <f>101-E10</f>
        <v>93</v>
      </c>
      <c r="E10">
        <v>8</v>
      </c>
      <c r="H10" s="6">
        <f>102-I10</f>
        <v>92</v>
      </c>
      <c r="I10">
        <v>10</v>
      </c>
      <c r="L10">
        <f>D10+H10</f>
        <v>185</v>
      </c>
      <c r="M10">
        <f>L10/N10</f>
        <v>92.5</v>
      </c>
      <c r="N10" s="6">
        <v>2</v>
      </c>
    </row>
    <row r="11" spans="1:20" ht="16" customHeight="1">
      <c r="A11" s="1" t="s">
        <v>200</v>
      </c>
      <c r="B11" s="1" t="s">
        <v>315</v>
      </c>
      <c r="C11" s="1" t="s">
        <v>97</v>
      </c>
      <c r="F11">
        <f>101-G11</f>
        <v>88</v>
      </c>
      <c r="G11">
        <v>13</v>
      </c>
      <c r="H11" s="6">
        <f>102-I11</f>
        <v>91</v>
      </c>
      <c r="I11">
        <v>11</v>
      </c>
      <c r="L11">
        <f>F11+H11</f>
        <v>179</v>
      </c>
      <c r="M11">
        <f>L11/N11</f>
        <v>89.5</v>
      </c>
      <c r="N11" s="6">
        <v>2</v>
      </c>
    </row>
    <row r="12" spans="1:20">
      <c r="A12" t="s">
        <v>10</v>
      </c>
      <c r="B12" t="s">
        <v>178</v>
      </c>
      <c r="C12" t="s">
        <v>140</v>
      </c>
      <c r="D12">
        <f>101-E12</f>
        <v>86</v>
      </c>
      <c r="E12">
        <v>15</v>
      </c>
      <c r="H12" s="6">
        <f>102-I12</f>
        <v>90</v>
      </c>
      <c r="I12" s="6">
        <v>12</v>
      </c>
      <c r="L12">
        <f>D12+H12</f>
        <v>176</v>
      </c>
      <c r="M12">
        <f>L12/N12</f>
        <v>88</v>
      </c>
      <c r="N12" s="6">
        <v>2</v>
      </c>
    </row>
    <row r="13" spans="1:20">
      <c r="A13" s="5" t="s">
        <v>322</v>
      </c>
      <c r="B13" s="5" t="s">
        <v>323</v>
      </c>
      <c r="C13" s="5" t="s">
        <v>69</v>
      </c>
      <c r="F13">
        <f>101-G13</f>
        <v>82</v>
      </c>
      <c r="G13">
        <v>19</v>
      </c>
      <c r="H13" s="6">
        <f>102-I13</f>
        <v>89</v>
      </c>
      <c r="I13">
        <v>13</v>
      </c>
      <c r="L13">
        <f>F13+H13</f>
        <v>171</v>
      </c>
      <c r="M13">
        <f>L13/N13</f>
        <v>85.5</v>
      </c>
      <c r="N13" s="6">
        <v>2</v>
      </c>
    </row>
    <row r="14" spans="1:20">
      <c r="A14" s="1" t="s">
        <v>319</v>
      </c>
      <c r="B14" s="1" t="s">
        <v>11</v>
      </c>
      <c r="C14" s="1" t="s">
        <v>320</v>
      </c>
      <c r="F14">
        <f>101-G14</f>
        <v>84</v>
      </c>
      <c r="G14">
        <v>17</v>
      </c>
      <c r="H14" s="6">
        <f>102-I14</f>
        <v>88</v>
      </c>
      <c r="I14">
        <v>14</v>
      </c>
      <c r="L14">
        <f>F14+H14</f>
        <v>172</v>
      </c>
      <c r="M14">
        <f>L14/N14</f>
        <v>86</v>
      </c>
      <c r="N14" s="6">
        <v>2</v>
      </c>
    </row>
    <row r="15" spans="1:20">
      <c r="A15" s="1" t="s">
        <v>187</v>
      </c>
      <c r="B15" s="1" t="s">
        <v>188</v>
      </c>
      <c r="C15" s="1" t="s">
        <v>292</v>
      </c>
      <c r="D15">
        <f>101-E15</f>
        <v>74</v>
      </c>
      <c r="E15">
        <v>27</v>
      </c>
      <c r="H15" s="6">
        <f>102-I15</f>
        <v>87</v>
      </c>
      <c r="I15">
        <v>15</v>
      </c>
      <c r="L15">
        <f>D15+H15</f>
        <v>161</v>
      </c>
      <c r="M15">
        <f>L15/N15</f>
        <v>80.5</v>
      </c>
      <c r="N15" s="6">
        <v>2</v>
      </c>
    </row>
    <row r="16" spans="1:20">
      <c r="A16" s="1" t="s">
        <v>100</v>
      </c>
      <c r="B16" s="1" t="s">
        <v>101</v>
      </c>
      <c r="C16" s="1" t="s">
        <v>52</v>
      </c>
      <c r="E16" s="6"/>
      <c r="H16" s="6">
        <f>102-I16</f>
        <v>86</v>
      </c>
      <c r="I16">
        <v>16</v>
      </c>
      <c r="L16">
        <f>H16</f>
        <v>86</v>
      </c>
      <c r="M16">
        <f>L16/N16</f>
        <v>86</v>
      </c>
      <c r="N16" s="6">
        <v>1</v>
      </c>
    </row>
    <row r="17" spans="1:14" s="6" customFormat="1">
      <c r="A17" s="1" t="s">
        <v>81</v>
      </c>
      <c r="B17" s="1" t="s">
        <v>392</v>
      </c>
      <c r="C17" s="1" t="s">
        <v>97</v>
      </c>
      <c r="D17"/>
      <c r="E17"/>
      <c r="F17"/>
      <c r="G17"/>
      <c r="H17" s="6">
        <f>102-I17</f>
        <v>85</v>
      </c>
      <c r="I17">
        <v>17</v>
      </c>
      <c r="J17"/>
      <c r="K17"/>
      <c r="L17">
        <f>H17</f>
        <v>85</v>
      </c>
      <c r="M17">
        <f>L17/N17</f>
        <v>85</v>
      </c>
      <c r="N17" s="6">
        <v>1</v>
      </c>
    </row>
    <row r="18" spans="1:14">
      <c r="A18" s="1" t="s">
        <v>109</v>
      </c>
      <c r="B18" s="1" t="s">
        <v>110</v>
      </c>
      <c r="C18" s="1" t="s">
        <v>52</v>
      </c>
      <c r="D18">
        <f>101-E18</f>
        <v>77</v>
      </c>
      <c r="E18">
        <v>24</v>
      </c>
      <c r="H18" s="6">
        <f>102-I18</f>
        <v>84</v>
      </c>
      <c r="I18">
        <v>18</v>
      </c>
      <c r="L18">
        <f>D18+H18</f>
        <v>161</v>
      </c>
      <c r="M18">
        <f>L18/N18</f>
        <v>80.5</v>
      </c>
      <c r="N18" s="6">
        <v>2</v>
      </c>
    </row>
    <row r="19" spans="1:14">
      <c r="A19" s="1" t="s">
        <v>79</v>
      </c>
      <c r="B19" s="1" t="s">
        <v>80</v>
      </c>
      <c r="C19" s="1" t="s">
        <v>52</v>
      </c>
      <c r="E19">
        <v>76</v>
      </c>
      <c r="H19" s="6">
        <f>102-I19</f>
        <v>83</v>
      </c>
      <c r="I19">
        <v>19</v>
      </c>
      <c r="L19">
        <f>H19</f>
        <v>83</v>
      </c>
      <c r="M19">
        <f>L19/N19</f>
        <v>83</v>
      </c>
      <c r="N19" s="6">
        <v>1</v>
      </c>
    </row>
    <row r="20" spans="1:14">
      <c r="A20" s="1" t="s">
        <v>40</v>
      </c>
      <c r="B20" s="1" t="s">
        <v>421</v>
      </c>
      <c r="C20" s="1" t="s">
        <v>320</v>
      </c>
      <c r="E20" s="6"/>
      <c r="H20" s="6">
        <f>102-I20</f>
        <v>82</v>
      </c>
      <c r="I20">
        <v>20</v>
      </c>
      <c r="L20">
        <f>H20</f>
        <v>82</v>
      </c>
      <c r="M20">
        <f>L20/N20</f>
        <v>82</v>
      </c>
      <c r="N20" s="6">
        <v>1</v>
      </c>
    </row>
    <row r="21" spans="1:14">
      <c r="A21" s="1" t="s">
        <v>317</v>
      </c>
      <c r="B21" s="1" t="s">
        <v>318</v>
      </c>
      <c r="C21" s="1" t="s">
        <v>69</v>
      </c>
      <c r="F21">
        <f>101-G21</f>
        <v>85</v>
      </c>
      <c r="G21">
        <v>16</v>
      </c>
      <c r="H21" s="6">
        <f>102-I21</f>
        <v>81</v>
      </c>
      <c r="I21">
        <v>21</v>
      </c>
      <c r="L21">
        <f>F21+H21</f>
        <v>166</v>
      </c>
      <c r="M21">
        <f>L21/N21</f>
        <v>83</v>
      </c>
      <c r="N21">
        <v>2</v>
      </c>
    </row>
    <row r="22" spans="1:14">
      <c r="A22" t="s">
        <v>422</v>
      </c>
      <c r="B22" t="s">
        <v>423</v>
      </c>
      <c r="C22" s="1" t="s">
        <v>320</v>
      </c>
      <c r="H22" s="6">
        <f>102-I22</f>
        <v>80</v>
      </c>
      <c r="I22">
        <v>22</v>
      </c>
      <c r="L22">
        <f>H22</f>
        <v>80</v>
      </c>
      <c r="M22">
        <f>L22/N22</f>
        <v>80</v>
      </c>
      <c r="N22" s="6">
        <v>1</v>
      </c>
    </row>
    <row r="23" spans="1:14">
      <c r="A23" s="1" t="s">
        <v>57</v>
      </c>
      <c r="B23" s="1" t="s">
        <v>58</v>
      </c>
      <c r="C23" s="1" t="s">
        <v>48</v>
      </c>
      <c r="D23">
        <f>101-E23</f>
        <v>71</v>
      </c>
      <c r="E23">
        <v>30</v>
      </c>
      <c r="H23" s="6">
        <f>102-I23</f>
        <v>79</v>
      </c>
      <c r="I23">
        <v>23</v>
      </c>
      <c r="L23">
        <f>D23+H23</f>
        <v>150</v>
      </c>
      <c r="M23">
        <f>L23/N23</f>
        <v>75</v>
      </c>
      <c r="N23" s="6">
        <v>2</v>
      </c>
    </row>
    <row r="24" spans="1:14">
      <c r="A24" s="1" t="s">
        <v>77</v>
      </c>
      <c r="B24" s="1" t="s">
        <v>78</v>
      </c>
      <c r="C24" s="1" t="s">
        <v>52</v>
      </c>
      <c r="E24">
        <v>75</v>
      </c>
      <c r="H24" s="6">
        <f>102-I24</f>
        <v>78</v>
      </c>
      <c r="I24">
        <v>24</v>
      </c>
      <c r="L24">
        <f>H24</f>
        <v>78</v>
      </c>
      <c r="M24">
        <f>L24/N24</f>
        <v>78</v>
      </c>
      <c r="N24" s="6">
        <v>1</v>
      </c>
    </row>
    <row r="25" spans="1:14">
      <c r="A25" s="1" t="s">
        <v>81</v>
      </c>
      <c r="B25" s="1" t="s">
        <v>82</v>
      </c>
      <c r="C25" s="1" t="s">
        <v>52</v>
      </c>
      <c r="D25">
        <f>101-E25</f>
        <v>59</v>
      </c>
      <c r="E25">
        <v>42</v>
      </c>
      <c r="H25" s="6">
        <f>102-I25</f>
        <v>77</v>
      </c>
      <c r="I25">
        <v>25</v>
      </c>
      <c r="L25">
        <f>D25+H25</f>
        <v>136</v>
      </c>
      <c r="M25">
        <f>L25/N25</f>
        <v>68</v>
      </c>
      <c r="N25" s="6">
        <v>2</v>
      </c>
    </row>
    <row r="26" spans="1:14">
      <c r="A26" s="1" t="s">
        <v>223</v>
      </c>
      <c r="B26" s="1" t="s">
        <v>247</v>
      </c>
      <c r="C26" s="1" t="s">
        <v>97</v>
      </c>
      <c r="F26">
        <f>101-G26</f>
        <v>77</v>
      </c>
      <c r="G26">
        <v>24</v>
      </c>
      <c r="H26" s="6">
        <f>102-I26</f>
        <v>76</v>
      </c>
      <c r="I26">
        <v>26</v>
      </c>
      <c r="L26">
        <f>F26+H26</f>
        <v>153</v>
      </c>
      <c r="M26">
        <f>L26/N26</f>
        <v>76.5</v>
      </c>
      <c r="N26" s="6">
        <v>2</v>
      </c>
    </row>
    <row r="27" spans="1:14">
      <c r="A27" s="1" t="s">
        <v>396</v>
      </c>
      <c r="B27" s="1" t="s">
        <v>397</v>
      </c>
      <c r="C27" s="1" t="s">
        <v>97</v>
      </c>
      <c r="H27" s="6">
        <f>102-I27</f>
        <v>75</v>
      </c>
      <c r="I27">
        <v>27</v>
      </c>
      <c r="L27">
        <f>H27</f>
        <v>75</v>
      </c>
      <c r="M27">
        <f>L27/N27</f>
        <v>75</v>
      </c>
      <c r="N27" s="6">
        <v>1</v>
      </c>
    </row>
    <row r="28" spans="1:14">
      <c r="A28" t="s">
        <v>205</v>
      </c>
      <c r="B28" t="s">
        <v>206</v>
      </c>
      <c r="C28" t="s">
        <v>140</v>
      </c>
      <c r="D28">
        <f>101-E28</f>
        <v>56</v>
      </c>
      <c r="E28">
        <v>45</v>
      </c>
      <c r="H28" s="6">
        <f>102-I28</f>
        <v>74</v>
      </c>
      <c r="I28" s="6">
        <v>28</v>
      </c>
      <c r="L28">
        <f>D28+H28</f>
        <v>130</v>
      </c>
      <c r="M28">
        <f>L28/N28</f>
        <v>65</v>
      </c>
      <c r="N28" s="6">
        <v>2</v>
      </c>
    </row>
    <row r="29" spans="1:14">
      <c r="A29" s="1" t="s">
        <v>328</v>
      </c>
      <c r="B29" s="1" t="s">
        <v>329</v>
      </c>
      <c r="C29" s="1" t="s">
        <v>97</v>
      </c>
      <c r="F29">
        <f>101-G29</f>
        <v>79</v>
      </c>
      <c r="G29">
        <v>22</v>
      </c>
      <c r="H29" s="6">
        <f>102-I29</f>
        <v>73</v>
      </c>
      <c r="I29">
        <v>29</v>
      </c>
      <c r="L29">
        <f>F29+H29</f>
        <v>152</v>
      </c>
      <c r="M29">
        <f>L29/N29</f>
        <v>76</v>
      </c>
      <c r="N29" s="6">
        <v>2</v>
      </c>
    </row>
    <row r="30" spans="1:14">
      <c r="A30" s="1" t="s">
        <v>98</v>
      </c>
      <c r="B30" s="1" t="s">
        <v>395</v>
      </c>
      <c r="C30" s="1" t="s">
        <v>97</v>
      </c>
      <c r="H30" s="6">
        <f>102-I30</f>
        <v>72</v>
      </c>
      <c r="I30">
        <v>30</v>
      </c>
      <c r="L30">
        <f>H30</f>
        <v>72</v>
      </c>
      <c r="M30">
        <f>L30/N30</f>
        <v>72</v>
      </c>
      <c r="N30">
        <v>1</v>
      </c>
    </row>
    <row r="31" spans="1:14">
      <c r="A31" s="1" t="s">
        <v>61</v>
      </c>
      <c r="B31" s="1" t="s">
        <v>62</v>
      </c>
      <c r="C31" s="1" t="s">
        <v>50</v>
      </c>
      <c r="D31">
        <f>101-E31</f>
        <v>62</v>
      </c>
      <c r="E31">
        <v>39</v>
      </c>
      <c r="H31" s="6">
        <f>102-I31</f>
        <v>71</v>
      </c>
      <c r="I31">
        <v>31</v>
      </c>
      <c r="L31">
        <f>D31+H31</f>
        <v>133</v>
      </c>
      <c r="M31">
        <f>L31/N31</f>
        <v>66.5</v>
      </c>
      <c r="N31" s="6">
        <v>2</v>
      </c>
    </row>
    <row r="32" spans="1:14">
      <c r="A32" t="s">
        <v>42</v>
      </c>
      <c r="B32" t="s">
        <v>189</v>
      </c>
      <c r="C32" t="s">
        <v>140</v>
      </c>
      <c r="D32">
        <f>101-E32</f>
        <v>45</v>
      </c>
      <c r="E32">
        <v>56</v>
      </c>
      <c r="H32" s="6">
        <f>102-I32</f>
        <v>70</v>
      </c>
      <c r="I32" s="6">
        <v>32</v>
      </c>
      <c r="L32">
        <f>D32+H32</f>
        <v>115</v>
      </c>
      <c r="M32">
        <f>L32/N32</f>
        <v>57.5</v>
      </c>
      <c r="N32" s="6">
        <v>2</v>
      </c>
    </row>
    <row r="33" spans="1:14">
      <c r="A33" s="1" t="s">
        <v>190</v>
      </c>
      <c r="B33" s="1" t="s">
        <v>388</v>
      </c>
      <c r="C33" s="1" t="s">
        <v>52</v>
      </c>
      <c r="G33" s="6"/>
      <c r="H33" s="6">
        <f>102-I33</f>
        <v>69</v>
      </c>
      <c r="I33" s="6">
        <v>33</v>
      </c>
      <c r="J33" s="6"/>
      <c r="K33" s="6"/>
      <c r="L33">
        <f>H33</f>
        <v>69</v>
      </c>
      <c r="M33">
        <f>L33/N33</f>
        <v>69</v>
      </c>
      <c r="N33">
        <v>1</v>
      </c>
    </row>
    <row r="34" spans="1:14">
      <c r="A34" s="1" t="s">
        <v>400</v>
      </c>
      <c r="B34" s="1" t="s">
        <v>401</v>
      </c>
      <c r="C34" s="1" t="s">
        <v>69</v>
      </c>
      <c r="H34" s="6">
        <f>102-I34</f>
        <v>68</v>
      </c>
      <c r="I34">
        <v>34</v>
      </c>
      <c r="L34">
        <f>H34</f>
        <v>68</v>
      </c>
      <c r="M34">
        <f>L34/N34</f>
        <v>68</v>
      </c>
      <c r="N34" s="6">
        <v>1</v>
      </c>
    </row>
    <row r="35" spans="1:14">
      <c r="A35" s="1" t="s">
        <v>8</v>
      </c>
      <c r="B35" s="1" t="s">
        <v>9</v>
      </c>
      <c r="C35" s="1" t="s">
        <v>52</v>
      </c>
      <c r="D35">
        <f>101-E35</f>
        <v>50</v>
      </c>
      <c r="E35">
        <v>51</v>
      </c>
      <c r="H35" s="6">
        <f>102-I35</f>
        <v>67</v>
      </c>
      <c r="I35">
        <v>35</v>
      </c>
      <c r="L35">
        <f>D35+H35</f>
        <v>117</v>
      </c>
      <c r="M35">
        <f>L35/N35</f>
        <v>58.5</v>
      </c>
      <c r="N35">
        <v>2</v>
      </c>
    </row>
    <row r="36" spans="1:14">
      <c r="A36" s="1" t="s">
        <v>79</v>
      </c>
      <c r="B36" s="1" t="s">
        <v>414</v>
      </c>
      <c r="C36" s="1" t="s">
        <v>49</v>
      </c>
      <c r="H36" s="6">
        <f>102-I36</f>
        <v>66</v>
      </c>
      <c r="I36">
        <v>36</v>
      </c>
      <c r="L36">
        <f>H36</f>
        <v>66</v>
      </c>
      <c r="M36">
        <f>L36/N36</f>
        <v>66</v>
      </c>
      <c r="N36" s="6">
        <v>1</v>
      </c>
    </row>
    <row r="37" spans="1:14">
      <c r="A37" t="s">
        <v>213</v>
      </c>
      <c r="B37" t="s">
        <v>214</v>
      </c>
      <c r="C37" t="s">
        <v>140</v>
      </c>
      <c r="D37">
        <f>101-E37</f>
        <v>51</v>
      </c>
      <c r="E37">
        <v>50</v>
      </c>
      <c r="H37" s="6">
        <f>102-I37</f>
        <v>65</v>
      </c>
      <c r="I37" s="6">
        <v>37</v>
      </c>
      <c r="L37">
        <f>D37+H37</f>
        <v>116</v>
      </c>
      <c r="M37">
        <f>L37/N37</f>
        <v>58</v>
      </c>
      <c r="N37" s="6">
        <v>2</v>
      </c>
    </row>
    <row r="38" spans="1:14">
      <c r="A38" s="1" t="s">
        <v>317</v>
      </c>
      <c r="B38" s="1" t="s">
        <v>378</v>
      </c>
      <c r="C38" s="1" t="s">
        <v>52</v>
      </c>
      <c r="G38" s="6"/>
      <c r="H38" s="6">
        <f>102-I38</f>
        <v>64</v>
      </c>
      <c r="I38" s="6">
        <v>38</v>
      </c>
      <c r="J38" s="6"/>
      <c r="K38" s="6"/>
      <c r="L38">
        <f>H38</f>
        <v>64</v>
      </c>
      <c r="M38">
        <f>L38/N38</f>
        <v>64</v>
      </c>
      <c r="N38" s="6">
        <v>1</v>
      </c>
    </row>
    <row r="39" spans="1:14">
      <c r="A39" s="1" t="s">
        <v>379</v>
      </c>
      <c r="B39" s="1" t="s">
        <v>380</v>
      </c>
      <c r="C39" s="1" t="s">
        <v>52</v>
      </c>
      <c r="G39" s="6"/>
      <c r="H39" s="6">
        <f>102-I39</f>
        <v>63</v>
      </c>
      <c r="I39" s="6">
        <v>39</v>
      </c>
      <c r="J39" s="6"/>
      <c r="K39" s="6"/>
      <c r="L39">
        <f>H39</f>
        <v>63</v>
      </c>
      <c r="M39">
        <f>L39/N39</f>
        <v>63</v>
      </c>
      <c r="N39" s="6">
        <v>1</v>
      </c>
    </row>
    <row r="40" spans="1:14">
      <c r="A40" s="1" t="s">
        <v>357</v>
      </c>
      <c r="B40" s="1" t="s">
        <v>424</v>
      </c>
      <c r="C40" s="1" t="s">
        <v>320</v>
      </c>
      <c r="H40" s="6">
        <f>102-I40</f>
        <v>62</v>
      </c>
      <c r="I40">
        <v>40</v>
      </c>
      <c r="L40">
        <f>H40</f>
        <v>62</v>
      </c>
      <c r="M40">
        <f>L40/N40</f>
        <v>62</v>
      </c>
      <c r="N40" s="6">
        <v>1</v>
      </c>
    </row>
    <row r="41" spans="1:14">
      <c r="A41" s="1" t="s">
        <v>381</v>
      </c>
      <c r="B41" s="1" t="s">
        <v>382</v>
      </c>
      <c r="C41" s="1" t="s">
        <v>52</v>
      </c>
      <c r="G41" s="6"/>
      <c r="H41" s="6">
        <f>102-I41</f>
        <v>61</v>
      </c>
      <c r="I41" s="6">
        <v>41</v>
      </c>
      <c r="J41" s="6"/>
      <c r="K41" s="6"/>
      <c r="L41">
        <f>H41</f>
        <v>61</v>
      </c>
      <c r="M41">
        <f>L41/N41</f>
        <v>61</v>
      </c>
      <c r="N41" s="6">
        <v>1</v>
      </c>
    </row>
    <row r="42" spans="1:14">
      <c r="A42" s="1" t="s">
        <v>10</v>
      </c>
      <c r="B42" s="1" t="s">
        <v>411</v>
      </c>
      <c r="C42" s="1" t="s">
        <v>54</v>
      </c>
      <c r="H42" s="6">
        <f>102-I42</f>
        <v>60</v>
      </c>
      <c r="I42">
        <v>42</v>
      </c>
      <c r="L42">
        <f>H42</f>
        <v>60</v>
      </c>
      <c r="M42">
        <f>L42/N42</f>
        <v>60</v>
      </c>
      <c r="N42">
        <v>1</v>
      </c>
    </row>
    <row r="43" spans="1:14">
      <c r="A43" s="1" t="s">
        <v>384</v>
      </c>
      <c r="B43" s="1" t="s">
        <v>385</v>
      </c>
      <c r="C43" s="1" t="s">
        <v>52</v>
      </c>
      <c r="G43" s="6"/>
      <c r="H43" s="6">
        <f>102-I43</f>
        <v>59</v>
      </c>
      <c r="I43" s="6">
        <v>43</v>
      </c>
      <c r="J43" s="6"/>
      <c r="K43" s="6"/>
      <c r="L43">
        <f>H43</f>
        <v>59</v>
      </c>
      <c r="M43">
        <f>L43/N43</f>
        <v>59</v>
      </c>
      <c r="N43" s="6">
        <v>1</v>
      </c>
    </row>
    <row r="44" spans="1:14">
      <c r="A44" s="1" t="s">
        <v>234</v>
      </c>
      <c r="B44" s="1" t="s">
        <v>336</v>
      </c>
      <c r="C44" s="1" t="s">
        <v>314</v>
      </c>
      <c r="F44">
        <f>101-G44</f>
        <v>72</v>
      </c>
      <c r="G44">
        <v>29</v>
      </c>
      <c r="H44" s="6">
        <f>102-I44</f>
        <v>58</v>
      </c>
      <c r="I44">
        <v>44</v>
      </c>
      <c r="L44">
        <f>F44+H44</f>
        <v>130</v>
      </c>
      <c r="M44">
        <f>L44/N44</f>
        <v>65</v>
      </c>
      <c r="N44" s="6">
        <v>2</v>
      </c>
    </row>
    <row r="45" spans="1:14">
      <c r="A45" s="1" t="s">
        <v>114</v>
      </c>
      <c r="B45" s="1" t="s">
        <v>115</v>
      </c>
      <c r="C45" s="1" t="s">
        <v>52</v>
      </c>
      <c r="D45">
        <f>101-E45</f>
        <v>31</v>
      </c>
      <c r="E45">
        <v>70</v>
      </c>
      <c r="H45" s="6">
        <f>102-I45</f>
        <v>57</v>
      </c>
      <c r="I45">
        <v>45</v>
      </c>
      <c r="L45">
        <f>D45+H45</f>
        <v>88</v>
      </c>
      <c r="M45">
        <f>L45/N45</f>
        <v>44</v>
      </c>
      <c r="N45" s="6">
        <v>2</v>
      </c>
    </row>
    <row r="46" spans="1:14">
      <c r="A46" s="1" t="s">
        <v>87</v>
      </c>
      <c r="B46" s="1" t="s">
        <v>106</v>
      </c>
      <c r="C46" s="1" t="s">
        <v>52</v>
      </c>
      <c r="D46">
        <f>101-E46</f>
        <v>39</v>
      </c>
      <c r="E46">
        <v>62</v>
      </c>
      <c r="H46" s="6">
        <f>102-I46</f>
        <v>56</v>
      </c>
      <c r="I46">
        <v>46</v>
      </c>
      <c r="L46">
        <f>D46+H46</f>
        <v>95</v>
      </c>
      <c r="M46">
        <f>L46/N46</f>
        <v>47.5</v>
      </c>
      <c r="N46" s="6">
        <v>2</v>
      </c>
    </row>
    <row r="47" spans="1:14">
      <c r="A47" s="1" t="s">
        <v>104</v>
      </c>
      <c r="B47" s="1" t="s">
        <v>105</v>
      </c>
      <c r="C47" s="1" t="s">
        <v>52</v>
      </c>
      <c r="D47">
        <f>101-E47</f>
        <v>58</v>
      </c>
      <c r="E47">
        <v>43</v>
      </c>
      <c r="H47" s="6">
        <f>102-I47</f>
        <v>55</v>
      </c>
      <c r="I47">
        <v>47</v>
      </c>
      <c r="L47">
        <f>D47+H47</f>
        <v>113</v>
      </c>
      <c r="M47">
        <f>L47/N47</f>
        <v>56.5</v>
      </c>
      <c r="N47" s="6">
        <v>2</v>
      </c>
    </row>
    <row r="48" spans="1:14">
      <c r="A48" s="1" t="s">
        <v>198</v>
      </c>
      <c r="B48" s="1" t="s">
        <v>383</v>
      </c>
      <c r="C48" s="1" t="s">
        <v>52</v>
      </c>
      <c r="G48" s="6"/>
      <c r="H48" s="6">
        <f>102-I48</f>
        <v>54</v>
      </c>
      <c r="I48" s="6">
        <v>48</v>
      </c>
      <c r="J48" s="6"/>
      <c r="K48" s="6"/>
      <c r="L48">
        <f>H48</f>
        <v>54</v>
      </c>
      <c r="M48">
        <f>L48/N48</f>
        <v>54</v>
      </c>
      <c r="N48" s="6">
        <v>1</v>
      </c>
    </row>
    <row r="49" spans="1:14">
      <c r="A49" t="s">
        <v>226</v>
      </c>
      <c r="B49" t="s">
        <v>227</v>
      </c>
      <c r="C49" t="s">
        <v>140</v>
      </c>
      <c r="D49">
        <f>101-E49</f>
        <v>40</v>
      </c>
      <c r="E49">
        <v>61</v>
      </c>
      <c r="H49" s="6">
        <f>102-I49</f>
        <v>53</v>
      </c>
      <c r="I49" s="6">
        <v>49</v>
      </c>
      <c r="L49">
        <f>D49+H49</f>
        <v>93</v>
      </c>
      <c r="M49">
        <f>L49/N49</f>
        <v>46.5</v>
      </c>
      <c r="N49" s="6">
        <v>2</v>
      </c>
    </row>
    <row r="50" spans="1:14">
      <c r="A50" s="1" t="s">
        <v>412</v>
      </c>
      <c r="B50" s="1" t="s">
        <v>413</v>
      </c>
      <c r="C50" s="1" t="s">
        <v>49</v>
      </c>
      <c r="H50" s="6">
        <f>102-I50</f>
        <v>52</v>
      </c>
      <c r="I50">
        <v>50</v>
      </c>
      <c r="L50">
        <f>H50</f>
        <v>52</v>
      </c>
      <c r="M50">
        <f>L50/N50</f>
        <v>52</v>
      </c>
      <c r="N50" s="6">
        <v>1</v>
      </c>
    </row>
    <row r="51" spans="1:14">
      <c r="A51" s="1" t="s">
        <v>386</v>
      </c>
      <c r="B51" s="1" t="s">
        <v>387</v>
      </c>
      <c r="C51" s="1" t="s">
        <v>52</v>
      </c>
      <c r="G51" s="6"/>
      <c r="H51" s="6">
        <f>102-I51</f>
        <v>51</v>
      </c>
      <c r="I51" s="6">
        <v>51</v>
      </c>
      <c r="J51" s="6"/>
      <c r="K51" s="6"/>
      <c r="L51">
        <f>H51</f>
        <v>51</v>
      </c>
      <c r="M51">
        <f>L51/N51</f>
        <v>51</v>
      </c>
      <c r="N51" s="6">
        <v>1</v>
      </c>
    </row>
    <row r="52" spans="1:14">
      <c r="A52" s="1" t="s">
        <v>200</v>
      </c>
      <c r="B52" s="1" t="s">
        <v>310</v>
      </c>
      <c r="C52" s="1" t="s">
        <v>52</v>
      </c>
      <c r="G52" s="6"/>
      <c r="H52" s="6">
        <f>102-I52</f>
        <v>50</v>
      </c>
      <c r="I52" s="6">
        <v>52</v>
      </c>
      <c r="J52" s="6"/>
      <c r="K52" s="6"/>
      <c r="L52">
        <f>H52</f>
        <v>50</v>
      </c>
      <c r="M52">
        <f>L52/N52</f>
        <v>50</v>
      </c>
      <c r="N52" s="6">
        <v>1</v>
      </c>
    </row>
    <row r="53" spans="1:14">
      <c r="A53" s="1" t="s">
        <v>425</v>
      </c>
      <c r="B53" s="1" t="s">
        <v>426</v>
      </c>
      <c r="C53" s="1" t="s">
        <v>320</v>
      </c>
      <c r="H53" s="6">
        <f>102-I53</f>
        <v>49</v>
      </c>
      <c r="I53">
        <v>53</v>
      </c>
      <c r="L53">
        <f>H53</f>
        <v>49</v>
      </c>
      <c r="M53">
        <f>L53/N53</f>
        <v>49</v>
      </c>
      <c r="N53" s="6">
        <v>1</v>
      </c>
    </row>
    <row r="54" spans="1:14">
      <c r="A54" s="1" t="s">
        <v>393</v>
      </c>
      <c r="B54" s="1" t="s">
        <v>394</v>
      </c>
      <c r="C54" s="1" t="s">
        <v>97</v>
      </c>
      <c r="H54" s="6">
        <f>102-I54</f>
        <v>48</v>
      </c>
      <c r="I54">
        <v>54</v>
      </c>
      <c r="L54">
        <f>H54</f>
        <v>48</v>
      </c>
      <c r="M54">
        <f>L54/N54</f>
        <v>48</v>
      </c>
      <c r="N54">
        <v>1</v>
      </c>
    </row>
    <row r="55" spans="1:14">
      <c r="A55" s="1" t="s">
        <v>415</v>
      </c>
      <c r="B55" s="1" t="s">
        <v>416</v>
      </c>
      <c r="C55" s="1" t="s">
        <v>49</v>
      </c>
      <c r="H55" s="6">
        <f>102-I55</f>
        <v>47</v>
      </c>
      <c r="I55" s="6">
        <v>55</v>
      </c>
      <c r="L55">
        <f>H55</f>
        <v>47</v>
      </c>
      <c r="M55">
        <f>L55/N55</f>
        <v>47</v>
      </c>
      <c r="N55" s="6">
        <v>1</v>
      </c>
    </row>
    <row r="56" spans="1:14">
      <c r="A56" s="5" t="s">
        <v>427</v>
      </c>
      <c r="B56" s="5" t="s">
        <v>190</v>
      </c>
      <c r="C56" s="5" t="s">
        <v>320</v>
      </c>
      <c r="H56" s="6">
        <f>102-I56</f>
        <v>46</v>
      </c>
      <c r="I56">
        <v>56</v>
      </c>
      <c r="L56">
        <f>H56</f>
        <v>46</v>
      </c>
      <c r="M56">
        <f>L56/N56</f>
        <v>46</v>
      </c>
      <c r="N56" s="6">
        <v>1</v>
      </c>
    </row>
    <row r="57" spans="1:14">
      <c r="A57" s="1" t="s">
        <v>83</v>
      </c>
      <c r="B57" s="1" t="s">
        <v>84</v>
      </c>
      <c r="C57" s="1" t="s">
        <v>97</v>
      </c>
      <c r="F57">
        <f>101-G57</f>
        <v>70</v>
      </c>
      <c r="G57">
        <v>31</v>
      </c>
      <c r="H57" s="6">
        <f>102-I57</f>
        <v>45</v>
      </c>
      <c r="I57">
        <v>57</v>
      </c>
      <c r="L57">
        <f>F57+H57</f>
        <v>115</v>
      </c>
      <c r="M57">
        <f>L57/N57</f>
        <v>57.5</v>
      </c>
      <c r="N57" s="6">
        <v>2</v>
      </c>
    </row>
    <row r="58" spans="1:14">
      <c r="A58" s="1" t="s">
        <v>10</v>
      </c>
      <c r="B58" s="1" t="s">
        <v>339</v>
      </c>
      <c r="C58" s="1" t="s">
        <v>314</v>
      </c>
      <c r="F58">
        <f>101-G58</f>
        <v>69</v>
      </c>
      <c r="G58">
        <v>32</v>
      </c>
      <c r="H58" s="6">
        <f>102-I58</f>
        <v>44</v>
      </c>
      <c r="I58">
        <v>58</v>
      </c>
      <c r="L58">
        <f>F58+H58</f>
        <v>113</v>
      </c>
      <c r="M58">
        <f>L58/N58</f>
        <v>56.5</v>
      </c>
      <c r="N58" s="6">
        <v>2</v>
      </c>
    </row>
    <row r="59" spans="1:14">
      <c r="A59" s="1" t="s">
        <v>40</v>
      </c>
      <c r="B59" s="1" t="s">
        <v>389</v>
      </c>
      <c r="C59" s="1" t="s">
        <v>314</v>
      </c>
      <c r="H59" s="6">
        <f>102-I59</f>
        <v>43</v>
      </c>
      <c r="I59">
        <v>59</v>
      </c>
      <c r="L59">
        <f>H59</f>
        <v>43</v>
      </c>
      <c r="M59">
        <f>L59/N59</f>
        <v>43</v>
      </c>
      <c r="N59" s="6">
        <v>1</v>
      </c>
    </row>
    <row r="60" spans="1:14">
      <c r="A60" s="1" t="s">
        <v>398</v>
      </c>
      <c r="B60" s="1" t="s">
        <v>399</v>
      </c>
      <c r="C60" s="1" t="s">
        <v>97</v>
      </c>
      <c r="H60" s="6">
        <f>102-I60</f>
        <v>42</v>
      </c>
      <c r="I60">
        <v>60</v>
      </c>
      <c r="L60">
        <f>H60</f>
        <v>42</v>
      </c>
      <c r="M60">
        <f>L60/N60</f>
        <v>42</v>
      </c>
      <c r="N60" s="6">
        <v>1</v>
      </c>
    </row>
    <row r="61" spans="1:14">
      <c r="A61" s="1" t="s">
        <v>185</v>
      </c>
      <c r="B61" s="1" t="s">
        <v>438</v>
      </c>
      <c r="C61" s="1" t="s">
        <v>69</v>
      </c>
      <c r="H61" s="6">
        <f>102-I61</f>
        <v>41</v>
      </c>
      <c r="I61" s="6">
        <v>61</v>
      </c>
      <c r="L61">
        <f>H61</f>
        <v>41</v>
      </c>
      <c r="M61">
        <f>L61/N61</f>
        <v>41</v>
      </c>
      <c r="N61" s="6">
        <v>1</v>
      </c>
    </row>
    <row r="62" spans="1:14">
      <c r="A62" s="1" t="s">
        <v>404</v>
      </c>
      <c r="B62" s="1" t="s">
        <v>405</v>
      </c>
      <c r="C62" s="1" t="s">
        <v>69</v>
      </c>
      <c r="H62" s="6">
        <f>102-I62</f>
        <v>40</v>
      </c>
      <c r="I62">
        <v>62</v>
      </c>
      <c r="L62">
        <f>H62</f>
        <v>40</v>
      </c>
      <c r="M62">
        <f>L62/N62</f>
        <v>40</v>
      </c>
      <c r="N62" s="6">
        <v>1</v>
      </c>
    </row>
    <row r="63" spans="1:14">
      <c r="A63" s="1" t="s">
        <v>402</v>
      </c>
      <c r="B63" s="1" t="s">
        <v>403</v>
      </c>
      <c r="C63" s="1" t="s">
        <v>69</v>
      </c>
      <c r="H63" s="6">
        <f>102-I63</f>
        <v>39</v>
      </c>
      <c r="I63">
        <v>63</v>
      </c>
      <c r="L63">
        <f>H63</f>
        <v>39</v>
      </c>
      <c r="M63">
        <f>L63/N63</f>
        <v>39</v>
      </c>
      <c r="N63">
        <v>1</v>
      </c>
    </row>
    <row r="64" spans="1:14">
      <c r="A64" t="s">
        <v>87</v>
      </c>
      <c r="B64" t="s">
        <v>141</v>
      </c>
      <c r="C64" t="s">
        <v>142</v>
      </c>
      <c r="D64">
        <f>101-E64</f>
        <v>99</v>
      </c>
      <c r="E64">
        <v>2</v>
      </c>
      <c r="F64">
        <f>101-G64</f>
        <v>100</v>
      </c>
      <c r="G64">
        <v>1</v>
      </c>
      <c r="H64" s="6"/>
      <c r="L64">
        <f>D64+F64</f>
        <v>199</v>
      </c>
      <c r="M64">
        <f>L64/N64</f>
        <v>99.5</v>
      </c>
      <c r="N64" s="6">
        <v>2</v>
      </c>
    </row>
    <row r="65" spans="1:14">
      <c r="A65" t="s">
        <v>167</v>
      </c>
      <c r="B65" t="s">
        <v>168</v>
      </c>
      <c r="C65" t="s">
        <v>142</v>
      </c>
      <c r="D65">
        <f>101-E65</f>
        <v>91</v>
      </c>
      <c r="E65">
        <v>10</v>
      </c>
      <c r="F65">
        <f>101-G65</f>
        <v>96</v>
      </c>
      <c r="G65">
        <v>5</v>
      </c>
      <c r="H65" s="6"/>
      <c r="L65">
        <f>D65+F65</f>
        <v>187</v>
      </c>
      <c r="M65">
        <f>L65/N65</f>
        <v>93.5</v>
      </c>
      <c r="N65" s="6">
        <v>2</v>
      </c>
    </row>
    <row r="66" spans="1:14">
      <c r="A66" t="s">
        <v>170</v>
      </c>
      <c r="B66" t="s">
        <v>171</v>
      </c>
      <c r="C66" t="s">
        <v>142</v>
      </c>
      <c r="D66">
        <f>101-E66</f>
        <v>90</v>
      </c>
      <c r="E66">
        <v>11</v>
      </c>
      <c r="F66">
        <f>101-G66</f>
        <v>94</v>
      </c>
      <c r="G66">
        <v>7</v>
      </c>
      <c r="H66" s="6"/>
      <c r="L66">
        <f>D66+F66</f>
        <v>184</v>
      </c>
      <c r="M66">
        <f>L66/N66</f>
        <v>92</v>
      </c>
      <c r="N66" s="6">
        <v>2</v>
      </c>
    </row>
    <row r="67" spans="1:14">
      <c r="A67" t="s">
        <v>174</v>
      </c>
      <c r="B67" t="s">
        <v>175</v>
      </c>
      <c r="C67" t="s">
        <v>142</v>
      </c>
      <c r="D67">
        <f>101-E67</f>
        <v>88</v>
      </c>
      <c r="E67">
        <v>13</v>
      </c>
      <c r="F67">
        <f>101-G67</f>
        <v>93</v>
      </c>
      <c r="G67">
        <v>8</v>
      </c>
      <c r="H67" s="6"/>
      <c r="L67">
        <f>D67+F67</f>
        <v>181</v>
      </c>
      <c r="M67">
        <f>L67/N67</f>
        <v>90.5</v>
      </c>
      <c r="N67" s="6">
        <v>2</v>
      </c>
    </row>
    <row r="68" spans="1:14">
      <c r="A68" t="s">
        <v>120</v>
      </c>
      <c r="B68" t="s">
        <v>183</v>
      </c>
      <c r="C68" t="s">
        <v>142</v>
      </c>
      <c r="D68">
        <f>101-E68</f>
        <v>80</v>
      </c>
      <c r="E68">
        <v>21</v>
      </c>
      <c r="F68">
        <f>101-G68</f>
        <v>92</v>
      </c>
      <c r="G68">
        <v>9</v>
      </c>
      <c r="H68" s="6"/>
      <c r="L68">
        <f>D68+F68</f>
        <v>172</v>
      </c>
      <c r="M68">
        <f>L68/N68</f>
        <v>86</v>
      </c>
      <c r="N68" s="6">
        <v>2</v>
      </c>
    </row>
    <row r="69" spans="1:14">
      <c r="A69" s="1" t="s">
        <v>181</v>
      </c>
      <c r="B69" s="1" t="s">
        <v>182</v>
      </c>
      <c r="C69" s="1" t="s">
        <v>48</v>
      </c>
      <c r="D69">
        <f>101-E69</f>
        <v>82</v>
      </c>
      <c r="E69">
        <v>19</v>
      </c>
      <c r="F69">
        <f>101-G69</f>
        <v>90</v>
      </c>
      <c r="G69">
        <v>11</v>
      </c>
      <c r="H69" s="6"/>
      <c r="L69">
        <f>D69+F69</f>
        <v>172</v>
      </c>
      <c r="M69">
        <f>L69/N69</f>
        <v>86</v>
      </c>
      <c r="N69" s="6">
        <v>2</v>
      </c>
    </row>
    <row r="70" spans="1:14">
      <c r="A70" s="1" t="s">
        <v>42</v>
      </c>
      <c r="B70" s="1" t="s">
        <v>43</v>
      </c>
      <c r="C70" s="1" t="s">
        <v>48</v>
      </c>
      <c r="D70">
        <f>101-E70</f>
        <v>70</v>
      </c>
      <c r="E70">
        <v>31</v>
      </c>
      <c r="F70">
        <f>101-G70</f>
        <v>86</v>
      </c>
      <c r="G70">
        <v>15</v>
      </c>
      <c r="H70" s="6"/>
      <c r="L70">
        <f>D70+F70</f>
        <v>156</v>
      </c>
      <c r="M70">
        <f>L70/N70</f>
        <v>78</v>
      </c>
      <c r="N70">
        <v>2</v>
      </c>
    </row>
    <row r="71" spans="1:14">
      <c r="A71" s="1" t="s">
        <v>190</v>
      </c>
      <c r="B71" s="1" t="s">
        <v>330</v>
      </c>
      <c r="C71" s="1" t="s">
        <v>48</v>
      </c>
      <c r="D71">
        <f>101-E71</f>
        <v>64</v>
      </c>
      <c r="E71">
        <v>37</v>
      </c>
      <c r="F71">
        <f>101-G71</f>
        <v>78</v>
      </c>
      <c r="G71">
        <v>23</v>
      </c>
      <c r="H71" s="6"/>
      <c r="L71">
        <f>D71+F71</f>
        <v>142</v>
      </c>
      <c r="M71">
        <f>L71/N71</f>
        <v>71</v>
      </c>
      <c r="N71" s="6">
        <v>2</v>
      </c>
    </row>
    <row r="72" spans="1:14">
      <c r="A72" s="1" t="s">
        <v>307</v>
      </c>
      <c r="B72" s="1" t="s">
        <v>308</v>
      </c>
      <c r="C72" s="1" t="s">
        <v>97</v>
      </c>
      <c r="F72">
        <f>101-G72</f>
        <v>98</v>
      </c>
      <c r="G72">
        <v>3</v>
      </c>
      <c r="H72" s="6"/>
      <c r="L72">
        <f>D72+F72</f>
        <v>98</v>
      </c>
      <c r="M72">
        <f>L72/N72</f>
        <v>98</v>
      </c>
      <c r="N72" s="6">
        <v>1</v>
      </c>
    </row>
    <row r="73" spans="1:14">
      <c r="A73" t="s">
        <v>143</v>
      </c>
      <c r="B73" t="s">
        <v>144</v>
      </c>
      <c r="C73" t="s">
        <v>142</v>
      </c>
      <c r="D73">
        <f>101-E73</f>
        <v>98</v>
      </c>
      <c r="E73">
        <v>3</v>
      </c>
      <c r="H73" s="6"/>
      <c r="L73">
        <f>D73+F73</f>
        <v>98</v>
      </c>
      <c r="M73">
        <f>L73/N73</f>
        <v>98</v>
      </c>
      <c r="N73" s="6">
        <v>1</v>
      </c>
    </row>
    <row r="74" spans="1:14">
      <c r="A74" t="s">
        <v>10</v>
      </c>
      <c r="B74" t="s">
        <v>145</v>
      </c>
      <c r="C74" t="s">
        <v>142</v>
      </c>
      <c r="D74">
        <f>101-E74</f>
        <v>96</v>
      </c>
      <c r="E74">
        <v>5</v>
      </c>
      <c r="H74" s="6"/>
      <c r="L74">
        <f>D74+F74</f>
        <v>96</v>
      </c>
      <c r="M74">
        <f>L74/N74</f>
        <v>96</v>
      </c>
      <c r="N74">
        <v>1</v>
      </c>
    </row>
    <row r="75" spans="1:14">
      <c r="A75" s="1" t="s">
        <v>79</v>
      </c>
      <c r="B75" s="1" t="s">
        <v>309</v>
      </c>
      <c r="C75" s="1" t="s">
        <v>69</v>
      </c>
      <c r="F75">
        <f>101-G75</f>
        <v>95</v>
      </c>
      <c r="G75">
        <v>6</v>
      </c>
      <c r="H75" s="6"/>
      <c r="L75">
        <f>D75+F75</f>
        <v>95</v>
      </c>
      <c r="M75">
        <f>L75/N75</f>
        <v>95</v>
      </c>
      <c r="N75" s="6">
        <v>1</v>
      </c>
    </row>
    <row r="76" spans="1:14">
      <c r="A76" t="s">
        <v>157</v>
      </c>
      <c r="B76" t="s">
        <v>158</v>
      </c>
      <c r="C76" t="s">
        <v>156</v>
      </c>
      <c r="D76">
        <f>101-E76</f>
        <v>94</v>
      </c>
      <c r="E76">
        <v>7</v>
      </c>
      <c r="H76" s="6"/>
      <c r="L76">
        <f>D76+F76</f>
        <v>94</v>
      </c>
      <c r="M76">
        <f>L76/N76</f>
        <v>94</v>
      </c>
      <c r="N76" s="6">
        <v>1</v>
      </c>
    </row>
    <row r="77" spans="1:14">
      <c r="A77" s="1" t="s">
        <v>176</v>
      </c>
      <c r="B77" s="1" t="s">
        <v>238</v>
      </c>
      <c r="C77" s="1" t="s">
        <v>48</v>
      </c>
      <c r="D77">
        <f>101-E77</f>
        <v>28</v>
      </c>
      <c r="E77">
        <v>73</v>
      </c>
      <c r="F77">
        <f>101-G77</f>
        <v>66</v>
      </c>
      <c r="G77">
        <v>35</v>
      </c>
      <c r="H77" s="6"/>
      <c r="L77">
        <f>D77+F77</f>
        <v>94</v>
      </c>
      <c r="M77">
        <f>L77/N77</f>
        <v>47</v>
      </c>
      <c r="N77" s="6">
        <v>2</v>
      </c>
    </row>
    <row r="78" spans="1:14">
      <c r="A78" s="1" t="s">
        <v>10</v>
      </c>
      <c r="B78" s="1" t="s">
        <v>11</v>
      </c>
      <c r="C78" s="1" t="s">
        <v>48</v>
      </c>
      <c r="D78">
        <f>101-E78</f>
        <v>92</v>
      </c>
      <c r="E78">
        <v>9</v>
      </c>
      <c r="H78" s="6"/>
      <c r="L78">
        <f>D78+F78</f>
        <v>92</v>
      </c>
      <c r="M78">
        <f>L78/N78</f>
        <v>92</v>
      </c>
      <c r="N78">
        <v>1</v>
      </c>
    </row>
    <row r="79" spans="1:14">
      <c r="A79" t="s">
        <v>172</v>
      </c>
      <c r="B79" t="s">
        <v>173</v>
      </c>
      <c r="C79" t="s">
        <v>142</v>
      </c>
      <c r="D79">
        <f>101-E79</f>
        <v>89</v>
      </c>
      <c r="E79">
        <v>12</v>
      </c>
      <c r="H79" s="6"/>
      <c r="L79">
        <f>D79+F79</f>
        <v>89</v>
      </c>
      <c r="M79">
        <f>L79/N79</f>
        <v>89</v>
      </c>
      <c r="N79" s="6">
        <v>1</v>
      </c>
    </row>
    <row r="80" spans="1:14">
      <c r="A80" s="1" t="s">
        <v>205</v>
      </c>
      <c r="B80" s="1" t="s">
        <v>316</v>
      </c>
      <c r="C80" s="1" t="s">
        <v>48</v>
      </c>
      <c r="F80">
        <f>101-G80</f>
        <v>87</v>
      </c>
      <c r="G80">
        <v>14</v>
      </c>
      <c r="H80" s="6"/>
      <c r="L80">
        <f>D80+F80</f>
        <v>87</v>
      </c>
      <c r="M80">
        <f>L80/N80</f>
        <v>87</v>
      </c>
      <c r="N80" s="6">
        <v>1</v>
      </c>
    </row>
    <row r="81" spans="1:14">
      <c r="A81" t="s">
        <v>176</v>
      </c>
      <c r="B81" t="s">
        <v>177</v>
      </c>
      <c r="C81" t="s">
        <v>142</v>
      </c>
      <c r="D81">
        <f>101-E81</f>
        <v>87</v>
      </c>
      <c r="E81">
        <v>14</v>
      </c>
      <c r="H81" s="6"/>
      <c r="L81">
        <f>D81+F81</f>
        <v>87</v>
      </c>
      <c r="M81">
        <f>L81/N81</f>
        <v>87</v>
      </c>
      <c r="N81" s="6">
        <v>1</v>
      </c>
    </row>
    <row r="82" spans="1:14">
      <c r="A82" t="s">
        <v>179</v>
      </c>
      <c r="B82" t="s">
        <v>177</v>
      </c>
      <c r="C82" t="s">
        <v>142</v>
      </c>
      <c r="D82">
        <f>101-E82</f>
        <v>85</v>
      </c>
      <c r="E82">
        <v>16</v>
      </c>
      <c r="H82" s="6"/>
      <c r="L82">
        <f>D82+F82</f>
        <v>85</v>
      </c>
      <c r="M82">
        <f>L82/N82</f>
        <v>85</v>
      </c>
      <c r="N82" s="5">
        <v>1</v>
      </c>
    </row>
    <row r="83" spans="1:14" s="3" customFormat="1">
      <c r="A83" s="1" t="s">
        <v>98</v>
      </c>
      <c r="B83" s="1" t="s">
        <v>99</v>
      </c>
      <c r="C83" s="1" t="s">
        <v>52</v>
      </c>
      <c r="D83">
        <f>101-E83</f>
        <v>84</v>
      </c>
      <c r="E83">
        <v>17</v>
      </c>
      <c r="F83"/>
      <c r="G83"/>
      <c r="H83" s="6"/>
      <c r="I83"/>
      <c r="J83"/>
      <c r="K83"/>
      <c r="L83">
        <f>D83+F83</f>
        <v>84</v>
      </c>
      <c r="M83">
        <f>L83/N83</f>
        <v>84</v>
      </c>
      <c r="N83" s="6">
        <v>1</v>
      </c>
    </row>
    <row r="84" spans="1:14">
      <c r="A84" s="1" t="s">
        <v>170</v>
      </c>
      <c r="B84" s="1" t="s">
        <v>321</v>
      </c>
      <c r="C84" s="1" t="s">
        <v>97</v>
      </c>
      <c r="F84">
        <f>101-G84</f>
        <v>83</v>
      </c>
      <c r="G84">
        <v>18</v>
      </c>
      <c r="H84" s="6"/>
      <c r="L84">
        <f>D84+F84</f>
        <v>83</v>
      </c>
      <c r="M84">
        <f>L84/N84</f>
        <v>83</v>
      </c>
      <c r="N84">
        <v>1</v>
      </c>
    </row>
    <row r="85" spans="1:14">
      <c r="A85" t="s">
        <v>176</v>
      </c>
      <c r="B85" t="s">
        <v>180</v>
      </c>
      <c r="C85" t="s">
        <v>219</v>
      </c>
      <c r="D85">
        <f>101-E85</f>
        <v>83</v>
      </c>
      <c r="E85">
        <v>18</v>
      </c>
      <c r="H85" s="6"/>
      <c r="L85">
        <f>D85+F85</f>
        <v>83</v>
      </c>
      <c r="M85">
        <f>L85/N85</f>
        <v>83</v>
      </c>
      <c r="N85">
        <v>1</v>
      </c>
    </row>
    <row r="86" spans="1:14">
      <c r="A86" s="1" t="s">
        <v>324</v>
      </c>
      <c r="B86" s="1" t="s">
        <v>325</v>
      </c>
      <c r="C86" s="1" t="s">
        <v>69</v>
      </c>
      <c r="F86">
        <f>101-G86</f>
        <v>81</v>
      </c>
      <c r="G86">
        <v>20</v>
      </c>
      <c r="H86" s="6"/>
      <c r="L86">
        <f>D86+F86</f>
        <v>81</v>
      </c>
      <c r="M86">
        <f>L86/N86</f>
        <v>81</v>
      </c>
      <c r="N86" s="6">
        <v>1</v>
      </c>
    </row>
    <row r="87" spans="1:14">
      <c r="A87" s="1" t="s">
        <v>38</v>
      </c>
      <c r="B87" s="1" t="s">
        <v>39</v>
      </c>
      <c r="C87" s="1" t="s">
        <v>49</v>
      </c>
      <c r="D87">
        <f>101-E87</f>
        <v>81</v>
      </c>
      <c r="E87">
        <v>20</v>
      </c>
      <c r="H87" s="6"/>
      <c r="L87">
        <f>D87+F87</f>
        <v>81</v>
      </c>
      <c r="M87">
        <f>L87/N87</f>
        <v>81</v>
      </c>
      <c r="N87" s="6">
        <v>1</v>
      </c>
    </row>
    <row r="88" spans="1:14">
      <c r="A88" s="1" t="s">
        <v>326</v>
      </c>
      <c r="B88" s="1" t="s">
        <v>327</v>
      </c>
      <c r="C88" s="1" t="s">
        <v>314</v>
      </c>
      <c r="F88">
        <f>101-G88</f>
        <v>80</v>
      </c>
      <c r="G88">
        <v>21</v>
      </c>
      <c r="H88" s="6"/>
      <c r="L88">
        <f>D88+F88</f>
        <v>80</v>
      </c>
      <c r="M88">
        <f>L88/N88</f>
        <v>80</v>
      </c>
      <c r="N88" s="6">
        <v>1</v>
      </c>
    </row>
    <row r="89" spans="1:14">
      <c r="A89" t="s">
        <v>184</v>
      </c>
      <c r="B89" t="s">
        <v>166</v>
      </c>
      <c r="C89" t="s">
        <v>76</v>
      </c>
      <c r="D89">
        <f>101-E89</f>
        <v>79</v>
      </c>
      <c r="E89">
        <v>22</v>
      </c>
      <c r="H89" s="6"/>
      <c r="L89">
        <f>D89+F89</f>
        <v>79</v>
      </c>
      <c r="M89">
        <f>L89/N89</f>
        <v>79</v>
      </c>
      <c r="N89" s="6">
        <v>1</v>
      </c>
    </row>
    <row r="90" spans="1:14">
      <c r="A90" t="s">
        <v>185</v>
      </c>
      <c r="B90" t="s">
        <v>186</v>
      </c>
      <c r="C90" t="s">
        <v>142</v>
      </c>
      <c r="D90">
        <f>101-E90</f>
        <v>78</v>
      </c>
      <c r="E90">
        <v>23</v>
      </c>
      <c r="H90" s="6"/>
      <c r="L90">
        <f>D90+F90</f>
        <v>78</v>
      </c>
      <c r="M90">
        <f>L90/N90</f>
        <v>78</v>
      </c>
      <c r="N90" s="6">
        <v>1</v>
      </c>
    </row>
    <row r="91" spans="1:14">
      <c r="A91" s="1" t="s">
        <v>202</v>
      </c>
      <c r="B91" s="1" t="s">
        <v>331</v>
      </c>
      <c r="C91" s="1" t="s">
        <v>49</v>
      </c>
      <c r="F91">
        <f>101-G91</f>
        <v>76</v>
      </c>
      <c r="G91">
        <v>25</v>
      </c>
      <c r="H91" s="6"/>
      <c r="L91">
        <f>D91+F91</f>
        <v>76</v>
      </c>
      <c r="M91">
        <f>L91/N91</f>
        <v>76</v>
      </c>
      <c r="N91" s="6">
        <v>1</v>
      </c>
    </row>
    <row r="92" spans="1:14">
      <c r="A92" s="1" t="s">
        <v>59</v>
      </c>
      <c r="B92" s="1" t="s">
        <v>60</v>
      </c>
      <c r="C92" s="1" t="s">
        <v>49</v>
      </c>
      <c r="D92">
        <f>101-E92</f>
        <v>76</v>
      </c>
      <c r="E92">
        <v>25</v>
      </c>
      <c r="H92" s="6"/>
      <c r="L92">
        <f>D92+F92</f>
        <v>76</v>
      </c>
      <c r="M92">
        <f>L92/N92</f>
        <v>76</v>
      </c>
      <c r="N92" s="6">
        <v>1</v>
      </c>
    </row>
    <row r="93" spans="1:14">
      <c r="A93" s="1" t="s">
        <v>124</v>
      </c>
      <c r="B93" s="1" t="s">
        <v>125</v>
      </c>
      <c r="C93" s="1" t="s">
        <v>51</v>
      </c>
      <c r="D93">
        <f>101-E93</f>
        <v>75</v>
      </c>
      <c r="E93">
        <v>26</v>
      </c>
      <c r="H93" s="6"/>
      <c r="L93">
        <f>D93+F93</f>
        <v>75</v>
      </c>
      <c r="M93">
        <f>L93/N93</f>
        <v>75</v>
      </c>
      <c r="N93" s="6">
        <v>1</v>
      </c>
    </row>
    <row r="94" spans="1:14">
      <c r="A94" s="1" t="s">
        <v>332</v>
      </c>
      <c r="B94" s="1" t="s">
        <v>333</v>
      </c>
      <c r="C94" s="1" t="s">
        <v>49</v>
      </c>
      <c r="F94">
        <f>101-G94</f>
        <v>75</v>
      </c>
      <c r="G94">
        <v>26</v>
      </c>
      <c r="H94" s="6"/>
      <c r="L94">
        <f>D94+F94</f>
        <v>75</v>
      </c>
      <c r="M94">
        <f>L94/N94</f>
        <v>75</v>
      </c>
      <c r="N94" s="6">
        <v>1</v>
      </c>
    </row>
    <row r="95" spans="1:14">
      <c r="A95" s="1" t="s">
        <v>126</v>
      </c>
      <c r="B95" s="1" t="s">
        <v>334</v>
      </c>
      <c r="C95" s="1" t="s">
        <v>69</v>
      </c>
      <c r="F95">
        <f>101-G95</f>
        <v>74</v>
      </c>
      <c r="G95">
        <v>27</v>
      </c>
      <c r="H95" s="6"/>
      <c r="L95">
        <f>D95+F95</f>
        <v>74</v>
      </c>
      <c r="M95">
        <f>L95/N95</f>
        <v>74</v>
      </c>
      <c r="N95">
        <v>1</v>
      </c>
    </row>
    <row r="96" spans="1:14">
      <c r="A96" s="1" t="s">
        <v>223</v>
      </c>
      <c r="B96" s="1" t="s">
        <v>335</v>
      </c>
      <c r="C96" s="1" t="s">
        <v>97</v>
      </c>
      <c r="F96">
        <f>101-G96</f>
        <v>73</v>
      </c>
      <c r="G96">
        <v>28</v>
      </c>
      <c r="H96" s="6"/>
      <c r="L96">
        <f>D96+F96</f>
        <v>73</v>
      </c>
      <c r="M96">
        <f>L96/N96</f>
        <v>73</v>
      </c>
      <c r="N96" s="6">
        <v>1</v>
      </c>
    </row>
    <row r="97" spans="1:14">
      <c r="A97" s="1" t="s">
        <v>120</v>
      </c>
      <c r="B97" s="1" t="s">
        <v>121</v>
      </c>
      <c r="C97" s="1" t="s">
        <v>51</v>
      </c>
      <c r="D97">
        <f>101-E97</f>
        <v>73</v>
      </c>
      <c r="E97">
        <v>28</v>
      </c>
      <c r="H97" s="6"/>
      <c r="L97">
        <f>D97+F97</f>
        <v>73</v>
      </c>
      <c r="M97">
        <f>L97/N97</f>
        <v>73</v>
      </c>
      <c r="N97" s="6">
        <v>1</v>
      </c>
    </row>
    <row r="98" spans="1:14">
      <c r="A98" t="s">
        <v>191</v>
      </c>
      <c r="B98" t="s">
        <v>192</v>
      </c>
      <c r="C98" t="s">
        <v>142</v>
      </c>
      <c r="D98">
        <f>101-E98</f>
        <v>72</v>
      </c>
      <c r="E98">
        <v>29</v>
      </c>
      <c r="H98" s="6"/>
      <c r="L98">
        <f>D98+F98</f>
        <v>72</v>
      </c>
      <c r="M98">
        <f>L98/N98</f>
        <v>72</v>
      </c>
      <c r="N98" s="6">
        <v>1</v>
      </c>
    </row>
    <row r="99" spans="1:14">
      <c r="A99" s="1" t="s">
        <v>337</v>
      </c>
      <c r="B99" s="1" t="s">
        <v>338</v>
      </c>
      <c r="C99" s="1" t="s">
        <v>69</v>
      </c>
      <c r="F99">
        <f>101-G99</f>
        <v>71</v>
      </c>
      <c r="G99">
        <v>30</v>
      </c>
      <c r="H99" s="6"/>
      <c r="L99">
        <f>D99+F99</f>
        <v>71</v>
      </c>
      <c r="M99">
        <f>L99/N99</f>
        <v>71</v>
      </c>
      <c r="N99" s="6">
        <v>1</v>
      </c>
    </row>
    <row r="100" spans="1:14">
      <c r="A100" s="1" t="s">
        <v>193</v>
      </c>
      <c r="B100" s="1" t="s">
        <v>194</v>
      </c>
      <c r="C100" s="1" t="s">
        <v>48</v>
      </c>
      <c r="D100">
        <f>101-E100</f>
        <v>69</v>
      </c>
      <c r="E100">
        <v>32</v>
      </c>
      <c r="H100" s="6"/>
      <c r="L100">
        <f>D100+F100</f>
        <v>69</v>
      </c>
      <c r="M100">
        <f>L100/N100</f>
        <v>69</v>
      </c>
      <c r="N100" s="6">
        <v>1</v>
      </c>
    </row>
    <row r="101" spans="1:14">
      <c r="A101" s="1" t="s">
        <v>340</v>
      </c>
      <c r="B101" s="1" t="s">
        <v>341</v>
      </c>
      <c r="C101" s="1" t="s">
        <v>48</v>
      </c>
      <c r="F101">
        <f>101-G101</f>
        <v>68</v>
      </c>
      <c r="G101">
        <v>33</v>
      </c>
      <c r="H101" s="6"/>
      <c r="L101">
        <f>D101+F101</f>
        <v>68</v>
      </c>
      <c r="M101">
        <f>L101/N101</f>
        <v>68</v>
      </c>
      <c r="N101" s="6">
        <v>1</v>
      </c>
    </row>
    <row r="102" spans="1:14">
      <c r="A102" s="1" t="s">
        <v>122</v>
      </c>
      <c r="B102" s="1" t="s">
        <v>123</v>
      </c>
      <c r="C102" s="1" t="s">
        <v>51</v>
      </c>
      <c r="D102">
        <f>101-E102</f>
        <v>68</v>
      </c>
      <c r="E102">
        <v>33</v>
      </c>
      <c r="H102" s="6"/>
      <c r="L102">
        <f>D102+F102</f>
        <v>68</v>
      </c>
      <c r="M102">
        <f>L102/N102</f>
        <v>68</v>
      </c>
      <c r="N102" s="6">
        <v>1</v>
      </c>
    </row>
    <row r="103" spans="1:14">
      <c r="A103" t="s">
        <v>154</v>
      </c>
      <c r="B103" t="s">
        <v>155</v>
      </c>
      <c r="C103" t="s">
        <v>156</v>
      </c>
      <c r="D103">
        <f>101-E103</f>
        <v>67</v>
      </c>
      <c r="E103">
        <v>34</v>
      </c>
      <c r="H103" s="6"/>
      <c r="L103">
        <f>D103+F103</f>
        <v>67</v>
      </c>
      <c r="M103">
        <f>L103/N103</f>
        <v>67</v>
      </c>
      <c r="N103" s="6">
        <v>1</v>
      </c>
    </row>
    <row r="104" spans="1:14">
      <c r="A104" s="1" t="s">
        <v>40</v>
      </c>
      <c r="B104" s="1" t="s">
        <v>342</v>
      </c>
      <c r="C104" s="1" t="s">
        <v>49</v>
      </c>
      <c r="F104">
        <f>101-G104</f>
        <v>67</v>
      </c>
      <c r="G104">
        <v>34</v>
      </c>
      <c r="H104" s="6"/>
      <c r="L104">
        <f>D104+F104</f>
        <v>67</v>
      </c>
      <c r="M104">
        <f>L104/N104</f>
        <v>67</v>
      </c>
      <c r="N104" s="6">
        <v>1</v>
      </c>
    </row>
    <row r="105" spans="1:14">
      <c r="A105" s="1" t="s">
        <v>40</v>
      </c>
      <c r="B105" s="1" t="s">
        <v>41</v>
      </c>
      <c r="C105" s="1" t="s">
        <v>53</v>
      </c>
      <c r="D105">
        <f>101-E105</f>
        <v>66</v>
      </c>
      <c r="E105">
        <v>35</v>
      </c>
      <c r="H105" s="6"/>
      <c r="L105">
        <f>D105+F105</f>
        <v>66</v>
      </c>
      <c r="M105">
        <f>L105/N105</f>
        <v>66</v>
      </c>
      <c r="N105" s="6">
        <v>1</v>
      </c>
    </row>
    <row r="106" spans="1:14">
      <c r="A106" t="s">
        <v>195</v>
      </c>
      <c r="B106" t="s">
        <v>196</v>
      </c>
      <c r="C106" s="1" t="s">
        <v>53</v>
      </c>
      <c r="D106">
        <f>101-E106</f>
        <v>65</v>
      </c>
      <c r="E106">
        <v>36</v>
      </c>
      <c r="H106" s="6"/>
      <c r="L106">
        <f>D106+F106</f>
        <v>65</v>
      </c>
      <c r="M106">
        <f>L106/N106</f>
        <v>65</v>
      </c>
      <c r="N106" s="6">
        <v>1</v>
      </c>
    </row>
    <row r="107" spans="1:14">
      <c r="A107" t="s">
        <v>197</v>
      </c>
      <c r="B107" t="s">
        <v>198</v>
      </c>
      <c r="C107" s="1" t="s">
        <v>48</v>
      </c>
      <c r="D107">
        <f>101-E107</f>
        <v>63</v>
      </c>
      <c r="E107">
        <v>38</v>
      </c>
      <c r="H107" s="6"/>
      <c r="L107">
        <f>D107+F107</f>
        <v>63</v>
      </c>
      <c r="M107">
        <f>L107/N107</f>
        <v>63</v>
      </c>
      <c r="N107" s="6">
        <v>1</v>
      </c>
    </row>
    <row r="108" spans="1:14">
      <c r="A108" t="s">
        <v>40</v>
      </c>
      <c r="B108" t="s">
        <v>199</v>
      </c>
      <c r="C108" s="1" t="s">
        <v>53</v>
      </c>
      <c r="D108">
        <f>101-E108</f>
        <v>61</v>
      </c>
      <c r="E108">
        <v>40</v>
      </c>
      <c r="H108" s="6"/>
      <c r="L108">
        <f>D108+F108</f>
        <v>61</v>
      </c>
      <c r="M108">
        <f>L108/N108</f>
        <v>61</v>
      </c>
      <c r="N108">
        <v>1</v>
      </c>
    </row>
    <row r="109" spans="1:14">
      <c r="A109" s="1" t="s">
        <v>200</v>
      </c>
      <c r="B109" s="1" t="s">
        <v>201</v>
      </c>
      <c r="C109" s="1" t="s">
        <v>75</v>
      </c>
      <c r="D109">
        <f>101-E109</f>
        <v>60</v>
      </c>
      <c r="E109">
        <v>41</v>
      </c>
      <c r="H109" s="6"/>
      <c r="L109">
        <f>D109+F109</f>
        <v>60</v>
      </c>
      <c r="M109">
        <f>L109/N109</f>
        <v>60</v>
      </c>
      <c r="N109" s="6">
        <v>1</v>
      </c>
    </row>
    <row r="110" spans="1:14">
      <c r="A110" t="s">
        <v>203</v>
      </c>
      <c r="B110" t="s">
        <v>204</v>
      </c>
      <c r="C110" s="1" t="s">
        <v>53</v>
      </c>
      <c r="D110">
        <f>101-E110</f>
        <v>57</v>
      </c>
      <c r="E110">
        <v>44</v>
      </c>
      <c r="H110" s="6"/>
      <c r="L110">
        <f>D110+F110</f>
        <v>57</v>
      </c>
      <c r="M110">
        <f>L110/N110</f>
        <v>57</v>
      </c>
      <c r="N110" s="6">
        <v>1</v>
      </c>
    </row>
    <row r="111" spans="1:14">
      <c r="A111" t="s">
        <v>207</v>
      </c>
      <c r="B111" t="s">
        <v>208</v>
      </c>
      <c r="C111" t="s">
        <v>53</v>
      </c>
      <c r="D111">
        <f>101-E111</f>
        <v>55</v>
      </c>
      <c r="E111">
        <v>46</v>
      </c>
      <c r="H111" s="6"/>
      <c r="L111">
        <f>D111+F111</f>
        <v>55</v>
      </c>
      <c r="M111">
        <f>L111/N111</f>
        <v>55</v>
      </c>
      <c r="N111" s="6">
        <v>1</v>
      </c>
    </row>
    <row r="112" spans="1:14">
      <c r="A112" s="1" t="s">
        <v>202</v>
      </c>
      <c r="B112" s="1" t="s">
        <v>209</v>
      </c>
      <c r="C112" s="1" t="s">
        <v>49</v>
      </c>
      <c r="D112">
        <f>101-E112</f>
        <v>54</v>
      </c>
      <c r="E112">
        <v>47</v>
      </c>
      <c r="H112" s="6"/>
      <c r="L112">
        <f>D112+F112</f>
        <v>54</v>
      </c>
      <c r="M112">
        <f>L112/N112</f>
        <v>54</v>
      </c>
      <c r="N112" s="6">
        <v>1</v>
      </c>
    </row>
    <row r="113" spans="1:14">
      <c r="A113" t="s">
        <v>79</v>
      </c>
      <c r="B113" t="s">
        <v>210</v>
      </c>
      <c r="C113" s="1" t="s">
        <v>53</v>
      </c>
      <c r="D113">
        <f>101-E113</f>
        <v>53</v>
      </c>
      <c r="E113">
        <v>48</v>
      </c>
      <c r="H113" s="6"/>
      <c r="L113">
        <f>D113+F113</f>
        <v>53</v>
      </c>
      <c r="M113">
        <f>L113/N113</f>
        <v>53</v>
      </c>
      <c r="N113" s="6">
        <v>1</v>
      </c>
    </row>
    <row r="114" spans="1:14">
      <c r="A114" t="s">
        <v>211</v>
      </c>
      <c r="B114" t="s">
        <v>212</v>
      </c>
      <c r="C114" s="1" t="s">
        <v>76</v>
      </c>
      <c r="D114">
        <f>101-E114</f>
        <v>52</v>
      </c>
      <c r="E114">
        <v>49</v>
      </c>
      <c r="H114" s="6"/>
      <c r="L114">
        <f>D114+F114</f>
        <v>52</v>
      </c>
      <c r="M114">
        <f>L114/N114</f>
        <v>52</v>
      </c>
      <c r="N114" s="6">
        <v>1</v>
      </c>
    </row>
    <row r="115" spans="1:14">
      <c r="A115" t="s">
        <v>202</v>
      </c>
      <c r="B115" t="s">
        <v>216</v>
      </c>
      <c r="C115" s="1" t="s">
        <v>75</v>
      </c>
      <c r="D115">
        <f>101-E115</f>
        <v>49</v>
      </c>
      <c r="E115">
        <v>52</v>
      </c>
      <c r="H115" s="6"/>
      <c r="L115">
        <f>D115+F115</f>
        <v>49</v>
      </c>
      <c r="M115">
        <f>L115/N115</f>
        <v>49</v>
      </c>
      <c r="N115" s="6">
        <v>1</v>
      </c>
    </row>
    <row r="116" spans="1:14">
      <c r="A116" s="1" t="s">
        <v>217</v>
      </c>
      <c r="B116" s="1" t="s">
        <v>218</v>
      </c>
      <c r="C116" s="1" t="s">
        <v>219</v>
      </c>
      <c r="D116">
        <f>101-E116</f>
        <v>48</v>
      </c>
      <c r="E116">
        <v>53</v>
      </c>
      <c r="H116" s="6"/>
      <c r="L116">
        <f>D116+F116</f>
        <v>48</v>
      </c>
      <c r="M116">
        <f>L116/N116</f>
        <v>48</v>
      </c>
      <c r="N116" s="6">
        <v>1</v>
      </c>
    </row>
    <row r="117" spans="1:14">
      <c r="A117" s="1" t="s">
        <v>95</v>
      </c>
      <c r="B117" s="1" t="s">
        <v>96</v>
      </c>
      <c r="C117" s="1" t="s">
        <v>51</v>
      </c>
      <c r="D117">
        <f>101-E117</f>
        <v>47</v>
      </c>
      <c r="E117">
        <v>54</v>
      </c>
      <c r="H117" s="6"/>
      <c r="L117">
        <f>D117+F117</f>
        <v>47</v>
      </c>
      <c r="M117">
        <f>L117/N117</f>
        <v>47</v>
      </c>
      <c r="N117" s="6">
        <v>1</v>
      </c>
    </row>
    <row r="118" spans="1:14">
      <c r="A118" s="6" t="s">
        <v>220</v>
      </c>
      <c r="B118" s="6" t="s">
        <v>221</v>
      </c>
      <c r="C118" s="1" t="s">
        <v>48</v>
      </c>
      <c r="D118">
        <f>101-E118</f>
        <v>46</v>
      </c>
      <c r="E118">
        <v>55</v>
      </c>
      <c r="H118" s="6"/>
      <c r="L118">
        <f>D118+F118</f>
        <v>46</v>
      </c>
      <c r="M118">
        <f>L118/N118</f>
        <v>46</v>
      </c>
      <c r="N118" s="6">
        <v>1</v>
      </c>
    </row>
    <row r="119" spans="1:14">
      <c r="A119" t="s">
        <v>176</v>
      </c>
      <c r="B119" t="s">
        <v>222</v>
      </c>
      <c r="C119" t="s">
        <v>49</v>
      </c>
      <c r="D119">
        <f>101-E119</f>
        <v>44</v>
      </c>
      <c r="E119">
        <v>57</v>
      </c>
      <c r="H119" s="6"/>
      <c r="L119">
        <f>D119+F119</f>
        <v>44</v>
      </c>
      <c r="M119">
        <f>L119/N119</f>
        <v>44</v>
      </c>
      <c r="N119" s="6">
        <v>1</v>
      </c>
    </row>
    <row r="120" spans="1:14">
      <c r="A120" t="s">
        <v>159</v>
      </c>
      <c r="B120" t="s">
        <v>160</v>
      </c>
      <c r="C120" t="s">
        <v>156</v>
      </c>
      <c r="D120">
        <f>101-E120</f>
        <v>43</v>
      </c>
      <c r="E120">
        <v>58</v>
      </c>
      <c r="H120" s="6"/>
      <c r="L120">
        <f>D120+F120</f>
        <v>43</v>
      </c>
      <c r="M120">
        <f>L120/N120</f>
        <v>43</v>
      </c>
      <c r="N120" s="6">
        <v>1</v>
      </c>
    </row>
    <row r="121" spans="1:14">
      <c r="A121" t="s">
        <v>223</v>
      </c>
      <c r="B121" t="s">
        <v>224</v>
      </c>
      <c r="C121" t="s">
        <v>75</v>
      </c>
      <c r="D121">
        <f>101-E121</f>
        <v>42</v>
      </c>
      <c r="E121">
        <v>59</v>
      </c>
      <c r="H121" s="6"/>
      <c r="L121">
        <f>D121+F121</f>
        <v>42</v>
      </c>
      <c r="M121">
        <f>L121/N121</f>
        <v>42</v>
      </c>
      <c r="N121" s="6">
        <v>1</v>
      </c>
    </row>
    <row r="122" spans="1:14">
      <c r="A122" t="s">
        <v>215</v>
      </c>
      <c r="B122" t="s">
        <v>225</v>
      </c>
      <c r="C122" t="s">
        <v>75</v>
      </c>
      <c r="D122">
        <f>101-E122</f>
        <v>41</v>
      </c>
      <c r="E122">
        <v>60</v>
      </c>
      <c r="H122" s="6"/>
      <c r="L122">
        <f>D122+F122</f>
        <v>41</v>
      </c>
      <c r="M122">
        <f>L122/N122</f>
        <v>41</v>
      </c>
      <c r="N122" s="6">
        <v>1</v>
      </c>
    </row>
    <row r="123" spans="1:14">
      <c r="A123" s="1" t="s">
        <v>170</v>
      </c>
      <c r="B123" s="1" t="s">
        <v>228</v>
      </c>
      <c r="C123" s="1" t="s">
        <v>49</v>
      </c>
      <c r="D123">
        <f>101-E123</f>
        <v>38</v>
      </c>
      <c r="E123">
        <v>63</v>
      </c>
      <c r="H123" s="6"/>
      <c r="L123">
        <f>D123+F123</f>
        <v>38</v>
      </c>
      <c r="M123">
        <f>L123/N123</f>
        <v>38</v>
      </c>
      <c r="N123" s="6">
        <v>1</v>
      </c>
    </row>
    <row r="124" spans="1:14">
      <c r="A124" t="s">
        <v>229</v>
      </c>
      <c r="B124" t="s">
        <v>230</v>
      </c>
      <c r="C124" s="1" t="s">
        <v>50</v>
      </c>
      <c r="D124">
        <f>101-E124</f>
        <v>37</v>
      </c>
      <c r="E124">
        <v>64</v>
      </c>
      <c r="H124" s="6"/>
      <c r="L124">
        <f>D124+F124</f>
        <v>37</v>
      </c>
      <c r="M124">
        <f>L124/N124</f>
        <v>37</v>
      </c>
      <c r="N124" s="6">
        <v>1</v>
      </c>
    </row>
    <row r="125" spans="1:14">
      <c r="A125" t="s">
        <v>215</v>
      </c>
      <c r="B125" t="s">
        <v>231</v>
      </c>
      <c r="C125" s="1" t="s">
        <v>50</v>
      </c>
      <c r="D125">
        <f>101-E125</f>
        <v>36</v>
      </c>
      <c r="E125">
        <v>65</v>
      </c>
      <c r="H125" s="6"/>
      <c r="L125">
        <f>D125+F125</f>
        <v>36</v>
      </c>
      <c r="M125">
        <f>L125/N125</f>
        <v>36</v>
      </c>
      <c r="N125" s="6">
        <v>1</v>
      </c>
    </row>
    <row r="126" spans="1:14">
      <c r="A126" t="s">
        <v>232</v>
      </c>
      <c r="B126" t="s">
        <v>127</v>
      </c>
      <c r="C126" t="s">
        <v>51</v>
      </c>
      <c r="D126">
        <f>101-E126</f>
        <v>35</v>
      </c>
      <c r="E126">
        <v>66</v>
      </c>
      <c r="H126" s="6"/>
      <c r="L126">
        <f>D126+F126</f>
        <v>35</v>
      </c>
      <c r="M126">
        <f>L126/N126</f>
        <v>35</v>
      </c>
      <c r="N126" s="6">
        <v>1</v>
      </c>
    </row>
    <row r="127" spans="1:14">
      <c r="A127" s="1" t="s">
        <v>126</v>
      </c>
      <c r="B127" s="1" t="s">
        <v>127</v>
      </c>
      <c r="C127" s="1" t="s">
        <v>51</v>
      </c>
      <c r="D127">
        <f>101-E127</f>
        <v>34</v>
      </c>
      <c r="E127">
        <v>67</v>
      </c>
      <c r="H127" s="6"/>
      <c r="L127">
        <f>D127+F127</f>
        <v>34</v>
      </c>
      <c r="M127">
        <f>L127/N127</f>
        <v>34</v>
      </c>
      <c r="N127" s="6">
        <v>1</v>
      </c>
    </row>
    <row r="128" spans="1:14">
      <c r="A128" s="1" t="s">
        <v>87</v>
      </c>
      <c r="B128" s="1" t="s">
        <v>88</v>
      </c>
      <c r="C128" s="1" t="s">
        <v>52</v>
      </c>
      <c r="D128">
        <f>101-E128</f>
        <v>33</v>
      </c>
      <c r="E128">
        <v>68</v>
      </c>
      <c r="H128" s="6"/>
      <c r="L128">
        <f>D128+F128</f>
        <v>33</v>
      </c>
      <c r="M128">
        <f>L128/N128</f>
        <v>33</v>
      </c>
      <c r="N128" s="6">
        <v>1</v>
      </c>
    </row>
    <row r="129" spans="1:14">
      <c r="A129" s="1" t="s">
        <v>232</v>
      </c>
      <c r="B129" s="1" t="s">
        <v>233</v>
      </c>
      <c r="C129" s="1" t="s">
        <v>48</v>
      </c>
      <c r="D129">
        <f>101-E129</f>
        <v>32</v>
      </c>
      <c r="E129">
        <v>69</v>
      </c>
      <c r="H129" s="6"/>
      <c r="L129">
        <f>D129+F129</f>
        <v>32</v>
      </c>
      <c r="M129">
        <f>L129/N129</f>
        <v>32</v>
      </c>
      <c r="N129" s="6">
        <v>1</v>
      </c>
    </row>
    <row r="130" spans="1:14">
      <c r="A130" t="s">
        <v>234</v>
      </c>
      <c r="B130" t="s">
        <v>235</v>
      </c>
      <c r="C130" s="1" t="s">
        <v>219</v>
      </c>
      <c r="D130">
        <f>101-E130</f>
        <v>30</v>
      </c>
      <c r="E130">
        <v>71</v>
      </c>
      <c r="H130" s="6"/>
      <c r="L130">
        <f>D130+F130</f>
        <v>30</v>
      </c>
      <c r="M130">
        <f>L130/N130</f>
        <v>30</v>
      </c>
      <c r="N130" s="6">
        <v>1</v>
      </c>
    </row>
    <row r="131" spans="1:14">
      <c r="A131" t="s">
        <v>236</v>
      </c>
      <c r="B131" t="s">
        <v>237</v>
      </c>
      <c r="C131" s="1" t="s">
        <v>75</v>
      </c>
      <c r="D131">
        <f>101-E131</f>
        <v>29</v>
      </c>
      <c r="E131">
        <v>72</v>
      </c>
      <c r="H131" s="6"/>
      <c r="L131">
        <f>D131+F131</f>
        <v>29</v>
      </c>
      <c r="M131">
        <f>L131/N131</f>
        <v>29</v>
      </c>
      <c r="N131" s="6">
        <v>1</v>
      </c>
    </row>
    <row r="132" spans="1:14">
      <c r="A132" s="1" t="s">
        <v>36</v>
      </c>
      <c r="B132" s="1" t="s">
        <v>37</v>
      </c>
      <c r="C132" s="1" t="s">
        <v>54</v>
      </c>
      <c r="H132" s="6"/>
      <c r="L132">
        <f>D132+F132</f>
        <v>0</v>
      </c>
      <c r="N132" s="6">
        <v>0</v>
      </c>
    </row>
    <row r="133" spans="1:14">
      <c r="A133" s="1" t="s">
        <v>25</v>
      </c>
      <c r="B133" s="1" t="s">
        <v>26</v>
      </c>
      <c r="C133" s="1" t="s">
        <v>49</v>
      </c>
      <c r="H133" s="6"/>
      <c r="L133">
        <f>D133+F133</f>
        <v>0</v>
      </c>
      <c r="N133" s="6">
        <v>0</v>
      </c>
    </row>
    <row r="134" spans="1:14">
      <c r="A134" s="1" t="s">
        <v>81</v>
      </c>
      <c r="B134" s="1" t="s">
        <v>113</v>
      </c>
      <c r="C134" s="1" t="s">
        <v>52</v>
      </c>
      <c r="G134" s="6"/>
      <c r="H134" s="6"/>
      <c r="I134" s="6"/>
      <c r="J134" s="6"/>
      <c r="K134" s="6"/>
      <c r="L134">
        <f>D134+F134</f>
        <v>0</v>
      </c>
      <c r="N134" s="6">
        <v>0</v>
      </c>
    </row>
    <row r="135" spans="1:14">
      <c r="A135" s="1" t="s">
        <v>19</v>
      </c>
      <c r="B135" s="1" t="s">
        <v>20</v>
      </c>
      <c r="C135" s="1" t="s">
        <v>53</v>
      </c>
      <c r="H135" s="6"/>
      <c r="L135">
        <f>D135+F135</f>
        <v>0</v>
      </c>
      <c r="N135" s="6">
        <v>0</v>
      </c>
    </row>
    <row r="136" spans="1:14">
      <c r="A136" s="1" t="s">
        <v>23</v>
      </c>
      <c r="B136" s="1" t="s">
        <v>29</v>
      </c>
      <c r="C136" s="1" t="s">
        <v>54</v>
      </c>
      <c r="H136" s="6"/>
      <c r="L136">
        <f>D136+F136</f>
        <v>0</v>
      </c>
      <c r="N136" s="6">
        <v>0</v>
      </c>
    </row>
    <row r="149" spans="5:12">
      <c r="E149" s="3"/>
      <c r="F149" s="3"/>
    </row>
    <row r="150" spans="5:12">
      <c r="G150" s="3"/>
      <c r="H150" s="3"/>
      <c r="I150" s="3"/>
      <c r="J150" s="3"/>
      <c r="K150" s="3"/>
      <c r="L150" s="3"/>
    </row>
  </sheetData>
  <sortState ref="A2:N150">
    <sortCondition descending="1" ref="H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tabSelected="1" topLeftCell="I1" workbookViewId="0">
      <selection activeCell="S4" sqref="S4"/>
    </sheetView>
  </sheetViews>
  <sheetFormatPr baseColWidth="10" defaultRowHeight="15" x14ac:dyDescent="0"/>
  <cols>
    <col min="1" max="1" width="15.6640625" bestFit="1" customWidth="1"/>
    <col min="7" max="7" width="16" bestFit="1" customWidth="1"/>
    <col min="13" max="13" width="17.5" bestFit="1" customWidth="1"/>
    <col min="14" max="14" width="11.83203125" bestFit="1" customWidth="1"/>
    <col min="18" max="18" width="16" bestFit="1" customWidth="1"/>
    <col min="19" max="19" width="17.5" bestFit="1" customWidth="1"/>
  </cols>
  <sheetData>
    <row r="1" spans="1:22">
      <c r="A1" s="2" t="s">
        <v>66</v>
      </c>
      <c r="G1" s="2" t="s">
        <v>2</v>
      </c>
      <c r="M1" s="2" t="s">
        <v>3</v>
      </c>
      <c r="S1" s="2" t="s">
        <v>363</v>
      </c>
      <c r="T1" s="2" t="s">
        <v>364</v>
      </c>
      <c r="U1" s="2" t="s">
        <v>365</v>
      </c>
      <c r="V1" s="2" t="s">
        <v>343</v>
      </c>
    </row>
    <row r="2" spans="1:22">
      <c r="A2" s="2" t="s">
        <v>296</v>
      </c>
      <c r="B2" s="2" t="s">
        <v>362</v>
      </c>
      <c r="C2" s="2" t="s">
        <v>298</v>
      </c>
      <c r="D2" s="2" t="s">
        <v>65</v>
      </c>
      <c r="E2" s="2" t="s">
        <v>304</v>
      </c>
      <c r="G2" s="2" t="s">
        <v>296</v>
      </c>
      <c r="H2" s="2" t="s">
        <v>362</v>
      </c>
      <c r="I2" s="2" t="s">
        <v>298</v>
      </c>
      <c r="J2" s="2" t="s">
        <v>65</v>
      </c>
      <c r="K2" s="2" t="s">
        <v>304</v>
      </c>
      <c r="M2" s="2" t="s">
        <v>296</v>
      </c>
      <c r="N2" s="2" t="s">
        <v>362</v>
      </c>
      <c r="O2" s="2" t="s">
        <v>298</v>
      </c>
      <c r="P2" s="2" t="s">
        <v>65</v>
      </c>
      <c r="Q2" s="2" t="s">
        <v>304</v>
      </c>
      <c r="S2" s="4" t="s">
        <v>67</v>
      </c>
      <c r="T2">
        <f>E6+K6</f>
        <v>200</v>
      </c>
      <c r="U2">
        <v>2</v>
      </c>
      <c r="V2">
        <f t="shared" ref="V2:V17" si="0">T2/U2</f>
        <v>100</v>
      </c>
    </row>
    <row r="3" spans="1:22">
      <c r="A3" s="4" t="s">
        <v>67</v>
      </c>
      <c r="B3" t="s">
        <v>141</v>
      </c>
      <c r="C3">
        <v>99</v>
      </c>
      <c r="G3" t="s">
        <v>67</v>
      </c>
      <c r="H3" t="s">
        <v>141</v>
      </c>
      <c r="I3">
        <v>100</v>
      </c>
      <c r="K3" s="1"/>
      <c r="M3" s="1" t="s">
        <v>48</v>
      </c>
      <c r="N3" t="s">
        <v>7</v>
      </c>
      <c r="O3">
        <v>99</v>
      </c>
      <c r="S3" t="s">
        <v>48</v>
      </c>
      <c r="T3" s="1">
        <v>190</v>
      </c>
      <c r="U3" s="1">
        <v>2</v>
      </c>
      <c r="V3">
        <f t="shared" si="0"/>
        <v>95</v>
      </c>
    </row>
    <row r="4" spans="1:22">
      <c r="B4" t="s">
        <v>144</v>
      </c>
      <c r="C4">
        <v>98</v>
      </c>
      <c r="H4" t="s">
        <v>168</v>
      </c>
      <c r="I4">
        <v>96</v>
      </c>
      <c r="K4" s="1"/>
      <c r="M4" s="1"/>
      <c r="N4" t="s">
        <v>151</v>
      </c>
      <c r="O4">
        <v>98</v>
      </c>
      <c r="S4" t="s">
        <v>68</v>
      </c>
      <c r="T4" s="1">
        <v>170</v>
      </c>
      <c r="U4" s="1">
        <v>2</v>
      </c>
      <c r="V4">
        <f>T4/U4</f>
        <v>85</v>
      </c>
    </row>
    <row r="5" spans="1:22">
      <c r="B5" t="s">
        <v>145</v>
      </c>
      <c r="C5">
        <v>96</v>
      </c>
      <c r="H5" t="s">
        <v>171</v>
      </c>
      <c r="I5">
        <v>94</v>
      </c>
      <c r="K5" s="1"/>
      <c r="M5" s="1"/>
      <c r="N5" t="s">
        <v>417</v>
      </c>
      <c r="O5">
        <v>93</v>
      </c>
      <c r="S5" t="s">
        <v>97</v>
      </c>
      <c r="T5" s="1">
        <v>160</v>
      </c>
      <c r="U5" s="1">
        <v>2</v>
      </c>
      <c r="V5">
        <f t="shared" si="0"/>
        <v>80</v>
      </c>
    </row>
    <row r="6" spans="1:22">
      <c r="B6" t="s">
        <v>168</v>
      </c>
      <c r="C6">
        <v>91</v>
      </c>
      <c r="D6">
        <f>C3+C4+C5+C6</f>
        <v>384</v>
      </c>
      <c r="E6">
        <v>100</v>
      </c>
      <c r="H6" t="s">
        <v>175</v>
      </c>
      <c r="I6">
        <v>93</v>
      </c>
      <c r="J6">
        <f>I3+I4+I5+I6</f>
        <v>383</v>
      </c>
      <c r="K6" s="1">
        <v>100</v>
      </c>
      <c r="M6" s="1"/>
      <c r="N6" t="s">
        <v>58</v>
      </c>
      <c r="O6">
        <v>79</v>
      </c>
      <c r="P6">
        <f>O3+O4+O5+O6</f>
        <v>369</v>
      </c>
      <c r="Q6">
        <v>100</v>
      </c>
      <c r="S6" t="s">
        <v>73</v>
      </c>
      <c r="T6" s="1">
        <v>140</v>
      </c>
      <c r="U6" s="1">
        <v>2</v>
      </c>
      <c r="V6">
        <f t="shared" si="0"/>
        <v>70</v>
      </c>
    </row>
    <row r="7" spans="1:22">
      <c r="A7" t="s">
        <v>48</v>
      </c>
      <c r="B7" t="s">
        <v>7</v>
      </c>
      <c r="C7">
        <v>95</v>
      </c>
      <c r="G7" t="s">
        <v>48</v>
      </c>
      <c r="H7" t="s">
        <v>7</v>
      </c>
      <c r="I7">
        <v>99</v>
      </c>
      <c r="K7" s="1"/>
      <c r="M7" s="1" t="s">
        <v>68</v>
      </c>
      <c r="N7" t="s">
        <v>24</v>
      </c>
      <c r="O7">
        <v>97</v>
      </c>
      <c r="S7" t="s">
        <v>69</v>
      </c>
      <c r="T7" s="1">
        <v>120</v>
      </c>
      <c r="U7" s="1">
        <v>2</v>
      </c>
      <c r="V7">
        <f t="shared" si="0"/>
        <v>60</v>
      </c>
    </row>
    <row r="8" spans="1:22">
      <c r="B8" t="s">
        <v>11</v>
      </c>
      <c r="C8">
        <v>92</v>
      </c>
      <c r="H8" t="s">
        <v>151</v>
      </c>
      <c r="I8">
        <v>97</v>
      </c>
      <c r="K8" s="1"/>
      <c r="M8" s="1"/>
      <c r="N8" t="s">
        <v>47</v>
      </c>
      <c r="O8">
        <v>94</v>
      </c>
      <c r="S8" t="s">
        <v>301</v>
      </c>
      <c r="T8" s="1">
        <f>K25+E26</f>
        <v>100</v>
      </c>
      <c r="U8" s="1">
        <v>2</v>
      </c>
      <c r="V8">
        <f t="shared" si="0"/>
        <v>50</v>
      </c>
    </row>
    <row r="9" spans="1:22">
      <c r="B9" t="s">
        <v>182</v>
      </c>
      <c r="C9">
        <v>82</v>
      </c>
      <c r="H9" t="s">
        <v>182</v>
      </c>
      <c r="I9">
        <v>90</v>
      </c>
      <c r="K9" s="1"/>
      <c r="M9" s="1"/>
      <c r="N9" t="s">
        <v>101</v>
      </c>
      <c r="O9">
        <v>86</v>
      </c>
      <c r="S9" t="s">
        <v>314</v>
      </c>
      <c r="T9" s="1">
        <v>100</v>
      </c>
      <c r="U9" s="1">
        <v>2</v>
      </c>
      <c r="V9">
        <f t="shared" si="0"/>
        <v>50</v>
      </c>
    </row>
    <row r="10" spans="1:22">
      <c r="B10" t="s">
        <v>58</v>
      </c>
      <c r="C10">
        <v>71</v>
      </c>
      <c r="D10">
        <f>C7+C8+C9+C10</f>
        <v>340</v>
      </c>
      <c r="E10">
        <v>90</v>
      </c>
      <c r="H10" t="s">
        <v>316</v>
      </c>
      <c r="I10">
        <v>87</v>
      </c>
      <c r="J10">
        <f>I7+I8+I9+I10</f>
        <v>373</v>
      </c>
      <c r="K10" s="1">
        <v>90</v>
      </c>
      <c r="M10" s="1"/>
      <c r="N10" t="s">
        <v>110</v>
      </c>
      <c r="O10">
        <v>84</v>
      </c>
      <c r="P10">
        <f>O7+O8+O9+O10</f>
        <v>361</v>
      </c>
      <c r="Q10">
        <v>90</v>
      </c>
      <c r="S10" s="1" t="s">
        <v>320</v>
      </c>
      <c r="T10">
        <v>100</v>
      </c>
      <c r="U10" s="1">
        <v>2</v>
      </c>
      <c r="V10">
        <f t="shared" si="0"/>
        <v>50</v>
      </c>
    </row>
    <row r="11" spans="1:22">
      <c r="A11" t="s">
        <v>68</v>
      </c>
      <c r="B11" t="s">
        <v>24</v>
      </c>
      <c r="C11">
        <v>97</v>
      </c>
      <c r="G11" t="s">
        <v>97</v>
      </c>
      <c r="H11" t="s">
        <v>308</v>
      </c>
      <c r="I11">
        <v>98</v>
      </c>
      <c r="M11" s="1" t="s">
        <v>97</v>
      </c>
      <c r="N11" t="s">
        <v>311</v>
      </c>
      <c r="O11">
        <v>96</v>
      </c>
      <c r="R11" s="1"/>
      <c r="S11" t="s">
        <v>71</v>
      </c>
      <c r="T11" s="1">
        <f>E22</f>
        <v>60</v>
      </c>
      <c r="U11" s="1">
        <v>1</v>
      </c>
      <c r="V11">
        <f t="shared" si="0"/>
        <v>60</v>
      </c>
    </row>
    <row r="12" spans="1:22">
      <c r="B12" t="s">
        <v>99</v>
      </c>
      <c r="C12">
        <v>84</v>
      </c>
      <c r="H12" t="s">
        <v>311</v>
      </c>
      <c r="I12">
        <v>91</v>
      </c>
      <c r="M12" s="1"/>
      <c r="N12" t="s">
        <v>315</v>
      </c>
      <c r="O12">
        <v>91</v>
      </c>
      <c r="R12" s="1"/>
      <c r="S12" s="1" t="s">
        <v>75</v>
      </c>
      <c r="T12">
        <v>50</v>
      </c>
      <c r="U12" s="1">
        <v>2</v>
      </c>
      <c r="V12">
        <f t="shared" si="0"/>
        <v>25</v>
      </c>
    </row>
    <row r="13" spans="1:22">
      <c r="B13" t="s">
        <v>110</v>
      </c>
      <c r="C13">
        <v>77</v>
      </c>
      <c r="H13" t="s">
        <v>315</v>
      </c>
      <c r="I13">
        <v>88</v>
      </c>
      <c r="M13" s="5"/>
      <c r="N13" t="s">
        <v>188</v>
      </c>
      <c r="O13">
        <v>87</v>
      </c>
      <c r="R13" s="1"/>
      <c r="S13" s="1" t="s">
        <v>70</v>
      </c>
      <c r="T13">
        <f>E30</f>
        <v>40</v>
      </c>
      <c r="U13" s="1">
        <v>1</v>
      </c>
      <c r="V13">
        <f t="shared" si="0"/>
        <v>40</v>
      </c>
    </row>
    <row r="14" spans="1:22">
      <c r="B14" t="s">
        <v>82</v>
      </c>
      <c r="C14">
        <v>59</v>
      </c>
      <c r="D14">
        <f>C11+C12+C13+C14</f>
        <v>317</v>
      </c>
      <c r="E14">
        <v>80</v>
      </c>
      <c r="H14" t="s">
        <v>321</v>
      </c>
      <c r="I14">
        <v>83</v>
      </c>
      <c r="J14">
        <f>I11+I12+I13+I14</f>
        <v>360</v>
      </c>
      <c r="K14">
        <v>80</v>
      </c>
      <c r="M14" s="1"/>
      <c r="N14" t="s">
        <v>392</v>
      </c>
      <c r="O14">
        <v>85</v>
      </c>
      <c r="P14">
        <f>O11+O12+O13+O14</f>
        <v>359</v>
      </c>
      <c r="Q14">
        <v>80</v>
      </c>
      <c r="R14" s="1"/>
      <c r="S14" s="5" t="s">
        <v>72</v>
      </c>
      <c r="T14">
        <f>E38</f>
        <v>20</v>
      </c>
      <c r="U14" s="1">
        <v>1</v>
      </c>
      <c r="V14">
        <f t="shared" si="0"/>
        <v>20</v>
      </c>
    </row>
    <row r="15" spans="1:22">
      <c r="A15" t="s">
        <v>73</v>
      </c>
      <c r="B15" t="s">
        <v>139</v>
      </c>
      <c r="C15">
        <v>100</v>
      </c>
      <c r="G15" t="s">
        <v>69</v>
      </c>
      <c r="H15" s="1" t="s">
        <v>309</v>
      </c>
      <c r="I15">
        <v>95</v>
      </c>
      <c r="M15" s="1" t="s">
        <v>73</v>
      </c>
      <c r="N15" t="s">
        <v>139</v>
      </c>
      <c r="O15">
        <v>100</v>
      </c>
      <c r="S15" s="1" t="s">
        <v>74</v>
      </c>
      <c r="T15">
        <f>E41</f>
        <v>10</v>
      </c>
      <c r="U15" s="1">
        <v>1</v>
      </c>
      <c r="V15">
        <f t="shared" si="0"/>
        <v>10</v>
      </c>
    </row>
    <row r="16" spans="1:22">
      <c r="B16" t="s">
        <v>178</v>
      </c>
      <c r="C16">
        <v>86</v>
      </c>
      <c r="H16" s="1" t="s">
        <v>318</v>
      </c>
      <c r="I16">
        <v>85</v>
      </c>
      <c r="M16" s="1"/>
      <c r="N16" t="s">
        <v>178</v>
      </c>
      <c r="O16">
        <v>90</v>
      </c>
      <c r="S16" s="1" t="s">
        <v>302</v>
      </c>
      <c r="T16">
        <v>10</v>
      </c>
      <c r="U16" s="1">
        <v>2</v>
      </c>
      <c r="V16">
        <f t="shared" si="0"/>
        <v>5</v>
      </c>
    </row>
    <row r="17" spans="1:22">
      <c r="B17" t="s">
        <v>206</v>
      </c>
      <c r="C17">
        <v>56</v>
      </c>
      <c r="H17" s="5" t="s">
        <v>323</v>
      </c>
      <c r="I17">
        <v>82</v>
      </c>
      <c r="N17" t="s">
        <v>206</v>
      </c>
      <c r="O17">
        <v>74</v>
      </c>
      <c r="S17" s="1" t="s">
        <v>76</v>
      </c>
      <c r="T17">
        <v>0</v>
      </c>
      <c r="U17" s="1">
        <v>1</v>
      </c>
      <c r="V17">
        <f t="shared" si="0"/>
        <v>0</v>
      </c>
    </row>
    <row r="18" spans="1:22">
      <c r="B18" t="s">
        <v>214</v>
      </c>
      <c r="C18">
        <v>51</v>
      </c>
      <c r="D18">
        <f>C15+C16+C17+C18</f>
        <v>293</v>
      </c>
      <c r="E18">
        <v>70</v>
      </c>
      <c r="H18" s="1" t="s">
        <v>325</v>
      </c>
      <c r="I18">
        <v>81</v>
      </c>
      <c r="J18">
        <f>I15+I16+I17+I18</f>
        <v>343</v>
      </c>
      <c r="K18">
        <v>70</v>
      </c>
      <c r="L18" s="1"/>
      <c r="M18" s="1"/>
      <c r="N18" t="s">
        <v>189</v>
      </c>
      <c r="O18">
        <v>70</v>
      </c>
      <c r="P18" s="1">
        <f>O15+O16+O17+O18</f>
        <v>334</v>
      </c>
      <c r="Q18" s="1">
        <v>70</v>
      </c>
      <c r="S18" s="1" t="s">
        <v>439</v>
      </c>
      <c r="T18">
        <v>0</v>
      </c>
      <c r="U18" s="1">
        <v>0</v>
      </c>
      <c r="V18">
        <v>1</v>
      </c>
    </row>
    <row r="19" spans="1:22">
      <c r="A19" t="s">
        <v>71</v>
      </c>
      <c r="B19" t="s">
        <v>125</v>
      </c>
      <c r="C19">
        <v>75</v>
      </c>
      <c r="G19" t="s">
        <v>314</v>
      </c>
      <c r="H19" s="1" t="s">
        <v>313</v>
      </c>
      <c r="I19">
        <v>89</v>
      </c>
      <c r="M19" t="s">
        <v>320</v>
      </c>
      <c r="N19" t="s">
        <v>11</v>
      </c>
      <c r="O19">
        <v>88</v>
      </c>
      <c r="P19" s="1"/>
      <c r="Q19" s="1"/>
    </row>
    <row r="20" spans="1:22">
      <c r="B20" t="s">
        <v>121</v>
      </c>
      <c r="C20">
        <v>73</v>
      </c>
      <c r="H20" s="1" t="s">
        <v>327</v>
      </c>
      <c r="I20">
        <v>80</v>
      </c>
      <c r="N20" t="s">
        <v>421</v>
      </c>
      <c r="O20">
        <v>82</v>
      </c>
      <c r="P20" s="1"/>
      <c r="Q20" s="1"/>
    </row>
    <row r="21" spans="1:22">
      <c r="B21" t="s">
        <v>123</v>
      </c>
      <c r="C21">
        <v>68</v>
      </c>
      <c r="H21" s="1" t="s">
        <v>336</v>
      </c>
      <c r="I21">
        <v>72</v>
      </c>
      <c r="N21" t="s">
        <v>423</v>
      </c>
      <c r="O21">
        <v>80</v>
      </c>
    </row>
    <row r="22" spans="1:22">
      <c r="B22" t="s">
        <v>300</v>
      </c>
      <c r="C22">
        <v>47</v>
      </c>
      <c r="D22">
        <f>C19+C20+C21+C22</f>
        <v>263</v>
      </c>
      <c r="E22">
        <v>60</v>
      </c>
      <c r="H22" s="1" t="s">
        <v>339</v>
      </c>
      <c r="I22">
        <v>69</v>
      </c>
      <c r="J22">
        <f>I19+I20+I21+I22</f>
        <v>310</v>
      </c>
      <c r="K22">
        <v>60</v>
      </c>
      <c r="N22" t="s">
        <v>424</v>
      </c>
      <c r="O22">
        <v>62</v>
      </c>
      <c r="P22">
        <f>O19+O20+O21+O22</f>
        <v>312</v>
      </c>
      <c r="Q22">
        <v>60</v>
      </c>
    </row>
    <row r="23" spans="1:22">
      <c r="A23" t="s">
        <v>301</v>
      </c>
      <c r="B23" t="s">
        <v>39</v>
      </c>
      <c r="C23">
        <v>81</v>
      </c>
      <c r="G23" t="s">
        <v>301</v>
      </c>
      <c r="H23" s="1" t="s">
        <v>331</v>
      </c>
      <c r="I23">
        <v>76</v>
      </c>
      <c r="M23" t="s">
        <v>69</v>
      </c>
      <c r="N23" t="s">
        <v>323</v>
      </c>
      <c r="O23">
        <v>89</v>
      </c>
    </row>
    <row r="24" spans="1:22">
      <c r="B24" t="s">
        <v>60</v>
      </c>
      <c r="C24">
        <v>76</v>
      </c>
      <c r="H24" s="1" t="s">
        <v>333</v>
      </c>
      <c r="I24">
        <v>75</v>
      </c>
      <c r="N24" t="s">
        <v>318</v>
      </c>
      <c r="O24">
        <v>81</v>
      </c>
    </row>
    <row r="25" spans="1:22">
      <c r="B25" t="s">
        <v>209</v>
      </c>
      <c r="C25">
        <v>54</v>
      </c>
      <c r="H25" s="1" t="s">
        <v>342</v>
      </c>
      <c r="I25">
        <v>67</v>
      </c>
      <c r="J25">
        <f>I23+I24+I25</f>
        <v>218</v>
      </c>
      <c r="K25">
        <v>50</v>
      </c>
      <c r="N25" t="s">
        <v>401</v>
      </c>
      <c r="O25">
        <v>68</v>
      </c>
    </row>
    <row r="26" spans="1:22">
      <c r="B26" t="s">
        <v>222</v>
      </c>
      <c r="C26">
        <v>44</v>
      </c>
      <c r="D26">
        <f>C23+C24+C25+C26</f>
        <v>255</v>
      </c>
      <c r="E26">
        <v>50</v>
      </c>
      <c r="G26" t="s">
        <v>320</v>
      </c>
      <c r="H26" s="1" t="s">
        <v>11</v>
      </c>
      <c r="I26">
        <v>84</v>
      </c>
      <c r="J26">
        <f>84</f>
        <v>84</v>
      </c>
      <c r="K26">
        <v>40</v>
      </c>
      <c r="N26" t="s">
        <v>438</v>
      </c>
      <c r="O26">
        <v>41</v>
      </c>
      <c r="P26">
        <f>O23+O24+O25+O26</f>
        <v>279</v>
      </c>
      <c r="Q26">
        <v>50</v>
      </c>
    </row>
    <row r="27" spans="1:22">
      <c r="A27" t="s">
        <v>70</v>
      </c>
      <c r="B27" t="s">
        <v>41</v>
      </c>
      <c r="C27">
        <v>66</v>
      </c>
      <c r="M27" t="s">
        <v>314</v>
      </c>
      <c r="N27" t="s">
        <v>313</v>
      </c>
      <c r="O27">
        <v>95</v>
      </c>
    </row>
    <row r="28" spans="1:22">
      <c r="B28" t="s">
        <v>196</v>
      </c>
      <c r="C28">
        <v>65</v>
      </c>
      <c r="N28" t="s">
        <v>336</v>
      </c>
      <c r="O28">
        <v>58</v>
      </c>
    </row>
    <row r="29" spans="1:22">
      <c r="B29" t="s">
        <v>199</v>
      </c>
      <c r="C29">
        <v>61</v>
      </c>
      <c r="N29" t="s">
        <v>339</v>
      </c>
      <c r="O29">
        <v>44</v>
      </c>
    </row>
    <row r="30" spans="1:22">
      <c r="B30" t="s">
        <v>204</v>
      </c>
      <c r="C30">
        <v>57</v>
      </c>
      <c r="D30">
        <f>C27+C28+C29+C30</f>
        <v>249</v>
      </c>
      <c r="E30">
        <v>40</v>
      </c>
      <c r="N30" t="s">
        <v>389</v>
      </c>
      <c r="O30">
        <v>43</v>
      </c>
      <c r="P30">
        <f>O27+O28+O29+O30</f>
        <v>240</v>
      </c>
      <c r="Q30">
        <v>40</v>
      </c>
    </row>
    <row r="31" spans="1:22">
      <c r="A31" t="s">
        <v>75</v>
      </c>
      <c r="B31" t="s">
        <v>147</v>
      </c>
      <c r="C31">
        <v>93</v>
      </c>
      <c r="M31" t="s">
        <v>301</v>
      </c>
      <c r="N31" t="s">
        <v>414</v>
      </c>
      <c r="O31">
        <v>66</v>
      </c>
    </row>
    <row r="32" spans="1:22">
      <c r="B32" t="s">
        <v>201</v>
      </c>
      <c r="C32">
        <v>60</v>
      </c>
      <c r="N32" t="s">
        <v>413</v>
      </c>
      <c r="O32">
        <v>52</v>
      </c>
    </row>
    <row r="33" spans="1:17">
      <c r="B33" t="s">
        <v>216</v>
      </c>
      <c r="C33">
        <v>49</v>
      </c>
      <c r="N33" t="s">
        <v>416</v>
      </c>
      <c r="O33">
        <v>47</v>
      </c>
      <c r="P33">
        <f>O31+O32+O33</f>
        <v>165</v>
      </c>
      <c r="Q33">
        <v>30</v>
      </c>
    </row>
    <row r="34" spans="1:17">
      <c r="B34" t="s">
        <v>224</v>
      </c>
      <c r="C34">
        <v>42</v>
      </c>
      <c r="D34">
        <f>C31+C32+C33+C34</f>
        <v>244</v>
      </c>
      <c r="E34">
        <v>30</v>
      </c>
      <c r="M34" t="s">
        <v>75</v>
      </c>
      <c r="N34" t="s">
        <v>147</v>
      </c>
      <c r="O34">
        <v>92</v>
      </c>
      <c r="P34">
        <f>O34</f>
        <v>92</v>
      </c>
      <c r="Q34">
        <v>20</v>
      </c>
    </row>
    <row r="35" spans="1:17">
      <c r="A35" t="s">
        <v>72</v>
      </c>
      <c r="B35" t="s">
        <v>158</v>
      </c>
      <c r="C35">
        <v>94</v>
      </c>
      <c r="M35" t="s">
        <v>302</v>
      </c>
      <c r="N35" t="s">
        <v>62</v>
      </c>
      <c r="O35">
        <v>71</v>
      </c>
      <c r="P35">
        <f>O35</f>
        <v>71</v>
      </c>
      <c r="Q35">
        <v>10</v>
      </c>
    </row>
    <row r="36" spans="1:17">
      <c r="B36" t="s">
        <v>299</v>
      </c>
      <c r="C36">
        <v>67</v>
      </c>
      <c r="M36" t="s">
        <v>439</v>
      </c>
      <c r="N36" t="s">
        <v>411</v>
      </c>
      <c r="O36">
        <v>60</v>
      </c>
      <c r="P36">
        <f>O36</f>
        <v>60</v>
      </c>
      <c r="Q36">
        <v>0</v>
      </c>
    </row>
    <row r="37" spans="1:17">
      <c r="B37" t="s">
        <v>160</v>
      </c>
      <c r="C37">
        <v>43</v>
      </c>
    </row>
    <row r="38" spans="1:17">
      <c r="D38">
        <f>C35+C36+C37</f>
        <v>204</v>
      </c>
      <c r="E38">
        <v>20</v>
      </c>
    </row>
    <row r="39" spans="1:17">
      <c r="A39" t="s">
        <v>74</v>
      </c>
      <c r="B39" t="s">
        <v>180</v>
      </c>
      <c r="C39">
        <v>83</v>
      </c>
    </row>
    <row r="40" spans="1:17">
      <c r="B40" t="s">
        <v>218</v>
      </c>
      <c r="C40">
        <v>48</v>
      </c>
    </row>
    <row r="41" spans="1:17">
      <c r="B41" t="s">
        <v>235</v>
      </c>
      <c r="C41">
        <v>30</v>
      </c>
      <c r="D41">
        <f>C39+C40+C41</f>
        <v>161</v>
      </c>
      <c r="E41">
        <v>10</v>
      </c>
    </row>
    <row r="42" spans="1:17">
      <c r="A42" t="s">
        <v>302</v>
      </c>
      <c r="B42" t="s">
        <v>62</v>
      </c>
      <c r="C42">
        <v>62</v>
      </c>
    </row>
    <row r="43" spans="1:17">
      <c r="B43" t="s">
        <v>230</v>
      </c>
      <c r="C43">
        <v>37</v>
      </c>
    </row>
    <row r="44" spans="1:17">
      <c r="B44" t="s">
        <v>231</v>
      </c>
      <c r="C44">
        <v>36</v>
      </c>
      <c r="D44">
        <f>C42+C43+C44</f>
        <v>135</v>
      </c>
      <c r="E44">
        <v>0</v>
      </c>
    </row>
    <row r="45" spans="1:17">
      <c r="A45" t="s">
        <v>76</v>
      </c>
      <c r="B45" t="s">
        <v>166</v>
      </c>
      <c r="C45">
        <v>79</v>
      </c>
    </row>
    <row r="46" spans="1:17">
      <c r="B46" t="s">
        <v>212</v>
      </c>
      <c r="C46">
        <v>52</v>
      </c>
      <c r="D46">
        <f>C45+C46</f>
        <v>131</v>
      </c>
      <c r="E46">
        <v>0</v>
      </c>
    </row>
    <row r="47" spans="1:17">
      <c r="A47" t="s">
        <v>303</v>
      </c>
      <c r="B47" t="s">
        <v>188</v>
      </c>
      <c r="C47">
        <v>74</v>
      </c>
      <c r="D47">
        <f>C47</f>
        <v>74</v>
      </c>
      <c r="E47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workbookViewId="0">
      <selection activeCell="L1" sqref="L1:L1048576"/>
    </sheetView>
  </sheetViews>
  <sheetFormatPr baseColWidth="10" defaultRowHeight="15" x14ac:dyDescent="0"/>
  <cols>
    <col min="1" max="1" width="10.6640625" bestFit="1" customWidth="1"/>
    <col min="2" max="2" width="15.6640625" bestFit="1" customWidth="1"/>
    <col min="3" max="3" width="26.1640625" bestFit="1" customWidth="1"/>
    <col min="5" max="5" width="0" hidden="1" customWidth="1"/>
    <col min="7" max="7" width="0" hidden="1" customWidth="1"/>
    <col min="9" max="9" width="0" hidden="1" customWidth="1"/>
  </cols>
  <sheetData>
    <row r="1" spans="1:14">
      <c r="A1" s="2" t="s">
        <v>55</v>
      </c>
      <c r="B1" s="2" t="s">
        <v>56</v>
      </c>
      <c r="C1" s="2" t="s">
        <v>0</v>
      </c>
      <c r="D1" s="2" t="s">
        <v>1</v>
      </c>
      <c r="E1" s="2" t="s">
        <v>169</v>
      </c>
      <c r="F1" s="2" t="s">
        <v>2</v>
      </c>
      <c r="G1" s="2" t="s">
        <v>344</v>
      </c>
      <c r="H1" s="2" t="s">
        <v>3</v>
      </c>
      <c r="I1" s="2" t="s">
        <v>420</v>
      </c>
      <c r="J1" s="2" t="s">
        <v>4</v>
      </c>
      <c r="K1" s="2" t="s">
        <v>5</v>
      </c>
      <c r="L1" s="2" t="s">
        <v>65</v>
      </c>
      <c r="M1" s="2" t="s">
        <v>343</v>
      </c>
      <c r="N1" s="2" t="s">
        <v>365</v>
      </c>
    </row>
    <row r="2" spans="1:14">
      <c r="A2" s="1" t="s">
        <v>128</v>
      </c>
      <c r="B2" s="1" t="s">
        <v>129</v>
      </c>
      <c r="C2" s="1" t="s">
        <v>51</v>
      </c>
      <c r="D2">
        <f>101-E2</f>
        <v>99</v>
      </c>
      <c r="E2">
        <v>2</v>
      </c>
      <c r="H2">
        <f>101-I2</f>
        <v>100</v>
      </c>
      <c r="I2">
        <v>1</v>
      </c>
      <c r="L2">
        <f>D2+H2</f>
        <v>199</v>
      </c>
      <c r="M2">
        <f>L2/N2</f>
        <v>99.5</v>
      </c>
      <c r="N2">
        <v>2</v>
      </c>
    </row>
    <row r="3" spans="1:14">
      <c r="A3" t="s">
        <v>239</v>
      </c>
      <c r="B3" t="s">
        <v>240</v>
      </c>
      <c r="C3" t="s">
        <v>142</v>
      </c>
      <c r="D3">
        <f>101-E3</f>
        <v>98</v>
      </c>
      <c r="E3">
        <v>3</v>
      </c>
      <c r="F3">
        <f>101-G3</f>
        <v>100</v>
      </c>
      <c r="G3">
        <v>1</v>
      </c>
      <c r="L3">
        <f>D3+F3</f>
        <v>198</v>
      </c>
      <c r="M3">
        <f>L3/N3</f>
        <v>99</v>
      </c>
      <c r="N3">
        <v>2</v>
      </c>
    </row>
    <row r="4" spans="1:14">
      <c r="A4" t="s">
        <v>241</v>
      </c>
      <c r="B4" t="s">
        <v>178</v>
      </c>
      <c r="C4" s="1" t="s">
        <v>142</v>
      </c>
      <c r="D4">
        <f>101-E4</f>
        <v>95</v>
      </c>
      <c r="E4">
        <v>6</v>
      </c>
      <c r="F4">
        <f>101-G4</f>
        <v>99</v>
      </c>
      <c r="G4">
        <v>2</v>
      </c>
      <c r="L4">
        <f>D4+F4</f>
        <v>194</v>
      </c>
      <c r="M4">
        <f>L4/N4</f>
        <v>97</v>
      </c>
      <c r="N4">
        <v>2</v>
      </c>
    </row>
    <row r="5" spans="1:14">
      <c r="A5" t="s">
        <v>242</v>
      </c>
      <c r="B5" t="s">
        <v>243</v>
      </c>
      <c r="C5" t="s">
        <v>140</v>
      </c>
      <c r="D5">
        <f>101-E5</f>
        <v>94</v>
      </c>
      <c r="E5">
        <v>7</v>
      </c>
      <c r="H5">
        <f>101-I5</f>
        <v>94</v>
      </c>
      <c r="I5">
        <v>7</v>
      </c>
      <c r="L5">
        <f>D5+H5</f>
        <v>188</v>
      </c>
      <c r="M5">
        <f>L5/N5</f>
        <v>94</v>
      </c>
      <c r="N5">
        <v>2</v>
      </c>
    </row>
    <row r="6" spans="1:14">
      <c r="A6" s="1" t="s">
        <v>349</v>
      </c>
      <c r="B6" s="1" t="s">
        <v>350</v>
      </c>
      <c r="C6" s="1" t="s">
        <v>69</v>
      </c>
      <c r="F6">
        <f>101-G6</f>
        <v>95</v>
      </c>
      <c r="G6">
        <v>6</v>
      </c>
      <c r="H6">
        <f>101-I6</f>
        <v>93</v>
      </c>
      <c r="I6">
        <v>8</v>
      </c>
      <c r="L6">
        <f>F6+H6</f>
        <v>188</v>
      </c>
      <c r="M6">
        <f>L6/N6</f>
        <v>94</v>
      </c>
      <c r="N6">
        <v>2</v>
      </c>
    </row>
    <row r="7" spans="1:14">
      <c r="A7" s="1" t="s">
        <v>93</v>
      </c>
      <c r="B7" s="1" t="s">
        <v>94</v>
      </c>
      <c r="C7" s="1" t="s">
        <v>97</v>
      </c>
      <c r="F7">
        <f>101-G7</f>
        <v>98</v>
      </c>
      <c r="G7">
        <v>3</v>
      </c>
      <c r="H7">
        <f>101-I7</f>
        <v>89</v>
      </c>
      <c r="I7">
        <v>12</v>
      </c>
      <c r="L7">
        <f>F7+H7</f>
        <v>187</v>
      </c>
      <c r="M7">
        <f>L7/N7</f>
        <v>93.5</v>
      </c>
      <c r="N7">
        <v>2</v>
      </c>
    </row>
    <row r="8" spans="1:14">
      <c r="A8" t="s">
        <v>116</v>
      </c>
      <c r="B8" t="s">
        <v>251</v>
      </c>
      <c r="C8" t="s">
        <v>140</v>
      </c>
      <c r="D8">
        <f>101-E8</f>
        <v>86</v>
      </c>
      <c r="E8">
        <v>15</v>
      </c>
      <c r="H8">
        <f>101-I8</f>
        <v>91</v>
      </c>
      <c r="I8">
        <v>10</v>
      </c>
      <c r="L8">
        <f>D8+H8</f>
        <v>177</v>
      </c>
      <c r="M8">
        <f>L8/N8</f>
        <v>88.5</v>
      </c>
      <c r="N8">
        <v>2</v>
      </c>
    </row>
    <row r="9" spans="1:14">
      <c r="A9" t="s">
        <v>252</v>
      </c>
      <c r="B9" t="s">
        <v>253</v>
      </c>
      <c r="C9" t="s">
        <v>142</v>
      </c>
      <c r="D9">
        <f>101-E9</f>
        <v>84</v>
      </c>
      <c r="E9">
        <v>17</v>
      </c>
      <c r="F9">
        <f>101-G9</f>
        <v>93</v>
      </c>
      <c r="G9">
        <v>8</v>
      </c>
      <c r="L9">
        <f>D9+F9</f>
        <v>177</v>
      </c>
      <c r="M9">
        <f>L9/N9</f>
        <v>88.5</v>
      </c>
      <c r="N9">
        <v>2</v>
      </c>
    </row>
    <row r="10" spans="1:14">
      <c r="A10" s="1" t="s">
        <v>111</v>
      </c>
      <c r="B10" s="1" t="s">
        <v>112</v>
      </c>
      <c r="C10" s="1" t="s">
        <v>52</v>
      </c>
      <c r="D10">
        <f>101-E10</f>
        <v>79</v>
      </c>
      <c r="E10">
        <v>22</v>
      </c>
      <c r="H10">
        <f>101-I10</f>
        <v>90</v>
      </c>
      <c r="I10">
        <v>11</v>
      </c>
      <c r="L10">
        <f>D10+H10</f>
        <v>169</v>
      </c>
      <c r="M10">
        <f>L10/N10</f>
        <v>84.5</v>
      </c>
      <c r="N10">
        <v>2</v>
      </c>
    </row>
    <row r="11" spans="1:14">
      <c r="A11" s="1" t="s">
        <v>34</v>
      </c>
      <c r="B11" s="1" t="s">
        <v>35</v>
      </c>
      <c r="C11" s="1" t="s">
        <v>52</v>
      </c>
      <c r="D11">
        <f>101-E11</f>
        <v>76</v>
      </c>
      <c r="E11">
        <v>25</v>
      </c>
      <c r="H11">
        <f>101-I11</f>
        <v>84</v>
      </c>
      <c r="I11">
        <v>17</v>
      </c>
      <c r="L11">
        <f>D11+H11</f>
        <v>160</v>
      </c>
      <c r="M11">
        <f>L11/N11</f>
        <v>80</v>
      </c>
      <c r="N11">
        <v>2</v>
      </c>
    </row>
    <row r="12" spans="1:14">
      <c r="A12" t="s">
        <v>258</v>
      </c>
      <c r="B12" t="s">
        <v>259</v>
      </c>
      <c r="C12" t="s">
        <v>140</v>
      </c>
      <c r="D12">
        <f>101-E12</f>
        <v>74</v>
      </c>
      <c r="E12">
        <v>27</v>
      </c>
      <c r="H12">
        <f>101-I12</f>
        <v>83</v>
      </c>
      <c r="I12">
        <v>18</v>
      </c>
      <c r="L12">
        <f>D12+H12</f>
        <v>157</v>
      </c>
      <c r="M12">
        <f>L12/N12</f>
        <v>78.5</v>
      </c>
      <c r="N12">
        <v>2</v>
      </c>
    </row>
    <row r="13" spans="1:14">
      <c r="A13" s="1" t="s">
        <v>359</v>
      </c>
      <c r="B13" s="1" t="s">
        <v>360</v>
      </c>
      <c r="C13" s="1" t="s">
        <v>320</v>
      </c>
      <c r="F13">
        <f>101-G13</f>
        <v>88</v>
      </c>
      <c r="G13">
        <v>13</v>
      </c>
      <c r="H13">
        <f>101-I13</f>
        <v>68</v>
      </c>
      <c r="I13">
        <v>33</v>
      </c>
      <c r="L13">
        <f>F13+H13</f>
        <v>156</v>
      </c>
      <c r="M13">
        <f>L13/N13</f>
        <v>78</v>
      </c>
      <c r="N13">
        <v>2</v>
      </c>
    </row>
    <row r="14" spans="1:14">
      <c r="A14" s="1" t="s">
        <v>118</v>
      </c>
      <c r="B14" s="1" t="s">
        <v>119</v>
      </c>
      <c r="C14" s="1" t="s">
        <v>52</v>
      </c>
      <c r="D14">
        <f>101-E14</f>
        <v>69</v>
      </c>
      <c r="E14">
        <v>32</v>
      </c>
      <c r="H14">
        <f>101-I14</f>
        <v>85</v>
      </c>
      <c r="I14">
        <v>16</v>
      </c>
      <c r="L14">
        <f>D14+H14</f>
        <v>154</v>
      </c>
      <c r="M14">
        <f>L14/N14</f>
        <v>77</v>
      </c>
      <c r="N14">
        <v>2</v>
      </c>
    </row>
    <row r="15" spans="1:14">
      <c r="A15" t="s">
        <v>266</v>
      </c>
      <c r="B15" t="s">
        <v>267</v>
      </c>
      <c r="C15" t="s">
        <v>140</v>
      </c>
      <c r="D15">
        <f>101-E15</f>
        <v>65</v>
      </c>
      <c r="E15">
        <v>36</v>
      </c>
      <c r="H15">
        <f>101-I15</f>
        <v>80</v>
      </c>
      <c r="I15">
        <v>21</v>
      </c>
      <c r="L15">
        <f>D15+H15</f>
        <v>145</v>
      </c>
      <c r="M15">
        <f>L15/N15</f>
        <v>72.5</v>
      </c>
      <c r="N15">
        <v>2</v>
      </c>
    </row>
    <row r="16" spans="1:14">
      <c r="A16" t="s">
        <v>264</v>
      </c>
      <c r="B16" t="s">
        <v>265</v>
      </c>
      <c r="C16" t="s">
        <v>140</v>
      </c>
      <c r="D16">
        <f>101-E16</f>
        <v>66</v>
      </c>
      <c r="E16">
        <v>35</v>
      </c>
      <c r="H16">
        <f>101-I16</f>
        <v>76</v>
      </c>
      <c r="I16">
        <v>25</v>
      </c>
      <c r="L16">
        <f>D16+H16</f>
        <v>142</v>
      </c>
      <c r="M16">
        <f>L16/N16</f>
        <v>71</v>
      </c>
      <c r="N16">
        <v>2</v>
      </c>
    </row>
    <row r="17" spans="1:14">
      <c r="A17" t="s">
        <v>279</v>
      </c>
      <c r="B17" t="s">
        <v>280</v>
      </c>
      <c r="C17" t="s">
        <v>140</v>
      </c>
      <c r="D17">
        <f>101-E17</f>
        <v>58</v>
      </c>
      <c r="E17">
        <v>43</v>
      </c>
      <c r="H17">
        <f>101-I17</f>
        <v>74</v>
      </c>
      <c r="I17">
        <v>27</v>
      </c>
      <c r="L17">
        <f>D17+H17</f>
        <v>132</v>
      </c>
      <c r="M17">
        <f>L17/N17</f>
        <v>66</v>
      </c>
      <c r="N17">
        <v>2</v>
      </c>
    </row>
    <row r="18" spans="1:14">
      <c r="A18" t="s">
        <v>281</v>
      </c>
      <c r="B18" t="s">
        <v>282</v>
      </c>
      <c r="C18" t="s">
        <v>140</v>
      </c>
      <c r="D18">
        <f>101-E18</f>
        <v>54</v>
      </c>
      <c r="E18">
        <v>47</v>
      </c>
      <c r="H18">
        <f>101-I18</f>
        <v>75</v>
      </c>
      <c r="I18">
        <v>26</v>
      </c>
      <c r="L18">
        <f>D18+H18</f>
        <v>129</v>
      </c>
      <c r="M18">
        <f>L18/N18</f>
        <v>64.5</v>
      </c>
      <c r="N18">
        <v>2</v>
      </c>
    </row>
    <row r="19" spans="1:14">
      <c r="A19" s="1" t="s">
        <v>102</v>
      </c>
      <c r="B19" s="1" t="s">
        <v>103</v>
      </c>
      <c r="C19" s="1" t="s">
        <v>52</v>
      </c>
      <c r="D19">
        <f>101-E19</f>
        <v>55</v>
      </c>
      <c r="E19">
        <v>46</v>
      </c>
      <c r="H19">
        <f>101-I19</f>
        <v>72</v>
      </c>
      <c r="I19">
        <v>29</v>
      </c>
      <c r="L19">
        <f>D19+H19</f>
        <v>127</v>
      </c>
      <c r="M19">
        <f>L19/N19</f>
        <v>63.5</v>
      </c>
      <c r="N19">
        <v>2</v>
      </c>
    </row>
    <row r="20" spans="1:14">
      <c r="A20" s="1" t="s">
        <v>148</v>
      </c>
      <c r="B20" s="1" t="s">
        <v>149</v>
      </c>
      <c r="C20" s="1" t="s">
        <v>48</v>
      </c>
      <c r="D20">
        <f>101-E20</f>
        <v>100</v>
      </c>
      <c r="E20">
        <v>1</v>
      </c>
      <c r="L20">
        <f>D20+F20</f>
        <v>100</v>
      </c>
      <c r="M20">
        <f>L20/N20</f>
        <v>100</v>
      </c>
      <c r="N20">
        <v>1</v>
      </c>
    </row>
    <row r="21" spans="1:14">
      <c r="A21" s="7" t="s">
        <v>374</v>
      </c>
      <c r="B21" s="1" t="s">
        <v>375</v>
      </c>
      <c r="C21" s="1" t="s">
        <v>52</v>
      </c>
      <c r="H21">
        <f>101-I21</f>
        <v>99</v>
      </c>
      <c r="I21">
        <v>2</v>
      </c>
      <c r="L21">
        <f>H21</f>
        <v>99</v>
      </c>
      <c r="M21">
        <f>L21/N21</f>
        <v>99</v>
      </c>
      <c r="N21">
        <v>1</v>
      </c>
    </row>
    <row r="22" spans="1:14">
      <c r="A22" s="1" t="s">
        <v>390</v>
      </c>
      <c r="B22" s="1" t="s">
        <v>391</v>
      </c>
      <c r="C22" s="1" t="s">
        <v>97</v>
      </c>
      <c r="H22">
        <f>101-I22</f>
        <v>98</v>
      </c>
      <c r="I22">
        <v>3</v>
      </c>
      <c r="L22">
        <f>H22</f>
        <v>98</v>
      </c>
      <c r="M22">
        <f>L22/N22</f>
        <v>98</v>
      </c>
      <c r="N22">
        <v>1</v>
      </c>
    </row>
    <row r="23" spans="1:14">
      <c r="A23" s="7" t="s">
        <v>372</v>
      </c>
      <c r="B23" s="1" t="s">
        <v>373</v>
      </c>
      <c r="C23" s="1" t="s">
        <v>52</v>
      </c>
      <c r="H23">
        <f>101-I23</f>
        <v>97</v>
      </c>
      <c r="I23">
        <v>4</v>
      </c>
      <c r="L23">
        <f>H23</f>
        <v>97</v>
      </c>
      <c r="M23">
        <f>L23/N23</f>
        <v>97</v>
      </c>
      <c r="N23">
        <v>1</v>
      </c>
    </row>
    <row r="24" spans="1:14">
      <c r="A24" s="1" t="s">
        <v>345</v>
      </c>
      <c r="B24" s="1" t="s">
        <v>346</v>
      </c>
      <c r="C24" s="1" t="s">
        <v>69</v>
      </c>
      <c r="F24">
        <f>101-G24</f>
        <v>97</v>
      </c>
      <c r="G24">
        <v>4</v>
      </c>
      <c r="L24">
        <f>D24+F24</f>
        <v>97</v>
      </c>
      <c r="M24">
        <f>L24/N24</f>
        <v>97</v>
      </c>
      <c r="N24">
        <v>1</v>
      </c>
    </row>
    <row r="25" spans="1:14">
      <c r="A25" t="s">
        <v>17</v>
      </c>
      <c r="B25" t="s">
        <v>18</v>
      </c>
      <c r="C25" t="s">
        <v>53</v>
      </c>
      <c r="D25">
        <f>101-E25</f>
        <v>97</v>
      </c>
      <c r="E25">
        <v>4</v>
      </c>
      <c r="L25">
        <f>D25+F25</f>
        <v>97</v>
      </c>
      <c r="M25">
        <f>L25/N25</f>
        <v>97</v>
      </c>
      <c r="N25">
        <v>1</v>
      </c>
    </row>
    <row r="26" spans="1:14">
      <c r="A26" s="1" t="s">
        <v>428</v>
      </c>
      <c r="B26" s="1" t="s">
        <v>429</v>
      </c>
      <c r="C26" s="1" t="s">
        <v>320</v>
      </c>
      <c r="H26">
        <f>101-I26</f>
        <v>96</v>
      </c>
      <c r="I26">
        <v>5</v>
      </c>
      <c r="L26">
        <f>H26</f>
        <v>96</v>
      </c>
      <c r="M26">
        <f>L26/N26</f>
        <v>96</v>
      </c>
      <c r="N26">
        <v>1</v>
      </c>
    </row>
    <row r="27" spans="1:14">
      <c r="A27" s="1" t="s">
        <v>21</v>
      </c>
      <c r="B27" s="1" t="s">
        <v>22</v>
      </c>
      <c r="C27" s="1" t="s">
        <v>48</v>
      </c>
      <c r="D27">
        <f>101-E27</f>
        <v>96</v>
      </c>
      <c r="E27">
        <v>5</v>
      </c>
      <c r="L27">
        <f>D27+F27</f>
        <v>96</v>
      </c>
      <c r="M27">
        <f>L27/N27</f>
        <v>96</v>
      </c>
      <c r="N27">
        <v>1</v>
      </c>
    </row>
    <row r="28" spans="1:14">
      <c r="A28" s="1" t="s">
        <v>347</v>
      </c>
      <c r="B28" s="1" t="s">
        <v>348</v>
      </c>
      <c r="C28" s="1" t="s">
        <v>69</v>
      </c>
      <c r="F28">
        <f>101-G28</f>
        <v>96</v>
      </c>
      <c r="G28">
        <v>5</v>
      </c>
      <c r="L28">
        <f>D28+F28</f>
        <v>96</v>
      </c>
      <c r="M28">
        <f>L28/N28</f>
        <v>96</v>
      </c>
      <c r="N28">
        <v>1</v>
      </c>
    </row>
    <row r="29" spans="1:14">
      <c r="A29" s="1" t="s">
        <v>406</v>
      </c>
      <c r="B29" s="1" t="s">
        <v>407</v>
      </c>
      <c r="C29" s="1" t="s">
        <v>69</v>
      </c>
      <c r="H29">
        <f>101-I29</f>
        <v>95</v>
      </c>
      <c r="I29">
        <v>6</v>
      </c>
      <c r="L29">
        <f>H29</f>
        <v>95</v>
      </c>
      <c r="M29">
        <f>L29/N29</f>
        <v>95</v>
      </c>
      <c r="N29">
        <v>1</v>
      </c>
    </row>
    <row r="30" spans="1:14">
      <c r="A30" s="1" t="s">
        <v>351</v>
      </c>
      <c r="B30" s="1" t="s">
        <v>352</v>
      </c>
      <c r="C30" s="1" t="s">
        <v>97</v>
      </c>
      <c r="F30">
        <f>101-G30</f>
        <v>94</v>
      </c>
      <c r="G30">
        <v>7</v>
      </c>
      <c r="L30">
        <f>D30+F30</f>
        <v>94</v>
      </c>
      <c r="M30">
        <f>L30/N30</f>
        <v>94</v>
      </c>
      <c r="N30">
        <v>1</v>
      </c>
    </row>
    <row r="31" spans="1:14">
      <c r="A31" s="1" t="s">
        <v>130</v>
      </c>
      <c r="B31" s="1" t="s">
        <v>131</v>
      </c>
      <c r="C31" s="1" t="s">
        <v>51</v>
      </c>
      <c r="D31">
        <f>101-E31</f>
        <v>93</v>
      </c>
      <c r="E31">
        <v>8</v>
      </c>
      <c r="L31">
        <f>D31+F31</f>
        <v>93</v>
      </c>
      <c r="M31">
        <f>L31/N31</f>
        <v>93</v>
      </c>
      <c r="N31">
        <v>1</v>
      </c>
    </row>
    <row r="32" spans="1:14">
      <c r="A32" s="1" t="s">
        <v>430</v>
      </c>
      <c r="B32" s="1" t="s">
        <v>431</v>
      </c>
      <c r="C32" s="1" t="s">
        <v>320</v>
      </c>
      <c r="H32">
        <f>101-I32</f>
        <v>92</v>
      </c>
      <c r="I32">
        <v>9</v>
      </c>
      <c r="L32">
        <f>H32</f>
        <v>92</v>
      </c>
      <c r="M32">
        <f>L32/N32</f>
        <v>92</v>
      </c>
      <c r="N32">
        <v>1</v>
      </c>
    </row>
    <row r="33" spans="1:14">
      <c r="A33" t="s">
        <v>244</v>
      </c>
      <c r="B33" t="s">
        <v>245</v>
      </c>
      <c r="C33" s="1" t="s">
        <v>49</v>
      </c>
      <c r="D33">
        <f>101-E33</f>
        <v>92</v>
      </c>
      <c r="E33">
        <v>9</v>
      </c>
      <c r="L33">
        <f>D33+F33</f>
        <v>92</v>
      </c>
      <c r="M33">
        <f>L33/N33</f>
        <v>92</v>
      </c>
      <c r="N33">
        <v>1</v>
      </c>
    </row>
    <row r="34" spans="1:14">
      <c r="A34" s="1" t="s">
        <v>89</v>
      </c>
      <c r="B34" s="1" t="s">
        <v>90</v>
      </c>
      <c r="C34" s="1" t="s">
        <v>48</v>
      </c>
      <c r="F34">
        <v>92</v>
      </c>
      <c r="G34">
        <v>9</v>
      </c>
      <c r="L34">
        <f>D34+F34</f>
        <v>92</v>
      </c>
      <c r="M34">
        <f>L34/N34</f>
        <v>92</v>
      </c>
      <c r="N34">
        <v>1</v>
      </c>
    </row>
    <row r="35" spans="1:14">
      <c r="A35" s="1" t="s">
        <v>353</v>
      </c>
      <c r="B35" s="1" t="s">
        <v>354</v>
      </c>
      <c r="C35" s="1" t="s">
        <v>48</v>
      </c>
      <c r="F35">
        <f>101-G35</f>
        <v>91</v>
      </c>
      <c r="G35">
        <v>10</v>
      </c>
      <c r="L35">
        <f>D35+F35</f>
        <v>91</v>
      </c>
      <c r="M35">
        <f>L35/N35</f>
        <v>91</v>
      </c>
      <c r="N35">
        <v>1</v>
      </c>
    </row>
    <row r="36" spans="1:14">
      <c r="A36" s="1" t="s">
        <v>44</v>
      </c>
      <c r="B36" s="1" t="s">
        <v>45</v>
      </c>
      <c r="C36" s="1" t="s">
        <v>49</v>
      </c>
      <c r="D36">
        <f>101-E36</f>
        <v>91</v>
      </c>
      <c r="E36">
        <v>10</v>
      </c>
      <c r="L36">
        <f>D36+F36</f>
        <v>91</v>
      </c>
      <c r="M36">
        <f>L36/N36</f>
        <v>91</v>
      </c>
      <c r="N36">
        <v>1</v>
      </c>
    </row>
    <row r="37" spans="1:14">
      <c r="A37" s="1" t="s">
        <v>246</v>
      </c>
      <c r="B37" s="1" t="s">
        <v>247</v>
      </c>
      <c r="C37" s="1" t="s">
        <v>49</v>
      </c>
      <c r="D37">
        <f>101-E37</f>
        <v>90</v>
      </c>
      <c r="E37">
        <v>11</v>
      </c>
      <c r="L37">
        <f>D37+F37</f>
        <v>90</v>
      </c>
      <c r="M37">
        <f>L37/N37</f>
        <v>90</v>
      </c>
      <c r="N37">
        <v>1</v>
      </c>
    </row>
    <row r="38" spans="1:14">
      <c r="A38" s="1" t="s">
        <v>355</v>
      </c>
      <c r="B38" s="1" t="s">
        <v>356</v>
      </c>
      <c r="C38" s="1" t="s">
        <v>97</v>
      </c>
      <c r="F38">
        <f>101-G38</f>
        <v>90</v>
      </c>
      <c r="G38">
        <v>11</v>
      </c>
      <c r="L38">
        <f>D38+F38</f>
        <v>90</v>
      </c>
      <c r="M38">
        <f>L38/N38</f>
        <v>90</v>
      </c>
      <c r="N38">
        <v>1</v>
      </c>
    </row>
    <row r="39" spans="1:14">
      <c r="A39" s="1" t="s">
        <v>357</v>
      </c>
      <c r="B39" s="1" t="s">
        <v>358</v>
      </c>
      <c r="C39" s="1" t="s">
        <v>48</v>
      </c>
      <c r="F39">
        <f>101-G39</f>
        <v>89</v>
      </c>
      <c r="G39">
        <v>12</v>
      </c>
      <c r="L39">
        <f>D39+F39</f>
        <v>89</v>
      </c>
      <c r="M39">
        <f>L39/N39</f>
        <v>89</v>
      </c>
      <c r="N39">
        <v>1</v>
      </c>
    </row>
    <row r="40" spans="1:14">
      <c r="A40" t="s">
        <v>130</v>
      </c>
      <c r="B40" t="s">
        <v>248</v>
      </c>
      <c r="C40" s="1" t="s">
        <v>142</v>
      </c>
      <c r="D40">
        <f>101-E40</f>
        <v>89</v>
      </c>
      <c r="E40">
        <v>12</v>
      </c>
      <c r="L40">
        <f>D40+F40</f>
        <v>89</v>
      </c>
      <c r="M40">
        <f>L40/N40</f>
        <v>89</v>
      </c>
      <c r="N40">
        <v>1</v>
      </c>
    </row>
    <row r="41" spans="1:14">
      <c r="A41" s="1" t="s">
        <v>32</v>
      </c>
      <c r="B41" s="1" t="s">
        <v>33</v>
      </c>
      <c r="C41" s="1" t="s">
        <v>51</v>
      </c>
      <c r="H41">
        <f>101-I41</f>
        <v>88</v>
      </c>
      <c r="I41">
        <v>13</v>
      </c>
      <c r="L41">
        <f>H41</f>
        <v>88</v>
      </c>
      <c r="M41">
        <f>L41/N41</f>
        <v>88</v>
      </c>
      <c r="N41">
        <v>1</v>
      </c>
    </row>
    <row r="42" spans="1:14">
      <c r="A42" s="1" t="s">
        <v>134</v>
      </c>
      <c r="B42" s="1" t="s">
        <v>135</v>
      </c>
      <c r="C42" s="1" t="s">
        <v>51</v>
      </c>
      <c r="D42">
        <f>101-E42</f>
        <v>88</v>
      </c>
      <c r="E42">
        <v>13</v>
      </c>
      <c r="L42">
        <f>D42+F42</f>
        <v>88</v>
      </c>
      <c r="M42">
        <f>L42/N42</f>
        <v>88</v>
      </c>
      <c r="N42">
        <v>1</v>
      </c>
    </row>
    <row r="43" spans="1:14">
      <c r="A43" s="1" t="s">
        <v>345</v>
      </c>
      <c r="B43" s="1" t="s">
        <v>410</v>
      </c>
      <c r="C43" s="1" t="s">
        <v>69</v>
      </c>
      <c r="H43">
        <f>101-I43</f>
        <v>87</v>
      </c>
      <c r="I43">
        <v>14</v>
      </c>
      <c r="L43">
        <f>H43</f>
        <v>87</v>
      </c>
      <c r="M43">
        <f>L43/N43</f>
        <v>87</v>
      </c>
      <c r="N43">
        <v>1</v>
      </c>
    </row>
    <row r="44" spans="1:14">
      <c r="A44" t="s">
        <v>249</v>
      </c>
      <c r="B44" t="s">
        <v>250</v>
      </c>
      <c r="C44" s="1" t="s">
        <v>49</v>
      </c>
      <c r="D44">
        <f>101-E44</f>
        <v>87</v>
      </c>
      <c r="E44">
        <v>14</v>
      </c>
      <c r="L44">
        <f>D44+F44</f>
        <v>87</v>
      </c>
      <c r="M44">
        <f>L44/N44</f>
        <v>87</v>
      </c>
      <c r="N44">
        <v>1</v>
      </c>
    </row>
    <row r="45" spans="1:14">
      <c r="A45" s="1" t="s">
        <v>345</v>
      </c>
      <c r="B45" s="1" t="s">
        <v>361</v>
      </c>
      <c r="C45" s="1" t="s">
        <v>97</v>
      </c>
      <c r="F45">
        <f>101-G45</f>
        <v>87</v>
      </c>
      <c r="G45">
        <v>14</v>
      </c>
      <c r="L45">
        <f>D45+F45</f>
        <v>87</v>
      </c>
      <c r="M45">
        <f>L45/N45</f>
        <v>87</v>
      </c>
      <c r="N45">
        <v>1</v>
      </c>
    </row>
    <row r="46" spans="1:14">
      <c r="A46" s="1" t="s">
        <v>432</v>
      </c>
      <c r="B46" s="1" t="s">
        <v>433</v>
      </c>
      <c r="C46" s="1" t="s">
        <v>320</v>
      </c>
      <c r="H46">
        <f>101-I46</f>
        <v>86</v>
      </c>
      <c r="I46">
        <v>15</v>
      </c>
      <c r="L46">
        <f>H46</f>
        <v>86</v>
      </c>
      <c r="M46">
        <f>L46/N46</f>
        <v>86</v>
      </c>
      <c r="N46">
        <v>1</v>
      </c>
    </row>
    <row r="47" spans="1:14">
      <c r="A47" t="s">
        <v>161</v>
      </c>
      <c r="B47" t="s">
        <v>162</v>
      </c>
      <c r="C47" t="s">
        <v>156</v>
      </c>
      <c r="D47">
        <f>101-E47</f>
        <v>85</v>
      </c>
      <c r="E47">
        <v>16</v>
      </c>
      <c r="L47">
        <f>D47+F47</f>
        <v>85</v>
      </c>
      <c r="M47">
        <f>L47/N47</f>
        <v>85</v>
      </c>
      <c r="N47">
        <v>1</v>
      </c>
    </row>
    <row r="48" spans="1:14">
      <c r="A48" t="s">
        <v>254</v>
      </c>
      <c r="B48" t="s">
        <v>255</v>
      </c>
      <c r="C48" t="s">
        <v>53</v>
      </c>
      <c r="D48">
        <f>101-E48</f>
        <v>83</v>
      </c>
      <c r="E48">
        <v>18</v>
      </c>
      <c r="L48">
        <f>D48+F48</f>
        <v>83</v>
      </c>
      <c r="M48">
        <f>L48/N48</f>
        <v>83</v>
      </c>
      <c r="N48">
        <v>1</v>
      </c>
    </row>
    <row r="49" spans="1:14">
      <c r="A49" s="1" t="s">
        <v>12</v>
      </c>
      <c r="B49" s="1" t="s">
        <v>16</v>
      </c>
      <c r="C49" s="1" t="s">
        <v>52</v>
      </c>
      <c r="H49">
        <f>101-I49</f>
        <v>82</v>
      </c>
      <c r="I49">
        <v>19</v>
      </c>
      <c r="L49">
        <f>H49</f>
        <v>82</v>
      </c>
      <c r="M49">
        <f>L49/N49</f>
        <v>82</v>
      </c>
      <c r="N49">
        <v>1</v>
      </c>
    </row>
    <row r="50" spans="1:14">
      <c r="A50" s="1" t="s">
        <v>132</v>
      </c>
      <c r="B50" s="1" t="s">
        <v>133</v>
      </c>
      <c r="C50" s="1" t="s">
        <v>51</v>
      </c>
      <c r="D50">
        <f>101-E50</f>
        <v>82</v>
      </c>
      <c r="E50">
        <v>19</v>
      </c>
      <c r="L50">
        <f>D50+F50</f>
        <v>82</v>
      </c>
      <c r="M50">
        <f>L50/N50</f>
        <v>82</v>
      </c>
      <c r="N50">
        <v>1</v>
      </c>
    </row>
    <row r="51" spans="1:14">
      <c r="A51" s="1" t="s">
        <v>366</v>
      </c>
      <c r="B51" s="1" t="s">
        <v>367</v>
      </c>
      <c r="C51" s="1" t="s">
        <v>52</v>
      </c>
      <c r="H51">
        <f>101-I51</f>
        <v>81</v>
      </c>
      <c r="I51">
        <v>20</v>
      </c>
      <c r="L51">
        <f>H51</f>
        <v>81</v>
      </c>
      <c r="M51">
        <f>L51/N51</f>
        <v>81</v>
      </c>
      <c r="N51">
        <v>1</v>
      </c>
    </row>
    <row r="52" spans="1:14">
      <c r="A52" t="s">
        <v>256</v>
      </c>
      <c r="B52" t="s">
        <v>257</v>
      </c>
      <c r="C52" s="1" t="s">
        <v>53</v>
      </c>
      <c r="D52">
        <f>101-E52</f>
        <v>81</v>
      </c>
      <c r="E52">
        <v>20</v>
      </c>
      <c r="L52">
        <f>D52+F52</f>
        <v>81</v>
      </c>
      <c r="M52">
        <f>L52/N52</f>
        <v>81</v>
      </c>
      <c r="N52">
        <v>1</v>
      </c>
    </row>
    <row r="53" spans="1:14">
      <c r="A53" t="s">
        <v>293</v>
      </c>
      <c r="B53" t="s">
        <v>294</v>
      </c>
      <c r="C53" s="1" t="s">
        <v>49</v>
      </c>
      <c r="D53">
        <f>101-E53</f>
        <v>80</v>
      </c>
      <c r="E53">
        <v>21</v>
      </c>
      <c r="L53">
        <f>D53+F53</f>
        <v>80</v>
      </c>
      <c r="M53">
        <f>L53/N53</f>
        <v>80</v>
      </c>
      <c r="N53">
        <v>1</v>
      </c>
    </row>
    <row r="54" spans="1:14">
      <c r="A54" s="1" t="s">
        <v>116</v>
      </c>
      <c r="B54" s="1" t="s">
        <v>419</v>
      </c>
      <c r="C54" s="1" t="s">
        <v>48</v>
      </c>
      <c r="H54">
        <f>101-I54</f>
        <v>79</v>
      </c>
      <c r="I54">
        <v>22</v>
      </c>
      <c r="L54">
        <f>H54</f>
        <v>79</v>
      </c>
      <c r="M54">
        <f>L54/N54</f>
        <v>79</v>
      </c>
      <c r="N54">
        <v>1</v>
      </c>
    </row>
    <row r="55" spans="1:14">
      <c r="A55" s="1" t="s">
        <v>434</v>
      </c>
      <c r="B55" s="1" t="s">
        <v>435</v>
      </c>
      <c r="C55" s="1" t="s">
        <v>320</v>
      </c>
      <c r="H55">
        <f>101-I55</f>
        <v>78</v>
      </c>
      <c r="I55">
        <v>23</v>
      </c>
      <c r="L55">
        <f>H55</f>
        <v>78</v>
      </c>
      <c r="M55">
        <f>L55/N55</f>
        <v>78</v>
      </c>
      <c r="N55">
        <v>1</v>
      </c>
    </row>
    <row r="56" spans="1:14">
      <c r="A56" t="s">
        <v>254</v>
      </c>
      <c r="B56" t="s">
        <v>295</v>
      </c>
      <c r="C56" s="1" t="s">
        <v>53</v>
      </c>
      <c r="D56">
        <f>101-E56</f>
        <v>78</v>
      </c>
      <c r="E56">
        <v>23</v>
      </c>
      <c r="L56">
        <f>D56+F56</f>
        <v>78</v>
      </c>
      <c r="M56">
        <f>L56/N56</f>
        <v>78</v>
      </c>
      <c r="N56">
        <v>1</v>
      </c>
    </row>
    <row r="57" spans="1:14">
      <c r="A57" s="1" t="s">
        <v>244</v>
      </c>
      <c r="B57" s="1" t="s">
        <v>436</v>
      </c>
      <c r="C57" s="1" t="s">
        <v>320</v>
      </c>
      <c r="H57">
        <f>101-I57</f>
        <v>77</v>
      </c>
      <c r="I57">
        <v>24</v>
      </c>
      <c r="L57">
        <f>H57</f>
        <v>77</v>
      </c>
      <c r="M57">
        <f>L57/N57</f>
        <v>77</v>
      </c>
      <c r="N57">
        <v>1</v>
      </c>
    </row>
    <row r="58" spans="1:14">
      <c r="A58" t="s">
        <v>164</v>
      </c>
      <c r="B58" t="s">
        <v>165</v>
      </c>
      <c r="C58" t="s">
        <v>156</v>
      </c>
      <c r="D58">
        <f>101-E58</f>
        <v>77</v>
      </c>
      <c r="E58">
        <v>24</v>
      </c>
      <c r="L58">
        <f>D58+F58</f>
        <v>77</v>
      </c>
      <c r="M58">
        <f>L58/N58</f>
        <v>77</v>
      </c>
      <c r="N58">
        <v>1</v>
      </c>
    </row>
    <row r="59" spans="1:14">
      <c r="A59" t="s">
        <v>32</v>
      </c>
      <c r="B59" t="s">
        <v>163</v>
      </c>
      <c r="C59" t="s">
        <v>156</v>
      </c>
      <c r="D59">
        <f>101-E59</f>
        <v>75</v>
      </c>
      <c r="E59">
        <v>26</v>
      </c>
      <c r="L59">
        <f>D59+F59</f>
        <v>75</v>
      </c>
      <c r="M59">
        <f>L59/N59</f>
        <v>75</v>
      </c>
      <c r="N59">
        <v>1</v>
      </c>
    </row>
    <row r="60" spans="1:14">
      <c r="A60" s="7" t="s">
        <v>345</v>
      </c>
      <c r="B60" s="1" t="s">
        <v>371</v>
      </c>
      <c r="C60" s="1" t="s">
        <v>52</v>
      </c>
      <c r="H60">
        <f>101-I60</f>
        <v>73</v>
      </c>
      <c r="I60">
        <v>28</v>
      </c>
      <c r="L60">
        <f>H60</f>
        <v>73</v>
      </c>
      <c r="M60">
        <f>L60/N60</f>
        <v>73</v>
      </c>
      <c r="N60">
        <v>1</v>
      </c>
    </row>
    <row r="61" spans="1:14">
      <c r="A61" s="1" t="s">
        <v>152</v>
      </c>
      <c r="B61" s="1" t="s">
        <v>153</v>
      </c>
      <c r="C61" s="1" t="s">
        <v>48</v>
      </c>
      <c r="D61">
        <f>101-E61</f>
        <v>73</v>
      </c>
      <c r="E61">
        <v>28</v>
      </c>
      <c r="L61">
        <f>D61+F61</f>
        <v>73</v>
      </c>
      <c r="M61">
        <f>L61/N61</f>
        <v>73</v>
      </c>
      <c r="N61">
        <v>1</v>
      </c>
    </row>
    <row r="62" spans="1:14">
      <c r="A62" s="1" t="s">
        <v>260</v>
      </c>
      <c r="B62" s="1" t="s">
        <v>261</v>
      </c>
      <c r="C62" s="1" t="s">
        <v>48</v>
      </c>
      <c r="D62">
        <f>101-E62</f>
        <v>72</v>
      </c>
      <c r="E62">
        <v>29</v>
      </c>
      <c r="L62">
        <f>D62+F62</f>
        <v>72</v>
      </c>
      <c r="M62">
        <f>L62/N62</f>
        <v>72</v>
      </c>
      <c r="N62">
        <v>1</v>
      </c>
    </row>
    <row r="63" spans="1:14">
      <c r="A63" s="1" t="s">
        <v>408</v>
      </c>
      <c r="B63" s="1" t="s">
        <v>409</v>
      </c>
      <c r="C63" s="1" t="s">
        <v>69</v>
      </c>
      <c r="H63">
        <f>101-I63</f>
        <v>71</v>
      </c>
      <c r="I63">
        <v>30</v>
      </c>
      <c r="L63">
        <f>H63</f>
        <v>71</v>
      </c>
      <c r="M63">
        <f>L63/N63</f>
        <v>71</v>
      </c>
      <c r="N63">
        <v>1</v>
      </c>
    </row>
    <row r="64" spans="1:14">
      <c r="A64" s="1" t="s">
        <v>85</v>
      </c>
      <c r="B64" s="1" t="s">
        <v>86</v>
      </c>
      <c r="C64" s="1" t="s">
        <v>51</v>
      </c>
      <c r="D64">
        <f>101-E64</f>
        <v>71</v>
      </c>
      <c r="E64">
        <v>30</v>
      </c>
      <c r="L64">
        <f>D64+F64</f>
        <v>71</v>
      </c>
      <c r="M64">
        <f>L64/N64</f>
        <v>71</v>
      </c>
      <c r="N64">
        <v>1</v>
      </c>
    </row>
    <row r="65" spans="1:14">
      <c r="A65" s="1" t="s">
        <v>12</v>
      </c>
      <c r="B65" s="1" t="s">
        <v>368</v>
      </c>
      <c r="C65" s="1" t="s">
        <v>52</v>
      </c>
      <c r="H65">
        <f>101-I65</f>
        <v>70</v>
      </c>
      <c r="I65">
        <v>31</v>
      </c>
      <c r="L65">
        <f>H65</f>
        <v>70</v>
      </c>
      <c r="M65">
        <f>L65/N65</f>
        <v>70</v>
      </c>
      <c r="N65">
        <v>1</v>
      </c>
    </row>
    <row r="66" spans="1:14">
      <c r="A66" s="1" t="s">
        <v>14</v>
      </c>
      <c r="B66" s="1" t="s">
        <v>15</v>
      </c>
      <c r="C66" s="1" t="s">
        <v>49</v>
      </c>
      <c r="D66">
        <f>101-E66</f>
        <v>70</v>
      </c>
      <c r="E66">
        <v>31</v>
      </c>
      <c r="L66">
        <f>D66+F66</f>
        <v>70</v>
      </c>
      <c r="M66">
        <f>L66/N66</f>
        <v>70</v>
      </c>
      <c r="N66">
        <v>1</v>
      </c>
    </row>
    <row r="67" spans="1:14">
      <c r="A67" s="1" t="s">
        <v>286</v>
      </c>
      <c r="B67" s="1" t="s">
        <v>418</v>
      </c>
      <c r="C67" s="1" t="s">
        <v>48</v>
      </c>
      <c r="H67">
        <f>101-I67</f>
        <v>69</v>
      </c>
      <c r="I67">
        <v>32</v>
      </c>
      <c r="L67">
        <f>H67</f>
        <v>69</v>
      </c>
      <c r="M67">
        <f>L67/N67</f>
        <v>69</v>
      </c>
      <c r="N67">
        <v>1</v>
      </c>
    </row>
    <row r="68" spans="1:14">
      <c r="A68" t="s">
        <v>262</v>
      </c>
      <c r="B68" t="s">
        <v>263</v>
      </c>
      <c r="C68" s="1" t="s">
        <v>49</v>
      </c>
      <c r="D68">
        <f>101-E68</f>
        <v>68</v>
      </c>
      <c r="E68">
        <v>33</v>
      </c>
      <c r="L68">
        <f>D68+F68</f>
        <v>68</v>
      </c>
      <c r="M68">
        <f>L68/N68</f>
        <v>68</v>
      </c>
      <c r="N68">
        <v>1</v>
      </c>
    </row>
    <row r="69" spans="1:14">
      <c r="A69" s="7" t="s">
        <v>370</v>
      </c>
      <c r="B69" s="1" t="s">
        <v>369</v>
      </c>
      <c r="C69" s="1" t="s">
        <v>52</v>
      </c>
      <c r="H69">
        <f>101-I69</f>
        <v>67</v>
      </c>
      <c r="I69">
        <v>34</v>
      </c>
      <c r="L69">
        <f>H69</f>
        <v>67</v>
      </c>
      <c r="M69">
        <f>L69/N69</f>
        <v>67</v>
      </c>
      <c r="N69">
        <v>1</v>
      </c>
    </row>
    <row r="70" spans="1:14" ht="16" customHeight="1">
      <c r="A70" s="1" t="s">
        <v>107</v>
      </c>
      <c r="B70" s="1" t="s">
        <v>108</v>
      </c>
      <c r="C70" s="1" t="s">
        <v>52</v>
      </c>
      <c r="D70">
        <f>101-E70</f>
        <v>67</v>
      </c>
      <c r="E70">
        <v>34</v>
      </c>
      <c r="L70">
        <f>D70+F70</f>
        <v>67</v>
      </c>
      <c r="M70">
        <f>L70/N70</f>
        <v>67</v>
      </c>
      <c r="N70">
        <v>1</v>
      </c>
    </row>
    <row r="71" spans="1:14" ht="16" customHeight="1">
      <c r="A71" s="1" t="s">
        <v>437</v>
      </c>
      <c r="B71" s="1" t="s">
        <v>204</v>
      </c>
      <c r="C71" s="1" t="s">
        <v>320</v>
      </c>
      <c r="H71">
        <f>101-I71</f>
        <v>66</v>
      </c>
      <c r="I71">
        <v>35</v>
      </c>
      <c r="L71">
        <f>H71</f>
        <v>66</v>
      </c>
      <c r="M71">
        <f>L71/N71</f>
        <v>66</v>
      </c>
      <c r="N71">
        <v>1</v>
      </c>
    </row>
    <row r="72" spans="1:14">
      <c r="A72" t="s">
        <v>268</v>
      </c>
      <c r="B72" t="s">
        <v>269</v>
      </c>
      <c r="C72" t="s">
        <v>75</v>
      </c>
      <c r="D72">
        <f>101-E72</f>
        <v>64</v>
      </c>
      <c r="E72">
        <v>37</v>
      </c>
      <c r="L72">
        <f>D72+F72</f>
        <v>64</v>
      </c>
      <c r="M72">
        <f>L72/N72</f>
        <v>64</v>
      </c>
      <c r="N72">
        <v>1</v>
      </c>
    </row>
    <row r="73" spans="1:14">
      <c r="A73" s="1" t="s">
        <v>270</v>
      </c>
      <c r="B73" s="1" t="s">
        <v>271</v>
      </c>
      <c r="C73" s="1" t="s">
        <v>48</v>
      </c>
      <c r="D73">
        <f>101-E73</f>
        <v>63</v>
      </c>
      <c r="E73">
        <v>38</v>
      </c>
      <c r="L73">
        <f>D73+F73</f>
        <v>63</v>
      </c>
      <c r="M73">
        <f>L73/N73</f>
        <v>63</v>
      </c>
      <c r="N73">
        <v>1</v>
      </c>
    </row>
    <row r="74" spans="1:14">
      <c r="A74" s="1" t="s">
        <v>239</v>
      </c>
      <c r="B74" s="1" t="s">
        <v>272</v>
      </c>
      <c r="C74" s="1" t="s">
        <v>48</v>
      </c>
      <c r="D74">
        <f>101-E74</f>
        <v>62</v>
      </c>
      <c r="E74">
        <v>39</v>
      </c>
      <c r="L74">
        <f>D74+F74</f>
        <v>62</v>
      </c>
      <c r="M74">
        <f>L74/N74</f>
        <v>62</v>
      </c>
      <c r="N74">
        <v>1</v>
      </c>
    </row>
    <row r="75" spans="1:14">
      <c r="A75" t="s">
        <v>273</v>
      </c>
      <c r="B75" t="s">
        <v>274</v>
      </c>
      <c r="C75" t="s">
        <v>219</v>
      </c>
      <c r="D75">
        <f>101-E75</f>
        <v>61</v>
      </c>
      <c r="E75">
        <v>40</v>
      </c>
      <c r="L75">
        <f>D75+F75</f>
        <v>61</v>
      </c>
      <c r="M75">
        <f>L75/N75</f>
        <v>61</v>
      </c>
      <c r="N75">
        <v>1</v>
      </c>
    </row>
    <row r="76" spans="1:14">
      <c r="A76" s="1" t="s">
        <v>275</v>
      </c>
      <c r="B76" s="1" t="s">
        <v>276</v>
      </c>
      <c r="C76" s="1" t="s">
        <v>49</v>
      </c>
      <c r="D76">
        <f>101-E76</f>
        <v>60</v>
      </c>
      <c r="E76">
        <v>41</v>
      </c>
      <c r="L76">
        <f>D76+F76</f>
        <v>60</v>
      </c>
      <c r="M76">
        <f>L76/N76</f>
        <v>60</v>
      </c>
      <c r="N76">
        <v>1</v>
      </c>
    </row>
    <row r="77" spans="1:14">
      <c r="A77" t="s">
        <v>277</v>
      </c>
      <c r="B77" t="s">
        <v>278</v>
      </c>
      <c r="C77" s="1" t="s">
        <v>76</v>
      </c>
      <c r="D77">
        <f>101-E77</f>
        <v>59</v>
      </c>
      <c r="E77">
        <v>42</v>
      </c>
      <c r="L77">
        <f>D77+F77</f>
        <v>59</v>
      </c>
      <c r="M77">
        <f>L77/N77</f>
        <v>59</v>
      </c>
      <c r="N77">
        <v>1</v>
      </c>
    </row>
    <row r="78" spans="1:14">
      <c r="A78" s="1" t="s">
        <v>136</v>
      </c>
      <c r="B78" s="1" t="s">
        <v>137</v>
      </c>
      <c r="C78" s="1" t="s">
        <v>51</v>
      </c>
      <c r="D78">
        <f>101-E78</f>
        <v>57</v>
      </c>
      <c r="E78">
        <v>44</v>
      </c>
      <c r="L78">
        <f>D78+F78</f>
        <v>57</v>
      </c>
      <c r="M78">
        <f>L78/N78</f>
        <v>57</v>
      </c>
      <c r="N78">
        <v>1</v>
      </c>
    </row>
    <row r="79" spans="1:14">
      <c r="A79" t="s">
        <v>116</v>
      </c>
      <c r="B79" t="s">
        <v>117</v>
      </c>
      <c r="C79" t="s">
        <v>52</v>
      </c>
      <c r="D79">
        <f>101-E79</f>
        <v>56</v>
      </c>
      <c r="E79">
        <v>45</v>
      </c>
      <c r="L79">
        <f>D79+F79</f>
        <v>56</v>
      </c>
      <c r="M79">
        <f>L79/N79</f>
        <v>56</v>
      </c>
      <c r="N79">
        <v>1</v>
      </c>
    </row>
    <row r="80" spans="1:14">
      <c r="A80" t="s">
        <v>283</v>
      </c>
      <c r="B80" t="s">
        <v>166</v>
      </c>
      <c r="C80" t="s">
        <v>53</v>
      </c>
      <c r="D80">
        <f>101-E80</f>
        <v>53</v>
      </c>
      <c r="E80">
        <v>48</v>
      </c>
      <c r="L80">
        <f>D80+F80</f>
        <v>53</v>
      </c>
      <c r="M80">
        <f>L80/N80</f>
        <v>53</v>
      </c>
      <c r="N80">
        <v>1</v>
      </c>
    </row>
    <row r="81" spans="1:14">
      <c r="A81" t="s">
        <v>284</v>
      </c>
      <c r="B81" t="s">
        <v>285</v>
      </c>
      <c r="C81" t="s">
        <v>49</v>
      </c>
      <c r="D81">
        <f>101-E81</f>
        <v>52</v>
      </c>
      <c r="E81">
        <v>49</v>
      </c>
      <c r="L81">
        <f>D81+F81</f>
        <v>52</v>
      </c>
      <c r="M81">
        <f>L81/N81</f>
        <v>52</v>
      </c>
      <c r="N81">
        <v>1</v>
      </c>
    </row>
    <row r="82" spans="1:14">
      <c r="A82" t="s">
        <v>286</v>
      </c>
      <c r="B82" t="s">
        <v>259</v>
      </c>
      <c r="C82" t="s">
        <v>75</v>
      </c>
      <c r="D82">
        <f>101-E82</f>
        <v>51</v>
      </c>
      <c r="E82">
        <v>50</v>
      </c>
      <c r="L82">
        <f>D82+F82</f>
        <v>51</v>
      </c>
      <c r="M82">
        <f>L82/N82</f>
        <v>51</v>
      </c>
      <c r="N82">
        <v>1</v>
      </c>
    </row>
    <row r="83" spans="1:14">
      <c r="A83" t="s">
        <v>287</v>
      </c>
      <c r="B83" t="s">
        <v>288</v>
      </c>
      <c r="C83" t="s">
        <v>51</v>
      </c>
      <c r="D83">
        <f>101-E83</f>
        <v>50</v>
      </c>
      <c r="E83">
        <v>51</v>
      </c>
      <c r="L83">
        <f>D83+F83</f>
        <v>50</v>
      </c>
      <c r="M83">
        <f>L83/N83</f>
        <v>50</v>
      </c>
      <c r="N83">
        <v>1</v>
      </c>
    </row>
    <row r="84" spans="1:14">
      <c r="A84" t="s">
        <v>289</v>
      </c>
      <c r="B84" t="s">
        <v>190</v>
      </c>
      <c r="C84" t="s">
        <v>51</v>
      </c>
      <c r="D84">
        <f>101-E84</f>
        <v>49</v>
      </c>
      <c r="E84">
        <v>52</v>
      </c>
      <c r="L84">
        <f>D84+F84</f>
        <v>49</v>
      </c>
      <c r="M84">
        <f>L84/N84</f>
        <v>49</v>
      </c>
      <c r="N84">
        <v>1</v>
      </c>
    </row>
    <row r="85" spans="1:14">
      <c r="A85" t="s">
        <v>290</v>
      </c>
      <c r="B85" t="s">
        <v>291</v>
      </c>
      <c r="C85" t="s">
        <v>75</v>
      </c>
      <c r="D85">
        <f>101-E85</f>
        <v>48</v>
      </c>
      <c r="E85">
        <v>53</v>
      </c>
      <c r="L85">
        <f>D85+F85</f>
        <v>48</v>
      </c>
      <c r="M85">
        <f>L85/N85</f>
        <v>48</v>
      </c>
      <c r="N85">
        <v>1</v>
      </c>
    </row>
    <row r="86" spans="1:14">
      <c r="A86" s="1" t="s">
        <v>12</v>
      </c>
      <c r="B86" s="1" t="s">
        <v>13</v>
      </c>
      <c r="C86" s="1" t="s">
        <v>51</v>
      </c>
      <c r="L86">
        <f>D86+F86</f>
        <v>0</v>
      </c>
      <c r="N86">
        <v>0</v>
      </c>
    </row>
    <row r="87" spans="1:14">
      <c r="A87" s="1" t="s">
        <v>27</v>
      </c>
      <c r="B87" s="1" t="s">
        <v>28</v>
      </c>
      <c r="C87" s="1" t="s">
        <v>54</v>
      </c>
      <c r="L87">
        <f>D87+F87</f>
        <v>0</v>
      </c>
      <c r="N87">
        <v>0</v>
      </c>
    </row>
    <row r="88" spans="1:14">
      <c r="A88" s="1" t="s">
        <v>30</v>
      </c>
      <c r="B88" s="1" t="s">
        <v>31</v>
      </c>
      <c r="C88" s="1" t="s">
        <v>53</v>
      </c>
      <c r="L88">
        <f>D88+F88</f>
        <v>0</v>
      </c>
      <c r="N88">
        <v>0</v>
      </c>
    </row>
    <row r="89" spans="1:14">
      <c r="A89" s="1" t="s">
        <v>63</v>
      </c>
      <c r="B89" s="1" t="s">
        <v>64</v>
      </c>
      <c r="C89" s="1" t="s">
        <v>51</v>
      </c>
      <c r="L89">
        <f>D89+F89</f>
        <v>0</v>
      </c>
      <c r="N89">
        <v>0</v>
      </c>
    </row>
    <row r="90" spans="1:14">
      <c r="A90" s="1" t="s">
        <v>91</v>
      </c>
      <c r="B90" s="1" t="s">
        <v>92</v>
      </c>
      <c r="C90" s="1" t="s">
        <v>51</v>
      </c>
      <c r="L90">
        <f>D90+F90</f>
        <v>0</v>
      </c>
      <c r="N90">
        <v>0</v>
      </c>
    </row>
    <row r="91" spans="1:14">
      <c r="A91" s="7" t="s">
        <v>376</v>
      </c>
      <c r="B91" s="1" t="s">
        <v>377</v>
      </c>
      <c r="C91" s="1" t="s">
        <v>52</v>
      </c>
    </row>
  </sheetData>
  <sortState ref="A2:N91">
    <sortCondition descending="1" ref="L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H1" workbookViewId="0">
      <selection activeCell="B10" sqref="B10"/>
    </sheetView>
  </sheetViews>
  <sheetFormatPr baseColWidth="10" defaultRowHeight="15" x14ac:dyDescent="0"/>
  <cols>
    <col min="1" max="2" width="15.6640625" bestFit="1" customWidth="1"/>
    <col min="7" max="7" width="16" bestFit="1" customWidth="1"/>
    <col min="13" max="13" width="16" bestFit="1" customWidth="1"/>
    <col min="19" max="19" width="16" bestFit="1" customWidth="1"/>
  </cols>
  <sheetData>
    <row r="1" spans="1:22">
      <c r="A1" s="2" t="s">
        <v>66</v>
      </c>
      <c r="G1" s="2" t="s">
        <v>2</v>
      </c>
      <c r="M1" s="2" t="s">
        <v>3</v>
      </c>
      <c r="S1" s="2" t="s">
        <v>363</v>
      </c>
      <c r="T1" s="2" t="s">
        <v>364</v>
      </c>
      <c r="U1" s="2" t="s">
        <v>365</v>
      </c>
      <c r="V1" s="2" t="s">
        <v>343</v>
      </c>
    </row>
    <row r="2" spans="1:22">
      <c r="A2" s="2" t="s">
        <v>296</v>
      </c>
      <c r="B2" s="2" t="s">
        <v>297</v>
      </c>
      <c r="C2" s="2" t="s">
        <v>298</v>
      </c>
      <c r="D2" s="2" t="s">
        <v>65</v>
      </c>
      <c r="E2" s="2" t="s">
        <v>304</v>
      </c>
      <c r="G2" s="2" t="s">
        <v>296</v>
      </c>
      <c r="H2" s="2" t="s">
        <v>297</v>
      </c>
      <c r="I2" s="2" t="s">
        <v>298</v>
      </c>
      <c r="J2" s="2" t="s">
        <v>65</v>
      </c>
      <c r="K2" s="2" t="s">
        <v>304</v>
      </c>
      <c r="M2" s="2" t="s">
        <v>296</v>
      </c>
      <c r="N2" s="2" t="s">
        <v>362</v>
      </c>
      <c r="O2" s="2" t="s">
        <v>298</v>
      </c>
      <c r="P2" s="2" t="s">
        <v>65</v>
      </c>
      <c r="Q2" s="2" t="s">
        <v>304</v>
      </c>
      <c r="S2" s="4" t="s">
        <v>67</v>
      </c>
      <c r="T2">
        <f>E6+K9</f>
        <v>190</v>
      </c>
      <c r="U2">
        <v>2</v>
      </c>
      <c r="V2">
        <f t="shared" ref="V2:V15" si="0">T2/U2</f>
        <v>95</v>
      </c>
    </row>
    <row r="3" spans="1:22">
      <c r="A3" t="s">
        <v>67</v>
      </c>
      <c r="B3" t="s">
        <v>240</v>
      </c>
      <c r="C3">
        <v>98</v>
      </c>
      <c r="G3" t="s">
        <v>97</v>
      </c>
      <c r="H3" s="1" t="s">
        <v>352</v>
      </c>
      <c r="I3">
        <v>94</v>
      </c>
      <c r="L3" s="1"/>
      <c r="M3" t="s">
        <v>68</v>
      </c>
      <c r="N3" t="s">
        <v>375</v>
      </c>
      <c r="O3">
        <v>99</v>
      </c>
      <c r="S3" t="s">
        <v>97</v>
      </c>
      <c r="T3" s="1">
        <v>150</v>
      </c>
      <c r="U3" s="1">
        <v>2</v>
      </c>
      <c r="V3">
        <f t="shared" si="0"/>
        <v>75</v>
      </c>
    </row>
    <row r="4" spans="1:22">
      <c r="B4" t="s">
        <v>178</v>
      </c>
      <c r="C4">
        <v>95</v>
      </c>
      <c r="H4" s="1" t="s">
        <v>94</v>
      </c>
      <c r="I4">
        <v>98</v>
      </c>
      <c r="L4" s="1"/>
      <c r="N4" t="s">
        <v>373</v>
      </c>
      <c r="O4">
        <v>97</v>
      </c>
      <c r="S4" t="s">
        <v>71</v>
      </c>
      <c r="T4" s="1">
        <v>150</v>
      </c>
      <c r="U4" s="1">
        <v>2</v>
      </c>
      <c r="V4">
        <f t="shared" si="0"/>
        <v>75</v>
      </c>
    </row>
    <row r="5" spans="1:22">
      <c r="B5" t="s">
        <v>248</v>
      </c>
      <c r="C5">
        <v>89</v>
      </c>
      <c r="H5" s="1" t="s">
        <v>356</v>
      </c>
      <c r="I5">
        <v>90</v>
      </c>
      <c r="L5" s="1"/>
      <c r="N5" t="s">
        <v>112</v>
      </c>
      <c r="O5">
        <v>90</v>
      </c>
      <c r="S5" t="s">
        <v>69</v>
      </c>
      <c r="T5" s="1">
        <v>150</v>
      </c>
      <c r="U5" s="1">
        <v>2</v>
      </c>
      <c r="V5">
        <f t="shared" si="0"/>
        <v>75</v>
      </c>
    </row>
    <row r="6" spans="1:22">
      <c r="B6" t="s">
        <v>253</v>
      </c>
      <c r="C6">
        <v>84</v>
      </c>
      <c r="D6">
        <f>C3+C4+C5+C6</f>
        <v>366</v>
      </c>
      <c r="E6">
        <v>100</v>
      </c>
      <c r="H6" s="1" t="s">
        <v>361</v>
      </c>
      <c r="I6">
        <v>87</v>
      </c>
      <c r="J6">
        <f>I3+I4+I5+I6</f>
        <v>369</v>
      </c>
      <c r="K6">
        <v>100</v>
      </c>
      <c r="L6" s="1"/>
      <c r="N6" t="s">
        <v>119</v>
      </c>
      <c r="O6">
        <v>85</v>
      </c>
      <c r="P6">
        <f>O3+O4+O5+O6</f>
        <v>371</v>
      </c>
      <c r="Q6">
        <v>100</v>
      </c>
      <c r="S6" s="1" t="s">
        <v>320</v>
      </c>
      <c r="T6">
        <v>150</v>
      </c>
      <c r="U6" s="1">
        <v>2</v>
      </c>
      <c r="V6">
        <f t="shared" si="0"/>
        <v>75</v>
      </c>
    </row>
    <row r="7" spans="1:22">
      <c r="A7" t="s">
        <v>71</v>
      </c>
      <c r="B7" t="s">
        <v>129</v>
      </c>
      <c r="C7">
        <v>99</v>
      </c>
      <c r="G7" t="s">
        <v>67</v>
      </c>
      <c r="H7" t="s">
        <v>240</v>
      </c>
      <c r="I7">
        <v>100</v>
      </c>
      <c r="M7" t="s">
        <v>320</v>
      </c>
      <c r="N7" t="s">
        <v>429</v>
      </c>
      <c r="O7">
        <v>96</v>
      </c>
      <c r="S7" t="s">
        <v>48</v>
      </c>
      <c r="T7" s="1">
        <f>E18+K15</f>
        <v>140</v>
      </c>
      <c r="U7" s="1">
        <v>2</v>
      </c>
      <c r="V7">
        <f t="shared" si="0"/>
        <v>70</v>
      </c>
    </row>
    <row r="8" spans="1:22">
      <c r="B8" t="s">
        <v>131</v>
      </c>
      <c r="C8">
        <v>93</v>
      </c>
      <c r="H8" t="s">
        <v>178</v>
      </c>
      <c r="I8">
        <v>99</v>
      </c>
      <c r="N8" t="s">
        <v>431</v>
      </c>
      <c r="O8">
        <v>92</v>
      </c>
      <c r="S8" t="s">
        <v>68</v>
      </c>
      <c r="T8" s="1">
        <v>140</v>
      </c>
      <c r="U8" s="1">
        <v>2</v>
      </c>
      <c r="V8">
        <f t="shared" si="0"/>
        <v>70</v>
      </c>
    </row>
    <row r="9" spans="1:22">
      <c r="B9" t="s">
        <v>135</v>
      </c>
      <c r="C9">
        <v>88</v>
      </c>
      <c r="H9" t="s">
        <v>253</v>
      </c>
      <c r="I9">
        <v>93</v>
      </c>
      <c r="J9">
        <f>I7+I8+I9</f>
        <v>292</v>
      </c>
      <c r="K9">
        <v>90</v>
      </c>
      <c r="N9" t="s">
        <v>433</v>
      </c>
      <c r="O9">
        <v>86</v>
      </c>
      <c r="S9" t="s">
        <v>73</v>
      </c>
      <c r="T9" s="1">
        <v>130</v>
      </c>
      <c r="U9" s="1">
        <v>2</v>
      </c>
      <c r="V9">
        <f t="shared" si="0"/>
        <v>65</v>
      </c>
    </row>
    <row r="10" spans="1:22">
      <c r="B10" t="s">
        <v>133</v>
      </c>
      <c r="C10">
        <v>82</v>
      </c>
      <c r="D10">
        <f>C7+C8+C9+C10</f>
        <v>362</v>
      </c>
      <c r="E10">
        <v>90</v>
      </c>
      <c r="G10" t="s">
        <v>69</v>
      </c>
      <c r="H10" s="1" t="s">
        <v>346</v>
      </c>
      <c r="I10">
        <v>97</v>
      </c>
      <c r="L10" s="1"/>
      <c r="N10" t="s">
        <v>435</v>
      </c>
      <c r="O10">
        <v>78</v>
      </c>
      <c r="P10">
        <f>O8+O7+O9+O10</f>
        <v>352</v>
      </c>
      <c r="Q10">
        <v>90</v>
      </c>
      <c r="S10" t="s">
        <v>301</v>
      </c>
      <c r="T10" s="1">
        <f>E14</f>
        <v>80</v>
      </c>
      <c r="U10" s="1">
        <v>1</v>
      </c>
      <c r="V10">
        <f t="shared" si="0"/>
        <v>80</v>
      </c>
    </row>
    <row r="11" spans="1:22">
      <c r="A11" t="s">
        <v>301</v>
      </c>
      <c r="B11" t="s">
        <v>245</v>
      </c>
      <c r="C11">
        <v>92</v>
      </c>
      <c r="H11" s="1" t="s">
        <v>348</v>
      </c>
      <c r="I11">
        <v>96</v>
      </c>
      <c r="L11" s="1"/>
      <c r="M11" t="s">
        <v>73</v>
      </c>
      <c r="N11" t="s">
        <v>243</v>
      </c>
      <c r="O11">
        <v>94</v>
      </c>
      <c r="S11" s="1" t="s">
        <v>70</v>
      </c>
      <c r="T11">
        <f>E22</f>
        <v>60</v>
      </c>
      <c r="U11" s="1">
        <v>1</v>
      </c>
      <c r="V11">
        <f t="shared" si="0"/>
        <v>60</v>
      </c>
    </row>
    <row r="12" spans="1:22">
      <c r="B12" t="s">
        <v>45</v>
      </c>
      <c r="C12">
        <v>91</v>
      </c>
      <c r="H12" s="1" t="s">
        <v>350</v>
      </c>
      <c r="I12">
        <v>95</v>
      </c>
      <c r="J12">
        <f>I10+I11+I12</f>
        <v>288</v>
      </c>
      <c r="K12">
        <v>80</v>
      </c>
      <c r="L12" s="1"/>
      <c r="N12" t="s">
        <v>251</v>
      </c>
      <c r="O12">
        <v>91</v>
      </c>
      <c r="S12" s="5" t="s">
        <v>72</v>
      </c>
      <c r="T12">
        <f>E33</f>
        <v>30</v>
      </c>
      <c r="U12" s="1">
        <v>1</v>
      </c>
      <c r="V12">
        <f t="shared" si="0"/>
        <v>30</v>
      </c>
    </row>
    <row r="13" spans="1:22">
      <c r="B13" t="s">
        <v>247</v>
      </c>
      <c r="C13">
        <v>90</v>
      </c>
      <c r="G13" t="s">
        <v>48</v>
      </c>
      <c r="H13" s="1" t="s">
        <v>90</v>
      </c>
      <c r="I13">
        <v>92</v>
      </c>
      <c r="N13" t="s">
        <v>259</v>
      </c>
      <c r="O13">
        <v>83</v>
      </c>
      <c r="S13" s="1" t="s">
        <v>75</v>
      </c>
      <c r="T13">
        <f>E36</f>
        <v>20</v>
      </c>
      <c r="U13" s="1">
        <v>1</v>
      </c>
      <c r="V13">
        <f t="shared" si="0"/>
        <v>20</v>
      </c>
    </row>
    <row r="14" spans="1:22">
      <c r="B14" t="s">
        <v>250</v>
      </c>
      <c r="C14">
        <v>87</v>
      </c>
      <c r="D14">
        <f>C11+C12+C13+C14</f>
        <v>360</v>
      </c>
      <c r="E14">
        <v>80</v>
      </c>
      <c r="H14" s="1" t="s">
        <v>354</v>
      </c>
      <c r="I14">
        <v>91</v>
      </c>
      <c r="L14" s="1"/>
      <c r="N14" t="s">
        <v>267</v>
      </c>
      <c r="O14">
        <v>80</v>
      </c>
      <c r="P14">
        <f>O11+O12+O13+O14</f>
        <v>348</v>
      </c>
      <c r="Q14">
        <v>80</v>
      </c>
      <c r="S14" s="1" t="s">
        <v>74</v>
      </c>
      <c r="T14">
        <f>10</f>
        <v>10</v>
      </c>
      <c r="U14" s="1">
        <v>1</v>
      </c>
      <c r="V14">
        <f t="shared" si="0"/>
        <v>10</v>
      </c>
    </row>
    <row r="15" spans="1:22">
      <c r="A15" t="s">
        <v>48</v>
      </c>
      <c r="B15" t="s">
        <v>149</v>
      </c>
      <c r="C15">
        <v>100</v>
      </c>
      <c r="H15" s="1" t="s">
        <v>358</v>
      </c>
      <c r="I15">
        <v>89</v>
      </c>
      <c r="J15">
        <f>I13+I14+I15</f>
        <v>272</v>
      </c>
      <c r="K15">
        <v>70</v>
      </c>
      <c r="L15" s="1"/>
      <c r="M15" t="s">
        <v>69</v>
      </c>
      <c r="N15" t="s">
        <v>407</v>
      </c>
      <c r="O15">
        <v>95</v>
      </c>
      <c r="S15" s="1" t="s">
        <v>76</v>
      </c>
      <c r="T15">
        <v>0</v>
      </c>
      <c r="U15" s="1">
        <v>1</v>
      </c>
      <c r="V15">
        <f t="shared" si="0"/>
        <v>0</v>
      </c>
    </row>
    <row r="16" spans="1:22">
      <c r="B16" t="s">
        <v>22</v>
      </c>
      <c r="C16">
        <v>96</v>
      </c>
      <c r="G16" t="s">
        <v>320</v>
      </c>
      <c r="H16" s="1" t="s">
        <v>360</v>
      </c>
      <c r="I16">
        <v>88</v>
      </c>
      <c r="J16">
        <v>88</v>
      </c>
      <c r="K16">
        <v>60</v>
      </c>
      <c r="L16" s="1"/>
      <c r="N16" t="s">
        <v>350</v>
      </c>
      <c r="O16">
        <v>93</v>
      </c>
    </row>
    <row r="17" spans="1:17">
      <c r="B17" t="s">
        <v>153</v>
      </c>
      <c r="C17">
        <v>73</v>
      </c>
      <c r="N17" t="s">
        <v>410</v>
      </c>
      <c r="O17">
        <v>87</v>
      </c>
    </row>
    <row r="18" spans="1:17">
      <c r="B18" t="s">
        <v>261</v>
      </c>
      <c r="C18">
        <v>72</v>
      </c>
      <c r="D18">
        <f>C15+C16+C17+C18</f>
        <v>341</v>
      </c>
      <c r="E18">
        <v>70</v>
      </c>
      <c r="H18" s="1"/>
      <c r="N18" t="s">
        <v>409</v>
      </c>
      <c r="O18">
        <v>71</v>
      </c>
      <c r="P18">
        <f>O15+O16+O17+O18</f>
        <v>346</v>
      </c>
      <c r="Q18">
        <v>70</v>
      </c>
    </row>
    <row r="19" spans="1:17">
      <c r="A19" t="s">
        <v>70</v>
      </c>
      <c r="B19" t="s">
        <v>18</v>
      </c>
      <c r="C19">
        <v>97</v>
      </c>
      <c r="M19" t="s">
        <v>71</v>
      </c>
      <c r="N19" t="s">
        <v>129</v>
      </c>
      <c r="O19">
        <v>100</v>
      </c>
    </row>
    <row r="20" spans="1:17">
      <c r="B20" t="s">
        <v>255</v>
      </c>
      <c r="C20">
        <v>83</v>
      </c>
      <c r="N20" t="s">
        <v>33</v>
      </c>
      <c r="O20">
        <v>88</v>
      </c>
      <c r="P20">
        <f>O19+O20</f>
        <v>188</v>
      </c>
      <c r="Q20">
        <v>60</v>
      </c>
    </row>
    <row r="21" spans="1:17">
      <c r="B21" t="s">
        <v>257</v>
      </c>
      <c r="C21">
        <v>81</v>
      </c>
      <c r="M21" t="s">
        <v>97</v>
      </c>
      <c r="N21" t="s">
        <v>391</v>
      </c>
      <c r="O21">
        <v>98</v>
      </c>
    </row>
    <row r="22" spans="1:17">
      <c r="B22" t="s">
        <v>295</v>
      </c>
      <c r="C22">
        <v>78</v>
      </c>
      <c r="D22">
        <f>C19+C20+C21+C22</f>
        <v>339</v>
      </c>
      <c r="E22">
        <v>60</v>
      </c>
      <c r="N22" t="s">
        <v>94</v>
      </c>
      <c r="O22">
        <v>89</v>
      </c>
      <c r="P22">
        <f>O21+O22</f>
        <v>187</v>
      </c>
      <c r="Q22">
        <v>50</v>
      </c>
    </row>
    <row r="23" spans="1:17">
      <c r="A23" t="s">
        <v>73</v>
      </c>
      <c r="B23" t="s">
        <v>243</v>
      </c>
      <c r="C23">
        <v>94</v>
      </c>
      <c r="M23" t="s">
        <v>48</v>
      </c>
      <c r="N23" t="s">
        <v>419</v>
      </c>
      <c r="O23">
        <v>79</v>
      </c>
    </row>
    <row r="24" spans="1:17">
      <c r="B24" t="s">
        <v>251</v>
      </c>
      <c r="C24">
        <v>86</v>
      </c>
      <c r="N24" t="s">
        <v>418</v>
      </c>
      <c r="O24">
        <v>69</v>
      </c>
      <c r="P24">
        <f>O23+O24</f>
        <v>148</v>
      </c>
      <c r="Q24">
        <v>40</v>
      </c>
    </row>
    <row r="25" spans="1:17">
      <c r="B25" t="s">
        <v>259</v>
      </c>
      <c r="C25">
        <v>74</v>
      </c>
    </row>
    <row r="26" spans="1:17">
      <c r="B26" t="s">
        <v>305</v>
      </c>
      <c r="C26">
        <v>66</v>
      </c>
      <c r="D26">
        <f>C23+C24+C25+C26</f>
        <v>320</v>
      </c>
      <c r="E26">
        <v>50</v>
      </c>
    </row>
    <row r="27" spans="1:17">
      <c r="A27" t="s">
        <v>68</v>
      </c>
      <c r="B27" t="s">
        <v>112</v>
      </c>
      <c r="C27">
        <v>79</v>
      </c>
    </row>
    <row r="28" spans="1:17">
      <c r="B28" t="s">
        <v>35</v>
      </c>
      <c r="C28">
        <v>76</v>
      </c>
    </row>
    <row r="29" spans="1:17">
      <c r="B29" t="s">
        <v>119</v>
      </c>
      <c r="C29">
        <v>69</v>
      </c>
    </row>
    <row r="30" spans="1:17">
      <c r="B30" t="s">
        <v>108</v>
      </c>
      <c r="C30">
        <v>67</v>
      </c>
      <c r="D30">
        <f>C27+C28+C29+C30</f>
        <v>291</v>
      </c>
      <c r="E30">
        <v>40</v>
      </c>
    </row>
    <row r="31" spans="1:17">
      <c r="A31" t="s">
        <v>72</v>
      </c>
      <c r="B31" t="s">
        <v>162</v>
      </c>
      <c r="C31">
        <v>85</v>
      </c>
    </row>
    <row r="32" spans="1:17">
      <c r="B32" t="s">
        <v>165</v>
      </c>
      <c r="C32">
        <v>77</v>
      </c>
    </row>
    <row r="33" spans="1:5">
      <c r="B33" t="s">
        <v>163</v>
      </c>
      <c r="C33">
        <v>75</v>
      </c>
      <c r="D33">
        <f>C31+C32+C33</f>
        <v>237</v>
      </c>
      <c r="E33">
        <v>30</v>
      </c>
    </row>
    <row r="34" spans="1:5">
      <c r="A34" t="s">
        <v>75</v>
      </c>
      <c r="B34" t="s">
        <v>269</v>
      </c>
      <c r="C34">
        <v>64</v>
      </c>
    </row>
    <row r="35" spans="1:5">
      <c r="B35" t="s">
        <v>259</v>
      </c>
      <c r="C35">
        <v>51</v>
      </c>
    </row>
    <row r="36" spans="1:5">
      <c r="B36" t="s">
        <v>291</v>
      </c>
      <c r="C36">
        <v>48</v>
      </c>
      <c r="D36">
        <f>C34+C35+C36</f>
        <v>163</v>
      </c>
      <c r="E36">
        <v>20</v>
      </c>
    </row>
    <row r="37" spans="1:5">
      <c r="A37" t="s">
        <v>74</v>
      </c>
      <c r="B37" t="s">
        <v>274</v>
      </c>
      <c r="C37">
        <v>61</v>
      </c>
      <c r="D37">
        <f>C37</f>
        <v>61</v>
      </c>
      <c r="E37">
        <v>10</v>
      </c>
    </row>
    <row r="38" spans="1:5">
      <c r="A38" t="s">
        <v>76</v>
      </c>
      <c r="B38" t="s">
        <v>278</v>
      </c>
      <c r="C38">
        <v>59</v>
      </c>
      <c r="D38">
        <f>C38</f>
        <v>59</v>
      </c>
      <c r="E38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 Ind.</vt:lpstr>
      <vt:lpstr>Men Team</vt:lpstr>
      <vt:lpstr>Women Ind.</vt:lpstr>
      <vt:lpstr>Women Team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Knight</dc:creator>
  <cp:lastModifiedBy>Taylor Knight</cp:lastModifiedBy>
  <dcterms:created xsi:type="dcterms:W3CDTF">2012-08-31T16:12:51Z</dcterms:created>
  <dcterms:modified xsi:type="dcterms:W3CDTF">2012-09-24T14:06:19Z</dcterms:modified>
</cp:coreProperties>
</file>