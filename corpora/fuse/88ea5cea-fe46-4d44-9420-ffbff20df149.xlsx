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4" windowWidth="22980" windowHeight="10056"/>
  </bookViews>
  <sheets>
    <sheet name="Conv-Conforming Fixed Rate" sheetId="1" r:id="rId1"/>
    <sheet name="FHA - VA Rates" sheetId="2" r:id="rId2"/>
    <sheet name="Other - Rural Housing &amp; TX VET" sheetId="3" r:id="rId3"/>
    <sheet name="Price Adjustments" sheetId="4" r:id="rId4"/>
    <sheet name="SRP Schedule &amp; Other" sheetId="5" r:id="rId5"/>
    <sheet name="SRP Goverment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emortgageadj">'[1]DEXMA ADJ'!$D$23</definedName>
    <definedName name="ctenyearadj">'[1]DEXMA ADJ'!$D$17</definedName>
    <definedName name="ctwentyyearadj">'[1]DEXMA ADJ'!$D$19</definedName>
    <definedName name="ctwentyyearsdj">'[4]DEXMA ADJ'!$C$15</definedName>
    <definedName name="diff151a">[1]Data!$B$1</definedName>
    <definedName name="diff301a">[1]Data!$B$2</definedName>
    <definedName name="diff60day1a">[1]Data!$B$4</definedName>
    <definedName name="diff90day1a">[1]Data!$B$5</definedName>
    <definedName name="emortgage">'[1]DEXMA ADJ'!$D$12</definedName>
    <definedName name="emortgageadj">'[5]DEXMA ADJ'!$C$10</definedName>
    <definedName name="MAX">[6]Sheet2!$O$5</definedName>
    <definedName name="MAXFF">[6]Sheet2!$O$10</definedName>
    <definedName name="MAXFFF">[6]Sheet2!$P$10</definedName>
    <definedName name="pdadj">'[1]DEXMA ADJ'!$D$10</definedName>
    <definedName name="_xlnm.Print_Area" localSheetId="2">'Other - Rural Housing &amp; TX VET'!$A$1:$H$50</definedName>
    <definedName name="tenyearadj">'[1]DEXMA ADJ'!$D$6</definedName>
    <definedName name="twentyyearadj">'[1]DEXMA ADJ'!$D$8</definedName>
  </definedNames>
  <calcPr calcId="144525"/>
</workbook>
</file>

<file path=xl/calcChain.xml><?xml version="1.0" encoding="utf-8"?>
<calcChain xmlns="http://schemas.openxmlformats.org/spreadsheetml/2006/main">
  <c r="H39" i="6" l="1"/>
  <c r="F37" i="6"/>
  <c r="H37" i="6" s="1"/>
  <c r="F35" i="6"/>
  <c r="H35" i="6" s="1"/>
  <c r="F33" i="6"/>
  <c r="H33" i="6" s="1"/>
  <c r="H28" i="6"/>
  <c r="H26" i="6"/>
  <c r="F26" i="6"/>
  <c r="F24" i="6"/>
  <c r="H24" i="6" s="1"/>
  <c r="F22" i="6"/>
  <c r="H22" i="6" s="1"/>
  <c r="H17" i="6"/>
  <c r="H15" i="6"/>
  <c r="F15" i="6"/>
  <c r="F13" i="6"/>
  <c r="H13" i="6" s="1"/>
  <c r="F11" i="6"/>
  <c r="H11" i="6" s="1"/>
  <c r="K49" i="5"/>
  <c r="H49" i="5"/>
  <c r="F49" i="5"/>
  <c r="K47" i="5"/>
  <c r="H47" i="5"/>
  <c r="F47" i="5"/>
  <c r="K45" i="5"/>
  <c r="H45" i="5"/>
  <c r="F45" i="5"/>
  <c r="K43" i="5"/>
  <c r="H43" i="5"/>
  <c r="F43" i="5"/>
  <c r="K41" i="5"/>
  <c r="H41" i="5"/>
  <c r="F41" i="5"/>
  <c r="K35" i="5"/>
  <c r="H35" i="5"/>
  <c r="F35" i="5"/>
  <c r="K33" i="5"/>
  <c r="H33" i="5"/>
  <c r="F33" i="5"/>
  <c r="K31" i="5"/>
  <c r="H31" i="5"/>
  <c r="F31" i="5"/>
  <c r="K29" i="5"/>
  <c r="H29" i="5"/>
  <c r="F29" i="5"/>
  <c r="K27" i="5"/>
  <c r="H27" i="5"/>
  <c r="F27" i="5"/>
  <c r="G4" i="4"/>
  <c r="H34" i="3"/>
  <c r="H35" i="3" s="1"/>
  <c r="H36" i="3" s="1"/>
  <c r="H37" i="3" s="1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F4" i="3"/>
  <c r="C47" i="2"/>
  <c r="D47" i="2" s="1"/>
  <c r="B47" i="2"/>
  <c r="C46" i="2"/>
  <c r="D46" i="2" s="1"/>
  <c r="B46" i="2"/>
  <c r="C44" i="2"/>
  <c r="D44" i="2" s="1"/>
  <c r="B44" i="2"/>
  <c r="C43" i="2"/>
  <c r="D43" i="2" s="1"/>
  <c r="B43" i="2"/>
  <c r="C41" i="2"/>
  <c r="D41" i="2" s="1"/>
  <c r="B41" i="2"/>
  <c r="C40" i="2"/>
  <c r="D40" i="2" s="1"/>
  <c r="B40" i="2"/>
  <c r="D35" i="2"/>
  <c r="C35" i="2"/>
  <c r="B35" i="2"/>
  <c r="C34" i="2"/>
  <c r="D34" i="2" s="1"/>
  <c r="B34" i="2"/>
  <c r="C32" i="2"/>
  <c r="D32" i="2" s="1"/>
  <c r="B32" i="2"/>
  <c r="C31" i="2"/>
  <c r="D31" i="2" s="1"/>
  <c r="B31" i="2"/>
  <c r="C29" i="2"/>
  <c r="D29" i="2" s="1"/>
  <c r="B29" i="2"/>
  <c r="C28" i="2"/>
  <c r="D28" i="2" s="1"/>
  <c r="B28" i="2"/>
  <c r="D20" i="2"/>
  <c r="C20" i="2"/>
  <c r="A20" i="2"/>
  <c r="E19" i="2"/>
  <c r="D19" i="2"/>
  <c r="C19" i="2"/>
  <c r="A19" i="2"/>
  <c r="E12" i="2"/>
  <c r="C12" i="2"/>
  <c r="D12" i="2" s="1"/>
  <c r="A12" i="2"/>
  <c r="C11" i="2"/>
  <c r="D11" i="2" s="1"/>
  <c r="E11" i="2" s="1"/>
  <c r="A11" i="2"/>
  <c r="C10" i="2"/>
  <c r="D10" i="2" s="1"/>
  <c r="E10" i="2" s="1"/>
  <c r="A10" i="2"/>
  <c r="C9" i="2"/>
  <c r="D9" i="2" s="1"/>
  <c r="E9" i="2" s="1"/>
  <c r="A9" i="2"/>
  <c r="C8" i="2"/>
  <c r="D8" i="2" s="1"/>
  <c r="E8" i="2" s="1"/>
  <c r="A8" i="2"/>
  <c r="F4" i="2"/>
  <c r="H57" i="2" s="1"/>
  <c r="B106" i="1"/>
  <c r="B105" i="1"/>
  <c r="B104" i="1"/>
  <c r="D37" i="1"/>
  <c r="E37" i="1" s="1"/>
  <c r="C37" i="1"/>
  <c r="B37" i="1"/>
  <c r="A37" i="1"/>
  <c r="E36" i="1"/>
  <c r="D36" i="1"/>
  <c r="C36" i="1" s="1"/>
  <c r="B36" i="1" s="1"/>
  <c r="A36" i="1"/>
  <c r="D35" i="1"/>
  <c r="E35" i="1" s="1"/>
  <c r="C35" i="1"/>
  <c r="B35" i="1"/>
  <c r="A35" i="1"/>
  <c r="D34" i="1"/>
  <c r="E34" i="1" s="1"/>
  <c r="C34" i="1"/>
  <c r="B34" i="1"/>
  <c r="A34" i="1"/>
  <c r="D33" i="1"/>
  <c r="C33" i="1" s="1"/>
  <c r="B33" i="1" s="1"/>
  <c r="A33" i="1"/>
  <c r="D32" i="1"/>
  <c r="E32" i="1" s="1"/>
  <c r="C32" i="1"/>
  <c r="B32" i="1"/>
  <c r="A32" i="1"/>
  <c r="E31" i="1"/>
  <c r="D31" i="1"/>
  <c r="C31" i="1"/>
  <c r="B31" i="1"/>
  <c r="A31" i="1"/>
  <c r="D15" i="1"/>
  <c r="E15" i="1" s="1"/>
  <c r="C15" i="1"/>
  <c r="B15" i="1" s="1"/>
  <c r="A15" i="1"/>
  <c r="D14" i="1"/>
  <c r="E14" i="1" s="1"/>
  <c r="C14" i="1"/>
  <c r="B14" i="1"/>
  <c r="A14" i="1"/>
  <c r="E13" i="1"/>
  <c r="D13" i="1"/>
  <c r="C13" i="1" s="1"/>
  <c r="B13" i="1" s="1"/>
  <c r="A13" i="1"/>
  <c r="D12" i="1"/>
  <c r="E12" i="1" s="1"/>
  <c r="C12" i="1"/>
  <c r="B12" i="1"/>
  <c r="A12" i="1"/>
  <c r="D11" i="1"/>
  <c r="E11" i="1" s="1"/>
  <c r="C11" i="1"/>
  <c r="B11" i="1"/>
  <c r="A11" i="1"/>
  <c r="D10" i="1"/>
  <c r="C10" i="1" s="1"/>
  <c r="B10" i="1" s="1"/>
  <c r="A10" i="1"/>
  <c r="D9" i="1"/>
  <c r="E9" i="1" s="1"/>
  <c r="C9" i="1"/>
  <c r="B9" i="1"/>
  <c r="A9" i="1"/>
  <c r="E8" i="1"/>
  <c r="D8" i="1"/>
  <c r="C8" i="1"/>
  <c r="B8" i="1"/>
  <c r="A8" i="1"/>
  <c r="D7" i="1"/>
  <c r="E7" i="1" s="1"/>
  <c r="C7" i="1"/>
  <c r="B7" i="1" s="1"/>
  <c r="A7" i="1"/>
  <c r="F4" i="1"/>
  <c r="B103" i="1" s="1"/>
  <c r="E33" i="1" l="1"/>
  <c r="H55" i="2"/>
  <c r="H56" i="2"/>
  <c r="E10" i="1"/>
  <c r="H54" i="2"/>
  <c r="B102" i="1"/>
</calcChain>
</file>

<file path=xl/sharedStrings.xml><?xml version="1.0" encoding="utf-8"?>
<sst xmlns="http://schemas.openxmlformats.org/spreadsheetml/2006/main" count="387" uniqueCount="249">
  <si>
    <t>TIB-The Independent BankersBank</t>
  </si>
  <si>
    <t>.25 cost to Price to Waive Escrows</t>
  </si>
  <si>
    <t>350 Phelps Ct., Irving TX 75038</t>
  </si>
  <si>
    <t>LTV must be 80% or less to qualify.</t>
  </si>
  <si>
    <t>888-776-4842 Toll Free//972-541-0264 fax</t>
  </si>
  <si>
    <t>Rate Sheet Effective:</t>
  </si>
  <si>
    <t>Product: Conv-Conforming Fixed Rate 30 Year</t>
  </si>
  <si>
    <t>Loan Level Price Adjustment</t>
  </si>
  <si>
    <t>Rate</t>
  </si>
  <si>
    <t>15 Day</t>
  </si>
  <si>
    <t>30 Day</t>
  </si>
  <si>
    <t>45 Day</t>
  </si>
  <si>
    <t>60 Day</t>
  </si>
  <si>
    <t>Price adjustments are cumulative</t>
  </si>
  <si>
    <t>and are added to price quote</t>
  </si>
  <si>
    <t>Note:</t>
  </si>
  <si>
    <t>Refer To Price Adjustments Tab</t>
  </si>
  <si>
    <t>For all Price Adjs</t>
  </si>
  <si>
    <t>Please note availability of</t>
  </si>
  <si>
    <t>TIB Servicing Retained Product</t>
  </si>
  <si>
    <t>For Conventional Loans Only.</t>
  </si>
  <si>
    <t>A .25 adjustment to SRP</t>
  </si>
  <si>
    <t>Will apply.</t>
  </si>
  <si>
    <t>Product: Conv-Conforming Fixed Rate 15 Year</t>
  </si>
  <si>
    <t>Minimum loan amount:</t>
  </si>
  <si>
    <t xml:space="preserve">TIB does not have a minimum loan </t>
  </si>
  <si>
    <t xml:space="preserve">loan amount, however a 1.00% price </t>
  </si>
  <si>
    <t>discount will apply to loan amounts</t>
  </si>
  <si>
    <t>less than $39,999.00</t>
  </si>
  <si>
    <t>2010 Conforming Loan Limits</t>
  </si>
  <si>
    <t>1 Unit-$417,000</t>
  </si>
  <si>
    <t>2 Unit-$533,850</t>
  </si>
  <si>
    <t>3 Unit-$645,300</t>
  </si>
  <si>
    <t>4 Unit-$801,950</t>
  </si>
  <si>
    <t>A SERVICE RELEASE PREMIUM WILL BE PAID IN ACCORDANCE WITH THE ATTACHED SCHEDULE.</t>
  </si>
  <si>
    <t>&amp; adj. Made to the price quote</t>
  </si>
  <si>
    <t>EXPIRATION DATES:</t>
  </si>
  <si>
    <t>15 DAY</t>
  </si>
  <si>
    <t>30 DAY</t>
  </si>
  <si>
    <t>45 DAY</t>
  </si>
  <si>
    <t>60 DAY</t>
  </si>
  <si>
    <t>90 DAY</t>
  </si>
  <si>
    <t>Product: FHA / VA Fixed Rate 30 Year</t>
  </si>
  <si>
    <t xml:space="preserve">            (Prices DO NOT include SRP)</t>
  </si>
  <si>
    <t>75 Day</t>
  </si>
  <si>
    <t>Credit Score Adjustment</t>
  </si>
  <si>
    <t xml:space="preserve">640 - 659 </t>
  </si>
  <si>
    <t xml:space="preserve">660 - 719 </t>
  </si>
  <si>
    <t xml:space="preserve">720 + </t>
  </si>
  <si>
    <t xml:space="preserve">VA Adjustment </t>
  </si>
  <si>
    <t>Product: FHA / VA Fixed Rate 15 Year</t>
  </si>
  <si>
    <t>FHA Streamline Refi Adj</t>
  </si>
  <si>
    <t xml:space="preserve">SRPs </t>
  </si>
  <si>
    <t>See Government SRP Schedule</t>
  </si>
  <si>
    <t xml:space="preserve">    - 240 Terms Priced with 30 Yr base and 15 Yr SRP</t>
  </si>
  <si>
    <t>Fees:</t>
  </si>
  <si>
    <t>Fees for Loans TIB Underwrites</t>
  </si>
  <si>
    <t xml:space="preserve">      TIB FHA Fulfillment Loans</t>
  </si>
  <si>
    <t xml:space="preserve">Underwriting </t>
  </si>
  <si>
    <t>Product: FHA Fixed Rate 30 Year</t>
  </si>
  <si>
    <t xml:space="preserve">Insuring </t>
  </si>
  <si>
    <t xml:space="preserve">            (Prices include SRP)</t>
  </si>
  <si>
    <t>Fees for Loans Not Underwritten by TIB</t>
  </si>
  <si>
    <t>Tier 1 : Rate</t>
  </si>
  <si>
    <t xml:space="preserve">Administration </t>
  </si>
  <si>
    <t>TIB Fulfillment Loans</t>
  </si>
  <si>
    <t>Tier 2 : Rate</t>
  </si>
  <si>
    <t>- Credit Score Adjustments Still Apply</t>
  </si>
  <si>
    <t>Tier 3 : Rate</t>
  </si>
  <si>
    <t>-SRPs are Included</t>
  </si>
  <si>
    <t xml:space="preserve">Max Broker Compensation Cap </t>
  </si>
  <si>
    <t xml:space="preserve">30 Year </t>
  </si>
  <si>
    <t>Product: FHA Fixed Rate 15 Year</t>
  </si>
  <si>
    <t xml:space="preserve">15 Year </t>
  </si>
  <si>
    <t>State Tiers</t>
  </si>
  <si>
    <r>
      <t xml:space="preserve">Tier 1 </t>
    </r>
    <r>
      <rPr>
        <sz val="9"/>
        <color indexed="10"/>
        <rFont val="Arial"/>
        <family val="2"/>
      </rPr>
      <t xml:space="preserve"> -  AL, AR, FL, GA, IN, KS, KY, LA, </t>
    </r>
  </si>
  <si>
    <t>MO, MS, ND, NE, OH, OK, PA, TX, WI</t>
  </si>
  <si>
    <r>
      <t>Tier 2</t>
    </r>
    <r>
      <rPr>
        <sz val="9"/>
        <color indexed="10"/>
        <rFont val="Arial"/>
        <family val="2"/>
      </rPr>
      <t xml:space="preserve">  -  AK, CT, DE, IA, MA, ME, MI, NC,</t>
    </r>
  </si>
  <si>
    <t>NH, NY, RI, SC, TN, UT, VT, WY</t>
  </si>
  <si>
    <r>
      <t>Tier 3</t>
    </r>
    <r>
      <rPr>
        <sz val="9"/>
        <color indexed="10"/>
        <rFont val="Arial"/>
        <family val="2"/>
      </rPr>
      <t xml:space="preserve">  -  AZ, CA, CO, DC, HI, ID, IL, MD, </t>
    </r>
  </si>
  <si>
    <t xml:space="preserve">Foot Notes: </t>
  </si>
  <si>
    <t xml:space="preserve">   NM, MT, NJ, NM, NV, OR, VA, WA, WV</t>
  </si>
  <si>
    <t>Loans must be AUS Approved / Eligible from FHA Scorecard</t>
  </si>
  <si>
    <t>Expiration Dates</t>
  </si>
  <si>
    <t>Seasoning - No loans older than 60 days from Note Date to TIB</t>
  </si>
  <si>
    <t xml:space="preserve">          Call: Donald Grossart, 972-650-7075 </t>
  </si>
  <si>
    <t xml:space="preserve">          E-Mail: dgrossart@mybankersbank.com </t>
  </si>
  <si>
    <t xml:space="preserve">60 Day </t>
  </si>
  <si>
    <t>Product: FMHA Rural Housing</t>
  </si>
  <si>
    <t>Prices Do Not Include SRP</t>
  </si>
  <si>
    <t>See Product Matrix for Complete Details</t>
  </si>
  <si>
    <t>800-695-4842 Toll Free//972-541-0264 fax</t>
  </si>
  <si>
    <t>Effective:</t>
  </si>
  <si>
    <t>Loan Level Price Adjustments</t>
  </si>
  <si>
    <t>NOTE:  Minimum FICO score is 620 Conventional &amp; 640 FHA/Rural Housing</t>
  </si>
  <si>
    <t>All Price Adjustments are cumulative</t>
  </si>
  <si>
    <t>Score used will be lowest middle score, all borrowers</t>
  </si>
  <si>
    <t xml:space="preserve">Cash Out Refinance </t>
  </si>
  <si>
    <t>FICO 620 - 679 and LTV &lt;= 60.00%</t>
  </si>
  <si>
    <r>
      <t xml:space="preserve">Retained Product </t>
    </r>
    <r>
      <rPr>
        <u val="double"/>
        <sz val="10"/>
        <rFont val="Arial"/>
        <family val="2"/>
      </rPr>
      <t>Only</t>
    </r>
  </si>
  <si>
    <t>FICO 620 - 659 and LTVs 60.01% to 75.00%</t>
  </si>
  <si>
    <t>FICO 620 - 639 and LTVs 75.01% to 80.0%</t>
  </si>
  <si>
    <t>FICO 620 - 639 and LTVs 80.01% to 85.0%</t>
  </si>
  <si>
    <t>FICO 620 - 659 and LTVs 85.01% to 90.0%</t>
  </si>
  <si>
    <t>FICO 640 - 659 and LTVs 75.01% to 80.00%</t>
  </si>
  <si>
    <t>FICO 640 - 659 and LTVs &gt;  80.00%</t>
  </si>
  <si>
    <t>FICO 660 - 699 and LTVs &lt;=60.00%</t>
  </si>
  <si>
    <t>FICO 660 - 699 and LTVs 60.01% to 75.00%</t>
  </si>
  <si>
    <t>FICO 660 - 679 and LTVs 75.01% to 80.00%</t>
  </si>
  <si>
    <t>FICO 680 - 699 and LTVs 75.01% to 80.00%</t>
  </si>
  <si>
    <t>FICO 660 - 699 and LTVs 80.01% to 85.0%</t>
  </si>
  <si>
    <t>FICO 660 - 699 and LTVs above 85.00%</t>
  </si>
  <si>
    <t>FICO 700 - 739 and LTVs 60.01% to 75.00%</t>
  </si>
  <si>
    <t>FICO 700 - 739 and LTVs 75.01% to 80.00%</t>
  </si>
  <si>
    <t>FICO 700 - 739 and LTVs  80.01% - 85.00%</t>
  </si>
  <si>
    <t>FICO 700 - 739 and LTVs &gt; 85.00%</t>
  </si>
  <si>
    <t>FICO &gt; 739 and LTVs 60.01% to 75.00%</t>
  </si>
  <si>
    <t>FICO &gt; 739 and LTVs 75.01% to 80.00%</t>
  </si>
  <si>
    <t>FICO &gt; 739 and LTVs above 80.00%</t>
  </si>
  <si>
    <t>FICO 620 - 659 and LTV &lt;= 60.00%</t>
  </si>
  <si>
    <r>
      <t xml:space="preserve">Released Product </t>
    </r>
    <r>
      <rPr>
        <u val="double"/>
        <sz val="10"/>
        <rFont val="Arial"/>
        <family val="2"/>
      </rPr>
      <t>Only</t>
    </r>
  </si>
  <si>
    <t>FICO 660 - 679 and LTV &lt;= 60.00%</t>
  </si>
  <si>
    <t>FICO 680 &gt;  and LTV &lt;= 60.00%</t>
  </si>
  <si>
    <t>FICO 620 - 639 and LTVs 75.01% to 80.00%</t>
  </si>
  <si>
    <t>FICO 620 - 659 and LTVs 80.01% to 85.0%</t>
  </si>
  <si>
    <t>FICO 660 - 679 and LTVs 60.01% to 75.00%</t>
  </si>
  <si>
    <t>FICO 660 - 679 and LTVs 80.01% to 85.00%</t>
  </si>
  <si>
    <t>FICO 680 - 699 and LTVs 60.01% to 75.00%</t>
  </si>
  <si>
    <t>FICO 680 - 699 and LTVs 80.01% to 85.00%</t>
  </si>
  <si>
    <t>FICO 700 - 739 and LTVs 80.01% to 85.00%</t>
  </si>
  <si>
    <t>Texas Equity Section 50</t>
  </si>
  <si>
    <t>All LTVS &amp; All Credit Scores</t>
  </si>
  <si>
    <t>Investment Loans (NOO)</t>
  </si>
  <si>
    <t>LTVs of 75.00% and less</t>
  </si>
  <si>
    <t>Retained Product Only</t>
  </si>
  <si>
    <t>LTVs 75.01% to 80.00%</t>
  </si>
  <si>
    <t>LTVs above 80.00%</t>
  </si>
  <si>
    <t>Released Product Only</t>
  </si>
  <si>
    <t>Loan Amount</t>
  </si>
  <si>
    <t>Loan Balances less than $40,000</t>
  </si>
  <si>
    <t>Credit Score</t>
  </si>
  <si>
    <t>FICO Range  680 - 739</t>
  </si>
  <si>
    <t>FICO Range 620 - 679</t>
  </si>
  <si>
    <t>Credit Score &amp; LTV:</t>
  </si>
  <si>
    <t>FICO 620 - 659 and LTVs &lt;= 60.00%</t>
  </si>
  <si>
    <t>Does not Apply to terms</t>
  </si>
  <si>
    <t>FICO 620 - 639 and LTVs 60.01% to 70.00%</t>
  </si>
  <si>
    <t>Of 15 Years or Less</t>
  </si>
  <si>
    <t>FICO 620 - 639 and LTVs 70.01% to 80.00%</t>
  </si>
  <si>
    <t>FICO 620 - 639 and LTVs &gt; 80.00%</t>
  </si>
  <si>
    <t>FICO 640 - 659 and LTVs 60.01% to 70.00%</t>
  </si>
  <si>
    <t>FICO 640 - 659 and LTVs 70.00% to 75.00%</t>
  </si>
  <si>
    <t>FICO 640 - 659 and LTVs 80.01% to 85.00%</t>
  </si>
  <si>
    <t>FICO 640 - 659 and LTVs &gt; 85.00%</t>
  </si>
  <si>
    <t>FICO 660 - 679 and LTVs 60.01% to 70.00%</t>
  </si>
  <si>
    <t>FICO 660 - 679 and LTVs  70.00% to 75.00%</t>
  </si>
  <si>
    <t>FICO 660 - 679 and LTVs  80.01% to 85.00%</t>
  </si>
  <si>
    <t>FICO 660 - 679 and LTVs &gt; 85.00%</t>
  </si>
  <si>
    <t>FICO 680 - 699 and LTVs 60.01% to 70.00%</t>
  </si>
  <si>
    <t>FICO 680 - 699 and LTVs  70.01% to 75.00%</t>
  </si>
  <si>
    <t>FICO 680 - 699 and LTVs &gt; 85.00%</t>
  </si>
  <si>
    <t>FICO 700 - 719 and LTVs  60.01% to 70.00%</t>
  </si>
  <si>
    <t>FICO 700 - 719 and LTVs 70.01% to 75.00%</t>
  </si>
  <si>
    <t xml:space="preserve">FICO 700 - 719 and LTVs  &gt; 75.00% </t>
  </si>
  <si>
    <t>FICO 720 - 739 and LTV 70.01% to 75.00%</t>
  </si>
  <si>
    <t xml:space="preserve">FICO 720 - 739 and LTVs  &gt; 75.00% </t>
  </si>
  <si>
    <t>FICO 700 &amp; &gt; and LTV 60% and &lt; then .25 credit given</t>
  </si>
  <si>
    <t>FICO &gt;= 740 and LTV &gt; 75.00%</t>
  </si>
  <si>
    <t>Escrow Waiver Fee:</t>
  </si>
  <si>
    <t>All loans,  only available for LTVs &lt; 80%</t>
  </si>
  <si>
    <t>Two Unit Properties</t>
  </si>
  <si>
    <t>All LTVs</t>
  </si>
  <si>
    <t>Three to Four Unit Properties</t>
  </si>
  <si>
    <t>California Condominium Projects</t>
  </si>
  <si>
    <r>
      <t xml:space="preserve">LP All LTVs - </t>
    </r>
    <r>
      <rPr>
        <sz val="10"/>
        <color indexed="10"/>
        <rFont val="Arial"/>
        <family val="2"/>
      </rPr>
      <t>Currently this product is suspended</t>
    </r>
  </si>
  <si>
    <t>Condominiums</t>
  </si>
  <si>
    <r>
      <t xml:space="preserve">All LTVs &gt; 75.00% - </t>
    </r>
    <r>
      <rPr>
        <sz val="10"/>
        <color indexed="10"/>
        <rFont val="Arial"/>
        <family val="2"/>
      </rPr>
      <t>Currently this product is suspended</t>
    </r>
  </si>
  <si>
    <t>Loans with Subordinate Financing</t>
  </si>
  <si>
    <t>LTV &lt;= 65.00%  &amp; CLTV 80.01% to 95.0% &amp; Credit Sc &lt; 720</t>
  </si>
  <si>
    <t>LTV &lt;= 65.00%  &amp; CLTV 80.01% to 95.0% &amp; Credit Sc &gt;= 720</t>
  </si>
  <si>
    <t>LTV 65.01% to 75.0% &amp; CLTV 80.01% to 95.0% &amp; Credit Sc &lt; 720</t>
  </si>
  <si>
    <t>LTV 65.01% to 75.0% &amp; CLTV 80.01% to 95.0% &amp; Credit Sc &gt; 720</t>
  </si>
  <si>
    <t>LTV 75.01% to 95.0% &amp; CLTV 90.01% to 95.0% &amp; Credit Sc &lt; 720</t>
  </si>
  <si>
    <t>LTV 75.01% to 95.0% &amp; CLTV 90.01% to 95.0% &amp; Credit Sc &gt; 720</t>
  </si>
  <si>
    <t>LTV 75.01% to 90.0% &amp; CLTV 76.01% to 90.0% &amp; Credit Sc &lt; 720</t>
  </si>
  <si>
    <t>LTV 75.01% to 90.0% &amp; CLTV 76.01% to 90.0% &amp; Credit Sc &gt; 720</t>
  </si>
  <si>
    <r>
      <t xml:space="preserve">DU Flexible Mortgage and CLTV &gt; 95% -  - </t>
    </r>
    <r>
      <rPr>
        <sz val="10"/>
        <color indexed="10"/>
        <rFont val="Arial"/>
        <family val="2"/>
      </rPr>
      <t>Case by Case</t>
    </r>
  </si>
  <si>
    <t>Verify with Secondary</t>
  </si>
  <si>
    <t>Credit Score &amp; LTV -DU Refi Plus:</t>
  </si>
  <si>
    <t>FICO  &lt; 620  and LTVs &lt;= 60.0%</t>
  </si>
  <si>
    <t>FICO  &lt; 620  and LTVs 60.01 to 70.00%</t>
  </si>
  <si>
    <t>FICO  &lt; 620  and LTVs &gt; 70.00%</t>
  </si>
  <si>
    <t>FICO 620 - 639 and LTVs &lt;= 60.00%</t>
  </si>
  <si>
    <t>FICO 620 - 639 and LTVs 70.01% to 75.00%</t>
  </si>
  <si>
    <t>FICO 620 - 639 and LTVs 75.01% to 85.00%</t>
  </si>
  <si>
    <t>FICO 620 - 639 and LTVs &gt; 85.00%</t>
  </si>
  <si>
    <t>FICO 640 - 659 and LTVs &lt;= 60.00%</t>
  </si>
  <si>
    <t>FICO 700 - 719 and LTVs 70.01% to 80.00%</t>
  </si>
  <si>
    <t>FICO 700 - 719 and LTVs &gt; 80.00%</t>
  </si>
  <si>
    <t>Does not apply to mortgage terms of 15 years or less</t>
  </si>
  <si>
    <t xml:space="preserve">High LTV </t>
  </si>
  <si>
    <t>LTVs 95.01% to 97.00%</t>
  </si>
  <si>
    <t>High LTV -DU Refi Plus:</t>
  </si>
  <si>
    <r>
      <t xml:space="preserve">LTVs 97.01% and greater   </t>
    </r>
    <r>
      <rPr>
        <sz val="10"/>
        <color indexed="10"/>
        <rFont val="Arial"/>
        <family val="2"/>
      </rPr>
      <t>case by case approva</t>
    </r>
    <r>
      <rPr>
        <sz val="10"/>
        <rFont val="Arial"/>
        <family val="2"/>
      </rPr>
      <t>l</t>
    </r>
  </si>
  <si>
    <t>CLTV DU Refi Plus</t>
  </si>
  <si>
    <t>LTV 65.01% to 75.00%  &amp; CLTV 90.01- 95% &amp; Credit Score &lt;720</t>
  </si>
  <si>
    <t>LTV 65.01% to 75.00%  &amp; CLTV 90.01- 95% &amp; Credit Score &gt; =720</t>
  </si>
  <si>
    <t>LTV 75.01% to 95.00% &amp; CLTV 90.01% - 95.00% &amp; CS &lt; 720</t>
  </si>
  <si>
    <t>LTV 75.01% to 95.00% &amp; CLTV 90.01% - 95.00% &amp; CS &gt;= 720</t>
  </si>
  <si>
    <t>LTV 75.01% to 90.00% &amp; CLTV 76.01% - 90.00% &amp; CS &lt; 720</t>
  </si>
  <si>
    <t>Any LTV &amp; Credit Score when CLTV &gt; 95.00%</t>
  </si>
  <si>
    <t>Correspondent Banks - Effective April 1, 2008</t>
  </si>
  <si>
    <t>Tier 1 (TX, OK, AR, KS,SC, TN, GA, ND, KY, AL, NC, AK, DE, IA,CO,MS)</t>
  </si>
  <si>
    <t>Fixed Rate Fully Amortizing</t>
  </si>
  <si>
    <t>ARM's</t>
  </si>
  <si>
    <t>Conventional Loan Amount</t>
  </si>
  <si>
    <t>30/20</t>
  </si>
  <si>
    <t>15/10</t>
  </si>
  <si>
    <t>Less than $55,000</t>
  </si>
  <si>
    <t>$55,000 to $79,999</t>
  </si>
  <si>
    <t>$80,000 to $99,999</t>
  </si>
  <si>
    <t>$100,000 to $149,999</t>
  </si>
  <si>
    <t>$150,000 to $199,999</t>
  </si>
  <si>
    <t>$200,000 to $417,000</t>
  </si>
  <si>
    <t>Tier 2 (LA, MO, NM, AZ, PA, MN, IN, FL, OH, VT, NY, WI, NE, WY, WV, CT, SD,IL,UT)</t>
  </si>
  <si>
    <t>Tier 3 (CA, OR, VA, MT, ID, MI, HI, ME, NH, NJ, DC, MD, WA, MA, RI, NV)</t>
  </si>
  <si>
    <t>Note:  SRP only paid on 1st lien Notes and Unpaid Principal Balances equal or greater than $55,000</t>
  </si>
  <si>
    <t>Wholesale Banks get 1/2 of the Above Levels</t>
  </si>
  <si>
    <t>The following Fees will be Collected at Purchase:</t>
  </si>
  <si>
    <t>$150  Administrative Fee</t>
  </si>
  <si>
    <t>$105 Tax Certification Fee all States</t>
  </si>
  <si>
    <t>$40 Fraud Prevention Fee - Correspondent Banks</t>
  </si>
  <si>
    <t>FHA Loans - Correspondent with no DE</t>
  </si>
  <si>
    <t>$450 Underwriting Fee</t>
  </si>
  <si>
    <t>$100 Insuring Fee</t>
  </si>
  <si>
    <t>FHA Loans - Correspondent with DE</t>
  </si>
  <si>
    <t>Correspondent Credit /Appraisal Credit Review</t>
  </si>
  <si>
    <t>$450 - must be paid prior to reviewing the package</t>
  </si>
  <si>
    <t xml:space="preserve">   FHA  /  VA  /  RD</t>
  </si>
  <si>
    <t>Correspondent Banks - Effective April 1, 2011</t>
  </si>
  <si>
    <t>Tier 1 (AL, AR, FL, GA, IN, KS, KY, LA, MO, MS, ND, NE, OH, OK, PA, TX, WI)</t>
  </si>
  <si>
    <t>FHA / VA / RD Loan Amount</t>
  </si>
  <si>
    <t>Less than $50,000</t>
  </si>
  <si>
    <t>$50,000 to $99,999</t>
  </si>
  <si>
    <t>$150,000 to 417,000</t>
  </si>
  <si>
    <t>Tier 2 (AK, CT, DE, IA, MA, ME, MI, NC, NH, NY, RI, SC, SD, TN, UT, VT, WY)</t>
  </si>
  <si>
    <t>Tier 3 (AZ, CA, CO, DC, HI, ID, IL, MD, MN, MT, NJ, NM, NV, OR, VA, WA, WV)</t>
  </si>
  <si>
    <t>FHA Loans Underwritten by TIB</t>
  </si>
  <si>
    <t>FHA Loans Underwritten by Correspondent's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</si>
</sst>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m/d/yy\ h:mm\ AM/PM"/>
    <numFmt numFmtId="165" formatCode="0.000"/>
    <numFmt numFmtId="166" formatCode="m/d/yy"/>
    <numFmt numFmtId="167" formatCode="m/d/yy;@"/>
    <numFmt numFmtId="168" formatCode="&quot;$&quot;#,##0\ ;\(&quot;$&quot;#,##0\)"/>
  </numFmts>
  <fonts count="60" x14ac:knownFonts="1">
    <font>
      <sz val="10"/>
      <name val="Arial"/>
    </font>
    <font>
      <sz val="7"/>
      <name val="Courier New"/>
      <family val="3"/>
    </font>
    <font>
      <b/>
      <sz val="9"/>
      <name val="Tahoma"/>
      <family val="2"/>
    </font>
    <font>
      <sz val="9"/>
      <name val="Tahoma"/>
      <family val="2"/>
    </font>
    <font>
      <b/>
      <sz val="9"/>
      <color indexed="10"/>
      <name val="Courier New"/>
      <family val="3"/>
    </font>
    <font>
      <sz val="9"/>
      <name val="Courier New"/>
      <family val="3"/>
    </font>
    <font>
      <sz val="9"/>
      <color indexed="10"/>
      <name val="Courier New"/>
      <family val="3"/>
    </font>
    <font>
      <sz val="9"/>
      <color indexed="9"/>
      <name val="Courier New"/>
      <family val="3"/>
    </font>
    <font>
      <b/>
      <i/>
      <sz val="7"/>
      <name val="Courier New"/>
      <family val="3"/>
    </font>
    <font>
      <b/>
      <i/>
      <sz val="10"/>
      <name val="Courier New"/>
      <family val="3"/>
    </font>
    <font>
      <b/>
      <i/>
      <sz val="9"/>
      <name val="Courier New CE"/>
      <family val="3"/>
      <charset val="238"/>
    </font>
    <font>
      <b/>
      <sz val="10"/>
      <name val="Courier New"/>
      <family val="3"/>
    </font>
    <font>
      <b/>
      <sz val="7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i/>
      <sz val="8"/>
      <name val="Courier New"/>
      <family val="3"/>
    </font>
    <font>
      <b/>
      <i/>
      <sz val="8"/>
      <name val="Courier New"/>
      <family val="3"/>
    </font>
    <font>
      <b/>
      <sz val="7"/>
      <name val="Arial"/>
      <family val="2"/>
    </font>
    <font>
      <b/>
      <u/>
      <sz val="8"/>
      <name val="Courier New"/>
      <family val="3"/>
    </font>
    <font>
      <sz val="8"/>
      <color indexed="10"/>
      <name val="Courier New"/>
      <family val="3"/>
    </font>
    <font>
      <b/>
      <sz val="11"/>
      <color indexed="12"/>
      <name val="Courier New"/>
      <family val="3"/>
    </font>
    <font>
      <sz val="8"/>
      <color indexed="12"/>
      <name val="Courier New"/>
      <family val="3"/>
    </font>
    <font>
      <b/>
      <sz val="11"/>
      <color indexed="17"/>
      <name val="Courier New"/>
      <family val="3"/>
    </font>
    <font>
      <sz val="8"/>
      <color indexed="17"/>
      <name val="Courier New"/>
      <family val="3"/>
    </font>
    <font>
      <b/>
      <sz val="7"/>
      <color indexed="10"/>
      <name val="Arial"/>
      <family val="2"/>
    </font>
    <font>
      <sz val="8"/>
      <name val="Arial"/>
      <family val="2"/>
    </font>
    <font>
      <b/>
      <u/>
      <sz val="10.5"/>
      <name val="Courier New"/>
      <family val="3"/>
    </font>
    <font>
      <sz val="7"/>
      <name val="Arial"/>
      <family val="2"/>
    </font>
    <font>
      <u/>
      <sz val="8"/>
      <name val="Courier New"/>
      <family val="3"/>
    </font>
    <font>
      <b/>
      <sz val="12"/>
      <color indexed="10"/>
      <name val="Arial"/>
      <family val="2"/>
    </font>
    <font>
      <u/>
      <sz val="10"/>
      <color indexed="12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u/>
      <sz val="10"/>
      <name val="Arial"/>
      <family val="2"/>
    </font>
    <font>
      <b/>
      <u/>
      <sz val="7"/>
      <name val="Courier New"/>
      <family val="3"/>
    </font>
    <font>
      <sz val="14"/>
      <color indexed="10"/>
      <name val="Arial"/>
      <family val="2"/>
    </font>
    <font>
      <b/>
      <sz val="12"/>
      <color indexed="10"/>
      <name val="Courier New"/>
      <family val="3"/>
    </font>
    <font>
      <b/>
      <sz val="10"/>
      <color indexed="10"/>
      <name val="Courier New"/>
      <family val="3"/>
    </font>
    <font>
      <b/>
      <u/>
      <sz val="10"/>
      <color indexed="10"/>
      <name val="Courier New"/>
      <family val="3"/>
    </font>
    <font>
      <sz val="10"/>
      <color indexed="10"/>
      <name val="Arial"/>
      <family val="2"/>
    </font>
    <font>
      <b/>
      <sz val="9"/>
      <color indexed="10"/>
      <name val="Arial"/>
      <family val="2"/>
    </font>
    <font>
      <b/>
      <u/>
      <sz val="9"/>
      <color indexed="10"/>
      <name val="Courier New"/>
      <family val="3"/>
    </font>
    <font>
      <sz val="9"/>
      <color indexed="10"/>
      <name val="Arial"/>
      <family val="2"/>
    </font>
    <font>
      <b/>
      <u/>
      <sz val="9"/>
      <color indexed="1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sz val="7"/>
      <name val="Arial"/>
      <family val="2"/>
    </font>
    <font>
      <b/>
      <sz val="9"/>
      <name val="Courier New"/>
      <family val="3"/>
    </font>
    <font>
      <u val="double"/>
      <sz val="10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sz val="8"/>
      <name val="Wingdings"/>
      <charset val="2"/>
    </font>
    <font>
      <b/>
      <sz val="16"/>
      <name val="Arial"/>
      <family val="2"/>
    </font>
    <font>
      <sz val="16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  <xf numFmtId="3" fontId="57" fillId="0" borderId="0" applyFont="0" applyFill="0" applyBorder="0" applyAlignment="0" applyProtection="0"/>
    <xf numFmtId="44" fontId="33" fillId="0" borderId="0" applyFont="0" applyFill="0" applyBorder="0" applyAlignment="0" applyProtection="0"/>
    <xf numFmtId="16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" fontId="57" fillId="0" borderId="0" applyFont="0" applyFill="0" applyBorder="0" applyAlignment="0" applyProtection="0"/>
    <xf numFmtId="0" fontId="58" fillId="0" borderId="0"/>
    <xf numFmtId="0" fontId="58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</cellStyleXfs>
  <cellXfs count="40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5" fillId="0" borderId="4" xfId="0" applyFont="1" applyBorder="1"/>
    <xf numFmtId="0" fontId="1" fillId="0" borderId="0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2" fillId="0" borderId="5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6" fillId="0" borderId="0" xfId="0" applyFont="1" applyBorder="1"/>
    <xf numFmtId="0" fontId="5" fillId="0" borderId="0" xfId="0" applyFont="1"/>
    <xf numFmtId="0" fontId="5" fillId="0" borderId="7" xfId="0" applyFont="1" applyBorder="1"/>
    <xf numFmtId="0" fontId="2" fillId="0" borderId="5" xfId="0" applyFont="1" applyBorder="1"/>
    <xf numFmtId="0" fontId="7" fillId="2" borderId="0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9" fillId="0" borderId="0" xfId="0" applyFont="1" applyBorder="1"/>
    <xf numFmtId="0" fontId="10" fillId="0" borderId="0" xfId="0" applyFont="1"/>
    <xf numFmtId="164" fontId="5" fillId="0" borderId="0" xfId="0" applyNumberFormat="1" applyFont="1"/>
    <xf numFmtId="0" fontId="5" fillId="0" borderId="0" xfId="0" applyFont="1" applyBorder="1"/>
    <xf numFmtId="0" fontId="5" fillId="2" borderId="0" xfId="0" applyFont="1" applyFill="1"/>
    <xf numFmtId="0" fontId="11" fillId="0" borderId="8" xfId="0" applyFont="1" applyBorder="1"/>
    <xf numFmtId="0" fontId="12" fillId="0" borderId="9" xfId="0" applyFont="1" applyBorder="1"/>
    <xf numFmtId="0" fontId="13" fillId="3" borderId="10" xfId="0" applyFont="1" applyFill="1" applyBorder="1"/>
    <xf numFmtId="0" fontId="14" fillId="3" borderId="11" xfId="0" applyFont="1" applyFill="1" applyBorder="1"/>
    <xf numFmtId="0" fontId="14" fillId="3" borderId="12" xfId="0" applyFont="1" applyFill="1" applyBorder="1"/>
    <xf numFmtId="0" fontId="12" fillId="0" borderId="8" xfId="0" applyFont="1" applyBorder="1"/>
    <xf numFmtId="0" fontId="15" fillId="3" borderId="13" xfId="0" applyFont="1" applyFill="1" applyBorder="1"/>
    <xf numFmtId="0" fontId="16" fillId="3" borderId="0" xfId="0" applyFont="1" applyFill="1" applyBorder="1"/>
    <xf numFmtId="0" fontId="16" fillId="3" borderId="7" xfId="0" applyFont="1" applyFill="1" applyBorder="1"/>
    <xf numFmtId="165" fontId="17" fillId="0" borderId="8" xfId="0" applyNumberFormat="1" applyFont="1" applyBorder="1"/>
    <xf numFmtId="165" fontId="17" fillId="0" borderId="9" xfId="0" applyNumberFormat="1" applyFont="1" applyBorder="1"/>
    <xf numFmtId="0" fontId="15" fillId="3" borderId="14" xfId="0" applyFont="1" applyFill="1" applyBorder="1"/>
    <xf numFmtId="0" fontId="15" fillId="3" borderId="15" xfId="0" applyFont="1" applyFill="1" applyBorder="1"/>
    <xf numFmtId="0" fontId="18" fillId="0" borderId="16" xfId="0" applyFont="1" applyBorder="1"/>
    <xf numFmtId="0" fontId="14" fillId="0" borderId="0" xfId="0" applyFont="1" applyBorder="1"/>
    <xf numFmtId="0" fontId="14" fillId="0" borderId="7" xfId="0" applyFont="1" applyBorder="1"/>
    <xf numFmtId="0" fontId="14" fillId="0" borderId="16" xfId="0" applyFont="1" applyBorder="1"/>
    <xf numFmtId="0" fontId="19" fillId="0" borderId="0" xfId="0" applyFont="1" applyBorder="1"/>
    <xf numFmtId="0" fontId="8" fillId="0" borderId="0" xfId="0" applyFont="1" applyFill="1" applyBorder="1"/>
    <xf numFmtId="0" fontId="12" fillId="0" borderId="0" xfId="0" applyFont="1" applyBorder="1"/>
    <xf numFmtId="0" fontId="12" fillId="0" borderId="0" xfId="0" applyFont="1"/>
    <xf numFmtId="0" fontId="20" fillId="0" borderId="0" xfId="0" applyFont="1" applyBorder="1"/>
    <xf numFmtId="0" fontId="21" fillId="0" borderId="0" xfId="0" applyFont="1" applyBorder="1"/>
    <xf numFmtId="0" fontId="22" fillId="0" borderId="0" xfId="0" applyFont="1" applyBorder="1"/>
    <xf numFmtId="0" fontId="23" fillId="0" borderId="0" xfId="0" applyFont="1" applyBorder="1"/>
    <xf numFmtId="165" fontId="24" fillId="0" borderId="8" xfId="0" applyNumberFormat="1" applyFont="1" applyBorder="1"/>
    <xf numFmtId="0" fontId="11" fillId="0" borderId="9" xfId="0" applyFont="1" applyBorder="1"/>
    <xf numFmtId="0" fontId="13" fillId="0" borderId="16" xfId="0" applyFont="1" applyBorder="1"/>
    <xf numFmtId="0" fontId="14" fillId="0" borderId="14" xfId="0" applyFont="1" applyBorder="1"/>
    <xf numFmtId="0" fontId="14" fillId="0" borderId="17" xfId="0" applyFont="1" applyBorder="1"/>
    <xf numFmtId="0" fontId="18" fillId="0" borderId="10" xfId="0" applyFont="1" applyBorder="1"/>
    <xf numFmtId="0" fontId="14" fillId="0" borderId="18" xfId="0" applyFont="1" applyBorder="1"/>
    <xf numFmtId="0" fontId="14" fillId="0" borderId="15" xfId="0" applyFont="1" applyBorder="1"/>
    <xf numFmtId="0" fontId="13" fillId="0" borderId="0" xfId="0" applyFont="1"/>
    <xf numFmtId="0" fontId="25" fillId="0" borderId="0" xfId="0" applyFont="1"/>
    <xf numFmtId="0" fontId="25" fillId="0" borderId="7" xfId="0" applyFont="1" applyBorder="1"/>
    <xf numFmtId="0" fontId="14" fillId="0" borderId="16" xfId="0" quotePrefix="1" applyFont="1" applyBorder="1"/>
    <xf numFmtId="0" fontId="18" fillId="0" borderId="14" xfId="0" applyFont="1" applyBorder="1"/>
    <xf numFmtId="0" fontId="26" fillId="0" borderId="0" xfId="0" applyFont="1" applyBorder="1"/>
    <xf numFmtId="0" fontId="5" fillId="0" borderId="2" xfId="0" applyFont="1" applyBorder="1"/>
    <xf numFmtId="0" fontId="5" fillId="0" borderId="6" xfId="0" applyFont="1" applyBorder="1"/>
    <xf numFmtId="0" fontId="27" fillId="0" borderId="0" xfId="0" applyFont="1" applyBorder="1"/>
    <xf numFmtId="0" fontId="27" fillId="0" borderId="0" xfId="0" applyFont="1"/>
    <xf numFmtId="0" fontId="14" fillId="3" borderId="19" xfId="0" applyFont="1" applyFill="1" applyBorder="1"/>
    <xf numFmtId="0" fontId="16" fillId="3" borderId="6" xfId="0" applyFont="1" applyFill="1" applyBorder="1"/>
    <xf numFmtId="165" fontId="27" fillId="0" borderId="8" xfId="0" applyNumberFormat="1" applyFont="1" applyBorder="1"/>
    <xf numFmtId="165" fontId="27" fillId="0" borderId="9" xfId="0" applyNumberFormat="1" applyFont="1" applyBorder="1"/>
    <xf numFmtId="0" fontId="15" fillId="3" borderId="20" xfId="0" applyFont="1" applyFill="1" applyBorder="1"/>
    <xf numFmtId="0" fontId="14" fillId="0" borderId="6" xfId="0" applyFont="1" applyBorder="1"/>
    <xf numFmtId="0" fontId="28" fillId="0" borderId="16" xfId="0" applyFont="1" applyBorder="1"/>
    <xf numFmtId="0" fontId="14" fillId="0" borderId="0" xfId="0" applyFont="1"/>
    <xf numFmtId="0" fontId="18" fillId="0" borderId="0" xfId="0" applyFont="1"/>
    <xf numFmtId="0" fontId="1" fillId="0" borderId="8" xfId="0" applyFont="1" applyBorder="1"/>
    <xf numFmtId="0" fontId="1" fillId="0" borderId="9" xfId="0" applyFont="1" applyBorder="1"/>
    <xf numFmtId="0" fontId="18" fillId="0" borderId="0" xfId="0" applyFont="1" applyBorder="1"/>
    <xf numFmtId="165" fontId="1" fillId="0" borderId="21" xfId="0" applyNumberFormat="1" applyFont="1" applyBorder="1"/>
    <xf numFmtId="165" fontId="1" fillId="0" borderId="8" xfId="0" applyNumberFormat="1" applyFont="1" applyBorder="1"/>
    <xf numFmtId="165" fontId="1" fillId="0" borderId="9" xfId="0" applyNumberFormat="1" applyFont="1" applyBorder="1"/>
    <xf numFmtId="165" fontId="12" fillId="0" borderId="2" xfId="0" applyNumberFormat="1" applyFont="1" applyBorder="1"/>
    <xf numFmtId="165" fontId="1" fillId="0" borderId="22" xfId="0" applyNumberFormat="1" applyFont="1" applyBorder="1"/>
    <xf numFmtId="165" fontId="12" fillId="0" borderId="1" xfId="0" applyNumberFormat="1" applyFont="1" applyBorder="1"/>
    <xf numFmtId="165" fontId="29" fillId="0" borderId="8" xfId="0" applyNumberFormat="1" applyFont="1" applyBorder="1"/>
    <xf numFmtId="165" fontId="12" fillId="0" borderId="5" xfId="0" applyNumberFormat="1" applyFont="1" applyBorder="1"/>
    <xf numFmtId="166" fontId="12" fillId="0" borderId="6" xfId="0" applyNumberFormat="1" applyFont="1" applyBorder="1"/>
    <xf numFmtId="165" fontId="30" fillId="0" borderId="8" xfId="1" applyNumberFormat="1" applyBorder="1" applyAlignment="1" applyProtection="1"/>
    <xf numFmtId="0" fontId="18" fillId="0" borderId="11" xfId="0" applyFont="1" applyBorder="1"/>
    <xf numFmtId="0" fontId="14" fillId="0" borderId="19" xfId="0" applyFont="1" applyBorder="1"/>
    <xf numFmtId="165" fontId="12" fillId="0" borderId="23" xfId="0" applyNumberFormat="1" applyFont="1" applyBorder="1"/>
    <xf numFmtId="166" fontId="12" fillId="0" borderId="20" xfId="0" applyNumberFormat="1" applyFont="1" applyBorder="1"/>
    <xf numFmtId="0" fontId="1" fillId="0" borderId="24" xfId="0" applyFont="1" applyBorder="1"/>
    <xf numFmtId="0" fontId="1" fillId="0" borderId="23" xfId="0" applyFont="1" applyBorder="1"/>
    <xf numFmtId="0" fontId="14" fillId="0" borderId="20" xfId="0" applyFont="1" applyBorder="1"/>
    <xf numFmtId="0" fontId="1" fillId="0" borderId="25" xfId="0" applyFont="1" applyBorder="1"/>
    <xf numFmtId="0" fontId="1" fillId="0" borderId="26" xfId="0" applyFont="1" applyBorder="1"/>
    <xf numFmtId="0" fontId="2" fillId="0" borderId="27" xfId="0" applyFont="1" applyBorder="1" applyAlignment="1">
      <alignment horizontal="left"/>
    </xf>
    <xf numFmtId="0" fontId="2" fillId="0" borderId="28" xfId="0" applyFont="1" applyBorder="1"/>
    <xf numFmtId="0" fontId="3" fillId="0" borderId="28" xfId="0" applyFont="1" applyBorder="1"/>
    <xf numFmtId="0" fontId="4" fillId="0" borderId="28" xfId="0" applyFont="1" applyBorder="1"/>
    <xf numFmtId="0" fontId="5" fillId="0" borderId="29" xfId="0" applyFont="1" applyBorder="1"/>
    <xf numFmtId="0" fontId="1" fillId="0" borderId="3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0" fontId="0" fillId="0" borderId="7" xfId="0" applyBorder="1"/>
    <xf numFmtId="0" fontId="13" fillId="3" borderId="25" xfId="0" applyFont="1" applyFill="1" applyBorder="1"/>
    <xf numFmtId="0" fontId="14" fillId="3" borderId="29" xfId="0" applyFont="1" applyFill="1" applyBorder="1"/>
    <xf numFmtId="0" fontId="8" fillId="0" borderId="30" xfId="0" applyFont="1" applyBorder="1"/>
    <xf numFmtId="0" fontId="10" fillId="0" borderId="0" xfId="0" applyFont="1" applyBorder="1"/>
    <xf numFmtId="164" fontId="5" fillId="0" borderId="0" xfId="0" applyNumberFormat="1" applyFont="1" applyBorder="1"/>
    <xf numFmtId="0" fontId="13" fillId="3" borderId="30" xfId="0" applyFont="1" applyFill="1" applyBorder="1"/>
    <xf numFmtId="0" fontId="14" fillId="3" borderId="7" xfId="0" applyFont="1" applyFill="1" applyBorder="1"/>
    <xf numFmtId="0" fontId="11" fillId="0" borderId="31" xfId="0" applyFont="1" applyBorder="1"/>
    <xf numFmtId="0" fontId="11" fillId="0" borderId="32" xfId="0" applyFont="1" applyBorder="1"/>
    <xf numFmtId="0" fontId="12" fillId="0" borderId="33" xfId="0" applyFont="1" applyBorder="1"/>
    <xf numFmtId="0" fontId="15" fillId="3" borderId="30" xfId="0" applyFont="1" applyFill="1" applyBorder="1"/>
    <xf numFmtId="0" fontId="15" fillId="3" borderId="0" xfId="0" applyFont="1" applyFill="1" applyBorder="1"/>
    <xf numFmtId="0" fontId="12" fillId="0" borderId="34" xfId="0" applyFont="1" applyBorder="1"/>
    <xf numFmtId="0" fontId="12" fillId="0" borderId="21" xfId="0" applyFont="1" applyBorder="1"/>
    <xf numFmtId="0" fontId="12" fillId="0" borderId="3" xfId="0" applyFont="1" applyBorder="1"/>
    <xf numFmtId="0" fontId="12" fillId="0" borderId="35" xfId="0" applyFont="1" applyBorder="1"/>
    <xf numFmtId="0" fontId="15" fillId="3" borderId="36" xfId="0" applyFont="1" applyFill="1" applyBorder="1"/>
    <xf numFmtId="0" fontId="15" fillId="3" borderId="17" xfId="0" applyFont="1" applyFill="1" applyBorder="1"/>
    <xf numFmtId="165" fontId="17" fillId="0" borderId="37" xfId="0" applyNumberFormat="1" applyFont="1" applyBorder="1"/>
    <xf numFmtId="165" fontId="17" fillId="0" borderId="3" xfId="0" applyNumberFormat="1" applyFont="1" applyBorder="1"/>
    <xf numFmtId="165" fontId="17" fillId="0" borderId="35" xfId="0" applyNumberFormat="1" applyFont="1" applyBorder="1"/>
    <xf numFmtId="0" fontId="31" fillId="0" borderId="0" xfId="0" applyFont="1" applyBorder="1" applyAlignment="1">
      <alignment horizontal="center" wrapText="1"/>
    </xf>
    <xf numFmtId="0" fontId="31" fillId="0" borderId="7" xfId="0" applyFont="1" applyBorder="1" applyAlignment="1">
      <alignment horizontal="center" wrapText="1"/>
    </xf>
    <xf numFmtId="165" fontId="17" fillId="0" borderId="7" xfId="0" applyNumberFormat="1" applyFont="1" applyBorder="1"/>
    <xf numFmtId="165" fontId="32" fillId="0" borderId="0" xfId="0" applyNumberFormat="1" applyFont="1" applyBorder="1" applyAlignment="1">
      <alignment horizontal="center"/>
    </xf>
    <xf numFmtId="165" fontId="32" fillId="0" borderId="7" xfId="0" applyNumberFormat="1" applyFont="1" applyBorder="1" applyAlignment="1">
      <alignment horizontal="center" vertical="center" wrapText="1"/>
    </xf>
    <xf numFmtId="165" fontId="17" fillId="0" borderId="38" xfId="0" applyNumberFormat="1" applyFont="1" applyBorder="1"/>
    <xf numFmtId="0" fontId="32" fillId="0" borderId="0" xfId="0" applyFont="1" applyBorder="1" applyAlignment="1">
      <alignment horizontal="center"/>
    </xf>
    <xf numFmtId="165" fontId="32" fillId="0" borderId="7" xfId="0" applyNumberFormat="1" applyFont="1" applyBorder="1" applyAlignment="1">
      <alignment horizontal="center"/>
    </xf>
    <xf numFmtId="0" fontId="33" fillId="0" borderId="0" xfId="0" applyFont="1" applyBorder="1" applyAlignment="1">
      <alignment horizontal="center" wrapText="1"/>
    </xf>
    <xf numFmtId="165" fontId="17" fillId="0" borderId="22" xfId="0" applyNumberFormat="1" applyFont="1" applyBorder="1"/>
    <xf numFmtId="0" fontId="0" fillId="0" borderId="35" xfId="0" applyBorder="1"/>
    <xf numFmtId="0" fontId="32" fillId="0" borderId="0" xfId="0" applyFont="1" applyBorder="1" applyAlignment="1">
      <alignment horizontal="center" wrapText="1"/>
    </xf>
    <xf numFmtId="0" fontId="33" fillId="0" borderId="0" xfId="0" applyFont="1"/>
    <xf numFmtId="165" fontId="17" fillId="0" borderId="30" xfId="0" applyNumberFormat="1" applyFont="1" applyBorder="1"/>
    <xf numFmtId="165" fontId="17" fillId="0" borderId="39" xfId="0" applyNumberFormat="1" applyFont="1" applyBorder="1"/>
    <xf numFmtId="165" fontId="17" fillId="0" borderId="40" xfId="0" applyNumberFormat="1" applyFont="1" applyBorder="1"/>
    <xf numFmtId="165" fontId="17" fillId="0" borderId="0" xfId="0" applyNumberFormat="1" applyFont="1" applyBorder="1"/>
    <xf numFmtId="0" fontId="13" fillId="0" borderId="0" xfId="0" applyFont="1" applyBorder="1" applyAlignment="1">
      <alignment horizontal="center"/>
    </xf>
    <xf numFmtId="0" fontId="34" fillId="0" borderId="0" xfId="0" applyFont="1" applyBorder="1"/>
    <xf numFmtId="165" fontId="17" fillId="0" borderId="34" xfId="0" applyNumberFormat="1" applyFont="1" applyBorder="1"/>
    <xf numFmtId="165" fontId="17" fillId="0" borderId="41" xfId="0" applyNumberFormat="1" applyFont="1" applyBorder="1"/>
    <xf numFmtId="0" fontId="0" fillId="0" borderId="8" xfId="0" applyBorder="1"/>
    <xf numFmtId="0" fontId="0" fillId="0" borderId="41" xfId="0" applyBorder="1"/>
    <xf numFmtId="0" fontId="31" fillId="0" borderId="25" xfId="0" applyFont="1" applyBorder="1" applyAlignment="1">
      <alignment horizontal="center"/>
    </xf>
    <xf numFmtId="165" fontId="32" fillId="0" borderId="29" xfId="0" applyNumberFormat="1" applyFont="1" applyBorder="1" applyAlignment="1">
      <alignment horizontal="center"/>
    </xf>
    <xf numFmtId="165" fontId="17" fillId="0" borderId="42" xfId="0" applyNumberFormat="1" applyFont="1" applyBorder="1"/>
    <xf numFmtId="165" fontId="17" fillId="0" borderId="43" xfId="0" applyNumberFormat="1" applyFont="1" applyBorder="1"/>
    <xf numFmtId="165" fontId="17" fillId="0" borderId="36" xfId="0" applyNumberFormat="1" applyFont="1" applyBorder="1"/>
    <xf numFmtId="0" fontId="0" fillId="0" borderId="36" xfId="0" applyBorder="1"/>
    <xf numFmtId="0" fontId="0" fillId="0" borderId="44" xfId="0" applyBorder="1"/>
    <xf numFmtId="0" fontId="31" fillId="0" borderId="30" xfId="0" applyFont="1" applyBorder="1" applyAlignment="1">
      <alignment horizontal="center"/>
    </xf>
    <xf numFmtId="0" fontId="11" fillId="0" borderId="45" xfId="0" applyFont="1" applyBorder="1"/>
    <xf numFmtId="0" fontId="11" fillId="0" borderId="46" xfId="0" applyFont="1" applyBorder="1"/>
    <xf numFmtId="165" fontId="32" fillId="0" borderId="7" xfId="0" applyNumberFormat="1" applyFont="1" applyFill="1" applyBorder="1" applyAlignment="1">
      <alignment horizontal="center"/>
    </xf>
    <xf numFmtId="0" fontId="11" fillId="0" borderId="42" xfId="0" applyFont="1" applyBorder="1"/>
    <xf numFmtId="0" fontId="11" fillId="0" borderId="36" xfId="0" applyFont="1" applyBorder="1"/>
    <xf numFmtId="0" fontId="0" fillId="0" borderId="42" xfId="0" applyBorder="1"/>
    <xf numFmtId="0" fontId="0" fillId="0" borderId="17" xfId="0" applyBorder="1"/>
    <xf numFmtId="0" fontId="12" fillId="0" borderId="25" xfId="0" applyFont="1" applyFill="1" applyBorder="1"/>
    <xf numFmtId="0" fontId="12" fillId="0" borderId="32" xfId="0" applyFont="1" applyFill="1" applyBorder="1"/>
    <xf numFmtId="0" fontId="12" fillId="0" borderId="28" xfId="0" applyFont="1" applyFill="1" applyBorder="1"/>
    <xf numFmtId="0" fontId="12" fillId="0" borderId="27" xfId="0" applyFont="1" applyFill="1" applyBorder="1"/>
    <xf numFmtId="0" fontId="35" fillId="0" borderId="25" xfId="0" applyFont="1" applyBorder="1" applyAlignment="1">
      <alignment horizontal="center"/>
    </xf>
    <xf numFmtId="0" fontId="0" fillId="0" borderId="29" xfId="0" applyBorder="1"/>
    <xf numFmtId="165" fontId="17" fillId="0" borderId="47" xfId="0" applyNumberFormat="1" applyFont="1" applyFill="1" applyBorder="1"/>
    <xf numFmtId="0" fontId="25" fillId="0" borderId="30" xfId="0" applyFont="1" applyBorder="1" applyAlignment="1">
      <alignment horizontal="center"/>
    </xf>
    <xf numFmtId="165" fontId="17" fillId="0" borderId="48" xfId="0" applyNumberFormat="1" applyFont="1" applyFill="1" applyBorder="1"/>
    <xf numFmtId="0" fontId="25" fillId="0" borderId="30" xfId="0" applyFont="1" applyFill="1" applyBorder="1" applyAlignment="1"/>
    <xf numFmtId="0" fontId="25" fillId="0" borderId="7" xfId="0" applyFont="1" applyBorder="1" applyAlignment="1"/>
    <xf numFmtId="165" fontId="17" fillId="0" borderId="30" xfId="0" applyNumberFormat="1" applyFont="1" applyFill="1" applyBorder="1"/>
    <xf numFmtId="0" fontId="0" fillId="0" borderId="39" xfId="0" applyFill="1" applyBorder="1"/>
    <xf numFmtId="165" fontId="17" fillId="0" borderId="0" xfId="0" applyNumberFormat="1" applyFont="1" applyFill="1" applyBorder="1"/>
    <xf numFmtId="165" fontId="17" fillId="0" borderId="39" xfId="0" applyNumberFormat="1" applyFont="1" applyFill="1" applyBorder="1"/>
    <xf numFmtId="165" fontId="17" fillId="0" borderId="49" xfId="0" applyNumberFormat="1" applyFont="1" applyFill="1" applyBorder="1"/>
    <xf numFmtId="0" fontId="36" fillId="0" borderId="0" xfId="0" applyFont="1" applyBorder="1" applyAlignment="1">
      <alignment horizontal="center" wrapText="1"/>
    </xf>
    <xf numFmtId="165" fontId="17" fillId="0" borderId="34" xfId="0" applyNumberFormat="1" applyFont="1" applyFill="1" applyBorder="1"/>
    <xf numFmtId="0" fontId="0" fillId="0" borderId="8" xfId="0" applyFill="1" applyBorder="1"/>
    <xf numFmtId="165" fontId="17" fillId="0" borderId="41" xfId="0" applyNumberFormat="1" applyFont="1" applyFill="1" applyBorder="1"/>
    <xf numFmtId="165" fontId="17" fillId="0" borderId="8" xfId="0" applyNumberFormat="1" applyFont="1" applyFill="1" applyBorder="1"/>
    <xf numFmtId="0" fontId="37" fillId="0" borderId="25" xfId="0" applyFont="1" applyBorder="1" applyAlignment="1">
      <alignment horizontal="center"/>
    </xf>
    <xf numFmtId="0" fontId="14" fillId="0" borderId="29" xfId="0" applyFont="1" applyBorder="1"/>
    <xf numFmtId="165" fontId="17" fillId="0" borderId="42" xfId="0" applyNumberFormat="1" applyFont="1" applyFill="1" applyBorder="1"/>
    <xf numFmtId="0" fontId="0" fillId="0" borderId="50" xfId="0" applyFill="1" applyBorder="1"/>
    <xf numFmtId="165" fontId="17" fillId="0" borderId="36" xfId="0" applyNumberFormat="1" applyFont="1" applyFill="1" applyBorder="1"/>
    <xf numFmtId="165" fontId="17" fillId="0" borderId="50" xfId="0" applyNumberFormat="1" applyFont="1" applyFill="1" applyBorder="1"/>
    <xf numFmtId="165" fontId="17" fillId="0" borderId="51" xfId="0" applyNumberFormat="1" applyFont="1" applyFill="1" applyBorder="1"/>
    <xf numFmtId="0" fontId="17" fillId="0" borderId="30" xfId="0" applyFont="1" applyBorder="1" applyAlignment="1">
      <alignment horizontal="center"/>
    </xf>
    <xf numFmtId="0" fontId="17" fillId="0" borderId="7" xfId="0" applyFont="1" applyBorder="1"/>
    <xf numFmtId="165" fontId="24" fillId="0" borderId="25" xfId="0" applyNumberFormat="1" applyFont="1" applyFill="1" applyBorder="1"/>
    <xf numFmtId="0" fontId="38" fillId="0" borderId="28" xfId="0" applyFont="1" applyBorder="1"/>
    <xf numFmtId="0" fontId="39" fillId="0" borderId="28" xfId="0" applyFont="1" applyBorder="1" applyAlignment="1">
      <alignment horizontal="center"/>
    </xf>
    <xf numFmtId="165" fontId="24" fillId="0" borderId="28" xfId="0" applyNumberFormat="1" applyFont="1" applyFill="1" applyBorder="1"/>
    <xf numFmtId="165" fontId="24" fillId="0" borderId="29" xfId="0" applyNumberFormat="1" applyFont="1" applyFill="1" applyBorder="1"/>
    <xf numFmtId="0" fontId="17" fillId="0" borderId="30" xfId="0" applyFont="1" applyBorder="1"/>
    <xf numFmtId="6" fontId="17" fillId="0" borderId="7" xfId="0" applyNumberFormat="1" applyFont="1" applyBorder="1"/>
    <xf numFmtId="165" fontId="33" fillId="0" borderId="0" xfId="0" applyNumberFormat="1" applyFont="1" applyBorder="1" applyAlignment="1">
      <alignment horizontal="center" vertical="center" wrapText="1"/>
    </xf>
    <xf numFmtId="0" fontId="40" fillId="0" borderId="30" xfId="0" applyFont="1" applyBorder="1"/>
    <xf numFmtId="0" fontId="40" fillId="0" borderId="0" xfId="0" applyFont="1" applyBorder="1"/>
    <xf numFmtId="0" fontId="41" fillId="0" borderId="0" xfId="0" applyFont="1" applyBorder="1"/>
    <xf numFmtId="165" fontId="24" fillId="0" borderId="7" xfId="0" applyNumberFormat="1" applyFont="1" applyFill="1" applyBorder="1"/>
    <xf numFmtId="0" fontId="40" fillId="0" borderId="42" xfId="0" applyFont="1" applyBorder="1"/>
    <xf numFmtId="0" fontId="40" fillId="0" borderId="36" xfId="0" applyFont="1" applyBorder="1"/>
    <xf numFmtId="165" fontId="24" fillId="0" borderId="17" xfId="0" applyNumberFormat="1" applyFont="1" applyFill="1" applyBorder="1"/>
    <xf numFmtId="0" fontId="12" fillId="0" borderId="7" xfId="0" applyFont="1" applyBorder="1"/>
    <xf numFmtId="0" fontId="24" fillId="0" borderId="25" xfId="0" applyFont="1" applyFill="1" applyBorder="1"/>
    <xf numFmtId="0" fontId="24" fillId="0" borderId="32" xfId="0" applyFont="1" applyFill="1" applyBorder="1"/>
    <xf numFmtId="0" fontId="24" fillId="0" borderId="28" xfId="0" applyFont="1" applyFill="1" applyBorder="1"/>
    <xf numFmtId="0" fontId="24" fillId="0" borderId="33" xfId="0" applyFont="1" applyFill="1" applyBorder="1"/>
    <xf numFmtId="0" fontId="12" fillId="0" borderId="30" xfId="0" applyFont="1" applyBorder="1"/>
    <xf numFmtId="6" fontId="12" fillId="0" borderId="7" xfId="0" applyNumberFormat="1" applyFont="1" applyBorder="1"/>
    <xf numFmtId="165" fontId="24" fillId="0" borderId="34" xfId="0" applyNumberFormat="1" applyFont="1" applyFill="1" applyBorder="1"/>
    <xf numFmtId="165" fontId="24" fillId="0" borderId="52" xfId="0" applyNumberFormat="1" applyFont="1" applyBorder="1"/>
    <xf numFmtId="165" fontId="24" fillId="0" borderId="41" xfId="0" applyNumberFormat="1" applyFont="1" applyBorder="1"/>
    <xf numFmtId="0" fontId="42" fillId="0" borderId="48" xfId="0" applyFont="1" applyBorder="1"/>
    <xf numFmtId="0" fontId="43" fillId="0" borderId="17" xfId="0" applyFont="1" applyBorder="1"/>
    <xf numFmtId="165" fontId="24" fillId="0" borderId="42" xfId="0" applyNumberFormat="1" applyFont="1" applyFill="1" applyBorder="1"/>
    <xf numFmtId="165" fontId="24" fillId="0" borderId="53" xfId="0" applyNumberFormat="1" applyFont="1" applyBorder="1"/>
    <xf numFmtId="165" fontId="24" fillId="0" borderId="43" xfId="0" applyNumberFormat="1" applyFont="1" applyBorder="1"/>
    <xf numFmtId="165" fontId="24" fillId="0" borderId="36" xfId="0" applyNumberFormat="1" applyFont="1" applyBorder="1"/>
    <xf numFmtId="0" fontId="42" fillId="0" borderId="51" xfId="0" applyFont="1" applyBorder="1"/>
    <xf numFmtId="0" fontId="44" fillId="0" borderId="0" xfId="0" applyFont="1" applyBorder="1" applyAlignment="1">
      <alignment horizontal="center"/>
    </xf>
    <xf numFmtId="0" fontId="43" fillId="0" borderId="7" xfId="0" applyFont="1" applyBorder="1"/>
    <xf numFmtId="0" fontId="24" fillId="0" borderId="30" xfId="0" applyFont="1" applyFill="1" applyBorder="1"/>
    <xf numFmtId="165" fontId="24" fillId="0" borderId="39" xfId="0" applyNumberFormat="1" applyFont="1" applyFill="1" applyBorder="1"/>
    <xf numFmtId="165" fontId="24" fillId="0" borderId="40" xfId="0" applyNumberFormat="1" applyFont="1" applyBorder="1"/>
    <xf numFmtId="0" fontId="24" fillId="0" borderId="0" xfId="0" applyFont="1" applyFill="1" applyBorder="1"/>
    <xf numFmtId="0" fontId="24" fillId="0" borderId="49" xfId="0" applyFont="1" applyFill="1" applyBorder="1"/>
    <xf numFmtId="0" fontId="45" fillId="0" borderId="0" xfId="0" applyFont="1" applyBorder="1" applyAlignment="1">
      <alignment horizontal="center"/>
    </xf>
    <xf numFmtId="0" fontId="43" fillId="0" borderId="0" xfId="0" quotePrefix="1" applyFont="1" applyBorder="1" applyAlignment="1">
      <alignment horizontal="center"/>
    </xf>
    <xf numFmtId="165" fontId="24" fillId="0" borderId="30" xfId="0" applyNumberFormat="1" applyFont="1" applyFill="1" applyBorder="1"/>
    <xf numFmtId="165" fontId="24" fillId="0" borderId="1" xfId="0" applyNumberFormat="1" applyFont="1" applyBorder="1"/>
    <xf numFmtId="165" fontId="24" fillId="0" borderId="21" xfId="0" applyNumberFormat="1" applyFont="1" applyBorder="1"/>
    <xf numFmtId="165" fontId="24" fillId="0" borderId="0" xfId="0" applyNumberFormat="1" applyFont="1" applyBorder="1"/>
    <xf numFmtId="0" fontId="42" fillId="0" borderId="49" xfId="0" applyFont="1" applyBorder="1"/>
    <xf numFmtId="165" fontId="24" fillId="0" borderId="32" xfId="0" applyNumberFormat="1" applyFont="1" applyFill="1" applyBorder="1"/>
    <xf numFmtId="165" fontId="24" fillId="0" borderId="54" xfId="0" applyNumberFormat="1" applyFont="1" applyBorder="1"/>
    <xf numFmtId="0" fontId="42" fillId="0" borderId="34" xfId="0" applyFont="1" applyBorder="1"/>
    <xf numFmtId="0" fontId="42" fillId="0" borderId="41" xfId="0" applyFont="1" applyBorder="1"/>
    <xf numFmtId="0" fontId="43" fillId="0" borderId="0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43" fillId="0" borderId="29" xfId="0" applyFont="1" applyBorder="1"/>
    <xf numFmtId="0" fontId="42" fillId="0" borderId="42" xfId="0" applyFont="1" applyBorder="1"/>
    <xf numFmtId="165" fontId="42" fillId="0" borderId="50" xfId="0" applyNumberFormat="1" applyFont="1" applyBorder="1"/>
    <xf numFmtId="0" fontId="42" fillId="0" borderId="36" xfId="0" applyFont="1" applyBorder="1"/>
    <xf numFmtId="0" fontId="42" fillId="0" borderId="50" xfId="0" applyFont="1" applyBorder="1"/>
    <xf numFmtId="10" fontId="43" fillId="0" borderId="7" xfId="0" quotePrefix="1" applyNumberFormat="1" applyFont="1" applyBorder="1" applyAlignment="1">
      <alignment horizontal="center"/>
    </xf>
    <xf numFmtId="0" fontId="40" fillId="0" borderId="25" xfId="0" applyFont="1" applyBorder="1"/>
    <xf numFmtId="165" fontId="40" fillId="0" borderId="32" xfId="0" applyNumberFormat="1" applyFont="1" applyBorder="1"/>
    <xf numFmtId="0" fontId="40" fillId="0" borderId="28" xfId="0" applyFont="1" applyBorder="1"/>
    <xf numFmtId="0" fontId="40" fillId="0" borderId="32" xfId="0" applyFont="1" applyBorder="1"/>
    <xf numFmtId="0" fontId="40" fillId="0" borderId="33" xfId="0" applyFont="1" applyBorder="1"/>
    <xf numFmtId="165" fontId="40" fillId="0" borderId="39" xfId="0" applyNumberFormat="1" applyFont="1" applyBorder="1"/>
    <xf numFmtId="0" fontId="40" fillId="0" borderId="39" xfId="0" applyFont="1" applyBorder="1"/>
    <xf numFmtId="0" fontId="40" fillId="0" borderId="49" xfId="0" applyFont="1" applyBorder="1"/>
    <xf numFmtId="0" fontId="45" fillId="0" borderId="36" xfId="0" applyFont="1" applyBorder="1" applyAlignment="1">
      <alignment horizontal="center"/>
    </xf>
    <xf numFmtId="10" fontId="43" fillId="0" borderId="17" xfId="0" applyNumberFormat="1" applyFont="1" applyBorder="1" applyAlignment="1">
      <alignment horizontal="center"/>
    </xf>
    <xf numFmtId="165" fontId="24" fillId="0" borderId="32" xfId="0" applyNumberFormat="1" applyFont="1" applyBorder="1"/>
    <xf numFmtId="165" fontId="24" fillId="0" borderId="28" xfId="0" applyNumberFormat="1" applyFont="1" applyBorder="1"/>
    <xf numFmtId="0" fontId="42" fillId="0" borderId="33" xfId="0" applyFont="1" applyBorder="1"/>
    <xf numFmtId="0" fontId="45" fillId="0" borderId="28" xfId="0" applyFont="1" applyBorder="1" applyAlignment="1">
      <alignment horizontal="center"/>
    </xf>
    <xf numFmtId="10" fontId="43" fillId="0" borderId="29" xfId="0" applyNumberFormat="1" applyFont="1" applyBorder="1" applyAlignment="1">
      <alignment horizontal="center"/>
    </xf>
    <xf numFmtId="0" fontId="24" fillId="0" borderId="34" xfId="0" applyFont="1" applyBorder="1"/>
    <xf numFmtId="0" fontId="46" fillId="0" borderId="0" xfId="0" applyFont="1" applyBorder="1" applyAlignment="1">
      <alignment horizontal="center"/>
    </xf>
    <xf numFmtId="0" fontId="43" fillId="0" borderId="7" xfId="0" applyFont="1" applyBorder="1" applyAlignment="1">
      <alignment horizontal="center"/>
    </xf>
    <xf numFmtId="0" fontId="24" fillId="0" borderId="42" xfId="0" applyFont="1" applyBorder="1"/>
    <xf numFmtId="0" fontId="43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5" fontId="24" fillId="0" borderId="47" xfId="0" applyNumberFormat="1" applyFont="1" applyBorder="1"/>
    <xf numFmtId="0" fontId="45" fillId="0" borderId="0" xfId="0" applyFont="1" applyBorder="1" applyAlignment="1">
      <alignment horizontal="center"/>
    </xf>
    <xf numFmtId="0" fontId="0" fillId="0" borderId="7" xfId="0" applyBorder="1" applyAlignment="1"/>
    <xf numFmtId="0" fontId="45" fillId="0" borderId="7" xfId="0" applyFont="1" applyBorder="1"/>
    <xf numFmtId="0" fontId="42" fillId="0" borderId="37" xfId="0" applyFont="1" applyBorder="1"/>
    <xf numFmtId="165" fontId="24" fillId="0" borderId="5" xfId="0" applyNumberFormat="1" applyFont="1" applyBorder="1"/>
    <xf numFmtId="0" fontId="42" fillId="0" borderId="3" xfId="0" applyFont="1" applyBorder="1"/>
    <xf numFmtId="0" fontId="42" fillId="0" borderId="55" xfId="0" applyFont="1" applyBorder="1"/>
    <xf numFmtId="0" fontId="43" fillId="0" borderId="7" xfId="0" quotePrefix="1" applyFont="1" applyBorder="1" applyAlignment="1">
      <alignment horizontal="center"/>
    </xf>
    <xf numFmtId="165" fontId="24" fillId="0" borderId="56" xfId="0" applyNumberFormat="1" applyFont="1" applyBorder="1"/>
    <xf numFmtId="0" fontId="42" fillId="0" borderId="28" xfId="0" applyFont="1" applyBorder="1"/>
    <xf numFmtId="0" fontId="24" fillId="0" borderId="34" xfId="0" applyFont="1" applyFill="1" applyBorder="1"/>
    <xf numFmtId="165" fontId="24" fillId="0" borderId="57" xfId="0" applyNumberFormat="1" applyFont="1" applyBorder="1"/>
    <xf numFmtId="165" fontId="24" fillId="0" borderId="58" xfId="0" applyNumberFormat="1" applyFont="1" applyBorder="1"/>
    <xf numFmtId="165" fontId="24" fillId="0" borderId="59" xfId="0" applyNumberFormat="1" applyFont="1" applyBorder="1"/>
    <xf numFmtId="165" fontId="24" fillId="0" borderId="30" xfId="0" applyNumberFormat="1" applyFont="1" applyBorder="1"/>
    <xf numFmtId="0" fontId="45" fillId="0" borderId="30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165" fontId="47" fillId="0" borderId="30" xfId="0" applyNumberFormat="1" applyFont="1" applyBorder="1"/>
    <xf numFmtId="0" fontId="45" fillId="0" borderId="30" xfId="0" applyFont="1" applyBorder="1" applyAlignment="1">
      <alignment horizontal="center"/>
    </xf>
    <xf numFmtId="0" fontId="0" fillId="0" borderId="30" xfId="0" applyBorder="1"/>
    <xf numFmtId="0" fontId="47" fillId="0" borderId="30" xfId="0" applyFont="1" applyBorder="1"/>
    <xf numFmtId="0" fontId="45" fillId="0" borderId="42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31" fillId="0" borderId="29" xfId="0" applyFont="1" applyBorder="1" applyAlignment="1">
      <alignment horizontal="center" wrapText="1"/>
    </xf>
    <xf numFmtId="0" fontId="32" fillId="0" borderId="30" xfId="0" applyFont="1" applyFill="1" applyBorder="1"/>
    <xf numFmtId="167" fontId="32" fillId="0" borderId="7" xfId="0" applyNumberFormat="1" applyFont="1" applyBorder="1" applyAlignment="1">
      <alignment horizontal="center" wrapText="1"/>
    </xf>
    <xf numFmtId="167" fontId="32" fillId="0" borderId="30" xfId="0" applyNumberFormat="1" applyFont="1" applyBorder="1" applyAlignment="1">
      <alignment horizontal="left" wrapText="1"/>
    </xf>
    <xf numFmtId="165" fontId="48" fillId="0" borderId="30" xfId="0" applyNumberFormat="1" applyFont="1" applyBorder="1"/>
    <xf numFmtId="165" fontId="48" fillId="0" borderId="0" xfId="0" applyNumberFormat="1" applyFont="1" applyBorder="1"/>
    <xf numFmtId="165" fontId="49" fillId="0" borderId="0" xfId="0" applyNumberFormat="1" applyFont="1" applyBorder="1"/>
    <xf numFmtId="165" fontId="48" fillId="0" borderId="42" xfId="0" applyNumberFormat="1" applyFont="1" applyBorder="1"/>
    <xf numFmtId="165" fontId="48" fillId="0" borderId="36" xfId="0" applyNumberFormat="1" applyFont="1" applyBorder="1"/>
    <xf numFmtId="165" fontId="49" fillId="0" borderId="36" xfId="0" applyNumberFormat="1" applyFont="1" applyBorder="1"/>
    <xf numFmtId="167" fontId="32" fillId="0" borderId="42" xfId="0" applyNumberFormat="1" applyFont="1" applyBorder="1" applyAlignment="1">
      <alignment horizontal="left" wrapText="1"/>
    </xf>
    <xf numFmtId="167" fontId="32" fillId="0" borderId="17" xfId="0" applyNumberFormat="1" applyFont="1" applyBorder="1" applyAlignment="1">
      <alignment horizontal="center" wrapText="1"/>
    </xf>
    <xf numFmtId="0" fontId="11" fillId="0" borderId="0" xfId="0" applyFont="1" applyBorder="1"/>
    <xf numFmtId="167" fontId="32" fillId="0" borderId="0" xfId="0" applyNumberFormat="1" applyFont="1" applyBorder="1" applyAlignment="1">
      <alignment horizontal="left" wrapText="1"/>
    </xf>
    <xf numFmtId="167" fontId="32" fillId="0" borderId="0" xfId="0" applyNumberFormat="1" applyFont="1" applyBorder="1" applyAlignment="1">
      <alignment horizontal="center" wrapText="1"/>
    </xf>
    <xf numFmtId="0" fontId="5" fillId="0" borderId="0" xfId="0" applyFont="1" applyFill="1" applyBorder="1"/>
    <xf numFmtId="0" fontId="14" fillId="0" borderId="0" xfId="0" applyFont="1" applyFill="1" applyBorder="1"/>
    <xf numFmtId="0" fontId="13" fillId="0" borderId="0" xfId="0" applyFont="1" applyFill="1" applyBorder="1"/>
    <xf numFmtId="0" fontId="16" fillId="0" borderId="0" xfId="0" applyFont="1" applyFill="1" applyBorder="1"/>
    <xf numFmtId="0" fontId="15" fillId="0" borderId="0" xfId="0" applyFont="1" applyFill="1" applyBorder="1"/>
    <xf numFmtId="0" fontId="2" fillId="0" borderId="0" xfId="0" applyFont="1" applyBorder="1" applyAlignment="1">
      <alignment horizontal="left"/>
    </xf>
    <xf numFmtId="0" fontId="18" fillId="0" borderId="0" xfId="0" applyFont="1" applyFill="1" applyBorder="1"/>
    <xf numFmtId="0" fontId="8" fillId="0" borderId="0" xfId="0" applyFont="1" applyBorder="1"/>
    <xf numFmtId="22" fontId="50" fillId="0" borderId="0" xfId="0" applyNumberFormat="1" applyFont="1" applyBorder="1"/>
    <xf numFmtId="165" fontId="27" fillId="0" borderId="0" xfId="0" applyNumberFormat="1" applyFont="1" applyBorder="1"/>
    <xf numFmtId="0" fontId="28" fillId="0" borderId="0" xfId="0" applyFont="1" applyBorder="1"/>
    <xf numFmtId="165" fontId="1" fillId="0" borderId="0" xfId="0" applyNumberFormat="1" applyFont="1" applyBorder="1"/>
    <xf numFmtId="165" fontId="12" fillId="0" borderId="0" xfId="0" applyNumberFormat="1" applyFont="1" applyBorder="1"/>
    <xf numFmtId="165" fontId="29" fillId="0" borderId="0" xfId="0" applyNumberFormat="1" applyFont="1" applyBorder="1"/>
    <xf numFmtId="166" fontId="12" fillId="0" borderId="0" xfId="0" applyNumberFormat="1" applyFont="1" applyBorder="1"/>
    <xf numFmtId="165" fontId="30" fillId="0" borderId="0" xfId="1" applyNumberFormat="1" applyBorder="1" applyAlignment="1" applyProtection="1"/>
    <xf numFmtId="0" fontId="0" fillId="0" borderId="28" xfId="0" applyBorder="1"/>
    <xf numFmtId="0" fontId="32" fillId="0" borderId="7" xfId="0" applyFont="1" applyBorder="1" applyAlignment="1">
      <alignment horizontal="center" wrapText="1"/>
    </xf>
    <xf numFmtId="0" fontId="8" fillId="0" borderId="42" xfId="0" applyFont="1" applyBorder="1"/>
    <xf numFmtId="0" fontId="8" fillId="0" borderId="60" xfId="0" applyFont="1" applyBorder="1"/>
    <xf numFmtId="0" fontId="9" fillId="0" borderId="36" xfId="0" applyFont="1" applyBorder="1"/>
    <xf numFmtId="0" fontId="10" fillId="0" borderId="36" xfId="0" applyFont="1" applyBorder="1"/>
    <xf numFmtId="0" fontId="13" fillId="0" borderId="36" xfId="0" applyFont="1" applyFill="1" applyBorder="1"/>
    <xf numFmtId="0" fontId="32" fillId="0" borderId="17" xfId="0" quotePrefix="1" applyFont="1" applyFill="1" applyBorder="1" applyAlignment="1">
      <alignment horizontal="center"/>
    </xf>
    <xf numFmtId="0" fontId="11" fillId="0" borderId="61" xfId="0" applyFont="1" applyBorder="1"/>
    <xf numFmtId="0" fontId="11" fillId="0" borderId="62" xfId="0" applyFont="1" applyBorder="1"/>
    <xf numFmtId="0" fontId="11" fillId="0" borderId="63" xfId="0" applyFont="1" applyBorder="1"/>
    <xf numFmtId="0" fontId="27" fillId="0" borderId="64" xfId="0" applyFont="1" applyBorder="1"/>
    <xf numFmtId="0" fontId="17" fillId="0" borderId="65" xfId="0" applyFont="1" applyBorder="1"/>
    <xf numFmtId="0" fontId="17" fillId="0" borderId="54" xfId="0" applyFont="1" applyBorder="1"/>
    <xf numFmtId="0" fontId="1" fillId="0" borderId="66" xfId="0" applyFont="1" applyBorder="1"/>
    <xf numFmtId="165" fontId="27" fillId="0" borderId="48" xfId="0" applyNumberFormat="1" applyFont="1" applyBorder="1"/>
    <xf numFmtId="0" fontId="15" fillId="3" borderId="42" xfId="0" applyFont="1" applyFill="1" applyBorder="1"/>
    <xf numFmtId="0" fontId="18" fillId="0" borderId="25" xfId="0" applyFont="1" applyBorder="1"/>
    <xf numFmtId="0" fontId="31" fillId="0" borderId="30" xfId="0" applyFont="1" applyBorder="1" applyAlignment="1">
      <alignment horizontal="center" wrapText="1"/>
    </xf>
    <xf numFmtId="165" fontId="17" fillId="0" borderId="52" xfId="0" applyNumberFormat="1" applyFont="1" applyBorder="1"/>
    <xf numFmtId="165" fontId="32" fillId="0" borderId="30" xfId="0" applyNumberFormat="1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32" fillId="0" borderId="30" xfId="0" applyFont="1" applyBorder="1" applyAlignment="1">
      <alignment horizontal="center" wrapText="1"/>
    </xf>
    <xf numFmtId="165" fontId="27" fillId="0" borderId="38" xfId="0" applyNumberFormat="1" applyFont="1" applyBorder="1"/>
    <xf numFmtId="0" fontId="13" fillId="0" borderId="30" xfId="0" applyFont="1" applyBorder="1" applyAlignment="1">
      <alignment horizontal="center"/>
    </xf>
    <xf numFmtId="165" fontId="27" fillId="0" borderId="52" xfId="0" applyNumberFormat="1" applyFont="1" applyBorder="1"/>
    <xf numFmtId="0" fontId="50" fillId="0" borderId="25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38" xfId="0" applyFont="1" applyBorder="1"/>
    <xf numFmtId="0" fontId="1" fillId="0" borderId="52" xfId="0" applyFont="1" applyBorder="1"/>
    <xf numFmtId="0" fontId="35" fillId="0" borderId="30" xfId="0" applyFont="1" applyBorder="1" applyAlignment="1">
      <alignment horizontal="center"/>
    </xf>
    <xf numFmtId="0" fontId="1" fillId="0" borderId="48" xfId="0" applyFont="1" applyBorder="1"/>
    <xf numFmtId="0" fontId="0" fillId="0" borderId="25" xfId="0" applyBorder="1"/>
    <xf numFmtId="0" fontId="11" fillId="0" borderId="38" xfId="0" applyFont="1" applyBorder="1"/>
    <xf numFmtId="0" fontId="11" fillId="0" borderId="48" xfId="0" applyFont="1" applyBorder="1"/>
    <xf numFmtId="0" fontId="13" fillId="0" borderId="42" xfId="0" applyFont="1" applyBorder="1"/>
    <xf numFmtId="0" fontId="17" fillId="0" borderId="17" xfId="0" applyFont="1" applyBorder="1"/>
    <xf numFmtId="0" fontId="11" fillId="0" borderId="52" xfId="0" applyFont="1" applyBorder="1"/>
    <xf numFmtId="0" fontId="14" fillId="0" borderId="25" xfId="0" applyFont="1" applyBorder="1"/>
    <xf numFmtId="0" fontId="14" fillId="0" borderId="30" xfId="0" applyFont="1" applyBorder="1"/>
    <xf numFmtId="0" fontId="18" fillId="0" borderId="30" xfId="0" applyFont="1" applyBorder="1"/>
    <xf numFmtId="0" fontId="1" fillId="0" borderId="67" xfId="0" applyFont="1" applyBorder="1"/>
    <xf numFmtId="0" fontId="1" fillId="0" borderId="21" xfId="0" applyFont="1" applyBorder="1"/>
    <xf numFmtId="0" fontId="1" fillId="0" borderId="68" xfId="0" applyFont="1" applyBorder="1"/>
    <xf numFmtId="0" fontId="1" fillId="0" borderId="50" xfId="0" applyFont="1" applyBorder="1"/>
    <xf numFmtId="0" fontId="1" fillId="0" borderId="53" xfId="0" applyFont="1" applyBorder="1"/>
    <xf numFmtId="0" fontId="14" fillId="0" borderId="42" xfId="0" applyFont="1" applyBorder="1"/>
    <xf numFmtId="0" fontId="1" fillId="0" borderId="16" xfId="0" applyFont="1" applyBorder="1"/>
    <xf numFmtId="0" fontId="0" fillId="0" borderId="1" xfId="0" applyBorder="1"/>
    <xf numFmtId="0" fontId="0" fillId="0" borderId="2" xfId="0" applyBorder="1"/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165" fontId="0" fillId="0" borderId="3" xfId="0" applyNumberFormat="1" applyBorder="1"/>
    <xf numFmtId="0" fontId="3" fillId="0" borderId="69" xfId="0" applyFont="1" applyBorder="1"/>
    <xf numFmtId="0" fontId="0" fillId="0" borderId="5" xfId="0" applyBorder="1"/>
    <xf numFmtId="0" fontId="0" fillId="0" borderId="6" xfId="0" applyBorder="1"/>
    <xf numFmtId="165" fontId="0" fillId="0" borderId="0" xfId="0" applyNumberFormat="1"/>
    <xf numFmtId="0" fontId="3" fillId="0" borderId="13" xfId="0" applyFont="1" applyBorder="1"/>
    <xf numFmtId="0" fontId="0" fillId="0" borderId="47" xfId="0" applyBorder="1"/>
    <xf numFmtId="0" fontId="0" fillId="0" borderId="70" xfId="0" applyBorder="1"/>
    <xf numFmtId="0" fontId="0" fillId="0" borderId="3" xfId="0" applyBorder="1"/>
    <xf numFmtId="0" fontId="35" fillId="0" borderId="0" xfId="0" applyFont="1"/>
    <xf numFmtId="0" fontId="42" fillId="0" borderId="0" xfId="0" applyFont="1"/>
    <xf numFmtId="0" fontId="36" fillId="0" borderId="0" xfId="0" applyFont="1"/>
    <xf numFmtId="0" fontId="42" fillId="0" borderId="0" xfId="0" applyFont="1" applyFill="1"/>
    <xf numFmtId="0" fontId="35" fillId="0" borderId="0" xfId="0" applyFont="1" applyAlignment="1">
      <alignment horizontal="right"/>
    </xf>
    <xf numFmtId="2" fontId="0" fillId="0" borderId="0" xfId="0" applyNumberFormat="1"/>
    <xf numFmtId="0" fontId="42" fillId="2" borderId="0" xfId="0" applyFont="1" applyFill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horizontal="left" indent="8"/>
    </xf>
    <xf numFmtId="0" fontId="55" fillId="0" borderId="0" xfId="0" applyFont="1"/>
    <xf numFmtId="0" fontId="56" fillId="0" borderId="0" xfId="0" applyFont="1"/>
  </cellXfs>
  <cellStyles count="12">
    <cellStyle name="Comma0" xfId="2"/>
    <cellStyle name="Currency 2" xfId="3"/>
    <cellStyle name="Currency0" xfId="4"/>
    <cellStyle name="Date" xfId="5"/>
    <cellStyle name="Fixed" xfId="6"/>
    <cellStyle name="Hyperlink" xfId="1" builtinId="8"/>
    <cellStyle name="Normal" xfId="0" builtinId="0"/>
    <cellStyle name="Normal 2" xfId="7"/>
    <cellStyle name="Normal 2 2" xfId="8"/>
    <cellStyle name="Normal 3" xfId="9"/>
    <cellStyle name="Normal 4" xfId="10"/>
    <cellStyle name="Percent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533400</xdr:colOff>
      <xdr:row>3</xdr:row>
      <xdr:rowOff>152400</xdr:rowOff>
    </xdr:to>
    <xdr:pic>
      <xdr:nvPicPr>
        <xdr:cNvPr id="2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906780" cy="5505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54</xdr:row>
      <xdr:rowOff>66675</xdr:rowOff>
    </xdr:from>
    <xdr:to>
      <xdr:col>1</xdr:col>
      <xdr:colOff>533400</xdr:colOff>
      <xdr:row>57</xdr:row>
      <xdr:rowOff>152400</xdr:rowOff>
    </xdr:to>
    <xdr:pic>
      <xdr:nvPicPr>
        <xdr:cNvPr id="3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8174355"/>
          <a:ext cx="90678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972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5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6" name="Picture 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7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8" name="Picture 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9" name="Picture 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0" name="Picture 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1" name="Picture 1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2" name="Picture 1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3" name="Picture 1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4" name="Picture 1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5" name="Picture 1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6" name="Picture 1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7" name="Picture 1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8" name="Picture 1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9" name="Picture 1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0" name="Picture 1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1" name="Picture 2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2" name="Picture 2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3" name="Picture 2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4" name="Picture 2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5" name="Picture 2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6" name="Picture 2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7" name="Picture 2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8" name="Picture 2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972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29" name="Picture 2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0" name="Picture 2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1" name="Picture 3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2" name="Picture 3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3" name="Picture 3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4" name="Picture 3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5" name="Picture 3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6" name="Picture 3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7" name="Picture 3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8" name="Picture 3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9" name="Picture 3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0" name="Picture 3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1" name="Picture 4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2" name="Picture 4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3" name="Picture 4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4" name="Picture 4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5" name="Picture 4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6" name="Picture 4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7" name="Picture 4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8" name="Picture 4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9" name="Picture 4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0" name="Picture 4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1" name="Picture 5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2" name="Picture 5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3" name="Picture 5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4" name="Picture 5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5" name="Picture 5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6" name="Picture 5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7" name="Picture 5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8" name="Picture 5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9" name="Picture 5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0" name="Picture 5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1" name="Picture 6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2" name="Picture 6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3" name="Picture 6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4" name="Picture 6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5" name="Picture 6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6" name="Picture 6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7" name="Picture 6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66675</xdr:rowOff>
    </xdr:from>
    <xdr:to>
      <xdr:col>1</xdr:col>
      <xdr:colOff>495300</xdr:colOff>
      <xdr:row>3</xdr:row>
      <xdr:rowOff>152400</xdr:rowOff>
    </xdr:to>
    <xdr:pic>
      <xdr:nvPicPr>
        <xdr:cNvPr id="68" name="Picture 6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66675"/>
          <a:ext cx="1135380" cy="603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39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39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0</xdr:row>
      <xdr:rowOff>38100</xdr:rowOff>
    </xdr:from>
    <xdr:to>
      <xdr:col>1</xdr:col>
      <xdr:colOff>523875</xdr:colOff>
      <xdr:row>3</xdr:row>
      <xdr:rowOff>123825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38100"/>
          <a:ext cx="1005840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118</xdr:row>
      <xdr:rowOff>0</xdr:rowOff>
    </xdr:from>
    <xdr:to>
      <xdr:col>1</xdr:col>
      <xdr:colOff>485775</xdr:colOff>
      <xdr:row>118</xdr:row>
      <xdr:rowOff>0</xdr:rowOff>
    </xdr:to>
    <xdr:pic>
      <xdr:nvPicPr>
        <xdr:cNvPr id="2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9796760"/>
          <a:ext cx="942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0</xdr:row>
      <xdr:rowOff>19050</xdr:rowOff>
    </xdr:from>
    <xdr:to>
      <xdr:col>1</xdr:col>
      <xdr:colOff>457200</xdr:colOff>
      <xdr:row>3</xdr:row>
      <xdr:rowOff>123825</xdr:rowOff>
    </xdr:to>
    <xdr:pic>
      <xdr:nvPicPr>
        <xdr:cNvPr id="3" name="Picture 4" descr="TIBMortgageChimbw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b="13637"/>
        <a:stretch>
          <a:fillRect/>
        </a:stretch>
      </xdr:blipFill>
      <xdr:spPr bwMode="auto">
        <a:xfrm>
          <a:off x="95250" y="19050"/>
          <a:ext cx="971550" cy="615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485775</xdr:colOff>
      <xdr:row>3</xdr:row>
      <xdr:rowOff>123825</xdr:rowOff>
    </xdr:to>
    <xdr:pic>
      <xdr:nvPicPr>
        <xdr:cNvPr id="2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1613535" cy="560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142875</xdr:rowOff>
    </xdr:from>
    <xdr:to>
      <xdr:col>1</xdr:col>
      <xdr:colOff>266700</xdr:colOff>
      <xdr:row>3</xdr:row>
      <xdr:rowOff>123825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42875"/>
          <a:ext cx="1691640" cy="5829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Daily%20Pricing\Current%20Rate%20Sheet_10.04.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Service%20Released%20Docs\FAMC%20FHA%20Rat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Service%20Released%20Docs\RD%20RateSh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Dexma%20Old%20Sheets\Current%20Rate%20Sheet%20for%20Dexm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Current%20Rate%20Sheet%20for%20Dexm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Service%20Released%20Docs\FHA%20Rates%20and%20Calcula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- VA Rates"/>
      <sheetName val="Other - Rural Housing &amp; TX VET"/>
      <sheetName val="Price Adjustments"/>
      <sheetName val="SRP Schedule &amp; Other"/>
      <sheetName val="SRP Goverment"/>
      <sheetName val="MBS Pricing"/>
      <sheetName val="Cash Pricing"/>
      <sheetName val="15 Yr Cash DL"/>
      <sheetName val="30 Yr Cash DL"/>
      <sheetName val="Rural Housing DL"/>
      <sheetName val="Data"/>
      <sheetName val="DEXMA Retail Upload"/>
      <sheetName val="DEXMA Corr Upload"/>
      <sheetName val="DEXMA ADJ"/>
      <sheetName val="Jumbo - Non Conforming"/>
      <sheetName val="Jumbo Price Adjust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A8">
            <v>5</v>
          </cell>
          <cell r="D8">
            <v>102.375</v>
          </cell>
          <cell r="G8">
            <v>4</v>
          </cell>
          <cell r="J8">
            <v>102.374</v>
          </cell>
        </row>
        <row r="9">
          <cell r="A9">
            <v>4.875</v>
          </cell>
          <cell r="D9">
            <v>102.125</v>
          </cell>
          <cell r="G9">
            <v>3.875</v>
          </cell>
          <cell r="J9">
            <v>101.66200000000001</v>
          </cell>
        </row>
        <row r="10">
          <cell r="A10">
            <v>4.75</v>
          </cell>
          <cell r="D10">
            <v>101.617</v>
          </cell>
          <cell r="G10">
            <v>3.75</v>
          </cell>
          <cell r="J10">
            <v>100.98</v>
          </cell>
        </row>
        <row r="11">
          <cell r="A11">
            <v>4.625</v>
          </cell>
          <cell r="D11">
            <v>100.873</v>
          </cell>
          <cell r="G11">
            <v>3.625</v>
          </cell>
          <cell r="J11">
            <v>100.581</v>
          </cell>
        </row>
        <row r="12">
          <cell r="A12">
            <v>4.5</v>
          </cell>
          <cell r="D12">
            <v>99.938999999999993</v>
          </cell>
          <cell r="G12">
            <v>3.5</v>
          </cell>
          <cell r="J12">
            <v>100.02</v>
          </cell>
        </row>
        <row r="13">
          <cell r="A13">
            <v>4.375</v>
          </cell>
          <cell r="D13">
            <v>98.953999999999994</v>
          </cell>
          <cell r="G13">
            <v>3.375</v>
          </cell>
          <cell r="J13">
            <v>99.293999999999997</v>
          </cell>
        </row>
        <row r="14">
          <cell r="A14">
            <v>4.25</v>
          </cell>
          <cell r="D14">
            <v>98.147000000000006</v>
          </cell>
          <cell r="G14">
            <v>3.25</v>
          </cell>
          <cell r="J14">
            <v>98.531999999999996</v>
          </cell>
        </row>
        <row r="15">
          <cell r="A15">
            <v>4.125</v>
          </cell>
          <cell r="D15">
            <v>97.311999999999998</v>
          </cell>
        </row>
        <row r="16">
          <cell r="A16">
            <v>4</v>
          </cell>
          <cell r="D16">
            <v>96.283000000000001</v>
          </cell>
        </row>
      </sheetData>
      <sheetData sheetId="12"/>
      <sheetData sheetId="13"/>
      <sheetData sheetId="14">
        <row r="6">
          <cell r="D6">
            <v>-0.125</v>
          </cell>
        </row>
        <row r="8">
          <cell r="D8">
            <v>-0.125</v>
          </cell>
        </row>
        <row r="10">
          <cell r="D10">
            <v>0</v>
          </cell>
        </row>
        <row r="12">
          <cell r="D12">
            <v>0</v>
          </cell>
        </row>
        <row r="17">
          <cell r="D17">
            <v>0.125</v>
          </cell>
        </row>
        <row r="19">
          <cell r="D19">
            <v>0.125</v>
          </cell>
        </row>
        <row r="23">
          <cell r="D23">
            <v>0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Calcs"/>
      <sheetName val="Copy FA Govie Sheet Paste Here"/>
      <sheetName val="FA SRPs"/>
    </sheetNames>
    <sheetDataSet>
      <sheetData sheetId="0">
        <row r="9">
          <cell r="A9">
            <v>4.5</v>
          </cell>
          <cell r="C9">
            <v>100.95</v>
          </cell>
        </row>
        <row r="10">
          <cell r="A10">
            <v>4.375</v>
          </cell>
          <cell r="C10">
            <v>100.95</v>
          </cell>
        </row>
        <row r="11">
          <cell r="A11">
            <v>4.25</v>
          </cell>
          <cell r="C11">
            <v>100.75</v>
          </cell>
        </row>
        <row r="12">
          <cell r="A12">
            <v>4.125</v>
          </cell>
          <cell r="C12">
            <v>99</v>
          </cell>
        </row>
        <row r="13">
          <cell r="A13">
            <v>4</v>
          </cell>
          <cell r="C13">
            <v>98.5</v>
          </cell>
          <cell r="E13">
            <v>97.875</v>
          </cell>
        </row>
        <row r="21">
          <cell r="A21">
            <v>4</v>
          </cell>
          <cell r="C21">
            <v>101.75</v>
          </cell>
          <cell r="D21">
            <v>101.5</v>
          </cell>
          <cell r="E21">
            <v>101.125</v>
          </cell>
        </row>
        <row r="22">
          <cell r="A22">
            <v>3.5</v>
          </cell>
          <cell r="C22">
            <v>99.5</v>
          </cell>
          <cell r="D22">
            <v>99.25</v>
          </cell>
        </row>
        <row r="31">
          <cell r="B31">
            <v>4.25</v>
          </cell>
          <cell r="C31">
            <v>103.55</v>
          </cell>
        </row>
        <row r="32">
          <cell r="B32">
            <v>3.75</v>
          </cell>
          <cell r="C32">
            <v>100.175</v>
          </cell>
        </row>
        <row r="34">
          <cell r="B34">
            <v>4.25</v>
          </cell>
          <cell r="C34">
            <v>103.45</v>
          </cell>
        </row>
        <row r="35">
          <cell r="B35">
            <v>3.75</v>
          </cell>
          <cell r="C35">
            <v>100.075</v>
          </cell>
        </row>
        <row r="37">
          <cell r="B37">
            <v>4.25</v>
          </cell>
          <cell r="C37">
            <v>103.35</v>
          </cell>
        </row>
        <row r="38">
          <cell r="B38">
            <v>3.75</v>
          </cell>
          <cell r="C38">
            <v>99.974999999999994</v>
          </cell>
        </row>
        <row r="43">
          <cell r="B43">
            <v>4</v>
          </cell>
          <cell r="C43">
            <v>103.75</v>
          </cell>
        </row>
        <row r="44">
          <cell r="B44">
            <v>3.5</v>
          </cell>
          <cell r="C44">
            <v>101.5</v>
          </cell>
        </row>
        <row r="46">
          <cell r="B46">
            <v>4</v>
          </cell>
          <cell r="C46">
            <v>103.65</v>
          </cell>
        </row>
        <row r="47">
          <cell r="C47">
            <v>101.4</v>
          </cell>
        </row>
        <row r="49">
          <cell r="B49">
            <v>4</v>
          </cell>
          <cell r="C49">
            <v>103.55</v>
          </cell>
        </row>
        <row r="50">
          <cell r="C50">
            <v>101.3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D Sheet"/>
      <sheetName val="Calcs"/>
      <sheetName val="Sheet3"/>
    </sheetNames>
    <sheetDataSet>
      <sheetData sheetId="0">
        <row r="8">
          <cell r="A8">
            <v>4.5</v>
          </cell>
          <cell r="C8">
            <v>100.45</v>
          </cell>
          <cell r="D8">
            <v>100.325</v>
          </cell>
          <cell r="E8">
            <v>99.95</v>
          </cell>
        </row>
        <row r="9">
          <cell r="A9">
            <v>4.375</v>
          </cell>
          <cell r="C9">
            <v>100.45</v>
          </cell>
          <cell r="D9">
            <v>100.325</v>
          </cell>
          <cell r="E9">
            <v>99.95</v>
          </cell>
        </row>
        <row r="10">
          <cell r="A10">
            <v>4.25</v>
          </cell>
          <cell r="C10">
            <v>100.375</v>
          </cell>
          <cell r="D10">
            <v>100.25</v>
          </cell>
          <cell r="E10">
            <v>99.875</v>
          </cell>
        </row>
        <row r="11">
          <cell r="A11">
            <v>4.125</v>
          </cell>
          <cell r="C11">
            <v>98.375</v>
          </cell>
          <cell r="D11">
            <v>98.25</v>
          </cell>
          <cell r="E11">
            <v>97.875</v>
          </cell>
        </row>
        <row r="12">
          <cell r="A12">
            <v>4</v>
          </cell>
          <cell r="C12">
            <v>97.875</v>
          </cell>
          <cell r="D12">
            <v>97.75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C15">
            <v>0.125</v>
          </cell>
        </row>
      </sheetData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C10">
            <v>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Sheet2"/>
      <sheetName val="Sheet3"/>
    </sheetNames>
    <sheetDataSet>
      <sheetData sheetId="0" refreshError="1"/>
      <sheetData sheetId="1" refreshError="1">
        <row r="5">
          <cell r="O5">
            <v>101.45</v>
          </cell>
        </row>
        <row r="10">
          <cell r="O10">
            <v>101.45</v>
          </cell>
          <cell r="P10">
            <v>104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zoomScaleNormal="100" workbookViewId="0">
      <selection activeCell="C1" sqref="C1"/>
    </sheetView>
  </sheetViews>
  <sheetFormatPr defaultColWidth="9.109375" defaultRowHeight="8.4" x14ac:dyDescent="0.15"/>
  <cols>
    <col min="1" max="1" width="7.6640625" style="70" customWidth="1"/>
    <col min="2" max="5" width="9.109375" style="70"/>
    <col min="6" max="6" width="18.33203125" style="69" bestFit="1" customWidth="1"/>
    <col min="7" max="7" width="9.109375" style="69"/>
    <col min="8" max="8" width="31.6640625" style="69" customWidth="1"/>
    <col min="9" max="9" width="0.109375" style="69" customWidth="1"/>
    <col min="10" max="10" width="9.109375" style="69"/>
    <col min="11" max="16384" width="9.109375" style="70"/>
  </cols>
  <sheetData>
    <row r="1" spans="1:11" s="10" customFormat="1" ht="12.6" x14ac:dyDescent="0.3">
      <c r="A1" s="1"/>
      <c r="B1" s="2"/>
      <c r="C1" s="3" t="s">
        <v>0</v>
      </c>
      <c r="D1" s="4"/>
      <c r="E1" s="4"/>
      <c r="F1" s="5"/>
      <c r="G1" s="6" t="s">
        <v>1</v>
      </c>
      <c r="H1" s="7"/>
      <c r="I1" s="8"/>
      <c r="J1" s="9"/>
      <c r="K1" s="9"/>
    </row>
    <row r="2" spans="1:11" s="10" customFormat="1" ht="12" x14ac:dyDescent="0.25">
      <c r="A2" s="11"/>
      <c r="B2" s="12"/>
      <c r="C2" s="13" t="s">
        <v>2</v>
      </c>
      <c r="D2" s="14"/>
      <c r="E2" s="14"/>
      <c r="F2" s="15"/>
      <c r="G2" s="16" t="s">
        <v>3</v>
      </c>
      <c r="H2" s="17"/>
      <c r="I2" s="18"/>
      <c r="J2" s="9"/>
      <c r="K2" s="9"/>
    </row>
    <row r="3" spans="1:11" s="10" customFormat="1" ht="12" x14ac:dyDescent="0.25">
      <c r="A3" s="11"/>
      <c r="B3" s="12"/>
      <c r="C3" s="19" t="s">
        <v>4</v>
      </c>
      <c r="D3" s="14"/>
      <c r="E3" s="14"/>
      <c r="F3" s="15"/>
      <c r="G3" s="20"/>
      <c r="H3" s="20"/>
      <c r="I3" s="18"/>
      <c r="J3" s="9"/>
      <c r="K3" s="9"/>
    </row>
    <row r="4" spans="1:11" s="10" customFormat="1" ht="14.4" thickBot="1" x14ac:dyDescent="0.35">
      <c r="A4" s="21"/>
      <c r="B4" s="22"/>
      <c r="C4" s="23" t="s">
        <v>5</v>
      </c>
      <c r="D4" s="24"/>
      <c r="E4" s="24"/>
      <c r="F4" s="25">
        <f ca="1">NOW()</f>
        <v>41614.400511805557</v>
      </c>
      <c r="G4" s="26"/>
      <c r="H4" s="27"/>
      <c r="I4" s="18"/>
      <c r="J4" s="9"/>
      <c r="K4" s="9"/>
    </row>
    <row r="5" spans="1:11" s="10" customFormat="1" ht="14.4" thickTop="1" x14ac:dyDescent="0.3">
      <c r="A5" s="28" t="s">
        <v>6</v>
      </c>
      <c r="B5" s="28"/>
      <c r="C5" s="28"/>
      <c r="D5" s="28"/>
      <c r="E5" s="28"/>
      <c r="F5" s="29"/>
      <c r="G5" s="30" t="s">
        <v>7</v>
      </c>
      <c r="H5" s="31"/>
      <c r="I5" s="32"/>
      <c r="J5" s="9"/>
      <c r="K5" s="9"/>
    </row>
    <row r="6" spans="1:11" s="10" customFormat="1" ht="10.8" x14ac:dyDescent="0.25">
      <c r="A6" s="33" t="s">
        <v>8</v>
      </c>
      <c r="B6" s="33" t="s">
        <v>9</v>
      </c>
      <c r="C6" s="33" t="s">
        <v>10</v>
      </c>
      <c r="D6" s="33" t="s">
        <v>11</v>
      </c>
      <c r="E6" s="33" t="s">
        <v>12</v>
      </c>
      <c r="F6" s="29"/>
      <c r="G6" s="34" t="s">
        <v>13</v>
      </c>
      <c r="H6" s="35"/>
      <c r="I6" s="36"/>
      <c r="J6" s="9"/>
      <c r="K6" s="9"/>
    </row>
    <row r="7" spans="1:11" s="10" customFormat="1" ht="11.4" thickBot="1" x14ac:dyDescent="0.3">
      <c r="A7" s="37">
        <f>[1]Data!A8</f>
        <v>5</v>
      </c>
      <c r="B7" s="37">
        <f t="shared" ref="B7:C15" si="0">C7+0.125</f>
        <v>102.625</v>
      </c>
      <c r="C7" s="37">
        <f t="shared" si="0"/>
        <v>102.5</v>
      </c>
      <c r="D7" s="37">
        <f>[1]Data!D8</f>
        <v>102.375</v>
      </c>
      <c r="E7" s="37">
        <f>D7-0.375</f>
        <v>102</v>
      </c>
      <c r="F7" s="38"/>
      <c r="G7" s="39" t="s">
        <v>14</v>
      </c>
      <c r="H7" s="39"/>
      <c r="I7" s="40"/>
      <c r="J7" s="9"/>
      <c r="K7" s="9"/>
    </row>
    <row r="8" spans="1:11" s="10" customFormat="1" ht="11.4" thickTop="1" x14ac:dyDescent="0.25">
      <c r="A8" s="37">
        <f>[1]Data!A9</f>
        <v>4.875</v>
      </c>
      <c r="B8" s="37">
        <f t="shared" si="0"/>
        <v>102.375</v>
      </c>
      <c r="C8" s="37">
        <f t="shared" si="0"/>
        <v>102.25</v>
      </c>
      <c r="D8" s="37">
        <f>[1]Data!D9</f>
        <v>102.125</v>
      </c>
      <c r="E8" s="37">
        <f>D8-0.375</f>
        <v>101.75</v>
      </c>
      <c r="F8" s="38"/>
      <c r="G8" s="41"/>
      <c r="H8" s="42"/>
      <c r="I8" s="43"/>
      <c r="J8" s="9"/>
      <c r="K8" s="9"/>
    </row>
    <row r="9" spans="1:11" s="48" customFormat="1" ht="10.8" x14ac:dyDescent="0.25">
      <c r="A9" s="37">
        <f>[1]Data!A10</f>
        <v>4.75</v>
      </c>
      <c r="B9" s="37">
        <f t="shared" si="0"/>
        <v>101.867</v>
      </c>
      <c r="C9" s="37">
        <f t="shared" si="0"/>
        <v>101.742</v>
      </c>
      <c r="D9" s="37">
        <f>[1]Data!D10</f>
        <v>101.617</v>
      </c>
      <c r="E9" s="37">
        <f>D9-0.375</f>
        <v>101.242</v>
      </c>
      <c r="F9" s="38"/>
      <c r="G9" s="44" t="s">
        <v>15</v>
      </c>
      <c r="H9" s="45" t="s">
        <v>16</v>
      </c>
      <c r="I9" s="43"/>
      <c r="J9" s="46"/>
      <c r="K9" s="47"/>
    </row>
    <row r="10" spans="1:11" s="10" customFormat="1" ht="10.8" x14ac:dyDescent="0.25">
      <c r="A10" s="37">
        <f>[1]Data!A11</f>
        <v>4.625</v>
      </c>
      <c r="B10" s="37">
        <f t="shared" si="0"/>
        <v>101.123</v>
      </c>
      <c r="C10" s="37">
        <f t="shared" si="0"/>
        <v>100.998</v>
      </c>
      <c r="D10" s="37">
        <f>[1]Data!D11</f>
        <v>100.873</v>
      </c>
      <c r="E10" s="37">
        <f>D10-0.375</f>
        <v>100.498</v>
      </c>
      <c r="F10" s="38"/>
      <c r="G10" s="41"/>
      <c r="H10" s="45" t="s">
        <v>17</v>
      </c>
      <c r="I10" s="43"/>
      <c r="J10" s="46"/>
      <c r="K10" s="9"/>
    </row>
    <row r="11" spans="1:11" s="10" customFormat="1" ht="10.8" x14ac:dyDescent="0.25">
      <c r="A11" s="37">
        <f>[1]Data!A12</f>
        <v>4.5</v>
      </c>
      <c r="B11" s="37">
        <f t="shared" si="0"/>
        <v>100.18899999999999</v>
      </c>
      <c r="C11" s="37">
        <f t="shared" si="0"/>
        <v>100.06399999999999</v>
      </c>
      <c r="D11" s="37">
        <f>[1]Data!D12</f>
        <v>99.938999999999993</v>
      </c>
      <c r="E11" s="37">
        <f>D11-0.625</f>
        <v>99.313999999999993</v>
      </c>
      <c r="F11" s="38"/>
      <c r="G11" s="44"/>
      <c r="H11" s="42"/>
      <c r="I11" s="43"/>
      <c r="J11" s="9"/>
      <c r="K11" s="9"/>
    </row>
    <row r="12" spans="1:11" s="10" customFormat="1" ht="10.8" x14ac:dyDescent="0.25">
      <c r="A12" s="37">
        <f>[1]Data!A13</f>
        <v>4.375</v>
      </c>
      <c r="B12" s="37">
        <f t="shared" si="0"/>
        <v>99.203999999999994</v>
      </c>
      <c r="C12" s="37">
        <f t="shared" si="0"/>
        <v>99.078999999999994</v>
      </c>
      <c r="D12" s="37">
        <f>[1]Data!D13</f>
        <v>98.953999999999994</v>
      </c>
      <c r="E12" s="37">
        <f>D12-0.625</f>
        <v>98.328999999999994</v>
      </c>
      <c r="F12" s="38"/>
      <c r="G12" s="44"/>
      <c r="H12" s="42"/>
      <c r="I12" s="43"/>
      <c r="J12" s="9"/>
      <c r="K12" s="9"/>
    </row>
    <row r="13" spans="1:11" s="10" customFormat="1" ht="10.8" x14ac:dyDescent="0.25">
      <c r="A13" s="37">
        <f>[1]Data!A14</f>
        <v>4.25</v>
      </c>
      <c r="B13" s="37">
        <f t="shared" si="0"/>
        <v>98.397000000000006</v>
      </c>
      <c r="C13" s="37">
        <f t="shared" si="0"/>
        <v>98.272000000000006</v>
      </c>
      <c r="D13" s="37">
        <f>[1]Data!D14</f>
        <v>98.147000000000006</v>
      </c>
      <c r="E13" s="37">
        <f>D13-0.625</f>
        <v>97.522000000000006</v>
      </c>
      <c r="F13" s="38"/>
      <c r="G13" s="41"/>
      <c r="H13" s="42"/>
      <c r="I13" s="43"/>
      <c r="J13" s="9"/>
      <c r="K13" s="9"/>
    </row>
    <row r="14" spans="1:11" s="10" customFormat="1" ht="12" customHeight="1" x14ac:dyDescent="0.3">
      <c r="A14" s="37">
        <f>[1]Data!A15</f>
        <v>4.125</v>
      </c>
      <c r="B14" s="37">
        <f t="shared" si="0"/>
        <v>97.561999999999998</v>
      </c>
      <c r="C14" s="37">
        <f t="shared" si="0"/>
        <v>97.436999999999998</v>
      </c>
      <c r="D14" s="37">
        <f>[1]Data!D15</f>
        <v>97.311999999999998</v>
      </c>
      <c r="E14" s="37">
        <f>D14-0.625</f>
        <v>96.686999999999998</v>
      </c>
      <c r="F14" s="38"/>
      <c r="G14" s="49"/>
      <c r="H14" s="50"/>
      <c r="I14" s="43"/>
      <c r="J14" s="9"/>
      <c r="K14" s="9"/>
    </row>
    <row r="15" spans="1:11" s="10" customFormat="1" ht="12" customHeight="1" x14ac:dyDescent="0.3">
      <c r="A15" s="37">
        <f>[1]Data!A16</f>
        <v>4</v>
      </c>
      <c r="B15" s="37">
        <f t="shared" si="0"/>
        <v>96.533000000000001</v>
      </c>
      <c r="C15" s="37">
        <f t="shared" si="0"/>
        <v>96.408000000000001</v>
      </c>
      <c r="D15" s="37">
        <f>[1]Data!D16</f>
        <v>96.283000000000001</v>
      </c>
      <c r="E15" s="37">
        <f>D15-0.625</f>
        <v>95.658000000000001</v>
      </c>
      <c r="F15" s="38"/>
      <c r="G15" s="49" t="s">
        <v>18</v>
      </c>
      <c r="H15" s="50"/>
      <c r="I15" s="43"/>
      <c r="J15" s="9"/>
      <c r="K15" s="9"/>
    </row>
    <row r="16" spans="1:11" s="10" customFormat="1" ht="14.4" x14ac:dyDescent="0.3">
      <c r="A16" s="37"/>
      <c r="B16" s="37"/>
      <c r="C16" s="37"/>
      <c r="D16" s="37"/>
      <c r="E16" s="37"/>
      <c r="F16" s="38"/>
      <c r="G16" s="49" t="s">
        <v>19</v>
      </c>
      <c r="H16" s="50"/>
      <c r="I16" s="43"/>
      <c r="J16" s="9"/>
      <c r="K16" s="9"/>
    </row>
    <row r="17" spans="1:11" s="10" customFormat="1" ht="14.4" x14ac:dyDescent="0.3">
      <c r="A17" s="37"/>
      <c r="B17" s="37"/>
      <c r="C17" s="37"/>
      <c r="D17" s="37"/>
      <c r="E17" s="37"/>
      <c r="F17" s="38"/>
      <c r="G17" s="49" t="s">
        <v>20</v>
      </c>
      <c r="H17" s="50"/>
      <c r="I17" s="43"/>
      <c r="J17" s="9"/>
      <c r="K17" s="9"/>
    </row>
    <row r="18" spans="1:11" s="10" customFormat="1" ht="14.4" x14ac:dyDescent="0.3">
      <c r="A18" s="37"/>
      <c r="B18" s="37"/>
      <c r="C18" s="37"/>
      <c r="D18" s="37"/>
      <c r="E18" s="37"/>
      <c r="F18" s="38"/>
      <c r="G18" s="49" t="s">
        <v>21</v>
      </c>
      <c r="H18" s="50"/>
      <c r="I18" s="43"/>
      <c r="J18" s="9"/>
      <c r="K18" s="9"/>
    </row>
    <row r="19" spans="1:11" s="10" customFormat="1" ht="14.4" x14ac:dyDescent="0.3">
      <c r="A19" s="37"/>
      <c r="B19" s="37"/>
      <c r="C19" s="37"/>
      <c r="D19" s="37"/>
      <c r="E19" s="37"/>
      <c r="F19" s="38"/>
      <c r="G19" s="49" t="s">
        <v>22</v>
      </c>
      <c r="H19" s="50"/>
      <c r="I19" s="43"/>
      <c r="J19" s="9"/>
      <c r="K19" s="9"/>
    </row>
    <row r="20" spans="1:11" s="10" customFormat="1" ht="10.8" x14ac:dyDescent="0.25">
      <c r="A20" s="37"/>
      <c r="B20" s="37"/>
      <c r="C20" s="37"/>
      <c r="D20" s="37"/>
      <c r="E20" s="37"/>
      <c r="F20" s="38"/>
      <c r="G20" s="44"/>
      <c r="H20" s="42"/>
      <c r="I20" s="43"/>
      <c r="J20" s="9"/>
      <c r="K20" s="9"/>
    </row>
    <row r="21" spans="1:11" s="10" customFormat="1" ht="10.8" x14ac:dyDescent="0.25">
      <c r="A21" s="37"/>
      <c r="B21" s="37"/>
      <c r="C21" s="37"/>
      <c r="D21" s="37"/>
      <c r="E21" s="37"/>
      <c r="F21" s="38"/>
      <c r="G21" s="41"/>
      <c r="H21" s="42"/>
      <c r="I21" s="43"/>
      <c r="J21" s="9"/>
      <c r="K21" s="9"/>
    </row>
    <row r="22" spans="1:11" s="10" customFormat="1" ht="14.4" x14ac:dyDescent="0.3">
      <c r="A22" s="37"/>
      <c r="B22" s="37"/>
      <c r="C22" s="37"/>
      <c r="D22" s="37"/>
      <c r="E22" s="37"/>
      <c r="F22" s="38"/>
      <c r="G22" s="51"/>
      <c r="H22" s="52"/>
      <c r="I22" s="43"/>
      <c r="J22" s="9"/>
      <c r="K22" s="9"/>
    </row>
    <row r="23" spans="1:11" s="10" customFormat="1" ht="14.4" x14ac:dyDescent="0.3">
      <c r="A23" s="37"/>
      <c r="B23" s="37"/>
      <c r="C23" s="37"/>
      <c r="D23" s="37"/>
      <c r="E23" s="37"/>
      <c r="F23" s="38"/>
      <c r="G23" s="51"/>
      <c r="H23" s="52"/>
      <c r="I23" s="43"/>
      <c r="J23" s="9"/>
      <c r="K23" s="9"/>
    </row>
    <row r="24" spans="1:11" s="10" customFormat="1" ht="14.4" x14ac:dyDescent="0.3">
      <c r="A24" s="37"/>
      <c r="B24" s="37"/>
      <c r="C24" s="37"/>
      <c r="D24" s="37"/>
      <c r="E24" s="37"/>
      <c r="F24" s="38"/>
      <c r="G24" s="51"/>
      <c r="H24" s="52"/>
      <c r="I24" s="43"/>
      <c r="J24" s="9"/>
      <c r="K24" s="9"/>
    </row>
    <row r="25" spans="1:11" s="10" customFormat="1" ht="10.8" x14ac:dyDescent="0.25">
      <c r="A25" s="37"/>
      <c r="B25" s="37"/>
      <c r="C25" s="37"/>
      <c r="D25" s="37"/>
      <c r="E25" s="37"/>
      <c r="F25" s="37"/>
      <c r="G25" s="41"/>
      <c r="H25" s="42"/>
      <c r="I25" s="43"/>
      <c r="J25" s="9"/>
      <c r="K25" s="9"/>
    </row>
    <row r="26" spans="1:11" s="10" customFormat="1" ht="13.8" x14ac:dyDescent="0.3">
      <c r="A26" s="28"/>
      <c r="B26" s="53"/>
      <c r="C26" s="37"/>
      <c r="D26" s="37"/>
      <c r="E26" s="37"/>
      <c r="F26" s="37"/>
      <c r="G26" s="44"/>
      <c r="H26" s="42"/>
      <c r="I26" s="43"/>
      <c r="J26" s="9"/>
      <c r="K26" s="9"/>
    </row>
    <row r="27" spans="1:11" s="10" customFormat="1" ht="10.8" x14ac:dyDescent="0.25">
      <c r="A27" s="37"/>
      <c r="B27" s="53"/>
      <c r="C27" s="37"/>
      <c r="D27" s="37"/>
      <c r="E27" s="37"/>
      <c r="F27" s="37"/>
      <c r="G27" s="44"/>
      <c r="H27" s="42"/>
      <c r="I27" s="43"/>
      <c r="J27" s="9"/>
      <c r="K27" s="9"/>
    </row>
    <row r="28" spans="1:11" s="10" customFormat="1" ht="10.8" x14ac:dyDescent="0.25">
      <c r="A28" s="37"/>
      <c r="B28" s="37"/>
      <c r="C28" s="37"/>
      <c r="D28" s="37"/>
      <c r="E28" s="37"/>
      <c r="F28" s="37"/>
      <c r="G28" s="44"/>
      <c r="H28" s="42"/>
      <c r="I28" s="43"/>
      <c r="J28" s="9"/>
      <c r="K28" s="9"/>
    </row>
    <row r="29" spans="1:11" s="10" customFormat="1" ht="13.8" x14ac:dyDescent="0.3">
      <c r="A29" s="28" t="s">
        <v>23</v>
      </c>
      <c r="B29" s="28"/>
      <c r="C29" s="28"/>
      <c r="D29" s="28"/>
      <c r="E29" s="28"/>
      <c r="F29" s="54"/>
      <c r="G29" s="44"/>
      <c r="H29" s="42"/>
      <c r="I29" s="43"/>
      <c r="J29" s="9"/>
      <c r="K29" s="9"/>
    </row>
    <row r="30" spans="1:11" s="10" customFormat="1" ht="10.8" x14ac:dyDescent="0.25">
      <c r="A30" s="33" t="s">
        <v>8</v>
      </c>
      <c r="B30" s="33" t="s">
        <v>9</v>
      </c>
      <c r="C30" s="33" t="s">
        <v>10</v>
      </c>
      <c r="D30" s="33" t="s">
        <v>11</v>
      </c>
      <c r="E30" s="33" t="s">
        <v>12</v>
      </c>
      <c r="F30" s="29"/>
      <c r="G30" s="44"/>
      <c r="H30" s="42"/>
      <c r="I30" s="43"/>
      <c r="J30" s="9"/>
      <c r="K30" s="9"/>
    </row>
    <row r="31" spans="1:11" s="10" customFormat="1" ht="10.8" x14ac:dyDescent="0.25">
      <c r="A31" s="37">
        <f>[1]Data!G8</f>
        <v>4</v>
      </c>
      <c r="B31" s="37">
        <f t="shared" ref="B31:C37" si="1">C31+0.125</f>
        <v>102.624</v>
      </c>
      <c r="C31" s="37">
        <f t="shared" si="1"/>
        <v>102.499</v>
      </c>
      <c r="D31" s="37">
        <f>[1]Data!J8</f>
        <v>102.374</v>
      </c>
      <c r="E31" s="37">
        <f>D31-0.375</f>
        <v>101.999</v>
      </c>
      <c r="F31" s="38"/>
      <c r="G31" s="44"/>
      <c r="H31" s="42"/>
      <c r="I31" s="43"/>
      <c r="J31" s="9"/>
      <c r="K31" s="9"/>
    </row>
    <row r="32" spans="1:11" s="10" customFormat="1" ht="10.8" x14ac:dyDescent="0.25">
      <c r="A32" s="37">
        <f>[1]Data!G9</f>
        <v>3.875</v>
      </c>
      <c r="B32" s="37">
        <f t="shared" si="1"/>
        <v>101.91200000000001</v>
      </c>
      <c r="C32" s="37">
        <f t="shared" si="1"/>
        <v>101.78700000000001</v>
      </c>
      <c r="D32" s="37">
        <f>[1]Data!J9</f>
        <v>101.66200000000001</v>
      </c>
      <c r="E32" s="37">
        <f>D32-0.375</f>
        <v>101.28700000000001</v>
      </c>
      <c r="F32" s="38"/>
      <c r="G32" s="55"/>
      <c r="H32" s="42"/>
      <c r="I32" s="43"/>
      <c r="J32" s="9"/>
      <c r="K32" s="9"/>
    </row>
    <row r="33" spans="1:11" s="10" customFormat="1" ht="10.8" x14ac:dyDescent="0.25">
      <c r="A33" s="37">
        <f>[1]Data!G10</f>
        <v>3.75</v>
      </c>
      <c r="B33" s="37">
        <f t="shared" si="1"/>
        <v>101.23</v>
      </c>
      <c r="C33" s="37">
        <f t="shared" si="1"/>
        <v>101.105</v>
      </c>
      <c r="D33" s="37">
        <f>[1]Data!J10</f>
        <v>100.98</v>
      </c>
      <c r="E33" s="37">
        <f>D33-0.375</f>
        <v>100.605</v>
      </c>
      <c r="F33" s="38"/>
      <c r="G33" s="44"/>
      <c r="H33" s="42"/>
      <c r="I33" s="43"/>
      <c r="J33" s="9"/>
      <c r="K33" s="9"/>
    </row>
    <row r="34" spans="1:11" s="10" customFormat="1" ht="10.8" x14ac:dyDescent="0.25">
      <c r="A34" s="37">
        <f>[1]Data!G11</f>
        <v>3.625</v>
      </c>
      <c r="B34" s="37">
        <f t="shared" si="1"/>
        <v>100.831</v>
      </c>
      <c r="C34" s="37">
        <f t="shared" si="1"/>
        <v>100.706</v>
      </c>
      <c r="D34" s="37">
        <f>[1]Data!J11</f>
        <v>100.581</v>
      </c>
      <c r="E34" s="37">
        <f>D34-0.375</f>
        <v>100.206</v>
      </c>
      <c r="F34" s="38"/>
      <c r="G34" s="44"/>
      <c r="H34" s="42"/>
      <c r="I34" s="43"/>
      <c r="J34" s="9"/>
      <c r="K34" s="9"/>
    </row>
    <row r="35" spans="1:11" s="10" customFormat="1" ht="10.8" x14ac:dyDescent="0.25">
      <c r="A35" s="37">
        <f>[1]Data!G12</f>
        <v>3.5</v>
      </c>
      <c r="B35" s="37">
        <f t="shared" si="1"/>
        <v>100.27</v>
      </c>
      <c r="C35" s="37">
        <f t="shared" si="1"/>
        <v>100.145</v>
      </c>
      <c r="D35" s="37">
        <f>[1]Data!J12</f>
        <v>100.02</v>
      </c>
      <c r="E35" s="37">
        <f>D35-0.625</f>
        <v>99.394999999999996</v>
      </c>
      <c r="F35" s="38"/>
      <c r="G35" s="44"/>
      <c r="H35" s="42"/>
      <c r="I35" s="43"/>
      <c r="J35" s="9"/>
      <c r="K35" s="9"/>
    </row>
    <row r="36" spans="1:11" s="10" customFormat="1" ht="10.8" x14ac:dyDescent="0.25">
      <c r="A36" s="37">
        <f>[1]Data!G13</f>
        <v>3.375</v>
      </c>
      <c r="B36" s="37">
        <f t="shared" si="1"/>
        <v>99.543999999999997</v>
      </c>
      <c r="C36" s="37">
        <f t="shared" si="1"/>
        <v>99.418999999999997</v>
      </c>
      <c r="D36" s="37">
        <f>[1]Data!J13</f>
        <v>99.293999999999997</v>
      </c>
      <c r="E36" s="37">
        <f>D36-0.625</f>
        <v>98.668999999999997</v>
      </c>
      <c r="F36" s="38"/>
      <c r="G36" s="44"/>
      <c r="H36" s="42"/>
      <c r="I36" s="43"/>
      <c r="J36" s="9"/>
      <c r="K36" s="9"/>
    </row>
    <row r="37" spans="1:11" s="10" customFormat="1" ht="10.8" x14ac:dyDescent="0.25">
      <c r="A37" s="37">
        <f>[1]Data!G14</f>
        <v>3.25</v>
      </c>
      <c r="B37" s="37">
        <f t="shared" si="1"/>
        <v>98.781999999999996</v>
      </c>
      <c r="C37" s="37">
        <f t="shared" si="1"/>
        <v>98.656999999999996</v>
      </c>
      <c r="D37" s="37">
        <f>[1]Data!J14</f>
        <v>98.531999999999996</v>
      </c>
      <c r="E37" s="37">
        <f>D37-0.625</f>
        <v>97.906999999999996</v>
      </c>
      <c r="F37" s="38"/>
      <c r="G37" s="41" t="s">
        <v>24</v>
      </c>
      <c r="H37" s="42"/>
      <c r="I37" s="43"/>
      <c r="J37" s="9"/>
      <c r="K37" s="9"/>
    </row>
    <row r="38" spans="1:11" s="10" customFormat="1" ht="9.75" customHeight="1" x14ac:dyDescent="0.25">
      <c r="A38" s="37"/>
      <c r="B38" s="37"/>
      <c r="C38" s="37"/>
      <c r="D38" s="37"/>
      <c r="E38" s="37"/>
      <c r="F38" s="38"/>
      <c r="G38" s="44" t="s">
        <v>25</v>
      </c>
      <c r="H38" s="42"/>
      <c r="I38" s="43"/>
      <c r="J38" s="9"/>
      <c r="K38" s="9"/>
    </row>
    <row r="39" spans="1:11" s="10" customFormat="1" ht="10.8" x14ac:dyDescent="0.25">
      <c r="A39" s="37"/>
      <c r="B39" s="37"/>
      <c r="C39" s="37"/>
      <c r="D39" s="37"/>
      <c r="E39" s="37"/>
      <c r="F39" s="38"/>
      <c r="G39" s="44" t="s">
        <v>26</v>
      </c>
      <c r="H39" s="42"/>
      <c r="I39" s="43"/>
      <c r="J39" s="9"/>
      <c r="K39" s="9"/>
    </row>
    <row r="40" spans="1:11" s="10" customFormat="1" ht="10.8" x14ac:dyDescent="0.25">
      <c r="A40" s="37"/>
      <c r="B40" s="37"/>
      <c r="C40" s="37"/>
      <c r="D40" s="37"/>
      <c r="E40" s="37"/>
      <c r="F40" s="38"/>
      <c r="G40" s="44" t="s">
        <v>27</v>
      </c>
      <c r="H40" s="42"/>
      <c r="I40" s="43"/>
      <c r="J40" s="9"/>
      <c r="K40" s="9"/>
    </row>
    <row r="41" spans="1:11" s="10" customFormat="1" ht="11.4" thickBot="1" x14ac:dyDescent="0.3">
      <c r="A41" s="37"/>
      <c r="B41" s="37"/>
      <c r="C41" s="37"/>
      <c r="D41" s="37"/>
      <c r="E41" s="37"/>
      <c r="F41" s="38"/>
      <c r="G41" s="44" t="s">
        <v>28</v>
      </c>
      <c r="H41" s="56"/>
      <c r="I41" s="57"/>
      <c r="J41" s="9"/>
      <c r="K41" s="9"/>
    </row>
    <row r="42" spans="1:11" s="10" customFormat="1" ht="11.4" thickTop="1" x14ac:dyDescent="0.25">
      <c r="A42" s="37"/>
      <c r="B42" s="37"/>
      <c r="C42" s="37"/>
      <c r="D42" s="37"/>
      <c r="E42" s="37"/>
      <c r="F42" s="38"/>
      <c r="G42" s="58" t="s">
        <v>29</v>
      </c>
      <c r="H42" s="42"/>
      <c r="I42" s="43"/>
      <c r="J42" s="9"/>
      <c r="K42" s="9"/>
    </row>
    <row r="43" spans="1:11" s="10" customFormat="1" ht="10.8" x14ac:dyDescent="0.25">
      <c r="A43" s="37"/>
      <c r="B43" s="37"/>
      <c r="C43" s="37"/>
      <c r="D43" s="37"/>
      <c r="E43" s="37"/>
      <c r="F43" s="38"/>
      <c r="G43" s="44" t="s">
        <v>30</v>
      </c>
      <c r="H43" s="42"/>
      <c r="I43" s="43"/>
      <c r="J43" s="9"/>
      <c r="K43" s="9"/>
    </row>
    <row r="44" spans="1:11" s="10" customFormat="1" ht="10.8" x14ac:dyDescent="0.25">
      <c r="A44" s="37"/>
      <c r="B44" s="37"/>
      <c r="C44" s="37"/>
      <c r="D44" s="37"/>
      <c r="E44" s="37"/>
      <c r="F44" s="38"/>
      <c r="G44" s="44" t="s">
        <v>31</v>
      </c>
      <c r="H44" s="42"/>
      <c r="I44" s="43"/>
      <c r="J44" s="9"/>
      <c r="K44" s="9"/>
    </row>
    <row r="45" spans="1:11" s="10" customFormat="1" ht="10.8" x14ac:dyDescent="0.25">
      <c r="A45" s="37"/>
      <c r="B45" s="37"/>
      <c r="C45" s="37"/>
      <c r="D45" s="37"/>
      <c r="E45" s="37"/>
      <c r="F45" s="37"/>
      <c r="G45" s="44" t="s">
        <v>32</v>
      </c>
      <c r="H45" s="42"/>
      <c r="I45" s="43"/>
      <c r="J45" s="9"/>
      <c r="K45" s="9"/>
    </row>
    <row r="46" spans="1:11" s="10" customFormat="1" ht="14.4" thickBot="1" x14ac:dyDescent="0.35">
      <c r="A46" s="28"/>
      <c r="B46" s="37"/>
      <c r="C46" s="37"/>
      <c r="D46" s="37"/>
      <c r="E46" s="37"/>
      <c r="F46" s="37"/>
      <c r="G46" s="56" t="s">
        <v>33</v>
      </c>
      <c r="H46" s="59"/>
      <c r="I46" s="60"/>
      <c r="J46" s="9"/>
      <c r="K46" s="9"/>
    </row>
    <row r="47" spans="1:11" s="10" customFormat="1" ht="11.4" thickTop="1" x14ac:dyDescent="0.25">
      <c r="A47" s="37"/>
      <c r="B47" s="37"/>
      <c r="C47" s="37"/>
      <c r="D47" s="37"/>
      <c r="E47" s="37"/>
      <c r="F47" s="37"/>
      <c r="G47" s="61"/>
      <c r="H47" s="42"/>
      <c r="I47" s="43"/>
      <c r="J47" s="9"/>
      <c r="K47" s="9"/>
    </row>
    <row r="48" spans="1:11" s="10" customFormat="1" ht="10.8" x14ac:dyDescent="0.25">
      <c r="A48" s="37"/>
      <c r="B48" s="53"/>
      <c r="C48" s="37"/>
      <c r="D48" s="37"/>
      <c r="E48" s="37"/>
      <c r="F48" s="37"/>
      <c r="G48" s="44"/>
      <c r="H48" s="62"/>
      <c r="I48" s="63"/>
      <c r="J48" s="9"/>
      <c r="K48" s="9"/>
    </row>
    <row r="49" spans="1:11" s="10" customFormat="1" ht="10.8" x14ac:dyDescent="0.25">
      <c r="A49" s="37"/>
      <c r="B49" s="37"/>
      <c r="C49" s="37"/>
      <c r="D49" s="37"/>
      <c r="E49" s="37"/>
      <c r="F49" s="37"/>
      <c r="G49" s="44"/>
      <c r="H49" s="42"/>
      <c r="I49" s="43"/>
      <c r="J49" s="9"/>
      <c r="K49" s="9"/>
    </row>
    <row r="50" spans="1:11" s="10" customFormat="1" ht="10.8" x14ac:dyDescent="0.25">
      <c r="A50" s="37"/>
      <c r="B50" s="37"/>
      <c r="C50" s="37"/>
      <c r="D50" s="37"/>
      <c r="E50" s="37"/>
      <c r="F50" s="37"/>
      <c r="G50" s="64"/>
      <c r="H50" s="42"/>
      <c r="I50" s="43"/>
      <c r="J50" s="9"/>
      <c r="K50" s="9"/>
    </row>
    <row r="51" spans="1:11" s="10" customFormat="1" ht="11.4" thickBot="1" x14ac:dyDescent="0.3">
      <c r="A51" s="37"/>
      <c r="B51" s="37"/>
      <c r="C51" s="37"/>
      <c r="D51" s="37"/>
      <c r="E51" s="37"/>
      <c r="F51" s="37"/>
      <c r="G51" s="65"/>
      <c r="H51" s="59"/>
      <c r="I51" s="60"/>
      <c r="J51" s="9"/>
      <c r="K51" s="9"/>
    </row>
    <row r="52" spans="1:11" s="10" customFormat="1" ht="11.4" thickTop="1" x14ac:dyDescent="0.25">
      <c r="A52" s="9"/>
      <c r="B52" s="9"/>
      <c r="C52" s="9"/>
      <c r="D52" s="9"/>
      <c r="E52" s="9"/>
      <c r="F52" s="9"/>
      <c r="H52" s="42"/>
      <c r="I52" s="42"/>
    </row>
    <row r="53" spans="1:11" s="10" customFormat="1" ht="14.4" x14ac:dyDescent="0.3">
      <c r="A53" s="66" t="s">
        <v>34</v>
      </c>
      <c r="B53" s="9"/>
      <c r="C53" s="9"/>
      <c r="D53" s="9"/>
      <c r="E53" s="9"/>
      <c r="F53" s="9"/>
      <c r="G53" s="42"/>
      <c r="H53" s="42"/>
      <c r="I53" s="42"/>
    </row>
    <row r="54" spans="1:11" s="10" customFormat="1" ht="10.8" x14ac:dyDescent="0.25">
      <c r="B54" s="9"/>
      <c r="C54" s="9"/>
      <c r="D54" s="9"/>
      <c r="E54" s="9"/>
      <c r="F54" s="9"/>
      <c r="G54" s="42"/>
      <c r="H54" s="42"/>
      <c r="I54" s="42"/>
    </row>
    <row r="55" spans="1:11" s="10" customFormat="1" ht="12" x14ac:dyDescent="0.25">
      <c r="A55" s="1"/>
      <c r="B55" s="2"/>
      <c r="C55" s="3" t="s">
        <v>0</v>
      </c>
      <c r="D55" s="4"/>
      <c r="E55" s="4"/>
      <c r="F55" s="5"/>
      <c r="G55" s="7"/>
      <c r="H55" s="7"/>
      <c r="I55" s="67"/>
    </row>
    <row r="56" spans="1:11" s="10" customFormat="1" ht="12" x14ac:dyDescent="0.25">
      <c r="A56" s="11"/>
      <c r="B56" s="12"/>
      <c r="C56" s="13" t="s">
        <v>2</v>
      </c>
      <c r="D56" s="14"/>
      <c r="E56" s="14"/>
      <c r="F56" s="15"/>
      <c r="G56" s="26"/>
      <c r="H56" s="17"/>
      <c r="I56" s="68"/>
    </row>
    <row r="57" spans="1:11" s="10" customFormat="1" ht="12" x14ac:dyDescent="0.25">
      <c r="A57" s="11"/>
      <c r="B57" s="12"/>
      <c r="C57" s="19" t="s">
        <v>4</v>
      </c>
      <c r="D57" s="14"/>
      <c r="E57" s="14"/>
      <c r="F57" s="15"/>
      <c r="G57" s="26"/>
      <c r="H57" s="17"/>
      <c r="I57" s="68"/>
    </row>
    <row r="58" spans="1:11" ht="14.4" thickBot="1" x14ac:dyDescent="0.35">
      <c r="A58" s="21"/>
      <c r="B58" s="22"/>
      <c r="C58" s="23" t="s">
        <v>5</v>
      </c>
      <c r="D58" s="24"/>
      <c r="E58" s="24"/>
      <c r="F58" s="25"/>
      <c r="G58" s="26"/>
      <c r="H58" s="17"/>
      <c r="I58" s="68"/>
    </row>
    <row r="59" spans="1:11" s="9" customFormat="1" ht="14.4" thickTop="1" x14ac:dyDescent="0.3">
      <c r="A59" s="28"/>
      <c r="B59" s="28"/>
      <c r="C59" s="28"/>
      <c r="D59" s="28"/>
      <c r="E59" s="28"/>
      <c r="F59" s="29"/>
      <c r="G59" s="30" t="s">
        <v>7</v>
      </c>
      <c r="H59" s="31"/>
      <c r="I59" s="71"/>
    </row>
    <row r="60" spans="1:11" s="9" customFormat="1" ht="10.8" x14ac:dyDescent="0.25">
      <c r="A60" s="29" t="s">
        <v>8</v>
      </c>
      <c r="B60" s="29" t="s">
        <v>9</v>
      </c>
      <c r="C60" s="29" t="s">
        <v>10</v>
      </c>
      <c r="D60" s="29" t="s">
        <v>11</v>
      </c>
      <c r="E60" s="29"/>
      <c r="F60" s="29"/>
      <c r="G60" s="34" t="s">
        <v>13</v>
      </c>
      <c r="H60" s="35"/>
      <c r="I60" s="72"/>
    </row>
    <row r="61" spans="1:11" s="9" customFormat="1" ht="11.4" thickBot="1" x14ac:dyDescent="0.3">
      <c r="A61" s="73"/>
      <c r="B61" s="73"/>
      <c r="C61" s="73"/>
      <c r="D61" s="73"/>
      <c r="E61" s="73"/>
      <c r="F61" s="74"/>
      <c r="G61" s="39" t="s">
        <v>35</v>
      </c>
      <c r="H61" s="39"/>
      <c r="I61" s="75"/>
    </row>
    <row r="62" spans="1:11" s="9" customFormat="1" ht="11.4" thickTop="1" x14ac:dyDescent="0.25">
      <c r="A62" s="37"/>
      <c r="B62" s="73"/>
      <c r="C62" s="73"/>
      <c r="D62" s="73"/>
      <c r="E62" s="73"/>
      <c r="F62" s="74"/>
      <c r="G62" s="41"/>
      <c r="H62" s="42"/>
      <c r="I62" s="76"/>
    </row>
    <row r="63" spans="1:11" s="9" customFormat="1" ht="10.8" x14ac:dyDescent="0.25">
      <c r="A63" s="73"/>
      <c r="B63" s="73"/>
      <c r="C63" s="73"/>
      <c r="D63" s="73"/>
      <c r="E63" s="73"/>
      <c r="F63" s="74"/>
      <c r="G63" s="44"/>
      <c r="H63" s="42"/>
      <c r="I63" s="76"/>
    </row>
    <row r="64" spans="1:11" s="9" customFormat="1" ht="13.8" x14ac:dyDescent="0.3">
      <c r="A64" s="28"/>
      <c r="B64" s="73"/>
      <c r="C64" s="73"/>
      <c r="D64" s="73"/>
      <c r="E64" s="73"/>
      <c r="F64" s="74"/>
      <c r="G64" s="44"/>
      <c r="H64" s="42"/>
      <c r="I64" s="76"/>
    </row>
    <row r="65" spans="1:9" s="9" customFormat="1" ht="10.8" x14ac:dyDescent="0.25">
      <c r="B65" s="73"/>
      <c r="C65" s="73"/>
      <c r="D65" s="73"/>
      <c r="E65" s="73"/>
      <c r="F65" s="74"/>
      <c r="G65" s="44"/>
      <c r="H65" s="42"/>
      <c r="I65" s="76"/>
    </row>
    <row r="66" spans="1:9" s="9" customFormat="1" ht="10.8" x14ac:dyDescent="0.25">
      <c r="A66" s="37"/>
      <c r="B66" s="73"/>
      <c r="C66" s="73"/>
      <c r="D66" s="73"/>
      <c r="E66" s="73"/>
      <c r="F66" s="74"/>
      <c r="G66" s="44"/>
      <c r="H66" s="42"/>
      <c r="I66" s="76"/>
    </row>
    <row r="67" spans="1:9" s="9" customFormat="1" ht="10.8" x14ac:dyDescent="0.25">
      <c r="B67" s="73"/>
      <c r="C67" s="73"/>
      <c r="D67" s="73"/>
      <c r="E67" s="73"/>
      <c r="F67" s="74"/>
      <c r="G67" s="41"/>
      <c r="H67" s="42"/>
      <c r="I67" s="76"/>
    </row>
    <row r="68" spans="1:9" s="9" customFormat="1" ht="13.8" x14ac:dyDescent="0.3">
      <c r="A68" s="28"/>
      <c r="B68" s="73"/>
      <c r="C68" s="73"/>
      <c r="D68" s="73"/>
      <c r="E68" s="73"/>
      <c r="F68" s="74"/>
      <c r="G68" s="44"/>
      <c r="H68" s="42"/>
      <c r="I68" s="76"/>
    </row>
    <row r="69" spans="1:9" s="9" customFormat="1" ht="10.8" x14ac:dyDescent="0.25">
      <c r="A69" s="29"/>
      <c r="B69" s="29"/>
      <c r="C69" s="29"/>
      <c r="D69" s="29"/>
      <c r="E69" s="29"/>
      <c r="F69" s="29"/>
      <c r="G69" s="44"/>
      <c r="H69" s="42"/>
      <c r="I69" s="76"/>
    </row>
    <row r="70" spans="1:9" s="9" customFormat="1" ht="10.8" x14ac:dyDescent="0.25">
      <c r="A70" s="37"/>
      <c r="B70" s="37"/>
      <c r="C70" s="37"/>
      <c r="D70" s="37"/>
      <c r="E70" s="37"/>
      <c r="F70" s="37"/>
      <c r="G70" s="44"/>
      <c r="H70" s="42"/>
      <c r="I70" s="76"/>
    </row>
    <row r="71" spans="1:9" s="9" customFormat="1" ht="10.8" x14ac:dyDescent="0.25">
      <c r="A71" s="37"/>
      <c r="B71" s="37"/>
      <c r="C71" s="37"/>
      <c r="D71" s="37"/>
      <c r="E71" s="37"/>
      <c r="F71" s="37"/>
      <c r="G71" s="41"/>
      <c r="H71" s="42"/>
      <c r="I71" s="76"/>
    </row>
    <row r="72" spans="1:9" s="9" customFormat="1" ht="10.8" x14ac:dyDescent="0.25">
      <c r="A72" s="37"/>
      <c r="B72" s="37"/>
      <c r="C72" s="37"/>
      <c r="D72" s="37"/>
      <c r="E72" s="37"/>
      <c r="F72" s="37"/>
      <c r="G72" s="77"/>
      <c r="H72" s="42"/>
      <c r="I72" s="76"/>
    </row>
    <row r="73" spans="1:9" s="9" customFormat="1" ht="10.8" x14ac:dyDescent="0.25">
      <c r="A73" s="37"/>
      <c r="B73" s="37"/>
      <c r="C73" s="37"/>
      <c r="D73" s="37"/>
      <c r="E73" s="37"/>
      <c r="F73" s="37"/>
      <c r="G73" s="44"/>
      <c r="H73" s="42"/>
      <c r="I73" s="76"/>
    </row>
    <row r="74" spans="1:9" s="9" customFormat="1" ht="10.8" x14ac:dyDescent="0.25">
      <c r="A74" s="37"/>
      <c r="B74" s="37"/>
      <c r="C74" s="37"/>
      <c r="D74" s="37"/>
      <c r="E74" s="37"/>
      <c r="F74" s="37"/>
      <c r="G74" s="44"/>
      <c r="H74" s="78"/>
      <c r="I74" s="76"/>
    </row>
    <row r="75" spans="1:9" s="9" customFormat="1" ht="10.8" x14ac:dyDescent="0.25">
      <c r="A75" s="37"/>
      <c r="B75" s="37"/>
      <c r="C75" s="37"/>
      <c r="D75" s="37"/>
      <c r="E75" s="37"/>
      <c r="F75" s="37"/>
      <c r="G75" s="41"/>
      <c r="H75" s="78"/>
      <c r="I75" s="76"/>
    </row>
    <row r="76" spans="1:9" s="9" customFormat="1" ht="10.8" x14ac:dyDescent="0.25">
      <c r="A76" s="37"/>
      <c r="B76" s="37"/>
      <c r="C76" s="37"/>
      <c r="D76" s="37"/>
      <c r="E76" s="37"/>
      <c r="F76" s="37"/>
      <c r="G76" s="44"/>
      <c r="H76" s="78"/>
      <c r="I76" s="76"/>
    </row>
    <row r="77" spans="1:9" s="9" customFormat="1" ht="10.8" x14ac:dyDescent="0.25">
      <c r="A77" s="37"/>
      <c r="B77" s="37"/>
      <c r="C77" s="37"/>
      <c r="D77" s="37"/>
      <c r="E77" s="37"/>
      <c r="F77" s="37"/>
      <c r="G77" s="41"/>
      <c r="H77" s="78"/>
      <c r="I77" s="76"/>
    </row>
    <row r="78" spans="1:9" s="9" customFormat="1" ht="10.8" x14ac:dyDescent="0.25">
      <c r="A78" s="37"/>
      <c r="B78" s="37"/>
      <c r="C78" s="37"/>
      <c r="D78" s="37"/>
      <c r="E78" s="37"/>
      <c r="F78" s="37"/>
      <c r="G78" s="44"/>
      <c r="H78" s="78"/>
      <c r="I78" s="76"/>
    </row>
    <row r="79" spans="1:9" s="9" customFormat="1" ht="10.8" x14ac:dyDescent="0.25">
      <c r="G79" s="41"/>
      <c r="H79" s="78"/>
      <c r="I79" s="76"/>
    </row>
    <row r="80" spans="1:9" s="9" customFormat="1" ht="13.8" x14ac:dyDescent="0.3">
      <c r="A80" s="28"/>
      <c r="G80" s="44"/>
      <c r="H80" s="78"/>
      <c r="I80" s="76"/>
    </row>
    <row r="81" spans="1:9" s="9" customFormat="1" ht="10.8" x14ac:dyDescent="0.25">
      <c r="A81" s="29"/>
      <c r="B81" s="29"/>
      <c r="C81" s="29"/>
      <c r="D81" s="29"/>
      <c r="E81" s="29"/>
      <c r="F81" s="29"/>
      <c r="G81" s="79"/>
      <c r="H81" s="70"/>
      <c r="I81" s="76"/>
    </row>
    <row r="82" spans="1:9" s="9" customFormat="1" ht="10.8" x14ac:dyDescent="0.25">
      <c r="A82" s="37"/>
      <c r="B82" s="37"/>
      <c r="C82" s="37"/>
      <c r="D82" s="37"/>
      <c r="E82" s="37"/>
      <c r="F82" s="37"/>
      <c r="G82" s="44"/>
      <c r="H82" s="78"/>
      <c r="I82" s="76"/>
    </row>
    <row r="83" spans="1:9" s="9" customFormat="1" ht="10.8" x14ac:dyDescent="0.25">
      <c r="A83" s="37"/>
      <c r="B83" s="37"/>
      <c r="C83" s="37"/>
      <c r="D83" s="37"/>
      <c r="E83" s="37"/>
      <c r="F83" s="37"/>
      <c r="G83" s="44"/>
      <c r="H83" s="78"/>
      <c r="I83" s="76"/>
    </row>
    <row r="84" spans="1:9" s="9" customFormat="1" ht="10.8" x14ac:dyDescent="0.25">
      <c r="A84" s="37"/>
      <c r="B84" s="37"/>
      <c r="C84" s="37"/>
      <c r="D84" s="37"/>
      <c r="E84" s="37"/>
      <c r="F84" s="37"/>
      <c r="G84" s="44"/>
      <c r="H84" s="78"/>
      <c r="I84" s="76"/>
    </row>
    <row r="85" spans="1:9" s="9" customFormat="1" ht="10.8" x14ac:dyDescent="0.25">
      <c r="A85" s="37"/>
      <c r="B85" s="37"/>
      <c r="C85" s="37"/>
      <c r="D85" s="37"/>
      <c r="E85" s="37"/>
      <c r="F85" s="37"/>
      <c r="G85" s="44"/>
      <c r="H85" s="78"/>
      <c r="I85" s="76"/>
    </row>
    <row r="86" spans="1:9" s="9" customFormat="1" ht="10.8" x14ac:dyDescent="0.25">
      <c r="A86" s="37"/>
      <c r="B86" s="37"/>
      <c r="C86" s="37"/>
      <c r="D86" s="37"/>
      <c r="E86" s="37"/>
      <c r="F86" s="37"/>
      <c r="G86" s="44"/>
      <c r="H86" s="78"/>
      <c r="I86" s="76"/>
    </row>
    <row r="87" spans="1:9" s="9" customFormat="1" ht="10.8" x14ac:dyDescent="0.25">
      <c r="A87" s="37"/>
      <c r="B87" s="37"/>
      <c r="C87" s="37"/>
      <c r="D87" s="37"/>
      <c r="E87" s="37"/>
      <c r="F87" s="37"/>
      <c r="G87" s="44"/>
      <c r="H87" s="78"/>
      <c r="I87" s="76"/>
    </row>
    <row r="88" spans="1:9" s="9" customFormat="1" ht="10.8" x14ac:dyDescent="0.25">
      <c r="A88" s="37"/>
      <c r="B88" s="37"/>
      <c r="C88" s="37"/>
      <c r="D88" s="37"/>
      <c r="E88" s="37"/>
      <c r="F88" s="37"/>
      <c r="G88" s="44"/>
      <c r="H88" s="78"/>
      <c r="I88" s="76"/>
    </row>
    <row r="89" spans="1:9" s="9" customFormat="1" ht="10.8" x14ac:dyDescent="0.25">
      <c r="A89" s="37"/>
      <c r="B89" s="37"/>
      <c r="C89" s="37"/>
      <c r="D89" s="37"/>
      <c r="E89" s="37"/>
      <c r="F89" s="37"/>
      <c r="G89" s="44"/>
      <c r="H89" s="78"/>
      <c r="I89" s="76"/>
    </row>
    <row r="90" spans="1:9" s="9" customFormat="1" ht="10.8" x14ac:dyDescent="0.25">
      <c r="A90" s="37"/>
      <c r="B90" s="37"/>
      <c r="C90" s="37"/>
      <c r="D90" s="37"/>
      <c r="E90" s="37"/>
      <c r="F90" s="37"/>
      <c r="G90" s="41"/>
      <c r="H90" s="78"/>
      <c r="I90" s="76"/>
    </row>
    <row r="91" spans="1:9" s="9" customFormat="1" ht="10.8" x14ac:dyDescent="0.25">
      <c r="A91" s="37"/>
      <c r="B91" s="37"/>
      <c r="C91" s="37"/>
      <c r="D91" s="37"/>
      <c r="E91" s="37"/>
      <c r="F91" s="37"/>
      <c r="G91" s="44"/>
      <c r="H91" s="78"/>
      <c r="I91" s="76"/>
    </row>
    <row r="92" spans="1:9" s="9" customFormat="1" ht="10.8" x14ac:dyDescent="0.25">
      <c r="A92" s="37"/>
      <c r="B92" s="37"/>
      <c r="C92" s="37"/>
      <c r="D92" s="37"/>
      <c r="E92" s="37"/>
      <c r="F92" s="37"/>
      <c r="G92" s="41"/>
      <c r="H92" s="78"/>
      <c r="I92" s="76"/>
    </row>
    <row r="93" spans="1:9" s="9" customFormat="1" ht="10.8" x14ac:dyDescent="0.25">
      <c r="A93" s="37"/>
      <c r="B93" s="37"/>
      <c r="C93" s="37"/>
      <c r="D93" s="37"/>
      <c r="E93" s="37"/>
      <c r="F93" s="37"/>
      <c r="G93" s="44"/>
      <c r="H93" s="78"/>
      <c r="I93" s="76"/>
    </row>
    <row r="94" spans="1:9" s="9" customFormat="1" ht="13.8" x14ac:dyDescent="0.3">
      <c r="A94" s="28"/>
      <c r="F94" s="37"/>
      <c r="G94" s="44"/>
      <c r="H94" s="78"/>
      <c r="I94" s="76"/>
    </row>
    <row r="95" spans="1:9" s="9" customFormat="1" ht="10.8" x14ac:dyDescent="0.25">
      <c r="A95" s="37"/>
      <c r="B95" s="37"/>
      <c r="C95" s="37"/>
      <c r="D95" s="37"/>
      <c r="E95" s="37"/>
      <c r="F95" s="37"/>
      <c r="G95" s="41"/>
      <c r="H95" s="78"/>
      <c r="I95" s="76"/>
    </row>
    <row r="96" spans="1:9" s="9" customFormat="1" ht="10.8" x14ac:dyDescent="0.25">
      <c r="A96" s="33"/>
      <c r="B96" s="80"/>
      <c r="C96" s="80"/>
      <c r="D96" s="80"/>
      <c r="E96" s="80"/>
      <c r="F96" s="81"/>
      <c r="G96" s="44"/>
      <c r="H96" s="82"/>
      <c r="I96" s="76"/>
    </row>
    <row r="97" spans="1:10" s="9" customFormat="1" ht="13.8" x14ac:dyDescent="0.3">
      <c r="A97" s="28"/>
      <c r="B97" s="83"/>
      <c r="C97" s="84"/>
      <c r="D97" s="73"/>
      <c r="E97" s="84"/>
      <c r="F97" s="85"/>
      <c r="G97" s="44"/>
      <c r="H97" s="42"/>
      <c r="I97" s="76"/>
    </row>
    <row r="98" spans="1:10" s="9" customFormat="1" ht="13.8" x14ac:dyDescent="0.3">
      <c r="A98" s="28"/>
      <c r="B98" s="86"/>
      <c r="C98" s="87"/>
      <c r="D98" s="73"/>
      <c r="E98" s="84"/>
      <c r="F98" s="85"/>
      <c r="G98" s="44"/>
      <c r="H98" s="42"/>
      <c r="I98" s="76"/>
    </row>
    <row r="99" spans="1:10" s="9" customFormat="1" ht="10.8" x14ac:dyDescent="0.25">
      <c r="A99" s="37"/>
      <c r="B99" s="37"/>
      <c r="C99" s="37"/>
      <c r="D99" s="37"/>
      <c r="E99" s="37"/>
      <c r="F99" s="37"/>
      <c r="G99" s="44"/>
      <c r="H99" s="42"/>
      <c r="I99" s="76"/>
    </row>
    <row r="100" spans="1:10" s="9" customFormat="1" ht="10.8" x14ac:dyDescent="0.25">
      <c r="C100" s="87"/>
      <c r="D100" s="73"/>
      <c r="E100" s="84"/>
      <c r="F100" s="85"/>
      <c r="G100" s="44"/>
      <c r="H100" s="42"/>
      <c r="I100" s="76"/>
    </row>
    <row r="101" spans="1:10" s="9" customFormat="1" ht="16.2" thickBot="1" x14ac:dyDescent="0.35">
      <c r="A101" s="88" t="s">
        <v>36</v>
      </c>
      <c r="B101" s="2"/>
      <c r="C101" s="87"/>
      <c r="D101" s="89"/>
      <c r="E101" s="84"/>
      <c r="F101" s="85"/>
      <c r="G101" s="44"/>
      <c r="H101" s="42"/>
      <c r="I101" s="76"/>
    </row>
    <row r="102" spans="1:10" s="9" customFormat="1" ht="13.8" thickTop="1" x14ac:dyDescent="0.25">
      <c r="A102" s="90" t="s">
        <v>37</v>
      </c>
      <c r="B102" s="91">
        <f ca="1">F4+14</f>
        <v>41628.400511805557</v>
      </c>
      <c r="C102" s="87"/>
      <c r="D102" s="92"/>
      <c r="E102" s="84"/>
      <c r="F102" s="85"/>
      <c r="G102" s="58"/>
      <c r="H102" s="93"/>
      <c r="I102" s="94"/>
    </row>
    <row r="103" spans="1:10" s="9" customFormat="1" ht="10.8" x14ac:dyDescent="0.25">
      <c r="A103" s="90" t="s">
        <v>38</v>
      </c>
      <c r="B103" s="91">
        <f ca="1">F4+29</f>
        <v>41643.400511805557</v>
      </c>
      <c r="C103" s="87"/>
      <c r="D103" s="73"/>
      <c r="E103" s="84"/>
      <c r="F103" s="85"/>
      <c r="G103" s="44"/>
      <c r="H103" s="42"/>
      <c r="I103" s="76"/>
    </row>
    <row r="104" spans="1:10" s="9" customFormat="1" ht="10.8" x14ac:dyDescent="0.25">
      <c r="A104" s="90" t="s">
        <v>39</v>
      </c>
      <c r="B104" s="91">
        <f ca="1">F4+44</f>
        <v>41658.400511805557</v>
      </c>
      <c r="C104" s="84"/>
      <c r="D104" s="73"/>
      <c r="E104" s="84"/>
      <c r="F104" s="85"/>
      <c r="G104" s="44"/>
      <c r="H104" s="42"/>
      <c r="I104" s="76"/>
    </row>
    <row r="105" spans="1:10" s="9" customFormat="1" ht="10.8" x14ac:dyDescent="0.25">
      <c r="A105" s="90" t="s">
        <v>40</v>
      </c>
      <c r="B105" s="91">
        <f ca="1">F4+59</f>
        <v>41673.400511805557</v>
      </c>
      <c r="C105" s="84"/>
      <c r="D105" s="73"/>
      <c r="E105" s="84"/>
      <c r="F105" s="85"/>
      <c r="G105" s="44"/>
      <c r="H105" s="42"/>
      <c r="I105" s="76"/>
    </row>
    <row r="106" spans="1:10" s="9" customFormat="1" ht="11.4" thickBot="1" x14ac:dyDescent="0.3">
      <c r="A106" s="95" t="s">
        <v>41</v>
      </c>
      <c r="B106" s="96">
        <f ca="1">F4+89</f>
        <v>41703.400511805557</v>
      </c>
      <c r="C106" s="97"/>
      <c r="D106" s="97"/>
      <c r="E106" s="97"/>
      <c r="F106" s="98"/>
      <c r="G106" s="56"/>
      <c r="H106" s="59"/>
      <c r="I106" s="99"/>
    </row>
    <row r="107" spans="1:10" s="9" customFormat="1" ht="15" thickTop="1" x14ac:dyDescent="0.3">
      <c r="A107" s="66"/>
      <c r="G107" s="42"/>
      <c r="H107" s="42"/>
      <c r="I107" s="42"/>
    </row>
    <row r="108" spans="1:10" s="9" customFormat="1" ht="14.4" x14ac:dyDescent="0.3">
      <c r="A108" s="66" t="s">
        <v>34</v>
      </c>
      <c r="G108" s="42"/>
      <c r="H108" s="42"/>
      <c r="I108" s="42"/>
    </row>
    <row r="109" spans="1:10" customFormat="1" ht="13.2" x14ac:dyDescent="0.25"/>
    <row r="110" spans="1:10" ht="13.2" x14ac:dyDescent="0.25">
      <c r="A110"/>
      <c r="B110"/>
      <c r="C110"/>
      <c r="D110"/>
      <c r="E110"/>
      <c r="F110"/>
      <c r="G110"/>
      <c r="H110"/>
      <c r="I110"/>
      <c r="J110"/>
    </row>
  </sheetData>
  <pageMargins left="0" right="0" top="1" bottom="0.75" header="0.56000000000000005" footer="0.5"/>
  <pageSetup orientation="portrait" r:id="rId1"/>
  <headerFooter alignWithMargins="0"/>
  <rowBreaks count="2" manualBreakCount="2">
    <brk id="53" max="16383" man="1"/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zoomScaleNormal="100" workbookViewId="0">
      <selection activeCell="C1" sqref="C1"/>
    </sheetView>
  </sheetViews>
  <sheetFormatPr defaultRowHeight="13.2" x14ac:dyDescent="0.25"/>
  <cols>
    <col min="1" max="1" width="11" customWidth="1"/>
    <col min="3" max="3" width="9.44140625" bestFit="1" customWidth="1"/>
    <col min="6" max="6" width="18.33203125" bestFit="1" customWidth="1"/>
    <col min="7" max="7" width="30.88671875" customWidth="1"/>
    <col min="8" max="8" width="8.33203125" customWidth="1"/>
    <col min="9" max="9" width="6.109375" customWidth="1"/>
  </cols>
  <sheetData>
    <row r="1" spans="1:9" ht="13.8" x14ac:dyDescent="0.3">
      <c r="A1" s="100"/>
      <c r="B1" s="101"/>
      <c r="C1" s="102" t="s">
        <v>0</v>
      </c>
      <c r="D1" s="103"/>
      <c r="E1" s="103"/>
      <c r="F1" s="104"/>
      <c r="G1" s="105"/>
      <c r="H1" s="106"/>
    </row>
    <row r="2" spans="1:9" ht="13.8" thickBot="1" x14ac:dyDescent="0.3">
      <c r="A2" s="107"/>
      <c r="B2" s="12"/>
      <c r="C2" s="13" t="s">
        <v>2</v>
      </c>
      <c r="D2" s="108"/>
      <c r="E2" s="108"/>
      <c r="F2" s="109"/>
      <c r="G2" s="110"/>
      <c r="H2" s="111"/>
    </row>
    <row r="3" spans="1:9" x14ac:dyDescent="0.25">
      <c r="A3" s="107"/>
      <c r="B3" s="12"/>
      <c r="C3" s="19" t="s">
        <v>4</v>
      </c>
      <c r="D3" s="108"/>
      <c r="E3" s="108"/>
      <c r="F3" s="109"/>
      <c r="G3" s="112" t="s">
        <v>7</v>
      </c>
      <c r="H3" s="113"/>
    </row>
    <row r="4" spans="1:9" ht="14.4" thickBot="1" x14ac:dyDescent="0.35">
      <c r="A4" s="114"/>
      <c r="B4" s="22"/>
      <c r="C4" s="23" t="s">
        <v>5</v>
      </c>
      <c r="D4" s="115"/>
      <c r="E4" s="115"/>
      <c r="F4" s="116">
        <f ca="1">NOW()</f>
        <v>41614.400511805557</v>
      </c>
      <c r="G4" s="117"/>
      <c r="H4" s="118"/>
    </row>
    <row r="5" spans="1:9" ht="14.4" thickBot="1" x14ac:dyDescent="0.35">
      <c r="A5" s="119" t="s">
        <v>42</v>
      </c>
      <c r="B5" s="120"/>
      <c r="C5" s="120"/>
      <c r="D5" s="120"/>
      <c r="E5" s="120"/>
      <c r="F5" s="121"/>
      <c r="G5" s="122" t="s">
        <v>13</v>
      </c>
      <c r="H5" s="36"/>
    </row>
    <row r="6" spans="1:9" ht="13.8" x14ac:dyDescent="0.3">
      <c r="A6" s="119" t="s">
        <v>43</v>
      </c>
      <c r="B6" s="120"/>
      <c r="C6" s="120"/>
      <c r="D6" s="120"/>
      <c r="E6" s="120"/>
      <c r="F6" s="121"/>
      <c r="G6" s="123"/>
      <c r="H6" s="36"/>
    </row>
    <row r="7" spans="1:9" ht="13.8" thickBot="1" x14ac:dyDescent="0.3">
      <c r="A7" s="124" t="s">
        <v>8</v>
      </c>
      <c r="B7" s="125"/>
      <c r="C7" s="126" t="s">
        <v>10</v>
      </c>
      <c r="D7" s="33" t="s">
        <v>11</v>
      </c>
      <c r="E7" s="125" t="s">
        <v>12</v>
      </c>
      <c r="F7" s="127" t="s">
        <v>44</v>
      </c>
      <c r="G7" s="128" t="s">
        <v>14</v>
      </c>
      <c r="H7" s="129"/>
    </row>
    <row r="8" spans="1:9" x14ac:dyDescent="0.25">
      <c r="A8" s="130">
        <f>IF('[2]FHA - VA Rate Sheet'!$A$9&gt;0.01,'[2]FHA - VA Rate Sheet'!$A$9,"")</f>
        <v>4.5</v>
      </c>
      <c r="B8" s="37"/>
      <c r="C8" s="131">
        <f>IF('[2]FHA - VA Rate Sheet'!$C$9&gt;0.01,'[2]FHA - VA Rate Sheet'!$C$9,"")</f>
        <v>100.95</v>
      </c>
      <c r="D8" s="37">
        <f>C8-0.25</f>
        <v>100.7</v>
      </c>
      <c r="E8" s="37">
        <f>D8-0.125</f>
        <v>100.575</v>
      </c>
      <c r="F8" s="132"/>
      <c r="G8" s="133" t="s">
        <v>45</v>
      </c>
      <c r="H8" s="134"/>
    </row>
    <row r="9" spans="1:9" x14ac:dyDescent="0.25">
      <c r="A9" s="130">
        <f>IF('[2]FHA - VA Rate Sheet'!$A$10&gt;0.01,'[2]FHA - VA Rate Sheet'!$A$10,"")</f>
        <v>4.375</v>
      </c>
      <c r="B9" s="37"/>
      <c r="C9" s="131">
        <f>IF('[2]FHA - VA Rate Sheet'!$C$10&gt;0.01,'[2]FHA - VA Rate Sheet'!$C$10,"")</f>
        <v>100.95</v>
      </c>
      <c r="D9" s="37">
        <f>C9-0.25</f>
        <v>100.7</v>
      </c>
      <c r="E9" s="37">
        <f>D9-0.125</f>
        <v>100.575</v>
      </c>
      <c r="F9" s="135"/>
      <c r="G9" s="136"/>
      <c r="H9" s="137"/>
    </row>
    <row r="10" spans="1:9" x14ac:dyDescent="0.25">
      <c r="A10" s="130">
        <f>IF('[2]FHA - VA Rate Sheet'!$A$11&gt;0.01,'[2]FHA - VA Rate Sheet'!$A$11,"")</f>
        <v>4.25</v>
      </c>
      <c r="B10" s="37"/>
      <c r="C10" s="131">
        <f>IF('[2]FHA - VA Rate Sheet'!$C$11&gt;0.01,'[2]FHA - VA Rate Sheet'!$C$11,"")</f>
        <v>100.75</v>
      </c>
      <c r="D10" s="37">
        <f>C10-0.25</f>
        <v>100.5</v>
      </c>
      <c r="E10" s="37">
        <f>D10-0.125</f>
        <v>100.375</v>
      </c>
      <c r="F10" s="132"/>
      <c r="G10" s="136" t="s">
        <v>46</v>
      </c>
      <c r="H10" s="137">
        <v>-0.375</v>
      </c>
    </row>
    <row r="11" spans="1:9" x14ac:dyDescent="0.25">
      <c r="A11" s="138">
        <f>IF('[2]FHA - VA Rate Sheet'!$A$12&gt;0.01,'[2]FHA - VA Rate Sheet'!$A$12,"")</f>
        <v>4.125</v>
      </c>
      <c r="B11" s="37"/>
      <c r="C11" s="37">
        <f>IF('[2]FHA - VA Rate Sheet'!$C$12&gt;0.01,'[2]FHA - VA Rate Sheet'!$C$12,"")</f>
        <v>99</v>
      </c>
      <c r="D11" s="37">
        <f>C11-0.25</f>
        <v>98.75</v>
      </c>
      <c r="E11" s="37">
        <f>D11-0.125</f>
        <v>98.625</v>
      </c>
      <c r="F11" s="111"/>
      <c r="G11" s="139" t="s">
        <v>47</v>
      </c>
      <c r="H11" s="140">
        <v>0</v>
      </c>
      <c r="I11" s="141"/>
    </row>
    <row r="12" spans="1:9" x14ac:dyDescent="0.25">
      <c r="A12" s="138">
        <f>IF('[2]FHA - VA Rate Sheet'!$A$13&gt;0.01,'[2]FHA - VA Rate Sheet'!$A$13,"")</f>
        <v>4</v>
      </c>
      <c r="B12" s="37"/>
      <c r="C12" s="37">
        <f>IF('[2]FHA - VA Rate Sheet'!$C$13&gt;0.01,'[2]FHA - VA Rate Sheet'!$C$13,"")</f>
        <v>98.5</v>
      </c>
      <c r="D12" s="37">
        <f>C12-0.25</f>
        <v>98.25</v>
      </c>
      <c r="E12" s="142">
        <f>IF('[2]FHA - VA Rate Sheet'!$E$13&gt;0.01,'[2]FHA - VA Rate Sheet'!$E$13,"")</f>
        <v>97.875</v>
      </c>
      <c r="F12" s="143"/>
      <c r="G12" s="144" t="s">
        <v>48</v>
      </c>
      <c r="H12" s="137">
        <v>0.125</v>
      </c>
      <c r="I12" s="145"/>
    </row>
    <row r="13" spans="1:9" ht="14.4" thickBot="1" x14ac:dyDescent="0.35">
      <c r="A13" s="146"/>
      <c r="B13" s="147"/>
      <c r="C13" s="148"/>
      <c r="D13" s="149"/>
      <c r="E13" s="147"/>
      <c r="F13" s="111"/>
      <c r="G13" s="150"/>
      <c r="H13" s="137"/>
      <c r="I13" s="151"/>
    </row>
    <row r="14" spans="1:9" x14ac:dyDescent="0.25">
      <c r="A14" s="152"/>
      <c r="B14" s="37"/>
      <c r="C14" s="37"/>
      <c r="D14" s="153"/>
      <c r="E14" s="154"/>
      <c r="F14" s="155"/>
      <c r="G14" s="156" t="s">
        <v>49</v>
      </c>
      <c r="H14" s="157">
        <v>-0.25</v>
      </c>
      <c r="I14" s="145"/>
    </row>
    <row r="15" spans="1:9" ht="13.8" thickBot="1" x14ac:dyDescent="0.3">
      <c r="A15" s="158"/>
      <c r="B15" s="159"/>
      <c r="C15" s="160"/>
      <c r="D15" s="159"/>
      <c r="E15" s="161"/>
      <c r="F15" s="162"/>
      <c r="G15" s="163"/>
      <c r="H15" s="140"/>
      <c r="I15" s="145"/>
    </row>
    <row r="16" spans="1:9" ht="14.4" thickBot="1" x14ac:dyDescent="0.35">
      <c r="A16" s="164" t="s">
        <v>50</v>
      </c>
      <c r="B16" s="165"/>
      <c r="C16" s="165"/>
      <c r="D16" s="165"/>
      <c r="E16" s="165"/>
      <c r="F16" s="165"/>
      <c r="G16" s="163" t="s">
        <v>51</v>
      </c>
      <c r="H16" s="166">
        <v>-0.5</v>
      </c>
      <c r="I16" s="145"/>
    </row>
    <row r="17" spans="1:10" ht="14.4" thickBot="1" x14ac:dyDescent="0.35">
      <c r="A17" s="167" t="s">
        <v>43</v>
      </c>
      <c r="B17" s="168"/>
      <c r="C17" s="168"/>
      <c r="D17" s="168"/>
      <c r="E17" s="168"/>
      <c r="F17" s="168"/>
      <c r="G17" s="169"/>
      <c r="H17" s="170"/>
      <c r="I17" s="145"/>
    </row>
    <row r="18" spans="1:10" x14ac:dyDescent="0.25">
      <c r="A18" s="171" t="s">
        <v>8</v>
      </c>
      <c r="B18" s="172"/>
      <c r="C18" s="173" t="s">
        <v>10</v>
      </c>
      <c r="D18" s="172" t="s">
        <v>11</v>
      </c>
      <c r="E18" s="173" t="s">
        <v>12</v>
      </c>
      <c r="F18" s="174" t="s">
        <v>44</v>
      </c>
      <c r="G18" s="175" t="s">
        <v>52</v>
      </c>
      <c r="H18" s="176"/>
      <c r="I18" s="145"/>
    </row>
    <row r="19" spans="1:10" x14ac:dyDescent="0.25">
      <c r="A19" s="152">
        <f>IF('[2]FHA - VA Rate Sheet'!$A$21&gt;0.01,'[2]FHA - VA Rate Sheet'!$A$21,"")</f>
        <v>4</v>
      </c>
      <c r="B19" s="37"/>
      <c r="C19" s="37">
        <f>IF('[2]FHA - VA Rate Sheet'!$C$21&gt;0.01,'[2]FHA - VA Rate Sheet'!$C$21,"")</f>
        <v>101.75</v>
      </c>
      <c r="D19" s="153">
        <f>IF('[2]FHA - VA Rate Sheet'!$D$21&gt;0.01,'[2]FHA - VA Rate Sheet'!$D$21,"")</f>
        <v>101.5</v>
      </c>
      <c r="E19" s="37">
        <f>IF('[2]FHA - VA Rate Sheet'!$E$21&gt;0.01,'[2]FHA - VA Rate Sheet'!$E$21,"")</f>
        <v>101.125</v>
      </c>
      <c r="F19" s="177"/>
      <c r="G19" s="178" t="s">
        <v>53</v>
      </c>
      <c r="H19" s="111"/>
      <c r="I19" s="145"/>
    </row>
    <row r="20" spans="1:10" x14ac:dyDescent="0.25">
      <c r="A20" s="152">
        <f>IF('[2]FHA - VA Rate Sheet'!$A$21&gt;0.01,'[2]FHA - VA Rate Sheet'!$A$22,"")</f>
        <v>3.5</v>
      </c>
      <c r="B20" s="37"/>
      <c r="C20" s="37">
        <f>IF('[2]FHA - VA Rate Sheet'!$C$21&gt;0.01,'[2]FHA - VA Rate Sheet'!$C$22,"")</f>
        <v>99.5</v>
      </c>
      <c r="D20" s="153">
        <f>IF('[2]FHA - VA Rate Sheet'!$D$21&gt;0.01,'[2]FHA - VA Rate Sheet'!$D$22,"")</f>
        <v>99.25</v>
      </c>
      <c r="E20" s="37"/>
      <c r="F20" s="179"/>
      <c r="G20" s="180" t="s">
        <v>54</v>
      </c>
      <c r="H20" s="181"/>
      <c r="I20" s="145"/>
    </row>
    <row r="21" spans="1:10" ht="13.8" thickBot="1" x14ac:dyDescent="0.3">
      <c r="A21" s="182"/>
      <c r="B21" s="183"/>
      <c r="C21" s="184"/>
      <c r="D21" s="185"/>
      <c r="E21" s="184"/>
      <c r="F21" s="186"/>
      <c r="G21" s="169"/>
      <c r="H21" s="170"/>
      <c r="I21" s="187"/>
      <c r="J21" s="110"/>
    </row>
    <row r="22" spans="1:10" x14ac:dyDescent="0.25">
      <c r="A22" s="188"/>
      <c r="B22" s="189"/>
      <c r="C22" s="190"/>
      <c r="D22" s="191"/>
      <c r="E22" s="190"/>
      <c r="F22" s="179"/>
      <c r="G22" s="192" t="s">
        <v>55</v>
      </c>
      <c r="H22" s="193"/>
      <c r="I22" s="145"/>
    </row>
    <row r="23" spans="1:10" ht="13.8" thickBot="1" x14ac:dyDescent="0.3">
      <c r="A23" s="194"/>
      <c r="B23" s="195"/>
      <c r="C23" s="196"/>
      <c r="D23" s="197"/>
      <c r="E23" s="196"/>
      <c r="F23" s="198"/>
      <c r="G23" s="199" t="s">
        <v>56</v>
      </c>
      <c r="H23" s="200"/>
      <c r="I23" s="145"/>
    </row>
    <row r="24" spans="1:10" ht="18" x14ac:dyDescent="0.35">
      <c r="A24" s="201"/>
      <c r="B24" s="202"/>
      <c r="C24" s="203" t="s">
        <v>57</v>
      </c>
      <c r="D24" s="204"/>
      <c r="E24" s="204"/>
      <c r="F24" s="205"/>
      <c r="G24" s="206" t="s">
        <v>58</v>
      </c>
      <c r="H24" s="207">
        <v>450</v>
      </c>
      <c r="I24" s="208"/>
    </row>
    <row r="25" spans="1:10" ht="13.8" x14ac:dyDescent="0.3">
      <c r="A25" s="209" t="s">
        <v>59</v>
      </c>
      <c r="B25" s="210"/>
      <c r="C25" s="211"/>
      <c r="D25" s="210"/>
      <c r="E25" s="210"/>
      <c r="F25" s="212"/>
      <c r="G25" s="206" t="s">
        <v>60</v>
      </c>
      <c r="H25" s="207">
        <v>100</v>
      </c>
      <c r="I25" s="208"/>
    </row>
    <row r="26" spans="1:10" ht="14.4" thickBot="1" x14ac:dyDescent="0.35">
      <c r="A26" s="213" t="s">
        <v>61</v>
      </c>
      <c r="B26" s="214"/>
      <c r="C26" s="214"/>
      <c r="D26" s="214"/>
      <c r="E26" s="214"/>
      <c r="F26" s="215"/>
      <c r="G26" s="199" t="s">
        <v>62</v>
      </c>
      <c r="H26" s="216"/>
    </row>
    <row r="27" spans="1:10" x14ac:dyDescent="0.25">
      <c r="A27" s="217" t="s">
        <v>63</v>
      </c>
      <c r="B27" s="218" t="s">
        <v>8</v>
      </c>
      <c r="C27" s="219" t="s">
        <v>10</v>
      </c>
      <c r="D27" s="219" t="s">
        <v>11</v>
      </c>
      <c r="E27" s="219"/>
      <c r="F27" s="220"/>
      <c r="G27" s="221" t="s">
        <v>64</v>
      </c>
      <c r="H27" s="222">
        <v>150</v>
      </c>
    </row>
    <row r="28" spans="1:10" ht="13.8" thickBot="1" x14ac:dyDescent="0.3">
      <c r="A28" s="223"/>
      <c r="B28" s="224">
        <f>IF('[2]FHA - VA Rate Sheet'!$B$31&gt;0.01,'[2]FHA - VA Rate Sheet'!$B$31,"")</f>
        <v>4.25</v>
      </c>
      <c r="C28" s="53">
        <f>IF('[2]FHA - VA Rate Sheet'!$C$31&gt;0.01,'[2]FHA - VA Rate Sheet'!$C$31,"")</f>
        <v>103.55</v>
      </c>
      <c r="D28" s="53">
        <f>C28-0.125</f>
        <v>103.425</v>
      </c>
      <c r="E28" s="225"/>
      <c r="F28" s="226"/>
      <c r="G28" s="169"/>
      <c r="H28" s="227"/>
    </row>
    <row r="29" spans="1:10" ht="14.4" thickBot="1" x14ac:dyDescent="0.35">
      <c r="A29" s="228"/>
      <c r="B29" s="229">
        <f>IF('[2]FHA - VA Rate Sheet'!$B$31&gt;0.01,'[2]FHA - VA Rate Sheet'!$B$32,"")</f>
        <v>3.75</v>
      </c>
      <c r="C29" s="229">
        <f>IF('[2]FHA - VA Rate Sheet'!$C$31&gt;0.01,'[2]FHA - VA Rate Sheet'!$C$32,"")</f>
        <v>100.175</v>
      </c>
      <c r="D29" s="230">
        <f t="shared" ref="D29:D35" si="0">C29-0.125</f>
        <v>100.05</v>
      </c>
      <c r="E29" s="231"/>
      <c r="F29" s="232"/>
      <c r="G29" s="233" t="s">
        <v>65</v>
      </c>
      <c r="H29" s="234"/>
    </row>
    <row r="30" spans="1:10" x14ac:dyDescent="0.25">
      <c r="A30" s="235" t="s">
        <v>66</v>
      </c>
      <c r="B30" s="236"/>
      <c r="C30" s="237"/>
      <c r="D30" s="237"/>
      <c r="E30" s="238"/>
      <c r="F30" s="239"/>
      <c r="G30" s="240"/>
      <c r="H30" s="234"/>
    </row>
    <row r="31" spans="1:10" x14ac:dyDescent="0.25">
      <c r="A31" s="223"/>
      <c r="B31" s="224">
        <f>IF('[2]FHA - VA Rate Sheet'!$B$34&gt;0.01,'[2]FHA - VA Rate Sheet'!$B$34,"")</f>
        <v>4.25</v>
      </c>
      <c r="C31" s="224">
        <f>IF('[2]FHA - VA Rate Sheet'!$C$34&gt;0.01,'[2]FHA - VA Rate Sheet'!$C$34,"")</f>
        <v>103.45</v>
      </c>
      <c r="D31" s="53">
        <f t="shared" si="0"/>
        <v>103.325</v>
      </c>
      <c r="E31" s="225"/>
      <c r="F31" s="226"/>
      <c r="G31" s="241" t="s">
        <v>67</v>
      </c>
      <c r="H31" s="234"/>
    </row>
    <row r="32" spans="1:10" ht="13.5" customHeight="1" thickBot="1" x14ac:dyDescent="0.3">
      <c r="A32" s="242"/>
      <c r="B32" s="243">
        <f>IF('[2]FHA - VA Rate Sheet'!$B$34&gt;0.01,'[2]FHA - VA Rate Sheet'!$B$35,"")</f>
        <v>3.75</v>
      </c>
      <c r="C32" s="243">
        <f>IF('[2]FHA - VA Rate Sheet'!$C$34&gt;0.01,'[2]FHA - VA Rate Sheet'!$C$35,"")</f>
        <v>100.075</v>
      </c>
      <c r="D32" s="244">
        <f t="shared" si="0"/>
        <v>99.95</v>
      </c>
      <c r="E32" s="245"/>
      <c r="F32" s="246"/>
      <c r="G32" s="110"/>
      <c r="H32" s="234"/>
    </row>
    <row r="33" spans="1:11" ht="15.15" customHeight="1" x14ac:dyDescent="0.25">
      <c r="A33" s="217" t="s">
        <v>68</v>
      </c>
      <c r="B33" s="247"/>
      <c r="C33" s="248"/>
      <c r="D33" s="248"/>
      <c r="E33" s="219"/>
      <c r="F33" s="220"/>
      <c r="G33" s="241" t="s">
        <v>69</v>
      </c>
      <c r="H33" s="234"/>
    </row>
    <row r="34" spans="1:11" ht="15.15" customHeight="1" thickBot="1" x14ac:dyDescent="0.3">
      <c r="A34" s="249"/>
      <c r="B34" s="224">
        <f>IF('[2]FHA - VA Rate Sheet'!$B$37&gt;0.01,'[2]FHA - VA Rate Sheet'!$B$37,"")</f>
        <v>4.25</v>
      </c>
      <c r="C34" s="224">
        <f>IF('[2]FHA - VA Rate Sheet'!$C$37&gt;0.01,'[2]FHA - VA Rate Sheet'!$C$37,"")</f>
        <v>103.35</v>
      </c>
      <c r="D34" s="53">
        <f t="shared" si="0"/>
        <v>103.22499999999999</v>
      </c>
      <c r="E34" s="250"/>
      <c r="F34" s="226"/>
      <c r="G34" s="251"/>
      <c r="H34" s="234"/>
    </row>
    <row r="35" spans="1:11" x14ac:dyDescent="0.25">
      <c r="A35" s="249"/>
      <c r="B35" s="224">
        <f>IF('[2]FHA - VA Rate Sheet'!$B$37&gt;0.01,'[2]FHA - VA Rate Sheet'!$B$38,"")</f>
        <v>3.75</v>
      </c>
      <c r="C35" s="224">
        <f>IF('[2]FHA - VA Rate Sheet'!$C$37&gt;0.01,'[2]FHA - VA Rate Sheet'!$C$38,"")</f>
        <v>99.974999999999994</v>
      </c>
      <c r="D35" s="53">
        <f t="shared" si="0"/>
        <v>99.85</v>
      </c>
      <c r="E35" s="250"/>
      <c r="F35" s="226"/>
      <c r="G35" s="252" t="s">
        <v>70</v>
      </c>
      <c r="H35" s="253"/>
    </row>
    <row r="36" spans="1:11" ht="13.8" thickBot="1" x14ac:dyDescent="0.3">
      <c r="A36" s="254"/>
      <c r="B36" s="255"/>
      <c r="C36" s="256"/>
      <c r="D36" s="257"/>
      <c r="E36" s="256"/>
      <c r="F36" s="232"/>
      <c r="G36" s="240" t="s">
        <v>71</v>
      </c>
      <c r="H36" s="258">
        <v>2.5000000000000001E-2</v>
      </c>
    </row>
    <row r="37" spans="1:11" ht="13.8" x14ac:dyDescent="0.3">
      <c r="A37" s="259" t="s">
        <v>72</v>
      </c>
      <c r="B37" s="260"/>
      <c r="C37" s="261"/>
      <c r="D37" s="262"/>
      <c r="E37" s="261"/>
      <c r="F37" s="263"/>
      <c r="G37" s="240"/>
      <c r="H37" s="258"/>
    </row>
    <row r="38" spans="1:11" ht="14.4" thickBot="1" x14ac:dyDescent="0.35">
      <c r="A38" s="209" t="s">
        <v>61</v>
      </c>
      <c r="B38" s="264"/>
      <c r="C38" s="210"/>
      <c r="D38" s="265"/>
      <c r="E38" s="210"/>
      <c r="F38" s="266"/>
      <c r="G38" s="267" t="s">
        <v>73</v>
      </c>
      <c r="H38" s="268">
        <v>2.5000000000000001E-2</v>
      </c>
    </row>
    <row r="39" spans="1:11" x14ac:dyDescent="0.25">
      <c r="A39" s="217" t="s">
        <v>63</v>
      </c>
      <c r="B39" s="269"/>
      <c r="C39" s="219" t="s">
        <v>10</v>
      </c>
      <c r="D39" s="219" t="s">
        <v>11</v>
      </c>
      <c r="E39" s="270"/>
      <c r="F39" s="271"/>
      <c r="G39" s="272"/>
      <c r="H39" s="273"/>
    </row>
    <row r="40" spans="1:11" x14ac:dyDescent="0.25">
      <c r="A40" s="274"/>
      <c r="B40" s="224">
        <f>IF('[2]FHA - VA Rate Sheet'!$B$43&gt;0.01,'[2]FHA - VA Rate Sheet'!$B$43,"")</f>
        <v>4</v>
      </c>
      <c r="C40" s="53">
        <f>IF('[2]FHA - VA Rate Sheet'!$C$43&gt;0.01,'[2]FHA - VA Rate Sheet'!$C$43,"")</f>
        <v>103.75</v>
      </c>
      <c r="D40" s="53">
        <f>C40-0.125</f>
        <v>103.625</v>
      </c>
      <c r="E40" s="225"/>
      <c r="F40" s="226"/>
      <c r="G40" s="275" t="s">
        <v>74</v>
      </c>
      <c r="H40" s="276"/>
    </row>
    <row r="41" spans="1:11" ht="13.8" thickBot="1" x14ac:dyDescent="0.3">
      <c r="A41" s="277"/>
      <c r="B41" s="229">
        <f>IF('[2]FHA - VA Rate Sheet'!$B$43&gt;0.01,'[2]FHA - VA Rate Sheet'!$B$44,"")</f>
        <v>3.5</v>
      </c>
      <c r="C41" s="229">
        <f>IF('[2]FHA - VA Rate Sheet'!$C$43&gt;0.01,'[2]FHA - VA Rate Sheet'!$C$44,"")</f>
        <v>101.5</v>
      </c>
      <c r="D41" s="230">
        <f t="shared" ref="D41:D47" si="1">C41-0.125</f>
        <v>101.375</v>
      </c>
      <c r="E41" s="231"/>
      <c r="F41" s="232"/>
      <c r="G41" s="278" t="s">
        <v>75</v>
      </c>
      <c r="H41" s="279"/>
    </row>
    <row r="42" spans="1:11" x14ac:dyDescent="0.25">
      <c r="A42" s="235" t="s">
        <v>66</v>
      </c>
      <c r="B42" s="280"/>
      <c r="C42" s="280"/>
      <c r="D42" s="237"/>
      <c r="E42" s="245"/>
      <c r="F42" s="246"/>
      <c r="G42" s="281" t="s">
        <v>76</v>
      </c>
      <c r="H42" s="282"/>
    </row>
    <row r="43" spans="1:11" x14ac:dyDescent="0.25">
      <c r="A43" s="249"/>
      <c r="B43" s="224">
        <f>IF('[2]FHA - VA Rate Sheet'!$B$46&gt;0.01,'[2]FHA - VA Rate Sheet'!$B$46,"")</f>
        <v>4</v>
      </c>
      <c r="C43" s="53">
        <f>IF('[2]FHA - VA Rate Sheet'!$C$46&gt;0.01,'[2]FHA - VA Rate Sheet'!$C$46,"")</f>
        <v>103.65</v>
      </c>
      <c r="D43" s="53">
        <f t="shared" si="1"/>
        <v>103.52500000000001</v>
      </c>
      <c r="E43" s="250"/>
      <c r="F43" s="226"/>
      <c r="G43" s="240"/>
      <c r="H43" s="283"/>
    </row>
    <row r="44" spans="1:11" ht="13.8" thickBot="1" x14ac:dyDescent="0.3">
      <c r="A44" s="284"/>
      <c r="B44" s="285">
        <f>IF('[2]FHA - VA Rate Sheet'!$B$46&gt;0.01,'[2]FHA - VA Rate Sheet'!$B$44,"")</f>
        <v>3.5</v>
      </c>
      <c r="C44" s="285">
        <f>IF('[2]FHA - VA Rate Sheet'!$C$46&gt;0.01,'[2]FHA - VA Rate Sheet'!$C$47,"")</f>
        <v>101.4</v>
      </c>
      <c r="D44" s="244">
        <f t="shared" si="1"/>
        <v>101.27500000000001</v>
      </c>
      <c r="E44" s="286"/>
      <c r="F44" s="287"/>
      <c r="G44" s="240"/>
      <c r="H44" s="288"/>
      <c r="I44" s="110"/>
      <c r="J44" s="110"/>
      <c r="K44" s="110"/>
    </row>
    <row r="45" spans="1:11" x14ac:dyDescent="0.25">
      <c r="A45" s="217" t="s">
        <v>68</v>
      </c>
      <c r="B45" s="289"/>
      <c r="C45" s="289"/>
      <c r="D45" s="248"/>
      <c r="E45" s="290"/>
      <c r="F45" s="271"/>
      <c r="G45" s="278" t="s">
        <v>77</v>
      </c>
      <c r="H45" s="279"/>
      <c r="I45" s="110"/>
      <c r="J45" s="110"/>
      <c r="K45" s="110"/>
    </row>
    <row r="46" spans="1:11" x14ac:dyDescent="0.25">
      <c r="A46" s="291"/>
      <c r="B46" s="224">
        <f>IF('[2]FHA - VA Rate Sheet'!$B$49&gt;0.01,'[2]FHA - VA Rate Sheet'!$B$49,"")</f>
        <v>4</v>
      </c>
      <c r="C46" s="53">
        <f>IF('[2]FHA - VA Rate Sheet'!$C$49&gt;0.01,'[2]FHA - VA Rate Sheet'!$C$49,"")</f>
        <v>103.55</v>
      </c>
      <c r="D46" s="53">
        <f t="shared" si="1"/>
        <v>103.425</v>
      </c>
      <c r="E46" s="250"/>
      <c r="F46" s="226"/>
      <c r="G46" s="281" t="s">
        <v>78</v>
      </c>
      <c r="H46" s="279"/>
      <c r="I46" s="110"/>
      <c r="J46" s="110"/>
      <c r="K46" s="110"/>
    </row>
    <row r="47" spans="1:11" ht="13.8" thickBot="1" x14ac:dyDescent="0.3">
      <c r="A47" s="292"/>
      <c r="B47" s="229">
        <f>IF('[2]FHA - VA Rate Sheet'!$B$49&gt;0.01,'[2]FHA - VA Rate Sheet'!$B$44,"")</f>
        <v>3.5</v>
      </c>
      <c r="C47" s="229">
        <f>IF('[2]FHA - VA Rate Sheet'!$C$49&gt;0.01,'[2]FHA - VA Rate Sheet'!$C$50,"")</f>
        <v>101.3</v>
      </c>
      <c r="D47" s="230">
        <f t="shared" si="1"/>
        <v>101.175</v>
      </c>
      <c r="E47" s="293"/>
      <c r="F47" s="294"/>
      <c r="G47" s="240"/>
      <c r="H47" s="258"/>
      <c r="I47" s="110"/>
      <c r="J47" s="110"/>
    </row>
    <row r="48" spans="1:11" x14ac:dyDescent="0.25">
      <c r="A48" s="295"/>
      <c r="B48" s="245"/>
      <c r="C48" s="245"/>
      <c r="D48" s="245"/>
      <c r="E48" s="245"/>
      <c r="F48" s="245"/>
      <c r="G48" s="296"/>
      <c r="H48" s="258"/>
      <c r="I48" s="110"/>
      <c r="J48" s="110"/>
    </row>
    <row r="49" spans="1:11" x14ac:dyDescent="0.25">
      <c r="A49" s="295"/>
      <c r="B49" s="245"/>
      <c r="C49" s="245"/>
      <c r="D49" s="245"/>
      <c r="E49" s="245"/>
      <c r="F49" s="245"/>
      <c r="G49" s="297" t="s">
        <v>79</v>
      </c>
      <c r="H49" s="279"/>
      <c r="I49" s="110"/>
      <c r="J49" s="110"/>
      <c r="K49" s="110"/>
    </row>
    <row r="50" spans="1:11" x14ac:dyDescent="0.25">
      <c r="A50" s="298" t="s">
        <v>80</v>
      </c>
      <c r="B50" s="110"/>
      <c r="C50" s="149"/>
      <c r="D50" s="149"/>
      <c r="E50" s="149"/>
      <c r="F50" s="149"/>
      <c r="G50" s="299" t="s">
        <v>81</v>
      </c>
      <c r="H50" s="279"/>
      <c r="I50" s="110"/>
      <c r="J50" s="110"/>
      <c r="K50" s="110"/>
    </row>
    <row r="51" spans="1:11" x14ac:dyDescent="0.25">
      <c r="A51" s="300"/>
      <c r="B51" s="149"/>
      <c r="C51" s="149"/>
      <c r="D51" s="149"/>
      <c r="E51" s="149"/>
      <c r="F51" s="149"/>
      <c r="G51" s="296"/>
      <c r="H51" s="276"/>
      <c r="I51" s="110"/>
      <c r="J51" s="110"/>
      <c r="K51" s="110"/>
    </row>
    <row r="52" spans="1:11" ht="13.8" thickBot="1" x14ac:dyDescent="0.3">
      <c r="A52" s="301" t="s">
        <v>82</v>
      </c>
      <c r="B52" s="149"/>
      <c r="C52" s="149"/>
      <c r="D52" s="149"/>
      <c r="E52" s="149"/>
      <c r="F52" s="149"/>
      <c r="G52" s="302"/>
      <c r="H52" s="303"/>
      <c r="I52" s="110"/>
      <c r="J52" s="110"/>
      <c r="K52" s="110"/>
    </row>
    <row r="53" spans="1:11" x14ac:dyDescent="0.25">
      <c r="A53" s="300"/>
      <c r="B53" s="149"/>
      <c r="C53" s="149"/>
      <c r="D53" s="149"/>
      <c r="E53" s="149"/>
      <c r="F53" s="149"/>
      <c r="G53" s="156" t="s">
        <v>83</v>
      </c>
      <c r="H53" s="304"/>
      <c r="I53" s="110"/>
      <c r="J53" s="110"/>
      <c r="K53" s="110"/>
    </row>
    <row r="54" spans="1:11" x14ac:dyDescent="0.25">
      <c r="A54" s="298" t="s">
        <v>84</v>
      </c>
      <c r="B54" s="149"/>
      <c r="C54" s="149"/>
      <c r="D54" s="149"/>
      <c r="E54" s="149"/>
      <c r="F54" s="149"/>
      <c r="G54" s="305" t="s">
        <v>9</v>
      </c>
      <c r="H54" s="306">
        <f ca="1">F4+15</f>
        <v>41629.400511805557</v>
      </c>
      <c r="I54" s="110"/>
      <c r="J54" s="110"/>
      <c r="K54" s="110"/>
    </row>
    <row r="55" spans="1:11" x14ac:dyDescent="0.25">
      <c r="A55" s="300"/>
      <c r="B55" s="149"/>
      <c r="C55" s="149"/>
      <c r="D55" s="149"/>
      <c r="E55" s="149"/>
      <c r="F55" s="149"/>
      <c r="G55" s="307" t="s">
        <v>10</v>
      </c>
      <c r="H55" s="306">
        <f ca="1">F4+30</f>
        <v>41644.400511805557</v>
      </c>
      <c r="I55" s="110"/>
      <c r="J55" s="110"/>
      <c r="K55" s="110"/>
    </row>
    <row r="56" spans="1:11" ht="15.6" x14ac:dyDescent="0.3">
      <c r="A56" s="308"/>
      <c r="B56" s="149" t="s">
        <v>85</v>
      </c>
      <c r="C56" s="309"/>
      <c r="D56" s="309"/>
      <c r="E56" s="310"/>
      <c r="F56" s="310"/>
      <c r="G56" s="307" t="s">
        <v>11</v>
      </c>
      <c r="H56" s="306">
        <f ca="1">F4+45</f>
        <v>41659.400511805557</v>
      </c>
      <c r="I56" s="110"/>
      <c r="J56" s="110"/>
      <c r="K56" s="110"/>
    </row>
    <row r="57" spans="1:11" ht="16.2" thickBot="1" x14ac:dyDescent="0.35">
      <c r="A57" s="311"/>
      <c r="B57" s="160" t="s">
        <v>86</v>
      </c>
      <c r="C57" s="312"/>
      <c r="D57" s="312"/>
      <c r="E57" s="313"/>
      <c r="F57" s="313"/>
      <c r="G57" s="314" t="s">
        <v>87</v>
      </c>
      <c r="H57" s="315">
        <f ca="1">F4+60</f>
        <v>41674.400511805557</v>
      </c>
      <c r="I57" s="110"/>
      <c r="J57" s="110"/>
      <c r="K57" s="110"/>
    </row>
    <row r="58" spans="1:11" ht="13.8" x14ac:dyDescent="0.3">
      <c r="A58" s="316"/>
      <c r="B58" s="149"/>
      <c r="C58" s="149"/>
      <c r="D58" s="149"/>
      <c r="E58" s="149"/>
      <c r="F58" s="149"/>
      <c r="G58" s="317"/>
      <c r="H58" s="318"/>
      <c r="I58" s="110"/>
      <c r="J58" s="110"/>
      <c r="K58" s="110"/>
    </row>
    <row r="59" spans="1:11" x14ac:dyDescent="0.25">
      <c r="A59" s="149"/>
      <c r="B59" s="149"/>
      <c r="C59" s="149"/>
      <c r="D59" s="149"/>
      <c r="E59" s="149"/>
      <c r="F59" s="149"/>
      <c r="G59" s="42"/>
      <c r="H59" s="42"/>
    </row>
    <row r="60" spans="1:11" x14ac:dyDescent="0.25">
      <c r="A60" s="149"/>
      <c r="B60" s="245"/>
      <c r="C60" s="149"/>
      <c r="D60" s="149"/>
      <c r="E60" s="149"/>
      <c r="F60" s="149"/>
      <c r="G60" s="42"/>
      <c r="H60" s="26"/>
    </row>
    <row r="61" spans="1:11" x14ac:dyDescent="0.25">
      <c r="C61" s="149"/>
      <c r="D61" s="149"/>
      <c r="G61" s="26"/>
      <c r="H61" s="26"/>
      <c r="I61" s="110"/>
    </row>
    <row r="62" spans="1:11" x14ac:dyDescent="0.25">
      <c r="C62" s="149"/>
      <c r="D62" s="149"/>
      <c r="G62" s="26"/>
      <c r="H62" s="26"/>
    </row>
    <row r="63" spans="1:11" x14ac:dyDescent="0.25">
      <c r="C63" s="149"/>
      <c r="D63" s="149"/>
      <c r="G63" s="26"/>
      <c r="H63" s="319"/>
    </row>
    <row r="64" spans="1:11" x14ac:dyDescent="0.25">
      <c r="A64" s="9"/>
      <c r="B64" s="9"/>
      <c r="C64" s="9"/>
      <c r="D64" s="9"/>
      <c r="G64" s="319"/>
      <c r="H64" s="320"/>
    </row>
    <row r="65" spans="1:8" ht="14.4" x14ac:dyDescent="0.3">
      <c r="A65" s="66"/>
      <c r="B65" s="9"/>
      <c r="C65" s="9"/>
      <c r="D65" s="9"/>
      <c r="G65" s="321"/>
      <c r="H65" s="322"/>
    </row>
    <row r="66" spans="1:8" x14ac:dyDescent="0.25">
      <c r="A66" s="9"/>
      <c r="B66" s="9"/>
      <c r="C66" s="9"/>
      <c r="D66" s="9"/>
      <c r="E66" s="9"/>
      <c r="F66" s="9"/>
      <c r="G66" s="323"/>
      <c r="H66" s="323"/>
    </row>
    <row r="67" spans="1:8" x14ac:dyDescent="0.25">
      <c r="A67" s="9"/>
      <c r="B67" s="9"/>
      <c r="C67" s="324"/>
      <c r="D67" s="108"/>
      <c r="E67" s="9"/>
      <c r="F67" s="9"/>
      <c r="G67" s="323"/>
      <c r="H67" s="320"/>
    </row>
    <row r="68" spans="1:8" x14ac:dyDescent="0.25">
      <c r="A68" s="9"/>
      <c r="B68" s="9"/>
      <c r="C68" s="324"/>
      <c r="D68" s="108"/>
      <c r="E68" s="108"/>
      <c r="F68" s="109"/>
      <c r="G68" s="325"/>
      <c r="H68" s="42"/>
    </row>
    <row r="69" spans="1:8" x14ac:dyDescent="0.25">
      <c r="A69" s="9"/>
      <c r="B69" s="9"/>
      <c r="C69" s="108"/>
      <c r="D69" s="108"/>
      <c r="E69" s="108"/>
      <c r="F69" s="109"/>
      <c r="G69" s="42"/>
      <c r="H69" s="42"/>
    </row>
    <row r="70" spans="1:8" ht="13.8" x14ac:dyDescent="0.3">
      <c r="A70" s="326"/>
      <c r="B70" s="326"/>
      <c r="C70" s="23"/>
      <c r="D70" s="115"/>
      <c r="E70" s="108"/>
      <c r="F70" s="109"/>
      <c r="G70" s="42"/>
      <c r="H70" s="42"/>
    </row>
    <row r="71" spans="1:8" ht="13.8" x14ac:dyDescent="0.3">
      <c r="A71" s="316"/>
      <c r="B71" s="316"/>
      <c r="C71" s="316"/>
      <c r="D71" s="316"/>
      <c r="E71" s="115"/>
      <c r="F71" s="327"/>
      <c r="G71" s="42"/>
      <c r="H71" s="42"/>
    </row>
    <row r="72" spans="1:8" ht="13.8" x14ac:dyDescent="0.3">
      <c r="A72" s="47"/>
      <c r="B72" s="47"/>
      <c r="C72" s="47"/>
      <c r="D72" s="47"/>
      <c r="E72" s="316"/>
      <c r="F72" s="47"/>
      <c r="G72" s="42"/>
      <c r="H72" s="42"/>
    </row>
    <row r="73" spans="1:8" x14ac:dyDescent="0.25">
      <c r="A73" s="328"/>
      <c r="B73" s="328"/>
      <c r="C73" s="328"/>
      <c r="D73" s="328"/>
      <c r="E73" s="47"/>
      <c r="F73" s="47"/>
      <c r="G73" s="82"/>
      <c r="H73" s="42"/>
    </row>
    <row r="74" spans="1:8" x14ac:dyDescent="0.25">
      <c r="A74" s="149"/>
      <c r="B74" s="328"/>
      <c r="C74" s="328"/>
      <c r="D74" s="328"/>
      <c r="E74" s="328"/>
      <c r="F74" s="328"/>
      <c r="G74" s="42"/>
      <c r="H74" s="42"/>
    </row>
    <row r="75" spans="1:8" x14ac:dyDescent="0.25">
      <c r="A75" s="328"/>
      <c r="B75" s="328"/>
      <c r="C75" s="328"/>
      <c r="D75" s="328"/>
      <c r="E75" s="328"/>
      <c r="F75" s="328"/>
      <c r="G75" s="42"/>
      <c r="H75" s="42"/>
    </row>
    <row r="76" spans="1:8" ht="13.8" x14ac:dyDescent="0.3">
      <c r="A76" s="316"/>
      <c r="B76" s="328"/>
      <c r="C76" s="328"/>
      <c r="D76" s="328"/>
      <c r="E76" s="328"/>
      <c r="F76" s="328"/>
      <c r="G76" s="42"/>
      <c r="H76" s="42"/>
    </row>
    <row r="77" spans="1:8" x14ac:dyDescent="0.25">
      <c r="A77" s="9"/>
      <c r="B77" s="328"/>
      <c r="C77" s="328"/>
      <c r="D77" s="328"/>
      <c r="E77" s="328"/>
      <c r="F77" s="328"/>
      <c r="G77" s="82"/>
      <c r="H77" s="42"/>
    </row>
    <row r="78" spans="1:8" x14ac:dyDescent="0.25">
      <c r="A78" s="149"/>
      <c r="B78" s="328"/>
      <c r="C78" s="328"/>
      <c r="D78" s="328"/>
      <c r="E78" s="328"/>
      <c r="F78" s="328"/>
      <c r="G78" s="329"/>
      <c r="H78" s="42"/>
    </row>
    <row r="79" spans="1:8" x14ac:dyDescent="0.25">
      <c r="A79" s="9"/>
      <c r="B79" s="328"/>
      <c r="C79" s="328"/>
      <c r="D79" s="328"/>
      <c r="E79" s="328"/>
      <c r="F79" s="328"/>
      <c r="G79" s="42"/>
      <c r="H79" s="42"/>
    </row>
    <row r="80" spans="1:8" ht="13.8" x14ac:dyDescent="0.3">
      <c r="A80" s="316"/>
      <c r="B80" s="328"/>
      <c r="C80" s="328"/>
      <c r="D80" s="328"/>
      <c r="E80" s="328"/>
      <c r="F80" s="328"/>
      <c r="G80" s="42"/>
      <c r="H80" s="42"/>
    </row>
    <row r="81" spans="1:8" x14ac:dyDescent="0.25">
      <c r="A81" s="47"/>
      <c r="B81" s="47"/>
      <c r="C81" s="47"/>
      <c r="D81" s="47"/>
      <c r="E81" s="328"/>
      <c r="F81" s="328"/>
      <c r="G81" s="82"/>
      <c r="H81" s="42"/>
    </row>
    <row r="82" spans="1:8" x14ac:dyDescent="0.25">
      <c r="A82" s="149"/>
      <c r="B82" s="149"/>
      <c r="C82" s="149"/>
      <c r="D82" s="149"/>
      <c r="E82" s="47"/>
      <c r="F82" s="47"/>
      <c r="G82" s="42"/>
      <c r="H82" s="42"/>
    </row>
    <row r="83" spans="1:8" x14ac:dyDescent="0.25">
      <c r="A83" s="149"/>
      <c r="B83" s="149"/>
      <c r="C83" s="149"/>
      <c r="D83" s="149"/>
      <c r="E83" s="149"/>
      <c r="F83" s="149"/>
      <c r="G83" s="82"/>
      <c r="H83" s="42"/>
    </row>
    <row r="84" spans="1:8" x14ac:dyDescent="0.25">
      <c r="A84" s="149"/>
      <c r="B84" s="149"/>
      <c r="C84" s="149"/>
      <c r="D84" s="149"/>
      <c r="E84" s="149"/>
      <c r="F84" s="149"/>
      <c r="G84" s="42"/>
      <c r="H84" s="42"/>
    </row>
    <row r="85" spans="1:8" x14ac:dyDescent="0.25">
      <c r="A85" s="149"/>
      <c r="B85" s="149"/>
      <c r="C85" s="149"/>
      <c r="D85" s="149"/>
      <c r="E85" s="149"/>
      <c r="F85" s="149"/>
      <c r="G85" s="82"/>
      <c r="H85" s="42"/>
    </row>
    <row r="86" spans="1:8" x14ac:dyDescent="0.25">
      <c r="A86" s="149"/>
      <c r="B86" s="149"/>
      <c r="C86" s="149"/>
      <c r="D86" s="149"/>
      <c r="E86" s="149"/>
      <c r="F86" s="149"/>
      <c r="G86" s="42"/>
      <c r="H86" s="69"/>
    </row>
    <row r="87" spans="1:8" x14ac:dyDescent="0.25">
      <c r="A87" s="149"/>
      <c r="B87" s="149"/>
      <c r="C87" s="149"/>
      <c r="D87" s="149"/>
      <c r="E87" s="149"/>
      <c r="F87" s="149"/>
      <c r="G87" s="82"/>
      <c r="H87" s="42"/>
    </row>
    <row r="88" spans="1:8" x14ac:dyDescent="0.25">
      <c r="A88" s="149"/>
      <c r="B88" s="149"/>
      <c r="C88" s="149"/>
      <c r="D88" s="149"/>
      <c r="E88" s="149"/>
      <c r="F88" s="149"/>
      <c r="G88" s="42"/>
      <c r="H88" s="42"/>
    </row>
    <row r="89" spans="1:8" x14ac:dyDescent="0.25">
      <c r="A89" s="149"/>
      <c r="B89" s="149"/>
      <c r="C89" s="149"/>
      <c r="D89" s="149"/>
      <c r="E89" s="149"/>
      <c r="F89" s="149"/>
      <c r="G89" s="42"/>
      <c r="H89" s="42"/>
    </row>
    <row r="90" spans="1:8" x14ac:dyDescent="0.25">
      <c r="A90" s="149"/>
      <c r="B90" s="149"/>
      <c r="C90" s="149"/>
      <c r="D90" s="149"/>
      <c r="E90" s="149"/>
      <c r="F90" s="149"/>
      <c r="G90" s="42"/>
      <c r="H90" s="42"/>
    </row>
    <row r="91" spans="1:8" x14ac:dyDescent="0.25">
      <c r="A91" s="9"/>
      <c r="B91" s="9"/>
      <c r="C91" s="9"/>
      <c r="D91" s="9"/>
      <c r="E91" s="149"/>
      <c r="F91" s="149"/>
      <c r="G91" s="42"/>
      <c r="H91" s="42"/>
    </row>
    <row r="92" spans="1:8" ht="13.8" x14ac:dyDescent="0.3">
      <c r="A92" s="316"/>
      <c r="B92" s="9"/>
      <c r="C92" s="9"/>
      <c r="D92" s="9"/>
      <c r="E92" s="9"/>
      <c r="F92" s="9"/>
      <c r="G92" s="42"/>
      <c r="H92" s="42"/>
    </row>
    <row r="93" spans="1:8" x14ac:dyDescent="0.25">
      <c r="A93" s="47"/>
      <c r="B93" s="47"/>
      <c r="C93" s="47"/>
      <c r="D93" s="47"/>
      <c r="E93" s="9"/>
      <c r="F93" s="9"/>
      <c r="G93" s="42"/>
      <c r="H93" s="42"/>
    </row>
    <row r="94" spans="1:8" x14ac:dyDescent="0.25">
      <c r="A94" s="149"/>
      <c r="B94" s="149"/>
      <c r="C94" s="149"/>
      <c r="D94" s="149"/>
      <c r="E94" s="47"/>
      <c r="F94" s="47"/>
      <c r="G94" s="42"/>
      <c r="H94" s="42"/>
    </row>
    <row r="95" spans="1:8" x14ac:dyDescent="0.25">
      <c r="A95" s="149"/>
      <c r="B95" s="149"/>
      <c r="C95" s="149"/>
      <c r="D95" s="149"/>
      <c r="E95" s="149"/>
      <c r="F95" s="149"/>
      <c r="G95" s="42"/>
      <c r="H95" s="42"/>
    </row>
    <row r="96" spans="1:8" x14ac:dyDescent="0.25">
      <c r="A96" s="149"/>
      <c r="B96" s="149"/>
      <c r="C96" s="149"/>
      <c r="D96" s="149"/>
      <c r="E96" s="149"/>
      <c r="F96" s="149"/>
      <c r="G96" s="82"/>
      <c r="H96" s="42"/>
    </row>
    <row r="97" spans="1:8" x14ac:dyDescent="0.25">
      <c r="A97" s="149"/>
      <c r="B97" s="149"/>
      <c r="C97" s="149"/>
      <c r="D97" s="149"/>
      <c r="E97" s="149"/>
      <c r="F97" s="149"/>
      <c r="G97" s="42"/>
      <c r="H97" s="42"/>
    </row>
    <row r="98" spans="1:8" x14ac:dyDescent="0.25">
      <c r="A98" s="149"/>
      <c r="B98" s="149"/>
      <c r="C98" s="149"/>
      <c r="D98" s="149"/>
      <c r="E98" s="149"/>
      <c r="F98" s="149"/>
      <c r="G98" s="82"/>
      <c r="H98" s="42"/>
    </row>
    <row r="99" spans="1:8" x14ac:dyDescent="0.25">
      <c r="A99" s="149"/>
      <c r="B99" s="149"/>
      <c r="C99" s="149"/>
      <c r="D99" s="149"/>
      <c r="E99" s="149"/>
      <c r="F99" s="149"/>
      <c r="G99" s="42"/>
      <c r="H99" s="42"/>
    </row>
    <row r="100" spans="1:8" x14ac:dyDescent="0.25">
      <c r="A100" s="149"/>
      <c r="B100" s="149"/>
      <c r="C100" s="149"/>
      <c r="D100" s="149"/>
      <c r="E100" s="149"/>
      <c r="F100" s="149"/>
      <c r="G100" s="42"/>
      <c r="H100" s="42"/>
    </row>
    <row r="101" spans="1:8" x14ac:dyDescent="0.25">
      <c r="A101" s="149"/>
      <c r="B101" s="149"/>
      <c r="C101" s="149"/>
      <c r="D101" s="149"/>
      <c r="E101" s="149"/>
      <c r="F101" s="149"/>
      <c r="G101" s="82"/>
      <c r="H101" s="82"/>
    </row>
    <row r="102" spans="1:8" x14ac:dyDescent="0.25">
      <c r="A102" s="149"/>
      <c r="B102" s="149"/>
      <c r="C102" s="149"/>
      <c r="D102" s="149"/>
      <c r="E102" s="149"/>
      <c r="F102" s="149"/>
      <c r="G102" s="42"/>
      <c r="H102" s="42"/>
    </row>
    <row r="103" spans="1:8" x14ac:dyDescent="0.25">
      <c r="A103" s="149"/>
      <c r="B103" s="149"/>
      <c r="C103" s="149"/>
      <c r="D103" s="149"/>
      <c r="E103" s="149"/>
      <c r="F103" s="149"/>
      <c r="G103" s="42"/>
      <c r="H103" s="42"/>
    </row>
    <row r="104" spans="1:8" x14ac:dyDescent="0.25">
      <c r="A104" s="149"/>
      <c r="B104" s="149"/>
      <c r="C104" s="149"/>
      <c r="D104" s="149"/>
      <c r="E104" s="149"/>
      <c r="F104" s="149"/>
      <c r="G104" s="42"/>
      <c r="H104" s="42"/>
    </row>
    <row r="105" spans="1:8" x14ac:dyDescent="0.25">
      <c r="A105" s="149"/>
      <c r="B105" s="149"/>
      <c r="C105" s="149"/>
      <c r="D105" s="149"/>
      <c r="E105" s="149"/>
      <c r="F105" s="149"/>
      <c r="G105" s="42"/>
      <c r="H105" s="42"/>
    </row>
    <row r="106" spans="1:8" ht="13.8" x14ac:dyDescent="0.3">
      <c r="A106" s="316"/>
      <c r="B106" s="9"/>
      <c r="C106" s="9"/>
      <c r="D106" s="9"/>
      <c r="E106" s="149"/>
      <c r="F106" s="149"/>
      <c r="G106" s="42"/>
      <c r="H106" s="42"/>
    </row>
    <row r="107" spans="1:8" x14ac:dyDescent="0.25">
      <c r="A107" s="149"/>
      <c r="B107" s="149"/>
      <c r="C107" s="149"/>
      <c r="D107" s="149"/>
      <c r="E107" s="9"/>
      <c r="F107" s="149"/>
      <c r="G107" s="42"/>
      <c r="H107" s="82"/>
    </row>
    <row r="108" spans="1:8" x14ac:dyDescent="0.25">
      <c r="A108" s="47"/>
      <c r="B108" s="9"/>
      <c r="C108" s="9"/>
      <c r="D108" s="9"/>
      <c r="E108" s="149"/>
      <c r="F108" s="149"/>
      <c r="G108" s="82"/>
      <c r="H108" s="42"/>
    </row>
    <row r="109" spans="1:8" ht="13.8" x14ac:dyDescent="0.3">
      <c r="A109" s="316"/>
      <c r="B109" s="330"/>
      <c r="C109" s="330"/>
      <c r="D109" s="328"/>
      <c r="E109" s="9"/>
      <c r="F109" s="9"/>
      <c r="G109" s="42"/>
      <c r="H109" s="42"/>
    </row>
    <row r="110" spans="1:8" ht="13.8" x14ac:dyDescent="0.3">
      <c r="A110" s="316"/>
      <c r="B110" s="331"/>
      <c r="C110" s="330"/>
      <c r="D110" s="328"/>
      <c r="E110" s="330"/>
      <c r="F110" s="330"/>
      <c r="G110" s="42"/>
      <c r="H110" s="42"/>
    </row>
    <row r="111" spans="1:8" x14ac:dyDescent="0.25">
      <c r="A111" s="149"/>
      <c r="B111" s="149"/>
      <c r="C111" s="149"/>
      <c r="D111" s="149"/>
      <c r="E111" s="330"/>
      <c r="F111" s="330"/>
      <c r="G111" s="42"/>
      <c r="H111" s="42"/>
    </row>
    <row r="112" spans="1:8" x14ac:dyDescent="0.25">
      <c r="A112" s="9"/>
      <c r="B112" s="9"/>
      <c r="C112" s="330"/>
      <c r="D112" s="328"/>
      <c r="E112" s="149"/>
      <c r="F112" s="149"/>
      <c r="G112" s="42"/>
      <c r="H112" s="42"/>
    </row>
    <row r="113" spans="1:11" ht="15.6" x14ac:dyDescent="0.3">
      <c r="A113" s="331"/>
      <c r="B113" s="9"/>
      <c r="C113" s="330"/>
      <c r="D113" s="332"/>
      <c r="E113" s="330"/>
      <c r="F113" s="330"/>
      <c r="G113" s="42"/>
      <c r="H113" s="42"/>
    </row>
    <row r="114" spans="1:11" x14ac:dyDescent="0.25">
      <c r="A114" s="331"/>
      <c r="B114" s="333"/>
      <c r="C114" s="330"/>
      <c r="D114" s="334"/>
      <c r="E114" s="330"/>
      <c r="F114" s="330"/>
      <c r="G114" s="42"/>
    </row>
    <row r="115" spans="1:11" x14ac:dyDescent="0.25">
      <c r="A115" s="331"/>
      <c r="B115" s="333"/>
      <c r="C115" s="330"/>
      <c r="D115" s="328"/>
      <c r="E115" s="330"/>
      <c r="F115" s="330"/>
    </row>
    <row r="116" spans="1:11" x14ac:dyDescent="0.25">
      <c r="A116" s="331"/>
      <c r="B116" s="333"/>
      <c r="C116" s="330"/>
      <c r="D116" s="328"/>
      <c r="E116" s="330"/>
      <c r="F116" s="330"/>
    </row>
    <row r="117" spans="1:11" x14ac:dyDescent="0.25">
      <c r="A117" s="331"/>
      <c r="B117" s="333"/>
      <c r="C117" s="330"/>
      <c r="D117" s="328"/>
      <c r="E117" s="330"/>
      <c r="F117" s="330"/>
    </row>
    <row r="118" spans="1:11" x14ac:dyDescent="0.25">
      <c r="A118" s="331"/>
      <c r="B118" s="333"/>
      <c r="C118" s="9"/>
      <c r="D118" s="9"/>
      <c r="E118" s="330"/>
      <c r="F118" s="330"/>
    </row>
    <row r="119" spans="1:11" ht="14.4" x14ac:dyDescent="0.3">
      <c r="A119" s="66"/>
      <c r="B119" s="9"/>
      <c r="C119" s="9"/>
      <c r="D119" s="9"/>
      <c r="E119" s="9"/>
      <c r="F119" s="9"/>
    </row>
    <row r="120" spans="1:11" ht="14.4" x14ac:dyDescent="0.3">
      <c r="A120" s="66"/>
      <c r="B120" s="9"/>
      <c r="C120" s="9"/>
      <c r="D120" s="9"/>
      <c r="E120" s="9"/>
      <c r="F120" s="9"/>
    </row>
    <row r="121" spans="1:11" x14ac:dyDescent="0.25">
      <c r="E121" s="9"/>
      <c r="F121" s="9"/>
    </row>
    <row r="123" spans="1:11" x14ac:dyDescent="0.25">
      <c r="I123" s="110"/>
      <c r="J123" s="110"/>
      <c r="K123" s="110"/>
    </row>
    <row r="124" spans="1:11" x14ac:dyDescent="0.25">
      <c r="I124" s="110"/>
      <c r="J124" s="110"/>
      <c r="K124" s="110"/>
    </row>
    <row r="125" spans="1:11" x14ac:dyDescent="0.25">
      <c r="I125" s="110"/>
      <c r="J125" s="110"/>
      <c r="K125" s="110"/>
    </row>
    <row r="126" spans="1:11" x14ac:dyDescent="0.25">
      <c r="I126" s="110"/>
      <c r="J126" s="110"/>
      <c r="K126" s="110"/>
    </row>
    <row r="127" spans="1:11" x14ac:dyDescent="0.25">
      <c r="I127" s="110"/>
      <c r="J127" s="110"/>
      <c r="K127" s="110"/>
    </row>
    <row r="128" spans="1:11" x14ac:dyDescent="0.25">
      <c r="I128" s="110"/>
      <c r="J128" s="110"/>
      <c r="K128" s="110"/>
    </row>
    <row r="129" spans="1:11" x14ac:dyDescent="0.25">
      <c r="I129" s="110"/>
      <c r="J129" s="110"/>
      <c r="K129" s="110"/>
    </row>
    <row r="130" spans="1:11" x14ac:dyDescent="0.25">
      <c r="H130" s="110"/>
      <c r="I130" s="110"/>
      <c r="J130" s="110"/>
      <c r="K130" s="110"/>
    </row>
    <row r="131" spans="1:11" x14ac:dyDescent="0.25">
      <c r="G131" s="110"/>
      <c r="H131" s="110"/>
      <c r="I131" s="110"/>
      <c r="J131" s="110"/>
      <c r="K131" s="110"/>
    </row>
    <row r="132" spans="1:11" x14ac:dyDescent="0.25">
      <c r="G132" s="110"/>
      <c r="H132" s="110"/>
      <c r="I132" s="110"/>
      <c r="J132" s="110"/>
      <c r="K132" s="110"/>
    </row>
    <row r="133" spans="1:11" x14ac:dyDescent="0.25">
      <c r="G133" s="110"/>
      <c r="H133" s="110"/>
      <c r="I133" s="110"/>
      <c r="J133" s="110"/>
      <c r="K133" s="110"/>
    </row>
    <row r="134" spans="1:11" x14ac:dyDescent="0.25">
      <c r="G134" s="110"/>
      <c r="H134" s="110"/>
      <c r="I134" s="110"/>
      <c r="J134" s="110"/>
      <c r="K134" s="110"/>
    </row>
    <row r="135" spans="1:11" x14ac:dyDescent="0.25">
      <c r="G135" s="110"/>
      <c r="H135" s="110"/>
      <c r="K135" s="110"/>
    </row>
    <row r="136" spans="1:11" x14ac:dyDescent="0.25">
      <c r="G136" s="110"/>
      <c r="H136" s="110"/>
    </row>
    <row r="137" spans="1:11" x14ac:dyDescent="0.25">
      <c r="A137" s="110"/>
      <c r="B137" s="110"/>
      <c r="C137" s="110"/>
      <c r="D137" s="110"/>
      <c r="G137" s="110"/>
      <c r="H137" s="110"/>
    </row>
    <row r="138" spans="1:11" x14ac:dyDescent="0.25">
      <c r="A138" s="110"/>
      <c r="B138" s="110"/>
      <c r="C138" s="110"/>
      <c r="D138" s="110"/>
      <c r="E138" s="110"/>
      <c r="F138" s="110"/>
      <c r="G138" s="110"/>
      <c r="H138" s="110"/>
    </row>
    <row r="139" spans="1:11" x14ac:dyDescent="0.25">
      <c r="A139" s="110"/>
      <c r="B139" s="110"/>
      <c r="C139" s="110"/>
      <c r="D139" s="110"/>
      <c r="E139" s="110"/>
      <c r="F139" s="110"/>
      <c r="G139" s="110"/>
      <c r="H139" s="110"/>
    </row>
    <row r="140" spans="1:11" x14ac:dyDescent="0.25">
      <c r="A140" s="110"/>
      <c r="B140" s="110"/>
      <c r="C140" s="110"/>
      <c r="D140" s="110"/>
      <c r="E140" s="110"/>
      <c r="F140" s="110"/>
      <c r="G140" s="110"/>
      <c r="H140" s="110"/>
    </row>
    <row r="141" spans="1:11" x14ac:dyDescent="0.25">
      <c r="A141" s="110"/>
      <c r="B141" s="110"/>
      <c r="C141" s="110"/>
      <c r="D141" s="110"/>
      <c r="E141" s="110"/>
      <c r="F141" s="110"/>
      <c r="G141" s="110"/>
      <c r="H141" s="110"/>
    </row>
    <row r="142" spans="1:11" x14ac:dyDescent="0.25">
      <c r="A142" s="110"/>
      <c r="B142" s="110"/>
      <c r="C142" s="110"/>
      <c r="D142" s="110"/>
      <c r="E142" s="110"/>
      <c r="F142" s="110"/>
      <c r="G142" s="110"/>
    </row>
    <row r="143" spans="1:11" x14ac:dyDescent="0.25">
      <c r="A143" s="110"/>
      <c r="B143" s="110"/>
      <c r="C143" s="110"/>
      <c r="D143" s="110"/>
      <c r="E143" s="110"/>
      <c r="F143" s="110"/>
    </row>
    <row r="144" spans="1:11" x14ac:dyDescent="0.25">
      <c r="A144" s="110"/>
      <c r="B144" s="110"/>
      <c r="C144" s="110"/>
      <c r="D144" s="110"/>
      <c r="E144" s="110"/>
      <c r="F144" s="110"/>
    </row>
    <row r="145" spans="1:6" x14ac:dyDescent="0.25">
      <c r="A145" s="110"/>
      <c r="B145" s="110"/>
      <c r="C145" s="110"/>
      <c r="D145" s="110"/>
      <c r="E145" s="110"/>
      <c r="F145" s="110"/>
    </row>
    <row r="146" spans="1:6" x14ac:dyDescent="0.25">
      <c r="A146" s="110"/>
      <c r="B146" s="110"/>
      <c r="C146" s="110"/>
      <c r="D146" s="110"/>
      <c r="E146" s="110"/>
      <c r="F146" s="110"/>
    </row>
    <row r="147" spans="1:6" x14ac:dyDescent="0.25">
      <c r="A147" s="110"/>
      <c r="B147" s="110"/>
      <c r="C147" s="110"/>
      <c r="D147" s="110"/>
      <c r="E147" s="110"/>
      <c r="F147" s="110"/>
    </row>
    <row r="148" spans="1:6" x14ac:dyDescent="0.25">
      <c r="A148" s="110"/>
      <c r="B148" s="110"/>
      <c r="C148" s="110"/>
      <c r="D148" s="110"/>
      <c r="E148" s="110"/>
      <c r="F148" s="110"/>
    </row>
    <row r="149" spans="1:6" x14ac:dyDescent="0.25">
      <c r="E149" s="110"/>
      <c r="F149" s="110"/>
    </row>
  </sheetData>
  <mergeCells count="6">
    <mergeCell ref="G41:H41"/>
    <mergeCell ref="G42:H42"/>
    <mergeCell ref="G45:H45"/>
    <mergeCell ref="G46:H46"/>
    <mergeCell ref="G49:H49"/>
    <mergeCell ref="G50:H50"/>
  </mergeCells>
  <pageMargins left="0.75" right="0.75" top="1" bottom="1" header="0.5" footer="0.5"/>
  <pageSetup scale="8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selection activeCell="C1" sqref="C1"/>
    </sheetView>
  </sheetViews>
  <sheetFormatPr defaultRowHeight="13.2" x14ac:dyDescent="0.25"/>
  <cols>
    <col min="1" max="1" width="8.88671875" style="70"/>
    <col min="2" max="2" width="11.44140625" style="70" customWidth="1"/>
    <col min="3" max="3" width="9.88671875" style="70" customWidth="1"/>
    <col min="4" max="4" width="10.44140625" style="70" customWidth="1"/>
    <col min="5" max="5" width="12.44140625" style="70" customWidth="1"/>
    <col min="6" max="6" width="18.33203125" style="70" bestFit="1" customWidth="1"/>
    <col min="7" max="7" width="31.5546875" style="382" customWidth="1"/>
  </cols>
  <sheetData>
    <row r="1" spans="1:8" x14ac:dyDescent="0.25">
      <c r="A1" s="100"/>
      <c r="B1" s="101"/>
      <c r="C1" s="102" t="s">
        <v>0</v>
      </c>
      <c r="D1" s="103"/>
      <c r="E1" s="103"/>
      <c r="F1" s="104"/>
      <c r="G1" s="335"/>
      <c r="H1" s="176"/>
    </row>
    <row r="2" spans="1:8" x14ac:dyDescent="0.25">
      <c r="A2" s="107"/>
      <c r="B2" s="12"/>
      <c r="C2" s="13" t="s">
        <v>2</v>
      </c>
      <c r="D2" s="108"/>
      <c r="E2" s="108"/>
      <c r="F2" s="109"/>
      <c r="G2" s="110"/>
      <c r="H2" s="111"/>
    </row>
    <row r="3" spans="1:8" x14ac:dyDescent="0.25">
      <c r="A3" s="107"/>
      <c r="B3" s="12"/>
      <c r="C3" s="19" t="s">
        <v>4</v>
      </c>
      <c r="D3" s="108"/>
      <c r="E3" s="108"/>
      <c r="F3" s="109"/>
      <c r="G3" s="110"/>
      <c r="H3" s="336"/>
    </row>
    <row r="4" spans="1:8" ht="14.4" thickBot="1" x14ac:dyDescent="0.35">
      <c r="A4" s="337"/>
      <c r="B4" s="338"/>
      <c r="C4" s="339" t="s">
        <v>5</v>
      </c>
      <c r="D4" s="340"/>
      <c r="E4" s="340"/>
      <c r="F4" s="116">
        <f ca="1">NOW()</f>
        <v>41614.400511805557</v>
      </c>
      <c r="G4" s="341"/>
      <c r="H4" s="342"/>
    </row>
    <row r="5" spans="1:8" ht="14.4" thickBot="1" x14ac:dyDescent="0.35">
      <c r="A5" s="343" t="s">
        <v>88</v>
      </c>
      <c r="B5" s="344"/>
      <c r="C5" s="344"/>
      <c r="D5" s="344"/>
      <c r="E5" s="345"/>
      <c r="F5" s="346"/>
      <c r="G5" s="112" t="s">
        <v>7</v>
      </c>
      <c r="H5" s="113"/>
    </row>
    <row r="6" spans="1:8" x14ac:dyDescent="0.25">
      <c r="A6" s="347" t="s">
        <v>8</v>
      </c>
      <c r="B6" s="348" t="s">
        <v>9</v>
      </c>
      <c r="C6" s="348" t="s">
        <v>10</v>
      </c>
      <c r="D6" s="348" t="s">
        <v>11</v>
      </c>
      <c r="E6" s="348" t="s">
        <v>12</v>
      </c>
      <c r="F6" s="349"/>
      <c r="G6" s="117"/>
      <c r="H6" s="118"/>
    </row>
    <row r="7" spans="1:8" x14ac:dyDescent="0.25">
      <c r="A7" s="152">
        <f>'[3]RD Sheet'!$A$8</f>
        <v>4.5</v>
      </c>
      <c r="B7" s="37">
        <f>'[3]RD Sheet'!$C$8</f>
        <v>100.45</v>
      </c>
      <c r="C7" s="37">
        <f>'[3]RD Sheet'!$C$8</f>
        <v>100.45</v>
      </c>
      <c r="D7" s="153">
        <f>'[3]RD Sheet'!$D$8</f>
        <v>100.325</v>
      </c>
      <c r="E7" s="37">
        <f>'[3]RD Sheet'!$E$8</f>
        <v>99.95</v>
      </c>
      <c r="F7" s="350"/>
      <c r="G7" s="122" t="s">
        <v>13</v>
      </c>
      <c r="H7" s="36"/>
    </row>
    <row r="8" spans="1:8" x14ac:dyDescent="0.25">
      <c r="A8" s="152">
        <f>'[3]RD Sheet'!$A$9</f>
        <v>4.375</v>
      </c>
      <c r="B8" s="37">
        <f>'[3]RD Sheet'!$C$9</f>
        <v>100.45</v>
      </c>
      <c r="C8" s="37">
        <f>'[3]RD Sheet'!$C$9</f>
        <v>100.45</v>
      </c>
      <c r="D8" s="153">
        <f>'[3]RD Sheet'!$D$9</f>
        <v>100.325</v>
      </c>
      <c r="E8" s="37">
        <f>'[3]RD Sheet'!$E$9</f>
        <v>99.95</v>
      </c>
      <c r="F8" s="350"/>
      <c r="G8" s="122"/>
      <c r="H8" s="36"/>
    </row>
    <row r="9" spans="1:8" ht="13.8" thickBot="1" x14ac:dyDescent="0.3">
      <c r="A9" s="152">
        <f>'[3]RD Sheet'!$A$10</f>
        <v>4.25</v>
      </c>
      <c r="B9" s="37">
        <f>'[3]RD Sheet'!$C$10</f>
        <v>100.375</v>
      </c>
      <c r="C9" s="37">
        <f>'[3]RD Sheet'!$C$10</f>
        <v>100.375</v>
      </c>
      <c r="D9" s="153">
        <f>'[3]RD Sheet'!$D$10</f>
        <v>100.25</v>
      </c>
      <c r="E9" s="37">
        <f>'[3]RD Sheet'!$E$10</f>
        <v>99.875</v>
      </c>
      <c r="F9" s="350"/>
      <c r="G9" s="351" t="s">
        <v>14</v>
      </c>
      <c r="H9" s="129"/>
    </row>
    <row r="10" spans="1:8" x14ac:dyDescent="0.25">
      <c r="A10" s="152">
        <f>'[3]RD Sheet'!$A$11</f>
        <v>4.125</v>
      </c>
      <c r="B10" s="37">
        <f>'[3]RD Sheet'!$C$11</f>
        <v>98.375</v>
      </c>
      <c r="C10" s="37">
        <f>'[3]RD Sheet'!$C$11</f>
        <v>98.375</v>
      </c>
      <c r="D10" s="153">
        <f>'[3]RD Sheet'!$D$11</f>
        <v>98.25</v>
      </c>
      <c r="E10" s="37">
        <f>'[3]RD Sheet'!$E$11</f>
        <v>97.875</v>
      </c>
      <c r="F10" s="350"/>
      <c r="G10" s="352"/>
      <c r="H10" s="193"/>
    </row>
    <row r="11" spans="1:8" x14ac:dyDescent="0.25">
      <c r="A11" s="152">
        <f>'[3]RD Sheet'!$A$12</f>
        <v>4</v>
      </c>
      <c r="B11" s="37">
        <f>'[3]RD Sheet'!$C$12</f>
        <v>97.875</v>
      </c>
      <c r="C11" s="37">
        <f>'[3]RD Sheet'!$C$12</f>
        <v>97.875</v>
      </c>
      <c r="D11" s="153">
        <f>'[3]RD Sheet'!$D$12</f>
        <v>97.75</v>
      </c>
      <c r="E11" s="37"/>
      <c r="F11" s="350"/>
      <c r="G11" s="353" t="s">
        <v>45</v>
      </c>
      <c r="H11" s="134"/>
    </row>
    <row r="12" spans="1:8" x14ac:dyDescent="0.25">
      <c r="A12" s="152"/>
      <c r="B12" s="37"/>
      <c r="C12" s="37"/>
      <c r="D12" s="153"/>
      <c r="E12" s="37"/>
      <c r="F12" s="350"/>
      <c r="G12" s="353"/>
      <c r="H12" s="336"/>
    </row>
    <row r="13" spans="1:8" x14ac:dyDescent="0.25">
      <c r="A13" s="152"/>
      <c r="B13" s="354"/>
      <c r="C13" s="37"/>
      <c r="D13" s="153"/>
      <c r="E13" s="37"/>
      <c r="F13" s="350"/>
      <c r="G13" s="355"/>
      <c r="H13" s="137"/>
    </row>
    <row r="14" spans="1:8" x14ac:dyDescent="0.25">
      <c r="A14" s="152"/>
      <c r="B14" s="354"/>
      <c r="C14" s="37"/>
      <c r="D14" s="153"/>
      <c r="E14" s="37"/>
      <c r="F14" s="350"/>
      <c r="G14" s="355" t="s">
        <v>46</v>
      </c>
      <c r="H14" s="137">
        <v>-0.375</v>
      </c>
    </row>
    <row r="15" spans="1:8" x14ac:dyDescent="0.25">
      <c r="A15" s="152"/>
      <c r="B15" s="354"/>
      <c r="C15" s="37"/>
      <c r="D15" s="153"/>
      <c r="E15" s="37"/>
      <c r="F15" s="350"/>
      <c r="G15" s="356" t="s">
        <v>47</v>
      </c>
      <c r="H15" s="140">
        <v>0</v>
      </c>
    </row>
    <row r="16" spans="1:8" x14ac:dyDescent="0.25">
      <c r="A16" s="152"/>
      <c r="B16" s="354"/>
      <c r="C16" s="37"/>
      <c r="D16" s="153"/>
      <c r="E16" s="37"/>
      <c r="F16" s="350"/>
      <c r="G16" s="357" t="s">
        <v>48</v>
      </c>
      <c r="H16" s="137">
        <v>0.125</v>
      </c>
    </row>
    <row r="17" spans="1:8" ht="13.8" thickBot="1" x14ac:dyDescent="0.3">
      <c r="A17" s="358"/>
      <c r="B17" s="73"/>
      <c r="C17" s="73"/>
      <c r="D17" s="73"/>
      <c r="E17" s="73"/>
      <c r="F17" s="350"/>
      <c r="G17" s="359"/>
      <c r="H17" s="140"/>
    </row>
    <row r="18" spans="1:8" ht="13.8" x14ac:dyDescent="0.3">
      <c r="A18" s="358"/>
      <c r="B18" s="73"/>
      <c r="C18" s="73"/>
      <c r="D18" s="73"/>
      <c r="E18" s="73"/>
      <c r="F18" s="360"/>
      <c r="G18" s="361" t="s">
        <v>89</v>
      </c>
      <c r="H18" s="362"/>
    </row>
    <row r="19" spans="1:8" x14ac:dyDescent="0.25">
      <c r="A19" s="363"/>
      <c r="B19" s="80"/>
      <c r="C19" s="80"/>
      <c r="D19" s="80"/>
      <c r="E19" s="80"/>
      <c r="F19" s="364"/>
      <c r="G19" s="365" t="s">
        <v>52</v>
      </c>
      <c r="H19" s="111"/>
    </row>
    <row r="20" spans="1:8" x14ac:dyDescent="0.25">
      <c r="A20" s="363"/>
      <c r="B20" s="80"/>
      <c r="C20" s="80"/>
      <c r="D20" s="80"/>
      <c r="E20" s="80"/>
      <c r="F20" s="364"/>
      <c r="G20" s="300"/>
      <c r="H20" s="111"/>
    </row>
    <row r="21" spans="1:8" x14ac:dyDescent="0.25">
      <c r="A21" s="363"/>
      <c r="B21" s="80"/>
      <c r="C21" s="80"/>
      <c r="D21" s="80"/>
      <c r="E21" s="80"/>
      <c r="F21" s="364"/>
      <c r="G21" s="178" t="s">
        <v>53</v>
      </c>
      <c r="H21" s="111"/>
    </row>
    <row r="22" spans="1:8" x14ac:dyDescent="0.25">
      <c r="A22" s="363"/>
      <c r="B22" s="80"/>
      <c r="C22" s="80"/>
      <c r="D22" s="80"/>
      <c r="E22" s="80"/>
      <c r="F22" s="364"/>
      <c r="G22" s="300"/>
      <c r="H22" s="111"/>
    </row>
    <row r="23" spans="1:8" x14ac:dyDescent="0.25">
      <c r="A23" s="363"/>
      <c r="B23" s="80"/>
      <c r="C23" s="80"/>
      <c r="D23" s="80"/>
      <c r="E23" s="80"/>
      <c r="F23" s="364"/>
      <c r="G23" s="300"/>
      <c r="H23" s="111"/>
    </row>
    <row r="24" spans="1:8" x14ac:dyDescent="0.25">
      <c r="A24" s="363"/>
      <c r="B24" s="80"/>
      <c r="C24" s="80"/>
      <c r="D24" s="80"/>
      <c r="E24" s="80"/>
      <c r="F24" s="364"/>
      <c r="G24" s="300"/>
      <c r="H24" s="111"/>
    </row>
    <row r="25" spans="1:8" ht="13.8" thickBot="1" x14ac:dyDescent="0.3">
      <c r="A25" s="363"/>
      <c r="B25" s="80"/>
      <c r="C25" s="80"/>
      <c r="D25" s="80"/>
      <c r="E25" s="80"/>
      <c r="F25" s="364"/>
      <c r="G25" s="169"/>
      <c r="H25" s="170"/>
    </row>
    <row r="26" spans="1:8" x14ac:dyDescent="0.25">
      <c r="A26" s="363"/>
      <c r="B26" s="80"/>
      <c r="C26" s="80"/>
      <c r="D26" s="80"/>
      <c r="E26" s="80"/>
      <c r="F26" s="366"/>
      <c r="G26" s="367"/>
      <c r="H26" s="176"/>
    </row>
    <row r="27" spans="1:8" x14ac:dyDescent="0.25">
      <c r="A27" s="363"/>
      <c r="B27" s="80"/>
      <c r="C27" s="80"/>
      <c r="D27" s="80"/>
      <c r="E27" s="80"/>
      <c r="F27" s="366"/>
      <c r="G27" s="300"/>
      <c r="H27" s="111"/>
    </row>
    <row r="28" spans="1:8" x14ac:dyDescent="0.25">
      <c r="A28" s="363"/>
      <c r="B28" s="80"/>
      <c r="C28" s="80"/>
      <c r="D28" s="80"/>
      <c r="E28" s="80"/>
      <c r="F28" s="366"/>
      <c r="G28" s="300"/>
      <c r="H28" s="111"/>
    </row>
    <row r="29" spans="1:8" ht="13.8" x14ac:dyDescent="0.3">
      <c r="A29" s="368"/>
      <c r="B29" s="28"/>
      <c r="C29" s="28"/>
      <c r="D29" s="28"/>
      <c r="E29" s="28"/>
      <c r="F29" s="369"/>
      <c r="G29" s="300"/>
      <c r="H29" s="111"/>
    </row>
    <row r="30" spans="1:8" x14ac:dyDescent="0.25">
      <c r="A30" s="363"/>
      <c r="B30" s="80"/>
      <c r="C30" s="80"/>
      <c r="D30" s="80"/>
      <c r="E30" s="80"/>
      <c r="F30" s="366"/>
      <c r="G30" s="300"/>
      <c r="H30" s="111"/>
    </row>
    <row r="31" spans="1:8" x14ac:dyDescent="0.25">
      <c r="A31" s="363"/>
      <c r="B31" s="80"/>
      <c r="C31" s="80"/>
      <c r="D31" s="80"/>
      <c r="E31" s="80"/>
      <c r="F31" s="366"/>
      <c r="G31" s="300"/>
      <c r="H31" s="111"/>
    </row>
    <row r="32" spans="1:8" ht="13.8" thickBot="1" x14ac:dyDescent="0.3">
      <c r="A32" s="363"/>
      <c r="B32" s="80"/>
      <c r="C32" s="80"/>
      <c r="D32" s="80"/>
      <c r="E32" s="80"/>
      <c r="F32" s="366"/>
      <c r="G32" s="169"/>
      <c r="H32" s="170"/>
    </row>
    <row r="33" spans="1:8" x14ac:dyDescent="0.25">
      <c r="A33" s="363"/>
      <c r="B33" s="80"/>
      <c r="C33" s="80"/>
      <c r="D33" s="80"/>
      <c r="E33" s="80"/>
      <c r="F33" s="366"/>
      <c r="G33" s="156" t="s">
        <v>83</v>
      </c>
      <c r="H33" s="304"/>
    </row>
    <row r="34" spans="1:8" x14ac:dyDescent="0.25">
      <c r="A34" s="363"/>
      <c r="B34" s="80"/>
      <c r="C34" s="80"/>
      <c r="D34" s="80"/>
      <c r="E34" s="80"/>
      <c r="F34" s="366"/>
      <c r="G34" s="305" t="s">
        <v>9</v>
      </c>
      <c r="H34" s="306">
        <f ca="1">F4+15</f>
        <v>41629.400511805557</v>
      </c>
    </row>
    <row r="35" spans="1:8" x14ac:dyDescent="0.25">
      <c r="A35" s="363"/>
      <c r="B35" s="80"/>
      <c r="C35" s="80"/>
      <c r="D35" s="80"/>
      <c r="E35" s="80"/>
      <c r="F35" s="366"/>
      <c r="G35" s="307" t="s">
        <v>10</v>
      </c>
      <c r="H35" s="306">
        <f ca="1">H34+15</f>
        <v>41644.400511805557</v>
      </c>
    </row>
    <row r="36" spans="1:8" x14ac:dyDescent="0.25">
      <c r="A36" s="363"/>
      <c r="B36" s="80"/>
      <c r="C36" s="80"/>
      <c r="D36" s="80"/>
      <c r="E36" s="80"/>
      <c r="F36" s="366"/>
      <c r="G36" s="307" t="s">
        <v>11</v>
      </c>
      <c r="H36" s="306">
        <f ca="1">H35+15</f>
        <v>41659.400511805557</v>
      </c>
    </row>
    <row r="37" spans="1:8" x14ac:dyDescent="0.25">
      <c r="A37" s="363"/>
      <c r="B37" s="80"/>
      <c r="C37" s="80"/>
      <c r="D37" s="80"/>
      <c r="E37" s="80"/>
      <c r="F37" s="366"/>
      <c r="G37" s="307" t="s">
        <v>87</v>
      </c>
      <c r="H37" s="306">
        <f ca="1">H36+15</f>
        <v>41674.400511805557</v>
      </c>
    </row>
    <row r="38" spans="1:8" x14ac:dyDescent="0.25">
      <c r="A38" s="363"/>
      <c r="B38" s="80"/>
      <c r="C38" s="80"/>
      <c r="D38" s="80"/>
      <c r="E38" s="80"/>
      <c r="F38" s="366"/>
      <c r="G38" s="307"/>
      <c r="H38" s="306"/>
    </row>
    <row r="39" spans="1:8" ht="13.8" thickBot="1" x14ac:dyDescent="0.3">
      <c r="A39" s="363"/>
      <c r="B39" s="80"/>
      <c r="C39" s="80"/>
      <c r="D39" s="80"/>
      <c r="E39" s="80"/>
      <c r="F39" s="366"/>
      <c r="G39" s="314"/>
      <c r="H39" s="315"/>
    </row>
    <row r="40" spans="1:8" ht="13.8" thickBot="1" x14ac:dyDescent="0.3">
      <c r="A40" s="363"/>
      <c r="B40" s="80"/>
      <c r="C40" s="80"/>
      <c r="D40" s="80"/>
      <c r="E40" s="80"/>
      <c r="F40" s="364"/>
      <c r="G40" s="370" t="s">
        <v>90</v>
      </c>
      <c r="H40" s="371"/>
    </row>
    <row r="41" spans="1:8" ht="13.8" x14ac:dyDescent="0.3">
      <c r="A41" s="368"/>
      <c r="B41" s="28"/>
      <c r="C41" s="28"/>
      <c r="D41" s="28"/>
      <c r="E41" s="28"/>
      <c r="F41" s="372"/>
      <c r="G41" s="373"/>
      <c r="H41" s="176"/>
    </row>
    <row r="42" spans="1:8" x14ac:dyDescent="0.25">
      <c r="A42" s="363"/>
      <c r="B42" s="80"/>
      <c r="C42" s="80"/>
      <c r="D42" s="80"/>
      <c r="E42" s="80"/>
      <c r="F42" s="364"/>
      <c r="G42" s="374"/>
      <c r="H42" s="111"/>
    </row>
    <row r="43" spans="1:8" x14ac:dyDescent="0.25">
      <c r="A43" s="363"/>
      <c r="B43" s="80"/>
      <c r="C43" s="80"/>
      <c r="D43" s="80"/>
      <c r="E43" s="80"/>
      <c r="F43" s="364"/>
      <c r="G43" s="375"/>
      <c r="H43" s="111"/>
    </row>
    <row r="44" spans="1:8" x14ac:dyDescent="0.25">
      <c r="A44" s="363"/>
      <c r="B44" s="80"/>
      <c r="C44" s="80"/>
      <c r="D44" s="80"/>
      <c r="E44" s="80"/>
      <c r="F44" s="364"/>
      <c r="G44" s="374"/>
      <c r="H44" s="111"/>
    </row>
    <row r="45" spans="1:8" x14ac:dyDescent="0.25">
      <c r="A45" s="363"/>
      <c r="B45" s="80"/>
      <c r="C45" s="80"/>
      <c r="D45" s="80"/>
      <c r="E45" s="80"/>
      <c r="F45" s="364"/>
      <c r="G45" s="374"/>
      <c r="H45" s="111"/>
    </row>
    <row r="46" spans="1:8" x14ac:dyDescent="0.25">
      <c r="A46" s="363"/>
      <c r="B46" s="80"/>
      <c r="C46" s="80"/>
      <c r="D46" s="80"/>
      <c r="E46" s="80"/>
      <c r="F46" s="364"/>
      <c r="G46" s="374"/>
      <c r="H46" s="111"/>
    </row>
    <row r="47" spans="1:8" x14ac:dyDescent="0.25">
      <c r="A47" s="363"/>
      <c r="B47" s="80"/>
      <c r="C47" s="80"/>
      <c r="D47" s="80"/>
      <c r="E47" s="80"/>
      <c r="F47" s="364"/>
      <c r="G47" s="107"/>
      <c r="H47" s="111"/>
    </row>
    <row r="48" spans="1:8" x14ac:dyDescent="0.25">
      <c r="A48" s="376"/>
      <c r="B48" s="377"/>
      <c r="C48" s="377"/>
      <c r="D48" s="377"/>
      <c r="E48" s="377"/>
      <c r="F48" s="1"/>
      <c r="G48" s="375"/>
      <c r="H48" s="111"/>
    </row>
    <row r="49" spans="1:8" x14ac:dyDescent="0.25">
      <c r="A49" s="363"/>
      <c r="B49" s="80"/>
      <c r="C49" s="80"/>
      <c r="D49" s="80"/>
      <c r="E49" s="80"/>
      <c r="F49" s="364"/>
      <c r="G49" s="374"/>
      <c r="H49" s="111"/>
    </row>
    <row r="50" spans="1:8" ht="13.8" thickBot="1" x14ac:dyDescent="0.3">
      <c r="A50" s="378"/>
      <c r="B50" s="379"/>
      <c r="C50" s="379"/>
      <c r="D50" s="379"/>
      <c r="E50" s="379"/>
      <c r="F50" s="380"/>
      <c r="G50" s="381"/>
      <c r="H50" s="170"/>
    </row>
    <row r="51" spans="1:8" x14ac:dyDescent="0.25">
      <c r="C51" s="9"/>
      <c r="D51"/>
      <c r="E51"/>
      <c r="F51"/>
      <c r="G51"/>
    </row>
    <row r="52" spans="1:8" x14ac:dyDescent="0.25">
      <c r="C52" s="9"/>
      <c r="D52"/>
      <c r="E52"/>
      <c r="F52"/>
      <c r="G52"/>
    </row>
  </sheetData>
  <pageMargins left="0.38" right="0.5" top="1" bottom="1" header="0.5" footer="0.5"/>
  <pageSetup scale="8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opLeftCell="A123" zoomScale="80" workbookViewId="0">
      <selection activeCell="C1" sqref="C1"/>
    </sheetView>
  </sheetViews>
  <sheetFormatPr defaultRowHeight="13.2" x14ac:dyDescent="0.25"/>
  <cols>
    <col min="2" max="2" width="7.109375" customWidth="1"/>
    <col min="3" max="3" width="7.5546875" customWidth="1"/>
    <col min="4" max="4" width="3" customWidth="1"/>
    <col min="5" max="5" width="8.88671875" style="391"/>
    <col min="6" max="6" width="3.33203125" customWidth="1"/>
    <col min="7" max="7" width="59" customWidth="1"/>
  </cols>
  <sheetData>
    <row r="1" spans="1:7" ht="13.8" thickTop="1" x14ac:dyDescent="0.25">
      <c r="A1" s="383"/>
      <c r="B1" s="384"/>
      <c r="C1" s="385" t="s">
        <v>0</v>
      </c>
      <c r="D1" s="386"/>
      <c r="E1" s="387"/>
      <c r="F1" s="386"/>
      <c r="G1" s="388"/>
    </row>
    <row r="2" spans="1:7" x14ac:dyDescent="0.25">
      <c r="A2" s="389"/>
      <c r="B2" s="390"/>
      <c r="C2" s="324" t="s">
        <v>2</v>
      </c>
      <c r="D2" s="14"/>
      <c r="F2" s="14"/>
      <c r="G2" s="392"/>
    </row>
    <row r="3" spans="1:7" x14ac:dyDescent="0.25">
      <c r="A3" s="389"/>
      <c r="B3" s="390"/>
      <c r="C3" s="108" t="s">
        <v>91</v>
      </c>
      <c r="D3" s="14"/>
      <c r="F3" s="14"/>
      <c r="G3" s="392"/>
    </row>
    <row r="4" spans="1:7" ht="13.8" x14ac:dyDescent="0.3">
      <c r="A4" s="393"/>
      <c r="B4" s="394"/>
      <c r="C4" s="23" t="s">
        <v>92</v>
      </c>
      <c r="D4" s="24"/>
      <c r="F4" s="24"/>
      <c r="G4" s="25">
        <f ca="1">NOW()</f>
        <v>41614.400511805557</v>
      </c>
    </row>
    <row r="5" spans="1:7" x14ac:dyDescent="0.25">
      <c r="A5" s="395"/>
      <c r="B5" s="395"/>
      <c r="C5" s="395"/>
      <c r="D5" s="395"/>
      <c r="E5" s="387"/>
      <c r="F5" s="395"/>
      <c r="G5" s="395"/>
    </row>
    <row r="6" spans="1:7" x14ac:dyDescent="0.25">
      <c r="A6" s="396" t="s">
        <v>93</v>
      </c>
      <c r="G6" s="397" t="s">
        <v>94</v>
      </c>
    </row>
    <row r="7" spans="1:7" x14ac:dyDescent="0.25">
      <c r="A7" s="396"/>
      <c r="G7" s="397" t="s">
        <v>95</v>
      </c>
    </row>
    <row r="8" spans="1:7" x14ac:dyDescent="0.25">
      <c r="A8" s="396"/>
      <c r="G8" s="397" t="s">
        <v>96</v>
      </c>
    </row>
    <row r="9" spans="1:7" x14ac:dyDescent="0.25">
      <c r="A9" s="396"/>
      <c r="G9" s="397"/>
    </row>
    <row r="10" spans="1:7" x14ac:dyDescent="0.25">
      <c r="A10" s="398" t="s">
        <v>97</v>
      </c>
      <c r="C10" s="391"/>
      <c r="E10" s="391">
        <v>0.25</v>
      </c>
      <c r="G10" t="s">
        <v>98</v>
      </c>
    </row>
    <row r="11" spans="1:7" x14ac:dyDescent="0.25">
      <c r="A11" t="s">
        <v>99</v>
      </c>
      <c r="C11" s="391"/>
      <c r="E11" s="391">
        <v>1.25</v>
      </c>
      <c r="G11" t="s">
        <v>100</v>
      </c>
    </row>
    <row r="12" spans="1:7" x14ac:dyDescent="0.25">
      <c r="C12" s="391"/>
      <c r="E12" s="391">
        <v>2.75</v>
      </c>
      <c r="G12" t="s">
        <v>101</v>
      </c>
    </row>
    <row r="13" spans="1:7" x14ac:dyDescent="0.25">
      <c r="C13" s="391"/>
      <c r="E13" s="391">
        <v>3</v>
      </c>
      <c r="G13" t="s">
        <v>102</v>
      </c>
    </row>
    <row r="14" spans="1:7" x14ac:dyDescent="0.25">
      <c r="C14" s="391"/>
      <c r="E14" s="391">
        <v>2.5</v>
      </c>
      <c r="G14" t="s">
        <v>103</v>
      </c>
    </row>
    <row r="15" spans="1:7" x14ac:dyDescent="0.25">
      <c r="C15" s="391"/>
      <c r="E15" s="391">
        <v>2.25</v>
      </c>
      <c r="G15" t="s">
        <v>104</v>
      </c>
    </row>
    <row r="16" spans="1:7" x14ac:dyDescent="0.25">
      <c r="C16" s="391"/>
      <c r="E16" s="391">
        <v>3</v>
      </c>
      <c r="G16" t="s">
        <v>105</v>
      </c>
    </row>
    <row r="17" spans="1:7" x14ac:dyDescent="0.25">
      <c r="C17" s="391"/>
      <c r="E17" s="391">
        <v>0.25</v>
      </c>
      <c r="G17" t="s">
        <v>106</v>
      </c>
    </row>
    <row r="18" spans="1:7" x14ac:dyDescent="0.25">
      <c r="C18" s="391"/>
      <c r="E18" s="391">
        <v>0.75</v>
      </c>
      <c r="G18" t="s">
        <v>107</v>
      </c>
    </row>
    <row r="19" spans="1:7" x14ac:dyDescent="0.25">
      <c r="C19" s="391"/>
      <c r="E19" s="391">
        <v>1.5</v>
      </c>
      <c r="G19" t="s">
        <v>108</v>
      </c>
    </row>
    <row r="20" spans="1:7" x14ac:dyDescent="0.25">
      <c r="C20" s="391"/>
      <c r="E20" s="391">
        <v>1.375</v>
      </c>
      <c r="G20" t="s">
        <v>109</v>
      </c>
    </row>
    <row r="21" spans="1:7" x14ac:dyDescent="0.25">
      <c r="C21" s="391"/>
      <c r="E21" s="391">
        <v>2.5</v>
      </c>
      <c r="G21" t="s">
        <v>110</v>
      </c>
    </row>
    <row r="22" spans="1:7" x14ac:dyDescent="0.25">
      <c r="C22" s="391"/>
      <c r="E22" s="391">
        <v>2</v>
      </c>
      <c r="G22" t="s">
        <v>111</v>
      </c>
    </row>
    <row r="23" spans="1:7" x14ac:dyDescent="0.25">
      <c r="C23" s="391"/>
      <c r="E23" s="391">
        <v>0.625</v>
      </c>
      <c r="G23" t="s">
        <v>112</v>
      </c>
    </row>
    <row r="24" spans="1:7" x14ac:dyDescent="0.25">
      <c r="C24" s="391"/>
      <c r="E24" s="391">
        <v>0.75</v>
      </c>
      <c r="G24" t="s">
        <v>113</v>
      </c>
    </row>
    <row r="25" spans="1:7" x14ac:dyDescent="0.25">
      <c r="C25" s="391"/>
      <c r="E25" s="391">
        <v>1.5</v>
      </c>
      <c r="G25" t="s">
        <v>114</v>
      </c>
    </row>
    <row r="26" spans="1:7" x14ac:dyDescent="0.25">
      <c r="C26" s="391"/>
      <c r="E26" s="391">
        <v>1</v>
      </c>
      <c r="G26" t="s">
        <v>115</v>
      </c>
    </row>
    <row r="27" spans="1:7" x14ac:dyDescent="0.25">
      <c r="E27" s="391">
        <v>0.25</v>
      </c>
      <c r="F27" s="391"/>
      <c r="G27" t="s">
        <v>116</v>
      </c>
    </row>
    <row r="28" spans="1:7" x14ac:dyDescent="0.25">
      <c r="E28" s="391">
        <v>0.5</v>
      </c>
      <c r="F28" s="391"/>
      <c r="G28" t="s">
        <v>117</v>
      </c>
    </row>
    <row r="29" spans="1:7" ht="13.5" customHeight="1" x14ac:dyDescent="0.25">
      <c r="E29" s="391">
        <v>0.625</v>
      </c>
      <c r="F29" s="391"/>
      <c r="G29" t="s">
        <v>118</v>
      </c>
    </row>
    <row r="30" spans="1:7" x14ac:dyDescent="0.25">
      <c r="C30" s="391"/>
      <c r="G30" s="396"/>
    </row>
    <row r="31" spans="1:7" x14ac:dyDescent="0.25">
      <c r="C31" s="391"/>
      <c r="G31" s="396"/>
    </row>
    <row r="32" spans="1:7" x14ac:dyDescent="0.25">
      <c r="A32" s="398" t="s">
        <v>97</v>
      </c>
      <c r="C32" s="391"/>
      <c r="E32" s="391">
        <v>2</v>
      </c>
      <c r="G32" t="s">
        <v>119</v>
      </c>
    </row>
    <row r="33" spans="1:7" x14ac:dyDescent="0.25">
      <c r="A33" t="s">
        <v>120</v>
      </c>
      <c r="C33" s="391"/>
      <c r="E33" s="391">
        <v>1.5</v>
      </c>
      <c r="G33" t="s">
        <v>121</v>
      </c>
    </row>
    <row r="34" spans="1:7" x14ac:dyDescent="0.25">
      <c r="C34" s="391"/>
      <c r="E34" s="391">
        <v>0.25</v>
      </c>
      <c r="G34" t="s">
        <v>122</v>
      </c>
    </row>
    <row r="35" spans="1:7" x14ac:dyDescent="0.25">
      <c r="C35" s="391"/>
      <c r="E35" s="391">
        <v>2.25</v>
      </c>
      <c r="G35" t="s">
        <v>100</v>
      </c>
    </row>
    <row r="36" spans="1:7" x14ac:dyDescent="0.25">
      <c r="C36" s="391"/>
      <c r="E36" s="391">
        <v>3.75</v>
      </c>
      <c r="G36" t="s">
        <v>123</v>
      </c>
    </row>
    <row r="37" spans="1:7" x14ac:dyDescent="0.25">
      <c r="C37" s="391"/>
      <c r="E37" s="391">
        <v>3.25</v>
      </c>
      <c r="G37" t="s">
        <v>104</v>
      </c>
    </row>
    <row r="38" spans="1:7" x14ac:dyDescent="0.25">
      <c r="C38" s="391"/>
      <c r="E38" s="391">
        <v>4</v>
      </c>
      <c r="G38" t="s">
        <v>124</v>
      </c>
    </row>
    <row r="39" spans="1:7" x14ac:dyDescent="0.25">
      <c r="C39" s="391"/>
      <c r="E39" s="391">
        <v>1.75</v>
      </c>
      <c r="G39" t="s">
        <v>125</v>
      </c>
    </row>
    <row r="40" spans="1:7" x14ac:dyDescent="0.25">
      <c r="C40" s="391"/>
      <c r="E40" s="391">
        <v>2.5</v>
      </c>
      <c r="G40" t="s">
        <v>108</v>
      </c>
    </row>
    <row r="41" spans="1:7" x14ac:dyDescent="0.25">
      <c r="C41" s="391"/>
      <c r="E41" s="391">
        <v>3.5</v>
      </c>
      <c r="G41" t="s">
        <v>126</v>
      </c>
    </row>
    <row r="42" spans="1:7" x14ac:dyDescent="0.25">
      <c r="C42" s="391"/>
      <c r="E42" s="391">
        <v>1.25</v>
      </c>
      <c r="G42" t="s">
        <v>127</v>
      </c>
    </row>
    <row r="43" spans="1:7" x14ac:dyDescent="0.25">
      <c r="C43" s="391"/>
      <c r="E43" s="391">
        <v>1.875</v>
      </c>
      <c r="G43" t="s">
        <v>109</v>
      </c>
    </row>
    <row r="44" spans="1:7" x14ac:dyDescent="0.25">
      <c r="C44" s="391"/>
      <c r="E44" s="391">
        <v>3</v>
      </c>
      <c r="G44" t="s">
        <v>128</v>
      </c>
    </row>
    <row r="45" spans="1:7" x14ac:dyDescent="0.25">
      <c r="C45" s="391"/>
      <c r="E45" s="391">
        <v>1.125</v>
      </c>
      <c r="G45" t="s">
        <v>112</v>
      </c>
    </row>
    <row r="46" spans="1:7" x14ac:dyDescent="0.25">
      <c r="C46" s="391"/>
      <c r="E46" s="391">
        <v>1.25</v>
      </c>
      <c r="G46" t="s">
        <v>113</v>
      </c>
    </row>
    <row r="47" spans="1:7" x14ac:dyDescent="0.25">
      <c r="C47" s="391"/>
      <c r="E47" s="391">
        <v>2</v>
      </c>
      <c r="G47" t="s">
        <v>129</v>
      </c>
    </row>
    <row r="48" spans="1:7" x14ac:dyDescent="0.25">
      <c r="C48" s="391"/>
      <c r="E48" s="391">
        <v>0.25</v>
      </c>
      <c r="G48" t="s">
        <v>116</v>
      </c>
    </row>
    <row r="49" spans="1:7" x14ac:dyDescent="0.25">
      <c r="C49" s="391"/>
      <c r="E49" s="391">
        <v>0.5</v>
      </c>
      <c r="G49" t="s">
        <v>117</v>
      </c>
    </row>
    <row r="50" spans="1:7" x14ac:dyDescent="0.25">
      <c r="C50" s="391"/>
      <c r="E50" s="391">
        <v>0.625</v>
      </c>
      <c r="G50" t="s">
        <v>118</v>
      </c>
    </row>
    <row r="51" spans="1:7" x14ac:dyDescent="0.25">
      <c r="C51" s="391"/>
      <c r="G51" s="396"/>
    </row>
    <row r="52" spans="1:7" x14ac:dyDescent="0.25">
      <c r="C52" s="391"/>
      <c r="G52" s="396"/>
    </row>
    <row r="53" spans="1:7" x14ac:dyDescent="0.25">
      <c r="A53" s="398" t="s">
        <v>130</v>
      </c>
      <c r="C53" s="391"/>
      <c r="E53" s="391">
        <v>0.75</v>
      </c>
      <c r="G53" s="145" t="s">
        <v>131</v>
      </c>
    </row>
    <row r="54" spans="1:7" x14ac:dyDescent="0.25">
      <c r="C54" s="391"/>
      <c r="G54" s="396"/>
    </row>
    <row r="55" spans="1:7" x14ac:dyDescent="0.25">
      <c r="A55" s="398" t="s">
        <v>132</v>
      </c>
      <c r="E55" s="391">
        <v>1.75</v>
      </c>
      <c r="G55" t="s">
        <v>133</v>
      </c>
    </row>
    <row r="56" spans="1:7" x14ac:dyDescent="0.25">
      <c r="A56" t="s">
        <v>134</v>
      </c>
      <c r="E56" s="391">
        <v>3</v>
      </c>
      <c r="G56" t="s">
        <v>135</v>
      </c>
    </row>
    <row r="57" spans="1:7" x14ac:dyDescent="0.25">
      <c r="E57" s="391">
        <v>3.75</v>
      </c>
      <c r="G57" t="s">
        <v>136</v>
      </c>
    </row>
    <row r="59" spans="1:7" x14ac:dyDescent="0.25">
      <c r="A59" s="398" t="s">
        <v>132</v>
      </c>
      <c r="E59" s="391">
        <v>2</v>
      </c>
      <c r="G59" t="s">
        <v>133</v>
      </c>
    </row>
    <row r="60" spans="1:7" x14ac:dyDescent="0.25">
      <c r="A60" t="s">
        <v>137</v>
      </c>
      <c r="E60" s="391">
        <v>3.25</v>
      </c>
      <c r="G60" t="s">
        <v>135</v>
      </c>
    </row>
    <row r="61" spans="1:7" x14ac:dyDescent="0.25">
      <c r="E61" s="391">
        <v>3.75</v>
      </c>
      <c r="G61" t="s">
        <v>136</v>
      </c>
    </row>
    <row r="64" spans="1:7" x14ac:dyDescent="0.25">
      <c r="A64" s="398" t="s">
        <v>138</v>
      </c>
      <c r="E64" s="391">
        <v>1</v>
      </c>
      <c r="G64" t="s">
        <v>139</v>
      </c>
    </row>
    <row r="66" spans="1:7" x14ac:dyDescent="0.25">
      <c r="A66" s="398" t="s">
        <v>140</v>
      </c>
      <c r="E66" s="391">
        <v>0.125</v>
      </c>
      <c r="G66" t="s">
        <v>141</v>
      </c>
    </row>
    <row r="67" spans="1:7" x14ac:dyDescent="0.25">
      <c r="E67" s="391">
        <v>0.25</v>
      </c>
      <c r="G67" t="s">
        <v>142</v>
      </c>
    </row>
    <row r="69" spans="1:7" x14ac:dyDescent="0.25">
      <c r="A69" s="398" t="s">
        <v>143</v>
      </c>
      <c r="E69" s="391">
        <v>0.5</v>
      </c>
      <c r="G69" t="s">
        <v>144</v>
      </c>
    </row>
    <row r="70" spans="1:7" x14ac:dyDescent="0.25">
      <c r="A70" s="397" t="s">
        <v>145</v>
      </c>
      <c r="E70" s="391">
        <v>1.5</v>
      </c>
      <c r="G70" t="s">
        <v>146</v>
      </c>
    </row>
    <row r="71" spans="1:7" x14ac:dyDescent="0.25">
      <c r="A71" s="397" t="s">
        <v>147</v>
      </c>
      <c r="E71" s="391">
        <v>3</v>
      </c>
      <c r="G71" t="s">
        <v>148</v>
      </c>
    </row>
    <row r="72" spans="1:7" x14ac:dyDescent="0.25">
      <c r="E72" s="391">
        <v>3.25</v>
      </c>
      <c r="G72" t="s">
        <v>149</v>
      </c>
    </row>
    <row r="73" spans="1:7" x14ac:dyDescent="0.25">
      <c r="E73" s="391">
        <v>1.25</v>
      </c>
      <c r="G73" t="s">
        <v>150</v>
      </c>
    </row>
    <row r="74" spans="1:7" x14ac:dyDescent="0.25">
      <c r="E74" s="391">
        <v>2.75</v>
      </c>
      <c r="G74" t="s">
        <v>151</v>
      </c>
    </row>
    <row r="75" spans="1:7" x14ac:dyDescent="0.25">
      <c r="E75" s="391">
        <v>3</v>
      </c>
      <c r="G75" t="s">
        <v>104</v>
      </c>
    </row>
    <row r="76" spans="1:7" x14ac:dyDescent="0.25">
      <c r="E76" s="391">
        <v>3.25</v>
      </c>
      <c r="G76" t="s">
        <v>152</v>
      </c>
    </row>
    <row r="77" spans="1:7" x14ac:dyDescent="0.25">
      <c r="E77" s="391">
        <v>2.75</v>
      </c>
      <c r="G77" t="s">
        <v>153</v>
      </c>
    </row>
    <row r="78" spans="1:7" x14ac:dyDescent="0.25">
      <c r="E78" s="391">
        <v>1</v>
      </c>
      <c r="G78" t="s">
        <v>154</v>
      </c>
    </row>
    <row r="79" spans="1:7" x14ac:dyDescent="0.25">
      <c r="E79" s="391">
        <v>2.25</v>
      </c>
      <c r="G79" t="s">
        <v>155</v>
      </c>
    </row>
    <row r="80" spans="1:7" x14ac:dyDescent="0.25">
      <c r="E80" s="391">
        <v>2.75</v>
      </c>
      <c r="G80" t="s">
        <v>108</v>
      </c>
    </row>
    <row r="81" spans="5:7" x14ac:dyDescent="0.25">
      <c r="E81" s="391">
        <v>2.75</v>
      </c>
      <c r="G81" t="s">
        <v>156</v>
      </c>
    </row>
    <row r="82" spans="5:7" x14ac:dyDescent="0.25">
      <c r="E82" s="391">
        <v>2.25</v>
      </c>
      <c r="G82" t="s">
        <v>157</v>
      </c>
    </row>
    <row r="83" spans="5:7" x14ac:dyDescent="0.25">
      <c r="E83" s="391">
        <v>0.5</v>
      </c>
      <c r="G83" t="s">
        <v>158</v>
      </c>
    </row>
    <row r="84" spans="5:7" x14ac:dyDescent="0.25">
      <c r="E84" s="391">
        <v>1.25</v>
      </c>
      <c r="G84" t="s">
        <v>159</v>
      </c>
    </row>
    <row r="85" spans="5:7" x14ac:dyDescent="0.25">
      <c r="E85" s="391">
        <v>1.75</v>
      </c>
      <c r="G85" t="s">
        <v>109</v>
      </c>
    </row>
    <row r="86" spans="5:7" x14ac:dyDescent="0.25">
      <c r="E86" s="391">
        <v>1.5</v>
      </c>
      <c r="G86" t="s">
        <v>128</v>
      </c>
    </row>
    <row r="87" spans="5:7" x14ac:dyDescent="0.25">
      <c r="E87" s="391">
        <v>1.25</v>
      </c>
      <c r="G87" t="s">
        <v>160</v>
      </c>
    </row>
    <row r="88" spans="5:7" x14ac:dyDescent="0.25">
      <c r="E88" s="391">
        <v>0.5</v>
      </c>
      <c r="G88" t="s">
        <v>161</v>
      </c>
    </row>
    <row r="89" spans="5:7" x14ac:dyDescent="0.25">
      <c r="E89" s="391">
        <v>0.75</v>
      </c>
      <c r="G89" t="s">
        <v>162</v>
      </c>
    </row>
    <row r="90" spans="5:7" x14ac:dyDescent="0.25">
      <c r="E90" s="391">
        <v>1</v>
      </c>
      <c r="G90" t="s">
        <v>163</v>
      </c>
    </row>
    <row r="91" spans="5:7" x14ac:dyDescent="0.25">
      <c r="E91" s="391">
        <v>0.25</v>
      </c>
      <c r="G91" t="s">
        <v>164</v>
      </c>
    </row>
    <row r="92" spans="5:7" x14ac:dyDescent="0.25">
      <c r="E92" s="391">
        <v>0.5</v>
      </c>
      <c r="G92" t="s">
        <v>165</v>
      </c>
    </row>
    <row r="93" spans="5:7" x14ac:dyDescent="0.25">
      <c r="E93" s="391">
        <v>-0.25</v>
      </c>
      <c r="G93" t="s">
        <v>166</v>
      </c>
    </row>
    <row r="94" spans="5:7" x14ac:dyDescent="0.25">
      <c r="E94" s="391">
        <v>0.25</v>
      </c>
      <c r="G94" t="s">
        <v>167</v>
      </c>
    </row>
    <row r="95" spans="5:7" x14ac:dyDescent="0.25">
      <c r="G95" s="396"/>
    </row>
    <row r="96" spans="5:7" x14ac:dyDescent="0.25">
      <c r="G96" s="399"/>
    </row>
    <row r="97" spans="1:7" x14ac:dyDescent="0.25">
      <c r="G97" s="397"/>
    </row>
    <row r="99" spans="1:7" x14ac:dyDescent="0.25">
      <c r="A99" s="398" t="s">
        <v>168</v>
      </c>
      <c r="E99" s="391">
        <v>0.25</v>
      </c>
      <c r="G99" t="s">
        <v>169</v>
      </c>
    </row>
    <row r="101" spans="1:7" x14ac:dyDescent="0.25">
      <c r="A101" s="398" t="s">
        <v>170</v>
      </c>
      <c r="E101" s="391">
        <v>1</v>
      </c>
      <c r="G101" t="s">
        <v>171</v>
      </c>
    </row>
    <row r="103" spans="1:7" x14ac:dyDescent="0.25">
      <c r="A103" s="398" t="s">
        <v>172</v>
      </c>
      <c r="E103" s="391">
        <v>1</v>
      </c>
      <c r="G103" t="s">
        <v>171</v>
      </c>
    </row>
    <row r="106" spans="1:7" x14ac:dyDescent="0.25">
      <c r="A106" s="398" t="s">
        <v>173</v>
      </c>
      <c r="E106" s="391">
        <v>1</v>
      </c>
      <c r="G106" t="s">
        <v>174</v>
      </c>
    </row>
    <row r="108" spans="1:7" x14ac:dyDescent="0.25">
      <c r="A108" s="398" t="s">
        <v>175</v>
      </c>
      <c r="E108" s="391">
        <v>0.75</v>
      </c>
      <c r="G108" t="s">
        <v>176</v>
      </c>
    </row>
    <row r="110" spans="1:7" x14ac:dyDescent="0.25">
      <c r="A110" s="398" t="s">
        <v>177</v>
      </c>
      <c r="E110" s="391">
        <v>0.5</v>
      </c>
      <c r="G110" t="s">
        <v>178</v>
      </c>
    </row>
    <row r="111" spans="1:7" x14ac:dyDescent="0.25">
      <c r="A111" s="398"/>
      <c r="E111" s="391">
        <v>0.25</v>
      </c>
      <c r="G111" t="s">
        <v>179</v>
      </c>
    </row>
    <row r="112" spans="1:7" x14ac:dyDescent="0.25">
      <c r="A112" s="398"/>
      <c r="E112" s="391">
        <v>0.75</v>
      </c>
      <c r="G112" t="s">
        <v>180</v>
      </c>
    </row>
    <row r="113" spans="1:7" x14ac:dyDescent="0.25">
      <c r="A113" s="398"/>
      <c r="E113" s="391">
        <v>0.5</v>
      </c>
      <c r="G113" t="s">
        <v>181</v>
      </c>
    </row>
    <row r="114" spans="1:7" x14ac:dyDescent="0.25">
      <c r="A114" s="398"/>
      <c r="E114" s="391">
        <v>1</v>
      </c>
      <c r="G114" t="s">
        <v>182</v>
      </c>
    </row>
    <row r="115" spans="1:7" x14ac:dyDescent="0.25">
      <c r="A115" s="398"/>
      <c r="E115" s="391">
        <v>0.75</v>
      </c>
      <c r="G115" t="s">
        <v>183</v>
      </c>
    </row>
    <row r="116" spans="1:7" x14ac:dyDescent="0.25">
      <c r="A116" s="398"/>
      <c r="E116" s="391">
        <v>1</v>
      </c>
      <c r="G116" t="s">
        <v>184</v>
      </c>
    </row>
    <row r="117" spans="1:7" x14ac:dyDescent="0.25">
      <c r="A117" s="398"/>
      <c r="E117" s="391">
        <v>0.75</v>
      </c>
      <c r="G117" t="s">
        <v>185</v>
      </c>
    </row>
    <row r="118" spans="1:7" x14ac:dyDescent="0.25">
      <c r="E118" s="391">
        <v>1.5</v>
      </c>
      <c r="G118" s="145" t="s">
        <v>186</v>
      </c>
    </row>
    <row r="119" spans="1:7" x14ac:dyDescent="0.25">
      <c r="G119" s="397" t="s">
        <v>187</v>
      </c>
    </row>
    <row r="121" spans="1:7" x14ac:dyDescent="0.25">
      <c r="A121" s="398" t="s">
        <v>188</v>
      </c>
      <c r="E121" s="391">
        <v>0.5</v>
      </c>
      <c r="G121" t="s">
        <v>189</v>
      </c>
    </row>
    <row r="122" spans="1:7" x14ac:dyDescent="0.25">
      <c r="E122" s="391">
        <v>1.5</v>
      </c>
      <c r="G122" t="s">
        <v>190</v>
      </c>
    </row>
    <row r="123" spans="1:7" x14ac:dyDescent="0.25">
      <c r="E123" s="391">
        <v>3</v>
      </c>
      <c r="G123" t="s">
        <v>191</v>
      </c>
    </row>
    <row r="124" spans="1:7" x14ac:dyDescent="0.25">
      <c r="E124" s="391">
        <v>0.5</v>
      </c>
      <c r="G124" t="s">
        <v>192</v>
      </c>
    </row>
    <row r="125" spans="1:7" x14ac:dyDescent="0.25">
      <c r="E125" s="391">
        <v>1.5</v>
      </c>
      <c r="G125" t="s">
        <v>146</v>
      </c>
    </row>
    <row r="126" spans="1:7" x14ac:dyDescent="0.25">
      <c r="E126" s="391">
        <v>2.5</v>
      </c>
      <c r="G126" t="s">
        <v>193</v>
      </c>
    </row>
    <row r="127" spans="1:7" x14ac:dyDescent="0.25">
      <c r="E127" s="391">
        <v>2.75</v>
      </c>
      <c r="G127" t="s">
        <v>194</v>
      </c>
    </row>
    <row r="128" spans="1:7" x14ac:dyDescent="0.25">
      <c r="E128" s="391">
        <v>2.75</v>
      </c>
      <c r="G128" t="s">
        <v>195</v>
      </c>
    </row>
    <row r="129" spans="5:7" x14ac:dyDescent="0.25">
      <c r="E129" s="391">
        <v>0.5</v>
      </c>
      <c r="G129" t="s">
        <v>196</v>
      </c>
    </row>
    <row r="130" spans="5:7" x14ac:dyDescent="0.25">
      <c r="E130" s="391">
        <v>1.25</v>
      </c>
      <c r="G130" t="s">
        <v>150</v>
      </c>
    </row>
    <row r="131" spans="5:7" x14ac:dyDescent="0.25">
      <c r="E131" s="391">
        <v>2</v>
      </c>
      <c r="G131" t="s">
        <v>151</v>
      </c>
    </row>
    <row r="132" spans="5:7" x14ac:dyDescent="0.25">
      <c r="E132" s="391">
        <v>2.25</v>
      </c>
      <c r="G132" t="s">
        <v>104</v>
      </c>
    </row>
    <row r="133" spans="5:7" x14ac:dyDescent="0.25">
      <c r="E133" s="391">
        <v>2.25</v>
      </c>
      <c r="G133" t="s">
        <v>152</v>
      </c>
    </row>
    <row r="134" spans="5:7" x14ac:dyDescent="0.25">
      <c r="E134" s="391">
        <v>2.25</v>
      </c>
      <c r="G134" t="s">
        <v>153</v>
      </c>
    </row>
    <row r="135" spans="5:7" x14ac:dyDescent="0.25">
      <c r="E135" s="391">
        <v>1</v>
      </c>
      <c r="G135" t="s">
        <v>154</v>
      </c>
    </row>
    <row r="136" spans="5:7" x14ac:dyDescent="0.25">
      <c r="E136" s="391">
        <v>1.5</v>
      </c>
      <c r="G136" t="s">
        <v>155</v>
      </c>
    </row>
    <row r="137" spans="5:7" x14ac:dyDescent="0.25">
      <c r="E137" s="391">
        <v>1.75</v>
      </c>
      <c r="G137" t="s">
        <v>108</v>
      </c>
    </row>
    <row r="138" spans="5:7" x14ac:dyDescent="0.25">
      <c r="E138" s="391">
        <v>1.75</v>
      </c>
      <c r="G138" t="s">
        <v>156</v>
      </c>
    </row>
    <row r="139" spans="5:7" x14ac:dyDescent="0.25">
      <c r="E139" s="391">
        <v>1.75</v>
      </c>
      <c r="G139" t="s">
        <v>157</v>
      </c>
    </row>
    <row r="140" spans="5:7" x14ac:dyDescent="0.25">
      <c r="E140" s="391">
        <v>0.5</v>
      </c>
      <c r="G140" t="s">
        <v>158</v>
      </c>
    </row>
    <row r="141" spans="5:7" x14ac:dyDescent="0.25">
      <c r="E141" s="391">
        <v>0.75</v>
      </c>
      <c r="G141" t="s">
        <v>159</v>
      </c>
    </row>
    <row r="142" spans="5:7" x14ac:dyDescent="0.25">
      <c r="E142" s="391">
        <v>0.75</v>
      </c>
      <c r="G142" t="s">
        <v>109</v>
      </c>
    </row>
    <row r="143" spans="5:7" x14ac:dyDescent="0.25">
      <c r="E143" s="391">
        <v>0.75</v>
      </c>
      <c r="G143" t="s">
        <v>128</v>
      </c>
    </row>
    <row r="144" spans="5:7" x14ac:dyDescent="0.25">
      <c r="E144" s="391">
        <v>0.75</v>
      </c>
      <c r="G144" t="s">
        <v>160</v>
      </c>
    </row>
    <row r="145" spans="1:7" x14ac:dyDescent="0.25">
      <c r="E145" s="391">
        <v>0.5</v>
      </c>
      <c r="G145" t="s">
        <v>161</v>
      </c>
    </row>
    <row r="146" spans="1:7" x14ac:dyDescent="0.25">
      <c r="E146" s="391">
        <v>0.5</v>
      </c>
      <c r="G146" t="s">
        <v>197</v>
      </c>
    </row>
    <row r="147" spans="1:7" x14ac:dyDescent="0.25">
      <c r="E147" s="391">
        <v>0.5</v>
      </c>
      <c r="G147" t="s">
        <v>198</v>
      </c>
    </row>
    <row r="148" spans="1:7" x14ac:dyDescent="0.25">
      <c r="E148" s="391">
        <v>-0.25</v>
      </c>
      <c r="G148" t="s">
        <v>166</v>
      </c>
    </row>
    <row r="149" spans="1:7" x14ac:dyDescent="0.25">
      <c r="G149" s="396" t="s">
        <v>96</v>
      </c>
    </row>
    <row r="150" spans="1:7" x14ac:dyDescent="0.25">
      <c r="G150" s="399" t="s">
        <v>199</v>
      </c>
    </row>
    <row r="152" spans="1:7" x14ac:dyDescent="0.25">
      <c r="A152" s="398" t="s">
        <v>200</v>
      </c>
      <c r="E152" s="391">
        <v>0.75</v>
      </c>
      <c r="G152" t="s">
        <v>201</v>
      </c>
    </row>
    <row r="154" spans="1:7" x14ac:dyDescent="0.25">
      <c r="A154" s="398" t="s">
        <v>202</v>
      </c>
      <c r="E154" s="391">
        <v>0.5</v>
      </c>
      <c r="G154" t="s">
        <v>201</v>
      </c>
    </row>
    <row r="155" spans="1:7" x14ac:dyDescent="0.25">
      <c r="E155" s="391">
        <v>1</v>
      </c>
      <c r="G155" t="s">
        <v>203</v>
      </c>
    </row>
    <row r="157" spans="1:7" x14ac:dyDescent="0.25">
      <c r="A157" s="398" t="s">
        <v>204</v>
      </c>
      <c r="E157" s="391">
        <v>0.5</v>
      </c>
      <c r="G157" t="s">
        <v>205</v>
      </c>
    </row>
    <row r="158" spans="1:7" x14ac:dyDescent="0.25">
      <c r="E158" s="391">
        <v>0.25</v>
      </c>
      <c r="G158" t="s">
        <v>206</v>
      </c>
    </row>
    <row r="159" spans="1:7" x14ac:dyDescent="0.25">
      <c r="E159" s="391">
        <v>0.5</v>
      </c>
      <c r="G159" t="s">
        <v>207</v>
      </c>
    </row>
    <row r="160" spans="1:7" x14ac:dyDescent="0.25">
      <c r="E160" s="391">
        <v>0.25</v>
      </c>
      <c r="G160" t="s">
        <v>208</v>
      </c>
    </row>
    <row r="161" spans="5:7" x14ac:dyDescent="0.25">
      <c r="E161" s="391">
        <v>0.25</v>
      </c>
      <c r="G161" t="s">
        <v>209</v>
      </c>
    </row>
    <row r="162" spans="5:7" x14ac:dyDescent="0.25">
      <c r="E162" s="391">
        <v>1.5</v>
      </c>
      <c r="G162" t="s">
        <v>210</v>
      </c>
    </row>
  </sheetData>
  <pageMargins left="0" right="0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67"/>
  <sheetViews>
    <sheetView topLeftCell="A25" zoomScaleNormal="100" workbookViewId="0">
      <selection activeCell="C1" sqref="C1"/>
    </sheetView>
  </sheetViews>
  <sheetFormatPr defaultRowHeight="13.2" x14ac:dyDescent="0.25"/>
  <cols>
    <col min="1" max="1" width="18.6640625" customWidth="1"/>
    <col min="2" max="2" width="7.5546875" customWidth="1"/>
    <col min="4" max="4" width="7.109375" customWidth="1"/>
    <col min="5" max="5" width="3.33203125" customWidth="1"/>
    <col min="7" max="7" width="4.109375" customWidth="1"/>
    <col min="8" max="8" width="5.5546875" bestFit="1" customWidth="1"/>
    <col min="9" max="9" width="4.109375" customWidth="1"/>
    <col min="10" max="10" width="5.88671875" customWidth="1"/>
  </cols>
  <sheetData>
    <row r="6" spans="1:11" x14ac:dyDescent="0.25">
      <c r="A6" s="396" t="s">
        <v>211</v>
      </c>
    </row>
    <row r="7" spans="1:11" x14ac:dyDescent="0.25">
      <c r="A7" s="397" t="s">
        <v>212</v>
      </c>
    </row>
    <row r="8" spans="1:11" x14ac:dyDescent="0.25">
      <c r="D8" s="400"/>
      <c r="F8" s="396" t="s">
        <v>213</v>
      </c>
      <c r="K8" s="400" t="s">
        <v>214</v>
      </c>
    </row>
    <row r="9" spans="1:11" x14ac:dyDescent="0.25">
      <c r="A9" s="396" t="s">
        <v>215</v>
      </c>
      <c r="F9" s="400" t="s">
        <v>216</v>
      </c>
      <c r="H9" s="400" t="s">
        <v>217</v>
      </c>
    </row>
    <row r="11" spans="1:11" x14ac:dyDescent="0.25">
      <c r="A11" t="s">
        <v>218</v>
      </c>
      <c r="D11" s="401"/>
      <c r="F11" s="401">
        <v>0</v>
      </c>
      <c r="H11" s="401">
        <v>0</v>
      </c>
      <c r="K11" s="401">
        <v>0</v>
      </c>
    </row>
    <row r="12" spans="1:11" x14ac:dyDescent="0.25">
      <c r="D12" s="401"/>
      <c r="F12" s="401"/>
      <c r="H12" s="401"/>
      <c r="K12" s="401"/>
    </row>
    <row r="13" spans="1:11" x14ac:dyDescent="0.25">
      <c r="A13" t="s">
        <v>219</v>
      </c>
      <c r="D13" s="401"/>
      <c r="F13" s="401">
        <v>1.3</v>
      </c>
      <c r="H13" s="401">
        <v>1.3</v>
      </c>
      <c r="K13" s="401">
        <v>0.9</v>
      </c>
    </row>
    <row r="14" spans="1:11" x14ac:dyDescent="0.25">
      <c r="D14" s="401"/>
      <c r="F14" s="401"/>
      <c r="H14" s="401"/>
      <c r="K14" s="401"/>
    </row>
    <row r="15" spans="1:11" x14ac:dyDescent="0.25">
      <c r="A15" t="s">
        <v>220</v>
      </c>
      <c r="D15" s="401"/>
      <c r="F15" s="401">
        <v>1.5</v>
      </c>
      <c r="H15" s="401">
        <v>1.4</v>
      </c>
      <c r="K15" s="401">
        <v>0.9</v>
      </c>
    </row>
    <row r="16" spans="1:11" x14ac:dyDescent="0.25">
      <c r="D16" s="401"/>
      <c r="F16" s="401"/>
      <c r="H16" s="401"/>
      <c r="K16" s="401"/>
    </row>
    <row r="17" spans="1:11" x14ac:dyDescent="0.25">
      <c r="A17" t="s">
        <v>221</v>
      </c>
      <c r="D17" s="401"/>
      <c r="F17" s="401">
        <v>1.6</v>
      </c>
      <c r="H17" s="401">
        <v>1.5</v>
      </c>
      <c r="K17" s="401">
        <v>0.9</v>
      </c>
    </row>
    <row r="18" spans="1:11" x14ac:dyDescent="0.25">
      <c r="D18" s="401"/>
      <c r="F18" s="401"/>
      <c r="H18" s="401"/>
      <c r="K18" s="401"/>
    </row>
    <row r="19" spans="1:11" x14ac:dyDescent="0.25">
      <c r="A19" t="s">
        <v>222</v>
      </c>
      <c r="D19" s="401"/>
      <c r="F19" s="401">
        <v>1.8</v>
      </c>
      <c r="H19" s="401">
        <v>1.55</v>
      </c>
      <c r="K19" s="401">
        <v>0.9</v>
      </c>
    </row>
    <row r="20" spans="1:11" x14ac:dyDescent="0.25">
      <c r="D20" s="401"/>
      <c r="F20" s="401"/>
      <c r="H20" s="401"/>
      <c r="K20" s="401"/>
    </row>
    <row r="21" spans="1:11" x14ac:dyDescent="0.25">
      <c r="A21" t="s">
        <v>223</v>
      </c>
      <c r="D21" s="401"/>
      <c r="F21" s="401">
        <v>1.9</v>
      </c>
      <c r="H21" s="401">
        <v>1.65</v>
      </c>
      <c r="K21" s="401">
        <v>0.9</v>
      </c>
    </row>
    <row r="22" spans="1:11" x14ac:dyDescent="0.25">
      <c r="D22" s="401"/>
      <c r="F22" s="401"/>
      <c r="H22" s="401"/>
      <c r="K22" s="401"/>
    </row>
    <row r="23" spans="1:11" x14ac:dyDescent="0.25">
      <c r="A23" s="397" t="s">
        <v>224</v>
      </c>
    </row>
    <row r="25" spans="1:11" x14ac:dyDescent="0.25">
      <c r="A25" t="s">
        <v>218</v>
      </c>
      <c r="D25" s="401"/>
      <c r="F25" s="401">
        <v>0</v>
      </c>
      <c r="H25" s="401">
        <v>0</v>
      </c>
      <c r="K25" s="401">
        <v>0</v>
      </c>
    </row>
    <row r="26" spans="1:11" x14ac:dyDescent="0.25">
      <c r="D26" s="401"/>
      <c r="F26" s="401"/>
      <c r="H26" s="401"/>
      <c r="K26" s="401"/>
    </row>
    <row r="27" spans="1:11" x14ac:dyDescent="0.25">
      <c r="A27" t="s">
        <v>219</v>
      </c>
      <c r="D27" s="401"/>
      <c r="F27" s="401">
        <f>1.3-0.15</f>
        <v>1.1500000000000001</v>
      </c>
      <c r="H27" s="401">
        <f>1.3-0.15</f>
        <v>1.1500000000000001</v>
      </c>
      <c r="K27" s="401">
        <f>0.9-0.15</f>
        <v>0.75</v>
      </c>
    </row>
    <row r="28" spans="1:11" x14ac:dyDescent="0.25">
      <c r="D28" s="401"/>
      <c r="F28" s="401"/>
      <c r="H28" s="401"/>
      <c r="K28" s="401"/>
    </row>
    <row r="29" spans="1:11" x14ac:dyDescent="0.25">
      <c r="A29" t="s">
        <v>220</v>
      </c>
      <c r="D29" s="401"/>
      <c r="F29" s="401">
        <f>1.5-0.15</f>
        <v>1.35</v>
      </c>
      <c r="H29" s="401">
        <f>1.4-0.15</f>
        <v>1.25</v>
      </c>
      <c r="K29" s="401">
        <f>0.9-0.15</f>
        <v>0.75</v>
      </c>
    </row>
    <row r="30" spans="1:11" x14ac:dyDescent="0.25">
      <c r="D30" s="401"/>
      <c r="F30" s="401"/>
      <c r="H30" s="401"/>
      <c r="K30" s="401"/>
    </row>
    <row r="31" spans="1:11" x14ac:dyDescent="0.25">
      <c r="A31" t="s">
        <v>221</v>
      </c>
      <c r="D31" s="401"/>
      <c r="F31" s="401">
        <f>1.6-0.15</f>
        <v>1.4500000000000002</v>
      </c>
      <c r="H31" s="401">
        <f>1.5-0.15</f>
        <v>1.35</v>
      </c>
      <c r="K31" s="401">
        <f>0.9-0.15</f>
        <v>0.75</v>
      </c>
    </row>
    <row r="32" spans="1:11" x14ac:dyDescent="0.25">
      <c r="D32" s="401"/>
      <c r="F32" s="401"/>
      <c r="H32" s="401"/>
      <c r="K32" s="401"/>
    </row>
    <row r="33" spans="1:11" x14ac:dyDescent="0.25">
      <c r="A33" t="s">
        <v>222</v>
      </c>
      <c r="D33" s="401"/>
      <c r="F33" s="401">
        <f>1.8-0.15</f>
        <v>1.6500000000000001</v>
      </c>
      <c r="H33" s="401">
        <f>1.55-0.15</f>
        <v>1.4000000000000001</v>
      </c>
      <c r="K33" s="401">
        <f>0.9-0.15</f>
        <v>0.75</v>
      </c>
    </row>
    <row r="34" spans="1:11" x14ac:dyDescent="0.25">
      <c r="D34" s="401"/>
      <c r="F34" s="401"/>
      <c r="H34" s="401"/>
      <c r="K34" s="401"/>
    </row>
    <row r="35" spans="1:11" x14ac:dyDescent="0.25">
      <c r="A35" t="s">
        <v>223</v>
      </c>
      <c r="D35" s="401"/>
      <c r="F35" s="401">
        <f>1.9-0.15</f>
        <v>1.75</v>
      </c>
      <c r="H35" s="401">
        <f>1.65-0.15</f>
        <v>1.5</v>
      </c>
      <c r="K35" s="401">
        <f>0.9-0.15</f>
        <v>0.75</v>
      </c>
    </row>
    <row r="37" spans="1:11" x14ac:dyDescent="0.25">
      <c r="A37" s="397" t="s">
        <v>225</v>
      </c>
    </row>
    <row r="39" spans="1:11" x14ac:dyDescent="0.25">
      <c r="A39" t="s">
        <v>218</v>
      </c>
      <c r="D39" s="401"/>
      <c r="F39" s="401">
        <v>0</v>
      </c>
      <c r="H39" s="401">
        <v>0</v>
      </c>
      <c r="K39" s="401">
        <v>0</v>
      </c>
    </row>
    <row r="40" spans="1:11" x14ac:dyDescent="0.25">
      <c r="D40" s="401"/>
      <c r="F40" s="401"/>
      <c r="H40" s="401"/>
      <c r="K40" s="401"/>
    </row>
    <row r="41" spans="1:11" x14ac:dyDescent="0.25">
      <c r="A41" t="s">
        <v>219</v>
      </c>
      <c r="D41" s="401"/>
      <c r="F41" s="401">
        <f>1.3-0.25</f>
        <v>1.05</v>
      </c>
      <c r="H41" s="401">
        <f>1.3-0.25</f>
        <v>1.05</v>
      </c>
      <c r="K41" s="401">
        <f>0.9-0.25</f>
        <v>0.65</v>
      </c>
    </row>
    <row r="42" spans="1:11" x14ac:dyDescent="0.25">
      <c r="D42" s="401"/>
      <c r="F42" s="401"/>
      <c r="H42" s="401"/>
      <c r="K42" s="401"/>
    </row>
    <row r="43" spans="1:11" x14ac:dyDescent="0.25">
      <c r="A43" t="s">
        <v>220</v>
      </c>
      <c r="D43" s="401"/>
      <c r="F43" s="401">
        <f>1.5-0.25</f>
        <v>1.25</v>
      </c>
      <c r="H43" s="401">
        <f>1.4-0.25</f>
        <v>1.1499999999999999</v>
      </c>
      <c r="K43" s="401">
        <f>0.9-0.25</f>
        <v>0.65</v>
      </c>
    </row>
    <row r="44" spans="1:11" x14ac:dyDescent="0.25">
      <c r="D44" s="401"/>
      <c r="F44" s="401"/>
      <c r="H44" s="401"/>
      <c r="K44" s="401"/>
    </row>
    <row r="45" spans="1:11" x14ac:dyDescent="0.25">
      <c r="A45" t="s">
        <v>221</v>
      </c>
      <c r="D45" s="401"/>
      <c r="F45" s="401">
        <f>1.6-0.25</f>
        <v>1.35</v>
      </c>
      <c r="H45" s="401">
        <f>1.5-0.25</f>
        <v>1.25</v>
      </c>
      <c r="K45" s="401">
        <f>0.9-0.25</f>
        <v>0.65</v>
      </c>
    </row>
    <row r="46" spans="1:11" x14ac:dyDescent="0.25">
      <c r="D46" s="401"/>
      <c r="F46" s="401"/>
      <c r="H46" s="401"/>
      <c r="K46" s="401"/>
    </row>
    <row r="47" spans="1:11" x14ac:dyDescent="0.25">
      <c r="A47" t="s">
        <v>222</v>
      </c>
      <c r="D47" s="401"/>
      <c r="F47" s="401">
        <f>1.8-0.25</f>
        <v>1.55</v>
      </c>
      <c r="H47" s="401">
        <f>1.55-0.25</f>
        <v>1.3</v>
      </c>
      <c r="K47" s="401">
        <f>0.9-0.25</f>
        <v>0.65</v>
      </c>
    </row>
    <row r="48" spans="1:11" x14ac:dyDescent="0.25">
      <c r="D48" s="401"/>
      <c r="F48" s="401"/>
      <c r="H48" s="401"/>
      <c r="K48" s="401"/>
    </row>
    <row r="49" spans="1:11" x14ac:dyDescent="0.25">
      <c r="A49" t="s">
        <v>223</v>
      </c>
      <c r="D49" s="401"/>
      <c r="F49" s="401">
        <f>1.9-0.25</f>
        <v>1.65</v>
      </c>
      <c r="H49" s="401">
        <f>1.65-0.25</f>
        <v>1.4</v>
      </c>
      <c r="K49" s="401">
        <f>0.9-0.25</f>
        <v>0.65</v>
      </c>
    </row>
    <row r="51" spans="1:11" x14ac:dyDescent="0.25">
      <c r="A51" s="396" t="s">
        <v>226</v>
      </c>
    </row>
    <row r="52" spans="1:11" x14ac:dyDescent="0.25">
      <c r="A52" s="396" t="s">
        <v>227</v>
      </c>
    </row>
    <row r="53" spans="1:11" x14ac:dyDescent="0.25">
      <c r="A53" s="396" t="s">
        <v>228</v>
      </c>
    </row>
    <row r="54" spans="1:11" x14ac:dyDescent="0.25">
      <c r="D54" s="396" t="s">
        <v>229</v>
      </c>
    </row>
    <row r="55" spans="1:11" x14ac:dyDescent="0.25">
      <c r="D55" s="396" t="s">
        <v>230</v>
      </c>
    </row>
    <row r="56" spans="1:11" x14ac:dyDescent="0.25">
      <c r="D56" s="396" t="s">
        <v>231</v>
      </c>
    </row>
    <row r="58" spans="1:11" x14ac:dyDescent="0.25">
      <c r="A58" s="402"/>
      <c r="B58" s="402"/>
      <c r="C58" s="402"/>
      <c r="D58" s="396" t="s">
        <v>232</v>
      </c>
    </row>
    <row r="59" spans="1:11" ht="17.399999999999999" x14ac:dyDescent="0.3">
      <c r="A59" s="403"/>
      <c r="D59" s="396" t="s">
        <v>233</v>
      </c>
    </row>
    <row r="60" spans="1:11" ht="17.399999999999999" x14ac:dyDescent="0.3">
      <c r="A60" s="403"/>
      <c r="D60" s="396" t="s">
        <v>234</v>
      </c>
    </row>
    <row r="61" spans="1:11" ht="17.399999999999999" x14ac:dyDescent="0.3">
      <c r="A61" s="404"/>
    </row>
    <row r="62" spans="1:11" ht="17.399999999999999" x14ac:dyDescent="0.3">
      <c r="A62" s="404"/>
      <c r="D62" s="396" t="s">
        <v>235</v>
      </c>
    </row>
    <row r="63" spans="1:11" x14ac:dyDescent="0.25">
      <c r="A63" s="405"/>
      <c r="D63" s="396" t="s">
        <v>229</v>
      </c>
    </row>
    <row r="64" spans="1:11" x14ac:dyDescent="0.25">
      <c r="A64" s="405"/>
    </row>
    <row r="66" spans="4:4" x14ac:dyDescent="0.25">
      <c r="D66" s="396" t="s">
        <v>236</v>
      </c>
    </row>
    <row r="67" spans="4:4" x14ac:dyDescent="0.25">
      <c r="D67" s="396" t="s">
        <v>237</v>
      </c>
    </row>
  </sheetData>
  <pageMargins left="0.25" right="0.2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"/>
  <sheetViews>
    <sheetView topLeftCell="A28" zoomScaleNormal="100" workbookViewId="0">
      <selection activeCell="C1" sqref="C1"/>
    </sheetView>
  </sheetViews>
  <sheetFormatPr defaultRowHeight="13.2" x14ac:dyDescent="0.25"/>
  <cols>
    <col min="1" max="1" width="23" customWidth="1"/>
    <col min="2" max="2" width="7.5546875" customWidth="1"/>
    <col min="4" max="4" width="7.109375" customWidth="1"/>
    <col min="5" max="5" width="6.5546875" customWidth="1"/>
    <col min="7" max="7" width="4.109375" customWidth="1"/>
    <col min="8" max="8" width="5.5546875" bestFit="1" customWidth="1"/>
    <col min="9" max="9" width="4.109375" customWidth="1"/>
    <col min="10" max="10" width="5.88671875" customWidth="1"/>
  </cols>
  <sheetData>
    <row r="3" spans="1:8" ht="21" x14ac:dyDescent="0.4">
      <c r="C3" s="406" t="s">
        <v>238</v>
      </c>
    </row>
    <row r="6" spans="1:8" x14ac:dyDescent="0.25">
      <c r="A6" s="396" t="s">
        <v>239</v>
      </c>
    </row>
    <row r="7" spans="1:8" ht="20.399999999999999" x14ac:dyDescent="0.35">
      <c r="A7" s="397" t="s">
        <v>240</v>
      </c>
      <c r="C7" s="407"/>
    </row>
    <row r="8" spans="1:8" ht="20.399999999999999" x14ac:dyDescent="0.35">
      <c r="C8" s="407"/>
      <c r="D8" s="400"/>
      <c r="F8" s="396" t="s">
        <v>213</v>
      </c>
    </row>
    <row r="9" spans="1:8" x14ac:dyDescent="0.25">
      <c r="A9" s="396" t="s">
        <v>241</v>
      </c>
      <c r="F9" s="400" t="s">
        <v>216</v>
      </c>
      <c r="H9" s="400">
        <v>15</v>
      </c>
    </row>
    <row r="11" spans="1:8" x14ac:dyDescent="0.25">
      <c r="A11" t="s">
        <v>242</v>
      </c>
      <c r="D11" s="401"/>
      <c r="F11" s="401">
        <f>F17-1</f>
        <v>2.0499999999999998</v>
      </c>
      <c r="H11" s="401">
        <f>F11-0.76</f>
        <v>1.2899999999999998</v>
      </c>
    </row>
    <row r="12" spans="1:8" x14ac:dyDescent="0.25">
      <c r="D12" s="401"/>
      <c r="F12" s="401"/>
      <c r="H12" s="401"/>
    </row>
    <row r="13" spans="1:8" x14ac:dyDescent="0.25">
      <c r="A13" t="s">
        <v>243</v>
      </c>
      <c r="D13" s="401"/>
      <c r="F13" s="401">
        <f>F17-0.4</f>
        <v>2.65</v>
      </c>
      <c r="H13" s="401">
        <f>F13-0.76</f>
        <v>1.89</v>
      </c>
    </row>
    <row r="14" spans="1:8" x14ac:dyDescent="0.25">
      <c r="D14" s="401"/>
      <c r="F14" s="401"/>
      <c r="H14" s="401"/>
    </row>
    <row r="15" spans="1:8" x14ac:dyDescent="0.25">
      <c r="A15" t="s">
        <v>221</v>
      </c>
      <c r="D15" s="401"/>
      <c r="F15" s="401">
        <f>F17-0.1</f>
        <v>2.9499999999999997</v>
      </c>
      <c r="H15" s="401">
        <f>F15-0.76</f>
        <v>2.1899999999999995</v>
      </c>
    </row>
    <row r="16" spans="1:8" x14ac:dyDescent="0.25">
      <c r="D16" s="401"/>
      <c r="F16" s="401"/>
      <c r="H16" s="401"/>
    </row>
    <row r="17" spans="1:8" x14ac:dyDescent="0.25">
      <c r="A17" t="s">
        <v>244</v>
      </c>
      <c r="D17" s="401"/>
      <c r="F17" s="401">
        <v>3.05</v>
      </c>
      <c r="H17" s="401">
        <f>F17-0.76</f>
        <v>2.29</v>
      </c>
    </row>
    <row r="18" spans="1:8" x14ac:dyDescent="0.25">
      <c r="D18" s="401"/>
      <c r="F18" s="401"/>
      <c r="H18" s="401"/>
    </row>
    <row r="19" spans="1:8" x14ac:dyDescent="0.25">
      <c r="D19" s="401"/>
      <c r="F19" s="401"/>
      <c r="H19" s="401"/>
    </row>
    <row r="20" spans="1:8" x14ac:dyDescent="0.25">
      <c r="A20" s="397" t="s">
        <v>245</v>
      </c>
    </row>
    <row r="22" spans="1:8" x14ac:dyDescent="0.25">
      <c r="A22" t="s">
        <v>242</v>
      </c>
      <c r="D22" s="401"/>
      <c r="F22" s="401">
        <f>F28-1</f>
        <v>1.9500000000000002</v>
      </c>
      <c r="H22" s="401">
        <f>F22-0.76</f>
        <v>1.1900000000000002</v>
      </c>
    </row>
    <row r="23" spans="1:8" x14ac:dyDescent="0.25">
      <c r="D23" s="401"/>
      <c r="F23" s="401"/>
      <c r="H23" s="401"/>
    </row>
    <row r="24" spans="1:8" x14ac:dyDescent="0.25">
      <c r="A24" t="s">
        <v>243</v>
      </c>
      <c r="D24" s="401"/>
      <c r="F24" s="401">
        <f>F28-0.4</f>
        <v>2.5500000000000003</v>
      </c>
      <c r="H24" s="401">
        <f>F24-0.76</f>
        <v>1.7900000000000003</v>
      </c>
    </row>
    <row r="25" spans="1:8" x14ac:dyDescent="0.25">
      <c r="D25" s="401"/>
      <c r="F25" s="401"/>
      <c r="H25" s="401"/>
    </row>
    <row r="26" spans="1:8" x14ac:dyDescent="0.25">
      <c r="A26" t="s">
        <v>221</v>
      </c>
      <c r="D26" s="401"/>
      <c r="F26" s="401">
        <f>F28-0.1</f>
        <v>2.85</v>
      </c>
      <c r="H26" s="401">
        <f>F26-0.76</f>
        <v>2.09</v>
      </c>
    </row>
    <row r="27" spans="1:8" x14ac:dyDescent="0.25">
      <c r="D27" s="401"/>
      <c r="F27" s="401"/>
      <c r="H27" s="401"/>
    </row>
    <row r="28" spans="1:8" x14ac:dyDescent="0.25">
      <c r="A28" t="s">
        <v>244</v>
      </c>
      <c r="D28" s="401"/>
      <c r="F28" s="401">
        <v>2.95</v>
      </c>
      <c r="H28" s="401">
        <f>F28-0.76</f>
        <v>2.1900000000000004</v>
      </c>
    </row>
    <row r="29" spans="1:8" x14ac:dyDescent="0.25">
      <c r="D29" s="401"/>
      <c r="F29" s="401"/>
      <c r="H29" s="401"/>
    </row>
    <row r="31" spans="1:8" x14ac:dyDescent="0.25">
      <c r="A31" s="397" t="s">
        <v>246</v>
      </c>
    </row>
    <row r="33" spans="1:8" x14ac:dyDescent="0.25">
      <c r="A33" t="s">
        <v>242</v>
      </c>
      <c r="D33" s="401"/>
      <c r="F33" s="401">
        <f>F39-1</f>
        <v>1.85</v>
      </c>
      <c r="H33" s="401">
        <f>F33-0.76</f>
        <v>1.0900000000000001</v>
      </c>
    </row>
    <row r="34" spans="1:8" x14ac:dyDescent="0.25">
      <c r="D34" s="401"/>
      <c r="F34" s="401"/>
      <c r="H34" s="401"/>
    </row>
    <row r="35" spans="1:8" x14ac:dyDescent="0.25">
      <c r="A35" t="s">
        <v>243</v>
      </c>
      <c r="D35" s="401"/>
      <c r="F35" s="401">
        <f>F39-0.4</f>
        <v>2.4500000000000002</v>
      </c>
      <c r="H35" s="401">
        <f>F35-0.76</f>
        <v>1.6900000000000002</v>
      </c>
    </row>
    <row r="36" spans="1:8" x14ac:dyDescent="0.25">
      <c r="D36" s="401"/>
      <c r="F36" s="401"/>
      <c r="H36" s="401"/>
    </row>
    <row r="37" spans="1:8" x14ac:dyDescent="0.25">
      <c r="A37" t="s">
        <v>221</v>
      </c>
      <c r="D37" s="401"/>
      <c r="F37" s="401">
        <f>F39-0.1</f>
        <v>2.75</v>
      </c>
      <c r="H37" s="401">
        <f>F37-0.76</f>
        <v>1.99</v>
      </c>
    </row>
    <row r="38" spans="1:8" x14ac:dyDescent="0.25">
      <c r="D38" s="401"/>
      <c r="F38" s="401"/>
      <c r="H38" s="401"/>
    </row>
    <row r="39" spans="1:8" x14ac:dyDescent="0.25">
      <c r="A39" t="s">
        <v>244</v>
      </c>
      <c r="D39" s="401"/>
      <c r="F39" s="401">
        <v>2.85</v>
      </c>
      <c r="H39" s="401">
        <f>F39-0.76</f>
        <v>2.09</v>
      </c>
    </row>
    <row r="40" spans="1:8" x14ac:dyDescent="0.25">
      <c r="D40" s="401"/>
      <c r="F40" s="401"/>
      <c r="H40" s="401"/>
    </row>
    <row r="41" spans="1:8" x14ac:dyDescent="0.25">
      <c r="A41" s="396"/>
    </row>
    <row r="42" spans="1:8" x14ac:dyDescent="0.25">
      <c r="A42" s="396" t="s">
        <v>247</v>
      </c>
    </row>
    <row r="43" spans="1:8" x14ac:dyDescent="0.25">
      <c r="A43" s="145" t="s">
        <v>233</v>
      </c>
    </row>
    <row r="44" spans="1:8" x14ac:dyDescent="0.25">
      <c r="A44" s="145" t="s">
        <v>234</v>
      </c>
    </row>
    <row r="45" spans="1:8" x14ac:dyDescent="0.25">
      <c r="A45" s="145"/>
    </row>
    <row r="46" spans="1:8" x14ac:dyDescent="0.25">
      <c r="A46" s="396" t="s">
        <v>248</v>
      </c>
    </row>
    <row r="47" spans="1:8" x14ac:dyDescent="0.25">
      <c r="A47" s="145" t="s">
        <v>229</v>
      </c>
    </row>
    <row r="48" spans="1:8" x14ac:dyDescent="0.25">
      <c r="A48" s="145"/>
    </row>
    <row r="49" spans="1:1" x14ac:dyDescent="0.25">
      <c r="A49" s="396" t="s">
        <v>230</v>
      </c>
    </row>
    <row r="50" spans="1:1" x14ac:dyDescent="0.25">
      <c r="A50" s="396" t="s">
        <v>231</v>
      </c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Conv-Conforming Fixed Rate</vt:lpstr>
      <vt:lpstr>FHA - VA Rates</vt:lpstr>
      <vt:lpstr>Other - Rural Housing &amp; TX VET</vt:lpstr>
      <vt:lpstr>Price Adjustments</vt:lpstr>
      <vt:lpstr>SRP Schedule &amp; Other</vt:lpstr>
      <vt:lpstr>SRP Goverment</vt:lpstr>
      <vt:lpstr>'Other - Rural Housing &amp; TX VET'!Print_Area</vt:lpstr>
    </vt:vector>
  </TitlesOfParts>
  <Company>TIB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Grossart</dc:creator>
  <cp:lastModifiedBy>Donald Grossart</cp:lastModifiedBy>
  <dcterms:created xsi:type="dcterms:W3CDTF">2013-12-06T15:36:44Z</dcterms:created>
  <dcterms:modified xsi:type="dcterms:W3CDTF">2013-12-06T15:37:20Z</dcterms:modified>
</cp:coreProperties>
</file>