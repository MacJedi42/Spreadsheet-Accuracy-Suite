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" yWindow="-12" windowWidth="6120" windowHeight="4560"/>
  </bookViews>
  <sheets>
    <sheet name="FILL OUT FORM A - PRINT &amp; SIGN" sheetId="4" r:id="rId1"/>
    <sheet name="FILL OUT WORKSHEET - PRINT" sheetId="2" r:id="rId2"/>
  </sheets>
  <definedNames>
    <definedName name="_Regression_Int" localSheetId="0" hidden="1">1</definedName>
    <definedName name="_Regression_Int" localSheetId="1" hidden="1">1</definedName>
    <definedName name="_xlnm.Print_Area" localSheetId="0">'FILL OUT FORM A - PRINT &amp; SIGN'!$A$1:$L$57</definedName>
    <definedName name="_xlnm.Print_Area" localSheetId="1">'FILL OUT WORKSHEET - PRINT'!$B$1:$H$196</definedName>
    <definedName name="Print_Area_MI" localSheetId="0">'FILL OUT FORM A - PRINT &amp; SIGN'!$A$1:$P$57</definedName>
    <definedName name="Print_Area_MI" localSheetId="1">'FILL OUT WORKSHEET - PRINT'!$C$1:$H$196</definedName>
    <definedName name="Print_Area_MI">#REF!</definedName>
    <definedName name="_xlnm.Print_Titles" localSheetId="1">'FILL OUT WORKSHEET - PRINT'!$1:$7</definedName>
  </definedNames>
  <calcPr calcId="144525" iterate="1" iterateCount="1"/>
</workbook>
</file>

<file path=xl/calcChain.xml><?xml version="1.0" encoding="utf-8"?>
<calcChain xmlns="http://schemas.openxmlformats.org/spreadsheetml/2006/main">
  <c r="H144" i="2" l="1"/>
  <c r="F153" i="2"/>
  <c r="D157" i="2" l="1"/>
  <c r="G152" i="2"/>
  <c r="G153" i="2"/>
  <c r="G154" i="2"/>
  <c r="G155" i="2"/>
  <c r="E157" i="2"/>
  <c r="H45" i="2"/>
  <c r="G45" i="2"/>
  <c r="F45" i="2"/>
  <c r="E97" i="2"/>
  <c r="D97" i="2"/>
  <c r="H57" i="2"/>
  <c r="F59" i="2"/>
  <c r="H59" i="2"/>
  <c r="H79" i="2"/>
  <c r="G79" i="2"/>
  <c r="F79" i="2"/>
  <c r="F90" i="2"/>
  <c r="G90" i="2"/>
  <c r="H90" i="2"/>
  <c r="F91" i="2"/>
  <c r="G91" i="2"/>
  <c r="H91" i="2"/>
  <c r="F92" i="2"/>
  <c r="G92" i="2"/>
  <c r="H92" i="2"/>
  <c r="F93" i="2"/>
  <c r="G93" i="2"/>
  <c r="H93" i="2"/>
  <c r="F94" i="2"/>
  <c r="G94" i="2"/>
  <c r="H94" i="2"/>
  <c r="F95" i="2"/>
  <c r="G95" i="2"/>
  <c r="H95" i="2"/>
  <c r="H44" i="2"/>
  <c r="G44" i="2"/>
  <c r="F44" i="2"/>
  <c r="F67" i="2"/>
  <c r="F68" i="2"/>
  <c r="F69" i="2"/>
  <c r="F70" i="2"/>
  <c r="F71" i="2"/>
  <c r="F72" i="2"/>
  <c r="F73" i="2"/>
  <c r="F74" i="2"/>
  <c r="F75" i="2"/>
  <c r="F29" i="2"/>
  <c r="F30" i="2"/>
  <c r="F31" i="2"/>
  <c r="F32" i="2"/>
  <c r="F33" i="2"/>
  <c r="F34" i="2"/>
  <c r="F35" i="2"/>
  <c r="F36" i="2"/>
  <c r="F37" i="2"/>
  <c r="F38" i="2"/>
  <c r="F39" i="2"/>
  <c r="F40" i="2"/>
  <c r="E185" i="2"/>
  <c r="E189" i="2"/>
  <c r="H183" i="2"/>
  <c r="E174" i="2"/>
  <c r="E179" i="2" s="1"/>
  <c r="H172" i="2"/>
  <c r="H171" i="2"/>
  <c r="E165" i="2"/>
  <c r="H163" i="2"/>
  <c r="H162" i="2"/>
  <c r="H161" i="2"/>
  <c r="H160" i="2"/>
  <c r="H155" i="2"/>
  <c r="H154" i="2"/>
  <c r="F154" i="2"/>
  <c r="H153" i="2"/>
  <c r="H152" i="2"/>
  <c r="F152" i="2"/>
  <c r="H151" i="2"/>
  <c r="G151" i="2"/>
  <c r="F151" i="2"/>
  <c r="E148" i="2"/>
  <c r="D148" i="2"/>
  <c r="H146" i="2"/>
  <c r="H145" i="2"/>
  <c r="H143" i="2"/>
  <c r="G143" i="2"/>
  <c r="H142" i="2"/>
  <c r="F142" i="2"/>
  <c r="H141" i="2"/>
  <c r="G141" i="2"/>
  <c r="G148" i="2" s="1"/>
  <c r="F141" i="2"/>
  <c r="H139" i="2"/>
  <c r="H138" i="2"/>
  <c r="G138" i="2"/>
  <c r="H137" i="2"/>
  <c r="G137" i="2"/>
  <c r="E133" i="2"/>
  <c r="D133" i="2"/>
  <c r="H131" i="2"/>
  <c r="H130" i="2"/>
  <c r="H129" i="2"/>
  <c r="H128" i="2"/>
  <c r="H127" i="2"/>
  <c r="F127" i="2"/>
  <c r="H126" i="2"/>
  <c r="G126" i="2"/>
  <c r="G133" i="2" s="1"/>
  <c r="F126" i="2"/>
  <c r="E123" i="2"/>
  <c r="E167" i="2" s="1"/>
  <c r="E178" i="2" s="1"/>
  <c r="D123" i="2"/>
  <c r="H121" i="2"/>
  <c r="H120" i="2"/>
  <c r="G120" i="2"/>
  <c r="H119" i="2"/>
  <c r="G119" i="2"/>
  <c r="H118" i="2"/>
  <c r="G118" i="2"/>
  <c r="H117" i="2"/>
  <c r="H116" i="2"/>
  <c r="G116" i="2"/>
  <c r="F116" i="2"/>
  <c r="H115" i="2"/>
  <c r="G115" i="2"/>
  <c r="F115" i="2"/>
  <c r="H108" i="2"/>
  <c r="H107" i="2"/>
  <c r="H105" i="2"/>
  <c r="H103" i="2"/>
  <c r="G103" i="2"/>
  <c r="H101" i="2"/>
  <c r="H99" i="2"/>
  <c r="H89" i="2"/>
  <c r="G89" i="2"/>
  <c r="F89" i="2"/>
  <c r="H88" i="2"/>
  <c r="G88" i="2"/>
  <c r="F88" i="2"/>
  <c r="H87" i="2"/>
  <c r="G87" i="2"/>
  <c r="F87" i="2"/>
  <c r="H86" i="2"/>
  <c r="G86" i="2"/>
  <c r="F86" i="2"/>
  <c r="H83" i="2"/>
  <c r="E78" i="2"/>
  <c r="E81" i="2" s="1"/>
  <c r="E109" i="2" s="1"/>
  <c r="D78" i="2"/>
  <c r="D81" i="2" s="1"/>
  <c r="H76" i="2"/>
  <c r="G76" i="2"/>
  <c r="F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1" i="2"/>
  <c r="E55" i="2"/>
  <c r="D55" i="2"/>
  <c r="H53" i="2"/>
  <c r="G53" i="2"/>
  <c r="G55" i="2" s="1"/>
  <c r="F53" i="2"/>
  <c r="H50" i="2"/>
  <c r="H46" i="2"/>
  <c r="G46" i="2"/>
  <c r="F46" i="2"/>
  <c r="H43" i="2"/>
  <c r="G43" i="2"/>
  <c r="F43" i="2"/>
  <c r="E42" i="2"/>
  <c r="E48" i="2" s="1"/>
  <c r="E63" i="2" s="1"/>
  <c r="D42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H42" i="2" s="1"/>
  <c r="G29" i="2"/>
  <c r="E16" i="2"/>
  <c r="H14" i="2"/>
  <c r="G12" i="2"/>
  <c r="H185" i="2" s="1"/>
  <c r="G10" i="2"/>
  <c r="H189" i="2" s="1"/>
  <c r="H9" i="2"/>
  <c r="H1" i="2"/>
  <c r="H174" i="2"/>
  <c r="H179" i="2" s="1"/>
  <c r="H55" i="2"/>
  <c r="F50" i="2"/>
  <c r="F83" i="2"/>
  <c r="D109" i="2" l="1"/>
  <c r="G97" i="2"/>
  <c r="D167" i="2"/>
  <c r="G42" i="2"/>
  <c r="G48" i="2" s="1"/>
  <c r="G63" i="2" s="1"/>
  <c r="D48" i="2"/>
  <c r="E18" i="2"/>
  <c r="G157" i="2"/>
  <c r="H97" i="2"/>
  <c r="H16" i="2"/>
  <c r="H123" i="2"/>
  <c r="G123" i="2"/>
  <c r="H133" i="2"/>
  <c r="H148" i="2"/>
  <c r="H157" i="2"/>
  <c r="D63" i="2"/>
  <c r="D111" i="2" s="1"/>
  <c r="G78" i="2"/>
  <c r="G81" i="2" s="1"/>
  <c r="G109" i="2" s="1"/>
  <c r="H165" i="2"/>
  <c r="H78" i="2"/>
  <c r="H81" i="2" s="1"/>
  <c r="H48" i="2"/>
  <c r="H63" i="2" s="1"/>
  <c r="E111" i="2"/>
  <c r="E177" i="2" s="1"/>
  <c r="E187" i="2" s="1"/>
  <c r="E180" i="2"/>
  <c r="H109" i="2" l="1"/>
  <c r="H111" i="2" s="1"/>
  <c r="H177" i="2" s="1"/>
  <c r="H187" i="2" s="1"/>
  <c r="H18" i="2"/>
  <c r="E181" i="2"/>
  <c r="E192" i="2" s="1"/>
  <c r="G167" i="2"/>
  <c r="G111" i="2"/>
  <c r="H167" i="2"/>
  <c r="H178" i="2" s="1"/>
  <c r="H180" i="2" s="1"/>
  <c r="E182" i="2" l="1"/>
  <c r="E184" i="2" s="1"/>
  <c r="E188" i="2" s="1"/>
  <c r="E190" i="2" s="1"/>
  <c r="E20" i="2" s="1"/>
  <c r="H181" i="2"/>
  <c r="H192" i="2" s="1"/>
  <c r="E194" i="2" l="1"/>
  <c r="E196" i="2" s="1"/>
  <c r="E22" i="2" s="1"/>
  <c r="H182" i="2"/>
  <c r="H184" i="2" s="1"/>
  <c r="H188" i="2" s="1"/>
  <c r="H190" i="2" s="1"/>
  <c r="H20" i="2" s="1"/>
  <c r="H194" i="2" l="1"/>
  <c r="H196" i="2" s="1"/>
  <c r="H22" i="2" s="1"/>
</calcChain>
</file>

<file path=xl/sharedStrings.xml><?xml version="1.0" encoding="utf-8"?>
<sst xmlns="http://schemas.openxmlformats.org/spreadsheetml/2006/main" count="251" uniqueCount="177">
  <si>
    <t xml:space="preserve"> </t>
  </si>
  <si>
    <t>FORM A:  PROGRAM IDENTIFICATION</t>
  </si>
  <si>
    <t>Average Number of Students in Program:</t>
  </si>
  <si>
    <t>Maximum Number of Staff:</t>
  </si>
  <si>
    <t>Actual Staff Employed under the Formula:</t>
  </si>
  <si>
    <t>FORM B:  SPECIAL EDUCATION COSTS</t>
  </si>
  <si>
    <t>FTE</t>
  </si>
  <si>
    <t>$</t>
  </si>
  <si>
    <t>SECTION I:  INSTRUCTIONAL</t>
  </si>
  <si>
    <t>SALARIES</t>
  </si>
  <si>
    <t xml:space="preserve">   Significant Limited Intellectual Capacity</t>
  </si>
  <si>
    <t xml:space="preserve">   Physical Disability</t>
  </si>
  <si>
    <t xml:space="preserve">   Traumatic Brain Injury</t>
  </si>
  <si>
    <t xml:space="preserve">   Multiple Disabilities</t>
  </si>
  <si>
    <t xml:space="preserve">   SUBTOTAL</t>
  </si>
  <si>
    <t xml:space="preserve">   TOTAL</t>
  </si>
  <si>
    <t>EMPLOYEE BENEFITS</t>
  </si>
  <si>
    <t>PURCHASED SERVICES</t>
  </si>
  <si>
    <t xml:space="preserve">   Staff Travel</t>
  </si>
  <si>
    <t>SUPPLIES AND MATERIALS</t>
  </si>
  <si>
    <t>CAPITAL OUTLAY</t>
  </si>
  <si>
    <t>SECTION II:  SUPPORT</t>
  </si>
  <si>
    <t xml:space="preserve">   Nurses</t>
  </si>
  <si>
    <t xml:space="preserve">   Occupational Therapists</t>
  </si>
  <si>
    <t xml:space="preserve">   Physical Therapists</t>
  </si>
  <si>
    <t xml:space="preserve">   Psychologists</t>
  </si>
  <si>
    <t xml:space="preserve">   Social Workers</t>
  </si>
  <si>
    <t xml:space="preserve">   Specialty Teachers:  Physical Education</t>
  </si>
  <si>
    <t xml:space="preserve">   Special Education Directors</t>
  </si>
  <si>
    <t xml:space="preserve">   TOTAL PURCHASED SERVICES</t>
  </si>
  <si>
    <t>GRAND TOTAL SPECIAL EDUCATION COSTS</t>
  </si>
  <si>
    <t xml:space="preserve">   Benefits</t>
  </si>
  <si>
    <t xml:space="preserve">   Legal Fees</t>
  </si>
  <si>
    <t xml:space="preserve">   Insurance and Bonding</t>
  </si>
  <si>
    <t xml:space="preserve">   Public Relations</t>
  </si>
  <si>
    <t xml:space="preserve">   Supplies and Materials</t>
  </si>
  <si>
    <t xml:space="preserve">   Audit</t>
  </si>
  <si>
    <t xml:space="preserve">   Data Processing</t>
  </si>
  <si>
    <t xml:space="preserve">   Payroll</t>
  </si>
  <si>
    <t xml:space="preserve">   Utilities</t>
  </si>
  <si>
    <t xml:space="preserve">   Janitorial and Building Supplies</t>
  </si>
  <si>
    <t xml:space="preserve">   Janitorial Benefits</t>
  </si>
  <si>
    <t xml:space="preserve">   Rent/Lease/Depreciation</t>
  </si>
  <si>
    <t xml:space="preserve">   Building Repair and Maintenance</t>
  </si>
  <si>
    <t>REGULAR EDUCATION</t>
  </si>
  <si>
    <t xml:space="preserve">   Regular Education Employee Benefits</t>
  </si>
  <si>
    <t xml:space="preserve">   Regular Education Supplies and Materials</t>
  </si>
  <si>
    <t xml:space="preserve">   Lease/Depreciation</t>
  </si>
  <si>
    <t xml:space="preserve">   Replacement</t>
  </si>
  <si>
    <t xml:space="preserve">   Repair and Maintenance</t>
  </si>
  <si>
    <t>FORM D:  EDUCATION PROGRAM REVENUES</t>
  </si>
  <si>
    <t xml:space="preserve">   Cash Donations</t>
  </si>
  <si>
    <t>OTHER EDUCATION REVENUES</t>
  </si>
  <si>
    <t xml:space="preserve">   Other Education Grants (Specify)</t>
  </si>
  <si>
    <t xml:space="preserve">  1. Total special education costs (from Form B)</t>
  </si>
  <si>
    <t xml:space="preserve">      (calculated)</t>
  </si>
  <si>
    <t xml:space="preserve">      applicable revenues (calculated)</t>
  </si>
  <si>
    <t>Actual Reported</t>
  </si>
  <si>
    <t>Average</t>
  </si>
  <si>
    <t>Salary</t>
  </si>
  <si>
    <t>CDE Approved</t>
  </si>
  <si>
    <t>Covered by Applicable Revenues:</t>
  </si>
  <si>
    <t xml:space="preserve">  9. Average number of students in program (from Form A)</t>
  </si>
  <si>
    <t>10. Per student special education costs above revenues,</t>
  </si>
  <si>
    <t>14. Per student education cost above applicable revenues</t>
  </si>
  <si>
    <t xml:space="preserve">   Salaries *</t>
  </si>
  <si>
    <t xml:space="preserve">   Van Drivers Wages *</t>
  </si>
  <si>
    <t xml:space="preserve">   Substitute Teachers Wages *</t>
  </si>
  <si>
    <t>FORM C:  ADDITIONAL EDUCATION COSTS</t>
  </si>
  <si>
    <t xml:space="preserve">  2. Additional education costs (from Form C)</t>
  </si>
  <si>
    <t xml:space="preserve">  3. Education program revenues (from Form D)</t>
  </si>
  <si>
    <t>16. Daily per student additional education costs not covered by</t>
  </si>
  <si>
    <t>Approved Daily Additional per Student Education Costs not</t>
  </si>
  <si>
    <t>Number of Students per Staff FTE (applied ratio):</t>
  </si>
  <si>
    <t>Number of Program Days for the School Year:</t>
  </si>
  <si>
    <t xml:space="preserve">   Specific Learning Disability</t>
  </si>
  <si>
    <t xml:space="preserve">   Speech or Language Impairment</t>
  </si>
  <si>
    <t xml:space="preserve">   Preschooler with a Disability</t>
  </si>
  <si>
    <t xml:space="preserve">   Educational Interpreters</t>
  </si>
  <si>
    <t xml:space="preserve">   Communication (Telephone and Postage)</t>
  </si>
  <si>
    <t xml:space="preserve">   Insurance (Liability and Property)</t>
  </si>
  <si>
    <t xml:space="preserve">   Contract Security &amp; Janitorial </t>
  </si>
  <si>
    <t xml:space="preserve">   Special Education Vehicle Modifications</t>
  </si>
  <si>
    <t xml:space="preserve">  8. PPR to be applied as a revenue for special education (calculated)</t>
  </si>
  <si>
    <t xml:space="preserve">  4. Additional education costs above applicable revenues (calculated)</t>
  </si>
  <si>
    <t xml:space="preserve">  5. Total education costs above applicable revenues (calculated)</t>
  </si>
  <si>
    <t xml:space="preserve">  6. Percent of total education costs for special education (calculated)</t>
  </si>
  <si>
    <t>12. Number of program days for the school year (from Form A)</t>
  </si>
  <si>
    <t xml:space="preserve">      excluding PPR (calculated)</t>
  </si>
  <si>
    <t xml:space="preserve">   (includes applicable portion of business and administration)</t>
  </si>
  <si>
    <t>ED, self-contained</t>
  </si>
  <si>
    <t>Colorado Department of Education</t>
  </si>
  <si>
    <t>FORM A</t>
  </si>
  <si>
    <t>Address:</t>
  </si>
  <si>
    <t>Contact Person:</t>
  </si>
  <si>
    <t>Telephone:</t>
  </si>
  <si>
    <t>Number of Program Days</t>
  </si>
  <si>
    <t>for the School Year:</t>
  </si>
  <si>
    <t>Signature:</t>
  </si>
  <si>
    <t xml:space="preserve">       Date:</t>
  </si>
  <si>
    <t>Telephone:   (303)  866-6688</t>
  </si>
  <si>
    <t>CDE 433</t>
  </si>
  <si>
    <t>Name of Agency/Facility:</t>
  </si>
  <si>
    <t>Email Address:</t>
  </si>
  <si>
    <t>Fax Number:</t>
  </si>
  <si>
    <t>Name of Special Education Program:</t>
  </si>
  <si>
    <t>Beginning and Ending</t>
  </si>
  <si>
    <t xml:space="preserve">Estimated Average # of School Age </t>
  </si>
  <si>
    <t>Dates for the School Year:</t>
  </si>
  <si>
    <t>I certify that the information reported is, to the best of my knowledge, complete and accurate.</t>
  </si>
  <si>
    <t>(Agency Director)</t>
  </si>
  <si>
    <t>(Special Education Director)</t>
  </si>
  <si>
    <t xml:space="preserve">  - For CDE Use Only -</t>
  </si>
  <si>
    <t>STUDENT/STAFF RATIO:</t>
  </si>
  <si>
    <t>1:</t>
  </si>
  <si>
    <t xml:space="preserve">  MAXIMUM NUMBER OF STAFF:</t>
  </si>
  <si>
    <t>REVIEW AND APPROVAL OF AUTHORIZED STATE AGENCY REPRESENTATIVE</t>
  </si>
  <si>
    <t xml:space="preserve">         |</t>
  </si>
  <si>
    <t xml:space="preserve">The additional per student education </t>
  </si>
  <si>
    <t>cost is:</t>
  </si>
  <si>
    <t xml:space="preserve">      $ ______________________/DAY</t>
  </si>
  <si>
    <t xml:space="preserve">      AGENCY/FACILITY PROGRAM IDENTIFICATION</t>
  </si>
  <si>
    <t xml:space="preserve">      CERTIFICATION OF INFORMATION</t>
  </si>
  <si>
    <t>202, 0037</t>
  </si>
  <si>
    <t xml:space="preserve">   Education Coordinator</t>
  </si>
  <si>
    <t>SALARIES - Special Education Teachers</t>
  </si>
  <si>
    <t xml:space="preserve">   Serious Emotional Disability</t>
  </si>
  <si>
    <t xml:space="preserve">   Hearing Impairment</t>
  </si>
  <si>
    <t xml:space="preserve">   Visual Impairment</t>
  </si>
  <si>
    <t xml:space="preserve">   Autism Spectrum Disorders</t>
  </si>
  <si>
    <t xml:space="preserve">   Deaf-Blindness</t>
  </si>
  <si>
    <t>202, 0035</t>
  </si>
  <si>
    <t>JOB CLASS CODES</t>
  </si>
  <si>
    <t xml:space="preserve">   Teaching Assistant, Special Education</t>
  </si>
  <si>
    <t xml:space="preserve">   Career Assistant/Job Coach</t>
  </si>
  <si>
    <t xml:space="preserve">   Speech - Language Pathologists</t>
  </si>
  <si>
    <t xml:space="preserve">   Educational Diagnostician</t>
  </si>
  <si>
    <t xml:space="preserve">   Instructional Program Consultant</t>
  </si>
  <si>
    <t xml:space="preserve">   Staff Developer</t>
  </si>
  <si>
    <t xml:space="preserve">   General Office/Secretary</t>
  </si>
  <si>
    <t xml:space="preserve">   Library/Media Assistant</t>
  </si>
  <si>
    <r>
      <t xml:space="preserve">Legal Name of Agency/Facility </t>
    </r>
    <r>
      <rPr>
        <i/>
        <sz val="12"/>
        <rFont val="Calibri"/>
        <family val="2"/>
        <scheme val="minor"/>
      </rPr>
      <t>(as listed on the DHS license)</t>
    </r>
    <r>
      <rPr>
        <sz val="12"/>
        <rFont val="Calibri"/>
        <family val="2"/>
        <scheme val="minor"/>
      </rPr>
      <t xml:space="preserve">:  </t>
    </r>
  </si>
  <si>
    <t>Name of Facility School/Special Education Program:</t>
  </si>
  <si>
    <t>INSTRUCTIONAL STAFF TRAVEL</t>
  </si>
  <si>
    <t>SUPPORT STAFF TRAVEL</t>
  </si>
  <si>
    <t>PUPIL TRANSPORTATION</t>
  </si>
  <si>
    <t>OTHER (Example: Field trip costs, admission fees, etc.)</t>
  </si>
  <si>
    <t xml:space="preserve">   TOTAL SUPPORT</t>
  </si>
  <si>
    <t xml:space="preserve">   TOTAL INSTRUCTION</t>
  </si>
  <si>
    <t xml:space="preserve">   TOTAL ADMINISTRATION</t>
  </si>
  <si>
    <t xml:space="preserve">   TOTAL BUSINESS SERVICES</t>
  </si>
  <si>
    <t xml:space="preserve">   TOTAL OCCUPANCY</t>
  </si>
  <si>
    <t xml:space="preserve">   TOTAL REGULAR EDUCATION</t>
  </si>
  <si>
    <t xml:space="preserve">   TOTAL NON-INSTRUCTIONAL EQUIPMENT</t>
  </si>
  <si>
    <t xml:space="preserve">   TOTAL ADDITIONAL EDUCATION COSTS</t>
  </si>
  <si>
    <t xml:space="preserve">   TOTAL OTHER EDUCATION PROGRAM REVENUES</t>
  </si>
  <si>
    <t>BUILDING OCCUPANCY - EDUCATION AND SUPPORT SERVICES</t>
  </si>
  <si>
    <t xml:space="preserve">   Teachers Salaries</t>
  </si>
  <si>
    <t>NON-INSTRUCTIONAL EQUIPMENT (Vehicle/Copy Machine)</t>
  </si>
  <si>
    <t xml:space="preserve">   Other Specialty Teachers: Art, Music, Family Consumer, Industrial Arts</t>
  </si>
  <si>
    <t xml:space="preserve">    TOTAL PURCHASED SERVICES</t>
  </si>
  <si>
    <t>GENERAL ADMINISTRATION</t>
  </si>
  <si>
    <t>GENERAL BUSINESS SERVICES</t>
  </si>
  <si>
    <t xml:space="preserve"> JANITORIAL SERVICES</t>
  </si>
  <si>
    <t xml:space="preserve">   Janitorial Salaries *</t>
  </si>
  <si>
    <t>FISCAL YEAR 2014-2015</t>
  </si>
  <si>
    <t>Students to be Served in 2014-15:</t>
  </si>
  <si>
    <t>DOCUMENTATION OF A TUITION COST RATE</t>
  </si>
  <si>
    <t>Finance and Operations</t>
  </si>
  <si>
    <t>The approved tuition cost rate is:</t>
  </si>
  <si>
    <t>APPROVAL OF A TUITION COST RATE FOR FISCAL YEAR 2014-15</t>
  </si>
  <si>
    <t>Approved Daily per Student Tuition Cost Rate:</t>
  </si>
  <si>
    <t>11. Approved tuition cost per student (calculated)</t>
  </si>
  <si>
    <t>13. Daily per student tuition cost rate (calculated)</t>
  </si>
  <si>
    <t xml:space="preserve">  7. 2014-15 estimated state average PPR</t>
  </si>
  <si>
    <t>FORM E:  CALCULATION OF A TUITION COST RATE</t>
  </si>
  <si>
    <t xml:space="preserve">15. Per student education costs above PPR and tuition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</si>
</sst>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mm/dd/yy_)"/>
    <numFmt numFmtId="165" formatCode="0_)"/>
    <numFmt numFmtId="166" formatCode="0.00_)"/>
    <numFmt numFmtId="167" formatCode="#,##0.000_);\(#,##0.000\)"/>
    <numFmt numFmtId="168" formatCode="_(* #,##0.0_);_(* \(#,##0.0\);_(* &quot;-&quot;??_);_(@_)"/>
    <numFmt numFmtId="169" formatCode="_(* #,##0_);_(* \(#,##0\);_(* &quot;-&quot;??_);_(@_)"/>
    <numFmt numFmtId="170" formatCode="00.00"/>
  </numFmts>
  <fonts count="12" x14ac:knownFonts="1">
    <font>
      <sz val="10"/>
      <name val="Courier"/>
    </font>
    <font>
      <sz val="10"/>
      <name val="Arial"/>
      <family val="2"/>
    </font>
    <font>
      <sz val="12"/>
      <name val="Helv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i/>
      <sz val="12"/>
      <name val="Calibri"/>
      <family val="2"/>
      <scheme val="minor"/>
    </font>
    <font>
      <b/>
      <sz val="2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gray125">
        <fgColor indexed="8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</borders>
  <cellStyleXfs count="3">
    <xf numFmtId="37" fontId="0" fillId="0" borderId="0"/>
    <xf numFmtId="43" fontId="1" fillId="0" borderId="0" applyFont="0" applyFill="0" applyBorder="0" applyAlignment="0" applyProtection="0"/>
    <xf numFmtId="0" fontId="2" fillId="0" borderId="0"/>
  </cellStyleXfs>
  <cellXfs count="253">
    <xf numFmtId="37" fontId="0" fillId="0" borderId="0" xfId="0"/>
    <xf numFmtId="37" fontId="0" fillId="0" borderId="0" xfId="0" applyProtection="1">
      <protection hidden="1"/>
    </xf>
    <xf numFmtId="37" fontId="0" fillId="0" borderId="0" xfId="0" applyBorder="1" applyProtection="1">
      <protection hidden="1"/>
    </xf>
    <xf numFmtId="37" fontId="7" fillId="0" borderId="0" xfId="0" applyFont="1" applyProtection="1">
      <protection hidden="1"/>
    </xf>
    <xf numFmtId="37" fontId="7" fillId="0" borderId="1" xfId="0" applyFont="1" applyBorder="1" applyProtection="1">
      <protection hidden="1"/>
    </xf>
    <xf numFmtId="37" fontId="8" fillId="0" borderId="2" xfId="0" applyFont="1" applyBorder="1" applyAlignment="1" applyProtection="1">
      <alignment horizontal="right"/>
      <protection hidden="1"/>
    </xf>
    <xf numFmtId="37" fontId="8" fillId="0" borderId="3" xfId="0" applyFont="1" applyBorder="1" applyAlignment="1" applyProtection="1">
      <alignment horizontal="right"/>
      <protection hidden="1"/>
    </xf>
    <xf numFmtId="37" fontId="8" fillId="0" borderId="0" xfId="0" applyFont="1" applyBorder="1" applyAlignment="1" applyProtection="1">
      <alignment horizontal="left"/>
      <protection hidden="1"/>
    </xf>
    <xf numFmtId="37" fontId="6" fillId="0" borderId="0" xfId="0" applyFont="1" applyBorder="1" applyAlignment="1" applyProtection="1">
      <alignment horizontal="center"/>
      <protection hidden="1"/>
    </xf>
    <xf numFmtId="37" fontId="6" fillId="4" borderId="4" xfId="0" applyFont="1" applyFill="1" applyBorder="1" applyAlignment="1" applyProtection="1">
      <alignment horizontal="center"/>
      <protection hidden="1"/>
    </xf>
    <xf numFmtId="37" fontId="6" fillId="4" borderId="5" xfId="0" applyFont="1" applyFill="1" applyBorder="1" applyAlignment="1" applyProtection="1">
      <alignment horizontal="center"/>
      <protection hidden="1"/>
    </xf>
    <xf numFmtId="37" fontId="8" fillId="0" borderId="6" xfId="0" applyFont="1" applyBorder="1" applyAlignment="1" applyProtection="1">
      <alignment horizontal="left"/>
      <protection hidden="1"/>
    </xf>
    <xf numFmtId="37" fontId="6" fillId="0" borderId="6" xfId="0" applyFont="1" applyBorder="1" applyAlignment="1" applyProtection="1">
      <alignment horizontal="left"/>
      <protection hidden="1"/>
    </xf>
    <xf numFmtId="37" fontId="8" fillId="0" borderId="6" xfId="0" applyFont="1" applyBorder="1" applyProtection="1">
      <protection hidden="1"/>
    </xf>
    <xf numFmtId="37" fontId="6" fillId="4" borderId="7" xfId="0" applyFont="1" applyFill="1" applyBorder="1" applyProtection="1">
      <protection hidden="1"/>
    </xf>
    <xf numFmtId="37" fontId="9" fillId="0" borderId="0" xfId="0" applyFont="1" applyProtection="1">
      <protection hidden="1"/>
    </xf>
    <xf numFmtId="164" fontId="9" fillId="0" borderId="0" xfId="0" applyNumberFormat="1" applyFont="1" applyProtection="1">
      <protection hidden="1"/>
    </xf>
    <xf numFmtId="37" fontId="9" fillId="0" borderId="1" xfId="0" applyFont="1" applyBorder="1" applyProtection="1">
      <protection hidden="1"/>
    </xf>
    <xf numFmtId="37" fontId="6" fillId="0" borderId="0" xfId="0" applyFont="1" applyBorder="1" applyProtection="1">
      <protection hidden="1"/>
    </xf>
    <xf numFmtId="37" fontId="6" fillId="0" borderId="8" xfId="0" applyFont="1" applyBorder="1" applyProtection="1">
      <protection hidden="1"/>
    </xf>
    <xf numFmtId="37" fontId="6" fillId="0" borderId="9" xfId="0" applyFont="1" applyBorder="1" applyProtection="1">
      <protection hidden="1"/>
    </xf>
    <xf numFmtId="37" fontId="6" fillId="0" borderId="10" xfId="0" applyFont="1" applyBorder="1" applyProtection="1">
      <protection hidden="1"/>
    </xf>
    <xf numFmtId="37" fontId="6" fillId="4" borderId="11" xfId="0" applyFont="1" applyFill="1" applyBorder="1" applyAlignment="1" applyProtection="1">
      <alignment horizontal="center"/>
      <protection hidden="1"/>
    </xf>
    <xf numFmtId="37" fontId="6" fillId="4" borderId="7" xfId="0" applyFont="1" applyFill="1" applyBorder="1" applyAlignment="1" applyProtection="1">
      <alignment horizontal="center"/>
      <protection hidden="1"/>
    </xf>
    <xf numFmtId="37" fontId="6" fillId="4" borderId="11" xfId="0" applyFont="1" applyFill="1" applyBorder="1" applyAlignment="1" applyProtection="1">
      <alignment horizontal="fill"/>
      <protection hidden="1"/>
    </xf>
    <xf numFmtId="37" fontId="6" fillId="4" borderId="7" xfId="0" applyFont="1" applyFill="1" applyBorder="1" applyAlignment="1" applyProtection="1">
      <alignment horizontal="fill"/>
      <protection hidden="1"/>
    </xf>
    <xf numFmtId="37" fontId="6" fillId="4" borderId="11" xfId="0" applyFont="1" applyFill="1" applyBorder="1" applyProtection="1">
      <protection hidden="1"/>
    </xf>
    <xf numFmtId="37" fontId="6" fillId="2" borderId="4" xfId="0" applyFont="1" applyFill="1" applyBorder="1" applyAlignment="1" applyProtection="1">
      <alignment horizontal="right" vertical="center"/>
      <protection hidden="1"/>
    </xf>
    <xf numFmtId="37" fontId="6" fillId="2" borderId="11" xfId="0" applyFont="1" applyFill="1" applyBorder="1" applyAlignment="1" applyProtection="1">
      <alignment horizontal="right" vertical="center"/>
      <protection hidden="1"/>
    </xf>
    <xf numFmtId="37" fontId="6" fillId="2" borderId="12" xfId="0" applyFont="1" applyFill="1" applyBorder="1" applyAlignment="1" applyProtection="1">
      <alignment horizontal="right" vertical="center"/>
      <protection hidden="1"/>
    </xf>
    <xf numFmtId="37" fontId="6" fillId="4" borderId="13" xfId="0" applyFont="1" applyFill="1" applyBorder="1" applyAlignment="1" applyProtection="1">
      <alignment horizontal="right" vertical="center"/>
      <protection hidden="1"/>
    </xf>
    <xf numFmtId="4" fontId="6" fillId="4" borderId="14" xfId="0" applyNumberFormat="1" applyFont="1" applyFill="1" applyBorder="1" applyAlignment="1" applyProtection="1">
      <alignment horizontal="right" vertical="center"/>
      <protection hidden="1"/>
    </xf>
    <xf numFmtId="4" fontId="6" fillId="4" borderId="15" xfId="0" applyNumberFormat="1" applyFont="1" applyFill="1" applyBorder="1" applyAlignment="1" applyProtection="1">
      <alignment horizontal="right" vertical="center"/>
      <protection hidden="1"/>
    </xf>
    <xf numFmtId="168" fontId="6" fillId="4" borderId="13" xfId="1" applyNumberFormat="1" applyFont="1" applyFill="1" applyBorder="1" applyAlignment="1" applyProtection="1">
      <alignment horizontal="right" vertical="center"/>
      <protection hidden="1"/>
    </xf>
    <xf numFmtId="37" fontId="6" fillId="4" borderId="10" xfId="0" applyFont="1" applyFill="1" applyBorder="1" applyAlignment="1" applyProtection="1">
      <alignment horizontal="right" vertical="center"/>
      <protection hidden="1"/>
    </xf>
    <xf numFmtId="167" fontId="6" fillId="4" borderId="9" xfId="0" applyNumberFormat="1" applyFont="1" applyFill="1" applyBorder="1" applyAlignment="1" applyProtection="1">
      <alignment horizontal="right" vertical="center"/>
      <protection hidden="1"/>
    </xf>
    <xf numFmtId="37" fontId="6" fillId="2" borderId="16" xfId="0" applyFont="1" applyFill="1" applyBorder="1" applyAlignment="1" applyProtection="1">
      <alignment horizontal="right" vertical="center"/>
      <protection hidden="1"/>
    </xf>
    <xf numFmtId="37" fontId="6" fillId="0" borderId="17" xfId="0" applyNumberFormat="1" applyFont="1" applyBorder="1" applyAlignment="1" applyProtection="1">
      <alignment horizontal="right" vertical="center"/>
      <protection locked="0" hidden="1"/>
    </xf>
    <xf numFmtId="37" fontId="6" fillId="4" borderId="18" xfId="0" applyNumberFormat="1" applyFont="1" applyFill="1" applyBorder="1" applyAlignment="1" applyProtection="1">
      <alignment horizontal="right" vertical="center"/>
      <protection hidden="1"/>
    </xf>
    <xf numFmtId="37" fontId="6" fillId="4" borderId="19" xfId="0" applyNumberFormat="1" applyFont="1" applyFill="1" applyBorder="1" applyAlignment="1" applyProtection="1">
      <alignment horizontal="right" vertical="center"/>
      <protection hidden="1"/>
    </xf>
    <xf numFmtId="37" fontId="6" fillId="4" borderId="20" xfId="0" applyFont="1" applyFill="1" applyBorder="1" applyAlignment="1" applyProtection="1">
      <alignment horizontal="right" vertical="center"/>
      <protection hidden="1"/>
    </xf>
    <xf numFmtId="37" fontId="6" fillId="4" borderId="21" xfId="0" applyFont="1" applyFill="1" applyBorder="1" applyAlignment="1" applyProtection="1">
      <alignment horizontal="right" vertical="center"/>
      <protection hidden="1"/>
    </xf>
    <xf numFmtId="37" fontId="6" fillId="4" borderId="22" xfId="0" applyNumberFormat="1" applyFont="1" applyFill="1" applyBorder="1" applyAlignment="1" applyProtection="1">
      <alignment horizontal="right" vertical="center"/>
      <protection hidden="1"/>
    </xf>
    <xf numFmtId="167" fontId="6" fillId="4" borderId="12" xfId="0" applyNumberFormat="1" applyFont="1" applyFill="1" applyBorder="1" applyAlignment="1" applyProtection="1">
      <alignment horizontal="right" vertical="center"/>
      <protection hidden="1"/>
    </xf>
    <xf numFmtId="37" fontId="6" fillId="4" borderId="21" xfId="0" applyNumberFormat="1" applyFont="1" applyFill="1" applyBorder="1" applyAlignment="1" applyProtection="1">
      <alignment horizontal="right" vertical="center"/>
      <protection hidden="1"/>
    </xf>
    <xf numFmtId="37" fontId="6" fillId="4" borderId="20" xfId="0" applyNumberFormat="1" applyFont="1" applyFill="1" applyBorder="1" applyAlignment="1" applyProtection="1">
      <alignment horizontal="right" vertical="center"/>
      <protection hidden="1"/>
    </xf>
    <xf numFmtId="4" fontId="6" fillId="4" borderId="6" xfId="0" applyNumberFormat="1" applyFont="1" applyFill="1" applyBorder="1" applyAlignment="1" applyProtection="1">
      <alignment horizontal="right" vertical="center"/>
      <protection hidden="1"/>
    </xf>
    <xf numFmtId="37" fontId="6" fillId="4" borderId="0" xfId="0" applyFont="1" applyFill="1" applyBorder="1" applyAlignment="1" applyProtection="1">
      <alignment horizontal="right" vertical="center"/>
      <protection hidden="1"/>
    </xf>
    <xf numFmtId="4" fontId="6" fillId="4" borderId="0" xfId="0" applyNumberFormat="1" applyFont="1" applyFill="1" applyBorder="1" applyAlignment="1" applyProtection="1">
      <alignment horizontal="right" vertical="center"/>
      <protection hidden="1"/>
    </xf>
    <xf numFmtId="37" fontId="6" fillId="4" borderId="14" xfId="0" applyFont="1" applyFill="1" applyBorder="1" applyAlignment="1" applyProtection="1">
      <alignment horizontal="right" vertical="center"/>
      <protection hidden="1"/>
    </xf>
    <xf numFmtId="4" fontId="6" fillId="4" borderId="23" xfId="0" applyNumberFormat="1" applyFont="1" applyFill="1" applyBorder="1" applyAlignment="1" applyProtection="1">
      <alignment horizontal="right" vertical="center"/>
      <protection hidden="1"/>
    </xf>
    <xf numFmtId="37" fontId="6" fillId="4" borderId="7" xfId="0" applyFont="1" applyFill="1" applyBorder="1" applyAlignment="1" applyProtection="1">
      <alignment horizontal="right" vertical="center"/>
      <protection hidden="1"/>
    </xf>
    <xf numFmtId="37" fontId="6" fillId="4" borderId="11" xfId="0" applyFont="1" applyFill="1" applyBorder="1" applyAlignment="1" applyProtection="1">
      <alignment horizontal="right" vertical="center"/>
      <protection hidden="1"/>
    </xf>
    <xf numFmtId="37" fontId="6" fillId="4" borderId="12" xfId="0" applyNumberFormat="1" applyFont="1" applyFill="1" applyBorder="1" applyAlignment="1" applyProtection="1">
      <alignment horizontal="right" vertical="center"/>
      <protection hidden="1"/>
    </xf>
    <xf numFmtId="4" fontId="6" fillId="4" borderId="13" xfId="0" applyNumberFormat="1" applyFont="1" applyFill="1" applyBorder="1" applyAlignment="1" applyProtection="1">
      <alignment horizontal="right" vertical="center"/>
      <protection hidden="1"/>
    </xf>
    <xf numFmtId="37" fontId="6" fillId="4" borderId="0" xfId="0" applyNumberFormat="1" applyFont="1" applyFill="1" applyBorder="1" applyAlignment="1" applyProtection="1">
      <alignment horizontal="right" vertical="center"/>
      <protection hidden="1"/>
    </xf>
    <xf numFmtId="37" fontId="6" fillId="4" borderId="15" xfId="0" applyNumberFormat="1" applyFont="1" applyFill="1" applyBorder="1" applyAlignment="1" applyProtection="1">
      <alignment horizontal="right" vertical="center"/>
      <protection hidden="1"/>
    </xf>
    <xf numFmtId="10" fontId="6" fillId="4" borderId="19" xfId="0" applyNumberFormat="1" applyFont="1" applyFill="1" applyBorder="1" applyAlignment="1" applyProtection="1">
      <alignment horizontal="right" vertical="center"/>
      <protection hidden="1"/>
    </xf>
    <xf numFmtId="37" fontId="6" fillId="4" borderId="19" xfId="0" applyFont="1" applyFill="1" applyBorder="1" applyAlignment="1" applyProtection="1">
      <alignment horizontal="right" vertical="center"/>
      <protection hidden="1"/>
    </xf>
    <xf numFmtId="37" fontId="6" fillId="4" borderId="18" xfId="0" applyFont="1" applyFill="1" applyBorder="1" applyAlignment="1" applyProtection="1">
      <alignment horizontal="right" vertical="center"/>
      <protection hidden="1"/>
    </xf>
    <xf numFmtId="4" fontId="6" fillId="4" borderId="25" xfId="0" applyNumberFormat="1" applyFont="1" applyFill="1" applyBorder="1" applyAlignment="1" applyProtection="1">
      <alignment horizontal="right" vertical="center"/>
      <protection hidden="1"/>
    </xf>
    <xf numFmtId="37" fontId="6" fillId="4" borderId="12" xfId="0" applyFont="1" applyFill="1" applyBorder="1" applyAlignment="1" applyProtection="1">
      <alignment horizontal="right" vertical="center"/>
      <protection hidden="1"/>
    </xf>
    <xf numFmtId="37" fontId="6" fillId="4" borderId="14" xfId="0" applyNumberFormat="1" applyFont="1" applyFill="1" applyBorder="1" applyAlignment="1" applyProtection="1">
      <alignment horizontal="right" vertical="center"/>
      <protection hidden="1"/>
    </xf>
    <xf numFmtId="37" fontId="6" fillId="2" borderId="0" xfId="0" applyFont="1" applyFill="1" applyBorder="1" applyAlignment="1" applyProtection="1">
      <alignment horizontal="right" vertical="center"/>
      <protection hidden="1"/>
    </xf>
    <xf numFmtId="37" fontId="6" fillId="2" borderId="23" xfId="0" applyFont="1" applyFill="1" applyBorder="1" applyAlignment="1" applyProtection="1">
      <alignment horizontal="right" vertical="center"/>
      <protection hidden="1"/>
    </xf>
    <xf numFmtId="4" fontId="6" fillId="4" borderId="26" xfId="0" applyNumberFormat="1" applyFont="1" applyFill="1" applyBorder="1" applyAlignment="1" applyProtection="1">
      <alignment horizontal="right" vertical="center"/>
      <protection hidden="1"/>
    </xf>
    <xf numFmtId="37" fontId="6" fillId="2" borderId="23" xfId="0" applyNumberFormat="1" applyFont="1" applyFill="1" applyBorder="1" applyAlignment="1" applyProtection="1">
      <alignment horizontal="right" vertical="center"/>
      <protection hidden="1"/>
    </xf>
    <xf numFmtId="37" fontId="6" fillId="4" borderId="27" xfId="0" applyNumberFormat="1" applyFont="1" applyFill="1" applyBorder="1" applyAlignment="1" applyProtection="1">
      <alignment horizontal="right" vertical="center"/>
      <protection hidden="1"/>
    </xf>
    <xf numFmtId="37" fontId="6" fillId="4" borderId="23" xfId="0" applyNumberFormat="1" applyFont="1" applyFill="1" applyBorder="1" applyAlignment="1" applyProtection="1">
      <alignment horizontal="right" vertical="center"/>
      <protection hidden="1"/>
    </xf>
    <xf numFmtId="167" fontId="6" fillId="4" borderId="23" xfId="0" applyNumberFormat="1" applyFont="1" applyFill="1" applyBorder="1" applyAlignment="1" applyProtection="1">
      <alignment horizontal="right" vertical="center"/>
      <protection hidden="1"/>
    </xf>
    <xf numFmtId="167" fontId="6" fillId="4" borderId="27" xfId="0" applyNumberFormat="1" applyFont="1" applyFill="1" applyBorder="1" applyAlignment="1" applyProtection="1">
      <alignment horizontal="right" vertical="center"/>
      <protection hidden="1"/>
    </xf>
    <xf numFmtId="39" fontId="6" fillId="4" borderId="23" xfId="0" applyNumberFormat="1" applyFont="1" applyFill="1" applyBorder="1" applyAlignment="1" applyProtection="1">
      <alignment horizontal="right" vertical="center"/>
      <protection hidden="1"/>
    </xf>
    <xf numFmtId="39" fontId="6" fillId="4" borderId="27" xfId="0" applyNumberFormat="1" applyFont="1" applyFill="1" applyBorder="1" applyAlignment="1" applyProtection="1">
      <alignment horizontal="right" vertical="center"/>
      <protection hidden="1"/>
    </xf>
    <xf numFmtId="4" fontId="6" fillId="4" borderId="28" xfId="0" applyNumberFormat="1" applyFont="1" applyFill="1" applyBorder="1" applyAlignment="1" applyProtection="1">
      <alignment horizontal="right" vertical="center"/>
      <protection hidden="1"/>
    </xf>
    <xf numFmtId="37" fontId="6" fillId="4" borderId="29" xfId="0" applyNumberFormat="1" applyFont="1" applyFill="1" applyBorder="1" applyAlignment="1" applyProtection="1">
      <alignment horizontal="right" vertical="center"/>
      <protection hidden="1"/>
    </xf>
    <xf numFmtId="4" fontId="6" fillId="4" borderId="29" xfId="0" applyNumberFormat="1" applyFont="1" applyFill="1" applyBorder="1" applyAlignment="1" applyProtection="1">
      <alignment horizontal="right" vertical="center"/>
      <protection hidden="1"/>
    </xf>
    <xf numFmtId="37" fontId="6" fillId="4" borderId="24" xfId="0" applyNumberFormat="1" applyFont="1" applyFill="1" applyBorder="1" applyAlignment="1" applyProtection="1">
      <alignment horizontal="right" vertical="center"/>
      <protection hidden="1"/>
    </xf>
    <xf numFmtId="37" fontId="6" fillId="2" borderId="26" xfId="0" applyNumberFormat="1" applyFont="1" applyFill="1" applyBorder="1" applyAlignment="1" applyProtection="1">
      <alignment horizontal="right" vertical="center"/>
      <protection hidden="1"/>
    </xf>
    <xf numFmtId="37" fontId="6" fillId="2" borderId="27" xfId="0" applyNumberFormat="1" applyFont="1" applyFill="1" applyBorder="1" applyAlignment="1" applyProtection="1">
      <alignment horizontal="right" vertical="center"/>
      <protection hidden="1"/>
    </xf>
    <xf numFmtId="37" fontId="6" fillId="4" borderId="13" xfId="0" applyNumberFormat="1" applyFont="1" applyFill="1" applyBorder="1" applyAlignment="1" applyProtection="1">
      <alignment horizontal="right" vertical="center"/>
      <protection hidden="1"/>
    </xf>
    <xf numFmtId="37" fontId="6" fillId="4" borderId="23" xfId="0" applyFont="1" applyFill="1" applyBorder="1" applyAlignment="1" applyProtection="1">
      <alignment horizontal="right" vertical="center"/>
      <protection hidden="1"/>
    </xf>
    <xf numFmtId="37" fontId="6" fillId="4" borderId="27" xfId="0" applyFont="1" applyFill="1" applyBorder="1" applyAlignment="1" applyProtection="1">
      <alignment horizontal="right" vertical="center"/>
      <protection hidden="1"/>
    </xf>
    <xf numFmtId="166" fontId="6" fillId="4" borderId="23" xfId="0" applyNumberFormat="1" applyFont="1" applyFill="1" applyBorder="1" applyAlignment="1" applyProtection="1">
      <alignment horizontal="right" vertical="center"/>
      <protection hidden="1"/>
    </xf>
    <xf numFmtId="166" fontId="6" fillId="4" borderId="27" xfId="0" applyNumberFormat="1" applyFont="1" applyFill="1" applyBorder="1" applyAlignment="1" applyProtection="1">
      <alignment horizontal="right" vertical="center"/>
      <protection hidden="1"/>
    </xf>
    <xf numFmtId="37" fontId="6" fillId="2" borderId="26" xfId="0" applyFont="1" applyFill="1" applyBorder="1" applyAlignment="1" applyProtection="1">
      <alignment horizontal="right" vertical="center"/>
      <protection hidden="1"/>
    </xf>
    <xf numFmtId="37" fontId="6" fillId="2" borderId="27" xfId="0" applyFont="1" applyFill="1" applyBorder="1" applyAlignment="1" applyProtection="1">
      <alignment horizontal="right" vertical="center"/>
      <protection hidden="1"/>
    </xf>
    <xf numFmtId="37" fontId="6" fillId="2" borderId="6" xfId="0" applyFont="1" applyFill="1" applyBorder="1" applyAlignment="1" applyProtection="1">
      <alignment horizontal="right" vertical="center"/>
      <protection hidden="1"/>
    </xf>
    <xf numFmtId="37" fontId="6" fillId="2" borderId="14" xfId="0" applyFont="1" applyFill="1" applyBorder="1" applyAlignment="1" applyProtection="1">
      <alignment horizontal="right" vertical="center"/>
      <protection hidden="1"/>
    </xf>
    <xf numFmtId="4" fontId="6" fillId="4" borderId="8" xfId="0" applyNumberFormat="1" applyFont="1" applyFill="1" applyBorder="1" applyAlignment="1" applyProtection="1">
      <alignment horizontal="right" vertical="center"/>
      <protection hidden="1"/>
    </xf>
    <xf numFmtId="166" fontId="6" fillId="4" borderId="10" xfId="0" applyNumberFormat="1" applyFont="1" applyFill="1" applyBorder="1" applyAlignment="1" applyProtection="1">
      <alignment horizontal="right" vertical="center"/>
      <protection hidden="1"/>
    </xf>
    <xf numFmtId="4" fontId="6" fillId="4" borderId="10" xfId="0" applyNumberFormat="1" applyFont="1" applyFill="1" applyBorder="1" applyAlignment="1" applyProtection="1">
      <alignment horizontal="right" vertical="center"/>
      <protection hidden="1"/>
    </xf>
    <xf numFmtId="166" fontId="6" fillId="4" borderId="9" xfId="0" applyNumberFormat="1" applyFont="1" applyFill="1" applyBorder="1" applyAlignment="1" applyProtection="1">
      <alignment horizontal="right" vertical="center"/>
      <protection hidden="1"/>
    </xf>
    <xf numFmtId="37" fontId="6" fillId="0" borderId="8" xfId="0" applyFont="1" applyBorder="1" applyAlignment="1" applyProtection="1">
      <alignment horizontal="left"/>
      <protection hidden="1"/>
    </xf>
    <xf numFmtId="37" fontId="6" fillId="4" borderId="30" xfId="0" applyNumberFormat="1" applyFont="1" applyFill="1" applyBorder="1" applyAlignment="1" applyProtection="1">
      <alignment horizontal="right" vertical="center"/>
      <protection hidden="1"/>
    </xf>
    <xf numFmtId="37" fontId="6" fillId="0" borderId="31" xfId="0" applyFont="1" applyBorder="1" applyAlignment="1" applyProtection="1">
      <alignment horizontal="right" vertical="center"/>
      <protection hidden="1"/>
    </xf>
    <xf numFmtId="37" fontId="6" fillId="0" borderId="0" xfId="0" applyFont="1" applyBorder="1" applyAlignment="1" applyProtection="1">
      <alignment horizontal="right" vertical="center"/>
      <protection hidden="1"/>
    </xf>
    <xf numFmtId="165" fontId="6" fillId="0" borderId="13" xfId="0" applyNumberFormat="1" applyFont="1" applyBorder="1" applyAlignment="1" applyProtection="1">
      <alignment horizontal="right" vertical="center"/>
      <protection locked="0" hidden="1"/>
    </xf>
    <xf numFmtId="165" fontId="6" fillId="0" borderId="0" xfId="0" applyNumberFormat="1" applyFont="1" applyBorder="1" applyAlignment="1" applyProtection="1">
      <alignment horizontal="right" vertical="center"/>
      <protection hidden="1"/>
    </xf>
    <xf numFmtId="37" fontId="6" fillId="0" borderId="13" xfId="0" applyNumberFormat="1" applyFont="1" applyBorder="1" applyAlignment="1" applyProtection="1">
      <alignment horizontal="right" vertical="center"/>
      <protection locked="0" hidden="1"/>
    </xf>
    <xf numFmtId="37" fontId="6" fillId="0" borderId="0" xfId="0" applyNumberFormat="1" applyFont="1" applyBorder="1" applyAlignment="1" applyProtection="1">
      <alignment horizontal="right" vertical="center"/>
      <protection hidden="1"/>
    </xf>
    <xf numFmtId="4" fontId="6" fillId="0" borderId="13" xfId="0" applyNumberFormat="1" applyFont="1" applyBorder="1" applyAlignment="1" applyProtection="1">
      <alignment horizontal="right" vertical="center"/>
      <protection locked="0" hidden="1"/>
    </xf>
    <xf numFmtId="4" fontId="6" fillId="4" borderId="13" xfId="1" applyNumberFormat="1" applyFont="1" applyFill="1" applyBorder="1" applyAlignment="1" applyProtection="1">
      <alignment horizontal="right" vertical="center"/>
      <protection hidden="1"/>
    </xf>
    <xf numFmtId="4" fontId="6" fillId="4" borderId="0" xfId="1" applyNumberFormat="1" applyFont="1" applyFill="1" applyBorder="1" applyAlignment="1" applyProtection="1">
      <alignment horizontal="right" vertical="center"/>
      <protection hidden="1"/>
    </xf>
    <xf numFmtId="167" fontId="6" fillId="4" borderId="10" xfId="0" applyNumberFormat="1" applyFont="1" applyFill="1" applyBorder="1" applyAlignment="1" applyProtection="1">
      <alignment horizontal="right" vertical="center"/>
      <protection hidden="1"/>
    </xf>
    <xf numFmtId="37" fontId="6" fillId="4" borderId="32" xfId="0" applyFont="1" applyFill="1" applyBorder="1" applyAlignment="1" applyProtection="1">
      <alignment horizontal="center"/>
      <protection hidden="1"/>
    </xf>
    <xf numFmtId="37" fontId="6" fillId="4" borderId="6" xfId="0" applyFont="1" applyFill="1" applyBorder="1" applyAlignment="1" applyProtection="1">
      <alignment horizontal="center"/>
      <protection hidden="1"/>
    </xf>
    <xf numFmtId="37" fontId="6" fillId="4" borderId="6" xfId="0" applyFont="1" applyFill="1" applyBorder="1" applyAlignment="1" applyProtection="1">
      <alignment horizontal="fill"/>
      <protection hidden="1"/>
    </xf>
    <xf numFmtId="37" fontId="6" fillId="4" borderId="6" xfId="0" applyFont="1" applyFill="1" applyBorder="1" applyProtection="1">
      <protection hidden="1"/>
    </xf>
    <xf numFmtId="37" fontId="6" fillId="4" borderId="33" xfId="0" applyFont="1" applyFill="1" applyBorder="1" applyAlignment="1" applyProtection="1">
      <alignment horizontal="right" vertical="center"/>
      <protection hidden="1"/>
    </xf>
    <xf numFmtId="37" fontId="6" fillId="0" borderId="33" xfId="0" applyNumberFormat="1" applyFont="1" applyBorder="1" applyAlignment="1" applyProtection="1">
      <alignment horizontal="right" vertical="center"/>
      <protection locked="0" hidden="1"/>
    </xf>
    <xf numFmtId="37" fontId="6" fillId="4" borderId="17" xfId="0" applyNumberFormat="1" applyFont="1" applyFill="1" applyBorder="1" applyAlignment="1" applyProtection="1">
      <alignment horizontal="right" vertical="center"/>
      <protection hidden="1"/>
    </xf>
    <xf numFmtId="37" fontId="6" fillId="4" borderId="34" xfId="0" applyFont="1" applyFill="1" applyBorder="1" applyAlignment="1" applyProtection="1">
      <alignment horizontal="right" vertical="center"/>
      <protection hidden="1"/>
    </xf>
    <xf numFmtId="37" fontId="6" fillId="0" borderId="17" xfId="0" applyFont="1" applyBorder="1" applyAlignment="1" applyProtection="1">
      <alignment horizontal="right" vertical="center"/>
      <protection locked="0" hidden="1"/>
    </xf>
    <xf numFmtId="37" fontId="6" fillId="4" borderId="29" xfId="0" applyFont="1" applyFill="1" applyBorder="1" applyAlignment="1" applyProtection="1">
      <alignment horizontal="right" vertical="center"/>
      <protection hidden="1"/>
    </xf>
    <xf numFmtId="37" fontId="6" fillId="4" borderId="35" xfId="0" applyFont="1" applyFill="1" applyBorder="1" applyAlignment="1" applyProtection="1">
      <alignment horizontal="center"/>
      <protection hidden="1"/>
    </xf>
    <xf numFmtId="37" fontId="6" fillId="4" borderId="36" xfId="0" applyFont="1" applyFill="1" applyBorder="1" applyAlignment="1" applyProtection="1">
      <alignment horizontal="center"/>
      <protection hidden="1"/>
    </xf>
    <xf numFmtId="37" fontId="6" fillId="4" borderId="36" xfId="0" applyFont="1" applyFill="1" applyBorder="1" applyAlignment="1" applyProtection="1">
      <alignment horizontal="fill"/>
      <protection hidden="1"/>
    </xf>
    <xf numFmtId="37" fontId="6" fillId="4" borderId="36" xfId="0" applyFont="1" applyFill="1" applyBorder="1" applyProtection="1">
      <protection hidden="1"/>
    </xf>
    <xf numFmtId="37" fontId="6" fillId="0" borderId="4" xfId="0" applyFont="1" applyBorder="1" applyAlignment="1" applyProtection="1">
      <alignment horizontal="center"/>
      <protection hidden="1"/>
    </xf>
    <xf numFmtId="37" fontId="6" fillId="0" borderId="16" xfId="0" applyFont="1" applyBorder="1" applyAlignment="1" applyProtection="1">
      <alignment horizontal="center"/>
      <protection hidden="1"/>
    </xf>
    <xf numFmtId="167" fontId="6" fillId="4" borderId="19" xfId="0" applyNumberFormat="1" applyFont="1" applyFill="1" applyBorder="1" applyAlignment="1" applyProtection="1">
      <alignment horizontal="right" vertical="center"/>
      <protection hidden="1"/>
    </xf>
    <xf numFmtId="169" fontId="6" fillId="4" borderId="19" xfId="1" applyNumberFormat="1" applyFont="1" applyFill="1" applyBorder="1" applyAlignment="1" applyProtection="1">
      <alignment horizontal="right" vertical="center"/>
      <protection hidden="1"/>
    </xf>
    <xf numFmtId="37" fontId="6" fillId="4" borderId="11" xfId="0" applyNumberFormat="1" applyFont="1" applyFill="1" applyBorder="1" applyAlignment="1" applyProtection="1">
      <alignment horizontal="right" vertical="center"/>
      <protection hidden="1"/>
    </xf>
    <xf numFmtId="37" fontId="6" fillId="2" borderId="19" xfId="0" applyFont="1" applyFill="1" applyBorder="1" applyAlignment="1" applyProtection="1">
      <alignment horizontal="right" vertical="center"/>
      <protection hidden="1"/>
    </xf>
    <xf numFmtId="37" fontId="6" fillId="2" borderId="19" xfId="0" applyNumberFormat="1" applyFont="1" applyFill="1" applyBorder="1" applyAlignment="1" applyProtection="1">
      <alignment horizontal="right" vertical="center"/>
      <protection hidden="1"/>
    </xf>
    <xf numFmtId="167" fontId="6" fillId="2" borderId="19" xfId="0" applyNumberFormat="1" applyFont="1" applyFill="1" applyBorder="1" applyAlignment="1" applyProtection="1">
      <alignment horizontal="right" vertical="center"/>
      <protection hidden="1"/>
    </xf>
    <xf numFmtId="37" fontId="6" fillId="2" borderId="21" xfId="0" applyNumberFormat="1" applyFont="1" applyFill="1" applyBorder="1" applyAlignment="1" applyProtection="1">
      <alignment horizontal="right" vertical="center"/>
      <protection hidden="1"/>
    </xf>
    <xf numFmtId="39" fontId="6" fillId="2" borderId="19" xfId="0" applyNumberFormat="1" applyFont="1" applyFill="1" applyBorder="1" applyAlignment="1" applyProtection="1">
      <alignment horizontal="right" vertical="center"/>
      <protection hidden="1"/>
    </xf>
    <xf numFmtId="39" fontId="6" fillId="2" borderId="12" xfId="0" applyNumberFormat="1" applyFont="1" applyFill="1" applyBorder="1" applyAlignment="1" applyProtection="1">
      <alignment horizontal="right" vertical="center"/>
      <protection hidden="1"/>
    </xf>
    <xf numFmtId="37" fontId="8" fillId="0" borderId="37" xfId="0" applyFont="1" applyBorder="1" applyAlignment="1" applyProtection="1">
      <alignment horizontal="left"/>
      <protection hidden="1"/>
    </xf>
    <xf numFmtId="37" fontId="8" fillId="0" borderId="38" xfId="0" applyFont="1" applyBorder="1" applyAlignment="1" applyProtection="1">
      <alignment horizontal="left"/>
      <protection hidden="1"/>
    </xf>
    <xf numFmtId="37" fontId="6" fillId="0" borderId="39" xfId="0" applyFont="1" applyBorder="1" applyAlignment="1" applyProtection="1">
      <alignment horizontal="left"/>
      <protection hidden="1"/>
    </xf>
    <xf numFmtId="37" fontId="8" fillId="0" borderId="40" xfId="0" applyFont="1" applyBorder="1" applyProtection="1">
      <protection hidden="1"/>
    </xf>
    <xf numFmtId="37" fontId="8" fillId="0" borderId="41" xfId="0" applyFont="1" applyBorder="1" applyAlignment="1" applyProtection="1">
      <alignment horizontal="left"/>
      <protection hidden="1"/>
    </xf>
    <xf numFmtId="37" fontId="8" fillId="0" borderId="40" xfId="0" applyFont="1" applyBorder="1" applyAlignment="1" applyProtection="1">
      <alignment horizontal="left"/>
      <protection hidden="1"/>
    </xf>
    <xf numFmtId="37" fontId="6" fillId="0" borderId="32" xfId="0" applyFont="1" applyBorder="1" applyAlignment="1" applyProtection="1">
      <alignment horizontal="left"/>
      <protection hidden="1"/>
    </xf>
    <xf numFmtId="37" fontId="6" fillId="0" borderId="8" xfId="0" applyFont="1" applyBorder="1" applyAlignment="1" applyProtection="1">
      <alignment horizontal="left" vertical="center"/>
      <protection hidden="1"/>
    </xf>
    <xf numFmtId="37" fontId="8" fillId="0" borderId="8" xfId="0" applyFont="1" applyBorder="1" applyAlignment="1" applyProtection="1">
      <alignment horizontal="left"/>
      <protection hidden="1"/>
    </xf>
    <xf numFmtId="37" fontId="6" fillId="0" borderId="6" xfId="0" applyFont="1" applyBorder="1" applyAlignment="1" applyProtection="1">
      <alignment horizontal="right" vertical="center"/>
      <protection hidden="1"/>
    </xf>
    <xf numFmtId="37" fontId="6" fillId="4" borderId="42" xfId="0" applyFont="1" applyFill="1" applyBorder="1" applyAlignment="1" applyProtection="1">
      <alignment horizontal="right" vertical="center"/>
      <protection hidden="1"/>
    </xf>
    <xf numFmtId="37" fontId="6" fillId="0" borderId="25" xfId="0" applyFont="1" applyBorder="1" applyAlignment="1" applyProtection="1">
      <alignment horizontal="right" vertical="center"/>
      <protection hidden="1"/>
    </xf>
    <xf numFmtId="165" fontId="6" fillId="4" borderId="14" xfId="0" applyNumberFormat="1" applyFont="1" applyFill="1" applyBorder="1" applyAlignment="1" applyProtection="1">
      <alignment horizontal="right" vertical="center"/>
      <protection hidden="1"/>
    </xf>
    <xf numFmtId="37" fontId="6" fillId="0" borderId="25" xfId="0" applyNumberFormat="1" applyFont="1" applyBorder="1" applyAlignment="1" applyProtection="1">
      <alignment horizontal="right" vertical="center"/>
      <protection hidden="1"/>
    </xf>
    <xf numFmtId="37" fontId="6" fillId="0" borderId="6" xfId="0" applyNumberFormat="1" applyFont="1" applyBorder="1" applyAlignment="1" applyProtection="1">
      <alignment horizontal="right" vertical="center"/>
      <protection hidden="1"/>
    </xf>
    <xf numFmtId="37" fontId="6" fillId="4" borderId="6" xfId="0" applyFont="1" applyFill="1" applyBorder="1" applyAlignment="1" applyProtection="1">
      <alignment horizontal="right" vertical="center"/>
      <protection hidden="1"/>
    </xf>
    <xf numFmtId="37" fontId="6" fillId="4" borderId="25" xfId="0" applyFont="1" applyFill="1" applyBorder="1" applyAlignment="1" applyProtection="1">
      <alignment horizontal="right" vertical="center"/>
      <protection hidden="1"/>
    </xf>
    <xf numFmtId="4" fontId="6" fillId="4" borderId="15" xfId="1" applyNumberFormat="1" applyFont="1" applyFill="1" applyBorder="1" applyAlignment="1" applyProtection="1">
      <alignment horizontal="right" vertical="center"/>
      <protection hidden="1"/>
    </xf>
    <xf numFmtId="4" fontId="6" fillId="4" borderId="14" xfId="1" applyNumberFormat="1" applyFont="1" applyFill="1" applyBorder="1" applyAlignment="1" applyProtection="1">
      <alignment horizontal="right" vertical="center"/>
      <protection hidden="1"/>
    </xf>
    <xf numFmtId="37" fontId="6" fillId="4" borderId="8" xfId="0" applyFont="1" applyFill="1" applyBorder="1" applyAlignment="1" applyProtection="1">
      <alignment horizontal="right" vertical="center"/>
      <protection hidden="1"/>
    </xf>
    <xf numFmtId="170" fontId="6" fillId="0" borderId="43" xfId="0" applyNumberFormat="1" applyFont="1" applyBorder="1" applyAlignment="1" applyProtection="1">
      <alignment horizontal="right" vertical="center"/>
      <protection locked="0" hidden="1"/>
    </xf>
    <xf numFmtId="170" fontId="6" fillId="4" borderId="44" xfId="0" applyNumberFormat="1" applyFont="1" applyFill="1" applyBorder="1" applyAlignment="1" applyProtection="1">
      <alignment horizontal="right" vertical="center"/>
      <protection hidden="1"/>
    </xf>
    <xf numFmtId="170" fontId="6" fillId="4" borderId="45" xfId="0" applyNumberFormat="1" applyFont="1" applyFill="1" applyBorder="1" applyAlignment="1" applyProtection="1">
      <alignment horizontal="right" vertical="center"/>
      <protection hidden="1"/>
    </xf>
    <xf numFmtId="170" fontId="6" fillId="0" borderId="44" xfId="0" applyNumberFormat="1" applyFont="1" applyBorder="1" applyAlignment="1" applyProtection="1">
      <alignment horizontal="right" vertical="center"/>
      <protection locked="0" hidden="1"/>
    </xf>
    <xf numFmtId="170" fontId="6" fillId="4" borderId="6" xfId="0" applyNumberFormat="1" applyFont="1" applyFill="1" applyBorder="1" applyAlignment="1" applyProtection="1">
      <alignment horizontal="right" vertical="center"/>
      <protection hidden="1"/>
    </xf>
    <xf numFmtId="170" fontId="6" fillId="4" borderId="43" xfId="0" applyNumberFormat="1" applyFont="1" applyFill="1" applyBorder="1" applyAlignment="1" applyProtection="1">
      <alignment horizontal="right" vertical="center"/>
      <protection hidden="1"/>
    </xf>
    <xf numFmtId="170" fontId="6" fillId="0" borderId="26" xfId="0" applyNumberFormat="1" applyFont="1" applyBorder="1" applyAlignment="1" applyProtection="1">
      <alignment horizontal="right" vertical="center"/>
      <protection locked="0" hidden="1"/>
    </xf>
    <xf numFmtId="170" fontId="6" fillId="4" borderId="21" xfId="0" applyNumberFormat="1" applyFont="1" applyFill="1" applyBorder="1" applyAlignment="1" applyProtection="1">
      <alignment horizontal="right" vertical="center"/>
      <protection hidden="1"/>
    </xf>
    <xf numFmtId="170" fontId="6" fillId="4" borderId="25" xfId="0" applyNumberFormat="1" applyFont="1" applyFill="1" applyBorder="1" applyAlignment="1" applyProtection="1">
      <alignment horizontal="right" vertical="center"/>
      <protection hidden="1"/>
    </xf>
    <xf numFmtId="170" fontId="6" fillId="4" borderId="46" xfId="0" applyNumberFormat="1" applyFont="1" applyFill="1" applyBorder="1" applyAlignment="1" applyProtection="1">
      <alignment horizontal="right" vertical="center"/>
      <protection hidden="1"/>
    </xf>
    <xf numFmtId="170" fontId="6" fillId="4" borderId="47" xfId="0" applyNumberFormat="1" applyFont="1" applyFill="1" applyBorder="1" applyAlignment="1" applyProtection="1">
      <alignment horizontal="right" vertical="center"/>
      <protection hidden="1"/>
    </xf>
    <xf numFmtId="170" fontId="6" fillId="4" borderId="48" xfId="0" applyNumberFormat="1" applyFont="1" applyFill="1" applyBorder="1" applyAlignment="1" applyProtection="1">
      <alignment horizontal="right" vertical="center"/>
      <protection hidden="1"/>
    </xf>
    <xf numFmtId="170" fontId="6" fillId="4" borderId="0" xfId="0" applyNumberFormat="1" applyFont="1" applyFill="1" applyBorder="1" applyAlignment="1" applyProtection="1">
      <alignment horizontal="right" vertical="center"/>
      <protection hidden="1"/>
    </xf>
    <xf numFmtId="170" fontId="6" fillId="4" borderId="23" xfId="0" applyNumberFormat="1" applyFont="1" applyFill="1" applyBorder="1" applyAlignment="1" applyProtection="1">
      <alignment horizontal="right" vertical="center"/>
      <protection hidden="1"/>
    </xf>
    <xf numFmtId="170" fontId="6" fillId="4" borderId="13" xfId="0" applyNumberFormat="1" applyFont="1" applyFill="1" applyBorder="1" applyAlignment="1" applyProtection="1">
      <alignment horizontal="right" vertical="center"/>
      <protection hidden="1"/>
    </xf>
    <xf numFmtId="0" fontId="3" fillId="0" borderId="0" xfId="2" applyFont="1" applyProtection="1">
      <protection hidden="1"/>
    </xf>
    <xf numFmtId="0" fontId="5" fillId="0" borderId="0" xfId="2" applyFont="1" applyAlignment="1" applyProtection="1">
      <alignment horizontal="right"/>
      <protection hidden="1"/>
    </xf>
    <xf numFmtId="0" fontId="3" fillId="0" borderId="0" xfId="2" applyFont="1" applyBorder="1" applyAlignment="1" applyProtection="1">
      <alignment horizontal="centerContinuous"/>
      <protection hidden="1"/>
    </xf>
    <xf numFmtId="0" fontId="3" fillId="0" borderId="0" xfId="2" applyFont="1" applyBorder="1" applyProtection="1">
      <protection hidden="1"/>
    </xf>
    <xf numFmtId="0" fontId="5" fillId="0" borderId="0" xfId="2" applyFont="1" applyBorder="1" applyAlignment="1" applyProtection="1">
      <alignment horizontal="center"/>
      <protection hidden="1"/>
    </xf>
    <xf numFmtId="0" fontId="3" fillId="0" borderId="6" xfId="2" applyFont="1" applyBorder="1" applyProtection="1">
      <protection hidden="1"/>
    </xf>
    <xf numFmtId="0" fontId="3" fillId="0" borderId="14" xfId="2" applyFont="1" applyBorder="1" applyProtection="1">
      <protection hidden="1"/>
    </xf>
    <xf numFmtId="0" fontId="5" fillId="0" borderId="0" xfId="2" applyFont="1" applyBorder="1" applyAlignment="1" applyProtection="1">
      <alignment horizontal="left"/>
      <protection hidden="1"/>
    </xf>
    <xf numFmtId="0" fontId="3" fillId="0" borderId="13" xfId="2" applyFont="1" applyBorder="1" applyProtection="1">
      <protection hidden="1"/>
    </xf>
    <xf numFmtId="0" fontId="5" fillId="0" borderId="0" xfId="2" applyFont="1" applyBorder="1" applyProtection="1">
      <protection hidden="1"/>
    </xf>
    <xf numFmtId="0" fontId="3" fillId="0" borderId="0" xfId="2" applyFont="1" applyBorder="1" applyAlignment="1" applyProtection="1">
      <alignment horizontal="left" indent="2"/>
      <protection hidden="1"/>
    </xf>
    <xf numFmtId="0" fontId="3" fillId="0" borderId="8" xfId="2" applyFont="1" applyBorder="1" applyProtection="1">
      <protection hidden="1"/>
    </xf>
    <xf numFmtId="0" fontId="3" fillId="0" borderId="10" xfId="2" applyFont="1" applyBorder="1" applyProtection="1">
      <protection hidden="1"/>
    </xf>
    <xf numFmtId="0" fontId="3" fillId="0" borderId="10" xfId="2" applyFont="1" applyBorder="1" applyAlignment="1" applyProtection="1">
      <protection hidden="1"/>
    </xf>
    <xf numFmtId="0" fontId="3" fillId="0" borderId="9" xfId="2" applyFont="1" applyBorder="1" applyProtection="1">
      <protection hidden="1"/>
    </xf>
    <xf numFmtId="0" fontId="3" fillId="0" borderId="0" xfId="2" applyFont="1" applyBorder="1" applyAlignment="1" applyProtection="1">
      <alignment horizontal="left"/>
      <protection hidden="1"/>
    </xf>
    <xf numFmtId="0" fontId="5" fillId="0" borderId="0" xfId="2" applyFont="1" applyBorder="1" applyAlignment="1" applyProtection="1">
      <protection hidden="1"/>
    </xf>
    <xf numFmtId="0" fontId="3" fillId="0" borderId="14" xfId="2" applyFont="1" applyBorder="1" applyAlignment="1" applyProtection="1">
      <alignment horizontal="centerContinuous"/>
      <protection hidden="1"/>
    </xf>
    <xf numFmtId="0" fontId="3" fillId="0" borderId="0" xfId="2" applyFont="1" applyFill="1" applyBorder="1" applyProtection="1">
      <protection hidden="1"/>
    </xf>
    <xf numFmtId="0" fontId="3" fillId="3" borderId="6" xfId="2" applyFont="1" applyFill="1" applyBorder="1" applyProtection="1">
      <protection hidden="1"/>
    </xf>
    <xf numFmtId="0" fontId="3" fillId="3" borderId="0" xfId="2" applyFont="1" applyFill="1" applyBorder="1" applyProtection="1">
      <protection hidden="1"/>
    </xf>
    <xf numFmtId="0" fontId="3" fillId="3" borderId="14" xfId="2" applyFont="1" applyFill="1" applyBorder="1" applyProtection="1">
      <protection hidden="1"/>
    </xf>
    <xf numFmtId="0" fontId="5" fillId="3" borderId="0" xfId="2" applyFont="1" applyFill="1" applyBorder="1" applyAlignment="1" applyProtection="1">
      <alignment horizontal="left"/>
      <protection hidden="1"/>
    </xf>
    <xf numFmtId="0" fontId="5" fillId="3" borderId="0" xfId="2" applyFont="1" applyFill="1" applyBorder="1" applyProtection="1">
      <protection hidden="1"/>
    </xf>
    <xf numFmtId="0" fontId="5" fillId="3" borderId="13" xfId="2" applyFont="1" applyFill="1" applyBorder="1" applyProtection="1">
      <protection hidden="1"/>
    </xf>
    <xf numFmtId="0" fontId="5" fillId="3" borderId="13" xfId="2" applyFont="1" applyFill="1" applyBorder="1" applyAlignment="1" applyProtection="1">
      <alignment horizontal="left"/>
      <protection hidden="1"/>
    </xf>
    <xf numFmtId="0" fontId="5" fillId="3" borderId="14" xfId="2" applyFont="1" applyFill="1" applyBorder="1" applyProtection="1">
      <protection hidden="1"/>
    </xf>
    <xf numFmtId="0" fontId="5" fillId="0" borderId="0" xfId="2" applyFont="1" applyFill="1" applyBorder="1" applyProtection="1">
      <protection hidden="1"/>
    </xf>
    <xf numFmtId="0" fontId="3" fillId="3" borderId="8" xfId="2" applyFont="1" applyFill="1" applyBorder="1" applyProtection="1">
      <protection hidden="1"/>
    </xf>
    <xf numFmtId="0" fontId="3" fillId="3" borderId="10" xfId="2" applyFont="1" applyFill="1" applyBorder="1" applyProtection="1">
      <protection hidden="1"/>
    </xf>
    <xf numFmtId="0" fontId="3" fillId="3" borderId="9" xfId="2" applyFont="1" applyFill="1" applyBorder="1" applyProtection="1">
      <protection hidden="1"/>
    </xf>
    <xf numFmtId="0" fontId="3" fillId="3" borderId="55" xfId="2" applyFont="1" applyFill="1" applyBorder="1" applyProtection="1">
      <protection hidden="1"/>
    </xf>
    <xf numFmtId="0" fontId="3" fillId="3" borderId="56" xfId="2" applyFont="1" applyFill="1" applyBorder="1" applyProtection="1">
      <protection hidden="1"/>
    </xf>
    <xf numFmtId="0" fontId="3" fillId="3" borderId="57" xfId="2" applyFont="1" applyFill="1" applyBorder="1" applyProtection="1">
      <protection hidden="1"/>
    </xf>
    <xf numFmtId="0" fontId="3" fillId="3" borderId="52" xfId="2" applyFont="1" applyFill="1" applyBorder="1" applyProtection="1">
      <protection hidden="1"/>
    </xf>
    <xf numFmtId="0" fontId="3" fillId="3" borderId="13" xfId="2" applyFont="1" applyFill="1" applyBorder="1" applyProtection="1">
      <protection hidden="1"/>
    </xf>
    <xf numFmtId="0" fontId="3" fillId="0" borderId="0" xfId="2" applyFont="1" applyFill="1" applyBorder="1" applyAlignment="1" applyProtection="1">
      <alignment horizontal="left"/>
      <protection hidden="1"/>
    </xf>
    <xf numFmtId="0" fontId="3" fillId="3" borderId="53" xfId="2" applyFont="1" applyFill="1" applyBorder="1" applyProtection="1">
      <protection hidden="1"/>
    </xf>
    <xf numFmtId="0" fontId="3" fillId="3" borderId="54" xfId="2" applyFont="1" applyFill="1" applyBorder="1" applyProtection="1">
      <protection hidden="1"/>
    </xf>
    <xf numFmtId="0" fontId="5" fillId="3" borderId="56" xfId="2" applyFont="1" applyFill="1" applyBorder="1" applyAlignment="1" applyProtection="1">
      <alignment horizontal="left"/>
      <protection hidden="1"/>
    </xf>
    <xf numFmtId="0" fontId="3" fillId="3" borderId="56" xfId="2" applyFont="1" applyFill="1" applyBorder="1" applyAlignment="1" applyProtection="1">
      <alignment horizontal="left"/>
      <protection hidden="1"/>
    </xf>
    <xf numFmtId="0" fontId="5" fillId="3" borderId="57" xfId="2" applyFont="1" applyFill="1" applyBorder="1" applyAlignment="1" applyProtection="1">
      <alignment horizontal="left"/>
      <protection hidden="1"/>
    </xf>
    <xf numFmtId="0" fontId="3" fillId="3" borderId="57" xfId="2" applyFont="1" applyFill="1" applyBorder="1" applyAlignment="1" applyProtection="1">
      <alignment horizontal="left"/>
      <protection hidden="1"/>
    </xf>
    <xf numFmtId="0" fontId="3" fillId="3" borderId="0" xfId="2" applyFont="1" applyFill="1" applyBorder="1" applyAlignment="1" applyProtection="1">
      <alignment horizontal="left"/>
      <protection hidden="1"/>
    </xf>
    <xf numFmtId="0" fontId="3" fillId="3" borderId="14" xfId="2" applyFont="1" applyFill="1" applyBorder="1" applyAlignment="1" applyProtection="1">
      <alignment horizontal="left"/>
      <protection hidden="1"/>
    </xf>
    <xf numFmtId="0" fontId="3" fillId="3" borderId="0" xfId="2" applyFont="1" applyFill="1" applyBorder="1" applyAlignment="1" applyProtection="1">
      <alignment horizontal="right"/>
      <protection hidden="1"/>
    </xf>
    <xf numFmtId="0" fontId="3" fillId="3" borderId="14" xfId="2" applyFont="1" applyFill="1" applyBorder="1" applyAlignment="1" applyProtection="1">
      <alignment horizontal="right"/>
      <protection hidden="1"/>
    </xf>
    <xf numFmtId="0" fontId="3" fillId="3" borderId="10" xfId="2" applyFont="1" applyFill="1" applyBorder="1" applyAlignment="1" applyProtection="1">
      <alignment horizontal="left"/>
      <protection hidden="1"/>
    </xf>
    <xf numFmtId="0" fontId="5" fillId="0" borderId="0" xfId="2" applyFont="1" applyBorder="1" applyAlignment="1" applyProtection="1">
      <alignment horizontal="right"/>
      <protection hidden="1"/>
    </xf>
    <xf numFmtId="37" fontId="6" fillId="4" borderId="0" xfId="0" applyFont="1" applyFill="1" applyBorder="1" applyAlignment="1" applyProtection="1">
      <alignment horizontal="center" vertical="center"/>
      <protection hidden="1"/>
    </xf>
    <xf numFmtId="170" fontId="6" fillId="4" borderId="6" xfId="0" applyNumberFormat="1" applyFont="1" applyFill="1" applyBorder="1" applyAlignment="1" applyProtection="1">
      <alignment horizontal="center" vertical="center"/>
      <protection hidden="1"/>
    </xf>
    <xf numFmtId="37" fontId="6" fillId="0" borderId="0" xfId="0" applyFont="1" applyBorder="1" applyAlignment="1" applyProtection="1">
      <alignment horizontal="center" vertical="center"/>
      <protection hidden="1"/>
    </xf>
    <xf numFmtId="170" fontId="6" fillId="4" borderId="43" xfId="0" quotePrefix="1" applyNumberFormat="1" applyFont="1" applyFill="1" applyBorder="1" applyAlignment="1" applyProtection="1">
      <alignment horizontal="right" vertical="center"/>
      <protection hidden="1"/>
    </xf>
    <xf numFmtId="37" fontId="6" fillId="4" borderId="17" xfId="0" quotePrefix="1" applyNumberFormat="1" applyFont="1" applyFill="1" applyBorder="1" applyAlignment="1" applyProtection="1">
      <alignment horizontal="right" vertical="center"/>
      <protection hidden="1"/>
    </xf>
    <xf numFmtId="170" fontId="6" fillId="4" borderId="46" xfId="0" quotePrefix="1" applyNumberFormat="1" applyFont="1" applyFill="1" applyBorder="1" applyAlignment="1" applyProtection="1">
      <alignment horizontal="right" vertical="center"/>
      <protection hidden="1"/>
    </xf>
    <xf numFmtId="37" fontId="6" fillId="4" borderId="18" xfId="0" quotePrefix="1" applyNumberFormat="1" applyFont="1" applyFill="1" applyBorder="1" applyAlignment="1" applyProtection="1">
      <alignment horizontal="right" vertical="center"/>
      <protection hidden="1"/>
    </xf>
    <xf numFmtId="37" fontId="6" fillId="5" borderId="0" xfId="0" applyFont="1" applyFill="1" applyBorder="1" applyAlignment="1" applyProtection="1">
      <alignment horizontal="center" vertical="center"/>
      <protection hidden="1"/>
    </xf>
    <xf numFmtId="37" fontId="8" fillId="5" borderId="6" xfId="0" applyFont="1" applyFill="1" applyBorder="1" applyAlignment="1" applyProtection="1">
      <alignment horizontal="left"/>
      <protection hidden="1"/>
    </xf>
    <xf numFmtId="170" fontId="6" fillId="4" borderId="25" xfId="0" quotePrefix="1" applyNumberFormat="1" applyFont="1" applyFill="1" applyBorder="1" applyAlignment="1" applyProtection="1">
      <alignment horizontal="right" vertical="center"/>
      <protection hidden="1"/>
    </xf>
    <xf numFmtId="170" fontId="6" fillId="4" borderId="13" xfId="0" quotePrefix="1" applyNumberFormat="1" applyFont="1" applyFill="1" applyBorder="1" applyAlignment="1" applyProtection="1">
      <alignment horizontal="right" vertical="center"/>
      <protection hidden="1"/>
    </xf>
    <xf numFmtId="49" fontId="4" fillId="3" borderId="52" xfId="2" applyNumberFormat="1" applyFont="1" applyFill="1" applyBorder="1" applyAlignment="1" applyProtection="1">
      <alignment horizontal="left"/>
      <protection hidden="1"/>
    </xf>
    <xf numFmtId="37" fontId="8" fillId="0" borderId="6" xfId="0" applyFont="1" applyBorder="1" applyProtection="1">
      <protection locked="0"/>
    </xf>
    <xf numFmtId="4" fontId="6" fillId="4" borderId="13" xfId="0" quotePrefix="1" applyNumberFormat="1" applyFont="1" applyFill="1" applyBorder="1" applyAlignment="1" applyProtection="1">
      <alignment horizontal="right" vertical="center"/>
      <protection hidden="1"/>
    </xf>
    <xf numFmtId="4" fontId="6" fillId="4" borderId="15" xfId="0" quotePrefix="1" applyNumberFormat="1" applyFont="1" applyFill="1" applyBorder="1" applyAlignment="1" applyProtection="1">
      <alignment horizontal="right" vertical="center"/>
      <protection hidden="1"/>
    </xf>
    <xf numFmtId="0" fontId="5" fillId="3" borderId="53" xfId="2" applyFont="1" applyFill="1" applyBorder="1" applyAlignment="1" applyProtection="1">
      <alignment horizontal="center"/>
      <protection hidden="1"/>
    </xf>
    <xf numFmtId="0" fontId="5" fillId="3" borderId="52" xfId="2" applyFont="1" applyFill="1" applyBorder="1" applyAlignment="1" applyProtection="1">
      <alignment horizontal="center"/>
      <protection hidden="1"/>
    </xf>
    <xf numFmtId="0" fontId="5" fillId="3" borderId="54" xfId="2" applyFont="1" applyFill="1" applyBorder="1" applyAlignment="1" applyProtection="1">
      <alignment horizontal="center"/>
      <protection hidden="1"/>
    </xf>
    <xf numFmtId="0" fontId="4" fillId="0" borderId="0" xfId="2" applyFont="1" applyAlignment="1" applyProtection="1">
      <alignment horizontal="center"/>
      <protection hidden="1"/>
    </xf>
    <xf numFmtId="0" fontId="5" fillId="0" borderId="29" xfId="2" applyFont="1" applyBorder="1" applyAlignment="1" applyProtection="1">
      <alignment horizontal="center"/>
      <protection hidden="1"/>
    </xf>
    <xf numFmtId="0" fontId="3" fillId="0" borderId="13" xfId="2" applyFont="1" applyBorder="1" applyAlignment="1" applyProtection="1">
      <protection locked="0" hidden="1"/>
    </xf>
    <xf numFmtId="0" fontId="5" fillId="0" borderId="58" xfId="2" applyFont="1" applyBorder="1" applyAlignment="1" applyProtection="1">
      <alignment horizontal="left" vertical="center"/>
      <protection hidden="1"/>
    </xf>
    <xf numFmtId="37" fontId="0" fillId="0" borderId="59" xfId="0" applyBorder="1" applyAlignment="1">
      <alignment horizontal="left" vertical="center"/>
    </xf>
    <xf numFmtId="37" fontId="0" fillId="0" borderId="60" xfId="0" applyBorder="1" applyAlignment="1">
      <alignment horizontal="left" vertical="center"/>
    </xf>
    <xf numFmtId="0" fontId="3" fillId="0" borderId="13" xfId="2" applyFont="1" applyBorder="1" applyAlignment="1" applyProtection="1">
      <alignment horizontal="left" indent="2"/>
      <protection locked="0" hidden="1"/>
    </xf>
    <xf numFmtId="0" fontId="5" fillId="3" borderId="32" xfId="2" applyFont="1" applyFill="1" applyBorder="1" applyAlignment="1" applyProtection="1">
      <alignment horizontal="center"/>
      <protection hidden="1"/>
    </xf>
    <xf numFmtId="0" fontId="5" fillId="3" borderId="31" xfId="2" applyFont="1" applyFill="1" applyBorder="1" applyAlignment="1" applyProtection="1">
      <alignment horizontal="center"/>
      <protection hidden="1"/>
    </xf>
    <xf numFmtId="0" fontId="5" fillId="3" borderId="42" xfId="2" applyFont="1" applyFill="1" applyBorder="1" applyAlignment="1" applyProtection="1">
      <alignment horizontal="center"/>
      <protection hidden="1"/>
    </xf>
    <xf numFmtId="37" fontId="11" fillId="0" borderId="0" xfId="0" applyFont="1" applyAlignment="1" applyProtection="1">
      <alignment horizontal="center" vertical="center"/>
      <protection hidden="1"/>
    </xf>
    <xf numFmtId="37" fontId="0" fillId="0" borderId="0" xfId="0" applyAlignment="1">
      <alignment horizontal="center" vertical="center"/>
    </xf>
    <xf numFmtId="37" fontId="6" fillId="0" borderId="14" xfId="0" applyFont="1" applyBorder="1" applyAlignment="1" applyProtection="1">
      <alignment horizontal="center" vertical="center" wrapText="1"/>
      <protection hidden="1"/>
    </xf>
    <xf numFmtId="37" fontId="6" fillId="4" borderId="13" xfId="0" applyNumberFormat="1" applyFont="1" applyFill="1" applyBorder="1" applyAlignment="1" applyProtection="1">
      <alignment horizontal="right" vertical="center"/>
      <protection hidden="1"/>
    </xf>
    <xf numFmtId="37" fontId="6" fillId="4" borderId="15" xfId="0" applyNumberFormat="1" applyFont="1" applyFill="1" applyBorder="1" applyAlignment="1" applyProtection="1">
      <alignment horizontal="right" vertical="center"/>
      <protection hidden="1"/>
    </xf>
    <xf numFmtId="37" fontId="6" fillId="0" borderId="49" xfId="0" applyFont="1" applyBorder="1" applyAlignment="1" applyProtection="1">
      <alignment horizontal="center" wrapText="1"/>
      <protection locked="0" hidden="1"/>
    </xf>
    <xf numFmtId="37" fontId="6" fillId="0" borderId="50" xfId="0" applyFont="1" applyBorder="1" applyAlignment="1" applyProtection="1">
      <alignment horizontal="center" wrapText="1"/>
      <protection locked="0" hidden="1"/>
    </xf>
    <xf numFmtId="37" fontId="9" fillId="0" borderId="50" xfId="0" applyFont="1" applyBorder="1" applyAlignment="1" applyProtection="1">
      <alignment horizontal="center" wrapText="1"/>
      <protection locked="0"/>
    </xf>
    <xf numFmtId="37" fontId="9" fillId="0" borderId="51" xfId="0" applyFont="1" applyBorder="1" applyAlignment="1" applyProtection="1">
      <alignment horizontal="center" wrapText="1"/>
      <protection locked="0"/>
    </xf>
    <xf numFmtId="37" fontId="6" fillId="0" borderId="32" xfId="0" applyFont="1" applyBorder="1" applyAlignment="1" applyProtection="1">
      <alignment horizontal="center"/>
      <protection hidden="1"/>
    </xf>
    <xf numFmtId="37" fontId="6" fillId="0" borderId="31" xfId="0" applyFont="1" applyBorder="1" applyAlignment="1" applyProtection="1">
      <alignment horizontal="center"/>
      <protection hidden="1"/>
    </xf>
    <xf numFmtId="37" fontId="6" fillId="0" borderId="42" xfId="0" applyFont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" transitionEvaluation="1">
    <pageSetUpPr fitToPage="1"/>
  </sheetPr>
  <dimension ref="A1:P57"/>
  <sheetViews>
    <sheetView showGridLines="0" tabSelected="1" topLeftCell="A6" zoomScaleNormal="75" zoomScaleSheetLayoutView="75" workbookViewId="0">
      <selection activeCell="E12" sqref="E12:K12"/>
    </sheetView>
  </sheetViews>
  <sheetFormatPr defaultColWidth="9.88671875" defaultRowHeight="15" x14ac:dyDescent="0.25"/>
  <cols>
    <col min="1" max="1" width="3.109375" style="164" customWidth="1"/>
    <col min="2" max="7" width="10.6640625" style="164" customWidth="1"/>
    <col min="8" max="8" width="6.33203125" style="164" customWidth="1"/>
    <col min="9" max="9" width="15.109375" style="164" customWidth="1"/>
    <col min="10" max="11" width="10.6640625" style="164" customWidth="1"/>
    <col min="12" max="12" width="3.109375" style="164" customWidth="1"/>
    <col min="13" max="16384" width="9.88671875" style="164"/>
  </cols>
  <sheetData>
    <row r="1" spans="1:16" ht="15.6" x14ac:dyDescent="0.3">
      <c r="L1" s="165" t="s">
        <v>91</v>
      </c>
      <c r="M1" s="166"/>
      <c r="N1" s="166"/>
      <c r="O1" s="166"/>
      <c r="P1" s="167"/>
    </row>
    <row r="2" spans="1:16" ht="15.6" x14ac:dyDescent="0.3">
      <c r="L2" s="165" t="s">
        <v>168</v>
      </c>
      <c r="M2" s="166"/>
      <c r="N2" s="166"/>
      <c r="O2" s="166"/>
      <c r="P2" s="167"/>
    </row>
    <row r="3" spans="1:16" ht="15.6" x14ac:dyDescent="0.3">
      <c r="L3" s="165" t="s">
        <v>100</v>
      </c>
      <c r="M3" s="166"/>
      <c r="N3" s="166"/>
      <c r="O3" s="166"/>
      <c r="P3" s="167"/>
    </row>
    <row r="4" spans="1:16" ht="5.0999999999999996" customHeight="1" x14ac:dyDescent="0.25">
      <c r="M4" s="167"/>
      <c r="N4" s="167"/>
      <c r="O4" s="167"/>
      <c r="P4" s="167"/>
    </row>
    <row r="5" spans="1:16" ht="17.399999999999999" x14ac:dyDescent="0.3">
      <c r="A5" s="231" t="s">
        <v>92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168"/>
      <c r="N5" s="168"/>
      <c r="O5" s="168"/>
      <c r="P5" s="168"/>
    </row>
    <row r="6" spans="1:16" ht="17.399999999999999" x14ac:dyDescent="0.3">
      <c r="A6" s="231" t="s">
        <v>167</v>
      </c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168"/>
      <c r="N6" s="168"/>
      <c r="O6" s="168"/>
      <c r="P6" s="168"/>
    </row>
    <row r="7" spans="1:16" ht="17.399999999999999" x14ac:dyDescent="0.3">
      <c r="A7" s="231" t="s">
        <v>165</v>
      </c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168"/>
      <c r="N7" s="168"/>
      <c r="O7" s="168"/>
      <c r="P7" s="168"/>
    </row>
    <row r="8" spans="1:16" ht="17.399999999999999" x14ac:dyDescent="0.3">
      <c r="A8" s="231" t="s">
        <v>101</v>
      </c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168"/>
      <c r="N8" s="168"/>
      <c r="O8" s="168"/>
      <c r="P8" s="168"/>
    </row>
    <row r="9" spans="1:16" ht="6.9" customHeight="1" thickBot="1" x14ac:dyDescent="0.3">
      <c r="M9" s="167"/>
      <c r="N9" s="167"/>
      <c r="O9" s="167"/>
      <c r="P9" s="167"/>
    </row>
    <row r="10" spans="1:16" ht="21.9" customHeight="1" x14ac:dyDescent="0.25">
      <c r="A10" s="234" t="s">
        <v>121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6"/>
      <c r="M10" s="167"/>
      <c r="N10" s="167"/>
      <c r="O10" s="167"/>
      <c r="P10" s="167"/>
    </row>
    <row r="11" spans="1:16" ht="12" customHeight="1" x14ac:dyDescent="0.25">
      <c r="A11" s="169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70"/>
      <c r="M11" s="167"/>
      <c r="N11" s="167"/>
      <c r="O11" s="167"/>
      <c r="P11" s="167"/>
    </row>
    <row r="12" spans="1:16" ht="21.9" customHeight="1" x14ac:dyDescent="0.3">
      <c r="A12" s="169"/>
      <c r="B12" s="171" t="s">
        <v>102</v>
      </c>
      <c r="C12" s="171"/>
      <c r="D12" s="167"/>
      <c r="E12" s="233"/>
      <c r="F12" s="233"/>
      <c r="G12" s="233"/>
      <c r="H12" s="233"/>
      <c r="I12" s="233"/>
      <c r="J12" s="233"/>
      <c r="K12" s="233"/>
      <c r="L12" s="170"/>
      <c r="M12" s="167"/>
      <c r="N12" s="167"/>
      <c r="O12" s="167"/>
      <c r="P12" s="167"/>
    </row>
    <row r="13" spans="1:16" ht="12" customHeight="1" x14ac:dyDescent="0.25">
      <c r="A13" s="169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70"/>
      <c r="M13" s="167"/>
      <c r="N13" s="167"/>
      <c r="O13" s="167"/>
      <c r="P13" s="167"/>
    </row>
    <row r="14" spans="1:16" ht="21.9" customHeight="1" x14ac:dyDescent="0.3">
      <c r="A14" s="169"/>
      <c r="B14" s="171" t="s">
        <v>93</v>
      </c>
      <c r="C14" s="171"/>
      <c r="D14" s="233"/>
      <c r="E14" s="233"/>
      <c r="F14" s="233"/>
      <c r="G14" s="233"/>
      <c r="H14" s="233"/>
      <c r="I14" s="233"/>
      <c r="J14" s="233"/>
      <c r="K14" s="233"/>
      <c r="L14" s="170"/>
      <c r="M14" s="167"/>
      <c r="N14" s="167"/>
      <c r="O14" s="167"/>
      <c r="P14" s="167"/>
    </row>
    <row r="15" spans="1:16" ht="21.9" customHeight="1" x14ac:dyDescent="0.25">
      <c r="A15" s="169"/>
      <c r="B15" s="167"/>
      <c r="C15" s="167"/>
      <c r="D15" s="233"/>
      <c r="E15" s="233"/>
      <c r="F15" s="233"/>
      <c r="G15" s="233"/>
      <c r="H15" s="233"/>
      <c r="I15" s="233"/>
      <c r="J15" s="233"/>
      <c r="K15" s="233"/>
      <c r="L15" s="170"/>
      <c r="M15" s="167"/>
      <c r="N15" s="167"/>
      <c r="O15" s="167"/>
      <c r="P15" s="167"/>
    </row>
    <row r="16" spans="1:16" ht="21.9" customHeight="1" x14ac:dyDescent="0.25">
      <c r="A16" s="169"/>
      <c r="B16" s="167"/>
      <c r="C16" s="167"/>
      <c r="D16" s="233"/>
      <c r="E16" s="233"/>
      <c r="F16" s="233"/>
      <c r="G16" s="233"/>
      <c r="H16" s="233"/>
      <c r="I16" s="233"/>
      <c r="J16" s="233"/>
      <c r="K16" s="233"/>
      <c r="L16" s="170"/>
      <c r="M16" s="167"/>
      <c r="N16" s="167"/>
      <c r="O16" s="167"/>
      <c r="P16" s="167"/>
    </row>
    <row r="17" spans="1:16" ht="12" customHeight="1" x14ac:dyDescent="0.25">
      <c r="A17" s="169"/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70"/>
      <c r="M17" s="167"/>
      <c r="N17" s="167"/>
      <c r="O17" s="167"/>
      <c r="P17" s="167"/>
    </row>
    <row r="18" spans="1:16" ht="21.9" customHeight="1" x14ac:dyDescent="0.3">
      <c r="A18" s="169"/>
      <c r="B18" s="171" t="s">
        <v>94</v>
      </c>
      <c r="C18" s="171"/>
      <c r="D18" s="233"/>
      <c r="E18" s="233"/>
      <c r="F18" s="233"/>
      <c r="G18" s="233"/>
      <c r="H18" s="167"/>
      <c r="I18" s="212" t="s">
        <v>95</v>
      </c>
      <c r="J18" s="233"/>
      <c r="K18" s="233"/>
      <c r="L18" s="170"/>
      <c r="M18" s="167"/>
      <c r="N18" s="167"/>
      <c r="O18" s="167"/>
      <c r="P18" s="167"/>
    </row>
    <row r="19" spans="1:16" x14ac:dyDescent="0.25">
      <c r="A19" s="169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70"/>
      <c r="M19" s="167"/>
      <c r="N19" s="167"/>
      <c r="O19" s="167"/>
      <c r="P19" s="167"/>
    </row>
    <row r="20" spans="1:16" ht="21.9" customHeight="1" x14ac:dyDescent="0.3">
      <c r="A20" s="169"/>
      <c r="B20" s="173" t="s">
        <v>103</v>
      </c>
      <c r="C20" s="173"/>
      <c r="D20" s="233"/>
      <c r="E20" s="233"/>
      <c r="F20" s="233"/>
      <c r="G20" s="233"/>
      <c r="H20" s="167"/>
      <c r="I20" s="212" t="s">
        <v>104</v>
      </c>
      <c r="J20" s="233"/>
      <c r="K20" s="233"/>
      <c r="L20" s="170"/>
      <c r="M20" s="167"/>
      <c r="N20" s="167"/>
      <c r="O20" s="167"/>
      <c r="P20" s="167"/>
    </row>
    <row r="21" spans="1:16" x14ac:dyDescent="0.25">
      <c r="A21" s="169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70"/>
      <c r="M21" s="167"/>
      <c r="N21" s="167"/>
      <c r="O21" s="167"/>
      <c r="P21" s="167"/>
    </row>
    <row r="22" spans="1:16" ht="21.9" customHeight="1" x14ac:dyDescent="0.3">
      <c r="A22" s="169"/>
      <c r="B22" s="171" t="s">
        <v>105</v>
      </c>
      <c r="C22" s="171"/>
      <c r="D22" s="167"/>
      <c r="E22" s="167"/>
      <c r="F22" s="167"/>
      <c r="G22" s="233"/>
      <c r="H22" s="233"/>
      <c r="I22" s="233"/>
      <c r="J22" s="233"/>
      <c r="K22" s="233"/>
      <c r="L22" s="170"/>
      <c r="M22" s="167"/>
      <c r="N22" s="167"/>
      <c r="O22" s="167"/>
      <c r="P22" s="167"/>
    </row>
    <row r="23" spans="1:16" ht="6" customHeight="1" x14ac:dyDescent="0.3">
      <c r="A23" s="169"/>
      <c r="B23" s="171"/>
      <c r="C23" s="171"/>
      <c r="D23" s="167"/>
      <c r="E23" s="167"/>
      <c r="F23" s="167"/>
      <c r="G23" s="167"/>
      <c r="H23" s="167"/>
      <c r="I23" s="167"/>
      <c r="J23" s="167"/>
      <c r="K23" s="167"/>
      <c r="L23" s="170"/>
      <c r="M23" s="167"/>
      <c r="N23" s="167"/>
      <c r="O23" s="167"/>
      <c r="P23" s="167"/>
    </row>
    <row r="24" spans="1:16" ht="21.9" customHeight="1" x14ac:dyDescent="0.3">
      <c r="A24" s="169"/>
      <c r="B24" s="171" t="s">
        <v>106</v>
      </c>
      <c r="C24" s="171"/>
      <c r="D24" s="167"/>
      <c r="E24" s="167"/>
      <c r="F24" s="171" t="s">
        <v>96</v>
      </c>
      <c r="G24" s="167"/>
      <c r="H24" s="167"/>
      <c r="I24" s="173" t="s">
        <v>107</v>
      </c>
      <c r="J24" s="171"/>
      <c r="K24" s="167"/>
      <c r="L24" s="170"/>
      <c r="M24" s="167"/>
      <c r="N24" s="167"/>
      <c r="O24" s="167"/>
      <c r="P24" s="167"/>
    </row>
    <row r="25" spans="1:16" ht="21.9" customHeight="1" x14ac:dyDescent="0.3">
      <c r="A25" s="169"/>
      <c r="B25" s="171" t="s">
        <v>108</v>
      </c>
      <c r="C25" s="171"/>
      <c r="D25" s="167"/>
      <c r="E25" s="167"/>
      <c r="F25" s="171" t="s">
        <v>97</v>
      </c>
      <c r="G25" s="167"/>
      <c r="H25" s="167"/>
      <c r="I25" s="171" t="s">
        <v>166</v>
      </c>
      <c r="J25" s="167"/>
      <c r="K25" s="167"/>
      <c r="L25" s="170"/>
      <c r="M25" s="167"/>
      <c r="N25" s="167"/>
      <c r="O25" s="167"/>
      <c r="P25" s="167"/>
    </row>
    <row r="26" spans="1:16" ht="6" customHeight="1" x14ac:dyDescent="0.25">
      <c r="A26" s="169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70"/>
      <c r="M26" s="167"/>
      <c r="N26" s="167"/>
      <c r="O26" s="167"/>
      <c r="P26" s="167"/>
    </row>
    <row r="27" spans="1:16" ht="21.9" customHeight="1" x14ac:dyDescent="0.25">
      <c r="A27" s="169"/>
      <c r="B27" s="233"/>
      <c r="C27" s="233"/>
      <c r="D27" s="233"/>
      <c r="E27" s="174"/>
      <c r="F27" s="237"/>
      <c r="G27" s="237"/>
      <c r="H27" s="167"/>
      <c r="I27" s="233"/>
      <c r="J27" s="233"/>
      <c r="K27" s="233"/>
      <c r="L27" s="170"/>
      <c r="M27" s="167"/>
      <c r="N27" s="167"/>
      <c r="O27" s="167"/>
      <c r="P27" s="167"/>
    </row>
    <row r="28" spans="1:16" ht="9.9" customHeight="1" thickBot="1" x14ac:dyDescent="0.3">
      <c r="A28" s="175"/>
      <c r="B28" s="176"/>
      <c r="C28" s="176"/>
      <c r="D28" s="176"/>
      <c r="E28" s="176"/>
      <c r="F28" s="176"/>
      <c r="G28" s="176"/>
      <c r="H28" s="176"/>
      <c r="I28" s="176"/>
      <c r="J28" s="176"/>
      <c r="K28" s="177"/>
      <c r="L28" s="178"/>
      <c r="M28" s="167"/>
      <c r="N28" s="167"/>
      <c r="O28" s="167"/>
      <c r="P28" s="167"/>
    </row>
    <row r="29" spans="1:16" ht="15" customHeight="1" thickBot="1" x14ac:dyDescent="0.3">
      <c r="M29" s="182"/>
      <c r="N29" s="182"/>
      <c r="O29" s="182"/>
      <c r="P29" s="182"/>
    </row>
    <row r="30" spans="1:16" ht="21.9" customHeight="1" x14ac:dyDescent="0.25">
      <c r="A30" s="234" t="s">
        <v>122</v>
      </c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6"/>
      <c r="M30" s="167"/>
      <c r="N30" s="167"/>
      <c r="O30" s="167"/>
      <c r="P30" s="167"/>
    </row>
    <row r="31" spans="1:16" x14ac:dyDescent="0.25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70"/>
      <c r="M31" s="167"/>
      <c r="N31" s="167"/>
      <c r="O31" s="167"/>
      <c r="P31" s="167"/>
    </row>
    <row r="32" spans="1:16" ht="15.6" x14ac:dyDescent="0.3">
      <c r="A32" s="169"/>
      <c r="B32" s="171" t="s">
        <v>109</v>
      </c>
      <c r="C32" s="179"/>
      <c r="D32" s="167"/>
      <c r="E32" s="167"/>
      <c r="F32" s="167"/>
      <c r="G32" s="167"/>
      <c r="H32" s="167"/>
      <c r="I32" s="167"/>
      <c r="J32" s="167"/>
      <c r="K32" s="167"/>
      <c r="L32" s="170"/>
      <c r="M32" s="167"/>
      <c r="N32" s="167"/>
      <c r="O32" s="167"/>
      <c r="P32" s="167"/>
    </row>
    <row r="33" spans="1:16" x14ac:dyDescent="0.25">
      <c r="A33" s="169"/>
      <c r="B33" s="179"/>
      <c r="C33" s="179"/>
      <c r="D33" s="167"/>
      <c r="E33" s="167"/>
      <c r="F33" s="167"/>
      <c r="G33" s="167"/>
      <c r="H33" s="167"/>
      <c r="I33" s="167"/>
      <c r="J33" s="167"/>
      <c r="K33" s="167"/>
      <c r="L33" s="170"/>
      <c r="M33" s="167"/>
      <c r="N33" s="167"/>
      <c r="O33" s="167"/>
      <c r="P33" s="167"/>
    </row>
    <row r="34" spans="1:16" ht="21.9" customHeight="1" x14ac:dyDescent="0.3">
      <c r="A34" s="169"/>
      <c r="B34" s="180" t="s">
        <v>98</v>
      </c>
      <c r="C34" s="172"/>
      <c r="D34" s="172"/>
      <c r="E34" s="172"/>
      <c r="F34" s="172"/>
      <c r="G34" s="172"/>
      <c r="H34" s="167"/>
      <c r="I34" s="171" t="s">
        <v>99</v>
      </c>
      <c r="J34" s="172"/>
      <c r="K34" s="172"/>
      <c r="L34" s="170"/>
      <c r="M34" s="167"/>
      <c r="N34" s="167"/>
      <c r="O34" s="167"/>
      <c r="P34" s="167"/>
    </row>
    <row r="35" spans="1:16" ht="17.100000000000001" customHeight="1" x14ac:dyDescent="0.3">
      <c r="A35" s="169"/>
      <c r="B35" s="167"/>
      <c r="C35" s="232" t="s">
        <v>110</v>
      </c>
      <c r="D35" s="232"/>
      <c r="E35" s="232"/>
      <c r="F35" s="232"/>
      <c r="G35" s="232"/>
      <c r="H35" s="167"/>
      <c r="I35" s="167"/>
      <c r="J35" s="167"/>
      <c r="K35" s="167"/>
      <c r="L35" s="170"/>
      <c r="M35" s="167"/>
      <c r="N35" s="167"/>
      <c r="O35" s="167"/>
      <c r="P35" s="167"/>
    </row>
    <row r="36" spans="1:16" ht="8.1" customHeight="1" x14ac:dyDescent="0.25">
      <c r="A36" s="169"/>
      <c r="B36" s="167"/>
      <c r="C36" s="167"/>
      <c r="D36" s="167"/>
      <c r="E36" s="167"/>
      <c r="F36" s="167"/>
      <c r="G36" s="166"/>
      <c r="H36" s="166"/>
      <c r="I36" s="167"/>
      <c r="J36" s="166"/>
      <c r="K36" s="166"/>
      <c r="L36" s="181"/>
      <c r="M36" s="167"/>
      <c r="N36" s="167"/>
      <c r="O36" s="167"/>
      <c r="P36" s="167"/>
    </row>
    <row r="37" spans="1:16" ht="21.9" customHeight="1" x14ac:dyDescent="0.3">
      <c r="A37" s="169"/>
      <c r="B37" s="171" t="s">
        <v>98</v>
      </c>
      <c r="C37" s="172"/>
      <c r="D37" s="172"/>
      <c r="E37" s="172"/>
      <c r="F37" s="172"/>
      <c r="G37" s="172"/>
      <c r="H37" s="167"/>
      <c r="I37" s="171" t="s">
        <v>99</v>
      </c>
      <c r="J37" s="172"/>
      <c r="K37" s="172"/>
      <c r="L37" s="170"/>
      <c r="M37" s="167"/>
      <c r="N37" s="167"/>
      <c r="O37" s="167"/>
      <c r="P37" s="167"/>
    </row>
    <row r="38" spans="1:16" ht="17.100000000000001" customHeight="1" x14ac:dyDescent="0.3">
      <c r="A38" s="169"/>
      <c r="B38" s="167"/>
      <c r="C38" s="232" t="s">
        <v>111</v>
      </c>
      <c r="D38" s="232"/>
      <c r="E38" s="232"/>
      <c r="F38" s="232"/>
      <c r="G38" s="232"/>
      <c r="H38" s="167"/>
      <c r="I38" s="167"/>
      <c r="J38" s="167"/>
      <c r="K38" s="167"/>
      <c r="L38" s="170"/>
      <c r="M38" s="167"/>
      <c r="N38" s="167"/>
      <c r="O38" s="167"/>
      <c r="P38" s="167"/>
    </row>
    <row r="39" spans="1:16" ht="6" customHeight="1" x14ac:dyDescent="0.25">
      <c r="A39" s="169"/>
      <c r="B39" s="167"/>
      <c r="C39" s="167"/>
      <c r="D39" s="167"/>
      <c r="E39" s="167"/>
      <c r="F39" s="167"/>
      <c r="G39" s="166"/>
      <c r="H39" s="166"/>
      <c r="I39" s="166"/>
      <c r="J39" s="166"/>
      <c r="K39" s="166"/>
      <c r="L39" s="181"/>
      <c r="M39" s="167"/>
      <c r="N39" s="167"/>
      <c r="O39" s="167"/>
      <c r="P39" s="167"/>
    </row>
    <row r="40" spans="1:16" ht="6" customHeight="1" thickBot="1" x14ac:dyDescent="0.3">
      <c r="A40" s="175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8"/>
      <c r="M40" s="167"/>
      <c r="N40" s="167"/>
      <c r="O40" s="167"/>
      <c r="P40" s="167"/>
    </row>
    <row r="41" spans="1:16" ht="15" customHeight="1" thickBot="1" x14ac:dyDescent="0.3">
      <c r="M41" s="182"/>
      <c r="N41" s="182"/>
      <c r="O41" s="182"/>
      <c r="P41" s="182"/>
    </row>
    <row r="42" spans="1:16" ht="21.9" customHeight="1" x14ac:dyDescent="0.3">
      <c r="A42" s="238" t="s">
        <v>112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40"/>
      <c r="M42" s="182"/>
      <c r="N42" s="182"/>
      <c r="O42" s="182"/>
      <c r="P42" s="182"/>
    </row>
    <row r="43" spans="1:16" ht="12" customHeight="1" x14ac:dyDescent="0.25">
      <c r="A43" s="183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5"/>
      <c r="M43" s="182"/>
      <c r="N43" s="182"/>
      <c r="O43" s="182"/>
      <c r="P43" s="182"/>
    </row>
    <row r="44" spans="1:16" ht="17.399999999999999" x14ac:dyDescent="0.3">
      <c r="A44" s="183"/>
      <c r="B44" s="186" t="s">
        <v>113</v>
      </c>
      <c r="C44" s="186"/>
      <c r="D44" s="187"/>
      <c r="E44" s="224" t="s">
        <v>114</v>
      </c>
      <c r="F44" s="188"/>
      <c r="G44" s="186"/>
      <c r="H44" s="186" t="s">
        <v>115</v>
      </c>
      <c r="I44" s="186"/>
      <c r="J44" s="186"/>
      <c r="K44" s="189"/>
      <c r="L44" s="190"/>
      <c r="M44" s="191"/>
      <c r="N44" s="191"/>
      <c r="O44" s="182"/>
      <c r="P44" s="182"/>
    </row>
    <row r="45" spans="1:16" ht="15.6" thickBot="1" x14ac:dyDescent="0.3">
      <c r="A45" s="192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4"/>
      <c r="M45" s="182"/>
      <c r="N45" s="182"/>
      <c r="O45" s="182"/>
      <c r="P45" s="182"/>
    </row>
    <row r="46" spans="1:16" ht="15" customHeight="1" thickBot="1" x14ac:dyDescent="0.3">
      <c r="M46" s="182"/>
      <c r="N46" s="182"/>
      <c r="O46" s="182"/>
      <c r="P46" s="182"/>
    </row>
    <row r="47" spans="1:16" ht="21.9" customHeight="1" x14ac:dyDescent="0.3">
      <c r="A47" s="238" t="s">
        <v>112</v>
      </c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40"/>
      <c r="M47" s="191"/>
      <c r="N47" s="191"/>
      <c r="O47" s="191"/>
      <c r="P47" s="182"/>
    </row>
    <row r="48" spans="1:16" ht="21.9" customHeight="1" x14ac:dyDescent="0.3">
      <c r="A48" s="228" t="s">
        <v>116</v>
      </c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30"/>
      <c r="M48" s="191"/>
      <c r="N48" s="191"/>
      <c r="O48" s="191"/>
      <c r="P48" s="182"/>
    </row>
    <row r="49" spans="1:16" ht="12" customHeight="1" x14ac:dyDescent="0.25">
      <c r="A49" s="195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7"/>
      <c r="M49" s="182"/>
      <c r="N49" s="182"/>
      <c r="O49" s="182"/>
      <c r="P49" s="182"/>
    </row>
    <row r="50" spans="1:16" ht="15.6" x14ac:dyDescent="0.3">
      <c r="A50" s="183"/>
      <c r="B50" s="187" t="s">
        <v>98</v>
      </c>
      <c r="C50" s="198"/>
      <c r="D50" s="198"/>
      <c r="E50" s="198"/>
      <c r="F50" s="198"/>
      <c r="G50" s="198"/>
      <c r="H50" s="184"/>
      <c r="I50" s="187" t="s">
        <v>99</v>
      </c>
      <c r="J50" s="199"/>
      <c r="K50" s="199"/>
      <c r="L50" s="185"/>
      <c r="M50" s="182"/>
      <c r="N50" s="200"/>
      <c r="O50" s="182"/>
      <c r="P50" s="182"/>
    </row>
    <row r="51" spans="1:16" x14ac:dyDescent="0.25">
      <c r="A51" s="201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202"/>
      <c r="M51" s="182"/>
      <c r="N51" s="182"/>
      <c r="O51" s="182"/>
      <c r="P51" s="182"/>
    </row>
    <row r="52" spans="1:16" ht="21.9" customHeight="1" x14ac:dyDescent="0.3">
      <c r="A52" s="195"/>
      <c r="B52" s="203" t="s">
        <v>169</v>
      </c>
      <c r="C52" s="204"/>
      <c r="D52" s="196"/>
      <c r="E52" s="196"/>
      <c r="F52" s="196"/>
      <c r="G52" s="204" t="s">
        <v>117</v>
      </c>
      <c r="H52" s="205" t="s">
        <v>118</v>
      </c>
      <c r="I52" s="196"/>
      <c r="J52" s="204"/>
      <c r="K52" s="204"/>
      <c r="L52" s="206"/>
      <c r="M52" s="182"/>
      <c r="N52" s="182"/>
      <c r="O52" s="182"/>
      <c r="P52" s="182"/>
    </row>
    <row r="53" spans="1:16" ht="21.9" customHeight="1" x14ac:dyDescent="0.3">
      <c r="A53" s="183"/>
      <c r="B53" s="184"/>
      <c r="C53" s="184"/>
      <c r="D53" s="184"/>
      <c r="E53" s="184"/>
      <c r="F53" s="184"/>
      <c r="G53" s="207" t="s">
        <v>117</v>
      </c>
      <c r="H53" s="186" t="s">
        <v>119</v>
      </c>
      <c r="I53" s="184"/>
      <c r="J53" s="207"/>
      <c r="K53" s="207"/>
      <c r="L53" s="208"/>
      <c r="M53" s="182"/>
      <c r="N53" s="182"/>
      <c r="O53" s="182"/>
      <c r="P53" s="182"/>
    </row>
    <row r="54" spans="1:16" ht="9.9" customHeight="1" x14ac:dyDescent="0.3">
      <c r="A54" s="183"/>
      <c r="B54" s="184"/>
      <c r="C54" s="184"/>
      <c r="D54" s="184"/>
      <c r="E54" s="184"/>
      <c r="F54" s="184"/>
      <c r="G54" s="207" t="s">
        <v>117</v>
      </c>
      <c r="H54" s="186"/>
      <c r="I54" s="184"/>
      <c r="J54" s="207"/>
      <c r="K54" s="207"/>
      <c r="L54" s="208"/>
      <c r="M54" s="182"/>
      <c r="N54" s="182"/>
      <c r="O54" s="182"/>
      <c r="P54" s="182"/>
    </row>
    <row r="55" spans="1:16" ht="9.9" customHeight="1" x14ac:dyDescent="0.3">
      <c r="A55" s="183"/>
      <c r="B55" s="184"/>
      <c r="C55" s="184"/>
      <c r="D55" s="184"/>
      <c r="E55" s="184"/>
      <c r="F55" s="184"/>
      <c r="G55" s="207" t="s">
        <v>117</v>
      </c>
      <c r="H55" s="186"/>
      <c r="I55" s="184"/>
      <c r="J55" s="207"/>
      <c r="K55" s="207"/>
      <c r="L55" s="208"/>
      <c r="M55" s="182"/>
      <c r="N55" s="182"/>
      <c r="O55" s="182"/>
      <c r="P55" s="182"/>
    </row>
    <row r="56" spans="1:16" ht="15.6" x14ac:dyDescent="0.3">
      <c r="A56" s="183"/>
      <c r="B56" s="186" t="s">
        <v>120</v>
      </c>
      <c r="C56" s="209"/>
      <c r="D56" s="184"/>
      <c r="E56" s="184"/>
      <c r="F56" s="184"/>
      <c r="G56" s="207" t="s">
        <v>117</v>
      </c>
      <c r="H56" s="186" t="s">
        <v>120</v>
      </c>
      <c r="I56" s="209"/>
      <c r="J56" s="184"/>
      <c r="K56" s="184"/>
      <c r="L56" s="210"/>
      <c r="M56" s="182"/>
      <c r="N56" s="182"/>
      <c r="O56" s="200"/>
      <c r="P56" s="182"/>
    </row>
    <row r="57" spans="1:16" ht="15.6" thickBot="1" x14ac:dyDescent="0.3">
      <c r="A57" s="192"/>
      <c r="B57" s="193"/>
      <c r="C57" s="193"/>
      <c r="D57" s="193"/>
      <c r="E57" s="193"/>
      <c r="F57" s="193"/>
      <c r="G57" s="211" t="s">
        <v>117</v>
      </c>
      <c r="H57" s="193"/>
      <c r="I57" s="193"/>
      <c r="J57" s="211"/>
      <c r="K57" s="211"/>
      <c r="L57" s="194"/>
      <c r="M57" s="182"/>
      <c r="N57" s="182"/>
      <c r="O57" s="182"/>
      <c r="P57" s="182"/>
    </row>
  </sheetData>
  <sheetProtection password="BC0A" sheet="1" objects="1" scenarios="1" selectLockedCells="1"/>
  <mergeCells count="23">
    <mergeCell ref="I27:K27"/>
    <mergeCell ref="D14:K14"/>
    <mergeCell ref="D18:G18"/>
    <mergeCell ref="D20:G20"/>
    <mergeCell ref="J18:K18"/>
    <mergeCell ref="D15:K15"/>
    <mergeCell ref="D16:K16"/>
    <mergeCell ref="A48:L48"/>
    <mergeCell ref="A5:L5"/>
    <mergeCell ref="A6:L6"/>
    <mergeCell ref="A7:L7"/>
    <mergeCell ref="A8:L8"/>
    <mergeCell ref="C35:G35"/>
    <mergeCell ref="C38:G38"/>
    <mergeCell ref="E12:K12"/>
    <mergeCell ref="A10:L10"/>
    <mergeCell ref="A30:L30"/>
    <mergeCell ref="J20:K20"/>
    <mergeCell ref="G22:K22"/>
    <mergeCell ref="B27:D27"/>
    <mergeCell ref="F27:G27"/>
    <mergeCell ref="A42:L42"/>
    <mergeCell ref="A47:L47"/>
  </mergeCells>
  <printOptions horizontalCentered="1"/>
  <pageMargins left="0.22" right="0.22" top="0.22" bottom="0.22" header="0" footer="0"/>
  <pageSetup scale="80" orientation="portrait" r:id="rId1"/>
  <headerFooter alignWithMargins="0"/>
  <colBreaks count="1" manualBreakCount="1">
    <brk id="1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I196"/>
  <sheetViews>
    <sheetView showGridLines="0" zoomScaleNormal="100" workbookViewId="0">
      <selection activeCell="D3" sqref="D3:H3"/>
    </sheetView>
  </sheetViews>
  <sheetFormatPr defaultColWidth="9.77734375" defaultRowHeight="15.6" x14ac:dyDescent="0.3"/>
  <cols>
    <col min="1" max="1" width="2.21875" style="2" customWidth="1"/>
    <col min="2" max="2" width="10.109375" style="215" customWidth="1"/>
    <col min="3" max="3" width="58.44140625" style="3" customWidth="1"/>
    <col min="4" max="8" width="11.109375" style="15" customWidth="1"/>
    <col min="9" max="9" width="9.77734375" style="1"/>
    <col min="10" max="10" width="1.77734375" style="1" customWidth="1"/>
    <col min="11" max="11" width="12.77734375" style="1" customWidth="1"/>
    <col min="12" max="12" width="1.77734375" style="1" customWidth="1"/>
    <col min="13" max="13" width="9.77734375" style="1"/>
    <col min="14" max="14" width="1.77734375" style="1" customWidth="1"/>
    <col min="15" max="15" width="12.77734375" style="1" customWidth="1"/>
    <col min="16" max="16" width="1.77734375" style="1" customWidth="1"/>
    <col min="17" max="17" width="9.77734375" style="1"/>
    <col min="18" max="18" width="1.77734375" style="1" customWidth="1"/>
    <col min="19" max="19" width="12.77734375" style="1" customWidth="1"/>
    <col min="20" max="20" width="1.77734375" style="1" customWidth="1"/>
    <col min="21" max="21" width="9.77734375" style="1"/>
    <col min="22" max="22" width="1.77734375" style="1" customWidth="1"/>
    <col min="23" max="23" width="12.77734375" style="1" customWidth="1"/>
    <col min="24" max="24" width="1.77734375" style="1" customWidth="1"/>
    <col min="25" max="25" width="9.77734375" style="1"/>
    <col min="26" max="26" width="1.77734375" style="1" customWidth="1"/>
    <col min="27" max="27" width="12.77734375" style="1" customWidth="1"/>
    <col min="28" max="28" width="1.77734375" style="1" customWidth="1"/>
    <col min="29" max="29" width="9.77734375" style="1"/>
    <col min="30" max="30" width="1.77734375" style="1" customWidth="1"/>
    <col min="31" max="31" width="12.77734375" style="1" customWidth="1"/>
    <col min="32" max="32" width="1.77734375" style="1" customWidth="1"/>
    <col min="33" max="33" width="9.77734375" style="1"/>
    <col min="34" max="34" width="1.77734375" style="1" customWidth="1"/>
    <col min="35" max="35" width="12.77734375" style="1" customWidth="1"/>
    <col min="36" max="36" width="1.77734375" style="1" customWidth="1"/>
    <col min="37" max="37" width="9.77734375" style="1"/>
    <col min="38" max="38" width="1.77734375" style="1" customWidth="1"/>
    <col min="39" max="39" width="12.77734375" style="1" customWidth="1"/>
    <col min="40" max="40" width="1.77734375" style="1" customWidth="1"/>
    <col min="41" max="41" width="9.77734375" style="1"/>
    <col min="42" max="42" width="1.77734375" style="1" customWidth="1"/>
    <col min="43" max="43" width="12.77734375" style="1" customWidth="1"/>
    <col min="44" max="44" width="1.77734375" style="1" customWidth="1"/>
    <col min="45" max="45" width="9.77734375" style="1"/>
    <col min="46" max="46" width="1.77734375" style="1" customWidth="1"/>
    <col min="47" max="47" width="12.77734375" style="1" customWidth="1"/>
    <col min="48" max="48" width="2.77734375" style="1" customWidth="1"/>
    <col min="49" max="49" width="9.77734375" style="1"/>
    <col min="50" max="50" width="1.77734375" style="1" customWidth="1"/>
    <col min="51" max="51" width="12.77734375" style="1" customWidth="1"/>
    <col min="52" max="52" width="2.77734375" style="1" customWidth="1"/>
    <col min="53" max="16384" width="9.77734375" style="1"/>
  </cols>
  <sheetData>
    <row r="1" spans="3:9" ht="25.8" x14ac:dyDescent="0.3">
      <c r="C1" s="241" t="s">
        <v>170</v>
      </c>
      <c r="D1" s="242"/>
      <c r="E1" s="242"/>
      <c r="F1" s="242"/>
      <c r="G1" s="242"/>
      <c r="H1" s="16">
        <f ca="1">NOW()</f>
        <v>41859.498899999999</v>
      </c>
    </row>
    <row r="2" spans="3:9" ht="6.9" customHeight="1" thickBot="1" x14ac:dyDescent="0.35">
      <c r="C2" s="4"/>
      <c r="D2" s="17"/>
      <c r="E2" s="17"/>
      <c r="F2" s="17"/>
      <c r="G2" s="17"/>
      <c r="H2" s="17"/>
    </row>
    <row r="3" spans="3:9" ht="21.9" customHeight="1" thickTop="1" thickBot="1" x14ac:dyDescent="0.35">
      <c r="C3" s="5" t="s">
        <v>141</v>
      </c>
      <c r="D3" s="246"/>
      <c r="E3" s="247"/>
      <c r="F3" s="248"/>
      <c r="G3" s="248"/>
      <c r="H3" s="249"/>
    </row>
    <row r="4" spans="3:9" ht="21.9" customHeight="1" thickTop="1" thickBot="1" x14ac:dyDescent="0.35">
      <c r="C4" s="6" t="s">
        <v>142</v>
      </c>
      <c r="D4" s="246" t="s">
        <v>90</v>
      </c>
      <c r="E4" s="247"/>
      <c r="F4" s="248"/>
      <c r="G4" s="248"/>
      <c r="H4" s="249"/>
    </row>
    <row r="5" spans="3:9" ht="6.9" customHeight="1" thickTop="1" thickBot="1" x14ac:dyDescent="0.35">
      <c r="C5" s="7"/>
      <c r="D5" s="18"/>
      <c r="E5" s="18"/>
      <c r="F5" s="8"/>
      <c r="G5" s="18"/>
      <c r="H5" s="18"/>
      <c r="I5" s="2"/>
    </row>
    <row r="6" spans="3:9" ht="16.2" thickTop="1" x14ac:dyDescent="0.3">
      <c r="C6" s="129"/>
      <c r="D6" s="250" t="s">
        <v>57</v>
      </c>
      <c r="E6" s="251"/>
      <c r="F6" s="118" t="s">
        <v>58</v>
      </c>
      <c r="G6" s="251" t="s">
        <v>60</v>
      </c>
      <c r="H6" s="252"/>
    </row>
    <row r="7" spans="3:9" ht="16.2" thickBot="1" x14ac:dyDescent="0.35">
      <c r="C7" s="130"/>
      <c r="D7" s="19"/>
      <c r="E7" s="21"/>
      <c r="F7" s="119" t="s">
        <v>59</v>
      </c>
      <c r="G7" s="21"/>
      <c r="H7" s="20"/>
    </row>
    <row r="8" spans="3:9" ht="20.100000000000001" customHeight="1" x14ac:dyDescent="0.3">
      <c r="C8" s="131" t="s">
        <v>1</v>
      </c>
      <c r="D8" s="138"/>
      <c r="E8" s="94"/>
      <c r="F8" s="27"/>
      <c r="G8" s="47"/>
      <c r="H8" s="139"/>
    </row>
    <row r="9" spans="3:9" ht="3.9" customHeight="1" x14ac:dyDescent="0.3">
      <c r="C9" s="132"/>
      <c r="D9" s="138" t="s">
        <v>0</v>
      </c>
      <c r="E9" s="95" t="s">
        <v>0</v>
      </c>
      <c r="F9" s="28"/>
      <c r="G9" s="47" t="s">
        <v>0</v>
      </c>
      <c r="H9" s="49" t="str">
        <f>E9</f>
        <v xml:space="preserve"> </v>
      </c>
    </row>
    <row r="10" spans="3:9" x14ac:dyDescent="0.3">
      <c r="C10" s="133" t="s">
        <v>74</v>
      </c>
      <c r="D10" s="140"/>
      <c r="E10" s="96">
        <v>176</v>
      </c>
      <c r="F10" s="29" t="s">
        <v>0</v>
      </c>
      <c r="G10" s="244">
        <f>IF(E10&gt;0,E10," ")</f>
        <v>176</v>
      </c>
      <c r="H10" s="245"/>
    </row>
    <row r="11" spans="3:9" x14ac:dyDescent="0.3">
      <c r="C11" s="134"/>
      <c r="D11" s="138"/>
      <c r="E11" s="97"/>
      <c r="F11" s="28"/>
      <c r="G11" s="47"/>
      <c r="H11" s="141"/>
    </row>
    <row r="12" spans="3:9" x14ac:dyDescent="0.3">
      <c r="C12" s="133" t="s">
        <v>2</v>
      </c>
      <c r="D12" s="142"/>
      <c r="E12" s="98"/>
      <c r="F12" s="29" t="s">
        <v>0</v>
      </c>
      <c r="G12" s="244" t="str">
        <f>IF(E12&gt;0,E12," ")</f>
        <v xml:space="preserve"> </v>
      </c>
      <c r="H12" s="245"/>
    </row>
    <row r="13" spans="3:9" x14ac:dyDescent="0.3">
      <c r="C13" s="134"/>
      <c r="D13" s="143"/>
      <c r="E13" s="99"/>
      <c r="F13" s="28"/>
      <c r="G13" s="55"/>
      <c r="H13" s="62"/>
    </row>
    <row r="14" spans="3:9" x14ac:dyDescent="0.3">
      <c r="C14" s="133" t="s">
        <v>73</v>
      </c>
      <c r="D14" s="140"/>
      <c r="E14" s="100">
        <v>3.5</v>
      </c>
      <c r="F14" s="29"/>
      <c r="G14" s="30"/>
      <c r="H14" s="32">
        <f>E14</f>
        <v>3.5</v>
      </c>
    </row>
    <row r="15" spans="3:9" x14ac:dyDescent="0.3">
      <c r="C15" s="134"/>
      <c r="D15" s="144"/>
      <c r="E15" s="48"/>
      <c r="F15" s="28"/>
      <c r="G15" s="47"/>
      <c r="H15" s="31"/>
    </row>
    <row r="16" spans="3:9" x14ac:dyDescent="0.3">
      <c r="C16" s="133" t="s">
        <v>3</v>
      </c>
      <c r="D16" s="145"/>
      <c r="E16" s="54">
        <f>E12/E14</f>
        <v>0</v>
      </c>
      <c r="F16" s="29"/>
      <c r="G16" s="30"/>
      <c r="H16" s="32">
        <f>G12/H14</f>
        <v>0</v>
      </c>
    </row>
    <row r="17" spans="2:8" x14ac:dyDescent="0.3">
      <c r="C17" s="134"/>
      <c r="D17" s="144"/>
      <c r="E17" s="48"/>
      <c r="F17" s="28"/>
      <c r="G17" s="47"/>
      <c r="H17" s="31"/>
    </row>
    <row r="18" spans="2:8" x14ac:dyDescent="0.3">
      <c r="C18" s="133" t="s">
        <v>4</v>
      </c>
      <c r="D18" s="145"/>
      <c r="E18" s="226">
        <f>D42+D55+D78+D97+((+D43+D44+D45+D46+D79)/2)</f>
        <v>0</v>
      </c>
      <c r="F18" s="29"/>
      <c r="G18" s="30"/>
      <c r="H18" s="227">
        <f>G42+G55+G78+G97+((+G43+G44+G45+G46+G79)/2)</f>
        <v>0</v>
      </c>
    </row>
    <row r="19" spans="2:8" x14ac:dyDescent="0.3">
      <c r="C19" s="134"/>
      <c r="D19" s="144"/>
      <c r="E19" s="48"/>
      <c r="F19" s="28"/>
      <c r="G19" s="47"/>
      <c r="H19" s="31"/>
    </row>
    <row r="20" spans="2:8" x14ac:dyDescent="0.3">
      <c r="C20" s="133" t="s">
        <v>171</v>
      </c>
      <c r="D20" s="145"/>
      <c r="E20" s="101" t="e">
        <f>+E190</f>
        <v>#DIV/0!</v>
      </c>
      <c r="F20" s="29"/>
      <c r="G20" s="33"/>
      <c r="H20" s="146" t="e">
        <f>+H190</f>
        <v>#DIV/0!</v>
      </c>
    </row>
    <row r="21" spans="2:8" x14ac:dyDescent="0.3">
      <c r="C21" s="134"/>
      <c r="D21" s="144"/>
      <c r="E21" s="48"/>
      <c r="F21" s="28"/>
      <c r="G21" s="47"/>
      <c r="H21" s="31"/>
    </row>
    <row r="22" spans="2:8" x14ac:dyDescent="0.3">
      <c r="C22" s="134" t="s">
        <v>72</v>
      </c>
      <c r="D22" s="144"/>
      <c r="E22" s="102" t="e">
        <f>+E196</f>
        <v>#DIV/0!</v>
      </c>
      <c r="F22" s="28"/>
      <c r="G22" s="47"/>
      <c r="H22" s="147" t="e">
        <f>+H196</f>
        <v>#DIV/0!</v>
      </c>
    </row>
    <row r="23" spans="2:8" ht="16.2" thickBot="1" x14ac:dyDescent="0.35">
      <c r="C23" s="130" t="s">
        <v>61</v>
      </c>
      <c r="D23" s="148"/>
      <c r="E23" s="103"/>
      <c r="F23" s="36"/>
      <c r="G23" s="34"/>
      <c r="H23" s="35"/>
    </row>
    <row r="24" spans="2:8" ht="20.100000000000001" customHeight="1" x14ac:dyDescent="0.3">
      <c r="C24" s="135" t="s">
        <v>5</v>
      </c>
      <c r="D24" s="9" t="s">
        <v>6</v>
      </c>
      <c r="E24" s="104" t="s">
        <v>7</v>
      </c>
      <c r="F24" s="9" t="s">
        <v>7</v>
      </c>
      <c r="G24" s="114" t="s">
        <v>6</v>
      </c>
      <c r="H24" s="10" t="s">
        <v>7</v>
      </c>
    </row>
    <row r="25" spans="2:8" ht="6.9" customHeight="1" x14ac:dyDescent="0.3">
      <c r="C25" s="11"/>
      <c r="D25" s="22"/>
      <c r="E25" s="105"/>
      <c r="F25" s="22"/>
      <c r="G25" s="115"/>
      <c r="H25" s="23"/>
    </row>
    <row r="26" spans="2:8" ht="15.75" customHeight="1" x14ac:dyDescent="0.3">
      <c r="B26" s="243" t="s">
        <v>132</v>
      </c>
      <c r="C26" s="12" t="s">
        <v>8</v>
      </c>
      <c r="D26" s="24"/>
      <c r="E26" s="106"/>
      <c r="F26" s="24"/>
      <c r="G26" s="116"/>
      <c r="H26" s="25"/>
    </row>
    <row r="27" spans="2:8" ht="15.75" customHeight="1" x14ac:dyDescent="0.3">
      <c r="B27" s="243"/>
      <c r="C27" s="11"/>
      <c r="D27" s="22"/>
      <c r="E27" s="105"/>
      <c r="F27" s="22"/>
      <c r="G27" s="115"/>
      <c r="H27" s="23"/>
    </row>
    <row r="28" spans="2:8" x14ac:dyDescent="0.3">
      <c r="C28" s="11" t="s">
        <v>125</v>
      </c>
      <c r="D28" s="26"/>
      <c r="E28" s="107"/>
      <c r="F28" s="26"/>
      <c r="G28" s="117"/>
      <c r="H28" s="14"/>
    </row>
    <row r="29" spans="2:8" ht="15.9" customHeight="1" x14ac:dyDescent="0.3">
      <c r="B29" s="215">
        <v>202</v>
      </c>
      <c r="C29" s="11" t="s">
        <v>126</v>
      </c>
      <c r="D29" s="149"/>
      <c r="E29" s="37"/>
      <c r="F29" s="39" t="str">
        <f t="shared" ref="F29:F40" si="0">IF(E29&gt;0,E29/D29," ")</f>
        <v xml:space="preserve"> </v>
      </c>
      <c r="G29" s="158" t="str">
        <f t="shared" ref="G29:H40" si="1">IF(D29&gt;0,D29," ")</f>
        <v xml:space="preserve"> </v>
      </c>
      <c r="H29" s="38" t="str">
        <f t="shared" si="1"/>
        <v xml:space="preserve"> </v>
      </c>
    </row>
    <row r="30" spans="2:8" ht="15.9" customHeight="1" x14ac:dyDescent="0.3">
      <c r="B30" s="215">
        <v>202</v>
      </c>
      <c r="C30" s="11" t="s">
        <v>75</v>
      </c>
      <c r="D30" s="149"/>
      <c r="E30" s="37"/>
      <c r="F30" s="39" t="str">
        <f t="shared" si="0"/>
        <v xml:space="preserve"> </v>
      </c>
      <c r="G30" s="158" t="str">
        <f t="shared" si="1"/>
        <v xml:space="preserve"> </v>
      </c>
      <c r="H30" s="38" t="str">
        <f t="shared" si="1"/>
        <v xml:space="preserve"> </v>
      </c>
    </row>
    <row r="31" spans="2:8" ht="15.9" customHeight="1" x14ac:dyDescent="0.3">
      <c r="B31" s="215">
        <v>202</v>
      </c>
      <c r="C31" s="11" t="s">
        <v>10</v>
      </c>
      <c r="D31" s="149"/>
      <c r="E31" s="37"/>
      <c r="F31" s="39" t="str">
        <f t="shared" si="0"/>
        <v xml:space="preserve"> </v>
      </c>
      <c r="G31" s="158" t="str">
        <f t="shared" si="1"/>
        <v xml:space="preserve"> </v>
      </c>
      <c r="H31" s="38" t="str">
        <f t="shared" si="1"/>
        <v xml:space="preserve"> </v>
      </c>
    </row>
    <row r="32" spans="2:8" ht="15.9" customHeight="1" x14ac:dyDescent="0.3">
      <c r="B32" s="215">
        <v>202</v>
      </c>
      <c r="C32" s="11" t="s">
        <v>127</v>
      </c>
      <c r="D32" s="149"/>
      <c r="E32" s="37"/>
      <c r="F32" s="39" t="str">
        <f t="shared" si="0"/>
        <v xml:space="preserve"> </v>
      </c>
      <c r="G32" s="158" t="str">
        <f t="shared" si="1"/>
        <v xml:space="preserve"> </v>
      </c>
      <c r="H32" s="38" t="str">
        <f t="shared" si="1"/>
        <v xml:space="preserve"> </v>
      </c>
    </row>
    <row r="33" spans="2:8" ht="15.9" customHeight="1" x14ac:dyDescent="0.3">
      <c r="B33" s="215">
        <v>202</v>
      </c>
      <c r="C33" s="11" t="s">
        <v>128</v>
      </c>
      <c r="D33" s="149"/>
      <c r="E33" s="37"/>
      <c r="F33" s="39" t="str">
        <f t="shared" si="0"/>
        <v xml:space="preserve"> </v>
      </c>
      <c r="G33" s="158" t="str">
        <f t="shared" si="1"/>
        <v xml:space="preserve"> </v>
      </c>
      <c r="H33" s="38" t="str">
        <f t="shared" si="1"/>
        <v xml:space="preserve"> </v>
      </c>
    </row>
    <row r="34" spans="2:8" ht="15.9" customHeight="1" x14ac:dyDescent="0.3">
      <c r="B34" s="215">
        <v>202</v>
      </c>
      <c r="C34" s="11" t="s">
        <v>11</v>
      </c>
      <c r="D34" s="149"/>
      <c r="E34" s="37"/>
      <c r="F34" s="39" t="str">
        <f t="shared" si="0"/>
        <v xml:space="preserve"> </v>
      </c>
      <c r="G34" s="158" t="str">
        <f t="shared" si="1"/>
        <v xml:space="preserve"> </v>
      </c>
      <c r="H34" s="38" t="str">
        <f t="shared" si="1"/>
        <v xml:space="preserve"> </v>
      </c>
    </row>
    <row r="35" spans="2:8" ht="15.9" customHeight="1" x14ac:dyDescent="0.3">
      <c r="B35" s="215">
        <v>202</v>
      </c>
      <c r="C35" s="11" t="s">
        <v>129</v>
      </c>
      <c r="D35" s="149"/>
      <c r="E35" s="37"/>
      <c r="F35" s="39" t="str">
        <f t="shared" si="0"/>
        <v xml:space="preserve"> </v>
      </c>
      <c r="G35" s="158" t="str">
        <f t="shared" si="1"/>
        <v xml:space="preserve"> </v>
      </c>
      <c r="H35" s="38" t="str">
        <f t="shared" si="1"/>
        <v xml:space="preserve"> </v>
      </c>
    </row>
    <row r="36" spans="2:8" ht="15.9" customHeight="1" x14ac:dyDescent="0.3">
      <c r="B36" s="215">
        <v>202</v>
      </c>
      <c r="C36" s="11" t="s">
        <v>12</v>
      </c>
      <c r="D36" s="149"/>
      <c r="E36" s="37"/>
      <c r="F36" s="39" t="str">
        <f t="shared" si="0"/>
        <v xml:space="preserve"> </v>
      </c>
      <c r="G36" s="158" t="str">
        <f t="shared" si="1"/>
        <v xml:space="preserve"> </v>
      </c>
      <c r="H36" s="38" t="str">
        <f t="shared" si="1"/>
        <v xml:space="preserve"> </v>
      </c>
    </row>
    <row r="37" spans="2:8" ht="15.9" customHeight="1" x14ac:dyDescent="0.3">
      <c r="B37" s="215">
        <v>202</v>
      </c>
      <c r="C37" s="11" t="s">
        <v>76</v>
      </c>
      <c r="D37" s="149"/>
      <c r="E37" s="37"/>
      <c r="F37" s="39" t="str">
        <f t="shared" si="0"/>
        <v xml:space="preserve"> </v>
      </c>
      <c r="G37" s="158" t="str">
        <f t="shared" si="1"/>
        <v xml:space="preserve"> </v>
      </c>
      <c r="H37" s="38" t="str">
        <f t="shared" si="1"/>
        <v xml:space="preserve"> </v>
      </c>
    </row>
    <row r="38" spans="2:8" ht="15.9" customHeight="1" x14ac:dyDescent="0.3">
      <c r="B38" s="215">
        <v>202</v>
      </c>
      <c r="C38" s="11" t="s">
        <v>130</v>
      </c>
      <c r="D38" s="149"/>
      <c r="E38" s="37"/>
      <c r="F38" s="39" t="str">
        <f t="shared" si="0"/>
        <v xml:space="preserve"> </v>
      </c>
      <c r="G38" s="158" t="str">
        <f t="shared" si="1"/>
        <v xml:space="preserve"> </v>
      </c>
      <c r="H38" s="38" t="str">
        <f t="shared" si="1"/>
        <v xml:space="preserve"> </v>
      </c>
    </row>
    <row r="39" spans="2:8" ht="15.9" customHeight="1" x14ac:dyDescent="0.3">
      <c r="B39" s="215">
        <v>202</v>
      </c>
      <c r="C39" s="11" t="s">
        <v>13</v>
      </c>
      <c r="D39" s="149"/>
      <c r="E39" s="37"/>
      <c r="F39" s="39" t="str">
        <f t="shared" si="0"/>
        <v xml:space="preserve"> </v>
      </c>
      <c r="G39" s="158" t="str">
        <f t="shared" si="1"/>
        <v xml:space="preserve"> </v>
      </c>
      <c r="H39" s="38" t="str">
        <f t="shared" si="1"/>
        <v xml:space="preserve"> </v>
      </c>
    </row>
    <row r="40" spans="2:8" ht="15.9" customHeight="1" x14ac:dyDescent="0.3">
      <c r="B40" s="215" t="s">
        <v>131</v>
      </c>
      <c r="C40" s="11" t="s">
        <v>77</v>
      </c>
      <c r="D40" s="149"/>
      <c r="E40" s="37"/>
      <c r="F40" s="39" t="str">
        <f t="shared" si="0"/>
        <v xml:space="preserve"> </v>
      </c>
      <c r="G40" s="158" t="str">
        <f t="shared" si="1"/>
        <v xml:space="preserve"> </v>
      </c>
      <c r="H40" s="38" t="str">
        <f t="shared" si="1"/>
        <v xml:space="preserve"> </v>
      </c>
    </row>
    <row r="41" spans="2:8" ht="6.9" customHeight="1" x14ac:dyDescent="0.3">
      <c r="C41" s="13"/>
      <c r="D41" s="150"/>
      <c r="E41" s="108"/>
      <c r="F41" s="41"/>
      <c r="G41" s="159"/>
      <c r="H41" s="40"/>
    </row>
    <row r="42" spans="2:8" x14ac:dyDescent="0.3">
      <c r="C42" s="12" t="s">
        <v>14</v>
      </c>
      <c r="D42" s="151">
        <f>SUM(D29:D40)</f>
        <v>0</v>
      </c>
      <c r="E42" s="93">
        <f>SUM(E29:E40)</f>
        <v>0</v>
      </c>
      <c r="F42" s="43"/>
      <c r="G42" s="160">
        <f>SUM(G29:G40)</f>
        <v>0</v>
      </c>
      <c r="H42" s="42">
        <f>SUM(H29:H40)</f>
        <v>0</v>
      </c>
    </row>
    <row r="43" spans="2:8" ht="15.9" customHeight="1" x14ac:dyDescent="0.3">
      <c r="B43" s="215">
        <v>416</v>
      </c>
      <c r="C43" s="11" t="s">
        <v>133</v>
      </c>
      <c r="D43" s="152"/>
      <c r="E43" s="109"/>
      <c r="F43" s="44" t="str">
        <f>IF(E43&gt;0,(E43/D43)*2," ")</f>
        <v xml:space="preserve"> </v>
      </c>
      <c r="G43" s="159" t="str">
        <f t="shared" ref="G43:H46" si="2">IF(D43&gt;0,D43," ")</f>
        <v xml:space="preserve"> </v>
      </c>
      <c r="H43" s="45" t="str">
        <f t="shared" si="2"/>
        <v xml:space="preserve"> </v>
      </c>
    </row>
    <row r="44" spans="2:8" ht="15.9" customHeight="1" x14ac:dyDescent="0.3">
      <c r="B44" s="215">
        <v>402</v>
      </c>
      <c r="C44" s="11" t="s">
        <v>134</v>
      </c>
      <c r="D44" s="149"/>
      <c r="E44" s="37"/>
      <c r="F44" s="39" t="str">
        <f>IF(E44&gt;0,(E44/D44)*2," ")</f>
        <v xml:space="preserve"> </v>
      </c>
      <c r="G44" s="158" t="str">
        <f t="shared" si="2"/>
        <v xml:space="preserve"> </v>
      </c>
      <c r="H44" s="38" t="str">
        <f t="shared" si="2"/>
        <v xml:space="preserve"> </v>
      </c>
    </row>
    <row r="45" spans="2:8" ht="15.9" customHeight="1" x14ac:dyDescent="0.3">
      <c r="B45" s="220">
        <v>411</v>
      </c>
      <c r="C45" s="221" t="s">
        <v>140</v>
      </c>
      <c r="D45" s="149"/>
      <c r="E45" s="37"/>
      <c r="F45" s="39" t="str">
        <f>IF(E45&gt;0,(E45/D45)*2," ")</f>
        <v xml:space="preserve"> </v>
      </c>
      <c r="G45" s="158" t="str">
        <f>IF(D45&gt;0,D45," ")</f>
        <v xml:space="preserve"> </v>
      </c>
      <c r="H45" s="38" t="str">
        <f>IF(E45&gt;0,E45," ")</f>
        <v xml:space="preserve"> </v>
      </c>
    </row>
    <row r="46" spans="2:8" ht="15.9" customHeight="1" x14ac:dyDescent="0.3">
      <c r="B46" s="215">
        <v>410</v>
      </c>
      <c r="C46" s="11" t="s">
        <v>78</v>
      </c>
      <c r="D46" s="149"/>
      <c r="E46" s="37"/>
      <c r="F46" s="39" t="str">
        <f>IF(E46&gt;0,(E46/D46)*2," ")</f>
        <v xml:space="preserve"> </v>
      </c>
      <c r="G46" s="158" t="str">
        <f t="shared" si="2"/>
        <v xml:space="preserve"> </v>
      </c>
      <c r="H46" s="38" t="str">
        <f t="shared" si="2"/>
        <v xml:space="preserve"> </v>
      </c>
    </row>
    <row r="47" spans="2:8" ht="6.9" customHeight="1" x14ac:dyDescent="0.3">
      <c r="C47" s="13" t="s">
        <v>0</v>
      </c>
      <c r="D47" s="153"/>
      <c r="E47" s="47"/>
      <c r="F47" s="52"/>
      <c r="G47" s="161"/>
      <c r="H47" s="49"/>
    </row>
    <row r="48" spans="2:8" x14ac:dyDescent="0.3">
      <c r="C48" s="12" t="s">
        <v>15</v>
      </c>
      <c r="D48" s="154">
        <f>SUM(D42:D46)</f>
        <v>0</v>
      </c>
      <c r="E48" s="110">
        <f>SUM(E42:E46)</f>
        <v>0</v>
      </c>
      <c r="F48" s="120"/>
      <c r="G48" s="158">
        <f>SUM(G42:G46)</f>
        <v>0</v>
      </c>
      <c r="H48" s="38">
        <f>SUM(H42:H46)</f>
        <v>0</v>
      </c>
    </row>
    <row r="49" spans="2:8" ht="6.9" customHeight="1" x14ac:dyDescent="0.3">
      <c r="C49" s="13" t="s">
        <v>0</v>
      </c>
      <c r="D49" s="153"/>
      <c r="E49" s="47"/>
      <c r="F49" s="52"/>
      <c r="G49" s="161"/>
      <c r="H49" s="49"/>
    </row>
    <row r="50" spans="2:8" ht="15.9" customHeight="1" x14ac:dyDescent="0.3">
      <c r="C50" s="12" t="s">
        <v>16</v>
      </c>
      <c r="D50" s="153"/>
      <c r="E50" s="37"/>
      <c r="F50" s="57" t="str">
        <f>IF(E50&gt;0,E50/E48," ")</f>
        <v xml:space="preserve"> </v>
      </c>
      <c r="G50" s="158"/>
      <c r="H50" s="38" t="str">
        <f>IF(E50&gt;0,E50," ")</f>
        <v xml:space="preserve"> </v>
      </c>
    </row>
    <row r="51" spans="2:8" ht="6.9" customHeight="1" x14ac:dyDescent="0.3">
      <c r="C51" s="13" t="s">
        <v>0</v>
      </c>
      <c r="D51" s="153"/>
      <c r="E51" s="47"/>
      <c r="F51" s="52"/>
      <c r="G51" s="161"/>
      <c r="H51" s="49"/>
    </row>
    <row r="52" spans="2:8" x14ac:dyDescent="0.3">
      <c r="C52" s="12" t="s">
        <v>17</v>
      </c>
      <c r="D52" s="153"/>
      <c r="E52" s="47"/>
      <c r="F52" s="52"/>
      <c r="G52" s="161"/>
      <c r="H52" s="49"/>
    </row>
    <row r="53" spans="2:8" ht="15.9" customHeight="1" x14ac:dyDescent="0.3">
      <c r="B53" s="215">
        <v>238</v>
      </c>
      <c r="C53" s="11" t="s">
        <v>135</v>
      </c>
      <c r="D53" s="149"/>
      <c r="E53" s="37"/>
      <c r="F53" s="39" t="str">
        <f>IF(E53&gt;0,E53/D53," ")</f>
        <v xml:space="preserve"> </v>
      </c>
      <c r="G53" s="158" t="str">
        <f>IF(D53&gt;0,D53," ")</f>
        <v xml:space="preserve"> </v>
      </c>
      <c r="H53" s="38" t="str">
        <f>IF(E53&gt;0,E53," ")</f>
        <v xml:space="preserve"> </v>
      </c>
    </row>
    <row r="54" spans="2:8" ht="6.9" customHeight="1" x14ac:dyDescent="0.3">
      <c r="C54" s="13"/>
      <c r="D54" s="153"/>
      <c r="E54" s="47"/>
      <c r="F54" s="52"/>
      <c r="G54" s="161"/>
      <c r="H54" s="49"/>
    </row>
    <row r="55" spans="2:8" x14ac:dyDescent="0.3">
      <c r="C55" s="12" t="s">
        <v>160</v>
      </c>
      <c r="D55" s="154">
        <f>+D53</f>
        <v>0</v>
      </c>
      <c r="E55" s="110">
        <f>SUM(E53:E53)</f>
        <v>0</v>
      </c>
      <c r="F55" s="58" t="s">
        <v>0</v>
      </c>
      <c r="G55" s="158">
        <f>SUM(G53:G53)</f>
        <v>0</v>
      </c>
      <c r="H55" s="38">
        <f>SUM(H53:H53)</f>
        <v>0</v>
      </c>
    </row>
    <row r="56" spans="2:8" ht="6.9" customHeight="1" x14ac:dyDescent="0.3">
      <c r="C56" s="13"/>
      <c r="D56" s="153"/>
      <c r="E56" s="47"/>
      <c r="F56" s="52"/>
      <c r="G56" s="161"/>
      <c r="H56" s="49"/>
    </row>
    <row r="57" spans="2:8" ht="15.9" customHeight="1" x14ac:dyDescent="0.3">
      <c r="C57" s="12" t="s">
        <v>143</v>
      </c>
      <c r="D57" s="153"/>
      <c r="E57" s="37"/>
      <c r="F57" s="121"/>
      <c r="G57" s="161"/>
      <c r="H57" s="38" t="str">
        <f>IF(E57&gt;0,E57," ")</f>
        <v xml:space="preserve"> </v>
      </c>
    </row>
    <row r="58" spans="2:8" ht="6.9" customHeight="1" x14ac:dyDescent="0.3">
      <c r="C58" s="13"/>
      <c r="D58" s="153"/>
      <c r="E58" s="47"/>
      <c r="F58" s="52"/>
      <c r="G58" s="161"/>
      <c r="H58" s="49"/>
    </row>
    <row r="59" spans="2:8" ht="15.9" customHeight="1" x14ac:dyDescent="0.3">
      <c r="C59" s="12" t="s">
        <v>19</v>
      </c>
      <c r="D59" s="153"/>
      <c r="E59" s="37"/>
      <c r="F59" s="121" t="str">
        <f>IF(E59&gt;0,E59/E12," ")</f>
        <v xml:space="preserve"> </v>
      </c>
      <c r="G59" s="161"/>
      <c r="H59" s="38" t="str">
        <f>IF(E59&gt;0,E59," ")</f>
        <v xml:space="preserve"> </v>
      </c>
    </row>
    <row r="60" spans="2:8" ht="6.9" customHeight="1" x14ac:dyDescent="0.3">
      <c r="C60" s="13"/>
      <c r="D60" s="153"/>
      <c r="E60" s="47"/>
      <c r="F60" s="52"/>
      <c r="G60" s="161"/>
      <c r="H60" s="49"/>
    </row>
    <row r="61" spans="2:8" ht="15.9" customHeight="1" x14ac:dyDescent="0.3">
      <c r="C61" s="12" t="s">
        <v>20</v>
      </c>
      <c r="D61" s="153"/>
      <c r="E61" s="37"/>
      <c r="F61" s="58"/>
      <c r="G61" s="161"/>
      <c r="H61" s="38" t="str">
        <f>IF(E61&gt;0,E61," ")</f>
        <v xml:space="preserve"> </v>
      </c>
    </row>
    <row r="62" spans="2:8" ht="6.9" customHeight="1" x14ac:dyDescent="0.3">
      <c r="C62" s="13"/>
      <c r="D62" s="153"/>
      <c r="E62" s="47"/>
      <c r="F62" s="52"/>
      <c r="G62" s="161"/>
      <c r="H62" s="49"/>
    </row>
    <row r="63" spans="2:8" ht="20.100000000000001" customHeight="1" thickBot="1" x14ac:dyDescent="0.35">
      <c r="C63" s="92" t="s">
        <v>148</v>
      </c>
      <c r="D63" s="154">
        <f>D48+D50+D55+D59+D61</f>
        <v>0</v>
      </c>
      <c r="E63" s="110">
        <f>E48+E50+E55+E57+E59+E61</f>
        <v>0</v>
      </c>
      <c r="F63" s="52" t="s">
        <v>0</v>
      </c>
      <c r="G63" s="158">
        <f>G48+G50+G55+G59+G61</f>
        <v>0</v>
      </c>
      <c r="H63" s="38">
        <f>H48+H50+H55+H57+H59+H61</f>
        <v>0</v>
      </c>
    </row>
    <row r="64" spans="2:8" ht="20.100000000000001" customHeight="1" x14ac:dyDescent="0.3">
      <c r="B64" s="243" t="s">
        <v>132</v>
      </c>
      <c r="C64" s="135" t="s">
        <v>21</v>
      </c>
      <c r="D64" s="153"/>
      <c r="E64" s="47"/>
      <c r="F64" s="52"/>
      <c r="G64" s="161"/>
      <c r="H64" s="49"/>
    </row>
    <row r="65" spans="2:8" x14ac:dyDescent="0.3">
      <c r="B65" s="243"/>
      <c r="C65" s="13"/>
      <c r="D65" s="214" t="s">
        <v>6</v>
      </c>
      <c r="E65" s="213" t="s">
        <v>7</v>
      </c>
      <c r="F65" s="52"/>
      <c r="G65" s="161"/>
      <c r="H65" s="49"/>
    </row>
    <row r="66" spans="2:8" x14ac:dyDescent="0.3">
      <c r="C66" s="12" t="s">
        <v>9</v>
      </c>
      <c r="D66" s="153"/>
      <c r="E66" s="47"/>
      <c r="F66" s="52"/>
      <c r="G66" s="161"/>
      <c r="H66" s="49"/>
    </row>
    <row r="67" spans="2:8" ht="15.9" customHeight="1" x14ac:dyDescent="0.3">
      <c r="B67" s="215">
        <v>233</v>
      </c>
      <c r="C67" s="11" t="s">
        <v>22</v>
      </c>
      <c r="D67" s="149"/>
      <c r="E67" s="37"/>
      <c r="F67" s="39" t="str">
        <f t="shared" ref="F67:F76" si="3">IF(E67&gt;0,E67/D67," ")</f>
        <v xml:space="preserve"> </v>
      </c>
      <c r="G67" s="158" t="str">
        <f t="shared" ref="G67:H76" si="4">IF(D67&gt;0,D67," ")</f>
        <v xml:space="preserve"> </v>
      </c>
      <c r="H67" s="38" t="str">
        <f t="shared" si="4"/>
        <v xml:space="preserve"> </v>
      </c>
    </row>
    <row r="68" spans="2:8" ht="15.9" customHeight="1" x14ac:dyDescent="0.3">
      <c r="B68" s="215">
        <v>234</v>
      </c>
      <c r="C68" s="11" t="s">
        <v>23</v>
      </c>
      <c r="D68" s="149"/>
      <c r="E68" s="37"/>
      <c r="F68" s="39" t="str">
        <f t="shared" si="3"/>
        <v xml:space="preserve"> </v>
      </c>
      <c r="G68" s="158" t="str">
        <f t="shared" si="4"/>
        <v xml:space="preserve"> </v>
      </c>
      <c r="H68" s="38" t="str">
        <f t="shared" si="4"/>
        <v xml:space="preserve"> </v>
      </c>
    </row>
    <row r="69" spans="2:8" ht="15.9" customHeight="1" x14ac:dyDescent="0.3">
      <c r="B69" s="215">
        <v>235</v>
      </c>
      <c r="C69" s="11" t="s">
        <v>24</v>
      </c>
      <c r="D69" s="149"/>
      <c r="E69" s="37"/>
      <c r="F69" s="39" t="str">
        <f t="shared" si="3"/>
        <v xml:space="preserve"> </v>
      </c>
      <c r="G69" s="158" t="str">
        <f t="shared" si="4"/>
        <v xml:space="preserve"> </v>
      </c>
      <c r="H69" s="38" t="str">
        <f t="shared" si="4"/>
        <v xml:space="preserve"> </v>
      </c>
    </row>
    <row r="70" spans="2:8" ht="15.9" customHeight="1" x14ac:dyDescent="0.3">
      <c r="B70" s="215">
        <v>236</v>
      </c>
      <c r="C70" s="11" t="s">
        <v>25</v>
      </c>
      <c r="D70" s="149"/>
      <c r="E70" s="37"/>
      <c r="F70" s="39" t="str">
        <f t="shared" si="3"/>
        <v xml:space="preserve"> </v>
      </c>
      <c r="G70" s="158" t="str">
        <f t="shared" si="4"/>
        <v xml:space="preserve"> </v>
      </c>
      <c r="H70" s="38" t="str">
        <f t="shared" si="4"/>
        <v xml:space="preserve"> </v>
      </c>
    </row>
    <row r="71" spans="2:8" ht="15.9" customHeight="1" x14ac:dyDescent="0.3">
      <c r="B71" s="215">
        <v>237</v>
      </c>
      <c r="C71" s="11" t="s">
        <v>26</v>
      </c>
      <c r="D71" s="149"/>
      <c r="E71" s="37"/>
      <c r="F71" s="39" t="str">
        <f t="shared" si="3"/>
        <v xml:space="preserve"> </v>
      </c>
      <c r="G71" s="162" t="str">
        <f t="shared" si="4"/>
        <v xml:space="preserve"> </v>
      </c>
      <c r="H71" s="38" t="str">
        <f t="shared" si="4"/>
        <v xml:space="preserve"> </v>
      </c>
    </row>
    <row r="72" spans="2:8" ht="15.9" customHeight="1" x14ac:dyDescent="0.3">
      <c r="B72" s="215" t="s">
        <v>123</v>
      </c>
      <c r="C72" s="11" t="s">
        <v>27</v>
      </c>
      <c r="D72" s="149"/>
      <c r="E72" s="37"/>
      <c r="F72" s="39" t="str">
        <f t="shared" si="3"/>
        <v xml:space="preserve"> </v>
      </c>
      <c r="G72" s="162" t="str">
        <f t="shared" si="4"/>
        <v xml:space="preserve"> </v>
      </c>
      <c r="H72" s="38" t="str">
        <f t="shared" si="4"/>
        <v xml:space="preserve"> </v>
      </c>
    </row>
    <row r="73" spans="2:8" ht="15.9" customHeight="1" x14ac:dyDescent="0.3">
      <c r="B73" s="215" t="s">
        <v>123</v>
      </c>
      <c r="C73" s="11" t="s">
        <v>159</v>
      </c>
      <c r="D73" s="149"/>
      <c r="E73" s="37"/>
      <c r="F73" s="39" t="str">
        <f t="shared" si="3"/>
        <v xml:space="preserve"> </v>
      </c>
      <c r="G73" s="162" t="str">
        <f t="shared" si="4"/>
        <v xml:space="preserve"> </v>
      </c>
      <c r="H73" s="38" t="str">
        <f t="shared" si="4"/>
        <v xml:space="preserve"> </v>
      </c>
    </row>
    <row r="74" spans="2:8" ht="15.9" customHeight="1" x14ac:dyDescent="0.3">
      <c r="B74" s="215">
        <v>107</v>
      </c>
      <c r="C74" s="11" t="s">
        <v>124</v>
      </c>
      <c r="D74" s="149"/>
      <c r="E74" s="37"/>
      <c r="F74" s="39" t="str">
        <f t="shared" si="3"/>
        <v xml:space="preserve"> </v>
      </c>
      <c r="G74" s="162" t="str">
        <f t="shared" si="4"/>
        <v xml:space="preserve"> </v>
      </c>
      <c r="H74" s="38" t="str">
        <f t="shared" si="4"/>
        <v xml:space="preserve"> </v>
      </c>
    </row>
    <row r="75" spans="2:8" ht="15.9" customHeight="1" x14ac:dyDescent="0.3">
      <c r="B75" s="215">
        <v>102</v>
      </c>
      <c r="C75" s="11" t="s">
        <v>28</v>
      </c>
      <c r="D75" s="149"/>
      <c r="E75" s="37"/>
      <c r="F75" s="39" t="str">
        <f t="shared" si="3"/>
        <v xml:space="preserve"> </v>
      </c>
      <c r="G75" s="162" t="str">
        <f t="shared" si="4"/>
        <v xml:space="preserve"> </v>
      </c>
      <c r="H75" s="38" t="str">
        <f t="shared" si="4"/>
        <v xml:space="preserve"> </v>
      </c>
    </row>
    <row r="76" spans="2:8" ht="15.9" customHeight="1" x14ac:dyDescent="0.3">
      <c r="B76" s="215">
        <v>214</v>
      </c>
      <c r="C76" s="11" t="s">
        <v>136</v>
      </c>
      <c r="D76" s="149"/>
      <c r="E76" s="37"/>
      <c r="F76" s="39" t="str">
        <f t="shared" si="3"/>
        <v xml:space="preserve"> </v>
      </c>
      <c r="G76" s="162" t="str">
        <f t="shared" si="4"/>
        <v xml:space="preserve"> </v>
      </c>
      <c r="H76" s="38" t="str">
        <f t="shared" si="4"/>
        <v xml:space="preserve"> </v>
      </c>
    </row>
    <row r="77" spans="2:8" ht="6.9" customHeight="1" x14ac:dyDescent="0.3">
      <c r="C77" s="13"/>
      <c r="D77" s="153"/>
      <c r="E77" s="47"/>
      <c r="F77" s="52"/>
      <c r="G77" s="161"/>
      <c r="H77" s="49"/>
    </row>
    <row r="78" spans="2:8" x14ac:dyDescent="0.3">
      <c r="C78" s="12" t="s">
        <v>14</v>
      </c>
      <c r="D78" s="151">
        <f>SUM(D67:D76)</f>
        <v>0</v>
      </c>
      <c r="E78" s="93">
        <f>SUM(E67:E76)</f>
        <v>0</v>
      </c>
      <c r="F78" s="53"/>
      <c r="G78" s="163">
        <f>SUM(G67:G76)</f>
        <v>0</v>
      </c>
      <c r="H78" s="42">
        <f>SUM(H67:H76)</f>
        <v>0</v>
      </c>
    </row>
    <row r="79" spans="2:8" ht="15.9" customHeight="1" x14ac:dyDescent="0.3">
      <c r="B79" s="215">
        <v>506</v>
      </c>
      <c r="C79" s="11" t="s">
        <v>139</v>
      </c>
      <c r="D79" s="149"/>
      <c r="E79" s="37"/>
      <c r="F79" s="39" t="str">
        <f>IF(E79&gt;0,(E79/D79)*2," ")</f>
        <v xml:space="preserve"> </v>
      </c>
      <c r="G79" s="158" t="str">
        <f>IF(D79&gt;0,D79," ")</f>
        <v xml:space="preserve"> </v>
      </c>
      <c r="H79" s="38" t="str">
        <f>IF(E79&gt;0,E79," ")</f>
        <v xml:space="preserve"> </v>
      </c>
    </row>
    <row r="80" spans="2:8" ht="6.9" customHeight="1" x14ac:dyDescent="0.3">
      <c r="C80" s="13"/>
      <c r="D80" s="153"/>
      <c r="E80" s="47"/>
      <c r="F80" s="52"/>
      <c r="G80" s="161"/>
      <c r="H80" s="49"/>
    </row>
    <row r="81" spans="2:8" x14ac:dyDescent="0.3">
      <c r="C81" s="12" t="s">
        <v>15</v>
      </c>
      <c r="D81" s="154">
        <f>SUM(D78:D79)</f>
        <v>0</v>
      </c>
      <c r="E81" s="110">
        <f>SUM(E78:E79)</f>
        <v>0</v>
      </c>
      <c r="F81" s="39" t="s">
        <v>0</v>
      </c>
      <c r="G81" s="158">
        <f>SUM(G78:G79)</f>
        <v>0</v>
      </c>
      <c r="H81" s="38">
        <f>SUM(H78:H79)</f>
        <v>0</v>
      </c>
    </row>
    <row r="82" spans="2:8" ht="6.9" customHeight="1" x14ac:dyDescent="0.3">
      <c r="C82" s="13"/>
      <c r="D82" s="153"/>
      <c r="E82" s="47"/>
      <c r="F82" s="52"/>
      <c r="G82" s="161"/>
      <c r="H82" s="49"/>
    </row>
    <row r="83" spans="2:8" ht="15.9" customHeight="1" x14ac:dyDescent="0.3">
      <c r="C83" s="12" t="s">
        <v>16</v>
      </c>
      <c r="D83" s="154"/>
      <c r="E83" s="37"/>
      <c r="F83" s="57" t="str">
        <f>IF(E83&gt;0,E83/E81," ")</f>
        <v xml:space="preserve"> </v>
      </c>
      <c r="G83" s="158"/>
      <c r="H83" s="38" t="str">
        <f>IF(E83&gt;0,E83," ")</f>
        <v xml:space="preserve"> </v>
      </c>
    </row>
    <row r="84" spans="2:8" ht="6.9" customHeight="1" x14ac:dyDescent="0.3">
      <c r="C84" s="13"/>
      <c r="D84" s="153"/>
      <c r="E84" s="47"/>
      <c r="F84" s="52"/>
      <c r="G84" s="161"/>
      <c r="H84" s="49"/>
    </row>
    <row r="85" spans="2:8" x14ac:dyDescent="0.3">
      <c r="C85" s="12" t="s">
        <v>17</v>
      </c>
      <c r="D85" s="153"/>
      <c r="E85" s="47"/>
      <c r="F85" s="52"/>
      <c r="G85" s="161"/>
      <c r="H85" s="49"/>
    </row>
    <row r="86" spans="2:8" ht="15.9" customHeight="1" x14ac:dyDescent="0.3">
      <c r="B86" s="215">
        <v>233</v>
      </c>
      <c r="C86" s="11" t="s">
        <v>22</v>
      </c>
      <c r="D86" s="149"/>
      <c r="E86" s="37"/>
      <c r="F86" s="39" t="str">
        <f t="shared" ref="F86:F89" si="5">IF(E86&gt;0,E86/D86," ")</f>
        <v xml:space="preserve"> </v>
      </c>
      <c r="G86" s="158" t="str">
        <f t="shared" ref="G86:H103" si="6">IF(D86&gt;0,D86," ")</f>
        <v xml:space="preserve"> </v>
      </c>
      <c r="H86" s="38" t="str">
        <f t="shared" si="6"/>
        <v xml:space="preserve"> </v>
      </c>
    </row>
    <row r="87" spans="2:8" ht="15.9" customHeight="1" x14ac:dyDescent="0.3">
      <c r="B87" s="215">
        <v>234</v>
      </c>
      <c r="C87" s="11" t="s">
        <v>23</v>
      </c>
      <c r="D87" s="149"/>
      <c r="E87" s="37"/>
      <c r="F87" s="39" t="str">
        <f t="shared" si="5"/>
        <v xml:space="preserve"> </v>
      </c>
      <c r="G87" s="162" t="str">
        <f t="shared" si="6"/>
        <v xml:space="preserve"> </v>
      </c>
      <c r="H87" s="38" t="str">
        <f t="shared" si="6"/>
        <v xml:space="preserve"> </v>
      </c>
    </row>
    <row r="88" spans="2:8" ht="15.9" customHeight="1" x14ac:dyDescent="0.3">
      <c r="B88" s="215">
        <v>235</v>
      </c>
      <c r="C88" s="11" t="s">
        <v>24</v>
      </c>
      <c r="D88" s="149"/>
      <c r="E88" s="37"/>
      <c r="F88" s="39" t="str">
        <f t="shared" si="5"/>
        <v xml:space="preserve"> </v>
      </c>
      <c r="G88" s="162" t="str">
        <f t="shared" si="6"/>
        <v xml:space="preserve"> </v>
      </c>
      <c r="H88" s="38" t="str">
        <f t="shared" si="6"/>
        <v xml:space="preserve"> </v>
      </c>
    </row>
    <row r="89" spans="2:8" ht="15.9" customHeight="1" x14ac:dyDescent="0.3">
      <c r="B89" s="215">
        <v>236</v>
      </c>
      <c r="C89" s="11" t="s">
        <v>25</v>
      </c>
      <c r="D89" s="149"/>
      <c r="E89" s="37"/>
      <c r="F89" s="39" t="str">
        <f t="shared" si="5"/>
        <v xml:space="preserve"> </v>
      </c>
      <c r="G89" s="162" t="str">
        <f t="shared" si="6"/>
        <v xml:space="preserve"> </v>
      </c>
      <c r="H89" s="38" t="str">
        <f t="shared" si="6"/>
        <v xml:space="preserve"> </v>
      </c>
    </row>
    <row r="90" spans="2:8" ht="15.9" customHeight="1" x14ac:dyDescent="0.3">
      <c r="B90" s="215">
        <v>237</v>
      </c>
      <c r="C90" s="11" t="s">
        <v>26</v>
      </c>
      <c r="D90" s="149"/>
      <c r="E90" s="37"/>
      <c r="F90" s="39" t="str">
        <f t="shared" ref="F90:F95" si="7">IF(E90&gt;0,E90/D90," ")</f>
        <v xml:space="preserve"> </v>
      </c>
      <c r="G90" s="162" t="str">
        <f t="shared" ref="G90:G95" si="8">IF(D90&gt;0,D90," ")</f>
        <v xml:space="preserve"> </v>
      </c>
      <c r="H90" s="38" t="str">
        <f t="shared" ref="H90:H95" si="9">IF(E90&gt;0,E90," ")</f>
        <v xml:space="preserve"> </v>
      </c>
    </row>
    <row r="91" spans="2:8" ht="15.9" customHeight="1" x14ac:dyDescent="0.3">
      <c r="B91" s="215">
        <v>107</v>
      </c>
      <c r="C91" s="11" t="s">
        <v>124</v>
      </c>
      <c r="D91" s="149"/>
      <c r="E91" s="37"/>
      <c r="F91" s="39" t="str">
        <f t="shared" si="7"/>
        <v xml:space="preserve"> </v>
      </c>
      <c r="G91" s="162" t="str">
        <f t="shared" si="8"/>
        <v xml:space="preserve"> </v>
      </c>
      <c r="H91" s="38" t="str">
        <f t="shared" si="9"/>
        <v xml:space="preserve"> </v>
      </c>
    </row>
    <row r="92" spans="2:8" ht="15.9" customHeight="1" x14ac:dyDescent="0.3">
      <c r="B92" s="215">
        <v>102</v>
      </c>
      <c r="C92" s="11" t="s">
        <v>28</v>
      </c>
      <c r="D92" s="149"/>
      <c r="E92" s="37"/>
      <c r="F92" s="39" t="str">
        <f t="shared" si="7"/>
        <v xml:space="preserve"> </v>
      </c>
      <c r="G92" s="162" t="str">
        <f t="shared" si="8"/>
        <v xml:space="preserve"> </v>
      </c>
      <c r="H92" s="38" t="str">
        <f t="shared" si="9"/>
        <v xml:space="preserve"> </v>
      </c>
    </row>
    <row r="93" spans="2:8" ht="15.9" customHeight="1" x14ac:dyDescent="0.3">
      <c r="B93" s="215">
        <v>214</v>
      </c>
      <c r="C93" s="11" t="s">
        <v>136</v>
      </c>
      <c r="D93" s="149"/>
      <c r="E93" s="37"/>
      <c r="F93" s="39" t="str">
        <f t="shared" si="7"/>
        <v xml:space="preserve"> </v>
      </c>
      <c r="G93" s="162" t="str">
        <f t="shared" si="8"/>
        <v xml:space="preserve"> </v>
      </c>
      <c r="H93" s="38" t="str">
        <f t="shared" si="9"/>
        <v xml:space="preserve"> </v>
      </c>
    </row>
    <row r="94" spans="2:8" ht="15.9" customHeight="1" x14ac:dyDescent="0.3">
      <c r="B94" s="215">
        <v>215</v>
      </c>
      <c r="C94" s="11" t="s">
        <v>137</v>
      </c>
      <c r="D94" s="149"/>
      <c r="E94" s="37"/>
      <c r="F94" s="39" t="str">
        <f t="shared" si="7"/>
        <v xml:space="preserve"> </v>
      </c>
      <c r="G94" s="162" t="str">
        <f t="shared" si="8"/>
        <v xml:space="preserve"> </v>
      </c>
      <c r="H94" s="38" t="str">
        <f t="shared" si="9"/>
        <v xml:space="preserve"> </v>
      </c>
    </row>
    <row r="95" spans="2:8" ht="15.9" customHeight="1" x14ac:dyDescent="0.3">
      <c r="B95" s="215">
        <v>347</v>
      </c>
      <c r="C95" s="11" t="s">
        <v>138</v>
      </c>
      <c r="D95" s="149"/>
      <c r="E95" s="37"/>
      <c r="F95" s="39" t="str">
        <f t="shared" si="7"/>
        <v xml:space="preserve"> </v>
      </c>
      <c r="G95" s="162" t="str">
        <f t="shared" si="8"/>
        <v xml:space="preserve"> </v>
      </c>
      <c r="H95" s="38" t="str">
        <f t="shared" si="9"/>
        <v xml:space="preserve"> </v>
      </c>
    </row>
    <row r="96" spans="2:8" ht="6.9" customHeight="1" x14ac:dyDescent="0.3">
      <c r="C96" s="13"/>
      <c r="D96" s="153"/>
      <c r="E96" s="47"/>
      <c r="F96" s="52"/>
      <c r="G96" s="161"/>
      <c r="H96" s="49"/>
    </row>
    <row r="97" spans="3:8" ht="15.9" customHeight="1" x14ac:dyDescent="0.3">
      <c r="C97" s="12" t="s">
        <v>29</v>
      </c>
      <c r="D97" s="216">
        <f>SUM(D86:D95)</f>
        <v>0</v>
      </c>
      <c r="E97" s="217">
        <f>SUM(E86:E95)</f>
        <v>0</v>
      </c>
      <c r="F97" s="39" t="s">
        <v>0</v>
      </c>
      <c r="G97" s="218">
        <f>SUM(G86:G95)</f>
        <v>0</v>
      </c>
      <c r="H97" s="219">
        <f>SUM(H86:H95)</f>
        <v>0</v>
      </c>
    </row>
    <row r="98" spans="3:8" ht="6.9" customHeight="1" x14ac:dyDescent="0.3">
      <c r="C98" s="13"/>
      <c r="D98" s="153"/>
      <c r="E98" s="47"/>
      <c r="F98" s="52"/>
      <c r="G98" s="161"/>
      <c r="H98" s="49"/>
    </row>
    <row r="99" spans="3:8" ht="15.9" customHeight="1" x14ac:dyDescent="0.3">
      <c r="C99" s="12" t="s">
        <v>144</v>
      </c>
      <c r="D99" s="153"/>
      <c r="E99" s="37"/>
      <c r="F99" s="122"/>
      <c r="G99" s="161"/>
      <c r="H99" s="38" t="str">
        <f t="shared" si="6"/>
        <v xml:space="preserve"> </v>
      </c>
    </row>
    <row r="100" spans="3:8" ht="6.9" customHeight="1" x14ac:dyDescent="0.3">
      <c r="C100" s="13"/>
      <c r="D100" s="153"/>
      <c r="E100" s="47"/>
      <c r="F100" s="52"/>
      <c r="G100" s="161"/>
      <c r="H100" s="49"/>
    </row>
    <row r="101" spans="3:8" ht="15.9" customHeight="1" x14ac:dyDescent="0.3">
      <c r="C101" s="12" t="s">
        <v>145</v>
      </c>
      <c r="D101" s="153"/>
      <c r="E101" s="37"/>
      <c r="F101" s="122"/>
      <c r="G101" s="161"/>
      <c r="H101" s="38" t="str">
        <f t="shared" si="6"/>
        <v xml:space="preserve"> </v>
      </c>
    </row>
    <row r="102" spans="3:8" ht="6.9" customHeight="1" x14ac:dyDescent="0.3">
      <c r="C102" s="13"/>
      <c r="D102" s="153"/>
      <c r="E102" s="47"/>
      <c r="F102" s="52"/>
      <c r="G102" s="161"/>
      <c r="H102" s="49"/>
    </row>
    <row r="103" spans="3:8" ht="15.9" customHeight="1" x14ac:dyDescent="0.3">
      <c r="C103" s="12" t="s">
        <v>146</v>
      </c>
      <c r="D103" s="153"/>
      <c r="E103" s="37"/>
      <c r="F103" s="122"/>
      <c r="G103" s="161" t="str">
        <f>IF(D103&gt;0,D103," ")</f>
        <v xml:space="preserve"> </v>
      </c>
      <c r="H103" s="38" t="str">
        <f t="shared" si="6"/>
        <v xml:space="preserve"> </v>
      </c>
    </row>
    <row r="104" spans="3:8" ht="15.9" customHeight="1" x14ac:dyDescent="0.3">
      <c r="C104" s="225"/>
      <c r="D104" s="153"/>
      <c r="E104" s="47"/>
      <c r="F104" s="52"/>
      <c r="G104" s="161"/>
      <c r="H104" s="49"/>
    </row>
    <row r="105" spans="3:8" ht="15.9" customHeight="1" x14ac:dyDescent="0.3">
      <c r="C105" s="12" t="s">
        <v>19</v>
      </c>
      <c r="D105" s="153"/>
      <c r="E105" s="37"/>
      <c r="F105" s="122"/>
      <c r="G105" s="161"/>
      <c r="H105" s="38" t="str">
        <f>IF(E105&gt;0,E105," ")</f>
        <v xml:space="preserve"> </v>
      </c>
    </row>
    <row r="106" spans="3:8" ht="6.9" customHeight="1" x14ac:dyDescent="0.3">
      <c r="C106" s="13"/>
      <c r="D106" s="153"/>
      <c r="E106" s="47"/>
      <c r="F106" s="52"/>
      <c r="G106" s="161"/>
      <c r="H106" s="49"/>
    </row>
    <row r="107" spans="3:8" ht="15.9" customHeight="1" x14ac:dyDescent="0.3">
      <c r="C107" s="12" t="s">
        <v>20</v>
      </c>
      <c r="D107" s="153"/>
      <c r="E107" s="37"/>
      <c r="F107" s="52"/>
      <c r="G107" s="161"/>
      <c r="H107" s="38" t="str">
        <f>IF(E107&gt;0,E107," ")</f>
        <v xml:space="preserve"> </v>
      </c>
    </row>
    <row r="108" spans="3:8" ht="6.9" customHeight="1" x14ac:dyDescent="0.3">
      <c r="C108" s="13"/>
      <c r="D108" s="153"/>
      <c r="E108" s="47"/>
      <c r="F108" s="52"/>
      <c r="G108" s="161"/>
      <c r="H108" s="49" t="str">
        <f>IF(E108&gt;0,E108," ")</f>
        <v xml:space="preserve"> </v>
      </c>
    </row>
    <row r="109" spans="3:8" x14ac:dyDescent="0.3">
      <c r="C109" s="12" t="s">
        <v>147</v>
      </c>
      <c r="D109" s="216">
        <f>D81+D97</f>
        <v>0</v>
      </c>
      <c r="E109" s="217">
        <f>E81+E83+E97+E99+E101+E103+E105+E107</f>
        <v>0</v>
      </c>
      <c r="F109" s="52" t="s">
        <v>0</v>
      </c>
      <c r="G109" s="218">
        <f>G81+G97</f>
        <v>0</v>
      </c>
      <c r="H109" s="219">
        <f>H81+H83+H97+H99+H101+H103+H105+H107</f>
        <v>0</v>
      </c>
    </row>
    <row r="110" spans="3:8" ht="6.9" customHeight="1" x14ac:dyDescent="0.3">
      <c r="C110" s="13"/>
      <c r="D110" s="153"/>
      <c r="E110" s="47"/>
      <c r="F110" s="52"/>
      <c r="G110" s="161"/>
      <c r="H110" s="49"/>
    </row>
    <row r="111" spans="3:8" ht="20.100000000000001" customHeight="1" thickBot="1" x14ac:dyDescent="0.35">
      <c r="C111" s="92" t="s">
        <v>30</v>
      </c>
      <c r="D111" s="154">
        <f>D63+D109</f>
        <v>0</v>
      </c>
      <c r="E111" s="110">
        <f>E63+E109</f>
        <v>0</v>
      </c>
      <c r="F111" s="52" t="s">
        <v>0</v>
      </c>
      <c r="G111" s="158">
        <f>G63+G109</f>
        <v>0</v>
      </c>
      <c r="H111" s="38">
        <f>H63+H109</f>
        <v>0</v>
      </c>
    </row>
    <row r="112" spans="3:8" ht="20.100000000000001" customHeight="1" x14ac:dyDescent="0.3">
      <c r="C112" s="135" t="s">
        <v>68</v>
      </c>
      <c r="D112" s="153"/>
      <c r="E112" s="47"/>
      <c r="F112" s="52"/>
      <c r="G112" s="161"/>
      <c r="H112" s="49"/>
    </row>
    <row r="113" spans="2:8" ht="6.9" customHeight="1" x14ac:dyDescent="0.3">
      <c r="C113" s="13"/>
      <c r="D113" s="153"/>
      <c r="E113" s="47"/>
      <c r="F113" s="52"/>
      <c r="G113" s="161"/>
      <c r="H113" s="49"/>
    </row>
    <row r="114" spans="2:8" x14ac:dyDescent="0.3">
      <c r="B114" s="215">
        <v>700</v>
      </c>
      <c r="C114" s="12" t="s">
        <v>161</v>
      </c>
      <c r="D114" s="153" t="s">
        <v>0</v>
      </c>
      <c r="E114" s="47"/>
      <c r="F114" s="52" t="s">
        <v>0</v>
      </c>
      <c r="G114" s="161"/>
      <c r="H114" s="49"/>
    </row>
    <row r="115" spans="2:8" x14ac:dyDescent="0.3">
      <c r="C115" s="11" t="s">
        <v>65</v>
      </c>
      <c r="D115" s="149"/>
      <c r="E115" s="37"/>
      <c r="F115" s="39" t="str">
        <f>IF(E115&gt;0,E115/D115," ")</f>
        <v xml:space="preserve"> </v>
      </c>
      <c r="G115" s="158" t="str">
        <f>IF(D115&gt;0,D115," ")</f>
        <v xml:space="preserve"> </v>
      </c>
      <c r="H115" s="38" t="str">
        <f t="shared" ref="H115:H121" si="10">IF(E115&gt;0,E115," ")</f>
        <v xml:space="preserve"> </v>
      </c>
    </row>
    <row r="116" spans="2:8" x14ac:dyDescent="0.3">
      <c r="C116" s="11" t="s">
        <v>31</v>
      </c>
      <c r="D116" s="155"/>
      <c r="E116" s="37"/>
      <c r="F116" s="57" t="str">
        <f>IF(E116&gt;0,E116/E115," ")</f>
        <v xml:space="preserve"> </v>
      </c>
      <c r="G116" s="162" t="str">
        <f>IF(D116&gt;0,D116," ")</f>
        <v xml:space="preserve"> </v>
      </c>
      <c r="H116" s="38" t="str">
        <f t="shared" si="10"/>
        <v xml:space="preserve"> </v>
      </c>
    </row>
    <row r="117" spans="2:8" x14ac:dyDescent="0.3">
      <c r="C117" s="11" t="s">
        <v>18</v>
      </c>
      <c r="D117" s="155"/>
      <c r="E117" s="112"/>
      <c r="F117" s="58"/>
      <c r="G117" s="162"/>
      <c r="H117" s="59" t="str">
        <f t="shared" si="10"/>
        <v xml:space="preserve"> </v>
      </c>
    </row>
    <row r="118" spans="2:8" x14ac:dyDescent="0.3">
      <c r="C118" s="11" t="s">
        <v>32</v>
      </c>
      <c r="D118" s="155"/>
      <c r="E118" s="37"/>
      <c r="F118" s="58" t="s">
        <v>0</v>
      </c>
      <c r="G118" s="162" t="str">
        <f>IF(D118&gt;0,D118," ")</f>
        <v xml:space="preserve"> </v>
      </c>
      <c r="H118" s="38" t="str">
        <f t="shared" si="10"/>
        <v xml:space="preserve"> </v>
      </c>
    </row>
    <row r="119" spans="2:8" x14ac:dyDescent="0.3">
      <c r="C119" s="11" t="s">
        <v>33</v>
      </c>
      <c r="D119" s="155"/>
      <c r="E119" s="37"/>
      <c r="F119" s="58" t="s">
        <v>0</v>
      </c>
      <c r="G119" s="162" t="str">
        <f>IF(D119&gt;0,D119," ")</f>
        <v xml:space="preserve"> </v>
      </c>
      <c r="H119" s="38" t="str">
        <f t="shared" si="10"/>
        <v xml:space="preserve"> </v>
      </c>
    </row>
    <row r="120" spans="2:8" x14ac:dyDescent="0.3">
      <c r="C120" s="11" t="s">
        <v>34</v>
      </c>
      <c r="D120" s="155"/>
      <c r="E120" s="37"/>
      <c r="F120" s="58" t="s">
        <v>0</v>
      </c>
      <c r="G120" s="162" t="str">
        <f>IF(D120&gt;0,D120," ")</f>
        <v xml:space="preserve"> </v>
      </c>
      <c r="H120" s="38" t="str">
        <f t="shared" si="10"/>
        <v xml:space="preserve"> </v>
      </c>
    </row>
    <row r="121" spans="2:8" x14ac:dyDescent="0.3">
      <c r="C121" s="11" t="s">
        <v>35</v>
      </c>
      <c r="D121" s="155"/>
      <c r="E121" s="37"/>
      <c r="F121" s="58"/>
      <c r="G121" s="162"/>
      <c r="H121" s="59" t="str">
        <f t="shared" si="10"/>
        <v xml:space="preserve"> </v>
      </c>
    </row>
    <row r="122" spans="2:8" ht="6.9" customHeight="1" x14ac:dyDescent="0.3">
      <c r="C122" s="13" t="s">
        <v>0</v>
      </c>
      <c r="D122" s="156"/>
      <c r="E122" s="113"/>
      <c r="F122" s="52"/>
      <c r="G122" s="161"/>
      <c r="H122" s="51"/>
    </row>
    <row r="123" spans="2:8" x14ac:dyDescent="0.3">
      <c r="C123" s="12" t="s">
        <v>149</v>
      </c>
      <c r="D123" s="157">
        <f>SUM(D115:D121)</f>
        <v>0</v>
      </c>
      <c r="E123" s="93">
        <f>SUM(E115:E121)</f>
        <v>0</v>
      </c>
      <c r="F123" s="61" t="s">
        <v>0</v>
      </c>
      <c r="G123" s="163">
        <f>SUM(G115:G121)</f>
        <v>0</v>
      </c>
      <c r="H123" s="42">
        <f>SUM(H115:H121)</f>
        <v>0</v>
      </c>
    </row>
    <row r="124" spans="2:8" ht="6.9" customHeight="1" x14ac:dyDescent="0.3">
      <c r="C124" s="13"/>
      <c r="D124" s="153"/>
      <c r="E124" s="47"/>
      <c r="F124" s="52"/>
      <c r="G124" s="161"/>
      <c r="H124" s="49"/>
    </row>
    <row r="125" spans="2:8" x14ac:dyDescent="0.3">
      <c r="B125" s="215">
        <v>800</v>
      </c>
      <c r="C125" s="12" t="s">
        <v>162</v>
      </c>
      <c r="D125" s="153"/>
      <c r="E125" s="47"/>
      <c r="F125" s="52"/>
      <c r="G125" s="161"/>
      <c r="H125" s="49"/>
    </row>
    <row r="126" spans="2:8" x14ac:dyDescent="0.3">
      <c r="C126" s="11" t="s">
        <v>65</v>
      </c>
      <c r="D126" s="149"/>
      <c r="E126" s="37"/>
      <c r="F126" s="39" t="str">
        <f>IF(E126&gt;0,E126/D126," ")</f>
        <v xml:space="preserve"> </v>
      </c>
      <c r="G126" s="158" t="str">
        <f>IF(D126&gt;0,D126," ")</f>
        <v xml:space="preserve"> </v>
      </c>
      <c r="H126" s="38" t="str">
        <f t="shared" ref="H126:H131" si="11">IF(E126&gt;0,E126," ")</f>
        <v xml:space="preserve"> </v>
      </c>
    </row>
    <row r="127" spans="2:8" x14ac:dyDescent="0.3">
      <c r="C127" s="11" t="s">
        <v>31</v>
      </c>
      <c r="D127" s="155"/>
      <c r="E127" s="37"/>
      <c r="F127" s="57" t="str">
        <f>IF(E127&gt;0,E127/E126," ")</f>
        <v xml:space="preserve"> </v>
      </c>
      <c r="G127" s="162"/>
      <c r="H127" s="38" t="str">
        <f t="shared" si="11"/>
        <v xml:space="preserve"> </v>
      </c>
    </row>
    <row r="128" spans="2:8" x14ac:dyDescent="0.3">
      <c r="C128" s="11" t="s">
        <v>36</v>
      </c>
      <c r="D128" s="155"/>
      <c r="E128" s="37"/>
      <c r="F128" s="58"/>
      <c r="G128" s="162"/>
      <c r="H128" s="38" t="str">
        <f t="shared" si="11"/>
        <v xml:space="preserve"> </v>
      </c>
    </row>
    <row r="129" spans="2:8" x14ac:dyDescent="0.3">
      <c r="C129" s="11" t="s">
        <v>37</v>
      </c>
      <c r="D129" s="155"/>
      <c r="E129" s="37"/>
      <c r="F129" s="58"/>
      <c r="G129" s="162"/>
      <c r="H129" s="38" t="str">
        <f t="shared" si="11"/>
        <v xml:space="preserve"> </v>
      </c>
    </row>
    <row r="130" spans="2:8" x14ac:dyDescent="0.3">
      <c r="C130" s="11" t="s">
        <v>38</v>
      </c>
      <c r="D130" s="155"/>
      <c r="E130" s="37"/>
      <c r="F130" s="58"/>
      <c r="G130" s="162"/>
      <c r="H130" s="38" t="str">
        <f t="shared" si="11"/>
        <v xml:space="preserve"> </v>
      </c>
    </row>
    <row r="131" spans="2:8" x14ac:dyDescent="0.3">
      <c r="C131" s="11" t="s">
        <v>35</v>
      </c>
      <c r="D131" s="155"/>
      <c r="E131" s="37"/>
      <c r="F131" s="58"/>
      <c r="G131" s="162"/>
      <c r="H131" s="38" t="str">
        <f t="shared" si="11"/>
        <v xml:space="preserve"> </v>
      </c>
    </row>
    <row r="132" spans="2:8" ht="6.9" customHeight="1" x14ac:dyDescent="0.3">
      <c r="C132" s="13"/>
      <c r="D132" s="156"/>
      <c r="E132" s="113"/>
      <c r="F132" s="52"/>
      <c r="G132" s="161"/>
      <c r="H132" s="51"/>
    </row>
    <row r="133" spans="2:8" x14ac:dyDescent="0.3">
      <c r="C133" s="12" t="s">
        <v>150</v>
      </c>
      <c r="D133" s="157">
        <f>D126</f>
        <v>0</v>
      </c>
      <c r="E133" s="93">
        <f>SUM(E126:E131)</f>
        <v>0</v>
      </c>
      <c r="F133" s="61" t="s">
        <v>0</v>
      </c>
      <c r="G133" s="160">
        <f>SUM(G126:G126)</f>
        <v>0</v>
      </c>
      <c r="H133" s="56">
        <f>SUM(H126:H131)</f>
        <v>0</v>
      </c>
    </row>
    <row r="134" spans="2:8" ht="6.9" customHeight="1" x14ac:dyDescent="0.3">
      <c r="C134" s="13"/>
      <c r="D134" s="153"/>
      <c r="E134" s="47"/>
      <c r="F134" s="52"/>
      <c r="G134" s="161"/>
      <c r="H134" s="49"/>
    </row>
    <row r="135" spans="2:8" x14ac:dyDescent="0.3">
      <c r="C135" s="12" t="s">
        <v>156</v>
      </c>
      <c r="D135" s="153"/>
      <c r="E135" s="47"/>
      <c r="F135" s="52"/>
      <c r="G135" s="161"/>
      <c r="H135" s="49"/>
    </row>
    <row r="136" spans="2:8" x14ac:dyDescent="0.3">
      <c r="C136" s="11" t="s">
        <v>89</v>
      </c>
      <c r="D136" s="153"/>
      <c r="E136" s="47"/>
      <c r="F136" s="52"/>
      <c r="G136" s="161"/>
      <c r="H136" s="49"/>
    </row>
    <row r="137" spans="2:8" x14ac:dyDescent="0.3">
      <c r="C137" s="11" t="s">
        <v>39</v>
      </c>
      <c r="D137" s="149"/>
      <c r="E137" s="37"/>
      <c r="F137" s="58"/>
      <c r="G137" s="158" t="str">
        <f>IF(D137&gt;0,D137," ")</f>
        <v xml:space="preserve"> </v>
      </c>
      <c r="H137" s="38" t="str">
        <f t="shared" ref="H137:H146" si="12">IF(E137&gt;0,E137," ")</f>
        <v xml:space="preserve"> </v>
      </c>
    </row>
    <row r="138" spans="2:8" x14ac:dyDescent="0.3">
      <c r="C138" s="11" t="s">
        <v>79</v>
      </c>
      <c r="D138" s="149"/>
      <c r="E138" s="37"/>
      <c r="F138" s="58"/>
      <c r="G138" s="158" t="str">
        <f>IF(D138&gt;0,D138," ")</f>
        <v xml:space="preserve"> </v>
      </c>
      <c r="H138" s="38" t="str">
        <f t="shared" si="12"/>
        <v xml:space="preserve"> </v>
      </c>
    </row>
    <row r="139" spans="2:8" x14ac:dyDescent="0.3">
      <c r="C139" s="11" t="s">
        <v>80</v>
      </c>
      <c r="D139" s="155"/>
      <c r="E139" s="37"/>
      <c r="F139" s="58"/>
      <c r="G139" s="162"/>
      <c r="H139" s="38" t="str">
        <f t="shared" si="12"/>
        <v xml:space="preserve"> </v>
      </c>
    </row>
    <row r="140" spans="2:8" x14ac:dyDescent="0.3">
      <c r="B140" s="215">
        <v>900</v>
      </c>
      <c r="C140" s="12" t="s">
        <v>163</v>
      </c>
      <c r="D140" s="153"/>
      <c r="E140" s="47"/>
      <c r="F140" s="52"/>
      <c r="G140" s="161"/>
      <c r="H140" s="49"/>
    </row>
    <row r="141" spans="2:8" x14ac:dyDescent="0.3">
      <c r="C141" s="11" t="s">
        <v>164</v>
      </c>
      <c r="D141" s="155"/>
      <c r="E141" s="37"/>
      <c r="F141" s="53" t="str">
        <f>IF(E141&gt;0,E141/D141," ")</f>
        <v xml:space="preserve"> </v>
      </c>
      <c r="G141" s="162" t="str">
        <f>IF(D141&gt;0,D141," ")</f>
        <v xml:space="preserve"> </v>
      </c>
      <c r="H141" s="38" t="str">
        <f t="shared" si="12"/>
        <v xml:space="preserve"> </v>
      </c>
    </row>
    <row r="142" spans="2:8" x14ac:dyDescent="0.3">
      <c r="C142" s="11" t="s">
        <v>41</v>
      </c>
      <c r="D142" s="155"/>
      <c r="E142" s="37"/>
      <c r="F142" s="57" t="str">
        <f>IF(E142&gt;0,E142/E141," ")</f>
        <v xml:space="preserve"> </v>
      </c>
      <c r="G142" s="162"/>
      <c r="H142" s="38" t="str">
        <f t="shared" si="12"/>
        <v xml:space="preserve"> </v>
      </c>
    </row>
    <row r="143" spans="2:8" x14ac:dyDescent="0.3">
      <c r="C143" s="11" t="s">
        <v>81</v>
      </c>
      <c r="D143" s="155"/>
      <c r="E143" s="37"/>
      <c r="F143" s="39"/>
      <c r="G143" s="162" t="str">
        <f>IF(D143&gt;0,D143," ")</f>
        <v xml:space="preserve"> </v>
      </c>
      <c r="H143" s="38" t="str">
        <f t="shared" si="12"/>
        <v xml:space="preserve"> </v>
      </c>
    </row>
    <row r="144" spans="2:8" x14ac:dyDescent="0.3">
      <c r="C144" s="11" t="s">
        <v>40</v>
      </c>
      <c r="D144" s="155"/>
      <c r="E144" s="37"/>
      <c r="F144" s="58"/>
      <c r="G144" s="162"/>
      <c r="H144" s="38" t="str">
        <f t="shared" ref="H144" si="13">IF(E144&gt;0,E144," ")</f>
        <v xml:space="preserve"> </v>
      </c>
    </row>
    <row r="145" spans="2:8" x14ac:dyDescent="0.3">
      <c r="C145" s="11" t="s">
        <v>42</v>
      </c>
      <c r="D145" s="155"/>
      <c r="E145" s="37"/>
      <c r="F145" s="58"/>
      <c r="G145" s="162"/>
      <c r="H145" s="38" t="str">
        <f t="shared" si="12"/>
        <v xml:space="preserve"> </v>
      </c>
    </row>
    <row r="146" spans="2:8" x14ac:dyDescent="0.3">
      <c r="C146" s="11" t="s">
        <v>43</v>
      </c>
      <c r="D146" s="155"/>
      <c r="E146" s="37"/>
      <c r="F146" s="58"/>
      <c r="G146" s="162"/>
      <c r="H146" s="38" t="str">
        <f t="shared" si="12"/>
        <v xml:space="preserve"> </v>
      </c>
    </row>
    <row r="147" spans="2:8" ht="6.9" customHeight="1" x14ac:dyDescent="0.3">
      <c r="C147" s="13"/>
      <c r="D147" s="153"/>
      <c r="E147" s="111"/>
      <c r="F147" s="52"/>
      <c r="G147" s="161"/>
      <c r="H147" s="51"/>
    </row>
    <row r="148" spans="2:8" x14ac:dyDescent="0.3">
      <c r="C148" s="12" t="s">
        <v>151</v>
      </c>
      <c r="D148" s="157">
        <f>D141</f>
        <v>0</v>
      </c>
      <c r="E148" s="93">
        <f>SUM(E137:E146)</f>
        <v>0</v>
      </c>
      <c r="F148" s="61" t="s">
        <v>0</v>
      </c>
      <c r="G148" s="163">
        <f>SUM(G141:G141)</f>
        <v>0</v>
      </c>
      <c r="H148" s="42">
        <f>SUM(H137:H146)</f>
        <v>0</v>
      </c>
    </row>
    <row r="149" spans="2:8" ht="6.9" customHeight="1" x14ac:dyDescent="0.3">
      <c r="C149" s="13"/>
      <c r="D149" s="153"/>
      <c r="E149" s="47"/>
      <c r="F149" s="52"/>
      <c r="G149" s="161"/>
      <c r="H149" s="49"/>
    </row>
    <row r="150" spans="2:8" x14ac:dyDescent="0.3">
      <c r="C150" s="12" t="s">
        <v>44</v>
      </c>
      <c r="D150" s="153"/>
      <c r="E150" s="47"/>
      <c r="F150" s="52"/>
      <c r="G150" s="161"/>
      <c r="H150" s="49"/>
    </row>
    <row r="151" spans="2:8" x14ac:dyDescent="0.3">
      <c r="B151" s="215">
        <v>201</v>
      </c>
      <c r="C151" s="11" t="s">
        <v>157</v>
      </c>
      <c r="D151" s="149"/>
      <c r="E151" s="37"/>
      <c r="F151" s="39" t="str">
        <f>IF(E151&gt;0,E151/D151," ")</f>
        <v xml:space="preserve"> </v>
      </c>
      <c r="G151" s="158" t="str">
        <f>IF(D151&gt;0,D151," ")</f>
        <v xml:space="preserve"> </v>
      </c>
      <c r="H151" s="38" t="str">
        <f t="shared" ref="H151:H155" si="14">IF(E151&gt;0,E151," ")</f>
        <v xml:space="preserve"> </v>
      </c>
    </row>
    <row r="152" spans="2:8" x14ac:dyDescent="0.3">
      <c r="B152" s="215">
        <v>602</v>
      </c>
      <c r="C152" s="11" t="s">
        <v>66</v>
      </c>
      <c r="D152" s="155"/>
      <c r="E152" s="37"/>
      <c r="F152" s="39" t="str">
        <f>IF(E152&gt;0,E152/D152," ")</f>
        <v xml:space="preserve"> </v>
      </c>
      <c r="G152" s="158" t="str">
        <f t="shared" ref="G152:G155" si="15">IF(D152&gt;0,D152," ")</f>
        <v xml:space="preserve"> </v>
      </c>
      <c r="H152" s="38" t="str">
        <f t="shared" si="14"/>
        <v xml:space="preserve"> </v>
      </c>
    </row>
    <row r="153" spans="2:8" x14ac:dyDescent="0.3">
      <c r="C153" s="11" t="s">
        <v>45</v>
      </c>
      <c r="D153" s="155"/>
      <c r="E153" s="37"/>
      <c r="F153" s="57" t="str">
        <f>IF(E153&gt;0,E153/(E151+E152)," ")</f>
        <v xml:space="preserve"> </v>
      </c>
      <c r="G153" s="158" t="str">
        <f t="shared" si="15"/>
        <v xml:space="preserve"> </v>
      </c>
      <c r="H153" s="38" t="str">
        <f t="shared" si="14"/>
        <v xml:space="preserve"> </v>
      </c>
    </row>
    <row r="154" spans="2:8" x14ac:dyDescent="0.3">
      <c r="C154" s="11" t="s">
        <v>67</v>
      </c>
      <c r="D154" s="155"/>
      <c r="E154" s="37"/>
      <c r="F154" s="39" t="str">
        <f>IF(E154&gt;0,E154/D154," ")</f>
        <v xml:space="preserve"> </v>
      </c>
      <c r="G154" s="158" t="str">
        <f t="shared" si="15"/>
        <v xml:space="preserve"> </v>
      </c>
      <c r="H154" s="38" t="str">
        <f t="shared" si="14"/>
        <v xml:space="preserve"> </v>
      </c>
    </row>
    <row r="155" spans="2:8" x14ac:dyDescent="0.3">
      <c r="C155" s="11" t="s">
        <v>46</v>
      </c>
      <c r="D155" s="155"/>
      <c r="E155" s="37"/>
      <c r="F155" s="58"/>
      <c r="G155" s="158" t="str">
        <f t="shared" si="15"/>
        <v xml:space="preserve"> </v>
      </c>
      <c r="H155" s="59" t="str">
        <f t="shared" si="14"/>
        <v xml:space="preserve"> </v>
      </c>
    </row>
    <row r="156" spans="2:8" ht="6.9" customHeight="1" x14ac:dyDescent="0.3">
      <c r="C156" s="13"/>
      <c r="D156" s="153"/>
      <c r="E156" s="111"/>
      <c r="F156" s="52"/>
      <c r="G156" s="161"/>
      <c r="H156" s="51"/>
    </row>
    <row r="157" spans="2:8" x14ac:dyDescent="0.3">
      <c r="C157" s="12" t="s">
        <v>152</v>
      </c>
      <c r="D157" s="222">
        <f>SUM(D151:D155)</f>
        <v>0</v>
      </c>
      <c r="E157" s="42">
        <f>SUM(E151:E155)</f>
        <v>0</v>
      </c>
      <c r="F157" s="43"/>
      <c r="G157" s="223">
        <f>SUM(G151:G155)</f>
        <v>0</v>
      </c>
      <c r="H157" s="42">
        <f>SUM(H151:H155)</f>
        <v>0</v>
      </c>
    </row>
    <row r="158" spans="2:8" ht="6.9" customHeight="1" x14ac:dyDescent="0.3">
      <c r="C158" s="13"/>
      <c r="D158" s="153"/>
      <c r="E158" s="47"/>
      <c r="F158" s="52"/>
      <c r="G158" s="161"/>
      <c r="H158" s="49"/>
    </row>
    <row r="159" spans="2:8" x14ac:dyDescent="0.3">
      <c r="C159" s="12" t="s">
        <v>158</v>
      </c>
      <c r="D159" s="153"/>
      <c r="E159" s="47"/>
      <c r="F159" s="52"/>
      <c r="G159" s="161"/>
      <c r="H159" s="49"/>
    </row>
    <row r="160" spans="2:8" x14ac:dyDescent="0.3">
      <c r="C160" s="11" t="s">
        <v>47</v>
      </c>
      <c r="D160" s="149"/>
      <c r="E160" s="37"/>
      <c r="F160" s="58"/>
      <c r="G160" s="158"/>
      <c r="H160" s="38" t="str">
        <f>IF(E160&gt;0,E160," ")</f>
        <v xml:space="preserve"> </v>
      </c>
    </row>
    <row r="161" spans="3:8" x14ac:dyDescent="0.3">
      <c r="C161" s="11" t="s">
        <v>48</v>
      </c>
      <c r="D161" s="155"/>
      <c r="E161" s="37"/>
      <c r="F161" s="58"/>
      <c r="G161" s="162"/>
      <c r="H161" s="38" t="str">
        <f>IF(E161&gt;0,E161," ")</f>
        <v xml:space="preserve"> </v>
      </c>
    </row>
    <row r="162" spans="3:8" x14ac:dyDescent="0.3">
      <c r="C162" s="11" t="s">
        <v>49</v>
      </c>
      <c r="D162" s="155"/>
      <c r="E162" s="37"/>
      <c r="F162" s="58"/>
      <c r="G162" s="162"/>
      <c r="H162" s="38" t="str">
        <f>IF(E162&gt;0,E162," ")</f>
        <v xml:space="preserve"> </v>
      </c>
    </row>
    <row r="163" spans="3:8" x14ac:dyDescent="0.3">
      <c r="C163" s="11" t="s">
        <v>82</v>
      </c>
      <c r="D163" s="155"/>
      <c r="E163" s="37"/>
      <c r="F163" s="58"/>
      <c r="G163" s="162"/>
      <c r="H163" s="38" t="str">
        <f>IF(E163&gt;0,E163," ")</f>
        <v xml:space="preserve"> </v>
      </c>
    </row>
    <row r="164" spans="3:8" ht="6.9" customHeight="1" x14ac:dyDescent="0.3">
      <c r="C164" s="13"/>
      <c r="D164" s="153"/>
      <c r="E164" s="111"/>
      <c r="F164" s="52"/>
      <c r="G164" s="161"/>
      <c r="H164" s="51"/>
    </row>
    <row r="165" spans="3:8" x14ac:dyDescent="0.3">
      <c r="C165" s="12" t="s">
        <v>153</v>
      </c>
      <c r="D165" s="157"/>
      <c r="E165" s="93">
        <f>SUM(E160:E163)</f>
        <v>0</v>
      </c>
      <c r="F165" s="61"/>
      <c r="G165" s="163"/>
      <c r="H165" s="42">
        <f>SUM(H160:H163)</f>
        <v>0</v>
      </c>
    </row>
    <row r="166" spans="3:8" ht="6.9" customHeight="1" x14ac:dyDescent="0.3">
      <c r="C166" s="13"/>
      <c r="D166" s="153"/>
      <c r="E166" s="111"/>
      <c r="F166" s="52"/>
      <c r="G166" s="161"/>
      <c r="H166" s="51"/>
    </row>
    <row r="167" spans="3:8" x14ac:dyDescent="0.3">
      <c r="C167" s="12" t="s">
        <v>154</v>
      </c>
      <c r="D167" s="157">
        <f>D123+D133+D148+D157+D165</f>
        <v>0</v>
      </c>
      <c r="E167" s="93">
        <f>E123+E133+E148+E157+E165</f>
        <v>0</v>
      </c>
      <c r="F167" s="61" t="s">
        <v>0</v>
      </c>
      <c r="G167" s="160">
        <f>G123+G133+G148+G157+G165</f>
        <v>0</v>
      </c>
      <c r="H167" s="56">
        <f>H123+H133+H148+H157+H165</f>
        <v>0</v>
      </c>
    </row>
    <row r="168" spans="3:8" ht="20.100000000000001" customHeight="1" x14ac:dyDescent="0.3">
      <c r="C168" s="12" t="s">
        <v>50</v>
      </c>
      <c r="D168" s="46"/>
      <c r="E168" s="47"/>
      <c r="F168" s="28"/>
      <c r="G168" s="48"/>
      <c r="H168" s="49"/>
    </row>
    <row r="169" spans="3:8" ht="6.9" customHeight="1" x14ac:dyDescent="0.3">
      <c r="C169" s="13"/>
      <c r="D169" s="46"/>
      <c r="E169" s="47"/>
      <c r="F169" s="28"/>
      <c r="G169" s="48"/>
      <c r="H169" s="49"/>
    </row>
    <row r="170" spans="3:8" ht="15.9" customHeight="1" x14ac:dyDescent="0.3">
      <c r="C170" s="12" t="s">
        <v>52</v>
      </c>
      <c r="D170" s="46"/>
      <c r="E170" s="47"/>
      <c r="F170" s="28"/>
      <c r="G170" s="48"/>
      <c r="H170" s="49"/>
    </row>
    <row r="171" spans="3:8" ht="15.9" customHeight="1" x14ac:dyDescent="0.3">
      <c r="C171" s="11" t="s">
        <v>51</v>
      </c>
      <c r="D171" s="46"/>
      <c r="E171" s="37"/>
      <c r="F171" s="29"/>
      <c r="G171" s="48"/>
      <c r="H171" s="38" t="str">
        <f>IF(E171&gt;0,E171," ")</f>
        <v xml:space="preserve"> </v>
      </c>
    </row>
    <row r="172" spans="3:8" ht="15.9" customHeight="1" x14ac:dyDescent="0.3">
      <c r="C172" s="11" t="s">
        <v>53</v>
      </c>
      <c r="D172" s="46"/>
      <c r="E172" s="37"/>
      <c r="F172" s="123"/>
      <c r="G172" s="48"/>
      <c r="H172" s="38" t="str">
        <f>IF(E172&gt;0,E172," ")</f>
        <v xml:space="preserve"> </v>
      </c>
    </row>
    <row r="173" spans="3:8" ht="15.9" customHeight="1" x14ac:dyDescent="0.3">
      <c r="C173" s="225"/>
      <c r="D173" s="46"/>
      <c r="E173" s="47"/>
      <c r="F173" s="28"/>
      <c r="G173" s="48"/>
      <c r="H173" s="49"/>
    </row>
    <row r="174" spans="3:8" ht="24.9" customHeight="1" thickBot="1" x14ac:dyDescent="0.25">
      <c r="C174" s="136" t="s">
        <v>155</v>
      </c>
      <c r="D174" s="46"/>
      <c r="E174" s="110">
        <f>SUM(E171:E172)</f>
        <v>0</v>
      </c>
      <c r="F174" s="28"/>
      <c r="G174" s="48"/>
      <c r="H174" s="38">
        <f>SUM(H171:H172)</f>
        <v>0</v>
      </c>
    </row>
    <row r="175" spans="3:8" ht="20.100000000000001" customHeight="1" x14ac:dyDescent="0.3">
      <c r="C175" s="12" t="s">
        <v>175</v>
      </c>
      <c r="D175" s="46"/>
      <c r="E175" s="47"/>
      <c r="F175" s="28"/>
      <c r="G175" s="48"/>
      <c r="H175" s="49"/>
    </row>
    <row r="176" spans="3:8" ht="6.9" customHeight="1" x14ac:dyDescent="0.3">
      <c r="C176" s="13"/>
      <c r="D176" s="46"/>
      <c r="E176" s="47"/>
      <c r="F176" s="28"/>
      <c r="G176" s="48"/>
      <c r="H176" s="49"/>
    </row>
    <row r="177" spans="3:8" ht="18.600000000000001" customHeight="1" x14ac:dyDescent="0.3">
      <c r="C177" s="11" t="s">
        <v>54</v>
      </c>
      <c r="D177" s="65"/>
      <c r="E177" s="68">
        <f>E111</f>
        <v>0</v>
      </c>
      <c r="F177" s="124" t="s">
        <v>0</v>
      </c>
      <c r="G177" s="50"/>
      <c r="H177" s="67">
        <f>H111</f>
        <v>0</v>
      </c>
    </row>
    <row r="178" spans="3:8" ht="18.600000000000001" customHeight="1" x14ac:dyDescent="0.3">
      <c r="C178" s="11" t="s">
        <v>69</v>
      </c>
      <c r="D178" s="65"/>
      <c r="E178" s="68">
        <f>E167</f>
        <v>0</v>
      </c>
      <c r="F178" s="125"/>
      <c r="G178" s="50"/>
      <c r="H178" s="67">
        <f>H167</f>
        <v>0</v>
      </c>
    </row>
    <row r="179" spans="3:8" ht="18.600000000000001" customHeight="1" x14ac:dyDescent="0.3">
      <c r="C179" s="11" t="s">
        <v>70</v>
      </c>
      <c r="D179" s="65"/>
      <c r="E179" s="68">
        <f>E174</f>
        <v>0</v>
      </c>
      <c r="F179" s="124" t="s">
        <v>0</v>
      </c>
      <c r="G179" s="50"/>
      <c r="H179" s="67">
        <f>H174</f>
        <v>0</v>
      </c>
    </row>
    <row r="180" spans="3:8" ht="18.600000000000001" customHeight="1" x14ac:dyDescent="0.3">
      <c r="C180" s="11" t="s">
        <v>84</v>
      </c>
      <c r="D180" s="65"/>
      <c r="E180" s="68">
        <f>E178-E179</f>
        <v>0</v>
      </c>
      <c r="F180" s="124" t="s">
        <v>0</v>
      </c>
      <c r="G180" s="50"/>
      <c r="H180" s="67">
        <f>H178-H179</f>
        <v>0</v>
      </c>
    </row>
    <row r="181" spans="3:8" ht="18.600000000000001" customHeight="1" x14ac:dyDescent="0.3">
      <c r="C181" s="11" t="s">
        <v>85</v>
      </c>
      <c r="D181" s="65"/>
      <c r="E181" s="68">
        <f>E177+E180</f>
        <v>0</v>
      </c>
      <c r="F181" s="124" t="s">
        <v>0</v>
      </c>
      <c r="G181" s="50"/>
      <c r="H181" s="67">
        <f>H177+H180</f>
        <v>0</v>
      </c>
    </row>
    <row r="182" spans="3:8" ht="18.600000000000001" customHeight="1" x14ac:dyDescent="0.3">
      <c r="C182" s="11" t="s">
        <v>86</v>
      </c>
      <c r="D182" s="65"/>
      <c r="E182" s="69" t="e">
        <f>ROUND(+E177/E181,4)</f>
        <v>#DIV/0!</v>
      </c>
      <c r="F182" s="124" t="s">
        <v>0</v>
      </c>
      <c r="G182" s="50"/>
      <c r="H182" s="70" t="e">
        <f>ROUND(+H177/H181,4)</f>
        <v>#DIV/0!</v>
      </c>
    </row>
    <row r="183" spans="3:8" ht="18.600000000000001" customHeight="1" x14ac:dyDescent="0.3">
      <c r="C183" s="11" t="s">
        <v>174</v>
      </c>
      <c r="D183" s="65"/>
      <c r="E183" s="71">
        <v>7020.58</v>
      </c>
      <c r="F183" s="124" t="s">
        <v>0</v>
      </c>
      <c r="G183" s="50"/>
      <c r="H183" s="72">
        <f>IF(E183&gt;0,E183," ")</f>
        <v>7020.58</v>
      </c>
    </row>
    <row r="184" spans="3:8" ht="18.600000000000001" customHeight="1" x14ac:dyDescent="0.3">
      <c r="C184" s="11" t="s">
        <v>83</v>
      </c>
      <c r="D184" s="73"/>
      <c r="E184" s="74" t="e">
        <f>ROUND(+E182*E183,0)</f>
        <v>#DIV/0!</v>
      </c>
      <c r="F184" s="126" t="s">
        <v>0</v>
      </c>
      <c r="G184" s="75"/>
      <c r="H184" s="76" t="e">
        <f>ROUND(+H182*H183,0)</f>
        <v>#DIV/0!</v>
      </c>
    </row>
    <row r="185" spans="3:8" ht="18.600000000000001" customHeight="1" x14ac:dyDescent="0.3">
      <c r="C185" s="11" t="s">
        <v>62</v>
      </c>
      <c r="D185" s="65"/>
      <c r="E185" s="68">
        <f>E12</f>
        <v>0</v>
      </c>
      <c r="F185" s="124" t="s">
        <v>0</v>
      </c>
      <c r="G185" s="50"/>
      <c r="H185" s="67" t="str">
        <f>G12</f>
        <v xml:space="preserve"> </v>
      </c>
    </row>
    <row r="186" spans="3:8" ht="18.600000000000001" customHeight="1" x14ac:dyDescent="0.3">
      <c r="C186" s="11" t="s">
        <v>63</v>
      </c>
      <c r="D186" s="77" t="s">
        <v>0</v>
      </c>
      <c r="E186" s="66" t="s">
        <v>0</v>
      </c>
      <c r="F186" s="124" t="s">
        <v>0</v>
      </c>
      <c r="G186" s="66" t="s">
        <v>0</v>
      </c>
      <c r="H186" s="78" t="s">
        <v>0</v>
      </c>
    </row>
    <row r="187" spans="3:8" ht="18.600000000000001" customHeight="1" x14ac:dyDescent="0.3">
      <c r="C187" s="11" t="s">
        <v>88</v>
      </c>
      <c r="D187" s="65"/>
      <c r="E187" s="68" t="e">
        <f>ROUND(+E177/E185,0)</f>
        <v>#DIV/0!</v>
      </c>
      <c r="F187" s="127" t="s">
        <v>0</v>
      </c>
      <c r="G187" s="50"/>
      <c r="H187" s="67" t="e">
        <f>ROUND(+H177/H185,0)</f>
        <v>#DIV/0!</v>
      </c>
    </row>
    <row r="188" spans="3:8" ht="18.600000000000001" customHeight="1" x14ac:dyDescent="0.3">
      <c r="C188" s="11" t="s">
        <v>172</v>
      </c>
      <c r="D188" s="60"/>
      <c r="E188" s="79" t="e">
        <f>E187-E184</f>
        <v>#DIV/0!</v>
      </c>
      <c r="F188" s="128" t="s">
        <v>0</v>
      </c>
      <c r="G188" s="54"/>
      <c r="H188" s="56" t="e">
        <f>H187-H184</f>
        <v>#DIV/0!</v>
      </c>
    </row>
    <row r="189" spans="3:8" ht="18.600000000000001" customHeight="1" x14ac:dyDescent="0.3">
      <c r="C189" s="11" t="s">
        <v>87</v>
      </c>
      <c r="D189" s="65"/>
      <c r="E189" s="80">
        <f>E10</f>
        <v>176</v>
      </c>
      <c r="F189" s="123"/>
      <c r="G189" s="50"/>
      <c r="H189" s="81">
        <f>G10</f>
        <v>176</v>
      </c>
    </row>
    <row r="190" spans="3:8" ht="18.600000000000001" customHeight="1" x14ac:dyDescent="0.3">
      <c r="C190" s="11" t="s">
        <v>173</v>
      </c>
      <c r="D190" s="65"/>
      <c r="E190" s="82" t="e">
        <f>E188/E189</f>
        <v>#DIV/0!</v>
      </c>
      <c r="F190" s="123"/>
      <c r="G190" s="50"/>
      <c r="H190" s="83" t="e">
        <f>H188/H189</f>
        <v>#DIV/0!</v>
      </c>
    </row>
    <row r="191" spans="3:8" ht="18.600000000000001" customHeight="1" x14ac:dyDescent="0.3">
      <c r="C191" s="11" t="s">
        <v>64</v>
      </c>
      <c r="D191" s="84"/>
      <c r="E191" s="64"/>
      <c r="F191" s="123"/>
      <c r="G191" s="64"/>
      <c r="H191" s="85"/>
    </row>
    <row r="192" spans="3:8" ht="18.600000000000001" customHeight="1" x14ac:dyDescent="0.3">
      <c r="C192" s="11" t="s">
        <v>55</v>
      </c>
      <c r="D192" s="65"/>
      <c r="E192" s="68" t="e">
        <f>ROUND(+E181/E185,0)</f>
        <v>#DIV/0!</v>
      </c>
      <c r="F192" s="123"/>
      <c r="G192" s="50"/>
      <c r="H192" s="67" t="e">
        <f>ROUND(+H181/H185,0)</f>
        <v>#DIV/0!</v>
      </c>
    </row>
    <row r="193" spans="3:8" ht="18.600000000000001" customHeight="1" x14ac:dyDescent="0.3">
      <c r="C193" s="11" t="s">
        <v>176</v>
      </c>
      <c r="D193" s="84"/>
      <c r="E193" s="64"/>
      <c r="F193" s="123"/>
      <c r="G193" s="64"/>
      <c r="H193" s="85"/>
    </row>
    <row r="194" spans="3:8" ht="18.600000000000001" customHeight="1" x14ac:dyDescent="0.3">
      <c r="C194" s="11" t="s">
        <v>55</v>
      </c>
      <c r="D194" s="65"/>
      <c r="E194" s="68" t="e">
        <f>E192-E183-E188</f>
        <v>#DIV/0!</v>
      </c>
      <c r="F194" s="123"/>
      <c r="G194" s="50"/>
      <c r="H194" s="67" t="e">
        <f>H192-H183-H188</f>
        <v>#DIV/0!</v>
      </c>
    </row>
    <row r="195" spans="3:8" ht="18.600000000000001" customHeight="1" x14ac:dyDescent="0.3">
      <c r="C195" s="11" t="s">
        <v>71</v>
      </c>
      <c r="D195" s="86"/>
      <c r="E195" s="63"/>
      <c r="F195" s="28"/>
      <c r="G195" s="63"/>
      <c r="H195" s="87"/>
    </row>
    <row r="196" spans="3:8" ht="18.600000000000001" customHeight="1" thickBot="1" x14ac:dyDescent="0.35">
      <c r="C196" s="137" t="s">
        <v>56</v>
      </c>
      <c r="D196" s="88"/>
      <c r="E196" s="89" t="e">
        <f>E194/E189</f>
        <v>#DIV/0!</v>
      </c>
      <c r="F196" s="36"/>
      <c r="G196" s="90"/>
      <c r="H196" s="91" t="e">
        <f>H194/H189</f>
        <v>#DIV/0!</v>
      </c>
    </row>
  </sheetData>
  <sheetProtection password="BC0A" sheet="1" objects="1" scenarios="1" selectLockedCells="1"/>
  <mergeCells count="9">
    <mergeCell ref="C1:G1"/>
    <mergeCell ref="B64:B65"/>
    <mergeCell ref="B26:B27"/>
    <mergeCell ref="G12:H12"/>
    <mergeCell ref="D3:H3"/>
    <mergeCell ref="D4:H4"/>
    <mergeCell ref="D6:E6"/>
    <mergeCell ref="G6:H6"/>
    <mergeCell ref="G10:H10"/>
  </mergeCells>
  <printOptions horizontalCentered="1"/>
  <pageMargins left="0.22" right="0.22" top="0.5" bottom="0.22" header="0" footer="0"/>
  <pageSetup scale="75" fitToHeight="5" orientation="portrait" r:id="rId1"/>
  <headerFooter alignWithMargins="0"/>
  <rowBreaks count="4" manualBreakCount="4">
    <brk id="23" min="1" max="7" man="1"/>
    <brk id="63" min="1" max="7" man="1"/>
    <brk id="111" min="1" max="7" man="1"/>
    <brk id="167" min="1" max="7" man="1"/>
  </rowBreaks>
  <ignoredErrors>
    <ignoredError sqref="F15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FILL OUT FORM A - PRINT &amp; SIGN</vt:lpstr>
      <vt:lpstr>FILL OUT WORKSHEET - PRINT</vt:lpstr>
      <vt:lpstr>'FILL OUT FORM A - PRINT &amp; SIGN'!Print_Area</vt:lpstr>
      <vt:lpstr>'FILL OUT WORKSHEET - PRINT'!Print_Area</vt:lpstr>
      <vt:lpstr>'FILL OUT FORM A - PRINT &amp; SIGN'!Print_Area_MI</vt:lpstr>
      <vt:lpstr>'FILL OUT WORKSHEET - PRINT'!Print_Area_MI</vt:lpstr>
      <vt:lpstr>'FILL OUT WORKSHEET - PRINT'!Print_Titles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 Paulmeno</dc:creator>
  <cp:lastModifiedBy>Macek, Elizabeth</cp:lastModifiedBy>
  <cp:lastPrinted>2014-08-08T17:54:02Z</cp:lastPrinted>
  <dcterms:created xsi:type="dcterms:W3CDTF">2001-06-19T21:18:14Z</dcterms:created>
  <dcterms:modified xsi:type="dcterms:W3CDTF">2014-08-08T17:58:46Z</dcterms:modified>
</cp:coreProperties>
</file>