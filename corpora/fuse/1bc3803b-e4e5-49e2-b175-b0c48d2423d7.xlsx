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4355" windowHeight="11055"/>
  </bookViews>
  <sheets>
    <sheet name="Awards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174" i="1" l="1"/>
  <c r="B78" i="1"/>
  <c r="D78" i="1"/>
  <c r="F78" i="1"/>
  <c r="H78" i="1"/>
  <c r="L78" i="1"/>
  <c r="O7" i="1"/>
  <c r="L174" i="1"/>
  <c r="O6" i="1"/>
  <c r="N6" i="1"/>
  <c r="O4" i="1"/>
  <c r="N4" i="1"/>
  <c r="O3" i="1"/>
  <c r="N3" i="1"/>
  <c r="I5" i="1"/>
  <c r="K5" i="1"/>
  <c r="D174" i="1" l="1"/>
  <c r="F174" i="1"/>
  <c r="H174" i="1"/>
  <c r="B174" i="1"/>
  <c r="M5" i="1"/>
  <c r="O5" i="1" s="1"/>
  <c r="D7" i="1" l="1"/>
  <c r="F7" i="1"/>
  <c r="H7" i="1"/>
  <c r="J7" i="1"/>
  <c r="N7" i="1" s="1"/>
  <c r="B3" i="1"/>
  <c r="B7" i="1" s="1"/>
  <c r="B113" i="1"/>
  <c r="D113" i="1"/>
  <c r="F113" i="1"/>
  <c r="H113" i="1"/>
</calcChain>
</file>

<file path=xl/sharedStrings.xml><?xml version="1.0" encoding="utf-8"?>
<sst xmlns="http://schemas.openxmlformats.org/spreadsheetml/2006/main" count="278" uniqueCount="184">
  <si>
    <t>AY07-08</t>
  </si>
  <si>
    <t>AY08-09</t>
  </si>
  <si>
    <t>AY09-10</t>
  </si>
  <si>
    <t>AY10-11</t>
  </si>
  <si>
    <t>AY11-12</t>
  </si>
  <si>
    <t>Awards</t>
  </si>
  <si>
    <t>Students*</t>
  </si>
  <si>
    <t xml:space="preserve"> *unduplicated students</t>
  </si>
  <si>
    <t>Specific  Award:</t>
  </si>
  <si>
    <t>AA.ANTH.OPTB</t>
  </si>
  <si>
    <t>AA.ANTH.OPTC</t>
  </si>
  <si>
    <t>AA.ART</t>
  </si>
  <si>
    <t>AA.ART.VISCOM.OPTB</t>
  </si>
  <si>
    <t>AA.ART.VISCOM.OPTC</t>
  </si>
  <si>
    <t>AA.COMM.OPTB</t>
  </si>
  <si>
    <t>AA.DAN</t>
  </si>
  <si>
    <t>AA.ENGL.OPTB</t>
  </si>
  <si>
    <t>AA.ENGL.OPTC</t>
  </si>
  <si>
    <t>AA.HUM</t>
  </si>
  <si>
    <t>AA.LA.ARTHUM.OPTB</t>
  </si>
  <si>
    <t>AA.LA.ARTHUM.OPTC</t>
  </si>
  <si>
    <t>AA.LA.BUSTECH.OPTB</t>
  </si>
  <si>
    <t>AA.LA.BUSTECH.OPTC</t>
  </si>
  <si>
    <t>AA.LA.CSU</t>
  </si>
  <si>
    <t>AA.LA.IGETC</t>
  </si>
  <si>
    <t>AA.LA.IGETC.UC</t>
  </si>
  <si>
    <t>AA.LA.MASC.OPTB</t>
  </si>
  <si>
    <t>AA.LA.MASC.OPTC</t>
  </si>
  <si>
    <t>AA.LA.SOCB.OPTB</t>
  </si>
  <si>
    <t>AA.LA.SOCB.OPTC</t>
  </si>
  <si>
    <t>AA.MUS</t>
  </si>
  <si>
    <t>AA.MUS.ADV.AT</t>
  </si>
  <si>
    <t>AA.MUS.AT</t>
  </si>
  <si>
    <t>AA.MUS.THEA</t>
  </si>
  <si>
    <t>AA.PE</t>
  </si>
  <si>
    <t>AA.SOCB</t>
  </si>
  <si>
    <t>AA.THA</t>
  </si>
  <si>
    <t>AS.ADS</t>
  </si>
  <si>
    <t>AS.AJ</t>
  </si>
  <si>
    <t>AS.AUME</t>
  </si>
  <si>
    <t>AS.BADM</t>
  </si>
  <si>
    <t>AS.BUS.OADM</t>
  </si>
  <si>
    <t>AS.CDE</t>
  </si>
  <si>
    <t>AS.CIS</t>
  </si>
  <si>
    <t>AS.CIS.GENERAL</t>
  </si>
  <si>
    <t>AS.CIS.IA.98</t>
  </si>
  <si>
    <t>AS.CIS.INTERNET</t>
  </si>
  <si>
    <t>AS.CIS.NETWORK</t>
  </si>
  <si>
    <t>AS.CIS.PROGRAM</t>
  </si>
  <si>
    <t>AS.DMS</t>
  </si>
  <si>
    <t>AS.ENGR</t>
  </si>
  <si>
    <t>AS.ENVS.OPTB</t>
  </si>
  <si>
    <t>AS.FIRE</t>
  </si>
  <si>
    <t>AS.GC.TMGMT</t>
  </si>
  <si>
    <t>AS.GER</t>
  </si>
  <si>
    <t>AS.GIS</t>
  </si>
  <si>
    <t>AS.LEG</t>
  </si>
  <si>
    <t>AS.MASC</t>
  </si>
  <si>
    <t>AS.MATH</t>
  </si>
  <si>
    <t>AS.MGT</t>
  </si>
  <si>
    <t>AS.MUL</t>
  </si>
  <si>
    <t>AS.NURS.LVN2RN</t>
  </si>
  <si>
    <t>AS.NURS.MEDA</t>
  </si>
  <si>
    <t>AS.NURS.RN</t>
  </si>
  <si>
    <t>AS.PHOT</t>
  </si>
  <si>
    <t>AS.RE</t>
  </si>
  <si>
    <t>AS.SCI</t>
  </si>
  <si>
    <t>AS.TMGMT</t>
  </si>
  <si>
    <t>AS.TTHE</t>
  </si>
  <si>
    <t>AS.WT</t>
  </si>
  <si>
    <t>Total AA/AS Degrees</t>
  </si>
  <si>
    <t>CT.ADS</t>
  </si>
  <si>
    <t>CT.AJ</t>
  </si>
  <si>
    <t>CT.AUME</t>
  </si>
  <si>
    <t>CT.BADM</t>
  </si>
  <si>
    <t>CT.BUS.CLER</t>
  </si>
  <si>
    <t>CT.BUS.MAS.TP</t>
  </si>
  <si>
    <t>CT.BUS.MCA</t>
  </si>
  <si>
    <t>CT.BUS.OADM</t>
  </si>
  <si>
    <t>CT.BUS.SBO</t>
  </si>
  <si>
    <t>CT.CDE</t>
  </si>
  <si>
    <t>CT.CIS.GEN.98</t>
  </si>
  <si>
    <t>CT.CIS.IA.98</t>
  </si>
  <si>
    <t>CT.CIS.NET.98</t>
  </si>
  <si>
    <t>CT.CIS.PROG.98</t>
  </si>
  <si>
    <t>CT.DMS</t>
  </si>
  <si>
    <t>CT.ENGR</t>
  </si>
  <si>
    <t>CT.FIRE</t>
  </si>
  <si>
    <t>CT.GIS</t>
  </si>
  <si>
    <t>CT.GOLF.TURF.IRRIGATION</t>
  </si>
  <si>
    <t>CT.LEG</t>
  </si>
  <si>
    <t>CT.MGT</t>
  </si>
  <si>
    <t>CT.MUL</t>
  </si>
  <si>
    <t>CT.MUS.ADV.AT</t>
  </si>
  <si>
    <t>CT.MUS.AT</t>
  </si>
  <si>
    <t>CT.MUS.THEAT</t>
  </si>
  <si>
    <t>CT.NURS.LVNF</t>
  </si>
  <si>
    <t>CT.NURS.LVNP</t>
  </si>
  <si>
    <t>CT.NURS.MEDA</t>
  </si>
  <si>
    <t>CT.PHOT</t>
  </si>
  <si>
    <t>CT.RE</t>
  </si>
  <si>
    <t>CT.TMGMT</t>
  </si>
  <si>
    <t>CT.TTHE</t>
  </si>
  <si>
    <t>CT.WT</t>
  </si>
  <si>
    <t>Total Certificates</t>
  </si>
  <si>
    <t>ECC.ADS.DD</t>
  </si>
  <si>
    <t>ECC.AGTM.AS</t>
  </si>
  <si>
    <t>ECC.AJ.CORR</t>
  </si>
  <si>
    <t>ECC.ART.GD</t>
  </si>
  <si>
    <t>ECC.AUME.AET</t>
  </si>
  <si>
    <t>ECC.AUME.ENG.PERF</t>
  </si>
  <si>
    <t>ECC.AUME.HFT</t>
  </si>
  <si>
    <t>ECC.BUS.AA</t>
  </si>
  <si>
    <t>ECC.BUS.ACCT.TAX</t>
  </si>
  <si>
    <t>ECC.BUS.MC</t>
  </si>
  <si>
    <t>ECC.BUS.OC</t>
  </si>
  <si>
    <t>ECC.BUS.OT</t>
  </si>
  <si>
    <t>ECC.BUS.PD</t>
  </si>
  <si>
    <t>ECC.BUS.PM</t>
  </si>
  <si>
    <t>ECC.CDE.ADMIN</t>
  </si>
  <si>
    <t>ECC.CDE.ASSISTT</t>
  </si>
  <si>
    <t>ECC.CDE.ASSOCT</t>
  </si>
  <si>
    <t>ECC.CDE.C</t>
  </si>
  <si>
    <t>ECC.CDE.DC</t>
  </si>
  <si>
    <t>ECC.CDE.ECSE</t>
  </si>
  <si>
    <t>ECC.CDE.FA</t>
  </si>
  <si>
    <t>ECC.CDE.HL</t>
  </si>
  <si>
    <t>ECC.CDE.IT</t>
  </si>
  <si>
    <t>ECC.CDE.LAL</t>
  </si>
  <si>
    <t>ECC.CDE.N</t>
  </si>
  <si>
    <t>ECC.CDE.SAA</t>
  </si>
  <si>
    <t>ECC.CIS.A+</t>
  </si>
  <si>
    <t>ECC.CIS.C++P</t>
  </si>
  <si>
    <t>ECC.CIS.DAAM</t>
  </si>
  <si>
    <t>ECC.CIS.DO</t>
  </si>
  <si>
    <t>ECC.CIS.DPRGER</t>
  </si>
  <si>
    <t>ECC.CIS.DPROGING</t>
  </si>
  <si>
    <t>ECC.CIS.I+</t>
  </si>
  <si>
    <t>ECC.CIS.IA</t>
  </si>
  <si>
    <t>ECC.CIS.JP</t>
  </si>
  <si>
    <t>ECC.CIS.LANWAN.CCNA</t>
  </si>
  <si>
    <t>ECC.CIS.LSA</t>
  </si>
  <si>
    <t>ECC.CIS.MCSA</t>
  </si>
  <si>
    <t>ECC.CIS.MOAD</t>
  </si>
  <si>
    <t>ECC.CIS.N+</t>
  </si>
  <si>
    <t>ECC.CIS.PSP</t>
  </si>
  <si>
    <t>ECC.CIS.SCNP</t>
  </si>
  <si>
    <t>ECC.CIS.SP</t>
  </si>
  <si>
    <t>ECC.ENGR.S</t>
  </si>
  <si>
    <t>ECC.FIRE.FAOP</t>
  </si>
  <si>
    <t>ECC.FIRE.FAP</t>
  </si>
  <si>
    <t>ECC.GIS.E</t>
  </si>
  <si>
    <t>ECC.GIS.VBP</t>
  </si>
  <si>
    <t>ECC.LEG.LOS</t>
  </si>
  <si>
    <t>ECC.MUL.A</t>
  </si>
  <si>
    <t>ECC.MUL.I</t>
  </si>
  <si>
    <t>ECC.MUL.PROD.MGT</t>
  </si>
  <si>
    <t>ECC.MUL.V</t>
  </si>
  <si>
    <t>ECC.MUL.WD</t>
  </si>
  <si>
    <t>ECC.PHOT.DIE</t>
  </si>
  <si>
    <t>ECC.PHOT.DIGVID</t>
  </si>
  <si>
    <t>ECC.PHOT.DIT</t>
  </si>
  <si>
    <t>ECC.PHOT.GRAPDES</t>
  </si>
  <si>
    <t>ECC.PHOT.WEBDI</t>
  </si>
  <si>
    <t>ECC.SOCI.HUMAN.SVCS</t>
  </si>
  <si>
    <t xml:space="preserve">AA/AS or Certificate </t>
  </si>
  <si>
    <t xml:space="preserve">AA/AS, Certificate or ECC  </t>
  </si>
  <si>
    <t>Employment Concentration Certificate</t>
  </si>
  <si>
    <t>Certificate</t>
  </si>
  <si>
    <t>Associate of Arts/Scienc Degree</t>
  </si>
  <si>
    <t>MSJC Awards</t>
  </si>
  <si>
    <t>AY12-13</t>
  </si>
  <si>
    <t>AA.COMM.OPTC</t>
  </si>
  <si>
    <t>AS.BADM.OPTBAST</t>
  </si>
  <si>
    <t>AS.BADM.OPTCAST</t>
  </si>
  <si>
    <t>AS.ENVS.OPTC</t>
  </si>
  <si>
    <t>AS.GEOG.GIS</t>
  </si>
  <si>
    <t>AS.MATH.OPTBAST</t>
  </si>
  <si>
    <t>AS.MATH.OPTCAST</t>
  </si>
  <si>
    <t/>
  </si>
  <si>
    <t>CT.GEOG.GIS</t>
  </si>
  <si>
    <t>% chg vs. prior</t>
  </si>
  <si>
    <t>Source: MIS Informer, R&amp;P Dept. 10.31.3</t>
  </si>
  <si>
    <t>Total 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</si>
</sst>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sz val="9"/>
      <color rgb="FF000000"/>
      <name val="Comic Sans MS"/>
      <family val="4"/>
    </font>
    <font>
      <sz val="8"/>
      <color theme="1"/>
      <name val="Comic Sans MS"/>
      <family val="4"/>
    </font>
    <font>
      <b/>
      <sz val="9"/>
      <color rgb="FF000000"/>
      <name val="Comic Sans MS"/>
      <family val="4"/>
    </font>
    <font>
      <sz val="11"/>
      <color indexed="8"/>
      <name val="Comic Sans MS"/>
      <family val="2"/>
    </font>
    <font>
      <sz val="11"/>
      <color indexed="8"/>
      <name val="Calibri"/>
      <family val="2"/>
    </font>
    <font>
      <b/>
      <sz val="9"/>
      <color indexed="10"/>
      <name val="Comic Sans MS"/>
      <family val="4"/>
    </font>
    <font>
      <sz val="9"/>
      <color indexed="8"/>
      <name val="Comic Sans MS"/>
      <family val="4"/>
    </font>
    <font>
      <b/>
      <sz val="9"/>
      <color indexed="8"/>
      <name val="Comic Sans MS"/>
      <family val="4"/>
    </font>
    <font>
      <b/>
      <sz val="10"/>
      <color indexed="8"/>
      <name val="Comic Sans MS"/>
      <family val="4"/>
    </font>
    <font>
      <b/>
      <sz val="10"/>
      <color indexed="10"/>
      <name val="Comic Sans MS"/>
      <family val="4"/>
    </font>
    <font>
      <sz val="10"/>
      <color indexed="8"/>
      <name val="Comic Sans MS"/>
      <family val="4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6" tint="0.39997558519241921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</borders>
  <cellStyleXfs count="87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0">
    <xf numFmtId="0" fontId="0" fillId="0" borderId="0" xfId="0"/>
    <xf numFmtId="0" fontId="28" fillId="0" borderId="11" xfId="0" applyNumberFormat="1" applyFont="1" applyFill="1" applyBorder="1" applyAlignment="1" applyProtection="1">
      <alignment horizontal="center"/>
    </xf>
    <xf numFmtId="0" fontId="25" fillId="0" borderId="17" xfId="0" applyNumberFormat="1" applyFont="1" applyFill="1" applyBorder="1" applyAlignment="1" applyProtection="1">
      <alignment horizontal="center" vertical="center"/>
    </xf>
    <xf numFmtId="0" fontId="26" fillId="35" borderId="24" xfId="0" applyNumberFormat="1" applyFont="1" applyFill="1" applyBorder="1" applyAlignment="1" applyProtection="1">
      <alignment horizontal="right"/>
    </xf>
    <xf numFmtId="3" fontId="25" fillId="34" borderId="20" xfId="0" applyNumberFormat="1" applyFont="1" applyFill="1" applyBorder="1" applyAlignment="1" applyProtection="1">
      <alignment horizontal="center" vertical="center"/>
    </xf>
    <xf numFmtId="0" fontId="25" fillId="0" borderId="16" xfId="0" applyNumberFormat="1" applyFont="1" applyFill="1" applyBorder="1" applyAlignment="1" applyProtection="1">
      <alignment horizontal="center" vertical="center"/>
    </xf>
    <xf numFmtId="3" fontId="25" fillId="35" borderId="29" xfId="0" applyNumberFormat="1" applyFont="1" applyFill="1" applyBorder="1" applyAlignment="1" applyProtection="1">
      <alignment horizontal="center" vertical="center"/>
    </xf>
    <xf numFmtId="3" fontId="25" fillId="34" borderId="19" xfId="0" applyNumberFormat="1" applyFont="1" applyFill="1" applyBorder="1" applyAlignment="1" applyProtection="1">
      <alignment horizontal="center" vertical="center"/>
    </xf>
    <xf numFmtId="0" fontId="23" fillId="0" borderId="15" xfId="0" applyNumberFormat="1" applyFont="1" applyFill="1" applyBorder="1" applyAlignment="1" applyProtection="1"/>
    <xf numFmtId="3" fontId="25" fillId="35" borderId="28" xfId="0" applyNumberFormat="1" applyFont="1" applyFill="1" applyBorder="1" applyAlignment="1" applyProtection="1">
      <alignment horizontal="center" vertical="center"/>
    </xf>
    <xf numFmtId="0" fontId="26" fillId="34" borderId="18" xfId="0" applyNumberFormat="1" applyFont="1" applyFill="1" applyBorder="1" applyAlignment="1" applyProtection="1">
      <alignment horizontal="right"/>
    </xf>
    <xf numFmtId="3" fontId="25" fillId="35" borderId="27" xfId="0" applyNumberFormat="1" applyFont="1" applyFill="1" applyBorder="1" applyAlignment="1" applyProtection="1">
      <alignment horizontal="center" vertical="center"/>
    </xf>
    <xf numFmtId="3" fontId="25" fillId="34" borderId="23" xfId="0" applyNumberFormat="1" applyFont="1" applyFill="1" applyBorder="1" applyAlignment="1" applyProtection="1">
      <alignment horizontal="center" vertical="center"/>
    </xf>
    <xf numFmtId="0" fontId="25" fillId="0" borderId="17" xfId="0" applyNumberFormat="1" applyFont="1" applyFill="1" applyBorder="1" applyAlignment="1" applyProtection="1">
      <alignment horizontal="center"/>
    </xf>
    <xf numFmtId="3" fontId="25" fillId="35" borderId="26" xfId="0" applyNumberFormat="1" applyFont="1" applyFill="1" applyBorder="1" applyAlignment="1" applyProtection="1">
      <alignment horizontal="center" vertical="center"/>
    </xf>
    <xf numFmtId="3" fontId="25" fillId="34" borderId="22" xfId="0" applyNumberFormat="1" applyFont="1" applyFill="1" applyBorder="1" applyAlignment="1" applyProtection="1">
      <alignment horizontal="center" vertical="center"/>
    </xf>
    <xf numFmtId="0" fontId="25" fillId="0" borderId="14" xfId="0" applyNumberFormat="1" applyFont="1" applyFill="1" applyBorder="1" applyAlignment="1" applyProtection="1">
      <alignment horizontal="center" vertical="center"/>
    </xf>
    <xf numFmtId="3" fontId="25" fillId="35" borderId="25" xfId="0" applyNumberFormat="1" applyFont="1" applyFill="1" applyBorder="1" applyAlignment="1" applyProtection="1">
      <alignment horizontal="center" vertical="center"/>
    </xf>
    <xf numFmtId="3" fontId="25" fillId="34" borderId="21" xfId="0" applyNumberFormat="1" applyFont="1" applyFill="1" applyBorder="1" applyAlignment="1" applyProtection="1">
      <alignment horizontal="center" vertical="center"/>
    </xf>
    <xf numFmtId="0" fontId="25" fillId="0" borderId="13" xfId="0" applyNumberFormat="1" applyFont="1" applyFill="1" applyBorder="1" applyAlignment="1" applyProtection="1">
      <alignment horizontal="center" vertical="center"/>
    </xf>
    <xf numFmtId="3" fontId="25" fillId="0" borderId="25" xfId="0" applyNumberFormat="1" applyFont="1" applyFill="1" applyBorder="1" applyAlignment="1" applyProtection="1">
      <alignment horizontal="center" vertical="center"/>
    </xf>
    <xf numFmtId="3" fontId="25" fillId="0" borderId="26" xfId="0" applyNumberFormat="1" applyFont="1" applyFill="1" applyBorder="1" applyAlignment="1" applyProtection="1">
      <alignment horizontal="center" vertical="center"/>
    </xf>
    <xf numFmtId="3" fontId="25" fillId="0" borderId="27" xfId="0" applyNumberFormat="1" applyFont="1" applyFill="1" applyBorder="1" applyAlignment="1" applyProtection="1">
      <alignment horizontal="center" vertical="center"/>
    </xf>
    <xf numFmtId="3" fontId="25" fillId="0" borderId="28" xfId="0" applyNumberFormat="1" applyFont="1" applyFill="1" applyBorder="1" applyAlignment="1" applyProtection="1">
      <alignment horizontal="center" vertical="center"/>
    </xf>
    <xf numFmtId="3" fontId="25" fillId="0" borderId="29" xfId="0" applyNumberFormat="1" applyFont="1" applyFill="1" applyBorder="1" applyAlignment="1" applyProtection="1">
      <alignment horizontal="center" vertical="center"/>
    </xf>
    <xf numFmtId="0" fontId="26" fillId="36" borderId="30" xfId="0" applyNumberFormat="1" applyFont="1" applyFill="1" applyBorder="1" applyAlignment="1" applyProtection="1">
      <alignment horizontal="right"/>
    </xf>
    <xf numFmtId="3" fontId="25" fillId="36" borderId="31" xfId="0" applyNumberFormat="1" applyFont="1" applyFill="1" applyBorder="1" applyAlignment="1" applyProtection="1">
      <alignment horizontal="center" vertical="center"/>
    </xf>
    <xf numFmtId="3" fontId="25" fillId="36" borderId="32" xfId="0" applyNumberFormat="1" applyFont="1" applyFill="1" applyBorder="1" applyAlignment="1" applyProtection="1">
      <alignment horizontal="center" vertical="center"/>
    </xf>
    <xf numFmtId="3" fontId="25" fillId="36" borderId="33" xfId="0" applyNumberFormat="1" applyFont="1" applyFill="1" applyBorder="1" applyAlignment="1" applyProtection="1">
      <alignment horizontal="center" vertical="center"/>
    </xf>
    <xf numFmtId="3" fontId="25" fillId="36" borderId="34" xfId="0" applyNumberFormat="1" applyFont="1" applyFill="1" applyBorder="1" applyAlignment="1" applyProtection="1">
      <alignment horizontal="center" vertical="center"/>
    </xf>
    <xf numFmtId="3" fontId="25" fillId="36" borderId="35" xfId="0" applyNumberFormat="1" applyFont="1" applyFill="1" applyBorder="1" applyAlignment="1" applyProtection="1">
      <alignment horizontal="center" vertical="center"/>
    </xf>
    <xf numFmtId="3" fontId="26" fillId="0" borderId="25" xfId="0" applyNumberFormat="1" applyFont="1" applyFill="1" applyBorder="1" applyAlignment="1" applyProtection="1">
      <alignment horizontal="center" vertical="center"/>
    </xf>
    <xf numFmtId="3" fontId="26" fillId="0" borderId="26" xfId="0" applyNumberFormat="1" applyFont="1" applyFill="1" applyBorder="1" applyAlignment="1" applyProtection="1">
      <alignment horizontal="center" vertical="center"/>
    </xf>
    <xf numFmtId="3" fontId="26" fillId="0" borderId="27" xfId="0" applyNumberFormat="1" applyFont="1" applyFill="1" applyBorder="1" applyAlignment="1" applyProtection="1">
      <alignment horizontal="center" vertical="center"/>
    </xf>
    <xf numFmtId="3" fontId="26" fillId="0" borderId="36" xfId="0" applyNumberFormat="1" applyFont="1" applyFill="1" applyBorder="1" applyAlignment="1" applyProtection="1">
      <alignment horizontal="center" vertical="center"/>
    </xf>
    <xf numFmtId="0" fontId="25" fillId="0" borderId="12" xfId="0" applyNumberFormat="1" applyFont="1" applyFill="1" applyBorder="1" applyAlignment="1" applyProtection="1"/>
    <xf numFmtId="0" fontId="23" fillId="0" borderId="37" xfId="0" applyNumberFormat="1" applyFont="1" applyFill="1" applyBorder="1" applyAlignment="1" applyProtection="1">
      <alignment horizontal="center" vertical="center"/>
    </xf>
    <xf numFmtId="0" fontId="22" fillId="0" borderId="37" xfId="0" applyNumberFormat="1" applyFont="1" applyFill="1" applyBorder="1" applyAlignment="1" applyProtection="1">
      <alignment horizontal="center" vertical="center"/>
    </xf>
    <xf numFmtId="0" fontId="22" fillId="0" borderId="13" xfId="0" applyNumberFormat="1" applyFont="1" applyFill="1" applyBorder="1" applyAlignment="1" applyProtection="1"/>
    <xf numFmtId="3" fontId="25" fillId="0" borderId="0" xfId="0" applyNumberFormat="1" applyFont="1" applyFill="1" applyBorder="1" applyAlignment="1" applyProtection="1">
      <alignment horizontal="center" vertical="center"/>
    </xf>
    <xf numFmtId="3" fontId="25" fillId="0" borderId="0" xfId="0" applyNumberFormat="1" applyFont="1" applyFill="1" applyBorder="1" applyAlignment="1" applyProtection="1"/>
    <xf numFmtId="0" fontId="20" fillId="33" borderId="0" xfId="5" applyFont="1" applyFill="1" applyBorder="1" applyAlignment="1">
      <alignment horizontal="left"/>
    </xf>
    <xf numFmtId="0" fontId="19" fillId="0" borderId="10" xfId="4" applyFont="1" applyFill="1" applyBorder="1" applyAlignment="1">
      <alignment horizontal="right"/>
    </xf>
    <xf numFmtId="0" fontId="21" fillId="0" borderId="10" xfId="4" applyFont="1" applyFill="1" applyBorder="1" applyAlignment="1">
      <alignment horizontal="right"/>
    </xf>
    <xf numFmtId="164" fontId="25" fillId="34" borderId="19" xfId="46" applyNumberFormat="1" applyFont="1" applyFill="1" applyBorder="1" applyAlignment="1" applyProtection="1">
      <alignment horizontal="center" vertical="center"/>
    </xf>
    <xf numFmtId="164" fontId="25" fillId="35" borderId="25" xfId="46" applyNumberFormat="1" applyFont="1" applyFill="1" applyBorder="1" applyAlignment="1" applyProtection="1">
      <alignment horizontal="center" vertical="center"/>
    </xf>
    <xf numFmtId="164" fontId="25" fillId="35" borderId="26" xfId="46" applyNumberFormat="1" applyFont="1" applyFill="1" applyBorder="1" applyAlignment="1" applyProtection="1">
      <alignment horizontal="center"/>
    </xf>
    <xf numFmtId="164" fontId="25" fillId="0" borderId="25" xfId="46" applyNumberFormat="1" applyFont="1" applyFill="1" applyBorder="1" applyAlignment="1" applyProtection="1">
      <alignment horizontal="center" vertical="center"/>
    </xf>
    <xf numFmtId="164" fontId="25" fillId="0" borderId="26" xfId="46" applyNumberFormat="1" applyFont="1" applyFill="1" applyBorder="1" applyAlignment="1" applyProtection="1">
      <alignment horizontal="center"/>
    </xf>
    <xf numFmtId="164" fontId="25" fillId="36" borderId="31" xfId="46" applyNumberFormat="1" applyFont="1" applyFill="1" applyBorder="1" applyAlignment="1" applyProtection="1">
      <alignment horizontal="center" vertical="center"/>
    </xf>
    <xf numFmtId="164" fontId="25" fillId="36" borderId="32" xfId="46" applyNumberFormat="1" applyFont="1" applyFill="1" applyBorder="1" applyAlignment="1" applyProtection="1">
      <alignment horizontal="center"/>
    </xf>
    <xf numFmtId="164" fontId="26" fillId="0" borderId="25" xfId="46" applyNumberFormat="1" applyFont="1" applyFill="1" applyBorder="1" applyAlignment="1" applyProtection="1">
      <alignment horizontal="center" vertical="center"/>
    </xf>
    <xf numFmtId="164" fontId="26" fillId="0" borderId="26" xfId="46" applyNumberFormat="1" applyFont="1" applyFill="1" applyBorder="1" applyAlignment="1" applyProtection="1">
      <alignment horizontal="center"/>
    </xf>
    <xf numFmtId="0" fontId="28" fillId="0" borderId="38" xfId="0" applyNumberFormat="1" applyFont="1" applyFill="1" applyBorder="1" applyAlignment="1" applyProtection="1">
      <alignment horizontal="center" vertical="center"/>
    </xf>
    <xf numFmtId="3" fontId="25" fillId="0" borderId="38" xfId="0" applyNumberFormat="1" applyFont="1" applyFill="1" applyBorder="1" applyAlignment="1" applyProtection="1">
      <alignment horizontal="center" vertical="center"/>
    </xf>
    <xf numFmtId="0" fontId="0" fillId="0" borderId="0" xfId="0"/>
    <xf numFmtId="9" fontId="25" fillId="35" borderId="25" xfId="0" applyNumberFormat="1" applyFont="1" applyFill="1" applyBorder="1" applyAlignment="1" applyProtection="1">
      <alignment horizontal="center" vertical="center"/>
    </xf>
    <xf numFmtId="0" fontId="25" fillId="0" borderId="16" xfId="0" applyNumberFormat="1" applyFont="1" applyFill="1" applyBorder="1" applyAlignment="1" applyProtection="1">
      <alignment horizontal="center" vertical="center"/>
    </xf>
    <xf numFmtId="9" fontId="25" fillId="34" borderId="20" xfId="0" applyNumberFormat="1" applyFont="1" applyFill="1" applyBorder="1" applyAlignment="1" applyProtection="1">
      <alignment horizontal="center"/>
    </xf>
    <xf numFmtId="9" fontId="25" fillId="34" borderId="19" xfId="0" applyNumberFormat="1" applyFont="1" applyFill="1" applyBorder="1" applyAlignment="1" applyProtection="1">
      <alignment horizontal="center" vertical="center"/>
    </xf>
    <xf numFmtId="0" fontId="25" fillId="0" borderId="17" xfId="0" applyNumberFormat="1" applyFont="1" applyFill="1" applyBorder="1" applyAlignment="1" applyProtection="1">
      <alignment horizontal="center"/>
    </xf>
    <xf numFmtId="9" fontId="25" fillId="35" borderId="26" xfId="0" applyNumberFormat="1" applyFont="1" applyFill="1" applyBorder="1" applyAlignment="1" applyProtection="1">
      <alignment horizontal="center"/>
    </xf>
    <xf numFmtId="9" fontId="25" fillId="0" borderId="25" xfId="0" applyNumberFormat="1" applyFont="1" applyFill="1" applyBorder="1" applyAlignment="1" applyProtection="1">
      <alignment horizontal="center" vertical="center"/>
    </xf>
    <xf numFmtId="9" fontId="25" fillId="0" borderId="26" xfId="0" applyNumberFormat="1" applyFont="1" applyFill="1" applyBorder="1" applyAlignment="1" applyProtection="1">
      <alignment horizontal="center"/>
    </xf>
    <xf numFmtId="9" fontId="25" fillId="36" borderId="31" xfId="0" applyNumberFormat="1" applyFont="1" applyFill="1" applyBorder="1" applyAlignment="1" applyProtection="1">
      <alignment horizontal="center" vertical="center"/>
    </xf>
    <xf numFmtId="9" fontId="25" fillId="36" borderId="32" xfId="0" applyNumberFormat="1" applyFont="1" applyFill="1" applyBorder="1" applyAlignment="1" applyProtection="1">
      <alignment horizontal="center"/>
    </xf>
    <xf numFmtId="9" fontId="26" fillId="0" borderId="25" xfId="0" applyNumberFormat="1" applyFont="1" applyFill="1" applyBorder="1" applyAlignment="1" applyProtection="1">
      <alignment horizontal="center" vertical="center"/>
    </xf>
    <xf numFmtId="9" fontId="26" fillId="0" borderId="26" xfId="0" applyNumberFormat="1" applyFont="1" applyFill="1" applyBorder="1" applyAlignment="1" applyProtection="1">
      <alignment horizontal="center"/>
    </xf>
    <xf numFmtId="0" fontId="22" fillId="0" borderId="37" xfId="0" applyNumberFormat="1" applyFont="1" applyFill="1" applyBorder="1" applyAlignment="1" applyProtection="1">
      <alignment horizontal="center" vertical="center"/>
    </xf>
    <xf numFmtId="0" fontId="22" fillId="0" borderId="13" xfId="0" applyNumberFormat="1" applyFont="1" applyFill="1" applyBorder="1" applyAlignment="1" applyProtection="1"/>
    <xf numFmtId="3" fontId="25" fillId="37" borderId="42" xfId="0" applyNumberFormat="1" applyFont="1" applyFill="1" applyBorder="1" applyAlignment="1" applyProtection="1">
      <alignment horizontal="center" vertical="center"/>
    </xf>
    <xf numFmtId="3" fontId="25" fillId="37" borderId="43" xfId="0" applyNumberFormat="1" applyFont="1" applyFill="1" applyBorder="1" applyAlignment="1" applyProtection="1">
      <alignment horizontal="center" vertical="center"/>
    </xf>
    <xf numFmtId="3" fontId="26" fillId="38" borderId="44" xfId="0" applyNumberFormat="1" applyFont="1" applyFill="1" applyBorder="1" applyAlignment="1" applyProtection="1">
      <alignment horizontal="center" vertical="center"/>
    </xf>
    <xf numFmtId="3" fontId="25" fillId="35" borderId="45" xfId="0" applyNumberFormat="1" applyFont="1" applyFill="1" applyBorder="1" applyAlignment="1" applyProtection="1">
      <alignment horizontal="center" vertical="center"/>
    </xf>
    <xf numFmtId="3" fontId="25" fillId="35" borderId="42" xfId="0" applyNumberFormat="1" applyFont="1" applyFill="1" applyBorder="1" applyAlignment="1" applyProtection="1">
      <alignment horizontal="center" vertical="center"/>
    </xf>
    <xf numFmtId="3" fontId="25" fillId="35" borderId="43" xfId="0" applyNumberFormat="1" applyFont="1" applyFill="1" applyBorder="1" applyAlignment="1" applyProtection="1">
      <alignment horizontal="center" vertical="center"/>
    </xf>
    <xf numFmtId="3" fontId="26" fillId="39" borderId="44" xfId="0" applyNumberFormat="1" applyFont="1" applyFill="1" applyBorder="1" applyAlignment="1" applyProtection="1">
      <alignment horizontal="center" vertical="center"/>
    </xf>
    <xf numFmtId="3" fontId="25" fillId="36" borderId="45" xfId="0" applyNumberFormat="1" applyFont="1" applyFill="1" applyBorder="1" applyAlignment="1" applyProtection="1">
      <alignment horizontal="center" vertical="center"/>
    </xf>
    <xf numFmtId="3" fontId="25" fillId="36" borderId="42" xfId="0" applyNumberFormat="1" applyFont="1" applyFill="1" applyBorder="1" applyAlignment="1" applyProtection="1">
      <alignment horizontal="center" vertical="center"/>
    </xf>
    <xf numFmtId="3" fontId="25" fillId="36" borderId="43" xfId="0" applyNumberFormat="1" applyFont="1" applyFill="1" applyBorder="1" applyAlignment="1" applyProtection="1">
      <alignment horizontal="center" vertical="center"/>
    </xf>
    <xf numFmtId="3" fontId="25" fillId="37" borderId="47" xfId="0" applyNumberFormat="1" applyFont="1" applyFill="1" applyBorder="1" applyAlignment="1" applyProtection="1">
      <alignment horizontal="center" vertical="center"/>
    </xf>
    <xf numFmtId="3" fontId="25" fillId="37" borderId="48" xfId="0" applyNumberFormat="1" applyFont="1" applyFill="1" applyBorder="1" applyAlignment="1" applyProtection="1">
      <alignment horizontal="center" vertical="center"/>
    </xf>
    <xf numFmtId="3" fontId="25" fillId="37" borderId="49" xfId="0" applyNumberFormat="1" applyFont="1" applyFill="1" applyBorder="1" applyAlignment="1" applyProtection="1">
      <alignment horizontal="center" vertical="center"/>
    </xf>
    <xf numFmtId="3" fontId="25" fillId="37" borderId="50" xfId="0" applyNumberFormat="1" applyFont="1" applyFill="1" applyBorder="1" applyAlignment="1" applyProtection="1">
      <alignment horizontal="center" vertical="center"/>
    </xf>
    <xf numFmtId="3" fontId="25" fillId="37" borderId="51" xfId="0" applyNumberFormat="1" applyFont="1" applyFill="1" applyBorder="1" applyAlignment="1" applyProtection="1">
      <alignment horizontal="center" vertical="center"/>
    </xf>
    <xf numFmtId="3" fontId="25" fillId="37" borderId="52" xfId="0" applyNumberFormat="1" applyFont="1" applyFill="1" applyBorder="1" applyAlignment="1" applyProtection="1">
      <alignment horizontal="center" vertical="center"/>
    </xf>
    <xf numFmtId="3" fontId="26" fillId="38" borderId="28" xfId="0" applyNumberFormat="1" applyFont="1" applyFill="1" applyBorder="1" applyAlignment="1" applyProtection="1">
      <alignment horizontal="center" vertical="center"/>
    </xf>
    <xf numFmtId="3" fontId="26" fillId="38" borderId="29" xfId="0" applyNumberFormat="1" applyFont="1" applyFill="1" applyBorder="1" applyAlignment="1" applyProtection="1">
      <alignment horizontal="center" vertical="center"/>
    </xf>
    <xf numFmtId="3" fontId="25" fillId="35" borderId="53" xfId="0" applyNumberFormat="1" applyFont="1" applyFill="1" applyBorder="1" applyAlignment="1" applyProtection="1">
      <alignment horizontal="center" vertical="center"/>
    </xf>
    <xf numFmtId="3" fontId="25" fillId="35" borderId="54" xfId="0" applyNumberFormat="1" applyFont="1" applyFill="1" applyBorder="1" applyAlignment="1" applyProtection="1">
      <alignment horizontal="center" vertical="center"/>
    </xf>
    <xf numFmtId="3" fontId="25" fillId="35" borderId="49" xfId="0" applyNumberFormat="1" applyFont="1" applyFill="1" applyBorder="1" applyAlignment="1" applyProtection="1">
      <alignment horizontal="center" vertical="center"/>
    </xf>
    <xf numFmtId="3" fontId="25" fillId="35" borderId="50" xfId="0" applyNumberFormat="1" applyFont="1" applyFill="1" applyBorder="1" applyAlignment="1" applyProtection="1">
      <alignment horizontal="center" vertical="center"/>
    </xf>
    <xf numFmtId="3" fontId="25" fillId="35" borderId="51" xfId="0" applyNumberFormat="1" applyFont="1" applyFill="1" applyBorder="1" applyAlignment="1" applyProtection="1">
      <alignment horizontal="center" vertical="center"/>
    </xf>
    <xf numFmtId="3" fontId="25" fillId="35" borderId="52" xfId="0" applyNumberFormat="1" applyFont="1" applyFill="1" applyBorder="1" applyAlignment="1" applyProtection="1">
      <alignment horizontal="center" vertical="center"/>
    </xf>
    <xf numFmtId="3" fontId="26" fillId="39" borderId="28" xfId="0" applyNumberFormat="1" applyFont="1" applyFill="1" applyBorder="1" applyAlignment="1" applyProtection="1">
      <alignment horizontal="center" vertical="center"/>
    </xf>
    <xf numFmtId="3" fontId="26" fillId="39" borderId="29" xfId="0" applyNumberFormat="1" applyFont="1" applyFill="1" applyBorder="1" applyAlignment="1" applyProtection="1">
      <alignment horizontal="center" vertical="center"/>
    </xf>
    <xf numFmtId="3" fontId="25" fillId="36" borderId="53" xfId="0" applyNumberFormat="1" applyFont="1" applyFill="1" applyBorder="1" applyAlignment="1" applyProtection="1">
      <alignment horizontal="center" vertical="center"/>
    </xf>
    <xf numFmtId="3" fontId="25" fillId="36" borderId="54" xfId="0" applyNumberFormat="1" applyFont="1" applyFill="1" applyBorder="1" applyAlignment="1" applyProtection="1">
      <alignment horizontal="center" vertical="center"/>
    </xf>
    <xf numFmtId="3" fontId="25" fillId="36" borderId="49" xfId="0" applyNumberFormat="1" applyFont="1" applyFill="1" applyBorder="1" applyAlignment="1" applyProtection="1">
      <alignment horizontal="center" vertical="center"/>
    </xf>
    <xf numFmtId="3" fontId="25" fillId="36" borderId="50" xfId="0" applyNumberFormat="1" applyFont="1" applyFill="1" applyBorder="1" applyAlignment="1" applyProtection="1">
      <alignment horizontal="center" vertical="center"/>
    </xf>
    <xf numFmtId="3" fontId="25" fillId="36" borderId="51" xfId="0" applyNumberFormat="1" applyFont="1" applyFill="1" applyBorder="1" applyAlignment="1" applyProtection="1">
      <alignment horizontal="center" vertical="center"/>
    </xf>
    <xf numFmtId="3" fontId="25" fillId="36" borderId="52" xfId="0" applyNumberFormat="1" applyFont="1" applyFill="1" applyBorder="1" applyAlignment="1" applyProtection="1">
      <alignment horizontal="center" vertical="center"/>
    </xf>
    <xf numFmtId="3" fontId="25" fillId="37" borderId="39" xfId="0" applyNumberFormat="1" applyFont="1" applyFill="1" applyBorder="1" applyAlignment="1" applyProtection="1">
      <alignment horizontal="center" vertical="center"/>
    </xf>
    <xf numFmtId="3" fontId="25" fillId="37" borderId="40" xfId="0" applyNumberFormat="1" applyFont="1" applyFill="1" applyBorder="1" applyAlignment="1" applyProtection="1">
      <alignment horizontal="center" vertical="center"/>
    </xf>
    <xf numFmtId="3" fontId="26" fillId="38" borderId="36" xfId="0" applyNumberFormat="1" applyFont="1" applyFill="1" applyBorder="1" applyAlignment="1" applyProtection="1">
      <alignment horizontal="center" vertical="center"/>
    </xf>
    <xf numFmtId="3" fontId="25" fillId="35" borderId="41" xfId="0" applyNumberFormat="1" applyFont="1" applyFill="1" applyBorder="1" applyAlignment="1" applyProtection="1">
      <alignment horizontal="center" vertical="center"/>
    </xf>
    <xf numFmtId="3" fontId="25" fillId="35" borderId="39" xfId="0" applyNumberFormat="1" applyFont="1" applyFill="1" applyBorder="1" applyAlignment="1" applyProtection="1">
      <alignment horizontal="center" vertical="center"/>
    </xf>
    <xf numFmtId="3" fontId="25" fillId="35" borderId="40" xfId="0" applyNumberFormat="1" applyFont="1" applyFill="1" applyBorder="1" applyAlignment="1" applyProtection="1">
      <alignment horizontal="center" vertical="center"/>
    </xf>
    <xf numFmtId="3" fontId="26" fillId="39" borderId="36" xfId="0" applyNumberFormat="1" applyFont="1" applyFill="1" applyBorder="1" applyAlignment="1" applyProtection="1">
      <alignment horizontal="center" vertical="center"/>
    </xf>
    <xf numFmtId="3" fontId="25" fillId="36" borderId="41" xfId="0" applyNumberFormat="1" applyFont="1" applyFill="1" applyBorder="1" applyAlignment="1" applyProtection="1">
      <alignment horizontal="center" vertical="center"/>
    </xf>
    <xf numFmtId="3" fontId="25" fillId="36" borderId="39" xfId="0" applyNumberFormat="1" applyFont="1" applyFill="1" applyBorder="1" applyAlignment="1" applyProtection="1">
      <alignment horizontal="center" vertical="center"/>
    </xf>
    <xf numFmtId="3" fontId="25" fillId="36" borderId="40" xfId="0" applyNumberFormat="1" applyFont="1" applyFill="1" applyBorder="1" applyAlignment="1" applyProtection="1">
      <alignment horizontal="center" vertical="center"/>
    </xf>
    <xf numFmtId="3" fontId="25" fillId="38" borderId="29" xfId="0" applyNumberFormat="1" applyFont="1" applyFill="1" applyBorder="1" applyAlignment="1" applyProtection="1">
      <alignment horizontal="center" vertical="center"/>
    </xf>
    <xf numFmtId="3" fontId="25" fillId="37" borderId="55" xfId="0" applyNumberFormat="1" applyFont="1" applyFill="1" applyBorder="1" applyAlignment="1" applyProtection="1">
      <alignment horizontal="center" vertical="center"/>
    </xf>
    <xf numFmtId="0" fontId="27" fillId="37" borderId="56" xfId="0" applyNumberFormat="1" applyFont="1" applyFill="1" applyBorder="1" applyAlignment="1" applyProtection="1">
      <alignment horizontal="left"/>
    </xf>
    <xf numFmtId="0" fontId="27" fillId="37" borderId="57" xfId="0" applyNumberFormat="1" applyFont="1" applyFill="1" applyBorder="1" applyAlignment="1" applyProtection="1">
      <alignment horizontal="left"/>
    </xf>
    <xf numFmtId="0" fontId="27" fillId="37" borderId="46" xfId="0" applyNumberFormat="1" applyFont="1" applyFill="1" applyBorder="1" applyAlignment="1" applyProtection="1">
      <alignment horizontal="left"/>
    </xf>
    <xf numFmtId="0" fontId="27" fillId="38" borderId="24" xfId="0" applyNumberFormat="1" applyFont="1" applyFill="1" applyBorder="1" applyAlignment="1" applyProtection="1">
      <alignment horizontal="center" vertical="center"/>
    </xf>
    <xf numFmtId="0" fontId="27" fillId="35" borderId="58" xfId="0" applyNumberFormat="1" applyFont="1" applyFill="1" applyBorder="1" applyAlignment="1" applyProtection="1">
      <alignment horizontal="left"/>
    </xf>
    <xf numFmtId="0" fontId="27" fillId="35" borderId="57" xfId="0" applyNumberFormat="1" applyFont="1" applyFill="1" applyBorder="1" applyAlignment="1" applyProtection="1">
      <alignment horizontal="left"/>
    </xf>
    <xf numFmtId="0" fontId="27" fillId="35" borderId="46" xfId="0" applyNumberFormat="1" applyFont="1" applyFill="1" applyBorder="1" applyAlignment="1" applyProtection="1">
      <alignment horizontal="left"/>
    </xf>
    <xf numFmtId="0" fontId="27" fillId="39" borderId="24" xfId="0" applyNumberFormat="1" applyFont="1" applyFill="1" applyBorder="1" applyAlignment="1" applyProtection="1">
      <alignment horizontal="center" vertical="center"/>
    </xf>
    <xf numFmtId="0" fontId="27" fillId="36" borderId="58" xfId="0" applyNumberFormat="1" applyFont="1" applyFill="1" applyBorder="1" applyAlignment="1" applyProtection="1">
      <alignment horizontal="left"/>
    </xf>
    <xf numFmtId="0" fontId="27" fillId="36" borderId="57" xfId="0" applyNumberFormat="1" applyFont="1" applyFill="1" applyBorder="1" applyAlignment="1" applyProtection="1">
      <alignment horizontal="left"/>
    </xf>
    <xf numFmtId="0" fontId="27" fillId="36" borderId="46" xfId="0" applyNumberFormat="1" applyFont="1" applyFill="1" applyBorder="1" applyAlignment="1" applyProtection="1">
      <alignment horizontal="left"/>
    </xf>
    <xf numFmtId="3" fontId="25" fillId="37" borderId="53" xfId="0" applyNumberFormat="1" applyFont="1" applyFill="1" applyBorder="1" applyAlignment="1" applyProtection="1">
      <alignment horizontal="center" vertical="center"/>
    </xf>
    <xf numFmtId="3" fontId="25" fillId="37" borderId="54" xfId="0" applyNumberFormat="1" applyFont="1" applyFill="1" applyBorder="1" applyAlignment="1" applyProtection="1">
      <alignment horizontal="center" vertical="center"/>
    </xf>
    <xf numFmtId="3" fontId="25" fillId="37" borderId="59" xfId="0" applyNumberFormat="1" applyFont="1" applyFill="1" applyBorder="1" applyAlignment="1" applyProtection="1">
      <alignment horizontal="center" vertical="center"/>
    </xf>
    <xf numFmtId="3" fontId="25" fillId="40" borderId="62" xfId="0" applyNumberFormat="1" applyFont="1" applyFill="1" applyBorder="1" applyAlignment="1" applyProtection="1">
      <alignment horizontal="center" vertical="center"/>
    </xf>
    <xf numFmtId="3" fontId="26" fillId="40" borderId="61" xfId="0" applyNumberFormat="1" applyFont="1" applyFill="1" applyBorder="1" applyAlignment="1" applyProtection="1">
      <alignment horizontal="center" vertical="center"/>
    </xf>
    <xf numFmtId="3" fontId="26" fillId="40" borderId="62" xfId="0" applyNumberFormat="1" applyFont="1" applyFill="1" applyBorder="1" applyAlignment="1" applyProtection="1">
      <alignment horizontal="center" vertical="center"/>
    </xf>
    <xf numFmtId="3" fontId="26" fillId="40" borderId="63" xfId="0" applyNumberFormat="1" applyFont="1" applyFill="1" applyBorder="1" applyAlignment="1" applyProtection="1">
      <alignment horizontal="center" vertical="center"/>
    </xf>
    <xf numFmtId="3" fontId="26" fillId="40" borderId="64" xfId="0" applyNumberFormat="1" applyFont="1" applyFill="1" applyBorder="1" applyAlignment="1" applyProtection="1">
      <alignment horizontal="center" vertical="center"/>
    </xf>
    <xf numFmtId="0" fontId="27" fillId="40" borderId="60" xfId="0" applyNumberFormat="1" applyFont="1" applyFill="1" applyBorder="1" applyAlignment="1" applyProtection="1">
      <alignment horizontal="center"/>
    </xf>
    <xf numFmtId="0" fontId="24" fillId="0" borderId="12" xfId="0" applyNumberFormat="1" applyFont="1" applyFill="1" applyBorder="1" applyAlignment="1" applyProtection="1">
      <alignment horizontal="center"/>
    </xf>
    <xf numFmtId="0" fontId="24" fillId="0" borderId="13" xfId="0" applyNumberFormat="1" applyFont="1" applyFill="1" applyBorder="1" applyAlignment="1" applyProtection="1">
      <alignment horizontal="center"/>
    </xf>
    <xf numFmtId="0" fontId="24" fillId="0" borderId="14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 vertical="center"/>
    </xf>
    <xf numFmtId="0" fontId="24" fillId="0" borderId="13" xfId="0" applyNumberFormat="1" applyFont="1" applyFill="1" applyBorder="1" applyAlignment="1" applyProtection="1">
      <alignment horizontal="center" vertical="center"/>
    </xf>
    <xf numFmtId="0" fontId="29" fillId="0" borderId="37" xfId="0" applyNumberFormat="1" applyFont="1" applyFill="1" applyBorder="1" applyAlignment="1" applyProtection="1">
      <alignment horizontal="center" vertical="center"/>
    </xf>
  </cellXfs>
  <cellStyles count="87">
    <cellStyle name="20% - Accent1" xfId="64" builtinId="30" customBuiltin="1"/>
    <cellStyle name="20% - Accent1 2" xfId="23"/>
    <cellStyle name="20% - Accent2" xfId="68" builtinId="34" customBuiltin="1"/>
    <cellStyle name="20% - Accent2 2" xfId="27"/>
    <cellStyle name="20% - Accent3" xfId="72" builtinId="38" customBuiltin="1"/>
    <cellStyle name="20% - Accent3 2" xfId="31"/>
    <cellStyle name="20% - Accent4" xfId="76" builtinId="42" customBuiltin="1"/>
    <cellStyle name="20% - Accent4 2" xfId="35"/>
    <cellStyle name="20% - Accent5" xfId="80" builtinId="46" customBuiltin="1"/>
    <cellStyle name="20% - Accent5 2" xfId="39"/>
    <cellStyle name="20% - Accent6" xfId="84" builtinId="50" customBuiltin="1"/>
    <cellStyle name="20% - Accent6 2" xfId="43"/>
    <cellStyle name="40% - Accent1" xfId="65" builtinId="31" customBuiltin="1"/>
    <cellStyle name="40% - Accent1 2" xfId="24"/>
    <cellStyle name="40% - Accent2" xfId="69" builtinId="35" customBuiltin="1"/>
    <cellStyle name="40% - Accent2 2" xfId="28"/>
    <cellStyle name="40% - Accent3" xfId="73" builtinId="39" customBuiltin="1"/>
    <cellStyle name="40% - Accent3 2" xfId="32"/>
    <cellStyle name="40% - Accent4" xfId="77" builtinId="43" customBuiltin="1"/>
    <cellStyle name="40% - Accent4 2" xfId="36"/>
    <cellStyle name="40% - Accent5" xfId="81" builtinId="47" customBuiltin="1"/>
    <cellStyle name="40% - Accent5 2" xfId="40"/>
    <cellStyle name="40% - Accent6" xfId="85" builtinId="51" customBuiltin="1"/>
    <cellStyle name="40% - Accent6 2" xfId="44"/>
    <cellStyle name="60% - Accent1" xfId="66" builtinId="32" customBuiltin="1"/>
    <cellStyle name="60% - Accent1 2" xfId="25"/>
    <cellStyle name="60% - Accent2" xfId="70" builtinId="36" customBuiltin="1"/>
    <cellStyle name="60% - Accent2 2" xfId="29"/>
    <cellStyle name="60% - Accent3" xfId="74" builtinId="40" customBuiltin="1"/>
    <cellStyle name="60% - Accent3 2" xfId="33"/>
    <cellStyle name="60% - Accent4" xfId="78" builtinId="44" customBuiltin="1"/>
    <cellStyle name="60% - Accent4 2" xfId="37"/>
    <cellStyle name="60% - Accent5" xfId="82" builtinId="48" customBuiltin="1"/>
    <cellStyle name="60% - Accent5 2" xfId="41"/>
    <cellStyle name="60% - Accent6" xfId="86" builtinId="52" customBuiltin="1"/>
    <cellStyle name="60% - Accent6 2" xfId="45"/>
    <cellStyle name="Accent1" xfId="63" builtinId="29" customBuiltin="1"/>
    <cellStyle name="Accent1 2" xfId="22"/>
    <cellStyle name="Accent2" xfId="67" builtinId="33" customBuiltin="1"/>
    <cellStyle name="Accent2 2" xfId="26"/>
    <cellStyle name="Accent3" xfId="71" builtinId="37" customBuiltin="1"/>
    <cellStyle name="Accent3 2" xfId="30"/>
    <cellStyle name="Accent4" xfId="75" builtinId="41" customBuiltin="1"/>
    <cellStyle name="Accent4 2" xfId="34"/>
    <cellStyle name="Accent5" xfId="79" builtinId="45" customBuiltin="1"/>
    <cellStyle name="Accent5 2" xfId="38"/>
    <cellStyle name="Accent6" xfId="83" builtinId="49" customBuiltin="1"/>
    <cellStyle name="Accent6 2" xfId="42"/>
    <cellStyle name="Bad" xfId="52" builtinId="27" customBuiltin="1"/>
    <cellStyle name="Bad 2" xfId="11"/>
    <cellStyle name="Calculation" xfId="56" builtinId="22" customBuiltin="1"/>
    <cellStyle name="Calculation 2" xfId="15"/>
    <cellStyle name="Check Cell" xfId="58" builtinId="23" customBuiltin="1"/>
    <cellStyle name="Check Cell 2" xfId="17"/>
    <cellStyle name="Comma" xfId="46" builtinId="3"/>
    <cellStyle name="Explanatory Text" xfId="61" builtinId="53" customBuiltin="1"/>
    <cellStyle name="Explanatory Text 2" xfId="20"/>
    <cellStyle name="Good" xfId="51" builtinId="26" customBuiltin="1"/>
    <cellStyle name="Good 2" xfId="10"/>
    <cellStyle name="Heading 1" xfId="47" builtinId="16" customBuiltin="1"/>
    <cellStyle name="Heading 1 2" xfId="6"/>
    <cellStyle name="Heading 2" xfId="48" builtinId="17" customBuiltin="1"/>
    <cellStyle name="Heading 2 2" xfId="7"/>
    <cellStyle name="Heading 3" xfId="49" builtinId="18" customBuiltin="1"/>
    <cellStyle name="Heading 3 2" xfId="8"/>
    <cellStyle name="Heading 4" xfId="50" builtinId="19" customBuiltin="1"/>
    <cellStyle name="Heading 4 2" xfId="9"/>
    <cellStyle name="Input" xfId="54" builtinId="20" customBuiltin="1"/>
    <cellStyle name="Input 2" xfId="13"/>
    <cellStyle name="Linked Cell" xfId="57" builtinId="24" customBuiltin="1"/>
    <cellStyle name="Linked Cell 2" xfId="16"/>
    <cellStyle name="Neutral" xfId="53" builtinId="28" customBuiltin="1"/>
    <cellStyle name="Neutral 2" xfId="12"/>
    <cellStyle name="Normal" xfId="0" builtinId="0"/>
    <cellStyle name="Normal 11" xfId="4"/>
    <cellStyle name="Normal 2" xfId="5"/>
    <cellStyle name="Normal 3" xfId="2"/>
    <cellStyle name="Note" xfId="60" builtinId="10" customBuiltin="1"/>
    <cellStyle name="Note 2" xfId="19"/>
    <cellStyle name="Output" xfId="55" builtinId="21" customBuiltin="1"/>
    <cellStyle name="Output 2" xfId="14"/>
    <cellStyle name="Percent 2" xfId="3"/>
    <cellStyle name="Title" xfId="1" builtinId="15" customBuiltin="1"/>
    <cellStyle name="Total" xfId="62" builtinId="25" customBuiltin="1"/>
    <cellStyle name="Total 2" xfId="21"/>
    <cellStyle name="Warning Text" xfId="59" builtinId="11" customBuiltin="1"/>
    <cellStyle name="Warning Text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"/>
  <sheetViews>
    <sheetView tabSelected="1" workbookViewId="0">
      <pane ySplit="9" topLeftCell="A10" activePane="bottomLeft" state="frozen"/>
      <selection pane="bottomLeft" activeCell="Q17" sqref="Q17"/>
    </sheetView>
  </sheetViews>
  <sheetFormatPr defaultRowHeight="15" x14ac:dyDescent="0.25"/>
  <cols>
    <col min="1" max="1" width="29.5703125" customWidth="1"/>
    <col min="2" max="2" width="6.7109375" bestFit="1" customWidth="1"/>
    <col min="3" max="3" width="9" bestFit="1" customWidth="1"/>
    <col min="4" max="4" width="6.7109375" bestFit="1" customWidth="1"/>
    <col min="5" max="5" width="9" bestFit="1" customWidth="1"/>
    <col min="6" max="6" width="6.7109375" bestFit="1" customWidth="1"/>
    <col min="7" max="7" width="9" bestFit="1" customWidth="1"/>
    <col min="8" max="8" width="6.7109375" bestFit="1" customWidth="1"/>
    <col min="9" max="9" width="9" bestFit="1" customWidth="1"/>
    <col min="10" max="10" width="6.7109375" bestFit="1" customWidth="1"/>
    <col min="11" max="11" width="9" bestFit="1" customWidth="1"/>
    <col min="12" max="12" width="8.5703125" bestFit="1" customWidth="1"/>
    <col min="13" max="13" width="9" bestFit="1" customWidth="1"/>
  </cols>
  <sheetData>
    <row r="1" spans="1:15" ht="17.45" thickBot="1" x14ac:dyDescent="0.5">
      <c r="A1" s="1" t="s">
        <v>170</v>
      </c>
      <c r="B1" s="137" t="s">
        <v>0</v>
      </c>
      <c r="C1" s="138"/>
      <c r="D1" s="137" t="s">
        <v>1</v>
      </c>
      <c r="E1" s="138"/>
      <c r="F1" s="136" t="s">
        <v>2</v>
      </c>
      <c r="G1" s="138"/>
      <c r="H1" s="137" t="s">
        <v>3</v>
      </c>
      <c r="I1" s="138"/>
      <c r="J1" s="136" t="s">
        <v>4</v>
      </c>
      <c r="K1" s="136"/>
      <c r="L1" s="137" t="s">
        <v>171</v>
      </c>
      <c r="M1" s="138"/>
      <c r="N1" s="134" t="s">
        <v>181</v>
      </c>
      <c r="O1" s="135"/>
    </row>
    <row r="2" spans="1:15" thickBot="1" x14ac:dyDescent="0.35">
      <c r="A2" s="8"/>
      <c r="B2" s="5" t="s">
        <v>5</v>
      </c>
      <c r="C2" s="2" t="s">
        <v>6</v>
      </c>
      <c r="D2" s="5" t="s">
        <v>5</v>
      </c>
      <c r="E2" s="2" t="s">
        <v>6</v>
      </c>
      <c r="F2" s="2" t="s">
        <v>5</v>
      </c>
      <c r="G2" s="2" t="s">
        <v>6</v>
      </c>
      <c r="H2" s="5" t="s">
        <v>5</v>
      </c>
      <c r="I2" s="2" t="s">
        <v>6</v>
      </c>
      <c r="J2" s="19" t="s">
        <v>5</v>
      </c>
      <c r="K2" s="16" t="s">
        <v>6</v>
      </c>
      <c r="L2" s="5" t="s">
        <v>5</v>
      </c>
      <c r="M2" s="13" t="s">
        <v>6</v>
      </c>
      <c r="N2" s="57" t="s">
        <v>5</v>
      </c>
      <c r="O2" s="60" t="s">
        <v>6</v>
      </c>
    </row>
    <row r="3" spans="1:15" ht="15.6" thickBot="1" x14ac:dyDescent="0.4">
      <c r="A3" s="10" t="s">
        <v>169</v>
      </c>
      <c r="B3" s="7">
        <f>B78</f>
        <v>1398</v>
      </c>
      <c r="C3" s="4">
        <v>912</v>
      </c>
      <c r="D3" s="7">
        <v>1527</v>
      </c>
      <c r="E3" s="4">
        <v>988</v>
      </c>
      <c r="F3" s="18">
        <v>1499</v>
      </c>
      <c r="G3" s="4">
        <v>1017</v>
      </c>
      <c r="H3" s="7">
        <v>1567</v>
      </c>
      <c r="I3" s="4">
        <v>1097</v>
      </c>
      <c r="J3" s="15">
        <v>1594</v>
      </c>
      <c r="K3" s="12">
        <v>1089</v>
      </c>
      <c r="L3" s="44">
        <v>1748</v>
      </c>
      <c r="M3" s="44">
        <v>1137</v>
      </c>
      <c r="N3" s="59">
        <f>L3/J3-1</f>
        <v>9.6612296110414109E-2</v>
      </c>
      <c r="O3" s="58">
        <f>M3/K3-1</f>
        <v>4.4077134986225897E-2</v>
      </c>
    </row>
    <row r="4" spans="1:15" ht="16.149999999999999" thickTop="1" thickBot="1" x14ac:dyDescent="0.4">
      <c r="A4" s="3" t="s">
        <v>168</v>
      </c>
      <c r="B4" s="17">
        <v>130</v>
      </c>
      <c r="C4" s="14">
        <v>123</v>
      </c>
      <c r="D4" s="17">
        <v>145</v>
      </c>
      <c r="E4" s="14">
        <v>137</v>
      </c>
      <c r="F4" s="11">
        <v>200</v>
      </c>
      <c r="G4" s="14">
        <v>192</v>
      </c>
      <c r="H4" s="17">
        <v>252</v>
      </c>
      <c r="I4" s="14">
        <v>246</v>
      </c>
      <c r="J4" s="9">
        <v>242</v>
      </c>
      <c r="K4" s="6">
        <v>233</v>
      </c>
      <c r="L4" s="45">
        <v>182</v>
      </c>
      <c r="M4" s="46">
        <v>175</v>
      </c>
      <c r="N4" s="56">
        <f>L4/J4-1</f>
        <v>-0.24793388429752061</v>
      </c>
      <c r="O4" s="61">
        <f>M4/K4-1</f>
        <v>-0.24892703862660948</v>
      </c>
    </row>
    <row r="5" spans="1:15" ht="15.6" thickTop="1" thickBot="1" x14ac:dyDescent="0.35">
      <c r="A5" s="42" t="s">
        <v>165</v>
      </c>
      <c r="B5" s="20"/>
      <c r="C5" s="21">
        <v>997</v>
      </c>
      <c r="D5" s="20"/>
      <c r="E5" s="21">
        <v>1082</v>
      </c>
      <c r="F5" s="22"/>
      <c r="G5" s="21">
        <v>1153</v>
      </c>
      <c r="H5" s="20"/>
      <c r="I5" s="21">
        <f>SUM(I3:I4)</f>
        <v>1343</v>
      </c>
      <c r="J5" s="23"/>
      <c r="K5" s="24">
        <f>SUM(K3:K4)</f>
        <v>1322</v>
      </c>
      <c r="L5" s="47"/>
      <c r="M5" s="48">
        <f>SUM(M3:M4)</f>
        <v>1312</v>
      </c>
      <c r="N5" s="62"/>
      <c r="O5" s="63">
        <f>M5/K5-1</f>
        <v>-7.5642965204235635E-3</v>
      </c>
    </row>
    <row r="6" spans="1:15" ht="16.149999999999999" thickTop="1" thickBot="1" x14ac:dyDescent="0.4">
      <c r="A6" s="25" t="s">
        <v>167</v>
      </c>
      <c r="B6" s="26">
        <v>48</v>
      </c>
      <c r="C6" s="27">
        <v>38</v>
      </c>
      <c r="D6" s="26">
        <v>60</v>
      </c>
      <c r="E6" s="27">
        <v>44</v>
      </c>
      <c r="F6" s="28">
        <v>58</v>
      </c>
      <c r="G6" s="27">
        <v>43</v>
      </c>
      <c r="H6" s="26">
        <v>124</v>
      </c>
      <c r="I6" s="27">
        <v>98</v>
      </c>
      <c r="J6" s="29">
        <v>126</v>
      </c>
      <c r="K6" s="30">
        <v>89</v>
      </c>
      <c r="L6" s="49">
        <v>18</v>
      </c>
      <c r="M6" s="50">
        <v>10</v>
      </c>
      <c r="N6" s="64">
        <f>L6/J6-1</f>
        <v>-0.85714285714285721</v>
      </c>
      <c r="O6" s="65">
        <f>M6/K6-1</f>
        <v>-0.88764044943820219</v>
      </c>
    </row>
    <row r="7" spans="1:15" ht="15.6" thickBot="1" x14ac:dyDescent="0.4">
      <c r="A7" s="43" t="s">
        <v>166</v>
      </c>
      <c r="B7" s="31">
        <f>B3+B4+B6</f>
        <v>1576</v>
      </c>
      <c r="C7" s="32">
        <v>1029</v>
      </c>
      <c r="D7" s="31">
        <f>D3+D4+D6</f>
        <v>1732</v>
      </c>
      <c r="E7" s="32">
        <v>1111</v>
      </c>
      <c r="F7" s="33">
        <f>F3+F4+F6</f>
        <v>1757</v>
      </c>
      <c r="G7" s="32">
        <v>1188</v>
      </c>
      <c r="H7" s="31">
        <f>H3+H4+H6</f>
        <v>1943</v>
      </c>
      <c r="I7" s="32">
        <v>1338</v>
      </c>
      <c r="J7" s="33">
        <f>J3+J4+J6</f>
        <v>1962</v>
      </c>
      <c r="K7" s="34">
        <v>1304</v>
      </c>
      <c r="L7" s="51">
        <v>1948</v>
      </c>
      <c r="M7" s="52">
        <v>1270</v>
      </c>
      <c r="N7" s="66">
        <f>L7/J7-1</f>
        <v>-7.135575942915362E-3</v>
      </c>
      <c r="O7" s="67">
        <f>M7/K7-1</f>
        <v>-2.6073619631901801E-2</v>
      </c>
    </row>
    <row r="8" spans="1:15" ht="17.45" thickTop="1" thickBot="1" x14ac:dyDescent="0.4">
      <c r="A8" s="35" t="s">
        <v>7</v>
      </c>
      <c r="B8" s="36"/>
      <c r="C8" s="36"/>
      <c r="D8" s="139"/>
      <c r="E8" s="139"/>
      <c r="F8" s="139"/>
      <c r="G8" s="139"/>
      <c r="H8" s="37"/>
      <c r="I8" s="37"/>
      <c r="J8" s="37"/>
      <c r="K8" s="37"/>
      <c r="L8" s="37"/>
      <c r="M8" s="38"/>
      <c r="N8" s="68"/>
      <c r="O8" s="69"/>
    </row>
    <row r="9" spans="1:15" ht="17.45" thickBot="1" x14ac:dyDescent="0.35">
      <c r="A9" s="53" t="s">
        <v>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39"/>
      <c r="M9" s="40"/>
    </row>
    <row r="10" spans="1:15" ht="16.899999999999999" x14ac:dyDescent="0.45">
      <c r="A10" s="114" t="s">
        <v>9</v>
      </c>
      <c r="B10" s="80"/>
      <c r="C10" s="81"/>
      <c r="D10" s="113"/>
      <c r="E10" s="127"/>
      <c r="F10" s="80"/>
      <c r="G10" s="81"/>
      <c r="H10" s="113"/>
      <c r="I10" s="127"/>
      <c r="J10" s="80">
        <v>1</v>
      </c>
      <c r="K10" s="81"/>
      <c r="L10" s="113">
        <v>3</v>
      </c>
      <c r="M10" s="81"/>
    </row>
    <row r="11" spans="1:15" ht="16.899999999999999" x14ac:dyDescent="0.45">
      <c r="A11" s="115" t="s">
        <v>10</v>
      </c>
      <c r="B11" s="82"/>
      <c r="C11" s="83"/>
      <c r="D11" s="70"/>
      <c r="E11" s="102"/>
      <c r="F11" s="82"/>
      <c r="G11" s="83"/>
      <c r="H11" s="70"/>
      <c r="I11" s="102"/>
      <c r="J11" s="82">
        <v>1</v>
      </c>
      <c r="K11" s="83"/>
      <c r="L11" s="70">
        <v>8</v>
      </c>
      <c r="M11" s="83"/>
    </row>
    <row r="12" spans="1:15" ht="16.899999999999999" x14ac:dyDescent="0.45">
      <c r="A12" s="115" t="s">
        <v>11</v>
      </c>
      <c r="B12" s="82">
        <v>11</v>
      </c>
      <c r="C12" s="83"/>
      <c r="D12" s="70">
        <v>17</v>
      </c>
      <c r="E12" s="102"/>
      <c r="F12" s="82">
        <v>13</v>
      </c>
      <c r="G12" s="83"/>
      <c r="H12" s="70">
        <v>11</v>
      </c>
      <c r="I12" s="102"/>
      <c r="J12" s="82">
        <v>14</v>
      </c>
      <c r="K12" s="83"/>
      <c r="L12" s="70">
        <v>14</v>
      </c>
      <c r="M12" s="83"/>
    </row>
    <row r="13" spans="1:15" ht="16.899999999999999" x14ac:dyDescent="0.45">
      <c r="A13" s="115" t="s">
        <v>12</v>
      </c>
      <c r="B13" s="82">
        <v>2</v>
      </c>
      <c r="C13" s="83"/>
      <c r="D13" s="70">
        <v>1</v>
      </c>
      <c r="E13" s="102"/>
      <c r="F13" s="82">
        <v>2</v>
      </c>
      <c r="G13" s="83"/>
      <c r="H13" s="70">
        <v>4</v>
      </c>
      <c r="I13" s="102"/>
      <c r="J13" s="82">
        <v>4</v>
      </c>
      <c r="K13" s="83"/>
      <c r="L13" s="70">
        <v>2</v>
      </c>
      <c r="M13" s="83"/>
    </row>
    <row r="14" spans="1:15" ht="16.899999999999999" x14ac:dyDescent="0.45">
      <c r="A14" s="115" t="s">
        <v>13</v>
      </c>
      <c r="B14" s="82"/>
      <c r="C14" s="83"/>
      <c r="D14" s="70">
        <v>1</v>
      </c>
      <c r="E14" s="102"/>
      <c r="F14" s="82"/>
      <c r="G14" s="83"/>
      <c r="H14" s="70"/>
      <c r="I14" s="102"/>
      <c r="J14" s="82" t="s">
        <v>179</v>
      </c>
      <c r="K14" s="83"/>
      <c r="L14" s="70" t="s">
        <v>179</v>
      </c>
      <c r="M14" s="83"/>
    </row>
    <row r="15" spans="1:15" ht="16.899999999999999" x14ac:dyDescent="0.45">
      <c r="A15" s="115" t="s">
        <v>14</v>
      </c>
      <c r="B15" s="82"/>
      <c r="C15" s="83"/>
      <c r="D15" s="70"/>
      <c r="E15" s="102"/>
      <c r="F15" s="82"/>
      <c r="G15" s="83"/>
      <c r="H15" s="70">
        <v>5</v>
      </c>
      <c r="I15" s="102"/>
      <c r="J15" s="82">
        <v>5</v>
      </c>
      <c r="K15" s="83"/>
      <c r="L15" s="70">
        <v>11</v>
      </c>
      <c r="M15" s="83"/>
    </row>
    <row r="16" spans="1:15" ht="16.899999999999999" x14ac:dyDescent="0.45">
      <c r="A16" s="115" t="s">
        <v>172</v>
      </c>
      <c r="B16" s="82"/>
      <c r="C16" s="83"/>
      <c r="D16" s="70"/>
      <c r="E16" s="102"/>
      <c r="F16" s="82"/>
      <c r="G16" s="83"/>
      <c r="H16" s="70"/>
      <c r="I16" s="102"/>
      <c r="J16" s="82" t="s">
        <v>179</v>
      </c>
      <c r="K16" s="83"/>
      <c r="L16" s="70">
        <v>1</v>
      </c>
      <c r="M16" s="83"/>
    </row>
    <row r="17" spans="1:13" ht="16.899999999999999" x14ac:dyDescent="0.45">
      <c r="A17" s="115" t="s">
        <v>15</v>
      </c>
      <c r="B17" s="82">
        <v>2</v>
      </c>
      <c r="C17" s="83"/>
      <c r="D17" s="70">
        <v>2</v>
      </c>
      <c r="E17" s="102"/>
      <c r="F17" s="82">
        <v>4</v>
      </c>
      <c r="G17" s="83"/>
      <c r="H17" s="70">
        <v>2</v>
      </c>
      <c r="I17" s="102"/>
      <c r="J17" s="82">
        <v>7</v>
      </c>
      <c r="K17" s="83"/>
      <c r="L17" s="70">
        <v>7</v>
      </c>
      <c r="M17" s="83"/>
    </row>
    <row r="18" spans="1:13" ht="16.899999999999999" x14ac:dyDescent="0.45">
      <c r="A18" s="115" t="s">
        <v>16</v>
      </c>
      <c r="B18" s="82"/>
      <c r="C18" s="83"/>
      <c r="D18" s="70"/>
      <c r="E18" s="102"/>
      <c r="F18" s="82"/>
      <c r="G18" s="83"/>
      <c r="H18" s="70">
        <v>1</v>
      </c>
      <c r="I18" s="102"/>
      <c r="J18" s="82">
        <v>2</v>
      </c>
      <c r="K18" s="83"/>
      <c r="L18" s="70">
        <v>1</v>
      </c>
      <c r="M18" s="83"/>
    </row>
    <row r="19" spans="1:13" ht="16.899999999999999" x14ac:dyDescent="0.45">
      <c r="A19" s="115" t="s">
        <v>17</v>
      </c>
      <c r="B19" s="82"/>
      <c r="C19" s="83"/>
      <c r="D19" s="70"/>
      <c r="E19" s="102"/>
      <c r="F19" s="125"/>
      <c r="G19" s="126"/>
      <c r="H19" s="70"/>
      <c r="I19" s="102"/>
      <c r="J19" s="125">
        <v>1</v>
      </c>
      <c r="K19" s="126"/>
      <c r="L19" s="70" t="s">
        <v>179</v>
      </c>
      <c r="M19" s="83"/>
    </row>
    <row r="20" spans="1:13" ht="16.899999999999999" x14ac:dyDescent="0.45">
      <c r="A20" s="115" t="s">
        <v>18</v>
      </c>
      <c r="B20" s="82">
        <v>160</v>
      </c>
      <c r="C20" s="83"/>
      <c r="D20" s="70">
        <v>180</v>
      </c>
      <c r="E20" s="102"/>
      <c r="F20" s="82">
        <v>204</v>
      </c>
      <c r="G20" s="83"/>
      <c r="H20" s="70">
        <v>207</v>
      </c>
      <c r="I20" s="102"/>
      <c r="J20" s="82">
        <v>154</v>
      </c>
      <c r="K20" s="83"/>
      <c r="L20" s="70">
        <v>128</v>
      </c>
      <c r="M20" s="83"/>
    </row>
    <row r="21" spans="1:13" ht="16.899999999999999" x14ac:dyDescent="0.45">
      <c r="A21" s="115" t="s">
        <v>19</v>
      </c>
      <c r="B21" s="82"/>
      <c r="C21" s="83"/>
      <c r="D21" s="70">
        <v>3</v>
      </c>
      <c r="E21" s="102"/>
      <c r="F21" s="82">
        <v>11</v>
      </c>
      <c r="G21" s="83"/>
      <c r="H21" s="70">
        <v>57</v>
      </c>
      <c r="I21" s="102"/>
      <c r="J21" s="82">
        <v>109</v>
      </c>
      <c r="K21" s="83"/>
      <c r="L21" s="70">
        <v>174</v>
      </c>
      <c r="M21" s="83"/>
    </row>
    <row r="22" spans="1:13" ht="16.899999999999999" x14ac:dyDescent="0.45">
      <c r="A22" s="115" t="s">
        <v>20</v>
      </c>
      <c r="B22" s="82"/>
      <c r="C22" s="83"/>
      <c r="D22" s="70">
        <v>1</v>
      </c>
      <c r="E22" s="102"/>
      <c r="F22" s="82">
        <v>8</v>
      </c>
      <c r="G22" s="83"/>
      <c r="H22" s="70">
        <v>13</v>
      </c>
      <c r="I22" s="102"/>
      <c r="J22" s="82">
        <v>38</v>
      </c>
      <c r="K22" s="83"/>
      <c r="L22" s="70">
        <v>52</v>
      </c>
      <c r="M22" s="83"/>
    </row>
    <row r="23" spans="1:13" ht="16.899999999999999" x14ac:dyDescent="0.45">
      <c r="A23" s="115" t="s">
        <v>21</v>
      </c>
      <c r="B23" s="82"/>
      <c r="C23" s="83"/>
      <c r="D23" s="70">
        <v>5</v>
      </c>
      <c r="E23" s="102"/>
      <c r="F23" s="82">
        <v>4</v>
      </c>
      <c r="G23" s="83"/>
      <c r="H23" s="70">
        <v>7</v>
      </c>
      <c r="I23" s="102"/>
      <c r="J23" s="82">
        <v>23</v>
      </c>
      <c r="K23" s="83"/>
      <c r="L23" s="70">
        <v>33</v>
      </c>
      <c r="M23" s="83"/>
    </row>
    <row r="24" spans="1:13" ht="16.899999999999999" x14ac:dyDescent="0.45">
      <c r="A24" s="115" t="s">
        <v>22</v>
      </c>
      <c r="B24" s="82"/>
      <c r="C24" s="83"/>
      <c r="D24" s="70">
        <v>2</v>
      </c>
      <c r="E24" s="102"/>
      <c r="F24" s="82">
        <v>2</v>
      </c>
      <c r="G24" s="83"/>
      <c r="H24" s="70">
        <v>4</v>
      </c>
      <c r="I24" s="102"/>
      <c r="J24" s="82">
        <v>10</v>
      </c>
      <c r="K24" s="83"/>
      <c r="L24" s="70">
        <v>6</v>
      </c>
      <c r="M24" s="83"/>
    </row>
    <row r="25" spans="1:13" ht="16.899999999999999" x14ac:dyDescent="0.45">
      <c r="A25" s="115" t="s">
        <v>23</v>
      </c>
      <c r="B25" s="82">
        <v>169</v>
      </c>
      <c r="C25" s="83"/>
      <c r="D25" s="70">
        <v>152</v>
      </c>
      <c r="E25" s="102"/>
      <c r="F25" s="82">
        <v>121</v>
      </c>
      <c r="G25" s="83"/>
      <c r="H25" s="70">
        <v>54</v>
      </c>
      <c r="I25" s="102"/>
      <c r="J25" s="82">
        <v>11</v>
      </c>
      <c r="K25" s="83"/>
      <c r="L25" s="70">
        <v>2</v>
      </c>
      <c r="M25" s="83"/>
    </row>
    <row r="26" spans="1:13" ht="16.899999999999999" x14ac:dyDescent="0.45">
      <c r="A26" s="115" t="s">
        <v>24</v>
      </c>
      <c r="B26" s="82">
        <v>47</v>
      </c>
      <c r="C26" s="83"/>
      <c r="D26" s="70">
        <v>49</v>
      </c>
      <c r="E26" s="102"/>
      <c r="F26" s="82">
        <v>38</v>
      </c>
      <c r="G26" s="83"/>
      <c r="H26" s="70">
        <v>8</v>
      </c>
      <c r="I26" s="102"/>
      <c r="J26" s="82">
        <v>2</v>
      </c>
      <c r="K26" s="83"/>
      <c r="L26" s="70" t="s">
        <v>179</v>
      </c>
      <c r="M26" s="83"/>
    </row>
    <row r="27" spans="1:13" ht="16.899999999999999" x14ac:dyDescent="0.45">
      <c r="A27" s="115" t="s">
        <v>25</v>
      </c>
      <c r="B27" s="82">
        <v>1</v>
      </c>
      <c r="C27" s="83"/>
      <c r="D27" s="70"/>
      <c r="E27" s="102"/>
      <c r="F27" s="82"/>
      <c r="G27" s="83"/>
      <c r="H27" s="70"/>
      <c r="I27" s="102"/>
      <c r="J27" s="82" t="s">
        <v>179</v>
      </c>
      <c r="K27" s="83"/>
      <c r="L27" s="70" t="s">
        <v>179</v>
      </c>
      <c r="M27" s="83"/>
    </row>
    <row r="28" spans="1:13" ht="16.899999999999999" x14ac:dyDescent="0.45">
      <c r="A28" s="115" t="s">
        <v>26</v>
      </c>
      <c r="B28" s="82"/>
      <c r="C28" s="83"/>
      <c r="D28" s="70">
        <v>4</v>
      </c>
      <c r="E28" s="102"/>
      <c r="F28" s="82">
        <v>10</v>
      </c>
      <c r="G28" s="83"/>
      <c r="H28" s="70">
        <v>28</v>
      </c>
      <c r="I28" s="102"/>
      <c r="J28" s="82">
        <v>68</v>
      </c>
      <c r="K28" s="83"/>
      <c r="L28" s="70">
        <v>87</v>
      </c>
      <c r="M28" s="83"/>
    </row>
    <row r="29" spans="1:13" ht="16.899999999999999" x14ac:dyDescent="0.45">
      <c r="A29" s="115" t="s">
        <v>27</v>
      </c>
      <c r="B29" s="82"/>
      <c r="C29" s="83"/>
      <c r="D29" s="70">
        <v>2</v>
      </c>
      <c r="E29" s="102"/>
      <c r="F29" s="82">
        <v>4</v>
      </c>
      <c r="G29" s="83"/>
      <c r="H29" s="70">
        <v>8</v>
      </c>
      <c r="I29" s="102"/>
      <c r="J29" s="82">
        <v>38</v>
      </c>
      <c r="K29" s="83"/>
      <c r="L29" s="70">
        <v>40</v>
      </c>
      <c r="M29" s="83"/>
    </row>
    <row r="30" spans="1:13" ht="16.899999999999999" x14ac:dyDescent="0.45">
      <c r="A30" s="115" t="s">
        <v>28</v>
      </c>
      <c r="B30" s="82"/>
      <c r="C30" s="83"/>
      <c r="D30" s="70">
        <v>2</v>
      </c>
      <c r="E30" s="102"/>
      <c r="F30" s="82">
        <v>8</v>
      </c>
      <c r="G30" s="83"/>
      <c r="H30" s="70">
        <v>43</v>
      </c>
      <c r="I30" s="102"/>
      <c r="J30" s="82">
        <v>100</v>
      </c>
      <c r="K30" s="83"/>
      <c r="L30" s="70">
        <v>167</v>
      </c>
      <c r="M30" s="83"/>
    </row>
    <row r="31" spans="1:13" ht="16.899999999999999" x14ac:dyDescent="0.45">
      <c r="A31" s="115" t="s">
        <v>29</v>
      </c>
      <c r="B31" s="82"/>
      <c r="C31" s="83"/>
      <c r="D31" s="70"/>
      <c r="E31" s="102"/>
      <c r="F31" s="82">
        <v>3</v>
      </c>
      <c r="G31" s="83"/>
      <c r="H31" s="70">
        <v>4</v>
      </c>
      <c r="I31" s="102"/>
      <c r="J31" s="82">
        <v>31</v>
      </c>
      <c r="K31" s="83"/>
      <c r="L31" s="70">
        <v>45</v>
      </c>
      <c r="M31" s="83"/>
    </row>
    <row r="32" spans="1:13" ht="16.899999999999999" x14ac:dyDescent="0.45">
      <c r="A32" s="115" t="s">
        <v>30</v>
      </c>
      <c r="B32" s="82">
        <v>3</v>
      </c>
      <c r="C32" s="83"/>
      <c r="D32" s="70">
        <v>2</v>
      </c>
      <c r="E32" s="102"/>
      <c r="F32" s="82"/>
      <c r="G32" s="83"/>
      <c r="H32" s="70">
        <v>2</v>
      </c>
      <c r="I32" s="102"/>
      <c r="J32" s="82">
        <v>7</v>
      </c>
      <c r="K32" s="83"/>
      <c r="L32" s="70">
        <v>6</v>
      </c>
      <c r="M32" s="83"/>
    </row>
    <row r="33" spans="1:13" ht="16.899999999999999" x14ac:dyDescent="0.45">
      <c r="A33" s="115" t="s">
        <v>31</v>
      </c>
      <c r="B33" s="82">
        <v>2</v>
      </c>
      <c r="C33" s="83"/>
      <c r="D33" s="70">
        <v>1</v>
      </c>
      <c r="E33" s="102"/>
      <c r="F33" s="82">
        <v>3</v>
      </c>
      <c r="G33" s="83"/>
      <c r="H33" s="70">
        <v>5</v>
      </c>
      <c r="I33" s="102"/>
      <c r="J33" s="82">
        <v>6</v>
      </c>
      <c r="K33" s="83"/>
      <c r="L33" s="70">
        <v>3</v>
      </c>
      <c r="M33" s="83"/>
    </row>
    <row r="34" spans="1:13" ht="16.899999999999999" x14ac:dyDescent="0.45">
      <c r="A34" s="115" t="s">
        <v>32</v>
      </c>
      <c r="B34" s="82">
        <v>5</v>
      </c>
      <c r="C34" s="83"/>
      <c r="D34" s="70">
        <v>5</v>
      </c>
      <c r="E34" s="102"/>
      <c r="F34" s="82">
        <v>6</v>
      </c>
      <c r="G34" s="83"/>
      <c r="H34" s="70">
        <v>11</v>
      </c>
      <c r="I34" s="102"/>
      <c r="J34" s="82">
        <v>9</v>
      </c>
      <c r="K34" s="83"/>
      <c r="L34" s="70">
        <v>6</v>
      </c>
      <c r="M34" s="83"/>
    </row>
    <row r="35" spans="1:13" ht="16.899999999999999" x14ac:dyDescent="0.45">
      <c r="A35" s="115" t="s">
        <v>33</v>
      </c>
      <c r="B35" s="82"/>
      <c r="C35" s="83"/>
      <c r="D35" s="70">
        <v>4</v>
      </c>
      <c r="E35" s="102"/>
      <c r="F35" s="82"/>
      <c r="G35" s="83"/>
      <c r="H35" s="70"/>
      <c r="I35" s="102"/>
      <c r="J35" s="82" t="s">
        <v>179</v>
      </c>
      <c r="K35" s="83"/>
      <c r="L35" s="70" t="s">
        <v>179</v>
      </c>
      <c r="M35" s="83"/>
    </row>
    <row r="36" spans="1:13" ht="16.899999999999999" x14ac:dyDescent="0.45">
      <c r="A36" s="115" t="s">
        <v>34</v>
      </c>
      <c r="B36" s="82">
        <v>16</v>
      </c>
      <c r="C36" s="83"/>
      <c r="D36" s="70">
        <v>23</v>
      </c>
      <c r="E36" s="102"/>
      <c r="F36" s="82">
        <v>18</v>
      </c>
      <c r="G36" s="83"/>
      <c r="H36" s="70">
        <v>28</v>
      </c>
      <c r="I36" s="102"/>
      <c r="J36" s="82">
        <v>27</v>
      </c>
      <c r="K36" s="83"/>
      <c r="L36" s="70">
        <v>13</v>
      </c>
      <c r="M36" s="83"/>
    </row>
    <row r="37" spans="1:13" ht="16.899999999999999" x14ac:dyDescent="0.45">
      <c r="A37" s="115" t="s">
        <v>35</v>
      </c>
      <c r="B37" s="82">
        <v>407</v>
      </c>
      <c r="C37" s="83"/>
      <c r="D37" s="70">
        <v>445</v>
      </c>
      <c r="E37" s="102"/>
      <c r="F37" s="82">
        <v>454</v>
      </c>
      <c r="G37" s="83"/>
      <c r="H37" s="70">
        <v>455</v>
      </c>
      <c r="I37" s="102"/>
      <c r="J37" s="82">
        <v>367</v>
      </c>
      <c r="K37" s="83"/>
      <c r="L37" s="70">
        <v>372</v>
      </c>
      <c r="M37" s="83"/>
    </row>
    <row r="38" spans="1:13" ht="16.899999999999999" x14ac:dyDescent="0.45">
      <c r="A38" s="115" t="s">
        <v>36</v>
      </c>
      <c r="B38" s="82">
        <v>1</v>
      </c>
      <c r="C38" s="83"/>
      <c r="D38" s="70">
        <v>4</v>
      </c>
      <c r="E38" s="102"/>
      <c r="F38" s="82">
        <v>3</v>
      </c>
      <c r="G38" s="83"/>
      <c r="H38" s="70">
        <v>4</v>
      </c>
      <c r="I38" s="102"/>
      <c r="J38" s="82">
        <v>7</v>
      </c>
      <c r="K38" s="83"/>
      <c r="L38" s="70">
        <v>7</v>
      </c>
      <c r="M38" s="83"/>
    </row>
    <row r="39" spans="1:13" ht="16.899999999999999" x14ac:dyDescent="0.45">
      <c r="A39" s="115" t="s">
        <v>37</v>
      </c>
      <c r="B39" s="82">
        <v>7</v>
      </c>
      <c r="C39" s="83"/>
      <c r="D39" s="70">
        <v>5</v>
      </c>
      <c r="E39" s="102"/>
      <c r="F39" s="82">
        <v>6</v>
      </c>
      <c r="G39" s="83"/>
      <c r="H39" s="70">
        <v>7</v>
      </c>
      <c r="I39" s="102"/>
      <c r="J39" s="82">
        <v>14</v>
      </c>
      <c r="K39" s="83"/>
      <c r="L39" s="70">
        <v>5</v>
      </c>
      <c r="M39" s="83"/>
    </row>
    <row r="40" spans="1:13" ht="16.899999999999999" x14ac:dyDescent="0.45">
      <c r="A40" s="115" t="s">
        <v>38</v>
      </c>
      <c r="B40" s="82">
        <v>15</v>
      </c>
      <c r="C40" s="83"/>
      <c r="D40" s="70">
        <v>30</v>
      </c>
      <c r="E40" s="102"/>
      <c r="F40" s="82">
        <v>27</v>
      </c>
      <c r="G40" s="83"/>
      <c r="H40" s="70">
        <v>24</v>
      </c>
      <c r="I40" s="102"/>
      <c r="J40" s="82">
        <v>37</v>
      </c>
      <c r="K40" s="83"/>
      <c r="L40" s="70">
        <v>46</v>
      </c>
      <c r="M40" s="83"/>
    </row>
    <row r="41" spans="1:13" ht="16.5" x14ac:dyDescent="0.35">
      <c r="A41" s="115" t="s">
        <v>39</v>
      </c>
      <c r="B41" s="82">
        <v>1</v>
      </c>
      <c r="C41" s="83"/>
      <c r="D41" s="70">
        <v>3</v>
      </c>
      <c r="E41" s="102"/>
      <c r="F41" s="82">
        <v>1</v>
      </c>
      <c r="G41" s="83"/>
      <c r="H41" s="70">
        <v>3</v>
      </c>
      <c r="I41" s="102"/>
      <c r="J41" s="82">
        <v>2</v>
      </c>
      <c r="K41" s="83"/>
      <c r="L41" s="70">
        <v>6</v>
      </c>
      <c r="M41" s="83"/>
    </row>
    <row r="42" spans="1:13" ht="16.5" x14ac:dyDescent="0.35">
      <c r="A42" s="115" t="s">
        <v>40</v>
      </c>
      <c r="B42" s="82">
        <v>82</v>
      </c>
      <c r="C42" s="83"/>
      <c r="D42" s="70">
        <v>101</v>
      </c>
      <c r="E42" s="102"/>
      <c r="F42" s="82">
        <v>91</v>
      </c>
      <c r="G42" s="83"/>
      <c r="H42" s="70">
        <v>112</v>
      </c>
      <c r="I42" s="102"/>
      <c r="J42" s="82">
        <v>76</v>
      </c>
      <c r="K42" s="83"/>
      <c r="L42" s="70">
        <v>83</v>
      </c>
      <c r="M42" s="83"/>
    </row>
    <row r="43" spans="1:13" s="55" customFormat="1" ht="16.5" x14ac:dyDescent="0.35">
      <c r="A43" s="115" t="s">
        <v>173</v>
      </c>
      <c r="B43" s="82"/>
      <c r="C43" s="83"/>
      <c r="D43" s="70"/>
      <c r="E43" s="102"/>
      <c r="F43" s="82"/>
      <c r="G43" s="83"/>
      <c r="H43" s="70"/>
      <c r="I43" s="102"/>
      <c r="J43" s="82" t="s">
        <v>179</v>
      </c>
      <c r="K43" s="83"/>
      <c r="L43" s="70">
        <v>17</v>
      </c>
      <c r="M43" s="83"/>
    </row>
    <row r="44" spans="1:13" s="55" customFormat="1" ht="16.5" x14ac:dyDescent="0.35">
      <c r="A44" s="115" t="s">
        <v>174</v>
      </c>
      <c r="B44" s="82"/>
      <c r="C44" s="83"/>
      <c r="D44" s="70"/>
      <c r="E44" s="102"/>
      <c r="F44" s="82"/>
      <c r="G44" s="83"/>
      <c r="H44" s="70"/>
      <c r="I44" s="102"/>
      <c r="J44" s="82" t="s">
        <v>179</v>
      </c>
      <c r="K44" s="83"/>
      <c r="L44" s="70">
        <v>5</v>
      </c>
      <c r="M44" s="83"/>
    </row>
    <row r="45" spans="1:13" ht="16.5" x14ac:dyDescent="0.35">
      <c r="A45" s="115" t="s">
        <v>41</v>
      </c>
      <c r="B45" s="82">
        <v>8</v>
      </c>
      <c r="C45" s="83"/>
      <c r="D45" s="70">
        <v>15</v>
      </c>
      <c r="E45" s="102"/>
      <c r="F45" s="82">
        <v>22</v>
      </c>
      <c r="G45" s="83"/>
      <c r="H45" s="70">
        <v>15</v>
      </c>
      <c r="I45" s="102"/>
      <c r="J45" s="82">
        <v>19</v>
      </c>
      <c r="K45" s="83"/>
      <c r="L45" s="70">
        <v>16</v>
      </c>
      <c r="M45" s="83"/>
    </row>
    <row r="46" spans="1:13" ht="16.5" x14ac:dyDescent="0.35">
      <c r="A46" s="115" t="s">
        <v>42</v>
      </c>
      <c r="B46" s="82">
        <v>31</v>
      </c>
      <c r="C46" s="83"/>
      <c r="D46" s="70">
        <v>27</v>
      </c>
      <c r="E46" s="102"/>
      <c r="F46" s="82">
        <v>23</v>
      </c>
      <c r="G46" s="83"/>
      <c r="H46" s="70">
        <v>22</v>
      </c>
      <c r="I46" s="102"/>
      <c r="J46" s="82">
        <v>25</v>
      </c>
      <c r="K46" s="83"/>
      <c r="L46" s="70">
        <v>35</v>
      </c>
      <c r="M46" s="83"/>
    </row>
    <row r="47" spans="1:13" ht="16.5" x14ac:dyDescent="0.35">
      <c r="A47" s="115" t="s">
        <v>43</v>
      </c>
      <c r="B47" s="82">
        <v>1</v>
      </c>
      <c r="C47" s="83"/>
      <c r="D47" s="70">
        <v>2</v>
      </c>
      <c r="E47" s="102"/>
      <c r="F47" s="82">
        <v>2</v>
      </c>
      <c r="G47" s="83"/>
      <c r="H47" s="70">
        <v>1</v>
      </c>
      <c r="I47" s="102"/>
      <c r="J47" s="82" t="s">
        <v>179</v>
      </c>
      <c r="K47" s="83"/>
      <c r="L47" s="70" t="s">
        <v>179</v>
      </c>
      <c r="M47" s="83"/>
    </row>
    <row r="48" spans="1:13" ht="16.5" x14ac:dyDescent="0.35">
      <c r="A48" s="115" t="s">
        <v>44</v>
      </c>
      <c r="B48" s="82">
        <v>5</v>
      </c>
      <c r="C48" s="83"/>
      <c r="D48" s="70">
        <v>10</v>
      </c>
      <c r="E48" s="102"/>
      <c r="F48" s="82">
        <v>10</v>
      </c>
      <c r="G48" s="83"/>
      <c r="H48" s="70">
        <v>14</v>
      </c>
      <c r="I48" s="102"/>
      <c r="J48" s="82">
        <v>13</v>
      </c>
      <c r="K48" s="83"/>
      <c r="L48" s="70">
        <v>14</v>
      </c>
      <c r="M48" s="83"/>
    </row>
    <row r="49" spans="1:13" ht="16.5" x14ac:dyDescent="0.35">
      <c r="A49" s="115" t="s">
        <v>45</v>
      </c>
      <c r="B49" s="82">
        <v>1</v>
      </c>
      <c r="C49" s="83"/>
      <c r="D49" s="70"/>
      <c r="E49" s="102"/>
      <c r="F49" s="82"/>
      <c r="G49" s="83"/>
      <c r="H49" s="70">
        <v>1</v>
      </c>
      <c r="I49" s="102"/>
      <c r="J49" s="82" t="s">
        <v>179</v>
      </c>
      <c r="K49" s="83"/>
      <c r="L49" s="70" t="s">
        <v>179</v>
      </c>
      <c r="M49" s="83"/>
    </row>
    <row r="50" spans="1:13" ht="16.5" x14ac:dyDescent="0.35">
      <c r="A50" s="115" t="s">
        <v>46</v>
      </c>
      <c r="B50" s="82">
        <v>4</v>
      </c>
      <c r="C50" s="83"/>
      <c r="D50" s="70">
        <v>2</v>
      </c>
      <c r="E50" s="102"/>
      <c r="F50" s="82">
        <v>3</v>
      </c>
      <c r="G50" s="83"/>
      <c r="H50" s="70">
        <v>4</v>
      </c>
      <c r="I50" s="102"/>
      <c r="J50" s="82">
        <v>3</v>
      </c>
      <c r="K50" s="83"/>
      <c r="L50" s="70">
        <v>1</v>
      </c>
      <c r="M50" s="83"/>
    </row>
    <row r="51" spans="1:13" ht="16.5" x14ac:dyDescent="0.35">
      <c r="A51" s="115" t="s">
        <v>47</v>
      </c>
      <c r="B51" s="82">
        <v>2</v>
      </c>
      <c r="C51" s="83"/>
      <c r="D51" s="70">
        <v>4</v>
      </c>
      <c r="E51" s="102"/>
      <c r="F51" s="82">
        <v>9</v>
      </c>
      <c r="G51" s="83"/>
      <c r="H51" s="70">
        <v>3</v>
      </c>
      <c r="I51" s="102"/>
      <c r="J51" s="82">
        <v>7</v>
      </c>
      <c r="K51" s="83"/>
      <c r="L51" s="70">
        <v>4</v>
      </c>
      <c r="M51" s="83"/>
    </row>
    <row r="52" spans="1:13" ht="16.5" x14ac:dyDescent="0.35">
      <c r="A52" s="115" t="s">
        <v>48</v>
      </c>
      <c r="B52" s="82">
        <v>7</v>
      </c>
      <c r="C52" s="83"/>
      <c r="D52" s="70">
        <v>6</v>
      </c>
      <c r="E52" s="102"/>
      <c r="F52" s="82">
        <v>7</v>
      </c>
      <c r="G52" s="83"/>
      <c r="H52" s="70">
        <v>9</v>
      </c>
      <c r="I52" s="102"/>
      <c r="J52" s="82">
        <v>9</v>
      </c>
      <c r="K52" s="83"/>
      <c r="L52" s="70">
        <v>14</v>
      </c>
      <c r="M52" s="83"/>
    </row>
    <row r="53" spans="1:13" ht="16.5" x14ac:dyDescent="0.35">
      <c r="A53" s="115" t="s">
        <v>49</v>
      </c>
      <c r="B53" s="82">
        <v>3</v>
      </c>
      <c r="C53" s="83"/>
      <c r="D53" s="70">
        <v>9</v>
      </c>
      <c r="E53" s="102"/>
      <c r="F53" s="82">
        <v>7</v>
      </c>
      <c r="G53" s="83"/>
      <c r="H53" s="70">
        <v>6</v>
      </c>
      <c r="I53" s="102"/>
      <c r="J53" s="82">
        <v>4</v>
      </c>
      <c r="K53" s="83"/>
      <c r="L53" s="70" t="s">
        <v>179</v>
      </c>
      <c r="M53" s="83"/>
    </row>
    <row r="54" spans="1:13" ht="16.5" x14ac:dyDescent="0.35">
      <c r="A54" s="115" t="s">
        <v>50</v>
      </c>
      <c r="B54" s="82"/>
      <c r="C54" s="83"/>
      <c r="D54" s="70">
        <v>5</v>
      </c>
      <c r="E54" s="102"/>
      <c r="F54" s="82"/>
      <c r="G54" s="83"/>
      <c r="H54" s="70"/>
      <c r="I54" s="102"/>
      <c r="J54" s="82">
        <v>1</v>
      </c>
      <c r="K54" s="83"/>
      <c r="L54" s="70">
        <v>3</v>
      </c>
      <c r="M54" s="83"/>
    </row>
    <row r="55" spans="1:13" ht="16.5" x14ac:dyDescent="0.35">
      <c r="A55" s="115" t="s">
        <v>51</v>
      </c>
      <c r="B55" s="82"/>
      <c r="C55" s="83"/>
      <c r="D55" s="70"/>
      <c r="E55" s="102"/>
      <c r="F55" s="82"/>
      <c r="G55" s="83"/>
      <c r="H55" s="70"/>
      <c r="I55" s="102"/>
      <c r="J55" s="82">
        <v>1</v>
      </c>
      <c r="K55" s="83"/>
      <c r="L55" s="70" t="s">
        <v>179</v>
      </c>
      <c r="M55" s="83"/>
    </row>
    <row r="56" spans="1:13" s="55" customFormat="1" ht="16.5" x14ac:dyDescent="0.35">
      <c r="A56" s="115" t="s">
        <v>175</v>
      </c>
      <c r="B56" s="82"/>
      <c r="C56" s="83"/>
      <c r="D56" s="70"/>
      <c r="E56" s="102"/>
      <c r="F56" s="82"/>
      <c r="G56" s="83"/>
      <c r="H56" s="70"/>
      <c r="I56" s="102"/>
      <c r="J56" s="82" t="s">
        <v>179</v>
      </c>
      <c r="K56" s="83"/>
      <c r="L56" s="70">
        <v>1</v>
      </c>
      <c r="M56" s="83"/>
    </row>
    <row r="57" spans="1:13" ht="16.5" x14ac:dyDescent="0.35">
      <c r="A57" s="115" t="s">
        <v>52</v>
      </c>
      <c r="B57" s="82">
        <v>9</v>
      </c>
      <c r="C57" s="83"/>
      <c r="D57" s="70">
        <v>10</v>
      </c>
      <c r="E57" s="102"/>
      <c r="F57" s="82">
        <v>11</v>
      </c>
      <c r="G57" s="83"/>
      <c r="H57" s="70">
        <v>13</v>
      </c>
      <c r="I57" s="102"/>
      <c r="J57" s="82">
        <v>14</v>
      </c>
      <c r="K57" s="83"/>
      <c r="L57" s="70">
        <v>10</v>
      </c>
      <c r="M57" s="83"/>
    </row>
    <row r="58" spans="1:13" ht="16.5" x14ac:dyDescent="0.35">
      <c r="A58" s="115" t="s">
        <v>53</v>
      </c>
      <c r="B58" s="82"/>
      <c r="C58" s="83"/>
      <c r="D58" s="70">
        <v>1</v>
      </c>
      <c r="E58" s="102"/>
      <c r="F58" s="82"/>
      <c r="G58" s="83"/>
      <c r="H58" s="70">
        <v>1</v>
      </c>
      <c r="I58" s="102"/>
      <c r="J58" s="82" t="s">
        <v>179</v>
      </c>
      <c r="K58" s="83"/>
      <c r="L58" s="70">
        <v>1</v>
      </c>
      <c r="M58" s="83"/>
    </row>
    <row r="59" spans="1:13" s="55" customFormat="1" ht="16.5" x14ac:dyDescent="0.35">
      <c r="A59" s="115" t="s">
        <v>176</v>
      </c>
      <c r="B59" s="82"/>
      <c r="C59" s="83"/>
      <c r="D59" s="70"/>
      <c r="E59" s="102"/>
      <c r="F59" s="82"/>
      <c r="G59" s="83"/>
      <c r="H59" s="70"/>
      <c r="I59" s="102"/>
      <c r="J59" s="82" t="s">
        <v>179</v>
      </c>
      <c r="K59" s="83"/>
      <c r="L59" s="70">
        <v>1</v>
      </c>
      <c r="M59" s="83"/>
    </row>
    <row r="60" spans="1:13" ht="16.5" x14ac:dyDescent="0.35">
      <c r="A60" s="115" t="s">
        <v>54</v>
      </c>
      <c r="B60" s="82">
        <v>2</v>
      </c>
      <c r="C60" s="83"/>
      <c r="D60" s="70"/>
      <c r="E60" s="102"/>
      <c r="F60" s="82"/>
      <c r="G60" s="83"/>
      <c r="H60" s="70"/>
      <c r="I60" s="102"/>
      <c r="J60" s="82" t="s">
        <v>179</v>
      </c>
      <c r="K60" s="83"/>
      <c r="L60" s="70" t="s">
        <v>179</v>
      </c>
      <c r="M60" s="83"/>
    </row>
    <row r="61" spans="1:13" ht="16.5" x14ac:dyDescent="0.35">
      <c r="A61" s="115" t="s">
        <v>55</v>
      </c>
      <c r="B61" s="82">
        <v>2</v>
      </c>
      <c r="C61" s="83"/>
      <c r="D61" s="70">
        <v>2</v>
      </c>
      <c r="E61" s="102"/>
      <c r="F61" s="82">
        <v>7</v>
      </c>
      <c r="G61" s="83"/>
      <c r="H61" s="70">
        <v>5</v>
      </c>
      <c r="I61" s="102"/>
      <c r="J61" s="82">
        <v>4</v>
      </c>
      <c r="K61" s="83"/>
      <c r="L61" s="70">
        <v>3</v>
      </c>
      <c r="M61" s="83"/>
    </row>
    <row r="62" spans="1:13" ht="16.5" x14ac:dyDescent="0.35">
      <c r="A62" s="115" t="s">
        <v>56</v>
      </c>
      <c r="B62" s="82">
        <v>2</v>
      </c>
      <c r="C62" s="83"/>
      <c r="D62" s="70">
        <v>6</v>
      </c>
      <c r="E62" s="102"/>
      <c r="F62" s="82">
        <v>6</v>
      </c>
      <c r="G62" s="83"/>
      <c r="H62" s="70">
        <v>8</v>
      </c>
      <c r="I62" s="102"/>
      <c r="J62" s="82">
        <v>5</v>
      </c>
      <c r="K62" s="83"/>
      <c r="L62" s="70">
        <v>6</v>
      </c>
      <c r="M62" s="83"/>
    </row>
    <row r="63" spans="1:13" ht="16.5" x14ac:dyDescent="0.35">
      <c r="A63" s="115" t="s">
        <v>57</v>
      </c>
      <c r="B63" s="82">
        <v>229</v>
      </c>
      <c r="C63" s="83"/>
      <c r="D63" s="70">
        <v>179</v>
      </c>
      <c r="E63" s="102"/>
      <c r="F63" s="82">
        <v>88</v>
      </c>
      <c r="G63" s="83"/>
      <c r="H63" s="70">
        <v>27</v>
      </c>
      <c r="I63" s="102"/>
      <c r="J63" s="82">
        <v>13</v>
      </c>
      <c r="K63" s="83"/>
      <c r="L63" s="70">
        <v>5</v>
      </c>
      <c r="M63" s="83"/>
    </row>
    <row r="64" spans="1:13" ht="16.5" x14ac:dyDescent="0.35">
      <c r="A64" s="115" t="s">
        <v>58</v>
      </c>
      <c r="B64" s="82">
        <v>15</v>
      </c>
      <c r="C64" s="83"/>
      <c r="D64" s="70">
        <v>20</v>
      </c>
      <c r="E64" s="102"/>
      <c r="F64" s="82">
        <v>24</v>
      </c>
      <c r="G64" s="83"/>
      <c r="H64" s="70">
        <v>29</v>
      </c>
      <c r="I64" s="102"/>
      <c r="J64" s="82">
        <v>23</v>
      </c>
      <c r="K64" s="83"/>
      <c r="L64" s="70">
        <v>9</v>
      </c>
      <c r="M64" s="83"/>
    </row>
    <row r="65" spans="1:13" s="55" customFormat="1" ht="16.5" x14ac:dyDescent="0.35">
      <c r="A65" s="115" t="s">
        <v>177</v>
      </c>
      <c r="B65" s="82"/>
      <c r="C65" s="83"/>
      <c r="D65" s="70"/>
      <c r="E65" s="102"/>
      <c r="F65" s="82"/>
      <c r="G65" s="83"/>
      <c r="H65" s="70"/>
      <c r="I65" s="102"/>
      <c r="J65" s="82" t="s">
        <v>179</v>
      </c>
      <c r="K65" s="83"/>
      <c r="L65" s="70">
        <v>5</v>
      </c>
      <c r="M65" s="83"/>
    </row>
    <row r="66" spans="1:13" s="55" customFormat="1" ht="16.5" x14ac:dyDescent="0.35">
      <c r="A66" s="115" t="s">
        <v>178</v>
      </c>
      <c r="B66" s="82"/>
      <c r="C66" s="83"/>
      <c r="D66" s="70"/>
      <c r="E66" s="102"/>
      <c r="F66" s="82"/>
      <c r="G66" s="83"/>
      <c r="H66" s="70"/>
      <c r="I66" s="102"/>
      <c r="J66" s="82" t="s">
        <v>179</v>
      </c>
      <c r="K66" s="83"/>
      <c r="L66" s="70">
        <v>9</v>
      </c>
      <c r="M66" s="83"/>
    </row>
    <row r="67" spans="1:13" ht="16.5" x14ac:dyDescent="0.35">
      <c r="A67" s="115" t="s">
        <v>59</v>
      </c>
      <c r="B67" s="82">
        <v>7</v>
      </c>
      <c r="C67" s="83"/>
      <c r="D67" s="70">
        <v>8</v>
      </c>
      <c r="E67" s="102"/>
      <c r="F67" s="82">
        <v>5</v>
      </c>
      <c r="G67" s="83"/>
      <c r="H67" s="70">
        <v>7</v>
      </c>
      <c r="I67" s="102"/>
      <c r="J67" s="82">
        <v>1</v>
      </c>
      <c r="K67" s="83"/>
      <c r="L67" s="70">
        <v>7</v>
      </c>
      <c r="M67" s="83"/>
    </row>
    <row r="68" spans="1:13" ht="16.5" x14ac:dyDescent="0.35">
      <c r="A68" s="115" t="s">
        <v>60</v>
      </c>
      <c r="B68" s="82">
        <v>10</v>
      </c>
      <c r="C68" s="83"/>
      <c r="D68" s="70">
        <v>12</v>
      </c>
      <c r="E68" s="102"/>
      <c r="F68" s="82">
        <v>11</v>
      </c>
      <c r="G68" s="83"/>
      <c r="H68" s="70">
        <v>10</v>
      </c>
      <c r="I68" s="102"/>
      <c r="J68" s="82">
        <v>12</v>
      </c>
      <c r="K68" s="83"/>
      <c r="L68" s="70">
        <v>10</v>
      </c>
      <c r="M68" s="83"/>
    </row>
    <row r="69" spans="1:13" ht="16.5" x14ac:dyDescent="0.35">
      <c r="A69" s="115" t="s">
        <v>61</v>
      </c>
      <c r="B69" s="82">
        <v>15</v>
      </c>
      <c r="C69" s="83"/>
      <c r="D69" s="70">
        <v>19</v>
      </c>
      <c r="E69" s="102"/>
      <c r="F69" s="82">
        <v>38</v>
      </c>
      <c r="G69" s="83"/>
      <c r="H69" s="70">
        <v>21</v>
      </c>
      <c r="I69" s="102"/>
      <c r="J69" s="82">
        <v>11</v>
      </c>
      <c r="K69" s="83"/>
      <c r="L69" s="70">
        <v>5</v>
      </c>
      <c r="M69" s="83"/>
    </row>
    <row r="70" spans="1:13" ht="16.5" x14ac:dyDescent="0.35">
      <c r="A70" s="115" t="s">
        <v>62</v>
      </c>
      <c r="B70" s="82">
        <v>3</v>
      </c>
      <c r="C70" s="83"/>
      <c r="D70" s="70">
        <v>2</v>
      </c>
      <c r="E70" s="102"/>
      <c r="F70" s="82">
        <v>6</v>
      </c>
      <c r="G70" s="83"/>
      <c r="H70" s="70">
        <v>11</v>
      </c>
      <c r="I70" s="102"/>
      <c r="J70" s="82">
        <v>6</v>
      </c>
      <c r="K70" s="83"/>
      <c r="L70" s="70">
        <v>4</v>
      </c>
      <c r="M70" s="83"/>
    </row>
    <row r="71" spans="1:13" ht="16.5" x14ac:dyDescent="0.35">
      <c r="A71" s="115" t="s">
        <v>63</v>
      </c>
      <c r="B71" s="82">
        <v>66</v>
      </c>
      <c r="C71" s="83"/>
      <c r="D71" s="70">
        <v>46</v>
      </c>
      <c r="E71" s="102"/>
      <c r="F71" s="82">
        <v>50</v>
      </c>
      <c r="G71" s="83"/>
      <c r="H71" s="70">
        <v>55</v>
      </c>
      <c r="I71" s="102"/>
      <c r="J71" s="82">
        <v>40</v>
      </c>
      <c r="K71" s="83"/>
      <c r="L71" s="70">
        <v>50</v>
      </c>
      <c r="M71" s="83"/>
    </row>
    <row r="72" spans="1:13" ht="16.5" x14ac:dyDescent="0.35">
      <c r="A72" s="115" t="s">
        <v>64</v>
      </c>
      <c r="B72" s="82">
        <v>3</v>
      </c>
      <c r="C72" s="83"/>
      <c r="D72" s="70">
        <v>6</v>
      </c>
      <c r="E72" s="102"/>
      <c r="F72" s="82">
        <v>6</v>
      </c>
      <c r="G72" s="83"/>
      <c r="H72" s="70">
        <v>6</v>
      </c>
      <c r="I72" s="102"/>
      <c r="J72" s="82">
        <v>19</v>
      </c>
      <c r="K72" s="83"/>
      <c r="L72" s="70">
        <v>12</v>
      </c>
      <c r="M72" s="83"/>
    </row>
    <row r="73" spans="1:13" ht="16.5" x14ac:dyDescent="0.35">
      <c r="A73" s="115" t="s">
        <v>65</v>
      </c>
      <c r="B73" s="82">
        <v>8</v>
      </c>
      <c r="C73" s="83"/>
      <c r="D73" s="70">
        <v>7</v>
      </c>
      <c r="E73" s="102"/>
      <c r="F73" s="82">
        <v>10</v>
      </c>
      <c r="G73" s="83"/>
      <c r="H73" s="70">
        <v>8</v>
      </c>
      <c r="I73" s="102"/>
      <c r="J73" s="82">
        <v>4</v>
      </c>
      <c r="K73" s="83"/>
      <c r="L73" s="70">
        <v>4</v>
      </c>
      <c r="M73" s="83"/>
    </row>
    <row r="74" spans="1:13" ht="16.5" x14ac:dyDescent="0.35">
      <c r="A74" s="115" t="s">
        <v>66</v>
      </c>
      <c r="B74" s="82">
        <v>28</v>
      </c>
      <c r="C74" s="83"/>
      <c r="D74" s="70">
        <v>79</v>
      </c>
      <c r="E74" s="102"/>
      <c r="F74" s="82">
        <v>101</v>
      </c>
      <c r="G74" s="83"/>
      <c r="H74" s="70">
        <v>174</v>
      </c>
      <c r="I74" s="102"/>
      <c r="J74" s="82">
        <v>176</v>
      </c>
      <c r="K74" s="83"/>
      <c r="L74" s="70">
        <v>155</v>
      </c>
      <c r="M74" s="83"/>
    </row>
    <row r="75" spans="1:13" ht="16.5" x14ac:dyDescent="0.35">
      <c r="A75" s="115" t="s">
        <v>67</v>
      </c>
      <c r="B75" s="82"/>
      <c r="C75" s="83"/>
      <c r="D75" s="70"/>
      <c r="E75" s="102"/>
      <c r="F75" s="82"/>
      <c r="G75" s="83"/>
      <c r="H75" s="70">
        <v>1</v>
      </c>
      <c r="I75" s="102"/>
      <c r="J75" s="82">
        <v>1</v>
      </c>
      <c r="K75" s="83"/>
      <c r="L75" s="70">
        <v>5</v>
      </c>
      <c r="M75" s="83"/>
    </row>
    <row r="76" spans="1:13" ht="16.5" x14ac:dyDescent="0.35">
      <c r="A76" s="115" t="s">
        <v>68</v>
      </c>
      <c r="B76" s="82"/>
      <c r="C76" s="83"/>
      <c r="D76" s="70"/>
      <c r="E76" s="102"/>
      <c r="F76" s="82"/>
      <c r="G76" s="83"/>
      <c r="H76" s="70">
        <v>1</v>
      </c>
      <c r="I76" s="102"/>
      <c r="J76" s="82" t="s">
        <v>179</v>
      </c>
      <c r="K76" s="83"/>
      <c r="L76" s="70">
        <v>2</v>
      </c>
      <c r="M76" s="83"/>
    </row>
    <row r="77" spans="1:13" ht="17.25" thickBot="1" x14ac:dyDescent="0.4">
      <c r="A77" s="116" t="s">
        <v>69</v>
      </c>
      <c r="B77" s="84">
        <v>6</v>
      </c>
      <c r="C77" s="85"/>
      <c r="D77" s="71">
        <v>6</v>
      </c>
      <c r="E77" s="103"/>
      <c r="F77" s="84">
        <v>12</v>
      </c>
      <c r="G77" s="85"/>
      <c r="H77" s="71">
        <v>8</v>
      </c>
      <c r="I77" s="103"/>
      <c r="J77" s="84">
        <v>12</v>
      </c>
      <c r="K77" s="85"/>
      <c r="L77" s="71">
        <v>7</v>
      </c>
      <c r="M77" s="85"/>
    </row>
    <row r="78" spans="1:13" ht="18" thickTop="1" thickBot="1" x14ac:dyDescent="0.3">
      <c r="A78" s="117" t="s">
        <v>70</v>
      </c>
      <c r="B78" s="86">
        <f>SUM(B10:B77)</f>
        <v>1398</v>
      </c>
      <c r="C78" s="87"/>
      <c r="D78" s="72">
        <f>SUM(D10:D77)</f>
        <v>1527</v>
      </c>
      <c r="E78" s="104"/>
      <c r="F78" s="86">
        <f>SUM(F10:F77)</f>
        <v>1499</v>
      </c>
      <c r="G78" s="87"/>
      <c r="H78" s="72">
        <f>SUM(H10:H77)</f>
        <v>1567</v>
      </c>
      <c r="I78" s="104"/>
      <c r="J78" s="86">
        <v>1594</v>
      </c>
      <c r="K78" s="112"/>
      <c r="L78" s="72">
        <f>SUM(L10:L77)</f>
        <v>1748</v>
      </c>
      <c r="M78" s="112"/>
    </row>
    <row r="79" spans="1:13" ht="17.25" thickTop="1" x14ac:dyDescent="0.35">
      <c r="A79" s="118" t="s">
        <v>71</v>
      </c>
      <c r="B79" s="88">
        <v>8</v>
      </c>
      <c r="C79" s="89"/>
      <c r="D79" s="73">
        <v>9</v>
      </c>
      <c r="E79" s="105"/>
      <c r="F79" s="88">
        <v>5</v>
      </c>
      <c r="G79" s="89"/>
      <c r="H79" s="73">
        <v>5</v>
      </c>
      <c r="I79" s="105"/>
      <c r="J79" s="88">
        <v>19</v>
      </c>
      <c r="K79" s="89"/>
      <c r="L79" s="73">
        <v>11</v>
      </c>
      <c r="M79" s="89"/>
    </row>
    <row r="80" spans="1:13" ht="16.5" x14ac:dyDescent="0.35">
      <c r="A80" s="119" t="s">
        <v>72</v>
      </c>
      <c r="B80" s="90">
        <v>4</v>
      </c>
      <c r="C80" s="91"/>
      <c r="D80" s="74">
        <v>6</v>
      </c>
      <c r="E80" s="106"/>
      <c r="F80" s="90">
        <v>19</v>
      </c>
      <c r="G80" s="91"/>
      <c r="H80" s="74">
        <v>19</v>
      </c>
      <c r="I80" s="106"/>
      <c r="J80" s="90">
        <v>29</v>
      </c>
      <c r="K80" s="91"/>
      <c r="L80" s="74">
        <v>29</v>
      </c>
      <c r="M80" s="91"/>
    </row>
    <row r="81" spans="1:13" ht="16.5" x14ac:dyDescent="0.35">
      <c r="A81" s="119" t="s">
        <v>73</v>
      </c>
      <c r="B81" s="90">
        <v>1</v>
      </c>
      <c r="C81" s="91"/>
      <c r="D81" s="74"/>
      <c r="E81" s="106"/>
      <c r="F81" s="90">
        <v>1</v>
      </c>
      <c r="G81" s="91"/>
      <c r="H81" s="74">
        <v>7</v>
      </c>
      <c r="I81" s="106"/>
      <c r="J81" s="90">
        <v>3</v>
      </c>
      <c r="K81" s="91"/>
      <c r="L81" s="74">
        <v>10</v>
      </c>
      <c r="M81" s="91"/>
    </row>
    <row r="82" spans="1:13" ht="16.5" x14ac:dyDescent="0.35">
      <c r="A82" s="119" t="s">
        <v>74</v>
      </c>
      <c r="B82" s="90">
        <v>1</v>
      </c>
      <c r="C82" s="91"/>
      <c r="D82" s="74">
        <v>1</v>
      </c>
      <c r="E82" s="106"/>
      <c r="F82" s="90">
        <v>2</v>
      </c>
      <c r="G82" s="91"/>
      <c r="H82" s="74">
        <v>5</v>
      </c>
      <c r="I82" s="106"/>
      <c r="J82" s="90">
        <v>3</v>
      </c>
      <c r="K82" s="91"/>
      <c r="L82" s="74">
        <v>3</v>
      </c>
      <c r="M82" s="91"/>
    </row>
    <row r="83" spans="1:13" ht="16.5" x14ac:dyDescent="0.35">
      <c r="A83" s="119" t="s">
        <v>75</v>
      </c>
      <c r="B83" s="90">
        <v>4</v>
      </c>
      <c r="C83" s="91"/>
      <c r="D83" s="74">
        <v>1</v>
      </c>
      <c r="E83" s="106"/>
      <c r="F83" s="90">
        <v>1</v>
      </c>
      <c r="G83" s="91"/>
      <c r="H83" s="74">
        <v>1</v>
      </c>
      <c r="I83" s="106"/>
      <c r="J83" s="90">
        <v>6</v>
      </c>
      <c r="K83" s="91"/>
      <c r="L83" s="74">
        <v>2</v>
      </c>
      <c r="M83" s="91"/>
    </row>
    <row r="84" spans="1:13" ht="16.5" x14ac:dyDescent="0.35">
      <c r="A84" s="119" t="s">
        <v>76</v>
      </c>
      <c r="B84" s="90">
        <v>1</v>
      </c>
      <c r="C84" s="91"/>
      <c r="D84" s="74">
        <v>2</v>
      </c>
      <c r="E84" s="106"/>
      <c r="F84" s="90">
        <v>3</v>
      </c>
      <c r="G84" s="91"/>
      <c r="H84" s="74">
        <v>3</v>
      </c>
      <c r="I84" s="106"/>
      <c r="J84" s="90">
        <v>6</v>
      </c>
      <c r="K84" s="91"/>
      <c r="L84" s="74">
        <v>1</v>
      </c>
      <c r="M84" s="91"/>
    </row>
    <row r="85" spans="1:13" ht="16.5" x14ac:dyDescent="0.35">
      <c r="A85" s="119" t="s">
        <v>77</v>
      </c>
      <c r="B85" s="90"/>
      <c r="C85" s="91"/>
      <c r="D85" s="74">
        <v>1</v>
      </c>
      <c r="E85" s="106"/>
      <c r="F85" s="90">
        <v>1</v>
      </c>
      <c r="G85" s="91"/>
      <c r="H85" s="74">
        <v>3</v>
      </c>
      <c r="I85" s="106"/>
      <c r="J85" s="90">
        <v>2</v>
      </c>
      <c r="K85" s="91"/>
      <c r="L85" s="74">
        <v>2</v>
      </c>
      <c r="M85" s="91"/>
    </row>
    <row r="86" spans="1:13" ht="16.5" x14ac:dyDescent="0.35">
      <c r="A86" s="119" t="s">
        <v>78</v>
      </c>
      <c r="B86" s="90"/>
      <c r="C86" s="91"/>
      <c r="D86" s="74">
        <v>2</v>
      </c>
      <c r="E86" s="106"/>
      <c r="F86" s="90">
        <v>1</v>
      </c>
      <c r="G86" s="91"/>
      <c r="H86" s="74"/>
      <c r="I86" s="106"/>
      <c r="J86" s="90">
        <v>1</v>
      </c>
      <c r="K86" s="91"/>
      <c r="L86" s="74">
        <v>2</v>
      </c>
      <c r="M86" s="91"/>
    </row>
    <row r="87" spans="1:13" ht="16.5" x14ac:dyDescent="0.35">
      <c r="A87" s="119" t="s">
        <v>79</v>
      </c>
      <c r="B87" s="90">
        <v>1</v>
      </c>
      <c r="C87" s="91"/>
      <c r="D87" s="74"/>
      <c r="E87" s="106"/>
      <c r="F87" s="90">
        <v>2</v>
      </c>
      <c r="G87" s="91"/>
      <c r="H87" s="74">
        <v>2</v>
      </c>
      <c r="I87" s="106"/>
      <c r="J87" s="90" t="s">
        <v>179</v>
      </c>
      <c r="K87" s="91"/>
      <c r="L87" s="74" t="s">
        <v>179</v>
      </c>
      <c r="M87" s="91"/>
    </row>
    <row r="88" spans="1:13" ht="16.5" x14ac:dyDescent="0.35">
      <c r="A88" s="119" t="s">
        <v>80</v>
      </c>
      <c r="B88" s="90">
        <v>11</v>
      </c>
      <c r="C88" s="91"/>
      <c r="D88" s="74">
        <v>9</v>
      </c>
      <c r="E88" s="106"/>
      <c r="F88" s="90">
        <v>7</v>
      </c>
      <c r="G88" s="91"/>
      <c r="H88" s="74">
        <v>6</v>
      </c>
      <c r="I88" s="106"/>
      <c r="J88" s="90">
        <v>4</v>
      </c>
      <c r="K88" s="91"/>
      <c r="L88" s="74">
        <v>10</v>
      </c>
      <c r="M88" s="91"/>
    </row>
    <row r="89" spans="1:13" ht="16.5" x14ac:dyDescent="0.35">
      <c r="A89" s="119" t="s">
        <v>81</v>
      </c>
      <c r="B89" s="90">
        <v>3</v>
      </c>
      <c r="C89" s="91"/>
      <c r="D89" s="74">
        <v>5</v>
      </c>
      <c r="E89" s="106"/>
      <c r="F89" s="90">
        <v>3</v>
      </c>
      <c r="G89" s="91"/>
      <c r="H89" s="74">
        <v>3</v>
      </c>
      <c r="I89" s="106"/>
      <c r="J89" s="90">
        <v>5</v>
      </c>
      <c r="K89" s="91"/>
      <c r="L89" s="74">
        <v>6</v>
      </c>
      <c r="M89" s="91"/>
    </row>
    <row r="90" spans="1:13" ht="16.5" x14ac:dyDescent="0.35">
      <c r="A90" s="119" t="s">
        <v>82</v>
      </c>
      <c r="B90" s="90">
        <v>1</v>
      </c>
      <c r="C90" s="91"/>
      <c r="D90" s="74">
        <v>1</v>
      </c>
      <c r="E90" s="106"/>
      <c r="F90" s="90">
        <v>2</v>
      </c>
      <c r="G90" s="91"/>
      <c r="H90" s="74">
        <v>4</v>
      </c>
      <c r="I90" s="106"/>
      <c r="J90" s="90">
        <v>2</v>
      </c>
      <c r="K90" s="91"/>
      <c r="L90" s="74">
        <v>1</v>
      </c>
      <c r="M90" s="91"/>
    </row>
    <row r="91" spans="1:13" ht="16.5" x14ac:dyDescent="0.35">
      <c r="A91" s="119" t="s">
        <v>83</v>
      </c>
      <c r="B91" s="90">
        <v>2</v>
      </c>
      <c r="C91" s="91"/>
      <c r="D91" s="74">
        <v>4</v>
      </c>
      <c r="E91" s="106"/>
      <c r="F91" s="90">
        <v>4</v>
      </c>
      <c r="G91" s="91"/>
      <c r="H91" s="74">
        <v>3</v>
      </c>
      <c r="I91" s="106"/>
      <c r="J91" s="90">
        <v>2</v>
      </c>
      <c r="K91" s="91"/>
      <c r="L91" s="74" t="s">
        <v>179</v>
      </c>
      <c r="M91" s="91"/>
    </row>
    <row r="92" spans="1:13" ht="16.5" x14ac:dyDescent="0.35">
      <c r="A92" s="119" t="s">
        <v>84</v>
      </c>
      <c r="B92" s="90">
        <v>4</v>
      </c>
      <c r="C92" s="91"/>
      <c r="D92" s="74">
        <v>1</v>
      </c>
      <c r="E92" s="106"/>
      <c r="F92" s="90">
        <v>2</v>
      </c>
      <c r="G92" s="91"/>
      <c r="H92" s="74">
        <v>7</v>
      </c>
      <c r="I92" s="106"/>
      <c r="J92" s="90">
        <v>4</v>
      </c>
      <c r="K92" s="91"/>
      <c r="L92" s="74">
        <v>7</v>
      </c>
      <c r="M92" s="91"/>
    </row>
    <row r="93" spans="1:13" ht="16.5" x14ac:dyDescent="0.35">
      <c r="A93" s="119" t="s">
        <v>85</v>
      </c>
      <c r="B93" s="90">
        <v>4</v>
      </c>
      <c r="C93" s="91"/>
      <c r="D93" s="74"/>
      <c r="E93" s="106"/>
      <c r="F93" s="90">
        <v>7</v>
      </c>
      <c r="G93" s="91"/>
      <c r="H93" s="74">
        <v>12</v>
      </c>
      <c r="I93" s="106"/>
      <c r="J93" s="90">
        <v>4</v>
      </c>
      <c r="K93" s="91"/>
      <c r="L93" s="74" t="s">
        <v>179</v>
      </c>
      <c r="M93" s="91"/>
    </row>
    <row r="94" spans="1:13" ht="16.5" x14ac:dyDescent="0.35">
      <c r="A94" s="119" t="s">
        <v>86</v>
      </c>
      <c r="B94" s="90">
        <v>4</v>
      </c>
      <c r="C94" s="91"/>
      <c r="D94" s="74"/>
      <c r="E94" s="106"/>
      <c r="F94" s="90">
        <v>2</v>
      </c>
      <c r="G94" s="91"/>
      <c r="H94" s="74"/>
      <c r="I94" s="106"/>
      <c r="J94" s="90">
        <v>1</v>
      </c>
      <c r="K94" s="91"/>
      <c r="L94" s="74" t="s">
        <v>179</v>
      </c>
      <c r="M94" s="91"/>
    </row>
    <row r="95" spans="1:13" ht="16.5" x14ac:dyDescent="0.35">
      <c r="A95" s="119" t="s">
        <v>87</v>
      </c>
      <c r="B95" s="90"/>
      <c r="C95" s="91"/>
      <c r="D95" s="74">
        <v>3</v>
      </c>
      <c r="E95" s="106"/>
      <c r="F95" s="90">
        <v>1</v>
      </c>
      <c r="G95" s="91"/>
      <c r="H95" s="74">
        <v>6</v>
      </c>
      <c r="I95" s="106"/>
      <c r="J95" s="90">
        <v>8</v>
      </c>
      <c r="K95" s="91"/>
      <c r="L95" s="74">
        <v>6</v>
      </c>
      <c r="M95" s="91"/>
    </row>
    <row r="96" spans="1:13" s="55" customFormat="1" ht="16.5" x14ac:dyDescent="0.35">
      <c r="A96" s="119" t="s">
        <v>180</v>
      </c>
      <c r="B96" s="90"/>
      <c r="C96" s="91"/>
      <c r="D96" s="74"/>
      <c r="E96" s="106"/>
      <c r="F96" s="90"/>
      <c r="G96" s="91"/>
      <c r="H96" s="74"/>
      <c r="I96" s="106"/>
      <c r="J96" s="90" t="s">
        <v>179</v>
      </c>
      <c r="K96" s="91"/>
      <c r="L96" s="74">
        <v>2</v>
      </c>
      <c r="M96" s="91"/>
    </row>
    <row r="97" spans="1:13" ht="16.5" x14ac:dyDescent="0.35">
      <c r="A97" s="119" t="s">
        <v>88</v>
      </c>
      <c r="B97" s="90">
        <v>9</v>
      </c>
      <c r="C97" s="91"/>
      <c r="D97" s="74">
        <v>2</v>
      </c>
      <c r="E97" s="106"/>
      <c r="F97" s="90">
        <v>12</v>
      </c>
      <c r="G97" s="91"/>
      <c r="H97" s="74">
        <v>9</v>
      </c>
      <c r="I97" s="106"/>
      <c r="J97" s="90">
        <v>8</v>
      </c>
      <c r="K97" s="91"/>
      <c r="L97" s="74">
        <v>3</v>
      </c>
      <c r="M97" s="91"/>
    </row>
    <row r="98" spans="1:13" ht="16.5" x14ac:dyDescent="0.35">
      <c r="A98" s="119" t="s">
        <v>89</v>
      </c>
      <c r="B98" s="90">
        <v>1</v>
      </c>
      <c r="C98" s="91"/>
      <c r="D98" s="74">
        <v>1</v>
      </c>
      <c r="E98" s="106"/>
      <c r="F98" s="90">
        <v>3</v>
      </c>
      <c r="G98" s="91"/>
      <c r="H98" s="74"/>
      <c r="I98" s="106"/>
      <c r="J98" s="90" t="s">
        <v>179</v>
      </c>
      <c r="K98" s="91"/>
      <c r="L98" s="74" t="s">
        <v>179</v>
      </c>
      <c r="M98" s="91"/>
    </row>
    <row r="99" spans="1:13" ht="16.5" x14ac:dyDescent="0.35">
      <c r="A99" s="119" t="s">
        <v>90</v>
      </c>
      <c r="B99" s="90">
        <v>2</v>
      </c>
      <c r="C99" s="91"/>
      <c r="D99" s="74">
        <v>6</v>
      </c>
      <c r="E99" s="106"/>
      <c r="F99" s="90">
        <v>9</v>
      </c>
      <c r="G99" s="91"/>
      <c r="H99" s="74">
        <v>9</v>
      </c>
      <c r="I99" s="106"/>
      <c r="J99" s="90">
        <v>4</v>
      </c>
      <c r="K99" s="91"/>
      <c r="L99" s="74">
        <v>11</v>
      </c>
      <c r="M99" s="91"/>
    </row>
    <row r="100" spans="1:13" ht="16.5" x14ac:dyDescent="0.35">
      <c r="A100" s="119" t="s">
        <v>91</v>
      </c>
      <c r="B100" s="90">
        <v>2</v>
      </c>
      <c r="C100" s="91"/>
      <c r="D100" s="74">
        <v>1</v>
      </c>
      <c r="E100" s="106"/>
      <c r="F100" s="90">
        <v>2</v>
      </c>
      <c r="G100" s="91"/>
      <c r="H100" s="74">
        <v>4</v>
      </c>
      <c r="I100" s="106"/>
      <c r="J100" s="90">
        <v>2</v>
      </c>
      <c r="K100" s="91"/>
      <c r="L100" s="74" t="s">
        <v>179</v>
      </c>
      <c r="M100" s="91"/>
    </row>
    <row r="101" spans="1:13" ht="16.5" x14ac:dyDescent="0.35">
      <c r="A101" s="119" t="s">
        <v>92</v>
      </c>
      <c r="B101" s="90">
        <v>7</v>
      </c>
      <c r="C101" s="91"/>
      <c r="D101" s="74">
        <v>9</v>
      </c>
      <c r="E101" s="106"/>
      <c r="F101" s="90">
        <v>15</v>
      </c>
      <c r="G101" s="91"/>
      <c r="H101" s="74">
        <v>13</v>
      </c>
      <c r="I101" s="106"/>
      <c r="J101" s="90">
        <v>5</v>
      </c>
      <c r="K101" s="91"/>
      <c r="L101" s="74">
        <v>8</v>
      </c>
      <c r="M101" s="91"/>
    </row>
    <row r="102" spans="1:13" ht="16.5" x14ac:dyDescent="0.35">
      <c r="A102" s="119" t="s">
        <v>93</v>
      </c>
      <c r="B102" s="90">
        <v>7</v>
      </c>
      <c r="C102" s="91"/>
      <c r="D102" s="74">
        <v>7</v>
      </c>
      <c r="E102" s="106"/>
      <c r="F102" s="90">
        <v>9</v>
      </c>
      <c r="G102" s="91"/>
      <c r="H102" s="74">
        <v>10</v>
      </c>
      <c r="I102" s="106"/>
      <c r="J102" s="90">
        <v>10</v>
      </c>
      <c r="K102" s="91"/>
      <c r="L102" s="74">
        <v>6</v>
      </c>
      <c r="M102" s="91"/>
    </row>
    <row r="103" spans="1:13" ht="16.5" x14ac:dyDescent="0.35">
      <c r="A103" s="119" t="s">
        <v>94</v>
      </c>
      <c r="B103" s="90">
        <v>6</v>
      </c>
      <c r="C103" s="91"/>
      <c r="D103" s="74">
        <v>11</v>
      </c>
      <c r="E103" s="106"/>
      <c r="F103" s="90">
        <v>9</v>
      </c>
      <c r="G103" s="91"/>
      <c r="H103" s="74">
        <v>19</v>
      </c>
      <c r="I103" s="106"/>
      <c r="J103" s="90">
        <v>19</v>
      </c>
      <c r="K103" s="91"/>
      <c r="L103" s="74">
        <v>5</v>
      </c>
      <c r="M103" s="91"/>
    </row>
    <row r="104" spans="1:13" ht="16.5" x14ac:dyDescent="0.35">
      <c r="A104" s="119" t="s">
        <v>95</v>
      </c>
      <c r="B104" s="90"/>
      <c r="C104" s="91"/>
      <c r="D104" s="74">
        <v>1</v>
      </c>
      <c r="E104" s="106"/>
      <c r="F104" s="90"/>
      <c r="G104" s="91"/>
      <c r="H104" s="74"/>
      <c r="I104" s="106"/>
      <c r="J104" s="90">
        <v>2</v>
      </c>
      <c r="K104" s="91"/>
      <c r="L104" s="74">
        <v>1</v>
      </c>
      <c r="M104" s="91"/>
    </row>
    <row r="105" spans="1:13" ht="16.5" x14ac:dyDescent="0.35">
      <c r="A105" s="119" t="s">
        <v>96</v>
      </c>
      <c r="B105" s="90">
        <v>23</v>
      </c>
      <c r="C105" s="91"/>
      <c r="D105" s="74">
        <v>17</v>
      </c>
      <c r="E105" s="106"/>
      <c r="F105" s="90">
        <v>19</v>
      </c>
      <c r="G105" s="91"/>
      <c r="H105" s="74">
        <v>15</v>
      </c>
      <c r="I105" s="106"/>
      <c r="J105" s="90">
        <v>22</v>
      </c>
      <c r="K105" s="91"/>
      <c r="L105" s="74" t="s">
        <v>179</v>
      </c>
      <c r="M105" s="91"/>
    </row>
    <row r="106" spans="1:13" ht="16.5" x14ac:dyDescent="0.35">
      <c r="A106" s="119" t="s">
        <v>97</v>
      </c>
      <c r="B106" s="90">
        <v>10</v>
      </c>
      <c r="C106" s="91"/>
      <c r="D106" s="74">
        <v>14</v>
      </c>
      <c r="E106" s="106"/>
      <c r="F106" s="90">
        <v>19</v>
      </c>
      <c r="G106" s="91"/>
      <c r="H106" s="74">
        <v>17</v>
      </c>
      <c r="I106" s="106"/>
      <c r="J106" s="90">
        <v>17</v>
      </c>
      <c r="K106" s="91"/>
      <c r="L106" s="74" t="s">
        <v>179</v>
      </c>
      <c r="M106" s="91"/>
    </row>
    <row r="107" spans="1:13" ht="16.5" x14ac:dyDescent="0.35">
      <c r="A107" s="119" t="s">
        <v>98</v>
      </c>
      <c r="B107" s="90">
        <v>2</v>
      </c>
      <c r="C107" s="91"/>
      <c r="D107" s="74">
        <v>6</v>
      </c>
      <c r="E107" s="106"/>
      <c r="F107" s="90">
        <v>2</v>
      </c>
      <c r="G107" s="91"/>
      <c r="H107" s="74">
        <v>11</v>
      </c>
      <c r="I107" s="106"/>
      <c r="J107" s="90">
        <v>5</v>
      </c>
      <c r="K107" s="91"/>
      <c r="L107" s="74">
        <v>3</v>
      </c>
      <c r="M107" s="91"/>
    </row>
    <row r="108" spans="1:13" ht="16.5" x14ac:dyDescent="0.35">
      <c r="A108" s="119" t="s">
        <v>99</v>
      </c>
      <c r="B108" s="90">
        <v>4</v>
      </c>
      <c r="C108" s="91"/>
      <c r="D108" s="74">
        <v>7</v>
      </c>
      <c r="E108" s="106"/>
      <c r="F108" s="90">
        <v>6</v>
      </c>
      <c r="G108" s="91"/>
      <c r="H108" s="74">
        <v>9</v>
      </c>
      <c r="I108" s="106"/>
      <c r="J108" s="90">
        <v>18</v>
      </c>
      <c r="K108" s="91"/>
      <c r="L108" s="74">
        <v>22</v>
      </c>
      <c r="M108" s="91"/>
    </row>
    <row r="109" spans="1:13" ht="16.5" x14ac:dyDescent="0.35">
      <c r="A109" s="119" t="s">
        <v>100</v>
      </c>
      <c r="B109" s="90">
        <v>4</v>
      </c>
      <c r="C109" s="91"/>
      <c r="D109" s="74">
        <v>4</v>
      </c>
      <c r="E109" s="106"/>
      <c r="F109" s="90">
        <v>4</v>
      </c>
      <c r="G109" s="91"/>
      <c r="H109" s="74">
        <v>5</v>
      </c>
      <c r="I109" s="106"/>
      <c r="J109" s="90">
        <v>1</v>
      </c>
      <c r="K109" s="91"/>
      <c r="L109" s="74">
        <v>7</v>
      </c>
      <c r="M109" s="91"/>
    </row>
    <row r="110" spans="1:13" ht="16.5" x14ac:dyDescent="0.35">
      <c r="A110" s="119" t="s">
        <v>101</v>
      </c>
      <c r="B110" s="90"/>
      <c r="C110" s="91"/>
      <c r="D110" s="74"/>
      <c r="E110" s="106"/>
      <c r="F110" s="90">
        <v>2</v>
      </c>
      <c r="G110" s="91"/>
      <c r="H110" s="74">
        <v>11</v>
      </c>
      <c r="I110" s="106"/>
      <c r="J110" s="90">
        <v>3</v>
      </c>
      <c r="K110" s="91"/>
      <c r="L110" s="74">
        <v>7</v>
      </c>
      <c r="M110" s="91"/>
    </row>
    <row r="111" spans="1:13" ht="16.5" x14ac:dyDescent="0.35">
      <c r="A111" s="119" t="s">
        <v>102</v>
      </c>
      <c r="B111" s="90">
        <v>1</v>
      </c>
      <c r="C111" s="91"/>
      <c r="D111" s="74"/>
      <c r="E111" s="106"/>
      <c r="F111" s="90"/>
      <c r="G111" s="91"/>
      <c r="H111" s="74"/>
      <c r="I111" s="106"/>
      <c r="J111" s="90">
        <v>1</v>
      </c>
      <c r="K111" s="91"/>
      <c r="L111" s="74">
        <v>1</v>
      </c>
      <c r="M111" s="91"/>
    </row>
    <row r="112" spans="1:13" ht="17.25" thickBot="1" x14ac:dyDescent="0.4">
      <c r="A112" s="120" t="s">
        <v>103</v>
      </c>
      <c r="B112" s="92">
        <v>3</v>
      </c>
      <c r="C112" s="93"/>
      <c r="D112" s="75">
        <v>14</v>
      </c>
      <c r="E112" s="107"/>
      <c r="F112" s="92">
        <v>26</v>
      </c>
      <c r="G112" s="93"/>
      <c r="H112" s="75">
        <v>34</v>
      </c>
      <c r="I112" s="107"/>
      <c r="J112" s="92">
        <v>26</v>
      </c>
      <c r="K112" s="93"/>
      <c r="L112" s="75">
        <v>16</v>
      </c>
      <c r="M112" s="93"/>
    </row>
    <row r="113" spans="1:13" ht="18" thickTop="1" thickBot="1" x14ac:dyDescent="0.3">
      <c r="A113" s="121" t="s">
        <v>104</v>
      </c>
      <c r="B113" s="94">
        <f>SUM(B79:B112)</f>
        <v>130</v>
      </c>
      <c r="C113" s="95"/>
      <c r="D113" s="76">
        <f>SUM(D79:D112)</f>
        <v>145</v>
      </c>
      <c r="E113" s="108"/>
      <c r="F113" s="94">
        <f>SUM(F79:F112)</f>
        <v>200</v>
      </c>
      <c r="G113" s="95"/>
      <c r="H113" s="76">
        <f>SUM(H79:H112)</f>
        <v>252</v>
      </c>
      <c r="I113" s="108"/>
      <c r="J113" s="94">
        <v>242</v>
      </c>
      <c r="K113" s="95"/>
      <c r="L113" s="76">
        <v>182</v>
      </c>
      <c r="M113" s="95"/>
    </row>
    <row r="114" spans="1:13" ht="17.25" thickTop="1" x14ac:dyDescent="0.35">
      <c r="A114" s="122" t="s">
        <v>105</v>
      </c>
      <c r="B114" s="96"/>
      <c r="C114" s="97"/>
      <c r="D114" s="77"/>
      <c r="E114" s="109"/>
      <c r="F114" s="96">
        <v>1</v>
      </c>
      <c r="G114" s="97"/>
      <c r="H114" s="77"/>
      <c r="I114" s="109"/>
      <c r="J114" s="96">
        <v>7</v>
      </c>
      <c r="K114" s="97"/>
      <c r="L114" s="77" t="s">
        <v>179</v>
      </c>
      <c r="M114" s="97"/>
    </row>
    <row r="115" spans="1:13" ht="16.5" x14ac:dyDescent="0.35">
      <c r="A115" s="123" t="s">
        <v>106</v>
      </c>
      <c r="B115" s="98"/>
      <c r="C115" s="99"/>
      <c r="D115" s="78">
        <v>1</v>
      </c>
      <c r="E115" s="110"/>
      <c r="F115" s="98"/>
      <c r="G115" s="99"/>
      <c r="H115" s="78"/>
      <c r="I115" s="110"/>
      <c r="J115" s="98"/>
      <c r="K115" s="99"/>
      <c r="L115" s="78" t="s">
        <v>179</v>
      </c>
      <c r="M115" s="99"/>
    </row>
    <row r="116" spans="1:13" ht="16.5" x14ac:dyDescent="0.35">
      <c r="A116" s="123" t="s">
        <v>107</v>
      </c>
      <c r="B116" s="98"/>
      <c r="C116" s="99"/>
      <c r="D116" s="78">
        <v>1</v>
      </c>
      <c r="E116" s="110"/>
      <c r="F116" s="98">
        <v>2</v>
      </c>
      <c r="G116" s="99"/>
      <c r="H116" s="78"/>
      <c r="I116" s="110"/>
      <c r="J116" s="98"/>
      <c r="K116" s="99"/>
      <c r="L116" s="78" t="s">
        <v>179</v>
      </c>
      <c r="M116" s="99"/>
    </row>
    <row r="117" spans="1:13" ht="16.5" x14ac:dyDescent="0.35">
      <c r="A117" s="123" t="s">
        <v>108</v>
      </c>
      <c r="B117" s="98">
        <v>1</v>
      </c>
      <c r="C117" s="99"/>
      <c r="D117" s="78"/>
      <c r="E117" s="110"/>
      <c r="F117" s="98"/>
      <c r="G117" s="99"/>
      <c r="H117" s="78"/>
      <c r="I117" s="110"/>
      <c r="J117" s="98"/>
      <c r="K117" s="99"/>
      <c r="L117" s="78" t="s">
        <v>179</v>
      </c>
      <c r="M117" s="99"/>
    </row>
    <row r="118" spans="1:13" ht="16.5" x14ac:dyDescent="0.35">
      <c r="A118" s="123" t="s">
        <v>109</v>
      </c>
      <c r="B118" s="98"/>
      <c r="C118" s="99"/>
      <c r="D118" s="78"/>
      <c r="E118" s="110"/>
      <c r="F118" s="98"/>
      <c r="G118" s="99"/>
      <c r="H118" s="78">
        <v>25</v>
      </c>
      <c r="I118" s="110"/>
      <c r="J118" s="98">
        <v>22</v>
      </c>
      <c r="K118" s="99"/>
      <c r="L118" s="78">
        <v>2</v>
      </c>
      <c r="M118" s="99"/>
    </row>
    <row r="119" spans="1:13" ht="16.5" x14ac:dyDescent="0.35">
      <c r="A119" s="123" t="s">
        <v>110</v>
      </c>
      <c r="B119" s="98"/>
      <c r="C119" s="99"/>
      <c r="D119" s="78"/>
      <c r="E119" s="110"/>
      <c r="F119" s="98"/>
      <c r="G119" s="99"/>
      <c r="H119" s="78"/>
      <c r="I119" s="110"/>
      <c r="J119" s="98">
        <v>1</v>
      </c>
      <c r="K119" s="99"/>
      <c r="L119" s="78" t="s">
        <v>179</v>
      </c>
      <c r="M119" s="99"/>
    </row>
    <row r="120" spans="1:13" ht="16.5" x14ac:dyDescent="0.35">
      <c r="A120" s="123" t="s">
        <v>111</v>
      </c>
      <c r="B120" s="98"/>
      <c r="C120" s="99"/>
      <c r="D120" s="78"/>
      <c r="E120" s="110"/>
      <c r="F120" s="98"/>
      <c r="G120" s="99"/>
      <c r="H120" s="78">
        <v>4</v>
      </c>
      <c r="I120" s="110"/>
      <c r="J120" s="98">
        <v>3</v>
      </c>
      <c r="K120" s="99"/>
      <c r="L120" s="78">
        <v>1</v>
      </c>
      <c r="M120" s="99"/>
    </row>
    <row r="121" spans="1:13" ht="16.5" x14ac:dyDescent="0.35">
      <c r="A121" s="123" t="s">
        <v>112</v>
      </c>
      <c r="B121" s="98">
        <v>2</v>
      </c>
      <c r="C121" s="99"/>
      <c r="D121" s="78"/>
      <c r="E121" s="110"/>
      <c r="F121" s="98">
        <v>5</v>
      </c>
      <c r="G121" s="99"/>
      <c r="H121" s="78">
        <v>4</v>
      </c>
      <c r="I121" s="110"/>
      <c r="J121" s="98">
        <v>2</v>
      </c>
      <c r="K121" s="99"/>
      <c r="L121" s="78" t="s">
        <v>179</v>
      </c>
      <c r="M121" s="99"/>
    </row>
    <row r="122" spans="1:13" ht="16.5" x14ac:dyDescent="0.35">
      <c r="A122" s="123" t="s">
        <v>113</v>
      </c>
      <c r="B122" s="98">
        <v>1</v>
      </c>
      <c r="C122" s="99"/>
      <c r="D122" s="78">
        <v>4</v>
      </c>
      <c r="E122" s="110"/>
      <c r="F122" s="98">
        <v>1</v>
      </c>
      <c r="G122" s="99"/>
      <c r="H122" s="78">
        <v>2</v>
      </c>
      <c r="I122" s="110"/>
      <c r="J122" s="98">
        <v>2</v>
      </c>
      <c r="K122" s="99"/>
      <c r="L122" s="78" t="s">
        <v>179</v>
      </c>
      <c r="M122" s="99"/>
    </row>
    <row r="123" spans="1:13" ht="16.5" x14ac:dyDescent="0.35">
      <c r="A123" s="123" t="s">
        <v>114</v>
      </c>
      <c r="B123" s="98"/>
      <c r="C123" s="99"/>
      <c r="D123" s="78">
        <v>1</v>
      </c>
      <c r="E123" s="110"/>
      <c r="F123" s="98">
        <v>1</v>
      </c>
      <c r="G123" s="99"/>
      <c r="H123" s="78">
        <v>2</v>
      </c>
      <c r="I123" s="110"/>
      <c r="J123" s="98">
        <v>1</v>
      </c>
      <c r="K123" s="99"/>
      <c r="L123" s="78" t="s">
        <v>179</v>
      </c>
      <c r="M123" s="99"/>
    </row>
    <row r="124" spans="1:13" ht="16.5" x14ac:dyDescent="0.35">
      <c r="A124" s="123" t="s">
        <v>115</v>
      </c>
      <c r="B124" s="98"/>
      <c r="C124" s="99"/>
      <c r="D124" s="78">
        <v>2</v>
      </c>
      <c r="E124" s="110"/>
      <c r="F124" s="98"/>
      <c r="G124" s="99"/>
      <c r="H124" s="78"/>
      <c r="I124" s="110"/>
      <c r="J124" s="98"/>
      <c r="K124" s="99"/>
      <c r="L124" s="78" t="s">
        <v>179</v>
      </c>
      <c r="M124" s="99"/>
    </row>
    <row r="125" spans="1:13" ht="16.5" x14ac:dyDescent="0.35">
      <c r="A125" s="123" t="s">
        <v>116</v>
      </c>
      <c r="B125" s="98">
        <v>5</v>
      </c>
      <c r="C125" s="99"/>
      <c r="D125" s="78">
        <v>4</v>
      </c>
      <c r="E125" s="110"/>
      <c r="F125" s="98">
        <v>5</v>
      </c>
      <c r="G125" s="99"/>
      <c r="H125" s="78">
        <v>5</v>
      </c>
      <c r="I125" s="110"/>
      <c r="J125" s="98">
        <v>1</v>
      </c>
      <c r="K125" s="99"/>
      <c r="L125" s="78" t="s">
        <v>179</v>
      </c>
      <c r="M125" s="99"/>
    </row>
    <row r="126" spans="1:13" ht="16.5" x14ac:dyDescent="0.35">
      <c r="A126" s="123" t="s">
        <v>117</v>
      </c>
      <c r="B126" s="98"/>
      <c r="C126" s="99"/>
      <c r="D126" s="78"/>
      <c r="E126" s="110"/>
      <c r="F126" s="98">
        <v>1</v>
      </c>
      <c r="G126" s="99"/>
      <c r="H126" s="78">
        <v>3</v>
      </c>
      <c r="I126" s="110"/>
      <c r="J126" s="98"/>
      <c r="K126" s="99"/>
      <c r="L126" s="78" t="s">
        <v>179</v>
      </c>
      <c r="M126" s="99"/>
    </row>
    <row r="127" spans="1:13" ht="16.5" x14ac:dyDescent="0.35">
      <c r="A127" s="123" t="s">
        <v>118</v>
      </c>
      <c r="B127" s="98"/>
      <c r="C127" s="99"/>
      <c r="D127" s="78"/>
      <c r="E127" s="110"/>
      <c r="F127" s="98"/>
      <c r="G127" s="99"/>
      <c r="H127" s="78">
        <v>3</v>
      </c>
      <c r="I127" s="110"/>
      <c r="J127" s="98"/>
      <c r="K127" s="99"/>
      <c r="L127" s="78" t="s">
        <v>179</v>
      </c>
      <c r="M127" s="99"/>
    </row>
    <row r="128" spans="1:13" ht="16.5" x14ac:dyDescent="0.35">
      <c r="A128" s="123" t="s">
        <v>119</v>
      </c>
      <c r="B128" s="98"/>
      <c r="C128" s="99"/>
      <c r="D128" s="78"/>
      <c r="E128" s="110"/>
      <c r="F128" s="98">
        <v>1</v>
      </c>
      <c r="G128" s="99"/>
      <c r="H128" s="78"/>
      <c r="I128" s="110"/>
      <c r="J128" s="98"/>
      <c r="K128" s="99"/>
      <c r="L128" s="78" t="s">
        <v>179</v>
      </c>
      <c r="M128" s="99"/>
    </row>
    <row r="129" spans="1:13" ht="16.5" x14ac:dyDescent="0.35">
      <c r="A129" s="123" t="s">
        <v>120</v>
      </c>
      <c r="B129" s="98">
        <v>2</v>
      </c>
      <c r="C129" s="99"/>
      <c r="D129" s="78">
        <v>8</v>
      </c>
      <c r="E129" s="110"/>
      <c r="F129" s="98">
        <v>7</v>
      </c>
      <c r="G129" s="99"/>
      <c r="H129" s="78">
        <v>13</v>
      </c>
      <c r="I129" s="110"/>
      <c r="J129" s="98">
        <v>10</v>
      </c>
      <c r="K129" s="99"/>
      <c r="L129" s="78">
        <v>2</v>
      </c>
      <c r="M129" s="99"/>
    </row>
    <row r="130" spans="1:13" ht="16.5" x14ac:dyDescent="0.35">
      <c r="A130" s="123" t="s">
        <v>121</v>
      </c>
      <c r="B130" s="98">
        <v>2</v>
      </c>
      <c r="C130" s="99"/>
      <c r="D130" s="78">
        <v>6</v>
      </c>
      <c r="E130" s="110"/>
      <c r="F130" s="98">
        <v>3</v>
      </c>
      <c r="G130" s="99"/>
      <c r="H130" s="78">
        <v>12</v>
      </c>
      <c r="I130" s="110"/>
      <c r="J130" s="98">
        <v>11</v>
      </c>
      <c r="K130" s="99"/>
      <c r="L130" s="78">
        <v>1</v>
      </c>
      <c r="M130" s="99"/>
    </row>
    <row r="131" spans="1:13" ht="16.5" x14ac:dyDescent="0.35">
      <c r="A131" s="123" t="s">
        <v>122</v>
      </c>
      <c r="B131" s="98"/>
      <c r="C131" s="99"/>
      <c r="D131" s="78">
        <v>2</v>
      </c>
      <c r="E131" s="110"/>
      <c r="F131" s="98"/>
      <c r="G131" s="99"/>
      <c r="H131" s="78">
        <v>1</v>
      </c>
      <c r="I131" s="110"/>
      <c r="J131" s="98">
        <v>1</v>
      </c>
      <c r="K131" s="99"/>
      <c r="L131" s="78">
        <v>1</v>
      </c>
      <c r="M131" s="99"/>
    </row>
    <row r="132" spans="1:13" ht="16.5" x14ac:dyDescent="0.35">
      <c r="A132" s="123" t="s">
        <v>123</v>
      </c>
      <c r="B132" s="98"/>
      <c r="C132" s="99"/>
      <c r="D132" s="78"/>
      <c r="E132" s="110"/>
      <c r="F132" s="98">
        <v>1</v>
      </c>
      <c r="G132" s="99"/>
      <c r="H132" s="78">
        <v>1</v>
      </c>
      <c r="I132" s="110"/>
      <c r="J132" s="98">
        <v>3</v>
      </c>
      <c r="K132" s="99"/>
      <c r="L132" s="78" t="s">
        <v>179</v>
      </c>
      <c r="M132" s="99"/>
    </row>
    <row r="133" spans="1:13" ht="16.5" x14ac:dyDescent="0.35">
      <c r="A133" s="123" t="s">
        <v>124</v>
      </c>
      <c r="B133" s="98"/>
      <c r="C133" s="99"/>
      <c r="D133" s="78">
        <v>2</v>
      </c>
      <c r="E133" s="110"/>
      <c r="F133" s="98"/>
      <c r="G133" s="99"/>
      <c r="H133" s="78">
        <v>2</v>
      </c>
      <c r="I133" s="110"/>
      <c r="J133" s="98"/>
      <c r="K133" s="99"/>
      <c r="L133" s="78">
        <v>1</v>
      </c>
      <c r="M133" s="99"/>
    </row>
    <row r="134" spans="1:13" ht="16.5" x14ac:dyDescent="0.35">
      <c r="A134" s="123" t="s">
        <v>125</v>
      </c>
      <c r="B134" s="98">
        <v>1</v>
      </c>
      <c r="C134" s="99"/>
      <c r="D134" s="78"/>
      <c r="E134" s="110"/>
      <c r="F134" s="98">
        <v>1</v>
      </c>
      <c r="G134" s="99"/>
      <c r="H134" s="78">
        <v>1</v>
      </c>
      <c r="I134" s="110"/>
      <c r="J134" s="98">
        <v>1</v>
      </c>
      <c r="K134" s="99"/>
      <c r="L134" s="78" t="s">
        <v>179</v>
      </c>
      <c r="M134" s="99"/>
    </row>
    <row r="135" spans="1:13" ht="16.5" x14ac:dyDescent="0.35">
      <c r="A135" s="123" t="s">
        <v>126</v>
      </c>
      <c r="B135" s="98"/>
      <c r="C135" s="99"/>
      <c r="D135" s="78">
        <v>1</v>
      </c>
      <c r="E135" s="110"/>
      <c r="F135" s="98">
        <v>1</v>
      </c>
      <c r="G135" s="99"/>
      <c r="H135" s="78">
        <v>3</v>
      </c>
      <c r="I135" s="110"/>
      <c r="J135" s="98">
        <v>1</v>
      </c>
      <c r="K135" s="99"/>
      <c r="L135" s="78">
        <v>1</v>
      </c>
      <c r="M135" s="99"/>
    </row>
    <row r="136" spans="1:13" ht="16.5" x14ac:dyDescent="0.35">
      <c r="A136" s="123" t="s">
        <v>127</v>
      </c>
      <c r="B136" s="98">
        <v>1</v>
      </c>
      <c r="C136" s="99"/>
      <c r="D136" s="78"/>
      <c r="E136" s="110"/>
      <c r="F136" s="98"/>
      <c r="G136" s="99"/>
      <c r="H136" s="78">
        <v>1</v>
      </c>
      <c r="I136" s="110"/>
      <c r="J136" s="98">
        <v>3</v>
      </c>
      <c r="K136" s="99"/>
      <c r="L136" s="78">
        <v>1</v>
      </c>
      <c r="M136" s="99"/>
    </row>
    <row r="137" spans="1:13" ht="16.5" x14ac:dyDescent="0.35">
      <c r="A137" s="123" t="s">
        <v>128</v>
      </c>
      <c r="B137" s="98"/>
      <c r="C137" s="99"/>
      <c r="D137" s="78">
        <v>1</v>
      </c>
      <c r="E137" s="110"/>
      <c r="F137" s="98"/>
      <c r="G137" s="99"/>
      <c r="H137" s="78">
        <v>1</v>
      </c>
      <c r="I137" s="110"/>
      <c r="J137" s="98"/>
      <c r="K137" s="99"/>
      <c r="L137" s="78" t="s">
        <v>179</v>
      </c>
      <c r="M137" s="99"/>
    </row>
    <row r="138" spans="1:13" ht="16.5" x14ac:dyDescent="0.35">
      <c r="A138" s="123" t="s">
        <v>129</v>
      </c>
      <c r="B138" s="98">
        <v>2</v>
      </c>
      <c r="C138" s="99"/>
      <c r="D138" s="78">
        <v>1</v>
      </c>
      <c r="E138" s="110"/>
      <c r="F138" s="98">
        <v>2</v>
      </c>
      <c r="G138" s="99"/>
      <c r="H138" s="78">
        <v>3</v>
      </c>
      <c r="I138" s="110"/>
      <c r="J138" s="98">
        <v>4</v>
      </c>
      <c r="K138" s="99"/>
      <c r="L138" s="78">
        <v>1</v>
      </c>
      <c r="M138" s="99"/>
    </row>
    <row r="139" spans="1:13" ht="16.5" x14ac:dyDescent="0.35">
      <c r="A139" s="123" t="s">
        <v>130</v>
      </c>
      <c r="B139" s="98">
        <v>1</v>
      </c>
      <c r="C139" s="99"/>
      <c r="D139" s="78"/>
      <c r="E139" s="110"/>
      <c r="F139" s="98">
        <v>1</v>
      </c>
      <c r="G139" s="99"/>
      <c r="H139" s="78"/>
      <c r="I139" s="110"/>
      <c r="J139" s="98"/>
      <c r="K139" s="99"/>
      <c r="L139" s="78" t="s">
        <v>179</v>
      </c>
      <c r="M139" s="99"/>
    </row>
    <row r="140" spans="1:13" ht="16.5" x14ac:dyDescent="0.35">
      <c r="A140" s="123" t="s">
        <v>131</v>
      </c>
      <c r="B140" s="98">
        <v>1</v>
      </c>
      <c r="C140" s="99"/>
      <c r="D140" s="78">
        <v>2</v>
      </c>
      <c r="E140" s="110"/>
      <c r="F140" s="98">
        <v>4</v>
      </c>
      <c r="G140" s="99"/>
      <c r="H140" s="78">
        <v>9</v>
      </c>
      <c r="I140" s="110"/>
      <c r="J140" s="98">
        <v>6</v>
      </c>
      <c r="K140" s="99"/>
      <c r="L140" s="78">
        <v>3</v>
      </c>
      <c r="M140" s="99"/>
    </row>
    <row r="141" spans="1:13" ht="16.5" x14ac:dyDescent="0.35">
      <c r="A141" s="123" t="s">
        <v>132</v>
      </c>
      <c r="B141" s="98">
        <v>5</v>
      </c>
      <c r="C141" s="99"/>
      <c r="D141" s="78">
        <v>1</v>
      </c>
      <c r="E141" s="110"/>
      <c r="F141" s="98">
        <v>1</v>
      </c>
      <c r="G141" s="99"/>
      <c r="H141" s="78">
        <v>6</v>
      </c>
      <c r="I141" s="110"/>
      <c r="J141" s="98">
        <v>8</v>
      </c>
      <c r="K141" s="99"/>
      <c r="L141" s="78">
        <v>1</v>
      </c>
      <c r="M141" s="99"/>
    </row>
    <row r="142" spans="1:13" ht="16.5" x14ac:dyDescent="0.35">
      <c r="A142" s="123" t="s">
        <v>133</v>
      </c>
      <c r="B142" s="98"/>
      <c r="C142" s="99"/>
      <c r="D142" s="78"/>
      <c r="E142" s="110"/>
      <c r="F142" s="98"/>
      <c r="G142" s="99"/>
      <c r="H142" s="78"/>
      <c r="I142" s="110"/>
      <c r="J142" s="98">
        <v>1</v>
      </c>
      <c r="K142" s="99"/>
      <c r="L142" s="78" t="s">
        <v>179</v>
      </c>
      <c r="M142" s="99"/>
    </row>
    <row r="143" spans="1:13" ht="16.5" x14ac:dyDescent="0.35">
      <c r="A143" s="123" t="s">
        <v>134</v>
      </c>
      <c r="B143" s="98"/>
      <c r="C143" s="99"/>
      <c r="D143" s="78">
        <v>1</v>
      </c>
      <c r="E143" s="110"/>
      <c r="F143" s="98"/>
      <c r="G143" s="99"/>
      <c r="H143" s="78"/>
      <c r="I143" s="110"/>
      <c r="J143" s="98"/>
      <c r="K143" s="99"/>
      <c r="L143" s="78" t="s">
        <v>179</v>
      </c>
      <c r="M143" s="99"/>
    </row>
    <row r="144" spans="1:13" ht="16.5" x14ac:dyDescent="0.35">
      <c r="A144" s="123" t="s">
        <v>135</v>
      </c>
      <c r="B144" s="98">
        <v>2</v>
      </c>
      <c r="C144" s="99"/>
      <c r="D144" s="78"/>
      <c r="E144" s="110"/>
      <c r="F144" s="98"/>
      <c r="G144" s="99"/>
      <c r="H144" s="78"/>
      <c r="I144" s="110"/>
      <c r="J144" s="98"/>
      <c r="K144" s="99"/>
      <c r="L144" s="78" t="s">
        <v>179</v>
      </c>
      <c r="M144" s="99"/>
    </row>
    <row r="145" spans="1:13" ht="16.5" x14ac:dyDescent="0.35">
      <c r="A145" s="123" t="s">
        <v>136</v>
      </c>
      <c r="B145" s="98">
        <v>1</v>
      </c>
      <c r="C145" s="99"/>
      <c r="D145" s="78"/>
      <c r="E145" s="110"/>
      <c r="F145" s="98"/>
      <c r="G145" s="99"/>
      <c r="H145" s="78"/>
      <c r="I145" s="110"/>
      <c r="J145" s="98"/>
      <c r="K145" s="99"/>
      <c r="L145" s="78" t="s">
        <v>179</v>
      </c>
      <c r="M145" s="99"/>
    </row>
    <row r="146" spans="1:13" ht="16.5" x14ac:dyDescent="0.35">
      <c r="A146" s="123" t="s">
        <v>137</v>
      </c>
      <c r="B146" s="98"/>
      <c r="C146" s="99"/>
      <c r="D146" s="78"/>
      <c r="E146" s="110"/>
      <c r="F146" s="98">
        <v>1</v>
      </c>
      <c r="G146" s="99"/>
      <c r="H146" s="78"/>
      <c r="I146" s="110"/>
      <c r="J146" s="98"/>
      <c r="K146" s="99"/>
      <c r="L146" s="78" t="s">
        <v>179</v>
      </c>
      <c r="M146" s="99"/>
    </row>
    <row r="147" spans="1:13" ht="16.5" x14ac:dyDescent="0.35">
      <c r="A147" s="123" t="s">
        <v>138</v>
      </c>
      <c r="B147" s="98">
        <v>1</v>
      </c>
      <c r="C147" s="99"/>
      <c r="D147" s="78"/>
      <c r="E147" s="110"/>
      <c r="F147" s="98"/>
      <c r="G147" s="99"/>
      <c r="H147" s="78"/>
      <c r="I147" s="110"/>
      <c r="J147" s="98"/>
      <c r="K147" s="99"/>
      <c r="L147" s="78" t="s">
        <v>179</v>
      </c>
      <c r="M147" s="99"/>
    </row>
    <row r="148" spans="1:13" ht="16.5" x14ac:dyDescent="0.35">
      <c r="A148" s="123" t="s">
        <v>139</v>
      </c>
      <c r="B148" s="98">
        <v>6</v>
      </c>
      <c r="C148" s="99"/>
      <c r="D148" s="78">
        <v>1</v>
      </c>
      <c r="E148" s="110"/>
      <c r="F148" s="98">
        <v>1</v>
      </c>
      <c r="G148" s="99"/>
      <c r="H148" s="78">
        <v>1</v>
      </c>
      <c r="I148" s="110"/>
      <c r="J148" s="98"/>
      <c r="K148" s="99"/>
      <c r="L148" s="78" t="s">
        <v>179</v>
      </c>
      <c r="M148" s="99"/>
    </row>
    <row r="149" spans="1:13" ht="16.5" x14ac:dyDescent="0.35">
      <c r="A149" s="123" t="s">
        <v>140</v>
      </c>
      <c r="B149" s="98"/>
      <c r="C149" s="99"/>
      <c r="D149" s="78"/>
      <c r="E149" s="110"/>
      <c r="F149" s="98"/>
      <c r="G149" s="99"/>
      <c r="H149" s="78">
        <v>1</v>
      </c>
      <c r="I149" s="110"/>
      <c r="J149" s="98">
        <v>1</v>
      </c>
      <c r="K149" s="99"/>
      <c r="L149" s="78" t="s">
        <v>179</v>
      </c>
      <c r="M149" s="99"/>
    </row>
    <row r="150" spans="1:13" ht="16.5" x14ac:dyDescent="0.35">
      <c r="A150" s="123" t="s">
        <v>141</v>
      </c>
      <c r="B150" s="98"/>
      <c r="C150" s="99"/>
      <c r="D150" s="78"/>
      <c r="E150" s="110"/>
      <c r="F150" s="98">
        <v>1</v>
      </c>
      <c r="G150" s="99"/>
      <c r="H150" s="78"/>
      <c r="I150" s="110"/>
      <c r="J150" s="98">
        <v>3</v>
      </c>
      <c r="K150" s="99"/>
      <c r="L150" s="78">
        <v>1</v>
      </c>
      <c r="M150" s="99"/>
    </row>
    <row r="151" spans="1:13" ht="16.5" x14ac:dyDescent="0.35">
      <c r="A151" s="123" t="s">
        <v>142</v>
      </c>
      <c r="B151" s="98">
        <v>2</v>
      </c>
      <c r="C151" s="99"/>
      <c r="D151" s="78">
        <v>1</v>
      </c>
      <c r="E151" s="110"/>
      <c r="F151" s="98">
        <v>3</v>
      </c>
      <c r="G151" s="99"/>
      <c r="H151" s="78">
        <v>1</v>
      </c>
      <c r="I151" s="110"/>
      <c r="J151" s="98"/>
      <c r="K151" s="99"/>
      <c r="L151" s="78" t="s">
        <v>179</v>
      </c>
      <c r="M151" s="99"/>
    </row>
    <row r="152" spans="1:13" ht="16.5" x14ac:dyDescent="0.35">
      <c r="A152" s="123" t="s">
        <v>143</v>
      </c>
      <c r="B152" s="98">
        <v>1</v>
      </c>
      <c r="C152" s="99"/>
      <c r="D152" s="78">
        <v>1</v>
      </c>
      <c r="E152" s="110"/>
      <c r="F152" s="98"/>
      <c r="G152" s="99"/>
      <c r="H152" s="78"/>
      <c r="I152" s="110"/>
      <c r="J152" s="98"/>
      <c r="K152" s="99"/>
      <c r="L152" s="78" t="s">
        <v>179</v>
      </c>
      <c r="M152" s="99"/>
    </row>
    <row r="153" spans="1:13" ht="16.5" x14ac:dyDescent="0.35">
      <c r="A153" s="123" t="s">
        <v>144</v>
      </c>
      <c r="B153" s="98"/>
      <c r="C153" s="99"/>
      <c r="D153" s="78">
        <v>2</v>
      </c>
      <c r="E153" s="110"/>
      <c r="F153" s="98"/>
      <c r="G153" s="99"/>
      <c r="H153" s="78">
        <v>1</v>
      </c>
      <c r="I153" s="110"/>
      <c r="J153" s="98"/>
      <c r="K153" s="99"/>
      <c r="L153" s="78">
        <v>2</v>
      </c>
      <c r="M153" s="99"/>
    </row>
    <row r="154" spans="1:13" ht="16.5" x14ac:dyDescent="0.35">
      <c r="A154" s="123" t="s">
        <v>145</v>
      </c>
      <c r="B154" s="98">
        <v>1</v>
      </c>
      <c r="C154" s="99"/>
      <c r="D154" s="78"/>
      <c r="E154" s="110"/>
      <c r="F154" s="98"/>
      <c r="G154" s="99"/>
      <c r="H154" s="78"/>
      <c r="I154" s="110"/>
      <c r="J154" s="98"/>
      <c r="K154" s="99"/>
      <c r="L154" s="78" t="s">
        <v>179</v>
      </c>
      <c r="M154" s="99"/>
    </row>
    <row r="155" spans="1:13" ht="16.5" x14ac:dyDescent="0.35">
      <c r="A155" s="123" t="s">
        <v>146</v>
      </c>
      <c r="B155" s="98"/>
      <c r="C155" s="99"/>
      <c r="D155" s="78"/>
      <c r="E155" s="110"/>
      <c r="F155" s="98">
        <v>1</v>
      </c>
      <c r="G155" s="99"/>
      <c r="H155" s="78"/>
      <c r="I155" s="110"/>
      <c r="J155" s="98"/>
      <c r="K155" s="99"/>
      <c r="L155" s="78" t="s">
        <v>179</v>
      </c>
      <c r="M155" s="99"/>
    </row>
    <row r="156" spans="1:13" ht="16.5" x14ac:dyDescent="0.35">
      <c r="A156" s="123" t="s">
        <v>147</v>
      </c>
      <c r="B156" s="98"/>
      <c r="C156" s="99"/>
      <c r="D156" s="78">
        <v>2</v>
      </c>
      <c r="E156" s="110"/>
      <c r="F156" s="98">
        <v>1</v>
      </c>
      <c r="G156" s="99"/>
      <c r="H156" s="78">
        <v>3</v>
      </c>
      <c r="I156" s="110"/>
      <c r="J156" s="98">
        <v>10</v>
      </c>
      <c r="K156" s="99"/>
      <c r="L156" s="78" t="s">
        <v>179</v>
      </c>
      <c r="M156" s="99"/>
    </row>
    <row r="157" spans="1:13" ht="16.5" x14ac:dyDescent="0.35">
      <c r="A157" s="123" t="s">
        <v>148</v>
      </c>
      <c r="B157" s="98"/>
      <c r="C157" s="99"/>
      <c r="D157" s="78">
        <v>2</v>
      </c>
      <c r="E157" s="110"/>
      <c r="F157" s="98"/>
      <c r="G157" s="99"/>
      <c r="H157" s="78"/>
      <c r="I157" s="110"/>
      <c r="J157" s="98"/>
      <c r="K157" s="99"/>
      <c r="L157" s="78" t="s">
        <v>179</v>
      </c>
      <c r="M157" s="99"/>
    </row>
    <row r="158" spans="1:13" ht="16.5" x14ac:dyDescent="0.35">
      <c r="A158" s="123" t="s">
        <v>149</v>
      </c>
      <c r="B158" s="98"/>
      <c r="C158" s="99"/>
      <c r="D158" s="78">
        <v>1</v>
      </c>
      <c r="E158" s="110"/>
      <c r="F158" s="98"/>
      <c r="G158" s="99"/>
      <c r="H158" s="78">
        <v>1</v>
      </c>
      <c r="I158" s="110"/>
      <c r="J158" s="98">
        <v>1</v>
      </c>
      <c r="K158" s="99"/>
      <c r="L158" s="78" t="s">
        <v>179</v>
      </c>
      <c r="M158" s="99"/>
    </row>
    <row r="159" spans="1:13" ht="16.5" x14ac:dyDescent="0.35">
      <c r="A159" s="123" t="s">
        <v>150</v>
      </c>
      <c r="B159" s="98"/>
      <c r="C159" s="99"/>
      <c r="D159" s="78">
        <v>1</v>
      </c>
      <c r="E159" s="110"/>
      <c r="F159" s="98">
        <v>1</v>
      </c>
      <c r="G159" s="99"/>
      <c r="H159" s="78">
        <v>1</v>
      </c>
      <c r="I159" s="110"/>
      <c r="J159" s="98"/>
      <c r="K159" s="99"/>
      <c r="L159" s="78" t="s">
        <v>179</v>
      </c>
      <c r="M159" s="99"/>
    </row>
    <row r="160" spans="1:13" ht="16.5" x14ac:dyDescent="0.35">
      <c r="A160" s="123" t="s">
        <v>151</v>
      </c>
      <c r="B160" s="98"/>
      <c r="C160" s="99"/>
      <c r="D160" s="78"/>
      <c r="E160" s="110"/>
      <c r="F160" s="98"/>
      <c r="G160" s="99"/>
      <c r="H160" s="78">
        <v>1</v>
      </c>
      <c r="I160" s="110"/>
      <c r="J160" s="98"/>
      <c r="K160" s="99"/>
      <c r="L160" s="78" t="s">
        <v>179</v>
      </c>
      <c r="M160" s="99"/>
    </row>
    <row r="161" spans="1:13" ht="16.5" x14ac:dyDescent="0.35">
      <c r="A161" s="123" t="s">
        <v>152</v>
      </c>
      <c r="B161" s="98">
        <v>1</v>
      </c>
      <c r="C161" s="99"/>
      <c r="D161" s="78"/>
      <c r="E161" s="110"/>
      <c r="F161" s="98"/>
      <c r="G161" s="99"/>
      <c r="H161" s="78"/>
      <c r="I161" s="110"/>
      <c r="J161" s="98"/>
      <c r="K161" s="99"/>
      <c r="L161" s="78" t="s">
        <v>179</v>
      </c>
      <c r="M161" s="99"/>
    </row>
    <row r="162" spans="1:13" ht="16.5" x14ac:dyDescent="0.35">
      <c r="A162" s="123" t="s">
        <v>153</v>
      </c>
      <c r="B162" s="98"/>
      <c r="C162" s="99"/>
      <c r="D162" s="78">
        <v>1</v>
      </c>
      <c r="E162" s="110"/>
      <c r="F162" s="98"/>
      <c r="G162" s="99"/>
      <c r="H162" s="78"/>
      <c r="I162" s="110"/>
      <c r="J162" s="98">
        <v>1</v>
      </c>
      <c r="K162" s="99"/>
      <c r="L162" s="78" t="s">
        <v>179</v>
      </c>
      <c r="M162" s="99"/>
    </row>
    <row r="163" spans="1:13" ht="16.5" x14ac:dyDescent="0.35">
      <c r="A163" s="123" t="s">
        <v>154</v>
      </c>
      <c r="B163" s="98"/>
      <c r="C163" s="99"/>
      <c r="D163" s="78">
        <v>3</v>
      </c>
      <c r="E163" s="110"/>
      <c r="F163" s="98">
        <v>3</v>
      </c>
      <c r="G163" s="99"/>
      <c r="H163" s="78">
        <v>6</v>
      </c>
      <c r="I163" s="110"/>
      <c r="J163" s="98">
        <v>1</v>
      </c>
      <c r="K163" s="99"/>
      <c r="L163" s="78" t="s">
        <v>179</v>
      </c>
      <c r="M163" s="99"/>
    </row>
    <row r="164" spans="1:13" ht="16.5" x14ac:dyDescent="0.35">
      <c r="A164" s="123" t="s">
        <v>155</v>
      </c>
      <c r="B164" s="98"/>
      <c r="C164" s="99"/>
      <c r="D164" s="78"/>
      <c r="E164" s="110"/>
      <c r="F164" s="98">
        <v>2</v>
      </c>
      <c r="G164" s="99"/>
      <c r="H164" s="78">
        <v>1</v>
      </c>
      <c r="I164" s="110"/>
      <c r="J164" s="98">
        <v>1</v>
      </c>
      <c r="K164" s="99"/>
      <c r="L164" s="78" t="s">
        <v>179</v>
      </c>
      <c r="M164" s="99"/>
    </row>
    <row r="165" spans="1:13" ht="16.5" x14ac:dyDescent="0.35">
      <c r="A165" s="123" t="s">
        <v>156</v>
      </c>
      <c r="B165" s="98"/>
      <c r="C165" s="99"/>
      <c r="D165" s="78">
        <v>2</v>
      </c>
      <c r="E165" s="110"/>
      <c r="F165" s="98"/>
      <c r="G165" s="99"/>
      <c r="H165" s="78">
        <v>1</v>
      </c>
      <c r="I165" s="110"/>
      <c r="J165" s="98">
        <v>1</v>
      </c>
      <c r="K165" s="99"/>
      <c r="L165" s="78" t="s">
        <v>179</v>
      </c>
      <c r="M165" s="99"/>
    </row>
    <row r="166" spans="1:13" ht="16.5" x14ac:dyDescent="0.35">
      <c r="A166" s="123" t="s">
        <v>157</v>
      </c>
      <c r="B166" s="98"/>
      <c r="C166" s="99"/>
      <c r="D166" s="78">
        <v>1</v>
      </c>
      <c r="E166" s="110"/>
      <c r="F166" s="98">
        <v>1</v>
      </c>
      <c r="G166" s="99"/>
      <c r="H166" s="78">
        <v>2</v>
      </c>
      <c r="I166" s="110"/>
      <c r="J166" s="98">
        <v>2</v>
      </c>
      <c r="K166" s="99"/>
      <c r="L166" s="78" t="s">
        <v>179</v>
      </c>
      <c r="M166" s="99"/>
    </row>
    <row r="167" spans="1:13" ht="16.5" x14ac:dyDescent="0.35">
      <c r="A167" s="123" t="s">
        <v>158</v>
      </c>
      <c r="B167" s="98"/>
      <c r="C167" s="99"/>
      <c r="D167" s="78">
        <v>1</v>
      </c>
      <c r="E167" s="110"/>
      <c r="F167" s="98">
        <v>1</v>
      </c>
      <c r="G167" s="99"/>
      <c r="H167" s="78">
        <v>2</v>
      </c>
      <c r="I167" s="110"/>
      <c r="J167" s="98">
        <v>1</v>
      </c>
      <c r="K167" s="99"/>
      <c r="L167" s="78" t="s">
        <v>179</v>
      </c>
      <c r="M167" s="99"/>
    </row>
    <row r="168" spans="1:13" ht="16.5" x14ac:dyDescent="0.35">
      <c r="A168" s="123" t="s">
        <v>159</v>
      </c>
      <c r="B168" s="98">
        <v>1</v>
      </c>
      <c r="C168" s="99"/>
      <c r="D168" s="78"/>
      <c r="E168" s="110"/>
      <c r="F168" s="98"/>
      <c r="G168" s="99"/>
      <c r="H168" s="78"/>
      <c r="I168" s="110"/>
      <c r="J168" s="98">
        <v>4</v>
      </c>
      <c r="K168" s="99"/>
      <c r="L168" s="78" t="s">
        <v>179</v>
      </c>
      <c r="M168" s="99"/>
    </row>
    <row r="169" spans="1:13" ht="16.5" x14ac:dyDescent="0.35">
      <c r="A169" s="123" t="s">
        <v>160</v>
      </c>
      <c r="B169" s="98"/>
      <c r="C169" s="99"/>
      <c r="D169" s="78"/>
      <c r="E169" s="110"/>
      <c r="F169" s="98"/>
      <c r="G169" s="99"/>
      <c r="H169" s="78"/>
      <c r="I169" s="110"/>
      <c r="J169" s="98">
        <v>2</v>
      </c>
      <c r="K169" s="99"/>
      <c r="L169" s="78" t="s">
        <v>179</v>
      </c>
      <c r="M169" s="99"/>
    </row>
    <row r="170" spans="1:13" ht="16.5" x14ac:dyDescent="0.35">
      <c r="A170" s="123" t="s">
        <v>161</v>
      </c>
      <c r="B170" s="98">
        <v>2</v>
      </c>
      <c r="C170" s="99"/>
      <c r="D170" s="78"/>
      <c r="E170" s="110"/>
      <c r="F170" s="98">
        <v>1</v>
      </c>
      <c r="G170" s="99"/>
      <c r="H170" s="78"/>
      <c r="I170" s="110"/>
      <c r="J170" s="98">
        <v>4</v>
      </c>
      <c r="K170" s="99"/>
      <c r="L170" s="78" t="s">
        <v>179</v>
      </c>
      <c r="M170" s="99"/>
    </row>
    <row r="171" spans="1:13" ht="16.5" x14ac:dyDescent="0.35">
      <c r="A171" s="123" t="s">
        <v>162</v>
      </c>
      <c r="B171" s="98"/>
      <c r="C171" s="99"/>
      <c r="D171" s="78"/>
      <c r="E171" s="110"/>
      <c r="F171" s="98">
        <v>1</v>
      </c>
      <c r="G171" s="99"/>
      <c r="H171" s="78"/>
      <c r="I171" s="110"/>
      <c r="J171" s="98">
        <v>2</v>
      </c>
      <c r="K171" s="99"/>
      <c r="L171" s="78" t="s">
        <v>179</v>
      </c>
      <c r="M171" s="99"/>
    </row>
    <row r="172" spans="1:13" ht="16.5" x14ac:dyDescent="0.35">
      <c r="A172" s="123" t="s">
        <v>163</v>
      </c>
      <c r="B172" s="98">
        <v>1</v>
      </c>
      <c r="C172" s="99"/>
      <c r="D172" s="78"/>
      <c r="E172" s="110"/>
      <c r="F172" s="98">
        <v>2</v>
      </c>
      <c r="G172" s="99"/>
      <c r="H172" s="78"/>
      <c r="I172" s="110"/>
      <c r="J172" s="98">
        <v>4</v>
      </c>
      <c r="K172" s="99"/>
      <c r="L172" s="78" t="s">
        <v>179</v>
      </c>
      <c r="M172" s="99"/>
    </row>
    <row r="173" spans="1:13" ht="17.25" thickBot="1" x14ac:dyDescent="0.4">
      <c r="A173" s="124" t="s">
        <v>164</v>
      </c>
      <c r="B173" s="100">
        <v>5</v>
      </c>
      <c r="C173" s="101"/>
      <c r="D173" s="79">
        <v>3</v>
      </c>
      <c r="E173" s="111"/>
      <c r="F173" s="100"/>
      <c r="G173" s="101"/>
      <c r="H173" s="79">
        <v>1</v>
      </c>
      <c r="I173" s="111"/>
      <c r="J173" s="100"/>
      <c r="K173" s="101"/>
      <c r="L173" s="79" t="s">
        <v>179</v>
      </c>
      <c r="M173" s="101"/>
    </row>
    <row r="174" spans="1:13" s="55" customFormat="1" ht="18" thickTop="1" thickBot="1" x14ac:dyDescent="0.4">
      <c r="A174" s="133" t="s">
        <v>183</v>
      </c>
      <c r="B174" s="129">
        <f>SUM(B114:B173)</f>
        <v>48</v>
      </c>
      <c r="C174" s="130"/>
      <c r="D174" s="131">
        <f t="shared" ref="D174:H174" si="0">SUM(D114:D173)</f>
        <v>60</v>
      </c>
      <c r="E174" s="132"/>
      <c r="F174" s="129">
        <f t="shared" si="0"/>
        <v>58</v>
      </c>
      <c r="G174" s="130"/>
      <c r="H174" s="131">
        <f t="shared" si="0"/>
        <v>124</v>
      </c>
      <c r="I174" s="132"/>
      <c r="J174" s="129">
        <f>SUM(J114:J173)</f>
        <v>126</v>
      </c>
      <c r="K174" s="130"/>
      <c r="L174" s="131">
        <f>SUM(L114:L173)</f>
        <v>18</v>
      </c>
      <c r="M174" s="128"/>
    </row>
    <row r="175" spans="1:13" ht="15.75" thickTop="1" x14ac:dyDescent="0.25">
      <c r="A175" s="41" t="s">
        <v>182</v>
      </c>
    </row>
  </sheetData>
  <mergeCells count="8">
    <mergeCell ref="N1:O1"/>
    <mergeCell ref="J1:K1"/>
    <mergeCell ref="L1:M1"/>
    <mergeCell ref="D8:G8"/>
    <mergeCell ref="B1:C1"/>
    <mergeCell ref="D1:E1"/>
    <mergeCell ref="F1:G1"/>
    <mergeCell ref="H1:I1"/>
  </mergeCells>
  <pageMargins left="0" right="0" top="0" bottom="0" header="0.3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9640D7-E421-4702-806F-823BD2D67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22066B-3DEC-40FD-944F-56D837EB1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76DFD-3ACF-4FDA-B08A-88861088B450}">
  <ds:schemaRefs>
    <ds:schemaRef ds:uri="http://www.w3.org/XML/1998/namespace"/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Awards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Charles Hawkins</dc:creator>
  <cp:lastModifiedBy>nmesaris</cp:lastModifiedBy>
  <cp:lastPrinted>2012-09-14T03:58:41Z</cp:lastPrinted>
  <dcterms:created xsi:type="dcterms:W3CDTF">2012-09-14T03:56:21Z</dcterms:created>
  <dcterms:modified xsi:type="dcterms:W3CDTF">2013-10-03T23:14:54Z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