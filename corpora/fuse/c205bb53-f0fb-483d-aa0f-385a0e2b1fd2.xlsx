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4740" tabRatio="500"/>
  </bookViews>
  <sheets>
    <sheet name="Table S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5" i="1" l="1"/>
  <c r="H44" i="1"/>
  <c r="F44" i="1"/>
  <c r="D44" i="1"/>
  <c r="H43" i="1"/>
  <c r="F43" i="1"/>
  <c r="D43" i="1"/>
  <c r="H42" i="1"/>
  <c r="F42" i="1"/>
  <c r="D42" i="1"/>
  <c r="H41" i="1"/>
  <c r="F41" i="1"/>
  <c r="D41" i="1"/>
  <c r="H40" i="1"/>
  <c r="F40" i="1"/>
  <c r="D40" i="1"/>
  <c r="H39" i="1"/>
  <c r="F39" i="1"/>
  <c r="D39" i="1"/>
  <c r="O12" i="1"/>
  <c r="O11" i="1"/>
  <c r="O10" i="1"/>
  <c r="O9" i="1"/>
  <c r="O8" i="1"/>
  <c r="O7" i="1"/>
  <c r="O6" i="1"/>
</calcChain>
</file>

<file path=xl/sharedStrings.xml><?xml version="1.0" encoding="utf-8"?>
<sst xmlns="http://schemas.openxmlformats.org/spreadsheetml/2006/main" count="122" uniqueCount="42">
  <si>
    <t>Supplementary Table 1</t>
  </si>
  <si>
    <t>(A)</t>
  </si>
  <si>
    <t>Biological Replicate</t>
  </si>
  <si>
    <t>Total</t>
  </si>
  <si>
    <t>Sample Name</t>
  </si>
  <si>
    <t>GM10860</t>
  </si>
  <si>
    <t>GM17106</t>
  </si>
  <si>
    <t>GM17189</t>
  </si>
  <si>
    <t>GM17207</t>
  </si>
  <si>
    <t>GM17220</t>
  </si>
  <si>
    <t>GM17253</t>
  </si>
  <si>
    <t>Total number of reads</t>
  </si>
  <si>
    <t>Uniquely Mapped</t>
  </si>
  <si>
    <t>Both Mates Unique</t>
  </si>
  <si>
    <t>One Mate Unique</t>
  </si>
  <si>
    <t>Both Mates Non-Unique</t>
  </si>
  <si>
    <t>Uniquely Mapped on + Strand</t>
  </si>
  <si>
    <t>Uniquely Mapped on - Strand</t>
  </si>
  <si>
    <t>(B)</t>
  </si>
  <si>
    <t>Filters</t>
  </si>
  <si>
    <t>Reads</t>
  </si>
  <si>
    <t>Has peak within 40bp</t>
  </si>
  <si>
    <t>Precision 3'end &gt; other</t>
  </si>
  <si>
    <t>Less than 10 A's in 20bp</t>
  </si>
  <si>
    <t>Count &gt; 8 per sample</t>
  </si>
  <si>
    <t>Count</t>
  </si>
  <si>
    <t>Count in polyAdb2</t>
  </si>
  <si>
    <t>% in polyAdb2</t>
  </si>
  <si>
    <t>Pass</t>
  </si>
  <si>
    <t>Fail</t>
  </si>
  <si>
    <t>(C)</t>
  </si>
  <si>
    <t>Feature</t>
  </si>
  <si>
    <t>Proportion</t>
  </si>
  <si>
    <t>Coding 3' UTR</t>
  </si>
  <si>
    <t>Coding Other</t>
  </si>
  <si>
    <t>Noncoding Last Exon</t>
  </si>
  <si>
    <t>Noncoding Other</t>
  </si>
  <si>
    <t>Within 1kb</t>
  </si>
  <si>
    <t>Unannotated</t>
  </si>
  <si>
    <t>Total without chrM</t>
  </si>
  <si>
    <t>chrM</t>
  </si>
  <si>
    <t>Tag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</si>
</sst>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  <font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77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2" fillId="2" borderId="27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0" fillId="0" borderId="26" xfId="0" applyBorder="1" applyAlignment="1">
      <alignment horizontal="center"/>
    </xf>
    <xf numFmtId="164" fontId="1" fillId="0" borderId="27" xfId="1" applyNumberFormat="1" applyFont="1" applyBorder="1" applyAlignment="1">
      <alignment horizontal="center"/>
    </xf>
    <xf numFmtId="164" fontId="1" fillId="0" borderId="0" xfId="1" applyNumberFormat="1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64" fontId="1" fillId="0" borderId="25" xfId="1" applyNumberFormat="1" applyFont="1" applyBorder="1" applyAlignment="1">
      <alignment horizontal="center"/>
    </xf>
    <xf numFmtId="164" fontId="1" fillId="0" borderId="23" xfId="1" applyNumberFormat="1" applyFont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64" fontId="1" fillId="2" borderId="30" xfId="1" applyNumberFormat="1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4" fontId="1" fillId="2" borderId="28" xfId="1" applyNumberFormat="1" applyFont="1" applyFill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workbookViewId="0">
      <selection activeCell="F17" sqref="F17"/>
    </sheetView>
  </sheetViews>
  <sheetFormatPr baseColWidth="10" defaultRowHeight="15" x14ac:dyDescent="0"/>
  <cols>
    <col min="1" max="1" width="5" style="2" customWidth="1"/>
    <col min="2" max="2" width="21.6640625" style="2" customWidth="1"/>
    <col min="3" max="15" width="12" style="2" customWidth="1"/>
    <col min="16" max="16384" width="10.83203125" style="2"/>
  </cols>
  <sheetData>
    <row r="1" spans="1:15" ht="23">
      <c r="A1" s="1" t="s">
        <v>0</v>
      </c>
    </row>
    <row r="2" spans="1:15" ht="21" thickBot="1">
      <c r="A2" s="3" t="s">
        <v>1</v>
      </c>
    </row>
    <row r="3" spans="1:15" ht="16" thickTop="1">
      <c r="A3" s="4" t="s">
        <v>2</v>
      </c>
      <c r="B3" s="5"/>
      <c r="C3" s="6">
        <v>1</v>
      </c>
      <c r="D3" s="5">
        <v>1</v>
      </c>
      <c r="E3" s="5">
        <v>1</v>
      </c>
      <c r="F3" s="5">
        <v>1</v>
      </c>
      <c r="G3" s="5">
        <v>1</v>
      </c>
      <c r="H3" s="7">
        <v>1</v>
      </c>
      <c r="I3" s="5">
        <v>2</v>
      </c>
      <c r="J3" s="5">
        <v>2</v>
      </c>
      <c r="K3" s="5">
        <v>2</v>
      </c>
      <c r="L3" s="5">
        <v>2</v>
      </c>
      <c r="M3" s="5">
        <v>2</v>
      </c>
      <c r="N3" s="5">
        <v>2</v>
      </c>
      <c r="O3" s="66" t="s">
        <v>3</v>
      </c>
    </row>
    <row r="4" spans="1:15" ht="16" thickBot="1">
      <c r="A4" s="8" t="s">
        <v>4</v>
      </c>
      <c r="B4" s="9"/>
      <c r="C4" s="10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11" t="s">
        <v>10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10</v>
      </c>
      <c r="O4" s="67"/>
    </row>
    <row r="5" spans="1:15" ht="5" customHeight="1" thickTop="1">
      <c r="C5" s="12"/>
      <c r="D5" s="13"/>
      <c r="E5" s="13"/>
      <c r="F5" s="13"/>
      <c r="G5" s="13"/>
      <c r="H5" s="14"/>
      <c r="O5" s="15"/>
    </row>
    <row r="6" spans="1:15">
      <c r="A6" s="16" t="s">
        <v>11</v>
      </c>
      <c r="B6" s="17"/>
      <c r="C6" s="18">
        <v>5710459</v>
      </c>
      <c r="D6" s="19">
        <v>4521161</v>
      </c>
      <c r="E6" s="19">
        <v>9042976</v>
      </c>
      <c r="F6" s="19">
        <v>8248565</v>
      </c>
      <c r="G6" s="19">
        <v>5309473</v>
      </c>
      <c r="H6" s="20">
        <v>6115782</v>
      </c>
      <c r="I6" s="17">
        <v>5558002</v>
      </c>
      <c r="J6" s="17">
        <v>5131706</v>
      </c>
      <c r="K6" s="17">
        <v>6413744</v>
      </c>
      <c r="L6" s="17">
        <v>6106569</v>
      </c>
      <c r="M6" s="17">
        <v>7002028</v>
      </c>
      <c r="N6" s="17">
        <v>7478815</v>
      </c>
      <c r="O6" s="21">
        <f t="shared" ref="O6:O12" si="0">SUM(C6:N6)</f>
        <v>76639280</v>
      </c>
    </row>
    <row r="7" spans="1:15">
      <c r="A7" s="22" t="s">
        <v>12</v>
      </c>
      <c r="B7" s="23"/>
      <c r="C7" s="24">
        <v>2455540</v>
      </c>
      <c r="D7" s="23">
        <v>2855914</v>
      </c>
      <c r="E7" s="23">
        <v>5691058</v>
      </c>
      <c r="F7" s="23">
        <v>4816073</v>
      </c>
      <c r="G7" s="23">
        <v>3289887</v>
      </c>
      <c r="H7" s="25">
        <v>3726517</v>
      </c>
      <c r="I7" s="23">
        <v>2858700</v>
      </c>
      <c r="J7" s="23">
        <v>2990306</v>
      </c>
      <c r="K7" s="23">
        <v>3939424</v>
      </c>
      <c r="L7" s="23">
        <v>3389198</v>
      </c>
      <c r="M7" s="23">
        <v>4127429</v>
      </c>
      <c r="N7" s="23">
        <v>4465642</v>
      </c>
      <c r="O7" s="26">
        <f t="shared" si="0"/>
        <v>44605688</v>
      </c>
    </row>
    <row r="8" spans="1:15">
      <c r="A8" s="13"/>
      <c r="B8" s="27" t="s">
        <v>13</v>
      </c>
      <c r="C8" s="12">
        <v>1288384</v>
      </c>
      <c r="D8" s="13">
        <v>1311894</v>
      </c>
      <c r="E8" s="13">
        <v>2792427</v>
      </c>
      <c r="F8" s="13">
        <v>2292982</v>
      </c>
      <c r="G8" s="13">
        <v>1594065</v>
      </c>
      <c r="H8" s="14">
        <v>1844143</v>
      </c>
      <c r="I8" s="13">
        <v>1480215</v>
      </c>
      <c r="J8" s="13">
        <v>1405227</v>
      </c>
      <c r="K8" s="13">
        <v>1898983</v>
      </c>
      <c r="L8" s="13">
        <v>1638017</v>
      </c>
      <c r="M8" s="13">
        <v>2019486</v>
      </c>
      <c r="N8" s="13">
        <v>2298682</v>
      </c>
      <c r="O8" s="15">
        <f t="shared" si="0"/>
        <v>21864505</v>
      </c>
    </row>
    <row r="9" spans="1:15">
      <c r="A9" s="13"/>
      <c r="B9" s="27" t="s">
        <v>14</v>
      </c>
      <c r="C9" s="12">
        <v>408467</v>
      </c>
      <c r="D9" s="13">
        <v>548976</v>
      </c>
      <c r="E9" s="13">
        <v>1072336</v>
      </c>
      <c r="F9" s="13">
        <v>918472</v>
      </c>
      <c r="G9" s="13">
        <v>621054</v>
      </c>
      <c r="H9" s="14">
        <v>695882</v>
      </c>
      <c r="I9" s="13">
        <v>537989</v>
      </c>
      <c r="J9" s="13">
        <v>576249</v>
      </c>
      <c r="K9" s="13">
        <v>763958</v>
      </c>
      <c r="L9" s="13">
        <v>649784</v>
      </c>
      <c r="M9" s="13">
        <v>773042</v>
      </c>
      <c r="N9" s="13">
        <v>830555</v>
      </c>
      <c r="O9" s="15">
        <f t="shared" si="0"/>
        <v>8396764</v>
      </c>
    </row>
    <row r="10" spans="1:15">
      <c r="A10" s="28"/>
      <c r="B10" s="29" t="s">
        <v>15</v>
      </c>
      <c r="C10" s="30">
        <v>758689</v>
      </c>
      <c r="D10" s="28">
        <v>995044</v>
      </c>
      <c r="E10" s="28">
        <v>1826295</v>
      </c>
      <c r="F10" s="28">
        <v>1604619</v>
      </c>
      <c r="G10" s="28">
        <v>1074768</v>
      </c>
      <c r="H10" s="31">
        <v>1186492</v>
      </c>
      <c r="I10" s="28">
        <v>840496</v>
      </c>
      <c r="J10" s="28">
        <v>1008830</v>
      </c>
      <c r="K10" s="28">
        <v>1276483</v>
      </c>
      <c r="L10" s="28">
        <v>1101397</v>
      </c>
      <c r="M10" s="28">
        <v>1334901</v>
      </c>
      <c r="N10" s="28">
        <v>1336405</v>
      </c>
      <c r="O10" s="32">
        <f t="shared" si="0"/>
        <v>14344419</v>
      </c>
    </row>
    <row r="11" spans="1:15">
      <c r="A11" s="33" t="s">
        <v>16</v>
      </c>
      <c r="B11" s="34"/>
      <c r="C11" s="35">
        <v>1396737</v>
      </c>
      <c r="D11" s="34">
        <v>1628157</v>
      </c>
      <c r="E11" s="34">
        <v>3210261</v>
      </c>
      <c r="F11" s="34">
        <v>2753544</v>
      </c>
      <c r="G11" s="34">
        <v>1872510</v>
      </c>
      <c r="H11" s="36">
        <v>2125213</v>
      </c>
      <c r="I11" s="34">
        <v>1624301</v>
      </c>
      <c r="J11" s="34">
        <v>1709356</v>
      </c>
      <c r="K11" s="34">
        <v>2246480</v>
      </c>
      <c r="L11" s="34">
        <v>1922537</v>
      </c>
      <c r="M11" s="34">
        <v>2340270</v>
      </c>
      <c r="N11" s="34">
        <v>2536355</v>
      </c>
      <c r="O11" s="37">
        <f t="shared" si="0"/>
        <v>25365721</v>
      </c>
    </row>
    <row r="12" spans="1:15">
      <c r="A12" s="38" t="s">
        <v>17</v>
      </c>
      <c r="B12" s="19"/>
      <c r="C12" s="18">
        <v>1058803</v>
      </c>
      <c r="D12" s="19">
        <v>1227757</v>
      </c>
      <c r="E12" s="19">
        <v>2480797</v>
      </c>
      <c r="F12" s="19">
        <v>2062529</v>
      </c>
      <c r="G12" s="19">
        <v>1417377</v>
      </c>
      <c r="H12" s="20">
        <v>1601304</v>
      </c>
      <c r="I12" s="19">
        <v>1234399</v>
      </c>
      <c r="J12" s="19">
        <v>1280950</v>
      </c>
      <c r="K12" s="19">
        <v>1692944</v>
      </c>
      <c r="L12" s="19">
        <v>1466661</v>
      </c>
      <c r="M12" s="19">
        <v>1787159</v>
      </c>
      <c r="N12" s="19">
        <v>1929287</v>
      </c>
      <c r="O12" s="21">
        <f t="shared" si="0"/>
        <v>19239967</v>
      </c>
    </row>
    <row r="13" spans="1:15" ht="5" customHeight="1" thickBot="1">
      <c r="A13" s="39"/>
      <c r="B13" s="39"/>
      <c r="C13" s="40"/>
      <c r="D13" s="39"/>
      <c r="E13" s="39"/>
      <c r="F13" s="39"/>
      <c r="G13" s="39"/>
      <c r="H13" s="41"/>
      <c r="I13" s="39"/>
      <c r="J13" s="39"/>
      <c r="K13" s="39"/>
      <c r="L13" s="39"/>
      <c r="M13" s="39"/>
      <c r="N13" s="39"/>
      <c r="O13" s="42"/>
    </row>
    <row r="14" spans="1:15" ht="16" thickTop="1"/>
    <row r="15" spans="1:15" ht="21" thickBot="1">
      <c r="A15" s="3" t="s">
        <v>18</v>
      </c>
    </row>
    <row r="16" spans="1:15" ht="20" thickTop="1" thickBot="1">
      <c r="B16" s="68" t="s">
        <v>19</v>
      </c>
      <c r="C16" s="68"/>
      <c r="D16" s="68"/>
      <c r="E16" s="68"/>
      <c r="F16" s="69" t="s">
        <v>41</v>
      </c>
      <c r="G16" s="70"/>
      <c r="H16" s="71"/>
      <c r="I16" s="70" t="s">
        <v>20</v>
      </c>
      <c r="J16" s="70"/>
      <c r="K16" s="70"/>
    </row>
    <row r="17" spans="2:11" ht="38" customHeight="1" thickBot="1">
      <c r="B17" s="43" t="s">
        <v>21</v>
      </c>
      <c r="C17" s="43" t="s">
        <v>22</v>
      </c>
      <c r="D17" s="43" t="s">
        <v>23</v>
      </c>
      <c r="E17" s="43" t="s">
        <v>24</v>
      </c>
      <c r="F17" s="44" t="s">
        <v>25</v>
      </c>
      <c r="G17" s="43" t="s">
        <v>26</v>
      </c>
      <c r="H17" s="45" t="s">
        <v>27</v>
      </c>
      <c r="I17" s="43" t="s">
        <v>25</v>
      </c>
      <c r="J17" s="43" t="s">
        <v>26</v>
      </c>
      <c r="K17" s="43" t="s">
        <v>27</v>
      </c>
    </row>
    <row r="18" spans="2:11" ht="16" thickTop="1">
      <c r="B18" s="46" t="s">
        <v>28</v>
      </c>
      <c r="C18" s="46" t="s">
        <v>28</v>
      </c>
      <c r="D18" s="46" t="s">
        <v>28</v>
      </c>
      <c r="E18" s="46" t="s">
        <v>28</v>
      </c>
      <c r="F18" s="47">
        <v>18714</v>
      </c>
      <c r="G18" s="48">
        <v>12119</v>
      </c>
      <c r="H18" s="49">
        <v>0.64760886989046218</v>
      </c>
      <c r="I18" s="46">
        <v>34286211</v>
      </c>
      <c r="J18" s="46">
        <v>24111639</v>
      </c>
      <c r="K18" s="50">
        <v>0.70324594922431061</v>
      </c>
    </row>
    <row r="19" spans="2:11">
      <c r="B19" s="2" t="s">
        <v>28</v>
      </c>
      <c r="C19" s="2" t="s">
        <v>28</v>
      </c>
      <c r="D19" s="2" t="s">
        <v>28</v>
      </c>
      <c r="E19" s="2" t="s">
        <v>29</v>
      </c>
      <c r="F19" s="51">
        <v>21122</v>
      </c>
      <c r="G19" s="13">
        <v>4541</v>
      </c>
      <c r="H19" s="52">
        <v>0.21498911087965156</v>
      </c>
      <c r="I19" s="2">
        <v>860826</v>
      </c>
      <c r="J19" s="2">
        <v>221914</v>
      </c>
      <c r="K19" s="53">
        <v>0.25779193472316125</v>
      </c>
    </row>
    <row r="20" spans="2:11">
      <c r="B20" s="2" t="s">
        <v>28</v>
      </c>
      <c r="C20" s="2" t="s">
        <v>28</v>
      </c>
      <c r="D20" s="2" t="s">
        <v>29</v>
      </c>
      <c r="E20" s="2" t="s">
        <v>28</v>
      </c>
      <c r="F20" s="51">
        <v>4866</v>
      </c>
      <c r="G20" s="13">
        <v>468</v>
      </c>
      <c r="H20" s="52">
        <v>9.6177558569667074E-2</v>
      </c>
      <c r="I20" s="2">
        <v>3356226</v>
      </c>
      <c r="J20" s="2">
        <v>358316</v>
      </c>
      <c r="K20" s="53">
        <v>0.10676158280163493</v>
      </c>
    </row>
    <row r="21" spans="2:11">
      <c r="B21" s="2" t="s">
        <v>28</v>
      </c>
      <c r="C21" s="2" t="s">
        <v>28</v>
      </c>
      <c r="D21" s="2" t="s">
        <v>29</v>
      </c>
      <c r="E21" s="2" t="s">
        <v>29</v>
      </c>
      <c r="F21" s="51">
        <v>15534</v>
      </c>
      <c r="G21" s="13">
        <v>336</v>
      </c>
      <c r="H21" s="52">
        <v>2.1629972962533797E-2</v>
      </c>
      <c r="I21" s="2">
        <v>576798</v>
      </c>
      <c r="J21" s="2">
        <v>15396</v>
      </c>
      <c r="K21" s="53">
        <v>2.6692186866112574E-2</v>
      </c>
    </row>
    <row r="22" spans="2:11">
      <c r="B22" s="2" t="s">
        <v>28</v>
      </c>
      <c r="C22" s="2" t="s">
        <v>29</v>
      </c>
      <c r="D22" s="2" t="s">
        <v>28</v>
      </c>
      <c r="E22" s="2" t="s">
        <v>28</v>
      </c>
      <c r="F22" s="51">
        <v>10</v>
      </c>
      <c r="G22" s="13">
        <v>2</v>
      </c>
      <c r="H22" s="52">
        <v>0.2</v>
      </c>
      <c r="I22" s="2">
        <v>1343</v>
      </c>
      <c r="J22" s="2">
        <v>136</v>
      </c>
      <c r="K22" s="53">
        <v>0.10126582278481013</v>
      </c>
    </row>
    <row r="23" spans="2:11">
      <c r="B23" s="2" t="s">
        <v>28</v>
      </c>
      <c r="C23" s="2" t="s">
        <v>29</v>
      </c>
      <c r="D23" s="2" t="s">
        <v>28</v>
      </c>
      <c r="E23" s="2" t="s">
        <v>29</v>
      </c>
      <c r="F23" s="51">
        <v>589</v>
      </c>
      <c r="G23" s="13">
        <v>75</v>
      </c>
      <c r="H23" s="52">
        <v>0.12733446519524619</v>
      </c>
      <c r="I23" s="2">
        <v>15646</v>
      </c>
      <c r="J23" s="2">
        <v>2004</v>
      </c>
      <c r="K23" s="53">
        <v>0.12808385529847885</v>
      </c>
    </row>
    <row r="24" spans="2:11">
      <c r="B24" s="2" t="s">
        <v>28</v>
      </c>
      <c r="C24" s="2" t="s">
        <v>29</v>
      </c>
      <c r="D24" s="2" t="s">
        <v>29</v>
      </c>
      <c r="E24" s="2" t="s">
        <v>28</v>
      </c>
      <c r="F24" s="51">
        <v>3</v>
      </c>
      <c r="G24" s="13">
        <v>0</v>
      </c>
      <c r="H24" s="52">
        <v>0</v>
      </c>
      <c r="I24" s="2">
        <v>364</v>
      </c>
      <c r="J24" s="2">
        <v>0</v>
      </c>
      <c r="K24" s="53">
        <v>0</v>
      </c>
    </row>
    <row r="25" spans="2:11">
      <c r="B25" s="2" t="s">
        <v>28</v>
      </c>
      <c r="C25" s="2" t="s">
        <v>29</v>
      </c>
      <c r="D25" s="2" t="s">
        <v>29</v>
      </c>
      <c r="E25" s="2" t="s">
        <v>29</v>
      </c>
      <c r="F25" s="51">
        <v>202</v>
      </c>
      <c r="G25" s="13">
        <v>2</v>
      </c>
      <c r="H25" s="52">
        <v>9.9009900990099011E-3</v>
      </c>
      <c r="I25" s="2">
        <v>5136</v>
      </c>
      <c r="J25" s="2">
        <v>60</v>
      </c>
      <c r="K25" s="53">
        <v>1.1682242990654205E-2</v>
      </c>
    </row>
    <row r="26" spans="2:11">
      <c r="B26" s="2" t="s">
        <v>29</v>
      </c>
      <c r="C26" s="2" t="s">
        <v>28</v>
      </c>
      <c r="D26" s="2" t="s">
        <v>28</v>
      </c>
      <c r="E26" s="2" t="s">
        <v>28</v>
      </c>
      <c r="F26" s="51">
        <v>2874</v>
      </c>
      <c r="G26" s="13">
        <v>614</v>
      </c>
      <c r="H26" s="52">
        <v>0.21363952679192763</v>
      </c>
      <c r="I26" s="2">
        <v>1934464</v>
      </c>
      <c r="J26" s="2">
        <v>651458</v>
      </c>
      <c r="K26" s="53">
        <v>0.33676408555548204</v>
      </c>
    </row>
    <row r="27" spans="2:11">
      <c r="B27" s="2" t="s">
        <v>29</v>
      </c>
      <c r="C27" s="2" t="s">
        <v>28</v>
      </c>
      <c r="D27" s="2" t="s">
        <v>28</v>
      </c>
      <c r="E27" s="2" t="s">
        <v>29</v>
      </c>
      <c r="F27" s="51">
        <v>4905</v>
      </c>
      <c r="G27" s="13">
        <v>378</v>
      </c>
      <c r="H27" s="52">
        <v>7.7064220183486243E-2</v>
      </c>
      <c r="I27" s="2">
        <v>212877</v>
      </c>
      <c r="J27" s="2">
        <v>18208</v>
      </c>
      <c r="K27" s="53">
        <v>8.5532960347994388E-2</v>
      </c>
    </row>
    <row r="28" spans="2:11">
      <c r="B28" s="2" t="s">
        <v>29</v>
      </c>
      <c r="C28" s="2" t="s">
        <v>28</v>
      </c>
      <c r="D28" s="2" t="s">
        <v>29</v>
      </c>
      <c r="E28" s="2" t="s">
        <v>28</v>
      </c>
      <c r="F28" s="51">
        <v>940</v>
      </c>
      <c r="G28" s="13">
        <v>209</v>
      </c>
      <c r="H28" s="52">
        <v>0.22234042553191488</v>
      </c>
      <c r="I28" s="2">
        <v>1340569</v>
      </c>
      <c r="J28" s="2">
        <v>425294</v>
      </c>
      <c r="K28" s="53">
        <v>0.31724886969637517</v>
      </c>
    </row>
    <row r="29" spans="2:11">
      <c r="B29" s="2" t="s">
        <v>29</v>
      </c>
      <c r="C29" s="2" t="s">
        <v>28</v>
      </c>
      <c r="D29" s="2" t="s">
        <v>29</v>
      </c>
      <c r="E29" s="2" t="s">
        <v>29</v>
      </c>
      <c r="F29" s="51">
        <v>835</v>
      </c>
      <c r="G29" s="13">
        <v>44</v>
      </c>
      <c r="H29" s="52">
        <v>5.2694610778443111E-2</v>
      </c>
      <c r="I29" s="2">
        <v>36310</v>
      </c>
      <c r="J29" s="2">
        <v>2182</v>
      </c>
      <c r="K29" s="53">
        <v>6.0093638116221426E-2</v>
      </c>
    </row>
    <row r="30" spans="2:11">
      <c r="B30" s="2" t="s">
        <v>29</v>
      </c>
      <c r="C30" s="2" t="s">
        <v>29</v>
      </c>
      <c r="D30" s="2" t="s">
        <v>28</v>
      </c>
      <c r="E30" s="2" t="s">
        <v>28</v>
      </c>
      <c r="F30" s="51">
        <v>36</v>
      </c>
      <c r="G30" s="13">
        <v>0</v>
      </c>
      <c r="H30" s="52">
        <v>0</v>
      </c>
      <c r="I30" s="2">
        <v>24508</v>
      </c>
      <c r="J30" s="2">
        <v>0</v>
      </c>
      <c r="K30" s="53">
        <v>0</v>
      </c>
    </row>
    <row r="31" spans="2:11">
      <c r="B31" s="2" t="s">
        <v>29</v>
      </c>
      <c r="C31" s="2" t="s">
        <v>29</v>
      </c>
      <c r="D31" s="2" t="s">
        <v>28</v>
      </c>
      <c r="E31" s="2" t="s">
        <v>29</v>
      </c>
      <c r="F31" s="51">
        <v>118</v>
      </c>
      <c r="G31" s="13">
        <v>9</v>
      </c>
      <c r="H31" s="52">
        <v>7.6271186440677971E-2</v>
      </c>
      <c r="I31" s="2">
        <v>4250</v>
      </c>
      <c r="J31" s="2">
        <v>321</v>
      </c>
      <c r="K31" s="53">
        <v>7.5529411764705887E-2</v>
      </c>
    </row>
    <row r="32" spans="2:11">
      <c r="B32" s="2" t="s">
        <v>29</v>
      </c>
      <c r="C32" s="2" t="s">
        <v>29</v>
      </c>
      <c r="D32" s="2" t="s">
        <v>29</v>
      </c>
      <c r="E32" s="2" t="s">
        <v>28</v>
      </c>
      <c r="F32" s="51">
        <v>3</v>
      </c>
      <c r="G32" s="13">
        <v>0</v>
      </c>
      <c r="H32" s="52">
        <v>0</v>
      </c>
      <c r="I32" s="2">
        <v>578</v>
      </c>
      <c r="J32" s="2">
        <v>0</v>
      </c>
      <c r="K32" s="53">
        <v>0</v>
      </c>
    </row>
    <row r="33" spans="1:11" ht="16" thickBot="1">
      <c r="B33" s="2" t="s">
        <v>29</v>
      </c>
      <c r="C33" s="2" t="s">
        <v>29</v>
      </c>
      <c r="D33" s="2" t="s">
        <v>29</v>
      </c>
      <c r="E33" s="2" t="s">
        <v>29</v>
      </c>
      <c r="F33" s="51">
        <v>32</v>
      </c>
      <c r="G33" s="13">
        <v>0</v>
      </c>
      <c r="H33" s="52">
        <v>0</v>
      </c>
      <c r="I33" s="2">
        <v>1017</v>
      </c>
      <c r="J33" s="2">
        <v>0</v>
      </c>
      <c r="K33" s="53">
        <v>0</v>
      </c>
    </row>
    <row r="34" spans="1:11" ht="16" thickBot="1">
      <c r="B34" s="54" t="s">
        <v>3</v>
      </c>
      <c r="C34" s="54"/>
      <c r="D34" s="54"/>
      <c r="E34" s="54"/>
      <c r="F34" s="55">
        <v>70784</v>
      </c>
      <c r="G34" s="54">
        <v>18798</v>
      </c>
      <c r="H34" s="56">
        <v>0.26556849005424954</v>
      </c>
      <c r="I34" s="54">
        <v>42657123</v>
      </c>
      <c r="J34" s="54">
        <v>25806928</v>
      </c>
      <c r="K34" s="57">
        <v>0.60498519790000838</v>
      </c>
    </row>
    <row r="35" spans="1:11" ht="16" thickTop="1"/>
    <row r="36" spans="1:11" ht="21" thickBot="1">
      <c r="A36" s="3" t="s">
        <v>30</v>
      </c>
    </row>
    <row r="37" spans="1:11" ht="17" customHeight="1" thickTop="1" thickBot="1">
      <c r="B37" s="72" t="s">
        <v>31</v>
      </c>
      <c r="C37" s="74" t="s">
        <v>20</v>
      </c>
      <c r="D37" s="75"/>
      <c r="E37" s="74" t="s">
        <v>41</v>
      </c>
      <c r="F37" s="76"/>
      <c r="G37" s="76"/>
      <c r="H37" s="76"/>
    </row>
    <row r="38" spans="1:11" ht="31" thickBot="1">
      <c r="B38" s="73"/>
      <c r="C38" s="44" t="s">
        <v>25</v>
      </c>
      <c r="D38" s="45" t="s">
        <v>32</v>
      </c>
      <c r="E38" s="43" t="s">
        <v>25</v>
      </c>
      <c r="F38" s="43" t="s">
        <v>32</v>
      </c>
      <c r="G38" s="43" t="s">
        <v>26</v>
      </c>
      <c r="H38" s="43" t="s">
        <v>27</v>
      </c>
    </row>
    <row r="39" spans="1:11" ht="16" thickTop="1">
      <c r="B39" s="46" t="s">
        <v>33</v>
      </c>
      <c r="C39" s="47">
        <v>27822346</v>
      </c>
      <c r="D39" s="49">
        <f t="shared" ref="D39:D44" si="1">C39/C$45</f>
        <v>0.8725133975334477</v>
      </c>
      <c r="E39" s="46">
        <v>12985</v>
      </c>
      <c r="F39" s="50">
        <f t="shared" ref="F39:F44" si="2">E39/E$45</f>
        <v>0.69483090753424659</v>
      </c>
      <c r="G39" s="46">
        <v>10287</v>
      </c>
      <c r="H39" s="50">
        <f t="shared" ref="H39:H45" si="3">G39/E39</f>
        <v>0.79222179437812856</v>
      </c>
    </row>
    <row r="40" spans="1:11">
      <c r="B40" s="17" t="s">
        <v>34</v>
      </c>
      <c r="C40" s="51">
        <v>520112</v>
      </c>
      <c r="D40" s="52">
        <f t="shared" si="1"/>
        <v>1.6310798816818559E-2</v>
      </c>
      <c r="E40" s="2">
        <v>1441</v>
      </c>
      <c r="F40" s="53">
        <f t="shared" si="2"/>
        <v>7.7108304794520549E-2</v>
      </c>
      <c r="G40" s="2">
        <v>372</v>
      </c>
      <c r="H40" s="53">
        <f t="shared" si="3"/>
        <v>0.25815405968077726</v>
      </c>
    </row>
    <row r="41" spans="1:11">
      <c r="B41" s="17" t="s">
        <v>35</v>
      </c>
      <c r="C41" s="51">
        <v>1558238</v>
      </c>
      <c r="D41" s="52">
        <f t="shared" si="1"/>
        <v>4.8866602821549428E-2</v>
      </c>
      <c r="E41" s="2">
        <v>782</v>
      </c>
      <c r="F41" s="53">
        <f t="shared" si="2"/>
        <v>4.184503424657534E-2</v>
      </c>
      <c r="G41" s="2">
        <v>461</v>
      </c>
      <c r="H41" s="53">
        <f t="shared" si="3"/>
        <v>0.58951406649616367</v>
      </c>
    </row>
    <row r="42" spans="1:11">
      <c r="B42" s="17" t="s">
        <v>36</v>
      </c>
      <c r="C42" s="51">
        <v>136635</v>
      </c>
      <c r="D42" s="52">
        <f t="shared" si="1"/>
        <v>4.2848963229765967E-3</v>
      </c>
      <c r="E42" s="2">
        <v>273</v>
      </c>
      <c r="F42" s="53">
        <f t="shared" si="2"/>
        <v>1.4608304794520547E-2</v>
      </c>
      <c r="G42" s="2">
        <v>88</v>
      </c>
      <c r="H42" s="53">
        <f t="shared" si="3"/>
        <v>0.32234432234432236</v>
      </c>
    </row>
    <row r="43" spans="1:11">
      <c r="B43" s="17" t="s">
        <v>37</v>
      </c>
      <c r="C43" s="51">
        <v>284029</v>
      </c>
      <c r="D43" s="52">
        <f t="shared" si="1"/>
        <v>8.9071966752202573E-3</v>
      </c>
      <c r="E43" s="2">
        <v>449</v>
      </c>
      <c r="F43" s="53">
        <f t="shared" si="2"/>
        <v>2.4026113013698631E-2</v>
      </c>
      <c r="G43" s="2">
        <v>230</v>
      </c>
      <c r="H43" s="53">
        <f t="shared" si="3"/>
        <v>0.51224944320712695</v>
      </c>
    </row>
    <row r="44" spans="1:11" ht="16" thickBot="1">
      <c r="B44" s="17" t="s">
        <v>38</v>
      </c>
      <c r="C44" s="51">
        <v>1566226</v>
      </c>
      <c r="D44" s="52">
        <f t="shared" si="1"/>
        <v>4.9117107829987509E-2</v>
      </c>
      <c r="E44" s="2">
        <v>2758</v>
      </c>
      <c r="F44" s="53">
        <f t="shared" si="2"/>
        <v>0.14758133561643835</v>
      </c>
      <c r="G44" s="2">
        <v>681</v>
      </c>
      <c r="H44" s="53">
        <f t="shared" si="3"/>
        <v>0.24691805656272661</v>
      </c>
    </row>
    <row r="45" spans="1:11">
      <c r="B45" s="58" t="s">
        <v>39</v>
      </c>
      <c r="C45" s="59">
        <v>31887586</v>
      </c>
      <c r="D45" s="60"/>
      <c r="E45" s="61">
        <v>18688</v>
      </c>
      <c r="F45" s="62"/>
      <c r="G45" s="61">
        <v>12119</v>
      </c>
      <c r="H45" s="62">
        <f t="shared" si="3"/>
        <v>0.6484910102739726</v>
      </c>
    </row>
    <row r="46" spans="1:11" ht="16" thickBot="1">
      <c r="B46" s="19" t="s">
        <v>40</v>
      </c>
      <c r="C46" s="51">
        <v>2398540</v>
      </c>
      <c r="D46" s="52"/>
      <c r="E46" s="13">
        <v>26</v>
      </c>
      <c r="F46" s="63"/>
    </row>
    <row r="47" spans="1:11" ht="16" thickBot="1">
      <c r="B47" s="64" t="s">
        <v>3</v>
      </c>
      <c r="C47" s="55">
        <v>34286126</v>
      </c>
      <c r="D47" s="65"/>
      <c r="E47" s="54">
        <v>18714</v>
      </c>
      <c r="F47" s="54"/>
      <c r="G47" s="54"/>
      <c r="H47" s="54"/>
    </row>
    <row r="48" spans="1:11" ht="16" thickTop="1"/>
  </sheetData>
  <mergeCells count="7">
    <mergeCell ref="O3:O4"/>
    <mergeCell ref="B16:E16"/>
    <mergeCell ref="F16:H16"/>
    <mergeCell ref="I16:K16"/>
    <mergeCell ref="B37:B38"/>
    <mergeCell ref="C37:D37"/>
    <mergeCell ref="E37:H37"/>
  </mergeCells>
  <pageMargins left="0.75" right="0.75" top="1" bottom="1" header="0.5" footer="0.5"/>
  <pageSetup scale="6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University of California, 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Kyu Yoon</dc:creator>
  <cp:lastModifiedBy>Oh Kyu Yoon</cp:lastModifiedBy>
  <dcterms:created xsi:type="dcterms:W3CDTF">2012-02-22T18:31:51Z</dcterms:created>
  <dcterms:modified xsi:type="dcterms:W3CDTF">2012-07-11T17:53:20Z</dcterms:modified>
</cp:coreProperties>
</file>