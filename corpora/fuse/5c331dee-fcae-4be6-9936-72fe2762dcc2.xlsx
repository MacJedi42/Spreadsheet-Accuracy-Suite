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360" yWindow="255" windowWidth="12120" windowHeight="9120" tabRatio="770"/>
  </bookViews>
  <sheets>
    <sheet name="Transmittal Instruction" sheetId="7" r:id="rId1"/>
    <sheet name="Cash Transmittal Form" sheetId="9" r:id="rId2"/>
    <sheet name="General Ledger Transmittal Form" sheetId="10" r:id="rId3"/>
    <sheet name="Credit Card Transmittal Form" sheetId="11" r:id="rId4"/>
  </sheets>
  <definedNames>
    <definedName name="List">'Transmittal Instruction'!$F$21:$F$48</definedName>
    <definedName name="_xlnm.Print_Area" localSheetId="1">'Cash Transmittal Form'!$A$3:$I$53</definedName>
    <definedName name="TransmittalCode">'Transmittal Instruction'!$F$23:$F$47</definedName>
    <definedName name="TransmittalCodes">'Transmittal Instruction'!$F$23:$F$47</definedName>
  </definedNames>
  <calcPr calcId="125725"/>
</workbook>
</file>

<file path=xl/calcChain.xml><?xml version="1.0" encoding="utf-8"?>
<calcChain xmlns="http://schemas.openxmlformats.org/spreadsheetml/2006/main">
  <c r="G68" i="10"/>
  <c r="E68"/>
  <c r="G32"/>
  <c r="C33"/>
  <c r="C19"/>
  <c r="G43" i="11"/>
  <c r="F43"/>
  <c r="E43"/>
  <c r="I52" i="9"/>
  <c r="I53"/>
  <c r="C24"/>
  <c r="E53"/>
  <c r="C28" i="10"/>
  <c r="C27"/>
  <c r="C26"/>
  <c r="C31"/>
  <c r="C32"/>
  <c r="G31"/>
  <c r="G30"/>
  <c r="C30"/>
  <c r="G29"/>
  <c r="C29"/>
  <c r="G28"/>
  <c r="G27"/>
  <c r="G26"/>
  <c r="I16" i="9"/>
  <c r="C30"/>
  <c r="G29"/>
  <c r="G34"/>
  <c r="G33"/>
  <c r="G32"/>
  <c r="G31"/>
  <c r="G30"/>
  <c r="G35"/>
  <c r="C22"/>
  <c r="C35"/>
  <c r="C34"/>
  <c r="C33"/>
  <c r="C32"/>
  <c r="C31"/>
  <c r="C29"/>
  <c r="C36"/>
  <c r="C21"/>
  <c r="C23"/>
  <c r="C16" i="10"/>
  <c r="C17"/>
  <c r="C18"/>
  <c r="C20"/>
  <c r="C25" i="9"/>
</calcChain>
</file>

<file path=xl/comments1.xml><?xml version="1.0" encoding="utf-8"?>
<comments xmlns="http://schemas.openxmlformats.org/spreadsheetml/2006/main">
  <authors>
    <author>Laura Tabler-Allison</author>
  </authors>
  <commentList>
    <comment ref="E7" authorId="0">
      <text>
        <r>
          <rPr>
            <b/>
            <sz val="8"/>
            <color indexed="81"/>
            <rFont val="Tahoma"/>
            <family val="2"/>
          </rPr>
          <t>Laura Tabler-Allison:</t>
        </r>
        <r>
          <rPr>
            <sz val="8"/>
            <color indexed="81"/>
            <rFont val="Tahoma"/>
            <family val="2"/>
          </rPr>
          <t xml:space="preserve">
These comment boxes are meant to guide you when completing the Cash Transmittal Form</t>
        </r>
      </text>
    </comment>
    <comment ref="B8" authorId="0">
      <text>
        <r>
          <rPr>
            <b/>
            <sz val="8"/>
            <color indexed="81"/>
            <rFont val="Tahoma"/>
            <family val="2"/>
          </rPr>
          <t>Laura Tabler-Allison:</t>
        </r>
        <r>
          <rPr>
            <sz val="8"/>
            <color indexed="81"/>
            <rFont val="Tahoma"/>
            <family val="2"/>
          </rPr>
          <t xml:space="preserve">
Select the two letter Transmittal Code based upon department. See the Transmittal Instructions tab for more information</t>
        </r>
      </text>
    </comment>
    <comment ref="C8" authorId="0">
      <text>
        <r>
          <rPr>
            <b/>
            <sz val="8"/>
            <color indexed="81"/>
            <rFont val="Tahoma"/>
            <family val="2"/>
          </rPr>
          <t>Laura Tabler-Allison:</t>
        </r>
        <r>
          <rPr>
            <sz val="8"/>
            <color indexed="81"/>
            <rFont val="Tahoma"/>
            <family val="2"/>
          </rPr>
          <t xml:space="preserve">
Insert a 6 digit sequential Transmittal Number here. 
The first two digits should be the last two digits of the fiscal year (ex, FY2011 will give you the first two digits of 11).
The last four digits should be in sequential order. If this is the first transmittal submitted, it should be 0001, and so on. This number will be specific to the department submitting the transmittal; tweak the transmittal number for departmental tracking purposes if needed.
Example, the first transmittal submitted in FY2011 would give you a Transmittal Number of 110001.
NOTE: A transmittal number may not be appropriate for some events. In this case, the "For" section will be used in identifying the transmittal.
Example, Movie Night.
</t>
        </r>
      </text>
    </comment>
    <comment ref="I8" authorId="0">
      <text>
        <r>
          <rPr>
            <b/>
            <sz val="8"/>
            <color indexed="81"/>
            <rFont val="Tahoma"/>
            <family val="2"/>
          </rPr>
          <t>Laura Tabler-Allison:</t>
        </r>
        <r>
          <rPr>
            <sz val="8"/>
            <color indexed="81"/>
            <rFont val="Tahoma"/>
            <family val="2"/>
          </rPr>
          <t xml:space="preserve">
If multiple FOAPALS, please indicate the amount per FOAPAL here.</t>
        </r>
      </text>
    </comment>
    <comment ref="E9" authorId="0">
      <text>
        <r>
          <rPr>
            <b/>
            <sz val="8"/>
            <color indexed="81"/>
            <rFont val="Tahoma"/>
            <family val="2"/>
          </rPr>
          <t>Laura Tabler-Allison:</t>
        </r>
        <r>
          <rPr>
            <sz val="8"/>
            <color indexed="81"/>
            <rFont val="Tahoma"/>
            <family val="2"/>
          </rPr>
          <t xml:space="preserve">
Insert the respective FOAPAL(S) here</t>
        </r>
      </text>
    </comment>
    <comment ref="A12" authorId="0">
      <text>
        <r>
          <rPr>
            <b/>
            <sz val="8"/>
            <color indexed="81"/>
            <rFont val="Tahoma"/>
            <family val="2"/>
          </rPr>
          <t>Laura Tabler-Allison:</t>
        </r>
        <r>
          <rPr>
            <sz val="8"/>
            <color indexed="81"/>
            <rFont val="Tahoma"/>
            <family val="2"/>
          </rPr>
          <t xml:space="preserve">
The date the transmittal is being taken to the Cashier's Office</t>
        </r>
      </text>
    </comment>
    <comment ref="A14" authorId="0">
      <text>
        <r>
          <rPr>
            <b/>
            <sz val="8"/>
            <color indexed="81"/>
            <rFont val="Tahoma"/>
            <family val="2"/>
          </rPr>
          <t>Laura Tabler-Allison:</t>
        </r>
        <r>
          <rPr>
            <sz val="8"/>
            <color indexed="81"/>
            <rFont val="Tahoma"/>
            <family val="2"/>
          </rPr>
          <t xml:space="preserve">
The name of the person completing the Cash Transmittal Form</t>
        </r>
      </text>
    </comment>
    <comment ref="I16" authorId="0">
      <text>
        <r>
          <rPr>
            <b/>
            <sz val="8"/>
            <color indexed="81"/>
            <rFont val="Tahoma"/>
            <family val="2"/>
          </rPr>
          <t>Laura Tabler-Allison:</t>
        </r>
        <r>
          <rPr>
            <sz val="8"/>
            <color indexed="81"/>
            <rFont val="Tahoma"/>
            <family val="2"/>
          </rPr>
          <t xml:space="preserve">
This amount should equal the Total Transmittal Amount below.</t>
        </r>
      </text>
    </comment>
    <comment ref="A17" authorId="0">
      <text>
        <r>
          <rPr>
            <b/>
            <sz val="8"/>
            <color indexed="81"/>
            <rFont val="Tahoma"/>
            <family val="2"/>
          </rPr>
          <t>Laura Tabler-Allison:</t>
        </r>
        <r>
          <rPr>
            <sz val="8"/>
            <color indexed="81"/>
            <rFont val="Tahoma"/>
            <family val="2"/>
          </rPr>
          <t xml:space="preserve">
A description of why the funds were collected (i.e. Halloween Fund Raiser)</t>
        </r>
      </text>
    </comment>
    <comment ref="E18" authorId="0">
      <text>
        <r>
          <rPr>
            <b/>
            <sz val="8"/>
            <color indexed="81"/>
            <rFont val="Tahoma"/>
            <family val="2"/>
          </rPr>
          <t>Laura Tabler-Allison:</t>
        </r>
        <r>
          <rPr>
            <sz val="8"/>
            <color indexed="81"/>
            <rFont val="Tahoma"/>
            <family val="2"/>
          </rPr>
          <t xml:space="preserve">
The department that is sending the transmittal </t>
        </r>
      </text>
    </comment>
    <comment ref="C25" authorId="0">
      <text>
        <r>
          <rPr>
            <b/>
            <sz val="8"/>
            <color indexed="81"/>
            <rFont val="Tahoma"/>
            <family val="2"/>
          </rPr>
          <t>Laura Tabler-Allison:</t>
        </r>
        <r>
          <rPr>
            <sz val="8"/>
            <color indexed="81"/>
            <rFont val="Tahoma"/>
            <family val="2"/>
          </rPr>
          <t xml:space="preserve">
The total amount of Currency, Coin, and Checks</t>
        </r>
      </text>
    </comment>
    <comment ref="B28" authorId="0">
      <text>
        <r>
          <rPr>
            <b/>
            <sz val="8"/>
            <color indexed="81"/>
            <rFont val="Tahoma"/>
            <family val="2"/>
          </rPr>
          <t>Laura Tabler-Allison:</t>
        </r>
        <r>
          <rPr>
            <sz val="8"/>
            <color indexed="81"/>
            <rFont val="Tahoma"/>
            <family val="2"/>
          </rPr>
          <t xml:space="preserve">
Enter the number of bills here. The amounts will automatically be calculated for you in the "Amount" column</t>
        </r>
      </text>
    </comment>
    <comment ref="F28" authorId="0">
      <text>
        <r>
          <rPr>
            <b/>
            <sz val="8"/>
            <color indexed="81"/>
            <rFont val="Tahoma"/>
            <family val="2"/>
          </rPr>
          <t>Laura Tabler-Allison:</t>
        </r>
        <r>
          <rPr>
            <sz val="8"/>
            <color indexed="81"/>
            <rFont val="Tahoma"/>
            <family val="2"/>
          </rPr>
          <t xml:space="preserve">
Enter the number of coins here. The amounts will automatically be calculated for you in the "Amount" column</t>
        </r>
      </text>
    </comment>
    <comment ref="G35" authorId="0">
      <text>
        <r>
          <rPr>
            <b/>
            <sz val="8"/>
            <color indexed="81"/>
            <rFont val="Tahoma"/>
            <family val="2"/>
          </rPr>
          <t>Laura Tabler-Allison:</t>
        </r>
        <r>
          <rPr>
            <sz val="8"/>
            <color indexed="81"/>
            <rFont val="Tahoma"/>
            <family val="2"/>
          </rPr>
          <t xml:space="preserve">
The total amount of Coin</t>
        </r>
      </text>
    </comment>
    <comment ref="C36" authorId="0">
      <text>
        <r>
          <rPr>
            <b/>
            <sz val="8"/>
            <color indexed="81"/>
            <rFont val="Tahoma"/>
            <family val="2"/>
          </rPr>
          <t>Laura Tabler-Allison:</t>
        </r>
        <r>
          <rPr>
            <sz val="8"/>
            <color indexed="81"/>
            <rFont val="Tahoma"/>
            <family val="2"/>
          </rPr>
          <t xml:space="preserve">
The total amount of Currency</t>
        </r>
      </text>
    </comment>
    <comment ref="A38" authorId="0">
      <text>
        <r>
          <rPr>
            <b/>
            <sz val="8"/>
            <color indexed="81"/>
            <rFont val="Tahoma"/>
            <family val="2"/>
          </rPr>
          <t>Laura Tabler-Allison:</t>
        </r>
        <r>
          <rPr>
            <sz val="8"/>
            <color indexed="81"/>
            <rFont val="Tahoma"/>
            <family val="2"/>
          </rPr>
          <t xml:space="preserve">
Insert the check number in the "Check #" column
Insert the name or ID on the check in the "Name/ID" column
Insert the amount of the check in the "Amount" column</t>
        </r>
      </text>
    </comment>
    <comment ref="I53" authorId="0">
      <text>
        <r>
          <rPr>
            <b/>
            <sz val="8"/>
            <color indexed="81"/>
            <rFont val="Tahoma"/>
            <family val="2"/>
          </rPr>
          <t>Laura Tabler-Allison:</t>
        </r>
        <r>
          <rPr>
            <sz val="8"/>
            <color indexed="81"/>
            <rFont val="Tahoma"/>
            <family val="2"/>
          </rPr>
          <t xml:space="preserve">
The total amount of checks</t>
        </r>
      </text>
    </comment>
  </commentList>
</comments>
</file>

<file path=xl/comments2.xml><?xml version="1.0" encoding="utf-8"?>
<comments xmlns="http://schemas.openxmlformats.org/spreadsheetml/2006/main">
  <authors>
    <author>Laura Tabler-Allison</author>
  </authors>
  <commentList>
    <comment ref="E7" authorId="0">
      <text>
        <r>
          <rPr>
            <b/>
            <sz val="8"/>
            <color indexed="81"/>
            <rFont val="Tahoma"/>
            <family val="2"/>
          </rPr>
          <t>Laura Tabler-Allison:</t>
        </r>
        <r>
          <rPr>
            <sz val="8"/>
            <color indexed="81"/>
            <rFont val="Tahoma"/>
            <family val="2"/>
          </rPr>
          <t xml:space="preserve">
These comment boxes are meant to guide you when completing the Cash Transmittal Form</t>
        </r>
      </text>
    </comment>
    <comment ref="A9" authorId="0">
      <text>
        <r>
          <rPr>
            <b/>
            <sz val="8"/>
            <color indexed="81"/>
            <rFont val="Tahoma"/>
            <family val="2"/>
          </rPr>
          <t>Laura Tabler-Allison:</t>
        </r>
        <r>
          <rPr>
            <sz val="8"/>
            <color indexed="81"/>
            <rFont val="Tahoma"/>
            <family val="2"/>
          </rPr>
          <t xml:space="preserve">
Select the two letter Transmittal Code based upon department. See the Transmittal Instructions tab for more information</t>
        </r>
      </text>
    </comment>
    <comment ref="B9" authorId="0">
      <text>
        <r>
          <rPr>
            <b/>
            <sz val="8"/>
            <color indexed="81"/>
            <rFont val="Tahoma"/>
            <family val="2"/>
          </rPr>
          <t>Laura Tabler-Allison:</t>
        </r>
        <r>
          <rPr>
            <sz val="8"/>
            <color indexed="81"/>
            <rFont val="Tahoma"/>
            <family val="2"/>
          </rPr>
          <t xml:space="preserve">
Insert a 6 digit sequential Transmittal Number here. 
The first two digits should be the last two digits of the fiscal year (ex, FY2011 will give you the first two digits of 11).
The last four digits should be in sequential order. If this is the first transmittal submitted, it should be 0001, and so on. This number will be specific to the department submitting the transmittal; tweak the transmittal number for departmental tracking purposes if needed.
Example, the first transmittal submitted in FY2011 would give you a Transmittal Number of 110001.
NOTE: A transmittal number may not be appropriate for some events. In this case, the "For" section will be used in identifying the transmittal.
Example, Movie Night.
</t>
        </r>
      </text>
    </comment>
    <comment ref="E9" authorId="0">
      <text>
        <r>
          <rPr>
            <b/>
            <sz val="8"/>
            <color indexed="81"/>
            <rFont val="Tahoma"/>
            <family val="2"/>
          </rPr>
          <t>Laura Tabler-Allison:</t>
        </r>
        <r>
          <rPr>
            <sz val="8"/>
            <color indexed="81"/>
            <rFont val="Tahoma"/>
            <family val="2"/>
          </rPr>
          <t xml:space="preserve">
The department that is sending the transmittal </t>
        </r>
      </text>
    </comment>
    <comment ref="E11" authorId="0">
      <text>
        <r>
          <rPr>
            <b/>
            <sz val="8"/>
            <color indexed="81"/>
            <rFont val="Tahoma"/>
            <family val="2"/>
          </rPr>
          <t>Laura Tabler-Allison:</t>
        </r>
        <r>
          <rPr>
            <sz val="8"/>
            <color indexed="81"/>
            <rFont val="Tahoma"/>
            <family val="2"/>
          </rPr>
          <t xml:space="preserve">
The date the transmittal is being taken to the Cashier's Office</t>
        </r>
      </text>
    </comment>
    <comment ref="E13" authorId="0">
      <text>
        <r>
          <rPr>
            <b/>
            <sz val="8"/>
            <color indexed="81"/>
            <rFont val="Tahoma"/>
            <family val="2"/>
          </rPr>
          <t>Laura Tabler-Allison:</t>
        </r>
        <r>
          <rPr>
            <sz val="8"/>
            <color indexed="81"/>
            <rFont val="Tahoma"/>
            <family val="2"/>
          </rPr>
          <t xml:space="preserve">
The name of the person completing the Cash Transmittal Form</t>
        </r>
      </text>
    </comment>
    <comment ref="C18" authorId="0">
      <text>
        <r>
          <rPr>
            <b/>
            <sz val="8"/>
            <color indexed="81"/>
            <rFont val="Tahoma"/>
            <family val="2"/>
          </rPr>
          <t>Laura Tabler-Allison:</t>
        </r>
        <r>
          <rPr>
            <sz val="8"/>
            <color indexed="81"/>
            <rFont val="Tahoma"/>
            <family val="2"/>
          </rPr>
          <t xml:space="preserve">
NOTE: This amount should equal the Total Cash Amount below in the Funds section of this form. Ensure these two amounts are the same.</t>
        </r>
      </text>
    </comment>
    <comment ref="C20" authorId="0">
      <text>
        <r>
          <rPr>
            <b/>
            <sz val="8"/>
            <color indexed="81"/>
            <rFont val="Tahoma"/>
            <family val="2"/>
          </rPr>
          <t>Laura Tabler-Allison:</t>
        </r>
        <r>
          <rPr>
            <sz val="8"/>
            <color indexed="81"/>
            <rFont val="Tahoma"/>
            <family val="2"/>
          </rPr>
          <t xml:space="preserve">
The total amount of Currency, Coin, and Checks</t>
        </r>
      </text>
    </comment>
    <comment ref="B25" authorId="0">
      <text>
        <r>
          <rPr>
            <b/>
            <sz val="8"/>
            <color indexed="81"/>
            <rFont val="Tahoma"/>
            <family val="2"/>
          </rPr>
          <t>Laura Tabler-Allison:</t>
        </r>
        <r>
          <rPr>
            <sz val="8"/>
            <color indexed="81"/>
            <rFont val="Tahoma"/>
            <family val="2"/>
          </rPr>
          <t xml:space="preserve">
Enter the number of bills here. The amounts will automatically be calculated for you in the "Amount" column</t>
        </r>
      </text>
    </comment>
    <comment ref="F25" authorId="0">
      <text>
        <r>
          <rPr>
            <b/>
            <sz val="8"/>
            <color indexed="81"/>
            <rFont val="Tahoma"/>
            <family val="2"/>
          </rPr>
          <t>Laura Tabler-Allison:</t>
        </r>
        <r>
          <rPr>
            <sz val="8"/>
            <color indexed="81"/>
            <rFont val="Tahoma"/>
            <family val="2"/>
          </rPr>
          <t xml:space="preserve">
Enter the number of coins here. The amounts will automatically be calculated for you in the "Amount" column</t>
        </r>
      </text>
    </comment>
    <comment ref="G32" authorId="0">
      <text>
        <r>
          <rPr>
            <b/>
            <sz val="8"/>
            <color indexed="81"/>
            <rFont val="Tahoma"/>
            <family val="2"/>
          </rPr>
          <t>Laura Tabler-Allison:</t>
        </r>
        <r>
          <rPr>
            <sz val="8"/>
            <color indexed="81"/>
            <rFont val="Tahoma"/>
            <family val="2"/>
          </rPr>
          <t xml:space="preserve">
The total amount of Coin</t>
        </r>
      </text>
    </comment>
    <comment ref="C33" authorId="0">
      <text>
        <r>
          <rPr>
            <b/>
            <sz val="8"/>
            <color indexed="81"/>
            <rFont val="Tahoma"/>
            <family val="2"/>
          </rPr>
          <t>Laura Tabler-Allison:</t>
        </r>
        <r>
          <rPr>
            <sz val="8"/>
            <color indexed="81"/>
            <rFont val="Tahoma"/>
            <family val="2"/>
          </rPr>
          <t xml:space="preserve">
The total amount of Currency</t>
        </r>
      </text>
    </comment>
  </commentList>
</comments>
</file>

<file path=xl/comments3.xml><?xml version="1.0" encoding="utf-8"?>
<comments xmlns="http://schemas.openxmlformats.org/spreadsheetml/2006/main">
  <authors>
    <author>Laura Tabler-Allison</author>
  </authors>
  <commentList>
    <comment ref="E7" authorId="0">
      <text>
        <r>
          <rPr>
            <b/>
            <sz val="8"/>
            <color indexed="81"/>
            <rFont val="Tahoma"/>
            <family val="2"/>
          </rPr>
          <t>Laura Tabler-Allison:</t>
        </r>
        <r>
          <rPr>
            <sz val="8"/>
            <color indexed="81"/>
            <rFont val="Tahoma"/>
            <family val="2"/>
          </rPr>
          <t xml:space="preserve">
These comment boxes are meant to guide you when completing the Cash Transmittal Form</t>
        </r>
      </text>
    </comment>
    <comment ref="A9" authorId="0">
      <text>
        <r>
          <rPr>
            <b/>
            <sz val="8"/>
            <color indexed="81"/>
            <rFont val="Tahoma"/>
            <family val="2"/>
          </rPr>
          <t>Laura Tabler-Allison:</t>
        </r>
        <r>
          <rPr>
            <sz val="8"/>
            <color indexed="81"/>
            <rFont val="Tahoma"/>
            <family val="2"/>
          </rPr>
          <t xml:space="preserve">
Select the applicable fiscal year from the drop down menu</t>
        </r>
      </text>
    </comment>
    <comment ref="B9" authorId="0">
      <text>
        <r>
          <rPr>
            <b/>
            <sz val="8"/>
            <color indexed="81"/>
            <rFont val="Tahoma"/>
            <family val="2"/>
          </rPr>
          <t>Laura Tabler-Allison:</t>
        </r>
        <r>
          <rPr>
            <sz val="8"/>
            <color indexed="81"/>
            <rFont val="Tahoma"/>
            <family val="2"/>
          </rPr>
          <t xml:space="preserve">
Select the two letter Transmittal Code based upon department. See the Transmittal Instructions tab for more information</t>
        </r>
      </text>
    </comment>
    <comment ref="C9" authorId="0">
      <text>
        <r>
          <rPr>
            <b/>
            <sz val="8"/>
            <color indexed="81"/>
            <rFont val="Tahoma"/>
            <family val="2"/>
          </rPr>
          <t>Laura Tabler-Allison:</t>
        </r>
        <r>
          <rPr>
            <sz val="8"/>
            <color indexed="81"/>
            <rFont val="Tahoma"/>
            <family val="2"/>
          </rPr>
          <t xml:space="preserve">
Insert a 4 digit sequential Transmittal Number here. 
If this is the first transmittal submitted, it should be 0001, and so on. This number will be specific to the department submitting the transmittal; tweak the transmittal number for departmental tracking purposes if needed.</t>
        </r>
      </text>
    </comment>
    <comment ref="E9" authorId="0">
      <text>
        <r>
          <rPr>
            <b/>
            <sz val="8"/>
            <color indexed="81"/>
            <rFont val="Tahoma"/>
            <family val="2"/>
          </rPr>
          <t>Laura Tabler-Allison:</t>
        </r>
        <r>
          <rPr>
            <sz val="8"/>
            <color indexed="81"/>
            <rFont val="Tahoma"/>
            <family val="2"/>
          </rPr>
          <t xml:space="preserve">
The department that is sending the transmittal </t>
        </r>
      </text>
    </comment>
    <comment ref="E11" authorId="0">
      <text>
        <r>
          <rPr>
            <b/>
            <sz val="8"/>
            <color indexed="81"/>
            <rFont val="Tahoma"/>
            <family val="2"/>
          </rPr>
          <t>Laura Tabler-Allison:</t>
        </r>
        <r>
          <rPr>
            <sz val="8"/>
            <color indexed="81"/>
            <rFont val="Tahoma"/>
            <family val="2"/>
          </rPr>
          <t xml:space="preserve">
The date the transmittal is being taken to the Cashier's Office</t>
        </r>
      </text>
    </comment>
    <comment ref="E13" authorId="0">
      <text>
        <r>
          <rPr>
            <b/>
            <sz val="8"/>
            <color indexed="81"/>
            <rFont val="Tahoma"/>
            <family val="2"/>
          </rPr>
          <t>Laura Tabler-Allison:</t>
        </r>
        <r>
          <rPr>
            <sz val="8"/>
            <color indexed="81"/>
            <rFont val="Tahoma"/>
            <family val="2"/>
          </rPr>
          <t xml:space="preserve">
The name of the person completing the Credit Card Transmittal Form</t>
        </r>
      </text>
    </comment>
  </commentList>
</comments>
</file>

<file path=xl/sharedStrings.xml><?xml version="1.0" encoding="utf-8"?>
<sst xmlns="http://schemas.openxmlformats.org/spreadsheetml/2006/main" count="173" uniqueCount="117">
  <si>
    <t>FROM:</t>
  </si>
  <si>
    <t>DATE:</t>
  </si>
  <si>
    <t>FOR:</t>
  </si>
  <si>
    <t>BY:</t>
  </si>
  <si>
    <t>Currency</t>
  </si>
  <si>
    <t>DOLLARS</t>
  </si>
  <si>
    <t>HALVES</t>
  </si>
  <si>
    <t>QUARTERS</t>
  </si>
  <si>
    <t>DIMES</t>
  </si>
  <si>
    <t>NICKELS</t>
  </si>
  <si>
    <t>PENNIES</t>
  </si>
  <si>
    <t>TRANSMITTAL NUMBER:</t>
  </si>
  <si>
    <t>TOTAL:</t>
  </si>
  <si>
    <t>COIN</t>
  </si>
  <si>
    <t>CURRENCY</t>
  </si>
  <si>
    <t>Coin</t>
  </si>
  <si>
    <t>Subtotal Cash</t>
  </si>
  <si>
    <t>Checks</t>
  </si>
  <si>
    <t>CHECKS</t>
  </si>
  <si>
    <t>Check #</t>
  </si>
  <si>
    <t>Name/ID</t>
  </si>
  <si>
    <t>Amount</t>
  </si>
  <si>
    <t>Transmittal Total</t>
  </si>
  <si>
    <t>Bill</t>
  </si>
  <si>
    <t>Number of Bills</t>
  </si>
  <si>
    <t>Number of Coins</t>
  </si>
  <si>
    <t>Transmittal Amounts</t>
  </si>
  <si>
    <t>Total Transmittal:</t>
  </si>
  <si>
    <t>FOAPAL(S):</t>
  </si>
  <si>
    <t>Input Cells - Put your data in these cells</t>
  </si>
  <si>
    <t>Formula Driven Cells - Formula will automatically calculate</t>
  </si>
  <si>
    <t>TRANSMITTAL CODE:</t>
  </si>
  <si>
    <t>Departmental Area</t>
  </si>
  <si>
    <t>Transmittal Code</t>
  </si>
  <si>
    <t>Alumni Executive Center</t>
  </si>
  <si>
    <t>AC</t>
  </si>
  <si>
    <t>Admissions</t>
  </si>
  <si>
    <t>Athletics</t>
  </si>
  <si>
    <t>Belmont</t>
  </si>
  <si>
    <t>Bookstore</t>
  </si>
  <si>
    <t>Stafford Campus</t>
  </si>
  <si>
    <t>EagleOne</t>
  </si>
  <si>
    <t>Indoor Tennis Center</t>
  </si>
  <si>
    <t>James Monroe Museum</t>
  </si>
  <si>
    <t>Libraries</t>
  </si>
  <si>
    <t>Residential Life</t>
  </si>
  <si>
    <t>Small Business Development Center</t>
  </si>
  <si>
    <t>Student Activities</t>
  </si>
  <si>
    <t>Study Abroad</t>
  </si>
  <si>
    <t>Theatre Box Office</t>
  </si>
  <si>
    <t>AD</t>
  </si>
  <si>
    <t>AT</t>
  </si>
  <si>
    <t>BE</t>
  </si>
  <si>
    <t>BO</t>
  </si>
  <si>
    <t>SC</t>
  </si>
  <si>
    <t>EO</t>
  </si>
  <si>
    <t>TC</t>
  </si>
  <si>
    <t>JM</t>
  </si>
  <si>
    <t>LI</t>
  </si>
  <si>
    <t>RL</t>
  </si>
  <si>
    <t>SB</t>
  </si>
  <si>
    <t>SA</t>
  </si>
  <si>
    <t>ST</t>
  </si>
  <si>
    <t>TB</t>
  </si>
  <si>
    <t>Division of Professional Development and Regional Engagement</t>
  </si>
  <si>
    <t>PD</t>
  </si>
  <si>
    <t>Academic Departments</t>
  </si>
  <si>
    <t>Academic Services</t>
  </si>
  <si>
    <t>AS</t>
  </si>
  <si>
    <t>Auxiliary Services</t>
  </si>
  <si>
    <t>AX</t>
  </si>
  <si>
    <t>Health Center</t>
  </si>
  <si>
    <t>HC</t>
  </si>
  <si>
    <t>James Farmer Multicultural Center</t>
  </si>
  <si>
    <t>Office of Special Events</t>
  </si>
  <si>
    <t>JF</t>
  </si>
  <si>
    <t>Warehouse</t>
  </si>
  <si>
    <t>AE</t>
  </si>
  <si>
    <t>SE</t>
  </si>
  <si>
    <t>See comment boxes for form instructions</t>
  </si>
  <si>
    <t>Registrar</t>
  </si>
  <si>
    <t>RE</t>
  </si>
  <si>
    <t>Column Subtotal</t>
  </si>
  <si>
    <t>Amount:</t>
  </si>
  <si>
    <t>Total Amount:</t>
  </si>
  <si>
    <t>Grounds</t>
  </si>
  <si>
    <t>Funds</t>
  </si>
  <si>
    <t>Fund</t>
  </si>
  <si>
    <t>Account</t>
  </si>
  <si>
    <t>Org</t>
  </si>
  <si>
    <t>Program</t>
  </si>
  <si>
    <t>Check Number</t>
  </si>
  <si>
    <t>Cash Amount</t>
  </si>
  <si>
    <t>Check Amount</t>
  </si>
  <si>
    <t>Description/Student Name &amp; ID</t>
  </si>
  <si>
    <t>Total Check Amount</t>
  </si>
  <si>
    <t>Total Cash Amount</t>
  </si>
  <si>
    <t>Total Credit Card Amount</t>
  </si>
  <si>
    <t>Tax Amount</t>
  </si>
  <si>
    <t>Credit Card Transmittal Form</t>
  </si>
  <si>
    <t>Total Tax Amount</t>
  </si>
  <si>
    <t>Total Transmittal Amount</t>
  </si>
  <si>
    <t>Form Descriptions</t>
  </si>
  <si>
    <t>Student Clubs</t>
  </si>
  <si>
    <t>CL</t>
  </si>
  <si>
    <t>Payroll</t>
  </si>
  <si>
    <t>Career Services</t>
  </si>
  <si>
    <t>Fiscal Year</t>
  </si>
  <si>
    <t>General Ledger Cash Transmittal Form</t>
  </si>
  <si>
    <t>Cash Transmittal Form</t>
  </si>
  <si>
    <t>MS</t>
  </si>
  <si>
    <t>FN</t>
  </si>
  <si>
    <r>
      <t>Cash Transmittal Form:</t>
    </r>
    <r>
      <rPr>
        <sz val="10.5"/>
        <rFont val="Calibri"/>
        <family val="2"/>
      </rPr>
      <t xml:space="preserve"> Use this form when depositing cash &amp; checks that will post with general detail.</t>
    </r>
  </si>
  <si>
    <r>
      <t>General Ledger Transmittal Form:</t>
    </r>
    <r>
      <rPr>
        <sz val="10.5"/>
        <rFont val="Calibri"/>
        <family val="2"/>
      </rPr>
      <t xml:space="preserve"> Use this form when depositing cash &amp; checks that will post to multiple FOAPs with detail. </t>
    </r>
  </si>
  <si>
    <r>
      <rPr>
        <u/>
        <sz val="10.5"/>
        <rFont val="Calibri"/>
        <family val="2"/>
      </rPr>
      <t>Credit Card Transmittal Form:</t>
    </r>
    <r>
      <rPr>
        <sz val="10.5"/>
        <rFont val="Calibri"/>
        <family val="2"/>
      </rPr>
      <t xml:space="preserve"> For daily deposit purposes, this form will be completed if the approved Cash Collection Point processed credit card transactions. If the approved Cash Collection Point collected cash in addition to processing credit card transactions, a Cash Transmittal Form and a Credit Card Transmittal Form will be completed and submitted to the Cashier's office.</t>
    </r>
  </si>
  <si>
    <r>
      <rPr>
        <u/>
        <sz val="10.5"/>
        <rFont val="Calibri"/>
        <family val="2"/>
      </rPr>
      <t>Form Selection Instruction:</t>
    </r>
    <r>
      <rPr>
        <sz val="10.5"/>
        <rFont val="Calibri"/>
        <family val="2"/>
      </rPr>
      <t xml:space="preserve"> Use the Form Description information below to determine which form is appropriate for your deposit.  Then, select the form by using the Excel tabs at the bottom.</t>
    </r>
  </si>
  <si>
    <t>A two letter code has been assigned to each cash collection point. The purpose of the Transaction Code Legend is to identify each cash collection point and its two letter transmittal code. Individuals completing a Cash Transmittal Form should select their respective area's transmittal code from the drop down menu on the  Cash Transmittal Form.</t>
  </si>
</sst>
</file>

<file path=xl/styles.xml><?xml version="1.0" encoding="utf-8"?>
<styleSheet xmlns="http://schemas.openxmlformats.org/spreadsheetml/2006/main">
  <numFmts count="4">
    <numFmt numFmtId="6" formatCode="&quot;$&quot;#,##0_);[Red]\(&quot;$&quot;#,##0\)"/>
    <numFmt numFmtId="44" formatCode="_(&quot;$&quot;* #,##0.00_);_(&quot;$&quot;* \(#,##0.00\);_(&quot;$&quot;* &quot;-&quot;??_);_(@_)"/>
    <numFmt numFmtId="43" formatCode="_(* #,##0.00_);_(* \(#,##0.00\);_(* &quot;-&quot;??_);_(@_)"/>
    <numFmt numFmtId="164" formatCode="&quot;$&quot;#,##0.00"/>
  </numFmts>
  <fonts count="18">
    <font>
      <sz val="10"/>
      <name val="Arial"/>
    </font>
    <font>
      <sz val="10"/>
      <name val="Calibri"/>
      <family val="2"/>
    </font>
    <font>
      <sz val="8"/>
      <name val="Calibri"/>
      <family val="2"/>
    </font>
    <font>
      <sz val="16"/>
      <name val="Calibri"/>
      <family val="2"/>
    </font>
    <font>
      <b/>
      <sz val="12"/>
      <name val="Calibri"/>
      <family val="2"/>
    </font>
    <font>
      <b/>
      <sz val="10"/>
      <name val="Calibri"/>
      <family val="2"/>
    </font>
    <font>
      <sz val="12"/>
      <name val="Calibri"/>
      <family val="2"/>
    </font>
    <font>
      <sz val="8"/>
      <color indexed="81"/>
      <name val="Tahoma"/>
      <family val="2"/>
    </font>
    <font>
      <b/>
      <sz val="8"/>
      <color indexed="81"/>
      <name val="Tahoma"/>
      <family val="2"/>
    </font>
    <font>
      <sz val="8"/>
      <color indexed="81"/>
      <name val="Tahoma"/>
      <family val="2"/>
    </font>
    <font>
      <b/>
      <sz val="8"/>
      <color indexed="81"/>
      <name val="Tahoma"/>
      <family val="2"/>
    </font>
    <font>
      <sz val="9"/>
      <name val="Calibri"/>
      <family val="2"/>
    </font>
    <font>
      <b/>
      <sz val="9"/>
      <name val="Calibri"/>
      <family val="2"/>
    </font>
    <font>
      <u/>
      <sz val="14"/>
      <name val="Calibri"/>
      <family val="2"/>
    </font>
    <font>
      <sz val="10.5"/>
      <name val="Calibri"/>
      <family val="2"/>
    </font>
    <font>
      <u/>
      <sz val="10.5"/>
      <name val="Calibri"/>
      <family val="2"/>
    </font>
    <font>
      <b/>
      <u/>
      <sz val="11"/>
      <name val="Calibri"/>
      <family val="2"/>
    </font>
    <font>
      <sz val="10"/>
      <color theme="0"/>
      <name val="Calibri"/>
      <family val="2"/>
    </font>
  </fonts>
  <fills count="7">
    <fill>
      <patternFill patternType="none"/>
    </fill>
    <fill>
      <patternFill patternType="gray125"/>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rgb="FFFFFFCC"/>
        <bgColor indexed="64"/>
      </patternFill>
    </fill>
    <fill>
      <patternFill patternType="solid">
        <fgColor rgb="FF99CC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indexed="64"/>
      </top>
      <bottom style="double">
        <color indexed="64"/>
      </bottom>
      <diagonal/>
    </border>
    <border>
      <left/>
      <right/>
      <top/>
      <bottom style="double">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thin">
        <color indexed="64"/>
      </top>
      <bottom style="medium">
        <color indexed="64"/>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style="thin">
        <color indexed="64"/>
      </top>
      <bottom style="double">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diagonal/>
    </border>
  </borders>
  <cellStyleXfs count="1">
    <xf numFmtId="0" fontId="0" fillId="0" borderId="0"/>
  </cellStyleXfs>
  <cellXfs count="242">
    <xf numFmtId="0" fontId="0" fillId="0" borderId="0" xfId="0"/>
    <xf numFmtId="0" fontId="1" fillId="2" borderId="1" xfId="0" applyFont="1" applyFill="1" applyBorder="1" applyProtection="1">
      <protection locked="0"/>
    </xf>
    <xf numFmtId="0" fontId="1" fillId="2" borderId="2" xfId="0" applyFont="1" applyFill="1" applyBorder="1" applyProtection="1">
      <protection locked="0"/>
    </xf>
    <xf numFmtId="0" fontId="1" fillId="0" borderId="0" xfId="0" applyFont="1" applyProtection="1"/>
    <xf numFmtId="0" fontId="6" fillId="0" borderId="0" xfId="0" applyFont="1" applyAlignment="1" applyProtection="1">
      <alignment horizontal="center"/>
    </xf>
    <xf numFmtId="14" fontId="1" fillId="0" borderId="0" xfId="0" applyNumberFormat="1" applyFont="1" applyFill="1" applyBorder="1" applyAlignment="1" applyProtection="1">
      <alignment horizontal="right"/>
    </xf>
    <xf numFmtId="0" fontId="1" fillId="0" borderId="0" xfId="0" applyFont="1" applyFill="1" applyBorder="1" applyAlignment="1" applyProtection="1">
      <alignment horizontal="right" wrapText="1"/>
    </xf>
    <xf numFmtId="0" fontId="1" fillId="0" borderId="3" xfId="0" applyFont="1" applyBorder="1" applyAlignment="1" applyProtection="1">
      <alignment horizontal="right"/>
    </xf>
    <xf numFmtId="0" fontId="1" fillId="0" borderId="4" xfId="0" applyFont="1" applyBorder="1" applyAlignment="1" applyProtection="1">
      <alignment horizontal="right"/>
    </xf>
    <xf numFmtId="0" fontId="1" fillId="0" borderId="0" xfId="0" applyFont="1" applyFill="1" applyProtection="1"/>
    <xf numFmtId="164" fontId="1" fillId="0" borderId="0" xfId="0" applyNumberFormat="1" applyFont="1" applyFill="1" applyBorder="1" applyProtection="1"/>
    <xf numFmtId="164" fontId="1" fillId="0" borderId="0" xfId="0" applyNumberFormat="1" applyFont="1" applyBorder="1" applyProtection="1"/>
    <xf numFmtId="0" fontId="2" fillId="0" borderId="0" xfId="0" applyFont="1" applyFill="1" applyProtection="1"/>
    <xf numFmtId="0" fontId="1" fillId="0" borderId="0" xfId="0" applyFont="1" applyFill="1" applyBorder="1" applyAlignment="1" applyProtection="1"/>
    <xf numFmtId="0" fontId="1" fillId="0" borderId="0" xfId="0" applyFont="1" applyAlignment="1" applyProtection="1"/>
    <xf numFmtId="0" fontId="1" fillId="0" borderId="0" xfId="0" applyFont="1" applyBorder="1" applyProtection="1"/>
    <xf numFmtId="0" fontId="1" fillId="0" borderId="0" xfId="0" applyFont="1" applyAlignment="1" applyProtection="1">
      <alignment horizontal="center"/>
    </xf>
    <xf numFmtId="0" fontId="1" fillId="2" borderId="1" xfId="0" applyNumberFormat="1" applyFont="1" applyFill="1" applyBorder="1" applyAlignment="1" applyProtection="1">
      <alignment horizontal="center"/>
      <protection locked="0"/>
    </xf>
    <xf numFmtId="43" fontId="1" fillId="2" borderId="1" xfId="0" applyNumberFormat="1" applyFont="1" applyFill="1" applyBorder="1" applyProtection="1">
      <protection locked="0"/>
    </xf>
    <xf numFmtId="0" fontId="5" fillId="0" borderId="0" xfId="0" applyFont="1" applyBorder="1" applyAlignment="1" applyProtection="1">
      <alignment horizontal="center" wrapText="1"/>
    </xf>
    <xf numFmtId="0" fontId="1" fillId="0" borderId="5" xfId="0" applyFont="1" applyBorder="1" applyAlignment="1" applyProtection="1">
      <alignment horizontal="center" vertical="center" wrapText="1"/>
    </xf>
    <xf numFmtId="0" fontId="1" fillId="0" borderId="6" xfId="0" applyFont="1" applyBorder="1" applyAlignment="1" applyProtection="1">
      <alignment horizontal="center" vertical="center"/>
    </xf>
    <xf numFmtId="0" fontId="1" fillId="0" borderId="7" xfId="0" applyFont="1" applyBorder="1" applyAlignment="1" applyProtection="1">
      <alignment horizontal="center" vertical="center"/>
    </xf>
    <xf numFmtId="3" fontId="1" fillId="2" borderId="1" xfId="0" applyNumberFormat="1" applyFont="1" applyFill="1" applyBorder="1" applyAlignment="1" applyProtection="1">
      <protection locked="0"/>
    </xf>
    <xf numFmtId="3" fontId="1" fillId="2" borderId="2" xfId="0" applyNumberFormat="1" applyFont="1" applyFill="1" applyBorder="1" applyAlignment="1" applyProtection="1">
      <protection locked="0"/>
    </xf>
    <xf numFmtId="0" fontId="1" fillId="3" borderId="1" xfId="0" applyFont="1" applyFill="1" applyBorder="1" applyAlignment="1" applyProtection="1">
      <alignment horizontal="center" vertical="center" wrapText="1"/>
    </xf>
    <xf numFmtId="0" fontId="1" fillId="0" borderId="0" xfId="0" applyFont="1" applyAlignment="1" applyProtection="1">
      <alignment vertical="center"/>
    </xf>
    <xf numFmtId="43" fontId="1" fillId="2" borderId="2" xfId="0" applyNumberFormat="1" applyFont="1" applyFill="1" applyBorder="1" applyProtection="1">
      <protection locked="0"/>
    </xf>
    <xf numFmtId="43" fontId="1" fillId="4" borderId="8" xfId="0" applyNumberFormat="1" applyFont="1" applyFill="1" applyBorder="1" applyProtection="1"/>
    <xf numFmtId="43" fontId="1" fillId="5" borderId="9" xfId="0" applyNumberFormat="1" applyFont="1" applyFill="1" applyBorder="1" applyProtection="1"/>
    <xf numFmtId="0" fontId="1" fillId="0" borderId="10" xfId="0" applyFont="1" applyBorder="1" applyAlignment="1" applyProtection="1">
      <alignment horizontal="center"/>
    </xf>
    <xf numFmtId="0" fontId="1" fillId="0" borderId="11" xfId="0" applyFont="1" applyBorder="1" applyAlignment="1" applyProtection="1">
      <alignment horizontal="center" wrapText="1"/>
    </xf>
    <xf numFmtId="0" fontId="1" fillId="0" borderId="12" xfId="0" applyFont="1" applyBorder="1" applyAlignment="1" applyProtection="1">
      <alignment horizontal="center"/>
    </xf>
    <xf numFmtId="0" fontId="4" fillId="0" borderId="0" xfId="0" applyFont="1" applyBorder="1" applyAlignment="1" applyProtection="1"/>
    <xf numFmtId="164" fontId="3" fillId="0" borderId="0" xfId="0" applyNumberFormat="1" applyFont="1" applyFill="1" applyBorder="1" applyAlignment="1" applyProtection="1"/>
    <xf numFmtId="43" fontId="1" fillId="4" borderId="13" xfId="0" applyNumberFormat="1" applyFont="1" applyFill="1" applyBorder="1" applyProtection="1"/>
    <xf numFmtId="43" fontId="1" fillId="4" borderId="13" xfId="0" applyNumberFormat="1" applyFont="1" applyFill="1" applyBorder="1" applyAlignment="1" applyProtection="1"/>
    <xf numFmtId="43" fontId="1" fillId="4" borderId="14" xfId="0" applyNumberFormat="1" applyFont="1" applyFill="1" applyBorder="1" applyProtection="1"/>
    <xf numFmtId="43" fontId="1" fillId="4" borderId="15" xfId="0" applyNumberFormat="1" applyFont="1" applyFill="1" applyBorder="1" applyProtection="1"/>
    <xf numFmtId="0" fontId="11" fillId="0" borderId="0" xfId="0" applyFont="1" applyFill="1" applyProtection="1"/>
    <xf numFmtId="164" fontId="11" fillId="0" borderId="0" xfId="0" applyNumberFormat="1" applyFont="1" applyFill="1" applyBorder="1" applyProtection="1"/>
    <xf numFmtId="0" fontId="11" fillId="0" borderId="0" xfId="0" applyFont="1" applyAlignment="1" applyProtection="1">
      <alignment horizontal="center"/>
    </xf>
    <xf numFmtId="0" fontId="11" fillId="0" borderId="0" xfId="0" applyFont="1" applyProtection="1"/>
    <xf numFmtId="44" fontId="11" fillId="2" borderId="1" xfId="0" applyNumberFormat="1" applyFont="1" applyFill="1" applyBorder="1" applyAlignment="1" applyProtection="1">
      <protection locked="0"/>
    </xf>
    <xf numFmtId="0" fontId="11" fillId="2" borderId="1" xfId="0" applyFont="1" applyFill="1" applyBorder="1" applyProtection="1">
      <protection locked="0"/>
    </xf>
    <xf numFmtId="0" fontId="11" fillId="0" borderId="0" xfId="0" applyFont="1" applyFill="1" applyBorder="1" applyAlignment="1" applyProtection="1"/>
    <xf numFmtId="0" fontId="11" fillId="2" borderId="1" xfId="0" applyFont="1" applyFill="1" applyBorder="1" applyAlignment="1" applyProtection="1">
      <protection locked="0"/>
    </xf>
    <xf numFmtId="14" fontId="11" fillId="0" borderId="0" xfId="0" applyNumberFormat="1" applyFont="1" applyFill="1" applyBorder="1" applyAlignment="1" applyProtection="1">
      <alignment horizontal="right"/>
    </xf>
    <xf numFmtId="14" fontId="11" fillId="2" borderId="1" xfId="0" applyNumberFormat="1" applyFont="1" applyFill="1" applyBorder="1" applyAlignment="1" applyProtection="1">
      <protection locked="0"/>
    </xf>
    <xf numFmtId="0" fontId="11" fillId="0" borderId="0" xfId="0" applyFont="1" applyFill="1" applyBorder="1" applyAlignment="1" applyProtection="1">
      <alignment horizontal="right" wrapText="1"/>
    </xf>
    <xf numFmtId="0" fontId="11" fillId="0" borderId="0" xfId="0" applyFont="1" applyFill="1" applyAlignment="1" applyProtection="1">
      <alignment horizontal="right"/>
    </xf>
    <xf numFmtId="44" fontId="11" fillId="0" borderId="1" xfId="0" applyNumberFormat="1" applyFont="1" applyFill="1" applyBorder="1" applyAlignment="1" applyProtection="1"/>
    <xf numFmtId="0" fontId="11" fillId="0" borderId="0" xfId="0" applyFont="1" applyBorder="1" applyProtection="1"/>
    <xf numFmtId="0" fontId="11" fillId="0" borderId="16" xfId="0" applyFont="1" applyBorder="1" applyAlignment="1" applyProtection="1">
      <alignment horizontal="center"/>
    </xf>
    <xf numFmtId="0" fontId="11" fillId="0" borderId="17" xfId="0" applyFont="1" applyBorder="1" applyAlignment="1" applyProtection="1">
      <alignment horizontal="center" wrapText="1"/>
    </xf>
    <xf numFmtId="0" fontId="11" fillId="0" borderId="18" xfId="0" applyFont="1" applyBorder="1" applyAlignment="1" applyProtection="1">
      <alignment horizontal="center"/>
    </xf>
    <xf numFmtId="6" fontId="11" fillId="0" borderId="3" xfId="0" applyNumberFormat="1" applyFont="1" applyBorder="1" applyAlignment="1" applyProtection="1">
      <alignment horizontal="right"/>
    </xf>
    <xf numFmtId="3" fontId="11" fillId="2" borderId="1" xfId="0" applyNumberFormat="1" applyFont="1" applyFill="1" applyBorder="1" applyProtection="1">
      <protection locked="0"/>
    </xf>
    <xf numFmtId="43" fontId="11" fillId="4" borderId="14" xfId="0" applyNumberFormat="1" applyFont="1" applyFill="1" applyBorder="1" applyProtection="1"/>
    <xf numFmtId="0" fontId="11" fillId="0" borderId="3" xfId="0" applyFont="1" applyBorder="1" applyAlignment="1" applyProtection="1">
      <alignment horizontal="right"/>
    </xf>
    <xf numFmtId="0" fontId="11" fillId="0" borderId="4" xfId="0" applyFont="1" applyBorder="1" applyAlignment="1" applyProtection="1">
      <alignment horizontal="right"/>
    </xf>
    <xf numFmtId="0" fontId="11" fillId="2" borderId="2" xfId="0" applyFont="1" applyFill="1" applyBorder="1" applyProtection="1">
      <protection locked="0"/>
    </xf>
    <xf numFmtId="43" fontId="11" fillId="4" borderId="15" xfId="0" applyNumberFormat="1" applyFont="1" applyFill="1" applyBorder="1" applyProtection="1"/>
    <xf numFmtId="6" fontId="11" fillId="0" borderId="4" xfId="0" applyNumberFormat="1" applyFont="1" applyBorder="1" applyAlignment="1" applyProtection="1">
      <alignment horizontal="right"/>
    </xf>
    <xf numFmtId="3" fontId="11" fillId="2" borderId="2" xfId="0" applyNumberFormat="1" applyFont="1" applyFill="1" applyBorder="1" applyProtection="1">
      <protection locked="0"/>
    </xf>
    <xf numFmtId="43" fontId="11" fillId="4" borderId="13" xfId="0" applyNumberFormat="1" applyFont="1" applyFill="1" applyBorder="1" applyAlignment="1" applyProtection="1"/>
    <xf numFmtId="43" fontId="11" fillId="4" borderId="1" xfId="0" applyNumberFormat="1" applyFont="1" applyFill="1" applyBorder="1" applyProtection="1"/>
    <xf numFmtId="43" fontId="11" fillId="4" borderId="2" xfId="0" applyNumberFormat="1" applyFont="1" applyFill="1" applyBorder="1" applyAlignment="1" applyProtection="1">
      <alignment horizontal="right"/>
    </xf>
    <xf numFmtId="43" fontId="11" fillId="4" borderId="13" xfId="0" applyNumberFormat="1" applyFont="1" applyFill="1" applyBorder="1" applyProtection="1"/>
    <xf numFmtId="43" fontId="11" fillId="2" borderId="1" xfId="0" applyNumberFormat="1" applyFont="1" applyFill="1" applyBorder="1" applyAlignment="1" applyProtection="1">
      <alignment horizontal="left" vertical="center" wrapText="1"/>
      <protection locked="0"/>
    </xf>
    <xf numFmtId="0" fontId="11" fillId="0" borderId="0" xfId="0" applyFont="1" applyAlignment="1" applyProtection="1">
      <alignment horizontal="left" vertical="center" wrapText="1"/>
    </xf>
    <xf numFmtId="43" fontId="11" fillId="4" borderId="8" xfId="0" applyNumberFormat="1" applyFont="1" applyFill="1" applyBorder="1" applyProtection="1"/>
    <xf numFmtId="0" fontId="1" fillId="0" borderId="0" xfId="0" applyFont="1" applyAlignment="1" applyProtection="1">
      <alignment horizontal="right"/>
    </xf>
    <xf numFmtId="0" fontId="11" fillId="0" borderId="0" xfId="0" applyFont="1" applyAlignment="1" applyProtection="1">
      <alignment horizontal="right"/>
    </xf>
    <xf numFmtId="0" fontId="1" fillId="3" borderId="11" xfId="0" applyFont="1" applyFill="1" applyBorder="1" applyAlignment="1" applyProtection="1">
      <alignment horizontal="center" vertical="center"/>
    </xf>
    <xf numFmtId="43" fontId="1" fillId="2" borderId="19" xfId="0" applyNumberFormat="1" applyFont="1" applyFill="1" applyBorder="1" applyProtection="1">
      <protection locked="0"/>
    </xf>
    <xf numFmtId="0" fontId="1" fillId="3" borderId="11" xfId="0" applyFont="1" applyFill="1" applyBorder="1" applyAlignment="1" applyProtection="1">
      <alignment horizontal="center" vertical="center" wrapText="1"/>
    </xf>
    <xf numFmtId="0" fontId="0" fillId="0" borderId="0" xfId="0" applyProtection="1"/>
    <xf numFmtId="0" fontId="1" fillId="0" borderId="0" xfId="0" applyFont="1" applyBorder="1" applyAlignment="1" applyProtection="1">
      <alignment vertical="center"/>
    </xf>
    <xf numFmtId="0" fontId="5" fillId="0" borderId="0" xfId="0" applyFont="1" applyBorder="1" applyAlignment="1" applyProtection="1">
      <alignment horizontal="center" vertical="center" wrapText="1"/>
    </xf>
    <xf numFmtId="0" fontId="0" fillId="0" borderId="0" xfId="0" applyAlignment="1" applyProtection="1">
      <alignment vertical="center"/>
    </xf>
    <xf numFmtId="0" fontId="11" fillId="2" borderId="1" xfId="0" applyFont="1" applyFill="1" applyBorder="1" applyAlignment="1" applyProtection="1">
      <alignment horizontal="left" vertical="center" wrapText="1"/>
      <protection locked="0"/>
    </xf>
    <xf numFmtId="0" fontId="1" fillId="3" borderId="1" xfId="0" applyFont="1" applyFill="1" applyBorder="1" applyAlignment="1" applyProtection="1">
      <alignment horizontal="center" vertical="center"/>
    </xf>
    <xf numFmtId="0" fontId="1" fillId="2" borderId="19" xfId="0" applyFont="1" applyFill="1" applyBorder="1" applyAlignment="1" applyProtection="1">
      <alignment horizontal="left" wrapText="1"/>
      <protection locked="0"/>
    </xf>
    <xf numFmtId="0" fontId="1" fillId="2" borderId="20" xfId="0" applyFont="1" applyFill="1" applyBorder="1" applyAlignment="1" applyProtection="1">
      <alignment horizontal="left" wrapText="1"/>
      <protection locked="0"/>
    </xf>
    <xf numFmtId="0" fontId="1" fillId="2" borderId="21" xfId="0" applyFont="1" applyFill="1" applyBorder="1" applyAlignment="1" applyProtection="1">
      <alignment horizontal="left" wrapText="1"/>
      <protection locked="0"/>
    </xf>
    <xf numFmtId="0" fontId="11" fillId="0" borderId="0" xfId="0" applyFont="1" applyAlignment="1" applyProtection="1">
      <alignment wrapText="1"/>
    </xf>
    <xf numFmtId="0" fontId="11" fillId="0" borderId="0" xfId="0" applyFont="1" applyFill="1" applyBorder="1" applyAlignment="1" applyProtection="1">
      <alignment horizontal="center"/>
    </xf>
    <xf numFmtId="43" fontId="11" fillId="0" borderId="0" xfId="0" applyNumberFormat="1" applyFont="1" applyFill="1" applyBorder="1" applyProtection="1"/>
    <xf numFmtId="0" fontId="11" fillId="0" borderId="0" xfId="0" applyFont="1" applyFill="1" applyBorder="1" applyProtection="1"/>
    <xf numFmtId="43" fontId="11" fillId="4" borderId="11" xfId="0" applyNumberFormat="1" applyFont="1" applyFill="1" applyBorder="1" applyProtection="1"/>
    <xf numFmtId="0" fontId="12" fillId="0" borderId="22" xfId="0" applyFont="1" applyFill="1" applyBorder="1" applyAlignment="1" applyProtection="1">
      <alignment horizontal="center"/>
    </xf>
    <xf numFmtId="0" fontId="12" fillId="0" borderId="23" xfId="0" applyFont="1" applyFill="1" applyBorder="1" applyAlignment="1" applyProtection="1">
      <alignment horizontal="center"/>
    </xf>
    <xf numFmtId="43" fontId="11" fillId="0" borderId="23" xfId="0" applyNumberFormat="1" applyFont="1" applyFill="1" applyBorder="1" applyAlignment="1" applyProtection="1"/>
    <xf numFmtId="0" fontId="11" fillId="2" borderId="13" xfId="0" applyFont="1" applyFill="1" applyBorder="1" applyProtection="1">
      <protection locked="0"/>
    </xf>
    <xf numFmtId="0" fontId="11" fillId="2" borderId="13" xfId="0" applyFont="1" applyFill="1" applyBorder="1" applyAlignment="1" applyProtection="1">
      <protection locked="0"/>
    </xf>
    <xf numFmtId="0" fontId="11" fillId="6" borderId="13" xfId="0" applyFont="1" applyFill="1" applyBorder="1" applyProtection="1">
      <protection locked="0"/>
    </xf>
    <xf numFmtId="0" fontId="17" fillId="0" borderId="0" xfId="0" applyFont="1" applyAlignment="1" applyProtection="1">
      <alignment horizontal="center"/>
    </xf>
    <xf numFmtId="0" fontId="1" fillId="6" borderId="13" xfId="0" applyFont="1" applyFill="1" applyBorder="1" applyProtection="1">
      <protection locked="0"/>
    </xf>
    <xf numFmtId="0" fontId="14" fillId="0" borderId="18" xfId="0" applyFont="1" applyFill="1" applyBorder="1" applyAlignment="1" applyProtection="1">
      <alignment horizontal="center"/>
    </xf>
    <xf numFmtId="0" fontId="14" fillId="0" borderId="14" xfId="0" applyFont="1" applyFill="1" applyBorder="1" applyAlignment="1" applyProtection="1">
      <alignment horizontal="center"/>
    </xf>
    <xf numFmtId="0" fontId="14" fillId="0" borderId="14" xfId="0" applyFont="1" applyBorder="1" applyAlignment="1" applyProtection="1">
      <alignment horizontal="center"/>
    </xf>
    <xf numFmtId="0" fontId="14" fillId="0" borderId="24" xfId="0" applyFont="1" applyBorder="1" applyAlignment="1" applyProtection="1">
      <alignment horizontal="center"/>
    </xf>
    <xf numFmtId="0" fontId="16" fillId="0" borderId="13" xfId="0" applyFont="1" applyBorder="1" applyAlignment="1" applyProtection="1"/>
    <xf numFmtId="164" fontId="11" fillId="0" borderId="0" xfId="0" applyNumberFormat="1" applyFont="1" applyFill="1" applyBorder="1" applyAlignment="1" applyProtection="1"/>
    <xf numFmtId="0" fontId="1" fillId="0" borderId="0" xfId="0" applyFont="1" applyFill="1" applyBorder="1" applyProtection="1"/>
    <xf numFmtId="43" fontId="1" fillId="4" borderId="15" xfId="0" applyNumberFormat="1" applyFont="1" applyFill="1" applyBorder="1" applyAlignment="1" applyProtection="1">
      <alignment horizontal="right"/>
    </xf>
    <xf numFmtId="6" fontId="1" fillId="0" borderId="3" xfId="0" applyNumberFormat="1" applyFont="1" applyBorder="1" applyAlignment="1" applyProtection="1">
      <alignment horizontal="right"/>
    </xf>
    <xf numFmtId="6" fontId="1" fillId="0" borderId="4" xfId="0" applyNumberFormat="1" applyFont="1" applyBorder="1" applyAlignment="1" applyProtection="1">
      <alignment horizontal="right"/>
    </xf>
    <xf numFmtId="0" fontId="11" fillId="3" borderId="22" xfId="0" applyFont="1" applyFill="1" applyBorder="1" applyAlignment="1" applyProtection="1">
      <alignment horizontal="center"/>
    </xf>
    <xf numFmtId="0" fontId="11" fillId="3" borderId="25" xfId="0" applyFont="1" applyFill="1" applyBorder="1" applyAlignment="1" applyProtection="1">
      <alignment horizontal="center"/>
    </xf>
    <xf numFmtId="0" fontId="11" fillId="3" borderId="26" xfId="0" applyFont="1" applyFill="1" applyBorder="1" applyAlignment="1" applyProtection="1">
      <alignment horizontal="center"/>
    </xf>
    <xf numFmtId="0" fontId="11" fillId="3" borderId="27" xfId="0" applyFont="1" applyFill="1" applyBorder="1" applyAlignment="1" applyProtection="1">
      <alignment horizontal="center"/>
    </xf>
    <xf numFmtId="0" fontId="11" fillId="2" borderId="3" xfId="0" applyFont="1" applyFill="1" applyBorder="1" applyAlignment="1" applyProtection="1">
      <alignment horizontal="left" vertical="center" wrapText="1"/>
      <protection locked="0"/>
    </xf>
    <xf numFmtId="43" fontId="11" fillId="2" borderId="14" xfId="0" applyNumberFormat="1" applyFont="1" applyFill="1" applyBorder="1" applyAlignment="1" applyProtection="1">
      <alignment horizontal="left" vertical="center" wrapText="1"/>
      <protection locked="0"/>
    </xf>
    <xf numFmtId="43" fontId="11" fillId="4" borderId="28" xfId="0" applyNumberFormat="1" applyFont="1" applyFill="1" applyBorder="1" applyProtection="1"/>
    <xf numFmtId="43" fontId="11" fillId="4" borderId="29" xfId="0" applyNumberFormat="1" applyFont="1" applyFill="1" applyBorder="1" applyProtection="1"/>
    <xf numFmtId="0" fontId="14" fillId="0" borderId="22" xfId="0" applyFont="1" applyBorder="1" applyAlignment="1" applyProtection="1">
      <alignment horizontal="left" wrapText="1"/>
    </xf>
    <xf numFmtId="0" fontId="14" fillId="0" borderId="23" xfId="0" applyFont="1" applyBorder="1" applyAlignment="1" applyProtection="1">
      <alignment horizontal="left" wrapText="1"/>
    </xf>
    <xf numFmtId="0" fontId="14" fillId="0" borderId="27" xfId="0" applyFont="1" applyBorder="1" applyAlignment="1" applyProtection="1">
      <alignment horizontal="left" wrapText="1"/>
    </xf>
    <xf numFmtId="0" fontId="14" fillId="0" borderId="31" xfId="0" applyFont="1" applyBorder="1" applyAlignment="1" applyProtection="1">
      <alignment horizontal="left" wrapText="1"/>
    </xf>
    <xf numFmtId="0" fontId="14" fillId="0" borderId="32" xfId="0" applyFont="1" applyBorder="1" applyAlignment="1" applyProtection="1">
      <alignment horizontal="left" wrapText="1"/>
    </xf>
    <xf numFmtId="0" fontId="14" fillId="0" borderId="33" xfId="0" applyFont="1" applyBorder="1" applyAlignment="1" applyProtection="1">
      <alignment horizontal="left" wrapText="1"/>
    </xf>
    <xf numFmtId="0" fontId="15" fillId="0" borderId="22" xfId="0" applyFont="1" applyBorder="1" applyAlignment="1" applyProtection="1">
      <alignment horizontal="left" wrapText="1"/>
    </xf>
    <xf numFmtId="0" fontId="15" fillId="0" borderId="23" xfId="0" applyFont="1" applyBorder="1" applyAlignment="1" applyProtection="1">
      <alignment horizontal="left" wrapText="1"/>
    </xf>
    <xf numFmtId="0" fontId="15" fillId="0" borderId="27" xfId="0" applyFont="1" applyBorder="1" applyAlignment="1" applyProtection="1">
      <alignment horizontal="left" wrapText="1"/>
    </xf>
    <xf numFmtId="0" fontId="15" fillId="0" borderId="31" xfId="0" applyFont="1" applyBorder="1" applyAlignment="1" applyProtection="1">
      <alignment horizontal="left" wrapText="1"/>
    </xf>
    <xf numFmtId="0" fontId="15" fillId="0" borderId="32" xfId="0" applyFont="1" applyBorder="1" applyAlignment="1" applyProtection="1">
      <alignment horizontal="left" wrapText="1"/>
    </xf>
    <xf numFmtId="0" fontId="15" fillId="0" borderId="33" xfId="0" applyFont="1" applyBorder="1" applyAlignment="1" applyProtection="1">
      <alignment horizontal="left" wrapText="1"/>
    </xf>
    <xf numFmtId="0" fontId="14" fillId="0" borderId="3" xfId="0" applyFont="1" applyBorder="1" applyAlignment="1" applyProtection="1">
      <alignment horizontal="left"/>
    </xf>
    <xf numFmtId="0" fontId="14" fillId="0" borderId="1" xfId="0" applyFont="1" applyBorder="1" applyAlignment="1" applyProtection="1">
      <alignment horizontal="left"/>
    </xf>
    <xf numFmtId="0" fontId="14" fillId="0" borderId="3" xfId="0" applyFont="1" applyFill="1" applyBorder="1" applyAlignment="1" applyProtection="1">
      <alignment horizontal="left"/>
    </xf>
    <xf numFmtId="0" fontId="14" fillId="0" borderId="1" xfId="0" applyFont="1" applyFill="1" applyBorder="1" applyAlignment="1" applyProtection="1">
      <alignment horizontal="left"/>
    </xf>
    <xf numFmtId="0" fontId="16" fillId="0" borderId="22" xfId="0" applyFont="1" applyBorder="1" applyAlignment="1" applyProtection="1">
      <alignment horizontal="center"/>
    </xf>
    <xf numFmtId="0" fontId="16" fillId="0" borderId="23" xfId="0" applyFont="1" applyBorder="1" applyAlignment="1" applyProtection="1">
      <alignment horizontal="center"/>
    </xf>
    <xf numFmtId="0" fontId="16" fillId="0" borderId="27" xfId="0" applyFont="1" applyBorder="1" applyAlignment="1" applyProtection="1">
      <alignment horizontal="center"/>
    </xf>
    <xf numFmtId="0" fontId="14" fillId="0" borderId="39" xfId="0" applyFont="1" applyFill="1" applyBorder="1" applyAlignment="1" applyProtection="1">
      <alignment horizontal="left"/>
    </xf>
    <xf numFmtId="0" fontId="14" fillId="0" borderId="20" xfId="0" applyFont="1" applyFill="1" applyBorder="1" applyAlignment="1" applyProtection="1">
      <alignment horizontal="left"/>
    </xf>
    <xf numFmtId="0" fontId="14" fillId="0" borderId="21" xfId="0" applyFont="1" applyFill="1" applyBorder="1" applyAlignment="1" applyProtection="1">
      <alignment horizontal="left"/>
    </xf>
    <xf numFmtId="0" fontId="14" fillId="0" borderId="39" xfId="0" applyFont="1" applyBorder="1" applyAlignment="1" applyProtection="1">
      <alignment horizontal="left"/>
    </xf>
    <xf numFmtId="0" fontId="14" fillId="0" borderId="20" xfId="0" applyFont="1" applyBorder="1" applyAlignment="1" applyProtection="1">
      <alignment horizontal="left"/>
    </xf>
    <xf numFmtId="0" fontId="14" fillId="0" borderId="21" xfId="0" applyFont="1" applyBorder="1" applyAlignment="1" applyProtection="1">
      <alignment horizontal="left"/>
    </xf>
    <xf numFmtId="0" fontId="14" fillId="0" borderId="22" xfId="0" applyFont="1" applyBorder="1" applyAlignment="1" applyProtection="1">
      <alignment horizontal="left" vertical="center" wrapText="1"/>
    </xf>
    <xf numFmtId="0" fontId="14" fillId="0" borderId="23" xfId="0" applyFont="1" applyBorder="1" applyAlignment="1" applyProtection="1">
      <alignment horizontal="left" vertical="center" wrapText="1"/>
    </xf>
    <xf numFmtId="0" fontId="14" fillId="0" borderId="27" xfId="0" applyFont="1" applyBorder="1" applyAlignment="1" applyProtection="1">
      <alignment horizontal="left" vertical="center" wrapText="1"/>
    </xf>
    <xf numFmtId="0" fontId="14" fillId="0" borderId="30" xfId="0" applyFont="1" applyBorder="1" applyAlignment="1" applyProtection="1">
      <alignment horizontal="left" vertical="center" wrapText="1"/>
    </xf>
    <xf numFmtId="0" fontId="14" fillId="0" borderId="0" xfId="0" applyFont="1" applyBorder="1" applyAlignment="1" applyProtection="1">
      <alignment horizontal="left" vertical="center" wrapText="1"/>
    </xf>
    <xf numFmtId="0" fontId="14" fillId="0" borderId="28" xfId="0" applyFont="1" applyBorder="1" applyAlignment="1" applyProtection="1">
      <alignment horizontal="left" vertical="center" wrapText="1"/>
    </xf>
    <xf numFmtId="0" fontId="14" fillId="0" borderId="31" xfId="0" applyFont="1" applyBorder="1" applyAlignment="1" applyProtection="1">
      <alignment horizontal="left" vertical="center" wrapText="1"/>
    </xf>
    <xf numFmtId="0" fontId="14" fillId="0" borderId="32" xfId="0" applyFont="1" applyBorder="1" applyAlignment="1" applyProtection="1">
      <alignment horizontal="left" vertical="center" wrapText="1"/>
    </xf>
    <xf numFmtId="0" fontId="14" fillId="0" borderId="33" xfId="0" applyFont="1" applyBorder="1" applyAlignment="1" applyProtection="1">
      <alignment horizontal="left" vertical="center" wrapText="1"/>
    </xf>
    <xf numFmtId="0" fontId="14" fillId="0" borderId="16" xfId="0" applyFont="1" applyBorder="1" applyAlignment="1" applyProtection="1">
      <alignment horizontal="left"/>
    </xf>
    <xf numFmtId="0" fontId="15" fillId="0" borderId="17" xfId="0" applyFont="1" applyBorder="1" applyAlignment="1" applyProtection="1">
      <alignment horizontal="left"/>
    </xf>
    <xf numFmtId="0" fontId="16" fillId="0" borderId="34" xfId="0" applyFont="1" applyBorder="1" applyAlignment="1" applyProtection="1">
      <alignment horizontal="center"/>
    </xf>
    <xf numFmtId="0" fontId="16" fillId="0" borderId="35" xfId="0" applyFont="1" applyBorder="1" applyAlignment="1" applyProtection="1">
      <alignment horizontal="center"/>
    </xf>
    <xf numFmtId="0" fontId="16" fillId="0" borderId="36" xfId="0" applyFont="1" applyBorder="1" applyAlignment="1" applyProtection="1">
      <alignment horizontal="center"/>
    </xf>
    <xf numFmtId="0" fontId="14" fillId="0" borderId="37" xfId="0" applyFont="1" applyBorder="1" applyAlignment="1" applyProtection="1">
      <alignment horizontal="left"/>
    </xf>
    <xf numFmtId="0" fontId="14" fillId="0" borderId="38" xfId="0" applyFont="1" applyBorder="1" applyAlignment="1" applyProtection="1">
      <alignment horizontal="left"/>
    </xf>
    <xf numFmtId="0" fontId="12" fillId="0" borderId="34" xfId="0" applyFont="1" applyBorder="1" applyAlignment="1" applyProtection="1">
      <alignment horizontal="center"/>
    </xf>
    <xf numFmtId="0" fontId="12" fillId="0" borderId="35" xfId="0" applyFont="1" applyBorder="1" applyAlignment="1" applyProtection="1">
      <alignment horizontal="center"/>
    </xf>
    <xf numFmtId="0" fontId="12" fillId="0" borderId="36" xfId="0" applyFont="1" applyBorder="1" applyAlignment="1" applyProtection="1">
      <alignment horizontal="center"/>
    </xf>
    <xf numFmtId="0" fontId="11" fillId="0" borderId="48" xfId="0" applyFont="1" applyBorder="1" applyAlignment="1" applyProtection="1">
      <alignment horizontal="right" vertical="center"/>
    </xf>
    <xf numFmtId="0" fontId="11" fillId="0" borderId="1" xfId="0" applyFont="1" applyBorder="1" applyAlignment="1" applyProtection="1">
      <alignment horizontal="center" wrapText="1"/>
    </xf>
    <xf numFmtId="0" fontId="11" fillId="2" borderId="1" xfId="0" applyFont="1" applyFill="1" applyBorder="1" applyAlignment="1" applyProtection="1">
      <alignment horizontal="left" wrapText="1"/>
      <protection locked="0"/>
    </xf>
    <xf numFmtId="0" fontId="11" fillId="2" borderId="1" xfId="0" applyFont="1" applyFill="1" applyBorder="1" applyAlignment="1" applyProtection="1">
      <alignment horizontal="left"/>
      <protection locked="0"/>
    </xf>
    <xf numFmtId="0" fontId="11" fillId="0" borderId="1" xfId="0" applyFont="1" applyFill="1" applyBorder="1" applyAlignment="1" applyProtection="1">
      <alignment horizontal="center"/>
    </xf>
    <xf numFmtId="0" fontId="11" fillId="0" borderId="34" xfId="0" applyFont="1" applyBorder="1" applyAlignment="1" applyProtection="1">
      <alignment horizontal="center"/>
    </xf>
    <xf numFmtId="0" fontId="11" fillId="0" borderId="36" xfId="0" applyFont="1" applyBorder="1" applyAlignment="1" applyProtection="1">
      <alignment horizontal="center"/>
    </xf>
    <xf numFmtId="0" fontId="11" fillId="0" borderId="44" xfId="0" applyFont="1" applyBorder="1" applyAlignment="1" applyProtection="1">
      <alignment horizontal="left"/>
    </xf>
    <xf numFmtId="0" fontId="11" fillId="0" borderId="45" xfId="0" applyFont="1" applyBorder="1" applyAlignment="1" applyProtection="1">
      <alignment horizontal="left"/>
    </xf>
    <xf numFmtId="0" fontId="11" fillId="0" borderId="19" xfId="0" applyFont="1" applyBorder="1" applyAlignment="1" applyProtection="1">
      <alignment horizontal="left"/>
    </xf>
    <xf numFmtId="0" fontId="11" fillId="0" borderId="21" xfId="0" applyFont="1" applyBorder="1" applyAlignment="1" applyProtection="1">
      <alignment horizontal="left"/>
    </xf>
    <xf numFmtId="0" fontId="11" fillId="0" borderId="46" xfId="0" applyFont="1" applyBorder="1" applyAlignment="1" applyProtection="1">
      <alignment horizontal="left"/>
    </xf>
    <xf numFmtId="0" fontId="11" fillId="0" borderId="47" xfId="0" applyFont="1" applyBorder="1" applyAlignment="1" applyProtection="1">
      <alignment horizontal="left"/>
    </xf>
    <xf numFmtId="0" fontId="12" fillId="4" borderId="34" xfId="0" applyFont="1" applyFill="1" applyBorder="1" applyAlignment="1" applyProtection="1">
      <alignment horizontal="left"/>
    </xf>
    <xf numFmtId="0" fontId="12" fillId="4" borderId="35" xfId="0" applyFont="1" applyFill="1" applyBorder="1" applyAlignment="1" applyProtection="1">
      <alignment horizontal="left"/>
    </xf>
    <xf numFmtId="0" fontId="12" fillId="4" borderId="36" xfId="0" applyFont="1" applyFill="1" applyBorder="1" applyAlignment="1" applyProtection="1">
      <alignment horizontal="left"/>
    </xf>
    <xf numFmtId="0" fontId="12" fillId="2" borderId="22" xfId="0" applyFont="1" applyFill="1" applyBorder="1" applyAlignment="1" applyProtection="1">
      <alignment horizontal="left"/>
    </xf>
    <xf numFmtId="0" fontId="12" fillId="2" borderId="23" xfId="0" applyFont="1" applyFill="1" applyBorder="1" applyAlignment="1" applyProtection="1">
      <alignment horizontal="left"/>
    </xf>
    <xf numFmtId="0" fontId="12" fillId="2" borderId="27" xfId="0" applyFont="1" applyFill="1" applyBorder="1" applyAlignment="1" applyProtection="1">
      <alignment horizontal="left"/>
    </xf>
    <xf numFmtId="0" fontId="11" fillId="2" borderId="1" xfId="0" applyFont="1" applyFill="1" applyBorder="1" applyAlignment="1" applyProtection="1">
      <alignment horizontal="left" vertical="center" wrapText="1"/>
      <protection locked="0"/>
    </xf>
    <xf numFmtId="0" fontId="11" fillId="2" borderId="19" xfId="0" applyFont="1" applyFill="1" applyBorder="1" applyAlignment="1" applyProtection="1">
      <alignment horizontal="left" wrapText="1"/>
      <protection locked="0"/>
    </xf>
    <xf numFmtId="0" fontId="11" fillId="2" borderId="20" xfId="0" applyFont="1" applyFill="1" applyBorder="1" applyAlignment="1" applyProtection="1">
      <alignment horizontal="left" wrapText="1"/>
      <protection locked="0"/>
    </xf>
    <xf numFmtId="0" fontId="11" fillId="2" borderId="21" xfId="0" applyFont="1" applyFill="1" applyBorder="1" applyAlignment="1" applyProtection="1">
      <alignment horizontal="left" wrapText="1"/>
      <protection locked="0"/>
    </xf>
    <xf numFmtId="0" fontId="11" fillId="0" borderId="34" xfId="0" applyFont="1" applyBorder="1" applyAlignment="1" applyProtection="1">
      <alignment horizontal="left"/>
    </xf>
    <xf numFmtId="0" fontId="11" fillId="0" borderId="35" xfId="0" applyFont="1" applyBorder="1" applyAlignment="1" applyProtection="1">
      <alignment horizontal="left"/>
    </xf>
    <xf numFmtId="0" fontId="11" fillId="0" borderId="36" xfId="0" applyFont="1" applyBorder="1" applyAlignment="1" applyProtection="1">
      <alignment horizontal="left"/>
    </xf>
    <xf numFmtId="0" fontId="11" fillId="3" borderId="23" xfId="0" applyFont="1" applyFill="1" applyBorder="1" applyAlignment="1" applyProtection="1">
      <alignment horizontal="center"/>
    </xf>
    <xf numFmtId="0" fontId="12" fillId="0" borderId="22" xfId="0" applyFont="1" applyBorder="1" applyAlignment="1" applyProtection="1">
      <alignment horizontal="center"/>
    </xf>
    <xf numFmtId="0" fontId="12" fillId="0" borderId="23" xfId="0" applyFont="1" applyBorder="1" applyAlignment="1" applyProtection="1">
      <alignment horizontal="center"/>
    </xf>
    <xf numFmtId="0" fontId="12" fillId="0" borderId="27" xfId="0" applyFont="1" applyBorder="1" applyAlignment="1" applyProtection="1">
      <alignment horizontal="center"/>
    </xf>
    <xf numFmtId="0" fontId="13" fillId="0" borderId="0" xfId="0" applyFont="1" applyAlignment="1" applyProtection="1">
      <alignment horizontal="center" vertical="center"/>
    </xf>
    <xf numFmtId="0" fontId="11" fillId="5" borderId="40" xfId="0" applyFont="1" applyFill="1" applyBorder="1" applyAlignment="1" applyProtection="1">
      <alignment horizontal="right"/>
    </xf>
    <xf numFmtId="0" fontId="11" fillId="5" borderId="41" xfId="0" applyFont="1" applyFill="1" applyBorder="1" applyAlignment="1" applyProtection="1">
      <alignment horizontal="right"/>
    </xf>
    <xf numFmtId="0" fontId="11" fillId="5" borderId="32" xfId="0" applyFont="1" applyFill="1" applyBorder="1" applyAlignment="1" applyProtection="1">
      <alignment horizontal="right"/>
    </xf>
    <xf numFmtId="0" fontId="11" fillId="5" borderId="42" xfId="0" applyFont="1" applyFill="1" applyBorder="1" applyAlignment="1" applyProtection="1">
      <alignment horizontal="right"/>
    </xf>
    <xf numFmtId="0" fontId="11" fillId="5" borderId="43" xfId="0" applyFont="1" applyFill="1" applyBorder="1" applyAlignment="1" applyProtection="1">
      <alignment horizontal="right"/>
    </xf>
    <xf numFmtId="0" fontId="11" fillId="0" borderId="2" xfId="0" applyFont="1" applyBorder="1" applyAlignment="1" applyProtection="1">
      <alignment horizontal="center" wrapText="1"/>
    </xf>
    <xf numFmtId="0" fontId="1" fillId="0" borderId="39" xfId="0" applyFont="1" applyBorder="1" applyAlignment="1" applyProtection="1">
      <alignment horizontal="left"/>
    </xf>
    <xf numFmtId="0" fontId="1" fillId="0" borderId="21" xfId="0" applyFont="1" applyBorder="1" applyAlignment="1" applyProtection="1">
      <alignment horizontal="left"/>
    </xf>
    <xf numFmtId="0" fontId="4" fillId="0" borderId="34" xfId="0" applyFont="1" applyBorder="1" applyAlignment="1" applyProtection="1">
      <alignment horizontal="center"/>
    </xf>
    <xf numFmtId="0" fontId="4" fillId="0" borderId="35" xfId="0" applyFont="1" applyBorder="1" applyAlignment="1" applyProtection="1">
      <alignment horizontal="center"/>
    </xf>
    <xf numFmtId="0" fontId="4" fillId="0" borderId="36" xfId="0" applyFont="1" applyBorder="1" applyAlignment="1" applyProtection="1">
      <alignment horizontal="center"/>
    </xf>
    <xf numFmtId="0" fontId="13" fillId="0" borderId="0" xfId="0" applyFont="1" applyAlignment="1" applyProtection="1">
      <alignment horizontal="center"/>
    </xf>
    <xf numFmtId="0" fontId="5" fillId="4" borderId="34" xfId="0" applyFont="1" applyFill="1" applyBorder="1" applyAlignment="1" applyProtection="1">
      <alignment horizontal="left"/>
    </xf>
    <xf numFmtId="0" fontId="5" fillId="4" borderId="35" xfId="0" applyFont="1" applyFill="1" applyBorder="1" applyAlignment="1" applyProtection="1">
      <alignment horizontal="left"/>
    </xf>
    <xf numFmtId="0" fontId="5" fillId="4" borderId="36" xfId="0" applyFont="1" applyFill="1" applyBorder="1" applyAlignment="1" applyProtection="1">
      <alignment horizontal="left"/>
    </xf>
    <xf numFmtId="0" fontId="5" fillId="2" borderId="34" xfId="0" applyFont="1" applyFill="1" applyBorder="1" applyAlignment="1" applyProtection="1">
      <alignment horizontal="left"/>
    </xf>
    <xf numFmtId="0" fontId="5" fillId="2" borderId="35" xfId="0" applyFont="1" applyFill="1" applyBorder="1" applyAlignment="1" applyProtection="1">
      <alignment horizontal="left"/>
    </xf>
    <xf numFmtId="0" fontId="5" fillId="2" borderId="36" xfId="0" applyFont="1" applyFill="1" applyBorder="1" applyAlignment="1" applyProtection="1">
      <alignment horizontal="left"/>
    </xf>
    <xf numFmtId="0" fontId="1" fillId="2" borderId="34" xfId="0" applyFont="1" applyFill="1" applyBorder="1" applyAlignment="1" applyProtection="1">
      <alignment horizontal="center"/>
      <protection locked="0"/>
    </xf>
    <xf numFmtId="0" fontId="1" fillId="2" borderId="36" xfId="0" applyFont="1" applyFill="1" applyBorder="1" applyAlignment="1" applyProtection="1">
      <alignment horizontal="center"/>
      <protection locked="0"/>
    </xf>
    <xf numFmtId="14" fontId="1" fillId="2" borderId="34" xfId="0" applyNumberFormat="1" applyFont="1" applyFill="1" applyBorder="1" applyAlignment="1" applyProtection="1">
      <alignment horizontal="center"/>
      <protection locked="0"/>
    </xf>
    <xf numFmtId="14" fontId="1" fillId="2" borderId="36" xfId="0" applyNumberFormat="1" applyFont="1" applyFill="1" applyBorder="1" applyAlignment="1" applyProtection="1">
      <alignment horizontal="center"/>
      <protection locked="0"/>
    </xf>
    <xf numFmtId="0" fontId="1" fillId="0" borderId="34" xfId="0" applyFont="1" applyBorder="1" applyAlignment="1" applyProtection="1">
      <alignment horizontal="left" vertical="center"/>
    </xf>
    <xf numFmtId="0" fontId="1" fillId="0" borderId="35" xfId="0" applyFont="1" applyBorder="1" applyAlignment="1" applyProtection="1">
      <alignment horizontal="left" vertical="center"/>
    </xf>
    <xf numFmtId="0" fontId="1" fillId="0" borderId="36" xfId="0" applyFont="1" applyBorder="1" applyAlignment="1" applyProtection="1">
      <alignment horizontal="left" vertical="center"/>
    </xf>
    <xf numFmtId="0" fontId="1" fillId="2" borderId="1" xfId="0" applyFont="1" applyFill="1" applyBorder="1" applyAlignment="1" applyProtection="1">
      <alignment wrapText="1"/>
      <protection locked="0"/>
    </xf>
    <xf numFmtId="0" fontId="1" fillId="2" borderId="19" xfId="0" applyFont="1" applyFill="1" applyBorder="1" applyAlignment="1" applyProtection="1">
      <alignment horizontal="left" wrapText="1"/>
      <protection locked="0"/>
    </xf>
    <xf numFmtId="0" fontId="1" fillId="2" borderId="20" xfId="0" applyFont="1" applyFill="1" applyBorder="1" applyAlignment="1" applyProtection="1">
      <alignment horizontal="left" wrapText="1"/>
      <protection locked="0"/>
    </xf>
    <xf numFmtId="0" fontId="1" fillId="2" borderId="21" xfId="0" applyFont="1" applyFill="1" applyBorder="1" applyAlignment="1" applyProtection="1">
      <alignment horizontal="left" wrapText="1"/>
      <protection locked="0"/>
    </xf>
    <xf numFmtId="0" fontId="4" fillId="0" borderId="22" xfId="0" applyFont="1" applyBorder="1" applyAlignment="1" applyProtection="1">
      <alignment horizontal="center"/>
    </xf>
    <xf numFmtId="0" fontId="4" fillId="0" borderId="23" xfId="0" applyFont="1" applyBorder="1" applyAlignment="1" applyProtection="1">
      <alignment horizontal="center"/>
    </xf>
    <xf numFmtId="0" fontId="4" fillId="0" borderId="27" xfId="0" applyFont="1" applyBorder="1" applyAlignment="1" applyProtection="1">
      <alignment horizontal="center"/>
    </xf>
    <xf numFmtId="0" fontId="1" fillId="3" borderId="1" xfId="0" applyFont="1" applyFill="1" applyBorder="1" applyAlignment="1" applyProtection="1">
      <alignment horizontal="center" vertical="center"/>
    </xf>
    <xf numFmtId="0" fontId="5" fillId="0" borderId="34" xfId="0" applyFont="1" applyBorder="1" applyAlignment="1" applyProtection="1">
      <alignment horizontal="center"/>
    </xf>
    <xf numFmtId="0" fontId="5" fillId="0" borderId="36" xfId="0" applyFont="1" applyBorder="1" applyAlignment="1" applyProtection="1">
      <alignment horizontal="center"/>
    </xf>
    <xf numFmtId="0" fontId="1" fillId="0" borderId="40" xfId="0" applyFont="1" applyBorder="1" applyAlignment="1" applyProtection="1">
      <alignment horizontal="left"/>
    </xf>
    <xf numFmtId="0" fontId="1" fillId="0" borderId="45" xfId="0" applyFont="1" applyBorder="1" applyAlignment="1" applyProtection="1">
      <alignment horizontal="left"/>
    </xf>
    <xf numFmtId="0" fontId="1" fillId="0" borderId="34" xfId="0" applyFont="1" applyBorder="1" applyAlignment="1" applyProtection="1">
      <alignment horizontal="center"/>
    </xf>
    <xf numFmtId="0" fontId="1" fillId="0" borderId="35" xfId="0" applyFont="1" applyBorder="1" applyAlignment="1" applyProtection="1">
      <alignment horizontal="center"/>
    </xf>
    <xf numFmtId="0" fontId="1" fillId="2" borderId="34" xfId="0" applyFont="1" applyFill="1" applyBorder="1" applyAlignment="1" applyProtection="1">
      <alignment horizontal="center" wrapText="1"/>
      <protection locked="0"/>
    </xf>
    <xf numFmtId="0" fontId="1" fillId="2" borderId="35" xfId="0" applyFont="1" applyFill="1" applyBorder="1" applyAlignment="1" applyProtection="1">
      <alignment horizontal="center" wrapText="1"/>
      <protection locked="0"/>
    </xf>
    <xf numFmtId="0" fontId="1" fillId="2" borderId="36" xfId="0" applyFont="1" applyFill="1" applyBorder="1" applyAlignment="1" applyProtection="1">
      <alignment horizontal="center" wrapText="1"/>
      <protection locked="0"/>
    </xf>
    <xf numFmtId="0" fontId="1" fillId="0" borderId="2" xfId="0" applyFont="1" applyBorder="1" applyAlignment="1" applyProtection="1">
      <alignment horizontal="center" wrapText="1"/>
    </xf>
    <xf numFmtId="0" fontId="1" fillId="0" borderId="52" xfId="0" applyFont="1" applyBorder="1" applyAlignment="1" applyProtection="1">
      <alignment horizontal="center" wrapText="1"/>
    </xf>
    <xf numFmtId="0" fontId="1" fillId="2" borderId="42" xfId="0" applyFont="1" applyFill="1" applyBorder="1" applyAlignment="1" applyProtection="1">
      <alignment horizontal="left" wrapText="1"/>
      <protection locked="0"/>
    </xf>
    <xf numFmtId="0" fontId="1" fillId="2" borderId="43" xfId="0" applyFont="1" applyFill="1" applyBorder="1" applyAlignment="1" applyProtection="1">
      <alignment horizontal="left" wrapText="1"/>
      <protection locked="0"/>
    </xf>
    <xf numFmtId="43" fontId="1" fillId="5" borderId="49" xfId="0" applyNumberFormat="1" applyFont="1" applyFill="1" applyBorder="1" applyAlignment="1" applyProtection="1">
      <alignment horizontal="center"/>
    </xf>
    <xf numFmtId="0" fontId="5" fillId="0" borderId="0" xfId="0" applyFont="1" applyAlignment="1" applyProtection="1">
      <alignment horizontal="center" vertical="center" wrapText="1"/>
    </xf>
    <xf numFmtId="0" fontId="1" fillId="3" borderId="50" xfId="0" applyFont="1" applyFill="1" applyBorder="1" applyAlignment="1" applyProtection="1">
      <alignment horizontal="center" vertical="center"/>
    </xf>
    <xf numFmtId="0" fontId="1" fillId="3" borderId="51" xfId="0" applyFont="1" applyFill="1" applyBorder="1" applyAlignment="1" applyProtection="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2</xdr:row>
      <xdr:rowOff>19050</xdr:rowOff>
    </xdr:from>
    <xdr:to>
      <xdr:col>3</xdr:col>
      <xdr:colOff>19050</xdr:colOff>
      <xdr:row>6</xdr:row>
      <xdr:rowOff>95250</xdr:rowOff>
    </xdr:to>
    <xdr:pic>
      <xdr:nvPicPr>
        <xdr:cNvPr id="1076" name="MSOImageWebPart_WebPartWPQ4" descr="https://eaglenet.umw.edu/sites/departments/accounting/PublishingImages/Finance_ACC.jpg"/>
        <xdr:cNvPicPr>
          <a:picLocks noChangeAspect="1" noChangeArrowheads="1"/>
        </xdr:cNvPicPr>
      </xdr:nvPicPr>
      <xdr:blipFill>
        <a:blip xmlns:r="http://schemas.openxmlformats.org/officeDocument/2006/relationships" r:embed="rId1" cstate="print"/>
        <a:srcRect/>
        <a:stretch>
          <a:fillRect/>
        </a:stretch>
      </xdr:blipFill>
      <xdr:spPr bwMode="auto">
        <a:xfrm>
          <a:off x="19050" y="323850"/>
          <a:ext cx="2219325" cy="8477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0</xdr:row>
      <xdr:rowOff>104775</xdr:rowOff>
    </xdr:from>
    <xdr:to>
      <xdr:col>3</xdr:col>
      <xdr:colOff>514350</xdr:colOff>
      <xdr:row>7</xdr:row>
      <xdr:rowOff>66675</xdr:rowOff>
    </xdr:to>
    <xdr:pic>
      <xdr:nvPicPr>
        <xdr:cNvPr id="2090" name="MSOImageWebPart_WebPartWPQ4" descr="https://eaglenet.umw.edu/sites/departments/accounting/PublishingImages/Finance_ACC.jpg"/>
        <xdr:cNvPicPr>
          <a:picLocks noChangeAspect="1" noChangeArrowheads="1"/>
        </xdr:cNvPicPr>
      </xdr:nvPicPr>
      <xdr:blipFill>
        <a:blip xmlns:r="http://schemas.openxmlformats.org/officeDocument/2006/relationships" r:embed="rId1" cstate="print"/>
        <a:srcRect/>
        <a:stretch>
          <a:fillRect/>
        </a:stretch>
      </xdr:blipFill>
      <xdr:spPr bwMode="auto">
        <a:xfrm>
          <a:off x="180975" y="104775"/>
          <a:ext cx="2581275" cy="1190625"/>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276225</xdr:colOff>
      <xdr:row>2</xdr:row>
      <xdr:rowOff>0</xdr:rowOff>
    </xdr:from>
    <xdr:to>
      <xdr:col>3</xdr:col>
      <xdr:colOff>304800</xdr:colOff>
      <xdr:row>7</xdr:row>
      <xdr:rowOff>85725</xdr:rowOff>
    </xdr:to>
    <xdr:pic>
      <xdr:nvPicPr>
        <xdr:cNvPr id="3105" name="MSOImageWebPart_WebPartWPQ4" descr="https://eaglenet.umw.edu/sites/departments/accounting/PublishingImages/Finance_ACC.jpg"/>
        <xdr:cNvPicPr>
          <a:picLocks noChangeAspect="1" noChangeArrowheads="1"/>
        </xdr:cNvPicPr>
      </xdr:nvPicPr>
      <xdr:blipFill>
        <a:blip xmlns:r="http://schemas.openxmlformats.org/officeDocument/2006/relationships" r:embed="rId1" cstate="print"/>
        <a:srcRect/>
        <a:stretch>
          <a:fillRect/>
        </a:stretch>
      </xdr:blipFill>
      <xdr:spPr bwMode="auto">
        <a:xfrm>
          <a:off x="276225" y="323850"/>
          <a:ext cx="2438400" cy="9906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dimension ref="B1:F48"/>
  <sheetViews>
    <sheetView showGridLines="0" tabSelected="1" zoomScaleNormal="100" workbookViewId="0">
      <selection activeCell="B2" sqref="B2:F2"/>
    </sheetView>
  </sheetViews>
  <sheetFormatPr defaultRowHeight="12.75"/>
  <cols>
    <col min="1" max="1" width="1.7109375" style="3" customWidth="1"/>
    <col min="2" max="2" width="27.28515625" style="3" customWidth="1"/>
    <col min="3" max="3" width="20.140625" style="3" bestFit="1" customWidth="1"/>
    <col min="4" max="4" width="8.7109375" style="3" customWidth="1"/>
    <col min="5" max="5" width="9.140625" style="3"/>
    <col min="6" max="6" width="16.140625" style="3" bestFit="1" customWidth="1"/>
    <col min="7" max="16384" width="9.140625" style="3"/>
  </cols>
  <sheetData>
    <row r="1" spans="2:6" ht="13.5" thickBot="1"/>
    <row r="2" spans="2:6" ht="15.75" thickBot="1">
      <c r="B2" s="133" t="s">
        <v>102</v>
      </c>
      <c r="C2" s="134"/>
      <c r="D2" s="134"/>
      <c r="E2" s="134"/>
      <c r="F2" s="135"/>
    </row>
    <row r="3" spans="2:6" ht="15" customHeight="1">
      <c r="B3" s="117" t="s">
        <v>115</v>
      </c>
      <c r="C3" s="118"/>
      <c r="D3" s="118"/>
      <c r="E3" s="118"/>
      <c r="F3" s="119"/>
    </row>
    <row r="4" spans="2:6" ht="13.5" thickBot="1">
      <c r="B4" s="120"/>
      <c r="C4" s="121"/>
      <c r="D4" s="121"/>
      <c r="E4" s="121"/>
      <c r="F4" s="122"/>
    </row>
    <row r="5" spans="2:6" ht="15" customHeight="1">
      <c r="B5" s="123" t="s">
        <v>112</v>
      </c>
      <c r="C5" s="124"/>
      <c r="D5" s="124"/>
      <c r="E5" s="124"/>
      <c r="F5" s="125"/>
    </row>
    <row r="6" spans="2:6" ht="13.5" thickBot="1">
      <c r="B6" s="126"/>
      <c r="C6" s="127"/>
      <c r="D6" s="127"/>
      <c r="E6" s="127"/>
      <c r="F6" s="128"/>
    </row>
    <row r="7" spans="2:6" ht="15" customHeight="1">
      <c r="B7" s="123" t="s">
        <v>113</v>
      </c>
      <c r="C7" s="124"/>
      <c r="D7" s="124"/>
      <c r="E7" s="124"/>
      <c r="F7" s="125"/>
    </row>
    <row r="8" spans="2:6" ht="13.5" thickBot="1">
      <c r="B8" s="126"/>
      <c r="C8" s="127"/>
      <c r="D8" s="127"/>
      <c r="E8" s="127"/>
      <c r="F8" s="128"/>
    </row>
    <row r="9" spans="2:6" ht="12.75" customHeight="1">
      <c r="B9" s="142" t="s">
        <v>114</v>
      </c>
      <c r="C9" s="143"/>
      <c r="D9" s="143"/>
      <c r="E9" s="143"/>
      <c r="F9" s="144"/>
    </row>
    <row r="10" spans="2:6" ht="12.75" customHeight="1">
      <c r="B10" s="145"/>
      <c r="C10" s="146"/>
      <c r="D10" s="146"/>
      <c r="E10" s="146"/>
      <c r="F10" s="147"/>
    </row>
    <row r="11" spans="2:6" ht="12.75" customHeight="1">
      <c r="B11" s="145"/>
      <c r="C11" s="146"/>
      <c r="D11" s="146"/>
      <c r="E11" s="146"/>
      <c r="F11" s="147"/>
    </row>
    <row r="12" spans="2:6" ht="12.75" customHeight="1">
      <c r="B12" s="145"/>
      <c r="C12" s="146"/>
      <c r="D12" s="146"/>
      <c r="E12" s="146"/>
      <c r="F12" s="147"/>
    </row>
    <row r="13" spans="2:6" ht="13.5" thickBot="1">
      <c r="B13" s="148"/>
      <c r="C13" s="149"/>
      <c r="D13" s="149"/>
      <c r="E13" s="149"/>
      <c r="F13" s="150"/>
    </row>
    <row r="14" spans="2:6" ht="15.75" thickBot="1">
      <c r="B14" s="153" t="s">
        <v>33</v>
      </c>
      <c r="C14" s="154"/>
      <c r="D14" s="154"/>
      <c r="E14" s="154"/>
      <c r="F14" s="155"/>
    </row>
    <row r="15" spans="2:6">
      <c r="B15" s="142" t="s">
        <v>116</v>
      </c>
      <c r="C15" s="143"/>
      <c r="D15" s="143"/>
      <c r="E15" s="143"/>
      <c r="F15" s="144"/>
    </row>
    <row r="16" spans="2:6">
      <c r="B16" s="145"/>
      <c r="C16" s="146"/>
      <c r="D16" s="146"/>
      <c r="E16" s="146"/>
      <c r="F16" s="147"/>
    </row>
    <row r="17" spans="2:6">
      <c r="B17" s="145"/>
      <c r="C17" s="146"/>
      <c r="D17" s="146"/>
      <c r="E17" s="146"/>
      <c r="F17" s="147"/>
    </row>
    <row r="18" spans="2:6">
      <c r="B18" s="145"/>
      <c r="C18" s="146"/>
      <c r="D18" s="146"/>
      <c r="E18" s="146"/>
      <c r="F18" s="147"/>
    </row>
    <row r="19" spans="2:6" ht="13.5" thickBot="1">
      <c r="B19" s="148"/>
      <c r="C19" s="149"/>
      <c r="D19" s="149"/>
      <c r="E19" s="149"/>
      <c r="F19" s="150"/>
    </row>
    <row r="20" spans="2:6" ht="15.75" thickBot="1">
      <c r="B20" s="133" t="s">
        <v>32</v>
      </c>
      <c r="C20" s="134"/>
      <c r="D20" s="134"/>
      <c r="E20" s="135"/>
      <c r="F20" s="103" t="s">
        <v>33</v>
      </c>
    </row>
    <row r="21" spans="2:6" ht="14.25">
      <c r="B21" s="151" t="s">
        <v>66</v>
      </c>
      <c r="C21" s="152"/>
      <c r="D21" s="152"/>
      <c r="E21" s="152"/>
      <c r="F21" s="99" t="s">
        <v>35</v>
      </c>
    </row>
    <row r="22" spans="2:6" ht="14.25">
      <c r="B22" s="129" t="s">
        <v>67</v>
      </c>
      <c r="C22" s="130"/>
      <c r="D22" s="130"/>
      <c r="E22" s="130"/>
      <c r="F22" s="100" t="s">
        <v>68</v>
      </c>
    </row>
    <row r="23" spans="2:6" ht="14.25">
      <c r="B23" s="129" t="s">
        <v>36</v>
      </c>
      <c r="C23" s="130"/>
      <c r="D23" s="130"/>
      <c r="E23" s="130"/>
      <c r="F23" s="100" t="s">
        <v>50</v>
      </c>
    </row>
    <row r="24" spans="2:6" ht="14.25">
      <c r="B24" s="129" t="s">
        <v>34</v>
      </c>
      <c r="C24" s="130"/>
      <c r="D24" s="130"/>
      <c r="E24" s="130"/>
      <c r="F24" s="101" t="s">
        <v>77</v>
      </c>
    </row>
    <row r="25" spans="2:6" ht="14.25">
      <c r="B25" s="129" t="s">
        <v>37</v>
      </c>
      <c r="C25" s="130"/>
      <c r="D25" s="130"/>
      <c r="E25" s="130"/>
      <c r="F25" s="101" t="s">
        <v>51</v>
      </c>
    </row>
    <row r="26" spans="2:6" ht="14.25">
      <c r="B26" s="129" t="s">
        <v>69</v>
      </c>
      <c r="C26" s="130"/>
      <c r="D26" s="130"/>
      <c r="E26" s="130"/>
      <c r="F26" s="101" t="s">
        <v>70</v>
      </c>
    </row>
    <row r="27" spans="2:6" ht="14.25">
      <c r="B27" s="129" t="s">
        <v>38</v>
      </c>
      <c r="C27" s="130"/>
      <c r="D27" s="130"/>
      <c r="E27" s="130"/>
      <c r="F27" s="101" t="s">
        <v>52</v>
      </c>
    </row>
    <row r="28" spans="2:6" ht="14.25">
      <c r="B28" s="129" t="s">
        <v>39</v>
      </c>
      <c r="C28" s="130"/>
      <c r="D28" s="130"/>
      <c r="E28" s="130"/>
      <c r="F28" s="101" t="s">
        <v>53</v>
      </c>
    </row>
    <row r="29" spans="2:6" ht="14.25">
      <c r="B29" s="139" t="s">
        <v>106</v>
      </c>
      <c r="C29" s="140"/>
      <c r="D29" s="140"/>
      <c r="E29" s="141"/>
      <c r="F29" s="101" t="s">
        <v>110</v>
      </c>
    </row>
    <row r="30" spans="2:6" ht="14.25">
      <c r="B30" s="131" t="s">
        <v>64</v>
      </c>
      <c r="C30" s="132"/>
      <c r="D30" s="132"/>
      <c r="E30" s="132"/>
      <c r="F30" s="101" t="s">
        <v>65</v>
      </c>
    </row>
    <row r="31" spans="2:6" ht="14.25">
      <c r="B31" s="131" t="s">
        <v>41</v>
      </c>
      <c r="C31" s="132"/>
      <c r="D31" s="132"/>
      <c r="E31" s="132"/>
      <c r="F31" s="101" t="s">
        <v>55</v>
      </c>
    </row>
    <row r="32" spans="2:6" ht="14.25">
      <c r="B32" s="136" t="s">
        <v>85</v>
      </c>
      <c r="C32" s="137"/>
      <c r="D32" s="137"/>
      <c r="E32" s="138"/>
      <c r="F32" s="101" t="s">
        <v>110</v>
      </c>
    </row>
    <row r="33" spans="2:6" ht="14.25">
      <c r="B33" s="131" t="s">
        <v>71</v>
      </c>
      <c r="C33" s="132"/>
      <c r="D33" s="132"/>
      <c r="E33" s="132"/>
      <c r="F33" s="101" t="s">
        <v>72</v>
      </c>
    </row>
    <row r="34" spans="2:6" ht="14.25">
      <c r="B34" s="131" t="s">
        <v>42</v>
      </c>
      <c r="C34" s="132"/>
      <c r="D34" s="132"/>
      <c r="E34" s="132"/>
      <c r="F34" s="101" t="s">
        <v>56</v>
      </c>
    </row>
    <row r="35" spans="2:6" ht="14.25">
      <c r="B35" s="131" t="s">
        <v>73</v>
      </c>
      <c r="C35" s="132"/>
      <c r="D35" s="132"/>
      <c r="E35" s="132"/>
      <c r="F35" s="101" t="s">
        <v>75</v>
      </c>
    </row>
    <row r="36" spans="2:6" ht="14.25">
      <c r="B36" s="131" t="s">
        <v>43</v>
      </c>
      <c r="C36" s="132"/>
      <c r="D36" s="132"/>
      <c r="E36" s="132"/>
      <c r="F36" s="101" t="s">
        <v>57</v>
      </c>
    </row>
    <row r="37" spans="2:6" ht="14.25">
      <c r="B37" s="131" t="s">
        <v>44</v>
      </c>
      <c r="C37" s="132"/>
      <c r="D37" s="132"/>
      <c r="E37" s="132"/>
      <c r="F37" s="101" t="s">
        <v>58</v>
      </c>
    </row>
    <row r="38" spans="2:6" ht="14.25">
      <c r="B38" s="131" t="s">
        <v>74</v>
      </c>
      <c r="C38" s="132"/>
      <c r="D38" s="132"/>
      <c r="E38" s="132"/>
      <c r="F38" s="101" t="s">
        <v>78</v>
      </c>
    </row>
    <row r="39" spans="2:6" ht="14.25">
      <c r="B39" s="136" t="s">
        <v>105</v>
      </c>
      <c r="C39" s="137"/>
      <c r="D39" s="137"/>
      <c r="E39" s="138"/>
      <c r="F39" s="101" t="s">
        <v>111</v>
      </c>
    </row>
    <row r="40" spans="2:6" ht="14.25">
      <c r="B40" s="136" t="s">
        <v>80</v>
      </c>
      <c r="C40" s="137"/>
      <c r="D40" s="137"/>
      <c r="E40" s="138"/>
      <c r="F40" s="101" t="s">
        <v>81</v>
      </c>
    </row>
    <row r="41" spans="2:6" ht="14.25">
      <c r="B41" s="131" t="s">
        <v>45</v>
      </c>
      <c r="C41" s="132"/>
      <c r="D41" s="132"/>
      <c r="E41" s="132"/>
      <c r="F41" s="101" t="s">
        <v>59</v>
      </c>
    </row>
    <row r="42" spans="2:6" ht="14.25">
      <c r="B42" s="131" t="s">
        <v>40</v>
      </c>
      <c r="C42" s="132"/>
      <c r="D42" s="132"/>
      <c r="E42" s="132"/>
      <c r="F42" s="101" t="s">
        <v>54</v>
      </c>
    </row>
    <row r="43" spans="2:6" ht="14.25">
      <c r="B43" s="131" t="s">
        <v>46</v>
      </c>
      <c r="C43" s="132"/>
      <c r="D43" s="132"/>
      <c r="E43" s="132"/>
      <c r="F43" s="101" t="s">
        <v>60</v>
      </c>
    </row>
    <row r="44" spans="2:6" ht="14.25">
      <c r="B44" s="131" t="s">
        <v>47</v>
      </c>
      <c r="C44" s="132"/>
      <c r="D44" s="132"/>
      <c r="E44" s="132"/>
      <c r="F44" s="101" t="s">
        <v>61</v>
      </c>
    </row>
    <row r="45" spans="2:6" ht="14.25">
      <c r="B45" s="136" t="s">
        <v>103</v>
      </c>
      <c r="C45" s="137"/>
      <c r="D45" s="137"/>
      <c r="E45" s="138"/>
      <c r="F45" s="101" t="s">
        <v>104</v>
      </c>
    </row>
    <row r="46" spans="2:6" ht="14.25">
      <c r="B46" s="131" t="s">
        <v>48</v>
      </c>
      <c r="C46" s="132"/>
      <c r="D46" s="132"/>
      <c r="E46" s="132"/>
      <c r="F46" s="101" t="s">
        <v>62</v>
      </c>
    </row>
    <row r="47" spans="2:6" ht="14.25">
      <c r="B47" s="131" t="s">
        <v>49</v>
      </c>
      <c r="C47" s="132"/>
      <c r="D47" s="132"/>
      <c r="E47" s="132"/>
      <c r="F47" s="101" t="s">
        <v>63</v>
      </c>
    </row>
    <row r="48" spans="2:6" ht="15" thickBot="1">
      <c r="B48" s="156" t="s">
        <v>76</v>
      </c>
      <c r="C48" s="157"/>
      <c r="D48" s="157"/>
      <c r="E48" s="157"/>
      <c r="F48" s="102" t="s">
        <v>110</v>
      </c>
    </row>
  </sheetData>
  <sheetProtection sheet="1"/>
  <mergeCells count="36">
    <mergeCell ref="B9:F13"/>
    <mergeCell ref="B14:F14"/>
    <mergeCell ref="B2:F2"/>
    <mergeCell ref="B48:E48"/>
    <mergeCell ref="B26:E26"/>
    <mergeCell ref="B33:E33"/>
    <mergeCell ref="B35:E35"/>
    <mergeCell ref="B42:E42"/>
    <mergeCell ref="B28:E28"/>
    <mergeCell ref="B47:E47"/>
    <mergeCell ref="B46:E46"/>
    <mergeCell ref="B44:E44"/>
    <mergeCell ref="B43:E43"/>
    <mergeCell ref="B41:E41"/>
    <mergeCell ref="B40:E40"/>
    <mergeCell ref="B45:E45"/>
    <mergeCell ref="B32:E32"/>
    <mergeCell ref="B39:E39"/>
    <mergeCell ref="B29:E29"/>
    <mergeCell ref="B15:F19"/>
    <mergeCell ref="B38:E38"/>
    <mergeCell ref="B21:E21"/>
    <mergeCell ref="B37:E37"/>
    <mergeCell ref="B34:E34"/>
    <mergeCell ref="B31:E31"/>
    <mergeCell ref="B30:E30"/>
    <mergeCell ref="B3:F4"/>
    <mergeCell ref="B5:F6"/>
    <mergeCell ref="B7:F8"/>
    <mergeCell ref="B27:E27"/>
    <mergeCell ref="B36:E36"/>
    <mergeCell ref="B20:E20"/>
    <mergeCell ref="B22:E22"/>
    <mergeCell ref="B25:E25"/>
    <mergeCell ref="B24:E24"/>
    <mergeCell ref="B23:E23"/>
  </mergeCells>
  <phoneticPr fontId="0" type="noConversion"/>
  <pageMargins left="0.7" right="0.7" top="0.75" bottom="0.75" header="0.3" footer="0.3"/>
  <pageSetup orientation="portrait" horizontalDpi="1200" verticalDpi="1200" r:id="rId1"/>
  <headerFooter>
    <oddHeader>&amp;C&amp;"-,Regular"&amp;16University of Mary Washington Cash Transmittal Codes</oddHeader>
    <oddFooter>&amp;C&amp;"-,Regular"&amp;11Created and Maintained by the University of Mary Washington's Finance Department
Revised June 29, 2010</oddFooter>
  </headerFooter>
</worksheet>
</file>

<file path=xl/worksheets/sheet2.xml><?xml version="1.0" encoding="utf-8"?>
<worksheet xmlns="http://schemas.openxmlformats.org/spreadsheetml/2006/main" xmlns:r="http://schemas.openxmlformats.org/officeDocument/2006/relationships">
  <dimension ref="A3:K65"/>
  <sheetViews>
    <sheetView showGridLines="0" zoomScaleNormal="100" workbookViewId="0">
      <selection activeCell="I15" sqref="I15"/>
    </sheetView>
  </sheetViews>
  <sheetFormatPr defaultRowHeight="12"/>
  <cols>
    <col min="1" max="1" width="9" style="42" customWidth="1"/>
    <col min="2" max="2" width="12.42578125" style="42" customWidth="1"/>
    <col min="3" max="3" width="11.85546875" style="42" customWidth="1"/>
    <col min="4" max="4" width="7.42578125" style="42" customWidth="1"/>
    <col min="5" max="5" width="11.5703125" style="42" customWidth="1"/>
    <col min="6" max="6" width="11.85546875" style="42" customWidth="1"/>
    <col min="7" max="7" width="10.42578125" style="42" customWidth="1"/>
    <col min="8" max="8" width="17.85546875" style="42" customWidth="1"/>
    <col min="9" max="9" width="14.140625" style="42" customWidth="1"/>
    <col min="10" max="10" width="9.140625" style="42"/>
    <col min="11" max="11" width="26" style="42" customWidth="1"/>
    <col min="12" max="16384" width="9.140625" style="42"/>
  </cols>
  <sheetData>
    <row r="3" spans="1:11" ht="18" customHeight="1">
      <c r="A3" s="39"/>
      <c r="B3" s="40"/>
      <c r="C3" s="39"/>
      <c r="D3" s="40"/>
      <c r="E3" s="191" t="s">
        <v>109</v>
      </c>
      <c r="F3" s="191"/>
      <c r="G3" s="191"/>
      <c r="H3" s="191"/>
    </row>
    <row r="4" spans="1:11" ht="14.25" customHeight="1" thickBot="1">
      <c r="A4" s="39"/>
      <c r="B4" s="40"/>
      <c r="C4" s="39"/>
      <c r="D4" s="40"/>
      <c r="E4" s="41"/>
    </row>
    <row r="5" spans="1:11" ht="14.25" customHeight="1" thickBot="1">
      <c r="A5" s="39"/>
      <c r="B5" s="40"/>
      <c r="C5" s="39"/>
      <c r="D5" s="40"/>
      <c r="E5" s="177" t="s">
        <v>29</v>
      </c>
      <c r="F5" s="178"/>
      <c r="G5" s="178"/>
      <c r="H5" s="179"/>
    </row>
    <row r="6" spans="1:11" ht="14.25" customHeight="1" thickBot="1">
      <c r="A6" s="89"/>
      <c r="B6" s="40"/>
      <c r="C6" s="89"/>
      <c r="D6" s="40"/>
      <c r="E6" s="174" t="s">
        <v>30</v>
      </c>
      <c r="F6" s="175"/>
      <c r="G6" s="175"/>
      <c r="H6" s="176"/>
      <c r="I6" s="52"/>
    </row>
    <row r="7" spans="1:11" ht="13.5" customHeight="1" thickBot="1">
      <c r="A7" s="89"/>
      <c r="B7" s="40"/>
      <c r="C7" s="89"/>
      <c r="D7" s="104"/>
      <c r="E7" s="184" t="s">
        <v>79</v>
      </c>
      <c r="F7" s="185"/>
      <c r="G7" s="185"/>
      <c r="H7" s="186"/>
      <c r="I7" s="104"/>
    </row>
    <row r="8" spans="1:11" ht="14.25" customHeight="1">
      <c r="B8" s="162" t="s">
        <v>31</v>
      </c>
      <c r="C8" s="162" t="s">
        <v>11</v>
      </c>
      <c r="E8" s="39"/>
      <c r="F8" s="40"/>
      <c r="G8" s="39"/>
      <c r="H8" s="40"/>
      <c r="I8" s="41" t="s">
        <v>83</v>
      </c>
      <c r="J8" s="45"/>
    </row>
    <row r="9" spans="1:11">
      <c r="B9" s="162"/>
      <c r="C9" s="162"/>
      <c r="E9" s="73" t="s">
        <v>28</v>
      </c>
      <c r="F9" s="164"/>
      <c r="G9" s="164"/>
      <c r="H9" s="164"/>
      <c r="I9" s="43"/>
      <c r="J9" s="45"/>
    </row>
    <row r="10" spans="1:11" ht="14.25" customHeight="1">
      <c r="B10" s="44"/>
      <c r="C10" s="46"/>
      <c r="E10" s="73"/>
      <c r="F10" s="164"/>
      <c r="G10" s="164"/>
      <c r="H10" s="164"/>
      <c r="I10" s="43"/>
      <c r="J10" s="45"/>
    </row>
    <row r="11" spans="1:11" ht="14.25" customHeight="1">
      <c r="B11" s="73"/>
      <c r="C11" s="45"/>
      <c r="E11" s="73"/>
      <c r="F11" s="164"/>
      <c r="G11" s="164"/>
      <c r="H11" s="164"/>
      <c r="I11" s="43"/>
      <c r="J11" s="45"/>
      <c r="K11" s="86"/>
    </row>
    <row r="12" spans="1:11" ht="14.25" customHeight="1">
      <c r="A12" s="47" t="s">
        <v>1</v>
      </c>
      <c r="B12" s="48"/>
      <c r="E12" s="73"/>
      <c r="F12" s="164"/>
      <c r="G12" s="164"/>
      <c r="H12" s="164"/>
      <c r="I12" s="43"/>
      <c r="J12" s="45"/>
    </row>
    <row r="13" spans="1:11" ht="14.25" customHeight="1">
      <c r="B13" s="73"/>
      <c r="C13" s="45"/>
      <c r="E13" s="73"/>
      <c r="F13" s="164"/>
      <c r="G13" s="164"/>
      <c r="H13" s="164"/>
      <c r="I13" s="43"/>
      <c r="J13" s="45"/>
    </row>
    <row r="14" spans="1:11" ht="14.25" customHeight="1">
      <c r="A14" s="49" t="s">
        <v>3</v>
      </c>
      <c r="B14" s="46"/>
      <c r="E14" s="73"/>
      <c r="F14" s="164"/>
      <c r="G14" s="164"/>
      <c r="H14" s="164"/>
      <c r="I14" s="43"/>
      <c r="J14" s="45"/>
    </row>
    <row r="15" spans="1:11" s="39" customFormat="1" ht="14.25" customHeight="1">
      <c r="B15" s="50"/>
      <c r="C15" s="49"/>
      <c r="D15" s="45"/>
      <c r="E15" s="73"/>
      <c r="F15" s="164"/>
      <c r="G15" s="164"/>
      <c r="H15" s="164"/>
      <c r="I15" s="43"/>
      <c r="J15" s="45"/>
    </row>
    <row r="16" spans="1:11" ht="14.25" customHeight="1">
      <c r="D16" s="45"/>
      <c r="E16" s="50"/>
      <c r="F16" s="165" t="s">
        <v>84</v>
      </c>
      <c r="G16" s="165"/>
      <c r="H16" s="165"/>
      <c r="I16" s="51">
        <f>SUM(I9:I15)</f>
        <v>0</v>
      </c>
      <c r="J16" s="45"/>
    </row>
    <row r="17" spans="1:10" ht="20.25" customHeight="1">
      <c r="A17" s="161" t="s">
        <v>2</v>
      </c>
      <c r="B17" s="163"/>
      <c r="C17" s="163"/>
      <c r="D17" s="163"/>
      <c r="J17" s="45"/>
    </row>
    <row r="18" spans="1:10" ht="25.5" customHeight="1">
      <c r="A18" s="161"/>
      <c r="B18" s="163"/>
      <c r="C18" s="163"/>
      <c r="D18" s="163"/>
      <c r="E18" s="73" t="s">
        <v>0</v>
      </c>
      <c r="F18" s="181"/>
      <c r="G18" s="182"/>
      <c r="H18" s="182"/>
      <c r="I18" s="183"/>
      <c r="J18" s="45"/>
    </row>
    <row r="19" spans="1:10" ht="14.25" customHeight="1" thickBot="1"/>
    <row r="20" spans="1:10" ht="12.75" thickBot="1">
      <c r="A20" s="158" t="s">
        <v>26</v>
      </c>
      <c r="B20" s="159"/>
      <c r="C20" s="160"/>
    </row>
    <row r="21" spans="1:10" ht="14.25" customHeight="1">
      <c r="A21" s="172" t="s">
        <v>4</v>
      </c>
      <c r="B21" s="173"/>
      <c r="C21" s="90">
        <f>C36</f>
        <v>0</v>
      </c>
    </row>
    <row r="22" spans="1:10" ht="14.25" customHeight="1">
      <c r="A22" s="170" t="s">
        <v>15</v>
      </c>
      <c r="B22" s="171"/>
      <c r="C22" s="66">
        <f>G35</f>
        <v>0</v>
      </c>
    </row>
    <row r="23" spans="1:10" ht="14.25" customHeight="1">
      <c r="A23" s="170" t="s">
        <v>16</v>
      </c>
      <c r="B23" s="171"/>
      <c r="C23" s="66">
        <f>SUM(C21:C22)</f>
        <v>0</v>
      </c>
    </row>
    <row r="24" spans="1:10" ht="14.25" customHeight="1" thickBot="1">
      <c r="A24" s="168" t="s">
        <v>17</v>
      </c>
      <c r="B24" s="169"/>
      <c r="C24" s="67">
        <f>I53</f>
        <v>0</v>
      </c>
    </row>
    <row r="25" spans="1:10" ht="14.25" customHeight="1" thickBot="1">
      <c r="A25" s="166" t="s">
        <v>27</v>
      </c>
      <c r="B25" s="167"/>
      <c r="C25" s="68">
        <f>SUM(C23:C24)</f>
        <v>0</v>
      </c>
    </row>
    <row r="26" spans="1:10" s="89" customFormat="1" ht="14.25" customHeight="1" thickBot="1">
      <c r="A26" s="87"/>
      <c r="B26" s="87"/>
      <c r="C26" s="88"/>
    </row>
    <row r="27" spans="1:10" ht="14.25" customHeight="1" thickBot="1">
      <c r="A27" s="158" t="s">
        <v>14</v>
      </c>
      <c r="B27" s="159"/>
      <c r="C27" s="160"/>
      <c r="E27" s="158" t="s">
        <v>13</v>
      </c>
      <c r="F27" s="159"/>
      <c r="G27" s="160"/>
    </row>
    <row r="28" spans="1:10" ht="14.25" customHeight="1">
      <c r="A28" s="53" t="s">
        <v>23</v>
      </c>
      <c r="B28" s="54" t="s">
        <v>24</v>
      </c>
      <c r="C28" s="55" t="s">
        <v>21</v>
      </c>
      <c r="E28" s="53" t="s">
        <v>15</v>
      </c>
      <c r="F28" s="54" t="s">
        <v>25</v>
      </c>
      <c r="G28" s="55" t="s">
        <v>21</v>
      </c>
    </row>
    <row r="29" spans="1:10" ht="14.25" customHeight="1">
      <c r="A29" s="56">
        <v>100</v>
      </c>
      <c r="B29" s="57"/>
      <c r="C29" s="58">
        <f>B29*100</f>
        <v>0</v>
      </c>
      <c r="E29" s="59" t="s">
        <v>5</v>
      </c>
      <c r="F29" s="44"/>
      <c r="G29" s="58">
        <f>F29*1</f>
        <v>0</v>
      </c>
    </row>
    <row r="30" spans="1:10" ht="14.25" customHeight="1">
      <c r="A30" s="56">
        <v>50</v>
      </c>
      <c r="B30" s="57"/>
      <c r="C30" s="58">
        <f>B30*50</f>
        <v>0</v>
      </c>
      <c r="E30" s="59" t="s">
        <v>6</v>
      </c>
      <c r="F30" s="44"/>
      <c r="G30" s="58">
        <f>F30*0.5</f>
        <v>0</v>
      </c>
    </row>
    <row r="31" spans="1:10" ht="14.25" customHeight="1">
      <c r="A31" s="56">
        <v>20</v>
      </c>
      <c r="B31" s="57"/>
      <c r="C31" s="58">
        <f>B31*20</f>
        <v>0</v>
      </c>
      <c r="E31" s="59" t="s">
        <v>7</v>
      </c>
      <c r="F31" s="44"/>
      <c r="G31" s="58">
        <f>F31*0.25</f>
        <v>0</v>
      </c>
    </row>
    <row r="32" spans="1:10" ht="14.25" customHeight="1">
      <c r="A32" s="56">
        <v>10</v>
      </c>
      <c r="B32" s="57"/>
      <c r="C32" s="58">
        <f>B32*10</f>
        <v>0</v>
      </c>
      <c r="E32" s="59" t="s">
        <v>8</v>
      </c>
      <c r="F32" s="44"/>
      <c r="G32" s="58">
        <f>F32*0.1</f>
        <v>0</v>
      </c>
    </row>
    <row r="33" spans="1:9" ht="14.25" customHeight="1">
      <c r="A33" s="56">
        <v>5</v>
      </c>
      <c r="B33" s="57"/>
      <c r="C33" s="58">
        <f>B33*5</f>
        <v>0</v>
      </c>
      <c r="E33" s="59" t="s">
        <v>9</v>
      </c>
      <c r="F33" s="44"/>
      <c r="G33" s="58">
        <f>F33*0.05</f>
        <v>0</v>
      </c>
    </row>
    <row r="34" spans="1:9" ht="14.25" customHeight="1" thickBot="1">
      <c r="A34" s="56">
        <v>2</v>
      </c>
      <c r="B34" s="57"/>
      <c r="C34" s="58">
        <f>B34*2</f>
        <v>0</v>
      </c>
      <c r="E34" s="60" t="s">
        <v>10</v>
      </c>
      <c r="F34" s="61"/>
      <c r="G34" s="62">
        <f>F34*0.01</f>
        <v>0</v>
      </c>
    </row>
    <row r="35" spans="1:9" ht="14.25" customHeight="1" thickBot="1">
      <c r="A35" s="63">
        <v>1</v>
      </c>
      <c r="B35" s="64"/>
      <c r="C35" s="62">
        <f>B35*1</f>
        <v>0</v>
      </c>
      <c r="E35" s="158" t="s">
        <v>12</v>
      </c>
      <c r="F35" s="160"/>
      <c r="G35" s="65">
        <f>SUM(G29:G34)</f>
        <v>0</v>
      </c>
    </row>
    <row r="36" spans="1:9" ht="14.25" customHeight="1" thickBot="1">
      <c r="A36" s="158" t="s">
        <v>12</v>
      </c>
      <c r="B36" s="160"/>
      <c r="C36" s="65">
        <f>SUM(C29:C35)</f>
        <v>0</v>
      </c>
    </row>
    <row r="37" spans="1:9" s="39" customFormat="1" ht="13.5" customHeight="1" thickBot="1">
      <c r="A37" s="91"/>
      <c r="B37" s="92"/>
      <c r="C37" s="93"/>
    </row>
    <row r="38" spans="1:9" ht="12.75" thickBot="1">
      <c r="A38" s="188" t="s">
        <v>18</v>
      </c>
      <c r="B38" s="189"/>
      <c r="C38" s="189"/>
      <c r="D38" s="189"/>
      <c r="E38" s="189"/>
      <c r="F38" s="189"/>
      <c r="G38" s="189"/>
      <c r="H38" s="189"/>
      <c r="I38" s="190"/>
    </row>
    <row r="39" spans="1:9">
      <c r="A39" s="109" t="s">
        <v>19</v>
      </c>
      <c r="B39" s="187" t="s">
        <v>20</v>
      </c>
      <c r="C39" s="187"/>
      <c r="D39" s="187"/>
      <c r="E39" s="110" t="s">
        <v>21</v>
      </c>
      <c r="F39" s="111" t="s">
        <v>19</v>
      </c>
      <c r="G39" s="187" t="s">
        <v>20</v>
      </c>
      <c r="H39" s="187"/>
      <c r="I39" s="112" t="s">
        <v>21</v>
      </c>
    </row>
    <row r="40" spans="1:9" s="70" customFormat="1">
      <c r="A40" s="113"/>
      <c r="B40" s="180"/>
      <c r="C40" s="180"/>
      <c r="D40" s="180"/>
      <c r="E40" s="69"/>
      <c r="F40" s="81"/>
      <c r="G40" s="180"/>
      <c r="H40" s="180"/>
      <c r="I40" s="114"/>
    </row>
    <row r="41" spans="1:9" s="70" customFormat="1">
      <c r="A41" s="113"/>
      <c r="B41" s="180"/>
      <c r="C41" s="180"/>
      <c r="D41" s="180"/>
      <c r="E41" s="69"/>
      <c r="F41" s="81"/>
      <c r="G41" s="180"/>
      <c r="H41" s="180"/>
      <c r="I41" s="114"/>
    </row>
    <row r="42" spans="1:9" s="70" customFormat="1">
      <c r="A42" s="113"/>
      <c r="B42" s="180"/>
      <c r="C42" s="180"/>
      <c r="D42" s="180"/>
      <c r="E42" s="69"/>
      <c r="F42" s="81"/>
      <c r="G42" s="180"/>
      <c r="H42" s="180"/>
      <c r="I42" s="114"/>
    </row>
    <row r="43" spans="1:9" s="70" customFormat="1">
      <c r="A43" s="113"/>
      <c r="B43" s="180"/>
      <c r="C43" s="180"/>
      <c r="D43" s="180"/>
      <c r="E43" s="69"/>
      <c r="F43" s="81"/>
      <c r="G43" s="180"/>
      <c r="H43" s="180"/>
      <c r="I43" s="114"/>
    </row>
    <row r="44" spans="1:9" s="70" customFormat="1">
      <c r="A44" s="113"/>
      <c r="B44" s="180"/>
      <c r="C44" s="180"/>
      <c r="D44" s="180"/>
      <c r="E44" s="69"/>
      <c r="F44" s="81"/>
      <c r="G44" s="180"/>
      <c r="H44" s="180"/>
      <c r="I44" s="114"/>
    </row>
    <row r="45" spans="1:9" s="70" customFormat="1">
      <c r="A45" s="113"/>
      <c r="B45" s="180"/>
      <c r="C45" s="180"/>
      <c r="D45" s="180"/>
      <c r="E45" s="69"/>
      <c r="F45" s="81"/>
      <c r="G45" s="180"/>
      <c r="H45" s="180"/>
      <c r="I45" s="114"/>
    </row>
    <row r="46" spans="1:9" s="70" customFormat="1">
      <c r="A46" s="113"/>
      <c r="B46" s="180"/>
      <c r="C46" s="180"/>
      <c r="D46" s="180"/>
      <c r="E46" s="69"/>
      <c r="F46" s="81"/>
      <c r="G46" s="180"/>
      <c r="H46" s="180"/>
      <c r="I46" s="114"/>
    </row>
    <row r="47" spans="1:9" s="70" customFormat="1">
      <c r="A47" s="113"/>
      <c r="B47" s="180"/>
      <c r="C47" s="180"/>
      <c r="D47" s="180"/>
      <c r="E47" s="69"/>
      <c r="F47" s="81"/>
      <c r="G47" s="180"/>
      <c r="H47" s="180"/>
      <c r="I47" s="114"/>
    </row>
    <row r="48" spans="1:9" s="70" customFormat="1">
      <c r="A48" s="113"/>
      <c r="B48" s="180"/>
      <c r="C48" s="180"/>
      <c r="D48" s="180"/>
      <c r="E48" s="69"/>
      <c r="F48" s="81"/>
      <c r="G48" s="180"/>
      <c r="H48" s="180"/>
      <c r="I48" s="114"/>
    </row>
    <row r="49" spans="1:9" s="70" customFormat="1">
      <c r="A49" s="113"/>
      <c r="B49" s="180"/>
      <c r="C49" s="180"/>
      <c r="D49" s="180"/>
      <c r="E49" s="69"/>
      <c r="F49" s="81"/>
      <c r="G49" s="180"/>
      <c r="H49" s="180"/>
      <c r="I49" s="114"/>
    </row>
    <row r="50" spans="1:9" s="70" customFormat="1">
      <c r="A50" s="113"/>
      <c r="B50" s="180"/>
      <c r="C50" s="180"/>
      <c r="D50" s="180"/>
      <c r="E50" s="69"/>
      <c r="F50" s="81"/>
      <c r="G50" s="180"/>
      <c r="H50" s="180"/>
      <c r="I50" s="114"/>
    </row>
    <row r="51" spans="1:9" s="70" customFormat="1">
      <c r="A51" s="113"/>
      <c r="B51" s="180"/>
      <c r="C51" s="180"/>
      <c r="D51" s="180"/>
      <c r="E51" s="69"/>
      <c r="F51" s="81"/>
      <c r="G51" s="180"/>
      <c r="H51" s="180"/>
      <c r="I51" s="114"/>
    </row>
    <row r="52" spans="1:9" ht="12.75" customHeight="1">
      <c r="A52" s="113"/>
      <c r="B52" s="180"/>
      <c r="C52" s="180"/>
      <c r="D52" s="180"/>
      <c r="E52" s="69"/>
      <c r="F52" s="195" t="s">
        <v>82</v>
      </c>
      <c r="G52" s="196"/>
      <c r="H52" s="196"/>
      <c r="I52" s="115">
        <f>SUM(I40:I51)</f>
        <v>0</v>
      </c>
    </row>
    <row r="53" spans="1:9" ht="13.5" customHeight="1" thickBot="1">
      <c r="A53" s="192" t="s">
        <v>82</v>
      </c>
      <c r="B53" s="193"/>
      <c r="C53" s="193"/>
      <c r="D53" s="193"/>
      <c r="E53" s="71">
        <f>SUM(E40:E52)</f>
        <v>0</v>
      </c>
      <c r="F53" s="194" t="s">
        <v>22</v>
      </c>
      <c r="G53" s="194"/>
      <c r="H53" s="194"/>
      <c r="I53" s="116">
        <f>E53+I52</f>
        <v>0</v>
      </c>
    </row>
    <row r="54" spans="1:9" s="52" customFormat="1"/>
    <row r="55" spans="1:9" s="52" customFormat="1"/>
    <row r="56" spans="1:9" s="52" customFormat="1"/>
    <row r="57" spans="1:9" s="52" customFormat="1"/>
    <row r="58" spans="1:9" s="52" customFormat="1"/>
    <row r="59" spans="1:9" s="52" customFormat="1"/>
    <row r="60" spans="1:9" s="52" customFormat="1"/>
    <row r="61" spans="1:9" s="52" customFormat="1"/>
    <row r="62" spans="1:9" s="52" customFormat="1"/>
    <row r="63" spans="1:9" s="52" customFormat="1"/>
    <row r="64" spans="1:9" s="52" customFormat="1"/>
    <row r="65" spans="1:5">
      <c r="A65" s="52"/>
      <c r="B65" s="52"/>
      <c r="C65" s="52"/>
      <c r="D65" s="52"/>
      <c r="E65" s="52"/>
    </row>
  </sheetData>
  <sheetProtection sheet="1" objects="1" scenarios="1"/>
  <mergeCells count="58">
    <mergeCell ref="A53:D53"/>
    <mergeCell ref="F53:H53"/>
    <mergeCell ref="F52:H52"/>
    <mergeCell ref="B44:D44"/>
    <mergeCell ref="G44:H44"/>
    <mergeCell ref="G48:H48"/>
    <mergeCell ref="G47:H47"/>
    <mergeCell ref="G46:H46"/>
    <mergeCell ref="G45:H45"/>
    <mergeCell ref="B52:D52"/>
    <mergeCell ref="B51:D51"/>
    <mergeCell ref="B50:D50"/>
    <mergeCell ref="G51:H51"/>
    <mergeCell ref="G50:H50"/>
    <mergeCell ref="G49:H49"/>
    <mergeCell ref="B49:D49"/>
    <mergeCell ref="B48:D48"/>
    <mergeCell ref="B46:D46"/>
    <mergeCell ref="B47:D47"/>
    <mergeCell ref="B45:D45"/>
    <mergeCell ref="B42:D42"/>
    <mergeCell ref="B43:D43"/>
    <mergeCell ref="B41:D41"/>
    <mergeCell ref="B40:D40"/>
    <mergeCell ref="G42:H42"/>
    <mergeCell ref="G43:H43"/>
    <mergeCell ref="E3:H3"/>
    <mergeCell ref="F10:H10"/>
    <mergeCell ref="F9:H9"/>
    <mergeCell ref="F12:H12"/>
    <mergeCell ref="F11:H11"/>
    <mergeCell ref="E27:G27"/>
    <mergeCell ref="E35:F35"/>
    <mergeCell ref="A36:B36"/>
    <mergeCell ref="E6:H6"/>
    <mergeCell ref="E5:H5"/>
    <mergeCell ref="G41:H41"/>
    <mergeCell ref="G40:H40"/>
    <mergeCell ref="F18:I18"/>
    <mergeCell ref="E7:H7"/>
    <mergeCell ref="G39:H39"/>
    <mergeCell ref="A38:I38"/>
    <mergeCell ref="B39:D39"/>
    <mergeCell ref="A27:C27"/>
    <mergeCell ref="A25:B25"/>
    <mergeCell ref="A24:B24"/>
    <mergeCell ref="A23:B23"/>
    <mergeCell ref="A22:B22"/>
    <mergeCell ref="A21:B21"/>
    <mergeCell ref="A20:C20"/>
    <mergeCell ref="A17:A18"/>
    <mergeCell ref="C8:C9"/>
    <mergeCell ref="B8:B9"/>
    <mergeCell ref="B17:D18"/>
    <mergeCell ref="F15:H15"/>
    <mergeCell ref="F14:H14"/>
    <mergeCell ref="F13:H13"/>
    <mergeCell ref="F16:H16"/>
  </mergeCells>
  <phoneticPr fontId="0" type="noConversion"/>
  <dataValidations count="1">
    <dataValidation type="list" allowBlank="1" showInputMessage="1" showErrorMessage="1" sqref="B10">
      <formula1>List</formula1>
    </dataValidation>
  </dataValidations>
  <printOptions horizontalCentered="1" verticalCentered="1"/>
  <pageMargins left="0.25" right="0.25" top="0.5" bottom="0.5" header="0" footer="0.25"/>
  <pageSetup scale="94" orientation="portrait" r:id="rId1"/>
  <headerFooter alignWithMargins="0">
    <oddFooter>&amp;C&amp;"-,Regular"&amp;11Created and Maintained by the University of Mary Washington's Finance Department
Revised June 29, 2010</oddFooter>
  </headerFooter>
  <drawing r:id="rId2"/>
  <legacyDrawing r:id="rId3"/>
</worksheet>
</file>

<file path=xl/worksheets/sheet3.xml><?xml version="1.0" encoding="utf-8"?>
<worksheet xmlns="http://schemas.openxmlformats.org/spreadsheetml/2006/main" xmlns:r="http://schemas.openxmlformats.org/officeDocument/2006/relationships">
  <dimension ref="A3:L79"/>
  <sheetViews>
    <sheetView showGridLines="0" view="pageLayout" topLeftCell="A8" zoomScaleNormal="100" workbookViewId="0">
      <selection activeCell="G44" sqref="G44"/>
    </sheetView>
  </sheetViews>
  <sheetFormatPr defaultRowHeight="12.75"/>
  <cols>
    <col min="1" max="1" width="11.5703125" style="3" customWidth="1"/>
    <col min="2" max="2" width="11.42578125" style="3" customWidth="1"/>
    <col min="3" max="4" width="10.7109375" style="3" customWidth="1"/>
    <col min="5" max="5" width="12.5703125" style="3" customWidth="1"/>
    <col min="6" max="6" width="9.28515625" style="3" customWidth="1"/>
    <col min="7" max="7" width="12.5703125" style="3" customWidth="1"/>
    <col min="8" max="8" width="12.140625" style="3" customWidth="1"/>
    <col min="9" max="9" width="12.5703125" style="3" customWidth="1"/>
    <col min="10" max="10" width="14.140625" style="3" customWidth="1"/>
    <col min="11" max="16384" width="9.140625" style="3"/>
  </cols>
  <sheetData>
    <row r="3" spans="1:9" ht="14.25" customHeight="1">
      <c r="A3" s="9"/>
      <c r="B3" s="10"/>
      <c r="C3" s="9"/>
      <c r="D3" s="10"/>
      <c r="E3" s="203" t="s">
        <v>108</v>
      </c>
      <c r="F3" s="203"/>
      <c r="G3" s="203"/>
      <c r="H3" s="203"/>
    </row>
    <row r="4" spans="1:9" ht="14.25" customHeight="1" thickBot="1">
      <c r="A4" s="9"/>
      <c r="B4" s="10"/>
      <c r="C4" s="9"/>
      <c r="D4" s="10"/>
      <c r="E4" s="41"/>
      <c r="F4" s="11"/>
      <c r="G4" s="11"/>
    </row>
    <row r="5" spans="1:9" ht="14.25" customHeight="1" thickBot="1">
      <c r="A5" s="12"/>
      <c r="B5" s="10"/>
      <c r="C5" s="9"/>
      <c r="D5" s="10"/>
      <c r="E5" s="207" t="s">
        <v>29</v>
      </c>
      <c r="F5" s="208"/>
      <c r="G5" s="208"/>
      <c r="H5" s="209"/>
    </row>
    <row r="6" spans="1:9" ht="14.25" customHeight="1" thickBot="1">
      <c r="A6" s="12"/>
      <c r="B6" s="10"/>
      <c r="C6" s="9"/>
      <c r="D6" s="10"/>
      <c r="E6" s="204" t="s">
        <v>30</v>
      </c>
      <c r="F6" s="205"/>
      <c r="G6" s="205"/>
      <c r="H6" s="206"/>
    </row>
    <row r="7" spans="1:9" ht="14.25" customHeight="1" thickBot="1">
      <c r="A7" s="105"/>
      <c r="B7" s="10"/>
      <c r="C7" s="105"/>
      <c r="D7" s="34"/>
      <c r="E7" s="214" t="s">
        <v>79</v>
      </c>
      <c r="F7" s="215"/>
      <c r="G7" s="215"/>
      <c r="H7" s="216"/>
      <c r="I7" s="34"/>
    </row>
    <row r="8" spans="1:9" ht="14.25" customHeight="1" thickBot="1">
      <c r="A8" s="9"/>
      <c r="B8" s="10"/>
      <c r="C8" s="9"/>
      <c r="D8" s="10"/>
      <c r="E8" s="16"/>
      <c r="F8" s="11"/>
      <c r="G8" s="11"/>
    </row>
    <row r="9" spans="1:9" ht="14.25" customHeight="1" thickBot="1">
      <c r="A9" s="162" t="s">
        <v>31</v>
      </c>
      <c r="B9" s="162" t="s">
        <v>11</v>
      </c>
      <c r="E9" s="72" t="s">
        <v>0</v>
      </c>
      <c r="F9" s="231"/>
      <c r="G9" s="232"/>
      <c r="H9" s="233"/>
    </row>
    <row r="10" spans="1:9" ht="14.25" customHeight="1" thickBot="1">
      <c r="A10" s="197"/>
      <c r="B10" s="197"/>
    </row>
    <row r="11" spans="1:9" ht="14.25" customHeight="1" thickBot="1">
      <c r="A11" s="94"/>
      <c r="B11" s="95"/>
      <c r="E11" s="5" t="s">
        <v>1</v>
      </c>
      <c r="F11" s="212"/>
      <c r="G11" s="213"/>
      <c r="I11" s="15"/>
    </row>
    <row r="12" spans="1:9" ht="14.25" customHeight="1" thickBot="1">
      <c r="F12" s="13"/>
      <c r="I12" s="9"/>
    </row>
    <row r="13" spans="1:9" ht="14.25" customHeight="1" thickBot="1">
      <c r="E13" s="6" t="s">
        <v>3</v>
      </c>
      <c r="F13" s="210"/>
      <c r="G13" s="211"/>
      <c r="I13" s="9"/>
    </row>
    <row r="14" spans="1:9" ht="14.25" customHeight="1" thickBot="1">
      <c r="E14" s="13"/>
      <c r="I14" s="9"/>
    </row>
    <row r="15" spans="1:9" ht="15.75">
      <c r="A15" s="221" t="s">
        <v>26</v>
      </c>
      <c r="B15" s="222"/>
      <c r="C15" s="223"/>
      <c r="H15" s="33"/>
    </row>
    <row r="16" spans="1:9">
      <c r="A16" s="198" t="s">
        <v>4</v>
      </c>
      <c r="B16" s="199"/>
      <c r="C16" s="37">
        <f>C33</f>
        <v>0</v>
      </c>
    </row>
    <row r="17" spans="1:12">
      <c r="A17" s="198" t="s">
        <v>15</v>
      </c>
      <c r="B17" s="199"/>
      <c r="C17" s="37">
        <f>G32</f>
        <v>0</v>
      </c>
    </row>
    <row r="18" spans="1:12">
      <c r="A18" s="198" t="s">
        <v>16</v>
      </c>
      <c r="B18" s="199"/>
      <c r="C18" s="37">
        <f>SUM(C16:C17)</f>
        <v>0</v>
      </c>
    </row>
    <row r="19" spans="1:12" ht="13.5" thickBot="1">
      <c r="A19" s="227" t="s">
        <v>17</v>
      </c>
      <c r="B19" s="228"/>
      <c r="C19" s="106">
        <f>E68</f>
        <v>0</v>
      </c>
    </row>
    <row r="20" spans="1:12" ht="13.5" thickBot="1">
      <c r="A20" s="229" t="s">
        <v>27</v>
      </c>
      <c r="B20" s="230"/>
      <c r="C20" s="35">
        <f>SUM(C18:C19)</f>
        <v>0</v>
      </c>
    </row>
    <row r="23" spans="1:12" ht="13.5" thickBot="1"/>
    <row r="24" spans="1:12" ht="16.5" thickBot="1">
      <c r="A24" s="200" t="s">
        <v>14</v>
      </c>
      <c r="B24" s="201"/>
      <c r="C24" s="202"/>
      <c r="E24" s="200" t="s">
        <v>13</v>
      </c>
      <c r="F24" s="201"/>
      <c r="G24" s="202"/>
      <c r="L24" s="13"/>
    </row>
    <row r="25" spans="1:12" ht="25.5">
      <c r="A25" s="21" t="s">
        <v>23</v>
      </c>
      <c r="B25" s="20" t="s">
        <v>24</v>
      </c>
      <c r="C25" s="22" t="s">
        <v>21</v>
      </c>
      <c r="E25" s="30" t="s">
        <v>15</v>
      </c>
      <c r="F25" s="31" t="s">
        <v>25</v>
      </c>
      <c r="G25" s="32" t="s">
        <v>21</v>
      </c>
    </row>
    <row r="26" spans="1:12">
      <c r="A26" s="107">
        <v>100</v>
      </c>
      <c r="B26" s="23"/>
      <c r="C26" s="37">
        <f>B26*100</f>
        <v>0</v>
      </c>
      <c r="E26" s="7" t="s">
        <v>5</v>
      </c>
      <c r="F26" s="1"/>
      <c r="G26" s="37">
        <f>F26*1</f>
        <v>0</v>
      </c>
    </row>
    <row r="27" spans="1:12">
      <c r="A27" s="107">
        <v>50</v>
      </c>
      <c r="B27" s="23"/>
      <c r="C27" s="37">
        <f>B27*50</f>
        <v>0</v>
      </c>
      <c r="E27" s="7" t="s">
        <v>6</v>
      </c>
      <c r="F27" s="1"/>
      <c r="G27" s="37">
        <f>F27*0.5</f>
        <v>0</v>
      </c>
    </row>
    <row r="28" spans="1:12">
      <c r="A28" s="107">
        <v>20</v>
      </c>
      <c r="B28" s="23"/>
      <c r="C28" s="37">
        <f>B28*20</f>
        <v>0</v>
      </c>
      <c r="E28" s="7" t="s">
        <v>7</v>
      </c>
      <c r="F28" s="1"/>
      <c r="G28" s="37">
        <f>F28*0.25</f>
        <v>0</v>
      </c>
    </row>
    <row r="29" spans="1:12">
      <c r="A29" s="107">
        <v>10</v>
      </c>
      <c r="B29" s="23"/>
      <c r="C29" s="37">
        <f>B29*10</f>
        <v>0</v>
      </c>
      <c r="E29" s="7" t="s">
        <v>8</v>
      </c>
      <c r="F29" s="1"/>
      <c r="G29" s="37">
        <f>F29*0.1</f>
        <v>0</v>
      </c>
    </row>
    <row r="30" spans="1:12">
      <c r="A30" s="107">
        <v>5</v>
      </c>
      <c r="B30" s="23"/>
      <c r="C30" s="37">
        <f>B30*5</f>
        <v>0</v>
      </c>
      <c r="E30" s="7" t="s">
        <v>9</v>
      </c>
      <c r="F30" s="1"/>
      <c r="G30" s="37">
        <f>F30*0.05</f>
        <v>0</v>
      </c>
    </row>
    <row r="31" spans="1:12" ht="13.5" thickBot="1">
      <c r="A31" s="107">
        <v>2</v>
      </c>
      <c r="B31" s="23"/>
      <c r="C31" s="37">
        <f>B31*2</f>
        <v>0</v>
      </c>
      <c r="E31" s="8" t="s">
        <v>10</v>
      </c>
      <c r="F31" s="2"/>
      <c r="G31" s="38">
        <f>F31*0.01</f>
        <v>0</v>
      </c>
    </row>
    <row r="32" spans="1:12" ht="13.5" thickBot="1">
      <c r="A32" s="108">
        <v>1</v>
      </c>
      <c r="B32" s="24"/>
      <c r="C32" s="38">
        <f>B32*1</f>
        <v>0</v>
      </c>
      <c r="E32" s="225" t="s">
        <v>12</v>
      </c>
      <c r="F32" s="226"/>
      <c r="G32" s="36">
        <f>SUM(G26:G31)</f>
        <v>0</v>
      </c>
    </row>
    <row r="33" spans="1:10" ht="13.5" thickBot="1">
      <c r="A33" s="225" t="s">
        <v>12</v>
      </c>
      <c r="B33" s="226"/>
      <c r="C33" s="36">
        <f>SUM(C26:C32)</f>
        <v>0</v>
      </c>
    </row>
    <row r="34" spans="1:10">
      <c r="E34" s="14"/>
    </row>
    <row r="35" spans="1:10">
      <c r="E35" s="14"/>
    </row>
    <row r="36" spans="1:10">
      <c r="E36" s="14"/>
    </row>
    <row r="37" spans="1:10">
      <c r="E37" s="14"/>
    </row>
    <row r="38" spans="1:10">
      <c r="E38" s="14"/>
    </row>
    <row r="39" spans="1:10">
      <c r="E39" s="14"/>
    </row>
    <row r="40" spans="1:10" ht="13.5" thickBot="1">
      <c r="E40" s="14"/>
    </row>
    <row r="41" spans="1:10" ht="15.75">
      <c r="A41" s="221" t="s">
        <v>86</v>
      </c>
      <c r="B41" s="222"/>
      <c r="C41" s="222"/>
      <c r="D41" s="222"/>
      <c r="E41" s="222"/>
      <c r="F41" s="222"/>
      <c r="G41" s="222"/>
      <c r="H41" s="222"/>
      <c r="I41" s="222"/>
      <c r="J41" s="223"/>
    </row>
    <row r="42" spans="1:10" s="26" customFormat="1" ht="25.5">
      <c r="A42" s="82" t="s">
        <v>87</v>
      </c>
      <c r="B42" s="82" t="s">
        <v>89</v>
      </c>
      <c r="C42" s="82" t="s">
        <v>88</v>
      </c>
      <c r="D42" s="82" t="s">
        <v>90</v>
      </c>
      <c r="E42" s="82" t="s">
        <v>93</v>
      </c>
      <c r="F42" s="25" t="s">
        <v>91</v>
      </c>
      <c r="G42" s="82" t="s">
        <v>92</v>
      </c>
      <c r="H42" s="224" t="s">
        <v>94</v>
      </c>
      <c r="I42" s="224"/>
      <c r="J42" s="224"/>
    </row>
    <row r="43" spans="1:10">
      <c r="A43" s="17"/>
      <c r="B43" s="17"/>
      <c r="C43" s="17"/>
      <c r="D43" s="17"/>
      <c r="E43" s="18"/>
      <c r="F43" s="17"/>
      <c r="G43" s="18"/>
      <c r="H43" s="217"/>
      <c r="I43" s="217"/>
      <c r="J43" s="217"/>
    </row>
    <row r="44" spans="1:10">
      <c r="A44" s="17"/>
      <c r="B44" s="17"/>
      <c r="C44" s="17"/>
      <c r="D44" s="17"/>
      <c r="E44" s="18"/>
      <c r="F44" s="17"/>
      <c r="G44" s="18"/>
      <c r="H44" s="217"/>
      <c r="I44" s="217"/>
      <c r="J44" s="217"/>
    </row>
    <row r="45" spans="1:10">
      <c r="A45" s="17"/>
      <c r="B45" s="17"/>
      <c r="C45" s="17"/>
      <c r="D45" s="17"/>
      <c r="E45" s="18"/>
      <c r="F45" s="17"/>
      <c r="G45" s="18"/>
      <c r="H45" s="218"/>
      <c r="I45" s="219"/>
      <c r="J45" s="220"/>
    </row>
    <row r="46" spans="1:10">
      <c r="A46" s="17"/>
      <c r="B46" s="17"/>
      <c r="C46" s="17"/>
      <c r="D46" s="17"/>
      <c r="E46" s="18"/>
      <c r="F46" s="17"/>
      <c r="G46" s="18"/>
      <c r="H46" s="218"/>
      <c r="I46" s="219"/>
      <c r="J46" s="220"/>
    </row>
    <row r="47" spans="1:10">
      <c r="A47" s="17"/>
      <c r="B47" s="17"/>
      <c r="C47" s="17"/>
      <c r="D47" s="17"/>
      <c r="E47" s="18"/>
      <c r="F47" s="17"/>
      <c r="G47" s="18"/>
      <c r="H47" s="218"/>
      <c r="I47" s="219"/>
      <c r="J47" s="220"/>
    </row>
    <row r="48" spans="1:10">
      <c r="A48" s="17"/>
      <c r="B48" s="17"/>
      <c r="C48" s="17"/>
      <c r="D48" s="17"/>
      <c r="E48" s="18"/>
      <c r="F48" s="17"/>
      <c r="G48" s="18"/>
      <c r="H48" s="83"/>
      <c r="I48" s="84"/>
      <c r="J48" s="85"/>
    </row>
    <row r="49" spans="1:10">
      <c r="A49" s="17"/>
      <c r="B49" s="17"/>
      <c r="C49" s="17"/>
      <c r="D49" s="17"/>
      <c r="E49" s="18"/>
      <c r="F49" s="17"/>
      <c r="G49" s="18"/>
      <c r="H49" s="83"/>
      <c r="I49" s="84"/>
      <c r="J49" s="85"/>
    </row>
    <row r="50" spans="1:10">
      <c r="A50" s="17"/>
      <c r="B50" s="17"/>
      <c r="C50" s="17"/>
      <c r="D50" s="17"/>
      <c r="E50" s="18"/>
      <c r="F50" s="17"/>
      <c r="G50" s="18"/>
      <c r="H50" s="83"/>
      <c r="I50" s="84"/>
      <c r="J50" s="85"/>
    </row>
    <row r="51" spans="1:10">
      <c r="A51" s="17"/>
      <c r="B51" s="17"/>
      <c r="C51" s="17"/>
      <c r="D51" s="17"/>
      <c r="E51" s="18"/>
      <c r="F51" s="17"/>
      <c r="G51" s="18"/>
      <c r="H51" s="83"/>
      <c r="I51" s="84"/>
      <c r="J51" s="85"/>
    </row>
    <row r="52" spans="1:10">
      <c r="A52" s="17"/>
      <c r="B52" s="17"/>
      <c r="C52" s="17"/>
      <c r="D52" s="17"/>
      <c r="E52" s="18"/>
      <c r="F52" s="17"/>
      <c r="G52" s="18"/>
      <c r="H52" s="83"/>
      <c r="I52" s="84"/>
      <c r="J52" s="85"/>
    </row>
    <row r="53" spans="1:10">
      <c r="A53" s="17"/>
      <c r="B53" s="17"/>
      <c r="C53" s="17"/>
      <c r="D53" s="17"/>
      <c r="E53" s="18"/>
      <c r="F53" s="17"/>
      <c r="G53" s="18"/>
      <c r="H53" s="83"/>
      <c r="I53" s="84"/>
      <c r="J53" s="85"/>
    </row>
    <row r="54" spans="1:10">
      <c r="A54" s="17"/>
      <c r="B54" s="17"/>
      <c r="C54" s="17"/>
      <c r="D54" s="17"/>
      <c r="E54" s="18"/>
      <c r="F54" s="17"/>
      <c r="G54" s="18"/>
      <c r="H54" s="218"/>
      <c r="I54" s="219"/>
      <c r="J54" s="220"/>
    </row>
    <row r="55" spans="1:10">
      <c r="A55" s="17"/>
      <c r="B55" s="17"/>
      <c r="C55" s="17"/>
      <c r="D55" s="17"/>
      <c r="E55" s="18"/>
      <c r="F55" s="17"/>
      <c r="G55" s="18"/>
      <c r="H55" s="218"/>
      <c r="I55" s="219"/>
      <c r="J55" s="220"/>
    </row>
    <row r="56" spans="1:10">
      <c r="A56" s="17"/>
      <c r="B56" s="17"/>
      <c r="C56" s="17"/>
      <c r="D56" s="17"/>
      <c r="E56" s="18"/>
      <c r="F56" s="17"/>
      <c r="G56" s="18"/>
      <c r="H56" s="218"/>
      <c r="I56" s="219"/>
      <c r="J56" s="220"/>
    </row>
    <row r="57" spans="1:10">
      <c r="A57" s="17"/>
      <c r="B57" s="17"/>
      <c r="C57" s="17"/>
      <c r="D57" s="17"/>
      <c r="E57" s="18"/>
      <c r="F57" s="17"/>
      <c r="G57" s="18"/>
      <c r="H57" s="217"/>
      <c r="I57" s="217"/>
      <c r="J57" s="217"/>
    </row>
    <row r="58" spans="1:10">
      <c r="A58" s="17"/>
      <c r="B58" s="17"/>
      <c r="C58" s="17"/>
      <c r="D58" s="17"/>
      <c r="E58" s="18"/>
      <c r="F58" s="17"/>
      <c r="G58" s="18"/>
      <c r="H58" s="217"/>
      <c r="I58" s="217"/>
      <c r="J58" s="217"/>
    </row>
    <row r="59" spans="1:10">
      <c r="A59" s="17"/>
      <c r="B59" s="17"/>
      <c r="C59" s="17"/>
      <c r="D59" s="17"/>
      <c r="E59" s="18"/>
      <c r="F59" s="17"/>
      <c r="G59" s="18"/>
      <c r="H59" s="217"/>
      <c r="I59" s="217"/>
      <c r="J59" s="217"/>
    </row>
    <row r="60" spans="1:10">
      <c r="A60" s="17"/>
      <c r="B60" s="17"/>
      <c r="C60" s="17"/>
      <c r="D60" s="17"/>
      <c r="E60" s="18"/>
      <c r="F60" s="17"/>
      <c r="G60" s="18"/>
      <c r="H60" s="217"/>
      <c r="I60" s="217"/>
      <c r="J60" s="217"/>
    </row>
    <row r="61" spans="1:10">
      <c r="A61" s="17"/>
      <c r="B61" s="17"/>
      <c r="C61" s="17"/>
      <c r="D61" s="17"/>
      <c r="E61" s="18"/>
      <c r="F61" s="17"/>
      <c r="G61" s="18"/>
      <c r="H61" s="217"/>
      <c r="I61" s="217"/>
      <c r="J61" s="217"/>
    </row>
    <row r="62" spans="1:10">
      <c r="A62" s="17"/>
      <c r="B62" s="17"/>
      <c r="C62" s="17"/>
      <c r="D62" s="17"/>
      <c r="E62" s="18"/>
      <c r="F62" s="17"/>
      <c r="G62" s="18"/>
      <c r="H62" s="217"/>
      <c r="I62" s="217"/>
      <c r="J62" s="217"/>
    </row>
    <row r="63" spans="1:10">
      <c r="A63" s="17"/>
      <c r="B63" s="17"/>
      <c r="C63" s="17"/>
      <c r="D63" s="17"/>
      <c r="E63" s="18"/>
      <c r="F63" s="17"/>
      <c r="G63" s="18"/>
      <c r="H63" s="217"/>
      <c r="I63" s="217"/>
      <c r="J63" s="217"/>
    </row>
    <row r="64" spans="1:10">
      <c r="A64" s="17"/>
      <c r="B64" s="17"/>
      <c r="C64" s="17"/>
      <c r="D64" s="17"/>
      <c r="E64" s="18"/>
      <c r="F64" s="17"/>
      <c r="G64" s="18"/>
      <c r="H64" s="217"/>
      <c r="I64" s="217"/>
      <c r="J64" s="217"/>
    </row>
    <row r="65" spans="1:10">
      <c r="A65" s="17"/>
      <c r="B65" s="17"/>
      <c r="C65" s="17"/>
      <c r="D65" s="17"/>
      <c r="E65" s="18"/>
      <c r="F65" s="17"/>
      <c r="G65" s="18"/>
      <c r="H65" s="217"/>
      <c r="I65" s="217"/>
      <c r="J65" s="217"/>
    </row>
    <row r="66" spans="1:10">
      <c r="A66" s="17"/>
      <c r="B66" s="17"/>
      <c r="C66" s="17"/>
      <c r="D66" s="17"/>
      <c r="E66" s="18"/>
      <c r="F66" s="17"/>
      <c r="G66" s="18"/>
      <c r="H66" s="217"/>
      <c r="I66" s="217"/>
      <c r="J66" s="217"/>
    </row>
    <row r="67" spans="1:10">
      <c r="A67" s="17"/>
      <c r="B67" s="17"/>
      <c r="C67" s="17"/>
      <c r="D67" s="17"/>
      <c r="E67" s="18"/>
      <c r="F67" s="17"/>
      <c r="G67" s="27"/>
      <c r="H67" s="217"/>
      <c r="I67" s="217"/>
      <c r="J67" s="217"/>
    </row>
    <row r="68" spans="1:10" ht="13.5" thickBot="1">
      <c r="A68" s="15"/>
      <c r="B68" s="15"/>
      <c r="C68" s="15"/>
      <c r="D68" s="15"/>
      <c r="E68" s="29">
        <f>SUM(E43:E67)</f>
        <v>0</v>
      </c>
      <c r="G68" s="28">
        <f>SUM(G43:G67)</f>
        <v>0</v>
      </c>
    </row>
    <row r="69" spans="1:10" s="15" customFormat="1" ht="26.25" thickTop="1">
      <c r="E69" s="19" t="s">
        <v>95</v>
      </c>
      <c r="G69" s="19" t="s">
        <v>96</v>
      </c>
    </row>
    <row r="70" spans="1:10" s="15" customFormat="1"/>
    <row r="71" spans="1:10" s="15" customFormat="1"/>
    <row r="72" spans="1:10" s="15" customFormat="1"/>
    <row r="73" spans="1:10" s="15" customFormat="1"/>
    <row r="74" spans="1:10" s="15" customFormat="1"/>
    <row r="75" spans="1:10" s="15" customFormat="1"/>
    <row r="76" spans="1:10" s="15" customFormat="1"/>
    <row r="77" spans="1:10" s="15" customFormat="1"/>
    <row r="78" spans="1:10" s="15" customFormat="1"/>
    <row r="79" spans="1:10" s="15" customFormat="1">
      <c r="A79" s="3"/>
      <c r="B79" s="3"/>
      <c r="C79" s="3"/>
      <c r="D79" s="3"/>
      <c r="E79" s="3"/>
    </row>
  </sheetData>
  <sheetProtection sheet="1" objects="1" scenarios="1"/>
  <mergeCells count="40">
    <mergeCell ref="H67:J67"/>
    <mergeCell ref="E24:G24"/>
    <mergeCell ref="F9:H9"/>
    <mergeCell ref="H64:J64"/>
    <mergeCell ref="H63:J63"/>
    <mergeCell ref="H62:J62"/>
    <mergeCell ref="H61:J61"/>
    <mergeCell ref="H60:J60"/>
    <mergeCell ref="H59:J59"/>
    <mergeCell ref="H66:J66"/>
    <mergeCell ref="H65:J65"/>
    <mergeCell ref="A41:J41"/>
    <mergeCell ref="H42:J42"/>
    <mergeCell ref="E32:F32"/>
    <mergeCell ref="A33:B33"/>
    <mergeCell ref="A15:C15"/>
    <mergeCell ref="A19:B19"/>
    <mergeCell ref="A20:B20"/>
    <mergeCell ref="H55:J55"/>
    <mergeCell ref="H58:J58"/>
    <mergeCell ref="E7:H7"/>
    <mergeCell ref="B9:B10"/>
    <mergeCell ref="H57:J57"/>
    <mergeCell ref="H44:J44"/>
    <mergeCell ref="H43:J43"/>
    <mergeCell ref="H56:J56"/>
    <mergeCell ref="H54:J54"/>
    <mergeCell ref="H47:J47"/>
    <mergeCell ref="H46:J46"/>
    <mergeCell ref="H45:J45"/>
    <mergeCell ref="A9:A10"/>
    <mergeCell ref="A16:B16"/>
    <mergeCell ref="A24:C24"/>
    <mergeCell ref="E3:H3"/>
    <mergeCell ref="E6:H6"/>
    <mergeCell ref="E5:H5"/>
    <mergeCell ref="A17:B17"/>
    <mergeCell ref="A18:B18"/>
    <mergeCell ref="F13:G13"/>
    <mergeCell ref="F11:G11"/>
  </mergeCells>
  <dataValidations count="1">
    <dataValidation type="list" allowBlank="1" showInputMessage="1" showErrorMessage="1" sqref="A11">
      <formula1>List</formula1>
    </dataValidation>
  </dataValidations>
  <pageMargins left="0.7" right="0.7" top="0.75" bottom="0.75" header="0.3" footer="0.3"/>
  <pageSetup orientation="landscape" horizontalDpi="1200" verticalDpi="1200" r:id="rId1"/>
  <headerFooter>
    <oddHeader xml:space="preserve">&amp;C </oddHeader>
    <oddFooter>&amp;C&amp;"-,Regular"&amp;12Created and Maintained by the University of Mary Washington's Finance Department
Page &amp;P of &amp;N</oddFooter>
  </headerFooter>
  <drawing r:id="rId2"/>
  <legacyDrawing r:id="rId3"/>
</worksheet>
</file>

<file path=xl/worksheets/sheet4.xml><?xml version="1.0" encoding="utf-8"?>
<worksheet xmlns="http://schemas.openxmlformats.org/spreadsheetml/2006/main" xmlns:r="http://schemas.openxmlformats.org/officeDocument/2006/relationships">
  <dimension ref="A1:J44"/>
  <sheetViews>
    <sheetView showGridLines="0" zoomScaleNormal="100" workbookViewId="0">
      <selection activeCell="E19" sqref="E19"/>
    </sheetView>
  </sheetViews>
  <sheetFormatPr defaultRowHeight="12.75"/>
  <cols>
    <col min="1" max="1" width="9.140625" style="77"/>
    <col min="2" max="2" width="11" style="77" customWidth="1"/>
    <col min="3" max="3" width="16" style="77" customWidth="1"/>
    <col min="4" max="4" width="9.140625" style="77"/>
    <col min="5" max="5" width="11" style="77" bestFit="1" customWidth="1"/>
    <col min="6" max="6" width="10.42578125" style="77" customWidth="1"/>
    <col min="7" max="7" width="9.140625" style="77"/>
    <col min="8" max="8" width="24" style="77" customWidth="1"/>
    <col min="9" max="9" width="15.5703125" style="77" customWidth="1"/>
    <col min="10" max="16384" width="9.140625" style="77"/>
  </cols>
  <sheetData>
    <row r="1" spans="1:10" s="3" customFormat="1"/>
    <row r="2" spans="1:10" s="3" customFormat="1"/>
    <row r="3" spans="1:10" s="3" customFormat="1" ht="14.25" customHeight="1">
      <c r="A3" s="9"/>
      <c r="B3" s="10"/>
      <c r="C3" s="9"/>
      <c r="D3" s="10"/>
      <c r="E3" s="203" t="s">
        <v>99</v>
      </c>
      <c r="F3" s="203"/>
      <c r="G3" s="203"/>
      <c r="H3" s="203"/>
    </row>
    <row r="4" spans="1:10" s="3" customFormat="1" ht="14.25" customHeight="1" thickBot="1">
      <c r="A4" s="9"/>
      <c r="B4" s="10"/>
      <c r="C4" s="9"/>
      <c r="D4" s="10"/>
      <c r="E4" s="4"/>
      <c r="F4" s="4"/>
      <c r="G4" s="11"/>
      <c r="H4" s="11"/>
    </row>
    <row r="5" spans="1:10" s="3" customFormat="1" ht="14.25" customHeight="1" thickBot="1">
      <c r="A5" s="12"/>
      <c r="B5" s="10"/>
      <c r="C5" s="9"/>
      <c r="D5" s="10"/>
      <c r="E5" s="207" t="s">
        <v>29</v>
      </c>
      <c r="F5" s="208"/>
      <c r="G5" s="208"/>
      <c r="H5" s="209"/>
    </row>
    <row r="6" spans="1:10" s="3" customFormat="1" ht="14.25" customHeight="1" thickBot="1">
      <c r="A6" s="12"/>
      <c r="B6" s="10"/>
      <c r="C6" s="9"/>
      <c r="D6" s="10"/>
      <c r="E6" s="204" t="s">
        <v>30</v>
      </c>
      <c r="F6" s="205"/>
      <c r="G6" s="205"/>
      <c r="H6" s="206"/>
    </row>
    <row r="7" spans="1:10" s="3" customFormat="1" ht="14.25" customHeight="1" thickBot="1">
      <c r="A7" s="105"/>
      <c r="B7" s="10"/>
      <c r="C7" s="105"/>
      <c r="D7" s="34"/>
      <c r="E7" s="214" t="s">
        <v>79</v>
      </c>
      <c r="F7" s="215"/>
      <c r="G7" s="215"/>
      <c r="H7" s="216"/>
      <c r="I7" s="34"/>
    </row>
    <row r="8" spans="1:10" s="3" customFormat="1" ht="14.25" customHeight="1" thickBot="1">
      <c r="A8" s="9"/>
      <c r="B8" s="10"/>
      <c r="C8" s="9"/>
      <c r="D8" s="10"/>
      <c r="E8" s="16"/>
      <c r="F8" s="16"/>
      <c r="G8" s="11"/>
      <c r="H8" s="11"/>
    </row>
    <row r="9" spans="1:10" s="3" customFormat="1" ht="14.25" customHeight="1" thickBot="1">
      <c r="A9" s="234" t="s">
        <v>107</v>
      </c>
      <c r="B9" s="162" t="s">
        <v>31</v>
      </c>
      <c r="C9" s="162" t="s">
        <v>11</v>
      </c>
      <c r="E9" s="72" t="s">
        <v>0</v>
      </c>
      <c r="F9" s="231"/>
      <c r="G9" s="232"/>
      <c r="H9" s="233"/>
      <c r="J9" s="97">
        <v>11</v>
      </c>
    </row>
    <row r="10" spans="1:10" s="3" customFormat="1" ht="14.25" customHeight="1" thickBot="1">
      <c r="A10" s="235"/>
      <c r="B10" s="197"/>
      <c r="C10" s="197"/>
      <c r="J10" s="97">
        <v>12</v>
      </c>
    </row>
    <row r="11" spans="1:10" s="3" customFormat="1" ht="14.25" customHeight="1" thickBot="1">
      <c r="A11" s="98"/>
      <c r="B11" s="96"/>
      <c r="C11" s="95"/>
      <c r="E11" s="5" t="s">
        <v>1</v>
      </c>
      <c r="F11" s="212"/>
      <c r="G11" s="213"/>
      <c r="J11" s="97">
        <v>13</v>
      </c>
    </row>
    <row r="12" spans="1:10" s="3" customFormat="1" ht="14.25" customHeight="1" thickBot="1">
      <c r="E12" s="13"/>
      <c r="H12" s="13"/>
      <c r="J12" s="97">
        <v>14</v>
      </c>
    </row>
    <row r="13" spans="1:10" s="3" customFormat="1" ht="14.25" customHeight="1" thickBot="1">
      <c r="E13" s="6" t="s">
        <v>3</v>
      </c>
      <c r="F13" s="210"/>
      <c r="G13" s="211"/>
      <c r="J13" s="97">
        <v>15</v>
      </c>
    </row>
    <row r="15" spans="1:10" ht="13.5" thickBot="1"/>
    <row r="16" spans="1:10" ht="16.5" thickBot="1">
      <c r="A16" s="200" t="s">
        <v>86</v>
      </c>
      <c r="B16" s="201"/>
      <c r="C16" s="201"/>
      <c r="D16" s="201"/>
      <c r="E16" s="201"/>
      <c r="F16" s="201"/>
      <c r="G16" s="201"/>
      <c r="H16" s="202"/>
      <c r="I16" s="33"/>
      <c r="J16" s="33"/>
    </row>
    <row r="17" spans="1:8" ht="20.25" customHeight="1">
      <c r="A17" s="74" t="s">
        <v>87</v>
      </c>
      <c r="B17" s="74" t="s">
        <v>89</v>
      </c>
      <c r="C17" s="74" t="s">
        <v>88</v>
      </c>
      <c r="D17" s="74" t="s">
        <v>90</v>
      </c>
      <c r="E17" s="74" t="s">
        <v>21</v>
      </c>
      <c r="F17" s="76" t="s">
        <v>98</v>
      </c>
      <c r="G17" s="240" t="s">
        <v>94</v>
      </c>
      <c r="H17" s="241"/>
    </row>
    <row r="18" spans="1:8">
      <c r="A18" s="17"/>
      <c r="B18" s="17"/>
      <c r="C18" s="17"/>
      <c r="D18" s="17"/>
      <c r="E18" s="18"/>
      <c r="F18" s="18"/>
      <c r="G18" s="218"/>
      <c r="H18" s="219"/>
    </row>
    <row r="19" spans="1:8">
      <c r="A19" s="17"/>
      <c r="B19" s="17"/>
      <c r="C19" s="17"/>
      <c r="D19" s="17"/>
      <c r="E19" s="18"/>
      <c r="F19" s="18"/>
      <c r="G19" s="218"/>
      <c r="H19" s="219"/>
    </row>
    <row r="20" spans="1:8">
      <c r="A20" s="17"/>
      <c r="B20" s="17"/>
      <c r="C20" s="17"/>
      <c r="D20" s="17"/>
      <c r="E20" s="18"/>
      <c r="F20" s="75"/>
      <c r="G20" s="218"/>
      <c r="H20" s="219"/>
    </row>
    <row r="21" spans="1:8">
      <c r="A21" s="17"/>
      <c r="B21" s="17"/>
      <c r="C21" s="17"/>
      <c r="D21" s="17"/>
      <c r="E21" s="18"/>
      <c r="F21" s="75"/>
      <c r="G21" s="218"/>
      <c r="H21" s="219"/>
    </row>
    <row r="22" spans="1:8">
      <c r="A22" s="17"/>
      <c r="B22" s="17"/>
      <c r="C22" s="17"/>
      <c r="D22" s="17"/>
      <c r="E22" s="18"/>
      <c r="F22" s="75"/>
      <c r="G22" s="218"/>
      <c r="H22" s="219"/>
    </row>
    <row r="23" spans="1:8">
      <c r="A23" s="17"/>
      <c r="B23" s="17"/>
      <c r="C23" s="17"/>
      <c r="D23" s="17"/>
      <c r="E23" s="18"/>
      <c r="F23" s="75"/>
      <c r="G23" s="218"/>
      <c r="H23" s="219"/>
    </row>
    <row r="24" spans="1:8">
      <c r="A24" s="17"/>
      <c r="B24" s="17"/>
      <c r="C24" s="17"/>
      <c r="D24" s="17"/>
      <c r="E24" s="18"/>
      <c r="F24" s="75"/>
      <c r="G24" s="218"/>
      <c r="H24" s="219"/>
    </row>
    <row r="25" spans="1:8">
      <c r="A25" s="17"/>
      <c r="B25" s="17"/>
      <c r="C25" s="17"/>
      <c r="D25" s="17"/>
      <c r="E25" s="18"/>
      <c r="F25" s="75"/>
      <c r="G25" s="218"/>
      <c r="H25" s="219"/>
    </row>
    <row r="26" spans="1:8">
      <c r="A26" s="17"/>
      <c r="B26" s="17"/>
      <c r="C26" s="17"/>
      <c r="D26" s="17"/>
      <c r="E26" s="18"/>
      <c r="F26" s="75"/>
      <c r="G26" s="218"/>
      <c r="H26" s="219"/>
    </row>
    <row r="27" spans="1:8">
      <c r="A27" s="17"/>
      <c r="B27" s="17"/>
      <c r="C27" s="17"/>
      <c r="D27" s="17"/>
      <c r="E27" s="18"/>
      <c r="F27" s="75"/>
      <c r="G27" s="218"/>
      <c r="H27" s="219"/>
    </row>
    <row r="28" spans="1:8">
      <c r="A28" s="17"/>
      <c r="B28" s="17"/>
      <c r="C28" s="17"/>
      <c r="D28" s="17"/>
      <c r="E28" s="18"/>
      <c r="F28" s="75"/>
      <c r="G28" s="218"/>
      <c r="H28" s="219"/>
    </row>
    <row r="29" spans="1:8">
      <c r="A29" s="17"/>
      <c r="B29" s="17"/>
      <c r="C29" s="17"/>
      <c r="D29" s="17"/>
      <c r="E29" s="18"/>
      <c r="F29" s="75"/>
      <c r="G29" s="218"/>
      <c r="H29" s="219"/>
    </row>
    <row r="30" spans="1:8">
      <c r="A30" s="17"/>
      <c r="B30" s="17"/>
      <c r="C30" s="17"/>
      <c r="D30" s="17"/>
      <c r="E30" s="18"/>
      <c r="F30" s="75"/>
      <c r="G30" s="218"/>
      <c r="H30" s="219"/>
    </row>
    <row r="31" spans="1:8">
      <c r="A31" s="17"/>
      <c r="B31" s="17"/>
      <c r="C31" s="17"/>
      <c r="D31" s="17"/>
      <c r="E31" s="18"/>
      <c r="F31" s="75"/>
      <c r="G31" s="218"/>
      <c r="H31" s="219"/>
    </row>
    <row r="32" spans="1:8">
      <c r="A32" s="17"/>
      <c r="B32" s="17"/>
      <c r="C32" s="17"/>
      <c r="D32" s="17"/>
      <c r="E32" s="18"/>
      <c r="F32" s="18"/>
      <c r="G32" s="218"/>
      <c r="H32" s="219"/>
    </row>
    <row r="33" spans="1:9">
      <c r="A33" s="17"/>
      <c r="B33" s="17"/>
      <c r="C33" s="17"/>
      <c r="D33" s="17"/>
      <c r="E33" s="18"/>
      <c r="F33" s="18"/>
      <c r="G33" s="218"/>
      <c r="H33" s="219"/>
    </row>
    <row r="34" spans="1:9">
      <c r="A34" s="17"/>
      <c r="B34" s="17"/>
      <c r="C34" s="17"/>
      <c r="D34" s="17"/>
      <c r="E34" s="18"/>
      <c r="F34" s="18"/>
      <c r="G34" s="218"/>
      <c r="H34" s="219"/>
    </row>
    <row r="35" spans="1:9">
      <c r="A35" s="17"/>
      <c r="B35" s="17"/>
      <c r="C35" s="17"/>
      <c r="D35" s="17"/>
      <c r="E35" s="18"/>
      <c r="F35" s="18"/>
      <c r="G35" s="218"/>
      <c r="H35" s="219"/>
    </row>
    <row r="36" spans="1:9">
      <c r="A36" s="17"/>
      <c r="B36" s="17"/>
      <c r="C36" s="17"/>
      <c r="D36" s="17"/>
      <c r="E36" s="18"/>
      <c r="F36" s="18"/>
      <c r="G36" s="218"/>
      <c r="H36" s="219"/>
    </row>
    <row r="37" spans="1:9">
      <c r="A37" s="17"/>
      <c r="B37" s="17"/>
      <c r="C37" s="17"/>
      <c r="D37" s="17"/>
      <c r="E37" s="18"/>
      <c r="F37" s="18"/>
      <c r="G37" s="218"/>
      <c r="H37" s="219"/>
    </row>
    <row r="38" spans="1:9">
      <c r="A38" s="17"/>
      <c r="B38" s="17"/>
      <c r="C38" s="17"/>
      <c r="D38" s="17"/>
      <c r="E38" s="18"/>
      <c r="F38" s="18"/>
      <c r="G38" s="218"/>
      <c r="H38" s="219"/>
    </row>
    <row r="39" spans="1:9">
      <c r="A39" s="17"/>
      <c r="B39" s="17"/>
      <c r="C39" s="17"/>
      <c r="D39" s="17"/>
      <c r="E39" s="18"/>
      <c r="F39" s="18"/>
      <c r="G39" s="218"/>
      <c r="H39" s="219"/>
    </row>
    <row r="40" spans="1:9">
      <c r="A40" s="17"/>
      <c r="B40" s="17"/>
      <c r="C40" s="17"/>
      <c r="D40" s="17"/>
      <c r="E40" s="18"/>
      <c r="F40" s="18"/>
      <c r="G40" s="218"/>
      <c r="H40" s="219"/>
    </row>
    <row r="41" spans="1:9">
      <c r="A41" s="17"/>
      <c r="B41" s="17"/>
      <c r="C41" s="17"/>
      <c r="D41" s="17"/>
      <c r="E41" s="18"/>
      <c r="F41" s="18"/>
      <c r="G41" s="218"/>
      <c r="H41" s="219"/>
    </row>
    <row r="42" spans="1:9">
      <c r="A42" s="17"/>
      <c r="B42" s="17"/>
      <c r="C42" s="17"/>
      <c r="D42" s="17"/>
      <c r="E42" s="27"/>
      <c r="F42" s="27"/>
      <c r="G42" s="236"/>
      <c r="H42" s="237"/>
    </row>
    <row r="43" spans="1:9" ht="13.5" thickBot="1">
      <c r="A43" s="15"/>
      <c r="B43" s="15"/>
      <c r="C43" s="15"/>
      <c r="D43" s="15"/>
      <c r="E43" s="28">
        <f>SUM(E18:E42)</f>
        <v>0</v>
      </c>
      <c r="F43" s="28">
        <f>SUM(F18:F42)</f>
        <v>0</v>
      </c>
      <c r="G43" s="238">
        <f>E43+F43</f>
        <v>0</v>
      </c>
      <c r="H43" s="238"/>
      <c r="I43" s="3"/>
    </row>
    <row r="44" spans="1:9" s="80" customFormat="1" ht="39" thickTop="1">
      <c r="A44" s="78"/>
      <c r="B44" s="78"/>
      <c r="C44" s="78"/>
      <c r="D44" s="78"/>
      <c r="E44" s="79" t="s">
        <v>97</v>
      </c>
      <c r="F44" s="79" t="s">
        <v>100</v>
      </c>
      <c r="G44" s="239" t="s">
        <v>101</v>
      </c>
      <c r="H44" s="239"/>
      <c r="I44" s="78"/>
    </row>
  </sheetData>
  <sheetProtection sheet="1" objects="1" scenarios="1"/>
  <mergeCells count="39">
    <mergeCell ref="G43:H43"/>
    <mergeCell ref="G44:H44"/>
    <mergeCell ref="G27:H27"/>
    <mergeCell ref="G17:H17"/>
    <mergeCell ref="G26:H26"/>
    <mergeCell ref="G25:H25"/>
    <mergeCell ref="G24:H24"/>
    <mergeCell ref="G23:H23"/>
    <mergeCell ref="G22:H22"/>
    <mergeCell ref="G21:H21"/>
    <mergeCell ref="G42:H42"/>
    <mergeCell ref="G41:H41"/>
    <mergeCell ref="G40:H40"/>
    <mergeCell ref="G39:H39"/>
    <mergeCell ref="G38:H38"/>
    <mergeCell ref="G20:H20"/>
    <mergeCell ref="G32:H32"/>
    <mergeCell ref="G31:H31"/>
    <mergeCell ref="G30:H30"/>
    <mergeCell ref="G29:H29"/>
    <mergeCell ref="F13:G13"/>
    <mergeCell ref="G37:H37"/>
    <mergeCell ref="G36:H36"/>
    <mergeCell ref="G35:H35"/>
    <mergeCell ref="G34:H34"/>
    <mergeCell ref="G33:H33"/>
    <mergeCell ref="G19:H19"/>
    <mergeCell ref="G18:H18"/>
    <mergeCell ref="G28:H28"/>
    <mergeCell ref="F9:H9"/>
    <mergeCell ref="A9:A10"/>
    <mergeCell ref="E3:H3"/>
    <mergeCell ref="A16:H16"/>
    <mergeCell ref="E7:H7"/>
    <mergeCell ref="E6:H6"/>
    <mergeCell ref="E5:H5"/>
    <mergeCell ref="B9:B10"/>
    <mergeCell ref="C9:C10"/>
    <mergeCell ref="F11:G11"/>
  </mergeCells>
  <dataValidations count="2">
    <dataValidation type="list" allowBlank="1" showInputMessage="1" showErrorMessage="1" sqref="B11">
      <formula1>List</formula1>
    </dataValidation>
    <dataValidation type="list" allowBlank="1" showInputMessage="1" showErrorMessage="1" sqref="A11">
      <formula1>$J$9:$J$13</formula1>
    </dataValidation>
  </dataValidations>
  <pageMargins left="0.7" right="0.7" top="0.75" bottom="0.75" header="0.3" footer="0.3"/>
  <pageSetup orientation="portrait" horizontalDpi="1200" verticalDpi="1200" r:id="rId1"/>
  <headerFooter>
    <oddFooter>&amp;C&amp;"-,Regular"&amp;12Created and Maintained by the University of Mary Washington's Finance Department</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F1D19110D87EB4C9BAFE1E03DEF69EB" ma:contentTypeVersion="4" ma:contentTypeDescription="Create a new document." ma:contentTypeScope="" ma:versionID="bffede0ecf4c9ded0c9c0ac6a5091f40">
  <xsd:schema xmlns:xsd="http://www.w3.org/2001/XMLSchema" xmlns:p="http://schemas.microsoft.com/office/2006/metadata/properties" xmlns:ns2="584d896c-6db1-4fec-a98c-847a9e811c83" targetNamespace="http://schemas.microsoft.com/office/2006/metadata/properties" ma:root="true" ma:fieldsID="0feda476e73bfe0d4665cda9dd3090d7" ns2:_="">
    <xsd:import namespace="584d896c-6db1-4fec-a98c-847a9e811c83"/>
    <xsd:element name="properties">
      <xsd:complexType>
        <xsd:sequence>
          <xsd:element name="documentManagement">
            <xsd:complexType>
              <xsd:all>
                <xsd:element ref="ns2:FY" minOccurs="0"/>
                <xsd:element ref="ns2:Folder_x0020_Name"/>
              </xsd:all>
            </xsd:complexType>
          </xsd:element>
        </xsd:sequence>
      </xsd:complexType>
    </xsd:element>
  </xsd:schema>
  <xsd:schema xmlns:xsd="http://www.w3.org/2001/XMLSchema" xmlns:dms="http://schemas.microsoft.com/office/2006/documentManagement/types" targetNamespace="584d896c-6db1-4fec-a98c-847a9e811c83" elementFormDefault="qualified">
    <xsd:import namespace="http://schemas.microsoft.com/office/2006/documentManagement/types"/>
    <xsd:element name="FY" ma:index="8" nillable="true" ma:displayName="FY" ma:default="2010" ma:description="Enter Fiscal Year" ma:format="Dropdown" ma:internalName="FY">
      <xsd:simpleType>
        <xsd:union memberTypes="dms:Text">
          <xsd:simpleType>
            <xsd:restriction base="dms:Choice">
              <xsd:enumeration value="2013"/>
              <xsd:enumeration value="2012"/>
              <xsd:enumeration value="2011"/>
              <xsd:enumeration value="2010"/>
              <xsd:enumeration value="2009"/>
              <xsd:enumeration value="2008"/>
              <xsd:enumeration value="2007"/>
            </xsd:restriction>
          </xsd:simpleType>
        </xsd:union>
      </xsd:simpleType>
    </xsd:element>
    <xsd:element name="Folder_x0020_Name" ma:index="9" ma:displayName="Folder Name" ma:default="TBD" ma:description="Chose a folder" ma:format="Dropdown" ma:internalName="Folder_x0020_Name">
      <xsd:simpleType>
        <xsd:restriction base="dms:Choice">
          <xsd:enumeration value="Audit backup"/>
          <xsd:enumeration value="Commerce Manager"/>
          <xsd:enumeration value="Calendar"/>
          <xsd:enumeration value="Policy"/>
          <xsd:enumeration value="Procedure"/>
          <xsd:enumeration value="Forms"/>
          <xsd:enumeration value="General"/>
          <xsd:enumeration value="TBD"/>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Folder_x0020_Name xmlns="584d896c-6db1-4fec-a98c-847a9e811c83">TBD</Folder_x0020_Name>
    <FY xmlns="584d896c-6db1-4fec-a98c-847a9e811c83">2010</FY>
  </documentManagement>
</p:properties>
</file>

<file path=customXml/itemProps1.xml><?xml version="1.0" encoding="utf-8"?>
<ds:datastoreItem xmlns:ds="http://schemas.openxmlformats.org/officeDocument/2006/customXml" ds:itemID="{B141B124-8B07-4065-BBE6-909E5E252FF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4d896c-6db1-4fec-a98c-847a9e811c8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8434C034-C12A-4B4F-9A7A-0B28937F2A32}">
  <ds:schemaRefs>
    <ds:schemaRef ds:uri="http://schemas.microsoft.com/sharepoint/v3/contenttype/forms"/>
  </ds:schemaRefs>
</ds:datastoreItem>
</file>

<file path=customXml/itemProps3.xml><?xml version="1.0" encoding="utf-8"?>
<ds:datastoreItem xmlns:ds="http://schemas.openxmlformats.org/officeDocument/2006/customXml" ds:itemID="{92131655-0962-4BFE-B0B6-442FDF4D3339}">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Transmittal Instruction</vt:lpstr>
      <vt:lpstr>Cash Transmittal Form</vt:lpstr>
      <vt:lpstr>General Ledger Transmittal Form</vt:lpstr>
      <vt:lpstr>Credit Card Transmittal Form</vt:lpstr>
      <vt:lpstr>List</vt:lpstr>
      <vt:lpstr>'Cash Transmittal Form'!Print_Area</vt:lpstr>
      <vt:lpstr>TransmittalCode</vt:lpstr>
      <vt:lpstr>TransmittalCodes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finance</dc:creator>
  <cp:lastModifiedBy>User</cp:lastModifiedBy>
  <cp:lastPrinted>2010-11-09T14:19:14Z</cp:lastPrinted>
  <dcterms:created xsi:type="dcterms:W3CDTF">2004-05-20T15:48:12Z</dcterms:created>
  <dcterms:modified xsi:type="dcterms:W3CDTF">2011-07-07T02:35:42Z</dcterms:modified>
  <cp:contentType>Document</cp:contentTyp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0x010100DF1D19110D87EB4C9BAFE1E03DEF69EB</vt:lpwstr>
  </property>
  <property fmtid="{D5CDD505-2E9C-101B-9397-08002B2CF9AE}" pid="3" name="Commerce Manager">
    <vt:lpwstr>Enter Choice #1</vt:lpwstr>
  </property>
  <property fmtid="{D5CDD505-2E9C-101B-9397-08002B2CF9AE}" pid="4" name="Calenders">
    <vt:lpwstr>Enter Choice #1</vt:lpwstr>
  </property>
</Properties>
</file>