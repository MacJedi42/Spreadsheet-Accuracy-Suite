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50" windowWidth="19065" windowHeight="12765" tabRatio="865"/>
  </bookViews>
  <sheets>
    <sheet name="all" sheetId="1" r:id="rId1"/>
    <sheet name="Demographics" sheetId="2" r:id="rId2"/>
    <sheet name="Obj Emp " sheetId="3" r:id="rId3"/>
    <sheet name="Meeting needs" sheetId="4" r:id="rId4"/>
    <sheet name="Evaluate Instruction" sheetId="10" r:id="rId5"/>
    <sheet name="Pers Grow" sheetId="13" r:id="rId6"/>
    <sheet name="Eval Stud Serv" sheetId="14" r:id="rId7"/>
    <sheet name="Reasons at FRCC" sheetId="16" r:id="rId8"/>
    <sheet name="Technology Special Questions" sheetId="34" r:id="rId9"/>
  </sheets>
  <definedNames>
    <definedName name="_xlnm._FilterDatabase" localSheetId="0" hidden="1">all!$A$50:$R$392</definedName>
    <definedName name="_xlnm._FilterDatabase" localSheetId="1" hidden="1">Demographics!$A$2:$F$2</definedName>
    <definedName name="_xlnm._FilterDatabase" localSheetId="6" hidden="1">'Eval Stud Serv'!$R$5:$X$23</definedName>
    <definedName name="_xlnm._FilterDatabase" localSheetId="4" hidden="1">'Evaluate Instruction'!$R$4:$X$13</definedName>
    <definedName name="_xlnm._FilterDatabase" localSheetId="3" hidden="1">'Meeting needs'!$A$11:$F$29</definedName>
    <definedName name="_xlnm._FilterDatabase" localSheetId="2" hidden="1">'Obj Emp '!$A$2:$F$2</definedName>
    <definedName name="_xlnm._FilterDatabase" localSheetId="5" hidden="1">'Pers Grow'!$A$3:$F$83</definedName>
    <definedName name="_xlnm._FilterDatabase" localSheetId="7" hidden="1">'Reasons at FRCC'!$A$3:$F$31</definedName>
    <definedName name="_xlnm._FilterDatabase" localSheetId="8" hidden="1">'Technology Special Questions'!#REF!</definedName>
    <definedName name="_xlnm.Print_Area" localSheetId="4">'Evaluate Instruction'!$A$1:$P$74</definedName>
  </definedNames>
  <calcPr calcId="145621"/>
</workbook>
</file>

<file path=xl/calcChain.xml><?xml version="1.0" encoding="utf-8"?>
<calcChain xmlns="http://schemas.openxmlformats.org/spreadsheetml/2006/main">
  <c r="U105" i="34" l="1"/>
  <c r="U96" i="34"/>
  <c r="U104" i="34"/>
  <c r="U103" i="34"/>
  <c r="U102" i="34"/>
  <c r="U101" i="34"/>
  <c r="U100" i="34"/>
  <c r="U99" i="34"/>
  <c r="U98" i="34"/>
  <c r="U97" i="34"/>
  <c r="U22" i="34"/>
  <c r="U21" i="34"/>
  <c r="U20" i="34"/>
  <c r="U19" i="34"/>
  <c r="U18" i="34"/>
  <c r="U17" i="34"/>
  <c r="U16" i="34"/>
  <c r="U15" i="34"/>
  <c r="U14" i="34"/>
  <c r="T105" i="34"/>
  <c r="S105" i="34"/>
  <c r="R105" i="34"/>
  <c r="T104" i="34"/>
  <c r="S104" i="34"/>
  <c r="R104" i="34"/>
  <c r="T103" i="34"/>
  <c r="S103" i="34"/>
  <c r="R103" i="34"/>
  <c r="T102" i="34"/>
  <c r="S102" i="34"/>
  <c r="R102" i="34"/>
  <c r="T101" i="34"/>
  <c r="S101" i="34"/>
  <c r="R101" i="34"/>
  <c r="T100" i="34"/>
  <c r="S100" i="34"/>
  <c r="R100" i="34"/>
  <c r="T99" i="34"/>
  <c r="S99" i="34"/>
  <c r="R99" i="34"/>
  <c r="T98" i="34"/>
  <c r="S98" i="34"/>
  <c r="R98" i="34"/>
  <c r="T97" i="34"/>
  <c r="S97" i="34"/>
  <c r="R97" i="34"/>
  <c r="T96" i="34"/>
  <c r="S96" i="34"/>
  <c r="R96" i="34"/>
  <c r="S22" i="34"/>
  <c r="S21" i="34"/>
  <c r="S20" i="34"/>
  <c r="S19" i="34"/>
  <c r="S18" i="34"/>
  <c r="S17" i="34"/>
  <c r="S16" i="34"/>
  <c r="S15" i="34"/>
  <c r="S14" i="34"/>
  <c r="T22" i="34"/>
  <c r="T21" i="34"/>
  <c r="T20" i="34"/>
  <c r="T19" i="34"/>
  <c r="T18" i="34"/>
  <c r="T17" i="34"/>
  <c r="T16" i="34"/>
  <c r="T15" i="34"/>
  <c r="T14" i="34"/>
  <c r="R22" i="34"/>
  <c r="R21" i="34"/>
  <c r="R20" i="34"/>
  <c r="R19" i="34"/>
  <c r="R18" i="34"/>
  <c r="R17" i="34"/>
  <c r="R16" i="34"/>
  <c r="R15" i="34"/>
  <c r="R14" i="34"/>
  <c r="D42" i="14" l="1"/>
  <c r="L12" i="3"/>
  <c r="M11" i="3" s="1"/>
  <c r="J12" i="3"/>
  <c r="H12" i="3"/>
  <c r="I11" i="3" s="1"/>
  <c r="F12" i="3"/>
  <c r="D12" i="3"/>
  <c r="E11" i="3" s="1"/>
  <c r="B12" i="3"/>
  <c r="N11" i="3"/>
  <c r="K11" i="3"/>
  <c r="G11" i="3"/>
  <c r="C11" i="3"/>
  <c r="N10" i="3"/>
  <c r="K10" i="3"/>
  <c r="G10" i="3"/>
  <c r="C10" i="3"/>
  <c r="N9" i="3"/>
  <c r="K9" i="3"/>
  <c r="G9" i="3"/>
  <c r="C9" i="3"/>
  <c r="N8" i="3"/>
  <c r="K8" i="3"/>
  <c r="G8" i="3"/>
  <c r="C8" i="3"/>
  <c r="N7" i="3"/>
  <c r="M7" i="3"/>
  <c r="K7" i="3"/>
  <c r="G7" i="3"/>
  <c r="E7" i="3"/>
  <c r="C7" i="3"/>
  <c r="N6" i="3"/>
  <c r="K6" i="3"/>
  <c r="G6" i="3"/>
  <c r="C6" i="3"/>
  <c r="N5" i="3"/>
  <c r="M5" i="3"/>
  <c r="K5" i="3"/>
  <c r="I5" i="3"/>
  <c r="G5" i="3"/>
  <c r="E5" i="3"/>
  <c r="C5" i="3"/>
  <c r="N4" i="3"/>
  <c r="K4" i="3"/>
  <c r="K12" i="3" s="1"/>
  <c r="G4" i="3"/>
  <c r="G12" i="3" s="1"/>
  <c r="C4" i="3"/>
  <c r="C12" i="3" s="1"/>
  <c r="B60" i="1"/>
  <c r="C55" i="1" s="1"/>
  <c r="N53" i="1"/>
  <c r="N54" i="1"/>
  <c r="N55" i="1"/>
  <c r="N56" i="1"/>
  <c r="N57" i="1"/>
  <c r="N58" i="1"/>
  <c r="N59" i="1"/>
  <c r="N52" i="1"/>
  <c r="F4" i="1"/>
  <c r="I7" i="3" l="1"/>
  <c r="E4" i="3"/>
  <c r="I4" i="3"/>
  <c r="M4" i="3"/>
  <c r="E6" i="3"/>
  <c r="I6" i="3"/>
  <c r="M6" i="3"/>
  <c r="E8" i="3"/>
  <c r="I8" i="3"/>
  <c r="M8" i="3"/>
  <c r="I9" i="3"/>
  <c r="M9" i="3"/>
  <c r="E9" i="3"/>
  <c r="E10" i="3"/>
  <c r="M10" i="3"/>
  <c r="I10" i="3"/>
  <c r="C54" i="1"/>
  <c r="C52" i="1"/>
  <c r="N12" i="3"/>
  <c r="O5" i="3" s="1"/>
  <c r="N60" i="1"/>
  <c r="O59" i="1" s="1"/>
  <c r="A4" i="16"/>
  <c r="B4" i="16"/>
  <c r="D4" i="16"/>
  <c r="F4" i="16"/>
  <c r="H4" i="16"/>
  <c r="J4" i="16"/>
  <c r="L4" i="16"/>
  <c r="A5" i="16"/>
  <c r="B5" i="16"/>
  <c r="D5" i="16"/>
  <c r="F5" i="16"/>
  <c r="H5" i="16"/>
  <c r="J5" i="16"/>
  <c r="L5" i="16"/>
  <c r="A6" i="16"/>
  <c r="B6" i="16"/>
  <c r="D6" i="16"/>
  <c r="F6" i="16"/>
  <c r="H6" i="16"/>
  <c r="J6" i="16"/>
  <c r="L6" i="16"/>
  <c r="A7" i="16"/>
  <c r="B7" i="16"/>
  <c r="D7" i="16"/>
  <c r="F7" i="16"/>
  <c r="H7" i="16"/>
  <c r="J7" i="16"/>
  <c r="L7" i="16"/>
  <c r="A8" i="16"/>
  <c r="B8" i="16"/>
  <c r="D8" i="16"/>
  <c r="F8" i="16"/>
  <c r="H8" i="16"/>
  <c r="J8" i="16"/>
  <c r="L8" i="16"/>
  <c r="A9" i="16"/>
  <c r="B9" i="16"/>
  <c r="D9" i="16"/>
  <c r="F9" i="16"/>
  <c r="H9" i="16"/>
  <c r="J9" i="16"/>
  <c r="L9" i="16"/>
  <c r="A10" i="16"/>
  <c r="B10" i="16"/>
  <c r="D10" i="16"/>
  <c r="F10" i="16"/>
  <c r="H10" i="16"/>
  <c r="J10" i="16"/>
  <c r="L10" i="16"/>
  <c r="A11" i="16"/>
  <c r="B11" i="16"/>
  <c r="D11" i="16"/>
  <c r="F11" i="16"/>
  <c r="H11" i="16"/>
  <c r="J11" i="16"/>
  <c r="L11" i="16"/>
  <c r="A12" i="16"/>
  <c r="B12" i="16"/>
  <c r="D12" i="16"/>
  <c r="F12" i="16"/>
  <c r="H12" i="16"/>
  <c r="J12" i="16"/>
  <c r="L12" i="16"/>
  <c r="A13" i="16"/>
  <c r="B13" i="16"/>
  <c r="D13" i="16"/>
  <c r="F13" i="16"/>
  <c r="H13" i="16"/>
  <c r="J13" i="16"/>
  <c r="L13" i="16"/>
  <c r="Q10" i="14"/>
  <c r="L124" i="14"/>
  <c r="M123" i="14" s="1"/>
  <c r="J124" i="14"/>
  <c r="H124" i="14"/>
  <c r="I122" i="14" s="1"/>
  <c r="F124" i="14"/>
  <c r="G123" i="14" s="1"/>
  <c r="D124" i="14"/>
  <c r="B124" i="14"/>
  <c r="N123" i="14"/>
  <c r="K123" i="14"/>
  <c r="E123" i="14"/>
  <c r="C123" i="14"/>
  <c r="N122" i="14"/>
  <c r="K122" i="14"/>
  <c r="E122" i="14"/>
  <c r="C122" i="14"/>
  <c r="N121" i="14"/>
  <c r="M121" i="14"/>
  <c r="K121" i="14"/>
  <c r="G121" i="14"/>
  <c r="E121" i="14"/>
  <c r="C121" i="14"/>
  <c r="N120" i="14"/>
  <c r="M120" i="14"/>
  <c r="M125" i="14" s="1"/>
  <c r="K120" i="14"/>
  <c r="I120" i="14"/>
  <c r="E120" i="14"/>
  <c r="E125" i="14" s="1"/>
  <c r="C120" i="14"/>
  <c r="L116" i="14"/>
  <c r="M115" i="14" s="1"/>
  <c r="J116" i="14"/>
  <c r="H116" i="14"/>
  <c r="I115" i="14" s="1"/>
  <c r="F116" i="14"/>
  <c r="D116" i="14"/>
  <c r="E115" i="14" s="1"/>
  <c r="B116" i="14"/>
  <c r="N115" i="14"/>
  <c r="K115" i="14"/>
  <c r="G115" i="14"/>
  <c r="C115" i="14"/>
  <c r="N114" i="14"/>
  <c r="K114" i="14"/>
  <c r="G114" i="14"/>
  <c r="C114" i="14"/>
  <c r="N113" i="14"/>
  <c r="K113" i="14"/>
  <c r="G113" i="14"/>
  <c r="C113" i="14"/>
  <c r="N112" i="14"/>
  <c r="K112" i="14"/>
  <c r="K116" i="14" s="1"/>
  <c r="G112" i="14"/>
  <c r="G116" i="14" s="1"/>
  <c r="C112" i="14"/>
  <c r="C116" i="14" s="1"/>
  <c r="L108" i="14"/>
  <c r="J108" i="14"/>
  <c r="H108" i="14"/>
  <c r="I105" i="14" s="1"/>
  <c r="F108" i="14"/>
  <c r="D108" i="14"/>
  <c r="B108" i="14"/>
  <c r="C107" i="14" s="1"/>
  <c r="N107" i="14"/>
  <c r="K107" i="14"/>
  <c r="I107" i="14"/>
  <c r="G107" i="14"/>
  <c r="N106" i="14"/>
  <c r="K106" i="14"/>
  <c r="I106" i="14"/>
  <c r="G106" i="14"/>
  <c r="C106" i="14"/>
  <c r="N105" i="14"/>
  <c r="K105" i="14"/>
  <c r="G105" i="14"/>
  <c r="N104" i="14"/>
  <c r="K104" i="14"/>
  <c r="G104" i="14"/>
  <c r="C104" i="14"/>
  <c r="L100" i="14"/>
  <c r="J100" i="14"/>
  <c r="H100" i="14"/>
  <c r="F100" i="14"/>
  <c r="G99" i="14" s="1"/>
  <c r="D100" i="14"/>
  <c r="B100" i="14"/>
  <c r="N99" i="14"/>
  <c r="K99" i="14"/>
  <c r="C99" i="14"/>
  <c r="N98" i="14"/>
  <c r="K98" i="14"/>
  <c r="C98" i="14"/>
  <c r="N97" i="14"/>
  <c r="K97" i="14"/>
  <c r="C97" i="14"/>
  <c r="N96" i="14"/>
  <c r="K96" i="14"/>
  <c r="K100" i="14" s="1"/>
  <c r="C96" i="14"/>
  <c r="L90" i="14"/>
  <c r="J90" i="14"/>
  <c r="H90" i="14"/>
  <c r="F90" i="14"/>
  <c r="D90" i="14"/>
  <c r="B90" i="14"/>
  <c r="C88" i="14" s="1"/>
  <c r="N89" i="14"/>
  <c r="K89" i="14"/>
  <c r="G89" i="14"/>
  <c r="C89" i="14"/>
  <c r="N88" i="14"/>
  <c r="M88" i="14"/>
  <c r="K88" i="14"/>
  <c r="I88" i="14"/>
  <c r="G88" i="14"/>
  <c r="E88" i="14"/>
  <c r="N87" i="14"/>
  <c r="K87" i="14"/>
  <c r="G87" i="14"/>
  <c r="N86" i="14"/>
  <c r="M86" i="14"/>
  <c r="K86" i="14"/>
  <c r="I86" i="14"/>
  <c r="G86" i="14"/>
  <c r="E86" i="14"/>
  <c r="C86" i="14"/>
  <c r="L82" i="14"/>
  <c r="J82" i="14"/>
  <c r="H82" i="14"/>
  <c r="F82" i="14"/>
  <c r="D82" i="14"/>
  <c r="B82" i="14"/>
  <c r="N81" i="14"/>
  <c r="K81" i="14"/>
  <c r="G81" i="14"/>
  <c r="C81" i="14"/>
  <c r="N80" i="14"/>
  <c r="K80" i="14"/>
  <c r="G80" i="14"/>
  <c r="C80" i="14"/>
  <c r="N79" i="14"/>
  <c r="K79" i="14"/>
  <c r="G79" i="14"/>
  <c r="C79" i="14"/>
  <c r="N78" i="14"/>
  <c r="M78" i="14"/>
  <c r="K78" i="14"/>
  <c r="I78" i="14"/>
  <c r="G78" i="14"/>
  <c r="E78" i="14"/>
  <c r="C78" i="14"/>
  <c r="L74" i="14"/>
  <c r="J74" i="14"/>
  <c r="H74" i="14"/>
  <c r="F74" i="14"/>
  <c r="D74" i="14"/>
  <c r="B74" i="14"/>
  <c r="N73" i="14"/>
  <c r="K73" i="14"/>
  <c r="G73" i="14"/>
  <c r="C73" i="14"/>
  <c r="N72" i="14"/>
  <c r="K72" i="14"/>
  <c r="G72" i="14"/>
  <c r="C72" i="14"/>
  <c r="N71" i="14"/>
  <c r="K71" i="14"/>
  <c r="G71" i="14"/>
  <c r="C71" i="14"/>
  <c r="N70" i="14"/>
  <c r="M70" i="14"/>
  <c r="K70" i="14"/>
  <c r="I70" i="14"/>
  <c r="G70" i="14"/>
  <c r="E70" i="14"/>
  <c r="C70" i="14"/>
  <c r="L66" i="14"/>
  <c r="J66" i="14"/>
  <c r="H66" i="14"/>
  <c r="F66" i="14"/>
  <c r="D66" i="14"/>
  <c r="B66" i="14"/>
  <c r="N65" i="14"/>
  <c r="K65" i="14"/>
  <c r="G65" i="14"/>
  <c r="C65" i="14"/>
  <c r="N64" i="14"/>
  <c r="K64" i="14"/>
  <c r="G64" i="14"/>
  <c r="C64" i="14"/>
  <c r="N63" i="14"/>
  <c r="K63" i="14"/>
  <c r="G63" i="14"/>
  <c r="C63" i="14"/>
  <c r="N62" i="14"/>
  <c r="M62" i="14"/>
  <c r="K62" i="14"/>
  <c r="I62" i="14"/>
  <c r="G62" i="14"/>
  <c r="E62" i="14"/>
  <c r="C62" i="14"/>
  <c r="E59" i="14"/>
  <c r="L58" i="14"/>
  <c r="J58" i="14"/>
  <c r="H58" i="14"/>
  <c r="F58" i="14"/>
  <c r="D58" i="14"/>
  <c r="B58" i="14"/>
  <c r="N57" i="14"/>
  <c r="M57" i="14"/>
  <c r="I57" i="14"/>
  <c r="C57" i="14"/>
  <c r="N56" i="14"/>
  <c r="M56" i="14"/>
  <c r="I56" i="14"/>
  <c r="C56" i="14"/>
  <c r="N55" i="14"/>
  <c r="M55" i="14"/>
  <c r="I55" i="14"/>
  <c r="C55" i="14"/>
  <c r="N54" i="14"/>
  <c r="N58" i="14" s="1"/>
  <c r="M54" i="14"/>
  <c r="M59" i="14" s="1"/>
  <c r="I54" i="14"/>
  <c r="I59" i="14" s="1"/>
  <c r="C54" i="14"/>
  <c r="C59" i="14" s="1"/>
  <c r="L50" i="14"/>
  <c r="J50" i="14"/>
  <c r="H50" i="14"/>
  <c r="F50" i="14"/>
  <c r="D50" i="14"/>
  <c r="E49" i="14" s="1"/>
  <c r="B50" i="14"/>
  <c r="N49" i="14"/>
  <c r="M49" i="14"/>
  <c r="I49" i="14"/>
  <c r="C49" i="14"/>
  <c r="N48" i="14"/>
  <c r="M48" i="14"/>
  <c r="I48" i="14"/>
  <c r="E48" i="14"/>
  <c r="N47" i="14"/>
  <c r="M47" i="14"/>
  <c r="I47" i="14"/>
  <c r="E47" i="14"/>
  <c r="N46" i="14"/>
  <c r="M46" i="14"/>
  <c r="M51" i="14" s="1"/>
  <c r="I46" i="14"/>
  <c r="I51" i="14" s="1"/>
  <c r="E46" i="14"/>
  <c r="E51" i="14" s="1"/>
  <c r="L42" i="14"/>
  <c r="J42" i="14"/>
  <c r="H42" i="14"/>
  <c r="F42" i="14"/>
  <c r="B42" i="14"/>
  <c r="N41" i="14"/>
  <c r="K41" i="14"/>
  <c r="G41" i="14"/>
  <c r="C41" i="14"/>
  <c r="N40" i="14"/>
  <c r="K40" i="14"/>
  <c r="G40" i="14"/>
  <c r="C40" i="14"/>
  <c r="N39" i="14"/>
  <c r="K39" i="14"/>
  <c r="G39" i="14"/>
  <c r="C39" i="14"/>
  <c r="N38" i="14"/>
  <c r="M38" i="14"/>
  <c r="K38" i="14"/>
  <c r="I38" i="14"/>
  <c r="G38" i="14"/>
  <c r="E38" i="14"/>
  <c r="C38" i="14"/>
  <c r="L34" i="14"/>
  <c r="M33" i="14" s="1"/>
  <c r="J34" i="14"/>
  <c r="H34" i="14"/>
  <c r="I33" i="14" s="1"/>
  <c r="F34" i="14"/>
  <c r="D34" i="14"/>
  <c r="E33" i="14" s="1"/>
  <c r="B34" i="14"/>
  <c r="N33" i="14"/>
  <c r="K33" i="14"/>
  <c r="G33" i="14"/>
  <c r="C33" i="14"/>
  <c r="N32" i="14"/>
  <c r="M32" i="14"/>
  <c r="K32" i="14"/>
  <c r="I32" i="14"/>
  <c r="G32" i="14"/>
  <c r="E32" i="14"/>
  <c r="C32" i="14"/>
  <c r="N31" i="14"/>
  <c r="K31" i="14"/>
  <c r="G31" i="14"/>
  <c r="C31" i="14"/>
  <c r="N30" i="14"/>
  <c r="M30" i="14"/>
  <c r="K30" i="14"/>
  <c r="I30" i="14"/>
  <c r="G30" i="14"/>
  <c r="E30" i="14"/>
  <c r="C30" i="14"/>
  <c r="L26" i="14"/>
  <c r="M25" i="14" s="1"/>
  <c r="J26" i="14"/>
  <c r="K24" i="14" s="1"/>
  <c r="H26" i="14"/>
  <c r="I25" i="14" s="1"/>
  <c r="F26" i="14"/>
  <c r="G25" i="14" s="1"/>
  <c r="D26" i="14"/>
  <c r="E25" i="14" s="1"/>
  <c r="B26" i="14"/>
  <c r="C24" i="14" s="1"/>
  <c r="N25" i="14"/>
  <c r="K25" i="14"/>
  <c r="N24" i="14"/>
  <c r="M24" i="14"/>
  <c r="I24" i="14"/>
  <c r="E24" i="14"/>
  <c r="N23" i="14"/>
  <c r="N22" i="14"/>
  <c r="M22" i="14"/>
  <c r="K22" i="14"/>
  <c r="I22" i="14"/>
  <c r="G22" i="14"/>
  <c r="E22" i="14"/>
  <c r="C22" i="14"/>
  <c r="L18" i="14"/>
  <c r="M17" i="14" s="1"/>
  <c r="J18" i="14"/>
  <c r="K14" i="14" s="1"/>
  <c r="H18" i="14"/>
  <c r="I17" i="14" s="1"/>
  <c r="F18" i="14"/>
  <c r="G17" i="14" s="1"/>
  <c r="D18" i="14"/>
  <c r="E17" i="14" s="1"/>
  <c r="B18" i="14"/>
  <c r="C14" i="14" s="1"/>
  <c r="N17" i="14"/>
  <c r="K17" i="14"/>
  <c r="N16" i="14"/>
  <c r="C16" i="14"/>
  <c r="N15" i="14"/>
  <c r="K15" i="14"/>
  <c r="N14" i="14"/>
  <c r="M14" i="14"/>
  <c r="I14" i="14"/>
  <c r="E14" i="14"/>
  <c r="L10" i="14"/>
  <c r="M9" i="14" s="1"/>
  <c r="J10" i="14"/>
  <c r="K8" i="14" s="1"/>
  <c r="H10" i="14"/>
  <c r="I9" i="14" s="1"/>
  <c r="F10" i="14"/>
  <c r="G9" i="14" s="1"/>
  <c r="D10" i="14"/>
  <c r="E9" i="14" s="1"/>
  <c r="B10" i="14"/>
  <c r="C9" i="14" s="1"/>
  <c r="N9" i="14"/>
  <c r="K9" i="14"/>
  <c r="N8" i="14"/>
  <c r="C8" i="14"/>
  <c r="N7" i="14"/>
  <c r="K7" i="14"/>
  <c r="N6" i="14"/>
  <c r="C6" i="14"/>
  <c r="L81" i="13"/>
  <c r="M80" i="13" s="1"/>
  <c r="J81" i="13"/>
  <c r="H81" i="13"/>
  <c r="I80" i="13" s="1"/>
  <c r="F81" i="13"/>
  <c r="D81" i="13"/>
  <c r="E80" i="13" s="1"/>
  <c r="B81" i="13"/>
  <c r="N80" i="13"/>
  <c r="K80" i="13"/>
  <c r="G80" i="13"/>
  <c r="C80" i="13"/>
  <c r="N79" i="13"/>
  <c r="M79" i="13"/>
  <c r="K79" i="13"/>
  <c r="I79" i="13"/>
  <c r="G79" i="13"/>
  <c r="E79" i="13"/>
  <c r="C79" i="13"/>
  <c r="N78" i="13"/>
  <c r="K78" i="13"/>
  <c r="G78" i="13"/>
  <c r="C78" i="13"/>
  <c r="N77" i="13"/>
  <c r="M77" i="13"/>
  <c r="K77" i="13"/>
  <c r="I77" i="13"/>
  <c r="G77" i="13"/>
  <c r="E77" i="13"/>
  <c r="C77" i="13"/>
  <c r="L73" i="13"/>
  <c r="M72" i="13" s="1"/>
  <c r="J73" i="13"/>
  <c r="H73" i="13"/>
  <c r="I72" i="13" s="1"/>
  <c r="F73" i="13"/>
  <c r="D73" i="13"/>
  <c r="E72" i="13" s="1"/>
  <c r="B73" i="13"/>
  <c r="N72" i="13"/>
  <c r="K72" i="13"/>
  <c r="G72" i="13"/>
  <c r="C72" i="13"/>
  <c r="N71" i="13"/>
  <c r="M71" i="13"/>
  <c r="K71" i="13"/>
  <c r="I71" i="13"/>
  <c r="G71" i="13"/>
  <c r="E71" i="13"/>
  <c r="C71" i="13"/>
  <c r="N70" i="13"/>
  <c r="K70" i="13"/>
  <c r="G70" i="13"/>
  <c r="C70" i="13"/>
  <c r="N69" i="13"/>
  <c r="M69" i="13"/>
  <c r="K69" i="13"/>
  <c r="I69" i="13"/>
  <c r="G69" i="13"/>
  <c r="E69" i="13"/>
  <c r="C69" i="13"/>
  <c r="L65" i="13"/>
  <c r="M64" i="13" s="1"/>
  <c r="J65" i="13"/>
  <c r="H65" i="13"/>
  <c r="I64" i="13" s="1"/>
  <c r="F65" i="13"/>
  <c r="D65" i="13"/>
  <c r="E64" i="13" s="1"/>
  <c r="B65" i="13"/>
  <c r="N64" i="13"/>
  <c r="K64" i="13"/>
  <c r="G64" i="13"/>
  <c r="C64" i="13"/>
  <c r="N63" i="13"/>
  <c r="M63" i="13"/>
  <c r="K63" i="13"/>
  <c r="I63" i="13"/>
  <c r="G63" i="13"/>
  <c r="E63" i="13"/>
  <c r="C63" i="13"/>
  <c r="N62" i="13"/>
  <c r="K62" i="13"/>
  <c r="G62" i="13"/>
  <c r="C62" i="13"/>
  <c r="N61" i="13"/>
  <c r="M61" i="13"/>
  <c r="K61" i="13"/>
  <c r="I61" i="13"/>
  <c r="G61" i="13"/>
  <c r="E61" i="13"/>
  <c r="C61" i="13"/>
  <c r="L57" i="13"/>
  <c r="M56" i="13" s="1"/>
  <c r="J57" i="13"/>
  <c r="H57" i="13"/>
  <c r="I56" i="13" s="1"/>
  <c r="F57" i="13"/>
  <c r="D57" i="13"/>
  <c r="E56" i="13" s="1"/>
  <c r="B57" i="13"/>
  <c r="N56" i="13"/>
  <c r="K56" i="13"/>
  <c r="G56" i="13"/>
  <c r="C56" i="13"/>
  <c r="N55" i="13"/>
  <c r="M55" i="13"/>
  <c r="K55" i="13"/>
  <c r="I55" i="13"/>
  <c r="G55" i="13"/>
  <c r="E55" i="13"/>
  <c r="C55" i="13"/>
  <c r="N54" i="13"/>
  <c r="K54" i="13"/>
  <c r="G54" i="13"/>
  <c r="C54" i="13"/>
  <c r="N53" i="13"/>
  <c r="M53" i="13"/>
  <c r="K53" i="13"/>
  <c r="I53" i="13"/>
  <c r="G53" i="13"/>
  <c r="E53" i="13"/>
  <c r="C53" i="13"/>
  <c r="L49" i="13"/>
  <c r="M48" i="13" s="1"/>
  <c r="J49" i="13"/>
  <c r="H49" i="13"/>
  <c r="I48" i="13" s="1"/>
  <c r="F49" i="13"/>
  <c r="D49" i="13"/>
  <c r="E48" i="13" s="1"/>
  <c r="B49" i="13"/>
  <c r="N48" i="13"/>
  <c r="K48" i="13"/>
  <c r="G48" i="13"/>
  <c r="C48" i="13"/>
  <c r="N47" i="13"/>
  <c r="M47" i="13"/>
  <c r="K47" i="13"/>
  <c r="I47" i="13"/>
  <c r="G47" i="13"/>
  <c r="E47" i="13"/>
  <c r="C47" i="13"/>
  <c r="N46" i="13"/>
  <c r="K46" i="13"/>
  <c r="G46" i="13"/>
  <c r="C46" i="13"/>
  <c r="N45" i="13"/>
  <c r="M45" i="13"/>
  <c r="K45" i="13"/>
  <c r="I45" i="13"/>
  <c r="G45" i="13"/>
  <c r="E45" i="13"/>
  <c r="C45" i="13"/>
  <c r="L41" i="13"/>
  <c r="M40" i="13" s="1"/>
  <c r="J41" i="13"/>
  <c r="H41" i="13"/>
  <c r="I40" i="13" s="1"/>
  <c r="F41" i="13"/>
  <c r="D41" i="13"/>
  <c r="E40" i="13" s="1"/>
  <c r="B41" i="13"/>
  <c r="N40" i="13"/>
  <c r="K40" i="13"/>
  <c r="G40" i="13"/>
  <c r="C40" i="13"/>
  <c r="N39" i="13"/>
  <c r="M39" i="13"/>
  <c r="K39" i="13"/>
  <c r="I39" i="13"/>
  <c r="G39" i="13"/>
  <c r="E39" i="13"/>
  <c r="C39" i="13"/>
  <c r="N38" i="13"/>
  <c r="K38" i="13"/>
  <c r="G38" i="13"/>
  <c r="C38" i="13"/>
  <c r="N37" i="13"/>
  <c r="M37" i="13"/>
  <c r="K37" i="13"/>
  <c r="I37" i="13"/>
  <c r="G37" i="13"/>
  <c r="E37" i="13"/>
  <c r="C37" i="13"/>
  <c r="L33" i="13"/>
  <c r="M32" i="13" s="1"/>
  <c r="J33" i="13"/>
  <c r="H33" i="13"/>
  <c r="I32" i="13" s="1"/>
  <c r="F33" i="13"/>
  <c r="D33" i="13"/>
  <c r="E32" i="13" s="1"/>
  <c r="B33" i="13"/>
  <c r="N32" i="13"/>
  <c r="K32" i="13"/>
  <c r="G32" i="13"/>
  <c r="C32" i="13"/>
  <c r="N31" i="13"/>
  <c r="M31" i="13"/>
  <c r="K31" i="13"/>
  <c r="I31" i="13"/>
  <c r="G31" i="13"/>
  <c r="E31" i="13"/>
  <c r="C31" i="13"/>
  <c r="N30" i="13"/>
  <c r="K30" i="13"/>
  <c r="G30" i="13"/>
  <c r="C30" i="13"/>
  <c r="N29" i="13"/>
  <c r="M29" i="13"/>
  <c r="K29" i="13"/>
  <c r="I29" i="13"/>
  <c r="G29" i="13"/>
  <c r="E29" i="13"/>
  <c r="C29" i="13"/>
  <c r="L25" i="13"/>
  <c r="M24" i="13" s="1"/>
  <c r="J25" i="13"/>
  <c r="H25" i="13"/>
  <c r="I24" i="13" s="1"/>
  <c r="F25" i="13"/>
  <c r="D25" i="13"/>
  <c r="E24" i="13" s="1"/>
  <c r="B25" i="13"/>
  <c r="N24" i="13"/>
  <c r="K24" i="13"/>
  <c r="G24" i="13"/>
  <c r="C24" i="13"/>
  <c r="N23" i="13"/>
  <c r="M23" i="13"/>
  <c r="K23" i="13"/>
  <c r="I23" i="13"/>
  <c r="G23" i="13"/>
  <c r="E23" i="13"/>
  <c r="C23" i="13"/>
  <c r="N22" i="13"/>
  <c r="M22" i="13"/>
  <c r="K22" i="13"/>
  <c r="I22" i="13"/>
  <c r="G22" i="13"/>
  <c r="E22" i="13"/>
  <c r="C22" i="13"/>
  <c r="N21" i="13"/>
  <c r="M21" i="13"/>
  <c r="M26" i="13" s="1"/>
  <c r="K21" i="13"/>
  <c r="I21" i="13"/>
  <c r="I26" i="13" s="1"/>
  <c r="G21" i="13"/>
  <c r="E21" i="13"/>
  <c r="E26" i="13" s="1"/>
  <c r="C21" i="13"/>
  <c r="L17" i="13"/>
  <c r="M16" i="13" s="1"/>
  <c r="J17" i="13"/>
  <c r="H17" i="13"/>
  <c r="I16" i="13" s="1"/>
  <c r="F17" i="13"/>
  <c r="D17" i="13"/>
  <c r="E16" i="13" s="1"/>
  <c r="B17" i="13"/>
  <c r="N16" i="13"/>
  <c r="K16" i="13"/>
  <c r="G16" i="13"/>
  <c r="C16" i="13"/>
  <c r="N15" i="13"/>
  <c r="M15" i="13"/>
  <c r="K15" i="13"/>
  <c r="I15" i="13"/>
  <c r="G15" i="13"/>
  <c r="E15" i="13"/>
  <c r="C15" i="13"/>
  <c r="N14" i="13"/>
  <c r="M14" i="13"/>
  <c r="K14" i="13"/>
  <c r="I14" i="13"/>
  <c r="G14" i="13"/>
  <c r="E14" i="13"/>
  <c r="C14" i="13"/>
  <c r="N13" i="13"/>
  <c r="M13" i="13"/>
  <c r="K13" i="13"/>
  <c r="I13" i="13"/>
  <c r="G13" i="13"/>
  <c r="E13" i="13"/>
  <c r="C13" i="13"/>
  <c r="L9" i="13"/>
  <c r="M8" i="13" s="1"/>
  <c r="J9" i="13"/>
  <c r="H9" i="13"/>
  <c r="I8" i="13" s="1"/>
  <c r="F9" i="13"/>
  <c r="D9" i="13"/>
  <c r="E8" i="13" s="1"/>
  <c r="B9" i="13"/>
  <c r="N8" i="13"/>
  <c r="K8" i="13"/>
  <c r="G8" i="13"/>
  <c r="C8" i="13"/>
  <c r="N7" i="13"/>
  <c r="M7" i="13"/>
  <c r="K7" i="13"/>
  <c r="I7" i="13"/>
  <c r="G7" i="13"/>
  <c r="E7" i="13"/>
  <c r="C7" i="13"/>
  <c r="N6" i="13"/>
  <c r="M6" i="13"/>
  <c r="K6" i="13"/>
  <c r="I6" i="13"/>
  <c r="G6" i="13"/>
  <c r="E6" i="13"/>
  <c r="C6" i="13"/>
  <c r="N5" i="13"/>
  <c r="N9" i="13" s="1"/>
  <c r="M5" i="13"/>
  <c r="M10" i="13" s="1"/>
  <c r="K5" i="13"/>
  <c r="K9" i="13" s="1"/>
  <c r="I5" i="13"/>
  <c r="I10" i="13" s="1"/>
  <c r="G5" i="13"/>
  <c r="G9" i="13" s="1"/>
  <c r="E5" i="13"/>
  <c r="E10" i="13" s="1"/>
  <c r="C5" i="13"/>
  <c r="C9" i="13" s="1"/>
  <c r="L73" i="10"/>
  <c r="M72" i="10" s="1"/>
  <c r="J73" i="10"/>
  <c r="H73" i="10"/>
  <c r="I72" i="10" s="1"/>
  <c r="F73" i="10"/>
  <c r="G72" i="10" s="1"/>
  <c r="D73" i="10"/>
  <c r="E72" i="10" s="1"/>
  <c r="B73" i="10"/>
  <c r="N72" i="10"/>
  <c r="K72" i="10"/>
  <c r="C72" i="10"/>
  <c r="N71" i="10"/>
  <c r="K71" i="10"/>
  <c r="G71" i="10"/>
  <c r="C71" i="10"/>
  <c r="N70" i="10"/>
  <c r="K70" i="10"/>
  <c r="G70" i="10"/>
  <c r="C70" i="10"/>
  <c r="N69" i="10"/>
  <c r="N73" i="10" s="1"/>
  <c r="K69" i="10"/>
  <c r="K74" i="10" s="1"/>
  <c r="G69" i="10"/>
  <c r="G74" i="10" s="1"/>
  <c r="C69" i="10"/>
  <c r="C74" i="10" s="1"/>
  <c r="R13" i="10" s="1"/>
  <c r="L65" i="10"/>
  <c r="J65" i="10"/>
  <c r="H65" i="10"/>
  <c r="F65" i="10"/>
  <c r="D65" i="10"/>
  <c r="B65" i="10"/>
  <c r="N64" i="10"/>
  <c r="M64" i="10"/>
  <c r="K64" i="10"/>
  <c r="I64" i="10"/>
  <c r="G64" i="10"/>
  <c r="E64" i="10"/>
  <c r="C64" i="10"/>
  <c r="N63" i="10"/>
  <c r="M63" i="10"/>
  <c r="K63" i="10"/>
  <c r="I63" i="10"/>
  <c r="G63" i="10"/>
  <c r="E63" i="10"/>
  <c r="C63" i="10"/>
  <c r="N62" i="10"/>
  <c r="M62" i="10"/>
  <c r="K62" i="10"/>
  <c r="I62" i="10"/>
  <c r="G62" i="10"/>
  <c r="E62" i="10"/>
  <c r="C62" i="10"/>
  <c r="N61" i="10"/>
  <c r="N65" i="10" s="1"/>
  <c r="M61" i="10"/>
  <c r="M66" i="10" s="1"/>
  <c r="K61" i="10"/>
  <c r="K66" i="10" s="1"/>
  <c r="I61" i="10"/>
  <c r="I66" i="10" s="1"/>
  <c r="G61" i="10"/>
  <c r="G66" i="10" s="1"/>
  <c r="E61" i="10"/>
  <c r="E66" i="10" s="1"/>
  <c r="C61" i="10"/>
  <c r="C66" i="10" s="1"/>
  <c r="L57" i="10"/>
  <c r="M56" i="10" s="1"/>
  <c r="J57" i="10"/>
  <c r="H57" i="10"/>
  <c r="I56" i="10" s="1"/>
  <c r="F57" i="10"/>
  <c r="D57" i="10"/>
  <c r="E56" i="10" s="1"/>
  <c r="B57" i="10"/>
  <c r="N56" i="10"/>
  <c r="K56" i="10"/>
  <c r="G56" i="10"/>
  <c r="C56" i="10"/>
  <c r="N55" i="10"/>
  <c r="K55" i="10"/>
  <c r="G55" i="10"/>
  <c r="C55" i="10"/>
  <c r="N54" i="10"/>
  <c r="K54" i="10"/>
  <c r="G54" i="10"/>
  <c r="C54" i="10"/>
  <c r="N53" i="10"/>
  <c r="N57" i="10" s="1"/>
  <c r="K53" i="10"/>
  <c r="K58" i="10" s="1"/>
  <c r="G53" i="10"/>
  <c r="G58" i="10" s="1"/>
  <c r="C53" i="10"/>
  <c r="C58" i="10" s="1"/>
  <c r="L49" i="10"/>
  <c r="J49" i="10"/>
  <c r="H49" i="10"/>
  <c r="F49" i="10"/>
  <c r="D49" i="10"/>
  <c r="B49" i="10"/>
  <c r="C48" i="10" s="1"/>
  <c r="N48" i="10"/>
  <c r="M48" i="10"/>
  <c r="K48" i="10"/>
  <c r="I48" i="10"/>
  <c r="G48" i="10"/>
  <c r="E48" i="10"/>
  <c r="N47" i="10"/>
  <c r="M47" i="10"/>
  <c r="K47" i="10"/>
  <c r="I47" i="10"/>
  <c r="G47" i="10"/>
  <c r="E47" i="10"/>
  <c r="C47" i="10"/>
  <c r="N46" i="10"/>
  <c r="M46" i="10"/>
  <c r="K46" i="10"/>
  <c r="I46" i="10"/>
  <c r="G46" i="10"/>
  <c r="E46" i="10"/>
  <c r="C46" i="10"/>
  <c r="N45" i="10"/>
  <c r="N49" i="10" s="1"/>
  <c r="O45" i="10" s="1"/>
  <c r="M45" i="10"/>
  <c r="K45" i="10"/>
  <c r="K50" i="10" s="1"/>
  <c r="I45" i="10"/>
  <c r="G45" i="10"/>
  <c r="G50" i="10" s="1"/>
  <c r="E45" i="10"/>
  <c r="C45" i="10"/>
  <c r="C50" i="10" s="1"/>
  <c r="L41" i="10"/>
  <c r="M37" i="10" s="1"/>
  <c r="J41" i="10"/>
  <c r="H41" i="10"/>
  <c r="I37" i="10" s="1"/>
  <c r="F41" i="10"/>
  <c r="G40" i="10" s="1"/>
  <c r="D41" i="10"/>
  <c r="E37" i="10" s="1"/>
  <c r="B41" i="10"/>
  <c r="N40" i="10"/>
  <c r="K40" i="10"/>
  <c r="C40" i="10"/>
  <c r="N39" i="10"/>
  <c r="K39" i="10"/>
  <c r="G39" i="10"/>
  <c r="C39" i="10"/>
  <c r="N38" i="10"/>
  <c r="K38" i="10"/>
  <c r="G38" i="10"/>
  <c r="C38" i="10"/>
  <c r="N37" i="10"/>
  <c r="N41" i="10" s="1"/>
  <c r="K37" i="10"/>
  <c r="K41" i="10" s="1"/>
  <c r="G37" i="10"/>
  <c r="C37" i="10"/>
  <c r="C41" i="10" s="1"/>
  <c r="L33" i="10"/>
  <c r="J33" i="10"/>
  <c r="H33" i="10"/>
  <c r="F33" i="10"/>
  <c r="D33" i="10"/>
  <c r="B33" i="10"/>
  <c r="N32" i="10"/>
  <c r="M32" i="10"/>
  <c r="K32" i="10"/>
  <c r="I32" i="10"/>
  <c r="G32" i="10"/>
  <c r="E32" i="10"/>
  <c r="C32" i="10"/>
  <c r="N31" i="10"/>
  <c r="M31" i="10"/>
  <c r="K31" i="10"/>
  <c r="I31" i="10"/>
  <c r="G31" i="10"/>
  <c r="E31" i="10"/>
  <c r="C31" i="10"/>
  <c r="N30" i="10"/>
  <c r="M30" i="10"/>
  <c r="K30" i="10"/>
  <c r="I30" i="10"/>
  <c r="G30" i="10"/>
  <c r="E30" i="10"/>
  <c r="C30" i="10"/>
  <c r="N29" i="10"/>
  <c r="N33" i="10" s="1"/>
  <c r="M29" i="10"/>
  <c r="M34" i="10" s="1"/>
  <c r="K29" i="10"/>
  <c r="K34" i="10" s="1"/>
  <c r="I29" i="10"/>
  <c r="I34" i="10" s="1"/>
  <c r="G29" i="10"/>
  <c r="G34" i="10" s="1"/>
  <c r="E29" i="10"/>
  <c r="E34" i="10" s="1"/>
  <c r="C29" i="10"/>
  <c r="C34" i="10" s="1"/>
  <c r="L25" i="10"/>
  <c r="M24" i="10" s="1"/>
  <c r="J25" i="10"/>
  <c r="H25" i="10"/>
  <c r="I24" i="10" s="1"/>
  <c r="F25" i="10"/>
  <c r="D25" i="10"/>
  <c r="E24" i="10" s="1"/>
  <c r="B25" i="10"/>
  <c r="N24" i="10"/>
  <c r="K24" i="10"/>
  <c r="G24" i="10"/>
  <c r="C24" i="10"/>
  <c r="N23" i="10"/>
  <c r="K23" i="10"/>
  <c r="G23" i="10"/>
  <c r="C23" i="10"/>
  <c r="N22" i="10"/>
  <c r="K22" i="10"/>
  <c r="G22" i="10"/>
  <c r="C22" i="10"/>
  <c r="N21" i="10"/>
  <c r="N25" i="10" s="1"/>
  <c r="K21" i="10"/>
  <c r="K26" i="10" s="1"/>
  <c r="G21" i="10"/>
  <c r="G26" i="10" s="1"/>
  <c r="C21" i="10"/>
  <c r="C26" i="10" s="1"/>
  <c r="L17" i="10"/>
  <c r="M16" i="10" s="1"/>
  <c r="J17" i="10"/>
  <c r="K16" i="10" s="1"/>
  <c r="H17" i="10"/>
  <c r="I15" i="10" s="1"/>
  <c r="F17" i="10"/>
  <c r="G16" i="10" s="1"/>
  <c r="D17" i="10"/>
  <c r="E16" i="10" s="1"/>
  <c r="B17" i="10"/>
  <c r="C16" i="10" s="1"/>
  <c r="N16" i="10"/>
  <c r="N15" i="10"/>
  <c r="K15" i="10"/>
  <c r="G15" i="10"/>
  <c r="C15" i="10"/>
  <c r="N14" i="10"/>
  <c r="M14" i="10"/>
  <c r="E14" i="10"/>
  <c r="N13" i="10"/>
  <c r="M13" i="10"/>
  <c r="K13" i="10"/>
  <c r="I13" i="10"/>
  <c r="G13" i="10"/>
  <c r="E13" i="10"/>
  <c r="C13" i="10"/>
  <c r="L9" i="10"/>
  <c r="M8" i="10" s="1"/>
  <c r="J9" i="10"/>
  <c r="K5" i="10" s="1"/>
  <c r="H9" i="10"/>
  <c r="I8" i="10" s="1"/>
  <c r="F9" i="10"/>
  <c r="G8" i="10" s="1"/>
  <c r="D9" i="10"/>
  <c r="E8" i="10" s="1"/>
  <c r="B9" i="10"/>
  <c r="C5" i="10" s="1"/>
  <c r="N8" i="10"/>
  <c r="K8" i="10"/>
  <c r="N7" i="10"/>
  <c r="K7" i="10"/>
  <c r="C7" i="10"/>
  <c r="N6" i="10"/>
  <c r="K6" i="10"/>
  <c r="C6" i="10"/>
  <c r="N5" i="10"/>
  <c r="N9" i="10" s="1"/>
  <c r="I5" i="10"/>
  <c r="L8" i="4"/>
  <c r="M7" i="4" s="1"/>
  <c r="J8" i="4"/>
  <c r="K7" i="4" s="1"/>
  <c r="H8" i="4"/>
  <c r="F8" i="4"/>
  <c r="G7" i="4" s="1"/>
  <c r="D8" i="4"/>
  <c r="E7" i="4" s="1"/>
  <c r="B8" i="4"/>
  <c r="C7" i="4" s="1"/>
  <c r="N7" i="4"/>
  <c r="I7" i="4"/>
  <c r="N6" i="4"/>
  <c r="M6" i="4"/>
  <c r="K6" i="4"/>
  <c r="I6" i="4"/>
  <c r="G6" i="4"/>
  <c r="E6" i="4"/>
  <c r="C6" i="4"/>
  <c r="N5" i="4"/>
  <c r="M5" i="4"/>
  <c r="I5" i="4"/>
  <c r="E5" i="4"/>
  <c r="N4" i="4"/>
  <c r="M4" i="4"/>
  <c r="K4" i="4"/>
  <c r="I4" i="4"/>
  <c r="G4" i="4"/>
  <c r="E4" i="4"/>
  <c r="C4" i="4"/>
  <c r="L35" i="4"/>
  <c r="M34" i="4" s="1"/>
  <c r="J35" i="4"/>
  <c r="K33" i="4" s="1"/>
  <c r="H35" i="4"/>
  <c r="I34" i="4" s="1"/>
  <c r="F35" i="4"/>
  <c r="G34" i="4" s="1"/>
  <c r="D35" i="4"/>
  <c r="E34" i="4" s="1"/>
  <c r="B35" i="4"/>
  <c r="C33" i="4" s="1"/>
  <c r="N34" i="4"/>
  <c r="K34" i="4"/>
  <c r="C34" i="4"/>
  <c r="N33" i="4"/>
  <c r="M33" i="4"/>
  <c r="I33" i="4"/>
  <c r="E33" i="4"/>
  <c r="N32" i="4"/>
  <c r="G32" i="4"/>
  <c r="N31" i="4"/>
  <c r="M31" i="4"/>
  <c r="K31" i="4"/>
  <c r="I31" i="4"/>
  <c r="G31" i="4"/>
  <c r="E31" i="4"/>
  <c r="C31" i="4"/>
  <c r="L28" i="4"/>
  <c r="J28" i="4"/>
  <c r="K27" i="4" s="1"/>
  <c r="H28" i="4"/>
  <c r="F28" i="4"/>
  <c r="G27" i="4" s="1"/>
  <c r="D28" i="4"/>
  <c r="B28" i="4"/>
  <c r="C27" i="4" s="1"/>
  <c r="N27" i="4"/>
  <c r="M27" i="4"/>
  <c r="I27" i="4"/>
  <c r="E27" i="4"/>
  <c r="N26" i="4"/>
  <c r="M26" i="4"/>
  <c r="K26" i="4"/>
  <c r="I26" i="4"/>
  <c r="G26" i="4"/>
  <c r="E26" i="4"/>
  <c r="C26" i="4"/>
  <c r="N25" i="4"/>
  <c r="M25" i="4"/>
  <c r="I25" i="4"/>
  <c r="E25" i="4"/>
  <c r="N24" i="4"/>
  <c r="M24" i="4"/>
  <c r="K24" i="4"/>
  <c r="I24" i="4"/>
  <c r="G24" i="4"/>
  <c r="E24" i="4"/>
  <c r="C24" i="4"/>
  <c r="L21" i="4"/>
  <c r="J21" i="4"/>
  <c r="K20" i="4" s="1"/>
  <c r="H21" i="4"/>
  <c r="F21" i="4"/>
  <c r="G20" i="4" s="1"/>
  <c r="D21" i="4"/>
  <c r="B21" i="4"/>
  <c r="C20" i="4" s="1"/>
  <c r="N20" i="4"/>
  <c r="M20" i="4"/>
  <c r="I20" i="4"/>
  <c r="E20" i="4"/>
  <c r="N19" i="4"/>
  <c r="M19" i="4"/>
  <c r="K19" i="4"/>
  <c r="I19" i="4"/>
  <c r="G19" i="4"/>
  <c r="E19" i="4"/>
  <c r="C19" i="4"/>
  <c r="N18" i="4"/>
  <c r="M18" i="4"/>
  <c r="I18" i="4"/>
  <c r="E18" i="4"/>
  <c r="N17" i="4"/>
  <c r="M17" i="4"/>
  <c r="K17" i="4"/>
  <c r="I17" i="4"/>
  <c r="G17" i="4"/>
  <c r="E17" i="4"/>
  <c r="C17" i="4"/>
  <c r="O14" i="4"/>
  <c r="N14" i="4"/>
  <c r="O13" i="4"/>
  <c r="N13" i="4"/>
  <c r="O12" i="4"/>
  <c r="N12" i="4"/>
  <c r="L31" i="3"/>
  <c r="M30" i="3" s="1"/>
  <c r="J31" i="3"/>
  <c r="H31" i="3"/>
  <c r="F31" i="3"/>
  <c r="D31" i="3"/>
  <c r="B31" i="3"/>
  <c r="N30" i="3"/>
  <c r="K30" i="3"/>
  <c r="I30" i="3"/>
  <c r="G30" i="3"/>
  <c r="E30" i="3"/>
  <c r="C30" i="3"/>
  <c r="N29" i="3"/>
  <c r="K29" i="3"/>
  <c r="I29" i="3"/>
  <c r="G29" i="3"/>
  <c r="E29" i="3"/>
  <c r="C29" i="3"/>
  <c r="N28" i="3"/>
  <c r="M28" i="3"/>
  <c r="K28" i="3"/>
  <c r="I28" i="3"/>
  <c r="G28" i="3"/>
  <c r="E28" i="3"/>
  <c r="C28" i="3"/>
  <c r="L25" i="3"/>
  <c r="J25" i="3"/>
  <c r="H25" i="3"/>
  <c r="I24" i="3" s="1"/>
  <c r="F25" i="3"/>
  <c r="D25" i="3"/>
  <c r="E24" i="3" s="1"/>
  <c r="B25" i="3"/>
  <c r="N24" i="3"/>
  <c r="M24" i="3"/>
  <c r="K24" i="3"/>
  <c r="G24" i="3"/>
  <c r="C24" i="3"/>
  <c r="N23" i="3"/>
  <c r="M23" i="3"/>
  <c r="K23" i="3"/>
  <c r="I23" i="3"/>
  <c r="G23" i="3"/>
  <c r="E23" i="3"/>
  <c r="C23" i="3"/>
  <c r="N22" i="3"/>
  <c r="M22" i="3"/>
  <c r="K22" i="3"/>
  <c r="I22" i="3"/>
  <c r="G22" i="3"/>
  <c r="E22" i="3"/>
  <c r="C22" i="3"/>
  <c r="L19" i="3"/>
  <c r="M18" i="3" s="1"/>
  <c r="J19" i="3"/>
  <c r="K17" i="3" s="1"/>
  <c r="H19" i="3"/>
  <c r="I18" i="3" s="1"/>
  <c r="F19" i="3"/>
  <c r="G18" i="3" s="1"/>
  <c r="D19" i="3"/>
  <c r="E18" i="3" s="1"/>
  <c r="B19" i="3"/>
  <c r="C18" i="3" s="1"/>
  <c r="N18" i="3"/>
  <c r="K18" i="3"/>
  <c r="N17" i="3"/>
  <c r="C17" i="3"/>
  <c r="N16" i="3"/>
  <c r="K16" i="3"/>
  <c r="I16" i="3"/>
  <c r="G16" i="3"/>
  <c r="E16" i="3"/>
  <c r="C16" i="3"/>
  <c r="N15" i="3"/>
  <c r="K15" i="3"/>
  <c r="Q48" i="2"/>
  <c r="R46" i="2" s="1"/>
  <c r="O48" i="2"/>
  <c r="P47" i="2" s="1"/>
  <c r="M48" i="2"/>
  <c r="N46" i="2" s="1"/>
  <c r="K48" i="2"/>
  <c r="L47" i="2" s="1"/>
  <c r="I48" i="2"/>
  <c r="J46" i="2" s="1"/>
  <c r="G48" i="2"/>
  <c r="H47" i="2" s="1"/>
  <c r="D48" i="2"/>
  <c r="F48" i="2" s="1"/>
  <c r="B48" i="2"/>
  <c r="R47" i="2"/>
  <c r="J47" i="2"/>
  <c r="F47" i="2"/>
  <c r="E47" i="2"/>
  <c r="C47" i="2"/>
  <c r="P46" i="2"/>
  <c r="L46" i="2"/>
  <c r="H46" i="2"/>
  <c r="F46" i="2"/>
  <c r="E46" i="2"/>
  <c r="C46" i="2"/>
  <c r="R45" i="2"/>
  <c r="J45" i="2"/>
  <c r="F45" i="2"/>
  <c r="E45" i="2"/>
  <c r="C45" i="2"/>
  <c r="P44" i="2"/>
  <c r="L44" i="2"/>
  <c r="H44" i="2"/>
  <c r="F44" i="2"/>
  <c r="E44" i="2"/>
  <c r="C44" i="2"/>
  <c r="R43" i="2"/>
  <c r="J43" i="2"/>
  <c r="F43" i="2"/>
  <c r="E43" i="2"/>
  <c r="C43" i="2"/>
  <c r="P42" i="2"/>
  <c r="L42" i="2"/>
  <c r="H42" i="2"/>
  <c r="F42" i="2"/>
  <c r="E42" i="2"/>
  <c r="C42" i="2"/>
  <c r="R41" i="2"/>
  <c r="J41" i="2"/>
  <c r="F41" i="2"/>
  <c r="E41" i="2"/>
  <c r="C41" i="2"/>
  <c r="P40" i="2"/>
  <c r="L40" i="2"/>
  <c r="F40" i="2"/>
  <c r="C40" i="2"/>
  <c r="Q36" i="2"/>
  <c r="O36" i="2"/>
  <c r="P34" i="2" s="1"/>
  <c r="M36" i="2"/>
  <c r="K36" i="2"/>
  <c r="L34" i="2" s="1"/>
  <c r="I36" i="2"/>
  <c r="G36" i="2"/>
  <c r="H34" i="2" s="1"/>
  <c r="D36" i="2"/>
  <c r="E34" i="2" s="1"/>
  <c r="B36" i="2"/>
  <c r="C35" i="2" s="1"/>
  <c r="R35" i="2"/>
  <c r="P35" i="2"/>
  <c r="N35" i="2"/>
  <c r="L35" i="2"/>
  <c r="J35" i="2"/>
  <c r="H35" i="2"/>
  <c r="F35" i="2"/>
  <c r="R34" i="2"/>
  <c r="N34" i="2"/>
  <c r="J34" i="2"/>
  <c r="F34" i="2"/>
  <c r="R33" i="2"/>
  <c r="N33" i="2"/>
  <c r="J33" i="2"/>
  <c r="F33" i="2"/>
  <c r="E33" i="2"/>
  <c r="R32" i="2"/>
  <c r="N32" i="2"/>
  <c r="J32" i="2"/>
  <c r="F32" i="2"/>
  <c r="R31" i="2"/>
  <c r="N31" i="2"/>
  <c r="J31" i="2"/>
  <c r="F31" i="2"/>
  <c r="E31" i="2"/>
  <c r="R30" i="2"/>
  <c r="R36" i="2" s="1"/>
  <c r="N30" i="2"/>
  <c r="N36" i="2" s="1"/>
  <c r="J30" i="2"/>
  <c r="J36" i="2" s="1"/>
  <c r="F30" i="2"/>
  <c r="Q25" i="2"/>
  <c r="O25" i="2"/>
  <c r="M25" i="2"/>
  <c r="K25" i="2"/>
  <c r="I25" i="2"/>
  <c r="G25" i="2"/>
  <c r="D25" i="2"/>
  <c r="E23" i="2" s="1"/>
  <c r="B25" i="2"/>
  <c r="C24" i="2" s="1"/>
  <c r="R24" i="2"/>
  <c r="P24" i="2"/>
  <c r="N24" i="2"/>
  <c r="L24" i="2"/>
  <c r="J24" i="2"/>
  <c r="H24" i="2"/>
  <c r="F24" i="2"/>
  <c r="R23" i="2"/>
  <c r="P23" i="2"/>
  <c r="N23" i="2"/>
  <c r="L23" i="2"/>
  <c r="J23" i="2"/>
  <c r="H23" i="2"/>
  <c r="F23" i="2"/>
  <c r="C23" i="2"/>
  <c r="R22" i="2"/>
  <c r="P22" i="2"/>
  <c r="P25" i="2" s="1"/>
  <c r="N22" i="2"/>
  <c r="L22" i="2"/>
  <c r="L25" i="2" s="1"/>
  <c r="J22" i="2"/>
  <c r="H22" i="2"/>
  <c r="H25" i="2" s="1"/>
  <c r="F22" i="2"/>
  <c r="Q19" i="2"/>
  <c r="O19" i="2"/>
  <c r="M19" i="2"/>
  <c r="K19" i="2"/>
  <c r="I19" i="2"/>
  <c r="G19" i="2"/>
  <c r="D19" i="2"/>
  <c r="E17" i="2" s="1"/>
  <c r="B19" i="2"/>
  <c r="C18" i="2" s="1"/>
  <c r="R18" i="2"/>
  <c r="P18" i="2"/>
  <c r="N18" i="2"/>
  <c r="L18" i="2"/>
  <c r="J18" i="2"/>
  <c r="H18" i="2"/>
  <c r="F18" i="2"/>
  <c r="R17" i="2"/>
  <c r="P17" i="2"/>
  <c r="N17" i="2"/>
  <c r="L17" i="2"/>
  <c r="J17" i="2"/>
  <c r="H17" i="2"/>
  <c r="F17" i="2"/>
  <c r="C17" i="2"/>
  <c r="R16" i="2"/>
  <c r="P16" i="2"/>
  <c r="N16" i="2"/>
  <c r="L16" i="2"/>
  <c r="J16" i="2"/>
  <c r="H16" i="2"/>
  <c r="F16" i="2"/>
  <c r="R15" i="2"/>
  <c r="P15" i="2"/>
  <c r="N15" i="2"/>
  <c r="L15" i="2"/>
  <c r="J15" i="2"/>
  <c r="H15" i="2"/>
  <c r="F15" i="2"/>
  <c r="C15" i="2"/>
  <c r="R14" i="2"/>
  <c r="P14" i="2"/>
  <c r="N14" i="2"/>
  <c r="L14" i="2"/>
  <c r="J14" i="2"/>
  <c r="H14" i="2"/>
  <c r="F14" i="2"/>
  <c r="R13" i="2"/>
  <c r="R19" i="2" s="1"/>
  <c r="P13" i="2"/>
  <c r="N13" i="2"/>
  <c r="N19" i="2" s="1"/>
  <c r="L13" i="2"/>
  <c r="J13" i="2"/>
  <c r="J19" i="2" s="1"/>
  <c r="H13" i="2"/>
  <c r="F13" i="2"/>
  <c r="C13" i="2"/>
  <c r="D10" i="2"/>
  <c r="F10" i="2" s="1"/>
  <c r="B10" i="2"/>
  <c r="F9" i="2"/>
  <c r="C9" i="2"/>
  <c r="F8" i="2"/>
  <c r="C8" i="2"/>
  <c r="F7" i="2"/>
  <c r="C7" i="2"/>
  <c r="F6" i="2"/>
  <c r="C6" i="2"/>
  <c r="F5" i="2"/>
  <c r="E5" i="2"/>
  <c r="C5" i="2"/>
  <c r="F4" i="2"/>
  <c r="C4" i="2"/>
  <c r="L601" i="1"/>
  <c r="M600" i="1" s="1"/>
  <c r="J601" i="1"/>
  <c r="H601" i="1"/>
  <c r="I600" i="1" s="1"/>
  <c r="F601" i="1"/>
  <c r="G600" i="1" s="1"/>
  <c r="D601" i="1"/>
  <c r="E600" i="1" s="1"/>
  <c r="B601" i="1"/>
  <c r="N600" i="1"/>
  <c r="K600" i="1"/>
  <c r="C600" i="1"/>
  <c r="N599" i="1"/>
  <c r="K599" i="1"/>
  <c r="C599" i="1"/>
  <c r="N598" i="1"/>
  <c r="K598" i="1"/>
  <c r="K602" i="1" s="1"/>
  <c r="C598" i="1"/>
  <c r="C602" i="1" s="1"/>
  <c r="N597" i="1"/>
  <c r="K597" i="1"/>
  <c r="C597" i="1"/>
  <c r="N596" i="1"/>
  <c r="K596" i="1"/>
  <c r="G596" i="1"/>
  <c r="C596" i="1"/>
  <c r="C601" i="1" s="1"/>
  <c r="L592" i="1"/>
  <c r="M591" i="1" s="1"/>
  <c r="J592" i="1"/>
  <c r="K589" i="1" s="1"/>
  <c r="H592" i="1"/>
  <c r="I591" i="1" s="1"/>
  <c r="F592" i="1"/>
  <c r="G591" i="1" s="1"/>
  <c r="D592" i="1"/>
  <c r="E591" i="1" s="1"/>
  <c r="B592" i="1"/>
  <c r="C591" i="1" s="1"/>
  <c r="N591" i="1"/>
  <c r="K591" i="1"/>
  <c r="N590" i="1"/>
  <c r="M590" i="1"/>
  <c r="I590" i="1"/>
  <c r="N589" i="1"/>
  <c r="M589" i="1"/>
  <c r="I589" i="1"/>
  <c r="I593" i="1" s="1"/>
  <c r="E589" i="1"/>
  <c r="C589" i="1"/>
  <c r="N588" i="1"/>
  <c r="M588" i="1"/>
  <c r="I588" i="1"/>
  <c r="N587" i="1"/>
  <c r="M587" i="1"/>
  <c r="K587" i="1"/>
  <c r="I587" i="1"/>
  <c r="E587" i="1"/>
  <c r="F565" i="1"/>
  <c r="B583" i="1"/>
  <c r="C581" i="1" s="1"/>
  <c r="L583" i="1"/>
  <c r="M581" i="1" s="1"/>
  <c r="J583" i="1"/>
  <c r="K581" i="1" s="1"/>
  <c r="H583" i="1"/>
  <c r="I580" i="1" s="1"/>
  <c r="F583" i="1"/>
  <c r="D583" i="1"/>
  <c r="E581" i="1" s="1"/>
  <c r="N582" i="1"/>
  <c r="M582" i="1"/>
  <c r="K582" i="1"/>
  <c r="I582" i="1"/>
  <c r="G582" i="1"/>
  <c r="E582" i="1"/>
  <c r="C582" i="1"/>
  <c r="N581" i="1"/>
  <c r="I581" i="1"/>
  <c r="G581" i="1"/>
  <c r="N580" i="1"/>
  <c r="K580" i="1"/>
  <c r="G580" i="1"/>
  <c r="C580" i="1"/>
  <c r="C584" i="1" s="1"/>
  <c r="N579" i="1"/>
  <c r="K579" i="1"/>
  <c r="G579" i="1"/>
  <c r="N578" i="1"/>
  <c r="N583" i="1" s="1"/>
  <c r="K578" i="1"/>
  <c r="G578" i="1"/>
  <c r="G583" i="1" s="1"/>
  <c r="C578" i="1"/>
  <c r="L574" i="1"/>
  <c r="J574" i="1"/>
  <c r="H574" i="1"/>
  <c r="F574" i="1"/>
  <c r="D574" i="1"/>
  <c r="N573" i="1"/>
  <c r="M573" i="1"/>
  <c r="K573" i="1"/>
  <c r="I573" i="1"/>
  <c r="G573" i="1"/>
  <c r="E573" i="1"/>
  <c r="N572" i="1"/>
  <c r="M572" i="1"/>
  <c r="K572" i="1"/>
  <c r="I572" i="1"/>
  <c r="G572" i="1"/>
  <c r="E572" i="1"/>
  <c r="N571" i="1"/>
  <c r="M571" i="1"/>
  <c r="M575" i="1" s="1"/>
  <c r="K571" i="1"/>
  <c r="K575" i="1" s="1"/>
  <c r="I571" i="1"/>
  <c r="I575" i="1" s="1"/>
  <c r="G571" i="1"/>
  <c r="G575" i="1" s="1"/>
  <c r="E571" i="1"/>
  <c r="E575" i="1" s="1"/>
  <c r="N570" i="1"/>
  <c r="M570" i="1"/>
  <c r="K570" i="1"/>
  <c r="I570" i="1"/>
  <c r="G570" i="1"/>
  <c r="E570" i="1"/>
  <c r="N569" i="1"/>
  <c r="N574" i="1" s="1"/>
  <c r="O573" i="1" s="1"/>
  <c r="M569" i="1"/>
  <c r="M574" i="1" s="1"/>
  <c r="K569" i="1"/>
  <c r="K574" i="1" s="1"/>
  <c r="I569" i="1"/>
  <c r="I574" i="1" s="1"/>
  <c r="G569" i="1"/>
  <c r="G574" i="1" s="1"/>
  <c r="E569" i="1"/>
  <c r="E574" i="1" s="1"/>
  <c r="L565" i="1"/>
  <c r="M564" i="1" s="1"/>
  <c r="J565" i="1"/>
  <c r="H565" i="1"/>
  <c r="I564" i="1" s="1"/>
  <c r="D565" i="1"/>
  <c r="N564" i="1"/>
  <c r="K564" i="1"/>
  <c r="G564" i="1"/>
  <c r="E564" i="1"/>
  <c r="N563" i="1"/>
  <c r="K563" i="1"/>
  <c r="G563" i="1"/>
  <c r="E563" i="1"/>
  <c r="N562" i="1"/>
  <c r="M562" i="1"/>
  <c r="K562" i="1"/>
  <c r="G562" i="1"/>
  <c r="E562" i="1"/>
  <c r="N561" i="1"/>
  <c r="K561" i="1"/>
  <c r="G561" i="1"/>
  <c r="E561" i="1"/>
  <c r="N560" i="1"/>
  <c r="N565" i="1" s="1"/>
  <c r="K560" i="1"/>
  <c r="K565" i="1" s="1"/>
  <c r="G560" i="1"/>
  <c r="G565" i="1" s="1"/>
  <c r="E560" i="1"/>
  <c r="L556" i="1"/>
  <c r="J556" i="1"/>
  <c r="H556" i="1"/>
  <c r="F556" i="1"/>
  <c r="D556" i="1"/>
  <c r="N555" i="1"/>
  <c r="M555" i="1"/>
  <c r="K555" i="1"/>
  <c r="I555" i="1"/>
  <c r="G555" i="1"/>
  <c r="E555" i="1"/>
  <c r="N554" i="1"/>
  <c r="M554" i="1"/>
  <c r="K554" i="1"/>
  <c r="I554" i="1"/>
  <c r="G554" i="1"/>
  <c r="E554" i="1"/>
  <c r="N553" i="1"/>
  <c r="M553" i="1"/>
  <c r="M557" i="1" s="1"/>
  <c r="K553" i="1"/>
  <c r="K557" i="1" s="1"/>
  <c r="I553" i="1"/>
  <c r="I557" i="1" s="1"/>
  <c r="G553" i="1"/>
  <c r="G557" i="1" s="1"/>
  <c r="E553" i="1"/>
  <c r="E557" i="1" s="1"/>
  <c r="N552" i="1"/>
  <c r="M552" i="1"/>
  <c r="K552" i="1"/>
  <c r="I552" i="1"/>
  <c r="G552" i="1"/>
  <c r="E552" i="1"/>
  <c r="N551" i="1"/>
  <c r="N556" i="1" s="1"/>
  <c r="O555" i="1" s="1"/>
  <c r="M551" i="1"/>
  <c r="M556" i="1" s="1"/>
  <c r="K551" i="1"/>
  <c r="K556" i="1" s="1"/>
  <c r="I551" i="1"/>
  <c r="I556" i="1" s="1"/>
  <c r="G551" i="1"/>
  <c r="G556" i="1" s="1"/>
  <c r="E551" i="1"/>
  <c r="E556" i="1" s="1"/>
  <c r="L547" i="1"/>
  <c r="J547" i="1"/>
  <c r="H547" i="1"/>
  <c r="F547" i="1"/>
  <c r="D547" i="1"/>
  <c r="N546" i="1"/>
  <c r="M546" i="1"/>
  <c r="K546" i="1"/>
  <c r="I546" i="1"/>
  <c r="G546" i="1"/>
  <c r="E546" i="1"/>
  <c r="N545" i="1"/>
  <c r="M545" i="1"/>
  <c r="K545" i="1"/>
  <c r="I545" i="1"/>
  <c r="G545" i="1"/>
  <c r="E545" i="1"/>
  <c r="N544" i="1"/>
  <c r="M544" i="1"/>
  <c r="M548" i="1" s="1"/>
  <c r="K544" i="1"/>
  <c r="K548" i="1" s="1"/>
  <c r="I544" i="1"/>
  <c r="I548" i="1" s="1"/>
  <c r="G544" i="1"/>
  <c r="G548" i="1" s="1"/>
  <c r="E544" i="1"/>
  <c r="E548" i="1" s="1"/>
  <c r="N543" i="1"/>
  <c r="M543" i="1"/>
  <c r="K543" i="1"/>
  <c r="I543" i="1"/>
  <c r="G543" i="1"/>
  <c r="E543" i="1"/>
  <c r="N542" i="1"/>
  <c r="N547" i="1" s="1"/>
  <c r="M542" i="1"/>
  <c r="M547" i="1" s="1"/>
  <c r="K542" i="1"/>
  <c r="K547" i="1" s="1"/>
  <c r="I542" i="1"/>
  <c r="I547" i="1" s="1"/>
  <c r="G542" i="1"/>
  <c r="G547" i="1" s="1"/>
  <c r="E542" i="1"/>
  <c r="E547" i="1" s="1"/>
  <c r="L538" i="1"/>
  <c r="J538" i="1"/>
  <c r="H538" i="1"/>
  <c r="F538" i="1"/>
  <c r="D538" i="1"/>
  <c r="N537" i="1"/>
  <c r="M537" i="1"/>
  <c r="K537" i="1"/>
  <c r="I537" i="1"/>
  <c r="G537" i="1"/>
  <c r="E537" i="1"/>
  <c r="N536" i="1"/>
  <c r="M536" i="1"/>
  <c r="K536" i="1"/>
  <c r="I536" i="1"/>
  <c r="G536" i="1"/>
  <c r="E536" i="1"/>
  <c r="N535" i="1"/>
  <c r="M535" i="1"/>
  <c r="M539" i="1" s="1"/>
  <c r="K535" i="1"/>
  <c r="K539" i="1" s="1"/>
  <c r="I535" i="1"/>
  <c r="I539" i="1" s="1"/>
  <c r="G535" i="1"/>
  <c r="G539" i="1" s="1"/>
  <c r="E535" i="1"/>
  <c r="E539" i="1" s="1"/>
  <c r="N534" i="1"/>
  <c r="M534" i="1"/>
  <c r="K534" i="1"/>
  <c r="I534" i="1"/>
  <c r="G534" i="1"/>
  <c r="E534" i="1"/>
  <c r="N533" i="1"/>
  <c r="N538" i="1" s="1"/>
  <c r="M533" i="1"/>
  <c r="M538" i="1" s="1"/>
  <c r="K533" i="1"/>
  <c r="K538" i="1" s="1"/>
  <c r="I533" i="1"/>
  <c r="I538" i="1" s="1"/>
  <c r="G533" i="1"/>
  <c r="G538" i="1" s="1"/>
  <c r="E533" i="1"/>
  <c r="E538" i="1" s="1"/>
  <c r="L529" i="1"/>
  <c r="J529" i="1"/>
  <c r="H529" i="1"/>
  <c r="F529" i="1"/>
  <c r="D529" i="1"/>
  <c r="N528" i="1"/>
  <c r="M528" i="1"/>
  <c r="K528" i="1"/>
  <c r="I528" i="1"/>
  <c r="G528" i="1"/>
  <c r="E528" i="1"/>
  <c r="N527" i="1"/>
  <c r="M527" i="1"/>
  <c r="K527" i="1"/>
  <c r="I527" i="1"/>
  <c r="G527" i="1"/>
  <c r="E527" i="1"/>
  <c r="N526" i="1"/>
  <c r="M526" i="1"/>
  <c r="M530" i="1" s="1"/>
  <c r="K526" i="1"/>
  <c r="K530" i="1" s="1"/>
  <c r="I526" i="1"/>
  <c r="I530" i="1" s="1"/>
  <c r="G526" i="1"/>
  <c r="G530" i="1" s="1"/>
  <c r="E526" i="1"/>
  <c r="E530" i="1" s="1"/>
  <c r="N525" i="1"/>
  <c r="M525" i="1"/>
  <c r="K525" i="1"/>
  <c r="I525" i="1"/>
  <c r="G525" i="1"/>
  <c r="E525" i="1"/>
  <c r="N524" i="1"/>
  <c r="N529" i="1" s="1"/>
  <c r="O528" i="1" s="1"/>
  <c r="M524" i="1"/>
  <c r="M529" i="1" s="1"/>
  <c r="K524" i="1"/>
  <c r="K529" i="1" s="1"/>
  <c r="I524" i="1"/>
  <c r="I529" i="1" s="1"/>
  <c r="G524" i="1"/>
  <c r="G529" i="1" s="1"/>
  <c r="E524" i="1"/>
  <c r="E529" i="1" s="1"/>
  <c r="L520" i="1"/>
  <c r="J520" i="1"/>
  <c r="H520" i="1"/>
  <c r="F520" i="1"/>
  <c r="D520" i="1"/>
  <c r="N519" i="1"/>
  <c r="M519" i="1"/>
  <c r="K519" i="1"/>
  <c r="I519" i="1"/>
  <c r="G519" i="1"/>
  <c r="E519" i="1"/>
  <c r="N518" i="1"/>
  <c r="M518" i="1"/>
  <c r="K518" i="1"/>
  <c r="I518" i="1"/>
  <c r="G518" i="1"/>
  <c r="E518" i="1"/>
  <c r="N517" i="1"/>
  <c r="M517" i="1"/>
  <c r="M521" i="1" s="1"/>
  <c r="K517" i="1"/>
  <c r="K521" i="1" s="1"/>
  <c r="I517" i="1"/>
  <c r="I521" i="1" s="1"/>
  <c r="G517" i="1"/>
  <c r="G521" i="1" s="1"/>
  <c r="E517" i="1"/>
  <c r="E521" i="1" s="1"/>
  <c r="N516" i="1"/>
  <c r="M516" i="1"/>
  <c r="K516" i="1"/>
  <c r="I516" i="1"/>
  <c r="G516" i="1"/>
  <c r="E516" i="1"/>
  <c r="N515" i="1"/>
  <c r="N520" i="1" s="1"/>
  <c r="M515" i="1"/>
  <c r="M520" i="1" s="1"/>
  <c r="K515" i="1"/>
  <c r="K520" i="1" s="1"/>
  <c r="I515" i="1"/>
  <c r="I520" i="1" s="1"/>
  <c r="G515" i="1"/>
  <c r="G520" i="1" s="1"/>
  <c r="E515" i="1"/>
  <c r="E520" i="1" s="1"/>
  <c r="L510" i="1"/>
  <c r="J510" i="1"/>
  <c r="H510" i="1"/>
  <c r="F510" i="1"/>
  <c r="D510" i="1"/>
  <c r="N509" i="1"/>
  <c r="M509" i="1"/>
  <c r="K509" i="1"/>
  <c r="I509" i="1"/>
  <c r="G509" i="1"/>
  <c r="E509" i="1"/>
  <c r="N508" i="1"/>
  <c r="M508" i="1"/>
  <c r="K508" i="1"/>
  <c r="I508" i="1"/>
  <c r="G508" i="1"/>
  <c r="E508" i="1"/>
  <c r="N507" i="1"/>
  <c r="M507" i="1"/>
  <c r="M511" i="1" s="1"/>
  <c r="K507" i="1"/>
  <c r="K511" i="1" s="1"/>
  <c r="I507" i="1"/>
  <c r="I511" i="1" s="1"/>
  <c r="G507" i="1"/>
  <c r="G511" i="1" s="1"/>
  <c r="E507" i="1"/>
  <c r="E511" i="1" s="1"/>
  <c r="N506" i="1"/>
  <c r="M506" i="1"/>
  <c r="K506" i="1"/>
  <c r="I506" i="1"/>
  <c r="G506" i="1"/>
  <c r="E506" i="1"/>
  <c r="N505" i="1"/>
  <c r="N510" i="1" s="1"/>
  <c r="M505" i="1"/>
  <c r="M510" i="1" s="1"/>
  <c r="K505" i="1"/>
  <c r="K510" i="1" s="1"/>
  <c r="I505" i="1"/>
  <c r="I510" i="1" s="1"/>
  <c r="G505" i="1"/>
  <c r="G510" i="1" s="1"/>
  <c r="E505" i="1"/>
  <c r="E510" i="1" s="1"/>
  <c r="L501" i="1"/>
  <c r="J501" i="1"/>
  <c r="H501" i="1"/>
  <c r="F501" i="1"/>
  <c r="D501" i="1"/>
  <c r="N500" i="1"/>
  <c r="M500" i="1"/>
  <c r="K500" i="1"/>
  <c r="I500" i="1"/>
  <c r="G500" i="1"/>
  <c r="E500" i="1"/>
  <c r="N499" i="1"/>
  <c r="M499" i="1"/>
  <c r="K499" i="1"/>
  <c r="I499" i="1"/>
  <c r="G499" i="1"/>
  <c r="E499" i="1"/>
  <c r="N498" i="1"/>
  <c r="M498" i="1"/>
  <c r="M502" i="1" s="1"/>
  <c r="K498" i="1"/>
  <c r="K502" i="1" s="1"/>
  <c r="I498" i="1"/>
  <c r="I502" i="1" s="1"/>
  <c r="G498" i="1"/>
  <c r="G502" i="1" s="1"/>
  <c r="E498" i="1"/>
  <c r="E502" i="1" s="1"/>
  <c r="N497" i="1"/>
  <c r="M497" i="1"/>
  <c r="K497" i="1"/>
  <c r="I497" i="1"/>
  <c r="G497" i="1"/>
  <c r="E497" i="1"/>
  <c r="N496" i="1"/>
  <c r="N501" i="1" s="1"/>
  <c r="M496" i="1"/>
  <c r="M501" i="1" s="1"/>
  <c r="K496" i="1"/>
  <c r="K501" i="1" s="1"/>
  <c r="I496" i="1"/>
  <c r="I501" i="1" s="1"/>
  <c r="G496" i="1"/>
  <c r="G501" i="1" s="1"/>
  <c r="E496" i="1"/>
  <c r="E501" i="1" s="1"/>
  <c r="L492" i="1"/>
  <c r="J492" i="1"/>
  <c r="H492" i="1"/>
  <c r="F492" i="1"/>
  <c r="D492" i="1"/>
  <c r="N491" i="1"/>
  <c r="M491" i="1"/>
  <c r="K491" i="1"/>
  <c r="I491" i="1"/>
  <c r="G491" i="1"/>
  <c r="E491" i="1"/>
  <c r="N490" i="1"/>
  <c r="M490" i="1"/>
  <c r="K490" i="1"/>
  <c r="I490" i="1"/>
  <c r="G490" i="1"/>
  <c r="E490" i="1"/>
  <c r="N489" i="1"/>
  <c r="M489" i="1"/>
  <c r="M493" i="1" s="1"/>
  <c r="K489" i="1"/>
  <c r="K493" i="1" s="1"/>
  <c r="I489" i="1"/>
  <c r="I493" i="1" s="1"/>
  <c r="G489" i="1"/>
  <c r="G493" i="1" s="1"/>
  <c r="E489" i="1"/>
  <c r="E493" i="1" s="1"/>
  <c r="N488" i="1"/>
  <c r="M488" i="1"/>
  <c r="K488" i="1"/>
  <c r="I488" i="1"/>
  <c r="G488" i="1"/>
  <c r="E488" i="1"/>
  <c r="N487" i="1"/>
  <c r="N492" i="1" s="1"/>
  <c r="M487" i="1"/>
  <c r="M492" i="1" s="1"/>
  <c r="K487" i="1"/>
  <c r="K492" i="1" s="1"/>
  <c r="I487" i="1"/>
  <c r="I492" i="1" s="1"/>
  <c r="G487" i="1"/>
  <c r="G492" i="1" s="1"/>
  <c r="E487" i="1"/>
  <c r="E492" i="1" s="1"/>
  <c r="L483" i="1"/>
  <c r="J483" i="1"/>
  <c r="H483" i="1"/>
  <c r="F483" i="1"/>
  <c r="D483" i="1"/>
  <c r="N482" i="1"/>
  <c r="M482" i="1"/>
  <c r="K482" i="1"/>
  <c r="I482" i="1"/>
  <c r="G482" i="1"/>
  <c r="E482" i="1"/>
  <c r="N481" i="1"/>
  <c r="M481" i="1"/>
  <c r="K481" i="1"/>
  <c r="I481" i="1"/>
  <c r="G481" i="1"/>
  <c r="E481" i="1"/>
  <c r="N480" i="1"/>
  <c r="M480" i="1"/>
  <c r="M484" i="1" s="1"/>
  <c r="K480" i="1"/>
  <c r="K484" i="1" s="1"/>
  <c r="I480" i="1"/>
  <c r="I484" i="1" s="1"/>
  <c r="G480" i="1"/>
  <c r="G484" i="1" s="1"/>
  <c r="E480" i="1"/>
  <c r="E484" i="1" s="1"/>
  <c r="N479" i="1"/>
  <c r="M479" i="1"/>
  <c r="K479" i="1"/>
  <c r="I479" i="1"/>
  <c r="G479" i="1"/>
  <c r="E479" i="1"/>
  <c r="N478" i="1"/>
  <c r="N483" i="1" s="1"/>
  <c r="M478" i="1"/>
  <c r="M483" i="1" s="1"/>
  <c r="K478" i="1"/>
  <c r="K483" i="1" s="1"/>
  <c r="I478" i="1"/>
  <c r="I483" i="1" s="1"/>
  <c r="G478" i="1"/>
  <c r="G483" i="1" s="1"/>
  <c r="E478" i="1"/>
  <c r="E483" i="1" s="1"/>
  <c r="L474" i="1"/>
  <c r="J474" i="1"/>
  <c r="H474" i="1"/>
  <c r="F474" i="1"/>
  <c r="D474" i="1"/>
  <c r="N473" i="1"/>
  <c r="M473" i="1"/>
  <c r="K473" i="1"/>
  <c r="I473" i="1"/>
  <c r="G473" i="1"/>
  <c r="E473" i="1"/>
  <c r="N472" i="1"/>
  <c r="M472" i="1"/>
  <c r="K472" i="1"/>
  <c r="I472" i="1"/>
  <c r="G472" i="1"/>
  <c r="E472" i="1"/>
  <c r="N471" i="1"/>
  <c r="M471" i="1"/>
  <c r="M475" i="1" s="1"/>
  <c r="K471" i="1"/>
  <c r="K475" i="1" s="1"/>
  <c r="I471" i="1"/>
  <c r="I475" i="1" s="1"/>
  <c r="G471" i="1"/>
  <c r="G475" i="1" s="1"/>
  <c r="E471" i="1"/>
  <c r="E475" i="1" s="1"/>
  <c r="N470" i="1"/>
  <c r="M470" i="1"/>
  <c r="K470" i="1"/>
  <c r="I470" i="1"/>
  <c r="G470" i="1"/>
  <c r="E470" i="1"/>
  <c r="N469" i="1"/>
  <c r="N474" i="1" s="1"/>
  <c r="M469" i="1"/>
  <c r="M474" i="1" s="1"/>
  <c r="K469" i="1"/>
  <c r="K474" i="1" s="1"/>
  <c r="I469" i="1"/>
  <c r="I474" i="1" s="1"/>
  <c r="G469" i="1"/>
  <c r="G474" i="1" s="1"/>
  <c r="E469" i="1"/>
  <c r="E474" i="1" s="1"/>
  <c r="L465" i="1"/>
  <c r="J465" i="1"/>
  <c r="H465" i="1"/>
  <c r="F465" i="1"/>
  <c r="D465" i="1"/>
  <c r="N464" i="1"/>
  <c r="M464" i="1"/>
  <c r="K464" i="1"/>
  <c r="I464" i="1"/>
  <c r="G464" i="1"/>
  <c r="E464" i="1"/>
  <c r="N463" i="1"/>
  <c r="M463" i="1"/>
  <c r="K463" i="1"/>
  <c r="I463" i="1"/>
  <c r="G463" i="1"/>
  <c r="E463" i="1"/>
  <c r="N462" i="1"/>
  <c r="M462" i="1"/>
  <c r="M466" i="1" s="1"/>
  <c r="K462" i="1"/>
  <c r="K466" i="1" s="1"/>
  <c r="I462" i="1"/>
  <c r="I466" i="1" s="1"/>
  <c r="G462" i="1"/>
  <c r="G466" i="1" s="1"/>
  <c r="E462" i="1"/>
  <c r="E466" i="1" s="1"/>
  <c r="N461" i="1"/>
  <c r="M461" i="1"/>
  <c r="K461" i="1"/>
  <c r="I461" i="1"/>
  <c r="G461" i="1"/>
  <c r="E461" i="1"/>
  <c r="N460" i="1"/>
  <c r="N465" i="1" s="1"/>
  <c r="M460" i="1"/>
  <c r="M465" i="1" s="1"/>
  <c r="K460" i="1"/>
  <c r="K465" i="1" s="1"/>
  <c r="I460" i="1"/>
  <c r="I465" i="1" s="1"/>
  <c r="G460" i="1"/>
  <c r="G465" i="1" s="1"/>
  <c r="E460" i="1"/>
  <c r="E465" i="1" s="1"/>
  <c r="L456" i="1"/>
  <c r="J456" i="1"/>
  <c r="H456" i="1"/>
  <c r="F456" i="1"/>
  <c r="D456" i="1"/>
  <c r="N455" i="1"/>
  <c r="M455" i="1"/>
  <c r="K455" i="1"/>
  <c r="I455" i="1"/>
  <c r="G455" i="1"/>
  <c r="E455" i="1"/>
  <c r="N454" i="1"/>
  <c r="M454" i="1"/>
  <c r="K454" i="1"/>
  <c r="I454" i="1"/>
  <c r="G454" i="1"/>
  <c r="E454" i="1"/>
  <c r="N453" i="1"/>
  <c r="M453" i="1"/>
  <c r="M457" i="1" s="1"/>
  <c r="K453" i="1"/>
  <c r="K457" i="1" s="1"/>
  <c r="I453" i="1"/>
  <c r="I457" i="1" s="1"/>
  <c r="G453" i="1"/>
  <c r="G457" i="1" s="1"/>
  <c r="E453" i="1"/>
  <c r="E457" i="1" s="1"/>
  <c r="N452" i="1"/>
  <c r="M452" i="1"/>
  <c r="K452" i="1"/>
  <c r="I452" i="1"/>
  <c r="G452" i="1"/>
  <c r="E452" i="1"/>
  <c r="N451" i="1"/>
  <c r="N456" i="1" s="1"/>
  <c r="M451" i="1"/>
  <c r="M456" i="1" s="1"/>
  <c r="K451" i="1"/>
  <c r="K456" i="1" s="1"/>
  <c r="I451" i="1"/>
  <c r="I456" i="1" s="1"/>
  <c r="G451" i="1"/>
  <c r="G456" i="1" s="1"/>
  <c r="E451" i="1"/>
  <c r="E456" i="1" s="1"/>
  <c r="L447" i="1"/>
  <c r="J447" i="1"/>
  <c r="H447" i="1"/>
  <c r="F447" i="1"/>
  <c r="D447" i="1"/>
  <c r="N446" i="1"/>
  <c r="M446" i="1"/>
  <c r="K446" i="1"/>
  <c r="I446" i="1"/>
  <c r="G446" i="1"/>
  <c r="E446" i="1"/>
  <c r="N445" i="1"/>
  <c r="M445" i="1"/>
  <c r="K445" i="1"/>
  <c r="I445" i="1"/>
  <c r="G445" i="1"/>
  <c r="E445" i="1"/>
  <c r="N444" i="1"/>
  <c r="M444" i="1"/>
  <c r="M448" i="1" s="1"/>
  <c r="K444" i="1"/>
  <c r="K448" i="1" s="1"/>
  <c r="I444" i="1"/>
  <c r="I448" i="1" s="1"/>
  <c r="G444" i="1"/>
  <c r="G448" i="1" s="1"/>
  <c r="E444" i="1"/>
  <c r="E448" i="1" s="1"/>
  <c r="N443" i="1"/>
  <c r="M443" i="1"/>
  <c r="K443" i="1"/>
  <c r="I443" i="1"/>
  <c r="G443" i="1"/>
  <c r="E443" i="1"/>
  <c r="N442" i="1"/>
  <c r="N447" i="1" s="1"/>
  <c r="M442" i="1"/>
  <c r="M447" i="1" s="1"/>
  <c r="K442" i="1"/>
  <c r="K447" i="1" s="1"/>
  <c r="I442" i="1"/>
  <c r="I447" i="1" s="1"/>
  <c r="G442" i="1"/>
  <c r="G447" i="1" s="1"/>
  <c r="E442" i="1"/>
  <c r="E447" i="1" s="1"/>
  <c r="N434" i="1"/>
  <c r="N435" i="1"/>
  <c r="N436" i="1"/>
  <c r="N437" i="1"/>
  <c r="N433" i="1"/>
  <c r="N438" i="1" s="1"/>
  <c r="O436" i="1" s="1"/>
  <c r="B574" i="1"/>
  <c r="C572" i="1" s="1"/>
  <c r="B565" i="1"/>
  <c r="C564" i="1" s="1"/>
  <c r="B556" i="1"/>
  <c r="C555" i="1" s="1"/>
  <c r="B547" i="1"/>
  <c r="C546" i="1" s="1"/>
  <c r="B538" i="1"/>
  <c r="C537" i="1" s="1"/>
  <c r="B529" i="1"/>
  <c r="C528" i="1" s="1"/>
  <c r="B520" i="1"/>
  <c r="C519" i="1" s="1"/>
  <c r="B510" i="1"/>
  <c r="C509" i="1" s="1"/>
  <c r="B501" i="1"/>
  <c r="C500" i="1" s="1"/>
  <c r="B492" i="1"/>
  <c r="C491" i="1" s="1"/>
  <c r="B483" i="1"/>
  <c r="C482" i="1" s="1"/>
  <c r="B474" i="1"/>
  <c r="C473" i="1" s="1"/>
  <c r="B465" i="1"/>
  <c r="C464" i="1" s="1"/>
  <c r="B456" i="1"/>
  <c r="C455" i="1" s="1"/>
  <c r="B447" i="1"/>
  <c r="C446" i="1" s="1"/>
  <c r="B438" i="1"/>
  <c r="C437" i="1" s="1"/>
  <c r="D438" i="1"/>
  <c r="E437" i="1" s="1"/>
  <c r="F438" i="1"/>
  <c r="G436" i="1" s="1"/>
  <c r="H438" i="1"/>
  <c r="I437" i="1" s="1"/>
  <c r="J438" i="1"/>
  <c r="K436" i="1" s="1"/>
  <c r="L438" i="1"/>
  <c r="M437" i="1" s="1"/>
  <c r="C419" i="1"/>
  <c r="C418" i="1"/>
  <c r="C417" i="1"/>
  <c r="C416" i="1"/>
  <c r="C415" i="1"/>
  <c r="C414" i="1"/>
  <c r="C413" i="1"/>
  <c r="C412" i="1"/>
  <c r="C411" i="1"/>
  <c r="C410" i="1"/>
  <c r="C409" i="1"/>
  <c r="E419" i="1"/>
  <c r="E418" i="1"/>
  <c r="E417" i="1"/>
  <c r="E416" i="1"/>
  <c r="E415" i="1"/>
  <c r="E414" i="1"/>
  <c r="E413" i="1"/>
  <c r="E412" i="1"/>
  <c r="E411" i="1"/>
  <c r="E410" i="1"/>
  <c r="E409" i="1"/>
  <c r="G419" i="1"/>
  <c r="G418" i="1"/>
  <c r="G417" i="1"/>
  <c r="G416" i="1"/>
  <c r="G415" i="1"/>
  <c r="G414" i="1"/>
  <c r="G413" i="1"/>
  <c r="G412" i="1"/>
  <c r="G411" i="1"/>
  <c r="G410" i="1"/>
  <c r="G409" i="1"/>
  <c r="I419" i="1"/>
  <c r="I418" i="1"/>
  <c r="I417" i="1"/>
  <c r="I416" i="1"/>
  <c r="I415" i="1"/>
  <c r="I414" i="1"/>
  <c r="I413" i="1"/>
  <c r="I412" i="1"/>
  <c r="I411" i="1"/>
  <c r="I410" i="1"/>
  <c r="I409" i="1"/>
  <c r="K419" i="1"/>
  <c r="K418" i="1"/>
  <c r="K417" i="1"/>
  <c r="K416" i="1"/>
  <c r="K415" i="1"/>
  <c r="K414" i="1"/>
  <c r="K413" i="1"/>
  <c r="K412" i="1"/>
  <c r="K411" i="1"/>
  <c r="K410" i="1"/>
  <c r="K409" i="1"/>
  <c r="K405" i="1"/>
  <c r="K13" i="16" s="1"/>
  <c r="K404" i="1"/>
  <c r="K12" i="16" s="1"/>
  <c r="K403" i="1"/>
  <c r="K11" i="16" s="1"/>
  <c r="K402" i="1"/>
  <c r="K10" i="16" s="1"/>
  <c r="K401" i="1"/>
  <c r="K9" i="16" s="1"/>
  <c r="K400" i="1"/>
  <c r="K8" i="16" s="1"/>
  <c r="K399" i="1"/>
  <c r="K7" i="16" s="1"/>
  <c r="K398" i="1"/>
  <c r="K6" i="16" s="1"/>
  <c r="K397" i="1"/>
  <c r="K5" i="16" s="1"/>
  <c r="K396" i="1"/>
  <c r="K4" i="16" s="1"/>
  <c r="I405" i="1"/>
  <c r="I13" i="16" s="1"/>
  <c r="I404" i="1"/>
  <c r="I12" i="16" s="1"/>
  <c r="I403" i="1"/>
  <c r="I11" i="16" s="1"/>
  <c r="I402" i="1"/>
  <c r="I10" i="16" s="1"/>
  <c r="I401" i="1"/>
  <c r="I9" i="16" s="1"/>
  <c r="I400" i="1"/>
  <c r="I8" i="16" s="1"/>
  <c r="I399" i="1"/>
  <c r="I7" i="16" s="1"/>
  <c r="I398" i="1"/>
  <c r="I6" i="16" s="1"/>
  <c r="I397" i="1"/>
  <c r="I5" i="16" s="1"/>
  <c r="I396" i="1"/>
  <c r="I4" i="16" s="1"/>
  <c r="G405" i="1"/>
  <c r="G13" i="16" s="1"/>
  <c r="G404" i="1"/>
  <c r="G12" i="16" s="1"/>
  <c r="G403" i="1"/>
  <c r="G11" i="16" s="1"/>
  <c r="G402" i="1"/>
  <c r="G10" i="16" s="1"/>
  <c r="G401" i="1"/>
  <c r="G9" i="16" s="1"/>
  <c r="G400" i="1"/>
  <c r="G8" i="16" s="1"/>
  <c r="G399" i="1"/>
  <c r="G7" i="16" s="1"/>
  <c r="G398" i="1"/>
  <c r="G6" i="16" s="1"/>
  <c r="G397" i="1"/>
  <c r="G5" i="16" s="1"/>
  <c r="G396" i="1"/>
  <c r="G4" i="16" s="1"/>
  <c r="E405" i="1"/>
  <c r="E13" i="16" s="1"/>
  <c r="E404" i="1"/>
  <c r="E12" i="16" s="1"/>
  <c r="E403" i="1"/>
  <c r="E11" i="16" s="1"/>
  <c r="E402" i="1"/>
  <c r="E10" i="16" s="1"/>
  <c r="E401" i="1"/>
  <c r="E9" i="16" s="1"/>
  <c r="E400" i="1"/>
  <c r="E8" i="16" s="1"/>
  <c r="E399" i="1"/>
  <c r="E7" i="16" s="1"/>
  <c r="E398" i="1"/>
  <c r="E6" i="16" s="1"/>
  <c r="E397" i="1"/>
  <c r="E5" i="16" s="1"/>
  <c r="E396" i="1"/>
  <c r="E4" i="16" s="1"/>
  <c r="C405" i="1"/>
  <c r="C13" i="16" s="1"/>
  <c r="C404" i="1"/>
  <c r="C12" i="16" s="1"/>
  <c r="C403" i="1"/>
  <c r="C11" i="16" s="1"/>
  <c r="C402" i="1"/>
  <c r="C10" i="16" s="1"/>
  <c r="C401" i="1"/>
  <c r="C9" i="16" s="1"/>
  <c r="C400" i="1"/>
  <c r="C8" i="16" s="1"/>
  <c r="C399" i="1"/>
  <c r="C7" i="16" s="1"/>
  <c r="C398" i="1"/>
  <c r="C6" i="16" s="1"/>
  <c r="C397" i="1"/>
  <c r="C5" i="16" s="1"/>
  <c r="C396" i="1"/>
  <c r="C4" i="16" s="1"/>
  <c r="H276" i="1"/>
  <c r="I275" i="1" s="1"/>
  <c r="B105" i="1"/>
  <c r="C103" i="1" s="1"/>
  <c r="D105" i="1"/>
  <c r="E103" i="1" s="1"/>
  <c r="F105" i="1"/>
  <c r="G103" i="1" s="1"/>
  <c r="H105" i="1"/>
  <c r="I103" i="1" s="1"/>
  <c r="J105" i="1"/>
  <c r="K103" i="1" s="1"/>
  <c r="L105" i="1"/>
  <c r="M103" i="1" s="1"/>
  <c r="O83" i="1"/>
  <c r="O84" i="1"/>
  <c r="O82" i="1"/>
  <c r="N100" i="14" l="1"/>
  <c r="I104" i="14"/>
  <c r="C124" i="14"/>
  <c r="M122" i="14"/>
  <c r="K124" i="14"/>
  <c r="G597" i="1"/>
  <c r="G598" i="1"/>
  <c r="G599" i="1"/>
  <c r="C15" i="3"/>
  <c r="I12" i="3"/>
  <c r="M12" i="3"/>
  <c r="G15" i="3"/>
  <c r="G17" i="3"/>
  <c r="M25" i="3"/>
  <c r="C31" i="3"/>
  <c r="G31" i="3"/>
  <c r="E12" i="3"/>
  <c r="G566" i="1"/>
  <c r="I584" i="1"/>
  <c r="G584" i="1"/>
  <c r="E565" i="1"/>
  <c r="I560" i="1"/>
  <c r="M560" i="1"/>
  <c r="I561" i="1"/>
  <c r="M561" i="1"/>
  <c r="M563" i="1"/>
  <c r="E578" i="1"/>
  <c r="I578" i="1"/>
  <c r="M578" i="1"/>
  <c r="E579" i="1"/>
  <c r="I579" i="1"/>
  <c r="M579" i="1"/>
  <c r="M580" i="1"/>
  <c r="M584" i="1" s="1"/>
  <c r="C587" i="1"/>
  <c r="I592" i="1"/>
  <c r="M592" i="1"/>
  <c r="C588" i="1"/>
  <c r="K588" i="1"/>
  <c r="M593" i="1"/>
  <c r="C590" i="1"/>
  <c r="K590" i="1"/>
  <c r="K593" i="1" s="1"/>
  <c r="M596" i="1"/>
  <c r="E15" i="3"/>
  <c r="I15" i="3"/>
  <c r="M15" i="3"/>
  <c r="N21" i="4"/>
  <c r="N28" i="4"/>
  <c r="M16" i="3"/>
  <c r="C19" i="3"/>
  <c r="K19" i="3"/>
  <c r="C104" i="1"/>
  <c r="G104" i="1"/>
  <c r="K104" i="1"/>
  <c r="M104" i="1"/>
  <c r="E566" i="1"/>
  <c r="C87" i="14"/>
  <c r="C102" i="1"/>
  <c r="G102" i="1"/>
  <c r="K102" i="1"/>
  <c r="M102" i="1"/>
  <c r="G601" i="1"/>
  <c r="E17" i="3"/>
  <c r="I17" i="3"/>
  <c r="M17" i="3"/>
  <c r="E102" i="1"/>
  <c r="E104" i="1"/>
  <c r="I102" i="1"/>
  <c r="I104" i="1"/>
  <c r="C101" i="1"/>
  <c r="C105" i="1" s="1"/>
  <c r="E101" i="1"/>
  <c r="G101" i="1"/>
  <c r="I101" i="1"/>
  <c r="K101" i="1"/>
  <c r="K105" i="1" s="1"/>
  <c r="M101" i="1"/>
  <c r="C434" i="1"/>
  <c r="C436" i="1"/>
  <c r="K566" i="1"/>
  <c r="C25" i="3"/>
  <c r="G25" i="3"/>
  <c r="K25" i="3"/>
  <c r="E31" i="3"/>
  <c r="O53" i="1"/>
  <c r="O57" i="1"/>
  <c r="O56" i="1"/>
  <c r="O52" i="1"/>
  <c r="C433" i="1"/>
  <c r="C435" i="1"/>
  <c r="C439" i="1" s="1"/>
  <c r="I19" i="3"/>
  <c r="O55" i="1"/>
  <c r="O54" i="1"/>
  <c r="O58" i="1"/>
  <c r="O10" i="3"/>
  <c r="O6" i="3"/>
  <c r="O11" i="3"/>
  <c r="O7" i="3"/>
  <c r="O8" i="3"/>
  <c r="O4" i="3"/>
  <c r="O9" i="3"/>
  <c r="K6" i="14"/>
  <c r="C7" i="14"/>
  <c r="C11" i="14" s="1"/>
  <c r="G6" i="14"/>
  <c r="G7" i="14"/>
  <c r="G8" i="14"/>
  <c r="E6" i="14"/>
  <c r="I6" i="14"/>
  <c r="M6" i="14"/>
  <c r="C15" i="14"/>
  <c r="K16" i="14"/>
  <c r="K18" i="14" s="1"/>
  <c r="C17" i="14"/>
  <c r="G23" i="14"/>
  <c r="G27" i="14" s="1"/>
  <c r="C25" i="14"/>
  <c r="E8" i="14"/>
  <c r="I8" i="14"/>
  <c r="M8" i="14"/>
  <c r="G14" i="14"/>
  <c r="G15" i="14"/>
  <c r="G16" i="14"/>
  <c r="C23" i="14"/>
  <c r="K23" i="14"/>
  <c r="G24" i="14"/>
  <c r="G26" i="14" s="1"/>
  <c r="E41" i="14"/>
  <c r="E39" i="14"/>
  <c r="E43" i="14" s="1"/>
  <c r="I41" i="14"/>
  <c r="I39" i="14"/>
  <c r="I43" i="14" s="1"/>
  <c r="M41" i="14"/>
  <c r="M39" i="14"/>
  <c r="M43" i="14" s="1"/>
  <c r="C48" i="14"/>
  <c r="C46" i="14"/>
  <c r="G49" i="14"/>
  <c r="G48" i="14"/>
  <c r="G46" i="14"/>
  <c r="K49" i="14"/>
  <c r="K48" i="14"/>
  <c r="K46" i="14"/>
  <c r="G57" i="14"/>
  <c r="G56" i="14"/>
  <c r="G55" i="14"/>
  <c r="G54" i="14"/>
  <c r="K57" i="14"/>
  <c r="K56" i="14"/>
  <c r="K55" i="14"/>
  <c r="K54" i="14"/>
  <c r="E65" i="14"/>
  <c r="E63" i="14"/>
  <c r="E67" i="14" s="1"/>
  <c r="I65" i="14"/>
  <c r="I63" i="14"/>
  <c r="I67" i="14" s="1"/>
  <c r="M65" i="14"/>
  <c r="M63" i="14"/>
  <c r="M67" i="14" s="1"/>
  <c r="E73" i="14"/>
  <c r="E71" i="14"/>
  <c r="E75" i="14" s="1"/>
  <c r="I73" i="14"/>
  <c r="I71" i="14"/>
  <c r="I75" i="14" s="1"/>
  <c r="M73" i="14"/>
  <c r="M71" i="14"/>
  <c r="M75" i="14" s="1"/>
  <c r="E81" i="14"/>
  <c r="E79" i="14"/>
  <c r="E83" i="14" s="1"/>
  <c r="I81" i="14"/>
  <c r="I79" i="14"/>
  <c r="I83" i="14" s="1"/>
  <c r="M81" i="14"/>
  <c r="M79" i="14"/>
  <c r="M83" i="14" s="1"/>
  <c r="E89" i="14"/>
  <c r="E87" i="14"/>
  <c r="E91" i="14" s="1"/>
  <c r="I89" i="14"/>
  <c r="I87" i="14"/>
  <c r="I91" i="14" s="1"/>
  <c r="M89" i="14"/>
  <c r="M87" i="14"/>
  <c r="M91" i="14" s="1"/>
  <c r="G109" i="14"/>
  <c r="K109" i="14"/>
  <c r="K108" i="14"/>
  <c r="C105" i="14"/>
  <c r="E107" i="14"/>
  <c r="E106" i="14"/>
  <c r="E105" i="14"/>
  <c r="E104" i="14"/>
  <c r="G108" i="14"/>
  <c r="I123" i="14"/>
  <c r="I121" i="14"/>
  <c r="I125" i="14" s="1"/>
  <c r="C10" i="14"/>
  <c r="K10" i="14"/>
  <c r="N10" i="14"/>
  <c r="O9" i="14" s="1"/>
  <c r="E7" i="14"/>
  <c r="I7" i="14"/>
  <c r="I11" i="14" s="1"/>
  <c r="M7" i="14"/>
  <c r="C19" i="14"/>
  <c r="K19" i="14"/>
  <c r="N18" i="14"/>
  <c r="O15" i="14" s="1"/>
  <c r="E15" i="14"/>
  <c r="E19" i="14" s="1"/>
  <c r="I15" i="14"/>
  <c r="I19" i="14" s="1"/>
  <c r="M15" i="14"/>
  <c r="M19" i="14" s="1"/>
  <c r="K27" i="14"/>
  <c r="N26" i="14"/>
  <c r="O23" i="14" s="1"/>
  <c r="E23" i="14"/>
  <c r="E27" i="14" s="1"/>
  <c r="I23" i="14"/>
  <c r="I27" i="14" s="1"/>
  <c r="M23" i="14"/>
  <c r="M26" i="14" s="1"/>
  <c r="O24" i="14"/>
  <c r="C35" i="14"/>
  <c r="G35" i="14"/>
  <c r="K35" i="14"/>
  <c r="N34" i="14"/>
  <c r="E31" i="14"/>
  <c r="E35" i="14" s="1"/>
  <c r="I31" i="14"/>
  <c r="I35" i="14" s="1"/>
  <c r="M31" i="14"/>
  <c r="M35" i="14" s="1"/>
  <c r="E40" i="14"/>
  <c r="E42" i="14" s="1"/>
  <c r="I40" i="14"/>
  <c r="M40" i="14"/>
  <c r="C47" i="14"/>
  <c r="G47" i="14"/>
  <c r="K47" i="14"/>
  <c r="E64" i="14"/>
  <c r="I64" i="14"/>
  <c r="M64" i="14"/>
  <c r="E72" i="14"/>
  <c r="I72" i="14"/>
  <c r="M72" i="14"/>
  <c r="E80" i="14"/>
  <c r="I80" i="14"/>
  <c r="M80" i="14"/>
  <c r="C109" i="14"/>
  <c r="C108" i="14"/>
  <c r="N108" i="14"/>
  <c r="O105" i="14" s="1"/>
  <c r="M107" i="14"/>
  <c r="M106" i="14"/>
  <c r="M105" i="14"/>
  <c r="M104" i="14"/>
  <c r="M109" i="14" s="1"/>
  <c r="G122" i="14"/>
  <c r="G120" i="14"/>
  <c r="C42" i="14"/>
  <c r="G42" i="14"/>
  <c r="K42" i="14"/>
  <c r="N50" i="14"/>
  <c r="C66" i="14"/>
  <c r="G66" i="14"/>
  <c r="K66" i="14"/>
  <c r="C75" i="14"/>
  <c r="G75" i="14"/>
  <c r="K75" i="14"/>
  <c r="N74" i="14"/>
  <c r="O73" i="14" s="1"/>
  <c r="C82" i="14"/>
  <c r="G82" i="14"/>
  <c r="K82" i="14"/>
  <c r="C91" i="14"/>
  <c r="C100" i="14"/>
  <c r="C125" i="14"/>
  <c r="K125" i="14"/>
  <c r="N124" i="14"/>
  <c r="O122" i="14" s="1"/>
  <c r="G96" i="14"/>
  <c r="O96" i="14"/>
  <c r="G97" i="14"/>
  <c r="O97" i="14"/>
  <c r="G98" i="14"/>
  <c r="O98" i="14"/>
  <c r="O99" i="14"/>
  <c r="E99" i="14"/>
  <c r="E98" i="14"/>
  <c r="E97" i="14"/>
  <c r="E96" i="14"/>
  <c r="I99" i="14"/>
  <c r="I98" i="14"/>
  <c r="I97" i="14"/>
  <c r="I96" i="14"/>
  <c r="M99" i="14"/>
  <c r="M98" i="14"/>
  <c r="M97" i="14"/>
  <c r="M96" i="14"/>
  <c r="C101" i="14"/>
  <c r="K101" i="14"/>
  <c r="E109" i="14"/>
  <c r="E108" i="14"/>
  <c r="I109" i="14"/>
  <c r="I108" i="14"/>
  <c r="M108" i="14"/>
  <c r="O123" i="14"/>
  <c r="N116" i="14"/>
  <c r="O112" i="14" s="1"/>
  <c r="C117" i="14"/>
  <c r="G117" i="14"/>
  <c r="K117" i="14"/>
  <c r="E124" i="14"/>
  <c r="I124" i="14"/>
  <c r="M124" i="14"/>
  <c r="E112" i="14"/>
  <c r="I112" i="14"/>
  <c r="M112" i="14"/>
  <c r="E113" i="14"/>
  <c r="I113" i="14"/>
  <c r="M113" i="14"/>
  <c r="E114" i="14"/>
  <c r="I114" i="14"/>
  <c r="M114" i="14"/>
  <c r="O22" i="14"/>
  <c r="G91" i="14"/>
  <c r="K91" i="14"/>
  <c r="N90" i="14"/>
  <c r="O87" i="14" s="1"/>
  <c r="O71" i="14"/>
  <c r="O89" i="14"/>
  <c r="O8" i="14"/>
  <c r="O6" i="14"/>
  <c r="G11" i="14"/>
  <c r="K11" i="14"/>
  <c r="E16" i="14"/>
  <c r="I16" i="14"/>
  <c r="M16" i="14"/>
  <c r="M18" i="14" s="1"/>
  <c r="C18" i="14"/>
  <c r="E18" i="14"/>
  <c r="O47" i="14"/>
  <c r="O49" i="14"/>
  <c r="O56" i="14"/>
  <c r="O54" i="14"/>
  <c r="O55" i="14"/>
  <c r="O57" i="14"/>
  <c r="O72" i="14"/>
  <c r="I26" i="14"/>
  <c r="K26" i="14"/>
  <c r="O33" i="14"/>
  <c r="O32" i="14"/>
  <c r="O31" i="14"/>
  <c r="O48" i="14"/>
  <c r="O30" i="14"/>
  <c r="C34" i="14"/>
  <c r="E34" i="14"/>
  <c r="G34" i="14"/>
  <c r="I34" i="14"/>
  <c r="K34" i="14"/>
  <c r="M34" i="14"/>
  <c r="N42" i="14"/>
  <c r="O41" i="14" s="1"/>
  <c r="C43" i="14"/>
  <c r="G43" i="14"/>
  <c r="K43" i="14"/>
  <c r="O46" i="14"/>
  <c r="C50" i="14"/>
  <c r="E50" i="14"/>
  <c r="G50" i="14"/>
  <c r="I50" i="14"/>
  <c r="K50" i="14"/>
  <c r="M50" i="14"/>
  <c r="G58" i="14"/>
  <c r="I58" i="14"/>
  <c r="K58" i="14"/>
  <c r="M58" i="14"/>
  <c r="N66" i="14"/>
  <c r="O65" i="14" s="1"/>
  <c r="C67" i="14"/>
  <c r="G67" i="14"/>
  <c r="K67" i="14"/>
  <c r="O70" i="14"/>
  <c r="C74" i="14"/>
  <c r="E74" i="14"/>
  <c r="G74" i="14"/>
  <c r="I74" i="14"/>
  <c r="K74" i="14"/>
  <c r="M74" i="14"/>
  <c r="N82" i="14"/>
  <c r="C83" i="14"/>
  <c r="G83" i="14"/>
  <c r="K83" i="14"/>
  <c r="O86" i="14"/>
  <c r="C90" i="14"/>
  <c r="E90" i="14"/>
  <c r="G90" i="14"/>
  <c r="I90" i="14"/>
  <c r="K90" i="14"/>
  <c r="M90" i="14"/>
  <c r="I42" i="14"/>
  <c r="M42" i="14"/>
  <c r="C58" i="14"/>
  <c r="E66" i="14"/>
  <c r="I66" i="14"/>
  <c r="M66" i="14"/>
  <c r="E82" i="14"/>
  <c r="I82" i="14"/>
  <c r="M82" i="14"/>
  <c r="C18" i="13"/>
  <c r="N17" i="13"/>
  <c r="O16" i="13" s="1"/>
  <c r="O15" i="13"/>
  <c r="C25" i="13"/>
  <c r="G25" i="13"/>
  <c r="K25" i="13"/>
  <c r="C34" i="13"/>
  <c r="G34" i="13"/>
  <c r="K34" i="13"/>
  <c r="N33" i="13"/>
  <c r="O32" i="13" s="1"/>
  <c r="E30" i="13"/>
  <c r="E34" i="13" s="1"/>
  <c r="I30" i="13"/>
  <c r="M30" i="13"/>
  <c r="M34" i="13" s="1"/>
  <c r="C41" i="13"/>
  <c r="G41" i="13"/>
  <c r="K41" i="13"/>
  <c r="E38" i="13"/>
  <c r="E42" i="13" s="1"/>
  <c r="I38" i="13"/>
  <c r="M38" i="13"/>
  <c r="M42" i="13" s="1"/>
  <c r="C50" i="13"/>
  <c r="G50" i="13"/>
  <c r="K50" i="13"/>
  <c r="N49" i="13"/>
  <c r="O46" i="13" s="1"/>
  <c r="E46" i="13"/>
  <c r="I46" i="13"/>
  <c r="I50" i="13" s="1"/>
  <c r="M46" i="13"/>
  <c r="C57" i="13"/>
  <c r="G57" i="13"/>
  <c r="K57" i="13"/>
  <c r="E54" i="13"/>
  <c r="I54" i="13"/>
  <c r="M54" i="13"/>
  <c r="C66" i="13"/>
  <c r="G66" i="13"/>
  <c r="K66" i="13"/>
  <c r="N65" i="13"/>
  <c r="E62" i="13"/>
  <c r="I62" i="13"/>
  <c r="M62" i="13"/>
  <c r="C73" i="13"/>
  <c r="G73" i="13"/>
  <c r="K73" i="13"/>
  <c r="E70" i="13"/>
  <c r="E74" i="13" s="1"/>
  <c r="I70" i="13"/>
  <c r="M70" i="13"/>
  <c r="M74" i="13" s="1"/>
  <c r="C82" i="13"/>
  <c r="G82" i="13"/>
  <c r="K82" i="13"/>
  <c r="N81" i="13"/>
  <c r="O78" i="13" s="1"/>
  <c r="E78" i="13"/>
  <c r="I78" i="13"/>
  <c r="I82" i="13" s="1"/>
  <c r="M78" i="13"/>
  <c r="O14" i="13"/>
  <c r="I34" i="13"/>
  <c r="O30" i="13"/>
  <c r="I42" i="13"/>
  <c r="E50" i="13"/>
  <c r="M50" i="13"/>
  <c r="O48" i="13"/>
  <c r="E58" i="13"/>
  <c r="I58" i="13"/>
  <c r="M58" i="13"/>
  <c r="E66" i="13"/>
  <c r="I66" i="13"/>
  <c r="M66" i="13"/>
  <c r="O62" i="13"/>
  <c r="O64" i="13"/>
  <c r="I74" i="13"/>
  <c r="E82" i="13"/>
  <c r="M82" i="13"/>
  <c r="O80" i="13"/>
  <c r="O8" i="13"/>
  <c r="O7" i="13"/>
  <c r="O6" i="13"/>
  <c r="O5" i="13"/>
  <c r="C10" i="13"/>
  <c r="G10" i="13"/>
  <c r="K10" i="13"/>
  <c r="E18" i="13"/>
  <c r="E17" i="13"/>
  <c r="I18" i="13"/>
  <c r="I17" i="13"/>
  <c r="M18" i="13"/>
  <c r="M17" i="13"/>
  <c r="O13" i="13"/>
  <c r="C17" i="13"/>
  <c r="O31" i="13"/>
  <c r="O47" i="13"/>
  <c r="O63" i="13"/>
  <c r="E9" i="13"/>
  <c r="I9" i="13"/>
  <c r="M9" i="13"/>
  <c r="G18" i="13"/>
  <c r="G17" i="13"/>
  <c r="K18" i="13"/>
  <c r="K17" i="13"/>
  <c r="N25" i="13"/>
  <c r="O23" i="13" s="1"/>
  <c r="C26" i="13"/>
  <c r="G26" i="13"/>
  <c r="K26" i="13"/>
  <c r="O29" i="13"/>
  <c r="C33" i="13"/>
  <c r="E33" i="13"/>
  <c r="G33" i="13"/>
  <c r="I33" i="13"/>
  <c r="K33" i="13"/>
  <c r="M33" i="13"/>
  <c r="N41" i="13"/>
  <c r="O39" i="13" s="1"/>
  <c r="C42" i="13"/>
  <c r="G42" i="13"/>
  <c r="K42" i="13"/>
  <c r="O45" i="13"/>
  <c r="C49" i="13"/>
  <c r="E49" i="13"/>
  <c r="G49" i="13"/>
  <c r="I49" i="13"/>
  <c r="K49" i="13"/>
  <c r="M49" i="13"/>
  <c r="N57" i="13"/>
  <c r="O56" i="13" s="1"/>
  <c r="C58" i="13"/>
  <c r="G58" i="13"/>
  <c r="K58" i="13"/>
  <c r="O61" i="13"/>
  <c r="C65" i="13"/>
  <c r="E65" i="13"/>
  <c r="G65" i="13"/>
  <c r="I65" i="13"/>
  <c r="K65" i="13"/>
  <c r="M65" i="13"/>
  <c r="N73" i="13"/>
  <c r="O69" i="13" s="1"/>
  <c r="C74" i="13"/>
  <c r="G74" i="13"/>
  <c r="K74" i="13"/>
  <c r="O77" i="13"/>
  <c r="C81" i="13"/>
  <c r="E81" i="13"/>
  <c r="G81" i="13"/>
  <c r="I81" i="13"/>
  <c r="K81" i="13"/>
  <c r="M81" i="13"/>
  <c r="E25" i="13"/>
  <c r="I25" i="13"/>
  <c r="M25" i="13"/>
  <c r="E41" i="13"/>
  <c r="I41" i="13"/>
  <c r="M41" i="13"/>
  <c r="E57" i="13"/>
  <c r="I57" i="13"/>
  <c r="M57" i="13"/>
  <c r="E73" i="13"/>
  <c r="I73" i="13"/>
  <c r="M73" i="13"/>
  <c r="N17" i="10"/>
  <c r="I16" i="10"/>
  <c r="G33" i="10"/>
  <c r="G41" i="10"/>
  <c r="C49" i="10"/>
  <c r="K49" i="10"/>
  <c r="G65" i="10"/>
  <c r="C33" i="10"/>
  <c r="K33" i="10"/>
  <c r="G49" i="10"/>
  <c r="C65" i="10"/>
  <c r="K65" i="10"/>
  <c r="E5" i="10"/>
  <c r="M5" i="10"/>
  <c r="I14" i="10"/>
  <c r="E15" i="10"/>
  <c r="M15" i="10"/>
  <c r="C10" i="10"/>
  <c r="R5" i="10" s="1"/>
  <c r="K10" i="10"/>
  <c r="C8" i="10"/>
  <c r="G5" i="10"/>
  <c r="G6" i="10"/>
  <c r="G7" i="10"/>
  <c r="E18" i="10"/>
  <c r="I18" i="10"/>
  <c r="M18" i="10"/>
  <c r="C14" i="10"/>
  <c r="C18" i="10" s="1"/>
  <c r="G14" i="10"/>
  <c r="G18" i="10" s="1"/>
  <c r="K14" i="10"/>
  <c r="K18" i="10" s="1"/>
  <c r="G17" i="10"/>
  <c r="C17" i="10"/>
  <c r="O6" i="10"/>
  <c r="O7" i="10"/>
  <c r="O8" i="10"/>
  <c r="O32" i="10"/>
  <c r="O31" i="10"/>
  <c r="O30" i="10"/>
  <c r="O29" i="10"/>
  <c r="O16" i="10"/>
  <c r="O15" i="10"/>
  <c r="O14" i="10"/>
  <c r="O13" i="10"/>
  <c r="O22" i="10"/>
  <c r="O23" i="10"/>
  <c r="O24" i="10"/>
  <c r="O5" i="10"/>
  <c r="E6" i="10"/>
  <c r="I6" i="10"/>
  <c r="I10" i="10" s="1"/>
  <c r="M6" i="10"/>
  <c r="M10" i="10" s="1"/>
  <c r="E7" i="10"/>
  <c r="I7" i="10"/>
  <c r="M7" i="10"/>
  <c r="C9" i="10"/>
  <c r="K9" i="10"/>
  <c r="E21" i="10"/>
  <c r="I21" i="10"/>
  <c r="M21" i="10"/>
  <c r="O21" i="10"/>
  <c r="E22" i="10"/>
  <c r="I22" i="10"/>
  <c r="M22" i="10"/>
  <c r="E23" i="10"/>
  <c r="I23" i="10"/>
  <c r="M23" i="10"/>
  <c r="C25" i="10"/>
  <c r="G25" i="10"/>
  <c r="K25" i="10"/>
  <c r="G42" i="10"/>
  <c r="E50" i="10"/>
  <c r="E49" i="10"/>
  <c r="I50" i="10"/>
  <c r="I49" i="10"/>
  <c r="M50" i="10"/>
  <c r="M49" i="10"/>
  <c r="O54" i="10"/>
  <c r="O55" i="10"/>
  <c r="O56" i="10"/>
  <c r="E17" i="10"/>
  <c r="I17" i="10"/>
  <c r="M17" i="10"/>
  <c r="E33" i="10"/>
  <c r="I33" i="10"/>
  <c r="M33" i="10"/>
  <c r="O37" i="10"/>
  <c r="O38" i="10"/>
  <c r="O39" i="10"/>
  <c r="O40" i="10"/>
  <c r="E40" i="10"/>
  <c r="E39" i="10"/>
  <c r="E38" i="10"/>
  <c r="E41" i="10" s="1"/>
  <c r="I40" i="10"/>
  <c r="I39" i="10"/>
  <c r="I38" i="10"/>
  <c r="M40" i="10"/>
  <c r="M39" i="10"/>
  <c r="M38" i="10"/>
  <c r="M41" i="10" s="1"/>
  <c r="C42" i="10"/>
  <c r="K42" i="10"/>
  <c r="O48" i="10"/>
  <c r="O47" i="10"/>
  <c r="O46" i="10"/>
  <c r="O50" i="10" s="1"/>
  <c r="O64" i="10"/>
  <c r="O63" i="10"/>
  <c r="O62" i="10"/>
  <c r="O61" i="10"/>
  <c r="O70" i="10"/>
  <c r="O71" i="10"/>
  <c r="O72" i="10"/>
  <c r="E53" i="10"/>
  <c r="I53" i="10"/>
  <c r="M53" i="10"/>
  <c r="O53" i="10"/>
  <c r="E54" i="10"/>
  <c r="I54" i="10"/>
  <c r="M54" i="10"/>
  <c r="E55" i="10"/>
  <c r="I55" i="10"/>
  <c r="M55" i="10"/>
  <c r="C57" i="10"/>
  <c r="G57" i="10"/>
  <c r="K57" i="10"/>
  <c r="E69" i="10"/>
  <c r="I69" i="10"/>
  <c r="M69" i="10"/>
  <c r="O69" i="10"/>
  <c r="E70" i="10"/>
  <c r="I70" i="10"/>
  <c r="M70" i="10"/>
  <c r="E71" i="10"/>
  <c r="I71" i="10"/>
  <c r="M71" i="10"/>
  <c r="C73" i="10"/>
  <c r="G73" i="10"/>
  <c r="K73" i="10"/>
  <c r="E65" i="10"/>
  <c r="I65" i="10"/>
  <c r="M65" i="10"/>
  <c r="E21" i="4"/>
  <c r="I21" i="4"/>
  <c r="M21" i="4"/>
  <c r="C18" i="4"/>
  <c r="C21" i="4" s="1"/>
  <c r="G18" i="4"/>
  <c r="G21" i="4" s="1"/>
  <c r="K18" i="4"/>
  <c r="K21" i="4" s="1"/>
  <c r="E28" i="4"/>
  <c r="I28" i="4"/>
  <c r="M28" i="4"/>
  <c r="C25" i="4"/>
  <c r="C28" i="4" s="1"/>
  <c r="G25" i="4"/>
  <c r="G28" i="4" s="1"/>
  <c r="K25" i="4"/>
  <c r="K28" i="4" s="1"/>
  <c r="C32" i="4"/>
  <c r="C35" i="4" s="1"/>
  <c r="K32" i="4"/>
  <c r="K35" i="4" s="1"/>
  <c r="G33" i="4"/>
  <c r="G35" i="4" s="1"/>
  <c r="E9" i="4"/>
  <c r="I9" i="4"/>
  <c r="M9" i="4"/>
  <c r="C5" i="4"/>
  <c r="C9" i="4" s="1"/>
  <c r="G5" i="4"/>
  <c r="G9" i="4" s="1"/>
  <c r="K5" i="4"/>
  <c r="K9" i="4" s="1"/>
  <c r="N35" i="4"/>
  <c r="O32" i="4" s="1"/>
  <c r="E32" i="4"/>
  <c r="E35" i="4" s="1"/>
  <c r="I32" i="4"/>
  <c r="I35" i="4" s="1"/>
  <c r="M32" i="4"/>
  <c r="M35" i="4" s="1"/>
  <c r="O34" i="4"/>
  <c r="O18" i="4"/>
  <c r="O20" i="4"/>
  <c r="O25" i="4"/>
  <c r="O27" i="4"/>
  <c r="N8" i="4"/>
  <c r="O5" i="4" s="1"/>
  <c r="O19" i="4"/>
  <c r="O26" i="4"/>
  <c r="O17" i="4"/>
  <c r="O24" i="4"/>
  <c r="E8" i="4"/>
  <c r="I8" i="4"/>
  <c r="M8" i="4"/>
  <c r="I31" i="3"/>
  <c r="E25" i="3"/>
  <c r="I25" i="3"/>
  <c r="K31" i="3"/>
  <c r="M29" i="3"/>
  <c r="M31" i="3" s="1"/>
  <c r="N31" i="3"/>
  <c r="O28" i="3" s="1"/>
  <c r="N19" i="3"/>
  <c r="O16" i="3" s="1"/>
  <c r="N25" i="3"/>
  <c r="O24" i="3" s="1"/>
  <c r="E4" i="2"/>
  <c r="E6" i="2"/>
  <c r="E14" i="2"/>
  <c r="E16" i="2"/>
  <c r="E18" i="2"/>
  <c r="E22" i="2"/>
  <c r="E24" i="2"/>
  <c r="C30" i="2"/>
  <c r="H30" i="2"/>
  <c r="H36" i="2" s="1"/>
  <c r="L30" i="2"/>
  <c r="P30" i="2"/>
  <c r="P36" i="2" s="1"/>
  <c r="H31" i="2"/>
  <c r="L31" i="2"/>
  <c r="P31" i="2"/>
  <c r="C32" i="2"/>
  <c r="H32" i="2"/>
  <c r="L32" i="2"/>
  <c r="P32" i="2"/>
  <c r="H33" i="2"/>
  <c r="L33" i="2"/>
  <c r="P33" i="2"/>
  <c r="C34" i="2"/>
  <c r="E40" i="2"/>
  <c r="N41" i="2"/>
  <c r="N43" i="2"/>
  <c r="N45" i="2"/>
  <c r="N47" i="2"/>
  <c r="E7" i="2"/>
  <c r="C10" i="2"/>
  <c r="E8" i="2"/>
  <c r="E48" i="2"/>
  <c r="J25" i="2"/>
  <c r="N25" i="2"/>
  <c r="R25" i="2"/>
  <c r="C48" i="2"/>
  <c r="E9" i="2"/>
  <c r="H19" i="2"/>
  <c r="L19" i="2"/>
  <c r="P19" i="2"/>
  <c r="L36" i="2"/>
  <c r="E35" i="2"/>
  <c r="F19" i="2"/>
  <c r="F25" i="2"/>
  <c r="F36" i="2"/>
  <c r="E13" i="2"/>
  <c r="C14" i="2"/>
  <c r="E15" i="2"/>
  <c r="C16" i="2"/>
  <c r="C22" i="2"/>
  <c r="C25" i="2" s="1"/>
  <c r="C29" i="2"/>
  <c r="E30" i="2"/>
  <c r="C31" i="2"/>
  <c r="E32" i="2"/>
  <c r="C33" i="2"/>
  <c r="N40" i="2"/>
  <c r="R40" i="2"/>
  <c r="H41" i="2"/>
  <c r="L41" i="2"/>
  <c r="P41" i="2"/>
  <c r="J42" i="2"/>
  <c r="N42" i="2"/>
  <c r="R42" i="2"/>
  <c r="H43" i="2"/>
  <c r="L43" i="2"/>
  <c r="P43" i="2"/>
  <c r="J44" i="2"/>
  <c r="N44" i="2"/>
  <c r="R44" i="2"/>
  <c r="H45" i="2"/>
  <c r="L45" i="2"/>
  <c r="P45" i="2"/>
  <c r="M597" i="1"/>
  <c r="K601" i="1"/>
  <c r="I596" i="1"/>
  <c r="I597" i="1"/>
  <c r="E596" i="1"/>
  <c r="K592" i="1"/>
  <c r="G587" i="1"/>
  <c r="N592" i="1"/>
  <c r="O588" i="1" s="1"/>
  <c r="G588" i="1"/>
  <c r="G589" i="1"/>
  <c r="G590" i="1"/>
  <c r="C593" i="1"/>
  <c r="K583" i="1"/>
  <c r="K584" i="1"/>
  <c r="E597" i="1"/>
  <c r="N601" i="1"/>
  <c r="O597" i="1" s="1"/>
  <c r="E588" i="1"/>
  <c r="E590" i="1"/>
  <c r="E598" i="1"/>
  <c r="I598" i="1"/>
  <c r="M598" i="1"/>
  <c r="E599" i="1"/>
  <c r="I599" i="1"/>
  <c r="M599" i="1"/>
  <c r="E580" i="1"/>
  <c r="E584" i="1" s="1"/>
  <c r="O579" i="1"/>
  <c r="C569" i="1"/>
  <c r="C571" i="1"/>
  <c r="C573" i="1"/>
  <c r="C570" i="1"/>
  <c r="O570" i="1"/>
  <c r="O572" i="1"/>
  <c r="M566" i="1"/>
  <c r="M565" i="1"/>
  <c r="I562" i="1"/>
  <c r="I563" i="1"/>
  <c r="C561" i="1"/>
  <c r="O561" i="1"/>
  <c r="C563" i="1"/>
  <c r="C560" i="1"/>
  <c r="C562" i="1"/>
  <c r="C566" i="1" s="1"/>
  <c r="C552" i="1"/>
  <c r="O552" i="1"/>
  <c r="C554" i="1"/>
  <c r="O554" i="1"/>
  <c r="C551" i="1"/>
  <c r="C553" i="1"/>
  <c r="C543" i="1"/>
  <c r="O543" i="1"/>
  <c r="C545" i="1"/>
  <c r="C542" i="1"/>
  <c r="C544" i="1"/>
  <c r="C548" i="1" s="1"/>
  <c r="C534" i="1"/>
  <c r="O534" i="1"/>
  <c r="C536" i="1"/>
  <c r="C533" i="1"/>
  <c r="C535" i="1"/>
  <c r="C539" i="1" s="1"/>
  <c r="C525" i="1"/>
  <c r="O525" i="1"/>
  <c r="C527" i="1"/>
  <c r="O527" i="1"/>
  <c r="C524" i="1"/>
  <c r="C526" i="1"/>
  <c r="C516" i="1"/>
  <c r="O516" i="1"/>
  <c r="C518" i="1"/>
  <c r="C515" i="1"/>
  <c r="C517" i="1"/>
  <c r="C521" i="1" s="1"/>
  <c r="C506" i="1"/>
  <c r="O506" i="1"/>
  <c r="C508" i="1"/>
  <c r="C505" i="1"/>
  <c r="C507" i="1"/>
  <c r="C511" i="1" s="1"/>
  <c r="C497" i="1"/>
  <c r="O497" i="1"/>
  <c r="C499" i="1"/>
  <c r="C496" i="1"/>
  <c r="C498" i="1"/>
  <c r="C502" i="1" s="1"/>
  <c r="C488" i="1"/>
  <c r="O488" i="1"/>
  <c r="C490" i="1"/>
  <c r="C487" i="1"/>
  <c r="C489" i="1"/>
  <c r="C493" i="1" s="1"/>
  <c r="C479" i="1"/>
  <c r="O479" i="1"/>
  <c r="C481" i="1"/>
  <c r="C478" i="1"/>
  <c r="C480" i="1"/>
  <c r="C484" i="1" s="1"/>
  <c r="C470" i="1"/>
  <c r="O470" i="1"/>
  <c r="C472" i="1"/>
  <c r="C469" i="1"/>
  <c r="C471" i="1"/>
  <c r="C475" i="1" s="1"/>
  <c r="C461" i="1"/>
  <c r="O461" i="1"/>
  <c r="C463" i="1"/>
  <c r="C460" i="1"/>
  <c r="C462" i="1"/>
  <c r="C466" i="1" s="1"/>
  <c r="C452" i="1"/>
  <c r="O452" i="1"/>
  <c r="C454" i="1"/>
  <c r="C451" i="1"/>
  <c r="C453" i="1"/>
  <c r="C457" i="1" s="1"/>
  <c r="C443" i="1"/>
  <c r="O443" i="1"/>
  <c r="C445" i="1"/>
  <c r="C442" i="1"/>
  <c r="C444" i="1"/>
  <c r="C448" i="1" s="1"/>
  <c r="M434" i="1"/>
  <c r="M436" i="1"/>
  <c r="M433" i="1"/>
  <c r="M435" i="1"/>
  <c r="M439" i="1" s="1"/>
  <c r="K433" i="1"/>
  <c r="K435" i="1"/>
  <c r="K437" i="1"/>
  <c r="K434" i="1"/>
  <c r="I434" i="1"/>
  <c r="I436" i="1"/>
  <c r="I433" i="1"/>
  <c r="I435" i="1"/>
  <c r="I439" i="1" s="1"/>
  <c r="G433" i="1"/>
  <c r="G435" i="1"/>
  <c r="G437" i="1"/>
  <c r="G434" i="1"/>
  <c r="E434" i="1"/>
  <c r="E436" i="1"/>
  <c r="E433" i="1"/>
  <c r="E435" i="1"/>
  <c r="E439" i="1" s="1"/>
  <c r="C579" i="1"/>
  <c r="C583" i="1" s="1"/>
  <c r="O582" i="1"/>
  <c r="O581" i="1"/>
  <c r="O580" i="1"/>
  <c r="O578" i="1"/>
  <c r="O571" i="1"/>
  <c r="O575" i="1" s="1"/>
  <c r="O569" i="1"/>
  <c r="O564" i="1"/>
  <c r="O563" i="1"/>
  <c r="O562" i="1"/>
  <c r="O560" i="1"/>
  <c r="O553" i="1"/>
  <c r="O551" i="1"/>
  <c r="O546" i="1"/>
  <c r="O545" i="1"/>
  <c r="O544" i="1"/>
  <c r="O542" i="1"/>
  <c r="O537" i="1"/>
  <c r="O536" i="1"/>
  <c r="O535" i="1"/>
  <c r="O533" i="1"/>
  <c r="O526" i="1"/>
  <c r="O524" i="1"/>
  <c r="O519" i="1"/>
  <c r="O518" i="1"/>
  <c r="O517" i="1"/>
  <c r="O515" i="1"/>
  <c r="O509" i="1"/>
  <c r="O508" i="1"/>
  <c r="O507" i="1"/>
  <c r="O505" i="1"/>
  <c r="O500" i="1"/>
  <c r="O499" i="1"/>
  <c r="O498" i="1"/>
  <c r="O496" i="1"/>
  <c r="O491" i="1"/>
  <c r="O490" i="1"/>
  <c r="O489" i="1"/>
  <c r="O487" i="1"/>
  <c r="O482" i="1"/>
  <c r="O481" i="1"/>
  <c r="O480" i="1"/>
  <c r="O478" i="1"/>
  <c r="O473" i="1"/>
  <c r="O472" i="1"/>
  <c r="O471" i="1"/>
  <c r="O469" i="1"/>
  <c r="O464" i="1"/>
  <c r="O463" i="1"/>
  <c r="O462" i="1"/>
  <c r="O460" i="1"/>
  <c r="O455" i="1"/>
  <c r="O454" i="1"/>
  <c r="O453" i="1"/>
  <c r="O451" i="1"/>
  <c r="O446" i="1"/>
  <c r="O445" i="1"/>
  <c r="O444" i="1"/>
  <c r="O442" i="1"/>
  <c r="O433" i="1"/>
  <c r="O435" i="1"/>
  <c r="O437" i="1"/>
  <c r="O434" i="1"/>
  <c r="I272" i="1"/>
  <c r="I274" i="1"/>
  <c r="I273" i="1"/>
  <c r="N428" i="1"/>
  <c r="M428" i="1"/>
  <c r="K428" i="1"/>
  <c r="I428" i="1"/>
  <c r="G428" i="1"/>
  <c r="E428" i="1"/>
  <c r="C428" i="1"/>
  <c r="N427" i="1"/>
  <c r="M427" i="1"/>
  <c r="K427" i="1"/>
  <c r="I427" i="1"/>
  <c r="G427" i="1"/>
  <c r="E427" i="1"/>
  <c r="C427" i="1"/>
  <c r="N424" i="1"/>
  <c r="M424" i="1"/>
  <c r="K424" i="1"/>
  <c r="I424" i="1"/>
  <c r="G424" i="1"/>
  <c r="E424" i="1"/>
  <c r="C424" i="1"/>
  <c r="N423" i="1"/>
  <c r="M423" i="1"/>
  <c r="K423" i="1"/>
  <c r="I423" i="1"/>
  <c r="G423" i="1"/>
  <c r="E423" i="1"/>
  <c r="C423" i="1"/>
  <c r="N422" i="1"/>
  <c r="M422" i="1"/>
  <c r="K422" i="1"/>
  <c r="I422" i="1"/>
  <c r="G422" i="1"/>
  <c r="E422" i="1"/>
  <c r="C422" i="1"/>
  <c r="B48" i="1"/>
  <c r="O530" i="1" l="1"/>
  <c r="O557" i="1"/>
  <c r="K59" i="14"/>
  <c r="G59" i="14"/>
  <c r="C26" i="14"/>
  <c r="G19" i="14"/>
  <c r="G10" i="14"/>
  <c r="G19" i="3"/>
  <c r="G602" i="1"/>
  <c r="O121" i="14"/>
  <c r="C592" i="1"/>
  <c r="O88" i="14"/>
  <c r="M19" i="3"/>
  <c r="E19" i="3"/>
  <c r="I583" i="1"/>
  <c r="M583" i="1"/>
  <c r="O6" i="4"/>
  <c r="G105" i="1"/>
  <c r="O448" i="1"/>
  <c r="O484" i="1"/>
  <c r="O502" i="1"/>
  <c r="O548" i="1"/>
  <c r="C529" i="1"/>
  <c r="I565" i="1"/>
  <c r="I602" i="1"/>
  <c r="E592" i="1"/>
  <c r="G8" i="4"/>
  <c r="O4" i="4"/>
  <c r="O7" i="4"/>
  <c r="O120" i="14"/>
  <c r="O125" i="14" s="1"/>
  <c r="O106" i="14"/>
  <c r="O12" i="3"/>
  <c r="E105" i="1"/>
  <c r="O456" i="1"/>
  <c r="O474" i="1"/>
  <c r="O492" i="1"/>
  <c r="O510" i="1"/>
  <c r="O538" i="1"/>
  <c r="O574" i="1"/>
  <c r="I438" i="1"/>
  <c r="M438" i="1"/>
  <c r="C520" i="1"/>
  <c r="G592" i="1"/>
  <c r="M601" i="1"/>
  <c r="O104" i="14"/>
  <c r="O109" i="14" s="1"/>
  <c r="I105" i="1"/>
  <c r="C438" i="1"/>
  <c r="I10" i="14"/>
  <c r="O7" i="14"/>
  <c r="C27" i="14"/>
  <c r="M11" i="14"/>
  <c r="E11" i="14"/>
  <c r="G18" i="14"/>
  <c r="M27" i="14"/>
  <c r="O16" i="14"/>
  <c r="E26" i="14"/>
  <c r="M10" i="14"/>
  <c r="E10" i="14"/>
  <c r="I18" i="14"/>
  <c r="O14" i="14"/>
  <c r="O19" i="14" s="1"/>
  <c r="O17" i="14"/>
  <c r="O27" i="14"/>
  <c r="O113" i="14"/>
  <c r="O117" i="14" s="1"/>
  <c r="O107" i="14"/>
  <c r="K51" i="14"/>
  <c r="C51" i="14"/>
  <c r="O25" i="14"/>
  <c r="O26" i="14" s="1"/>
  <c r="O115" i="14"/>
  <c r="G125" i="14"/>
  <c r="G124" i="14"/>
  <c r="G51" i="14"/>
  <c r="I117" i="14"/>
  <c r="I116" i="14"/>
  <c r="O114" i="14"/>
  <c r="O100" i="14"/>
  <c r="O101" i="14"/>
  <c r="M117" i="14"/>
  <c r="M116" i="14"/>
  <c r="E117" i="14"/>
  <c r="E116" i="14"/>
  <c r="M101" i="14"/>
  <c r="M100" i="14"/>
  <c r="I101" i="14"/>
  <c r="I100" i="14"/>
  <c r="E101" i="14"/>
  <c r="E100" i="14"/>
  <c r="G100" i="14"/>
  <c r="G101" i="14"/>
  <c r="O38" i="14"/>
  <c r="O39" i="14"/>
  <c r="O91" i="14"/>
  <c r="O90" i="14"/>
  <c r="O81" i="14"/>
  <c r="O80" i="14"/>
  <c r="O79" i="14"/>
  <c r="O51" i="14"/>
  <c r="O50" i="14"/>
  <c r="O63" i="14"/>
  <c r="O40" i="14"/>
  <c r="O78" i="14"/>
  <c r="O64" i="14"/>
  <c r="O59" i="14"/>
  <c r="O58" i="14"/>
  <c r="O75" i="14"/>
  <c r="O74" i="14"/>
  <c r="O35" i="14"/>
  <c r="O34" i="14"/>
  <c r="O62" i="14"/>
  <c r="O10" i="14"/>
  <c r="O11" i="14"/>
  <c r="O40" i="13"/>
  <c r="O79" i="13"/>
  <c r="O37" i="13"/>
  <c r="O82" i="13"/>
  <c r="O81" i="13"/>
  <c r="O72" i="13"/>
  <c r="O71" i="13"/>
  <c r="O70" i="13"/>
  <c r="O50" i="13"/>
  <c r="O49" i="13"/>
  <c r="O54" i="13"/>
  <c r="O38" i="13"/>
  <c r="O22" i="13"/>
  <c r="O53" i="13"/>
  <c r="O21" i="13"/>
  <c r="O18" i="13"/>
  <c r="O17" i="13"/>
  <c r="O9" i="13"/>
  <c r="O10" i="13"/>
  <c r="O66" i="13"/>
  <c r="O65" i="13"/>
  <c r="O34" i="13"/>
  <c r="O33" i="13"/>
  <c r="O24" i="13"/>
  <c r="O74" i="13"/>
  <c r="O55" i="13"/>
  <c r="O41" i="13"/>
  <c r="I41" i="10"/>
  <c r="E10" i="10"/>
  <c r="K17" i="10"/>
  <c r="G9" i="10"/>
  <c r="G10" i="10"/>
  <c r="I9" i="10"/>
  <c r="M74" i="10"/>
  <c r="M73" i="10"/>
  <c r="E74" i="10"/>
  <c r="E73" i="10"/>
  <c r="O58" i="10"/>
  <c r="O57" i="10"/>
  <c r="I58" i="10"/>
  <c r="I57" i="10"/>
  <c r="O41" i="10"/>
  <c r="O42" i="10"/>
  <c r="O26" i="10"/>
  <c r="O25" i="10"/>
  <c r="I26" i="10"/>
  <c r="I25" i="10"/>
  <c r="M9" i="10"/>
  <c r="E9" i="10"/>
  <c r="O10" i="10"/>
  <c r="O9" i="10"/>
  <c r="O49" i="10"/>
  <c r="O17" i="10"/>
  <c r="O18" i="10"/>
  <c r="M42" i="10"/>
  <c r="I42" i="10"/>
  <c r="E42" i="10"/>
  <c r="O74" i="10"/>
  <c r="O73" i="10"/>
  <c r="I74" i="10"/>
  <c r="I73" i="10"/>
  <c r="M58" i="10"/>
  <c r="M57" i="10"/>
  <c r="E58" i="10"/>
  <c r="E57" i="10"/>
  <c r="O65" i="10"/>
  <c r="O66" i="10"/>
  <c r="M26" i="10"/>
  <c r="M25" i="10"/>
  <c r="E26" i="10"/>
  <c r="E25" i="10"/>
  <c r="O33" i="10"/>
  <c r="O34" i="10"/>
  <c r="K8" i="4"/>
  <c r="C8" i="4"/>
  <c r="O31" i="4"/>
  <c r="O21" i="4"/>
  <c r="O33" i="4"/>
  <c r="O28" i="4"/>
  <c r="O9" i="4"/>
  <c r="O8" i="4"/>
  <c r="O15" i="3"/>
  <c r="O18" i="3"/>
  <c r="O30" i="3"/>
  <c r="O29" i="3"/>
  <c r="O17" i="3"/>
  <c r="O23" i="3"/>
  <c r="O22" i="3"/>
  <c r="E10" i="2"/>
  <c r="E25" i="2"/>
  <c r="J48" i="2"/>
  <c r="L48" i="2"/>
  <c r="C36" i="2"/>
  <c r="C19" i="2"/>
  <c r="P48" i="2"/>
  <c r="H48" i="2"/>
  <c r="N48" i="2"/>
  <c r="E36" i="2"/>
  <c r="E19" i="2"/>
  <c r="R48" i="2"/>
  <c r="C556" i="1"/>
  <c r="M602" i="1"/>
  <c r="O600" i="1"/>
  <c r="I601" i="1"/>
  <c r="O596" i="1"/>
  <c r="O598" i="1"/>
  <c r="O587" i="1"/>
  <c r="O590" i="1"/>
  <c r="O589" i="1"/>
  <c r="O591" i="1"/>
  <c r="G593" i="1"/>
  <c r="E593" i="1"/>
  <c r="O599" i="1"/>
  <c r="E602" i="1"/>
  <c r="E601" i="1"/>
  <c r="O583" i="1"/>
  <c r="E583" i="1"/>
  <c r="O584" i="1"/>
  <c r="C575" i="1"/>
  <c r="C574" i="1"/>
  <c r="O565" i="1"/>
  <c r="I566" i="1"/>
  <c r="O566" i="1"/>
  <c r="C565" i="1"/>
  <c r="O556" i="1"/>
  <c r="C557" i="1"/>
  <c r="O547" i="1"/>
  <c r="C547" i="1"/>
  <c r="O539" i="1"/>
  <c r="C538" i="1"/>
  <c r="O529" i="1"/>
  <c r="C530" i="1"/>
  <c r="O520" i="1"/>
  <c r="O521" i="1"/>
  <c r="O511" i="1"/>
  <c r="C510" i="1"/>
  <c r="O501" i="1"/>
  <c r="C501" i="1"/>
  <c r="O493" i="1"/>
  <c r="C492" i="1"/>
  <c r="O483" i="1"/>
  <c r="C483" i="1"/>
  <c r="O475" i="1"/>
  <c r="C474" i="1"/>
  <c r="O466" i="1"/>
  <c r="O465" i="1"/>
  <c r="C465" i="1"/>
  <c r="O457" i="1"/>
  <c r="C456" i="1"/>
  <c r="O447" i="1"/>
  <c r="C447" i="1"/>
  <c r="K438" i="1"/>
  <c r="K439" i="1"/>
  <c r="G438" i="1"/>
  <c r="G439" i="1"/>
  <c r="E438" i="1"/>
  <c r="O439" i="1"/>
  <c r="O438" i="1"/>
  <c r="A16" i="16"/>
  <c r="A27" i="16"/>
  <c r="A17" i="16"/>
  <c r="A18" i="16"/>
  <c r="A19" i="16"/>
  <c r="A20" i="16"/>
  <c r="A21" i="16"/>
  <c r="A22" i="16"/>
  <c r="A23" i="16"/>
  <c r="A24" i="16"/>
  <c r="A25" i="16"/>
  <c r="A26" i="16"/>
  <c r="Q7" i="14"/>
  <c r="Q14" i="13"/>
  <c r="Q12" i="13"/>
  <c r="Q10" i="13"/>
  <c r="Q8" i="13"/>
  <c r="Q6" i="13"/>
  <c r="L186" i="1"/>
  <c r="M185" i="1" s="1"/>
  <c r="J186" i="1"/>
  <c r="H186" i="1"/>
  <c r="F186" i="1"/>
  <c r="D186" i="1"/>
  <c r="B186" i="1"/>
  <c r="L178" i="1"/>
  <c r="M177" i="1" s="1"/>
  <c r="J178" i="1"/>
  <c r="H178" i="1"/>
  <c r="F178" i="1"/>
  <c r="D178" i="1"/>
  <c r="B178" i="1"/>
  <c r="L170" i="1"/>
  <c r="M169" i="1" s="1"/>
  <c r="J170" i="1"/>
  <c r="H170" i="1"/>
  <c r="F170" i="1"/>
  <c r="D170" i="1"/>
  <c r="B170" i="1"/>
  <c r="L162" i="1"/>
  <c r="M161" i="1" s="1"/>
  <c r="J162" i="1"/>
  <c r="H162" i="1"/>
  <c r="F162" i="1"/>
  <c r="D162" i="1"/>
  <c r="B162" i="1"/>
  <c r="L154" i="1"/>
  <c r="M153" i="1" s="1"/>
  <c r="J154" i="1"/>
  <c r="H154" i="1"/>
  <c r="F154" i="1"/>
  <c r="D154" i="1"/>
  <c r="B154" i="1"/>
  <c r="L146" i="1"/>
  <c r="M145" i="1" s="1"/>
  <c r="J146" i="1"/>
  <c r="H146" i="1"/>
  <c r="F146" i="1"/>
  <c r="D146" i="1"/>
  <c r="B146" i="1"/>
  <c r="L138" i="1"/>
  <c r="M137" i="1" s="1"/>
  <c r="J138" i="1"/>
  <c r="H138" i="1"/>
  <c r="F138" i="1"/>
  <c r="D138" i="1"/>
  <c r="B138" i="1"/>
  <c r="L130" i="1"/>
  <c r="M129" i="1" s="1"/>
  <c r="J130" i="1"/>
  <c r="H130" i="1"/>
  <c r="F130" i="1"/>
  <c r="D130" i="1"/>
  <c r="B130" i="1"/>
  <c r="L122" i="1"/>
  <c r="M121" i="1" s="1"/>
  <c r="J122" i="1"/>
  <c r="H122" i="1"/>
  <c r="F122" i="1"/>
  <c r="D122" i="1"/>
  <c r="B122" i="1"/>
  <c r="Q25" i="1"/>
  <c r="O25" i="1"/>
  <c r="M25" i="1"/>
  <c r="K25" i="1"/>
  <c r="I25" i="1"/>
  <c r="G25" i="1"/>
  <c r="B25" i="1"/>
  <c r="M419" i="1"/>
  <c r="M27" i="16" s="1"/>
  <c r="I27" i="16"/>
  <c r="E27" i="16"/>
  <c r="M418" i="1"/>
  <c r="M417" i="1"/>
  <c r="M25" i="16" s="1"/>
  <c r="M416" i="1"/>
  <c r="M415" i="1"/>
  <c r="M23" i="16" s="1"/>
  <c r="M414" i="1"/>
  <c r="M413" i="1"/>
  <c r="M21" i="16" s="1"/>
  <c r="M412" i="1"/>
  <c r="M411" i="1"/>
  <c r="M19" i="16" s="1"/>
  <c r="M410" i="1"/>
  <c r="M409" i="1"/>
  <c r="M17" i="16" s="1"/>
  <c r="K25" i="16"/>
  <c r="K23" i="16"/>
  <c r="K21" i="16"/>
  <c r="K19" i="16"/>
  <c r="K17" i="16"/>
  <c r="I25" i="16"/>
  <c r="I23" i="16"/>
  <c r="I21" i="16"/>
  <c r="I19" i="16"/>
  <c r="I17" i="16"/>
  <c r="G25" i="16"/>
  <c r="G23" i="16"/>
  <c r="G21" i="16"/>
  <c r="G19" i="16"/>
  <c r="G17" i="16"/>
  <c r="E25" i="16"/>
  <c r="E23" i="16"/>
  <c r="E21" i="16"/>
  <c r="E19" i="16"/>
  <c r="E17" i="16"/>
  <c r="C26" i="16"/>
  <c r="C24" i="16"/>
  <c r="C22" i="16"/>
  <c r="C20" i="16"/>
  <c r="C18" i="16"/>
  <c r="M397" i="1"/>
  <c r="M5" i="16" s="1"/>
  <c r="M398" i="1"/>
  <c r="M6" i="16" s="1"/>
  <c r="M399" i="1"/>
  <c r="M7" i="16" s="1"/>
  <c r="M400" i="1"/>
  <c r="M8" i="16" s="1"/>
  <c r="M401" i="1"/>
  <c r="M9" i="16" s="1"/>
  <c r="M402" i="1"/>
  <c r="M10" i="16" s="1"/>
  <c r="M403" i="1"/>
  <c r="M11" i="16" s="1"/>
  <c r="M404" i="1"/>
  <c r="M12" i="16" s="1"/>
  <c r="M405" i="1"/>
  <c r="M13" i="16" s="1"/>
  <c r="M396" i="1"/>
  <c r="M4" i="16" s="1"/>
  <c r="L389" i="1"/>
  <c r="M388" i="1" s="1"/>
  <c r="J389" i="1"/>
  <c r="H389" i="1"/>
  <c r="F389" i="1"/>
  <c r="D389" i="1"/>
  <c r="B389" i="1"/>
  <c r="L381" i="1"/>
  <c r="M380" i="1" s="1"/>
  <c r="J381" i="1"/>
  <c r="H381" i="1"/>
  <c r="F381" i="1"/>
  <c r="D381" i="1"/>
  <c r="B381" i="1"/>
  <c r="L373" i="1"/>
  <c r="M372" i="1" s="1"/>
  <c r="J373" i="1"/>
  <c r="H373" i="1"/>
  <c r="F373" i="1"/>
  <c r="D373" i="1"/>
  <c r="B373" i="1"/>
  <c r="L365" i="1"/>
  <c r="M364" i="1" s="1"/>
  <c r="J365" i="1"/>
  <c r="H365" i="1"/>
  <c r="F365" i="1"/>
  <c r="D365" i="1"/>
  <c r="B365" i="1"/>
  <c r="B356" i="1"/>
  <c r="L356" i="1"/>
  <c r="M355" i="1" s="1"/>
  <c r="J356" i="1"/>
  <c r="H356" i="1"/>
  <c r="F356" i="1"/>
  <c r="D356" i="1"/>
  <c r="L348" i="1"/>
  <c r="M347" i="1" s="1"/>
  <c r="J348" i="1"/>
  <c r="H348" i="1"/>
  <c r="F348" i="1"/>
  <c r="D348" i="1"/>
  <c r="B348" i="1"/>
  <c r="L340" i="1"/>
  <c r="M339" i="1" s="1"/>
  <c r="J340" i="1"/>
  <c r="H340" i="1"/>
  <c r="F340" i="1"/>
  <c r="D340" i="1"/>
  <c r="B340" i="1"/>
  <c r="L332" i="1"/>
  <c r="M331" i="1" s="1"/>
  <c r="J332" i="1"/>
  <c r="H332" i="1"/>
  <c r="F332" i="1"/>
  <c r="D332" i="1"/>
  <c r="B332" i="1"/>
  <c r="L324" i="1"/>
  <c r="M323" i="1" s="1"/>
  <c r="J324" i="1"/>
  <c r="H324" i="1"/>
  <c r="F324" i="1"/>
  <c r="D324" i="1"/>
  <c r="B324" i="1"/>
  <c r="L316" i="1"/>
  <c r="M315" i="1" s="1"/>
  <c r="J316" i="1"/>
  <c r="H316" i="1"/>
  <c r="F316" i="1"/>
  <c r="D316" i="1"/>
  <c r="B316" i="1"/>
  <c r="L308" i="1"/>
  <c r="M307" i="1" s="1"/>
  <c r="J308" i="1"/>
  <c r="H308" i="1"/>
  <c r="F308" i="1"/>
  <c r="D308" i="1"/>
  <c r="B308" i="1"/>
  <c r="L300" i="1"/>
  <c r="M299" i="1" s="1"/>
  <c r="J300" i="1"/>
  <c r="H300" i="1"/>
  <c r="F300" i="1"/>
  <c r="D300" i="1"/>
  <c r="B300" i="1"/>
  <c r="L292" i="1"/>
  <c r="M291" i="1" s="1"/>
  <c r="J292" i="1"/>
  <c r="H292" i="1"/>
  <c r="F292" i="1"/>
  <c r="D292" i="1"/>
  <c r="B292" i="1"/>
  <c r="L284" i="1"/>
  <c r="M282" i="1" s="1"/>
  <c r="J284" i="1"/>
  <c r="H284" i="1"/>
  <c r="F284" i="1"/>
  <c r="D284" i="1"/>
  <c r="B284" i="1"/>
  <c r="M283" i="1"/>
  <c r="L276" i="1"/>
  <c r="M275" i="1" s="1"/>
  <c r="J276" i="1"/>
  <c r="F276" i="1"/>
  <c r="D276" i="1"/>
  <c r="B276" i="1"/>
  <c r="L267" i="1"/>
  <c r="J267" i="1"/>
  <c r="H267" i="1"/>
  <c r="F267" i="1"/>
  <c r="D267" i="1"/>
  <c r="B267" i="1"/>
  <c r="L259" i="1"/>
  <c r="J259" i="1"/>
  <c r="H259" i="1"/>
  <c r="F259" i="1"/>
  <c r="D259" i="1"/>
  <c r="B259" i="1"/>
  <c r="L251" i="1"/>
  <c r="J251" i="1"/>
  <c r="H251" i="1"/>
  <c r="F251" i="1"/>
  <c r="D251" i="1"/>
  <c r="B251" i="1"/>
  <c r="L243" i="1"/>
  <c r="J243" i="1"/>
  <c r="H243" i="1"/>
  <c r="F243" i="1"/>
  <c r="D243" i="1"/>
  <c r="B243" i="1"/>
  <c r="L235" i="1"/>
  <c r="J235" i="1"/>
  <c r="H235" i="1"/>
  <c r="F235" i="1"/>
  <c r="D235" i="1"/>
  <c r="B235" i="1"/>
  <c r="L227" i="1"/>
  <c r="J227" i="1"/>
  <c r="H227" i="1"/>
  <c r="F227" i="1"/>
  <c r="D227" i="1"/>
  <c r="B227" i="1"/>
  <c r="L219" i="1"/>
  <c r="J219" i="1"/>
  <c r="H219" i="1"/>
  <c r="F219" i="1"/>
  <c r="D219" i="1"/>
  <c r="B219" i="1"/>
  <c r="L211" i="1"/>
  <c r="J211" i="1"/>
  <c r="H211" i="1"/>
  <c r="F211" i="1"/>
  <c r="D211" i="1"/>
  <c r="B211" i="1"/>
  <c r="L203" i="1"/>
  <c r="J203" i="1"/>
  <c r="H203" i="1"/>
  <c r="F203" i="1"/>
  <c r="D203" i="1"/>
  <c r="B203" i="1"/>
  <c r="L195" i="1"/>
  <c r="J195" i="1"/>
  <c r="H195" i="1"/>
  <c r="F195" i="1"/>
  <c r="D195" i="1"/>
  <c r="B195" i="1"/>
  <c r="M194" i="1"/>
  <c r="L112" i="1"/>
  <c r="J112" i="1"/>
  <c r="H112" i="1"/>
  <c r="F112" i="1"/>
  <c r="D112" i="1"/>
  <c r="B112" i="1"/>
  <c r="L98" i="1"/>
  <c r="M96" i="1" s="1"/>
  <c r="J98" i="1"/>
  <c r="H98" i="1"/>
  <c r="F98" i="1"/>
  <c r="D98" i="1"/>
  <c r="B98" i="1"/>
  <c r="B91" i="1"/>
  <c r="N97" i="1"/>
  <c r="L91" i="1"/>
  <c r="M89" i="1" s="1"/>
  <c r="J91" i="1"/>
  <c r="H91" i="1"/>
  <c r="F91" i="1"/>
  <c r="D91" i="1"/>
  <c r="N96" i="1"/>
  <c r="N95" i="1"/>
  <c r="N94" i="1"/>
  <c r="N88" i="1"/>
  <c r="N89" i="1"/>
  <c r="N90" i="1"/>
  <c r="N87" i="1"/>
  <c r="N82" i="1"/>
  <c r="N84" i="1"/>
  <c r="N83" i="1"/>
  <c r="L79" i="1"/>
  <c r="M78" i="1" s="1"/>
  <c r="J79" i="1"/>
  <c r="H79" i="1"/>
  <c r="F79" i="1"/>
  <c r="D79" i="1"/>
  <c r="B79" i="1"/>
  <c r="L73" i="1"/>
  <c r="M72" i="1" s="1"/>
  <c r="J73" i="1"/>
  <c r="K71" i="1" s="1"/>
  <c r="H73" i="1"/>
  <c r="I72" i="1" s="1"/>
  <c r="F73" i="1"/>
  <c r="G72" i="1" s="1"/>
  <c r="D73" i="1"/>
  <c r="E72" i="1" s="1"/>
  <c r="B73" i="1"/>
  <c r="C72" i="1" s="1"/>
  <c r="N72" i="1"/>
  <c r="K72" i="1"/>
  <c r="N71" i="1"/>
  <c r="N70" i="1"/>
  <c r="B67" i="1"/>
  <c r="H60" i="1"/>
  <c r="F46" i="1"/>
  <c r="F45" i="1"/>
  <c r="F44" i="1"/>
  <c r="F43" i="1"/>
  <c r="F42" i="1"/>
  <c r="F40" i="1"/>
  <c r="F35" i="1"/>
  <c r="F34" i="1"/>
  <c r="F33" i="1"/>
  <c r="F31" i="1"/>
  <c r="F30" i="1"/>
  <c r="F24" i="1"/>
  <c r="F23" i="1"/>
  <c r="F22" i="1"/>
  <c r="G19" i="1"/>
  <c r="H23" i="1" s="1"/>
  <c r="F47" i="1"/>
  <c r="N77" i="1"/>
  <c r="N76" i="1"/>
  <c r="N78" i="1"/>
  <c r="N66" i="1"/>
  <c r="N65" i="1"/>
  <c r="N64" i="1"/>
  <c r="F41" i="1"/>
  <c r="F32" i="1"/>
  <c r="Q23" i="14"/>
  <c r="Q22" i="14"/>
  <c r="Q21" i="14"/>
  <c r="Q20" i="14"/>
  <c r="Q16" i="14"/>
  <c r="Q15" i="14"/>
  <c r="Q14" i="14"/>
  <c r="Q13" i="14"/>
  <c r="Q12" i="14"/>
  <c r="Q11" i="14"/>
  <c r="Q9" i="14"/>
  <c r="Q8" i="14"/>
  <c r="Q6" i="14"/>
  <c r="Q13" i="13"/>
  <c r="Q11" i="13"/>
  <c r="Q9" i="13"/>
  <c r="Q7" i="13"/>
  <c r="Q5" i="13"/>
  <c r="L27" i="16"/>
  <c r="K27" i="16"/>
  <c r="J27" i="16"/>
  <c r="H27" i="16"/>
  <c r="G27" i="16"/>
  <c r="F27" i="16"/>
  <c r="D27" i="16"/>
  <c r="C27" i="16"/>
  <c r="B27" i="16"/>
  <c r="M26" i="16"/>
  <c r="L26" i="16"/>
  <c r="K26" i="16"/>
  <c r="J26" i="16"/>
  <c r="I26" i="16"/>
  <c r="H26" i="16"/>
  <c r="G26" i="16"/>
  <c r="F26" i="16"/>
  <c r="E26" i="16"/>
  <c r="D26" i="16"/>
  <c r="B26" i="16"/>
  <c r="L25" i="16"/>
  <c r="J25" i="16"/>
  <c r="H25" i="16"/>
  <c r="F25" i="16"/>
  <c r="D25" i="16"/>
  <c r="C25" i="16"/>
  <c r="B25" i="16"/>
  <c r="M24" i="16"/>
  <c r="L24" i="16"/>
  <c r="K24" i="16"/>
  <c r="J24" i="16"/>
  <c r="I24" i="16"/>
  <c r="H24" i="16"/>
  <c r="G24" i="16"/>
  <c r="F24" i="16"/>
  <c r="E24" i="16"/>
  <c r="D24" i="16"/>
  <c r="B24" i="16"/>
  <c r="L23" i="16"/>
  <c r="J23" i="16"/>
  <c r="H23" i="16"/>
  <c r="F23" i="16"/>
  <c r="D23" i="16"/>
  <c r="C23" i="16"/>
  <c r="B23" i="16"/>
  <c r="M22" i="16"/>
  <c r="L22" i="16"/>
  <c r="K22" i="16"/>
  <c r="J22" i="16"/>
  <c r="I22" i="16"/>
  <c r="H22" i="16"/>
  <c r="G22" i="16"/>
  <c r="F22" i="16"/>
  <c r="E22" i="16"/>
  <c r="D22" i="16"/>
  <c r="B22" i="16"/>
  <c r="L21" i="16"/>
  <c r="J21" i="16"/>
  <c r="H21" i="16"/>
  <c r="F21" i="16"/>
  <c r="D21" i="16"/>
  <c r="C21" i="16"/>
  <c r="B21" i="16"/>
  <c r="M20" i="16"/>
  <c r="L20" i="16"/>
  <c r="K20" i="16"/>
  <c r="J20" i="16"/>
  <c r="I20" i="16"/>
  <c r="H20" i="16"/>
  <c r="G20" i="16"/>
  <c r="F20" i="16"/>
  <c r="E20" i="16"/>
  <c r="D20" i="16"/>
  <c r="B20" i="16"/>
  <c r="L19" i="16"/>
  <c r="J19" i="16"/>
  <c r="H19" i="16"/>
  <c r="F19" i="16"/>
  <c r="D19" i="16"/>
  <c r="C19" i="16"/>
  <c r="B19" i="16"/>
  <c r="M18" i="16"/>
  <c r="L18" i="16"/>
  <c r="K18" i="16"/>
  <c r="J18" i="16"/>
  <c r="I18" i="16"/>
  <c r="H18" i="16"/>
  <c r="G18" i="16"/>
  <c r="F18" i="16"/>
  <c r="E18" i="16"/>
  <c r="D18" i="16"/>
  <c r="B18" i="16"/>
  <c r="L17" i="16"/>
  <c r="J17" i="16"/>
  <c r="H17" i="16"/>
  <c r="F17" i="16"/>
  <c r="D17" i="16"/>
  <c r="C17" i="16"/>
  <c r="B17" i="16"/>
  <c r="O124" i="14" l="1"/>
  <c r="O42" i="14"/>
  <c r="O43" i="14"/>
  <c r="O108" i="14"/>
  <c r="O593" i="1"/>
  <c r="M90" i="1"/>
  <c r="O116" i="14"/>
  <c r="I59" i="1"/>
  <c r="I57" i="1"/>
  <c r="I55" i="1"/>
  <c r="I53" i="1"/>
  <c r="I58" i="1"/>
  <c r="I56" i="1"/>
  <c r="I54" i="1"/>
  <c r="I52" i="1"/>
  <c r="O592" i="1"/>
  <c r="G274" i="1"/>
  <c r="G272" i="1"/>
  <c r="G275" i="1"/>
  <c r="G273" i="1"/>
  <c r="O18" i="14"/>
  <c r="O66" i="14"/>
  <c r="O67" i="14"/>
  <c r="O82" i="14"/>
  <c r="O83" i="14"/>
  <c r="O42" i="13"/>
  <c r="O73" i="13"/>
  <c r="O25" i="13"/>
  <c r="O26" i="13"/>
  <c r="O57" i="13"/>
  <c r="O58" i="13"/>
  <c r="O35" i="4"/>
  <c r="O25" i="3"/>
  <c r="O19" i="3"/>
  <c r="O31" i="3"/>
  <c r="O601" i="1"/>
  <c r="O602" i="1"/>
  <c r="M191" i="1"/>
  <c r="M105" i="1"/>
  <c r="G89" i="1"/>
  <c r="G87" i="1"/>
  <c r="G90" i="1"/>
  <c r="G88" i="1"/>
  <c r="K89" i="1"/>
  <c r="K87" i="1"/>
  <c r="K90" i="1"/>
  <c r="K88" i="1"/>
  <c r="E90" i="1"/>
  <c r="E88" i="1"/>
  <c r="E89" i="1"/>
  <c r="E87" i="1"/>
  <c r="I89" i="1"/>
  <c r="I87" i="1"/>
  <c r="I90" i="1"/>
  <c r="I88" i="1"/>
  <c r="C89" i="1"/>
  <c r="C87" i="1"/>
  <c r="C90" i="1"/>
  <c r="C88" i="1"/>
  <c r="M192" i="1"/>
  <c r="M193" i="1"/>
  <c r="M281" i="1"/>
  <c r="M280" i="1"/>
  <c r="C388" i="1"/>
  <c r="C386" i="1"/>
  <c r="C387" i="1"/>
  <c r="C385" i="1"/>
  <c r="G388" i="1"/>
  <c r="G386" i="1"/>
  <c r="G387" i="1"/>
  <c r="G385" i="1"/>
  <c r="K388" i="1"/>
  <c r="K386" i="1"/>
  <c r="K387" i="1"/>
  <c r="K385" i="1"/>
  <c r="E387" i="1"/>
  <c r="E385" i="1"/>
  <c r="E388" i="1"/>
  <c r="E386" i="1"/>
  <c r="I387" i="1"/>
  <c r="I385" i="1"/>
  <c r="I388" i="1"/>
  <c r="I386" i="1"/>
  <c r="C379" i="1"/>
  <c r="C377" i="1"/>
  <c r="C380" i="1"/>
  <c r="C378" i="1"/>
  <c r="G379" i="1"/>
  <c r="G377" i="1"/>
  <c r="G380" i="1"/>
  <c r="G378" i="1"/>
  <c r="K379" i="1"/>
  <c r="K377" i="1"/>
  <c r="K380" i="1"/>
  <c r="K378" i="1"/>
  <c r="E379" i="1"/>
  <c r="E377" i="1"/>
  <c r="E380" i="1"/>
  <c r="E378" i="1"/>
  <c r="I380" i="1"/>
  <c r="I378" i="1"/>
  <c r="I379" i="1"/>
  <c r="I377" i="1"/>
  <c r="C370" i="1"/>
  <c r="C371" i="1"/>
  <c r="C369" i="1"/>
  <c r="C372" i="1"/>
  <c r="G372" i="1"/>
  <c r="G371" i="1"/>
  <c r="G369" i="1"/>
  <c r="G370" i="1"/>
  <c r="K372" i="1"/>
  <c r="K371" i="1"/>
  <c r="K369" i="1"/>
  <c r="K370" i="1"/>
  <c r="E371" i="1"/>
  <c r="E369" i="1"/>
  <c r="E372" i="1"/>
  <c r="E370" i="1"/>
  <c r="I371" i="1"/>
  <c r="I372" i="1"/>
  <c r="I370" i="1"/>
  <c r="I369" i="1"/>
  <c r="C364" i="1"/>
  <c r="C362" i="1"/>
  <c r="C363" i="1"/>
  <c r="C361" i="1"/>
  <c r="G364" i="1"/>
  <c r="G363" i="1"/>
  <c r="G361" i="1"/>
  <c r="G362" i="1"/>
  <c r="K364" i="1"/>
  <c r="K362" i="1"/>
  <c r="K363" i="1"/>
  <c r="K361" i="1"/>
  <c r="E363" i="1"/>
  <c r="E361" i="1"/>
  <c r="E364" i="1"/>
  <c r="E362" i="1"/>
  <c r="I363" i="1"/>
  <c r="I364" i="1"/>
  <c r="I362" i="1"/>
  <c r="I361" i="1"/>
  <c r="E354" i="1"/>
  <c r="E352" i="1"/>
  <c r="E355" i="1"/>
  <c r="E353" i="1"/>
  <c r="I354" i="1"/>
  <c r="I352" i="1"/>
  <c r="I355" i="1"/>
  <c r="I353" i="1"/>
  <c r="G355" i="1"/>
  <c r="G353" i="1"/>
  <c r="G354" i="1"/>
  <c r="G352" i="1"/>
  <c r="K355" i="1"/>
  <c r="K353" i="1"/>
  <c r="K354" i="1"/>
  <c r="K352" i="1"/>
  <c r="C355" i="1"/>
  <c r="C353" i="1"/>
  <c r="C354" i="1"/>
  <c r="C352" i="1"/>
  <c r="C347" i="1"/>
  <c r="C346" i="1"/>
  <c r="C344" i="1"/>
  <c r="C345" i="1"/>
  <c r="G345" i="1"/>
  <c r="G346" i="1"/>
  <c r="G344" i="1"/>
  <c r="G347" i="1"/>
  <c r="K347" i="1"/>
  <c r="K346" i="1"/>
  <c r="K344" i="1"/>
  <c r="K345" i="1"/>
  <c r="E346" i="1"/>
  <c r="E347" i="1"/>
  <c r="E345" i="1"/>
  <c r="E344" i="1"/>
  <c r="I344" i="1"/>
  <c r="I347" i="1"/>
  <c r="I345" i="1"/>
  <c r="I346" i="1"/>
  <c r="C337" i="1"/>
  <c r="C338" i="1"/>
  <c r="C336" i="1"/>
  <c r="C339" i="1"/>
  <c r="G339" i="1"/>
  <c r="G338" i="1"/>
  <c r="G336" i="1"/>
  <c r="G337" i="1"/>
  <c r="K339" i="1"/>
  <c r="K337" i="1"/>
  <c r="K338" i="1"/>
  <c r="K336" i="1"/>
  <c r="E336" i="1"/>
  <c r="E339" i="1"/>
  <c r="E337" i="1"/>
  <c r="E338" i="1"/>
  <c r="I338" i="1"/>
  <c r="I339" i="1"/>
  <c r="I337" i="1"/>
  <c r="I336" i="1"/>
  <c r="C329" i="1"/>
  <c r="C330" i="1"/>
  <c r="C328" i="1"/>
  <c r="C331" i="1"/>
  <c r="G331" i="1"/>
  <c r="G330" i="1"/>
  <c r="G328" i="1"/>
  <c r="G329" i="1"/>
  <c r="K330" i="1"/>
  <c r="K328" i="1"/>
  <c r="K331" i="1"/>
  <c r="K329" i="1"/>
  <c r="E328" i="1"/>
  <c r="E331" i="1"/>
  <c r="E329" i="1"/>
  <c r="E330" i="1"/>
  <c r="I331" i="1"/>
  <c r="I329" i="1"/>
  <c r="I330" i="1"/>
  <c r="I328" i="1"/>
  <c r="C321" i="1"/>
  <c r="C322" i="1"/>
  <c r="C320" i="1"/>
  <c r="C323" i="1"/>
  <c r="G323" i="1"/>
  <c r="G322" i="1"/>
  <c r="G320" i="1"/>
  <c r="G321" i="1"/>
  <c r="K323" i="1"/>
  <c r="K321" i="1"/>
  <c r="K322" i="1"/>
  <c r="K320" i="1"/>
  <c r="I322" i="1"/>
  <c r="I323" i="1"/>
  <c r="I321" i="1"/>
  <c r="I320" i="1"/>
  <c r="C314" i="1"/>
  <c r="C312" i="1"/>
  <c r="C315" i="1"/>
  <c r="C313" i="1"/>
  <c r="G315" i="1"/>
  <c r="G313" i="1"/>
  <c r="G314" i="1"/>
  <c r="G312" i="1"/>
  <c r="K315" i="1"/>
  <c r="K314" i="1"/>
  <c r="K312" i="1"/>
  <c r="K313" i="1"/>
  <c r="E314" i="1"/>
  <c r="E315" i="1"/>
  <c r="E313" i="1"/>
  <c r="E312" i="1"/>
  <c r="I314" i="1"/>
  <c r="I312" i="1"/>
  <c r="I315" i="1"/>
  <c r="I313" i="1"/>
  <c r="C307" i="1"/>
  <c r="C306" i="1"/>
  <c r="C304" i="1"/>
  <c r="C305" i="1"/>
  <c r="G307" i="1"/>
  <c r="G305" i="1"/>
  <c r="G306" i="1"/>
  <c r="G304" i="1"/>
  <c r="K307" i="1"/>
  <c r="K305" i="1"/>
  <c r="K306" i="1"/>
  <c r="K304" i="1"/>
  <c r="E307" i="1"/>
  <c r="E305" i="1"/>
  <c r="E306" i="1"/>
  <c r="E304" i="1"/>
  <c r="I306" i="1"/>
  <c r="I307" i="1"/>
  <c r="I305" i="1"/>
  <c r="I304" i="1"/>
  <c r="E299" i="1"/>
  <c r="E297" i="1"/>
  <c r="E298" i="1"/>
  <c r="E296" i="1"/>
  <c r="I296" i="1"/>
  <c r="I299" i="1"/>
  <c r="I297" i="1"/>
  <c r="I298" i="1"/>
  <c r="C299" i="1"/>
  <c r="C298" i="1"/>
  <c r="C296" i="1"/>
  <c r="C297" i="1"/>
  <c r="G298" i="1"/>
  <c r="G296" i="1"/>
  <c r="G299" i="1"/>
  <c r="G297" i="1"/>
  <c r="K298" i="1"/>
  <c r="K296" i="1"/>
  <c r="K299" i="1"/>
  <c r="K297" i="1"/>
  <c r="C290" i="1"/>
  <c r="C288" i="1"/>
  <c r="C291" i="1"/>
  <c r="C289" i="1"/>
  <c r="G291" i="1"/>
  <c r="G290" i="1"/>
  <c r="G288" i="1"/>
  <c r="G289" i="1"/>
  <c r="K290" i="1"/>
  <c r="K288" i="1"/>
  <c r="K291" i="1"/>
  <c r="K289" i="1"/>
  <c r="E291" i="1"/>
  <c r="E289" i="1"/>
  <c r="E290" i="1"/>
  <c r="E288" i="1"/>
  <c r="I288" i="1"/>
  <c r="I291" i="1"/>
  <c r="I289" i="1"/>
  <c r="I290" i="1"/>
  <c r="C282" i="1"/>
  <c r="C280" i="1"/>
  <c r="C283" i="1"/>
  <c r="C281" i="1"/>
  <c r="G282" i="1"/>
  <c r="G280" i="1"/>
  <c r="G283" i="1"/>
  <c r="G281" i="1"/>
  <c r="K282" i="1"/>
  <c r="K280" i="1"/>
  <c r="K283" i="1"/>
  <c r="K281" i="1"/>
  <c r="E282" i="1"/>
  <c r="E283" i="1"/>
  <c r="E281" i="1"/>
  <c r="E280" i="1"/>
  <c r="I283" i="1"/>
  <c r="I281" i="1"/>
  <c r="I282" i="1"/>
  <c r="I280" i="1"/>
  <c r="C274" i="1"/>
  <c r="C272" i="1"/>
  <c r="C275" i="1"/>
  <c r="C273" i="1"/>
  <c r="K274" i="1"/>
  <c r="K272" i="1"/>
  <c r="K275" i="1"/>
  <c r="K273" i="1"/>
  <c r="E274" i="1"/>
  <c r="E275" i="1"/>
  <c r="E273" i="1"/>
  <c r="E272" i="1"/>
  <c r="C266" i="1"/>
  <c r="C265" i="1"/>
  <c r="C263" i="1"/>
  <c r="C264" i="1"/>
  <c r="G264" i="1"/>
  <c r="G265" i="1"/>
  <c r="G263" i="1"/>
  <c r="G266" i="1"/>
  <c r="K266" i="1"/>
  <c r="K265" i="1"/>
  <c r="K263" i="1"/>
  <c r="K264" i="1"/>
  <c r="E265" i="1"/>
  <c r="E263" i="1"/>
  <c r="E266" i="1"/>
  <c r="E264" i="1"/>
  <c r="I266" i="1"/>
  <c r="I264" i="1"/>
  <c r="I265" i="1"/>
  <c r="I263" i="1"/>
  <c r="C256" i="1"/>
  <c r="C257" i="1"/>
  <c r="C255" i="1"/>
  <c r="C258" i="1"/>
  <c r="G257" i="1"/>
  <c r="G255" i="1"/>
  <c r="G258" i="1"/>
  <c r="G256" i="1"/>
  <c r="K258" i="1"/>
  <c r="K256" i="1"/>
  <c r="K257" i="1"/>
  <c r="K255" i="1"/>
  <c r="E255" i="1"/>
  <c r="E258" i="1"/>
  <c r="E256" i="1"/>
  <c r="E257" i="1"/>
  <c r="I257" i="1"/>
  <c r="I258" i="1"/>
  <c r="I256" i="1"/>
  <c r="I255" i="1"/>
  <c r="C248" i="1"/>
  <c r="C249" i="1"/>
  <c r="C247" i="1"/>
  <c r="C250" i="1"/>
  <c r="G250" i="1"/>
  <c r="G249" i="1"/>
  <c r="G247" i="1"/>
  <c r="G248" i="1"/>
  <c r="K250" i="1"/>
  <c r="K248" i="1"/>
  <c r="K249" i="1"/>
  <c r="K247" i="1"/>
  <c r="E247" i="1"/>
  <c r="E250" i="1"/>
  <c r="E248" i="1"/>
  <c r="E249" i="1"/>
  <c r="I249" i="1"/>
  <c r="I250" i="1"/>
  <c r="I248" i="1"/>
  <c r="I247" i="1"/>
  <c r="C242" i="1"/>
  <c r="C240" i="1"/>
  <c r="C241" i="1"/>
  <c r="C239" i="1"/>
  <c r="G241" i="1"/>
  <c r="G239" i="1"/>
  <c r="G242" i="1"/>
  <c r="G240" i="1"/>
  <c r="K242" i="1"/>
  <c r="K241" i="1"/>
  <c r="K239" i="1"/>
  <c r="K240" i="1"/>
  <c r="E241" i="1"/>
  <c r="E239" i="1"/>
  <c r="E242" i="1"/>
  <c r="E240" i="1"/>
  <c r="I242" i="1"/>
  <c r="I240" i="1"/>
  <c r="I241" i="1"/>
  <c r="I239" i="1"/>
  <c r="E231" i="1"/>
  <c r="E234" i="1"/>
  <c r="E232" i="1"/>
  <c r="E233" i="1"/>
  <c r="I233" i="1"/>
  <c r="I231" i="1"/>
  <c r="I234" i="1"/>
  <c r="I232" i="1"/>
  <c r="C233" i="1"/>
  <c r="C231" i="1"/>
  <c r="C234" i="1"/>
  <c r="C232" i="1"/>
  <c r="G234" i="1"/>
  <c r="G233" i="1"/>
  <c r="G231" i="1"/>
  <c r="G232" i="1"/>
  <c r="K234" i="1"/>
  <c r="K232" i="1"/>
  <c r="K233" i="1"/>
  <c r="K231" i="1"/>
  <c r="C226" i="1"/>
  <c r="C225" i="1"/>
  <c r="C223" i="1"/>
  <c r="C224" i="1"/>
  <c r="G226" i="1"/>
  <c r="G224" i="1"/>
  <c r="G225" i="1"/>
  <c r="G223" i="1"/>
  <c r="K226" i="1"/>
  <c r="K225" i="1"/>
  <c r="K223" i="1"/>
  <c r="K224" i="1"/>
  <c r="E225" i="1"/>
  <c r="E223" i="1"/>
  <c r="E226" i="1"/>
  <c r="E224" i="1"/>
  <c r="I225" i="1"/>
  <c r="I223" i="1"/>
  <c r="I226" i="1"/>
  <c r="I224" i="1"/>
  <c r="E218" i="1"/>
  <c r="E216" i="1"/>
  <c r="E217" i="1"/>
  <c r="E215" i="1"/>
  <c r="I215" i="1"/>
  <c r="I218" i="1"/>
  <c r="I216" i="1"/>
  <c r="I217" i="1"/>
  <c r="C217" i="1"/>
  <c r="C215" i="1"/>
  <c r="C218" i="1"/>
  <c r="C216" i="1"/>
  <c r="G218" i="1"/>
  <c r="G217" i="1"/>
  <c r="G215" i="1"/>
  <c r="G216" i="1"/>
  <c r="K217" i="1"/>
  <c r="K215" i="1"/>
  <c r="K218" i="1"/>
  <c r="K216" i="1"/>
  <c r="E207" i="1"/>
  <c r="E210" i="1"/>
  <c r="E208" i="1"/>
  <c r="E209" i="1"/>
  <c r="I210" i="1"/>
  <c r="I208" i="1"/>
  <c r="I209" i="1"/>
  <c r="I207" i="1"/>
  <c r="C210" i="1"/>
  <c r="C209" i="1"/>
  <c r="C207" i="1"/>
  <c r="C208" i="1"/>
  <c r="G209" i="1"/>
  <c r="G207" i="1"/>
  <c r="G210" i="1"/>
  <c r="G208" i="1"/>
  <c r="K209" i="1"/>
  <c r="K207" i="1"/>
  <c r="K210" i="1"/>
  <c r="K208" i="1"/>
  <c r="C202" i="1"/>
  <c r="C200" i="1"/>
  <c r="C201" i="1"/>
  <c r="C199" i="1"/>
  <c r="G202" i="1"/>
  <c r="G200" i="1"/>
  <c r="G201" i="1"/>
  <c r="G199" i="1"/>
  <c r="K202" i="1"/>
  <c r="K201" i="1"/>
  <c r="K199" i="1"/>
  <c r="K200" i="1"/>
  <c r="E201" i="1"/>
  <c r="E202" i="1"/>
  <c r="E200" i="1"/>
  <c r="E199" i="1"/>
  <c r="I202" i="1"/>
  <c r="I200" i="1"/>
  <c r="I201" i="1"/>
  <c r="I199" i="1"/>
  <c r="C193" i="1"/>
  <c r="C191" i="1"/>
  <c r="C194" i="1"/>
  <c r="C192" i="1"/>
  <c r="G194" i="1"/>
  <c r="G192" i="1"/>
  <c r="G193" i="1"/>
  <c r="G191" i="1"/>
  <c r="K193" i="1"/>
  <c r="K191" i="1"/>
  <c r="K194" i="1"/>
  <c r="K192" i="1"/>
  <c r="E191" i="1"/>
  <c r="E194" i="1"/>
  <c r="E192" i="1"/>
  <c r="E193" i="1"/>
  <c r="I194" i="1"/>
  <c r="I192" i="1"/>
  <c r="I193" i="1"/>
  <c r="I191" i="1"/>
  <c r="E185" i="1"/>
  <c r="E183" i="1"/>
  <c r="E184" i="1"/>
  <c r="E182" i="1"/>
  <c r="I185" i="1"/>
  <c r="I183" i="1"/>
  <c r="I184" i="1"/>
  <c r="I182" i="1"/>
  <c r="C184" i="1"/>
  <c r="C182" i="1"/>
  <c r="C185" i="1"/>
  <c r="C183" i="1"/>
  <c r="G184" i="1"/>
  <c r="G182" i="1"/>
  <c r="G185" i="1"/>
  <c r="G183" i="1"/>
  <c r="K184" i="1"/>
  <c r="K182" i="1"/>
  <c r="K185" i="1"/>
  <c r="K183" i="1"/>
  <c r="E177" i="1"/>
  <c r="E175" i="1"/>
  <c r="E176" i="1"/>
  <c r="E174" i="1"/>
  <c r="I176" i="1"/>
  <c r="I177" i="1"/>
  <c r="I175" i="1"/>
  <c r="I174" i="1"/>
  <c r="C176" i="1"/>
  <c r="C174" i="1"/>
  <c r="C177" i="1"/>
  <c r="C175" i="1"/>
  <c r="G176" i="1"/>
  <c r="G174" i="1"/>
  <c r="G177" i="1"/>
  <c r="G175" i="1"/>
  <c r="K176" i="1"/>
  <c r="K174" i="1"/>
  <c r="K177" i="1"/>
  <c r="K175" i="1"/>
  <c r="E169" i="1"/>
  <c r="E167" i="1"/>
  <c r="E168" i="1"/>
  <c r="E166" i="1"/>
  <c r="I166" i="1"/>
  <c r="I169" i="1"/>
  <c r="I167" i="1"/>
  <c r="I168" i="1"/>
  <c r="C169" i="1"/>
  <c r="C168" i="1"/>
  <c r="C166" i="1"/>
  <c r="C167" i="1"/>
  <c r="G168" i="1"/>
  <c r="G166" i="1"/>
  <c r="G169" i="1"/>
  <c r="G167" i="1"/>
  <c r="K168" i="1"/>
  <c r="K166" i="1"/>
  <c r="K169" i="1"/>
  <c r="K167" i="1"/>
  <c r="E161" i="1"/>
  <c r="E159" i="1"/>
  <c r="E160" i="1"/>
  <c r="E158" i="1"/>
  <c r="I160" i="1"/>
  <c r="I158" i="1"/>
  <c r="I161" i="1"/>
  <c r="I159" i="1"/>
  <c r="C160" i="1"/>
  <c r="C158" i="1"/>
  <c r="C161" i="1"/>
  <c r="C159" i="1"/>
  <c r="G159" i="1"/>
  <c r="G160" i="1"/>
  <c r="G158" i="1"/>
  <c r="G161" i="1"/>
  <c r="K161" i="1"/>
  <c r="K160" i="1"/>
  <c r="K158" i="1"/>
  <c r="K159" i="1"/>
  <c r="E150" i="1"/>
  <c r="E153" i="1"/>
  <c r="E151" i="1"/>
  <c r="E152" i="1"/>
  <c r="I152" i="1"/>
  <c r="I153" i="1"/>
  <c r="I151" i="1"/>
  <c r="I150" i="1"/>
  <c r="C152" i="1"/>
  <c r="C150" i="1"/>
  <c r="C153" i="1"/>
  <c r="C151" i="1"/>
  <c r="G152" i="1"/>
  <c r="G150" i="1"/>
  <c r="G153" i="1"/>
  <c r="G151" i="1"/>
  <c r="K152" i="1"/>
  <c r="K150" i="1"/>
  <c r="K153" i="1"/>
  <c r="K151" i="1"/>
  <c r="E145" i="1"/>
  <c r="E143" i="1"/>
  <c r="E144" i="1"/>
  <c r="E142" i="1"/>
  <c r="I142" i="1"/>
  <c r="I145" i="1"/>
  <c r="I143" i="1"/>
  <c r="I144" i="1"/>
  <c r="C145" i="1"/>
  <c r="C144" i="1"/>
  <c r="C142" i="1"/>
  <c r="C143" i="1"/>
  <c r="G144" i="1"/>
  <c r="G142" i="1"/>
  <c r="G145" i="1"/>
  <c r="G143" i="1"/>
  <c r="K144" i="1"/>
  <c r="K142" i="1"/>
  <c r="K145" i="1"/>
  <c r="K143" i="1"/>
  <c r="E134" i="1"/>
  <c r="E137" i="1"/>
  <c r="E135" i="1"/>
  <c r="E136" i="1"/>
  <c r="I137" i="1"/>
  <c r="I135" i="1"/>
  <c r="I136" i="1"/>
  <c r="I134" i="1"/>
  <c r="C136" i="1"/>
  <c r="C134" i="1"/>
  <c r="C137" i="1"/>
  <c r="C135" i="1"/>
  <c r="G135" i="1"/>
  <c r="G136" i="1"/>
  <c r="G134" i="1"/>
  <c r="G137" i="1"/>
  <c r="K137" i="1"/>
  <c r="K136" i="1"/>
  <c r="K134" i="1"/>
  <c r="K135" i="1"/>
  <c r="E129" i="1"/>
  <c r="E127" i="1"/>
  <c r="E128" i="1"/>
  <c r="E126" i="1"/>
  <c r="I126" i="1"/>
  <c r="I129" i="1"/>
  <c r="I127" i="1"/>
  <c r="I128" i="1"/>
  <c r="C129" i="1"/>
  <c r="C128" i="1"/>
  <c r="C126" i="1"/>
  <c r="C127" i="1"/>
  <c r="G128" i="1"/>
  <c r="G126" i="1"/>
  <c r="G129" i="1"/>
  <c r="G127" i="1"/>
  <c r="K128" i="1"/>
  <c r="K126" i="1"/>
  <c r="K129" i="1"/>
  <c r="K127" i="1"/>
  <c r="E118" i="1"/>
  <c r="E121" i="1"/>
  <c r="E119" i="1"/>
  <c r="E120" i="1"/>
  <c r="I121" i="1"/>
  <c r="I119" i="1"/>
  <c r="I120" i="1"/>
  <c r="I118" i="1"/>
  <c r="C119" i="1"/>
  <c r="C120" i="1"/>
  <c r="C118" i="1"/>
  <c r="C121" i="1"/>
  <c r="G121" i="1"/>
  <c r="G120" i="1"/>
  <c r="G118" i="1"/>
  <c r="G119" i="1"/>
  <c r="K120" i="1"/>
  <c r="K118" i="1"/>
  <c r="K121" i="1"/>
  <c r="K119" i="1"/>
  <c r="E97" i="1"/>
  <c r="E95" i="1"/>
  <c r="E96" i="1"/>
  <c r="E94" i="1"/>
  <c r="I94" i="1"/>
  <c r="I97" i="1"/>
  <c r="I95" i="1"/>
  <c r="I96" i="1"/>
  <c r="C97" i="1"/>
  <c r="C96" i="1"/>
  <c r="C94" i="1"/>
  <c r="C95" i="1"/>
  <c r="G96" i="1"/>
  <c r="G94" i="1"/>
  <c r="G97" i="1"/>
  <c r="G95" i="1"/>
  <c r="K96" i="1"/>
  <c r="K94" i="1"/>
  <c r="K97" i="1"/>
  <c r="K95" i="1"/>
  <c r="C78" i="1"/>
  <c r="C76" i="1"/>
  <c r="C77" i="1"/>
  <c r="G78" i="1"/>
  <c r="G76" i="1"/>
  <c r="G77" i="1"/>
  <c r="K78" i="1"/>
  <c r="K76" i="1"/>
  <c r="K77" i="1"/>
  <c r="E77" i="1"/>
  <c r="E78" i="1"/>
  <c r="E76" i="1"/>
  <c r="I77" i="1"/>
  <c r="I78" i="1"/>
  <c r="I76" i="1"/>
  <c r="M202" i="1"/>
  <c r="M210" i="1"/>
  <c r="G219" i="1"/>
  <c r="M218" i="1"/>
  <c r="G227" i="1"/>
  <c r="M226" i="1"/>
  <c r="G235" i="1"/>
  <c r="M234" i="1"/>
  <c r="G243" i="1"/>
  <c r="M242" i="1"/>
  <c r="G251" i="1"/>
  <c r="M250" i="1"/>
  <c r="G259" i="1"/>
  <c r="M258" i="1"/>
  <c r="G267" i="1"/>
  <c r="M266" i="1"/>
  <c r="G276" i="1"/>
  <c r="E284" i="1"/>
  <c r="I284" i="1"/>
  <c r="M284" i="1"/>
  <c r="C284" i="1"/>
  <c r="K284" i="1"/>
  <c r="C292" i="1"/>
  <c r="K292" i="1"/>
  <c r="C300" i="1"/>
  <c r="K300" i="1"/>
  <c r="C356" i="1"/>
  <c r="K356" i="1"/>
  <c r="M118" i="1"/>
  <c r="M119" i="1"/>
  <c r="M120" i="1"/>
  <c r="C122" i="1"/>
  <c r="K122" i="1"/>
  <c r="C131" i="1"/>
  <c r="K131" i="1"/>
  <c r="C139" i="1"/>
  <c r="K139" i="1"/>
  <c r="C147" i="1"/>
  <c r="K147" i="1"/>
  <c r="C155" i="1"/>
  <c r="K155" i="1"/>
  <c r="C163" i="1"/>
  <c r="K163" i="1"/>
  <c r="C171" i="1"/>
  <c r="K171" i="1"/>
  <c r="C179" i="1"/>
  <c r="K179" i="1"/>
  <c r="K187" i="1"/>
  <c r="C203" i="1"/>
  <c r="K203" i="1"/>
  <c r="C211" i="1"/>
  <c r="K211" i="1"/>
  <c r="C219" i="1"/>
  <c r="K219" i="1"/>
  <c r="C227" i="1"/>
  <c r="K227" i="1"/>
  <c r="C235" i="1"/>
  <c r="K235" i="1"/>
  <c r="C243" i="1"/>
  <c r="K243" i="1"/>
  <c r="C251" i="1"/>
  <c r="K251" i="1"/>
  <c r="C259" i="1"/>
  <c r="K259" i="1"/>
  <c r="C267" i="1"/>
  <c r="K267" i="1"/>
  <c r="C276" i="1"/>
  <c r="K276" i="1"/>
  <c r="G284" i="1"/>
  <c r="G292" i="1"/>
  <c r="G300" i="1"/>
  <c r="G308" i="1"/>
  <c r="G356" i="1"/>
  <c r="D25" i="1"/>
  <c r="F25" i="1" s="1"/>
  <c r="G122" i="1"/>
  <c r="M182" i="1"/>
  <c r="M183" i="1"/>
  <c r="M184" i="1"/>
  <c r="C186" i="1"/>
  <c r="G186" i="1"/>
  <c r="K186" i="1"/>
  <c r="M174" i="1"/>
  <c r="M175" i="1"/>
  <c r="M176" i="1"/>
  <c r="C178" i="1"/>
  <c r="G178" i="1"/>
  <c r="K178" i="1"/>
  <c r="M166" i="1"/>
  <c r="M167" i="1"/>
  <c r="M168" i="1"/>
  <c r="C170" i="1"/>
  <c r="G170" i="1"/>
  <c r="K170" i="1"/>
  <c r="M158" i="1"/>
  <c r="M159" i="1"/>
  <c r="M160" i="1"/>
  <c r="C162" i="1"/>
  <c r="G162" i="1"/>
  <c r="K162" i="1"/>
  <c r="M150" i="1"/>
  <c r="M151" i="1"/>
  <c r="M152" i="1"/>
  <c r="C154" i="1"/>
  <c r="G154" i="1"/>
  <c r="K154" i="1"/>
  <c r="M142" i="1"/>
  <c r="M143" i="1"/>
  <c r="M144" i="1"/>
  <c r="C146" i="1"/>
  <c r="G146" i="1"/>
  <c r="K146" i="1"/>
  <c r="M134" i="1"/>
  <c r="M135" i="1"/>
  <c r="M136" i="1"/>
  <c r="C138" i="1"/>
  <c r="G138" i="1"/>
  <c r="K138" i="1"/>
  <c r="M126" i="1"/>
  <c r="M127" i="1"/>
  <c r="M128" i="1"/>
  <c r="C130" i="1"/>
  <c r="G130" i="1"/>
  <c r="K130" i="1"/>
  <c r="E122" i="1"/>
  <c r="I122" i="1"/>
  <c r="M122" i="1"/>
  <c r="M385" i="1"/>
  <c r="M386" i="1"/>
  <c r="M387" i="1"/>
  <c r="M377" i="1"/>
  <c r="M378" i="1"/>
  <c r="M379" i="1"/>
  <c r="M369" i="1"/>
  <c r="M370" i="1"/>
  <c r="M371" i="1"/>
  <c r="M361" i="1"/>
  <c r="M362" i="1"/>
  <c r="M363" i="1"/>
  <c r="M352" i="1"/>
  <c r="M353" i="1"/>
  <c r="M354" i="1"/>
  <c r="M344" i="1"/>
  <c r="M345" i="1"/>
  <c r="M346" i="1"/>
  <c r="M336" i="1"/>
  <c r="M337" i="1"/>
  <c r="M338" i="1"/>
  <c r="M328" i="1"/>
  <c r="M329" i="1"/>
  <c r="M330" i="1"/>
  <c r="M320" i="1"/>
  <c r="M321" i="1"/>
  <c r="M322" i="1"/>
  <c r="M312" i="1"/>
  <c r="M313" i="1"/>
  <c r="M314" i="1"/>
  <c r="M304" i="1"/>
  <c r="M305" i="1"/>
  <c r="M306" i="1"/>
  <c r="M296" i="1"/>
  <c r="M297" i="1"/>
  <c r="M298" i="1"/>
  <c r="M288" i="1"/>
  <c r="M289" i="1"/>
  <c r="M290" i="1"/>
  <c r="M272" i="1"/>
  <c r="M273" i="1"/>
  <c r="M274" i="1"/>
  <c r="M263" i="1"/>
  <c r="M264" i="1"/>
  <c r="M265" i="1"/>
  <c r="M255" i="1"/>
  <c r="M256" i="1"/>
  <c r="M257" i="1"/>
  <c r="M247" i="1"/>
  <c r="M248" i="1"/>
  <c r="M249" i="1"/>
  <c r="M239" i="1"/>
  <c r="M240" i="1"/>
  <c r="M241" i="1"/>
  <c r="M231" i="1"/>
  <c r="M232" i="1"/>
  <c r="M233" i="1"/>
  <c r="M223" i="1"/>
  <c r="M224" i="1"/>
  <c r="M225" i="1"/>
  <c r="M215" i="1"/>
  <c r="M216" i="1"/>
  <c r="M217" i="1"/>
  <c r="M207" i="1"/>
  <c r="M208" i="1"/>
  <c r="M209" i="1"/>
  <c r="M199" i="1"/>
  <c r="M200" i="1"/>
  <c r="M201" i="1"/>
  <c r="M88" i="1"/>
  <c r="N79" i="1"/>
  <c r="N91" i="1"/>
  <c r="O90" i="1" s="1"/>
  <c r="M87" i="1"/>
  <c r="N98" i="1"/>
  <c r="M95" i="1"/>
  <c r="M97" i="1"/>
  <c r="M94" i="1"/>
  <c r="C70" i="1"/>
  <c r="M77" i="1"/>
  <c r="M76" i="1"/>
  <c r="K70" i="1"/>
  <c r="C71" i="1"/>
  <c r="N73" i="1"/>
  <c r="G70" i="1"/>
  <c r="G71" i="1"/>
  <c r="E70" i="1"/>
  <c r="I70" i="1"/>
  <c r="M70" i="1"/>
  <c r="E71" i="1"/>
  <c r="I71" i="1"/>
  <c r="M71" i="1"/>
  <c r="H22" i="1"/>
  <c r="H24" i="1"/>
  <c r="I60" i="1" l="1"/>
  <c r="M195" i="1"/>
  <c r="K195" i="1"/>
  <c r="I195" i="1"/>
  <c r="E195" i="1"/>
  <c r="C195" i="1"/>
  <c r="G187" i="1"/>
  <c r="C187" i="1"/>
  <c r="G179" i="1"/>
  <c r="G171" i="1"/>
  <c r="G163" i="1"/>
  <c r="G155" i="1"/>
  <c r="G147" i="1"/>
  <c r="G139" i="1"/>
  <c r="G131" i="1"/>
  <c r="G123" i="1"/>
  <c r="C123" i="1"/>
  <c r="K123" i="1"/>
  <c r="I123" i="1"/>
  <c r="G91" i="1"/>
  <c r="K73" i="1"/>
  <c r="O96" i="1"/>
  <c r="I91" i="1"/>
  <c r="O88" i="1"/>
  <c r="G389" i="1"/>
  <c r="G373" i="1"/>
  <c r="G340" i="1"/>
  <c r="G324" i="1"/>
  <c r="E123" i="1"/>
  <c r="K389" i="1"/>
  <c r="C389" i="1"/>
  <c r="K381" i="1"/>
  <c r="C381" i="1"/>
  <c r="K373" i="1"/>
  <c r="C373" i="1"/>
  <c r="K365" i="1"/>
  <c r="C365" i="1"/>
  <c r="K348" i="1"/>
  <c r="C348" i="1"/>
  <c r="K340" i="1"/>
  <c r="C340" i="1"/>
  <c r="K332" i="1"/>
  <c r="C332" i="1"/>
  <c r="K324" i="1"/>
  <c r="C324" i="1"/>
  <c r="K316" i="1"/>
  <c r="C316" i="1"/>
  <c r="K308" i="1"/>
  <c r="C308" i="1"/>
  <c r="G211" i="1"/>
  <c r="G195" i="1"/>
  <c r="O71" i="1"/>
  <c r="C79" i="1"/>
  <c r="K91" i="1"/>
  <c r="H25" i="1"/>
  <c r="M91" i="1"/>
  <c r="E91" i="1"/>
  <c r="O77" i="1"/>
  <c r="G381" i="1"/>
  <c r="G365" i="1"/>
  <c r="G348" i="1"/>
  <c r="G332" i="1"/>
  <c r="G316" i="1"/>
  <c r="M123" i="1"/>
  <c r="G203" i="1"/>
  <c r="M187" i="1"/>
  <c r="M186" i="1"/>
  <c r="E187" i="1"/>
  <c r="E186" i="1"/>
  <c r="I187" i="1"/>
  <c r="I186" i="1"/>
  <c r="M179" i="1"/>
  <c r="M178" i="1"/>
  <c r="E179" i="1"/>
  <c r="E178" i="1"/>
  <c r="I179" i="1"/>
  <c r="I178" i="1"/>
  <c r="M171" i="1"/>
  <c r="M170" i="1"/>
  <c r="E171" i="1"/>
  <c r="E170" i="1"/>
  <c r="I171" i="1"/>
  <c r="I170" i="1"/>
  <c r="M163" i="1"/>
  <c r="M162" i="1"/>
  <c r="E163" i="1"/>
  <c r="E162" i="1"/>
  <c r="I163" i="1"/>
  <c r="I162" i="1"/>
  <c r="M155" i="1"/>
  <c r="M154" i="1"/>
  <c r="E155" i="1"/>
  <c r="E154" i="1"/>
  <c r="I155" i="1"/>
  <c r="I154" i="1"/>
  <c r="M147" i="1"/>
  <c r="M146" i="1"/>
  <c r="E147" i="1"/>
  <c r="E146" i="1"/>
  <c r="I147" i="1"/>
  <c r="I146" i="1"/>
  <c r="M139" i="1"/>
  <c r="M138" i="1"/>
  <c r="E139" i="1"/>
  <c r="E138" i="1"/>
  <c r="I139" i="1"/>
  <c r="I138" i="1"/>
  <c r="M131" i="1"/>
  <c r="M130" i="1"/>
  <c r="E131" i="1"/>
  <c r="E130" i="1"/>
  <c r="I131" i="1"/>
  <c r="I130" i="1"/>
  <c r="M389" i="1"/>
  <c r="E389" i="1"/>
  <c r="I389" i="1"/>
  <c r="M381" i="1"/>
  <c r="E381" i="1"/>
  <c r="I381" i="1"/>
  <c r="M373" i="1"/>
  <c r="E373" i="1"/>
  <c r="I373" i="1"/>
  <c r="M365" i="1"/>
  <c r="E365" i="1"/>
  <c r="I365" i="1"/>
  <c r="M356" i="1"/>
  <c r="E356" i="1"/>
  <c r="I356" i="1"/>
  <c r="M348" i="1"/>
  <c r="E348" i="1"/>
  <c r="I348" i="1"/>
  <c r="M340" i="1"/>
  <c r="E340" i="1"/>
  <c r="I340" i="1"/>
  <c r="M332" i="1"/>
  <c r="E332" i="1"/>
  <c r="I332" i="1"/>
  <c r="M324" i="1"/>
  <c r="I324" i="1"/>
  <c r="M316" i="1"/>
  <c r="E316" i="1"/>
  <c r="I316" i="1"/>
  <c r="M308" i="1"/>
  <c r="E308" i="1"/>
  <c r="I308" i="1"/>
  <c r="M300" i="1"/>
  <c r="E300" i="1"/>
  <c r="I300" i="1"/>
  <c r="M292" i="1"/>
  <c r="E292" i="1"/>
  <c r="I292" i="1"/>
  <c r="M276" i="1"/>
  <c r="E276" i="1"/>
  <c r="I276" i="1"/>
  <c r="M267" i="1"/>
  <c r="E267" i="1"/>
  <c r="I267" i="1"/>
  <c r="M259" i="1"/>
  <c r="E259" i="1"/>
  <c r="I259" i="1"/>
  <c r="M251" i="1"/>
  <c r="E251" i="1"/>
  <c r="I251" i="1"/>
  <c r="M243" i="1"/>
  <c r="E243" i="1"/>
  <c r="I243" i="1"/>
  <c r="M235" i="1"/>
  <c r="E235" i="1"/>
  <c r="I235" i="1"/>
  <c r="M227" i="1"/>
  <c r="E227" i="1"/>
  <c r="I227" i="1"/>
  <c r="M219" i="1"/>
  <c r="E219" i="1"/>
  <c r="I219" i="1"/>
  <c r="M211" i="1"/>
  <c r="E211" i="1"/>
  <c r="I211" i="1"/>
  <c r="M203" i="1"/>
  <c r="E203" i="1"/>
  <c r="I203" i="1"/>
  <c r="O76" i="1"/>
  <c r="O78" i="1"/>
  <c r="G98" i="1"/>
  <c r="K98" i="1"/>
  <c r="C98" i="1"/>
  <c r="O87" i="1"/>
  <c r="O89" i="1"/>
  <c r="M98" i="1"/>
  <c r="I98" i="1"/>
  <c r="E98" i="1"/>
  <c r="O97" i="1"/>
  <c r="O94" i="1"/>
  <c r="O95" i="1"/>
  <c r="K79" i="1"/>
  <c r="C91" i="1"/>
  <c r="M79" i="1"/>
  <c r="C73" i="1"/>
  <c r="E79" i="1"/>
  <c r="G79" i="1"/>
  <c r="I79" i="1"/>
  <c r="O70" i="1"/>
  <c r="O72" i="1"/>
  <c r="M73" i="1"/>
  <c r="I73" i="1"/>
  <c r="G73" i="1"/>
  <c r="E73" i="1"/>
  <c r="O79" i="1" l="1"/>
  <c r="O91" i="1"/>
  <c r="O98" i="1"/>
  <c r="O73" i="1"/>
  <c r="D36" i="1" l="1"/>
  <c r="B36" i="1"/>
  <c r="C32" i="1" l="1"/>
  <c r="C30" i="1"/>
  <c r="C33" i="1"/>
  <c r="C31" i="1"/>
  <c r="E33" i="1"/>
  <c r="E31" i="1"/>
  <c r="E32" i="1"/>
  <c r="E30" i="1"/>
  <c r="C34" i="1"/>
  <c r="C35" i="1"/>
  <c r="E35" i="1"/>
  <c r="E34" i="1"/>
  <c r="C29" i="1"/>
  <c r="W11" i="13"/>
  <c r="N388" i="1"/>
  <c r="N387" i="1"/>
  <c r="N386" i="1"/>
  <c r="N385" i="1"/>
  <c r="N380" i="1"/>
  <c r="N379" i="1"/>
  <c r="N378" i="1"/>
  <c r="N377" i="1"/>
  <c r="N372" i="1"/>
  <c r="N371" i="1"/>
  <c r="N370" i="1"/>
  <c r="N369" i="1"/>
  <c r="N364" i="1"/>
  <c r="N363" i="1"/>
  <c r="N362" i="1"/>
  <c r="N361" i="1"/>
  <c r="N355" i="1"/>
  <c r="N354" i="1"/>
  <c r="N353" i="1"/>
  <c r="N352" i="1"/>
  <c r="N347" i="1"/>
  <c r="N346" i="1"/>
  <c r="N345" i="1"/>
  <c r="N344" i="1"/>
  <c r="N339" i="1"/>
  <c r="N338" i="1"/>
  <c r="N337" i="1"/>
  <c r="N336" i="1"/>
  <c r="N331" i="1"/>
  <c r="N330" i="1"/>
  <c r="N329" i="1"/>
  <c r="N328" i="1"/>
  <c r="N323" i="1"/>
  <c r="N322" i="1"/>
  <c r="N321" i="1"/>
  <c r="N320" i="1"/>
  <c r="N315" i="1"/>
  <c r="N314" i="1"/>
  <c r="N313" i="1"/>
  <c r="N312" i="1"/>
  <c r="N307" i="1"/>
  <c r="N306" i="1"/>
  <c r="N305" i="1"/>
  <c r="N304" i="1"/>
  <c r="N299" i="1"/>
  <c r="N298" i="1"/>
  <c r="N297" i="1"/>
  <c r="N296" i="1"/>
  <c r="N291" i="1"/>
  <c r="N290" i="1"/>
  <c r="N289" i="1"/>
  <c r="N288" i="1"/>
  <c r="N283" i="1"/>
  <c r="N282" i="1"/>
  <c r="N281" i="1"/>
  <c r="N280" i="1"/>
  <c r="N275" i="1"/>
  <c r="N274" i="1"/>
  <c r="N273" i="1"/>
  <c r="N272" i="1"/>
  <c r="N266" i="1"/>
  <c r="N265" i="1"/>
  <c r="N264" i="1"/>
  <c r="N263" i="1"/>
  <c r="N258" i="1"/>
  <c r="N257" i="1"/>
  <c r="N256" i="1"/>
  <c r="N255" i="1"/>
  <c r="N250" i="1"/>
  <c r="N249" i="1"/>
  <c r="N248" i="1"/>
  <c r="N247" i="1"/>
  <c r="N242" i="1"/>
  <c r="N241" i="1"/>
  <c r="N240" i="1"/>
  <c r="N239" i="1"/>
  <c r="N234" i="1"/>
  <c r="N233" i="1"/>
  <c r="N232" i="1"/>
  <c r="N231" i="1"/>
  <c r="N226" i="1"/>
  <c r="N225" i="1"/>
  <c r="N224" i="1"/>
  <c r="N223" i="1"/>
  <c r="N218" i="1"/>
  <c r="N217" i="1"/>
  <c r="N216" i="1"/>
  <c r="N215" i="1"/>
  <c r="N210" i="1"/>
  <c r="N209" i="1"/>
  <c r="N208" i="1"/>
  <c r="N207" i="1"/>
  <c r="N202" i="1"/>
  <c r="N201" i="1"/>
  <c r="N200" i="1"/>
  <c r="N199" i="1"/>
  <c r="N194" i="1"/>
  <c r="N193" i="1"/>
  <c r="N192" i="1"/>
  <c r="N191" i="1"/>
  <c r="N185" i="1"/>
  <c r="N184" i="1"/>
  <c r="N183" i="1"/>
  <c r="N182" i="1"/>
  <c r="N177" i="1"/>
  <c r="N176" i="1"/>
  <c r="N175" i="1"/>
  <c r="N174" i="1"/>
  <c r="N169" i="1"/>
  <c r="N168" i="1"/>
  <c r="N167" i="1"/>
  <c r="N166" i="1"/>
  <c r="N161" i="1"/>
  <c r="N160" i="1"/>
  <c r="N159" i="1"/>
  <c r="N158" i="1"/>
  <c r="N153" i="1"/>
  <c r="N152" i="1"/>
  <c r="N151" i="1"/>
  <c r="N150" i="1"/>
  <c r="N145" i="1"/>
  <c r="N144" i="1"/>
  <c r="N143" i="1"/>
  <c r="N142" i="1"/>
  <c r="N137" i="1"/>
  <c r="N136" i="1"/>
  <c r="N135" i="1"/>
  <c r="N134" i="1"/>
  <c r="M111" i="1"/>
  <c r="K111" i="1"/>
  <c r="I111" i="1"/>
  <c r="G111" i="1"/>
  <c r="E111" i="1"/>
  <c r="C111" i="1"/>
  <c r="L67" i="1"/>
  <c r="J67" i="1"/>
  <c r="H67" i="1"/>
  <c r="F67" i="1"/>
  <c r="D67" i="1"/>
  <c r="L60" i="1"/>
  <c r="J60" i="1"/>
  <c r="F60" i="1"/>
  <c r="D60" i="1"/>
  <c r="Q48" i="1"/>
  <c r="O48" i="1"/>
  <c r="M48" i="1"/>
  <c r="K48" i="1"/>
  <c r="I48" i="1"/>
  <c r="G48" i="1"/>
  <c r="D48" i="1"/>
  <c r="Q36" i="1"/>
  <c r="O36" i="1"/>
  <c r="M36" i="1"/>
  <c r="K36" i="1"/>
  <c r="I36" i="1"/>
  <c r="G36" i="1"/>
  <c r="Q19" i="1"/>
  <c r="O19" i="1"/>
  <c r="M19" i="1"/>
  <c r="K19" i="1"/>
  <c r="I19" i="1"/>
  <c r="F7" i="1"/>
  <c r="D10" i="1"/>
  <c r="E46" i="1" l="1"/>
  <c r="E44" i="1"/>
  <c r="E42" i="1"/>
  <c r="E40" i="1"/>
  <c r="E47" i="1"/>
  <c r="E45" i="1"/>
  <c r="E43" i="1"/>
  <c r="E41" i="1"/>
  <c r="G59" i="1"/>
  <c r="G57" i="1"/>
  <c r="G55" i="1"/>
  <c r="G53" i="1"/>
  <c r="G58" i="1"/>
  <c r="G56" i="1"/>
  <c r="G54" i="1"/>
  <c r="G52" i="1"/>
  <c r="M59" i="1"/>
  <c r="M57" i="1"/>
  <c r="M55" i="1"/>
  <c r="M53" i="1"/>
  <c r="M58" i="1"/>
  <c r="M56" i="1"/>
  <c r="M54" i="1"/>
  <c r="M52" i="1"/>
  <c r="E59" i="1"/>
  <c r="E57" i="1"/>
  <c r="E55" i="1"/>
  <c r="E53" i="1"/>
  <c r="E58" i="1"/>
  <c r="E56" i="1"/>
  <c r="E54" i="1"/>
  <c r="E52" i="1"/>
  <c r="K59" i="1"/>
  <c r="K57" i="1"/>
  <c r="K55" i="1"/>
  <c r="K53" i="1"/>
  <c r="K58" i="1"/>
  <c r="K56" i="1"/>
  <c r="K54" i="1"/>
  <c r="K52" i="1"/>
  <c r="O423" i="1"/>
  <c r="O422" i="1"/>
  <c r="O427" i="1"/>
  <c r="O428" i="1"/>
  <c r="O424" i="1"/>
  <c r="H44" i="1"/>
  <c r="J43" i="1"/>
  <c r="J41" i="1"/>
  <c r="J44" i="1"/>
  <c r="J42" i="1"/>
  <c r="C46" i="1"/>
  <c r="C45" i="1"/>
  <c r="C47" i="1"/>
  <c r="C44" i="1"/>
  <c r="C43" i="1"/>
  <c r="C58" i="1"/>
  <c r="C56" i="1"/>
  <c r="C53" i="1"/>
  <c r="C59" i="1"/>
  <c r="C57" i="1"/>
  <c r="R18" i="1"/>
  <c r="P18" i="1"/>
  <c r="N18" i="1"/>
  <c r="L18" i="1"/>
  <c r="J18" i="1"/>
  <c r="J46" i="1"/>
  <c r="J47" i="1"/>
  <c r="J45" i="1"/>
  <c r="N46" i="1"/>
  <c r="N44" i="1"/>
  <c r="N47" i="1"/>
  <c r="N45" i="1"/>
  <c r="N43" i="1"/>
  <c r="R46" i="1"/>
  <c r="R44" i="1"/>
  <c r="R47" i="1"/>
  <c r="R45" i="1"/>
  <c r="R43" i="1"/>
  <c r="H47" i="1"/>
  <c r="H45" i="1"/>
  <c r="H43" i="1"/>
  <c r="H46" i="1"/>
  <c r="L47" i="1"/>
  <c r="L45" i="1"/>
  <c r="L43" i="1"/>
  <c r="L46" i="1"/>
  <c r="L44" i="1"/>
  <c r="P47" i="1"/>
  <c r="P45" i="1"/>
  <c r="P43" i="1"/>
  <c r="P46" i="1"/>
  <c r="P44" i="1"/>
  <c r="C366" i="1"/>
  <c r="E357" i="1"/>
  <c r="C357" i="1"/>
  <c r="M309" i="1"/>
  <c r="C268" i="1"/>
  <c r="C252" i="1"/>
  <c r="K252" i="1"/>
  <c r="K228" i="1"/>
  <c r="M228" i="1"/>
  <c r="G212" i="1"/>
  <c r="K212" i="1"/>
  <c r="I212" i="1"/>
  <c r="M212" i="1"/>
  <c r="M110" i="1"/>
  <c r="I110" i="1"/>
  <c r="G109" i="1"/>
  <c r="C66" i="1"/>
  <c r="C64" i="1"/>
  <c r="C65" i="1"/>
  <c r="G66" i="1"/>
  <c r="G64" i="1"/>
  <c r="G65" i="1"/>
  <c r="K66" i="1"/>
  <c r="K64" i="1"/>
  <c r="K65" i="1"/>
  <c r="E65" i="1"/>
  <c r="E66" i="1"/>
  <c r="E64" i="1"/>
  <c r="I65" i="1"/>
  <c r="I66" i="1"/>
  <c r="I64" i="1"/>
  <c r="M65" i="1"/>
  <c r="M66" i="1"/>
  <c r="M64" i="1"/>
  <c r="N42" i="1"/>
  <c r="N40" i="1"/>
  <c r="N41" i="1"/>
  <c r="R42" i="1"/>
  <c r="R40" i="1"/>
  <c r="R41" i="1"/>
  <c r="C42" i="1"/>
  <c r="C40" i="1"/>
  <c r="C41" i="1"/>
  <c r="H41" i="1"/>
  <c r="H42" i="1"/>
  <c r="L41" i="1"/>
  <c r="L42" i="1"/>
  <c r="L40" i="1"/>
  <c r="P41" i="1"/>
  <c r="P42" i="1"/>
  <c r="P40" i="1"/>
  <c r="J32" i="1"/>
  <c r="J30" i="1"/>
  <c r="J33" i="1"/>
  <c r="J31" i="1"/>
  <c r="N32" i="1"/>
  <c r="N30" i="1"/>
  <c r="N33" i="1"/>
  <c r="N31" i="1"/>
  <c r="R32" i="1"/>
  <c r="R30" i="1"/>
  <c r="R33" i="1"/>
  <c r="R31" i="1"/>
  <c r="H33" i="1"/>
  <c r="H31" i="1"/>
  <c r="H32" i="1"/>
  <c r="H30" i="1"/>
  <c r="L33" i="1"/>
  <c r="L31" i="1"/>
  <c r="L32" i="1"/>
  <c r="L30" i="1"/>
  <c r="P33" i="1"/>
  <c r="P31" i="1"/>
  <c r="P32" i="1"/>
  <c r="P30" i="1"/>
  <c r="J34" i="1"/>
  <c r="J35" i="1"/>
  <c r="N34" i="1"/>
  <c r="N35" i="1"/>
  <c r="R34" i="1"/>
  <c r="R35" i="1"/>
  <c r="H35" i="1"/>
  <c r="H34" i="1"/>
  <c r="L35" i="1"/>
  <c r="L34" i="1"/>
  <c r="P35" i="1"/>
  <c r="P34" i="1"/>
  <c r="W8" i="13"/>
  <c r="M293" i="1"/>
  <c r="G108" i="1"/>
  <c r="K109" i="1"/>
  <c r="K108" i="1"/>
  <c r="E382" i="1"/>
  <c r="R6" i="14"/>
  <c r="T6" i="14"/>
  <c r="V6" i="14"/>
  <c r="T12" i="13"/>
  <c r="T9" i="13"/>
  <c r="S5" i="13"/>
  <c r="T5" i="13"/>
  <c r="U5" i="13"/>
  <c r="V5" i="13"/>
  <c r="W5" i="13"/>
  <c r="W7" i="13"/>
  <c r="W9" i="13"/>
  <c r="S12" i="13"/>
  <c r="W12" i="13"/>
  <c r="S14" i="13"/>
  <c r="W14" i="13"/>
  <c r="K110" i="1"/>
  <c r="M109" i="1"/>
  <c r="M108" i="1"/>
  <c r="N162" i="1"/>
  <c r="K204" i="1"/>
  <c r="M252" i="1"/>
  <c r="K268" i="1"/>
  <c r="K293" i="1"/>
  <c r="E309" i="1"/>
  <c r="G374" i="1"/>
  <c r="I204" i="1"/>
  <c r="M204" i="1"/>
  <c r="G110" i="1"/>
  <c r="I109" i="1"/>
  <c r="I108" i="1"/>
  <c r="C204" i="1"/>
  <c r="N203" i="1"/>
  <c r="O202" i="1" s="1"/>
  <c r="C212" i="1"/>
  <c r="C220" i="1"/>
  <c r="G220" i="1"/>
  <c r="K220" i="1"/>
  <c r="N219" i="1"/>
  <c r="G228" i="1"/>
  <c r="G244" i="1"/>
  <c r="I260" i="1"/>
  <c r="E268" i="1"/>
  <c r="C293" i="1"/>
  <c r="E293" i="1"/>
  <c r="G301" i="1"/>
  <c r="I301" i="1"/>
  <c r="C325" i="1"/>
  <c r="C341" i="1"/>
  <c r="K357" i="1"/>
  <c r="K366" i="1"/>
  <c r="M382" i="1"/>
  <c r="C36" i="1"/>
  <c r="E204" i="1"/>
  <c r="E220" i="1"/>
  <c r="I220" i="1"/>
  <c r="M220" i="1"/>
  <c r="I285" i="1"/>
  <c r="K325" i="1"/>
  <c r="E341" i="1"/>
  <c r="M341" i="1"/>
  <c r="N300" i="1"/>
  <c r="O298" i="1" s="1"/>
  <c r="I317" i="1"/>
  <c r="E325" i="1"/>
  <c r="I333" i="1"/>
  <c r="G333" i="1"/>
  <c r="K341" i="1"/>
  <c r="E366" i="1"/>
  <c r="I374" i="1"/>
  <c r="N373" i="1"/>
  <c r="O371" i="1" s="1"/>
  <c r="K382" i="1"/>
  <c r="I390" i="1"/>
  <c r="N154" i="1"/>
  <c r="E228" i="1"/>
  <c r="I349" i="1"/>
  <c r="R16" i="1"/>
  <c r="P16" i="1"/>
  <c r="N16" i="1"/>
  <c r="L16" i="1"/>
  <c r="J16" i="1"/>
  <c r="G390" i="1"/>
  <c r="N389" i="1"/>
  <c r="O388" i="1" s="1"/>
  <c r="G349" i="1"/>
  <c r="N348" i="1"/>
  <c r="O346" i="1" s="1"/>
  <c r="N332" i="1"/>
  <c r="O331" i="1" s="1"/>
  <c r="G317" i="1"/>
  <c r="N316" i="1"/>
  <c r="G285" i="1"/>
  <c r="N284" i="1"/>
  <c r="O283" i="1" s="1"/>
  <c r="G260" i="1"/>
  <c r="N259" i="1"/>
  <c r="I244" i="1"/>
  <c r="N243" i="1"/>
  <c r="E212" i="1"/>
  <c r="G204" i="1"/>
  <c r="N186" i="1"/>
  <c r="O185" i="1" s="1"/>
  <c r="N178" i="1"/>
  <c r="N170" i="1"/>
  <c r="O168" i="1" s="1"/>
  <c r="N138" i="1"/>
  <c r="E109" i="1"/>
  <c r="N211" i="1"/>
  <c r="N227" i="1"/>
  <c r="O224" i="1" s="1"/>
  <c r="I228" i="1"/>
  <c r="E244" i="1"/>
  <c r="M244" i="1"/>
  <c r="C244" i="1"/>
  <c r="K244" i="1"/>
  <c r="N251" i="1"/>
  <c r="O250" i="1" s="1"/>
  <c r="I252" i="1"/>
  <c r="E260" i="1"/>
  <c r="M260" i="1"/>
  <c r="C260" i="1"/>
  <c r="K260" i="1"/>
  <c r="N267" i="1"/>
  <c r="E285" i="1"/>
  <c r="M285" i="1"/>
  <c r="C285" i="1"/>
  <c r="K285" i="1"/>
  <c r="N292" i="1"/>
  <c r="O291" i="1" s="1"/>
  <c r="E301" i="1"/>
  <c r="M301" i="1"/>
  <c r="C301" i="1"/>
  <c r="K301" i="1"/>
  <c r="N308" i="1"/>
  <c r="O306" i="1" s="1"/>
  <c r="I309" i="1"/>
  <c r="E317" i="1"/>
  <c r="M317" i="1"/>
  <c r="C317" i="1"/>
  <c r="K317" i="1"/>
  <c r="N324" i="1"/>
  <c r="O322" i="1" s="1"/>
  <c r="E333" i="1"/>
  <c r="M333" i="1"/>
  <c r="C333" i="1"/>
  <c r="K333" i="1"/>
  <c r="N340" i="1"/>
  <c r="O339" i="1" s="1"/>
  <c r="I341" i="1"/>
  <c r="E349" i="1"/>
  <c r="M349" i="1"/>
  <c r="C349" i="1"/>
  <c r="K349" i="1"/>
  <c r="N356" i="1"/>
  <c r="O354" i="1" s="1"/>
  <c r="I357" i="1"/>
  <c r="N365" i="1"/>
  <c r="O364" i="1" s="1"/>
  <c r="E374" i="1"/>
  <c r="M374" i="1"/>
  <c r="C374" i="1"/>
  <c r="K374" i="1"/>
  <c r="N381" i="1"/>
  <c r="O379" i="1" s="1"/>
  <c r="E390" i="1"/>
  <c r="M390" i="1"/>
  <c r="C390" i="1"/>
  <c r="K390" i="1"/>
  <c r="J14" i="1"/>
  <c r="L14" i="1"/>
  <c r="N14" i="1"/>
  <c r="P14" i="1"/>
  <c r="R14" i="1"/>
  <c r="E108" i="1"/>
  <c r="N146" i="1"/>
  <c r="R10" i="13"/>
  <c r="T10" i="13"/>
  <c r="V10" i="13"/>
  <c r="O372" i="1"/>
  <c r="O336" i="1"/>
  <c r="O330" i="1"/>
  <c r="O328" i="1"/>
  <c r="O315" i="1"/>
  <c r="O314" i="1"/>
  <c r="O313" i="1"/>
  <c r="O312" i="1"/>
  <c r="O299" i="1"/>
  <c r="O297" i="1"/>
  <c r="O290" i="1"/>
  <c r="O288" i="1"/>
  <c r="O282" i="1"/>
  <c r="O280" i="1"/>
  <c r="N276" i="1"/>
  <c r="O272" i="1" s="1"/>
  <c r="C277" i="1"/>
  <c r="G277" i="1"/>
  <c r="K277" i="1"/>
  <c r="O266" i="1"/>
  <c r="O257" i="1"/>
  <c r="O255" i="1"/>
  <c r="O247" i="1"/>
  <c r="O242" i="1"/>
  <c r="O241" i="1"/>
  <c r="O240" i="1"/>
  <c r="O239" i="1"/>
  <c r="N235" i="1"/>
  <c r="C236" i="1"/>
  <c r="G236" i="1"/>
  <c r="K236" i="1"/>
  <c r="O223" i="1"/>
  <c r="O218" i="1"/>
  <c r="O217" i="1"/>
  <c r="O216" i="1"/>
  <c r="O215" i="1"/>
  <c r="O210" i="1"/>
  <c r="O209" i="1"/>
  <c r="O208" i="1"/>
  <c r="O207" i="1"/>
  <c r="O201" i="1"/>
  <c r="O199" i="1"/>
  <c r="N195" i="1"/>
  <c r="C196" i="1"/>
  <c r="G196" i="1"/>
  <c r="K196" i="1"/>
  <c r="O183" i="1"/>
  <c r="O177" i="1"/>
  <c r="O176" i="1"/>
  <c r="O175" i="1"/>
  <c r="O174" i="1"/>
  <c r="O169" i="1"/>
  <c r="O167" i="1"/>
  <c r="O161" i="1"/>
  <c r="O160" i="1"/>
  <c r="O159" i="1"/>
  <c r="O158" i="1"/>
  <c r="O153" i="1"/>
  <c r="O152" i="1"/>
  <c r="O151" i="1"/>
  <c r="O150" i="1"/>
  <c r="O144" i="1"/>
  <c r="O142" i="1"/>
  <c r="O137" i="1"/>
  <c r="O136" i="1"/>
  <c r="O135" i="1"/>
  <c r="O134" i="1"/>
  <c r="E110" i="1"/>
  <c r="M63" i="1"/>
  <c r="K63" i="1"/>
  <c r="I63" i="1"/>
  <c r="G63" i="1"/>
  <c r="E63" i="1"/>
  <c r="R13" i="1"/>
  <c r="R15" i="1"/>
  <c r="R17" i="1"/>
  <c r="P13" i="1"/>
  <c r="P15" i="1"/>
  <c r="P17" i="1"/>
  <c r="N13" i="1"/>
  <c r="N15" i="1"/>
  <c r="N17" i="1"/>
  <c r="L13" i="1"/>
  <c r="L15" i="1"/>
  <c r="L17" i="1"/>
  <c r="J13" i="1"/>
  <c r="J15" i="1"/>
  <c r="J17" i="1"/>
  <c r="T10" i="10"/>
  <c r="V10" i="10"/>
  <c r="O337" i="1" l="1"/>
  <c r="O338" i="1"/>
  <c r="O353" i="1"/>
  <c r="O355" i="1"/>
  <c r="O352" i="1"/>
  <c r="O361" i="1"/>
  <c r="O363" i="1"/>
  <c r="O362" i="1"/>
  <c r="O366" i="1" s="1"/>
  <c r="K60" i="1"/>
  <c r="G60" i="1"/>
  <c r="O166" i="1"/>
  <c r="O182" i="1"/>
  <c r="O187" i="1" s="1"/>
  <c r="X13" i="10" s="1"/>
  <c r="O200" i="1"/>
  <c r="O296" i="1"/>
  <c r="O301" i="1" s="1"/>
  <c r="O323" i="1"/>
  <c r="C60" i="1"/>
  <c r="E60" i="1"/>
  <c r="M60" i="1"/>
  <c r="E48" i="1"/>
  <c r="O387" i="1"/>
  <c r="O386" i="1"/>
  <c r="O380" i="1"/>
  <c r="O347" i="1"/>
  <c r="O307" i="1"/>
  <c r="O263" i="1"/>
  <c r="O248" i="1"/>
  <c r="X12" i="13" s="1"/>
  <c r="O226" i="1"/>
  <c r="O184" i="1"/>
  <c r="O385" i="1"/>
  <c r="O378" i="1"/>
  <c r="O369" i="1"/>
  <c r="O370" i="1"/>
  <c r="O344" i="1"/>
  <c r="O345" i="1"/>
  <c r="O321" i="1"/>
  <c r="O304" i="1"/>
  <c r="O305" i="1"/>
  <c r="O281" i="1"/>
  <c r="X7" i="14" s="1"/>
  <c r="O264" i="1"/>
  <c r="O265" i="1"/>
  <c r="O249" i="1"/>
  <c r="X11" i="13"/>
  <c r="O225" i="1"/>
  <c r="X8" i="13"/>
  <c r="X7" i="13"/>
  <c r="X6" i="13"/>
  <c r="O377" i="1"/>
  <c r="O329" i="1"/>
  <c r="O333" i="1" s="1"/>
  <c r="O320" i="1"/>
  <c r="O289" i="1"/>
  <c r="X8" i="14" s="1"/>
  <c r="O256" i="1"/>
  <c r="X13" i="13" s="1"/>
  <c r="O258" i="1"/>
  <c r="O143" i="1"/>
  <c r="O145" i="1"/>
  <c r="O191" i="1"/>
  <c r="O231" i="1"/>
  <c r="E113" i="1"/>
  <c r="X12" i="14"/>
  <c r="X13" i="14"/>
  <c r="X14" i="14"/>
  <c r="X16" i="14"/>
  <c r="X20" i="14"/>
  <c r="K113" i="1"/>
  <c r="G113" i="1"/>
  <c r="M112" i="1"/>
  <c r="M113" i="1"/>
  <c r="I113" i="1"/>
  <c r="K112" i="1"/>
  <c r="I112" i="1"/>
  <c r="G112" i="1"/>
  <c r="E112" i="1"/>
  <c r="W6" i="14"/>
  <c r="U6" i="14"/>
  <c r="R24" i="1"/>
  <c r="R23" i="1"/>
  <c r="R22" i="1"/>
  <c r="P23" i="1"/>
  <c r="P24" i="1"/>
  <c r="P22" i="1"/>
  <c r="N24" i="1"/>
  <c r="N23" i="1"/>
  <c r="N22" i="1"/>
  <c r="L23" i="1"/>
  <c r="L24" i="1"/>
  <c r="L22" i="1"/>
  <c r="J24" i="1"/>
  <c r="J23" i="1"/>
  <c r="J22" i="1"/>
  <c r="U9" i="13"/>
  <c r="R10" i="10"/>
  <c r="S9" i="13"/>
  <c r="V14" i="13"/>
  <c r="R14" i="13"/>
  <c r="W22" i="14"/>
  <c r="W20" i="14"/>
  <c r="W16" i="14"/>
  <c r="W14" i="14"/>
  <c r="W12" i="14"/>
  <c r="W10" i="14"/>
  <c r="W8" i="14"/>
  <c r="W13" i="13"/>
  <c r="K309" i="1"/>
  <c r="S7" i="13"/>
  <c r="V7" i="13"/>
  <c r="R7" i="13"/>
  <c r="U12" i="13"/>
  <c r="S6" i="14"/>
  <c r="S7" i="14"/>
  <c r="U7" i="14"/>
  <c r="S9" i="14"/>
  <c r="U9" i="14"/>
  <c r="U10" i="14"/>
  <c r="U12" i="14"/>
  <c r="U20" i="14"/>
  <c r="S20" i="14"/>
  <c r="S21" i="14"/>
  <c r="U21" i="14"/>
  <c r="U22" i="14"/>
  <c r="U13" i="14"/>
  <c r="W23" i="14"/>
  <c r="W21" i="14"/>
  <c r="W15" i="14"/>
  <c r="W13" i="14"/>
  <c r="W11" i="14"/>
  <c r="W9" i="14"/>
  <c r="W7" i="14"/>
  <c r="V23" i="14"/>
  <c r="R23" i="14"/>
  <c r="S23" i="14"/>
  <c r="U23" i="14"/>
  <c r="T23" i="14"/>
  <c r="T22" i="14"/>
  <c r="V22" i="14"/>
  <c r="R22" i="14"/>
  <c r="T21" i="14"/>
  <c r="V21" i="14"/>
  <c r="R21" i="14"/>
  <c r="V20" i="14"/>
  <c r="T20" i="14"/>
  <c r="R20" i="14"/>
  <c r="V16" i="14"/>
  <c r="R16" i="14"/>
  <c r="U16" i="14"/>
  <c r="S16" i="14"/>
  <c r="T16" i="14"/>
  <c r="V15" i="14"/>
  <c r="R15" i="14"/>
  <c r="U15" i="14"/>
  <c r="T15" i="14"/>
  <c r="V14" i="14"/>
  <c r="R14" i="14"/>
  <c r="U14" i="14"/>
  <c r="S14" i="14"/>
  <c r="T14" i="14"/>
  <c r="V13" i="14"/>
  <c r="R13" i="14"/>
  <c r="T13" i="14"/>
  <c r="V12" i="14"/>
  <c r="T12" i="14"/>
  <c r="R12" i="14"/>
  <c r="V11" i="14"/>
  <c r="R11" i="14"/>
  <c r="U11" i="14"/>
  <c r="T11" i="14"/>
  <c r="T10" i="14"/>
  <c r="V10" i="14"/>
  <c r="R10" i="14"/>
  <c r="V9" i="14"/>
  <c r="R9" i="14"/>
  <c r="T9" i="14"/>
  <c r="V8" i="14"/>
  <c r="R8" i="14"/>
  <c r="U8" i="14"/>
  <c r="S8" i="14"/>
  <c r="T8" i="14"/>
  <c r="V7" i="14"/>
  <c r="R7" i="14"/>
  <c r="T7" i="14"/>
  <c r="U14" i="13"/>
  <c r="T14" i="13"/>
  <c r="V13" i="13"/>
  <c r="R13" i="13"/>
  <c r="U13" i="13"/>
  <c r="S13" i="13"/>
  <c r="V12" i="13"/>
  <c r="R12" i="13"/>
  <c r="V11" i="13"/>
  <c r="R11" i="13"/>
  <c r="U11" i="13"/>
  <c r="S11" i="13"/>
  <c r="V9" i="13"/>
  <c r="R9" i="13"/>
  <c r="V8" i="13"/>
  <c r="R8" i="13"/>
  <c r="U8" i="13"/>
  <c r="S8" i="13"/>
  <c r="U7" i="13"/>
  <c r="T7" i="13"/>
  <c r="R6" i="13"/>
  <c r="W6" i="13"/>
  <c r="U6" i="13"/>
  <c r="S6" i="13"/>
  <c r="V6" i="13"/>
  <c r="T13" i="13"/>
  <c r="T8" i="13"/>
  <c r="T11" i="13"/>
  <c r="T6" i="13"/>
  <c r="W12" i="10"/>
  <c r="W9" i="10"/>
  <c r="W7" i="10"/>
  <c r="U7" i="10"/>
  <c r="S7" i="10"/>
  <c r="U8" i="10"/>
  <c r="U9" i="10"/>
  <c r="S11" i="10"/>
  <c r="U11" i="10"/>
  <c r="W13" i="10"/>
  <c r="W11" i="10"/>
  <c r="W8" i="10"/>
  <c r="W6" i="10"/>
  <c r="T13" i="10"/>
  <c r="S13" i="10"/>
  <c r="U13" i="10"/>
  <c r="V13" i="10"/>
  <c r="T12" i="10"/>
  <c r="U12" i="10"/>
  <c r="S12" i="10"/>
  <c r="V12" i="10"/>
  <c r="V11" i="10"/>
  <c r="T11" i="10"/>
  <c r="T9" i="10"/>
  <c r="V9" i="10"/>
  <c r="V8" i="10"/>
  <c r="R8" i="10"/>
  <c r="T8" i="10"/>
  <c r="T7" i="10"/>
  <c r="V7" i="10"/>
  <c r="R7" i="10"/>
  <c r="V6" i="10"/>
  <c r="T6" i="10"/>
  <c r="S6" i="10"/>
  <c r="U6" i="10"/>
  <c r="R6" i="10"/>
  <c r="J19" i="1"/>
  <c r="C309" i="1"/>
  <c r="E252" i="1"/>
  <c r="C382" i="1"/>
  <c r="M357" i="1"/>
  <c r="M325" i="1"/>
  <c r="M268" i="1"/>
  <c r="C228" i="1"/>
  <c r="E67" i="1"/>
  <c r="I67" i="1"/>
  <c r="M67" i="1"/>
  <c r="I268" i="1"/>
  <c r="M366" i="1"/>
  <c r="R19" i="1"/>
  <c r="P19" i="1"/>
  <c r="N19" i="1"/>
  <c r="L19" i="1"/>
  <c r="I382" i="1"/>
  <c r="I366" i="1"/>
  <c r="I325" i="1"/>
  <c r="I293" i="1"/>
  <c r="O234" i="1"/>
  <c r="K67" i="1"/>
  <c r="G67" i="1"/>
  <c r="G382" i="1"/>
  <c r="G357" i="1"/>
  <c r="G325" i="1"/>
  <c r="G293" i="1"/>
  <c r="G268" i="1"/>
  <c r="J36" i="1"/>
  <c r="O194" i="1"/>
  <c r="O232" i="1"/>
  <c r="O275" i="1"/>
  <c r="G366" i="1"/>
  <c r="G341" i="1"/>
  <c r="G309" i="1"/>
  <c r="G252" i="1"/>
  <c r="O192" i="1"/>
  <c r="O273" i="1"/>
  <c r="X6" i="14" s="1"/>
  <c r="R48" i="1"/>
  <c r="P48" i="1"/>
  <c r="N48" i="1"/>
  <c r="L48" i="1"/>
  <c r="J48" i="1"/>
  <c r="H48" i="1"/>
  <c r="R36" i="1"/>
  <c r="P36" i="1"/>
  <c r="N36" i="1"/>
  <c r="L36" i="1"/>
  <c r="H36" i="1"/>
  <c r="E36" i="1"/>
  <c r="X11" i="14"/>
  <c r="X9" i="14"/>
  <c r="X14" i="13"/>
  <c r="W10" i="13"/>
  <c r="S10" i="13"/>
  <c r="U10" i="13"/>
  <c r="X9" i="13"/>
  <c r="O389" i="1"/>
  <c r="O390" i="1"/>
  <c r="O381" i="1"/>
  <c r="O365" i="1"/>
  <c r="O356" i="1"/>
  <c r="O357" i="1"/>
  <c r="O348" i="1"/>
  <c r="O340" i="1"/>
  <c r="O341" i="1"/>
  <c r="O316" i="1"/>
  <c r="O317" i="1"/>
  <c r="O308" i="1"/>
  <c r="O292" i="1"/>
  <c r="M277" i="1"/>
  <c r="E277" i="1"/>
  <c r="O274" i="1"/>
  <c r="I277" i="1"/>
  <c r="O268" i="1"/>
  <c r="O260" i="1"/>
  <c r="O252" i="1"/>
  <c r="O243" i="1"/>
  <c r="O244" i="1"/>
  <c r="M236" i="1"/>
  <c r="E236" i="1"/>
  <c r="O233" i="1"/>
  <c r="I236" i="1"/>
  <c r="O227" i="1"/>
  <c r="O228" i="1"/>
  <c r="O219" i="1"/>
  <c r="O220" i="1"/>
  <c r="O211" i="1"/>
  <c r="O212" i="1"/>
  <c r="O203" i="1"/>
  <c r="O204" i="1"/>
  <c r="O196" i="1"/>
  <c r="M196" i="1"/>
  <c r="E196" i="1"/>
  <c r="O193" i="1"/>
  <c r="I196" i="1"/>
  <c r="O186" i="1"/>
  <c r="O178" i="1"/>
  <c r="O179" i="1"/>
  <c r="X12" i="10" s="1"/>
  <c r="O170" i="1"/>
  <c r="O171" i="1"/>
  <c r="X11" i="10" s="1"/>
  <c r="O162" i="1"/>
  <c r="O163" i="1"/>
  <c r="X10" i="10" s="1"/>
  <c r="O154" i="1"/>
  <c r="O155" i="1"/>
  <c r="O147" i="1"/>
  <c r="X8" i="10" s="1"/>
  <c r="O138" i="1"/>
  <c r="O139" i="1"/>
  <c r="X7" i="10" s="1"/>
  <c r="W10" i="10"/>
  <c r="S10" i="10"/>
  <c r="U10" i="10"/>
  <c r="O146" i="1" l="1"/>
  <c r="O373" i="1"/>
  <c r="O285" i="1"/>
  <c r="O300" i="1"/>
  <c r="O332" i="1"/>
  <c r="O259" i="1"/>
  <c r="O267" i="1"/>
  <c r="O309" i="1"/>
  <c r="O349" i="1"/>
  <c r="O374" i="1"/>
  <c r="O382" i="1"/>
  <c r="O251" i="1"/>
  <c r="O284" i="1"/>
  <c r="X21" i="14"/>
  <c r="X15" i="14"/>
  <c r="X10" i="14"/>
  <c r="O293" i="1"/>
  <c r="X23" i="14"/>
  <c r="X22" i="14"/>
  <c r="O325" i="1"/>
  <c r="O324" i="1"/>
  <c r="J25" i="1"/>
  <c r="N25" i="1"/>
  <c r="R25" i="1"/>
  <c r="X10" i="13"/>
  <c r="L25" i="1"/>
  <c r="P25" i="1"/>
  <c r="R11" i="10"/>
  <c r="R12" i="10"/>
  <c r="R9" i="10"/>
  <c r="O195" i="1"/>
  <c r="O276" i="1"/>
  <c r="O277" i="1"/>
  <c r="O235" i="1"/>
  <c r="O236" i="1"/>
  <c r="S8" i="10" l="1"/>
  <c r="R5" i="13"/>
  <c r="C63" i="1"/>
  <c r="N63" i="1"/>
  <c r="H18" i="1"/>
  <c r="C48" i="1"/>
  <c r="B19" i="1"/>
  <c r="C13" i="1" s="1"/>
  <c r="B10" i="1"/>
  <c r="C24" i="1" l="1"/>
  <c r="C23" i="1"/>
  <c r="C22" i="1"/>
  <c r="S9" i="10"/>
  <c r="X9" i="10"/>
  <c r="W5" i="10"/>
  <c r="V5" i="10"/>
  <c r="U5" i="10"/>
  <c r="T5" i="10"/>
  <c r="S5" i="10"/>
  <c r="C67" i="1"/>
  <c r="H14" i="1"/>
  <c r="H16" i="1"/>
  <c r="H13" i="1"/>
  <c r="H15" i="1"/>
  <c r="H17" i="1"/>
  <c r="N67" i="1"/>
  <c r="C25" i="1" l="1"/>
  <c r="O63" i="1"/>
  <c r="O66" i="1"/>
  <c r="H19" i="1"/>
  <c r="X5" i="13"/>
  <c r="O65" i="1"/>
  <c r="O64" i="1"/>
  <c r="N129" i="1"/>
  <c r="N128" i="1"/>
  <c r="N127" i="1"/>
  <c r="N126" i="1"/>
  <c r="N118" i="1"/>
  <c r="N121" i="1"/>
  <c r="N120" i="1"/>
  <c r="N119" i="1"/>
  <c r="N411" i="1"/>
  <c r="N412" i="1"/>
  <c r="N413" i="1"/>
  <c r="N414" i="1"/>
  <c r="N415" i="1"/>
  <c r="N416" i="1"/>
  <c r="N417" i="1"/>
  <c r="N418" i="1"/>
  <c r="N419" i="1"/>
  <c r="N410" i="1"/>
  <c r="N409" i="1"/>
  <c r="N405" i="1"/>
  <c r="N13" i="16" s="1"/>
  <c r="N404" i="1"/>
  <c r="N12" i="16" s="1"/>
  <c r="N403" i="1"/>
  <c r="N11" i="16" s="1"/>
  <c r="N401" i="1"/>
  <c r="N9" i="16" s="1"/>
  <c r="N402" i="1"/>
  <c r="N10" i="16" s="1"/>
  <c r="N397" i="1"/>
  <c r="N5" i="16" s="1"/>
  <c r="N398" i="1"/>
  <c r="N6" i="16" s="1"/>
  <c r="N399" i="1"/>
  <c r="N7" i="16" s="1"/>
  <c r="N400" i="1"/>
  <c r="N8" i="16" s="1"/>
  <c r="N396" i="1"/>
  <c r="N4" i="16" s="1"/>
  <c r="C108" i="1"/>
  <c r="C110" i="1"/>
  <c r="C109" i="1"/>
  <c r="N109" i="1"/>
  <c r="N111" i="1"/>
  <c r="N108" i="1"/>
  <c r="N110" i="1"/>
  <c r="N104" i="1"/>
  <c r="N102" i="1"/>
  <c r="N103" i="1"/>
  <c r="N101" i="1"/>
  <c r="F36" i="1"/>
  <c r="D19" i="1"/>
  <c r="F13" i="1"/>
  <c r="F14" i="1"/>
  <c r="F18" i="1"/>
  <c r="F17" i="1"/>
  <c r="F16" i="1"/>
  <c r="F15" i="1"/>
  <c r="E9" i="1"/>
  <c r="E7" i="1"/>
  <c r="E6" i="1"/>
  <c r="E8" i="1"/>
  <c r="E5" i="1"/>
  <c r="E4" i="1"/>
  <c r="F5" i="1"/>
  <c r="F8" i="1"/>
  <c r="F6" i="1"/>
  <c r="F9" i="1"/>
  <c r="F10" i="1"/>
  <c r="N105" i="1" l="1"/>
  <c r="O101" i="1" s="1"/>
  <c r="N112" i="1"/>
  <c r="O110" i="1" s="1"/>
  <c r="C113" i="1"/>
  <c r="C112" i="1"/>
  <c r="E18" i="1"/>
  <c r="O398" i="1"/>
  <c r="O6" i="16" s="1"/>
  <c r="O402" i="1"/>
  <c r="O10" i="16" s="1"/>
  <c r="O403" i="1"/>
  <c r="O11" i="16" s="1"/>
  <c r="O405" i="1"/>
  <c r="O13" i="16" s="1"/>
  <c r="O410" i="1"/>
  <c r="N18" i="16"/>
  <c r="O418" i="1"/>
  <c r="N26" i="16"/>
  <c r="O416" i="1"/>
  <c r="N24" i="16"/>
  <c r="O414" i="1"/>
  <c r="N22" i="16"/>
  <c r="O412" i="1"/>
  <c r="N20" i="16"/>
  <c r="O400" i="1"/>
  <c r="O8" i="16" s="1"/>
  <c r="O396" i="1"/>
  <c r="O4" i="16" s="1"/>
  <c r="O399" i="1"/>
  <c r="O7" i="16" s="1"/>
  <c r="O397" i="1"/>
  <c r="O5" i="16" s="1"/>
  <c r="O401" i="1"/>
  <c r="O9" i="16" s="1"/>
  <c r="O404" i="1"/>
  <c r="O12" i="16" s="1"/>
  <c r="O409" i="1"/>
  <c r="N17" i="16"/>
  <c r="O419" i="1"/>
  <c r="N27" i="16"/>
  <c r="O417" i="1"/>
  <c r="N25" i="16"/>
  <c r="O415" i="1"/>
  <c r="N23" i="16"/>
  <c r="O413" i="1"/>
  <c r="N21" i="16"/>
  <c r="O411" i="1"/>
  <c r="N19" i="16"/>
  <c r="E10" i="1"/>
  <c r="O67" i="1"/>
  <c r="N130" i="1"/>
  <c r="E13" i="1"/>
  <c r="E17" i="1"/>
  <c r="N122" i="1"/>
  <c r="C8" i="1"/>
  <c r="C5" i="1"/>
  <c r="C9" i="1"/>
  <c r="E15" i="1"/>
  <c r="C7" i="1"/>
  <c r="C6" i="1"/>
  <c r="C4" i="1"/>
  <c r="E16" i="1"/>
  <c r="C16" i="1"/>
  <c r="E14" i="1"/>
  <c r="O102" i="1" l="1"/>
  <c r="O103" i="1"/>
  <c r="O104" i="1"/>
  <c r="O60" i="1"/>
  <c r="O108" i="1"/>
  <c r="O129" i="1"/>
  <c r="O121" i="1"/>
  <c r="C10" i="1"/>
  <c r="O111" i="1"/>
  <c r="O109" i="1"/>
  <c r="O127" i="1"/>
  <c r="E24" i="1"/>
  <c r="E23" i="1"/>
  <c r="E22" i="1"/>
  <c r="O19" i="16"/>
  <c r="O21" i="16"/>
  <c r="O23" i="16"/>
  <c r="O25" i="16"/>
  <c r="O27" i="16"/>
  <c r="O17" i="16"/>
  <c r="O20" i="16"/>
  <c r="O22" i="16"/>
  <c r="O24" i="16"/>
  <c r="O26" i="16"/>
  <c r="O18" i="16"/>
  <c r="E19" i="1"/>
  <c r="O128" i="1"/>
  <c r="O126" i="1"/>
  <c r="O120" i="1"/>
  <c r="O118" i="1"/>
  <c r="O119" i="1"/>
  <c r="C17" i="1"/>
  <c r="C14" i="1"/>
  <c r="F19" i="1"/>
  <c r="C18" i="1"/>
  <c r="C15" i="1"/>
  <c r="F48" i="1"/>
  <c r="O105" i="1" l="1"/>
  <c r="E25" i="1"/>
  <c r="C19" i="1"/>
  <c r="O131" i="1"/>
  <c r="X6" i="10" s="1"/>
  <c r="O112" i="1"/>
  <c r="O113" i="1"/>
  <c r="O130" i="1"/>
  <c r="O123" i="1"/>
  <c r="X5" i="10" s="1"/>
  <c r="O122" i="1"/>
</calcChain>
</file>

<file path=xl/sharedStrings.xml><?xml version="1.0" encoding="utf-8"?>
<sst xmlns="http://schemas.openxmlformats.org/spreadsheetml/2006/main" count="2157" uniqueCount="233">
  <si>
    <t xml:space="preserve"> </t>
  </si>
  <si>
    <t>Total</t>
  </si>
  <si>
    <t>Unknown</t>
  </si>
  <si>
    <t>Age</t>
  </si>
  <si>
    <t>Degree</t>
  </si>
  <si>
    <t>Sex</t>
  </si>
  <si>
    <t>18 to 19</t>
  </si>
  <si>
    <t>20 to 21</t>
  </si>
  <si>
    <t>22 to 24</t>
  </si>
  <si>
    <t>25 to 30</t>
  </si>
  <si>
    <t>31 to 40</t>
  </si>
  <si>
    <t>Over 40</t>
  </si>
  <si>
    <t>Hispanic</t>
  </si>
  <si>
    <t>Ethnicity</t>
  </si>
  <si>
    <t xml:space="preserve">American Indian </t>
  </si>
  <si>
    <t>%</t>
  </si>
  <si>
    <t>How would you rate your FRCC experience so far?</t>
  </si>
  <si>
    <t>Very poor</t>
  </si>
  <si>
    <t>Poor</t>
  </si>
  <si>
    <t>Good</t>
  </si>
  <si>
    <t>Very good</t>
  </si>
  <si>
    <t>How did you hear about FRCC (Multiple answers)</t>
  </si>
  <si>
    <t>Class schedule picked up at other location</t>
  </si>
  <si>
    <t xml:space="preserve"> Newspaper articles or advertisements</t>
  </si>
  <si>
    <t>Viewbook, catalog, or other brochures</t>
  </si>
  <si>
    <t>Parents</t>
  </si>
  <si>
    <t>When do you prefer to take classes:</t>
  </si>
  <si>
    <t>High school teacher or counselor</t>
  </si>
  <si>
    <t>Friend or another FRCC student</t>
  </si>
  <si>
    <t>Visit to high school by FRCC staff</t>
  </si>
  <si>
    <t>Sought out closest college</t>
  </si>
  <si>
    <t>FRCC web site</t>
  </si>
  <si>
    <t>Quality of instruction</t>
  </si>
  <si>
    <t>What are the main reasons that you chose or are continuing at FRCC (multiple answers)</t>
  </si>
  <si>
    <t>Close to home or work</t>
  </si>
  <si>
    <t>Low cost</t>
  </si>
  <si>
    <t>Courses or programs meet my needs</t>
  </si>
  <si>
    <t>Small classes</t>
  </si>
  <si>
    <t>Supportive staff</t>
  </si>
  <si>
    <t>Friends or relatives advice</t>
  </si>
  <si>
    <t>Convenient parking</t>
  </si>
  <si>
    <t>Admission or registration procedures made FRCC easier to attend</t>
  </si>
  <si>
    <t>Courses offered where or when I can take them</t>
  </si>
  <si>
    <t>I obtained financial aid or scholarship.</t>
  </si>
  <si>
    <t>EVALUATE FRCC INSTRUCTION</t>
  </si>
  <si>
    <t xml:space="preserve"> Instructor's knowledge of subject(s)</t>
  </si>
  <si>
    <t>Course objectives &amp; requirements made clear</t>
  </si>
  <si>
    <t>Content of course(s)</t>
  </si>
  <si>
    <t>Instructional methods</t>
  </si>
  <si>
    <t>Testing and grading</t>
  </si>
  <si>
    <t>Class size</t>
  </si>
  <si>
    <t>Course availability</t>
  </si>
  <si>
    <t>Overall Evaluation of Instruction</t>
  </si>
  <si>
    <t>EVALUATE PERSONAL GROWTH</t>
  </si>
  <si>
    <t>Very dissatisfied</t>
  </si>
  <si>
    <t>Dissatisfied</t>
  </si>
  <si>
    <t>Satisfied</t>
  </si>
  <si>
    <t>Very satisfied</t>
  </si>
  <si>
    <t>Ability to organize ideas</t>
  </si>
  <si>
    <t>Ability to think critically</t>
  </si>
  <si>
    <t>Ability to write with clarity</t>
  </si>
  <si>
    <t>Ability to speak with clarity</t>
  </si>
  <si>
    <t>Ability and skills in problem solving</t>
  </si>
  <si>
    <t>Knowledge &amp; skills in mathematics</t>
  </si>
  <si>
    <t>Awareness &amp; appreciation of the arts and humanities</t>
  </si>
  <si>
    <t>Awareness &amp; understanding of ethics</t>
  </si>
  <si>
    <t>Admission/registration procedures</t>
  </si>
  <si>
    <t>EVALUATE STUDENT SERVICES</t>
  </si>
  <si>
    <t>Career counseling</t>
  </si>
  <si>
    <t>Financial aid</t>
  </si>
  <si>
    <t>Veterans' services</t>
  </si>
  <si>
    <t>Job placement</t>
  </si>
  <si>
    <t>Special services</t>
  </si>
  <si>
    <t>Tutoring services</t>
  </si>
  <si>
    <t>Overall Evaluation of Student Services</t>
  </si>
  <si>
    <t>Bookstore</t>
  </si>
  <si>
    <t>Cashier</t>
  </si>
  <si>
    <t>Food services</t>
  </si>
  <si>
    <t>EVALUATE BUSINESS SERVICES</t>
  </si>
  <si>
    <t>Boulder County</t>
  </si>
  <si>
    <t>Brighton</t>
  </si>
  <si>
    <t>FRCC Online</t>
  </si>
  <si>
    <t>Larimer</t>
  </si>
  <si>
    <t>CCC Online</t>
  </si>
  <si>
    <t>Female</t>
  </si>
  <si>
    <t>Male</t>
  </si>
  <si>
    <t>Respondent</t>
  </si>
  <si>
    <t>Primary Campus</t>
  </si>
  <si>
    <t>Faculty promote cultural diversity awareness and learning in the classroom</t>
  </si>
  <si>
    <t>Percent of Good or Very Good</t>
  </si>
  <si>
    <t>Class schedule mailed to home or office</t>
  </si>
  <si>
    <t>Percent of Satisfied or Very Satisfied</t>
  </si>
  <si>
    <t>Respondents are older than the average student.</t>
  </si>
  <si>
    <t>How many credit hours are you taking this semester?</t>
  </si>
  <si>
    <t>4 or less</t>
  </si>
  <si>
    <t>5 to 11</t>
  </si>
  <si>
    <t>12 or more</t>
  </si>
  <si>
    <t>Less than 18</t>
  </si>
  <si>
    <t>Westminster</t>
  </si>
  <si>
    <t>% of campus</t>
  </si>
  <si>
    <t>Boulder Cty</t>
  </si>
  <si>
    <t>FRCC Onl</t>
  </si>
  <si>
    <t xml:space="preserve">Highest concentration of Hispancs are at Brighton </t>
  </si>
  <si>
    <t>Campuses vary on when they prefer to take their courses, with the online students most likely to want evening/weekend classes.</t>
  </si>
  <si>
    <t>The only question that fell below 90% satisfaction was Math abilities</t>
  </si>
  <si>
    <t>CCCS Onl</t>
  </si>
  <si>
    <t>Class Size</t>
  </si>
  <si>
    <t>Evaluate FRCC Student Services</t>
  </si>
  <si>
    <t>Evaluate FRCC Business Services</t>
  </si>
  <si>
    <t>N</t>
  </si>
  <si>
    <t>Median</t>
  </si>
  <si>
    <t>Note: Students less than 18 years old were omitted from this survey because of uncertainty around confidentiality for underage students.</t>
  </si>
  <si>
    <t>2 Or More</t>
  </si>
  <si>
    <t>Asian</t>
  </si>
  <si>
    <t>Black</t>
  </si>
  <si>
    <t>International</t>
  </si>
  <si>
    <t>White</t>
  </si>
  <si>
    <t>Earn a Vocational/Technical Degree (AAS)</t>
  </si>
  <si>
    <t>Earn an Academic Degree (AA, AS, AGS)</t>
  </si>
  <si>
    <t>Improve skills for present job</t>
  </si>
  <si>
    <t>Prepare to enter job market</t>
  </si>
  <si>
    <t>Receive financial aid benefits</t>
  </si>
  <si>
    <t>Present employment status</t>
  </si>
  <si>
    <t>If employed, how many hours per week are you working</t>
  </si>
  <si>
    <t>20 or less</t>
  </si>
  <si>
    <t>21-39</t>
  </si>
  <si>
    <t>40 or more</t>
  </si>
  <si>
    <t>Percent of question Respondents who agree with the following:</t>
  </si>
  <si>
    <t>Instructional program is meeting your educational goals.</t>
  </si>
  <si>
    <t>About right amount</t>
  </si>
  <si>
    <t>Not enough</t>
  </si>
  <si>
    <t>Too much</t>
  </si>
  <si>
    <t>Don't know/ don't care</t>
  </si>
  <si>
    <t>Very Good</t>
  </si>
  <si>
    <t>Very Poor</t>
  </si>
  <si>
    <t>Knowledge of methods &amp; achievements in science</t>
  </si>
  <si>
    <t>CCCS Online</t>
  </si>
  <si>
    <t>Percent of Campus Respondents</t>
  </si>
  <si>
    <t>How Often do you typically use the following technologies?</t>
  </si>
  <si>
    <t>Desire2Learn</t>
  </si>
  <si>
    <t>Daily</t>
  </si>
  <si>
    <t>2+ days a week</t>
  </si>
  <si>
    <t>Once a week</t>
  </si>
  <si>
    <t>Monthly</t>
  </si>
  <si>
    <t>Never</t>
  </si>
  <si>
    <t>Once a week or more</t>
  </si>
  <si>
    <t>eWolf</t>
  </si>
  <si>
    <t>Text messaging</t>
  </si>
  <si>
    <t>Personal Email</t>
  </si>
  <si>
    <t>Twitter</t>
  </si>
  <si>
    <t>Facebook</t>
  </si>
  <si>
    <t>YouTube</t>
  </si>
  <si>
    <t>Take a few courses, transfer</t>
  </si>
  <si>
    <t>CCCOnline students were least likely to respond to the survey</t>
  </si>
  <si>
    <t>Women have higher response rates, and are more likely to attend the online campuses.</t>
  </si>
  <si>
    <t>International Students have the highest response rates.</t>
  </si>
  <si>
    <t>Larimer students are most likely to be full-time students</t>
  </si>
  <si>
    <t>Course Availability had the lowest level of satisfaction.</t>
  </si>
  <si>
    <t>Certificate</t>
  </si>
  <si>
    <t>Undeclared</t>
  </si>
  <si>
    <t>A.A.</t>
  </si>
  <si>
    <t>A.A.S.</t>
  </si>
  <si>
    <t>A.G.S.</t>
  </si>
  <si>
    <t>A.S.</t>
  </si>
  <si>
    <t>Earn a Vo/Tech Certificate</t>
  </si>
  <si>
    <t>Personal Interest</t>
  </si>
  <si>
    <t>Employed</t>
  </si>
  <si>
    <t>Military</t>
  </si>
  <si>
    <t>Unemployed Seeking Employment</t>
  </si>
  <si>
    <t>Unemployed NOT seeking employment</t>
  </si>
  <si>
    <t>FRCC student life has programs that promote campus cultural diversity awareness and learning</t>
  </si>
  <si>
    <t>Mornings</t>
  </si>
  <si>
    <t>Afternoons</t>
  </si>
  <si>
    <t>Evenings</t>
  </si>
  <si>
    <t>Weekends</t>
  </si>
  <si>
    <t>Course advising</t>
  </si>
  <si>
    <t>Student Life</t>
  </si>
  <si>
    <t>Library/Learning resource center</t>
  </si>
  <si>
    <t>Development education/basic skills center</t>
  </si>
  <si>
    <t>Do you own a smartphone</t>
  </si>
  <si>
    <t>Yes</t>
  </si>
  <si>
    <t>No</t>
  </si>
  <si>
    <t>No, but plan on buying one within the next 6 months</t>
  </si>
  <si>
    <t>Do you forward your CCCS email to a personal email such as gmail or MSN?</t>
  </si>
  <si>
    <t>Touch screen table</t>
  </si>
  <si>
    <t>eReaders</t>
  </si>
  <si>
    <t>Web-bsed video conferencing tools</t>
  </si>
  <si>
    <t>SmartPhone Apps</t>
  </si>
  <si>
    <t>FRCC email</t>
  </si>
  <si>
    <t>How Often do you typically use these social media sites</t>
  </si>
  <si>
    <t>Pinterest</t>
  </si>
  <si>
    <t>Google+</t>
  </si>
  <si>
    <t>Tumbir</t>
  </si>
  <si>
    <t>Linkedin</t>
  </si>
  <si>
    <t>Vine</t>
  </si>
  <si>
    <t>What is the MAIN reason you are attending FRCC?</t>
  </si>
  <si>
    <t>Is the use of technology helping you learn at FRCC?</t>
  </si>
  <si>
    <t>Are the Technology skills you are learning complete and up-to-date?</t>
  </si>
  <si>
    <t>Total (can choose multiples)</t>
  </si>
  <si>
    <t>Knowledge of methods &amp; problems in the social sciences</t>
  </si>
  <si>
    <t>2nd Life or other virtual worlds</t>
  </si>
  <si>
    <t>Massive multi-player online games (World of Warcraft, etc.)</t>
  </si>
  <si>
    <t>Survey of all Currently enrolled students Fall 2013 -- Demographics</t>
  </si>
  <si>
    <t>Boulder Students were most likely to respond to survey.</t>
  </si>
  <si>
    <t>Online students are older than Site campus students</t>
  </si>
  <si>
    <t>Highest concentration of Whites are at Larimer</t>
  </si>
  <si>
    <t>Survey of all Currently enrolled students Fall 2013 -- Objectives and Employment</t>
  </si>
  <si>
    <t xml:space="preserve"> Obtaining  transfer credits is the most common goal.
Only 3% indicate they are at FRCC for "Personal Interest".</t>
  </si>
  <si>
    <t>63% of students are Employed.</t>
  </si>
  <si>
    <t>Online students are most likely to be full-time students</t>
  </si>
  <si>
    <t>Survey of all Currently enrolled students Fall 2013 -- Meeting Needs</t>
  </si>
  <si>
    <t>Survey of all Currently enrolled students Fall 2013 --  Evaluate Instruction</t>
  </si>
  <si>
    <t>Attributes rated at less than 90% satisfaction are highlighted.  Course Availability affects all campuses</t>
  </si>
  <si>
    <t>Survey of all Currently enrolled students Fall 2013 -- Evaluate Personal Growth</t>
  </si>
  <si>
    <t>Survey of all Currently enrolled students Fall 2013 -- Evaluate Student and Business services</t>
  </si>
  <si>
    <t>Course Advising and Career Counseling had the lowest overall ratings</t>
  </si>
  <si>
    <t>Survey of all Currently enrolled students Fall 2013 -- Reasons for choosing FRCC</t>
  </si>
  <si>
    <t>Survey of all Currently enrolled students Fall 2013 -- Use of Social Media and Technology</t>
  </si>
  <si>
    <t>Additional Social Media Sites mentioned:</t>
  </si>
  <si>
    <t>Instagram</t>
  </si>
  <si>
    <t>Reddit</t>
  </si>
  <si>
    <t>How often do you typically use the following technologies?</t>
  </si>
  <si>
    <t>Survey of all Currently enrolled students Fall 2013 -- All questions by Primary Campus</t>
  </si>
  <si>
    <t>Instructional program is meeting my educational goals</t>
  </si>
  <si>
    <t>The use of technology is helping me learn at FRCC</t>
  </si>
  <si>
    <t>The Technology skills I am learning are complete and up-to-date</t>
  </si>
  <si>
    <t>West minster</t>
  </si>
  <si>
    <t>Boulder</t>
  </si>
  <si>
    <t>Instructor's knowledge of subject</t>
  </si>
  <si>
    <t>Course content</t>
  </si>
  <si>
    <t>Web-based video conferencing tools</t>
  </si>
  <si>
    <t>Technology</t>
  </si>
  <si>
    <t>Social Media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</si>
</sst>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0.0"/>
    <numFmt numFmtId="166" formatCode="####.0"/>
    <numFmt numFmtId="167" formatCode="0.0%"/>
  </numFmts>
  <fonts count="15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"/>
      <name val="Arial"/>
      <family val="2"/>
    </font>
    <font>
      <b/>
      <sz val="9"/>
      <color rgb="FFFF0000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75">
    <xf numFmtId="0" fontId="0" fillId="0" borderId="0" xfId="0"/>
    <xf numFmtId="3" fontId="3" fillId="0" borderId="0" xfId="0" applyNumberFormat="1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4" fontId="3" fillId="0" borderId="0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3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9" fontId="0" fillId="0" borderId="1" xfId="0" applyNumberForma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2" fillId="3" borderId="1" xfId="0" applyNumberFormat="1" applyFont="1" applyFill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4" fontId="3" fillId="0" borderId="0" xfId="0" applyNumberFormat="1" applyFont="1" applyBorder="1" applyAlignment="1">
      <alignment vertical="center"/>
    </xf>
    <xf numFmtId="9" fontId="3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9" fontId="9" fillId="0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4" fontId="0" fillId="0" borderId="1" xfId="0" applyNumberForma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4" fontId="11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/>
    </xf>
    <xf numFmtId="9" fontId="3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left" vertical="center" wrapText="1"/>
    </xf>
    <xf numFmtId="3" fontId="3" fillId="0" borderId="4" xfId="0" applyNumberFormat="1" applyFont="1" applyFill="1" applyBorder="1" applyAlignment="1">
      <alignment horizontal="left" vertical="center" wrapText="1"/>
    </xf>
    <xf numFmtId="3" fontId="3" fillId="0" borderId="6" xfId="0" applyNumberFormat="1" applyFont="1" applyFill="1" applyBorder="1" applyAlignment="1">
      <alignment horizontal="left" vertical="center" wrapText="1"/>
    </xf>
    <xf numFmtId="3" fontId="3" fillId="0" borderId="7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wrapText="1"/>
    </xf>
    <xf numFmtId="3" fontId="3" fillId="0" borderId="2" xfId="0" applyNumberFormat="1" applyFont="1" applyFill="1" applyBorder="1" applyAlignment="1">
      <alignment horizontal="left" vertical="center" wrapText="1"/>
    </xf>
    <xf numFmtId="3" fontId="3" fillId="0" borderId="5" xfId="0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left" vertical="center" wrapText="1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4" fontId="2" fillId="5" borderId="8" xfId="0" applyNumberFormat="1" applyFont="1" applyFill="1" applyBorder="1" applyAlignment="1">
      <alignment horizontal="center" vertical="center"/>
    </xf>
    <xf numFmtId="4" fontId="2" fillId="5" borderId="8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8" fillId="5" borderId="1" xfId="0" applyFont="1" applyFill="1" applyBorder="1"/>
    <xf numFmtId="4" fontId="2" fillId="5" borderId="1" xfId="0" applyNumberFormat="1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9" fontId="9" fillId="5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4" fontId="2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2" fillId="6" borderId="1" xfId="0" applyNumberFormat="1" applyFont="1" applyFill="1" applyBorder="1" applyAlignment="1">
      <alignment horizontal="left" vertical="center" wrapText="1"/>
    </xf>
    <xf numFmtId="4" fontId="2" fillId="6" borderId="9" xfId="0" applyNumberFormat="1" applyFont="1" applyFill="1" applyBorder="1" applyAlignment="1">
      <alignment horizontal="center" vertical="center"/>
    </xf>
    <xf numFmtId="4" fontId="2" fillId="6" borderId="10" xfId="0" applyNumberFormat="1" applyFont="1" applyFill="1" applyBorder="1" applyAlignment="1">
      <alignment horizontal="center" vertical="center"/>
    </xf>
    <xf numFmtId="4" fontId="2" fillId="6" borderId="9" xfId="0" applyNumberFormat="1" applyFont="1" applyFill="1" applyBorder="1" applyAlignment="1">
      <alignment horizontal="center" vertical="center" wrapText="1"/>
    </xf>
    <xf numFmtId="4" fontId="2" fillId="6" borderId="10" xfId="0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7" fontId="2" fillId="0" borderId="0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left" vertical="center" wrapText="1"/>
    </xf>
    <xf numFmtId="9" fontId="9" fillId="0" borderId="1" xfId="0" applyNumberFormat="1" applyFont="1" applyFill="1" applyBorder="1" applyAlignment="1">
      <alignment horizontal="center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 wrapText="1"/>
    </xf>
    <xf numFmtId="4" fontId="1" fillId="0" borderId="1" xfId="0" applyNumberFormat="1" applyFon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5">
    <cellStyle name="Normal" xfId="0" builtinId="0"/>
    <cellStyle name="Normal 2" xfId="2"/>
    <cellStyle name="Normal 3" xfId="3"/>
    <cellStyle name="Percent" xfId="1" builtinId="5"/>
    <cellStyle name="Percent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IR Theme">
  <a:themeElements>
    <a:clrScheme name="FRCC">
      <a:dk1>
        <a:srgbClr val="000000"/>
      </a:dk1>
      <a:lt1>
        <a:srgbClr val="FFFFFF"/>
      </a:lt1>
      <a:dk2>
        <a:srgbClr val="869F29"/>
      </a:dk2>
      <a:lt2>
        <a:srgbClr val="AFCF7B"/>
      </a:lt2>
      <a:accent1>
        <a:srgbClr val="70A399"/>
      </a:accent1>
      <a:accent2>
        <a:srgbClr val="E3B11F"/>
      </a:accent2>
      <a:accent3>
        <a:srgbClr val="0C4976"/>
      </a:accent3>
      <a:accent4>
        <a:srgbClr val="B70005"/>
      </a:accent4>
      <a:accent5>
        <a:srgbClr val="758FC2"/>
      </a:accent5>
      <a:accent6>
        <a:srgbClr val="46402D"/>
      </a:accent6>
      <a:hlink>
        <a:srgbClr val="A33100"/>
      </a:hlink>
      <a:folHlink>
        <a:srgbClr val="A1780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2"/>
  <sheetViews>
    <sheetView tabSelected="1" zoomScaleNormal="100" workbookViewId="0">
      <selection activeCell="L7" sqref="L7"/>
    </sheetView>
  </sheetViews>
  <sheetFormatPr defaultRowHeight="12" x14ac:dyDescent="0.2"/>
  <cols>
    <col min="1" max="1" width="25.85546875" style="38" customWidth="1"/>
    <col min="2" max="2" width="8.42578125" style="36" bestFit="1" customWidth="1"/>
    <col min="3" max="3" width="7" style="36" bestFit="1" customWidth="1"/>
    <col min="4" max="4" width="7.5703125" style="36" bestFit="1" customWidth="1"/>
    <col min="5" max="5" width="6.85546875" style="36" bestFit="1" customWidth="1"/>
    <col min="6" max="6" width="7.5703125" style="36" bestFit="1" customWidth="1"/>
    <col min="7" max="7" width="6" style="36" customWidth="1"/>
    <col min="8" max="8" width="6" style="39" customWidth="1"/>
    <col min="9" max="18" width="6" style="36" customWidth="1"/>
    <col min="19" max="19" width="1.7109375" style="36" customWidth="1"/>
    <col min="20" max="16384" width="9.140625" style="37"/>
  </cols>
  <sheetData>
    <row r="1" spans="1:19" ht="15.75" x14ac:dyDescent="0.2">
      <c r="A1" s="85" t="s">
        <v>222</v>
      </c>
      <c r="B1" s="34"/>
      <c r="C1" s="34"/>
      <c r="D1" s="34"/>
      <c r="E1" s="34"/>
      <c r="F1" s="34"/>
      <c r="G1" s="34"/>
      <c r="H1" s="35"/>
      <c r="I1" s="34"/>
    </row>
    <row r="2" spans="1:19" x14ac:dyDescent="0.2">
      <c r="B2" s="3"/>
      <c r="C2" s="3"/>
      <c r="D2" s="3"/>
    </row>
    <row r="3" spans="1:19" s="33" customFormat="1" ht="24" x14ac:dyDescent="0.2">
      <c r="A3" s="115" t="s">
        <v>87</v>
      </c>
      <c r="B3" s="116" t="s">
        <v>1</v>
      </c>
      <c r="C3" s="116"/>
      <c r="D3" s="117" t="s">
        <v>86</v>
      </c>
      <c r="E3" s="117"/>
      <c r="F3" s="118" t="s">
        <v>99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</row>
    <row r="4" spans="1:19" x14ac:dyDescent="0.2">
      <c r="A4" s="20" t="s">
        <v>79</v>
      </c>
      <c r="B4" s="28">
        <v>2474</v>
      </c>
      <c r="C4" s="29">
        <f>B4/B10</f>
        <v>0.13860720488542774</v>
      </c>
      <c r="D4" s="28">
        <v>361</v>
      </c>
      <c r="E4" s="29">
        <f>D4/D10</f>
        <v>0.17888999008919723</v>
      </c>
      <c r="F4" s="41">
        <f>D4/B4</f>
        <v>0.14591754244139046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x14ac:dyDescent="0.2">
      <c r="A5" s="20" t="s">
        <v>80</v>
      </c>
      <c r="B5" s="28">
        <v>169</v>
      </c>
      <c r="C5" s="29">
        <f>B5/B10</f>
        <v>9.468317552804079E-3</v>
      </c>
      <c r="D5" s="28">
        <v>15</v>
      </c>
      <c r="E5" s="29">
        <f>D5/D10</f>
        <v>7.4331020812685826E-3</v>
      </c>
      <c r="F5" s="41">
        <f t="shared" ref="F5:F10" si="0">D5/B5</f>
        <v>8.8757396449704137E-2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19" x14ac:dyDescent="0.2">
      <c r="A6" s="20" t="s">
        <v>83</v>
      </c>
      <c r="B6" s="28">
        <v>1609</v>
      </c>
      <c r="C6" s="29">
        <f>B6/B10</f>
        <v>9.01451061684128E-2</v>
      </c>
      <c r="D6" s="28">
        <v>132</v>
      </c>
      <c r="E6" s="29">
        <f>D6/D10</f>
        <v>6.5411298315163527E-2</v>
      </c>
      <c r="F6" s="41">
        <f t="shared" si="0"/>
        <v>8.2038533250466131E-2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x14ac:dyDescent="0.2">
      <c r="A7" s="20" t="s">
        <v>82</v>
      </c>
      <c r="B7" s="28">
        <v>5555</v>
      </c>
      <c r="C7" s="29">
        <f>B7/B10</f>
        <v>0.31122191719424058</v>
      </c>
      <c r="D7" s="28">
        <v>560</v>
      </c>
      <c r="E7" s="29">
        <f>D7/D10</f>
        <v>0.27750247770069375</v>
      </c>
      <c r="F7" s="41">
        <f>D7/B7</f>
        <v>0.10081008100810081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x14ac:dyDescent="0.2">
      <c r="A8" s="20" t="s">
        <v>81</v>
      </c>
      <c r="B8" s="28">
        <v>2384</v>
      </c>
      <c r="C8" s="29">
        <f>B8/B10</f>
        <v>0.13356490559695222</v>
      </c>
      <c r="D8" s="28">
        <v>254</v>
      </c>
      <c r="E8" s="29">
        <f>D8/D10</f>
        <v>0.12586719524281467</v>
      </c>
      <c r="F8" s="41">
        <f>D8/B8</f>
        <v>0.10654362416107382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x14ac:dyDescent="0.2">
      <c r="A9" s="20" t="s">
        <v>98</v>
      </c>
      <c r="B9" s="28">
        <v>5658</v>
      </c>
      <c r="C9" s="29">
        <f>B9/B10</f>
        <v>0.31699254860216258</v>
      </c>
      <c r="D9" s="28">
        <v>696</v>
      </c>
      <c r="E9" s="29">
        <f>D9/D10</f>
        <v>0.34489593657086226</v>
      </c>
      <c r="F9" s="41">
        <f t="shared" si="0"/>
        <v>0.12301166489925769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s="33" customFormat="1" x14ac:dyDescent="0.2">
      <c r="A10" s="26" t="s">
        <v>1</v>
      </c>
      <c r="B10" s="22">
        <f>SUM(B4:B9)</f>
        <v>17849</v>
      </c>
      <c r="C10" s="77">
        <f>SUM(C4:C9)</f>
        <v>1</v>
      </c>
      <c r="D10" s="22">
        <f t="shared" ref="D10" si="1">SUM(D4:D9)</f>
        <v>2018</v>
      </c>
      <c r="E10" s="42">
        <f>SUM(E4:E9)</f>
        <v>1</v>
      </c>
      <c r="F10" s="43">
        <f t="shared" si="0"/>
        <v>0.11305955515715166</v>
      </c>
      <c r="G10" s="44"/>
      <c r="H10" s="44"/>
      <c r="I10" s="44"/>
      <c r="J10" s="44"/>
      <c r="K10" s="44"/>
      <c r="L10" s="44"/>
      <c r="M10" s="44" t="s">
        <v>0</v>
      </c>
      <c r="N10" s="44"/>
      <c r="O10" s="44"/>
      <c r="P10" s="44"/>
      <c r="Q10" s="44"/>
      <c r="R10" s="44"/>
      <c r="S10" s="44"/>
    </row>
    <row r="11" spans="1:19" x14ac:dyDescent="0.2">
      <c r="F11" s="35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s="33" customFormat="1" x14ac:dyDescent="0.2">
      <c r="A12" s="119" t="s">
        <v>4</v>
      </c>
      <c r="B12" s="116" t="s">
        <v>1</v>
      </c>
      <c r="C12" s="116"/>
      <c r="D12" s="117" t="s">
        <v>86</v>
      </c>
      <c r="E12" s="117"/>
      <c r="F12" s="118" t="s">
        <v>15</v>
      </c>
      <c r="G12" s="120" t="s">
        <v>100</v>
      </c>
      <c r="H12" s="120"/>
      <c r="I12" s="120" t="s">
        <v>80</v>
      </c>
      <c r="J12" s="120"/>
      <c r="K12" s="117" t="s">
        <v>136</v>
      </c>
      <c r="L12" s="117"/>
      <c r="M12" s="120" t="s">
        <v>82</v>
      </c>
      <c r="N12" s="120"/>
      <c r="O12" s="120" t="s">
        <v>81</v>
      </c>
      <c r="P12" s="120"/>
      <c r="Q12" s="120" t="s">
        <v>98</v>
      </c>
      <c r="R12" s="120"/>
      <c r="S12" s="44"/>
    </row>
    <row r="13" spans="1:19" x14ac:dyDescent="0.2">
      <c r="A13" s="20" t="s">
        <v>160</v>
      </c>
      <c r="B13" s="28">
        <v>5702</v>
      </c>
      <c r="C13" s="29">
        <f>B13/B19</f>
        <v>0.31945767269875064</v>
      </c>
      <c r="D13" s="28">
        <v>598</v>
      </c>
      <c r="E13" s="29">
        <f>D13/D19</f>
        <v>0.29633300297324083</v>
      </c>
      <c r="F13" s="41">
        <f>D13/B13</f>
        <v>0.10487548228691687</v>
      </c>
      <c r="G13" s="28">
        <v>109</v>
      </c>
      <c r="H13" s="29">
        <f>G13/G19</f>
        <v>0.30193905817174516</v>
      </c>
      <c r="I13" s="28">
        <v>2</v>
      </c>
      <c r="J13" s="29">
        <f>I13/I19</f>
        <v>0.13333333333333333</v>
      </c>
      <c r="K13" s="28">
        <v>40</v>
      </c>
      <c r="L13" s="29">
        <f>K13/K19</f>
        <v>0.30303030303030304</v>
      </c>
      <c r="M13" s="28">
        <v>171</v>
      </c>
      <c r="N13" s="29">
        <f>M13/M19</f>
        <v>0.30535714285714288</v>
      </c>
      <c r="O13" s="28">
        <v>75</v>
      </c>
      <c r="P13" s="29">
        <f>O13/O19</f>
        <v>0.29527559055118108</v>
      </c>
      <c r="Q13" s="28">
        <v>201</v>
      </c>
      <c r="R13" s="29">
        <f>Q13/Q19</f>
        <v>0.28879310344827586</v>
      </c>
      <c r="S13" s="45"/>
    </row>
    <row r="14" spans="1:19" x14ac:dyDescent="0.2">
      <c r="A14" s="20" t="s">
        <v>161</v>
      </c>
      <c r="B14" s="28">
        <v>4875</v>
      </c>
      <c r="C14" s="29">
        <f>B14/B19</f>
        <v>0.27312454479242537</v>
      </c>
      <c r="D14" s="28">
        <v>682</v>
      </c>
      <c r="E14" s="29">
        <f>D14/D19</f>
        <v>0.33795837462834488</v>
      </c>
      <c r="F14" s="41">
        <f t="shared" ref="F14:F19" si="2">D14/B14</f>
        <v>0.13989743589743589</v>
      </c>
      <c r="G14" s="28">
        <v>92</v>
      </c>
      <c r="H14" s="29">
        <f>G14/G19</f>
        <v>0.25484764542936289</v>
      </c>
      <c r="I14" s="28">
        <v>5</v>
      </c>
      <c r="J14" s="29">
        <f>I14/I19</f>
        <v>0.33333333333333331</v>
      </c>
      <c r="K14" s="28">
        <v>42</v>
      </c>
      <c r="L14" s="29">
        <f>K14/K19</f>
        <v>0.31818181818181818</v>
      </c>
      <c r="M14" s="28">
        <v>192</v>
      </c>
      <c r="N14" s="29">
        <f>M14/M19</f>
        <v>0.34285714285714286</v>
      </c>
      <c r="O14" s="28">
        <v>101</v>
      </c>
      <c r="P14" s="29">
        <f>O14/O19</f>
        <v>0.39763779527559057</v>
      </c>
      <c r="Q14" s="28">
        <v>250</v>
      </c>
      <c r="R14" s="29">
        <f>Q14/Q19</f>
        <v>0.35919540229885055</v>
      </c>
      <c r="S14" s="45"/>
    </row>
    <row r="15" spans="1:19" x14ac:dyDescent="0.2">
      <c r="A15" s="20" t="s">
        <v>162</v>
      </c>
      <c r="B15" s="28">
        <v>978</v>
      </c>
      <c r="C15" s="29">
        <f>B15/B19</f>
        <v>5.4792985601434252E-2</v>
      </c>
      <c r="D15" s="28">
        <v>93</v>
      </c>
      <c r="E15" s="29">
        <f>D15/D19</f>
        <v>4.6085232903865216E-2</v>
      </c>
      <c r="F15" s="41">
        <f t="shared" si="2"/>
        <v>9.5092024539877307E-2</v>
      </c>
      <c r="G15" s="28">
        <v>14</v>
      </c>
      <c r="H15" s="29">
        <f>G15/G19</f>
        <v>3.8781163434903045E-2</v>
      </c>
      <c r="I15" s="28">
        <v>2</v>
      </c>
      <c r="J15" s="29">
        <f>I15/I19</f>
        <v>0.13333333333333333</v>
      </c>
      <c r="K15" s="28">
        <v>5</v>
      </c>
      <c r="L15" s="29">
        <f>K15/K19</f>
        <v>3.787878787878788E-2</v>
      </c>
      <c r="M15" s="28">
        <v>26</v>
      </c>
      <c r="N15" s="29">
        <f>M15/M19</f>
        <v>4.642857142857143E-2</v>
      </c>
      <c r="O15" s="28">
        <v>15</v>
      </c>
      <c r="P15" s="29">
        <f>O15/O19</f>
        <v>5.905511811023622E-2</v>
      </c>
      <c r="Q15" s="28">
        <v>31</v>
      </c>
      <c r="R15" s="29">
        <f>Q15/Q19</f>
        <v>4.4540229885057472E-2</v>
      </c>
      <c r="S15" s="45"/>
    </row>
    <row r="16" spans="1:19" x14ac:dyDescent="0.2">
      <c r="A16" s="20" t="s">
        <v>163</v>
      </c>
      <c r="B16" s="28">
        <v>3711</v>
      </c>
      <c r="C16" s="29">
        <f>B16/B19</f>
        <v>0.20791080732814163</v>
      </c>
      <c r="D16" s="28">
        <v>385</v>
      </c>
      <c r="E16" s="29">
        <f>D16/D19</f>
        <v>0.19078295341922696</v>
      </c>
      <c r="F16" s="41">
        <f t="shared" si="2"/>
        <v>0.10374562112638103</v>
      </c>
      <c r="G16" s="28">
        <v>70</v>
      </c>
      <c r="H16" s="29">
        <f>G16/G19</f>
        <v>0.19390581717451524</v>
      </c>
      <c r="I16" s="28">
        <v>4</v>
      </c>
      <c r="J16" s="29">
        <f>I16/I19</f>
        <v>0.26666666666666666</v>
      </c>
      <c r="K16" s="28">
        <v>32</v>
      </c>
      <c r="L16" s="29">
        <f>K16/K19</f>
        <v>0.24242424242424243</v>
      </c>
      <c r="M16" s="28">
        <v>101</v>
      </c>
      <c r="N16" s="29">
        <f>M16/M19</f>
        <v>0.18035714285714285</v>
      </c>
      <c r="O16" s="28">
        <v>32</v>
      </c>
      <c r="P16" s="29">
        <f>O16/O19</f>
        <v>0.12598425196850394</v>
      </c>
      <c r="Q16" s="28">
        <v>146</v>
      </c>
      <c r="R16" s="29">
        <f>Q16/Q19</f>
        <v>0.20977011494252873</v>
      </c>
      <c r="S16" s="45"/>
    </row>
    <row r="17" spans="1:19" x14ac:dyDescent="0.2">
      <c r="A17" s="20" t="s">
        <v>158</v>
      </c>
      <c r="B17" s="28">
        <v>1249</v>
      </c>
      <c r="C17" s="29">
        <f>B17/B19</f>
        <v>6.9975909014510618E-2</v>
      </c>
      <c r="D17" s="28">
        <v>161</v>
      </c>
      <c r="E17" s="29">
        <f>D17/D19</f>
        <v>7.978196233894945E-2</v>
      </c>
      <c r="F17" s="41">
        <f t="shared" si="2"/>
        <v>0.1289031224979984</v>
      </c>
      <c r="G17" s="28">
        <v>54</v>
      </c>
      <c r="H17" s="29">
        <f>G17/G19</f>
        <v>0.14958448753462603</v>
      </c>
      <c r="I17" s="28">
        <v>2</v>
      </c>
      <c r="J17" s="29">
        <f>I17/I19</f>
        <v>0.13333333333333333</v>
      </c>
      <c r="K17" s="28">
        <v>4</v>
      </c>
      <c r="L17" s="29">
        <f>K17/K19</f>
        <v>3.0303030303030304E-2</v>
      </c>
      <c r="M17" s="28">
        <v>39</v>
      </c>
      <c r="N17" s="29">
        <f>M17/M19</f>
        <v>6.9642857142857145E-2</v>
      </c>
      <c r="O17" s="28">
        <v>24</v>
      </c>
      <c r="P17" s="29">
        <f>O17/O19</f>
        <v>9.4488188976377951E-2</v>
      </c>
      <c r="Q17" s="28">
        <v>38</v>
      </c>
      <c r="R17" s="29">
        <f>Q17/Q19</f>
        <v>5.459770114942529E-2</v>
      </c>
      <c r="S17" s="45"/>
    </row>
    <row r="18" spans="1:19" x14ac:dyDescent="0.2">
      <c r="A18" s="20" t="s">
        <v>159</v>
      </c>
      <c r="B18" s="28">
        <v>1334</v>
      </c>
      <c r="C18" s="29">
        <f>B18/B19</f>
        <v>7.4738080564737519E-2</v>
      </c>
      <c r="D18" s="28">
        <v>99</v>
      </c>
      <c r="E18" s="29">
        <f>D18/D19</f>
        <v>4.9058473736372649E-2</v>
      </c>
      <c r="F18" s="41">
        <f t="shared" si="2"/>
        <v>7.4212893553223386E-2</v>
      </c>
      <c r="G18" s="28">
        <v>22</v>
      </c>
      <c r="H18" s="29">
        <f>G18/G19</f>
        <v>6.0941828254847646E-2</v>
      </c>
      <c r="I18" s="28"/>
      <c r="J18" s="29">
        <f>I18/I19</f>
        <v>0</v>
      </c>
      <c r="K18" s="28">
        <v>9</v>
      </c>
      <c r="L18" s="29">
        <f>K18/K19</f>
        <v>6.8181818181818177E-2</v>
      </c>
      <c r="M18" s="28">
        <v>31</v>
      </c>
      <c r="N18" s="29">
        <f>M18/M19</f>
        <v>5.5357142857142855E-2</v>
      </c>
      <c r="O18" s="28">
        <v>7</v>
      </c>
      <c r="P18" s="29">
        <f>O18/O19</f>
        <v>2.7559055118110236E-2</v>
      </c>
      <c r="Q18" s="28">
        <v>30</v>
      </c>
      <c r="R18" s="29">
        <f>Q18/Q19</f>
        <v>4.3103448275862072E-2</v>
      </c>
      <c r="S18" s="45"/>
    </row>
    <row r="19" spans="1:19" s="33" customFormat="1" x14ac:dyDescent="0.2">
      <c r="A19" s="26" t="s">
        <v>1</v>
      </c>
      <c r="B19" s="22">
        <f>SUM(B13:B18)</f>
        <v>17849</v>
      </c>
      <c r="C19" s="42">
        <f>SUM(C13:C18)</f>
        <v>1</v>
      </c>
      <c r="D19" s="19">
        <f>SUM(D13:D18)</f>
        <v>2018</v>
      </c>
      <c r="E19" s="42">
        <f>SUM(E13:E18)</f>
        <v>0.99999999999999989</v>
      </c>
      <c r="F19" s="43">
        <f t="shared" si="2"/>
        <v>0.11305955515715166</v>
      </c>
      <c r="G19" s="19">
        <f t="shared" ref="G19:R19" si="3">SUM(G13:G18)</f>
        <v>361</v>
      </c>
      <c r="H19" s="31">
        <f t="shared" si="3"/>
        <v>1</v>
      </c>
      <c r="I19" s="19">
        <f t="shared" si="3"/>
        <v>15</v>
      </c>
      <c r="J19" s="31">
        <f t="shared" si="3"/>
        <v>1</v>
      </c>
      <c r="K19" s="19">
        <f t="shared" si="3"/>
        <v>132</v>
      </c>
      <c r="L19" s="31">
        <f t="shared" si="3"/>
        <v>1</v>
      </c>
      <c r="M19" s="19">
        <f t="shared" si="3"/>
        <v>560</v>
      </c>
      <c r="N19" s="31">
        <f t="shared" si="3"/>
        <v>1</v>
      </c>
      <c r="O19" s="19">
        <f t="shared" si="3"/>
        <v>254</v>
      </c>
      <c r="P19" s="31">
        <f t="shared" si="3"/>
        <v>1</v>
      </c>
      <c r="Q19" s="19">
        <f t="shared" si="3"/>
        <v>696</v>
      </c>
      <c r="R19" s="31">
        <f t="shared" si="3"/>
        <v>1</v>
      </c>
      <c r="S19" s="46"/>
    </row>
    <row r="20" spans="1:19" x14ac:dyDescent="0.2">
      <c r="A20" s="15"/>
      <c r="B20" s="2"/>
      <c r="F20" s="39"/>
      <c r="H20" s="36"/>
      <c r="I20" s="36" t="s">
        <v>0</v>
      </c>
      <c r="S20" s="34"/>
    </row>
    <row r="21" spans="1:19" s="33" customFormat="1" x14ac:dyDescent="0.2">
      <c r="A21" s="119" t="s">
        <v>5</v>
      </c>
      <c r="B21" s="116" t="s">
        <v>1</v>
      </c>
      <c r="C21" s="116"/>
      <c r="D21" s="117" t="s">
        <v>86</v>
      </c>
      <c r="E21" s="117"/>
      <c r="F21" s="118" t="s">
        <v>15</v>
      </c>
      <c r="G21" s="120" t="s">
        <v>100</v>
      </c>
      <c r="H21" s="120"/>
      <c r="I21" s="120" t="s">
        <v>80</v>
      </c>
      <c r="J21" s="120"/>
      <c r="K21" s="117" t="s">
        <v>136</v>
      </c>
      <c r="L21" s="117"/>
      <c r="M21" s="120" t="s">
        <v>82</v>
      </c>
      <c r="N21" s="120"/>
      <c r="O21" s="120" t="s">
        <v>81</v>
      </c>
      <c r="P21" s="120"/>
      <c r="Q21" s="120" t="s">
        <v>98</v>
      </c>
      <c r="R21" s="120"/>
      <c r="S21" s="44"/>
    </row>
    <row r="22" spans="1:19" x14ac:dyDescent="0.2">
      <c r="A22" s="20" t="s">
        <v>84</v>
      </c>
      <c r="B22" s="28">
        <v>10082</v>
      </c>
      <c r="C22" s="29">
        <f>B22/B25</f>
        <v>0.56484957140456049</v>
      </c>
      <c r="D22" s="28">
        <v>1403</v>
      </c>
      <c r="E22" s="29">
        <f>D22/D25</f>
        <v>0.6952428146679881</v>
      </c>
      <c r="F22" s="41">
        <f t="shared" ref="F22:F25" si="4">D22/B22</f>
        <v>0.13915889704423726</v>
      </c>
      <c r="G22" s="28">
        <v>270</v>
      </c>
      <c r="H22" s="29">
        <f>G22/G25</f>
        <v>0.74792243767313016</v>
      </c>
      <c r="I22" s="28">
        <v>12</v>
      </c>
      <c r="J22" s="29">
        <f>I22/I25</f>
        <v>0.8</v>
      </c>
      <c r="K22" s="28">
        <v>91</v>
      </c>
      <c r="L22" s="29">
        <f>K22/K25</f>
        <v>0.68939393939393945</v>
      </c>
      <c r="M22" s="28">
        <v>344</v>
      </c>
      <c r="N22" s="29">
        <f>M22/M25</f>
        <v>0.61428571428571432</v>
      </c>
      <c r="O22" s="28">
        <v>203</v>
      </c>
      <c r="P22" s="29">
        <f>O22/O25</f>
        <v>0.79921259842519687</v>
      </c>
      <c r="Q22" s="28">
        <v>483</v>
      </c>
      <c r="R22" s="29">
        <f>Q22/Q25</f>
        <v>0.69396551724137934</v>
      </c>
      <c r="S22" s="45"/>
    </row>
    <row r="23" spans="1:19" x14ac:dyDescent="0.2">
      <c r="A23" s="20" t="s">
        <v>85</v>
      </c>
      <c r="B23" s="28">
        <v>7757</v>
      </c>
      <c r="C23" s="29">
        <f>B23/B25</f>
        <v>0.43459017311894221</v>
      </c>
      <c r="D23" s="28">
        <v>614</v>
      </c>
      <c r="E23" s="29">
        <f>D23/D25</f>
        <v>0.30426164519326065</v>
      </c>
      <c r="F23" s="41">
        <f t="shared" si="4"/>
        <v>7.9154312234111124E-2</v>
      </c>
      <c r="G23" s="28">
        <v>91</v>
      </c>
      <c r="H23" s="29">
        <f>G23/G25</f>
        <v>0.25207756232686979</v>
      </c>
      <c r="I23" s="28">
        <v>3</v>
      </c>
      <c r="J23" s="29">
        <f>I23/I25</f>
        <v>0.2</v>
      </c>
      <c r="K23" s="28">
        <v>41</v>
      </c>
      <c r="L23" s="29">
        <f>K23/K25</f>
        <v>0.31060606060606061</v>
      </c>
      <c r="M23" s="28">
        <v>216</v>
      </c>
      <c r="N23" s="29">
        <f>M23/M25</f>
        <v>0.38571428571428573</v>
      </c>
      <c r="O23" s="28">
        <v>50</v>
      </c>
      <c r="P23" s="29">
        <f>O23/O25</f>
        <v>0.19685039370078741</v>
      </c>
      <c r="Q23" s="28">
        <v>213</v>
      </c>
      <c r="R23" s="29">
        <f>Q23/Q25</f>
        <v>0.30603448275862066</v>
      </c>
      <c r="S23" s="45"/>
    </row>
    <row r="24" spans="1:19" x14ac:dyDescent="0.2">
      <c r="A24" s="20" t="s">
        <v>109</v>
      </c>
      <c r="B24" s="28">
        <v>10</v>
      </c>
      <c r="C24" s="29">
        <f>B24/B25</f>
        <v>5.6025547649728277E-4</v>
      </c>
      <c r="D24" s="28">
        <v>1</v>
      </c>
      <c r="E24" s="29">
        <f>D24/D25</f>
        <v>4.9554013875123884E-4</v>
      </c>
      <c r="F24" s="41">
        <f t="shared" si="4"/>
        <v>0.1</v>
      </c>
      <c r="G24" s="28"/>
      <c r="H24" s="29">
        <f>G24/G25</f>
        <v>0</v>
      </c>
      <c r="I24" s="17"/>
      <c r="J24" s="29">
        <f>I24/I25</f>
        <v>0</v>
      </c>
      <c r="K24" s="17"/>
      <c r="L24" s="29">
        <f>K24/K25</f>
        <v>0</v>
      </c>
      <c r="M24" s="28"/>
      <c r="N24" s="29">
        <f>M24/M25</f>
        <v>0</v>
      </c>
      <c r="O24" s="28">
        <v>1</v>
      </c>
      <c r="P24" s="29">
        <f>O24/O25</f>
        <v>3.937007874015748E-3</v>
      </c>
      <c r="Q24" s="17"/>
      <c r="R24" s="29">
        <f>Q24/Q25</f>
        <v>0</v>
      </c>
      <c r="S24" s="45"/>
    </row>
    <row r="25" spans="1:19" s="33" customFormat="1" x14ac:dyDescent="0.2">
      <c r="A25" s="26" t="s">
        <v>1</v>
      </c>
      <c r="B25" s="22">
        <f>SUM(B22:B24)</f>
        <v>17849</v>
      </c>
      <c r="C25" s="31">
        <f>SUM(C22:C24)</f>
        <v>1</v>
      </c>
      <c r="D25" s="22">
        <f>SUM(D22:D24)</f>
        <v>2018</v>
      </c>
      <c r="E25" s="31">
        <f>SUM(E22:E24)</f>
        <v>1</v>
      </c>
      <c r="F25" s="43">
        <f t="shared" si="4"/>
        <v>0.11305955515715166</v>
      </c>
      <c r="G25" s="22">
        <f t="shared" ref="G25:R25" si="5">SUM(G22:G24)</f>
        <v>361</v>
      </c>
      <c r="H25" s="31">
        <f t="shared" si="5"/>
        <v>1</v>
      </c>
      <c r="I25" s="22">
        <f t="shared" si="5"/>
        <v>15</v>
      </c>
      <c r="J25" s="31">
        <f t="shared" si="5"/>
        <v>1</v>
      </c>
      <c r="K25" s="22">
        <f t="shared" si="5"/>
        <v>132</v>
      </c>
      <c r="L25" s="31">
        <f t="shared" si="5"/>
        <v>1</v>
      </c>
      <c r="M25" s="22">
        <f t="shared" si="5"/>
        <v>560</v>
      </c>
      <c r="N25" s="31">
        <f t="shared" si="5"/>
        <v>1</v>
      </c>
      <c r="O25" s="22">
        <f t="shared" si="5"/>
        <v>254</v>
      </c>
      <c r="P25" s="31">
        <f t="shared" si="5"/>
        <v>1</v>
      </c>
      <c r="Q25" s="22">
        <f t="shared" si="5"/>
        <v>696</v>
      </c>
      <c r="R25" s="31">
        <f t="shared" si="5"/>
        <v>1</v>
      </c>
      <c r="S25" s="46"/>
    </row>
    <row r="26" spans="1:19" x14ac:dyDescent="0.2">
      <c r="B26" s="3"/>
      <c r="F26" s="39"/>
      <c r="S26" s="34"/>
    </row>
    <row r="27" spans="1:19" x14ac:dyDescent="0.2">
      <c r="A27" s="112" t="s">
        <v>111</v>
      </c>
      <c r="B27" s="3"/>
      <c r="F27" s="39"/>
      <c r="S27" s="34"/>
    </row>
    <row r="28" spans="1:19" s="33" customFormat="1" x14ac:dyDescent="0.2">
      <c r="A28" s="119" t="s">
        <v>3</v>
      </c>
      <c r="B28" s="116" t="s">
        <v>1</v>
      </c>
      <c r="C28" s="116"/>
      <c r="D28" s="117" t="s">
        <v>86</v>
      </c>
      <c r="E28" s="117"/>
      <c r="F28" s="118" t="s">
        <v>15</v>
      </c>
      <c r="G28" s="120" t="s">
        <v>100</v>
      </c>
      <c r="H28" s="120"/>
      <c r="I28" s="120" t="s">
        <v>80</v>
      </c>
      <c r="J28" s="120"/>
      <c r="K28" s="117" t="s">
        <v>136</v>
      </c>
      <c r="L28" s="117"/>
      <c r="M28" s="120" t="s">
        <v>82</v>
      </c>
      <c r="N28" s="120"/>
      <c r="O28" s="120" t="s">
        <v>81</v>
      </c>
      <c r="P28" s="120"/>
      <c r="Q28" s="120" t="s">
        <v>98</v>
      </c>
      <c r="R28" s="120"/>
      <c r="S28" s="44"/>
    </row>
    <row r="29" spans="1:19" hidden="1" x14ac:dyDescent="0.2">
      <c r="A29" s="20" t="s">
        <v>97</v>
      </c>
      <c r="B29" s="28"/>
      <c r="C29" s="29">
        <f>B29/B36</f>
        <v>0</v>
      </c>
      <c r="D29" s="28"/>
      <c r="E29" s="29"/>
      <c r="F29" s="41"/>
      <c r="G29" s="21"/>
      <c r="H29" s="29"/>
      <c r="I29" s="21"/>
      <c r="J29" s="29"/>
      <c r="K29" s="21"/>
      <c r="L29" s="29"/>
      <c r="M29" s="21"/>
      <c r="N29" s="29"/>
      <c r="O29" s="21"/>
      <c r="P29" s="29"/>
      <c r="Q29" s="21"/>
      <c r="R29" s="29"/>
      <c r="S29" s="45"/>
    </row>
    <row r="30" spans="1:19" x14ac:dyDescent="0.2">
      <c r="A30" s="20" t="s">
        <v>6</v>
      </c>
      <c r="B30" s="28">
        <v>3505</v>
      </c>
      <c r="C30" s="29">
        <f>B30/B36</f>
        <v>0.1963695445122976</v>
      </c>
      <c r="D30" s="28">
        <v>307</v>
      </c>
      <c r="E30" s="29">
        <f>D30/D36</f>
        <v>0.15213082259663033</v>
      </c>
      <c r="F30" s="41">
        <f>D30/B30</f>
        <v>8.7589158345221116E-2</v>
      </c>
      <c r="G30" s="28">
        <v>68</v>
      </c>
      <c r="H30" s="29">
        <f>G30/G36</f>
        <v>0.18836565096952909</v>
      </c>
      <c r="I30" s="28">
        <v>2</v>
      </c>
      <c r="J30" s="29">
        <f>I30/I36</f>
        <v>0.13333333333333333</v>
      </c>
      <c r="K30" s="28">
        <v>4</v>
      </c>
      <c r="L30" s="29">
        <f>K30/K36</f>
        <v>3.0303030303030304E-2</v>
      </c>
      <c r="M30" s="28">
        <v>92</v>
      </c>
      <c r="N30" s="29">
        <f>M30/M36</f>
        <v>0.16428571428571428</v>
      </c>
      <c r="O30" s="28">
        <v>10</v>
      </c>
      <c r="P30" s="29">
        <f>O30/O36</f>
        <v>3.937007874015748E-2</v>
      </c>
      <c r="Q30" s="28">
        <v>131</v>
      </c>
      <c r="R30" s="29">
        <f>Q30/Q36</f>
        <v>0.18821839080459771</v>
      </c>
      <c r="S30" s="45"/>
    </row>
    <row r="31" spans="1:19" x14ac:dyDescent="0.2">
      <c r="A31" s="20" t="s">
        <v>7</v>
      </c>
      <c r="B31" s="28">
        <v>3135</v>
      </c>
      <c r="C31" s="29">
        <f>B31/B36</f>
        <v>0.17564009188189814</v>
      </c>
      <c r="D31" s="28">
        <v>227</v>
      </c>
      <c r="E31" s="29">
        <f>D31/D36</f>
        <v>0.11248761149653122</v>
      </c>
      <c r="F31" s="41">
        <f t="shared" ref="F31:F33" si="6">D31/B31</f>
        <v>7.2408293460925047E-2</v>
      </c>
      <c r="G31" s="28">
        <v>37</v>
      </c>
      <c r="H31" s="29">
        <f>G31/G36</f>
        <v>0.10249307479224377</v>
      </c>
      <c r="I31" s="28">
        <v>4</v>
      </c>
      <c r="J31" s="29">
        <f>I31/I36</f>
        <v>0.26666666666666666</v>
      </c>
      <c r="K31" s="28">
        <v>6</v>
      </c>
      <c r="L31" s="29">
        <f>K31/K36</f>
        <v>4.5454545454545456E-2</v>
      </c>
      <c r="M31" s="28">
        <v>74</v>
      </c>
      <c r="N31" s="29">
        <f>M31/M36</f>
        <v>0.13214285714285715</v>
      </c>
      <c r="O31" s="28">
        <v>11</v>
      </c>
      <c r="P31" s="29">
        <f>O31/O36</f>
        <v>4.3307086614173228E-2</v>
      </c>
      <c r="Q31" s="28">
        <v>95</v>
      </c>
      <c r="R31" s="29">
        <f>Q31/Q36</f>
        <v>0.13649425287356323</v>
      </c>
      <c r="S31" s="45"/>
    </row>
    <row r="32" spans="1:19" x14ac:dyDescent="0.2">
      <c r="A32" s="20" t="s">
        <v>8</v>
      </c>
      <c r="B32" s="28">
        <v>3036</v>
      </c>
      <c r="C32" s="29">
        <f>B32/B36</f>
        <v>0.17009356266457504</v>
      </c>
      <c r="D32" s="28">
        <v>237</v>
      </c>
      <c r="E32" s="29">
        <f>D32/D36</f>
        <v>0.1174430128840436</v>
      </c>
      <c r="F32" s="41">
        <f t="shared" si="6"/>
        <v>7.8063241106719361E-2</v>
      </c>
      <c r="G32" s="28">
        <v>38</v>
      </c>
      <c r="H32" s="29">
        <f>G32/G36</f>
        <v>0.10526315789473684</v>
      </c>
      <c r="I32" s="28">
        <v>1</v>
      </c>
      <c r="J32" s="29">
        <f>I32/I36</f>
        <v>6.6666666666666666E-2</v>
      </c>
      <c r="K32" s="28">
        <v>23</v>
      </c>
      <c r="L32" s="29">
        <f>K32/K36</f>
        <v>0.17424242424242425</v>
      </c>
      <c r="M32" s="28">
        <v>56</v>
      </c>
      <c r="N32" s="29">
        <f>M32/M36</f>
        <v>0.1</v>
      </c>
      <c r="O32" s="28">
        <v>37</v>
      </c>
      <c r="P32" s="29">
        <f>O32/O36</f>
        <v>0.14566929133858267</v>
      </c>
      <c r="Q32" s="28">
        <v>82</v>
      </c>
      <c r="R32" s="29">
        <f>Q32/Q36</f>
        <v>0.11781609195402298</v>
      </c>
      <c r="S32" s="45"/>
    </row>
    <row r="33" spans="1:19" x14ac:dyDescent="0.2">
      <c r="A33" s="20" t="s">
        <v>9</v>
      </c>
      <c r="B33" s="28">
        <v>3460</v>
      </c>
      <c r="C33" s="29">
        <f>B33/B36</f>
        <v>0.19384839486805983</v>
      </c>
      <c r="D33" s="28">
        <v>394</v>
      </c>
      <c r="E33" s="29">
        <f>D33/D36</f>
        <v>0.1952428146679881</v>
      </c>
      <c r="F33" s="41">
        <f t="shared" si="6"/>
        <v>0.1138728323699422</v>
      </c>
      <c r="G33" s="28">
        <v>65</v>
      </c>
      <c r="H33" s="29">
        <f>G33/G36</f>
        <v>0.18005540166204986</v>
      </c>
      <c r="I33" s="28">
        <v>3</v>
      </c>
      <c r="J33" s="29">
        <f>I33/I36</f>
        <v>0.2</v>
      </c>
      <c r="K33" s="28">
        <v>29</v>
      </c>
      <c r="L33" s="29">
        <f>K33/K36</f>
        <v>0.2196969696969697</v>
      </c>
      <c r="M33" s="28">
        <v>115</v>
      </c>
      <c r="N33" s="29">
        <f>M33/M36</f>
        <v>0.20535714285714285</v>
      </c>
      <c r="O33" s="28">
        <v>49</v>
      </c>
      <c r="P33" s="29">
        <f>O33/O36</f>
        <v>0.19291338582677164</v>
      </c>
      <c r="Q33" s="28">
        <v>133</v>
      </c>
      <c r="R33" s="29">
        <f>Q33/Q36</f>
        <v>0.19109195402298851</v>
      </c>
      <c r="S33" s="45"/>
    </row>
    <row r="34" spans="1:19" x14ac:dyDescent="0.2">
      <c r="A34" s="20" t="s">
        <v>10</v>
      </c>
      <c r="B34" s="28">
        <v>2707</v>
      </c>
      <c r="C34" s="29">
        <f>B34/B36</f>
        <v>0.15166115748781445</v>
      </c>
      <c r="D34" s="28">
        <v>409</v>
      </c>
      <c r="E34" s="29">
        <f>D34/D36</f>
        <v>0.2026759167492567</v>
      </c>
      <c r="F34" s="41">
        <f t="shared" ref="F34:F36" si="7">D34/B34</f>
        <v>0.15108976727004064</v>
      </c>
      <c r="G34" s="28">
        <v>62</v>
      </c>
      <c r="H34" s="29">
        <f>G34/G36</f>
        <v>0.17174515235457063</v>
      </c>
      <c r="I34" s="28">
        <v>3</v>
      </c>
      <c r="J34" s="29">
        <f>I34/I36</f>
        <v>0.2</v>
      </c>
      <c r="K34" s="28">
        <v>32</v>
      </c>
      <c r="L34" s="29">
        <f>K34/K36</f>
        <v>0.24242424242424243</v>
      </c>
      <c r="M34" s="28">
        <v>114</v>
      </c>
      <c r="N34" s="29">
        <f>M34/M36</f>
        <v>0.20357142857142857</v>
      </c>
      <c r="O34" s="28">
        <v>70</v>
      </c>
      <c r="P34" s="29">
        <f>O34/O36</f>
        <v>0.27559055118110237</v>
      </c>
      <c r="Q34" s="28">
        <v>128</v>
      </c>
      <c r="R34" s="29">
        <f>Q34/Q36</f>
        <v>0.18390804597701149</v>
      </c>
      <c r="S34" s="45"/>
    </row>
    <row r="35" spans="1:19" x14ac:dyDescent="0.2">
      <c r="A35" s="20" t="s">
        <v>11</v>
      </c>
      <c r="B35" s="28">
        <v>2006</v>
      </c>
      <c r="C35" s="29">
        <f>B35/B36</f>
        <v>0.11238724858535493</v>
      </c>
      <c r="D35" s="28">
        <v>444</v>
      </c>
      <c r="E35" s="29">
        <f>D35/D36</f>
        <v>0.22001982160555006</v>
      </c>
      <c r="F35" s="41">
        <f t="shared" si="7"/>
        <v>0.2213359920239282</v>
      </c>
      <c r="G35" s="28">
        <v>91</v>
      </c>
      <c r="H35" s="29">
        <f>G35/G36</f>
        <v>0.25207756232686979</v>
      </c>
      <c r="I35" s="28">
        <v>2</v>
      </c>
      <c r="J35" s="29">
        <f>I35/I36</f>
        <v>0.13333333333333333</v>
      </c>
      <c r="K35" s="28">
        <v>38</v>
      </c>
      <c r="L35" s="29">
        <f>K35/K36</f>
        <v>0.2878787878787879</v>
      </c>
      <c r="M35" s="28">
        <v>109</v>
      </c>
      <c r="N35" s="29">
        <f>M35/M36</f>
        <v>0.19464285714285715</v>
      </c>
      <c r="O35" s="28">
        <v>77</v>
      </c>
      <c r="P35" s="29">
        <f>O35/O36</f>
        <v>0.30314960629921262</v>
      </c>
      <c r="Q35" s="28">
        <v>127</v>
      </c>
      <c r="R35" s="29">
        <f>Q35/Q36</f>
        <v>0.18247126436781611</v>
      </c>
      <c r="S35" s="45"/>
    </row>
    <row r="36" spans="1:19" s="33" customFormat="1" x14ac:dyDescent="0.2">
      <c r="A36" s="26" t="s">
        <v>1</v>
      </c>
      <c r="B36" s="30">
        <f>SUM(B29:B35)</f>
        <v>17849</v>
      </c>
      <c r="C36" s="31">
        <f>SUM(C29:C35)</f>
        <v>1</v>
      </c>
      <c r="D36" s="30">
        <f>SUM(D29:D35)</f>
        <v>2018</v>
      </c>
      <c r="E36" s="42">
        <f>SUM(E29:E35)</f>
        <v>1</v>
      </c>
      <c r="F36" s="43">
        <f t="shared" si="7"/>
        <v>0.11305955515715166</v>
      </c>
      <c r="G36" s="22">
        <f t="shared" ref="G36:R36" si="8">SUM(G29:G35)</f>
        <v>361</v>
      </c>
      <c r="H36" s="42">
        <f t="shared" si="8"/>
        <v>1</v>
      </c>
      <c r="I36" s="22">
        <f t="shared" si="8"/>
        <v>15</v>
      </c>
      <c r="J36" s="42">
        <f t="shared" si="8"/>
        <v>1</v>
      </c>
      <c r="K36" s="22">
        <f t="shared" si="8"/>
        <v>132</v>
      </c>
      <c r="L36" s="42">
        <f t="shared" si="8"/>
        <v>1</v>
      </c>
      <c r="M36" s="22">
        <f t="shared" si="8"/>
        <v>560</v>
      </c>
      <c r="N36" s="42">
        <f t="shared" si="8"/>
        <v>1</v>
      </c>
      <c r="O36" s="22">
        <f t="shared" si="8"/>
        <v>254</v>
      </c>
      <c r="P36" s="42">
        <f t="shared" si="8"/>
        <v>1</v>
      </c>
      <c r="Q36" s="22">
        <f t="shared" si="8"/>
        <v>696</v>
      </c>
      <c r="R36" s="42">
        <f t="shared" si="8"/>
        <v>1</v>
      </c>
      <c r="S36" s="46"/>
    </row>
    <row r="37" spans="1:19" x14ac:dyDescent="0.2">
      <c r="A37" s="25" t="s">
        <v>110</v>
      </c>
      <c r="B37" s="86">
        <v>24</v>
      </c>
      <c r="C37" s="32"/>
      <c r="D37" s="87">
        <v>28</v>
      </c>
      <c r="E37" s="72"/>
      <c r="F37" s="72"/>
      <c r="G37" s="72">
        <v>28</v>
      </c>
      <c r="H37" s="49"/>
      <c r="I37" s="48">
        <v>27</v>
      </c>
      <c r="J37" s="48"/>
      <c r="K37" s="72">
        <v>32</v>
      </c>
      <c r="L37" s="48"/>
      <c r="M37" s="72">
        <v>28</v>
      </c>
      <c r="N37" s="48"/>
      <c r="O37" s="48">
        <v>32</v>
      </c>
      <c r="P37" s="48"/>
      <c r="Q37" s="48">
        <v>26</v>
      </c>
      <c r="R37" s="47"/>
    </row>
    <row r="38" spans="1:19" x14ac:dyDescent="0.2">
      <c r="B38" s="4"/>
      <c r="C38" s="4"/>
      <c r="D38" s="2"/>
      <c r="F38" s="39"/>
      <c r="H38" s="36"/>
    </row>
    <row r="39" spans="1:19" s="33" customFormat="1" x14ac:dyDescent="0.2">
      <c r="A39" s="119" t="s">
        <v>13</v>
      </c>
      <c r="B39" s="116" t="s">
        <v>1</v>
      </c>
      <c r="C39" s="116"/>
      <c r="D39" s="117" t="s">
        <v>86</v>
      </c>
      <c r="E39" s="117"/>
      <c r="F39" s="118" t="s">
        <v>15</v>
      </c>
      <c r="G39" s="120" t="s">
        <v>100</v>
      </c>
      <c r="H39" s="120"/>
      <c r="I39" s="120" t="s">
        <v>80</v>
      </c>
      <c r="J39" s="120"/>
      <c r="K39" s="117" t="s">
        <v>136</v>
      </c>
      <c r="L39" s="117"/>
      <c r="M39" s="120" t="s">
        <v>82</v>
      </c>
      <c r="N39" s="120"/>
      <c r="O39" s="120" t="s">
        <v>81</v>
      </c>
      <c r="P39" s="120"/>
      <c r="Q39" s="120" t="s">
        <v>98</v>
      </c>
      <c r="R39" s="120"/>
      <c r="S39" s="40"/>
    </row>
    <row r="40" spans="1:19" x14ac:dyDescent="0.2">
      <c r="A40" s="20" t="s">
        <v>112</v>
      </c>
      <c r="B40" s="28">
        <v>15</v>
      </c>
      <c r="C40" s="29">
        <f>B40/B48</f>
        <v>8.4038321474592416E-4</v>
      </c>
      <c r="D40" s="28">
        <v>2</v>
      </c>
      <c r="E40" s="29">
        <f>D40/D48</f>
        <v>9.9108027750247768E-4</v>
      </c>
      <c r="F40" s="41">
        <f>D40/B40</f>
        <v>0.13333333333333333</v>
      </c>
      <c r="G40" s="28"/>
      <c r="H40" s="29"/>
      <c r="I40" s="28"/>
      <c r="J40" s="29"/>
      <c r="K40" s="28">
        <v>1</v>
      </c>
      <c r="L40" s="29">
        <f>K40/K48</f>
        <v>7.575757575757576E-3</v>
      </c>
      <c r="M40" s="28">
        <v>1</v>
      </c>
      <c r="N40" s="29">
        <f>M40/M48</f>
        <v>1.7857142857142857E-3</v>
      </c>
      <c r="O40" s="28"/>
      <c r="P40" s="29">
        <f>O40/O48</f>
        <v>0</v>
      </c>
      <c r="Q40" s="28"/>
      <c r="R40" s="29">
        <f>Q40/Q48</f>
        <v>0</v>
      </c>
      <c r="S40" s="50"/>
    </row>
    <row r="41" spans="1:19" x14ac:dyDescent="0.2">
      <c r="A41" s="20" t="s">
        <v>14</v>
      </c>
      <c r="B41" s="28">
        <v>366</v>
      </c>
      <c r="C41" s="29">
        <f>B41/B48</f>
        <v>2.0505350439800549E-2</v>
      </c>
      <c r="D41" s="28">
        <v>43</v>
      </c>
      <c r="E41" s="29">
        <f>D41/D48</f>
        <v>2.130822596630327E-2</v>
      </c>
      <c r="F41" s="41">
        <f t="shared" ref="F41:F47" si="9">D41/B41</f>
        <v>0.11748633879781421</v>
      </c>
      <c r="G41" s="28">
        <v>12</v>
      </c>
      <c r="H41" s="29">
        <f>G41/G48</f>
        <v>3.3240997229916899E-2</v>
      </c>
      <c r="I41" s="28">
        <v>1</v>
      </c>
      <c r="J41" s="29">
        <f>I41/I48</f>
        <v>6.6666666666666666E-2</v>
      </c>
      <c r="K41" s="28">
        <v>2</v>
      </c>
      <c r="L41" s="29">
        <f>K41/K48</f>
        <v>1.5151515151515152E-2</v>
      </c>
      <c r="M41" s="28">
        <v>10</v>
      </c>
      <c r="N41" s="29">
        <f>M41/M48</f>
        <v>1.7857142857142856E-2</v>
      </c>
      <c r="O41" s="28">
        <v>7</v>
      </c>
      <c r="P41" s="29">
        <f>O41/O48</f>
        <v>2.7559055118110236E-2</v>
      </c>
      <c r="Q41" s="28">
        <v>11</v>
      </c>
      <c r="R41" s="29">
        <f>Q41/Q48</f>
        <v>1.5804597701149427E-2</v>
      </c>
      <c r="S41" s="50"/>
    </row>
    <row r="42" spans="1:19" x14ac:dyDescent="0.2">
      <c r="A42" s="20" t="s">
        <v>113</v>
      </c>
      <c r="B42" s="28">
        <v>761</v>
      </c>
      <c r="C42" s="29">
        <f>B42/B48</f>
        <v>4.2635441761443217E-2</v>
      </c>
      <c r="D42" s="28">
        <v>65</v>
      </c>
      <c r="E42" s="29">
        <f>D42/D48</f>
        <v>3.2210109018830528E-2</v>
      </c>
      <c r="F42" s="41">
        <f t="shared" si="9"/>
        <v>8.5413929040735873E-2</v>
      </c>
      <c r="G42" s="28">
        <v>11</v>
      </c>
      <c r="H42" s="29">
        <f>G42/G48</f>
        <v>3.0470914127423823E-2</v>
      </c>
      <c r="I42" s="28"/>
      <c r="J42" s="29">
        <f>I42/I48</f>
        <v>0</v>
      </c>
      <c r="K42" s="28">
        <v>2</v>
      </c>
      <c r="L42" s="29">
        <f>K42/K48</f>
        <v>1.5151515151515152E-2</v>
      </c>
      <c r="M42" s="28">
        <v>15</v>
      </c>
      <c r="N42" s="29">
        <f>M42/M48</f>
        <v>2.6785714285714284E-2</v>
      </c>
      <c r="O42" s="28">
        <v>7</v>
      </c>
      <c r="P42" s="29">
        <f>O42/O48</f>
        <v>2.7559055118110236E-2</v>
      </c>
      <c r="Q42" s="28">
        <v>30</v>
      </c>
      <c r="R42" s="29">
        <f>Q42/Q48</f>
        <v>4.3103448275862072E-2</v>
      </c>
      <c r="S42" s="50"/>
    </row>
    <row r="43" spans="1:19" x14ac:dyDescent="0.2">
      <c r="A43" s="20" t="s">
        <v>114</v>
      </c>
      <c r="B43" s="28">
        <v>393</v>
      </c>
      <c r="C43" s="29">
        <f>B43/B48</f>
        <v>2.2018040226343214E-2</v>
      </c>
      <c r="D43" s="28">
        <v>37</v>
      </c>
      <c r="E43" s="29">
        <f>D43/D48</f>
        <v>1.8334985133795837E-2</v>
      </c>
      <c r="F43" s="41">
        <f t="shared" si="9"/>
        <v>9.4147582697201013E-2</v>
      </c>
      <c r="G43" s="28">
        <v>10</v>
      </c>
      <c r="H43" s="29">
        <f>G43/G48</f>
        <v>2.7700831024930747E-2</v>
      </c>
      <c r="I43" s="28"/>
      <c r="J43" s="29">
        <f>I43/I48</f>
        <v>0</v>
      </c>
      <c r="K43" s="28">
        <v>3</v>
      </c>
      <c r="L43" s="29">
        <f>K43/K48</f>
        <v>2.2727272727272728E-2</v>
      </c>
      <c r="M43" s="28">
        <v>5</v>
      </c>
      <c r="N43" s="29">
        <f>M43/M48</f>
        <v>8.9285714285714281E-3</v>
      </c>
      <c r="O43" s="28">
        <v>9</v>
      </c>
      <c r="P43" s="29">
        <f>O43/O48</f>
        <v>3.5433070866141732E-2</v>
      </c>
      <c r="Q43" s="28">
        <v>10</v>
      </c>
      <c r="R43" s="29">
        <f>Q43/Q48</f>
        <v>1.4367816091954023E-2</v>
      </c>
      <c r="S43" s="50"/>
    </row>
    <row r="44" spans="1:19" x14ac:dyDescent="0.2">
      <c r="A44" s="20" t="s">
        <v>12</v>
      </c>
      <c r="B44" s="28">
        <v>2367</v>
      </c>
      <c r="C44" s="29">
        <f>B44/B48</f>
        <v>0.13261247128690684</v>
      </c>
      <c r="D44" s="28">
        <v>250</v>
      </c>
      <c r="E44" s="29">
        <f>D44/D48</f>
        <v>0.12388503468780972</v>
      </c>
      <c r="F44" s="41">
        <f t="shared" si="9"/>
        <v>0.10561892691170258</v>
      </c>
      <c r="G44" s="28">
        <v>39</v>
      </c>
      <c r="H44" s="29">
        <f>G44/G48</f>
        <v>0.10803324099722991</v>
      </c>
      <c r="I44" s="28">
        <v>4</v>
      </c>
      <c r="J44" s="29">
        <f>I44/I48</f>
        <v>0.26666666666666666</v>
      </c>
      <c r="K44" s="28">
        <v>12</v>
      </c>
      <c r="L44" s="29">
        <f>K44/K48</f>
        <v>9.0909090909090912E-2</v>
      </c>
      <c r="M44" s="28">
        <v>48</v>
      </c>
      <c r="N44" s="29">
        <f>M44/M48</f>
        <v>8.5714285714285715E-2</v>
      </c>
      <c r="O44" s="28">
        <v>38</v>
      </c>
      <c r="P44" s="29">
        <f>O44/O48</f>
        <v>0.14960629921259844</v>
      </c>
      <c r="Q44" s="28">
        <v>109</v>
      </c>
      <c r="R44" s="29">
        <f>Q44/Q48</f>
        <v>0.15660919540229884</v>
      </c>
      <c r="S44" s="50"/>
    </row>
    <row r="45" spans="1:19" x14ac:dyDescent="0.2">
      <c r="A45" s="20" t="s">
        <v>115</v>
      </c>
      <c r="B45" s="28">
        <v>225</v>
      </c>
      <c r="C45" s="29">
        <f>B45/B48</f>
        <v>1.2605748221188862E-2</v>
      </c>
      <c r="D45" s="28">
        <v>35</v>
      </c>
      <c r="E45" s="29">
        <f>D45/D48</f>
        <v>1.7343904856293359E-2</v>
      </c>
      <c r="F45" s="41">
        <f t="shared" si="9"/>
        <v>0.15555555555555556</v>
      </c>
      <c r="G45" s="28">
        <v>14</v>
      </c>
      <c r="H45" s="29">
        <f>G45/G48</f>
        <v>3.8781163434903045E-2</v>
      </c>
      <c r="I45" s="28">
        <v>1</v>
      </c>
      <c r="J45" s="29">
        <f>I45/I48</f>
        <v>6.6666666666666666E-2</v>
      </c>
      <c r="K45" s="28">
        <v>2</v>
      </c>
      <c r="L45" s="29">
        <f>K45/K48</f>
        <v>1.5151515151515152E-2</v>
      </c>
      <c r="M45" s="28">
        <v>5</v>
      </c>
      <c r="N45" s="29">
        <f>M45/M48</f>
        <v>8.9285714285714281E-3</v>
      </c>
      <c r="O45" s="28">
        <v>2</v>
      </c>
      <c r="P45" s="29">
        <f>O45/O48</f>
        <v>7.874015748031496E-3</v>
      </c>
      <c r="Q45" s="28">
        <v>11</v>
      </c>
      <c r="R45" s="29">
        <f>Q45/Q48</f>
        <v>1.5804597701149427E-2</v>
      </c>
      <c r="S45" s="50"/>
    </row>
    <row r="46" spans="1:19" x14ac:dyDescent="0.2">
      <c r="A46" s="20" t="s">
        <v>2</v>
      </c>
      <c r="B46" s="28">
        <v>913</v>
      </c>
      <c r="C46" s="29">
        <f>B46/B48</f>
        <v>5.1151325004201914E-2</v>
      </c>
      <c r="D46" s="28">
        <v>91</v>
      </c>
      <c r="E46" s="29">
        <f>D46/D48</f>
        <v>4.5094152626362738E-2</v>
      </c>
      <c r="F46" s="41">
        <f t="shared" si="9"/>
        <v>9.9671412924424968E-2</v>
      </c>
      <c r="G46" s="28">
        <v>18</v>
      </c>
      <c r="H46" s="29">
        <f>G46/G48</f>
        <v>4.9861495844875349E-2</v>
      </c>
      <c r="I46" s="28"/>
      <c r="J46" s="29">
        <f>I46/I48</f>
        <v>0</v>
      </c>
      <c r="K46" s="28">
        <v>5</v>
      </c>
      <c r="L46" s="29">
        <f>K46/K48</f>
        <v>3.787878787878788E-2</v>
      </c>
      <c r="M46" s="28">
        <v>18</v>
      </c>
      <c r="N46" s="29">
        <f>M46/M48</f>
        <v>3.214285714285714E-2</v>
      </c>
      <c r="O46" s="28">
        <v>8</v>
      </c>
      <c r="P46" s="29">
        <f>O46/O48</f>
        <v>3.1496062992125984E-2</v>
      </c>
      <c r="Q46" s="28">
        <v>42</v>
      </c>
      <c r="R46" s="29">
        <f>Q46/Q48</f>
        <v>6.0344827586206899E-2</v>
      </c>
      <c r="S46" s="50"/>
    </row>
    <row r="47" spans="1:19" x14ac:dyDescent="0.2">
      <c r="A47" s="20" t="s">
        <v>116</v>
      </c>
      <c r="B47" s="28">
        <v>12809</v>
      </c>
      <c r="C47" s="29">
        <f>B47/B48</f>
        <v>0.71763123984536947</v>
      </c>
      <c r="D47" s="28">
        <v>1495</v>
      </c>
      <c r="E47" s="29">
        <f>D47/D48</f>
        <v>0.74083250743310203</v>
      </c>
      <c r="F47" s="41">
        <f t="shared" si="9"/>
        <v>0.11671480989928956</v>
      </c>
      <c r="G47" s="28">
        <v>257</v>
      </c>
      <c r="H47" s="29">
        <f>G47/G48</f>
        <v>0.7119113573407202</v>
      </c>
      <c r="I47" s="28">
        <v>9</v>
      </c>
      <c r="J47" s="29">
        <f>I47/I48</f>
        <v>0.6</v>
      </c>
      <c r="K47" s="28">
        <v>105</v>
      </c>
      <c r="L47" s="29">
        <f>K47/K48</f>
        <v>0.79545454545454541</v>
      </c>
      <c r="M47" s="28">
        <v>458</v>
      </c>
      <c r="N47" s="29">
        <f>M47/M48</f>
        <v>0.81785714285714284</v>
      </c>
      <c r="O47" s="28">
        <v>183</v>
      </c>
      <c r="P47" s="29">
        <f>O47/O48</f>
        <v>0.72047244094488194</v>
      </c>
      <c r="Q47" s="28">
        <v>483</v>
      </c>
      <c r="R47" s="29">
        <f>Q47/Q48</f>
        <v>0.69396551724137934</v>
      </c>
      <c r="S47" s="50"/>
    </row>
    <row r="48" spans="1:19" s="33" customFormat="1" x14ac:dyDescent="0.2">
      <c r="A48" s="26" t="s">
        <v>1</v>
      </c>
      <c r="B48" s="22">
        <f>SUM(B40:B47)</f>
        <v>17849</v>
      </c>
      <c r="C48" s="42">
        <f>SUM(C40:C47)</f>
        <v>1</v>
      </c>
      <c r="D48" s="22">
        <f>SUM(D40:D47)</f>
        <v>2018</v>
      </c>
      <c r="E48" s="42">
        <f>SUM(E40:E47)</f>
        <v>1</v>
      </c>
      <c r="F48" s="43">
        <f t="shared" ref="F48" si="10">D48/B48</f>
        <v>0.11305955515715166</v>
      </c>
      <c r="G48" s="22">
        <f t="shared" ref="G48:R48" si="11">SUM(G40:G47)</f>
        <v>361</v>
      </c>
      <c r="H48" s="42">
        <f t="shared" si="11"/>
        <v>1</v>
      </c>
      <c r="I48" s="22">
        <f t="shared" si="11"/>
        <v>15</v>
      </c>
      <c r="J48" s="42">
        <f t="shared" si="11"/>
        <v>1</v>
      </c>
      <c r="K48" s="22">
        <f t="shared" si="11"/>
        <v>132</v>
      </c>
      <c r="L48" s="42">
        <f t="shared" si="11"/>
        <v>1</v>
      </c>
      <c r="M48" s="22">
        <f t="shared" si="11"/>
        <v>560</v>
      </c>
      <c r="N48" s="42">
        <f t="shared" si="11"/>
        <v>1</v>
      </c>
      <c r="O48" s="22">
        <f t="shared" si="11"/>
        <v>254</v>
      </c>
      <c r="P48" s="42">
        <f t="shared" si="11"/>
        <v>1</v>
      </c>
      <c r="Q48" s="22">
        <f t="shared" si="11"/>
        <v>696</v>
      </c>
      <c r="R48" s="42">
        <f t="shared" si="11"/>
        <v>1</v>
      </c>
      <c r="S48" s="51"/>
    </row>
    <row r="49" spans="1:19" x14ac:dyDescent="0.2">
      <c r="F49" s="39"/>
      <c r="H49" s="36"/>
    </row>
    <row r="50" spans="1:19" x14ac:dyDescent="0.2">
      <c r="A50" s="3"/>
      <c r="B50" s="3"/>
      <c r="C50" s="3"/>
      <c r="D50" s="3"/>
      <c r="E50" s="3"/>
    </row>
    <row r="51" spans="1:19" s="33" customFormat="1" ht="24" x14ac:dyDescent="0.2">
      <c r="A51" s="115" t="s">
        <v>195</v>
      </c>
      <c r="B51" s="120" t="s">
        <v>100</v>
      </c>
      <c r="C51" s="120"/>
      <c r="D51" s="120" t="s">
        <v>80</v>
      </c>
      <c r="E51" s="120"/>
      <c r="F51" s="117" t="s">
        <v>136</v>
      </c>
      <c r="G51" s="117"/>
      <c r="H51" s="120" t="s">
        <v>82</v>
      </c>
      <c r="I51" s="120"/>
      <c r="J51" s="120" t="s">
        <v>81</v>
      </c>
      <c r="K51" s="120"/>
      <c r="L51" s="120" t="s">
        <v>98</v>
      </c>
      <c r="M51" s="120"/>
      <c r="N51" s="116" t="s">
        <v>1</v>
      </c>
      <c r="O51" s="116"/>
      <c r="P51" s="36"/>
      <c r="Q51" s="40"/>
      <c r="R51" s="40"/>
      <c r="S51" s="40"/>
    </row>
    <row r="52" spans="1:19" ht="24" x14ac:dyDescent="0.2">
      <c r="A52" s="20" t="s">
        <v>118</v>
      </c>
      <c r="B52" s="28">
        <v>162</v>
      </c>
      <c r="C52" s="29">
        <f>B52/B60</f>
        <v>0.46820809248554912</v>
      </c>
      <c r="D52" s="28">
        <v>6</v>
      </c>
      <c r="E52" s="29">
        <f>D52/D60</f>
        <v>0.42857142857142855</v>
      </c>
      <c r="F52" s="28">
        <v>67</v>
      </c>
      <c r="G52" s="29">
        <f>F52/F60</f>
        <v>0.54032258064516125</v>
      </c>
      <c r="H52" s="28">
        <v>267</v>
      </c>
      <c r="I52" s="29">
        <f>H52/H60</f>
        <v>0.48722627737226276</v>
      </c>
      <c r="J52" s="28">
        <v>151</v>
      </c>
      <c r="K52" s="29">
        <f>J52/J60</f>
        <v>0.62916666666666665</v>
      </c>
      <c r="L52" s="28">
        <v>337</v>
      </c>
      <c r="M52" s="29">
        <f>L52/L60</f>
        <v>0.49558823529411766</v>
      </c>
      <c r="N52" s="28">
        <f>L52+J52+H52+F52+D52+B52</f>
        <v>990</v>
      </c>
      <c r="O52" s="29">
        <f>N52/N60</f>
        <v>0.50717213114754101</v>
      </c>
    </row>
    <row r="53" spans="1:19" ht="24" x14ac:dyDescent="0.2">
      <c r="A53" s="20" t="s">
        <v>117</v>
      </c>
      <c r="B53" s="28">
        <v>23</v>
      </c>
      <c r="C53" s="29">
        <f>B53/B60</f>
        <v>6.6473988439306353E-2</v>
      </c>
      <c r="D53" s="28">
        <v>4</v>
      </c>
      <c r="E53" s="29">
        <f>D53/D60</f>
        <v>0.2857142857142857</v>
      </c>
      <c r="F53" s="28">
        <v>11</v>
      </c>
      <c r="G53" s="29">
        <f>F53/F60</f>
        <v>8.8709677419354843E-2</v>
      </c>
      <c r="H53" s="28">
        <v>71</v>
      </c>
      <c r="I53" s="29">
        <f>H53/H60</f>
        <v>0.12956204379562045</v>
      </c>
      <c r="J53" s="28">
        <v>22</v>
      </c>
      <c r="K53" s="29">
        <f>J53/J60</f>
        <v>9.166666666666666E-2</v>
      </c>
      <c r="L53" s="28">
        <v>83</v>
      </c>
      <c r="M53" s="29">
        <f>L53/L60</f>
        <v>0.12205882352941176</v>
      </c>
      <c r="N53" s="28">
        <f t="shared" ref="N53:N59" si="12">L53+J53+H53+F53+D53+B53</f>
        <v>214</v>
      </c>
      <c r="O53" s="29">
        <f>N53/N60</f>
        <v>0.1096311475409836</v>
      </c>
    </row>
    <row r="54" spans="1:19" x14ac:dyDescent="0.2">
      <c r="A54" s="20" t="s">
        <v>164</v>
      </c>
      <c r="B54" s="28">
        <v>38</v>
      </c>
      <c r="C54" s="29">
        <f>B54/B60</f>
        <v>0.10982658959537572</v>
      </c>
      <c r="D54" s="28">
        <v>1</v>
      </c>
      <c r="E54" s="29">
        <f>D54/D60</f>
        <v>7.1428571428571425E-2</v>
      </c>
      <c r="F54" s="28">
        <v>4</v>
      </c>
      <c r="G54" s="29">
        <f>F54/F60</f>
        <v>3.2258064516129031E-2</v>
      </c>
      <c r="H54" s="28">
        <v>31</v>
      </c>
      <c r="I54" s="29">
        <f>H54/H60</f>
        <v>5.6569343065693431E-2</v>
      </c>
      <c r="J54" s="28">
        <v>14</v>
      </c>
      <c r="K54" s="29">
        <f>J54/J60</f>
        <v>5.8333333333333334E-2</v>
      </c>
      <c r="L54" s="28">
        <v>34</v>
      </c>
      <c r="M54" s="29">
        <f>L54/L60</f>
        <v>0.05</v>
      </c>
      <c r="N54" s="28">
        <f t="shared" si="12"/>
        <v>122</v>
      </c>
      <c r="O54" s="29">
        <f>N54/N60</f>
        <v>6.25E-2</v>
      </c>
      <c r="Q54" s="55"/>
    </row>
    <row r="55" spans="1:19" x14ac:dyDescent="0.2">
      <c r="A55" s="20" t="s">
        <v>152</v>
      </c>
      <c r="B55" s="28">
        <v>80</v>
      </c>
      <c r="C55" s="29">
        <f>B55/B60</f>
        <v>0.23121387283236994</v>
      </c>
      <c r="D55" s="21"/>
      <c r="E55" s="29">
        <f>D55/D60</f>
        <v>0</v>
      </c>
      <c r="F55" s="28">
        <v>30</v>
      </c>
      <c r="G55" s="29">
        <f>F55/F60</f>
        <v>0.24193548387096775</v>
      </c>
      <c r="H55" s="28">
        <v>129</v>
      </c>
      <c r="I55" s="29">
        <f>H55/H60</f>
        <v>0.23540145985401459</v>
      </c>
      <c r="J55" s="28">
        <v>37</v>
      </c>
      <c r="K55" s="29">
        <f>J55/J60</f>
        <v>0.15416666666666667</v>
      </c>
      <c r="L55" s="28">
        <v>187</v>
      </c>
      <c r="M55" s="29">
        <f>L55/L60</f>
        <v>0.27500000000000002</v>
      </c>
      <c r="N55" s="28">
        <f t="shared" si="12"/>
        <v>463</v>
      </c>
      <c r="O55" s="29">
        <f>N55/N60</f>
        <v>0.23719262295081966</v>
      </c>
    </row>
    <row r="56" spans="1:19" x14ac:dyDescent="0.2">
      <c r="A56" s="20" t="s">
        <v>120</v>
      </c>
      <c r="B56" s="28">
        <v>14</v>
      </c>
      <c r="C56" s="29">
        <f>B56/B60</f>
        <v>4.046242774566474E-2</v>
      </c>
      <c r="D56" s="28">
        <v>1</v>
      </c>
      <c r="E56" s="29">
        <f>D56/D60</f>
        <v>7.1428571428571425E-2</v>
      </c>
      <c r="F56" s="28">
        <v>5</v>
      </c>
      <c r="G56" s="29">
        <f>F56/F60</f>
        <v>4.0322580645161289E-2</v>
      </c>
      <c r="H56" s="28">
        <v>18</v>
      </c>
      <c r="I56" s="29">
        <f>H56/H60</f>
        <v>3.2846715328467155E-2</v>
      </c>
      <c r="J56" s="28">
        <v>8</v>
      </c>
      <c r="K56" s="29">
        <f>J56/J60</f>
        <v>3.3333333333333333E-2</v>
      </c>
      <c r="L56" s="28">
        <v>12</v>
      </c>
      <c r="M56" s="29">
        <f>L56/L60</f>
        <v>1.7647058823529412E-2</v>
      </c>
      <c r="N56" s="28">
        <f t="shared" si="12"/>
        <v>58</v>
      </c>
      <c r="O56" s="29">
        <f>N56/N60</f>
        <v>2.9713114754098359E-2</v>
      </c>
    </row>
    <row r="57" spans="1:19" x14ac:dyDescent="0.2">
      <c r="A57" s="20" t="s">
        <v>119</v>
      </c>
      <c r="B57" s="28">
        <v>8</v>
      </c>
      <c r="C57" s="29">
        <f>B57/B60</f>
        <v>2.3121387283236993E-2</v>
      </c>
      <c r="D57" s="28">
        <v>1</v>
      </c>
      <c r="E57" s="29">
        <f>D57/D60</f>
        <v>7.1428571428571425E-2</v>
      </c>
      <c r="F57" s="28">
        <v>4</v>
      </c>
      <c r="G57" s="29">
        <f>F57/F60</f>
        <v>3.2258064516129031E-2</v>
      </c>
      <c r="H57" s="28">
        <v>13</v>
      </c>
      <c r="I57" s="29">
        <f>H57/H60</f>
        <v>2.3722627737226276E-2</v>
      </c>
      <c r="J57" s="28">
        <v>4</v>
      </c>
      <c r="K57" s="29">
        <f>J57/J60</f>
        <v>1.6666666666666666E-2</v>
      </c>
      <c r="L57" s="28">
        <v>13</v>
      </c>
      <c r="M57" s="29">
        <f>L57/L60</f>
        <v>1.9117647058823531E-2</v>
      </c>
      <c r="N57" s="28">
        <f t="shared" si="12"/>
        <v>43</v>
      </c>
      <c r="O57" s="29">
        <f>N57/N60</f>
        <v>2.2028688524590164E-2</v>
      </c>
      <c r="Q57" s="55"/>
    </row>
    <row r="58" spans="1:19" x14ac:dyDescent="0.2">
      <c r="A58" s="20" t="s">
        <v>121</v>
      </c>
      <c r="B58" s="28">
        <v>1</v>
      </c>
      <c r="C58" s="29">
        <f>B58/B60</f>
        <v>2.8901734104046241E-3</v>
      </c>
      <c r="D58" s="21"/>
      <c r="E58" s="29">
        <f>D58/D60</f>
        <v>0</v>
      </c>
      <c r="F58" s="21"/>
      <c r="G58" s="29">
        <f>F58/F60</f>
        <v>0</v>
      </c>
      <c r="H58" s="28">
        <v>4</v>
      </c>
      <c r="I58" s="29">
        <f>H58/H60</f>
        <v>7.2992700729927005E-3</v>
      </c>
      <c r="J58" s="21"/>
      <c r="K58" s="29">
        <f>J58/J60</f>
        <v>0</v>
      </c>
      <c r="L58" s="28">
        <v>3</v>
      </c>
      <c r="M58" s="29">
        <f>L58/L60</f>
        <v>4.4117647058823529E-3</v>
      </c>
      <c r="N58" s="28">
        <f t="shared" si="12"/>
        <v>8</v>
      </c>
      <c r="O58" s="29">
        <f>N58/N60</f>
        <v>4.0983606557377051E-3</v>
      </c>
      <c r="Q58" s="55"/>
    </row>
    <row r="59" spans="1:19" x14ac:dyDescent="0.2">
      <c r="A59" s="20" t="s">
        <v>165</v>
      </c>
      <c r="B59" s="28">
        <v>20</v>
      </c>
      <c r="C59" s="29">
        <f>B59/B60</f>
        <v>5.7803468208092484E-2</v>
      </c>
      <c r="D59" s="28">
        <v>1</v>
      </c>
      <c r="E59" s="29">
        <f>D59/D60</f>
        <v>7.1428571428571425E-2</v>
      </c>
      <c r="F59" s="28">
        <v>3</v>
      </c>
      <c r="G59" s="29">
        <f>F59/F60</f>
        <v>2.4193548387096774E-2</v>
      </c>
      <c r="H59" s="28">
        <v>15</v>
      </c>
      <c r="I59" s="29">
        <f>H59/H60</f>
        <v>2.7372262773722629E-2</v>
      </c>
      <c r="J59" s="28">
        <v>4</v>
      </c>
      <c r="K59" s="29">
        <f>J59/J60</f>
        <v>1.6666666666666666E-2</v>
      </c>
      <c r="L59" s="28">
        <v>11</v>
      </c>
      <c r="M59" s="29">
        <f>L59/L60</f>
        <v>1.6176470588235296E-2</v>
      </c>
      <c r="N59" s="28">
        <f t="shared" si="12"/>
        <v>54</v>
      </c>
      <c r="O59" s="29">
        <f>N59/N60</f>
        <v>2.7663934426229508E-2</v>
      </c>
    </row>
    <row r="60" spans="1:19" s="33" customFormat="1" x14ac:dyDescent="0.2">
      <c r="A60" s="26" t="s">
        <v>1</v>
      </c>
      <c r="B60" s="19">
        <f>SUM(B52:B59)</f>
        <v>346</v>
      </c>
      <c r="C60" s="31">
        <f>SUM(C52:C59)</f>
        <v>1</v>
      </c>
      <c r="D60" s="19">
        <f>SUM(D52:D59)</f>
        <v>14</v>
      </c>
      <c r="E60" s="31">
        <f>SUM(E52:E59)</f>
        <v>0.99999999999999978</v>
      </c>
      <c r="F60" s="19">
        <f>SUM(F52:F59)</f>
        <v>124</v>
      </c>
      <c r="G60" s="31">
        <f>SUM(G52:G59)</f>
        <v>0.99999999999999989</v>
      </c>
      <c r="H60" s="19">
        <f>SUM(H52:H59)</f>
        <v>548</v>
      </c>
      <c r="I60" s="31">
        <f>SUM(I52:I59)</f>
        <v>1</v>
      </c>
      <c r="J60" s="19">
        <f>SUM(J52:J59)</f>
        <v>240</v>
      </c>
      <c r="K60" s="31">
        <f>SUM(K52:K59)</f>
        <v>1</v>
      </c>
      <c r="L60" s="19">
        <f>SUM(L52:L59)</f>
        <v>680</v>
      </c>
      <c r="M60" s="31">
        <f>SUM(M52:M59)</f>
        <v>1.0000000000000002</v>
      </c>
      <c r="N60" s="22">
        <f>SUM(N52:N59)</f>
        <v>1952</v>
      </c>
      <c r="O60" s="31">
        <f>SUM(O52:O59)</f>
        <v>0.99999999999999989</v>
      </c>
      <c r="P60" s="36"/>
      <c r="Q60" s="153"/>
      <c r="R60" s="40"/>
      <c r="S60" s="40"/>
    </row>
    <row r="61" spans="1:19" s="33" customFormat="1" x14ac:dyDescent="0.2">
      <c r="A61" s="15"/>
      <c r="B61" s="5"/>
      <c r="C61" s="52"/>
      <c r="D61" s="5"/>
      <c r="E61" s="52"/>
      <c r="F61" s="5"/>
      <c r="G61" s="52"/>
      <c r="H61" s="5"/>
      <c r="I61" s="52"/>
      <c r="J61" s="5"/>
      <c r="K61" s="52"/>
      <c r="L61" s="5"/>
      <c r="M61" s="52"/>
      <c r="N61" s="51"/>
      <c r="O61" s="52"/>
      <c r="P61" s="36"/>
      <c r="Q61" s="51"/>
      <c r="R61" s="40"/>
      <c r="S61" s="40"/>
    </row>
    <row r="62" spans="1:19" s="33" customFormat="1" x14ac:dyDescent="0.2">
      <c r="A62" s="115" t="s">
        <v>122</v>
      </c>
      <c r="B62" s="120" t="s">
        <v>100</v>
      </c>
      <c r="C62" s="120"/>
      <c r="D62" s="120" t="s">
        <v>80</v>
      </c>
      <c r="E62" s="120"/>
      <c r="F62" s="117" t="s">
        <v>136</v>
      </c>
      <c r="G62" s="117"/>
      <c r="H62" s="120" t="s">
        <v>82</v>
      </c>
      <c r="I62" s="120"/>
      <c r="J62" s="120" t="s">
        <v>81</v>
      </c>
      <c r="K62" s="120"/>
      <c r="L62" s="120" t="s">
        <v>98</v>
      </c>
      <c r="M62" s="120"/>
      <c r="N62" s="116" t="s">
        <v>1</v>
      </c>
      <c r="O62" s="116"/>
      <c r="P62" s="36"/>
      <c r="Q62" s="40"/>
      <c r="R62" s="40" t="s">
        <v>0</v>
      </c>
      <c r="S62" s="40"/>
    </row>
    <row r="63" spans="1:19" s="33" customFormat="1" x14ac:dyDescent="0.2">
      <c r="A63" s="78" t="s">
        <v>166</v>
      </c>
      <c r="B63" s="28">
        <v>228</v>
      </c>
      <c r="C63" s="29">
        <f>B63/B67</f>
        <v>0.6386554621848739</v>
      </c>
      <c r="D63" s="28">
        <v>12</v>
      </c>
      <c r="E63" s="29">
        <f>D63/D67</f>
        <v>0.8</v>
      </c>
      <c r="F63" s="28">
        <v>86</v>
      </c>
      <c r="G63" s="29">
        <f>F63/F67</f>
        <v>0.65648854961832059</v>
      </c>
      <c r="H63" s="28">
        <v>342</v>
      </c>
      <c r="I63" s="29">
        <f>H63/H67</f>
        <v>0.61621621621621625</v>
      </c>
      <c r="J63" s="28">
        <v>156</v>
      </c>
      <c r="K63" s="29">
        <f>J63/J67</f>
        <v>0.61904761904761907</v>
      </c>
      <c r="L63" s="28">
        <v>430</v>
      </c>
      <c r="M63" s="29">
        <f>L63/L67</f>
        <v>0.62228654124457305</v>
      </c>
      <c r="N63" s="21">
        <f t="shared" ref="N63:N66" si="13">B63+D63+F63+H63+J63+L63</f>
        <v>1254</v>
      </c>
      <c r="O63" s="29">
        <f>N63/N67</f>
        <v>0.62668665667166412</v>
      </c>
      <c r="P63" s="36"/>
      <c r="Q63" s="40"/>
      <c r="R63" s="40"/>
      <c r="S63" s="40"/>
    </row>
    <row r="64" spans="1:19" s="33" customFormat="1" x14ac:dyDescent="0.2">
      <c r="A64" s="78" t="s">
        <v>167</v>
      </c>
      <c r="B64" s="28">
        <v>1</v>
      </c>
      <c r="C64" s="29">
        <f>B64/B67</f>
        <v>2.8011204481792717E-3</v>
      </c>
      <c r="D64" s="21"/>
      <c r="E64" s="29">
        <f>D64/D67</f>
        <v>0</v>
      </c>
      <c r="F64" s="28">
        <v>2</v>
      </c>
      <c r="G64" s="29">
        <f>F64/F67</f>
        <v>1.5267175572519083E-2</v>
      </c>
      <c r="H64" s="28">
        <v>4</v>
      </c>
      <c r="I64" s="29">
        <f>H64/H67</f>
        <v>7.2072072072072073E-3</v>
      </c>
      <c r="J64" s="21"/>
      <c r="K64" s="29">
        <f>J64/J67</f>
        <v>0</v>
      </c>
      <c r="L64" s="28">
        <v>6</v>
      </c>
      <c r="M64" s="29">
        <f>L64/L67</f>
        <v>8.6830680173661367E-3</v>
      </c>
      <c r="N64" s="21">
        <f t="shared" si="13"/>
        <v>13</v>
      </c>
      <c r="O64" s="29">
        <f>N64/N67</f>
        <v>6.4967516241879056E-3</v>
      </c>
      <c r="P64" s="36"/>
      <c r="Q64" s="40"/>
      <c r="R64" s="40"/>
      <c r="S64" s="40"/>
    </row>
    <row r="65" spans="1:19" s="33" customFormat="1" ht="24" x14ac:dyDescent="0.2">
      <c r="A65" s="78" t="s">
        <v>168</v>
      </c>
      <c r="B65" s="28">
        <v>54</v>
      </c>
      <c r="C65" s="29">
        <f>B65/B67</f>
        <v>0.15126050420168066</v>
      </c>
      <c r="D65" s="28">
        <v>2</v>
      </c>
      <c r="E65" s="29">
        <f>D65/D67</f>
        <v>0.13333333333333333</v>
      </c>
      <c r="F65" s="28">
        <v>25</v>
      </c>
      <c r="G65" s="29">
        <f>F65/F67</f>
        <v>0.19083969465648856</v>
      </c>
      <c r="H65" s="28">
        <v>100</v>
      </c>
      <c r="I65" s="29">
        <f>H65/H67</f>
        <v>0.18018018018018017</v>
      </c>
      <c r="J65" s="28">
        <v>49</v>
      </c>
      <c r="K65" s="29">
        <f>J65/J67</f>
        <v>0.19444444444444445</v>
      </c>
      <c r="L65" s="28">
        <v>122</v>
      </c>
      <c r="M65" s="29">
        <f>L65/L67</f>
        <v>0.17655571635311143</v>
      </c>
      <c r="N65" s="21">
        <f t="shared" si="13"/>
        <v>352</v>
      </c>
      <c r="O65" s="29">
        <f>N65/N67</f>
        <v>0.175912043978011</v>
      </c>
      <c r="P65" s="36"/>
      <c r="Q65" s="40"/>
      <c r="R65" s="40" t="s">
        <v>0</v>
      </c>
      <c r="S65" s="40"/>
    </row>
    <row r="66" spans="1:19" s="33" customFormat="1" ht="24" x14ac:dyDescent="0.2">
      <c r="A66" s="78" t="s">
        <v>169</v>
      </c>
      <c r="B66" s="28">
        <v>74</v>
      </c>
      <c r="C66" s="29">
        <f>B66/B67</f>
        <v>0.20728291316526612</v>
      </c>
      <c r="D66" s="28">
        <v>1</v>
      </c>
      <c r="E66" s="29">
        <f>D66/D67</f>
        <v>6.6666666666666666E-2</v>
      </c>
      <c r="F66" s="28">
        <v>18</v>
      </c>
      <c r="G66" s="29">
        <f>F66/F67</f>
        <v>0.13740458015267176</v>
      </c>
      <c r="H66" s="28">
        <v>109</v>
      </c>
      <c r="I66" s="29">
        <f>H66/H67</f>
        <v>0.19639639639639639</v>
      </c>
      <c r="J66" s="28">
        <v>47</v>
      </c>
      <c r="K66" s="29">
        <f>J66/J67</f>
        <v>0.18650793650793651</v>
      </c>
      <c r="L66" s="28">
        <v>133</v>
      </c>
      <c r="M66" s="29">
        <f>L66/L67</f>
        <v>0.19247467438494936</v>
      </c>
      <c r="N66" s="21">
        <f t="shared" si="13"/>
        <v>382</v>
      </c>
      <c r="O66" s="29">
        <f>N66/N67</f>
        <v>0.19090454772613694</v>
      </c>
      <c r="P66" s="36"/>
      <c r="Q66" s="40"/>
      <c r="R66" s="40"/>
      <c r="S66" s="40"/>
    </row>
    <row r="67" spans="1:19" x14ac:dyDescent="0.2">
      <c r="A67" s="53" t="s">
        <v>1</v>
      </c>
      <c r="B67" s="47">
        <f>SUM(B63:B66)</f>
        <v>357</v>
      </c>
      <c r="C67" s="31">
        <f>SUM(C63:C66)</f>
        <v>1</v>
      </c>
      <c r="D67" s="47">
        <f>SUM(D63:D66)</f>
        <v>15</v>
      </c>
      <c r="E67" s="31">
        <f>SUM(E63:E66)</f>
        <v>1</v>
      </c>
      <c r="F67" s="47">
        <f>SUM(F63:F66)</f>
        <v>131</v>
      </c>
      <c r="G67" s="31">
        <f>SUM(G63:G66)</f>
        <v>1</v>
      </c>
      <c r="H67" s="47">
        <f>SUM(H63:H66)</f>
        <v>555</v>
      </c>
      <c r="I67" s="31">
        <f>SUM(I63:I66)</f>
        <v>1</v>
      </c>
      <c r="J67" s="47">
        <f>SUM(J63:J66)</f>
        <v>252</v>
      </c>
      <c r="K67" s="31">
        <f>SUM(K63:K66)</f>
        <v>1</v>
      </c>
      <c r="L67" s="47">
        <f>SUM(L63:L66)</f>
        <v>691</v>
      </c>
      <c r="M67" s="31">
        <f>SUM(M63:M66)</f>
        <v>1</v>
      </c>
      <c r="N67" s="22">
        <f>SUM(N63:N66)</f>
        <v>2001</v>
      </c>
      <c r="O67" s="31">
        <f>SUM(O63:O66)</f>
        <v>1</v>
      </c>
    </row>
    <row r="68" spans="1:19" s="58" customFormat="1" x14ac:dyDescent="0.2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36"/>
      <c r="Q68" s="59"/>
      <c r="R68" s="59"/>
      <c r="S68" s="59"/>
    </row>
    <row r="69" spans="1:19" s="58" customFormat="1" ht="24" x14ac:dyDescent="0.2">
      <c r="A69" s="115" t="s">
        <v>123</v>
      </c>
      <c r="B69" s="120" t="s">
        <v>100</v>
      </c>
      <c r="C69" s="120"/>
      <c r="D69" s="120" t="s">
        <v>80</v>
      </c>
      <c r="E69" s="120"/>
      <c r="F69" s="117" t="s">
        <v>136</v>
      </c>
      <c r="G69" s="117"/>
      <c r="H69" s="120" t="s">
        <v>82</v>
      </c>
      <c r="I69" s="120"/>
      <c r="J69" s="120" t="s">
        <v>81</v>
      </c>
      <c r="K69" s="120"/>
      <c r="L69" s="120" t="s">
        <v>98</v>
      </c>
      <c r="M69" s="120"/>
      <c r="N69" s="116" t="s">
        <v>1</v>
      </c>
      <c r="O69" s="116"/>
      <c r="P69" s="36"/>
      <c r="Q69" s="59"/>
      <c r="R69" s="59"/>
      <c r="S69" s="59"/>
    </row>
    <row r="70" spans="1:19" s="58" customFormat="1" x14ac:dyDescent="0.2">
      <c r="A70" s="57" t="s">
        <v>124</v>
      </c>
      <c r="B70" s="28">
        <v>98</v>
      </c>
      <c r="C70" s="29">
        <f>B70/B73</f>
        <v>0.4</v>
      </c>
      <c r="D70" s="28">
        <v>5</v>
      </c>
      <c r="E70" s="29">
        <f>D70/D73</f>
        <v>0.38461538461538464</v>
      </c>
      <c r="F70" s="28">
        <v>22</v>
      </c>
      <c r="G70" s="29">
        <f>F70/F73</f>
        <v>0.2391304347826087</v>
      </c>
      <c r="H70" s="28">
        <v>148</v>
      </c>
      <c r="I70" s="29">
        <f>H70/H73</f>
        <v>0.41456582633053224</v>
      </c>
      <c r="J70" s="28">
        <v>24</v>
      </c>
      <c r="K70" s="29">
        <f>J70/J73</f>
        <v>0.1437125748502994</v>
      </c>
      <c r="L70" s="28">
        <v>155</v>
      </c>
      <c r="M70" s="29">
        <f>L70/L73</f>
        <v>0.33549783549783552</v>
      </c>
      <c r="N70" s="21">
        <f>B70+D70+F70+H70+J70+L70</f>
        <v>452</v>
      </c>
      <c r="O70" s="29">
        <f>N70/N73</f>
        <v>0.33832335329341318</v>
      </c>
      <c r="P70" s="36"/>
      <c r="Q70" s="59"/>
      <c r="R70" s="59"/>
      <c r="S70" s="59"/>
    </row>
    <row r="71" spans="1:19" s="58" customFormat="1" x14ac:dyDescent="0.2">
      <c r="A71" s="57" t="s">
        <v>125</v>
      </c>
      <c r="B71" s="28">
        <v>103</v>
      </c>
      <c r="C71" s="29">
        <f>B71/B73</f>
        <v>0.42040816326530611</v>
      </c>
      <c r="D71" s="28">
        <v>4</v>
      </c>
      <c r="E71" s="29">
        <f>D71/D73</f>
        <v>0.30769230769230771</v>
      </c>
      <c r="F71" s="28">
        <v>23</v>
      </c>
      <c r="G71" s="29">
        <f>F71/F73</f>
        <v>0.25</v>
      </c>
      <c r="H71" s="28">
        <v>136</v>
      </c>
      <c r="I71" s="29">
        <f>H71/H73</f>
        <v>0.38095238095238093</v>
      </c>
      <c r="J71" s="28">
        <v>42</v>
      </c>
      <c r="K71" s="29">
        <f>J71/J73</f>
        <v>0.25149700598802394</v>
      </c>
      <c r="L71" s="28">
        <v>183</v>
      </c>
      <c r="M71" s="29">
        <f>L71/L73</f>
        <v>0.39610389610389612</v>
      </c>
      <c r="N71" s="21">
        <f>B71+D71+F71+H71+J71+L71</f>
        <v>491</v>
      </c>
      <c r="O71" s="29">
        <f>N71/N73</f>
        <v>0.36751497005988026</v>
      </c>
      <c r="P71" s="36"/>
      <c r="Q71" s="59"/>
      <c r="R71" s="59"/>
      <c r="S71" s="59"/>
    </row>
    <row r="72" spans="1:19" s="58" customFormat="1" x14ac:dyDescent="0.2">
      <c r="A72" s="57" t="s">
        <v>126</v>
      </c>
      <c r="B72" s="28">
        <v>44</v>
      </c>
      <c r="C72" s="29">
        <f>B72/B73</f>
        <v>0.17959183673469387</v>
      </c>
      <c r="D72" s="28">
        <v>4</v>
      </c>
      <c r="E72" s="29">
        <f>D72/D73</f>
        <v>0.30769230769230771</v>
      </c>
      <c r="F72" s="28">
        <v>47</v>
      </c>
      <c r="G72" s="29">
        <f>F72/F73</f>
        <v>0.51086956521739135</v>
      </c>
      <c r="H72" s="28">
        <v>73</v>
      </c>
      <c r="I72" s="29">
        <f>H72/H73</f>
        <v>0.20448179271708683</v>
      </c>
      <c r="J72" s="28">
        <v>101</v>
      </c>
      <c r="K72" s="29">
        <f>J72/J73</f>
        <v>0.60479041916167664</v>
      </c>
      <c r="L72" s="28">
        <v>124</v>
      </c>
      <c r="M72" s="29">
        <f>L72/L73</f>
        <v>0.26839826839826841</v>
      </c>
      <c r="N72" s="21">
        <f>B72+D72+F72+H72+J72+L72</f>
        <v>393</v>
      </c>
      <c r="O72" s="29">
        <f>N72/N73</f>
        <v>0.29416167664670656</v>
      </c>
      <c r="P72" s="36"/>
      <c r="Q72" s="59"/>
      <c r="R72" s="59"/>
      <c r="S72" s="59"/>
    </row>
    <row r="73" spans="1:19" s="58" customFormat="1" x14ac:dyDescent="0.2">
      <c r="A73" s="53" t="s">
        <v>1</v>
      </c>
      <c r="B73" s="72">
        <f t="shared" ref="B73:M73" si="14">SUM(B70:B72)</f>
        <v>245</v>
      </c>
      <c r="C73" s="31">
        <f t="shared" si="14"/>
        <v>1</v>
      </c>
      <c r="D73" s="72">
        <f t="shared" si="14"/>
        <v>13</v>
      </c>
      <c r="E73" s="31">
        <f t="shared" si="14"/>
        <v>1</v>
      </c>
      <c r="F73" s="72">
        <f t="shared" si="14"/>
        <v>92</v>
      </c>
      <c r="G73" s="31">
        <f t="shared" si="14"/>
        <v>1</v>
      </c>
      <c r="H73" s="72">
        <f t="shared" si="14"/>
        <v>357</v>
      </c>
      <c r="I73" s="31">
        <f t="shared" si="14"/>
        <v>1</v>
      </c>
      <c r="J73" s="72">
        <f t="shared" si="14"/>
        <v>167</v>
      </c>
      <c r="K73" s="31">
        <f t="shared" si="14"/>
        <v>1</v>
      </c>
      <c r="L73" s="72">
        <f t="shared" si="14"/>
        <v>462</v>
      </c>
      <c r="M73" s="31">
        <f t="shared" si="14"/>
        <v>1</v>
      </c>
      <c r="N73" s="22">
        <f>SUM(N69:N72)</f>
        <v>1336</v>
      </c>
      <c r="O73" s="31">
        <f>SUM(O69:O72)</f>
        <v>1</v>
      </c>
      <c r="P73" s="36"/>
      <c r="Q73" s="59"/>
      <c r="R73" s="59" t="s">
        <v>0</v>
      </c>
      <c r="S73" s="59"/>
    </row>
    <row r="74" spans="1:19" s="58" customFormat="1" x14ac:dyDescent="0.2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36"/>
      <c r="Q74" s="59"/>
      <c r="R74" s="59"/>
      <c r="S74" s="59"/>
    </row>
    <row r="75" spans="1:19" s="58" customFormat="1" ht="24" x14ac:dyDescent="0.2">
      <c r="A75" s="115" t="s">
        <v>93</v>
      </c>
      <c r="B75" s="120" t="s">
        <v>100</v>
      </c>
      <c r="C75" s="120"/>
      <c r="D75" s="120" t="s">
        <v>80</v>
      </c>
      <c r="E75" s="120"/>
      <c r="F75" s="117" t="s">
        <v>136</v>
      </c>
      <c r="G75" s="117"/>
      <c r="H75" s="120" t="s">
        <v>82</v>
      </c>
      <c r="I75" s="120"/>
      <c r="J75" s="120" t="s">
        <v>81</v>
      </c>
      <c r="K75" s="120"/>
      <c r="L75" s="120" t="s">
        <v>98</v>
      </c>
      <c r="M75" s="120"/>
      <c r="N75" s="116" t="s">
        <v>1</v>
      </c>
      <c r="O75" s="116"/>
      <c r="P75" s="36"/>
      <c r="Q75" s="59"/>
      <c r="R75" s="59"/>
      <c r="S75" s="59"/>
    </row>
    <row r="76" spans="1:19" s="58" customFormat="1" x14ac:dyDescent="0.2">
      <c r="A76" s="57" t="s">
        <v>94</v>
      </c>
      <c r="B76" s="28">
        <v>44</v>
      </c>
      <c r="C76" s="29">
        <f>B76/B79</f>
        <v>0.12290502793296089</v>
      </c>
      <c r="D76" s="28">
        <v>4</v>
      </c>
      <c r="E76" s="29">
        <f>D76/D79</f>
        <v>0.26666666666666666</v>
      </c>
      <c r="F76" s="28">
        <v>17</v>
      </c>
      <c r="G76" s="29">
        <f>F76/F79</f>
        <v>0.12977099236641221</v>
      </c>
      <c r="H76" s="28">
        <v>41</v>
      </c>
      <c r="I76" s="29">
        <f>H76/H79</f>
        <v>7.4007220216606495E-2</v>
      </c>
      <c r="J76" s="28">
        <v>36</v>
      </c>
      <c r="K76" s="29">
        <f>J76/J79</f>
        <v>0.14229249011857709</v>
      </c>
      <c r="L76" s="28">
        <v>65</v>
      </c>
      <c r="M76" s="29">
        <f>L76/L79</f>
        <v>9.3930635838150284E-2</v>
      </c>
      <c r="N76" s="21">
        <f>B76+D76+F76+H76+J76+L76</f>
        <v>207</v>
      </c>
      <c r="O76" s="29">
        <f>N76/N79</f>
        <v>0.10334498252621069</v>
      </c>
      <c r="P76" s="36"/>
      <c r="Q76" s="59"/>
      <c r="R76" s="59"/>
      <c r="S76" s="59"/>
    </row>
    <row r="77" spans="1:19" s="58" customFormat="1" x14ac:dyDescent="0.2">
      <c r="A77" s="57" t="s">
        <v>95</v>
      </c>
      <c r="B77" s="28">
        <v>168</v>
      </c>
      <c r="C77" s="29">
        <f>B77/B79</f>
        <v>0.46927374301675978</v>
      </c>
      <c r="D77" s="28">
        <v>8</v>
      </c>
      <c r="E77" s="29">
        <f>D77/D79</f>
        <v>0.53333333333333333</v>
      </c>
      <c r="F77" s="28">
        <v>74</v>
      </c>
      <c r="G77" s="29">
        <f>F77/F79</f>
        <v>0.56488549618320616</v>
      </c>
      <c r="H77" s="28">
        <v>216</v>
      </c>
      <c r="I77" s="29">
        <f>H77/H79</f>
        <v>0.38989169675090252</v>
      </c>
      <c r="J77" s="28">
        <v>155</v>
      </c>
      <c r="K77" s="29">
        <f>J77/J79</f>
        <v>0.61264822134387353</v>
      </c>
      <c r="L77" s="28">
        <v>324</v>
      </c>
      <c r="M77" s="29">
        <f>L77/L79</f>
        <v>0.46820809248554912</v>
      </c>
      <c r="N77" s="21">
        <f>B77+D77+F77+H77+J77+L77</f>
        <v>945</v>
      </c>
      <c r="O77" s="29">
        <f>N77/N79</f>
        <v>0.47179231153270096</v>
      </c>
      <c r="P77" s="36"/>
      <c r="Q77" s="59"/>
      <c r="R77" s="59"/>
      <c r="S77" s="59"/>
    </row>
    <row r="78" spans="1:19" s="58" customFormat="1" x14ac:dyDescent="0.2">
      <c r="A78" s="57" t="s">
        <v>96</v>
      </c>
      <c r="B78" s="28">
        <v>146</v>
      </c>
      <c r="C78" s="29">
        <f>B78/B79</f>
        <v>0.40782122905027934</v>
      </c>
      <c r="D78" s="28">
        <v>3</v>
      </c>
      <c r="E78" s="29">
        <f>D78/D79</f>
        <v>0.2</v>
      </c>
      <c r="F78" s="28">
        <v>40</v>
      </c>
      <c r="G78" s="29">
        <f>F78/F79</f>
        <v>0.30534351145038169</v>
      </c>
      <c r="H78" s="28">
        <v>297</v>
      </c>
      <c r="I78" s="29">
        <f>H78/H79</f>
        <v>0.53610108303249093</v>
      </c>
      <c r="J78" s="28">
        <v>62</v>
      </c>
      <c r="K78" s="29">
        <f>J78/J79</f>
        <v>0.24505928853754941</v>
      </c>
      <c r="L78" s="28">
        <v>303</v>
      </c>
      <c r="M78" s="29">
        <f>L78/L79</f>
        <v>0.43786127167630057</v>
      </c>
      <c r="N78" s="21">
        <f>B78+D78+F78+H78+J78+L78</f>
        <v>851</v>
      </c>
      <c r="O78" s="29">
        <f>N78/N79</f>
        <v>0.42486270594108838</v>
      </c>
      <c r="P78" s="36"/>
      <c r="Q78" s="59"/>
      <c r="R78" s="59"/>
      <c r="S78" s="59"/>
    </row>
    <row r="79" spans="1:19" s="58" customFormat="1" x14ac:dyDescent="0.2">
      <c r="A79" s="53" t="s">
        <v>1</v>
      </c>
      <c r="B79" s="22">
        <f t="shared" ref="B79:O79" si="15">SUM(B76:B78)</f>
        <v>358</v>
      </c>
      <c r="C79" s="31">
        <f t="shared" si="15"/>
        <v>1</v>
      </c>
      <c r="D79" s="22">
        <f t="shared" si="15"/>
        <v>15</v>
      </c>
      <c r="E79" s="31">
        <f t="shared" si="15"/>
        <v>1</v>
      </c>
      <c r="F79" s="22">
        <f t="shared" si="15"/>
        <v>131</v>
      </c>
      <c r="G79" s="31">
        <f t="shared" si="15"/>
        <v>1</v>
      </c>
      <c r="H79" s="22">
        <f t="shared" si="15"/>
        <v>554</v>
      </c>
      <c r="I79" s="31">
        <f t="shared" si="15"/>
        <v>1</v>
      </c>
      <c r="J79" s="22">
        <f t="shared" si="15"/>
        <v>253</v>
      </c>
      <c r="K79" s="31">
        <f t="shared" si="15"/>
        <v>1</v>
      </c>
      <c r="L79" s="22">
        <f t="shared" si="15"/>
        <v>692</v>
      </c>
      <c r="M79" s="31">
        <f t="shared" si="15"/>
        <v>1</v>
      </c>
      <c r="N79" s="22">
        <f t="shared" si="15"/>
        <v>2003</v>
      </c>
      <c r="O79" s="31">
        <f t="shared" si="15"/>
        <v>1</v>
      </c>
      <c r="P79" s="36"/>
      <c r="Q79" s="59"/>
      <c r="R79" s="59" t="s">
        <v>0</v>
      </c>
      <c r="S79" s="59"/>
    </row>
    <row r="80" spans="1:19" s="58" customFormat="1" x14ac:dyDescent="0.2"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36"/>
      <c r="Q80" s="59"/>
      <c r="R80" s="59"/>
      <c r="S80" s="59"/>
    </row>
    <row r="81" spans="1:19" s="33" customFormat="1" ht="36" x14ac:dyDescent="0.2">
      <c r="A81" s="121" t="s">
        <v>127</v>
      </c>
      <c r="B81" s="122" t="s">
        <v>100</v>
      </c>
      <c r="C81" s="122"/>
      <c r="D81" s="122" t="s">
        <v>80</v>
      </c>
      <c r="E81" s="122"/>
      <c r="F81" s="123" t="s">
        <v>136</v>
      </c>
      <c r="G81" s="123"/>
      <c r="H81" s="122" t="s">
        <v>82</v>
      </c>
      <c r="I81" s="122"/>
      <c r="J81" s="122" t="s">
        <v>81</v>
      </c>
      <c r="K81" s="122"/>
      <c r="L81" s="122" t="s">
        <v>98</v>
      </c>
      <c r="M81" s="122"/>
      <c r="N81" s="116" t="s">
        <v>1</v>
      </c>
      <c r="O81" s="116"/>
      <c r="P81" s="36"/>
      <c r="Q81" s="40"/>
      <c r="R81" s="40"/>
      <c r="S81" s="40"/>
    </row>
    <row r="82" spans="1:19" ht="24" x14ac:dyDescent="0.2">
      <c r="A82" s="20" t="s">
        <v>223</v>
      </c>
      <c r="B82" s="28">
        <v>336</v>
      </c>
      <c r="C82" s="29">
        <v>0.93854748603351945</v>
      </c>
      <c r="D82" s="28">
        <v>12</v>
      </c>
      <c r="E82" s="29">
        <v>0.8</v>
      </c>
      <c r="F82" s="28">
        <v>113</v>
      </c>
      <c r="G82" s="29">
        <v>0.86259541984732824</v>
      </c>
      <c r="H82" s="28">
        <v>524</v>
      </c>
      <c r="I82" s="29">
        <v>0.94584837545126343</v>
      </c>
      <c r="J82" s="28">
        <v>229</v>
      </c>
      <c r="K82" s="29">
        <v>0.90513833992094861</v>
      </c>
      <c r="L82" s="28">
        <v>647</v>
      </c>
      <c r="M82" s="29">
        <v>0.93768115942028984</v>
      </c>
      <c r="N82" s="21">
        <f>B82+D82+F82+H82+J82+L82</f>
        <v>1861</v>
      </c>
      <c r="O82" s="76">
        <f>AVERAGE(C82,E82,G82,I82,K82,M82)</f>
        <v>0.89830179677889166</v>
      </c>
    </row>
    <row r="83" spans="1:19" ht="24" x14ac:dyDescent="0.2">
      <c r="A83" s="20" t="s">
        <v>224</v>
      </c>
      <c r="B83" s="28">
        <v>321</v>
      </c>
      <c r="C83" s="29">
        <v>0.89415041782729821</v>
      </c>
      <c r="D83" s="28">
        <v>15</v>
      </c>
      <c r="E83" s="29">
        <v>1</v>
      </c>
      <c r="F83" s="28">
        <v>118</v>
      </c>
      <c r="G83" s="29">
        <v>0.9007633587786259</v>
      </c>
      <c r="H83" s="28">
        <v>508</v>
      </c>
      <c r="I83" s="29">
        <v>0.92531876138433522</v>
      </c>
      <c r="J83" s="28">
        <v>237</v>
      </c>
      <c r="K83" s="29">
        <v>0.94799999999999995</v>
      </c>
      <c r="L83" s="28">
        <v>627</v>
      </c>
      <c r="M83" s="29">
        <v>0.91399416909621001</v>
      </c>
      <c r="N83" s="21">
        <f t="shared" ref="N83:N84" si="16">B83+D83+F83+H83+J83+L83</f>
        <v>1826</v>
      </c>
      <c r="O83" s="76">
        <f t="shared" ref="O83:O84" si="17">AVERAGE(C83,E83,G83,I83,K83,M83)</f>
        <v>0.93037111784774496</v>
      </c>
    </row>
    <row r="84" spans="1:19" ht="36" x14ac:dyDescent="0.2">
      <c r="A84" s="20" t="s">
        <v>225</v>
      </c>
      <c r="B84" s="28">
        <v>314</v>
      </c>
      <c r="C84" s="29">
        <v>0.89971346704871058</v>
      </c>
      <c r="D84" s="28">
        <v>14</v>
      </c>
      <c r="E84" s="29">
        <v>0.93333333333333324</v>
      </c>
      <c r="F84" s="28">
        <v>112</v>
      </c>
      <c r="G84" s="29">
        <v>0.86821705426356588</v>
      </c>
      <c r="H84" s="28">
        <v>498</v>
      </c>
      <c r="I84" s="29">
        <v>0.91544117647058831</v>
      </c>
      <c r="J84" s="28">
        <v>230</v>
      </c>
      <c r="K84" s="29">
        <v>0.92</v>
      </c>
      <c r="L84" s="28">
        <v>620</v>
      </c>
      <c r="M84" s="29">
        <v>0.91851851851851851</v>
      </c>
      <c r="N84" s="21">
        <f t="shared" si="16"/>
        <v>1788</v>
      </c>
      <c r="O84" s="76">
        <f t="shared" si="17"/>
        <v>0.90920392493911939</v>
      </c>
    </row>
    <row r="85" spans="1:19" s="58" customFormat="1" x14ac:dyDescent="0.2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36"/>
      <c r="Q85" s="59"/>
      <c r="R85" s="59"/>
      <c r="S85" s="59"/>
    </row>
    <row r="86" spans="1:19" ht="36" x14ac:dyDescent="0.2">
      <c r="A86" s="121" t="s">
        <v>88</v>
      </c>
      <c r="B86" s="122" t="s">
        <v>100</v>
      </c>
      <c r="C86" s="122"/>
      <c r="D86" s="122" t="s">
        <v>80</v>
      </c>
      <c r="E86" s="122"/>
      <c r="F86" s="123" t="s">
        <v>136</v>
      </c>
      <c r="G86" s="123"/>
      <c r="H86" s="122" t="s">
        <v>82</v>
      </c>
      <c r="I86" s="122"/>
      <c r="J86" s="122" t="s">
        <v>81</v>
      </c>
      <c r="K86" s="122"/>
      <c r="L86" s="122" t="s">
        <v>98</v>
      </c>
      <c r="M86" s="122"/>
      <c r="N86" s="116" t="s">
        <v>1</v>
      </c>
      <c r="O86" s="116"/>
    </row>
    <row r="87" spans="1:19" x14ac:dyDescent="0.2">
      <c r="A87" s="20" t="s">
        <v>130</v>
      </c>
      <c r="B87" s="28">
        <v>17</v>
      </c>
      <c r="C87" s="29">
        <f>B87/B91</f>
        <v>4.7353760445682451E-2</v>
      </c>
      <c r="D87" s="28"/>
      <c r="E87" s="29">
        <f>D87/D91</f>
        <v>0</v>
      </c>
      <c r="F87" s="28">
        <v>9</v>
      </c>
      <c r="G87" s="29">
        <f>F87/F91</f>
        <v>6.9767441860465115E-2</v>
      </c>
      <c r="H87" s="28">
        <v>45</v>
      </c>
      <c r="I87" s="29">
        <f>H87/H91</f>
        <v>8.211678832116788E-2</v>
      </c>
      <c r="J87" s="28">
        <v>16</v>
      </c>
      <c r="K87" s="29">
        <f>J87/J91</f>
        <v>6.4257028112449793E-2</v>
      </c>
      <c r="L87" s="28">
        <v>50</v>
      </c>
      <c r="M87" s="29">
        <f>L87/L91</f>
        <v>7.320644216691069E-2</v>
      </c>
      <c r="N87" s="21">
        <f>B87+D87+F87+H87+J87+L87</f>
        <v>137</v>
      </c>
      <c r="O87" s="29">
        <f>N87/N91</f>
        <v>6.9087241553202214E-2</v>
      </c>
    </row>
    <row r="88" spans="1:19" x14ac:dyDescent="0.2">
      <c r="A88" s="20" t="s">
        <v>129</v>
      </c>
      <c r="B88" s="28">
        <v>274</v>
      </c>
      <c r="C88" s="29">
        <f>B88/B91</f>
        <v>0.76323119777158777</v>
      </c>
      <c r="D88" s="28">
        <v>12</v>
      </c>
      <c r="E88" s="29">
        <f>D88/D91</f>
        <v>0.8</v>
      </c>
      <c r="F88" s="28">
        <v>69</v>
      </c>
      <c r="G88" s="29">
        <f>F88/F91</f>
        <v>0.53488372093023251</v>
      </c>
      <c r="H88" s="28">
        <v>373</v>
      </c>
      <c r="I88" s="29">
        <f>H88/H91</f>
        <v>0.68065693430656937</v>
      </c>
      <c r="J88" s="28">
        <v>158</v>
      </c>
      <c r="K88" s="29">
        <f>J88/J91</f>
        <v>0.63453815261044177</v>
      </c>
      <c r="L88" s="28">
        <v>484</v>
      </c>
      <c r="M88" s="29">
        <f>L88/L91</f>
        <v>0.70863836017569548</v>
      </c>
      <c r="N88" s="21">
        <f>B88+D88+F88+H88+J88+L88</f>
        <v>1370</v>
      </c>
      <c r="O88" s="29">
        <f>N88/N91</f>
        <v>0.69087241553202217</v>
      </c>
    </row>
    <row r="89" spans="1:19" x14ac:dyDescent="0.2">
      <c r="A89" s="20" t="s">
        <v>131</v>
      </c>
      <c r="B89" s="28">
        <v>11</v>
      </c>
      <c r="C89" s="29">
        <f>B89/B91</f>
        <v>3.0640668523676879E-2</v>
      </c>
      <c r="D89" s="28"/>
      <c r="E89" s="29">
        <f>D89/D91</f>
        <v>0</v>
      </c>
      <c r="F89" s="28">
        <v>5</v>
      </c>
      <c r="G89" s="29">
        <f>F89/F91</f>
        <v>3.875968992248062E-2</v>
      </c>
      <c r="H89" s="28">
        <v>6</v>
      </c>
      <c r="I89" s="29">
        <f>H89/H91</f>
        <v>1.0948905109489052E-2</v>
      </c>
      <c r="J89" s="28">
        <v>2</v>
      </c>
      <c r="K89" s="29">
        <f>J89/J91</f>
        <v>8.0321285140562242E-3</v>
      </c>
      <c r="L89" s="28">
        <v>11</v>
      </c>
      <c r="M89" s="29">
        <f>L89/L91</f>
        <v>1.6105417276720352E-2</v>
      </c>
      <c r="N89" s="21">
        <f>B89+D89+F89+H89+J89+L89</f>
        <v>35</v>
      </c>
      <c r="O89" s="29">
        <f>N89/N91</f>
        <v>1.7650025214321734E-2</v>
      </c>
    </row>
    <row r="90" spans="1:19" x14ac:dyDescent="0.2">
      <c r="A90" s="20" t="s">
        <v>132</v>
      </c>
      <c r="B90" s="28">
        <v>57</v>
      </c>
      <c r="C90" s="29">
        <f>B90/B91</f>
        <v>0.15877437325905291</v>
      </c>
      <c r="D90" s="28">
        <v>3</v>
      </c>
      <c r="E90" s="29">
        <f>D90/D91</f>
        <v>0.2</v>
      </c>
      <c r="F90" s="28">
        <v>46</v>
      </c>
      <c r="G90" s="29">
        <f>F90/F91</f>
        <v>0.35658914728682173</v>
      </c>
      <c r="H90" s="28">
        <v>124</v>
      </c>
      <c r="I90" s="29">
        <f>H90/H91</f>
        <v>0.22627737226277372</v>
      </c>
      <c r="J90" s="28">
        <v>73</v>
      </c>
      <c r="K90" s="29">
        <f>J90/J91</f>
        <v>0.29317269076305219</v>
      </c>
      <c r="L90" s="28">
        <v>138</v>
      </c>
      <c r="M90" s="29">
        <f>L90/L91</f>
        <v>0.2020497803806735</v>
      </c>
      <c r="N90" s="21">
        <f>B90+D90+F90+H90+J90+L90</f>
        <v>441</v>
      </c>
      <c r="O90" s="29">
        <f>N90/N91</f>
        <v>0.22239031770045387</v>
      </c>
    </row>
    <row r="91" spans="1:19" x14ac:dyDescent="0.2">
      <c r="A91" s="20"/>
      <c r="B91" s="22">
        <f t="shared" ref="B91:O91" si="18">SUM(B87:B90)</f>
        <v>359</v>
      </c>
      <c r="C91" s="31">
        <f t="shared" si="18"/>
        <v>1</v>
      </c>
      <c r="D91" s="22">
        <f t="shared" si="18"/>
        <v>15</v>
      </c>
      <c r="E91" s="31">
        <f t="shared" si="18"/>
        <v>1</v>
      </c>
      <c r="F91" s="22">
        <f t="shared" si="18"/>
        <v>129</v>
      </c>
      <c r="G91" s="31">
        <f t="shared" si="18"/>
        <v>1</v>
      </c>
      <c r="H91" s="22">
        <f t="shared" si="18"/>
        <v>548</v>
      </c>
      <c r="I91" s="31">
        <f t="shared" si="18"/>
        <v>1</v>
      </c>
      <c r="J91" s="22">
        <f t="shared" si="18"/>
        <v>249</v>
      </c>
      <c r="K91" s="31">
        <f t="shared" si="18"/>
        <v>1</v>
      </c>
      <c r="L91" s="22">
        <f t="shared" si="18"/>
        <v>683</v>
      </c>
      <c r="M91" s="31">
        <f t="shared" si="18"/>
        <v>1</v>
      </c>
      <c r="N91" s="22">
        <f t="shared" si="18"/>
        <v>1983</v>
      </c>
      <c r="O91" s="31">
        <f t="shared" si="18"/>
        <v>1</v>
      </c>
    </row>
    <row r="92" spans="1:19" s="58" customFormat="1" x14ac:dyDescent="0.2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36"/>
      <c r="Q92" s="59"/>
      <c r="R92" s="59"/>
      <c r="S92" s="59"/>
    </row>
    <row r="93" spans="1:19" ht="48" x14ac:dyDescent="0.2">
      <c r="A93" s="121" t="s">
        <v>170</v>
      </c>
      <c r="B93" s="122" t="s">
        <v>100</v>
      </c>
      <c r="C93" s="122"/>
      <c r="D93" s="122" t="s">
        <v>80</v>
      </c>
      <c r="E93" s="122"/>
      <c r="F93" s="123" t="s">
        <v>136</v>
      </c>
      <c r="G93" s="123"/>
      <c r="H93" s="122" t="s">
        <v>82</v>
      </c>
      <c r="I93" s="122"/>
      <c r="J93" s="122" t="s">
        <v>81</v>
      </c>
      <c r="K93" s="122"/>
      <c r="L93" s="122" t="s">
        <v>98</v>
      </c>
      <c r="M93" s="122"/>
      <c r="N93" s="116" t="s">
        <v>1</v>
      </c>
      <c r="O93" s="116"/>
      <c r="P93" s="36" t="s">
        <v>0</v>
      </c>
    </row>
    <row r="94" spans="1:19" x14ac:dyDescent="0.2">
      <c r="A94" s="20" t="s">
        <v>130</v>
      </c>
      <c r="B94" s="28">
        <v>29</v>
      </c>
      <c r="C94" s="29">
        <f>B94/B98</f>
        <v>8.1232492997198882E-2</v>
      </c>
      <c r="D94" s="28">
        <v>1</v>
      </c>
      <c r="E94" s="29">
        <f>D94/D98</f>
        <v>6.6666666666666666E-2</v>
      </c>
      <c r="F94" s="28">
        <v>11</v>
      </c>
      <c r="G94" s="29">
        <f>F94/F98</f>
        <v>8.5271317829457363E-2</v>
      </c>
      <c r="H94" s="28">
        <v>44</v>
      </c>
      <c r="I94" s="29">
        <f>H94/H98</f>
        <v>8.1180811808118078E-2</v>
      </c>
      <c r="J94" s="28">
        <v>15</v>
      </c>
      <c r="K94" s="29">
        <f>J94/J98</f>
        <v>6.0728744939271252E-2</v>
      </c>
      <c r="L94" s="28">
        <v>48</v>
      </c>
      <c r="M94" s="29">
        <f>L94/L98</f>
        <v>7.0484581497797363E-2</v>
      </c>
      <c r="N94" s="21">
        <f>B94+D94+F94+H94+J94+L94</f>
        <v>148</v>
      </c>
      <c r="O94" s="29">
        <f>N94/N98</f>
        <v>7.5088787417554537E-2</v>
      </c>
    </row>
    <row r="95" spans="1:19" x14ac:dyDescent="0.2">
      <c r="A95" s="20" t="s">
        <v>129</v>
      </c>
      <c r="B95" s="28">
        <v>188</v>
      </c>
      <c r="C95" s="29">
        <f>B95/B98</f>
        <v>0.5266106442577031</v>
      </c>
      <c r="D95" s="28">
        <v>7</v>
      </c>
      <c r="E95" s="29">
        <f>D95/D98</f>
        <v>0.46666666666666667</v>
      </c>
      <c r="F95" s="28">
        <v>38</v>
      </c>
      <c r="G95" s="29">
        <f>F95/F98</f>
        <v>0.29457364341085274</v>
      </c>
      <c r="H95" s="28">
        <v>268</v>
      </c>
      <c r="I95" s="29">
        <f>H95/H98</f>
        <v>0.49446494464944651</v>
      </c>
      <c r="J95" s="28">
        <v>109</v>
      </c>
      <c r="K95" s="29">
        <f>J95/J98</f>
        <v>0.44129554655870445</v>
      </c>
      <c r="L95" s="28">
        <v>331</v>
      </c>
      <c r="M95" s="29">
        <f>L95/L98</f>
        <v>0.48604992657856094</v>
      </c>
      <c r="N95" s="21">
        <f>B95+D95+F95+H95+J95+L95</f>
        <v>941</v>
      </c>
      <c r="O95" s="29">
        <f>N95/N98</f>
        <v>0.47742262810755959</v>
      </c>
    </row>
    <row r="96" spans="1:19" x14ac:dyDescent="0.2">
      <c r="A96" s="20" t="s">
        <v>131</v>
      </c>
      <c r="B96" s="28">
        <v>12</v>
      </c>
      <c r="C96" s="29">
        <f>B96/B98</f>
        <v>3.3613445378151259E-2</v>
      </c>
      <c r="D96" s="28"/>
      <c r="E96" s="29">
        <f>D96/D98</f>
        <v>0</v>
      </c>
      <c r="F96" s="28">
        <v>2</v>
      </c>
      <c r="G96" s="29">
        <f>F96/F98</f>
        <v>1.5503875968992248E-2</v>
      </c>
      <c r="H96" s="28">
        <v>12</v>
      </c>
      <c r="I96" s="29">
        <f>H96/H98</f>
        <v>2.2140221402214021E-2</v>
      </c>
      <c r="J96" s="28"/>
      <c r="K96" s="29">
        <f>J96/J98</f>
        <v>0</v>
      </c>
      <c r="L96" s="28">
        <v>10</v>
      </c>
      <c r="M96" s="29">
        <f>L96/L98</f>
        <v>1.4684287812041116E-2</v>
      </c>
      <c r="N96" s="21">
        <f>B96+D96+F96+H96+J96+L96</f>
        <v>36</v>
      </c>
      <c r="O96" s="29">
        <f>N96/N98</f>
        <v>1.8264840182648401E-2</v>
      </c>
    </row>
    <row r="97" spans="1:26" x14ac:dyDescent="0.2">
      <c r="A97" s="20" t="s">
        <v>132</v>
      </c>
      <c r="B97" s="28">
        <v>128</v>
      </c>
      <c r="C97" s="29">
        <f>B97/B98</f>
        <v>0.35854341736694678</v>
      </c>
      <c r="D97" s="28">
        <v>7</v>
      </c>
      <c r="E97" s="29">
        <f>D97/D98</f>
        <v>0.46666666666666667</v>
      </c>
      <c r="F97" s="28">
        <v>78</v>
      </c>
      <c r="G97" s="29">
        <f>F97/F98</f>
        <v>0.60465116279069764</v>
      </c>
      <c r="H97" s="28">
        <v>218</v>
      </c>
      <c r="I97" s="29">
        <f>H97/H98</f>
        <v>0.40221402214022139</v>
      </c>
      <c r="J97" s="28">
        <v>123</v>
      </c>
      <c r="K97" s="29">
        <f>J97/J98</f>
        <v>0.49797570850202427</v>
      </c>
      <c r="L97" s="28">
        <v>292</v>
      </c>
      <c r="M97" s="29">
        <f>L97/L98</f>
        <v>0.42878120411160059</v>
      </c>
      <c r="N97" s="21">
        <f>B97+D97+F97+H97+J97+L97</f>
        <v>846</v>
      </c>
      <c r="O97" s="29">
        <f>N97/N98</f>
        <v>0.42922374429223742</v>
      </c>
    </row>
    <row r="98" spans="1:26" x14ac:dyDescent="0.2">
      <c r="A98" s="20"/>
      <c r="B98" s="22">
        <f t="shared" ref="B98:O98" si="19">SUM(B94:B97)</f>
        <v>357</v>
      </c>
      <c r="C98" s="31">
        <f t="shared" si="19"/>
        <v>1</v>
      </c>
      <c r="D98" s="22">
        <f t="shared" si="19"/>
        <v>15</v>
      </c>
      <c r="E98" s="31">
        <f t="shared" si="19"/>
        <v>1</v>
      </c>
      <c r="F98" s="22">
        <f t="shared" si="19"/>
        <v>129</v>
      </c>
      <c r="G98" s="31">
        <f t="shared" si="19"/>
        <v>1</v>
      </c>
      <c r="H98" s="22">
        <f t="shared" si="19"/>
        <v>542</v>
      </c>
      <c r="I98" s="31">
        <f t="shared" si="19"/>
        <v>1</v>
      </c>
      <c r="J98" s="22">
        <f t="shared" si="19"/>
        <v>247</v>
      </c>
      <c r="K98" s="31">
        <f t="shared" si="19"/>
        <v>1</v>
      </c>
      <c r="L98" s="22">
        <f t="shared" si="19"/>
        <v>681</v>
      </c>
      <c r="M98" s="31">
        <f t="shared" si="19"/>
        <v>1</v>
      </c>
      <c r="N98" s="22">
        <f t="shared" si="19"/>
        <v>1971</v>
      </c>
      <c r="O98" s="31">
        <f t="shared" si="19"/>
        <v>0.99999999999999989</v>
      </c>
    </row>
    <row r="99" spans="1:26" x14ac:dyDescent="0.2">
      <c r="B99" s="3"/>
      <c r="C99" s="3"/>
      <c r="D99" s="3"/>
      <c r="G99" s="39"/>
      <c r="H99" s="36"/>
    </row>
    <row r="100" spans="1:26" ht="24" x14ac:dyDescent="0.2">
      <c r="A100" s="121" t="s">
        <v>26</v>
      </c>
      <c r="B100" s="122" t="s">
        <v>100</v>
      </c>
      <c r="C100" s="122"/>
      <c r="D100" s="122" t="s">
        <v>80</v>
      </c>
      <c r="E100" s="122"/>
      <c r="F100" s="123" t="s">
        <v>136</v>
      </c>
      <c r="G100" s="123"/>
      <c r="H100" s="122" t="s">
        <v>82</v>
      </c>
      <c r="I100" s="122"/>
      <c r="J100" s="122" t="s">
        <v>81</v>
      </c>
      <c r="K100" s="122"/>
      <c r="L100" s="122" t="s">
        <v>98</v>
      </c>
      <c r="M100" s="122"/>
      <c r="N100" s="116" t="s">
        <v>1</v>
      </c>
      <c r="O100" s="116"/>
    </row>
    <row r="101" spans="1:26" x14ac:dyDescent="0.2">
      <c r="A101" s="20" t="s">
        <v>171</v>
      </c>
      <c r="B101" s="28">
        <v>259</v>
      </c>
      <c r="C101" s="29">
        <f>B101/B105</f>
        <v>0.40723270440251574</v>
      </c>
      <c r="D101" s="28">
        <v>9</v>
      </c>
      <c r="E101" s="29">
        <f>D101/D105</f>
        <v>0.32142857142857145</v>
      </c>
      <c r="F101" s="28">
        <v>52</v>
      </c>
      <c r="G101" s="29">
        <f>F101/F105</f>
        <v>0.22127659574468084</v>
      </c>
      <c r="H101" s="28">
        <v>371</v>
      </c>
      <c r="I101" s="29">
        <f>H101/H105</f>
        <v>0.40282301845819762</v>
      </c>
      <c r="J101" s="28">
        <v>105</v>
      </c>
      <c r="K101" s="29">
        <f>J101/J105</f>
        <v>0.2328159645232816</v>
      </c>
      <c r="L101" s="28">
        <v>443</v>
      </c>
      <c r="M101" s="29">
        <f>L101/L105</f>
        <v>0.38156761412575368</v>
      </c>
      <c r="N101" s="21">
        <f>B101+D101+F101+H101+J101+L101</f>
        <v>1239</v>
      </c>
      <c r="O101" s="29">
        <f>N101/N105</f>
        <v>0.36101398601398599</v>
      </c>
    </row>
    <row r="102" spans="1:26" x14ac:dyDescent="0.2">
      <c r="A102" s="20" t="s">
        <v>172</v>
      </c>
      <c r="B102" s="28">
        <v>224</v>
      </c>
      <c r="C102" s="29">
        <f>B102/B105</f>
        <v>0.3522012578616352</v>
      </c>
      <c r="D102" s="28">
        <v>11</v>
      </c>
      <c r="E102" s="29">
        <f>D102/D105</f>
        <v>0.39285714285714285</v>
      </c>
      <c r="F102" s="28">
        <v>53</v>
      </c>
      <c r="G102" s="29">
        <f>F102/F105</f>
        <v>0.22553191489361701</v>
      </c>
      <c r="H102" s="28">
        <v>333</v>
      </c>
      <c r="I102" s="29">
        <f>H102/H105</f>
        <v>0.36156351791530944</v>
      </c>
      <c r="J102" s="28">
        <v>103</v>
      </c>
      <c r="K102" s="29">
        <f>J102/J105</f>
        <v>0.22838137472283815</v>
      </c>
      <c r="L102" s="28">
        <v>399</v>
      </c>
      <c r="M102" s="29">
        <f>L102/L105</f>
        <v>0.34366925064599485</v>
      </c>
      <c r="N102" s="21">
        <f t="shared" ref="N102:N104" si="20">B102+D102+F102+H102+J102+L102</f>
        <v>1123</v>
      </c>
      <c r="O102" s="29">
        <f>N102/N105</f>
        <v>0.32721445221445222</v>
      </c>
    </row>
    <row r="103" spans="1:26" x14ac:dyDescent="0.2">
      <c r="A103" s="20" t="s">
        <v>173</v>
      </c>
      <c r="B103" s="28">
        <v>114</v>
      </c>
      <c r="C103" s="29">
        <f>B103/B105</f>
        <v>0.17924528301886791</v>
      </c>
      <c r="D103" s="28">
        <v>7</v>
      </c>
      <c r="E103" s="29">
        <f>D103/D105</f>
        <v>0.25</v>
      </c>
      <c r="F103" s="28">
        <v>84</v>
      </c>
      <c r="G103" s="29">
        <f>F103/F105</f>
        <v>0.35744680851063831</v>
      </c>
      <c r="H103" s="28">
        <v>174</v>
      </c>
      <c r="I103" s="29">
        <f>H103/H105</f>
        <v>0.18892508143322476</v>
      </c>
      <c r="J103" s="28">
        <v>159</v>
      </c>
      <c r="K103" s="29">
        <f>J103/J105</f>
        <v>0.35254988913525498</v>
      </c>
      <c r="L103" s="28">
        <v>259</v>
      </c>
      <c r="M103" s="29">
        <f>L103/L105</f>
        <v>0.22308354866494401</v>
      </c>
      <c r="N103" s="21">
        <f t="shared" si="20"/>
        <v>797</v>
      </c>
      <c r="O103" s="29">
        <f>N103/N105</f>
        <v>0.23222610722610723</v>
      </c>
      <c r="P103" s="36" t="s">
        <v>0</v>
      </c>
      <c r="T103" s="33"/>
      <c r="U103" s="33"/>
      <c r="V103" s="33"/>
      <c r="W103" s="33"/>
      <c r="X103" s="33"/>
      <c r="Y103" s="33"/>
    </row>
    <row r="104" spans="1:26" ht="13.5" customHeight="1" x14ac:dyDescent="0.2">
      <c r="A104" s="20" t="s">
        <v>174</v>
      </c>
      <c r="B104" s="28">
        <v>39</v>
      </c>
      <c r="C104" s="29">
        <f>B104/B105</f>
        <v>6.1320754716981132E-2</v>
      </c>
      <c r="D104" s="28">
        <v>1</v>
      </c>
      <c r="E104" s="29">
        <f>D104/D105</f>
        <v>3.5714285714285712E-2</v>
      </c>
      <c r="F104" s="28">
        <v>46</v>
      </c>
      <c r="G104" s="29">
        <f>F104/F105</f>
        <v>0.19574468085106383</v>
      </c>
      <c r="H104" s="28">
        <v>43</v>
      </c>
      <c r="I104" s="29">
        <f>H104/H105</f>
        <v>4.6688382193268187E-2</v>
      </c>
      <c r="J104" s="28">
        <v>84</v>
      </c>
      <c r="K104" s="29">
        <f>J104/J105</f>
        <v>0.18625277161862527</v>
      </c>
      <c r="L104" s="28">
        <v>60</v>
      </c>
      <c r="M104" s="29">
        <f>L104/L105</f>
        <v>5.1679586563307491E-2</v>
      </c>
      <c r="N104" s="21">
        <f t="shared" si="20"/>
        <v>273</v>
      </c>
      <c r="O104" s="29">
        <f>N104/N105</f>
        <v>7.9545454545454544E-2</v>
      </c>
    </row>
    <row r="105" spans="1:26" x14ac:dyDescent="0.2">
      <c r="A105" s="95" t="s">
        <v>198</v>
      </c>
      <c r="B105" s="22">
        <f t="shared" ref="B105:O105" si="21">SUM(B101:B104)</f>
        <v>636</v>
      </c>
      <c r="C105" s="31">
        <f t="shared" si="21"/>
        <v>1</v>
      </c>
      <c r="D105" s="22">
        <f t="shared" si="21"/>
        <v>28</v>
      </c>
      <c r="E105" s="31">
        <f t="shared" si="21"/>
        <v>1</v>
      </c>
      <c r="F105" s="22">
        <f t="shared" si="21"/>
        <v>235</v>
      </c>
      <c r="G105" s="31">
        <f t="shared" si="21"/>
        <v>1</v>
      </c>
      <c r="H105" s="22">
        <f t="shared" si="21"/>
        <v>921</v>
      </c>
      <c r="I105" s="31">
        <f t="shared" si="21"/>
        <v>1</v>
      </c>
      <c r="J105" s="22">
        <f t="shared" si="21"/>
        <v>451</v>
      </c>
      <c r="K105" s="31">
        <f t="shared" si="21"/>
        <v>1</v>
      </c>
      <c r="L105" s="22">
        <f t="shared" si="21"/>
        <v>1161</v>
      </c>
      <c r="M105" s="31">
        <f t="shared" si="21"/>
        <v>1</v>
      </c>
      <c r="N105" s="22">
        <f t="shared" si="21"/>
        <v>3432</v>
      </c>
      <c r="O105" s="31">
        <f t="shared" si="21"/>
        <v>1</v>
      </c>
    </row>
    <row r="106" spans="1:26" x14ac:dyDescent="0.2">
      <c r="A106" s="15"/>
      <c r="B106" s="1"/>
      <c r="C106" s="2"/>
      <c r="D106" s="1"/>
      <c r="E106" s="2"/>
      <c r="F106" s="1"/>
      <c r="G106" s="2"/>
      <c r="H106" s="1"/>
      <c r="I106" s="2"/>
      <c r="J106" s="1"/>
      <c r="K106" s="2"/>
      <c r="L106" s="1"/>
      <c r="M106" s="2"/>
      <c r="N106" s="50"/>
      <c r="P106" s="36" t="s">
        <v>0</v>
      </c>
      <c r="Z106" s="33"/>
    </row>
    <row r="107" spans="1:26" ht="24" x14ac:dyDescent="0.2">
      <c r="A107" s="121" t="s">
        <v>16</v>
      </c>
      <c r="B107" s="122" t="s">
        <v>100</v>
      </c>
      <c r="C107" s="122"/>
      <c r="D107" s="122" t="s">
        <v>80</v>
      </c>
      <c r="E107" s="122"/>
      <c r="F107" s="123" t="s">
        <v>136</v>
      </c>
      <c r="G107" s="123"/>
      <c r="H107" s="122" t="s">
        <v>82</v>
      </c>
      <c r="I107" s="122"/>
      <c r="J107" s="122" t="s">
        <v>81</v>
      </c>
      <c r="K107" s="122"/>
      <c r="L107" s="122" t="s">
        <v>98</v>
      </c>
      <c r="M107" s="122"/>
      <c r="N107" s="116" t="s">
        <v>1</v>
      </c>
      <c r="O107" s="116"/>
    </row>
    <row r="108" spans="1:26" x14ac:dyDescent="0.2">
      <c r="A108" s="20" t="s">
        <v>133</v>
      </c>
      <c r="B108" s="28">
        <v>169</v>
      </c>
      <c r="C108" s="29">
        <f>B108/B112</f>
        <v>0.47206703910614523</v>
      </c>
      <c r="D108" s="28">
        <v>6</v>
      </c>
      <c r="E108" s="29">
        <f>D108/D112</f>
        <v>0.4</v>
      </c>
      <c r="F108" s="28">
        <v>49</v>
      </c>
      <c r="G108" s="29">
        <f>F108/F112</f>
        <v>0.37984496124031009</v>
      </c>
      <c r="H108" s="28">
        <v>252</v>
      </c>
      <c r="I108" s="29">
        <f>H108/H112</f>
        <v>0.46069469835466181</v>
      </c>
      <c r="J108" s="28">
        <v>101</v>
      </c>
      <c r="K108" s="29">
        <f>J108/J112</f>
        <v>0.39920948616600793</v>
      </c>
      <c r="L108" s="28">
        <v>300</v>
      </c>
      <c r="M108" s="29">
        <f>L108/L112</f>
        <v>0.4366812227074236</v>
      </c>
      <c r="N108" s="21">
        <f>B108+D108+F108+H108+J108+L108</f>
        <v>877</v>
      </c>
      <c r="O108" s="29">
        <f>N108/N112</f>
        <v>0.4409250879839115</v>
      </c>
    </row>
    <row r="109" spans="1:26" x14ac:dyDescent="0.2">
      <c r="A109" s="20" t="s">
        <v>19</v>
      </c>
      <c r="B109" s="28">
        <v>171</v>
      </c>
      <c r="C109" s="29">
        <f>B109/B112</f>
        <v>0.47765363128491622</v>
      </c>
      <c r="D109" s="28">
        <v>8</v>
      </c>
      <c r="E109" s="29">
        <f>D109/D112</f>
        <v>0.53333333333333333</v>
      </c>
      <c r="F109" s="28">
        <v>63</v>
      </c>
      <c r="G109" s="29">
        <f>F109/F112</f>
        <v>0.48837209302325579</v>
      </c>
      <c r="H109" s="28">
        <v>280</v>
      </c>
      <c r="I109" s="29">
        <f>H109/H112</f>
        <v>0.51188299817184646</v>
      </c>
      <c r="J109" s="28">
        <v>133</v>
      </c>
      <c r="K109" s="29">
        <f>J109/J112</f>
        <v>0.52569169960474305</v>
      </c>
      <c r="L109" s="28">
        <v>358</v>
      </c>
      <c r="M109" s="29">
        <f>L109/L112</f>
        <v>0.5211062590975255</v>
      </c>
      <c r="N109" s="21">
        <f>B109+D109+F109+H109+J109+L109</f>
        <v>1013</v>
      </c>
      <c r="O109" s="29">
        <f>N109/N112</f>
        <v>0.50930115635997986</v>
      </c>
    </row>
    <row r="110" spans="1:26" x14ac:dyDescent="0.2">
      <c r="A110" s="20" t="s">
        <v>18</v>
      </c>
      <c r="B110" s="28">
        <v>12</v>
      </c>
      <c r="C110" s="29">
        <f>B110/B112</f>
        <v>3.3519553072625698E-2</v>
      </c>
      <c r="D110" s="28">
        <v>1</v>
      </c>
      <c r="E110" s="29">
        <f>D110/D112</f>
        <v>6.6666666666666666E-2</v>
      </c>
      <c r="F110" s="28">
        <v>13</v>
      </c>
      <c r="G110" s="29">
        <f>F110/F112</f>
        <v>0.10077519379844961</v>
      </c>
      <c r="H110" s="28">
        <v>13</v>
      </c>
      <c r="I110" s="29">
        <f>H110/H112</f>
        <v>2.376599634369287E-2</v>
      </c>
      <c r="J110" s="28">
        <v>12</v>
      </c>
      <c r="K110" s="29">
        <f>J110/J112</f>
        <v>4.7430830039525688E-2</v>
      </c>
      <c r="L110" s="28">
        <v>22</v>
      </c>
      <c r="M110" s="29">
        <f>L110/L112</f>
        <v>3.2023289665211063E-2</v>
      </c>
      <c r="N110" s="21">
        <f>B110+D110+F110+H110+J110+L110</f>
        <v>73</v>
      </c>
      <c r="O110" s="29">
        <f>N110/N112</f>
        <v>3.6701860231271997E-2</v>
      </c>
    </row>
    <row r="111" spans="1:26" x14ac:dyDescent="0.2">
      <c r="A111" s="20" t="s">
        <v>134</v>
      </c>
      <c r="B111" s="28">
        <v>6</v>
      </c>
      <c r="C111" s="29">
        <f>B111/B112</f>
        <v>1.6759776536312849E-2</v>
      </c>
      <c r="D111" s="28"/>
      <c r="E111" s="29">
        <f>D111/D112</f>
        <v>0</v>
      </c>
      <c r="F111" s="28">
        <v>4</v>
      </c>
      <c r="G111" s="29">
        <f>F111/F112</f>
        <v>3.1007751937984496E-2</v>
      </c>
      <c r="H111" s="28">
        <v>2</v>
      </c>
      <c r="I111" s="29">
        <f>H111/H112</f>
        <v>3.6563071297989031E-3</v>
      </c>
      <c r="J111" s="28">
        <v>7</v>
      </c>
      <c r="K111" s="29">
        <f>J111/J112</f>
        <v>2.766798418972332E-2</v>
      </c>
      <c r="L111" s="28">
        <v>7</v>
      </c>
      <c r="M111" s="29">
        <f>L111/L112</f>
        <v>1.0189228529839884E-2</v>
      </c>
      <c r="N111" s="21">
        <f>B111+D111+F111+H111+J111+L111</f>
        <v>26</v>
      </c>
      <c r="O111" s="29">
        <f>N111/N112</f>
        <v>1.3071895424836602E-2</v>
      </c>
      <c r="T111" s="33"/>
      <c r="U111" s="33"/>
      <c r="V111" s="33"/>
      <c r="W111" s="33"/>
      <c r="X111" s="33"/>
      <c r="Y111" s="33"/>
    </row>
    <row r="112" spans="1:26" s="33" customFormat="1" x14ac:dyDescent="0.2">
      <c r="A112" s="26" t="s">
        <v>1</v>
      </c>
      <c r="B112" s="19">
        <f t="shared" ref="B112:O112" si="22">SUM(B108:B111)</f>
        <v>358</v>
      </c>
      <c r="C112" s="31">
        <f t="shared" si="22"/>
        <v>1</v>
      </c>
      <c r="D112" s="19">
        <f t="shared" si="22"/>
        <v>15</v>
      </c>
      <c r="E112" s="31">
        <f t="shared" si="22"/>
        <v>1</v>
      </c>
      <c r="F112" s="19">
        <f t="shared" si="22"/>
        <v>129</v>
      </c>
      <c r="G112" s="31">
        <f t="shared" si="22"/>
        <v>1</v>
      </c>
      <c r="H112" s="19">
        <f t="shared" si="22"/>
        <v>547</v>
      </c>
      <c r="I112" s="31">
        <f t="shared" si="22"/>
        <v>1</v>
      </c>
      <c r="J112" s="19">
        <f t="shared" si="22"/>
        <v>253</v>
      </c>
      <c r="K112" s="31">
        <f t="shared" si="22"/>
        <v>0.99999999999999989</v>
      </c>
      <c r="L112" s="19">
        <f t="shared" si="22"/>
        <v>687</v>
      </c>
      <c r="M112" s="31">
        <f t="shared" si="22"/>
        <v>1</v>
      </c>
      <c r="N112" s="19">
        <f t="shared" si="22"/>
        <v>1989</v>
      </c>
      <c r="O112" s="31">
        <f t="shared" si="22"/>
        <v>0.99999999999999989</v>
      </c>
      <c r="P112" s="36"/>
      <c r="Q112" s="40"/>
      <c r="R112" s="40"/>
      <c r="S112" s="40"/>
      <c r="T112" s="37"/>
      <c r="U112" s="37"/>
      <c r="V112" s="37"/>
      <c r="W112" s="37"/>
      <c r="X112" s="37"/>
      <c r="Y112" s="37"/>
      <c r="Z112" s="37"/>
    </row>
    <row r="113" spans="1:26" s="33" customFormat="1" x14ac:dyDescent="0.2">
      <c r="A113" s="26" t="s">
        <v>89</v>
      </c>
      <c r="B113" s="19"/>
      <c r="C113" s="54">
        <f>SUM(C108:C109)</f>
        <v>0.94972067039106145</v>
      </c>
      <c r="D113" s="19"/>
      <c r="E113" s="54">
        <f>SUM(E108:E109)</f>
        <v>0.93333333333333335</v>
      </c>
      <c r="F113" s="19"/>
      <c r="G113" s="54">
        <f>SUM(G108:G109)</f>
        <v>0.86821705426356588</v>
      </c>
      <c r="H113" s="19"/>
      <c r="I113" s="54">
        <f>SUM(I108:I109)</f>
        <v>0.97257769652650827</v>
      </c>
      <c r="J113" s="19"/>
      <c r="K113" s="54">
        <f>SUM(K108:K109)</f>
        <v>0.92490118577075098</v>
      </c>
      <c r="L113" s="19"/>
      <c r="M113" s="54">
        <f>SUM(M108:M109)</f>
        <v>0.9577874818049491</v>
      </c>
      <c r="N113" s="22"/>
      <c r="O113" s="54">
        <f>SUM(O108:O109)</f>
        <v>0.95022624434389136</v>
      </c>
      <c r="P113" s="36" t="s">
        <v>0</v>
      </c>
      <c r="Q113" s="40"/>
      <c r="R113" s="40"/>
      <c r="S113" s="40"/>
      <c r="T113" s="37"/>
      <c r="U113" s="37"/>
      <c r="V113" s="37"/>
      <c r="W113" s="37"/>
      <c r="X113" s="37"/>
      <c r="Y113" s="37"/>
      <c r="Z113" s="37"/>
    </row>
    <row r="114" spans="1:26" x14ac:dyDescent="0.2">
      <c r="C114" s="55"/>
      <c r="E114" s="55"/>
      <c r="G114" s="55"/>
      <c r="H114" s="36"/>
      <c r="I114" s="55"/>
      <c r="K114" s="55"/>
      <c r="M114" s="55"/>
      <c r="O114" s="55"/>
      <c r="Q114" s="36" t="s">
        <v>0</v>
      </c>
      <c r="Z114" s="33"/>
    </row>
    <row r="115" spans="1:26" x14ac:dyDescent="0.2">
      <c r="A115" s="14"/>
      <c r="B115" s="4"/>
      <c r="G115" s="39"/>
      <c r="H115" s="36"/>
    </row>
    <row r="116" spans="1:26" ht="15.75" x14ac:dyDescent="0.2">
      <c r="A116" s="79" t="s">
        <v>44</v>
      </c>
      <c r="B116" s="82"/>
      <c r="C116" s="82"/>
      <c r="G116" s="39"/>
      <c r="H116" s="36" t="s">
        <v>0</v>
      </c>
    </row>
    <row r="117" spans="1:26" ht="12" customHeight="1" x14ac:dyDescent="0.2">
      <c r="A117" s="121" t="s">
        <v>32</v>
      </c>
      <c r="B117" s="122" t="s">
        <v>100</v>
      </c>
      <c r="C117" s="122"/>
      <c r="D117" s="122" t="s">
        <v>80</v>
      </c>
      <c r="E117" s="122"/>
      <c r="F117" s="123" t="s">
        <v>136</v>
      </c>
      <c r="G117" s="123"/>
      <c r="H117" s="122" t="s">
        <v>82</v>
      </c>
      <c r="I117" s="122"/>
      <c r="J117" s="122" t="s">
        <v>81</v>
      </c>
      <c r="K117" s="122"/>
      <c r="L117" s="122" t="s">
        <v>98</v>
      </c>
      <c r="M117" s="122"/>
      <c r="N117" s="116" t="s">
        <v>1</v>
      </c>
      <c r="O117" s="116"/>
    </row>
    <row r="118" spans="1:26" x14ac:dyDescent="0.2">
      <c r="A118" s="20" t="s">
        <v>20</v>
      </c>
      <c r="B118" s="28">
        <v>176</v>
      </c>
      <c r="C118" s="29">
        <f>B118/B122</f>
        <v>0.5</v>
      </c>
      <c r="D118" s="28">
        <v>7</v>
      </c>
      <c r="E118" s="29">
        <f>D118/D122</f>
        <v>0.46666666666666667</v>
      </c>
      <c r="F118" s="28">
        <v>50</v>
      </c>
      <c r="G118" s="29">
        <f>F118/F122</f>
        <v>0.3968253968253968</v>
      </c>
      <c r="H118" s="28">
        <v>269</v>
      </c>
      <c r="I118" s="29">
        <f>H118/H122</f>
        <v>0.49722735674676527</v>
      </c>
      <c r="J118" s="28">
        <v>103</v>
      </c>
      <c r="K118" s="29">
        <f>J118/J122</f>
        <v>0.42040816326530611</v>
      </c>
      <c r="L118" s="28">
        <v>332</v>
      </c>
      <c r="M118" s="29">
        <f>L118/L122</f>
        <v>0.49185185185185187</v>
      </c>
      <c r="N118" s="21">
        <f>B118+D118+F118+H118+J118+L118</f>
        <v>937</v>
      </c>
      <c r="O118" s="29">
        <f>N118/N122</f>
        <v>0.47952917093142272</v>
      </c>
    </row>
    <row r="119" spans="1:26" x14ac:dyDescent="0.2">
      <c r="A119" s="20" t="s">
        <v>19</v>
      </c>
      <c r="B119" s="28">
        <v>158</v>
      </c>
      <c r="C119" s="29">
        <f>B119/B122</f>
        <v>0.44886363636363635</v>
      </c>
      <c r="D119" s="28">
        <v>6</v>
      </c>
      <c r="E119" s="29">
        <f>D119/D122</f>
        <v>0.4</v>
      </c>
      <c r="F119" s="28">
        <v>63</v>
      </c>
      <c r="G119" s="29">
        <f>F119/F122</f>
        <v>0.5</v>
      </c>
      <c r="H119" s="28">
        <v>261</v>
      </c>
      <c r="I119" s="29">
        <f>H119/H122</f>
        <v>0.48243992606284658</v>
      </c>
      <c r="J119" s="28">
        <v>127</v>
      </c>
      <c r="K119" s="29">
        <f>J119/J122</f>
        <v>0.51836734693877551</v>
      </c>
      <c r="L119" s="28">
        <v>321</v>
      </c>
      <c r="M119" s="29">
        <f>L119/L122</f>
        <v>0.47555555555555556</v>
      </c>
      <c r="N119" s="21">
        <f>B119+D119+F119+H119+J119+L119</f>
        <v>936</v>
      </c>
      <c r="O119" s="29">
        <f>N119/N122</f>
        <v>0.47901740020470829</v>
      </c>
      <c r="T119" s="33"/>
      <c r="U119" s="33"/>
      <c r="V119" s="33"/>
      <c r="W119" s="33"/>
      <c r="X119" s="33"/>
      <c r="Y119" s="33"/>
    </row>
    <row r="120" spans="1:26" x14ac:dyDescent="0.2">
      <c r="A120" s="20" t="s">
        <v>18</v>
      </c>
      <c r="B120" s="28">
        <v>14</v>
      </c>
      <c r="C120" s="29">
        <f>B120/B122</f>
        <v>3.9772727272727272E-2</v>
      </c>
      <c r="D120" s="28">
        <v>1</v>
      </c>
      <c r="E120" s="29">
        <f>D120/D122</f>
        <v>6.6666666666666666E-2</v>
      </c>
      <c r="F120" s="28">
        <v>9</v>
      </c>
      <c r="G120" s="29">
        <f>F120/F122</f>
        <v>7.1428571428571425E-2</v>
      </c>
      <c r="H120" s="28">
        <v>11</v>
      </c>
      <c r="I120" s="29">
        <f>H120/H122</f>
        <v>2.0332717190388171E-2</v>
      </c>
      <c r="J120" s="28">
        <v>12</v>
      </c>
      <c r="K120" s="29">
        <f>J120/J122</f>
        <v>4.8979591836734691E-2</v>
      </c>
      <c r="L120" s="28">
        <v>17</v>
      </c>
      <c r="M120" s="29">
        <f>L120/L122</f>
        <v>2.5185185185185185E-2</v>
      </c>
      <c r="N120" s="21">
        <f>B120+D120+F120+H120+J120+L120</f>
        <v>64</v>
      </c>
      <c r="O120" s="29">
        <f>N120/N122</f>
        <v>3.2753326509723645E-2</v>
      </c>
    </row>
    <row r="121" spans="1:26" x14ac:dyDescent="0.2">
      <c r="A121" s="20" t="s">
        <v>17</v>
      </c>
      <c r="B121" s="28">
        <v>4</v>
      </c>
      <c r="C121" s="29">
        <f>B121/B122</f>
        <v>1.1363636363636364E-2</v>
      </c>
      <c r="D121" s="28">
        <v>1</v>
      </c>
      <c r="E121" s="29">
        <f>D121/D122</f>
        <v>6.6666666666666666E-2</v>
      </c>
      <c r="F121" s="28">
        <v>4</v>
      </c>
      <c r="G121" s="29">
        <f>F121/F122</f>
        <v>3.1746031746031744E-2</v>
      </c>
      <c r="H121" s="28"/>
      <c r="I121" s="29">
        <f>H121/H122</f>
        <v>0</v>
      </c>
      <c r="J121" s="28">
        <v>3</v>
      </c>
      <c r="K121" s="29">
        <f>J121/J122</f>
        <v>1.2244897959183673E-2</v>
      </c>
      <c r="L121" s="28">
        <v>5</v>
      </c>
      <c r="M121" s="29">
        <f>L121/L122</f>
        <v>7.4074074074074077E-3</v>
      </c>
      <c r="N121" s="21">
        <f>B121+D121+F121+H121+J121+L121</f>
        <v>17</v>
      </c>
      <c r="O121" s="29">
        <f>N121/N122</f>
        <v>8.7001023541453427E-3</v>
      </c>
    </row>
    <row r="122" spans="1:26" s="33" customFormat="1" x14ac:dyDescent="0.2">
      <c r="A122" s="26" t="s">
        <v>1</v>
      </c>
      <c r="B122" s="22">
        <f t="shared" ref="B122:L122" si="23">SUM(B118:B121)</f>
        <v>352</v>
      </c>
      <c r="C122" s="31">
        <f>SUM(C118:C121)</f>
        <v>1</v>
      </c>
      <c r="D122" s="22">
        <f t="shared" si="23"/>
        <v>15</v>
      </c>
      <c r="E122" s="31">
        <f>SUM(E118:E121)</f>
        <v>1</v>
      </c>
      <c r="F122" s="22">
        <f t="shared" si="23"/>
        <v>126</v>
      </c>
      <c r="G122" s="31">
        <f>SUM(G118:G121)</f>
        <v>0.99999999999999989</v>
      </c>
      <c r="H122" s="22">
        <f t="shared" si="23"/>
        <v>541</v>
      </c>
      <c r="I122" s="31">
        <f>SUM(I118:I121)</f>
        <v>1</v>
      </c>
      <c r="J122" s="22">
        <f t="shared" si="23"/>
        <v>245</v>
      </c>
      <c r="K122" s="31">
        <f>SUM(K118:K121)</f>
        <v>1</v>
      </c>
      <c r="L122" s="22">
        <f t="shared" si="23"/>
        <v>675</v>
      </c>
      <c r="M122" s="31">
        <f>SUM(M118:M121)</f>
        <v>1</v>
      </c>
      <c r="N122" s="22">
        <f>SUM(N116:N121)</f>
        <v>1954</v>
      </c>
      <c r="O122" s="31">
        <f>SUM(O116:O121)</f>
        <v>0.99999999999999989</v>
      </c>
      <c r="P122" s="36"/>
      <c r="Q122" s="40"/>
      <c r="R122" s="40"/>
      <c r="S122" s="40"/>
      <c r="T122" s="37"/>
      <c r="U122" s="37"/>
      <c r="V122" s="37"/>
      <c r="W122" s="37"/>
      <c r="X122" s="37"/>
      <c r="Y122" s="37"/>
    </row>
    <row r="123" spans="1:26" x14ac:dyDescent="0.2">
      <c r="A123" s="26" t="s">
        <v>89</v>
      </c>
      <c r="B123" s="19"/>
      <c r="C123" s="54">
        <f>SUM(C118:C119)</f>
        <v>0.94886363636363635</v>
      </c>
      <c r="D123" s="19"/>
      <c r="E123" s="54">
        <f>SUM(E118:E119)</f>
        <v>0.8666666666666667</v>
      </c>
      <c r="F123" s="19"/>
      <c r="G123" s="54">
        <f>SUM(G118:G119)</f>
        <v>0.89682539682539675</v>
      </c>
      <c r="H123" s="19"/>
      <c r="I123" s="54">
        <f>SUM(I118:I119)</f>
        <v>0.97966728280961179</v>
      </c>
      <c r="J123" s="19"/>
      <c r="K123" s="54">
        <f>SUM(K118:K119)</f>
        <v>0.93877551020408156</v>
      </c>
      <c r="L123" s="19"/>
      <c r="M123" s="54">
        <f>SUM(M118:M119)</f>
        <v>0.96740740740740749</v>
      </c>
      <c r="N123" s="22"/>
      <c r="O123" s="54">
        <f>SUM(O118:O119)</f>
        <v>0.95854657113613095</v>
      </c>
    </row>
    <row r="124" spans="1:26" x14ac:dyDescent="0.2">
      <c r="A124" s="14"/>
      <c r="B124" s="4"/>
      <c r="G124" s="39"/>
      <c r="H124" s="36"/>
    </row>
    <row r="125" spans="1:26" ht="24" x14ac:dyDescent="0.2">
      <c r="A125" s="121" t="s">
        <v>45</v>
      </c>
      <c r="B125" s="122" t="s">
        <v>100</v>
      </c>
      <c r="C125" s="122"/>
      <c r="D125" s="122" t="s">
        <v>80</v>
      </c>
      <c r="E125" s="122"/>
      <c r="F125" s="123" t="s">
        <v>136</v>
      </c>
      <c r="G125" s="123"/>
      <c r="H125" s="122" t="s">
        <v>82</v>
      </c>
      <c r="I125" s="122"/>
      <c r="J125" s="122" t="s">
        <v>81</v>
      </c>
      <c r="K125" s="122"/>
      <c r="L125" s="122" t="s">
        <v>98</v>
      </c>
      <c r="M125" s="122"/>
      <c r="N125" s="116" t="s">
        <v>1</v>
      </c>
      <c r="O125" s="116"/>
    </row>
    <row r="126" spans="1:26" x14ac:dyDescent="0.2">
      <c r="A126" s="20" t="s">
        <v>20</v>
      </c>
      <c r="B126" s="28">
        <v>225</v>
      </c>
      <c r="C126" s="29">
        <f>B126/B130</f>
        <v>0.63920454545454541</v>
      </c>
      <c r="D126" s="28">
        <v>10</v>
      </c>
      <c r="E126" s="29">
        <f>D126/D130</f>
        <v>0.66666666666666663</v>
      </c>
      <c r="F126" s="28">
        <v>66</v>
      </c>
      <c r="G126" s="29">
        <f>F126/F130</f>
        <v>0.52800000000000002</v>
      </c>
      <c r="H126" s="28">
        <v>354</v>
      </c>
      <c r="I126" s="29">
        <f>H126/H130</f>
        <v>0.65313653136531369</v>
      </c>
      <c r="J126" s="28">
        <v>139</v>
      </c>
      <c r="K126" s="29">
        <f>J126/J130</f>
        <v>0.56734693877551023</v>
      </c>
      <c r="L126" s="28">
        <v>434</v>
      </c>
      <c r="M126" s="29">
        <f>L126/L130</f>
        <v>0.64487369985141163</v>
      </c>
      <c r="N126" s="21">
        <f>B126+D126+F126+H126+J126+L126</f>
        <v>1228</v>
      </c>
      <c r="O126" s="29">
        <f>N126/N130</f>
        <v>0.62909836065573765</v>
      </c>
    </row>
    <row r="127" spans="1:26" x14ac:dyDescent="0.2">
      <c r="A127" s="20" t="s">
        <v>19</v>
      </c>
      <c r="B127" s="28">
        <v>119</v>
      </c>
      <c r="C127" s="29">
        <f>B127/B130</f>
        <v>0.33806818181818182</v>
      </c>
      <c r="D127" s="28">
        <v>3</v>
      </c>
      <c r="E127" s="29">
        <f>D127/D130</f>
        <v>0.2</v>
      </c>
      <c r="F127" s="28">
        <v>52</v>
      </c>
      <c r="G127" s="29">
        <f>F127/F130</f>
        <v>0.41599999999999998</v>
      </c>
      <c r="H127" s="28">
        <v>180</v>
      </c>
      <c r="I127" s="29">
        <f>H127/H130</f>
        <v>0.33210332103321033</v>
      </c>
      <c r="J127" s="28">
        <v>100</v>
      </c>
      <c r="K127" s="29">
        <f>J127/J130</f>
        <v>0.40816326530612246</v>
      </c>
      <c r="L127" s="28">
        <v>227</v>
      </c>
      <c r="M127" s="29">
        <f>L127/L130</f>
        <v>0.33729569093610701</v>
      </c>
      <c r="N127" s="21">
        <f>B127+D127+F127+H127+J127+L127</f>
        <v>681</v>
      </c>
      <c r="O127" s="29">
        <f>N127/N130</f>
        <v>0.34887295081967212</v>
      </c>
      <c r="T127" s="33"/>
      <c r="U127" s="33"/>
      <c r="V127" s="33"/>
      <c r="W127" s="33"/>
      <c r="X127" s="33"/>
      <c r="Y127" s="33"/>
    </row>
    <row r="128" spans="1:26" x14ac:dyDescent="0.2">
      <c r="A128" s="20" t="s">
        <v>18</v>
      </c>
      <c r="B128" s="28">
        <v>7</v>
      </c>
      <c r="C128" s="29">
        <f>B128/B130</f>
        <v>1.9886363636363636E-2</v>
      </c>
      <c r="D128" s="28">
        <v>1</v>
      </c>
      <c r="E128" s="29">
        <f>D128/D130</f>
        <v>6.6666666666666666E-2</v>
      </c>
      <c r="F128" s="28">
        <v>5</v>
      </c>
      <c r="G128" s="29">
        <f>F128/F130</f>
        <v>0.04</v>
      </c>
      <c r="H128" s="28">
        <v>6</v>
      </c>
      <c r="I128" s="29">
        <f>H128/H130</f>
        <v>1.107011070110701E-2</v>
      </c>
      <c r="J128" s="28">
        <v>4</v>
      </c>
      <c r="K128" s="29">
        <f>J128/J130</f>
        <v>1.6326530612244899E-2</v>
      </c>
      <c r="L128" s="28">
        <v>10</v>
      </c>
      <c r="M128" s="29">
        <f>L128/L130</f>
        <v>1.4858841010401188E-2</v>
      </c>
      <c r="N128" s="21">
        <f>B128+D128+F128+H128+J128+L128</f>
        <v>33</v>
      </c>
      <c r="O128" s="29">
        <f>N128/N130</f>
        <v>1.6905737704918034E-2</v>
      </c>
    </row>
    <row r="129" spans="1:25" x14ac:dyDescent="0.2">
      <c r="A129" s="20" t="s">
        <v>17</v>
      </c>
      <c r="B129" s="28">
        <v>1</v>
      </c>
      <c r="C129" s="29">
        <f>B129/B130</f>
        <v>2.840909090909091E-3</v>
      </c>
      <c r="D129" s="28">
        <v>1</v>
      </c>
      <c r="E129" s="29">
        <f>D129/D130</f>
        <v>6.6666666666666666E-2</v>
      </c>
      <c r="F129" s="28">
        <v>2</v>
      </c>
      <c r="G129" s="29">
        <f>F129/F130</f>
        <v>1.6E-2</v>
      </c>
      <c r="H129" s="28">
        <v>2</v>
      </c>
      <c r="I129" s="29">
        <f>H129/H130</f>
        <v>3.6900369003690036E-3</v>
      </c>
      <c r="J129" s="28">
        <v>2</v>
      </c>
      <c r="K129" s="29">
        <f>J129/J130</f>
        <v>8.1632653061224497E-3</v>
      </c>
      <c r="L129" s="28">
        <v>2</v>
      </c>
      <c r="M129" s="29">
        <f>L129/L130</f>
        <v>2.9717682020802376E-3</v>
      </c>
      <c r="N129" s="21">
        <f>B129+D129+F129+H129+J129+L129</f>
        <v>10</v>
      </c>
      <c r="O129" s="29">
        <f>N129/N130</f>
        <v>5.1229508196721308E-3</v>
      </c>
    </row>
    <row r="130" spans="1:25" s="33" customFormat="1" x14ac:dyDescent="0.2">
      <c r="A130" s="26" t="s">
        <v>1</v>
      </c>
      <c r="B130" s="22">
        <f t="shared" ref="B130" si="24">SUM(B126:B129)</f>
        <v>352</v>
      </c>
      <c r="C130" s="31">
        <f>SUM(C126:C129)</f>
        <v>1</v>
      </c>
      <c r="D130" s="22">
        <f t="shared" ref="D130" si="25">SUM(D126:D129)</f>
        <v>15</v>
      </c>
      <c r="E130" s="31">
        <f>SUM(E126:E129)</f>
        <v>1</v>
      </c>
      <c r="F130" s="22">
        <f t="shared" ref="F130" si="26">SUM(F126:F129)</f>
        <v>125</v>
      </c>
      <c r="G130" s="31">
        <f>SUM(G126:G129)</f>
        <v>1</v>
      </c>
      <c r="H130" s="22">
        <f t="shared" ref="H130" si="27">SUM(H126:H129)</f>
        <v>542</v>
      </c>
      <c r="I130" s="31">
        <f>SUM(I126:I129)</f>
        <v>0.99999999999999989</v>
      </c>
      <c r="J130" s="22">
        <f t="shared" ref="J130" si="28">SUM(J126:J129)</f>
        <v>245</v>
      </c>
      <c r="K130" s="31">
        <f>SUM(K126:K129)</f>
        <v>1</v>
      </c>
      <c r="L130" s="22">
        <f t="shared" ref="L130" si="29">SUM(L126:L129)</f>
        <v>673</v>
      </c>
      <c r="M130" s="31">
        <f>SUM(M126:M129)</f>
        <v>1</v>
      </c>
      <c r="N130" s="22">
        <f>SUM(N125:N129)</f>
        <v>1952</v>
      </c>
      <c r="O130" s="31">
        <f>SUM(O125:O129)</f>
        <v>1</v>
      </c>
      <c r="P130" s="36"/>
      <c r="Q130" s="40"/>
      <c r="R130" s="40"/>
      <c r="S130" s="40"/>
      <c r="T130" s="37"/>
      <c r="U130" s="37"/>
      <c r="V130" s="37"/>
      <c r="W130" s="37"/>
      <c r="X130" s="37"/>
      <c r="Y130" s="37"/>
    </row>
    <row r="131" spans="1:25" x14ac:dyDescent="0.2">
      <c r="A131" s="26" t="s">
        <v>89</v>
      </c>
      <c r="B131" s="19"/>
      <c r="C131" s="54">
        <f>SUM(C126:C127)</f>
        <v>0.97727272727272729</v>
      </c>
      <c r="D131" s="19"/>
      <c r="E131" s="54">
        <f>SUM(E126:E127)</f>
        <v>0.8666666666666667</v>
      </c>
      <c r="F131" s="19"/>
      <c r="G131" s="54">
        <f>SUM(G126:G127)</f>
        <v>0.94399999999999995</v>
      </c>
      <c r="H131" s="19"/>
      <c r="I131" s="54">
        <f>SUM(I126:I127)</f>
        <v>0.98523985239852396</v>
      </c>
      <c r="J131" s="19"/>
      <c r="K131" s="54">
        <f>SUM(K126:K127)</f>
        <v>0.97551020408163269</v>
      </c>
      <c r="L131" s="19"/>
      <c r="M131" s="54">
        <f>SUM(M126:M127)</f>
        <v>0.98216939078751864</v>
      </c>
      <c r="N131" s="22"/>
      <c r="O131" s="54">
        <f>SUM(O126:O127)</f>
        <v>0.97797131147540983</v>
      </c>
    </row>
    <row r="132" spans="1:25" x14ac:dyDescent="0.2">
      <c r="A132" s="14"/>
      <c r="B132" s="4"/>
      <c r="G132" s="39"/>
      <c r="H132" s="36"/>
    </row>
    <row r="133" spans="1:25" ht="24" x14ac:dyDescent="0.2">
      <c r="A133" s="121" t="s">
        <v>46</v>
      </c>
      <c r="B133" s="122" t="s">
        <v>100</v>
      </c>
      <c r="C133" s="122"/>
      <c r="D133" s="122" t="s">
        <v>80</v>
      </c>
      <c r="E133" s="122"/>
      <c r="F133" s="123" t="s">
        <v>136</v>
      </c>
      <c r="G133" s="123"/>
      <c r="H133" s="122" t="s">
        <v>82</v>
      </c>
      <c r="I133" s="122"/>
      <c r="J133" s="122" t="s">
        <v>81</v>
      </c>
      <c r="K133" s="122"/>
      <c r="L133" s="122" t="s">
        <v>98</v>
      </c>
      <c r="M133" s="122"/>
      <c r="N133" s="116" t="s">
        <v>1</v>
      </c>
      <c r="O133" s="116"/>
    </row>
    <row r="134" spans="1:25" x14ac:dyDescent="0.2">
      <c r="A134" s="20" t="s">
        <v>20</v>
      </c>
      <c r="B134" s="28">
        <v>165</v>
      </c>
      <c r="C134" s="29">
        <f>B134/B138</f>
        <v>0.46875</v>
      </c>
      <c r="D134" s="28">
        <v>8</v>
      </c>
      <c r="E134" s="29">
        <f>D134/D138</f>
        <v>0.53333333333333333</v>
      </c>
      <c r="F134" s="28">
        <v>52</v>
      </c>
      <c r="G134" s="29">
        <f>F134/F138</f>
        <v>0.41599999999999998</v>
      </c>
      <c r="H134" s="28">
        <v>272</v>
      </c>
      <c r="I134" s="29">
        <f>H134/H138</f>
        <v>0.50277264325323479</v>
      </c>
      <c r="J134" s="28">
        <v>106</v>
      </c>
      <c r="K134" s="29">
        <f>J134/J138</f>
        <v>0.43265306122448982</v>
      </c>
      <c r="L134" s="28">
        <v>327</v>
      </c>
      <c r="M134" s="29">
        <f>L134/L138</f>
        <v>0.48516320474777447</v>
      </c>
      <c r="N134" s="21">
        <f>B134+D134+F134+H134+J134+L134</f>
        <v>930</v>
      </c>
      <c r="O134" s="29">
        <f>N134/N138</f>
        <v>0.47643442622950821</v>
      </c>
    </row>
    <row r="135" spans="1:25" x14ac:dyDescent="0.2">
      <c r="A135" s="20" t="s">
        <v>19</v>
      </c>
      <c r="B135" s="28">
        <v>170</v>
      </c>
      <c r="C135" s="29">
        <f>B135/B138</f>
        <v>0.48295454545454547</v>
      </c>
      <c r="D135" s="28">
        <v>7</v>
      </c>
      <c r="E135" s="29">
        <f>D135/D138</f>
        <v>0.46666666666666667</v>
      </c>
      <c r="F135" s="28">
        <v>53</v>
      </c>
      <c r="G135" s="29">
        <f>F135/F138</f>
        <v>0.42399999999999999</v>
      </c>
      <c r="H135" s="28">
        <v>245</v>
      </c>
      <c r="I135" s="29">
        <f>H135/H138</f>
        <v>0.45286506469500926</v>
      </c>
      <c r="J135" s="28">
        <v>116</v>
      </c>
      <c r="K135" s="29">
        <f>J135/J138</f>
        <v>0.47346938775510206</v>
      </c>
      <c r="L135" s="28">
        <v>310</v>
      </c>
      <c r="M135" s="29">
        <f>L135/L138</f>
        <v>0.4599406528189911</v>
      </c>
      <c r="N135" s="21">
        <f>B135+D135+F135+H135+J135+L135</f>
        <v>901</v>
      </c>
      <c r="O135" s="29">
        <f>N135/N138</f>
        <v>0.46157786885245899</v>
      </c>
      <c r="T135" s="33"/>
      <c r="U135" s="33"/>
      <c r="V135" s="33"/>
      <c r="W135" s="33"/>
      <c r="X135" s="33"/>
      <c r="Y135" s="33"/>
    </row>
    <row r="136" spans="1:25" x14ac:dyDescent="0.2">
      <c r="A136" s="20" t="s">
        <v>18</v>
      </c>
      <c r="B136" s="28">
        <v>14</v>
      </c>
      <c r="C136" s="29">
        <f>B136/B138</f>
        <v>3.9772727272727272E-2</v>
      </c>
      <c r="D136" s="28"/>
      <c r="E136" s="29">
        <f>D136/D138</f>
        <v>0</v>
      </c>
      <c r="F136" s="28">
        <v>12</v>
      </c>
      <c r="G136" s="29">
        <f>F136/F138</f>
        <v>9.6000000000000002E-2</v>
      </c>
      <c r="H136" s="28">
        <v>21</v>
      </c>
      <c r="I136" s="29">
        <f>H136/H138</f>
        <v>3.8817005545286505E-2</v>
      </c>
      <c r="J136" s="28">
        <v>20</v>
      </c>
      <c r="K136" s="29">
        <f>J136/J138</f>
        <v>8.1632653061224483E-2</v>
      </c>
      <c r="L136" s="28">
        <v>32</v>
      </c>
      <c r="M136" s="29">
        <f>L136/L138</f>
        <v>4.7477744807121663E-2</v>
      </c>
      <c r="N136" s="21">
        <f>B136+D136+F136+H136+J136+L136</f>
        <v>99</v>
      </c>
      <c r="O136" s="29">
        <f>N136/N138</f>
        <v>5.0717213114754099E-2</v>
      </c>
    </row>
    <row r="137" spans="1:25" x14ac:dyDescent="0.2">
      <c r="A137" s="20" t="s">
        <v>17</v>
      </c>
      <c r="B137" s="28">
        <v>3</v>
      </c>
      <c r="C137" s="29">
        <f>B137/B138</f>
        <v>8.5227272727272721E-3</v>
      </c>
      <c r="D137" s="28"/>
      <c r="E137" s="29">
        <f>D137/D138</f>
        <v>0</v>
      </c>
      <c r="F137" s="28">
        <v>8</v>
      </c>
      <c r="G137" s="29">
        <f>F137/F138</f>
        <v>6.4000000000000001E-2</v>
      </c>
      <c r="H137" s="28">
        <v>3</v>
      </c>
      <c r="I137" s="29">
        <f>H137/H138</f>
        <v>5.5452865064695009E-3</v>
      </c>
      <c r="J137" s="28">
        <v>3</v>
      </c>
      <c r="K137" s="29">
        <f>J137/J138</f>
        <v>1.2244897959183673E-2</v>
      </c>
      <c r="L137" s="28">
        <v>5</v>
      </c>
      <c r="M137" s="29">
        <f>L137/L138</f>
        <v>7.4183976261127599E-3</v>
      </c>
      <c r="N137" s="21">
        <f>B137+D137+F137+H137+J137+L137</f>
        <v>22</v>
      </c>
      <c r="O137" s="29">
        <f>N137/N138</f>
        <v>1.1270491803278689E-2</v>
      </c>
    </row>
    <row r="138" spans="1:25" s="33" customFormat="1" x14ac:dyDescent="0.2">
      <c r="A138" s="26" t="s">
        <v>1</v>
      </c>
      <c r="B138" s="22">
        <f t="shared" ref="B138" si="30">SUM(B134:B137)</f>
        <v>352</v>
      </c>
      <c r="C138" s="31">
        <f>SUM(C134:C137)</f>
        <v>1</v>
      </c>
      <c r="D138" s="22">
        <f t="shared" ref="D138" si="31">SUM(D134:D137)</f>
        <v>15</v>
      </c>
      <c r="E138" s="31">
        <f>SUM(E134:E137)</f>
        <v>1</v>
      </c>
      <c r="F138" s="22">
        <f t="shared" ref="F138" si="32">SUM(F134:F137)</f>
        <v>125</v>
      </c>
      <c r="G138" s="31">
        <f>SUM(G134:G137)</f>
        <v>1</v>
      </c>
      <c r="H138" s="22">
        <f t="shared" ref="H138" si="33">SUM(H134:H137)</f>
        <v>541</v>
      </c>
      <c r="I138" s="31">
        <f>SUM(I134:I137)</f>
        <v>1.0000000000000002</v>
      </c>
      <c r="J138" s="22">
        <f t="shared" ref="J138" si="34">SUM(J134:J137)</f>
        <v>245</v>
      </c>
      <c r="K138" s="31">
        <f>SUM(K134:K137)</f>
        <v>1</v>
      </c>
      <c r="L138" s="22">
        <f t="shared" ref="L138" si="35">SUM(L134:L137)</f>
        <v>674</v>
      </c>
      <c r="M138" s="31">
        <f>SUM(M134:M137)</f>
        <v>1</v>
      </c>
      <c r="N138" s="22">
        <f>SUM(N132:N137)</f>
        <v>1952</v>
      </c>
      <c r="O138" s="31">
        <f>SUM(O132:O137)</f>
        <v>0.99999999999999989</v>
      </c>
      <c r="P138" s="36"/>
      <c r="Q138" s="40"/>
      <c r="R138" s="40"/>
      <c r="S138" s="40"/>
      <c r="T138" s="37"/>
      <c r="U138" s="37"/>
      <c r="V138" s="37"/>
      <c r="W138" s="37"/>
      <c r="X138" s="37"/>
      <c r="Y138" s="37"/>
    </row>
    <row r="139" spans="1:25" x14ac:dyDescent="0.2">
      <c r="A139" s="26" t="s">
        <v>89</v>
      </c>
      <c r="B139" s="19"/>
      <c r="C139" s="54">
        <f>SUM(C134:C135)</f>
        <v>0.95170454545454541</v>
      </c>
      <c r="D139" s="19"/>
      <c r="E139" s="54">
        <f>SUM(E134:E135)</f>
        <v>1</v>
      </c>
      <c r="F139" s="19"/>
      <c r="G139" s="54">
        <f>SUM(G134:G135)</f>
        <v>0.84</v>
      </c>
      <c r="H139" s="19"/>
      <c r="I139" s="54">
        <f>SUM(I134:I135)</f>
        <v>0.9556377079482441</v>
      </c>
      <c r="J139" s="19"/>
      <c r="K139" s="54">
        <f>SUM(K134:K135)</f>
        <v>0.90612244897959182</v>
      </c>
      <c r="L139" s="19"/>
      <c r="M139" s="54">
        <f>SUM(M134:M135)</f>
        <v>0.94510385756676563</v>
      </c>
      <c r="N139" s="22"/>
      <c r="O139" s="54">
        <f>SUM(O134:O135)</f>
        <v>0.93801229508196715</v>
      </c>
    </row>
    <row r="140" spans="1:25" x14ac:dyDescent="0.2">
      <c r="A140" s="14"/>
      <c r="B140" s="4"/>
      <c r="G140" s="39"/>
      <c r="H140" s="36"/>
    </row>
    <row r="141" spans="1:25" ht="12" customHeight="1" x14ac:dyDescent="0.2">
      <c r="A141" s="121" t="s">
        <v>47</v>
      </c>
      <c r="B141" s="122" t="s">
        <v>100</v>
      </c>
      <c r="C141" s="122"/>
      <c r="D141" s="122" t="s">
        <v>80</v>
      </c>
      <c r="E141" s="122"/>
      <c r="F141" s="123" t="s">
        <v>136</v>
      </c>
      <c r="G141" s="123"/>
      <c r="H141" s="122" t="s">
        <v>82</v>
      </c>
      <c r="I141" s="122"/>
      <c r="J141" s="122" t="s">
        <v>81</v>
      </c>
      <c r="K141" s="122"/>
      <c r="L141" s="122" t="s">
        <v>98</v>
      </c>
      <c r="M141" s="122"/>
      <c r="N141" s="116" t="s">
        <v>1</v>
      </c>
      <c r="O141" s="116"/>
    </row>
    <row r="142" spans="1:25" x14ac:dyDescent="0.2">
      <c r="A142" s="20" t="s">
        <v>20</v>
      </c>
      <c r="B142" s="28">
        <v>162</v>
      </c>
      <c r="C142" s="29">
        <f>B142/B146</f>
        <v>0.46153846153846156</v>
      </c>
      <c r="D142" s="28">
        <v>8</v>
      </c>
      <c r="E142" s="29">
        <f>D142/D146</f>
        <v>0.53333333333333333</v>
      </c>
      <c r="F142" s="28">
        <v>50</v>
      </c>
      <c r="G142" s="29">
        <f>F142/F146</f>
        <v>0.3968253968253968</v>
      </c>
      <c r="H142" s="28">
        <v>256</v>
      </c>
      <c r="I142" s="29">
        <f>H142/H146</f>
        <v>0.47407407407407409</v>
      </c>
      <c r="J142" s="28">
        <v>115</v>
      </c>
      <c r="K142" s="29">
        <f>J142/J146</f>
        <v>0.46938775510204084</v>
      </c>
      <c r="L142" s="28">
        <v>323</v>
      </c>
      <c r="M142" s="29">
        <f>L142/L146</f>
        <v>0.47922848664688428</v>
      </c>
      <c r="N142" s="21">
        <f>B142+D142+F142+H142+J142+L142</f>
        <v>914</v>
      </c>
      <c r="O142" s="29">
        <f>N142/N146</f>
        <v>0.46847770374167091</v>
      </c>
    </row>
    <row r="143" spans="1:25" x14ac:dyDescent="0.2">
      <c r="A143" s="20" t="s">
        <v>19</v>
      </c>
      <c r="B143" s="28">
        <v>176</v>
      </c>
      <c r="C143" s="29">
        <f>B143/B146</f>
        <v>0.50142450142450146</v>
      </c>
      <c r="D143" s="28">
        <v>7</v>
      </c>
      <c r="E143" s="29">
        <f>D143/D146</f>
        <v>0.46666666666666667</v>
      </c>
      <c r="F143" s="28">
        <v>59</v>
      </c>
      <c r="G143" s="29">
        <f>F143/F146</f>
        <v>0.46825396825396826</v>
      </c>
      <c r="H143" s="28">
        <v>276</v>
      </c>
      <c r="I143" s="29">
        <f>H143/H146</f>
        <v>0.51111111111111107</v>
      </c>
      <c r="J143" s="28">
        <v>117</v>
      </c>
      <c r="K143" s="29">
        <f>J143/J146</f>
        <v>0.47755102040816327</v>
      </c>
      <c r="L143" s="28">
        <v>332</v>
      </c>
      <c r="M143" s="29">
        <f>L143/L146</f>
        <v>0.49258160237388726</v>
      </c>
      <c r="N143" s="21">
        <f>B143+D143+F143+H143+J143+L143</f>
        <v>967</v>
      </c>
      <c r="O143" s="29">
        <f>N143/N146</f>
        <v>0.49564325986673502</v>
      </c>
      <c r="T143" s="33"/>
      <c r="U143" s="33"/>
      <c r="V143" s="33"/>
      <c r="W143" s="33"/>
      <c r="X143" s="33"/>
      <c r="Y143" s="33"/>
    </row>
    <row r="144" spans="1:25" x14ac:dyDescent="0.2">
      <c r="A144" s="20" t="s">
        <v>18</v>
      </c>
      <c r="B144" s="28">
        <v>10</v>
      </c>
      <c r="C144" s="29">
        <f>B144/B146</f>
        <v>2.8490028490028491E-2</v>
      </c>
      <c r="D144" s="28"/>
      <c r="E144" s="29">
        <f>D144/D146</f>
        <v>0</v>
      </c>
      <c r="F144" s="28">
        <v>10</v>
      </c>
      <c r="G144" s="29">
        <f>F144/F146</f>
        <v>7.9365079365079361E-2</v>
      </c>
      <c r="H144" s="28">
        <v>8</v>
      </c>
      <c r="I144" s="29">
        <f>H144/H146</f>
        <v>1.4814814814814815E-2</v>
      </c>
      <c r="J144" s="28">
        <v>12</v>
      </c>
      <c r="K144" s="29">
        <f>J144/J146</f>
        <v>4.8979591836734691E-2</v>
      </c>
      <c r="L144" s="28">
        <v>13</v>
      </c>
      <c r="M144" s="29">
        <f>L144/L146</f>
        <v>1.9287833827893175E-2</v>
      </c>
      <c r="N144" s="21">
        <f>B144+D144+F144+H144+J144+L144</f>
        <v>53</v>
      </c>
      <c r="O144" s="29">
        <f>N144/N146</f>
        <v>2.7165556125064071E-2</v>
      </c>
    </row>
    <row r="145" spans="1:25" x14ac:dyDescent="0.2">
      <c r="A145" s="20" t="s">
        <v>17</v>
      </c>
      <c r="B145" s="28">
        <v>3</v>
      </c>
      <c r="C145" s="29">
        <f>B145/B146</f>
        <v>8.5470085470085479E-3</v>
      </c>
      <c r="D145" s="28"/>
      <c r="E145" s="29">
        <f>D145/D146</f>
        <v>0</v>
      </c>
      <c r="F145" s="28">
        <v>7</v>
      </c>
      <c r="G145" s="29">
        <f>F145/F146</f>
        <v>5.5555555555555552E-2</v>
      </c>
      <c r="H145" s="28"/>
      <c r="I145" s="29">
        <f>H145/H146</f>
        <v>0</v>
      </c>
      <c r="J145" s="28">
        <v>1</v>
      </c>
      <c r="K145" s="29">
        <f>J145/J146</f>
        <v>4.0816326530612249E-3</v>
      </c>
      <c r="L145" s="28">
        <v>6</v>
      </c>
      <c r="M145" s="29">
        <f>L145/L146</f>
        <v>8.9020771513353119E-3</v>
      </c>
      <c r="N145" s="21">
        <f>B145+D145+F145+H145+J145+L145</f>
        <v>17</v>
      </c>
      <c r="O145" s="29">
        <f>N145/N146</f>
        <v>8.7134802665299847E-3</v>
      </c>
    </row>
    <row r="146" spans="1:25" s="33" customFormat="1" x14ac:dyDescent="0.2">
      <c r="A146" s="26" t="s">
        <v>1</v>
      </c>
      <c r="B146" s="22">
        <f t="shared" ref="B146" si="36">SUM(B142:B145)</f>
        <v>351</v>
      </c>
      <c r="C146" s="31">
        <f>SUM(C142:C145)</f>
        <v>1</v>
      </c>
      <c r="D146" s="22">
        <f t="shared" ref="D146" si="37">SUM(D142:D145)</f>
        <v>15</v>
      </c>
      <c r="E146" s="31">
        <f>SUM(E142:E145)</f>
        <v>1</v>
      </c>
      <c r="F146" s="22">
        <f t="shared" ref="F146" si="38">SUM(F142:F145)</f>
        <v>126</v>
      </c>
      <c r="G146" s="31">
        <f>SUM(G142:G145)</f>
        <v>1</v>
      </c>
      <c r="H146" s="22">
        <f t="shared" ref="H146" si="39">SUM(H142:H145)</f>
        <v>540</v>
      </c>
      <c r="I146" s="31">
        <f>SUM(I142:I145)</f>
        <v>1</v>
      </c>
      <c r="J146" s="22">
        <f t="shared" ref="J146" si="40">SUM(J142:J145)</f>
        <v>245</v>
      </c>
      <c r="K146" s="31">
        <f>SUM(K142:K145)</f>
        <v>1</v>
      </c>
      <c r="L146" s="22">
        <f t="shared" ref="L146" si="41">SUM(L142:L145)</f>
        <v>674</v>
      </c>
      <c r="M146" s="31">
        <f>SUM(M142:M145)</f>
        <v>1</v>
      </c>
      <c r="N146" s="22">
        <f>SUM(N140:N145)</f>
        <v>1951</v>
      </c>
      <c r="O146" s="31">
        <f>SUM(O140:O145)</f>
        <v>1</v>
      </c>
      <c r="P146" s="36"/>
      <c r="Q146" s="40"/>
      <c r="R146" s="40"/>
      <c r="S146" s="40"/>
      <c r="T146" s="37"/>
      <c r="U146" s="37"/>
      <c r="V146" s="37"/>
      <c r="W146" s="37"/>
      <c r="X146" s="37"/>
      <c r="Y146" s="37"/>
    </row>
    <row r="147" spans="1:25" x14ac:dyDescent="0.2">
      <c r="A147" s="26" t="s">
        <v>89</v>
      </c>
      <c r="B147" s="19"/>
      <c r="C147" s="54">
        <f>SUM(C142:C143)</f>
        <v>0.96296296296296302</v>
      </c>
      <c r="D147" s="19"/>
      <c r="E147" s="54">
        <f>SUM(E142:E143)</f>
        <v>1</v>
      </c>
      <c r="F147" s="19"/>
      <c r="G147" s="54">
        <f>SUM(G142:G143)</f>
        <v>0.86507936507936511</v>
      </c>
      <c r="H147" s="19"/>
      <c r="I147" s="54">
        <f>SUM(I142:I143)</f>
        <v>0.98518518518518516</v>
      </c>
      <c r="J147" s="19"/>
      <c r="K147" s="54">
        <f>SUM(K142:K143)</f>
        <v>0.94693877551020411</v>
      </c>
      <c r="L147" s="19"/>
      <c r="M147" s="54">
        <f>SUM(M142:M143)</f>
        <v>0.97181008902077148</v>
      </c>
      <c r="N147" s="22"/>
      <c r="O147" s="54">
        <f>SUM(O142:O143)</f>
        <v>0.96412096360840593</v>
      </c>
    </row>
    <row r="148" spans="1:25" x14ac:dyDescent="0.2">
      <c r="A148" s="14"/>
      <c r="B148" s="4"/>
      <c r="G148" s="39"/>
      <c r="H148" s="36"/>
    </row>
    <row r="149" spans="1:25" ht="12" customHeight="1" x14ac:dyDescent="0.2">
      <c r="A149" s="121" t="s">
        <v>48</v>
      </c>
      <c r="B149" s="122" t="s">
        <v>100</v>
      </c>
      <c r="C149" s="122"/>
      <c r="D149" s="122" t="s">
        <v>80</v>
      </c>
      <c r="E149" s="122"/>
      <c r="F149" s="123" t="s">
        <v>136</v>
      </c>
      <c r="G149" s="123"/>
      <c r="H149" s="122" t="s">
        <v>82</v>
      </c>
      <c r="I149" s="122"/>
      <c r="J149" s="122" t="s">
        <v>81</v>
      </c>
      <c r="K149" s="122"/>
      <c r="L149" s="122" t="s">
        <v>98</v>
      </c>
      <c r="M149" s="122"/>
      <c r="N149" s="116" t="s">
        <v>1</v>
      </c>
      <c r="O149" s="116"/>
    </row>
    <row r="150" spans="1:25" x14ac:dyDescent="0.2">
      <c r="A150" s="20" t="s">
        <v>20</v>
      </c>
      <c r="B150" s="28">
        <v>144</v>
      </c>
      <c r="C150" s="29">
        <f>B150/B154</f>
        <v>0.41025641025641024</v>
      </c>
      <c r="D150" s="28">
        <v>7</v>
      </c>
      <c r="E150" s="29">
        <f>D150/D154</f>
        <v>0.46666666666666667</v>
      </c>
      <c r="F150" s="28">
        <v>38</v>
      </c>
      <c r="G150" s="29">
        <f>F150/F154</f>
        <v>0.30399999999999999</v>
      </c>
      <c r="H150" s="28">
        <v>217</v>
      </c>
      <c r="I150" s="29">
        <f>H150/H154</f>
        <v>0.40036900369003692</v>
      </c>
      <c r="J150" s="28">
        <v>87</v>
      </c>
      <c r="K150" s="29">
        <f>J150/J154</f>
        <v>0.35510204081632651</v>
      </c>
      <c r="L150" s="28">
        <v>271</v>
      </c>
      <c r="M150" s="29">
        <f>L150/L154</f>
        <v>0.40267459138187223</v>
      </c>
      <c r="N150" s="21">
        <f>B150+D150+F150+H150+J150+L150</f>
        <v>764</v>
      </c>
      <c r="O150" s="29">
        <f>N150/N154</f>
        <v>0.39159405433111227</v>
      </c>
    </row>
    <row r="151" spans="1:25" x14ac:dyDescent="0.2">
      <c r="A151" s="20" t="s">
        <v>19</v>
      </c>
      <c r="B151" s="28">
        <v>173</v>
      </c>
      <c r="C151" s="29">
        <f>B151/B154</f>
        <v>0.49287749287749288</v>
      </c>
      <c r="D151" s="28">
        <v>7</v>
      </c>
      <c r="E151" s="29">
        <f>D151/D154</f>
        <v>0.46666666666666667</v>
      </c>
      <c r="F151" s="28">
        <v>67</v>
      </c>
      <c r="G151" s="29">
        <f>F151/F154</f>
        <v>0.53600000000000003</v>
      </c>
      <c r="H151" s="28">
        <v>289</v>
      </c>
      <c r="I151" s="29">
        <f>H151/H154</f>
        <v>0.53321033210332103</v>
      </c>
      <c r="J151" s="28">
        <v>133</v>
      </c>
      <c r="K151" s="29">
        <f>J151/J154</f>
        <v>0.54285714285714282</v>
      </c>
      <c r="L151" s="28">
        <v>358</v>
      </c>
      <c r="M151" s="29">
        <f>L151/L154</f>
        <v>0.53194650817236255</v>
      </c>
      <c r="N151" s="21">
        <f>B151+D151+F151+H151+J151+L151</f>
        <v>1027</v>
      </c>
      <c r="O151" s="29">
        <f>N151/N154</f>
        <v>0.52639671963095847</v>
      </c>
    </row>
    <row r="152" spans="1:25" x14ac:dyDescent="0.2">
      <c r="A152" s="20" t="s">
        <v>18</v>
      </c>
      <c r="B152" s="28">
        <v>26</v>
      </c>
      <c r="C152" s="29">
        <f>B152/B154</f>
        <v>7.407407407407407E-2</v>
      </c>
      <c r="D152" s="28"/>
      <c r="E152" s="29">
        <f>D152/D154</f>
        <v>0</v>
      </c>
      <c r="F152" s="28">
        <v>12</v>
      </c>
      <c r="G152" s="29">
        <f>F152/F154</f>
        <v>9.6000000000000002E-2</v>
      </c>
      <c r="H152" s="28">
        <v>34</v>
      </c>
      <c r="I152" s="29">
        <f>H152/H154</f>
        <v>6.273062730627306E-2</v>
      </c>
      <c r="J152" s="28">
        <v>20</v>
      </c>
      <c r="K152" s="29">
        <f>J152/J154</f>
        <v>8.1632653061224483E-2</v>
      </c>
      <c r="L152" s="28">
        <v>34</v>
      </c>
      <c r="M152" s="29">
        <f>L152/L154</f>
        <v>5.0520059435364043E-2</v>
      </c>
      <c r="N152" s="21">
        <f>B152+D152+F152+H152+J152+L152</f>
        <v>126</v>
      </c>
      <c r="O152" s="29">
        <f>N152/N154</f>
        <v>6.4582265504869299E-2</v>
      </c>
      <c r="T152" s="33"/>
      <c r="U152" s="33"/>
      <c r="V152" s="33"/>
      <c r="W152" s="33"/>
      <c r="X152" s="33"/>
      <c r="Y152" s="33"/>
    </row>
    <row r="153" spans="1:25" x14ac:dyDescent="0.2">
      <c r="A153" s="20" t="s">
        <v>17</v>
      </c>
      <c r="B153" s="28">
        <v>8</v>
      </c>
      <c r="C153" s="29">
        <f>B153/B154</f>
        <v>2.2792022792022793E-2</v>
      </c>
      <c r="D153" s="28">
        <v>1</v>
      </c>
      <c r="E153" s="29">
        <f>D153/D154</f>
        <v>6.6666666666666666E-2</v>
      </c>
      <c r="F153" s="28">
        <v>8</v>
      </c>
      <c r="G153" s="29">
        <f>F153/F154</f>
        <v>6.4000000000000001E-2</v>
      </c>
      <c r="H153" s="28">
        <v>2</v>
      </c>
      <c r="I153" s="29">
        <f>H153/H154</f>
        <v>3.6900369003690036E-3</v>
      </c>
      <c r="J153" s="28">
        <v>5</v>
      </c>
      <c r="K153" s="29">
        <f>J153/J154</f>
        <v>2.0408163265306121E-2</v>
      </c>
      <c r="L153" s="28">
        <v>10</v>
      </c>
      <c r="M153" s="29">
        <f>L153/L154</f>
        <v>1.4858841010401188E-2</v>
      </c>
      <c r="N153" s="21">
        <f>B153+D153+F153+H153+J153+L153</f>
        <v>34</v>
      </c>
      <c r="O153" s="29">
        <f>N153/N154</f>
        <v>1.7426960533059969E-2</v>
      </c>
    </row>
    <row r="154" spans="1:25" s="33" customFormat="1" x14ac:dyDescent="0.2">
      <c r="A154" s="26" t="s">
        <v>1</v>
      </c>
      <c r="B154" s="22">
        <f t="shared" ref="B154" si="42">SUM(B150:B153)</f>
        <v>351</v>
      </c>
      <c r="C154" s="31">
        <f>SUM(C150:C153)</f>
        <v>1</v>
      </c>
      <c r="D154" s="22">
        <f t="shared" ref="D154" si="43">SUM(D150:D153)</f>
        <v>15</v>
      </c>
      <c r="E154" s="31">
        <f>SUM(E150:E153)</f>
        <v>1</v>
      </c>
      <c r="F154" s="22">
        <f t="shared" ref="F154" si="44">SUM(F150:F153)</f>
        <v>125</v>
      </c>
      <c r="G154" s="31">
        <f>SUM(G150:G153)</f>
        <v>1</v>
      </c>
      <c r="H154" s="22">
        <f t="shared" ref="H154" si="45">SUM(H150:H153)</f>
        <v>542</v>
      </c>
      <c r="I154" s="31">
        <f>SUM(I150:I153)</f>
        <v>1</v>
      </c>
      <c r="J154" s="22">
        <f t="shared" ref="J154" si="46">SUM(J150:J153)</f>
        <v>245</v>
      </c>
      <c r="K154" s="31">
        <f>SUM(K150:K153)</f>
        <v>0.99999999999999989</v>
      </c>
      <c r="L154" s="22">
        <f t="shared" ref="L154" si="47">SUM(L150:L153)</f>
        <v>673</v>
      </c>
      <c r="M154" s="31">
        <f>SUM(M150:M153)</f>
        <v>1</v>
      </c>
      <c r="N154" s="22">
        <f>SUM(N148:N153)</f>
        <v>1951</v>
      </c>
      <c r="O154" s="31">
        <f>SUM(O148:O153)</f>
        <v>1</v>
      </c>
      <c r="P154" s="36"/>
      <c r="Q154" s="40"/>
      <c r="R154" s="40"/>
      <c r="S154" s="40"/>
      <c r="T154" s="37"/>
      <c r="U154" s="37"/>
      <c r="V154" s="37"/>
      <c r="W154" s="37"/>
      <c r="X154" s="37"/>
      <c r="Y154" s="37"/>
    </row>
    <row r="155" spans="1:25" x14ac:dyDescent="0.2">
      <c r="A155" s="26" t="s">
        <v>89</v>
      </c>
      <c r="B155" s="19"/>
      <c r="C155" s="54">
        <f>SUM(C150:C151)</f>
        <v>0.90313390313390318</v>
      </c>
      <c r="D155" s="19"/>
      <c r="E155" s="54">
        <f>SUM(E150:E151)</f>
        <v>0.93333333333333335</v>
      </c>
      <c r="F155" s="19"/>
      <c r="G155" s="54">
        <f>SUM(G150:G151)</f>
        <v>0.84000000000000008</v>
      </c>
      <c r="H155" s="19"/>
      <c r="I155" s="54">
        <f>SUM(I150:I151)</f>
        <v>0.93357933579335795</v>
      </c>
      <c r="J155" s="19"/>
      <c r="K155" s="54">
        <f>SUM(K150:K151)</f>
        <v>0.89795918367346927</v>
      </c>
      <c r="L155" s="19"/>
      <c r="M155" s="54">
        <f>SUM(M150:M151)</f>
        <v>0.93462109955423478</v>
      </c>
      <c r="N155" s="22"/>
      <c r="O155" s="54">
        <f>SUM(O150:O151)</f>
        <v>0.91799077396207074</v>
      </c>
    </row>
    <row r="156" spans="1:25" x14ac:dyDescent="0.2">
      <c r="A156" s="14"/>
      <c r="B156" s="4"/>
      <c r="G156" s="39"/>
      <c r="H156" s="36"/>
    </row>
    <row r="157" spans="1:25" ht="12" customHeight="1" x14ac:dyDescent="0.2">
      <c r="A157" s="121" t="s">
        <v>49</v>
      </c>
      <c r="B157" s="122" t="s">
        <v>100</v>
      </c>
      <c r="C157" s="122"/>
      <c r="D157" s="122" t="s">
        <v>80</v>
      </c>
      <c r="E157" s="122"/>
      <c r="F157" s="123" t="s">
        <v>136</v>
      </c>
      <c r="G157" s="123"/>
      <c r="H157" s="122" t="s">
        <v>82</v>
      </c>
      <c r="I157" s="122"/>
      <c r="J157" s="122" t="s">
        <v>81</v>
      </c>
      <c r="K157" s="122"/>
      <c r="L157" s="122" t="s">
        <v>98</v>
      </c>
      <c r="M157" s="122"/>
      <c r="N157" s="116" t="s">
        <v>1</v>
      </c>
      <c r="O157" s="116"/>
    </row>
    <row r="158" spans="1:25" x14ac:dyDescent="0.2">
      <c r="A158" s="20" t="s">
        <v>20</v>
      </c>
      <c r="B158" s="28">
        <v>151</v>
      </c>
      <c r="C158" s="29">
        <f>B158/B162</f>
        <v>0.43266475644699143</v>
      </c>
      <c r="D158" s="28">
        <v>9</v>
      </c>
      <c r="E158" s="29">
        <f>D158/D162</f>
        <v>0.6</v>
      </c>
      <c r="F158" s="28">
        <v>40</v>
      </c>
      <c r="G158" s="29">
        <f>F158/F162</f>
        <v>0.32258064516129031</v>
      </c>
      <c r="H158" s="28">
        <v>226</v>
      </c>
      <c r="I158" s="29">
        <f>H158/H162</f>
        <v>0.41929499072356213</v>
      </c>
      <c r="J158" s="28">
        <v>78</v>
      </c>
      <c r="K158" s="29">
        <f>J158/J162</f>
        <v>0.31707317073170732</v>
      </c>
      <c r="L158" s="28">
        <v>275</v>
      </c>
      <c r="M158" s="29">
        <f>L158/L162</f>
        <v>0.40801186943620177</v>
      </c>
      <c r="N158" s="21">
        <f>B158+D158+F158+H158+J158+L158</f>
        <v>779</v>
      </c>
      <c r="O158" s="29">
        <f>N158/N162</f>
        <v>0.40010272213662046</v>
      </c>
    </row>
    <row r="159" spans="1:25" x14ac:dyDescent="0.2">
      <c r="A159" s="20" t="s">
        <v>19</v>
      </c>
      <c r="B159" s="28">
        <v>171</v>
      </c>
      <c r="C159" s="29">
        <f>B159/B162</f>
        <v>0.48997134670487108</v>
      </c>
      <c r="D159" s="28">
        <v>5</v>
      </c>
      <c r="E159" s="29">
        <f>D159/D162</f>
        <v>0.33333333333333331</v>
      </c>
      <c r="F159" s="28">
        <v>72</v>
      </c>
      <c r="G159" s="29">
        <f>F159/F162</f>
        <v>0.58064516129032262</v>
      </c>
      <c r="H159" s="28">
        <v>282</v>
      </c>
      <c r="I159" s="29">
        <f>H159/H162</f>
        <v>0.52319109461966606</v>
      </c>
      <c r="J159" s="28">
        <v>146</v>
      </c>
      <c r="K159" s="29">
        <f>J159/J162</f>
        <v>0.5934959349593496</v>
      </c>
      <c r="L159" s="28">
        <v>357</v>
      </c>
      <c r="M159" s="29">
        <f>L159/L162</f>
        <v>0.52967359050445106</v>
      </c>
      <c r="N159" s="21">
        <f>B159+D159+F159+H159+J159+L159</f>
        <v>1033</v>
      </c>
      <c r="O159" s="29">
        <f>N159/N162</f>
        <v>0.53055983564458142</v>
      </c>
    </row>
    <row r="160" spans="1:25" x14ac:dyDescent="0.2">
      <c r="A160" s="20" t="s">
        <v>18</v>
      </c>
      <c r="B160" s="28">
        <v>22</v>
      </c>
      <c r="C160" s="29">
        <f>B160/B162</f>
        <v>6.3037249283667621E-2</v>
      </c>
      <c r="D160" s="28"/>
      <c r="E160" s="29">
        <f>D160/D162</f>
        <v>0</v>
      </c>
      <c r="F160" s="28">
        <v>7</v>
      </c>
      <c r="G160" s="29">
        <f>F160/F162</f>
        <v>5.6451612903225805E-2</v>
      </c>
      <c r="H160" s="28">
        <v>28</v>
      </c>
      <c r="I160" s="29">
        <f>H160/H162</f>
        <v>5.1948051948051951E-2</v>
      </c>
      <c r="J160" s="28">
        <v>20</v>
      </c>
      <c r="K160" s="29">
        <f>J160/J162</f>
        <v>8.1300813008130079E-2</v>
      </c>
      <c r="L160" s="28">
        <v>37</v>
      </c>
      <c r="M160" s="29">
        <f>L160/L162</f>
        <v>5.4896142433234422E-2</v>
      </c>
      <c r="N160" s="21">
        <f>B160+D160+F160+H160+J160+L160</f>
        <v>114</v>
      </c>
      <c r="O160" s="29">
        <f>N160/N162</f>
        <v>5.8551617873651769E-2</v>
      </c>
      <c r="T160" s="33"/>
      <c r="U160" s="33"/>
      <c r="V160" s="33"/>
      <c r="W160" s="33"/>
      <c r="X160" s="33"/>
      <c r="Y160" s="33"/>
    </row>
    <row r="161" spans="1:26" x14ac:dyDescent="0.2">
      <c r="A161" s="20" t="s">
        <v>17</v>
      </c>
      <c r="B161" s="28">
        <v>5</v>
      </c>
      <c r="C161" s="29">
        <f>B161/B162</f>
        <v>1.4326647564469915E-2</v>
      </c>
      <c r="D161" s="28">
        <v>1</v>
      </c>
      <c r="E161" s="29">
        <f>D161/D162</f>
        <v>6.6666666666666666E-2</v>
      </c>
      <c r="F161" s="28">
        <v>5</v>
      </c>
      <c r="G161" s="29">
        <f>F161/F162</f>
        <v>4.0322580645161289E-2</v>
      </c>
      <c r="H161" s="28">
        <v>3</v>
      </c>
      <c r="I161" s="29">
        <f>H161/H162</f>
        <v>5.5658627087198514E-3</v>
      </c>
      <c r="J161" s="28">
        <v>2</v>
      </c>
      <c r="K161" s="29">
        <f>J161/J162</f>
        <v>8.130081300813009E-3</v>
      </c>
      <c r="L161" s="28">
        <v>5</v>
      </c>
      <c r="M161" s="29">
        <f>L161/L162</f>
        <v>7.4183976261127599E-3</v>
      </c>
      <c r="N161" s="21">
        <f>B161+D161+F161+H161+J161+L161</f>
        <v>21</v>
      </c>
      <c r="O161" s="29">
        <f>N161/N162</f>
        <v>1.078582434514638E-2</v>
      </c>
    </row>
    <row r="162" spans="1:26" s="33" customFormat="1" x14ac:dyDescent="0.2">
      <c r="A162" s="26" t="s">
        <v>1</v>
      </c>
      <c r="B162" s="22">
        <f t="shared" ref="B162" si="48">SUM(B158:B161)</f>
        <v>349</v>
      </c>
      <c r="C162" s="31">
        <f>SUM(C158:C161)</f>
        <v>1</v>
      </c>
      <c r="D162" s="22">
        <f t="shared" ref="D162" si="49">SUM(D158:D161)</f>
        <v>15</v>
      </c>
      <c r="E162" s="31">
        <f>SUM(E158:E161)</f>
        <v>1</v>
      </c>
      <c r="F162" s="22">
        <f t="shared" ref="F162" si="50">SUM(F158:F161)</f>
        <v>124</v>
      </c>
      <c r="G162" s="31">
        <f>SUM(G158:G161)</f>
        <v>1</v>
      </c>
      <c r="H162" s="22">
        <f t="shared" ref="H162" si="51">SUM(H158:H161)</f>
        <v>539</v>
      </c>
      <c r="I162" s="31">
        <f>SUM(I158:I161)</f>
        <v>1</v>
      </c>
      <c r="J162" s="22">
        <f t="shared" ref="J162" si="52">SUM(J158:J161)</f>
        <v>246</v>
      </c>
      <c r="K162" s="31">
        <f>SUM(K158:K161)</f>
        <v>1</v>
      </c>
      <c r="L162" s="22">
        <f t="shared" ref="L162" si="53">SUM(L158:L161)</f>
        <v>674</v>
      </c>
      <c r="M162" s="31">
        <f>SUM(M158:M161)</f>
        <v>0.99999999999999989</v>
      </c>
      <c r="N162" s="22">
        <f>SUM(N156:N161)</f>
        <v>1947</v>
      </c>
      <c r="O162" s="31">
        <f>SUM(O156:O161)</f>
        <v>1</v>
      </c>
      <c r="P162" s="36"/>
      <c r="Q162" s="40"/>
      <c r="R162" s="40"/>
      <c r="S162" s="40"/>
      <c r="T162" s="37"/>
      <c r="U162" s="37"/>
      <c r="V162" s="37"/>
      <c r="W162" s="37"/>
      <c r="X162" s="37"/>
      <c r="Y162" s="37"/>
      <c r="Z162" s="37"/>
    </row>
    <row r="163" spans="1:26" x14ac:dyDescent="0.2">
      <c r="A163" s="26" t="s">
        <v>89</v>
      </c>
      <c r="B163" s="19"/>
      <c r="C163" s="54">
        <f>SUM(C158:C159)</f>
        <v>0.92263610315186251</v>
      </c>
      <c r="D163" s="19"/>
      <c r="E163" s="54">
        <f>SUM(E158:E159)</f>
        <v>0.93333333333333335</v>
      </c>
      <c r="F163" s="19"/>
      <c r="G163" s="54">
        <f>SUM(G158:G159)</f>
        <v>0.90322580645161299</v>
      </c>
      <c r="H163" s="19"/>
      <c r="I163" s="54">
        <f>SUM(I158:I159)</f>
        <v>0.9424860853432282</v>
      </c>
      <c r="J163" s="19"/>
      <c r="K163" s="54">
        <f>SUM(K158:K159)</f>
        <v>0.91056910569105698</v>
      </c>
      <c r="L163" s="19"/>
      <c r="M163" s="54">
        <f>SUM(M158:M159)</f>
        <v>0.93768545994065278</v>
      </c>
      <c r="N163" s="22"/>
      <c r="O163" s="54">
        <f>SUM(O158:O159)</f>
        <v>0.93066255778120188</v>
      </c>
      <c r="Z163" s="33"/>
    </row>
    <row r="164" spans="1:26" x14ac:dyDescent="0.2">
      <c r="A164" s="14"/>
      <c r="B164" s="4"/>
      <c r="G164" s="39"/>
      <c r="H164" s="36"/>
    </row>
    <row r="165" spans="1:26" ht="12" customHeight="1" x14ac:dyDescent="0.2">
      <c r="A165" s="121" t="s">
        <v>50</v>
      </c>
      <c r="B165" s="122" t="s">
        <v>100</v>
      </c>
      <c r="C165" s="122"/>
      <c r="D165" s="122" t="s">
        <v>80</v>
      </c>
      <c r="E165" s="122"/>
      <c r="F165" s="123" t="s">
        <v>136</v>
      </c>
      <c r="G165" s="123"/>
      <c r="H165" s="122" t="s">
        <v>82</v>
      </c>
      <c r="I165" s="122"/>
      <c r="J165" s="122" t="s">
        <v>81</v>
      </c>
      <c r="K165" s="122"/>
      <c r="L165" s="122" t="s">
        <v>98</v>
      </c>
      <c r="M165" s="122"/>
      <c r="N165" s="116" t="s">
        <v>1</v>
      </c>
      <c r="O165" s="116"/>
    </row>
    <row r="166" spans="1:26" x14ac:dyDescent="0.2">
      <c r="A166" s="20" t="s">
        <v>20</v>
      </c>
      <c r="B166" s="28">
        <v>223</v>
      </c>
      <c r="C166" s="29">
        <f>B166/B170</f>
        <v>0.63532763532763536</v>
      </c>
      <c r="D166" s="28">
        <v>12</v>
      </c>
      <c r="E166" s="29">
        <f>D166/D170</f>
        <v>0.8</v>
      </c>
      <c r="F166" s="28">
        <v>60</v>
      </c>
      <c r="G166" s="29">
        <f>F166/F170</f>
        <v>0.48</v>
      </c>
      <c r="H166" s="28">
        <v>346</v>
      </c>
      <c r="I166" s="29">
        <f>H166/H170</f>
        <v>0.64074074074074072</v>
      </c>
      <c r="J166" s="28">
        <v>124</v>
      </c>
      <c r="K166" s="29">
        <f>J166/J170</f>
        <v>0.5061224489795918</v>
      </c>
      <c r="L166" s="28">
        <v>392</v>
      </c>
      <c r="M166" s="29">
        <f>L166/L170</f>
        <v>0.58074074074074078</v>
      </c>
      <c r="N166" s="21">
        <f>B166+D166+F166+H166+J166+L166</f>
        <v>1157</v>
      </c>
      <c r="O166" s="29">
        <f>N166/N170</f>
        <v>0.59302921578677603</v>
      </c>
    </row>
    <row r="167" spans="1:26" x14ac:dyDescent="0.2">
      <c r="A167" s="20" t="s">
        <v>19</v>
      </c>
      <c r="B167" s="28">
        <v>126</v>
      </c>
      <c r="C167" s="29">
        <f>B167/B170</f>
        <v>0.35897435897435898</v>
      </c>
      <c r="D167" s="28">
        <v>3</v>
      </c>
      <c r="E167" s="29">
        <f>D167/D170</f>
        <v>0.2</v>
      </c>
      <c r="F167" s="28">
        <v>64</v>
      </c>
      <c r="G167" s="29">
        <f>F167/F170</f>
        <v>0.51200000000000001</v>
      </c>
      <c r="H167" s="28">
        <v>181</v>
      </c>
      <c r="I167" s="29">
        <f>H167/H170</f>
        <v>0.3351851851851852</v>
      </c>
      <c r="J167" s="28">
        <v>117</v>
      </c>
      <c r="K167" s="29">
        <f>J167/J170</f>
        <v>0.47755102040816327</v>
      </c>
      <c r="L167" s="28">
        <v>271</v>
      </c>
      <c r="M167" s="29">
        <f>L167/L170</f>
        <v>0.40148148148148149</v>
      </c>
      <c r="N167" s="21">
        <f>B167+D167+F167+H167+J167+L167</f>
        <v>762</v>
      </c>
      <c r="O167" s="29">
        <f>N167/N170</f>
        <v>0.39056893900563816</v>
      </c>
    </row>
    <row r="168" spans="1:26" x14ac:dyDescent="0.2">
      <c r="A168" s="20" t="s">
        <v>18</v>
      </c>
      <c r="B168" s="28">
        <v>2</v>
      </c>
      <c r="C168" s="29">
        <f>B168/B170</f>
        <v>5.6980056980056983E-3</v>
      </c>
      <c r="D168" s="28"/>
      <c r="E168" s="29">
        <f>D168/D170</f>
        <v>0</v>
      </c>
      <c r="F168" s="28"/>
      <c r="G168" s="29">
        <f>F168/F170</f>
        <v>0</v>
      </c>
      <c r="H168" s="28">
        <v>9</v>
      </c>
      <c r="I168" s="29">
        <f>H168/H170</f>
        <v>1.6666666666666666E-2</v>
      </c>
      <c r="J168" s="28">
        <v>3</v>
      </c>
      <c r="K168" s="29">
        <f>J168/J170</f>
        <v>1.2244897959183673E-2</v>
      </c>
      <c r="L168" s="28">
        <v>10</v>
      </c>
      <c r="M168" s="29">
        <f>L168/L170</f>
        <v>1.4814814814814815E-2</v>
      </c>
      <c r="N168" s="21">
        <f>B168+D168+F168+H168+J168+L168</f>
        <v>24</v>
      </c>
      <c r="O168" s="29">
        <f>N168/N170</f>
        <v>1.2301383905689391E-2</v>
      </c>
      <c r="T168" s="33"/>
      <c r="U168" s="33"/>
      <c r="V168" s="33"/>
      <c r="W168" s="33"/>
      <c r="X168" s="33"/>
      <c r="Y168" s="33"/>
    </row>
    <row r="169" spans="1:26" x14ac:dyDescent="0.2">
      <c r="A169" s="20" t="s">
        <v>17</v>
      </c>
      <c r="B169" s="28"/>
      <c r="C169" s="29">
        <f>B169/B170</f>
        <v>0</v>
      </c>
      <c r="D169" s="28"/>
      <c r="E169" s="29">
        <f>D169/D170</f>
        <v>0</v>
      </c>
      <c r="F169" s="28">
        <v>1</v>
      </c>
      <c r="G169" s="29">
        <f>F169/F170</f>
        <v>8.0000000000000002E-3</v>
      </c>
      <c r="H169" s="28">
        <v>4</v>
      </c>
      <c r="I169" s="29">
        <f>H169/H170</f>
        <v>7.4074074074074077E-3</v>
      </c>
      <c r="J169" s="28">
        <v>1</v>
      </c>
      <c r="K169" s="29">
        <f>J169/J170</f>
        <v>4.0816326530612249E-3</v>
      </c>
      <c r="L169" s="28">
        <v>2</v>
      </c>
      <c r="M169" s="29">
        <f>L169/L170</f>
        <v>2.9629629629629628E-3</v>
      </c>
      <c r="N169" s="21">
        <f>B169+D169+F169+H169+J169+L169</f>
        <v>8</v>
      </c>
      <c r="O169" s="29">
        <f>N169/N170</f>
        <v>4.1004613018964632E-3</v>
      </c>
    </row>
    <row r="170" spans="1:26" s="33" customFormat="1" x14ac:dyDescent="0.2">
      <c r="A170" s="26" t="s">
        <v>1</v>
      </c>
      <c r="B170" s="22">
        <f t="shared" ref="B170" si="54">SUM(B166:B169)</f>
        <v>351</v>
      </c>
      <c r="C170" s="31">
        <f>SUM(C166:C169)</f>
        <v>1</v>
      </c>
      <c r="D170" s="22">
        <f t="shared" ref="D170" si="55">SUM(D166:D169)</f>
        <v>15</v>
      </c>
      <c r="E170" s="31">
        <f>SUM(E166:E169)</f>
        <v>1</v>
      </c>
      <c r="F170" s="22">
        <f t="shared" ref="F170" si="56">SUM(F166:F169)</f>
        <v>125</v>
      </c>
      <c r="G170" s="31">
        <f>SUM(G166:G169)</f>
        <v>1</v>
      </c>
      <c r="H170" s="22">
        <f t="shared" ref="H170" si="57">SUM(H166:H169)</f>
        <v>540</v>
      </c>
      <c r="I170" s="31">
        <f>SUM(I166:I169)</f>
        <v>1</v>
      </c>
      <c r="J170" s="22">
        <f t="shared" ref="J170" si="58">SUM(J166:J169)</f>
        <v>245</v>
      </c>
      <c r="K170" s="31">
        <f>SUM(K166:K169)</f>
        <v>1</v>
      </c>
      <c r="L170" s="22">
        <f t="shared" ref="L170" si="59">SUM(L166:L169)</f>
        <v>675</v>
      </c>
      <c r="M170" s="31">
        <f>SUM(M166:M169)</f>
        <v>1.0000000000000002</v>
      </c>
      <c r="N170" s="22">
        <f>SUM(N164:N169)</f>
        <v>1951</v>
      </c>
      <c r="O170" s="31">
        <f>SUM(O164:O169)</f>
        <v>1</v>
      </c>
      <c r="P170" s="36"/>
      <c r="Q170" s="40"/>
      <c r="R170" s="40"/>
      <c r="S170" s="40"/>
      <c r="T170" s="37"/>
      <c r="U170" s="37"/>
      <c r="V170" s="37"/>
      <c r="W170" s="37"/>
      <c r="X170" s="37"/>
      <c r="Y170" s="37"/>
      <c r="Z170" s="37"/>
    </row>
    <row r="171" spans="1:26" x14ac:dyDescent="0.2">
      <c r="A171" s="26" t="s">
        <v>89</v>
      </c>
      <c r="B171" s="19"/>
      <c r="C171" s="54">
        <f>SUM(C166:C167)</f>
        <v>0.9943019943019944</v>
      </c>
      <c r="D171" s="19"/>
      <c r="E171" s="54">
        <f>SUM(E166:E167)</f>
        <v>1</v>
      </c>
      <c r="F171" s="19"/>
      <c r="G171" s="54">
        <f>SUM(G166:G167)</f>
        <v>0.99199999999999999</v>
      </c>
      <c r="H171" s="19"/>
      <c r="I171" s="54">
        <f>SUM(I166:I167)</f>
        <v>0.97592592592592586</v>
      </c>
      <c r="J171" s="19"/>
      <c r="K171" s="54">
        <f>SUM(K166:K167)</f>
        <v>0.98367346938775513</v>
      </c>
      <c r="L171" s="19"/>
      <c r="M171" s="54">
        <f>SUM(M166:M167)</f>
        <v>0.98222222222222233</v>
      </c>
      <c r="N171" s="22"/>
      <c r="O171" s="54">
        <f>SUM(O166:O167)</f>
        <v>0.98359815479241419</v>
      </c>
      <c r="Z171" s="33"/>
    </row>
    <row r="172" spans="1:26" x14ac:dyDescent="0.2">
      <c r="A172" s="14"/>
      <c r="B172" s="4"/>
      <c r="G172" s="39"/>
      <c r="H172" s="36"/>
    </row>
    <row r="173" spans="1:26" ht="12" customHeight="1" x14ac:dyDescent="0.2">
      <c r="A173" s="121" t="s">
        <v>51</v>
      </c>
      <c r="B173" s="122" t="s">
        <v>100</v>
      </c>
      <c r="C173" s="122"/>
      <c r="D173" s="122" t="s">
        <v>80</v>
      </c>
      <c r="E173" s="122"/>
      <c r="F173" s="123" t="s">
        <v>136</v>
      </c>
      <c r="G173" s="123"/>
      <c r="H173" s="122" t="s">
        <v>82</v>
      </c>
      <c r="I173" s="122"/>
      <c r="J173" s="122" t="s">
        <v>81</v>
      </c>
      <c r="K173" s="122"/>
      <c r="L173" s="122" t="s">
        <v>98</v>
      </c>
      <c r="M173" s="122"/>
      <c r="N173" s="116" t="s">
        <v>1</v>
      </c>
      <c r="O173" s="116"/>
    </row>
    <row r="174" spans="1:26" x14ac:dyDescent="0.2">
      <c r="A174" s="20" t="s">
        <v>20</v>
      </c>
      <c r="B174" s="28">
        <v>106</v>
      </c>
      <c r="C174" s="29">
        <f>B174/B178</f>
        <v>0.30372492836676218</v>
      </c>
      <c r="D174" s="28">
        <v>6</v>
      </c>
      <c r="E174" s="29">
        <f>D174/D178</f>
        <v>0.4</v>
      </c>
      <c r="F174" s="28">
        <v>52</v>
      </c>
      <c r="G174" s="29">
        <f>F174/F178</f>
        <v>0.41269841269841268</v>
      </c>
      <c r="H174" s="28">
        <v>161</v>
      </c>
      <c r="I174" s="29">
        <f>H174/H178</f>
        <v>0.29759704251386321</v>
      </c>
      <c r="J174" s="28">
        <v>88</v>
      </c>
      <c r="K174" s="29">
        <f>J174/J178</f>
        <v>0.35772357723577236</v>
      </c>
      <c r="L174" s="28">
        <v>196</v>
      </c>
      <c r="M174" s="29">
        <f>L174/L178</f>
        <v>0.29166666666666669</v>
      </c>
      <c r="N174" s="21">
        <f>B174+D174+F174+H174+J174+L174</f>
        <v>609</v>
      </c>
      <c r="O174" s="29">
        <f>N174/N178</f>
        <v>0.31246793227296049</v>
      </c>
    </row>
    <row r="175" spans="1:26" x14ac:dyDescent="0.2">
      <c r="A175" s="20" t="s">
        <v>19</v>
      </c>
      <c r="B175" s="28">
        <v>187</v>
      </c>
      <c r="C175" s="29">
        <f>B175/B178</f>
        <v>0.53581661891117482</v>
      </c>
      <c r="D175" s="28">
        <v>5</v>
      </c>
      <c r="E175" s="29">
        <f>D175/D178</f>
        <v>0.33333333333333331</v>
      </c>
      <c r="F175" s="28">
        <v>54</v>
      </c>
      <c r="G175" s="29">
        <f>F175/F178</f>
        <v>0.42857142857142855</v>
      </c>
      <c r="H175" s="28">
        <v>277</v>
      </c>
      <c r="I175" s="29">
        <f>H175/H178</f>
        <v>0.51201478743068396</v>
      </c>
      <c r="J175" s="28">
        <v>125</v>
      </c>
      <c r="K175" s="29">
        <f>J175/J178</f>
        <v>0.50813008130081305</v>
      </c>
      <c r="L175" s="28">
        <v>354</v>
      </c>
      <c r="M175" s="29">
        <f>L175/L178</f>
        <v>0.5267857142857143</v>
      </c>
      <c r="N175" s="21">
        <f>B175+D175+F175+H175+J175+L175</f>
        <v>1002</v>
      </c>
      <c r="O175" s="29">
        <f>N175/N178</f>
        <v>0.51410979989738326</v>
      </c>
    </row>
    <row r="176" spans="1:26" x14ac:dyDescent="0.2">
      <c r="A176" s="20" t="s">
        <v>18</v>
      </c>
      <c r="B176" s="28">
        <v>48</v>
      </c>
      <c r="C176" s="29">
        <f>B176/B178</f>
        <v>0.13753581661891118</v>
      </c>
      <c r="D176" s="28">
        <v>1</v>
      </c>
      <c r="E176" s="29">
        <f>D176/D178</f>
        <v>6.6666666666666666E-2</v>
      </c>
      <c r="F176" s="28">
        <v>14</v>
      </c>
      <c r="G176" s="29">
        <f>F176/F178</f>
        <v>0.1111111111111111</v>
      </c>
      <c r="H176" s="28">
        <v>89</v>
      </c>
      <c r="I176" s="29">
        <f>H176/H178</f>
        <v>0.16451016635859519</v>
      </c>
      <c r="J176" s="28">
        <v>29</v>
      </c>
      <c r="K176" s="29">
        <f>J176/J178</f>
        <v>0.11788617886178862</v>
      </c>
      <c r="L176" s="28">
        <v>109</v>
      </c>
      <c r="M176" s="29">
        <f>L176/L178</f>
        <v>0.16220238095238096</v>
      </c>
      <c r="N176" s="21">
        <f>B176+D176+F176+H176+J176+L176</f>
        <v>290</v>
      </c>
      <c r="O176" s="29">
        <f>N176/N178</f>
        <v>0.14879425346331451</v>
      </c>
      <c r="T176" s="33"/>
      <c r="U176" s="33"/>
      <c r="V176" s="33"/>
      <c r="W176" s="33"/>
      <c r="X176" s="33"/>
      <c r="Y176" s="33"/>
    </row>
    <row r="177" spans="1:26" x14ac:dyDescent="0.2">
      <c r="A177" s="20" t="s">
        <v>17</v>
      </c>
      <c r="B177" s="28">
        <v>8</v>
      </c>
      <c r="C177" s="29">
        <f>B177/B178</f>
        <v>2.2922636103151862E-2</v>
      </c>
      <c r="D177" s="28">
        <v>3</v>
      </c>
      <c r="E177" s="29">
        <f>D177/D178</f>
        <v>0.2</v>
      </c>
      <c r="F177" s="28">
        <v>6</v>
      </c>
      <c r="G177" s="29">
        <f>F177/F178</f>
        <v>4.7619047619047616E-2</v>
      </c>
      <c r="H177" s="28">
        <v>14</v>
      </c>
      <c r="I177" s="29">
        <f>H177/H178</f>
        <v>2.5878003696857672E-2</v>
      </c>
      <c r="J177" s="28">
        <v>4</v>
      </c>
      <c r="K177" s="29">
        <f>J177/J178</f>
        <v>1.6260162601626018E-2</v>
      </c>
      <c r="L177" s="28">
        <v>13</v>
      </c>
      <c r="M177" s="29">
        <f>L177/L178</f>
        <v>1.9345238095238096E-2</v>
      </c>
      <c r="N177" s="21">
        <f>B177+D177+F177+H177+J177+L177</f>
        <v>48</v>
      </c>
      <c r="O177" s="29">
        <f>N177/N178</f>
        <v>2.4628014366341714E-2</v>
      </c>
    </row>
    <row r="178" spans="1:26" s="33" customFormat="1" x14ac:dyDescent="0.2">
      <c r="A178" s="26" t="s">
        <v>1</v>
      </c>
      <c r="B178" s="22">
        <f t="shared" ref="B178" si="60">SUM(B174:B177)</f>
        <v>349</v>
      </c>
      <c r="C178" s="31">
        <f>SUM(C174:C177)</f>
        <v>1</v>
      </c>
      <c r="D178" s="22">
        <f t="shared" ref="D178" si="61">SUM(D174:D177)</f>
        <v>15</v>
      </c>
      <c r="E178" s="31">
        <f>SUM(E174:E177)</f>
        <v>1</v>
      </c>
      <c r="F178" s="22">
        <f t="shared" ref="F178" si="62">SUM(F174:F177)</f>
        <v>126</v>
      </c>
      <c r="G178" s="31">
        <f>SUM(G174:G177)</f>
        <v>1</v>
      </c>
      <c r="H178" s="22">
        <f t="shared" ref="H178" si="63">SUM(H174:H177)</f>
        <v>541</v>
      </c>
      <c r="I178" s="31">
        <f>SUM(I174:I177)</f>
        <v>1</v>
      </c>
      <c r="J178" s="22">
        <f t="shared" ref="J178" si="64">SUM(J174:J177)</f>
        <v>246</v>
      </c>
      <c r="K178" s="31">
        <f>SUM(K174:K177)</f>
        <v>1.0000000000000002</v>
      </c>
      <c r="L178" s="22">
        <f t="shared" ref="L178" si="65">SUM(L174:L177)</f>
        <v>672</v>
      </c>
      <c r="M178" s="31">
        <f>SUM(M174:M177)</f>
        <v>1</v>
      </c>
      <c r="N178" s="22">
        <f>SUM(N172:N177)</f>
        <v>1949</v>
      </c>
      <c r="O178" s="31">
        <f>SUM(O172:O177)</f>
        <v>1</v>
      </c>
      <c r="P178" s="36"/>
      <c r="Q178" s="40"/>
      <c r="R178" s="40"/>
      <c r="S178" s="40"/>
      <c r="T178" s="37"/>
      <c r="U178" s="37"/>
      <c r="V178" s="37"/>
      <c r="W178" s="37"/>
      <c r="X178" s="37"/>
      <c r="Y178" s="37"/>
      <c r="Z178" s="37"/>
    </row>
    <row r="179" spans="1:26" x14ac:dyDescent="0.2">
      <c r="A179" s="26" t="s">
        <v>89</v>
      </c>
      <c r="B179" s="19"/>
      <c r="C179" s="54">
        <f>SUM(C174:C175)</f>
        <v>0.83954154727793706</v>
      </c>
      <c r="D179" s="19"/>
      <c r="E179" s="54">
        <f>SUM(E174:E175)</f>
        <v>0.73333333333333339</v>
      </c>
      <c r="F179" s="19"/>
      <c r="G179" s="54">
        <f>SUM(G174:G175)</f>
        <v>0.84126984126984117</v>
      </c>
      <c r="H179" s="19"/>
      <c r="I179" s="54">
        <f>SUM(I174:I175)</f>
        <v>0.80961182994454717</v>
      </c>
      <c r="J179" s="19"/>
      <c r="K179" s="54">
        <f>SUM(K174:K175)</f>
        <v>0.86585365853658547</v>
      </c>
      <c r="L179" s="19"/>
      <c r="M179" s="54">
        <f>SUM(M174:M175)</f>
        <v>0.81845238095238093</v>
      </c>
      <c r="N179" s="22"/>
      <c r="O179" s="54">
        <f>SUM(O174:O175)</f>
        <v>0.8265777321703438</v>
      </c>
      <c r="Z179" s="33"/>
    </row>
    <row r="180" spans="1:26" x14ac:dyDescent="0.2">
      <c r="A180" s="14"/>
      <c r="B180" s="4"/>
      <c r="G180" s="39"/>
      <c r="H180" s="36"/>
    </row>
    <row r="181" spans="1:26" ht="24" x14ac:dyDescent="0.2">
      <c r="A181" s="121" t="s">
        <v>52</v>
      </c>
      <c r="B181" s="122" t="s">
        <v>100</v>
      </c>
      <c r="C181" s="122"/>
      <c r="D181" s="122" t="s">
        <v>80</v>
      </c>
      <c r="E181" s="122"/>
      <c r="F181" s="123" t="s">
        <v>136</v>
      </c>
      <c r="G181" s="123"/>
      <c r="H181" s="122" t="s">
        <v>82</v>
      </c>
      <c r="I181" s="122"/>
      <c r="J181" s="122" t="s">
        <v>81</v>
      </c>
      <c r="K181" s="122"/>
      <c r="L181" s="122" t="s">
        <v>98</v>
      </c>
      <c r="M181" s="122"/>
      <c r="N181" s="116" t="s">
        <v>1</v>
      </c>
      <c r="O181" s="116"/>
    </row>
    <row r="182" spans="1:26" x14ac:dyDescent="0.2">
      <c r="A182" s="20" t="s">
        <v>20</v>
      </c>
      <c r="B182" s="28">
        <v>171</v>
      </c>
      <c r="C182" s="29">
        <f>B182/B186</f>
        <v>0.48579545454545453</v>
      </c>
      <c r="D182" s="28">
        <v>6</v>
      </c>
      <c r="E182" s="29">
        <f>D182/D186</f>
        <v>0.4</v>
      </c>
      <c r="F182" s="28">
        <v>48</v>
      </c>
      <c r="G182" s="29">
        <f>F182/F186</f>
        <v>0.38400000000000001</v>
      </c>
      <c r="H182" s="28">
        <v>240</v>
      </c>
      <c r="I182" s="29">
        <f>H182/H186</f>
        <v>0.44362292051756008</v>
      </c>
      <c r="J182" s="28">
        <v>99</v>
      </c>
      <c r="K182" s="29">
        <f>J182/J186</f>
        <v>0.40740740740740738</v>
      </c>
      <c r="L182" s="28">
        <v>323</v>
      </c>
      <c r="M182" s="29">
        <f>L182/L186</f>
        <v>0.47851851851851851</v>
      </c>
      <c r="N182" s="21">
        <f>B182+D182+F182+H182+J182+L182</f>
        <v>887</v>
      </c>
      <c r="O182" s="29">
        <f>N182/N186</f>
        <v>0.45463864684777039</v>
      </c>
    </row>
    <row r="183" spans="1:26" x14ac:dyDescent="0.2">
      <c r="A183" s="20" t="s">
        <v>19</v>
      </c>
      <c r="B183" s="28">
        <v>168</v>
      </c>
      <c r="C183" s="29">
        <f>B183/B186</f>
        <v>0.47727272727272729</v>
      </c>
      <c r="D183" s="28">
        <v>7</v>
      </c>
      <c r="E183" s="29">
        <f>D183/D186</f>
        <v>0.46666666666666667</v>
      </c>
      <c r="F183" s="28">
        <v>64</v>
      </c>
      <c r="G183" s="29">
        <f>F183/F186</f>
        <v>0.51200000000000001</v>
      </c>
      <c r="H183" s="28">
        <v>290</v>
      </c>
      <c r="I183" s="29">
        <f>H183/H186</f>
        <v>0.53604436229205177</v>
      </c>
      <c r="J183" s="28">
        <v>129</v>
      </c>
      <c r="K183" s="29">
        <f>J183/J186</f>
        <v>0.53086419753086422</v>
      </c>
      <c r="L183" s="28">
        <v>335</v>
      </c>
      <c r="M183" s="29">
        <f>L183/L186</f>
        <v>0.49629629629629629</v>
      </c>
      <c r="N183" s="21">
        <f>B183+D183+F183+H183+J183+L183</f>
        <v>993</v>
      </c>
      <c r="O183" s="29">
        <f>N183/N186</f>
        <v>0.50896975909789854</v>
      </c>
    </row>
    <row r="184" spans="1:26" x14ac:dyDescent="0.2">
      <c r="A184" s="20" t="s">
        <v>18</v>
      </c>
      <c r="B184" s="28">
        <v>10</v>
      </c>
      <c r="C184" s="29">
        <f>B184/B186</f>
        <v>2.8409090909090908E-2</v>
      </c>
      <c r="D184" s="28">
        <v>2</v>
      </c>
      <c r="E184" s="29">
        <f>D184/D186</f>
        <v>0.13333333333333333</v>
      </c>
      <c r="F184" s="28">
        <v>9</v>
      </c>
      <c r="G184" s="29">
        <f>F184/F186</f>
        <v>7.1999999999999995E-2</v>
      </c>
      <c r="H184" s="28">
        <v>10</v>
      </c>
      <c r="I184" s="29">
        <f>H184/H186</f>
        <v>1.8484288354898338E-2</v>
      </c>
      <c r="J184" s="28">
        <v>10</v>
      </c>
      <c r="K184" s="29">
        <f>J184/J186</f>
        <v>4.1152263374485597E-2</v>
      </c>
      <c r="L184" s="28">
        <v>11</v>
      </c>
      <c r="M184" s="29">
        <f>L184/L186</f>
        <v>1.6296296296296295E-2</v>
      </c>
      <c r="N184" s="21">
        <f>B184+D184+F184+H184+J184+L184</f>
        <v>52</v>
      </c>
      <c r="O184" s="29">
        <f>N184/N186</f>
        <v>2.6652998462327011E-2</v>
      </c>
      <c r="T184" s="33"/>
      <c r="U184" s="33"/>
      <c r="V184" s="33"/>
      <c r="W184" s="33"/>
      <c r="X184" s="33"/>
      <c r="Y184" s="33"/>
    </row>
    <row r="185" spans="1:26" x14ac:dyDescent="0.2">
      <c r="A185" s="20" t="s">
        <v>17</v>
      </c>
      <c r="B185" s="28">
        <v>3</v>
      </c>
      <c r="C185" s="29">
        <f>B185/B186</f>
        <v>8.5227272727272721E-3</v>
      </c>
      <c r="D185" s="28"/>
      <c r="E185" s="29">
        <f>D185/D186</f>
        <v>0</v>
      </c>
      <c r="F185" s="28">
        <v>4</v>
      </c>
      <c r="G185" s="29">
        <f>F185/F186</f>
        <v>3.2000000000000001E-2</v>
      </c>
      <c r="H185" s="28">
        <v>1</v>
      </c>
      <c r="I185" s="29">
        <f>H185/H186</f>
        <v>1.8484288354898336E-3</v>
      </c>
      <c r="J185" s="28">
        <v>5</v>
      </c>
      <c r="K185" s="29">
        <f>J185/J186</f>
        <v>2.0576131687242798E-2</v>
      </c>
      <c r="L185" s="28">
        <v>6</v>
      </c>
      <c r="M185" s="29">
        <f>L185/L186</f>
        <v>8.8888888888888889E-3</v>
      </c>
      <c r="N185" s="21">
        <f>B185+D185+F185+H185+J185+L185</f>
        <v>19</v>
      </c>
      <c r="O185" s="29">
        <f>N185/N186</f>
        <v>9.7385955920041012E-3</v>
      </c>
    </row>
    <row r="186" spans="1:26" s="33" customFormat="1" x14ac:dyDescent="0.2">
      <c r="A186" s="26" t="s">
        <v>1</v>
      </c>
      <c r="B186" s="22">
        <f t="shared" ref="B186" si="66">SUM(B182:B185)</f>
        <v>352</v>
      </c>
      <c r="C186" s="31">
        <f>SUM(C182:C185)</f>
        <v>1</v>
      </c>
      <c r="D186" s="22">
        <f t="shared" ref="D186" si="67">SUM(D182:D185)</f>
        <v>15</v>
      </c>
      <c r="E186" s="31">
        <f>SUM(E182:E185)</f>
        <v>1</v>
      </c>
      <c r="F186" s="22">
        <f t="shared" ref="F186" si="68">SUM(F182:F185)</f>
        <v>125</v>
      </c>
      <c r="G186" s="31">
        <f>SUM(G182:G185)</f>
        <v>1</v>
      </c>
      <c r="H186" s="22">
        <f t="shared" ref="H186" si="69">SUM(H182:H185)</f>
        <v>541</v>
      </c>
      <c r="I186" s="31">
        <f>SUM(I182:I185)</f>
        <v>1</v>
      </c>
      <c r="J186" s="22">
        <f t="shared" ref="J186" si="70">SUM(J182:J185)</f>
        <v>243</v>
      </c>
      <c r="K186" s="31">
        <f>SUM(K182:K185)</f>
        <v>1</v>
      </c>
      <c r="L186" s="22">
        <f t="shared" ref="L186" si="71">SUM(L182:L185)</f>
        <v>675</v>
      </c>
      <c r="M186" s="31">
        <f>SUM(M182:M185)</f>
        <v>0.99999999999999989</v>
      </c>
      <c r="N186" s="22">
        <f>SUM(N180:N185)</f>
        <v>1951</v>
      </c>
      <c r="O186" s="31">
        <f>SUM(O180:O185)</f>
        <v>1</v>
      </c>
      <c r="P186" s="36"/>
      <c r="Q186" s="40"/>
      <c r="R186" s="40"/>
      <c r="S186" s="40"/>
      <c r="T186" s="37"/>
      <c r="U186" s="37"/>
      <c r="V186" s="37"/>
      <c r="W186" s="37"/>
      <c r="X186" s="37"/>
      <c r="Y186" s="37"/>
      <c r="Z186" s="37"/>
    </row>
    <row r="187" spans="1:26" x14ac:dyDescent="0.2">
      <c r="A187" s="26" t="s">
        <v>89</v>
      </c>
      <c r="B187" s="19"/>
      <c r="C187" s="54">
        <f>SUM(C182:C183)</f>
        <v>0.96306818181818188</v>
      </c>
      <c r="D187" s="19"/>
      <c r="E187" s="54">
        <f>SUM(E182:E183)</f>
        <v>0.8666666666666667</v>
      </c>
      <c r="F187" s="19"/>
      <c r="G187" s="54">
        <f>SUM(G182:G183)</f>
        <v>0.89600000000000002</v>
      </c>
      <c r="H187" s="19"/>
      <c r="I187" s="54">
        <f>SUM(I182:I183)</f>
        <v>0.97966728280961179</v>
      </c>
      <c r="J187" s="19"/>
      <c r="K187" s="54">
        <f>SUM(K182:K183)</f>
        <v>0.93827160493827155</v>
      </c>
      <c r="L187" s="19"/>
      <c r="M187" s="54">
        <f>SUM(M182:M183)</f>
        <v>0.9748148148148148</v>
      </c>
      <c r="N187" s="22"/>
      <c r="O187" s="54">
        <f>SUM(O182:O183)</f>
        <v>0.96360840594566888</v>
      </c>
      <c r="Z187" s="33"/>
    </row>
    <row r="188" spans="1:26" x14ac:dyDescent="0.2">
      <c r="A188" s="14"/>
      <c r="B188" s="4"/>
      <c r="G188" s="39"/>
      <c r="H188" s="36"/>
    </row>
    <row r="189" spans="1:26" ht="15" x14ac:dyDescent="0.2">
      <c r="A189" s="81" t="s">
        <v>53</v>
      </c>
      <c r="B189" s="83"/>
      <c r="C189" s="82"/>
      <c r="H189" s="36"/>
    </row>
    <row r="190" spans="1:26" ht="12" customHeight="1" x14ac:dyDescent="0.2">
      <c r="A190" s="121" t="s">
        <v>58</v>
      </c>
      <c r="B190" s="122" t="s">
        <v>100</v>
      </c>
      <c r="C190" s="122"/>
      <c r="D190" s="122" t="s">
        <v>80</v>
      </c>
      <c r="E190" s="122"/>
      <c r="F190" s="123" t="s">
        <v>136</v>
      </c>
      <c r="G190" s="123"/>
      <c r="H190" s="122" t="s">
        <v>82</v>
      </c>
      <c r="I190" s="122"/>
      <c r="J190" s="122" t="s">
        <v>81</v>
      </c>
      <c r="K190" s="122"/>
      <c r="L190" s="122" t="s">
        <v>98</v>
      </c>
      <c r="M190" s="122"/>
      <c r="N190" s="116" t="s">
        <v>1</v>
      </c>
      <c r="O190" s="116"/>
    </row>
    <row r="191" spans="1:26" x14ac:dyDescent="0.2">
      <c r="A191" s="20" t="s">
        <v>57</v>
      </c>
      <c r="B191" s="28">
        <v>86</v>
      </c>
      <c r="C191" s="29">
        <f>B191/B195</f>
        <v>0.33076923076923076</v>
      </c>
      <c r="D191" s="28">
        <v>7</v>
      </c>
      <c r="E191" s="29">
        <f>D191/D195</f>
        <v>0.58333333333333337</v>
      </c>
      <c r="F191" s="28">
        <v>31</v>
      </c>
      <c r="G191" s="29">
        <f>F191/F195</f>
        <v>0.33695652173913043</v>
      </c>
      <c r="H191" s="28">
        <v>141</v>
      </c>
      <c r="I191" s="29">
        <f>H191/H195</f>
        <v>0.32867132867132864</v>
      </c>
      <c r="J191" s="28">
        <v>63</v>
      </c>
      <c r="K191" s="29">
        <f>J191/J195</f>
        <v>0.34615384615384615</v>
      </c>
      <c r="L191" s="28">
        <v>180</v>
      </c>
      <c r="M191" s="29">
        <f>L191/L195</f>
        <v>0.34351145038167941</v>
      </c>
      <c r="N191" s="21">
        <f>B191+D191+F191+H191+J191+L191</f>
        <v>508</v>
      </c>
      <c r="O191" s="29">
        <f>N191/N195</f>
        <v>0.3388925950633756</v>
      </c>
    </row>
    <row r="192" spans="1:26" x14ac:dyDescent="0.2">
      <c r="A192" s="20" t="s">
        <v>56</v>
      </c>
      <c r="B192" s="28">
        <v>155</v>
      </c>
      <c r="C192" s="29">
        <f>B192/B195</f>
        <v>0.59615384615384615</v>
      </c>
      <c r="D192" s="28">
        <v>5</v>
      </c>
      <c r="E192" s="29">
        <f>D192/D195</f>
        <v>0.41666666666666669</v>
      </c>
      <c r="F192" s="28">
        <v>52</v>
      </c>
      <c r="G192" s="29">
        <f>F192/F195</f>
        <v>0.56521739130434778</v>
      </c>
      <c r="H192" s="28">
        <v>272</v>
      </c>
      <c r="I192" s="29">
        <f>H192/H195</f>
        <v>0.63403263403263399</v>
      </c>
      <c r="J192" s="28">
        <v>107</v>
      </c>
      <c r="K192" s="29">
        <f>J192/J195</f>
        <v>0.58791208791208793</v>
      </c>
      <c r="L192" s="28">
        <v>315</v>
      </c>
      <c r="M192" s="29">
        <f>L192/L195</f>
        <v>0.60114503816793896</v>
      </c>
      <c r="N192" s="21">
        <f>B192+D192+F192+H192+J192+L192</f>
        <v>906</v>
      </c>
      <c r="O192" s="29">
        <f>N192/N195</f>
        <v>0.60440293529019351</v>
      </c>
      <c r="T192" s="33"/>
      <c r="U192" s="33"/>
      <c r="V192" s="33"/>
      <c r="W192" s="33"/>
      <c r="X192" s="33"/>
      <c r="Y192" s="33"/>
    </row>
    <row r="193" spans="1:25" x14ac:dyDescent="0.2">
      <c r="A193" s="20" t="s">
        <v>55</v>
      </c>
      <c r="B193" s="28">
        <v>17</v>
      </c>
      <c r="C193" s="29">
        <f>B193/B195</f>
        <v>6.5384615384615388E-2</v>
      </c>
      <c r="D193" s="28"/>
      <c r="E193" s="29">
        <f>D193/D195</f>
        <v>0</v>
      </c>
      <c r="F193" s="28">
        <v>7</v>
      </c>
      <c r="G193" s="29">
        <f>F193/F195</f>
        <v>7.6086956521739135E-2</v>
      </c>
      <c r="H193" s="28">
        <v>16</v>
      </c>
      <c r="I193" s="29">
        <f>H193/H195</f>
        <v>3.7296037296037296E-2</v>
      </c>
      <c r="J193" s="28">
        <v>8</v>
      </c>
      <c r="K193" s="29">
        <f>J193/J195</f>
        <v>4.3956043956043959E-2</v>
      </c>
      <c r="L193" s="28">
        <v>23</v>
      </c>
      <c r="M193" s="29">
        <f>L193/L195</f>
        <v>4.3893129770992363E-2</v>
      </c>
      <c r="N193" s="21">
        <f>B193+D193+F193+H193+J193+L193</f>
        <v>71</v>
      </c>
      <c r="O193" s="29">
        <f>N193/N195</f>
        <v>4.7364909939959975E-2</v>
      </c>
    </row>
    <row r="194" spans="1:25" x14ac:dyDescent="0.2">
      <c r="A194" s="20" t="s">
        <v>54</v>
      </c>
      <c r="B194" s="28">
        <v>2</v>
      </c>
      <c r="C194" s="29">
        <f>B194/B195</f>
        <v>7.6923076923076927E-3</v>
      </c>
      <c r="D194" s="28"/>
      <c r="E194" s="29">
        <f>D194/D195</f>
        <v>0</v>
      </c>
      <c r="F194" s="28">
        <v>2</v>
      </c>
      <c r="G194" s="29">
        <f>F194/F195</f>
        <v>2.1739130434782608E-2</v>
      </c>
      <c r="H194" s="28"/>
      <c r="I194" s="29">
        <f>H194/H195</f>
        <v>0</v>
      </c>
      <c r="J194" s="28">
        <v>4</v>
      </c>
      <c r="K194" s="29">
        <f>J194/J195</f>
        <v>2.197802197802198E-2</v>
      </c>
      <c r="L194" s="28">
        <v>6</v>
      </c>
      <c r="M194" s="29">
        <f>L194/L195</f>
        <v>1.1450381679389313E-2</v>
      </c>
      <c r="N194" s="21">
        <f>B194+D194+F194+H194+J194+L194</f>
        <v>14</v>
      </c>
      <c r="O194" s="29">
        <f>N194/N195</f>
        <v>9.3395597064709814E-3</v>
      </c>
    </row>
    <row r="195" spans="1:25" s="33" customFormat="1" x14ac:dyDescent="0.2">
      <c r="A195" s="26" t="s">
        <v>1</v>
      </c>
      <c r="B195" s="22">
        <f t="shared" ref="B195:L195" si="72">SUM(B191:B194)</f>
        <v>260</v>
      </c>
      <c r="C195" s="31">
        <f>SUM(C191:C194)</f>
        <v>1</v>
      </c>
      <c r="D195" s="22">
        <f t="shared" si="72"/>
        <v>12</v>
      </c>
      <c r="E195" s="31">
        <f>SUM(E191:E194)</f>
        <v>1</v>
      </c>
      <c r="F195" s="22">
        <f t="shared" si="72"/>
        <v>92</v>
      </c>
      <c r="G195" s="31">
        <f>SUM(G191:G194)</f>
        <v>1</v>
      </c>
      <c r="H195" s="22">
        <f t="shared" si="72"/>
        <v>429</v>
      </c>
      <c r="I195" s="31">
        <f>SUM(I191:I194)</f>
        <v>0.99999999999999989</v>
      </c>
      <c r="J195" s="22">
        <f t="shared" si="72"/>
        <v>182</v>
      </c>
      <c r="K195" s="31">
        <f>SUM(K191:K194)</f>
        <v>1</v>
      </c>
      <c r="L195" s="22">
        <f t="shared" si="72"/>
        <v>524</v>
      </c>
      <c r="M195" s="31">
        <f>SUM(M191:M194)</f>
        <v>1</v>
      </c>
      <c r="N195" s="22">
        <f>SUM(N189:N194)</f>
        <v>1499</v>
      </c>
      <c r="O195" s="31">
        <f>SUM(O189:O194)</f>
        <v>1</v>
      </c>
      <c r="P195" s="36"/>
      <c r="Q195" s="40"/>
      <c r="R195" s="40"/>
      <c r="S195" s="40"/>
      <c r="T195" s="37"/>
      <c r="U195" s="37"/>
      <c r="V195" s="37"/>
      <c r="W195" s="37"/>
      <c r="X195" s="37"/>
      <c r="Y195" s="37"/>
    </row>
    <row r="196" spans="1:25" ht="24" x14ac:dyDescent="0.2">
      <c r="A196" s="26" t="s">
        <v>91</v>
      </c>
      <c r="B196" s="19"/>
      <c r="C196" s="54">
        <f>SUM(C191:C192)</f>
        <v>0.92692307692307696</v>
      </c>
      <c r="D196" s="19"/>
      <c r="E196" s="54">
        <f>SUM(E191:E192)</f>
        <v>1</v>
      </c>
      <c r="F196" s="19"/>
      <c r="G196" s="54">
        <f>SUM(G191:G192)</f>
        <v>0.90217391304347827</v>
      </c>
      <c r="H196" s="19"/>
      <c r="I196" s="54">
        <f>SUM(I191:I192)</f>
        <v>0.96270396270396263</v>
      </c>
      <c r="J196" s="19"/>
      <c r="K196" s="54">
        <f>SUM(K191:K192)</f>
        <v>0.93406593406593408</v>
      </c>
      <c r="L196" s="19"/>
      <c r="M196" s="54">
        <f>SUM(M191:M192)</f>
        <v>0.94465648854961837</v>
      </c>
      <c r="N196" s="22"/>
      <c r="O196" s="54">
        <f>SUM(O191:O192)</f>
        <v>0.94329553035356906</v>
      </c>
    </row>
    <row r="197" spans="1:25" x14ac:dyDescent="0.2">
      <c r="A197" s="14"/>
      <c r="B197" s="1"/>
      <c r="H197" s="36"/>
      <c r="O197" s="36" t="s">
        <v>0</v>
      </c>
    </row>
    <row r="198" spans="1:25" ht="12" customHeight="1" x14ac:dyDescent="0.2">
      <c r="A198" s="121" t="s">
        <v>59</v>
      </c>
      <c r="B198" s="122" t="s">
        <v>100</v>
      </c>
      <c r="C198" s="122"/>
      <c r="D198" s="122" t="s">
        <v>80</v>
      </c>
      <c r="E198" s="122"/>
      <c r="F198" s="123" t="s">
        <v>136</v>
      </c>
      <c r="G198" s="123"/>
      <c r="H198" s="122" t="s">
        <v>82</v>
      </c>
      <c r="I198" s="122"/>
      <c r="J198" s="122" t="s">
        <v>81</v>
      </c>
      <c r="K198" s="122"/>
      <c r="L198" s="122" t="s">
        <v>98</v>
      </c>
      <c r="M198" s="122"/>
      <c r="N198" s="116" t="s">
        <v>1</v>
      </c>
      <c r="O198" s="116"/>
    </row>
    <row r="199" spans="1:25" x14ac:dyDescent="0.2">
      <c r="A199" s="20" t="s">
        <v>57</v>
      </c>
      <c r="B199" s="28">
        <v>106</v>
      </c>
      <c r="C199" s="29">
        <f>B199/B203</f>
        <v>0.41085271317829458</v>
      </c>
      <c r="D199" s="28">
        <v>5</v>
      </c>
      <c r="E199" s="29">
        <f>D199/D203</f>
        <v>0.45454545454545453</v>
      </c>
      <c r="F199" s="28">
        <v>34</v>
      </c>
      <c r="G199" s="29">
        <f>F199/F203</f>
        <v>0.36559139784946237</v>
      </c>
      <c r="H199" s="28">
        <v>162</v>
      </c>
      <c r="I199" s="29">
        <f>H199/H203</f>
        <v>0.37587006960556846</v>
      </c>
      <c r="J199" s="28">
        <v>71</v>
      </c>
      <c r="K199" s="29">
        <f>J199/J203</f>
        <v>0.37967914438502676</v>
      </c>
      <c r="L199" s="28">
        <v>206</v>
      </c>
      <c r="M199" s="29">
        <f>L199/L203</f>
        <v>0.38504672897196263</v>
      </c>
      <c r="N199" s="21">
        <f>B199+D199+F199+H199+J199+L199</f>
        <v>584</v>
      </c>
      <c r="O199" s="29">
        <f>N199/N203</f>
        <v>0.38547854785478547</v>
      </c>
    </row>
    <row r="200" spans="1:25" x14ac:dyDescent="0.2">
      <c r="A200" s="20" t="s">
        <v>56</v>
      </c>
      <c r="B200" s="28">
        <v>141</v>
      </c>
      <c r="C200" s="29">
        <f>B200/B203</f>
        <v>0.54651162790697672</v>
      </c>
      <c r="D200" s="28">
        <v>6</v>
      </c>
      <c r="E200" s="29">
        <f>D200/D203</f>
        <v>0.54545454545454541</v>
      </c>
      <c r="F200" s="28">
        <v>51</v>
      </c>
      <c r="G200" s="29">
        <f>F200/F203</f>
        <v>0.54838709677419351</v>
      </c>
      <c r="H200" s="28">
        <v>250</v>
      </c>
      <c r="I200" s="29">
        <f>H200/H203</f>
        <v>0.58004640371229699</v>
      </c>
      <c r="J200" s="28">
        <v>106</v>
      </c>
      <c r="K200" s="29">
        <f>J200/J203</f>
        <v>0.5668449197860963</v>
      </c>
      <c r="L200" s="28">
        <v>304</v>
      </c>
      <c r="M200" s="29">
        <f>L200/L203</f>
        <v>0.5682242990654206</v>
      </c>
      <c r="N200" s="21">
        <f>B200+D200+F200+H200+J200+L200</f>
        <v>858</v>
      </c>
      <c r="O200" s="29">
        <f>N200/N203</f>
        <v>0.56633663366336628</v>
      </c>
      <c r="T200" s="33"/>
      <c r="U200" s="33"/>
      <c r="V200" s="33"/>
      <c r="W200" s="33"/>
      <c r="X200" s="33"/>
      <c r="Y200" s="33"/>
    </row>
    <row r="201" spans="1:25" x14ac:dyDescent="0.2">
      <c r="A201" s="20" t="s">
        <v>55</v>
      </c>
      <c r="B201" s="28">
        <v>9</v>
      </c>
      <c r="C201" s="29">
        <f>B201/B203</f>
        <v>3.4883720930232558E-2</v>
      </c>
      <c r="D201" s="28"/>
      <c r="E201" s="29">
        <f>D201/D203</f>
        <v>0</v>
      </c>
      <c r="F201" s="28">
        <v>8</v>
      </c>
      <c r="G201" s="29">
        <f>F201/F203</f>
        <v>8.6021505376344093E-2</v>
      </c>
      <c r="H201" s="28">
        <v>17</v>
      </c>
      <c r="I201" s="29">
        <f>H201/H203</f>
        <v>3.9443155452436193E-2</v>
      </c>
      <c r="J201" s="28">
        <v>7</v>
      </c>
      <c r="K201" s="29">
        <f>J201/J203</f>
        <v>3.7433155080213901E-2</v>
      </c>
      <c r="L201" s="28">
        <v>21</v>
      </c>
      <c r="M201" s="29">
        <f>L201/L203</f>
        <v>3.925233644859813E-2</v>
      </c>
      <c r="N201" s="21">
        <f>B201+D201+F201+H201+J201+L201</f>
        <v>62</v>
      </c>
      <c r="O201" s="29">
        <f>N201/N203</f>
        <v>4.0924092409240921E-2</v>
      </c>
    </row>
    <row r="202" spans="1:25" x14ac:dyDescent="0.2">
      <c r="A202" s="20" t="s">
        <v>54</v>
      </c>
      <c r="B202" s="28">
        <v>2</v>
      </c>
      <c r="C202" s="29">
        <f>B202/B203</f>
        <v>7.7519379844961239E-3</v>
      </c>
      <c r="D202" s="28"/>
      <c r="E202" s="29">
        <f>D202/D203</f>
        <v>0</v>
      </c>
      <c r="F202" s="28"/>
      <c r="G202" s="29">
        <f>F202/F203</f>
        <v>0</v>
      </c>
      <c r="H202" s="28">
        <v>2</v>
      </c>
      <c r="I202" s="29">
        <f>H202/H203</f>
        <v>4.6403712296983757E-3</v>
      </c>
      <c r="J202" s="28">
        <v>3</v>
      </c>
      <c r="K202" s="29">
        <f>J202/J203</f>
        <v>1.6042780748663103E-2</v>
      </c>
      <c r="L202" s="28">
        <v>4</v>
      </c>
      <c r="M202" s="29">
        <f>L202/L203</f>
        <v>7.4766355140186919E-3</v>
      </c>
      <c r="N202" s="21">
        <f>B202+D202+F202+H202+J202+L202</f>
        <v>11</v>
      </c>
      <c r="O202" s="29">
        <f>N202/N203</f>
        <v>7.2607260726072608E-3</v>
      </c>
    </row>
    <row r="203" spans="1:25" s="33" customFormat="1" x14ac:dyDescent="0.2">
      <c r="A203" s="26" t="s">
        <v>1</v>
      </c>
      <c r="B203" s="22">
        <f t="shared" ref="B203:L203" si="73">SUM(B199:B202)</f>
        <v>258</v>
      </c>
      <c r="C203" s="31">
        <f>SUM(C199:C202)</f>
        <v>0.99999999999999989</v>
      </c>
      <c r="D203" s="22">
        <f t="shared" si="73"/>
        <v>11</v>
      </c>
      <c r="E203" s="31">
        <f>SUM(E199:E202)</f>
        <v>1</v>
      </c>
      <c r="F203" s="22">
        <f t="shared" si="73"/>
        <v>93</v>
      </c>
      <c r="G203" s="31">
        <f>SUM(G199:G202)</f>
        <v>1</v>
      </c>
      <c r="H203" s="22">
        <f t="shared" si="73"/>
        <v>431</v>
      </c>
      <c r="I203" s="31">
        <f>SUM(I199:I202)</f>
        <v>1</v>
      </c>
      <c r="J203" s="22">
        <f t="shared" si="73"/>
        <v>187</v>
      </c>
      <c r="K203" s="31">
        <f>SUM(K199:K202)</f>
        <v>1</v>
      </c>
      <c r="L203" s="22">
        <f t="shared" si="73"/>
        <v>535</v>
      </c>
      <c r="M203" s="31">
        <f>SUM(M199:M202)</f>
        <v>1.0000000000000002</v>
      </c>
      <c r="N203" s="22">
        <f>SUM(N197:N202)</f>
        <v>1515</v>
      </c>
      <c r="O203" s="31">
        <f>SUM(O197:O202)</f>
        <v>0.99999999999999989</v>
      </c>
      <c r="P203" s="36"/>
      <c r="Q203" s="40"/>
      <c r="R203" s="40"/>
      <c r="S203" s="40"/>
      <c r="T203" s="37"/>
      <c r="U203" s="37"/>
      <c r="V203" s="37"/>
      <c r="W203" s="37"/>
      <c r="X203" s="37"/>
      <c r="Y203" s="37"/>
    </row>
    <row r="204" spans="1:25" ht="24" x14ac:dyDescent="0.2">
      <c r="A204" s="26" t="s">
        <v>91</v>
      </c>
      <c r="B204" s="19"/>
      <c r="C204" s="54">
        <f>SUM(C199:C200)</f>
        <v>0.95736434108527124</v>
      </c>
      <c r="D204" s="19"/>
      <c r="E204" s="54">
        <f>SUM(E199:E200)</f>
        <v>1</v>
      </c>
      <c r="F204" s="19"/>
      <c r="G204" s="54">
        <f>SUM(G199:G200)</f>
        <v>0.91397849462365588</v>
      </c>
      <c r="H204" s="19"/>
      <c r="I204" s="54">
        <f>SUM(I199:I200)</f>
        <v>0.95591647331786544</v>
      </c>
      <c r="J204" s="19"/>
      <c r="K204" s="54">
        <f>SUM(K199:K200)</f>
        <v>0.946524064171123</v>
      </c>
      <c r="L204" s="19"/>
      <c r="M204" s="54">
        <f>SUM(M199:M200)</f>
        <v>0.95327102803738328</v>
      </c>
      <c r="N204" s="22"/>
      <c r="O204" s="54">
        <f>SUM(O199:O200)</f>
        <v>0.9518151815181517</v>
      </c>
    </row>
    <row r="205" spans="1:25" x14ac:dyDescent="0.2">
      <c r="H205" s="36"/>
    </row>
    <row r="206" spans="1:25" ht="12" customHeight="1" x14ac:dyDescent="0.2">
      <c r="A206" s="121" t="s">
        <v>60</v>
      </c>
      <c r="B206" s="122" t="s">
        <v>100</v>
      </c>
      <c r="C206" s="122"/>
      <c r="D206" s="122" t="s">
        <v>80</v>
      </c>
      <c r="E206" s="122"/>
      <c r="F206" s="123" t="s">
        <v>136</v>
      </c>
      <c r="G206" s="123"/>
      <c r="H206" s="122" t="s">
        <v>82</v>
      </c>
      <c r="I206" s="122"/>
      <c r="J206" s="122" t="s">
        <v>81</v>
      </c>
      <c r="K206" s="122"/>
      <c r="L206" s="122" t="s">
        <v>98</v>
      </c>
      <c r="M206" s="122"/>
      <c r="N206" s="116" t="s">
        <v>1</v>
      </c>
      <c r="O206" s="116"/>
    </row>
    <row r="207" spans="1:25" x14ac:dyDescent="0.2">
      <c r="A207" s="20" t="s">
        <v>57</v>
      </c>
      <c r="B207" s="28">
        <v>97</v>
      </c>
      <c r="C207" s="29">
        <f>B207/B211</f>
        <v>0.39591836734693875</v>
      </c>
      <c r="D207" s="28">
        <v>4</v>
      </c>
      <c r="E207" s="29">
        <f>D207/D211</f>
        <v>0.30769230769230771</v>
      </c>
      <c r="F207" s="28">
        <v>35</v>
      </c>
      <c r="G207" s="29">
        <f>F207/F211</f>
        <v>0.37234042553191488</v>
      </c>
      <c r="H207" s="28">
        <v>157</v>
      </c>
      <c r="I207" s="29">
        <f>H207/H211</f>
        <v>0.36854460093896713</v>
      </c>
      <c r="J207" s="28">
        <v>75</v>
      </c>
      <c r="K207" s="29">
        <f>J207/J211</f>
        <v>0.39893617021276595</v>
      </c>
      <c r="L207" s="28">
        <v>205</v>
      </c>
      <c r="M207" s="29">
        <f>L207/L211</f>
        <v>0.38389513108614232</v>
      </c>
      <c r="N207" s="21">
        <f>B207+D207+F207+H207+J207+L207</f>
        <v>573</v>
      </c>
      <c r="O207" s="29">
        <f>N207/N211</f>
        <v>0.38200000000000001</v>
      </c>
    </row>
    <row r="208" spans="1:25" x14ac:dyDescent="0.2">
      <c r="A208" s="20" t="s">
        <v>56</v>
      </c>
      <c r="B208" s="28">
        <v>137</v>
      </c>
      <c r="C208" s="29">
        <f>B208/B211</f>
        <v>0.5591836734693878</v>
      </c>
      <c r="D208" s="28">
        <v>8</v>
      </c>
      <c r="E208" s="29">
        <f>D208/D211</f>
        <v>0.61538461538461542</v>
      </c>
      <c r="F208" s="28">
        <v>51</v>
      </c>
      <c r="G208" s="29">
        <f>F208/F211</f>
        <v>0.54255319148936165</v>
      </c>
      <c r="H208" s="28">
        <v>251</v>
      </c>
      <c r="I208" s="29">
        <f>H208/H211</f>
        <v>0.58920187793427226</v>
      </c>
      <c r="J208" s="28">
        <v>102</v>
      </c>
      <c r="K208" s="29">
        <f>J208/J211</f>
        <v>0.54255319148936165</v>
      </c>
      <c r="L208" s="28">
        <v>301</v>
      </c>
      <c r="M208" s="29">
        <f>L208/L211</f>
        <v>0.56367041198501877</v>
      </c>
      <c r="N208" s="21">
        <f>B208+D208+F208+H208+J208+L208</f>
        <v>850</v>
      </c>
      <c r="O208" s="29">
        <f>N208/N211</f>
        <v>0.56666666666666665</v>
      </c>
      <c r="T208" s="33"/>
      <c r="U208" s="33"/>
      <c r="V208" s="33"/>
      <c r="W208" s="33"/>
      <c r="X208" s="33"/>
      <c r="Y208" s="33"/>
    </row>
    <row r="209" spans="1:25" x14ac:dyDescent="0.2">
      <c r="A209" s="20" t="s">
        <v>55</v>
      </c>
      <c r="B209" s="28">
        <v>9</v>
      </c>
      <c r="C209" s="29">
        <f>B209/B211</f>
        <v>3.6734693877551024E-2</v>
      </c>
      <c r="D209" s="28">
        <v>1</v>
      </c>
      <c r="E209" s="29">
        <f>D209/D211</f>
        <v>7.6923076923076927E-2</v>
      </c>
      <c r="F209" s="28">
        <v>8</v>
      </c>
      <c r="G209" s="29">
        <f>F209/F211</f>
        <v>8.5106382978723402E-2</v>
      </c>
      <c r="H209" s="28">
        <v>17</v>
      </c>
      <c r="I209" s="29">
        <f>H209/H211</f>
        <v>3.9906103286384977E-2</v>
      </c>
      <c r="J209" s="28">
        <v>8</v>
      </c>
      <c r="K209" s="29">
        <f>J209/J211</f>
        <v>4.2553191489361701E-2</v>
      </c>
      <c r="L209" s="28">
        <v>23</v>
      </c>
      <c r="M209" s="29">
        <f>L209/L211</f>
        <v>4.307116104868914E-2</v>
      </c>
      <c r="N209" s="21">
        <f>B209+D209+F209+H209+J209+L209</f>
        <v>66</v>
      </c>
      <c r="O209" s="29">
        <f>N209/N211</f>
        <v>4.3999999999999997E-2</v>
      </c>
    </row>
    <row r="210" spans="1:25" x14ac:dyDescent="0.2">
      <c r="A210" s="20" t="s">
        <v>54</v>
      </c>
      <c r="B210" s="28">
        <v>2</v>
      </c>
      <c r="C210" s="29">
        <f>B210/B211</f>
        <v>8.1632653061224497E-3</v>
      </c>
      <c r="D210" s="28"/>
      <c r="E210" s="29">
        <f>D210/D211</f>
        <v>0</v>
      </c>
      <c r="F210" s="28"/>
      <c r="G210" s="29">
        <f>F210/F211</f>
        <v>0</v>
      </c>
      <c r="H210" s="28">
        <v>1</v>
      </c>
      <c r="I210" s="29">
        <f>H210/H211</f>
        <v>2.3474178403755869E-3</v>
      </c>
      <c r="J210" s="28">
        <v>3</v>
      </c>
      <c r="K210" s="29">
        <f>J210/J211</f>
        <v>1.5957446808510637E-2</v>
      </c>
      <c r="L210" s="28">
        <v>5</v>
      </c>
      <c r="M210" s="29">
        <f>L210/L211</f>
        <v>9.3632958801498131E-3</v>
      </c>
      <c r="N210" s="21">
        <f>B210+D210+F210+H210+J210+L210</f>
        <v>11</v>
      </c>
      <c r="O210" s="29">
        <f>N210/N211</f>
        <v>7.3333333333333332E-3</v>
      </c>
    </row>
    <row r="211" spans="1:25" s="33" customFormat="1" x14ac:dyDescent="0.2">
      <c r="A211" s="26" t="s">
        <v>1</v>
      </c>
      <c r="B211" s="22">
        <f t="shared" ref="B211:L211" si="74">SUM(B207:B210)</f>
        <v>245</v>
      </c>
      <c r="C211" s="31">
        <f>SUM(C207:C210)</f>
        <v>1</v>
      </c>
      <c r="D211" s="22">
        <f t="shared" si="74"/>
        <v>13</v>
      </c>
      <c r="E211" s="31">
        <f>SUM(E207:E210)</f>
        <v>1</v>
      </c>
      <c r="F211" s="22">
        <f t="shared" si="74"/>
        <v>94</v>
      </c>
      <c r="G211" s="31">
        <f>SUM(G207:G210)</f>
        <v>0.99999999999999989</v>
      </c>
      <c r="H211" s="22">
        <f t="shared" si="74"/>
        <v>426</v>
      </c>
      <c r="I211" s="31">
        <f>SUM(I207:I210)</f>
        <v>1</v>
      </c>
      <c r="J211" s="22">
        <f t="shared" si="74"/>
        <v>188</v>
      </c>
      <c r="K211" s="31">
        <f>SUM(K207:K210)</f>
        <v>0.99999999999999989</v>
      </c>
      <c r="L211" s="22">
        <f t="shared" si="74"/>
        <v>534</v>
      </c>
      <c r="M211" s="31">
        <f>SUM(M207:M210)</f>
        <v>1</v>
      </c>
      <c r="N211" s="22">
        <f>SUM(N205:N210)</f>
        <v>1500</v>
      </c>
      <c r="O211" s="31">
        <f>SUM(O205:O210)</f>
        <v>1</v>
      </c>
      <c r="P211" s="36"/>
      <c r="Q211" s="40"/>
      <c r="R211" s="40"/>
      <c r="S211" s="40"/>
      <c r="T211" s="37"/>
      <c r="U211" s="37"/>
      <c r="V211" s="37"/>
      <c r="W211" s="37"/>
      <c r="X211" s="37"/>
      <c r="Y211" s="37"/>
    </row>
    <row r="212" spans="1:25" ht="24" x14ac:dyDescent="0.2">
      <c r="A212" s="26" t="s">
        <v>91</v>
      </c>
      <c r="B212" s="19"/>
      <c r="C212" s="54">
        <f>SUM(C207:C208)</f>
        <v>0.95510204081632655</v>
      </c>
      <c r="D212" s="19"/>
      <c r="E212" s="54">
        <f>SUM(E207:E208)</f>
        <v>0.92307692307692313</v>
      </c>
      <c r="F212" s="19"/>
      <c r="G212" s="54">
        <f>SUM(G207:G208)</f>
        <v>0.91489361702127647</v>
      </c>
      <c r="H212" s="19"/>
      <c r="I212" s="54">
        <f>SUM(I207:I208)</f>
        <v>0.95774647887323938</v>
      </c>
      <c r="J212" s="19"/>
      <c r="K212" s="54">
        <f>SUM(K207:K208)</f>
        <v>0.9414893617021276</v>
      </c>
      <c r="L212" s="19"/>
      <c r="M212" s="54">
        <f>SUM(M207:M208)</f>
        <v>0.94756554307116114</v>
      </c>
      <c r="N212" s="22"/>
      <c r="O212" s="54">
        <f>SUM(O207:O208)</f>
        <v>0.94866666666666666</v>
      </c>
    </row>
    <row r="213" spans="1:25" x14ac:dyDescent="0.2">
      <c r="H213" s="36"/>
    </row>
    <row r="214" spans="1:25" ht="12" customHeight="1" x14ac:dyDescent="0.2">
      <c r="A214" s="121" t="s">
        <v>61</v>
      </c>
      <c r="B214" s="122" t="s">
        <v>100</v>
      </c>
      <c r="C214" s="122"/>
      <c r="D214" s="122" t="s">
        <v>80</v>
      </c>
      <c r="E214" s="122"/>
      <c r="F214" s="123" t="s">
        <v>136</v>
      </c>
      <c r="G214" s="123"/>
      <c r="H214" s="122" t="s">
        <v>82</v>
      </c>
      <c r="I214" s="122"/>
      <c r="J214" s="122" t="s">
        <v>81</v>
      </c>
      <c r="K214" s="122"/>
      <c r="L214" s="122" t="s">
        <v>98</v>
      </c>
      <c r="M214" s="122"/>
      <c r="N214" s="116" t="s">
        <v>1</v>
      </c>
      <c r="O214" s="116"/>
    </row>
    <row r="215" spans="1:25" x14ac:dyDescent="0.2">
      <c r="A215" s="20" t="s">
        <v>57</v>
      </c>
      <c r="B215" s="28">
        <v>89</v>
      </c>
      <c r="C215" s="29">
        <f>B215/B219</f>
        <v>0.35458167330677293</v>
      </c>
      <c r="D215" s="28">
        <v>4</v>
      </c>
      <c r="E215" s="29">
        <f>D215/D219</f>
        <v>0.36363636363636365</v>
      </c>
      <c r="F215" s="28">
        <v>29</v>
      </c>
      <c r="G215" s="29">
        <f>F215/F219</f>
        <v>0.3258426966292135</v>
      </c>
      <c r="H215" s="28">
        <v>142</v>
      </c>
      <c r="I215" s="29">
        <f>H215/H219</f>
        <v>0.33649289099526064</v>
      </c>
      <c r="J215" s="28">
        <v>63</v>
      </c>
      <c r="K215" s="29">
        <f>J215/J219</f>
        <v>0.35195530726256985</v>
      </c>
      <c r="L215" s="28">
        <v>185</v>
      </c>
      <c r="M215" s="29">
        <f>L215/L219</f>
        <v>0.3550863723608445</v>
      </c>
      <c r="N215" s="21">
        <f>B215+D215+F215+H215+J215+L215</f>
        <v>512</v>
      </c>
      <c r="O215" s="29">
        <f>N215/N219</f>
        <v>0.34758995247793617</v>
      </c>
    </row>
    <row r="216" spans="1:25" x14ac:dyDescent="0.2">
      <c r="A216" s="20" t="s">
        <v>56</v>
      </c>
      <c r="B216" s="28">
        <v>146</v>
      </c>
      <c r="C216" s="29">
        <f>B216/B219</f>
        <v>0.58167330677290841</v>
      </c>
      <c r="D216" s="28">
        <v>7</v>
      </c>
      <c r="E216" s="29">
        <f>D216/D219</f>
        <v>0.63636363636363635</v>
      </c>
      <c r="F216" s="28">
        <v>52</v>
      </c>
      <c r="G216" s="29">
        <f>F216/F219</f>
        <v>0.5842696629213483</v>
      </c>
      <c r="H216" s="28">
        <v>253</v>
      </c>
      <c r="I216" s="29">
        <f>H216/H219</f>
        <v>0.59952606635071093</v>
      </c>
      <c r="J216" s="28">
        <v>105</v>
      </c>
      <c r="K216" s="29">
        <f>J216/J219</f>
        <v>0.58659217877094971</v>
      </c>
      <c r="L216" s="28">
        <v>309</v>
      </c>
      <c r="M216" s="29">
        <f>L216/L219</f>
        <v>0.59309021113243765</v>
      </c>
      <c r="N216" s="21">
        <f>B216+D216+F216+H216+J216+L216</f>
        <v>872</v>
      </c>
      <c r="O216" s="29">
        <f>N216/N219</f>
        <v>0.5919891378139851</v>
      </c>
      <c r="T216" s="33"/>
      <c r="U216" s="33"/>
      <c r="V216" s="33"/>
      <c r="W216" s="33"/>
      <c r="X216" s="33"/>
      <c r="Y216" s="33"/>
    </row>
    <row r="217" spans="1:25" x14ac:dyDescent="0.2">
      <c r="A217" s="20" t="s">
        <v>55</v>
      </c>
      <c r="B217" s="28">
        <v>12</v>
      </c>
      <c r="C217" s="29">
        <f>B217/B219</f>
        <v>4.7808764940239043E-2</v>
      </c>
      <c r="D217" s="28"/>
      <c r="E217" s="29">
        <f>D217/D219</f>
        <v>0</v>
      </c>
      <c r="F217" s="28">
        <v>7</v>
      </c>
      <c r="G217" s="29">
        <f>F217/F219</f>
        <v>7.8651685393258425E-2</v>
      </c>
      <c r="H217" s="28">
        <v>26</v>
      </c>
      <c r="I217" s="29">
        <f>H217/H219</f>
        <v>6.1611374407582936E-2</v>
      </c>
      <c r="J217" s="28">
        <v>8</v>
      </c>
      <c r="K217" s="29">
        <f>J217/J219</f>
        <v>4.4692737430167599E-2</v>
      </c>
      <c r="L217" s="28">
        <v>22</v>
      </c>
      <c r="M217" s="29">
        <f>L217/L219</f>
        <v>4.2226487523992322E-2</v>
      </c>
      <c r="N217" s="21">
        <f>B217+D217+F217+H217+J217+L217</f>
        <v>75</v>
      </c>
      <c r="O217" s="29">
        <f>N217/N219</f>
        <v>5.0916496945010187E-2</v>
      </c>
    </row>
    <row r="218" spans="1:25" x14ac:dyDescent="0.2">
      <c r="A218" s="20" t="s">
        <v>54</v>
      </c>
      <c r="B218" s="28">
        <v>4</v>
      </c>
      <c r="C218" s="29">
        <f>B218/B219</f>
        <v>1.5936254980079681E-2</v>
      </c>
      <c r="D218" s="28"/>
      <c r="E218" s="29">
        <f>D218/D219</f>
        <v>0</v>
      </c>
      <c r="F218" s="28">
        <v>1</v>
      </c>
      <c r="G218" s="29">
        <f>F218/F219</f>
        <v>1.1235955056179775E-2</v>
      </c>
      <c r="H218" s="28">
        <v>1</v>
      </c>
      <c r="I218" s="29">
        <f>H218/H219</f>
        <v>2.3696682464454978E-3</v>
      </c>
      <c r="J218" s="28">
        <v>3</v>
      </c>
      <c r="K218" s="29">
        <f>J218/J219</f>
        <v>1.6759776536312849E-2</v>
      </c>
      <c r="L218" s="28">
        <v>5</v>
      </c>
      <c r="M218" s="29">
        <f>L218/L219</f>
        <v>9.5969289827255271E-3</v>
      </c>
      <c r="N218" s="21">
        <f>B218+D218+F218+H218+J218+L218</f>
        <v>14</v>
      </c>
      <c r="O218" s="29">
        <f>N218/N219</f>
        <v>9.5044127630685669E-3</v>
      </c>
    </row>
    <row r="219" spans="1:25" s="33" customFormat="1" x14ac:dyDescent="0.2">
      <c r="A219" s="26" t="s">
        <v>1</v>
      </c>
      <c r="B219" s="22">
        <f t="shared" ref="B219:L219" si="75">SUM(B215:B218)</f>
        <v>251</v>
      </c>
      <c r="C219" s="31">
        <f>SUM(C215:C218)</f>
        <v>1</v>
      </c>
      <c r="D219" s="22">
        <f t="shared" si="75"/>
        <v>11</v>
      </c>
      <c r="E219" s="31">
        <f>SUM(E215:E218)</f>
        <v>1</v>
      </c>
      <c r="F219" s="22">
        <f t="shared" si="75"/>
        <v>89</v>
      </c>
      <c r="G219" s="31">
        <f>SUM(G215:G218)</f>
        <v>1</v>
      </c>
      <c r="H219" s="22">
        <f t="shared" si="75"/>
        <v>422</v>
      </c>
      <c r="I219" s="31">
        <f>SUM(I215:I218)</f>
        <v>1</v>
      </c>
      <c r="J219" s="22">
        <f t="shared" si="75"/>
        <v>179</v>
      </c>
      <c r="K219" s="31">
        <f>SUM(K215:K218)</f>
        <v>1</v>
      </c>
      <c r="L219" s="22">
        <f t="shared" si="75"/>
        <v>521</v>
      </c>
      <c r="M219" s="31">
        <f>SUM(M215:M218)</f>
        <v>1</v>
      </c>
      <c r="N219" s="22">
        <f>SUM(N213:N218)</f>
        <v>1473</v>
      </c>
      <c r="O219" s="31">
        <f>SUM(O213:O218)</f>
        <v>1</v>
      </c>
      <c r="P219" s="36"/>
      <c r="Q219" s="40"/>
      <c r="R219" s="40"/>
      <c r="S219" s="40"/>
      <c r="T219" s="37"/>
      <c r="U219" s="37"/>
      <c r="V219" s="37"/>
      <c r="W219" s="37"/>
      <c r="X219" s="37"/>
      <c r="Y219" s="37"/>
    </row>
    <row r="220" spans="1:25" ht="24" x14ac:dyDescent="0.2">
      <c r="A220" s="26" t="s">
        <v>91</v>
      </c>
      <c r="B220" s="19"/>
      <c r="C220" s="54">
        <f>SUM(C215:C216)</f>
        <v>0.93625498007968133</v>
      </c>
      <c r="D220" s="19"/>
      <c r="E220" s="54">
        <f>SUM(E215:E216)</f>
        <v>1</v>
      </c>
      <c r="F220" s="19"/>
      <c r="G220" s="54">
        <f>SUM(G215:G216)</f>
        <v>0.9101123595505618</v>
      </c>
      <c r="H220" s="19"/>
      <c r="I220" s="54">
        <f>SUM(I215:I216)</f>
        <v>0.93601895734597163</v>
      </c>
      <c r="J220" s="19"/>
      <c r="K220" s="54">
        <f>SUM(K215:K216)</f>
        <v>0.93854748603351956</v>
      </c>
      <c r="L220" s="19"/>
      <c r="M220" s="54">
        <f>SUM(M215:M216)</f>
        <v>0.94817658349328215</v>
      </c>
      <c r="N220" s="22"/>
      <c r="O220" s="54">
        <f>SUM(O215:O216)</f>
        <v>0.93957909029192122</v>
      </c>
    </row>
    <row r="221" spans="1:25" x14ac:dyDescent="0.2">
      <c r="H221" s="36"/>
    </row>
    <row r="222" spans="1:25" ht="24" x14ac:dyDescent="0.2">
      <c r="A222" s="121" t="s">
        <v>62</v>
      </c>
      <c r="B222" s="122" t="s">
        <v>100</v>
      </c>
      <c r="C222" s="122"/>
      <c r="D222" s="122" t="s">
        <v>80</v>
      </c>
      <c r="E222" s="122"/>
      <c r="F222" s="123" t="s">
        <v>136</v>
      </c>
      <c r="G222" s="123"/>
      <c r="H222" s="122" t="s">
        <v>82</v>
      </c>
      <c r="I222" s="122"/>
      <c r="J222" s="122" t="s">
        <v>81</v>
      </c>
      <c r="K222" s="122"/>
      <c r="L222" s="122" t="s">
        <v>98</v>
      </c>
      <c r="M222" s="122"/>
      <c r="N222" s="116" t="s">
        <v>1</v>
      </c>
      <c r="O222" s="116"/>
    </row>
    <row r="223" spans="1:25" x14ac:dyDescent="0.2">
      <c r="A223" s="20" t="s">
        <v>57</v>
      </c>
      <c r="B223" s="28">
        <v>95</v>
      </c>
      <c r="C223" s="29">
        <f>B223/B227</f>
        <v>0.35315985130111527</v>
      </c>
      <c r="D223" s="28">
        <v>5</v>
      </c>
      <c r="E223" s="29">
        <f>D223/D227</f>
        <v>0.45454545454545453</v>
      </c>
      <c r="F223" s="28">
        <v>36</v>
      </c>
      <c r="G223" s="29">
        <f>F223/F227</f>
        <v>0.39560439560439559</v>
      </c>
      <c r="H223" s="28">
        <v>151</v>
      </c>
      <c r="I223" s="29">
        <f>H223/H227</f>
        <v>0.351981351981352</v>
      </c>
      <c r="J223" s="28">
        <v>71</v>
      </c>
      <c r="K223" s="29">
        <f>J223/J227</f>
        <v>0.37566137566137564</v>
      </c>
      <c r="L223" s="28">
        <v>207</v>
      </c>
      <c r="M223" s="29">
        <f>L223/L227</f>
        <v>0.38191881918819187</v>
      </c>
      <c r="N223" s="21">
        <f>B223+D223+F223+H223+J223+L223</f>
        <v>565</v>
      </c>
      <c r="O223" s="29">
        <f>N223/N227</f>
        <v>0.36903984323971262</v>
      </c>
    </row>
    <row r="224" spans="1:25" x14ac:dyDescent="0.2">
      <c r="A224" s="20" t="s">
        <v>56</v>
      </c>
      <c r="B224" s="28">
        <v>167</v>
      </c>
      <c r="C224" s="29">
        <f>B224/B227</f>
        <v>0.620817843866171</v>
      </c>
      <c r="D224" s="28">
        <v>6</v>
      </c>
      <c r="E224" s="29">
        <f>D224/D227</f>
        <v>0.54545454545454541</v>
      </c>
      <c r="F224" s="28">
        <v>46</v>
      </c>
      <c r="G224" s="29">
        <f>F224/F227</f>
        <v>0.50549450549450547</v>
      </c>
      <c r="H224" s="28">
        <v>262</v>
      </c>
      <c r="I224" s="29">
        <f>H224/H227</f>
        <v>0.61072261072261069</v>
      </c>
      <c r="J224" s="28">
        <v>112</v>
      </c>
      <c r="K224" s="29">
        <f>J224/J227</f>
        <v>0.59259259259259256</v>
      </c>
      <c r="L224" s="28">
        <v>309</v>
      </c>
      <c r="M224" s="29">
        <f>L224/L227</f>
        <v>0.57011070110701112</v>
      </c>
      <c r="N224" s="21">
        <f>B224+D224+F224+H224+J224+L224</f>
        <v>902</v>
      </c>
      <c r="O224" s="29">
        <f>N224/N227</f>
        <v>0.58915741345525796</v>
      </c>
      <c r="T224" s="33"/>
      <c r="U224" s="33"/>
      <c r="V224" s="33"/>
      <c r="W224" s="33"/>
      <c r="X224" s="33"/>
      <c r="Y224" s="33"/>
    </row>
    <row r="225" spans="1:25" x14ac:dyDescent="0.2">
      <c r="A225" s="20" t="s">
        <v>55</v>
      </c>
      <c r="B225" s="28">
        <v>4</v>
      </c>
      <c r="C225" s="29">
        <f>B225/B227</f>
        <v>1.4869888475836431E-2</v>
      </c>
      <c r="D225" s="28"/>
      <c r="E225" s="29">
        <f>D225/D227</f>
        <v>0</v>
      </c>
      <c r="F225" s="28">
        <v>8</v>
      </c>
      <c r="G225" s="29">
        <f>F225/F227</f>
        <v>8.7912087912087919E-2</v>
      </c>
      <c r="H225" s="28">
        <v>14</v>
      </c>
      <c r="I225" s="29">
        <f>H225/H227</f>
        <v>3.2634032634032632E-2</v>
      </c>
      <c r="J225" s="28">
        <v>2</v>
      </c>
      <c r="K225" s="29">
        <f>J225/J227</f>
        <v>1.0582010582010581E-2</v>
      </c>
      <c r="L225" s="28">
        <v>21</v>
      </c>
      <c r="M225" s="29">
        <f>L225/L227</f>
        <v>3.8745387453874541E-2</v>
      </c>
      <c r="N225" s="21">
        <f>B225+D225+F225+H225+J225+L225</f>
        <v>49</v>
      </c>
      <c r="O225" s="29">
        <f>N225/N227</f>
        <v>3.2005225342913127E-2</v>
      </c>
    </row>
    <row r="226" spans="1:25" x14ac:dyDescent="0.2">
      <c r="A226" s="20" t="s">
        <v>54</v>
      </c>
      <c r="B226" s="28">
        <v>3</v>
      </c>
      <c r="C226" s="29">
        <f>B226/B227</f>
        <v>1.1152416356877323E-2</v>
      </c>
      <c r="D226" s="28"/>
      <c r="E226" s="29">
        <f>D226/D227</f>
        <v>0</v>
      </c>
      <c r="F226" s="28">
        <v>1</v>
      </c>
      <c r="G226" s="29">
        <f>F226/F227</f>
        <v>1.098901098901099E-2</v>
      </c>
      <c r="H226" s="28">
        <v>2</v>
      </c>
      <c r="I226" s="29">
        <f>H226/H227</f>
        <v>4.662004662004662E-3</v>
      </c>
      <c r="J226" s="28">
        <v>4</v>
      </c>
      <c r="K226" s="29">
        <f>J226/J227</f>
        <v>2.1164021164021163E-2</v>
      </c>
      <c r="L226" s="28">
        <v>5</v>
      </c>
      <c r="M226" s="29">
        <f>L226/L227</f>
        <v>9.2250922509225092E-3</v>
      </c>
      <c r="N226" s="21">
        <f>B226+D226+F226+H226+J226+L226</f>
        <v>15</v>
      </c>
      <c r="O226" s="29">
        <f>N226/N227</f>
        <v>9.7975179621162638E-3</v>
      </c>
    </row>
    <row r="227" spans="1:25" s="33" customFormat="1" x14ac:dyDescent="0.2">
      <c r="A227" s="26" t="s">
        <v>1</v>
      </c>
      <c r="B227" s="22">
        <f t="shared" ref="B227:L227" si="76">SUM(B223:B226)</f>
        <v>269</v>
      </c>
      <c r="C227" s="31">
        <f>SUM(C223:C226)</f>
        <v>1</v>
      </c>
      <c r="D227" s="22">
        <f t="shared" si="76"/>
        <v>11</v>
      </c>
      <c r="E227" s="31">
        <f>SUM(E223:E226)</f>
        <v>1</v>
      </c>
      <c r="F227" s="22">
        <f t="shared" si="76"/>
        <v>91</v>
      </c>
      <c r="G227" s="31">
        <f>SUM(G223:G226)</f>
        <v>0.99999999999999989</v>
      </c>
      <c r="H227" s="22">
        <f t="shared" si="76"/>
        <v>429</v>
      </c>
      <c r="I227" s="31">
        <f>SUM(I223:I226)</f>
        <v>0.99999999999999989</v>
      </c>
      <c r="J227" s="22">
        <f t="shared" si="76"/>
        <v>189</v>
      </c>
      <c r="K227" s="31">
        <f>SUM(K223:K226)</f>
        <v>0.99999999999999989</v>
      </c>
      <c r="L227" s="22">
        <f t="shared" si="76"/>
        <v>542</v>
      </c>
      <c r="M227" s="31">
        <f>SUM(M223:M226)</f>
        <v>1</v>
      </c>
      <c r="N227" s="22">
        <f>SUM(N221:N226)</f>
        <v>1531</v>
      </c>
      <c r="O227" s="31">
        <f>SUM(O221:O226)</f>
        <v>1</v>
      </c>
      <c r="P227" s="36"/>
      <c r="Q227" s="40"/>
      <c r="R227" s="40"/>
      <c r="S227" s="40"/>
      <c r="T227" s="37"/>
      <c r="U227" s="37"/>
      <c r="V227" s="37"/>
      <c r="W227" s="37"/>
      <c r="X227" s="37"/>
      <c r="Y227" s="37"/>
    </row>
    <row r="228" spans="1:25" ht="24" x14ac:dyDescent="0.2">
      <c r="A228" s="26" t="s">
        <v>91</v>
      </c>
      <c r="B228" s="19"/>
      <c r="C228" s="54">
        <f>SUM(C223:C224)</f>
        <v>0.97397769516728627</v>
      </c>
      <c r="D228" s="19"/>
      <c r="E228" s="54">
        <f>SUM(E223:E224)</f>
        <v>1</v>
      </c>
      <c r="F228" s="19"/>
      <c r="G228" s="54">
        <f>SUM(G223:G224)</f>
        <v>0.90109890109890101</v>
      </c>
      <c r="H228" s="19"/>
      <c r="I228" s="54">
        <f>SUM(I223:I224)</f>
        <v>0.96270396270396263</v>
      </c>
      <c r="J228" s="19"/>
      <c r="K228" s="54">
        <f>SUM(K223:K224)</f>
        <v>0.96825396825396814</v>
      </c>
      <c r="L228" s="19"/>
      <c r="M228" s="54">
        <f>SUM(M223:M224)</f>
        <v>0.95202952029520294</v>
      </c>
      <c r="N228" s="22"/>
      <c r="O228" s="54">
        <f>SUM(O223:O224)</f>
        <v>0.95819725669497058</v>
      </c>
    </row>
    <row r="229" spans="1:25" x14ac:dyDescent="0.2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</row>
    <row r="230" spans="1:25" ht="36" x14ac:dyDescent="0.2">
      <c r="A230" s="121" t="s">
        <v>199</v>
      </c>
      <c r="B230" s="122" t="s">
        <v>100</v>
      </c>
      <c r="C230" s="122"/>
      <c r="D230" s="122" t="s">
        <v>80</v>
      </c>
      <c r="E230" s="122"/>
      <c r="F230" s="123" t="s">
        <v>136</v>
      </c>
      <c r="G230" s="123"/>
      <c r="H230" s="122" t="s">
        <v>82</v>
      </c>
      <c r="I230" s="122"/>
      <c r="J230" s="122" t="s">
        <v>81</v>
      </c>
      <c r="K230" s="122"/>
      <c r="L230" s="122" t="s">
        <v>98</v>
      </c>
      <c r="M230" s="122"/>
      <c r="N230" s="116" t="s">
        <v>1</v>
      </c>
      <c r="O230" s="116"/>
    </row>
    <row r="231" spans="1:25" x14ac:dyDescent="0.2">
      <c r="A231" s="20" t="s">
        <v>57</v>
      </c>
      <c r="B231" s="28">
        <v>88</v>
      </c>
      <c r="C231" s="29">
        <f>B231/B235</f>
        <v>0.33207547169811319</v>
      </c>
      <c r="D231" s="28">
        <v>6</v>
      </c>
      <c r="E231" s="29">
        <f>D231/D235</f>
        <v>0.5</v>
      </c>
      <c r="F231" s="28">
        <v>33</v>
      </c>
      <c r="G231" s="29">
        <f>F231/F235</f>
        <v>0.34375</v>
      </c>
      <c r="H231" s="28">
        <v>128</v>
      </c>
      <c r="I231" s="29">
        <f>H231/H235</f>
        <v>0.28507795100222716</v>
      </c>
      <c r="J231" s="28">
        <v>69</v>
      </c>
      <c r="K231" s="29">
        <f>J231/J235</f>
        <v>0.36702127659574468</v>
      </c>
      <c r="L231" s="28">
        <v>174</v>
      </c>
      <c r="M231" s="29">
        <f>L231/L235</f>
        <v>0.32162661737523107</v>
      </c>
      <c r="N231" s="21">
        <f>B231+D231+F231+H231+J231+L231</f>
        <v>498</v>
      </c>
      <c r="O231" s="29">
        <f>N231/N235</f>
        <v>0.32108317214700194</v>
      </c>
    </row>
    <row r="232" spans="1:25" x14ac:dyDescent="0.2">
      <c r="A232" s="20" t="s">
        <v>56</v>
      </c>
      <c r="B232" s="28">
        <v>163</v>
      </c>
      <c r="C232" s="29">
        <f>B232/B235</f>
        <v>0.61509433962264148</v>
      </c>
      <c r="D232" s="28">
        <v>6</v>
      </c>
      <c r="E232" s="29">
        <f>D232/D235</f>
        <v>0.5</v>
      </c>
      <c r="F232" s="28">
        <v>55</v>
      </c>
      <c r="G232" s="29">
        <f>F232/F235</f>
        <v>0.57291666666666663</v>
      </c>
      <c r="H232" s="28">
        <v>297</v>
      </c>
      <c r="I232" s="29">
        <f>H232/H235</f>
        <v>0.66146993318485525</v>
      </c>
      <c r="J232" s="28">
        <v>106</v>
      </c>
      <c r="K232" s="29">
        <f>J232/J235</f>
        <v>0.56382978723404253</v>
      </c>
      <c r="L232" s="28">
        <v>339</v>
      </c>
      <c r="M232" s="29">
        <f>L232/L235</f>
        <v>0.62661737523105365</v>
      </c>
      <c r="N232" s="21">
        <f>B232+D232+F232+H232+J232+L232</f>
        <v>966</v>
      </c>
      <c r="O232" s="29">
        <f>N232/N235</f>
        <v>0.62282398452611221</v>
      </c>
    </row>
    <row r="233" spans="1:25" x14ac:dyDescent="0.2">
      <c r="A233" s="20" t="s">
        <v>55</v>
      </c>
      <c r="B233" s="28">
        <v>10</v>
      </c>
      <c r="C233" s="29">
        <f>B233/B235</f>
        <v>3.7735849056603772E-2</v>
      </c>
      <c r="D233" s="28"/>
      <c r="E233" s="29">
        <f>D233/D235</f>
        <v>0</v>
      </c>
      <c r="F233" s="28">
        <v>7</v>
      </c>
      <c r="G233" s="29">
        <f>F233/F235</f>
        <v>7.2916666666666671E-2</v>
      </c>
      <c r="H233" s="28">
        <v>22</v>
      </c>
      <c r="I233" s="29">
        <f>H233/H235</f>
        <v>4.8997772828507792E-2</v>
      </c>
      <c r="J233" s="28">
        <v>9</v>
      </c>
      <c r="K233" s="29">
        <f>J233/J235</f>
        <v>4.7872340425531915E-2</v>
      </c>
      <c r="L233" s="28">
        <v>23</v>
      </c>
      <c r="M233" s="29">
        <f>L233/L235</f>
        <v>4.2513863216266171E-2</v>
      </c>
      <c r="N233" s="21">
        <f>B233+D233+F233+H233+J233+L233</f>
        <v>71</v>
      </c>
      <c r="O233" s="29">
        <f>N233/N235</f>
        <v>4.5776918117343648E-2</v>
      </c>
      <c r="T233" s="33"/>
      <c r="U233" s="33"/>
      <c r="V233" s="33"/>
      <c r="W233" s="33"/>
      <c r="X233" s="33"/>
      <c r="Y233" s="33"/>
    </row>
    <row r="234" spans="1:25" x14ac:dyDescent="0.2">
      <c r="A234" s="20" t="s">
        <v>54</v>
      </c>
      <c r="B234" s="28">
        <v>4</v>
      </c>
      <c r="C234" s="29">
        <f>B234/B235</f>
        <v>1.509433962264151E-2</v>
      </c>
      <c r="D234" s="28"/>
      <c r="E234" s="29">
        <f>D234/D235</f>
        <v>0</v>
      </c>
      <c r="F234" s="28">
        <v>1</v>
      </c>
      <c r="G234" s="29">
        <f>F234/F235</f>
        <v>1.0416666666666666E-2</v>
      </c>
      <c r="H234" s="28">
        <v>2</v>
      </c>
      <c r="I234" s="29">
        <f>H234/H235</f>
        <v>4.4543429844097994E-3</v>
      </c>
      <c r="J234" s="28">
        <v>4</v>
      </c>
      <c r="K234" s="29">
        <f>J234/J235</f>
        <v>2.1276595744680851E-2</v>
      </c>
      <c r="L234" s="28">
        <v>5</v>
      </c>
      <c r="M234" s="29">
        <f>L234/L235</f>
        <v>9.242144177449169E-3</v>
      </c>
      <c r="N234" s="21">
        <f>B234+D234+F234+H234+J234+L234</f>
        <v>16</v>
      </c>
      <c r="O234" s="29">
        <f>N234/N235</f>
        <v>1.0315925209542231E-2</v>
      </c>
    </row>
    <row r="235" spans="1:25" s="33" customFormat="1" x14ac:dyDescent="0.2">
      <c r="A235" s="26" t="s">
        <v>1</v>
      </c>
      <c r="B235" s="22">
        <f t="shared" ref="B235:L235" si="77">SUM(B231:B234)</f>
        <v>265</v>
      </c>
      <c r="C235" s="31">
        <f>SUM(C231:C234)</f>
        <v>1</v>
      </c>
      <c r="D235" s="22">
        <f t="shared" si="77"/>
        <v>12</v>
      </c>
      <c r="E235" s="31">
        <f>SUM(E231:E234)</f>
        <v>1</v>
      </c>
      <c r="F235" s="22">
        <f t="shared" si="77"/>
        <v>96</v>
      </c>
      <c r="G235" s="31">
        <f>SUM(G231:G234)</f>
        <v>0.99999999999999989</v>
      </c>
      <c r="H235" s="22">
        <f t="shared" si="77"/>
        <v>449</v>
      </c>
      <c r="I235" s="31">
        <f>SUM(I231:I234)</f>
        <v>1</v>
      </c>
      <c r="J235" s="22">
        <f t="shared" si="77"/>
        <v>188</v>
      </c>
      <c r="K235" s="31">
        <f>SUM(K231:K234)</f>
        <v>1</v>
      </c>
      <c r="L235" s="22">
        <f t="shared" si="77"/>
        <v>541</v>
      </c>
      <c r="M235" s="31">
        <f>SUM(M231:M234)</f>
        <v>1</v>
      </c>
      <c r="N235" s="22">
        <f>SUM(N229:N234)</f>
        <v>1551</v>
      </c>
      <c r="O235" s="31">
        <f>SUM(O229:O234)</f>
        <v>1</v>
      </c>
      <c r="P235" s="36"/>
      <c r="Q235" s="40"/>
      <c r="R235" s="40"/>
      <c r="S235" s="40"/>
      <c r="T235" s="37"/>
      <c r="U235" s="37"/>
      <c r="V235" s="37"/>
      <c r="W235" s="37"/>
      <c r="X235" s="37"/>
      <c r="Y235" s="37"/>
    </row>
    <row r="236" spans="1:25" ht="24" x14ac:dyDescent="0.2">
      <c r="A236" s="26" t="s">
        <v>91</v>
      </c>
      <c r="B236" s="19"/>
      <c r="C236" s="54">
        <f>SUM(C231:C232)</f>
        <v>0.94716981132075473</v>
      </c>
      <c r="D236" s="19"/>
      <c r="E236" s="54">
        <f>SUM(E231:E232)</f>
        <v>1</v>
      </c>
      <c r="F236" s="19"/>
      <c r="G236" s="54">
        <f>SUM(G231:G232)</f>
        <v>0.91666666666666663</v>
      </c>
      <c r="H236" s="19"/>
      <c r="I236" s="54">
        <f>SUM(I231:I232)</f>
        <v>0.94654788418708247</v>
      </c>
      <c r="J236" s="19"/>
      <c r="K236" s="54">
        <f>SUM(K231:K232)</f>
        <v>0.93085106382978722</v>
      </c>
      <c r="L236" s="19"/>
      <c r="M236" s="54">
        <f>SUM(M231:M232)</f>
        <v>0.94824399260628467</v>
      </c>
      <c r="N236" s="22"/>
      <c r="O236" s="54">
        <f>SUM(O231:O232)</f>
        <v>0.94390715667311409</v>
      </c>
    </row>
    <row r="237" spans="1:25" x14ac:dyDescent="0.2">
      <c r="H237" s="36"/>
    </row>
    <row r="238" spans="1:25" ht="24" x14ac:dyDescent="0.2">
      <c r="A238" s="121" t="s">
        <v>135</v>
      </c>
      <c r="B238" s="122" t="s">
        <v>100</v>
      </c>
      <c r="C238" s="122"/>
      <c r="D238" s="122" t="s">
        <v>80</v>
      </c>
      <c r="E238" s="122"/>
      <c r="F238" s="123" t="s">
        <v>136</v>
      </c>
      <c r="G238" s="123"/>
      <c r="H238" s="122" t="s">
        <v>82</v>
      </c>
      <c r="I238" s="122"/>
      <c r="J238" s="122" t="s">
        <v>81</v>
      </c>
      <c r="K238" s="122"/>
      <c r="L238" s="122" t="s">
        <v>98</v>
      </c>
      <c r="M238" s="122"/>
      <c r="N238" s="116" t="s">
        <v>1</v>
      </c>
      <c r="O238" s="116"/>
    </row>
    <row r="239" spans="1:25" x14ac:dyDescent="0.2">
      <c r="A239" s="20" t="s">
        <v>57</v>
      </c>
      <c r="B239" s="28">
        <v>93</v>
      </c>
      <c r="C239" s="29">
        <f>B239/B243</f>
        <v>0.32978723404255317</v>
      </c>
      <c r="D239" s="28">
        <v>4</v>
      </c>
      <c r="E239" s="29">
        <f>D239/D243</f>
        <v>0.36363636363636365</v>
      </c>
      <c r="F239" s="28">
        <v>33</v>
      </c>
      <c r="G239" s="29">
        <f>F239/F243</f>
        <v>0.33673469387755101</v>
      </c>
      <c r="H239" s="28">
        <v>157</v>
      </c>
      <c r="I239" s="29">
        <f>H239/H243</f>
        <v>0.33404255319148934</v>
      </c>
      <c r="J239" s="28">
        <v>65</v>
      </c>
      <c r="K239" s="29">
        <f>J239/J243</f>
        <v>0.34574468085106386</v>
      </c>
      <c r="L239" s="28">
        <v>177</v>
      </c>
      <c r="M239" s="29">
        <f>L239/L243</f>
        <v>0.31720430107526881</v>
      </c>
      <c r="N239" s="21">
        <f>B239+D239+F239+H239+J239+L239</f>
        <v>529</v>
      </c>
      <c r="O239" s="29">
        <f>N239/N243</f>
        <v>0.32918481642812697</v>
      </c>
    </row>
    <row r="240" spans="1:25" x14ac:dyDescent="0.2">
      <c r="A240" s="20" t="s">
        <v>56</v>
      </c>
      <c r="B240" s="28">
        <v>175</v>
      </c>
      <c r="C240" s="29">
        <f>B240/B243</f>
        <v>0.62056737588652477</v>
      </c>
      <c r="D240" s="28">
        <v>6</v>
      </c>
      <c r="E240" s="29">
        <f>D240/D243</f>
        <v>0.54545454545454541</v>
      </c>
      <c r="F240" s="28">
        <v>56</v>
      </c>
      <c r="G240" s="29">
        <f>F240/F243</f>
        <v>0.5714285714285714</v>
      </c>
      <c r="H240" s="28">
        <v>279</v>
      </c>
      <c r="I240" s="29">
        <f>H240/H243</f>
        <v>0.59361702127659577</v>
      </c>
      <c r="J240" s="28">
        <v>107</v>
      </c>
      <c r="K240" s="29">
        <f>J240/J243</f>
        <v>0.56914893617021278</v>
      </c>
      <c r="L240" s="28">
        <v>343</v>
      </c>
      <c r="M240" s="29">
        <f>L240/L243</f>
        <v>0.61469534050179209</v>
      </c>
      <c r="N240" s="21">
        <f>B240+D240+F240+H240+J240+L240</f>
        <v>966</v>
      </c>
      <c r="O240" s="29">
        <f>N240/N243</f>
        <v>0.60112009956440571</v>
      </c>
    </row>
    <row r="241" spans="1:26" x14ac:dyDescent="0.2">
      <c r="A241" s="20" t="s">
        <v>55</v>
      </c>
      <c r="B241" s="28">
        <v>10</v>
      </c>
      <c r="C241" s="29">
        <f>B241/B243</f>
        <v>3.5460992907801421E-2</v>
      </c>
      <c r="D241" s="28">
        <v>1</v>
      </c>
      <c r="E241" s="29">
        <f>D241/D243</f>
        <v>9.0909090909090912E-2</v>
      </c>
      <c r="F241" s="28">
        <v>9</v>
      </c>
      <c r="G241" s="29">
        <f>F241/F243</f>
        <v>9.1836734693877556E-2</v>
      </c>
      <c r="H241" s="28">
        <v>30</v>
      </c>
      <c r="I241" s="29">
        <f>H241/H243</f>
        <v>6.3829787234042548E-2</v>
      </c>
      <c r="J241" s="28">
        <v>10</v>
      </c>
      <c r="K241" s="29">
        <f>J241/J243</f>
        <v>5.3191489361702128E-2</v>
      </c>
      <c r="L241" s="28">
        <v>31</v>
      </c>
      <c r="M241" s="29">
        <f>L241/L243</f>
        <v>5.5555555555555552E-2</v>
      </c>
      <c r="N241" s="21">
        <f>B241+D241+F241+H241+J241+L241</f>
        <v>91</v>
      </c>
      <c r="O241" s="29">
        <f>N241/N243</f>
        <v>5.6627255756067203E-2</v>
      </c>
      <c r="T241" s="33"/>
      <c r="U241" s="33"/>
      <c r="V241" s="33"/>
      <c r="W241" s="33"/>
      <c r="X241" s="33"/>
      <c r="Y241" s="33"/>
    </row>
    <row r="242" spans="1:26" x14ac:dyDescent="0.2">
      <c r="A242" s="20" t="s">
        <v>54</v>
      </c>
      <c r="B242" s="28">
        <v>4</v>
      </c>
      <c r="C242" s="29">
        <f>B242/B243</f>
        <v>1.4184397163120567E-2</v>
      </c>
      <c r="D242" s="28"/>
      <c r="E242" s="29">
        <f>D242/D243</f>
        <v>0</v>
      </c>
      <c r="F242" s="28"/>
      <c r="G242" s="29">
        <f>F242/F243</f>
        <v>0</v>
      </c>
      <c r="H242" s="28">
        <v>4</v>
      </c>
      <c r="I242" s="29">
        <f>H242/H243</f>
        <v>8.5106382978723406E-3</v>
      </c>
      <c r="J242" s="28">
        <v>6</v>
      </c>
      <c r="K242" s="29">
        <f>J242/J243</f>
        <v>3.1914893617021274E-2</v>
      </c>
      <c r="L242" s="28">
        <v>7</v>
      </c>
      <c r="M242" s="29">
        <f>L242/L243</f>
        <v>1.2544802867383513E-2</v>
      </c>
      <c r="N242" s="21">
        <f>B242+D242+F242+H242+J242+L242</f>
        <v>21</v>
      </c>
      <c r="O242" s="29">
        <f>N242/N243</f>
        <v>1.3067828251400125E-2</v>
      </c>
    </row>
    <row r="243" spans="1:26" s="33" customFormat="1" x14ac:dyDescent="0.2">
      <c r="A243" s="26" t="s">
        <v>1</v>
      </c>
      <c r="B243" s="22">
        <f t="shared" ref="B243:L243" si="78">SUM(B239:B242)</f>
        <v>282</v>
      </c>
      <c r="C243" s="31">
        <f>SUM(C239:C242)</f>
        <v>1</v>
      </c>
      <c r="D243" s="22">
        <f t="shared" si="78"/>
        <v>11</v>
      </c>
      <c r="E243" s="31">
        <f>SUM(E239:E242)</f>
        <v>1</v>
      </c>
      <c r="F243" s="22">
        <f t="shared" si="78"/>
        <v>98</v>
      </c>
      <c r="G243" s="31">
        <f>SUM(G239:G242)</f>
        <v>1</v>
      </c>
      <c r="H243" s="22">
        <f t="shared" si="78"/>
        <v>470</v>
      </c>
      <c r="I243" s="31">
        <f>SUM(I239:I242)</f>
        <v>1</v>
      </c>
      <c r="J243" s="22">
        <f t="shared" si="78"/>
        <v>188</v>
      </c>
      <c r="K243" s="31">
        <f>SUM(K239:K242)</f>
        <v>1.0000000000000002</v>
      </c>
      <c r="L243" s="22">
        <f t="shared" si="78"/>
        <v>558</v>
      </c>
      <c r="M243" s="31">
        <f>SUM(M239:M242)</f>
        <v>0.99999999999999989</v>
      </c>
      <c r="N243" s="22">
        <f>SUM(N237:N242)</f>
        <v>1607</v>
      </c>
      <c r="O243" s="31">
        <f>SUM(O237:O242)</f>
        <v>1</v>
      </c>
      <c r="P243" s="36"/>
      <c r="Q243" s="40"/>
      <c r="R243" s="40"/>
      <c r="S243" s="40"/>
      <c r="T243" s="37"/>
      <c r="U243" s="37"/>
      <c r="V243" s="37"/>
      <c r="W243" s="37"/>
      <c r="X243" s="37"/>
      <c r="Y243" s="37"/>
      <c r="Z243" s="37"/>
    </row>
    <row r="244" spans="1:26" ht="24" x14ac:dyDescent="0.2">
      <c r="A244" s="26" t="s">
        <v>91</v>
      </c>
      <c r="B244" s="19"/>
      <c r="C244" s="54">
        <f>SUM(C239:C240)</f>
        <v>0.95035460992907794</v>
      </c>
      <c r="D244" s="19"/>
      <c r="E244" s="54">
        <f>SUM(E239:E240)</f>
        <v>0.90909090909090906</v>
      </c>
      <c r="F244" s="19"/>
      <c r="G244" s="54">
        <f>SUM(G239:G240)</f>
        <v>0.90816326530612246</v>
      </c>
      <c r="H244" s="19"/>
      <c r="I244" s="54">
        <f>SUM(I239:I240)</f>
        <v>0.92765957446808511</v>
      </c>
      <c r="J244" s="19"/>
      <c r="K244" s="54">
        <f>SUM(K239:K240)</f>
        <v>0.91489361702127669</v>
      </c>
      <c r="L244" s="19"/>
      <c r="M244" s="54">
        <f>SUM(M239:M240)</f>
        <v>0.93189964157706084</v>
      </c>
      <c r="N244" s="22"/>
      <c r="O244" s="54">
        <f>SUM(O239:O240)</f>
        <v>0.93030491599253273</v>
      </c>
      <c r="Z244" s="33"/>
    </row>
    <row r="245" spans="1:26" x14ac:dyDescent="0.2">
      <c r="H245" s="36"/>
    </row>
    <row r="246" spans="1:26" ht="24" x14ac:dyDescent="0.2">
      <c r="A246" s="121" t="s">
        <v>63</v>
      </c>
      <c r="B246" s="122" t="s">
        <v>100</v>
      </c>
      <c r="C246" s="122"/>
      <c r="D246" s="122" t="s">
        <v>80</v>
      </c>
      <c r="E246" s="122"/>
      <c r="F246" s="123" t="s">
        <v>136</v>
      </c>
      <c r="G246" s="123"/>
      <c r="H246" s="122" t="s">
        <v>82</v>
      </c>
      <c r="I246" s="122"/>
      <c r="J246" s="122" t="s">
        <v>81</v>
      </c>
      <c r="K246" s="122"/>
      <c r="L246" s="122" t="s">
        <v>98</v>
      </c>
      <c r="M246" s="122"/>
      <c r="N246" s="116" t="s">
        <v>1</v>
      </c>
      <c r="O246" s="116"/>
    </row>
    <row r="247" spans="1:26" x14ac:dyDescent="0.2">
      <c r="A247" s="20" t="s">
        <v>57</v>
      </c>
      <c r="B247" s="28">
        <v>92</v>
      </c>
      <c r="C247" s="29">
        <f>B247/B251</f>
        <v>0.33454545454545453</v>
      </c>
      <c r="D247" s="28">
        <v>5</v>
      </c>
      <c r="E247" s="29">
        <f>D247/D251</f>
        <v>0.45454545454545453</v>
      </c>
      <c r="F247" s="28">
        <v>38</v>
      </c>
      <c r="G247" s="29">
        <f>F247/F251</f>
        <v>0.3619047619047619</v>
      </c>
      <c r="H247" s="28">
        <v>140</v>
      </c>
      <c r="I247" s="29">
        <f>H247/H251</f>
        <v>0.3056768558951965</v>
      </c>
      <c r="J247" s="28">
        <v>54</v>
      </c>
      <c r="K247" s="29">
        <f>J247/J251</f>
        <v>0.2857142857142857</v>
      </c>
      <c r="L247" s="28">
        <v>192</v>
      </c>
      <c r="M247" s="29">
        <f>L247/L251</f>
        <v>0.33862433862433861</v>
      </c>
      <c r="N247" s="21">
        <f>B247+D247+F247+H247+J247+L247</f>
        <v>521</v>
      </c>
      <c r="O247" s="29">
        <f>N247/N251</f>
        <v>0.32461059190031155</v>
      </c>
    </row>
    <row r="248" spans="1:26" x14ac:dyDescent="0.2">
      <c r="A248" s="20" t="s">
        <v>56</v>
      </c>
      <c r="B248" s="28">
        <v>161</v>
      </c>
      <c r="C248" s="29">
        <f>B248/B251</f>
        <v>0.58545454545454545</v>
      </c>
      <c r="D248" s="28">
        <v>5</v>
      </c>
      <c r="E248" s="29">
        <f>D248/D251</f>
        <v>0.45454545454545453</v>
      </c>
      <c r="F248" s="28">
        <v>53</v>
      </c>
      <c r="G248" s="29">
        <f>F248/F251</f>
        <v>0.50476190476190474</v>
      </c>
      <c r="H248" s="28">
        <v>265</v>
      </c>
      <c r="I248" s="29">
        <f>H248/H251</f>
        <v>0.57860262008733621</v>
      </c>
      <c r="J248" s="28">
        <v>115</v>
      </c>
      <c r="K248" s="29">
        <f>J248/J251</f>
        <v>0.60846560846560849</v>
      </c>
      <c r="L248" s="28">
        <v>321</v>
      </c>
      <c r="M248" s="29">
        <f>L248/L251</f>
        <v>0.56613756613756616</v>
      </c>
      <c r="N248" s="21">
        <f>B248+D248+F248+H248+J248+L248</f>
        <v>920</v>
      </c>
      <c r="O248" s="29">
        <f>N248/N251</f>
        <v>0.57320872274143297</v>
      </c>
    </row>
    <row r="249" spans="1:26" x14ac:dyDescent="0.2">
      <c r="A249" s="20" t="s">
        <v>55</v>
      </c>
      <c r="B249" s="28">
        <v>19</v>
      </c>
      <c r="C249" s="29">
        <f>B249/B251</f>
        <v>6.9090909090909092E-2</v>
      </c>
      <c r="D249" s="28">
        <v>1</v>
      </c>
      <c r="E249" s="29">
        <f>D249/D251</f>
        <v>9.0909090909090912E-2</v>
      </c>
      <c r="F249" s="28">
        <v>11</v>
      </c>
      <c r="G249" s="29">
        <f>F249/F251</f>
        <v>0.10476190476190476</v>
      </c>
      <c r="H249" s="28">
        <v>39</v>
      </c>
      <c r="I249" s="29">
        <f>H249/H251</f>
        <v>8.5152838427947602E-2</v>
      </c>
      <c r="J249" s="28">
        <v>15</v>
      </c>
      <c r="K249" s="29">
        <f>J249/J251</f>
        <v>7.9365079365079361E-2</v>
      </c>
      <c r="L249" s="28">
        <v>42</v>
      </c>
      <c r="M249" s="29">
        <f>L249/L251</f>
        <v>7.407407407407407E-2</v>
      </c>
      <c r="N249" s="21">
        <f>B249+D249+F249+H249+J249+L249</f>
        <v>127</v>
      </c>
      <c r="O249" s="29">
        <f>N249/N251</f>
        <v>7.912772585669782E-2</v>
      </c>
      <c r="T249" s="33"/>
      <c r="U249" s="33"/>
      <c r="V249" s="33"/>
      <c r="W249" s="33"/>
      <c r="X249" s="33"/>
      <c r="Y249" s="33"/>
    </row>
    <row r="250" spans="1:26" x14ac:dyDescent="0.2">
      <c r="A250" s="20" t="s">
        <v>54</v>
      </c>
      <c r="B250" s="28">
        <v>3</v>
      </c>
      <c r="C250" s="29">
        <f>B250/B251</f>
        <v>1.090909090909091E-2</v>
      </c>
      <c r="D250" s="28"/>
      <c r="E250" s="29">
        <f>D250/D251</f>
        <v>0</v>
      </c>
      <c r="F250" s="28">
        <v>3</v>
      </c>
      <c r="G250" s="29">
        <f>F250/F251</f>
        <v>2.8571428571428571E-2</v>
      </c>
      <c r="H250" s="28">
        <v>14</v>
      </c>
      <c r="I250" s="29">
        <f>H250/H251</f>
        <v>3.0567685589519649E-2</v>
      </c>
      <c r="J250" s="28">
        <v>5</v>
      </c>
      <c r="K250" s="29">
        <f>J250/J251</f>
        <v>2.6455026455026454E-2</v>
      </c>
      <c r="L250" s="28">
        <v>12</v>
      </c>
      <c r="M250" s="29">
        <f>L250/L251</f>
        <v>2.1164021164021163E-2</v>
      </c>
      <c r="N250" s="21">
        <f>B250+D250+F250+H250+J250+L250</f>
        <v>37</v>
      </c>
      <c r="O250" s="29">
        <f>N250/N251</f>
        <v>2.3052959501557634E-2</v>
      </c>
    </row>
    <row r="251" spans="1:26" s="33" customFormat="1" x14ac:dyDescent="0.2">
      <c r="A251" s="26" t="s">
        <v>1</v>
      </c>
      <c r="B251" s="22">
        <f t="shared" ref="B251:L251" si="79">SUM(B247:B250)</f>
        <v>275</v>
      </c>
      <c r="C251" s="31">
        <f>SUM(C247:C250)</f>
        <v>0.99999999999999989</v>
      </c>
      <c r="D251" s="22">
        <f t="shared" si="79"/>
        <v>11</v>
      </c>
      <c r="E251" s="31">
        <f>SUM(E247:E250)</f>
        <v>1</v>
      </c>
      <c r="F251" s="22">
        <f t="shared" si="79"/>
        <v>105</v>
      </c>
      <c r="G251" s="31">
        <f>SUM(G247:G250)</f>
        <v>1</v>
      </c>
      <c r="H251" s="22">
        <f t="shared" si="79"/>
        <v>458</v>
      </c>
      <c r="I251" s="31">
        <f>SUM(I247:I250)</f>
        <v>1</v>
      </c>
      <c r="J251" s="22">
        <f t="shared" si="79"/>
        <v>189</v>
      </c>
      <c r="K251" s="31">
        <f>SUM(K247:K250)</f>
        <v>1</v>
      </c>
      <c r="L251" s="22">
        <f t="shared" si="79"/>
        <v>567</v>
      </c>
      <c r="M251" s="31">
        <f>SUM(M247:M250)</f>
        <v>1</v>
      </c>
      <c r="N251" s="22">
        <f>SUM(N245:N250)</f>
        <v>1605</v>
      </c>
      <c r="O251" s="31">
        <f>SUM(O245:O250)</f>
        <v>1</v>
      </c>
      <c r="P251" s="36"/>
      <c r="Q251" s="40"/>
      <c r="R251" s="40"/>
      <c r="S251" s="40"/>
      <c r="T251" s="37"/>
      <c r="U251" s="37"/>
      <c r="V251" s="37"/>
      <c r="W251" s="37"/>
      <c r="X251" s="37"/>
      <c r="Y251" s="37"/>
      <c r="Z251" s="37"/>
    </row>
    <row r="252" spans="1:26" ht="24" x14ac:dyDescent="0.2">
      <c r="A252" s="26" t="s">
        <v>91</v>
      </c>
      <c r="B252" s="19"/>
      <c r="C252" s="54">
        <f>SUM(C247:C248)</f>
        <v>0.91999999999999993</v>
      </c>
      <c r="D252" s="19"/>
      <c r="E252" s="54">
        <f>SUM(E247:E248)</f>
        <v>0.90909090909090906</v>
      </c>
      <c r="F252" s="19"/>
      <c r="G252" s="54">
        <f>SUM(G247:G248)</f>
        <v>0.8666666666666667</v>
      </c>
      <c r="H252" s="19"/>
      <c r="I252" s="54">
        <f>SUM(I247:I248)</f>
        <v>0.88427947598253276</v>
      </c>
      <c r="J252" s="19"/>
      <c r="K252" s="54">
        <f>SUM(K247:K248)</f>
        <v>0.89417989417989419</v>
      </c>
      <c r="L252" s="19"/>
      <c r="M252" s="54">
        <f>SUM(M247:M248)</f>
        <v>0.90476190476190477</v>
      </c>
      <c r="N252" s="22"/>
      <c r="O252" s="54">
        <f>SUM(O247:O248)</f>
        <v>0.89781931464174458</v>
      </c>
      <c r="Z252" s="33"/>
    </row>
    <row r="253" spans="1:26" x14ac:dyDescent="0.2">
      <c r="H253" s="36"/>
    </row>
    <row r="254" spans="1:26" ht="24" x14ac:dyDescent="0.2">
      <c r="A254" s="121" t="s">
        <v>64</v>
      </c>
      <c r="B254" s="122" t="s">
        <v>100</v>
      </c>
      <c r="C254" s="122"/>
      <c r="D254" s="122" t="s">
        <v>80</v>
      </c>
      <c r="E254" s="122"/>
      <c r="F254" s="123" t="s">
        <v>136</v>
      </c>
      <c r="G254" s="123"/>
      <c r="H254" s="122" t="s">
        <v>82</v>
      </c>
      <c r="I254" s="122"/>
      <c r="J254" s="122" t="s">
        <v>81</v>
      </c>
      <c r="K254" s="122"/>
      <c r="L254" s="122" t="s">
        <v>98</v>
      </c>
      <c r="M254" s="122"/>
      <c r="N254" s="116" t="s">
        <v>1</v>
      </c>
      <c r="O254" s="116"/>
    </row>
    <row r="255" spans="1:26" x14ac:dyDescent="0.2">
      <c r="A255" s="20" t="s">
        <v>57</v>
      </c>
      <c r="B255" s="28">
        <v>98</v>
      </c>
      <c r="C255" s="29">
        <f>B255/B259</f>
        <v>0.38132295719844356</v>
      </c>
      <c r="D255" s="28">
        <v>4</v>
      </c>
      <c r="E255" s="29">
        <f>D255/D259</f>
        <v>0.33333333333333331</v>
      </c>
      <c r="F255" s="28">
        <v>31</v>
      </c>
      <c r="G255" s="29">
        <f>F255/F259</f>
        <v>0.32291666666666669</v>
      </c>
      <c r="H255" s="28">
        <v>124</v>
      </c>
      <c r="I255" s="29">
        <f>H255/H259</f>
        <v>0.28837209302325584</v>
      </c>
      <c r="J255" s="28">
        <v>63</v>
      </c>
      <c r="K255" s="29">
        <f>J255/J259</f>
        <v>0.34239130434782611</v>
      </c>
      <c r="L255" s="28">
        <v>194</v>
      </c>
      <c r="M255" s="29">
        <f>L255/L259</f>
        <v>0.35859519408502771</v>
      </c>
      <c r="N255" s="21">
        <f>B255+D255+F255+H255+J255+L255</f>
        <v>514</v>
      </c>
      <c r="O255" s="29">
        <f>N255/N259</f>
        <v>0.3381578947368421</v>
      </c>
    </row>
    <row r="256" spans="1:26" x14ac:dyDescent="0.2">
      <c r="A256" s="20" t="s">
        <v>56</v>
      </c>
      <c r="B256" s="28">
        <v>148</v>
      </c>
      <c r="C256" s="29">
        <f>B256/B259</f>
        <v>0.57587548638132291</v>
      </c>
      <c r="D256" s="28">
        <v>8</v>
      </c>
      <c r="E256" s="29">
        <f>D256/D259</f>
        <v>0.66666666666666663</v>
      </c>
      <c r="F256" s="28">
        <v>60</v>
      </c>
      <c r="G256" s="29">
        <f>F256/F259</f>
        <v>0.625</v>
      </c>
      <c r="H256" s="28">
        <v>283</v>
      </c>
      <c r="I256" s="29">
        <f>H256/H259</f>
        <v>0.6581395348837209</v>
      </c>
      <c r="J256" s="28">
        <v>107</v>
      </c>
      <c r="K256" s="29">
        <f>J256/J259</f>
        <v>0.58152173913043481</v>
      </c>
      <c r="L256" s="28">
        <v>309</v>
      </c>
      <c r="M256" s="29">
        <f>L256/L259</f>
        <v>0.57116451016635861</v>
      </c>
      <c r="N256" s="21">
        <f>B256+D256+F256+H256+J256+L256</f>
        <v>915</v>
      </c>
      <c r="O256" s="29">
        <f>N256/N259</f>
        <v>0.60197368421052633</v>
      </c>
    </row>
    <row r="257" spans="1:26" x14ac:dyDescent="0.2">
      <c r="A257" s="20" t="s">
        <v>55</v>
      </c>
      <c r="B257" s="28">
        <v>9</v>
      </c>
      <c r="C257" s="29">
        <f>B257/B259</f>
        <v>3.5019455252918288E-2</v>
      </c>
      <c r="D257" s="28"/>
      <c r="E257" s="29">
        <f>D257/D259</f>
        <v>0</v>
      </c>
      <c r="F257" s="28">
        <v>5</v>
      </c>
      <c r="G257" s="29">
        <f>F257/F259</f>
        <v>5.2083333333333336E-2</v>
      </c>
      <c r="H257" s="28">
        <v>19</v>
      </c>
      <c r="I257" s="29">
        <f>H257/H259</f>
        <v>4.4186046511627906E-2</v>
      </c>
      <c r="J257" s="28">
        <v>10</v>
      </c>
      <c r="K257" s="29">
        <f>J257/J259</f>
        <v>5.434782608695652E-2</v>
      </c>
      <c r="L257" s="28">
        <v>31</v>
      </c>
      <c r="M257" s="29">
        <f>L257/L259</f>
        <v>5.730129390018484E-2</v>
      </c>
      <c r="N257" s="21">
        <f>B257+D257+F257+H257+J257+L257</f>
        <v>74</v>
      </c>
      <c r="O257" s="29">
        <f>N257/N259</f>
        <v>4.8684210526315788E-2</v>
      </c>
      <c r="T257" s="33"/>
      <c r="U257" s="33"/>
      <c r="V257" s="33"/>
      <c r="W257" s="33"/>
      <c r="X257" s="33"/>
      <c r="Y257" s="33"/>
    </row>
    <row r="258" spans="1:26" x14ac:dyDescent="0.2">
      <c r="A258" s="20" t="s">
        <v>54</v>
      </c>
      <c r="B258" s="28">
        <v>2</v>
      </c>
      <c r="C258" s="29">
        <f>B258/B259</f>
        <v>7.7821011673151752E-3</v>
      </c>
      <c r="D258" s="28"/>
      <c r="E258" s="29">
        <f>D258/D259</f>
        <v>0</v>
      </c>
      <c r="F258" s="28"/>
      <c r="G258" s="29">
        <f>F258/F259</f>
        <v>0</v>
      </c>
      <c r="H258" s="28">
        <v>4</v>
      </c>
      <c r="I258" s="29">
        <f>H258/H259</f>
        <v>9.3023255813953487E-3</v>
      </c>
      <c r="J258" s="28">
        <v>4</v>
      </c>
      <c r="K258" s="29">
        <f>J258/J259</f>
        <v>2.1739130434782608E-2</v>
      </c>
      <c r="L258" s="28">
        <v>7</v>
      </c>
      <c r="M258" s="29">
        <f>L258/L259</f>
        <v>1.2939001848428836E-2</v>
      </c>
      <c r="N258" s="21">
        <f>B258+D258+F258+H258+J258+L258</f>
        <v>17</v>
      </c>
      <c r="O258" s="29">
        <f>N258/N259</f>
        <v>1.118421052631579E-2</v>
      </c>
    </row>
    <row r="259" spans="1:26" s="33" customFormat="1" x14ac:dyDescent="0.2">
      <c r="A259" s="26" t="s">
        <v>1</v>
      </c>
      <c r="B259" s="22">
        <f t="shared" ref="B259:L259" si="80">SUM(B255:B258)</f>
        <v>257</v>
      </c>
      <c r="C259" s="31">
        <f>SUM(C255:C258)</f>
        <v>0.99999999999999989</v>
      </c>
      <c r="D259" s="22">
        <f t="shared" si="80"/>
        <v>12</v>
      </c>
      <c r="E259" s="31">
        <f>SUM(E255:E258)</f>
        <v>1</v>
      </c>
      <c r="F259" s="22">
        <f t="shared" si="80"/>
        <v>96</v>
      </c>
      <c r="G259" s="31">
        <f>SUM(G255:G258)</f>
        <v>1</v>
      </c>
      <c r="H259" s="22">
        <f t="shared" si="80"/>
        <v>430</v>
      </c>
      <c r="I259" s="31">
        <f>SUM(I255:I258)</f>
        <v>1</v>
      </c>
      <c r="J259" s="22">
        <f t="shared" si="80"/>
        <v>184</v>
      </c>
      <c r="K259" s="31">
        <f>SUM(K255:K258)</f>
        <v>1.0000000000000002</v>
      </c>
      <c r="L259" s="22">
        <f t="shared" si="80"/>
        <v>541</v>
      </c>
      <c r="M259" s="31">
        <f>SUM(M255:M258)</f>
        <v>1</v>
      </c>
      <c r="N259" s="22">
        <f>SUM(N253:N258)</f>
        <v>1520</v>
      </c>
      <c r="O259" s="31">
        <f>SUM(O253:O258)</f>
        <v>1</v>
      </c>
      <c r="P259" s="36"/>
      <c r="Q259" s="40"/>
      <c r="R259" s="40"/>
      <c r="S259" s="40"/>
      <c r="T259" s="37"/>
      <c r="U259" s="37"/>
      <c r="V259" s="37"/>
      <c r="W259" s="37"/>
      <c r="X259" s="37"/>
      <c r="Y259" s="37"/>
      <c r="Z259" s="37"/>
    </row>
    <row r="260" spans="1:26" ht="24" x14ac:dyDescent="0.2">
      <c r="A260" s="26" t="s">
        <v>91</v>
      </c>
      <c r="B260" s="19"/>
      <c r="C260" s="54">
        <f>SUM(C255:C256)</f>
        <v>0.95719844357976647</v>
      </c>
      <c r="D260" s="19"/>
      <c r="E260" s="54">
        <f>SUM(E255:E256)</f>
        <v>1</v>
      </c>
      <c r="F260" s="19"/>
      <c r="G260" s="54">
        <f>SUM(G255:G256)</f>
        <v>0.94791666666666674</v>
      </c>
      <c r="H260" s="19"/>
      <c r="I260" s="54">
        <f>SUM(I255:I256)</f>
        <v>0.94651162790697674</v>
      </c>
      <c r="J260" s="19"/>
      <c r="K260" s="54">
        <f>SUM(K255:K256)</f>
        <v>0.92391304347826098</v>
      </c>
      <c r="L260" s="19"/>
      <c r="M260" s="54">
        <f>SUM(M255:M256)</f>
        <v>0.92975970425138632</v>
      </c>
      <c r="N260" s="22"/>
      <c r="O260" s="54">
        <f>SUM(O255:O256)</f>
        <v>0.94013157894736843</v>
      </c>
      <c r="Z260" s="33"/>
    </row>
    <row r="261" spans="1:26" x14ac:dyDescent="0.2">
      <c r="H261" s="36"/>
    </row>
    <row r="262" spans="1:26" ht="24" x14ac:dyDescent="0.2">
      <c r="A262" s="121" t="s">
        <v>65</v>
      </c>
      <c r="B262" s="122" t="s">
        <v>100</v>
      </c>
      <c r="C262" s="122"/>
      <c r="D262" s="122" t="s">
        <v>80</v>
      </c>
      <c r="E262" s="122"/>
      <c r="F262" s="123" t="s">
        <v>136</v>
      </c>
      <c r="G262" s="123"/>
      <c r="H262" s="122" t="s">
        <v>82</v>
      </c>
      <c r="I262" s="122"/>
      <c r="J262" s="122" t="s">
        <v>81</v>
      </c>
      <c r="K262" s="122"/>
      <c r="L262" s="122" t="s">
        <v>98</v>
      </c>
      <c r="M262" s="122"/>
      <c r="N262" s="116" t="s">
        <v>1</v>
      </c>
      <c r="O262" s="116"/>
    </row>
    <row r="263" spans="1:26" x14ac:dyDescent="0.2">
      <c r="A263" s="20" t="s">
        <v>57</v>
      </c>
      <c r="B263" s="28">
        <v>90</v>
      </c>
      <c r="C263" s="29">
        <f>B263/B267</f>
        <v>0.34883720930232559</v>
      </c>
      <c r="D263" s="28">
        <v>4</v>
      </c>
      <c r="E263" s="29">
        <f>D263/D267</f>
        <v>0.33333333333333331</v>
      </c>
      <c r="F263" s="28">
        <v>32</v>
      </c>
      <c r="G263" s="29">
        <f>F263/F267</f>
        <v>0.34408602150537637</v>
      </c>
      <c r="H263" s="28">
        <v>119</v>
      </c>
      <c r="I263" s="29">
        <f>H263/H267</f>
        <v>0.28266033254156769</v>
      </c>
      <c r="J263" s="28">
        <v>73</v>
      </c>
      <c r="K263" s="29">
        <f>J263/J267</f>
        <v>0.38421052631578945</v>
      </c>
      <c r="L263" s="28">
        <v>197</v>
      </c>
      <c r="M263" s="29">
        <f>L263/L267</f>
        <v>0.37452471482889732</v>
      </c>
      <c r="N263" s="21">
        <f>B263+D263+F263+H263+J263+L263</f>
        <v>515</v>
      </c>
      <c r="O263" s="29">
        <f>N263/N267</f>
        <v>0.34333333333333332</v>
      </c>
    </row>
    <row r="264" spans="1:26" x14ac:dyDescent="0.2">
      <c r="A264" s="20" t="s">
        <v>56</v>
      </c>
      <c r="B264" s="28">
        <v>152</v>
      </c>
      <c r="C264" s="29">
        <f>B264/B267</f>
        <v>0.58914728682170547</v>
      </c>
      <c r="D264" s="28">
        <v>8</v>
      </c>
      <c r="E264" s="29">
        <f>D264/D267</f>
        <v>0.66666666666666663</v>
      </c>
      <c r="F264" s="28">
        <v>53</v>
      </c>
      <c r="G264" s="29">
        <f>F264/F267</f>
        <v>0.56989247311827962</v>
      </c>
      <c r="H264" s="28">
        <v>279</v>
      </c>
      <c r="I264" s="29">
        <f>H264/H267</f>
        <v>0.66270783847980996</v>
      </c>
      <c r="J264" s="28">
        <v>105</v>
      </c>
      <c r="K264" s="29">
        <f>J264/J267</f>
        <v>0.55263157894736847</v>
      </c>
      <c r="L264" s="28">
        <v>299</v>
      </c>
      <c r="M264" s="29">
        <f>L264/L267</f>
        <v>0.5684410646387833</v>
      </c>
      <c r="N264" s="21">
        <f>B264+D264+F264+H264+J264+L264</f>
        <v>896</v>
      </c>
      <c r="O264" s="29">
        <f>N264/N267</f>
        <v>0.59733333333333338</v>
      </c>
    </row>
    <row r="265" spans="1:26" x14ac:dyDescent="0.2">
      <c r="A265" s="20" t="s">
        <v>55</v>
      </c>
      <c r="B265" s="28">
        <v>10</v>
      </c>
      <c r="C265" s="29">
        <f>B265/B267</f>
        <v>3.875968992248062E-2</v>
      </c>
      <c r="D265" s="28"/>
      <c r="E265" s="29">
        <f>D265/D267</f>
        <v>0</v>
      </c>
      <c r="F265" s="28">
        <v>7</v>
      </c>
      <c r="G265" s="29">
        <f>F265/F267</f>
        <v>7.5268817204301078E-2</v>
      </c>
      <c r="H265" s="28">
        <v>18</v>
      </c>
      <c r="I265" s="29">
        <f>H265/H267</f>
        <v>4.2755344418052253E-2</v>
      </c>
      <c r="J265" s="28">
        <v>8</v>
      </c>
      <c r="K265" s="29">
        <f>J265/J267</f>
        <v>4.2105263157894736E-2</v>
      </c>
      <c r="L265" s="28">
        <v>21</v>
      </c>
      <c r="M265" s="29">
        <f>L265/L267</f>
        <v>3.9923954372623575E-2</v>
      </c>
      <c r="N265" s="21">
        <f>B265+D265+F265+H265+J265+L265</f>
        <v>64</v>
      </c>
      <c r="O265" s="29">
        <f>N265/N267</f>
        <v>4.2666666666666665E-2</v>
      </c>
      <c r="T265" s="33"/>
      <c r="U265" s="33"/>
      <c r="V265" s="33"/>
      <c r="W265" s="33"/>
      <c r="X265" s="33"/>
      <c r="Y265" s="33"/>
    </row>
    <row r="266" spans="1:26" x14ac:dyDescent="0.2">
      <c r="A266" s="20" t="s">
        <v>54</v>
      </c>
      <c r="B266" s="28">
        <v>6</v>
      </c>
      <c r="C266" s="29">
        <f>B266/B267</f>
        <v>2.3255813953488372E-2</v>
      </c>
      <c r="D266" s="28"/>
      <c r="E266" s="29">
        <f>D266/D267</f>
        <v>0</v>
      </c>
      <c r="F266" s="28">
        <v>1</v>
      </c>
      <c r="G266" s="29">
        <f>F266/F267</f>
        <v>1.0752688172043012E-2</v>
      </c>
      <c r="H266" s="28">
        <v>5</v>
      </c>
      <c r="I266" s="29">
        <f>H266/H267</f>
        <v>1.1876484560570071E-2</v>
      </c>
      <c r="J266" s="28">
        <v>4</v>
      </c>
      <c r="K266" s="29">
        <f>J266/J267</f>
        <v>2.1052631578947368E-2</v>
      </c>
      <c r="L266" s="28">
        <v>9</v>
      </c>
      <c r="M266" s="29">
        <f>L266/L267</f>
        <v>1.7110266159695818E-2</v>
      </c>
      <c r="N266" s="21">
        <f>B266+D266+F266+H266+J266+L266</f>
        <v>25</v>
      </c>
      <c r="O266" s="29">
        <f>N266/N267</f>
        <v>1.6666666666666666E-2</v>
      </c>
    </row>
    <row r="267" spans="1:26" s="33" customFormat="1" x14ac:dyDescent="0.2">
      <c r="A267" s="26" t="s">
        <v>1</v>
      </c>
      <c r="B267" s="22">
        <f t="shared" ref="B267:L267" si="81">SUM(B263:B266)</f>
        <v>258</v>
      </c>
      <c r="C267" s="31">
        <f>SUM(C263:C266)</f>
        <v>1</v>
      </c>
      <c r="D267" s="22">
        <f t="shared" si="81"/>
        <v>12</v>
      </c>
      <c r="E267" s="31">
        <f>SUM(E263:E266)</f>
        <v>1</v>
      </c>
      <c r="F267" s="22">
        <f t="shared" si="81"/>
        <v>93</v>
      </c>
      <c r="G267" s="31">
        <f>SUM(G263:G266)</f>
        <v>1.0000000000000002</v>
      </c>
      <c r="H267" s="22">
        <f t="shared" si="81"/>
        <v>421</v>
      </c>
      <c r="I267" s="31">
        <f>SUM(I263:I266)</f>
        <v>1</v>
      </c>
      <c r="J267" s="22">
        <f t="shared" si="81"/>
        <v>190</v>
      </c>
      <c r="K267" s="31">
        <f>SUM(K263:K266)</f>
        <v>1</v>
      </c>
      <c r="L267" s="22">
        <f t="shared" si="81"/>
        <v>526</v>
      </c>
      <c r="M267" s="31">
        <f>SUM(M263:M266)</f>
        <v>1</v>
      </c>
      <c r="N267" s="22">
        <f>SUM(N261:N266)</f>
        <v>1500</v>
      </c>
      <c r="O267" s="31">
        <f>SUM(O261:O266)</f>
        <v>1</v>
      </c>
      <c r="P267" s="36"/>
      <c r="Q267" s="40"/>
      <c r="R267" s="40"/>
      <c r="S267" s="40"/>
      <c r="T267" s="37"/>
      <c r="U267" s="37"/>
      <c r="V267" s="37"/>
      <c r="W267" s="37"/>
      <c r="X267" s="37"/>
      <c r="Y267" s="37"/>
      <c r="Z267" s="37"/>
    </row>
    <row r="268" spans="1:26" ht="24" x14ac:dyDescent="0.2">
      <c r="A268" s="26" t="s">
        <v>91</v>
      </c>
      <c r="B268" s="19"/>
      <c r="C268" s="54">
        <f>SUM(C263:C264)</f>
        <v>0.93798449612403112</v>
      </c>
      <c r="D268" s="19"/>
      <c r="E268" s="54">
        <f>SUM(E263:E264)</f>
        <v>1</v>
      </c>
      <c r="F268" s="19"/>
      <c r="G268" s="54">
        <f>SUM(G263:G264)</f>
        <v>0.91397849462365599</v>
      </c>
      <c r="H268" s="19"/>
      <c r="I268" s="54">
        <f>SUM(I263:I264)</f>
        <v>0.94536817102137771</v>
      </c>
      <c r="J268" s="19"/>
      <c r="K268" s="54">
        <f>SUM(K263:K264)</f>
        <v>0.93684210526315792</v>
      </c>
      <c r="L268" s="19"/>
      <c r="M268" s="54">
        <f>SUM(M263:M264)</f>
        <v>0.94296577946768068</v>
      </c>
      <c r="N268" s="22"/>
      <c r="O268" s="54">
        <f>SUM(O263:O264)</f>
        <v>0.94066666666666676</v>
      </c>
      <c r="Z268" s="33"/>
    </row>
    <row r="269" spans="1:26" x14ac:dyDescent="0.2">
      <c r="H269" s="36"/>
    </row>
    <row r="270" spans="1:26" ht="15" x14ac:dyDescent="0.2">
      <c r="A270" s="80" t="s">
        <v>67</v>
      </c>
      <c r="B270" s="82"/>
      <c r="C270" s="82"/>
      <c r="H270" s="36"/>
    </row>
    <row r="271" spans="1:26" ht="24" x14ac:dyDescent="0.2">
      <c r="A271" s="121" t="s">
        <v>66</v>
      </c>
      <c r="B271" s="122" t="s">
        <v>100</v>
      </c>
      <c r="C271" s="122"/>
      <c r="D271" s="122" t="s">
        <v>80</v>
      </c>
      <c r="E271" s="122"/>
      <c r="F271" s="123" t="s">
        <v>136</v>
      </c>
      <c r="G271" s="123"/>
      <c r="H271" s="122" t="s">
        <v>82</v>
      </c>
      <c r="I271" s="122"/>
      <c r="J271" s="122" t="s">
        <v>81</v>
      </c>
      <c r="K271" s="122"/>
      <c r="L271" s="122" t="s">
        <v>98</v>
      </c>
      <c r="M271" s="122"/>
      <c r="N271" s="116" t="s">
        <v>1</v>
      </c>
      <c r="O271" s="116"/>
    </row>
    <row r="272" spans="1:26" x14ac:dyDescent="0.2">
      <c r="A272" s="20" t="s">
        <v>20</v>
      </c>
      <c r="B272" s="28">
        <v>142</v>
      </c>
      <c r="C272" s="29">
        <f>B272/B276</f>
        <v>0.4303030303030303</v>
      </c>
      <c r="D272" s="28">
        <v>6</v>
      </c>
      <c r="E272" s="29">
        <f>D272/D276</f>
        <v>0.46153846153846156</v>
      </c>
      <c r="F272" s="28">
        <v>51</v>
      </c>
      <c r="G272" s="29">
        <f>F272/F276</f>
        <v>0.44736842105263158</v>
      </c>
      <c r="H272" s="28">
        <v>201</v>
      </c>
      <c r="I272" s="29">
        <f>H272/H276</f>
        <v>0.39489194499017682</v>
      </c>
      <c r="J272" s="28">
        <v>102</v>
      </c>
      <c r="K272" s="29">
        <f>J272/J276</f>
        <v>0.44155844155844154</v>
      </c>
      <c r="L272" s="28">
        <v>243</v>
      </c>
      <c r="M272" s="29">
        <f>L272/L276</f>
        <v>0.38388625592417064</v>
      </c>
      <c r="N272" s="21">
        <f>B272+D272+F272+H272+J272+L272</f>
        <v>745</v>
      </c>
      <c r="O272" s="29">
        <f>N272/N276</f>
        <v>0.40710382513661203</v>
      </c>
    </row>
    <row r="273" spans="1:25" x14ac:dyDescent="0.2">
      <c r="A273" s="20" t="s">
        <v>19</v>
      </c>
      <c r="B273" s="28">
        <v>169</v>
      </c>
      <c r="C273" s="29">
        <f>B273/B276</f>
        <v>0.51212121212121209</v>
      </c>
      <c r="D273" s="28">
        <v>6</v>
      </c>
      <c r="E273" s="29">
        <f>D273/D276</f>
        <v>0.46153846153846156</v>
      </c>
      <c r="F273" s="28">
        <v>49</v>
      </c>
      <c r="G273" s="29">
        <f>F273/F276</f>
        <v>0.42982456140350878</v>
      </c>
      <c r="H273" s="28">
        <v>283</v>
      </c>
      <c r="I273" s="29">
        <f>H273/H276</f>
        <v>0.55599214145383102</v>
      </c>
      <c r="J273" s="28">
        <v>108</v>
      </c>
      <c r="K273" s="29">
        <f>J273/J276</f>
        <v>0.46753246753246752</v>
      </c>
      <c r="L273" s="28">
        <v>347</v>
      </c>
      <c r="M273" s="29">
        <f>L273/L276</f>
        <v>0.54818325434439175</v>
      </c>
      <c r="N273" s="21">
        <f>B273+D273+F273+H273+J273+L273</f>
        <v>962</v>
      </c>
      <c r="O273" s="29">
        <f>N273/N276</f>
        <v>0.52568306010928967</v>
      </c>
      <c r="T273" s="33"/>
      <c r="U273" s="33"/>
      <c r="V273" s="33"/>
      <c r="W273" s="33"/>
      <c r="X273" s="33"/>
      <c r="Y273" s="33"/>
    </row>
    <row r="274" spans="1:25" x14ac:dyDescent="0.2">
      <c r="A274" s="20" t="s">
        <v>18</v>
      </c>
      <c r="B274" s="28">
        <v>14</v>
      </c>
      <c r="C274" s="29">
        <f>B274/B276</f>
        <v>4.2424242424242427E-2</v>
      </c>
      <c r="D274" s="28"/>
      <c r="E274" s="29">
        <f>D274/D276</f>
        <v>0</v>
      </c>
      <c r="F274" s="28">
        <v>8</v>
      </c>
      <c r="G274" s="29">
        <f>F274/F276</f>
        <v>7.0175438596491224E-2</v>
      </c>
      <c r="H274" s="28">
        <v>19</v>
      </c>
      <c r="I274" s="29">
        <f>H274/H276</f>
        <v>3.732809430255403E-2</v>
      </c>
      <c r="J274" s="28">
        <v>15</v>
      </c>
      <c r="K274" s="29">
        <f>J274/J276</f>
        <v>6.4935064935064929E-2</v>
      </c>
      <c r="L274" s="28">
        <v>30</v>
      </c>
      <c r="M274" s="29">
        <f>L274/L276</f>
        <v>4.7393364928909949E-2</v>
      </c>
      <c r="N274" s="21">
        <f>B274+D274+F274+H274+J274+L274</f>
        <v>86</v>
      </c>
      <c r="O274" s="29">
        <f>N274/N276</f>
        <v>4.6994535519125684E-2</v>
      </c>
    </row>
    <row r="275" spans="1:25" x14ac:dyDescent="0.2">
      <c r="A275" s="20" t="s">
        <v>17</v>
      </c>
      <c r="B275" s="28">
        <v>5</v>
      </c>
      <c r="C275" s="29">
        <f>B275/B276</f>
        <v>1.5151515151515152E-2</v>
      </c>
      <c r="D275" s="28">
        <v>1</v>
      </c>
      <c r="E275" s="29">
        <f>D275/D276</f>
        <v>7.6923076923076927E-2</v>
      </c>
      <c r="F275" s="28">
        <v>6</v>
      </c>
      <c r="G275" s="29">
        <f>F275/F276</f>
        <v>5.2631578947368418E-2</v>
      </c>
      <c r="H275" s="28">
        <v>6</v>
      </c>
      <c r="I275" s="29">
        <f>H275/H276</f>
        <v>1.1787819253438114E-2</v>
      </c>
      <c r="J275" s="28">
        <v>6</v>
      </c>
      <c r="K275" s="29">
        <f>J275/J276</f>
        <v>2.5974025974025976E-2</v>
      </c>
      <c r="L275" s="28">
        <v>13</v>
      </c>
      <c r="M275" s="29">
        <f>L275/L276</f>
        <v>2.0537124802527645E-2</v>
      </c>
      <c r="N275" s="21">
        <f>B275+D275+F275+H275+J275+L275</f>
        <v>37</v>
      </c>
      <c r="O275" s="29">
        <f>N275/N276</f>
        <v>2.0218579234972677E-2</v>
      </c>
    </row>
    <row r="276" spans="1:25" s="33" customFormat="1" x14ac:dyDescent="0.2">
      <c r="A276" s="26" t="s">
        <v>1</v>
      </c>
      <c r="B276" s="22">
        <f t="shared" ref="B276:L276" si="82">SUM(B272:B275)</f>
        <v>330</v>
      </c>
      <c r="C276" s="31">
        <f>SUM(C272:C275)</f>
        <v>1</v>
      </c>
      <c r="D276" s="22">
        <f t="shared" si="82"/>
        <v>13</v>
      </c>
      <c r="E276" s="31">
        <f>SUM(E272:E275)</f>
        <v>1</v>
      </c>
      <c r="F276" s="22">
        <f t="shared" si="82"/>
        <v>114</v>
      </c>
      <c r="G276" s="31">
        <f>SUM(G272:G275)</f>
        <v>1</v>
      </c>
      <c r="H276" s="22">
        <f t="shared" si="82"/>
        <v>509</v>
      </c>
      <c r="I276" s="31">
        <f>SUM(I272:I275)</f>
        <v>0.99999999999999989</v>
      </c>
      <c r="J276" s="22">
        <f t="shared" si="82"/>
        <v>231</v>
      </c>
      <c r="K276" s="31">
        <f>SUM(K272:K275)</f>
        <v>1</v>
      </c>
      <c r="L276" s="22">
        <f t="shared" si="82"/>
        <v>633</v>
      </c>
      <c r="M276" s="31">
        <f>SUM(M272:M275)</f>
        <v>1</v>
      </c>
      <c r="N276" s="22">
        <f>SUM(N270:N275)</f>
        <v>1830</v>
      </c>
      <c r="O276" s="31">
        <f>SUM(O270:O275)</f>
        <v>1</v>
      </c>
      <c r="P276" s="36"/>
      <c r="Q276" s="40"/>
      <c r="R276" s="40"/>
      <c r="S276" s="40"/>
      <c r="T276" s="37"/>
      <c r="U276" s="37"/>
      <c r="V276" s="37"/>
      <c r="W276" s="37"/>
      <c r="X276" s="37"/>
      <c r="Y276" s="37"/>
    </row>
    <row r="277" spans="1:25" x14ac:dyDescent="0.2">
      <c r="A277" s="26" t="s">
        <v>89</v>
      </c>
      <c r="B277" s="19"/>
      <c r="C277" s="54">
        <f>SUM(C272:C273)</f>
        <v>0.94242424242424239</v>
      </c>
      <c r="D277" s="19"/>
      <c r="E277" s="54">
        <f>SUM(E272:E273)</f>
        <v>0.92307692307692313</v>
      </c>
      <c r="F277" s="19"/>
      <c r="G277" s="54">
        <f>SUM(G272:G273)</f>
        <v>0.87719298245614041</v>
      </c>
      <c r="H277" s="19"/>
      <c r="I277" s="54">
        <f>SUM(I272:I273)</f>
        <v>0.95088408644400779</v>
      </c>
      <c r="J277" s="19"/>
      <c r="K277" s="54">
        <f>SUM(K272:K273)</f>
        <v>0.90909090909090906</v>
      </c>
      <c r="L277" s="19"/>
      <c r="M277" s="54">
        <f>SUM(M272:M273)</f>
        <v>0.93206951026856233</v>
      </c>
      <c r="N277" s="22"/>
      <c r="O277" s="54">
        <f>SUM(O272:O273)</f>
        <v>0.9327868852459017</v>
      </c>
    </row>
    <row r="278" spans="1:25" x14ac:dyDescent="0.2">
      <c r="A278" s="14"/>
      <c r="B278" s="4"/>
      <c r="D278" s="1"/>
      <c r="H278" s="36"/>
    </row>
    <row r="279" spans="1:25" ht="12" customHeight="1" x14ac:dyDescent="0.2">
      <c r="A279" s="121" t="s">
        <v>68</v>
      </c>
      <c r="B279" s="122" t="s">
        <v>100</v>
      </c>
      <c r="C279" s="122"/>
      <c r="D279" s="122" t="s">
        <v>80</v>
      </c>
      <c r="E279" s="122"/>
      <c r="F279" s="123" t="s">
        <v>136</v>
      </c>
      <c r="G279" s="123"/>
      <c r="H279" s="122" t="s">
        <v>82</v>
      </c>
      <c r="I279" s="122"/>
      <c r="J279" s="122" t="s">
        <v>81</v>
      </c>
      <c r="K279" s="122"/>
      <c r="L279" s="122" t="s">
        <v>98</v>
      </c>
      <c r="M279" s="122"/>
      <c r="N279" s="116" t="s">
        <v>1</v>
      </c>
      <c r="O279" s="116"/>
    </row>
    <row r="280" spans="1:25" x14ac:dyDescent="0.2">
      <c r="A280" s="20" t="s">
        <v>20</v>
      </c>
      <c r="B280" s="28">
        <v>79</v>
      </c>
      <c r="C280" s="29">
        <f>B280/B284</f>
        <v>0.38536585365853659</v>
      </c>
      <c r="D280" s="28">
        <v>3</v>
      </c>
      <c r="E280" s="29">
        <f>D280/D284</f>
        <v>0.33333333333333331</v>
      </c>
      <c r="F280" s="28">
        <v>21</v>
      </c>
      <c r="G280" s="29">
        <f>F280/F284</f>
        <v>0.28000000000000003</v>
      </c>
      <c r="H280" s="28">
        <v>120</v>
      </c>
      <c r="I280" s="29">
        <f>H280/H284</f>
        <v>0.35087719298245612</v>
      </c>
      <c r="J280" s="28">
        <v>62</v>
      </c>
      <c r="K280" s="29">
        <f>J280/J284</f>
        <v>0.40789473684210525</v>
      </c>
      <c r="L280" s="28">
        <v>127</v>
      </c>
      <c r="M280" s="29">
        <f>L280/L284</f>
        <v>0.34139784946236557</v>
      </c>
      <c r="N280" s="21">
        <f>B280+D280+F280+H280+J280+L280</f>
        <v>412</v>
      </c>
      <c r="O280" s="29">
        <f>N280/N284</f>
        <v>0.3567099567099567</v>
      </c>
    </row>
    <row r="281" spans="1:25" x14ac:dyDescent="0.2">
      <c r="A281" s="20" t="s">
        <v>19</v>
      </c>
      <c r="B281" s="28">
        <v>94</v>
      </c>
      <c r="C281" s="29">
        <f>B281/B284</f>
        <v>0.45853658536585368</v>
      </c>
      <c r="D281" s="28">
        <v>3</v>
      </c>
      <c r="E281" s="29">
        <f>D281/D284</f>
        <v>0.33333333333333331</v>
      </c>
      <c r="F281" s="28">
        <v>32</v>
      </c>
      <c r="G281" s="29">
        <f>F281/F284</f>
        <v>0.42666666666666669</v>
      </c>
      <c r="H281" s="28">
        <v>166</v>
      </c>
      <c r="I281" s="29">
        <f>H281/H284</f>
        <v>0.4853801169590643</v>
      </c>
      <c r="J281" s="28">
        <v>64</v>
      </c>
      <c r="K281" s="29">
        <f>J281/J284</f>
        <v>0.42105263157894735</v>
      </c>
      <c r="L281" s="28">
        <v>166</v>
      </c>
      <c r="M281" s="29">
        <f>L281/L284</f>
        <v>0.44623655913978494</v>
      </c>
      <c r="N281" s="21">
        <f>B281+D281+F281+H281+J281+L281</f>
        <v>525</v>
      </c>
      <c r="O281" s="29">
        <f>N281/N284</f>
        <v>0.45454545454545453</v>
      </c>
      <c r="T281" s="33"/>
      <c r="U281" s="33"/>
      <c r="V281" s="33"/>
      <c r="W281" s="33"/>
      <c r="X281" s="33"/>
      <c r="Y281" s="33"/>
    </row>
    <row r="282" spans="1:25" x14ac:dyDescent="0.2">
      <c r="A282" s="20" t="s">
        <v>18</v>
      </c>
      <c r="B282" s="28">
        <v>25</v>
      </c>
      <c r="C282" s="29">
        <f>B282/B284</f>
        <v>0.12195121951219512</v>
      </c>
      <c r="D282" s="28">
        <v>3</v>
      </c>
      <c r="E282" s="29">
        <f>D282/D284</f>
        <v>0.33333333333333331</v>
      </c>
      <c r="F282" s="28">
        <v>14</v>
      </c>
      <c r="G282" s="29">
        <f>F282/F284</f>
        <v>0.18666666666666668</v>
      </c>
      <c r="H282" s="28">
        <v>52</v>
      </c>
      <c r="I282" s="29">
        <f>H282/H284</f>
        <v>0.15204678362573099</v>
      </c>
      <c r="J282" s="28">
        <v>18</v>
      </c>
      <c r="K282" s="29">
        <f>J282/J284</f>
        <v>0.11842105263157894</v>
      </c>
      <c r="L282" s="28">
        <v>60</v>
      </c>
      <c r="M282" s="29">
        <f>L282/L284</f>
        <v>0.16129032258064516</v>
      </c>
      <c r="N282" s="21">
        <f>B282+D282+F282+H282+J282+L282</f>
        <v>172</v>
      </c>
      <c r="O282" s="29">
        <f>N282/N284</f>
        <v>0.14891774891774892</v>
      </c>
    </row>
    <row r="283" spans="1:25" x14ac:dyDescent="0.2">
      <c r="A283" s="20" t="s">
        <v>17</v>
      </c>
      <c r="B283" s="28">
        <v>7</v>
      </c>
      <c r="C283" s="29">
        <f>B283/B284</f>
        <v>3.4146341463414637E-2</v>
      </c>
      <c r="D283" s="28"/>
      <c r="E283" s="29">
        <f>D283/D284</f>
        <v>0</v>
      </c>
      <c r="F283" s="28">
        <v>8</v>
      </c>
      <c r="G283" s="29">
        <f>F283/F284</f>
        <v>0.10666666666666667</v>
      </c>
      <c r="H283" s="28">
        <v>4</v>
      </c>
      <c r="I283" s="29">
        <f>H283/H284</f>
        <v>1.1695906432748537E-2</v>
      </c>
      <c r="J283" s="28">
        <v>8</v>
      </c>
      <c r="K283" s="29">
        <f>J283/J284</f>
        <v>5.2631578947368418E-2</v>
      </c>
      <c r="L283" s="28">
        <v>19</v>
      </c>
      <c r="M283" s="29">
        <f>L283/L284</f>
        <v>5.1075268817204304E-2</v>
      </c>
      <c r="N283" s="21">
        <f>B283+D283+F283+H283+J283+L283</f>
        <v>46</v>
      </c>
      <c r="O283" s="29">
        <f>N283/N284</f>
        <v>3.9826839826839829E-2</v>
      </c>
    </row>
    <row r="284" spans="1:25" s="33" customFormat="1" x14ac:dyDescent="0.2">
      <c r="A284" s="26" t="s">
        <v>1</v>
      </c>
      <c r="B284" s="22">
        <f t="shared" ref="B284:L284" si="83">SUM(B280:B283)</f>
        <v>205</v>
      </c>
      <c r="C284" s="31">
        <f>SUM(C280:C283)</f>
        <v>1</v>
      </c>
      <c r="D284" s="22">
        <f t="shared" si="83"/>
        <v>9</v>
      </c>
      <c r="E284" s="31">
        <f>SUM(E280:E283)</f>
        <v>1</v>
      </c>
      <c r="F284" s="22">
        <f t="shared" si="83"/>
        <v>75</v>
      </c>
      <c r="G284" s="31">
        <f>SUM(G280:G283)</f>
        <v>1</v>
      </c>
      <c r="H284" s="22">
        <f t="shared" si="83"/>
        <v>342</v>
      </c>
      <c r="I284" s="31">
        <f>SUM(I280:I283)</f>
        <v>1</v>
      </c>
      <c r="J284" s="22">
        <f t="shared" si="83"/>
        <v>152</v>
      </c>
      <c r="K284" s="31">
        <f>SUM(K280:K283)</f>
        <v>1</v>
      </c>
      <c r="L284" s="22">
        <f t="shared" si="83"/>
        <v>372</v>
      </c>
      <c r="M284" s="31">
        <f>SUM(M280:M283)</f>
        <v>0.99999999999999989</v>
      </c>
      <c r="N284" s="22">
        <f>SUM(N278:N283)</f>
        <v>1155</v>
      </c>
      <c r="O284" s="31">
        <f>SUM(O278:O283)</f>
        <v>1</v>
      </c>
      <c r="P284" s="36"/>
      <c r="Q284" s="40"/>
      <c r="R284" s="40"/>
      <c r="S284" s="40"/>
      <c r="T284" s="37"/>
      <c r="U284" s="37"/>
      <c r="V284" s="37"/>
      <c r="W284" s="37"/>
      <c r="X284" s="37"/>
      <c r="Y284" s="37"/>
    </row>
    <row r="285" spans="1:25" x14ac:dyDescent="0.2">
      <c r="A285" s="26" t="s">
        <v>89</v>
      </c>
      <c r="B285" s="19"/>
      <c r="C285" s="54">
        <f>SUM(C280:C281)</f>
        <v>0.84390243902439033</v>
      </c>
      <c r="D285" s="19"/>
      <c r="E285" s="54">
        <f>SUM(E280:E281)</f>
        <v>0.66666666666666663</v>
      </c>
      <c r="F285" s="19"/>
      <c r="G285" s="54">
        <f>SUM(G280:G281)</f>
        <v>0.70666666666666678</v>
      </c>
      <c r="H285" s="19"/>
      <c r="I285" s="54">
        <f>SUM(I280:I281)</f>
        <v>0.83625730994152048</v>
      </c>
      <c r="J285" s="19"/>
      <c r="K285" s="54">
        <f>SUM(K280:K281)</f>
        <v>0.82894736842105265</v>
      </c>
      <c r="L285" s="19"/>
      <c r="M285" s="54">
        <f>SUM(M280:M281)</f>
        <v>0.7876344086021505</v>
      </c>
      <c r="N285" s="22"/>
      <c r="O285" s="54">
        <f>SUM(O280:O281)</f>
        <v>0.81125541125541123</v>
      </c>
    </row>
    <row r="286" spans="1:25" x14ac:dyDescent="0.2">
      <c r="H286" s="36"/>
    </row>
    <row r="287" spans="1:25" ht="12" customHeight="1" x14ac:dyDescent="0.2">
      <c r="A287" s="121" t="s">
        <v>175</v>
      </c>
      <c r="B287" s="122" t="s">
        <v>100</v>
      </c>
      <c r="C287" s="122"/>
      <c r="D287" s="122" t="s">
        <v>80</v>
      </c>
      <c r="E287" s="122"/>
      <c r="F287" s="123" t="s">
        <v>136</v>
      </c>
      <c r="G287" s="123"/>
      <c r="H287" s="122" t="s">
        <v>82</v>
      </c>
      <c r="I287" s="122"/>
      <c r="J287" s="122" t="s">
        <v>81</v>
      </c>
      <c r="K287" s="122"/>
      <c r="L287" s="122" t="s">
        <v>98</v>
      </c>
      <c r="M287" s="122"/>
      <c r="N287" s="116" t="s">
        <v>1</v>
      </c>
      <c r="O287" s="116"/>
    </row>
    <row r="288" spans="1:25" x14ac:dyDescent="0.2">
      <c r="A288" s="20" t="s">
        <v>20</v>
      </c>
      <c r="B288" s="28">
        <v>117</v>
      </c>
      <c r="C288" s="29">
        <f>B288/B292</f>
        <v>0.41785714285714287</v>
      </c>
      <c r="D288" s="28">
        <v>4</v>
      </c>
      <c r="E288" s="29">
        <f>D288/D292</f>
        <v>0.30769230769230771</v>
      </c>
      <c r="F288" s="28">
        <v>26</v>
      </c>
      <c r="G288" s="29">
        <f>F288/F292</f>
        <v>0.26530612244897961</v>
      </c>
      <c r="H288" s="28">
        <v>131</v>
      </c>
      <c r="I288" s="29">
        <f>H288/H292</f>
        <v>0.29504504504504503</v>
      </c>
      <c r="J288" s="28">
        <v>67</v>
      </c>
      <c r="K288" s="29">
        <f>J288/J292</f>
        <v>0.33333333333333331</v>
      </c>
      <c r="L288" s="28">
        <v>170</v>
      </c>
      <c r="M288" s="29">
        <f>L288/L292</f>
        <v>0.31954887218045114</v>
      </c>
      <c r="N288" s="21">
        <f>B288+D288+F288+H288+J288+L288</f>
        <v>515</v>
      </c>
      <c r="O288" s="29">
        <f>N288/N292</f>
        <v>0.32844387755102039</v>
      </c>
    </row>
    <row r="289" spans="1:25" x14ac:dyDescent="0.2">
      <c r="A289" s="20" t="s">
        <v>19</v>
      </c>
      <c r="B289" s="28">
        <v>127</v>
      </c>
      <c r="C289" s="29">
        <f>B289/B292</f>
        <v>0.45357142857142857</v>
      </c>
      <c r="D289" s="28">
        <v>7</v>
      </c>
      <c r="E289" s="29">
        <f>D289/D292</f>
        <v>0.53846153846153844</v>
      </c>
      <c r="F289" s="28">
        <v>44</v>
      </c>
      <c r="G289" s="29">
        <f>F289/F292</f>
        <v>0.44897959183673469</v>
      </c>
      <c r="H289" s="28">
        <v>237</v>
      </c>
      <c r="I289" s="29">
        <f>H289/H292</f>
        <v>0.53378378378378377</v>
      </c>
      <c r="J289" s="28">
        <v>88</v>
      </c>
      <c r="K289" s="29">
        <f>J289/J292</f>
        <v>0.43781094527363185</v>
      </c>
      <c r="L289" s="28">
        <v>244</v>
      </c>
      <c r="M289" s="29">
        <f>L289/L292</f>
        <v>0.45864661654135336</v>
      </c>
      <c r="N289" s="21">
        <f>B289+D289+F289+H289+J289+L289</f>
        <v>747</v>
      </c>
      <c r="O289" s="29">
        <f>N289/N292</f>
        <v>0.47640306122448978</v>
      </c>
      <c r="T289" s="33"/>
      <c r="U289" s="33"/>
      <c r="V289" s="33"/>
      <c r="W289" s="33"/>
      <c r="X289" s="33"/>
      <c r="Y289" s="33"/>
    </row>
    <row r="290" spans="1:25" x14ac:dyDescent="0.2">
      <c r="A290" s="20" t="s">
        <v>18</v>
      </c>
      <c r="B290" s="28">
        <v>30</v>
      </c>
      <c r="C290" s="29">
        <f>B290/B292</f>
        <v>0.10714285714285714</v>
      </c>
      <c r="D290" s="28">
        <v>1</v>
      </c>
      <c r="E290" s="29">
        <f>D290/D292</f>
        <v>7.6923076923076927E-2</v>
      </c>
      <c r="F290" s="28">
        <v>18</v>
      </c>
      <c r="G290" s="29">
        <f>F290/F292</f>
        <v>0.18367346938775511</v>
      </c>
      <c r="H290" s="28">
        <v>63</v>
      </c>
      <c r="I290" s="29">
        <f>H290/H292</f>
        <v>0.14189189189189189</v>
      </c>
      <c r="J290" s="28">
        <v>34</v>
      </c>
      <c r="K290" s="29">
        <f>J290/J292</f>
        <v>0.1691542288557214</v>
      </c>
      <c r="L290" s="28">
        <v>86</v>
      </c>
      <c r="M290" s="29">
        <f>L290/L292</f>
        <v>0.16165413533834586</v>
      </c>
      <c r="N290" s="21">
        <f>B290+D290+F290+H290+J290+L290</f>
        <v>232</v>
      </c>
      <c r="O290" s="29">
        <f>N290/N292</f>
        <v>0.14795918367346939</v>
      </c>
    </row>
    <row r="291" spans="1:25" x14ac:dyDescent="0.2">
      <c r="A291" s="20" t="s">
        <v>17</v>
      </c>
      <c r="B291" s="28">
        <v>6</v>
      </c>
      <c r="C291" s="29">
        <f>B291/B292</f>
        <v>2.1428571428571429E-2</v>
      </c>
      <c r="D291" s="28">
        <v>1</v>
      </c>
      <c r="E291" s="29">
        <f>D291/D292</f>
        <v>7.6923076923076927E-2</v>
      </c>
      <c r="F291" s="28">
        <v>10</v>
      </c>
      <c r="G291" s="29">
        <f>F291/F292</f>
        <v>0.10204081632653061</v>
      </c>
      <c r="H291" s="28">
        <v>13</v>
      </c>
      <c r="I291" s="29">
        <f>H291/H292</f>
        <v>2.9279279279279279E-2</v>
      </c>
      <c r="J291" s="28">
        <v>12</v>
      </c>
      <c r="K291" s="29">
        <f>J291/J292</f>
        <v>5.9701492537313432E-2</v>
      </c>
      <c r="L291" s="28">
        <v>32</v>
      </c>
      <c r="M291" s="29">
        <f>L291/L292</f>
        <v>6.0150375939849621E-2</v>
      </c>
      <c r="N291" s="21">
        <f>B291+D291+F291+H291+J291+L291</f>
        <v>74</v>
      </c>
      <c r="O291" s="29">
        <f>N291/N292</f>
        <v>4.7193877551020405E-2</v>
      </c>
    </row>
    <row r="292" spans="1:25" s="33" customFormat="1" x14ac:dyDescent="0.2">
      <c r="A292" s="26" t="s">
        <v>1</v>
      </c>
      <c r="B292" s="22">
        <f t="shared" ref="B292:L292" si="84">SUM(B288:B291)</f>
        <v>280</v>
      </c>
      <c r="C292" s="31">
        <f>SUM(C288:C291)</f>
        <v>1</v>
      </c>
      <c r="D292" s="22">
        <f t="shared" si="84"/>
        <v>13</v>
      </c>
      <c r="E292" s="31">
        <f>SUM(E288:E291)</f>
        <v>1</v>
      </c>
      <c r="F292" s="22">
        <f t="shared" si="84"/>
        <v>98</v>
      </c>
      <c r="G292" s="31">
        <f>SUM(G288:G291)</f>
        <v>1</v>
      </c>
      <c r="H292" s="22">
        <f t="shared" si="84"/>
        <v>444</v>
      </c>
      <c r="I292" s="31">
        <f>SUM(I288:I291)</f>
        <v>1</v>
      </c>
      <c r="J292" s="22">
        <f t="shared" si="84"/>
        <v>201</v>
      </c>
      <c r="K292" s="31">
        <f>SUM(K288:K291)</f>
        <v>0.99999999999999989</v>
      </c>
      <c r="L292" s="22">
        <f t="shared" si="84"/>
        <v>532</v>
      </c>
      <c r="M292" s="31">
        <f>SUM(M288:M291)</f>
        <v>1</v>
      </c>
      <c r="N292" s="22">
        <f>SUM(N286:N291)</f>
        <v>1568</v>
      </c>
      <c r="O292" s="31">
        <f>SUM(O286:O291)</f>
        <v>1</v>
      </c>
      <c r="P292" s="36"/>
      <c r="Q292" s="40"/>
      <c r="R292" s="40"/>
      <c r="S292" s="40"/>
      <c r="T292" s="37"/>
      <c r="U292" s="37"/>
      <c r="V292" s="37"/>
      <c r="W292" s="37"/>
      <c r="X292" s="37"/>
      <c r="Y292" s="37"/>
    </row>
    <row r="293" spans="1:25" x14ac:dyDescent="0.2">
      <c r="A293" s="26" t="s">
        <v>89</v>
      </c>
      <c r="B293" s="19"/>
      <c r="C293" s="54">
        <f>SUM(C288:C289)</f>
        <v>0.87142857142857144</v>
      </c>
      <c r="D293" s="19"/>
      <c r="E293" s="54">
        <f>SUM(E288:E289)</f>
        <v>0.84615384615384615</v>
      </c>
      <c r="F293" s="19"/>
      <c r="G293" s="54">
        <f>SUM(G288:G289)</f>
        <v>0.7142857142857143</v>
      </c>
      <c r="H293" s="19"/>
      <c r="I293" s="54">
        <f>SUM(I288:I289)</f>
        <v>0.8288288288288288</v>
      </c>
      <c r="J293" s="19"/>
      <c r="K293" s="54">
        <f>SUM(K288:K289)</f>
        <v>0.77114427860696511</v>
      </c>
      <c r="L293" s="19"/>
      <c r="M293" s="54">
        <f>SUM(M288:M289)</f>
        <v>0.77819548872180455</v>
      </c>
      <c r="N293" s="22"/>
      <c r="O293" s="54">
        <f>SUM(O288:O289)</f>
        <v>0.80484693877551017</v>
      </c>
    </row>
    <row r="294" spans="1:25" x14ac:dyDescent="0.2">
      <c r="H294" s="36"/>
    </row>
    <row r="295" spans="1:25" ht="12" customHeight="1" x14ac:dyDescent="0.2">
      <c r="A295" s="121" t="s">
        <v>69</v>
      </c>
      <c r="B295" s="122" t="s">
        <v>100</v>
      </c>
      <c r="C295" s="122"/>
      <c r="D295" s="122" t="s">
        <v>80</v>
      </c>
      <c r="E295" s="122"/>
      <c r="F295" s="123" t="s">
        <v>136</v>
      </c>
      <c r="G295" s="123"/>
      <c r="H295" s="122" t="s">
        <v>82</v>
      </c>
      <c r="I295" s="122"/>
      <c r="J295" s="122" t="s">
        <v>81</v>
      </c>
      <c r="K295" s="122"/>
      <c r="L295" s="122" t="s">
        <v>98</v>
      </c>
      <c r="M295" s="122"/>
      <c r="N295" s="116" t="s">
        <v>1</v>
      </c>
      <c r="O295" s="116"/>
    </row>
    <row r="296" spans="1:25" x14ac:dyDescent="0.2">
      <c r="A296" s="20" t="s">
        <v>20</v>
      </c>
      <c r="B296" s="28">
        <v>97</v>
      </c>
      <c r="C296" s="29">
        <f>B296/B300</f>
        <v>0.38955823293172692</v>
      </c>
      <c r="D296" s="28">
        <v>3</v>
      </c>
      <c r="E296" s="29">
        <f>D296/D300</f>
        <v>0.33333333333333331</v>
      </c>
      <c r="F296" s="28">
        <v>39</v>
      </c>
      <c r="G296" s="29">
        <f>F296/F300</f>
        <v>0.41052631578947368</v>
      </c>
      <c r="H296" s="28">
        <v>150</v>
      </c>
      <c r="I296" s="29">
        <f>H296/H300</f>
        <v>0.36319612590799033</v>
      </c>
      <c r="J296" s="28">
        <v>90</v>
      </c>
      <c r="K296" s="29">
        <f>J296/J300</f>
        <v>0.43902439024390244</v>
      </c>
      <c r="L296" s="28">
        <v>191</v>
      </c>
      <c r="M296" s="29">
        <f>L296/L300</f>
        <v>0.38123752495009983</v>
      </c>
      <c r="N296" s="21">
        <f>B296+D296+F296+H296+J296+L296</f>
        <v>570</v>
      </c>
      <c r="O296" s="29">
        <f>N296/N300</f>
        <v>0.38722826086956524</v>
      </c>
    </row>
    <row r="297" spans="1:25" x14ac:dyDescent="0.2">
      <c r="A297" s="20" t="s">
        <v>19</v>
      </c>
      <c r="B297" s="28">
        <v>120</v>
      </c>
      <c r="C297" s="29">
        <f>B297/B300</f>
        <v>0.48192771084337349</v>
      </c>
      <c r="D297" s="28">
        <v>5</v>
      </c>
      <c r="E297" s="29">
        <f>D297/D300</f>
        <v>0.55555555555555558</v>
      </c>
      <c r="F297" s="28">
        <v>42</v>
      </c>
      <c r="G297" s="29">
        <f>F297/F300</f>
        <v>0.44210526315789472</v>
      </c>
      <c r="H297" s="28">
        <v>216</v>
      </c>
      <c r="I297" s="29">
        <f>H297/H300</f>
        <v>0.52300242130750607</v>
      </c>
      <c r="J297" s="28">
        <v>86</v>
      </c>
      <c r="K297" s="29">
        <f>J297/J300</f>
        <v>0.4195121951219512</v>
      </c>
      <c r="L297" s="28">
        <v>247</v>
      </c>
      <c r="M297" s="29">
        <f>L297/L300</f>
        <v>0.49301397205588821</v>
      </c>
      <c r="N297" s="21">
        <f>B297+D297+F297+H297+J297+L297</f>
        <v>716</v>
      </c>
      <c r="O297" s="29">
        <f>N297/N300</f>
        <v>0.48641304347826086</v>
      </c>
      <c r="T297" s="33"/>
      <c r="U297" s="33"/>
      <c r="V297" s="33"/>
      <c r="W297" s="33"/>
      <c r="X297" s="33"/>
      <c r="Y297" s="33"/>
    </row>
    <row r="298" spans="1:25" x14ac:dyDescent="0.2">
      <c r="A298" s="20" t="s">
        <v>18</v>
      </c>
      <c r="B298" s="28">
        <v>25</v>
      </c>
      <c r="C298" s="29">
        <f>B298/B300</f>
        <v>0.10040160642570281</v>
      </c>
      <c r="D298" s="28">
        <v>1</v>
      </c>
      <c r="E298" s="29">
        <f>D298/D300</f>
        <v>0.1111111111111111</v>
      </c>
      <c r="F298" s="28">
        <v>7</v>
      </c>
      <c r="G298" s="29">
        <f>F298/F300</f>
        <v>7.3684210526315783E-2</v>
      </c>
      <c r="H298" s="28">
        <v>30</v>
      </c>
      <c r="I298" s="29">
        <f>H298/H300</f>
        <v>7.2639225181598058E-2</v>
      </c>
      <c r="J298" s="28">
        <v>20</v>
      </c>
      <c r="K298" s="29">
        <f>J298/J300</f>
        <v>9.7560975609756101E-2</v>
      </c>
      <c r="L298" s="28">
        <v>42</v>
      </c>
      <c r="M298" s="29">
        <f>L298/L300</f>
        <v>8.3832335329341312E-2</v>
      </c>
      <c r="N298" s="21">
        <f>B298+D298+F298+H298+J298+L298</f>
        <v>125</v>
      </c>
      <c r="O298" s="29">
        <f>N298/N300</f>
        <v>8.4918478260869568E-2</v>
      </c>
    </row>
    <row r="299" spans="1:25" x14ac:dyDescent="0.2">
      <c r="A299" s="20" t="s">
        <v>17</v>
      </c>
      <c r="B299" s="28">
        <v>7</v>
      </c>
      <c r="C299" s="29">
        <f>B299/B300</f>
        <v>2.8112449799196786E-2</v>
      </c>
      <c r="D299" s="28"/>
      <c r="E299" s="29">
        <f>D299/D300</f>
        <v>0</v>
      </c>
      <c r="F299" s="28">
        <v>7</v>
      </c>
      <c r="G299" s="29">
        <f>F299/F300</f>
        <v>7.3684210526315783E-2</v>
      </c>
      <c r="H299" s="28">
        <v>17</v>
      </c>
      <c r="I299" s="29">
        <f>H299/H300</f>
        <v>4.1162227602905568E-2</v>
      </c>
      <c r="J299" s="28">
        <v>9</v>
      </c>
      <c r="K299" s="29">
        <f>J299/J300</f>
        <v>4.3902439024390241E-2</v>
      </c>
      <c r="L299" s="28">
        <v>21</v>
      </c>
      <c r="M299" s="29">
        <f>L299/L300</f>
        <v>4.1916167664670656E-2</v>
      </c>
      <c r="N299" s="21">
        <f>B299+D299+F299+H299+J299+L299</f>
        <v>61</v>
      </c>
      <c r="O299" s="29">
        <f>N299/N300</f>
        <v>4.1440217391304345E-2</v>
      </c>
    </row>
    <row r="300" spans="1:25" s="33" customFormat="1" x14ac:dyDescent="0.2">
      <c r="A300" s="26" t="s">
        <v>1</v>
      </c>
      <c r="B300" s="22">
        <f t="shared" ref="B300:L300" si="85">SUM(B296:B299)</f>
        <v>249</v>
      </c>
      <c r="C300" s="31">
        <f>SUM(C296:C299)</f>
        <v>1</v>
      </c>
      <c r="D300" s="22">
        <f t="shared" si="85"/>
        <v>9</v>
      </c>
      <c r="E300" s="31">
        <f>SUM(E296:E299)</f>
        <v>1</v>
      </c>
      <c r="F300" s="22">
        <f t="shared" si="85"/>
        <v>95</v>
      </c>
      <c r="G300" s="31">
        <f>SUM(G296:G299)</f>
        <v>1</v>
      </c>
      <c r="H300" s="22">
        <f t="shared" si="85"/>
        <v>413</v>
      </c>
      <c r="I300" s="31">
        <f>SUM(I296:I299)</f>
        <v>1</v>
      </c>
      <c r="J300" s="22">
        <f t="shared" si="85"/>
        <v>205</v>
      </c>
      <c r="K300" s="31">
        <f>SUM(K296:K299)</f>
        <v>1</v>
      </c>
      <c r="L300" s="22">
        <f t="shared" si="85"/>
        <v>501</v>
      </c>
      <c r="M300" s="31">
        <f>SUM(M296:M299)</f>
        <v>1</v>
      </c>
      <c r="N300" s="22">
        <f>SUM(N294:N299)</f>
        <v>1472</v>
      </c>
      <c r="O300" s="31">
        <f>SUM(O294:O299)</f>
        <v>1.0000000000000002</v>
      </c>
      <c r="P300" s="36"/>
      <c r="Q300" s="40"/>
      <c r="R300" s="40"/>
      <c r="S300" s="40"/>
      <c r="T300" s="37"/>
      <c r="U300" s="37"/>
      <c r="V300" s="37"/>
      <c r="W300" s="37"/>
      <c r="X300" s="37"/>
      <c r="Y300" s="37"/>
    </row>
    <row r="301" spans="1:25" x14ac:dyDescent="0.2">
      <c r="A301" s="26" t="s">
        <v>89</v>
      </c>
      <c r="B301" s="19"/>
      <c r="C301" s="54">
        <f>SUM(C296:C297)</f>
        <v>0.87148594377510036</v>
      </c>
      <c r="D301" s="19"/>
      <c r="E301" s="54">
        <f>SUM(E296:E297)</f>
        <v>0.88888888888888884</v>
      </c>
      <c r="F301" s="19"/>
      <c r="G301" s="54">
        <f>SUM(G296:G297)</f>
        <v>0.85263157894736841</v>
      </c>
      <c r="H301" s="19"/>
      <c r="I301" s="54">
        <f>SUM(I296:I297)</f>
        <v>0.8861985472154964</v>
      </c>
      <c r="J301" s="19"/>
      <c r="K301" s="54">
        <f>SUM(K296:K297)</f>
        <v>0.85853658536585364</v>
      </c>
      <c r="L301" s="19"/>
      <c r="M301" s="54">
        <f>SUM(M296:M297)</f>
        <v>0.87425149700598803</v>
      </c>
      <c r="N301" s="22"/>
      <c r="O301" s="54">
        <f>SUM(O296:O297)</f>
        <v>0.87364130434782616</v>
      </c>
    </row>
    <row r="302" spans="1:25" x14ac:dyDescent="0.2">
      <c r="H302" s="36"/>
    </row>
    <row r="303" spans="1:25" ht="12" customHeight="1" x14ac:dyDescent="0.2">
      <c r="A303" s="121" t="s">
        <v>70</v>
      </c>
      <c r="B303" s="122" t="s">
        <v>100</v>
      </c>
      <c r="C303" s="122"/>
      <c r="D303" s="122" t="s">
        <v>80</v>
      </c>
      <c r="E303" s="122"/>
      <c r="F303" s="123" t="s">
        <v>136</v>
      </c>
      <c r="G303" s="123"/>
      <c r="H303" s="122" t="s">
        <v>82</v>
      </c>
      <c r="I303" s="122"/>
      <c r="J303" s="122" t="s">
        <v>81</v>
      </c>
      <c r="K303" s="122"/>
      <c r="L303" s="122" t="s">
        <v>98</v>
      </c>
      <c r="M303" s="122"/>
      <c r="N303" s="116" t="s">
        <v>1</v>
      </c>
      <c r="O303" s="116"/>
    </row>
    <row r="304" spans="1:25" x14ac:dyDescent="0.2">
      <c r="A304" s="20" t="s">
        <v>20</v>
      </c>
      <c r="B304" s="28">
        <v>25</v>
      </c>
      <c r="C304" s="29">
        <f>B304/B308</f>
        <v>0.390625</v>
      </c>
      <c r="D304" s="28">
        <v>1</v>
      </c>
      <c r="E304" s="29">
        <f>D304/D308</f>
        <v>1</v>
      </c>
      <c r="F304" s="28">
        <v>9</v>
      </c>
      <c r="G304" s="29">
        <f>F304/F308</f>
        <v>0.40909090909090912</v>
      </c>
      <c r="H304" s="28">
        <v>50</v>
      </c>
      <c r="I304" s="29">
        <f>H304/H308</f>
        <v>0.44247787610619471</v>
      </c>
      <c r="J304" s="28">
        <v>19</v>
      </c>
      <c r="K304" s="29">
        <f>J304/J308</f>
        <v>0.41304347826086957</v>
      </c>
      <c r="L304" s="28">
        <v>53</v>
      </c>
      <c r="M304" s="29">
        <f>L304/L308</f>
        <v>0.41732283464566927</v>
      </c>
      <c r="N304" s="21">
        <f>B304+D304+F304+H304+J304+L304</f>
        <v>157</v>
      </c>
      <c r="O304" s="29">
        <f>N304/N308</f>
        <v>0.42091152815013405</v>
      </c>
    </row>
    <row r="305" spans="1:25" x14ac:dyDescent="0.2">
      <c r="A305" s="20" t="s">
        <v>19</v>
      </c>
      <c r="B305" s="28">
        <v>31</v>
      </c>
      <c r="C305" s="29">
        <f>B305/B308</f>
        <v>0.484375</v>
      </c>
      <c r="D305" s="28"/>
      <c r="E305" s="29">
        <f>D305/D308</f>
        <v>0</v>
      </c>
      <c r="F305" s="28">
        <v>12</v>
      </c>
      <c r="G305" s="29">
        <f>F305/F308</f>
        <v>0.54545454545454541</v>
      </c>
      <c r="H305" s="28">
        <v>57</v>
      </c>
      <c r="I305" s="29">
        <f>H305/H308</f>
        <v>0.50442477876106195</v>
      </c>
      <c r="J305" s="28">
        <v>26</v>
      </c>
      <c r="K305" s="29">
        <f>J305/J308</f>
        <v>0.56521739130434778</v>
      </c>
      <c r="L305" s="28">
        <v>63</v>
      </c>
      <c r="M305" s="29">
        <f>L305/L308</f>
        <v>0.49606299212598426</v>
      </c>
      <c r="N305" s="21">
        <f>B305+D305+F305+H305+J305+L305</f>
        <v>189</v>
      </c>
      <c r="O305" s="29">
        <f>N305/N308</f>
        <v>0.50670241286863271</v>
      </c>
      <c r="T305" s="33"/>
      <c r="U305" s="33"/>
      <c r="V305" s="33"/>
      <c r="W305" s="33"/>
      <c r="X305" s="33"/>
      <c r="Y305" s="33"/>
    </row>
    <row r="306" spans="1:25" x14ac:dyDescent="0.2">
      <c r="A306" s="20" t="s">
        <v>18</v>
      </c>
      <c r="B306" s="28">
        <v>5</v>
      </c>
      <c r="C306" s="29">
        <f>B306/B308</f>
        <v>7.8125E-2</v>
      </c>
      <c r="D306" s="28"/>
      <c r="E306" s="29">
        <f>D306/D308</f>
        <v>0</v>
      </c>
      <c r="F306" s="28">
        <v>1</v>
      </c>
      <c r="G306" s="29">
        <f>F306/F308</f>
        <v>4.5454545454545456E-2</v>
      </c>
      <c r="H306" s="28">
        <v>5</v>
      </c>
      <c r="I306" s="29">
        <f>H306/H308</f>
        <v>4.4247787610619468E-2</v>
      </c>
      <c r="J306" s="28"/>
      <c r="K306" s="29">
        <f>J306/J308</f>
        <v>0</v>
      </c>
      <c r="L306" s="28">
        <v>8</v>
      </c>
      <c r="M306" s="29">
        <f>L306/L308</f>
        <v>6.2992125984251968E-2</v>
      </c>
      <c r="N306" s="21">
        <f>B306+D306+F306+H306+J306+L306</f>
        <v>19</v>
      </c>
      <c r="O306" s="29">
        <f>N306/N308</f>
        <v>5.0938337801608578E-2</v>
      </c>
    </row>
    <row r="307" spans="1:25" x14ac:dyDescent="0.2">
      <c r="A307" s="20" t="s">
        <v>17</v>
      </c>
      <c r="B307" s="28">
        <v>3</v>
      </c>
      <c r="C307" s="29">
        <f>B307/B308</f>
        <v>4.6875E-2</v>
      </c>
      <c r="D307" s="28"/>
      <c r="E307" s="29">
        <f>D307/D308</f>
        <v>0</v>
      </c>
      <c r="F307" s="28"/>
      <c r="G307" s="29">
        <f>F307/F308</f>
        <v>0</v>
      </c>
      <c r="H307" s="28">
        <v>1</v>
      </c>
      <c r="I307" s="29">
        <f>H307/H308</f>
        <v>8.8495575221238937E-3</v>
      </c>
      <c r="J307" s="28">
        <v>1</v>
      </c>
      <c r="K307" s="29">
        <f>J307/J308</f>
        <v>2.1739130434782608E-2</v>
      </c>
      <c r="L307" s="28">
        <v>3</v>
      </c>
      <c r="M307" s="29">
        <f>L307/L308</f>
        <v>2.3622047244094488E-2</v>
      </c>
      <c r="N307" s="21">
        <f>B307+D307+F307+H307+J307+L307</f>
        <v>8</v>
      </c>
      <c r="O307" s="29">
        <f>N307/N308</f>
        <v>2.1447721179624665E-2</v>
      </c>
    </row>
    <row r="308" spans="1:25" s="33" customFormat="1" x14ac:dyDescent="0.2">
      <c r="A308" s="26" t="s">
        <v>1</v>
      </c>
      <c r="B308" s="22">
        <f t="shared" ref="B308:L308" si="86">SUM(B304:B307)</f>
        <v>64</v>
      </c>
      <c r="C308" s="31">
        <f>SUM(C304:C307)</f>
        <v>1</v>
      </c>
      <c r="D308" s="22">
        <f t="shared" si="86"/>
        <v>1</v>
      </c>
      <c r="E308" s="31">
        <f>SUM(E304:E307)</f>
        <v>1</v>
      </c>
      <c r="F308" s="22">
        <f t="shared" si="86"/>
        <v>22</v>
      </c>
      <c r="G308" s="31">
        <f>SUM(G304:G307)</f>
        <v>1</v>
      </c>
      <c r="H308" s="22">
        <f t="shared" si="86"/>
        <v>113</v>
      </c>
      <c r="I308" s="31">
        <f>SUM(I304:I307)</f>
        <v>1</v>
      </c>
      <c r="J308" s="22">
        <f t="shared" si="86"/>
        <v>46</v>
      </c>
      <c r="K308" s="31">
        <f>SUM(K304:K307)</f>
        <v>0.99999999999999989</v>
      </c>
      <c r="L308" s="22">
        <f t="shared" si="86"/>
        <v>127</v>
      </c>
      <c r="M308" s="31">
        <f>SUM(M304:M307)</f>
        <v>0.99999999999999989</v>
      </c>
      <c r="N308" s="22">
        <f>SUM(N302:N307)</f>
        <v>373</v>
      </c>
      <c r="O308" s="31">
        <f>SUM(O302:O307)</f>
        <v>1</v>
      </c>
      <c r="P308" s="36"/>
      <c r="Q308" s="40"/>
      <c r="R308" s="40"/>
      <c r="S308" s="40"/>
      <c r="T308" s="37"/>
      <c r="U308" s="37"/>
      <c r="V308" s="37"/>
      <c r="W308" s="37"/>
      <c r="X308" s="37"/>
      <c r="Y308" s="37"/>
    </row>
    <row r="309" spans="1:25" x14ac:dyDescent="0.2">
      <c r="A309" s="26" t="s">
        <v>89</v>
      </c>
      <c r="B309" s="19"/>
      <c r="C309" s="54">
        <f>SUM(C304:C305)</f>
        <v>0.875</v>
      </c>
      <c r="D309" s="19"/>
      <c r="E309" s="54">
        <f>SUM(E304:E305)</f>
        <v>1</v>
      </c>
      <c r="F309" s="19"/>
      <c r="G309" s="54">
        <f>SUM(G304:G305)</f>
        <v>0.95454545454545459</v>
      </c>
      <c r="H309" s="19"/>
      <c r="I309" s="54">
        <f>SUM(I304:I305)</f>
        <v>0.94690265486725667</v>
      </c>
      <c r="J309" s="19"/>
      <c r="K309" s="54">
        <f>SUM(K304:K305)</f>
        <v>0.97826086956521729</v>
      </c>
      <c r="L309" s="19"/>
      <c r="M309" s="54">
        <f>SUM(M304:M305)</f>
        <v>0.91338582677165348</v>
      </c>
      <c r="N309" s="22"/>
      <c r="O309" s="54">
        <f>SUM(O304:O305)</f>
        <v>0.92761394101876671</v>
      </c>
    </row>
    <row r="310" spans="1:25" x14ac:dyDescent="0.2">
      <c r="H310" s="36"/>
    </row>
    <row r="311" spans="1:25" ht="12" customHeight="1" x14ac:dyDescent="0.2">
      <c r="A311" s="121" t="s">
        <v>176</v>
      </c>
      <c r="B311" s="122" t="s">
        <v>100</v>
      </c>
      <c r="C311" s="122"/>
      <c r="D311" s="122" t="s">
        <v>80</v>
      </c>
      <c r="E311" s="122"/>
      <c r="F311" s="123" t="s">
        <v>136</v>
      </c>
      <c r="G311" s="123"/>
      <c r="H311" s="122" t="s">
        <v>82</v>
      </c>
      <c r="I311" s="122"/>
      <c r="J311" s="122" t="s">
        <v>81</v>
      </c>
      <c r="K311" s="122"/>
      <c r="L311" s="122" t="s">
        <v>98</v>
      </c>
      <c r="M311" s="122"/>
      <c r="N311" s="116" t="s">
        <v>1</v>
      </c>
      <c r="O311" s="116"/>
    </row>
    <row r="312" spans="1:25" x14ac:dyDescent="0.2">
      <c r="A312" s="20" t="s">
        <v>20</v>
      </c>
      <c r="B312" s="28">
        <v>64</v>
      </c>
      <c r="C312" s="29">
        <f>B312/B316</f>
        <v>0.38787878787878788</v>
      </c>
      <c r="D312" s="28">
        <v>1</v>
      </c>
      <c r="E312" s="29">
        <f>D312/D316</f>
        <v>0.25</v>
      </c>
      <c r="F312" s="28">
        <v>13</v>
      </c>
      <c r="G312" s="29">
        <f>F312/F316</f>
        <v>0.32500000000000001</v>
      </c>
      <c r="H312" s="28">
        <v>77</v>
      </c>
      <c r="I312" s="29">
        <f>H312/H316</f>
        <v>0.33624454148471616</v>
      </c>
      <c r="J312" s="28">
        <v>32</v>
      </c>
      <c r="K312" s="29">
        <f>J312/J316</f>
        <v>0.38554216867469882</v>
      </c>
      <c r="L312" s="28">
        <v>129</v>
      </c>
      <c r="M312" s="29">
        <f>L312/L316</f>
        <v>0.39209726443769</v>
      </c>
      <c r="N312" s="21">
        <f>B312+D312+F312+H312+J312+L312</f>
        <v>316</v>
      </c>
      <c r="O312" s="29">
        <f>N312/N316</f>
        <v>0.37176470588235294</v>
      </c>
    </row>
    <row r="313" spans="1:25" x14ac:dyDescent="0.2">
      <c r="A313" s="20" t="s">
        <v>19</v>
      </c>
      <c r="B313" s="28">
        <v>89</v>
      </c>
      <c r="C313" s="29">
        <f>B313/B316</f>
        <v>0.53939393939393943</v>
      </c>
      <c r="D313" s="28">
        <v>2</v>
      </c>
      <c r="E313" s="29">
        <f>D313/D316</f>
        <v>0.5</v>
      </c>
      <c r="F313" s="28">
        <v>23</v>
      </c>
      <c r="G313" s="29">
        <f>F313/F316</f>
        <v>0.57499999999999996</v>
      </c>
      <c r="H313" s="28">
        <v>136</v>
      </c>
      <c r="I313" s="29">
        <f>H313/H316</f>
        <v>0.59388646288209612</v>
      </c>
      <c r="J313" s="28">
        <v>44</v>
      </c>
      <c r="K313" s="29">
        <f>J313/J316</f>
        <v>0.53012048192771088</v>
      </c>
      <c r="L313" s="28">
        <v>182</v>
      </c>
      <c r="M313" s="29">
        <f>L313/L316</f>
        <v>0.55319148936170215</v>
      </c>
      <c r="N313" s="21">
        <f>B313+D313+F313+H313+J313+L313</f>
        <v>476</v>
      </c>
      <c r="O313" s="29">
        <f>N313/N316</f>
        <v>0.56000000000000005</v>
      </c>
      <c r="T313" s="33"/>
      <c r="U313" s="33"/>
      <c r="V313" s="33"/>
      <c r="W313" s="33"/>
      <c r="X313" s="33"/>
      <c r="Y313" s="33"/>
    </row>
    <row r="314" spans="1:25" x14ac:dyDescent="0.2">
      <c r="A314" s="20" t="s">
        <v>18</v>
      </c>
      <c r="B314" s="28">
        <v>9</v>
      </c>
      <c r="C314" s="29">
        <f>B314/B316</f>
        <v>5.4545454545454543E-2</v>
      </c>
      <c r="D314" s="28">
        <v>1</v>
      </c>
      <c r="E314" s="29">
        <f>D314/D316</f>
        <v>0.25</v>
      </c>
      <c r="F314" s="28">
        <v>3</v>
      </c>
      <c r="G314" s="29">
        <f>F314/F316</f>
        <v>7.4999999999999997E-2</v>
      </c>
      <c r="H314" s="28">
        <v>15</v>
      </c>
      <c r="I314" s="29">
        <f>H314/H316</f>
        <v>6.5502183406113537E-2</v>
      </c>
      <c r="J314" s="28">
        <v>5</v>
      </c>
      <c r="K314" s="29">
        <f>J314/J316</f>
        <v>6.0240963855421686E-2</v>
      </c>
      <c r="L314" s="28">
        <v>12</v>
      </c>
      <c r="M314" s="29">
        <f>L314/L316</f>
        <v>3.64741641337386E-2</v>
      </c>
      <c r="N314" s="21">
        <f>B314+D314+F314+H314+J314+L314</f>
        <v>45</v>
      </c>
      <c r="O314" s="29">
        <f>N314/N316</f>
        <v>5.2941176470588235E-2</v>
      </c>
    </row>
    <row r="315" spans="1:25" x14ac:dyDescent="0.2">
      <c r="A315" s="20" t="s">
        <v>17</v>
      </c>
      <c r="B315" s="28">
        <v>3</v>
      </c>
      <c r="C315" s="29">
        <f>B315/B316</f>
        <v>1.8181818181818181E-2</v>
      </c>
      <c r="D315" s="28"/>
      <c r="E315" s="29">
        <f>D315/D316</f>
        <v>0</v>
      </c>
      <c r="F315" s="28">
        <v>1</v>
      </c>
      <c r="G315" s="29">
        <f>F315/F316</f>
        <v>2.5000000000000001E-2</v>
      </c>
      <c r="H315" s="28">
        <v>1</v>
      </c>
      <c r="I315" s="29">
        <f>H315/H316</f>
        <v>4.3668122270742356E-3</v>
      </c>
      <c r="J315" s="28">
        <v>2</v>
      </c>
      <c r="K315" s="29">
        <f>J315/J316</f>
        <v>2.4096385542168676E-2</v>
      </c>
      <c r="L315" s="28">
        <v>6</v>
      </c>
      <c r="M315" s="29">
        <f>L315/L316</f>
        <v>1.82370820668693E-2</v>
      </c>
      <c r="N315" s="21">
        <f>B315+D315+F315+H315+J315+L315</f>
        <v>13</v>
      </c>
      <c r="O315" s="29">
        <f>N315/N316</f>
        <v>1.5294117647058824E-2</v>
      </c>
    </row>
    <row r="316" spans="1:25" s="33" customFormat="1" x14ac:dyDescent="0.2">
      <c r="A316" s="26" t="s">
        <v>1</v>
      </c>
      <c r="B316" s="22">
        <f t="shared" ref="B316:L316" si="87">SUM(B312:B315)</f>
        <v>165</v>
      </c>
      <c r="C316" s="31">
        <f>SUM(C312:C315)</f>
        <v>1</v>
      </c>
      <c r="D316" s="22">
        <f t="shared" si="87"/>
        <v>4</v>
      </c>
      <c r="E316" s="31">
        <f>SUM(E312:E315)</f>
        <v>1</v>
      </c>
      <c r="F316" s="22">
        <f t="shared" si="87"/>
        <v>40</v>
      </c>
      <c r="G316" s="31">
        <f>SUM(G312:G315)</f>
        <v>0.99999999999999989</v>
      </c>
      <c r="H316" s="22">
        <f t="shared" si="87"/>
        <v>229</v>
      </c>
      <c r="I316" s="31">
        <f>SUM(I312:I315)</f>
        <v>1</v>
      </c>
      <c r="J316" s="22">
        <f t="shared" si="87"/>
        <v>83</v>
      </c>
      <c r="K316" s="31">
        <f>SUM(K312:K315)</f>
        <v>1</v>
      </c>
      <c r="L316" s="22">
        <f t="shared" si="87"/>
        <v>329</v>
      </c>
      <c r="M316" s="31">
        <f>SUM(M312:M315)</f>
        <v>1</v>
      </c>
      <c r="N316" s="22">
        <f>SUM(N310:N315)</f>
        <v>850</v>
      </c>
      <c r="O316" s="31">
        <f>SUM(O310:O315)</f>
        <v>1.0000000000000002</v>
      </c>
      <c r="P316" s="36"/>
      <c r="Q316" s="40"/>
      <c r="R316" s="40"/>
      <c r="S316" s="40"/>
      <c r="T316" s="37"/>
      <c r="U316" s="37"/>
      <c r="V316" s="37"/>
      <c r="W316" s="37"/>
      <c r="X316" s="37"/>
      <c r="Y316" s="37"/>
    </row>
    <row r="317" spans="1:25" x14ac:dyDescent="0.2">
      <c r="A317" s="26" t="s">
        <v>89</v>
      </c>
      <c r="B317" s="19"/>
      <c r="C317" s="54">
        <f>SUM(C312:C313)</f>
        <v>0.92727272727272725</v>
      </c>
      <c r="D317" s="19"/>
      <c r="E317" s="54">
        <f>SUM(E312:E313)</f>
        <v>0.75</v>
      </c>
      <c r="F317" s="19"/>
      <c r="G317" s="54">
        <f>SUM(G312:G313)</f>
        <v>0.89999999999999991</v>
      </c>
      <c r="H317" s="19"/>
      <c r="I317" s="54">
        <f>SUM(I312:I313)</f>
        <v>0.93013100436681229</v>
      </c>
      <c r="J317" s="19"/>
      <c r="K317" s="54">
        <f>SUM(K312:K313)</f>
        <v>0.9156626506024097</v>
      </c>
      <c r="L317" s="19"/>
      <c r="M317" s="54">
        <f>SUM(M312:M313)</f>
        <v>0.94528875379939215</v>
      </c>
      <c r="N317" s="22"/>
      <c r="O317" s="54">
        <f>SUM(O312:O313)</f>
        <v>0.93176470588235305</v>
      </c>
    </row>
    <row r="318" spans="1:25" x14ac:dyDescent="0.2">
      <c r="H318" s="36"/>
    </row>
    <row r="319" spans="1:25" ht="12" customHeight="1" x14ac:dyDescent="0.2">
      <c r="A319" s="121" t="s">
        <v>71</v>
      </c>
      <c r="B319" s="122" t="s">
        <v>100</v>
      </c>
      <c r="C319" s="122"/>
      <c r="D319" s="122" t="s">
        <v>80</v>
      </c>
      <c r="E319" s="122"/>
      <c r="F319" s="123" t="s">
        <v>136</v>
      </c>
      <c r="G319" s="123"/>
      <c r="H319" s="122" t="s">
        <v>82</v>
      </c>
      <c r="I319" s="122"/>
      <c r="J319" s="122" t="s">
        <v>81</v>
      </c>
      <c r="K319" s="122"/>
      <c r="L319" s="122" t="s">
        <v>98</v>
      </c>
      <c r="M319" s="122"/>
      <c r="N319" s="116" t="s">
        <v>1</v>
      </c>
      <c r="O319" s="116"/>
    </row>
    <row r="320" spans="1:25" x14ac:dyDescent="0.2">
      <c r="A320" s="20" t="s">
        <v>20</v>
      </c>
      <c r="B320" s="28">
        <v>21</v>
      </c>
      <c r="C320" s="29">
        <f>B320/B324</f>
        <v>0.32307692307692309</v>
      </c>
      <c r="D320" s="28"/>
      <c r="E320" s="29"/>
      <c r="F320" s="28">
        <v>8</v>
      </c>
      <c r="G320" s="29">
        <f>F320/F324</f>
        <v>0.32</v>
      </c>
      <c r="H320" s="28">
        <v>33</v>
      </c>
      <c r="I320" s="29">
        <f>H320/H324</f>
        <v>0.3235294117647059</v>
      </c>
      <c r="J320" s="28">
        <v>13</v>
      </c>
      <c r="K320" s="29">
        <f>J320/J324</f>
        <v>0.33333333333333331</v>
      </c>
      <c r="L320" s="28">
        <v>37</v>
      </c>
      <c r="M320" s="29">
        <f>L320/L324</f>
        <v>0.29365079365079366</v>
      </c>
      <c r="N320" s="21">
        <f>B320+D320+F320+H320+J320+L320</f>
        <v>112</v>
      </c>
      <c r="O320" s="29">
        <f>N320/N324</f>
        <v>0.31372549019607843</v>
      </c>
    </row>
    <row r="321" spans="1:26" x14ac:dyDescent="0.2">
      <c r="A321" s="20" t="s">
        <v>19</v>
      </c>
      <c r="B321" s="28">
        <v>35</v>
      </c>
      <c r="C321" s="29">
        <f>B321/B324</f>
        <v>0.53846153846153844</v>
      </c>
      <c r="D321" s="28"/>
      <c r="E321" s="29"/>
      <c r="F321" s="28">
        <v>12</v>
      </c>
      <c r="G321" s="29">
        <f>F321/F324</f>
        <v>0.48</v>
      </c>
      <c r="H321" s="28">
        <v>50</v>
      </c>
      <c r="I321" s="29">
        <f>H321/H324</f>
        <v>0.49019607843137253</v>
      </c>
      <c r="J321" s="28">
        <v>20</v>
      </c>
      <c r="K321" s="29">
        <f>J321/J324</f>
        <v>0.51282051282051277</v>
      </c>
      <c r="L321" s="28">
        <v>66</v>
      </c>
      <c r="M321" s="29">
        <f>L321/L324</f>
        <v>0.52380952380952384</v>
      </c>
      <c r="N321" s="21">
        <f>B321+D321+F321+H321+J321+L321</f>
        <v>183</v>
      </c>
      <c r="O321" s="29">
        <f>N321/N324</f>
        <v>0.51260504201680668</v>
      </c>
    </row>
    <row r="322" spans="1:26" x14ac:dyDescent="0.2">
      <c r="A322" s="20" t="s">
        <v>18</v>
      </c>
      <c r="B322" s="28">
        <v>5</v>
      </c>
      <c r="C322" s="29">
        <f>B322/B324</f>
        <v>7.6923076923076927E-2</v>
      </c>
      <c r="D322" s="28"/>
      <c r="E322" s="29"/>
      <c r="F322" s="28">
        <v>3</v>
      </c>
      <c r="G322" s="29">
        <f>F322/F324</f>
        <v>0.12</v>
      </c>
      <c r="H322" s="28">
        <v>14</v>
      </c>
      <c r="I322" s="29">
        <f>H322/H324</f>
        <v>0.13725490196078433</v>
      </c>
      <c r="J322" s="28">
        <v>4</v>
      </c>
      <c r="K322" s="29">
        <f>J322/J324</f>
        <v>0.10256410256410256</v>
      </c>
      <c r="L322" s="28">
        <v>16</v>
      </c>
      <c r="M322" s="29">
        <f>L322/L324</f>
        <v>0.12698412698412698</v>
      </c>
      <c r="N322" s="21">
        <f>B322+D322+F322+H322+J322+L322</f>
        <v>42</v>
      </c>
      <c r="O322" s="29">
        <f>N322/N324</f>
        <v>0.11764705882352941</v>
      </c>
      <c r="T322" s="33"/>
      <c r="U322" s="33"/>
      <c r="V322" s="33"/>
      <c r="W322" s="33"/>
      <c r="X322" s="33"/>
      <c r="Y322" s="33"/>
    </row>
    <row r="323" spans="1:26" x14ac:dyDescent="0.2">
      <c r="A323" s="20" t="s">
        <v>17</v>
      </c>
      <c r="B323" s="28">
        <v>4</v>
      </c>
      <c r="C323" s="29">
        <f>B323/B324</f>
        <v>6.1538461538461542E-2</v>
      </c>
      <c r="D323" s="28"/>
      <c r="E323" s="29"/>
      <c r="F323" s="28">
        <v>2</v>
      </c>
      <c r="G323" s="29">
        <f>F323/F324</f>
        <v>0.08</v>
      </c>
      <c r="H323" s="28">
        <v>5</v>
      </c>
      <c r="I323" s="29">
        <f>H323/H324</f>
        <v>4.9019607843137254E-2</v>
      </c>
      <c r="J323" s="28">
        <v>2</v>
      </c>
      <c r="K323" s="29">
        <f>J323/J324</f>
        <v>5.128205128205128E-2</v>
      </c>
      <c r="L323" s="28">
        <v>7</v>
      </c>
      <c r="M323" s="29">
        <f>L323/L324</f>
        <v>5.5555555555555552E-2</v>
      </c>
      <c r="N323" s="21">
        <f>B323+D323+F323+H323+J323+L323</f>
        <v>20</v>
      </c>
      <c r="O323" s="29">
        <f>N323/N324</f>
        <v>5.6022408963585436E-2</v>
      </c>
    </row>
    <row r="324" spans="1:26" s="33" customFormat="1" x14ac:dyDescent="0.2">
      <c r="A324" s="26" t="s">
        <v>1</v>
      </c>
      <c r="B324" s="22">
        <f t="shared" ref="B324:L324" si="88">SUM(B320:B323)</f>
        <v>65</v>
      </c>
      <c r="C324" s="31">
        <f>SUM(C320:C323)</f>
        <v>1</v>
      </c>
      <c r="D324" s="22">
        <f t="shared" si="88"/>
        <v>0</v>
      </c>
      <c r="E324" s="31"/>
      <c r="F324" s="22">
        <f t="shared" si="88"/>
        <v>25</v>
      </c>
      <c r="G324" s="31">
        <f>SUM(G320:G323)</f>
        <v>1</v>
      </c>
      <c r="H324" s="22">
        <f t="shared" si="88"/>
        <v>102</v>
      </c>
      <c r="I324" s="31">
        <f>SUM(I320:I323)</f>
        <v>1</v>
      </c>
      <c r="J324" s="22">
        <f t="shared" si="88"/>
        <v>39</v>
      </c>
      <c r="K324" s="31">
        <f>SUM(K320:K323)</f>
        <v>0.99999999999999989</v>
      </c>
      <c r="L324" s="22">
        <f t="shared" si="88"/>
        <v>126</v>
      </c>
      <c r="M324" s="31">
        <f>SUM(M320:M323)</f>
        <v>1</v>
      </c>
      <c r="N324" s="22">
        <f>SUM(N318:N323)</f>
        <v>357</v>
      </c>
      <c r="O324" s="31">
        <f>SUM(O318:O323)</f>
        <v>1</v>
      </c>
      <c r="P324" s="36"/>
      <c r="Q324" s="40"/>
      <c r="R324" s="40"/>
      <c r="S324" s="40"/>
      <c r="T324" s="37"/>
      <c r="U324" s="37"/>
      <c r="V324" s="37"/>
      <c r="W324" s="37"/>
      <c r="X324" s="37"/>
      <c r="Y324" s="37"/>
    </row>
    <row r="325" spans="1:26" x14ac:dyDescent="0.2">
      <c r="A325" s="26" t="s">
        <v>89</v>
      </c>
      <c r="B325" s="19"/>
      <c r="C325" s="54">
        <f>SUM(C320:C321)</f>
        <v>0.86153846153846159</v>
      </c>
      <c r="D325" s="19"/>
      <c r="E325" s="54">
        <f>SUM(E320:E321)</f>
        <v>0</v>
      </c>
      <c r="F325" s="19"/>
      <c r="G325" s="54">
        <f>SUM(G320:G321)</f>
        <v>0.8</v>
      </c>
      <c r="H325" s="19"/>
      <c r="I325" s="54">
        <f>SUM(I320:I321)</f>
        <v>0.81372549019607843</v>
      </c>
      <c r="J325" s="19"/>
      <c r="K325" s="54">
        <f>SUM(K320:K321)</f>
        <v>0.84615384615384603</v>
      </c>
      <c r="L325" s="19"/>
      <c r="M325" s="54">
        <f>SUM(M320:M321)</f>
        <v>0.81746031746031744</v>
      </c>
      <c r="N325" s="22"/>
      <c r="O325" s="54">
        <f>SUM(O320:O321)</f>
        <v>0.8263305322128851</v>
      </c>
    </row>
    <row r="326" spans="1:26" x14ac:dyDescent="0.2">
      <c r="A326" s="14"/>
      <c r="B326" s="4"/>
      <c r="D326" s="1"/>
      <c r="H326" s="36"/>
    </row>
    <row r="327" spans="1:26" ht="12" customHeight="1" x14ac:dyDescent="0.2">
      <c r="A327" s="121" t="s">
        <v>72</v>
      </c>
      <c r="B327" s="122" t="s">
        <v>100</v>
      </c>
      <c r="C327" s="122"/>
      <c r="D327" s="122" t="s">
        <v>80</v>
      </c>
      <c r="E327" s="122"/>
      <c r="F327" s="123" t="s">
        <v>136</v>
      </c>
      <c r="G327" s="123"/>
      <c r="H327" s="122" t="s">
        <v>82</v>
      </c>
      <c r="I327" s="122"/>
      <c r="J327" s="122" t="s">
        <v>81</v>
      </c>
      <c r="K327" s="122"/>
      <c r="L327" s="122" t="s">
        <v>98</v>
      </c>
      <c r="M327" s="122"/>
      <c r="N327" s="116" t="s">
        <v>1</v>
      </c>
      <c r="O327" s="116"/>
    </row>
    <row r="328" spans="1:26" x14ac:dyDescent="0.2">
      <c r="A328" s="20" t="s">
        <v>20</v>
      </c>
      <c r="B328" s="28">
        <v>30</v>
      </c>
      <c r="C328" s="29">
        <f>B328/B332</f>
        <v>0.4</v>
      </c>
      <c r="D328" s="28">
        <v>1</v>
      </c>
      <c r="E328" s="29">
        <f>D328/D332</f>
        <v>1</v>
      </c>
      <c r="F328" s="28">
        <v>13</v>
      </c>
      <c r="G328" s="29">
        <f>F328/F332</f>
        <v>0.40625</v>
      </c>
      <c r="H328" s="28">
        <v>53</v>
      </c>
      <c r="I328" s="29">
        <f>H328/H332</f>
        <v>0.42399999999999999</v>
      </c>
      <c r="J328" s="28">
        <v>20</v>
      </c>
      <c r="K328" s="29">
        <f>J328/J332</f>
        <v>0.45454545454545453</v>
      </c>
      <c r="L328" s="28">
        <v>59</v>
      </c>
      <c r="M328" s="29">
        <f>L328/L332</f>
        <v>0.39597315436241609</v>
      </c>
      <c r="N328" s="21">
        <f>B328+D328+F328+H328+J328+L328</f>
        <v>176</v>
      </c>
      <c r="O328" s="29">
        <f>N328/N332</f>
        <v>0.41314553990610331</v>
      </c>
    </row>
    <row r="329" spans="1:26" x14ac:dyDescent="0.2">
      <c r="A329" s="20" t="s">
        <v>19</v>
      </c>
      <c r="B329" s="28">
        <v>35</v>
      </c>
      <c r="C329" s="29">
        <f>B329/B332</f>
        <v>0.46666666666666667</v>
      </c>
      <c r="D329" s="28"/>
      <c r="E329" s="29">
        <f>D329/D332</f>
        <v>0</v>
      </c>
      <c r="F329" s="28">
        <v>15</v>
      </c>
      <c r="G329" s="29">
        <f>F329/F332</f>
        <v>0.46875</v>
      </c>
      <c r="H329" s="28">
        <v>61</v>
      </c>
      <c r="I329" s="29">
        <f>H329/H332</f>
        <v>0.48799999999999999</v>
      </c>
      <c r="J329" s="28">
        <v>21</v>
      </c>
      <c r="K329" s="29">
        <f>J329/J332</f>
        <v>0.47727272727272729</v>
      </c>
      <c r="L329" s="28">
        <v>77</v>
      </c>
      <c r="M329" s="29">
        <f>L329/L332</f>
        <v>0.51677852348993292</v>
      </c>
      <c r="N329" s="21">
        <f>B329+D329+F329+H329+J329+L329</f>
        <v>209</v>
      </c>
      <c r="O329" s="29">
        <f>N329/N332</f>
        <v>0.49061032863849763</v>
      </c>
    </row>
    <row r="330" spans="1:26" x14ac:dyDescent="0.2">
      <c r="A330" s="20" t="s">
        <v>18</v>
      </c>
      <c r="B330" s="28">
        <v>7</v>
      </c>
      <c r="C330" s="29">
        <f>B330/B332</f>
        <v>9.3333333333333338E-2</v>
      </c>
      <c r="D330" s="28"/>
      <c r="E330" s="29">
        <f>D330/D332</f>
        <v>0</v>
      </c>
      <c r="F330" s="28">
        <v>3</v>
      </c>
      <c r="G330" s="29">
        <f>F330/F332</f>
        <v>9.375E-2</v>
      </c>
      <c r="H330" s="28">
        <v>6</v>
      </c>
      <c r="I330" s="29">
        <f>H330/H332</f>
        <v>4.8000000000000001E-2</v>
      </c>
      <c r="J330" s="28">
        <v>1</v>
      </c>
      <c r="K330" s="29">
        <f>J330/J332</f>
        <v>2.2727272727272728E-2</v>
      </c>
      <c r="L330" s="28">
        <v>9</v>
      </c>
      <c r="M330" s="29">
        <f>L330/L332</f>
        <v>6.0402684563758392E-2</v>
      </c>
      <c r="N330" s="21">
        <f>B330+D330+F330+H330+J330+L330</f>
        <v>26</v>
      </c>
      <c r="O330" s="29">
        <f>N330/N332</f>
        <v>6.1032863849765258E-2</v>
      </c>
      <c r="T330" s="33"/>
      <c r="U330" s="33"/>
      <c r="V330" s="33"/>
      <c r="W330" s="33"/>
      <c r="X330" s="33"/>
      <c r="Y330" s="33"/>
    </row>
    <row r="331" spans="1:26" x14ac:dyDescent="0.2">
      <c r="A331" s="20" t="s">
        <v>17</v>
      </c>
      <c r="B331" s="28">
        <v>3</v>
      </c>
      <c r="C331" s="29">
        <f>B331/B332</f>
        <v>0.04</v>
      </c>
      <c r="D331" s="28"/>
      <c r="E331" s="29">
        <f>D331/D332</f>
        <v>0</v>
      </c>
      <c r="F331" s="28">
        <v>1</v>
      </c>
      <c r="G331" s="29">
        <f>F331/F332</f>
        <v>3.125E-2</v>
      </c>
      <c r="H331" s="28">
        <v>5</v>
      </c>
      <c r="I331" s="29">
        <f>H331/H332</f>
        <v>0.04</v>
      </c>
      <c r="J331" s="28">
        <v>2</v>
      </c>
      <c r="K331" s="29">
        <f>J331/J332</f>
        <v>4.5454545454545456E-2</v>
      </c>
      <c r="L331" s="28">
        <v>4</v>
      </c>
      <c r="M331" s="29">
        <f>L331/L332</f>
        <v>2.6845637583892617E-2</v>
      </c>
      <c r="N331" s="21">
        <f>B331+D331+F331+H331+J331+L331</f>
        <v>15</v>
      </c>
      <c r="O331" s="29">
        <f>N331/N332</f>
        <v>3.5211267605633804E-2</v>
      </c>
    </row>
    <row r="332" spans="1:26" s="33" customFormat="1" x14ac:dyDescent="0.2">
      <c r="A332" s="26" t="s">
        <v>1</v>
      </c>
      <c r="B332" s="22">
        <f t="shared" ref="B332:L332" si="89">SUM(B328:B331)</f>
        <v>75</v>
      </c>
      <c r="C332" s="31">
        <f>SUM(C328:C331)</f>
        <v>1</v>
      </c>
      <c r="D332" s="22">
        <f t="shared" si="89"/>
        <v>1</v>
      </c>
      <c r="E332" s="31">
        <f>SUM(E328:E331)</f>
        <v>1</v>
      </c>
      <c r="F332" s="22">
        <f t="shared" si="89"/>
        <v>32</v>
      </c>
      <c r="G332" s="31">
        <f>SUM(G328:G331)</f>
        <v>1</v>
      </c>
      <c r="H332" s="22">
        <f t="shared" si="89"/>
        <v>125</v>
      </c>
      <c r="I332" s="31">
        <f>SUM(I328:I331)</f>
        <v>1</v>
      </c>
      <c r="J332" s="22">
        <f t="shared" si="89"/>
        <v>44</v>
      </c>
      <c r="K332" s="31">
        <f>SUM(K328:K331)</f>
        <v>1</v>
      </c>
      <c r="L332" s="22">
        <f t="shared" si="89"/>
        <v>149</v>
      </c>
      <c r="M332" s="31">
        <f>SUM(M328:M331)</f>
        <v>1</v>
      </c>
      <c r="N332" s="22">
        <f>SUM(N326:N331)</f>
        <v>426</v>
      </c>
      <c r="O332" s="31">
        <f>SUM(O326:O331)</f>
        <v>1</v>
      </c>
      <c r="P332" s="36"/>
      <c r="Q332" s="40"/>
      <c r="R332" s="40"/>
      <c r="S332" s="40"/>
      <c r="T332" s="37"/>
      <c r="U332" s="37"/>
      <c r="V332" s="37"/>
      <c r="W332" s="37"/>
      <c r="X332" s="37"/>
      <c r="Y332" s="37"/>
      <c r="Z332" s="37"/>
    </row>
    <row r="333" spans="1:26" x14ac:dyDescent="0.2">
      <c r="A333" s="26" t="s">
        <v>89</v>
      </c>
      <c r="B333" s="19"/>
      <c r="C333" s="54">
        <f>SUM(C328:C329)</f>
        <v>0.8666666666666667</v>
      </c>
      <c r="D333" s="19"/>
      <c r="E333" s="54">
        <f>SUM(E328:E329)</f>
        <v>1</v>
      </c>
      <c r="F333" s="19"/>
      <c r="G333" s="54">
        <f>SUM(G328:G329)</f>
        <v>0.875</v>
      </c>
      <c r="H333" s="19"/>
      <c r="I333" s="54">
        <f>SUM(I328:I329)</f>
        <v>0.91199999999999992</v>
      </c>
      <c r="J333" s="19"/>
      <c r="K333" s="54">
        <f>SUM(K328:K329)</f>
        <v>0.93181818181818188</v>
      </c>
      <c r="L333" s="19"/>
      <c r="M333" s="54">
        <f>SUM(M328:M329)</f>
        <v>0.91275167785234901</v>
      </c>
      <c r="N333" s="22"/>
      <c r="O333" s="54">
        <f>SUM(O328:O329)</f>
        <v>0.90375586854460099</v>
      </c>
      <c r="Z333" s="33"/>
    </row>
    <row r="334" spans="1:26" x14ac:dyDescent="0.2">
      <c r="A334" s="14"/>
      <c r="B334" s="4"/>
      <c r="D334" s="1"/>
      <c r="H334" s="36"/>
    </row>
    <row r="335" spans="1:26" ht="24" x14ac:dyDescent="0.2">
      <c r="A335" s="121" t="s">
        <v>177</v>
      </c>
      <c r="B335" s="122" t="s">
        <v>100</v>
      </c>
      <c r="C335" s="122"/>
      <c r="D335" s="122" t="s">
        <v>80</v>
      </c>
      <c r="E335" s="122"/>
      <c r="F335" s="123" t="s">
        <v>136</v>
      </c>
      <c r="G335" s="123"/>
      <c r="H335" s="122" t="s">
        <v>82</v>
      </c>
      <c r="I335" s="122"/>
      <c r="J335" s="122" t="s">
        <v>81</v>
      </c>
      <c r="K335" s="122"/>
      <c r="L335" s="122" t="s">
        <v>98</v>
      </c>
      <c r="M335" s="122"/>
      <c r="N335" s="116" t="s">
        <v>1</v>
      </c>
      <c r="O335" s="116"/>
    </row>
    <row r="336" spans="1:26" x14ac:dyDescent="0.2">
      <c r="A336" s="20" t="s">
        <v>20</v>
      </c>
      <c r="B336" s="28">
        <v>103</v>
      </c>
      <c r="C336" s="29">
        <f>B336/B340</f>
        <v>0.47906976744186047</v>
      </c>
      <c r="D336" s="28">
        <v>3</v>
      </c>
      <c r="E336" s="29">
        <f>D336/D340</f>
        <v>0.375</v>
      </c>
      <c r="F336" s="28">
        <v>28</v>
      </c>
      <c r="G336" s="29">
        <f>F336/F340</f>
        <v>0.40579710144927539</v>
      </c>
      <c r="H336" s="28">
        <v>201</v>
      </c>
      <c r="I336" s="29">
        <f>H336/H340</f>
        <v>0.48905109489051096</v>
      </c>
      <c r="J336" s="28">
        <v>61</v>
      </c>
      <c r="K336" s="29">
        <f>J336/J340</f>
        <v>0.44525547445255476</v>
      </c>
      <c r="L336" s="28">
        <v>242</v>
      </c>
      <c r="M336" s="29">
        <f>L336/L340</f>
        <v>0.47265625</v>
      </c>
      <c r="N336" s="21">
        <f>B336+D336+F336+H336+J336+L336</f>
        <v>638</v>
      </c>
      <c r="O336" s="29">
        <f>N336/N340</f>
        <v>0.47189349112426038</v>
      </c>
    </row>
    <row r="337" spans="1:26" x14ac:dyDescent="0.2">
      <c r="A337" s="20" t="s">
        <v>19</v>
      </c>
      <c r="B337" s="28">
        <v>100</v>
      </c>
      <c r="C337" s="29">
        <f>B337/B340</f>
        <v>0.46511627906976744</v>
      </c>
      <c r="D337" s="28">
        <v>4</v>
      </c>
      <c r="E337" s="29">
        <f>D337/D340</f>
        <v>0.5</v>
      </c>
      <c r="F337" s="28">
        <v>39</v>
      </c>
      <c r="G337" s="29">
        <f>F337/F340</f>
        <v>0.56521739130434778</v>
      </c>
      <c r="H337" s="28">
        <v>189</v>
      </c>
      <c r="I337" s="29">
        <f>H337/H340</f>
        <v>0.45985401459854014</v>
      </c>
      <c r="J337" s="28">
        <v>69</v>
      </c>
      <c r="K337" s="29">
        <f>J337/J340</f>
        <v>0.5036496350364964</v>
      </c>
      <c r="L337" s="28">
        <v>253</v>
      </c>
      <c r="M337" s="29">
        <f>L337/L340</f>
        <v>0.494140625</v>
      </c>
      <c r="N337" s="21">
        <f>B337+D337+F337+H337+J337+L337</f>
        <v>654</v>
      </c>
      <c r="O337" s="29">
        <f>N337/N340</f>
        <v>0.48372781065088755</v>
      </c>
    </row>
    <row r="338" spans="1:26" x14ac:dyDescent="0.2">
      <c r="A338" s="20" t="s">
        <v>18</v>
      </c>
      <c r="B338" s="28">
        <v>7</v>
      </c>
      <c r="C338" s="29">
        <f>B338/B340</f>
        <v>3.255813953488372E-2</v>
      </c>
      <c r="D338" s="28">
        <v>1</v>
      </c>
      <c r="E338" s="29">
        <f>D338/D340</f>
        <v>0.125</v>
      </c>
      <c r="F338" s="28">
        <v>2</v>
      </c>
      <c r="G338" s="29">
        <f>F338/F340</f>
        <v>2.8985507246376812E-2</v>
      </c>
      <c r="H338" s="28">
        <v>18</v>
      </c>
      <c r="I338" s="29">
        <f>H338/H340</f>
        <v>4.3795620437956206E-2</v>
      </c>
      <c r="J338" s="28">
        <v>5</v>
      </c>
      <c r="K338" s="29">
        <f>J338/J340</f>
        <v>3.6496350364963501E-2</v>
      </c>
      <c r="L338" s="28">
        <v>14</v>
      </c>
      <c r="M338" s="29">
        <f>L338/L340</f>
        <v>2.734375E-2</v>
      </c>
      <c r="N338" s="21">
        <f>B338+D338+F338+H338+J338+L338</f>
        <v>47</v>
      </c>
      <c r="O338" s="29">
        <f>N338/N340</f>
        <v>3.4763313609467453E-2</v>
      </c>
      <c r="T338" s="33"/>
      <c r="U338" s="33"/>
      <c r="V338" s="33"/>
      <c r="W338" s="33"/>
      <c r="X338" s="33"/>
      <c r="Y338" s="33"/>
    </row>
    <row r="339" spans="1:26" x14ac:dyDescent="0.2">
      <c r="A339" s="20" t="s">
        <v>17</v>
      </c>
      <c r="B339" s="28">
        <v>5</v>
      </c>
      <c r="C339" s="29">
        <f>B339/B340</f>
        <v>2.3255813953488372E-2</v>
      </c>
      <c r="D339" s="28"/>
      <c r="E339" s="29">
        <f>D339/D340</f>
        <v>0</v>
      </c>
      <c r="F339" s="28"/>
      <c r="G339" s="29">
        <f>F339/F340</f>
        <v>0</v>
      </c>
      <c r="H339" s="28">
        <v>3</v>
      </c>
      <c r="I339" s="29">
        <f>H339/H340</f>
        <v>7.2992700729927005E-3</v>
      </c>
      <c r="J339" s="28">
        <v>2</v>
      </c>
      <c r="K339" s="29">
        <f>J339/J340</f>
        <v>1.4598540145985401E-2</v>
      </c>
      <c r="L339" s="28">
        <v>3</v>
      </c>
      <c r="M339" s="29">
        <f>L339/L340</f>
        <v>5.859375E-3</v>
      </c>
      <c r="N339" s="21">
        <f>B339+D339+F339+H339+J339+L339</f>
        <v>13</v>
      </c>
      <c r="O339" s="29">
        <f>N339/N340</f>
        <v>9.6153846153846159E-3</v>
      </c>
    </row>
    <row r="340" spans="1:26" s="33" customFormat="1" x14ac:dyDescent="0.2">
      <c r="A340" s="26" t="s">
        <v>1</v>
      </c>
      <c r="B340" s="22">
        <f t="shared" ref="B340:L340" si="90">SUM(B336:B339)</f>
        <v>215</v>
      </c>
      <c r="C340" s="31">
        <f>SUM(C336:C339)</f>
        <v>1</v>
      </c>
      <c r="D340" s="22">
        <f t="shared" si="90"/>
        <v>8</v>
      </c>
      <c r="E340" s="31">
        <f>SUM(E336:E339)</f>
        <v>1</v>
      </c>
      <c r="F340" s="22">
        <f t="shared" si="90"/>
        <v>69</v>
      </c>
      <c r="G340" s="31">
        <f>SUM(G336:G339)</f>
        <v>1</v>
      </c>
      <c r="H340" s="22">
        <f t="shared" si="90"/>
        <v>411</v>
      </c>
      <c r="I340" s="31">
        <f>SUM(I336:I339)</f>
        <v>0.99999999999999989</v>
      </c>
      <c r="J340" s="22">
        <f t="shared" si="90"/>
        <v>137</v>
      </c>
      <c r="K340" s="31">
        <f>SUM(K336:K339)</f>
        <v>1</v>
      </c>
      <c r="L340" s="22">
        <f t="shared" si="90"/>
        <v>512</v>
      </c>
      <c r="M340" s="31">
        <f>SUM(M336:M339)</f>
        <v>1</v>
      </c>
      <c r="N340" s="22">
        <f>SUM(N334:N339)</f>
        <v>1352</v>
      </c>
      <c r="O340" s="31">
        <f>SUM(O334:O339)</f>
        <v>1</v>
      </c>
      <c r="P340" s="36"/>
      <c r="Q340" s="40"/>
      <c r="R340" s="40"/>
      <c r="S340" s="40"/>
      <c r="T340" s="37"/>
      <c r="U340" s="37"/>
      <c r="V340" s="37"/>
      <c r="W340" s="37"/>
      <c r="X340" s="37"/>
      <c r="Y340" s="37"/>
      <c r="Z340" s="37"/>
    </row>
    <row r="341" spans="1:26" x14ac:dyDescent="0.2">
      <c r="A341" s="26" t="s">
        <v>89</v>
      </c>
      <c r="B341" s="19"/>
      <c r="C341" s="54">
        <f>SUM(C336:C337)</f>
        <v>0.94418604651162785</v>
      </c>
      <c r="D341" s="19"/>
      <c r="E341" s="54">
        <f>SUM(E336:E337)</f>
        <v>0.875</v>
      </c>
      <c r="F341" s="19"/>
      <c r="G341" s="54">
        <f>SUM(G336:G337)</f>
        <v>0.97101449275362317</v>
      </c>
      <c r="H341" s="19"/>
      <c r="I341" s="54">
        <f>SUM(I336:I337)</f>
        <v>0.94890510948905105</v>
      </c>
      <c r="J341" s="19"/>
      <c r="K341" s="54">
        <f>SUM(K336:K337)</f>
        <v>0.94890510948905116</v>
      </c>
      <c r="L341" s="19"/>
      <c r="M341" s="54">
        <f>SUM(M336:M337)</f>
        <v>0.966796875</v>
      </c>
      <c r="N341" s="22"/>
      <c r="O341" s="54">
        <f>SUM(O336:O337)</f>
        <v>0.95562130177514792</v>
      </c>
      <c r="Z341" s="33"/>
    </row>
    <row r="342" spans="1:26" x14ac:dyDescent="0.2">
      <c r="A342" s="14"/>
      <c r="B342" s="4"/>
      <c r="D342" s="1"/>
      <c r="H342" s="36"/>
    </row>
    <row r="343" spans="1:26" ht="12" customHeight="1" x14ac:dyDescent="0.2">
      <c r="A343" s="121" t="s">
        <v>73</v>
      </c>
      <c r="B343" s="122" t="s">
        <v>100</v>
      </c>
      <c r="C343" s="122"/>
      <c r="D343" s="122" t="s">
        <v>80</v>
      </c>
      <c r="E343" s="122"/>
      <c r="F343" s="123" t="s">
        <v>136</v>
      </c>
      <c r="G343" s="123"/>
      <c r="H343" s="122" t="s">
        <v>82</v>
      </c>
      <c r="I343" s="122"/>
      <c r="J343" s="122" t="s">
        <v>81</v>
      </c>
      <c r="K343" s="122"/>
      <c r="L343" s="122" t="s">
        <v>98</v>
      </c>
      <c r="M343" s="122"/>
      <c r="N343" s="116" t="s">
        <v>1</v>
      </c>
      <c r="O343" s="116"/>
    </row>
    <row r="344" spans="1:26" x14ac:dyDescent="0.2">
      <c r="A344" s="20" t="s">
        <v>20</v>
      </c>
      <c r="B344" s="28">
        <v>56</v>
      </c>
      <c r="C344" s="29">
        <f>B344/B348</f>
        <v>0.3783783783783784</v>
      </c>
      <c r="D344" s="28">
        <v>1</v>
      </c>
      <c r="E344" s="29">
        <f>D344/D348</f>
        <v>0.33333333333333331</v>
      </c>
      <c r="F344" s="28">
        <v>21</v>
      </c>
      <c r="G344" s="29">
        <f>F344/F348</f>
        <v>0.44680851063829785</v>
      </c>
      <c r="H344" s="28">
        <v>74</v>
      </c>
      <c r="I344" s="29">
        <f>H344/H348</f>
        <v>0.33789954337899542</v>
      </c>
      <c r="J344" s="28">
        <v>31</v>
      </c>
      <c r="K344" s="29">
        <f>J344/J348</f>
        <v>0.41333333333333333</v>
      </c>
      <c r="L344" s="28">
        <v>106</v>
      </c>
      <c r="M344" s="29">
        <f>L344/L348</f>
        <v>0.37588652482269502</v>
      </c>
      <c r="N344" s="21">
        <f>B344+D344+F344+H344+J344+L344</f>
        <v>289</v>
      </c>
      <c r="O344" s="29">
        <f>N344/N348</f>
        <v>0.37338501291989662</v>
      </c>
    </row>
    <row r="345" spans="1:26" x14ac:dyDescent="0.2">
      <c r="A345" s="20" t="s">
        <v>19</v>
      </c>
      <c r="B345" s="28">
        <v>79</v>
      </c>
      <c r="C345" s="29">
        <f>B345/B348</f>
        <v>0.53378378378378377</v>
      </c>
      <c r="D345" s="28">
        <v>2</v>
      </c>
      <c r="E345" s="29">
        <f>D345/D348</f>
        <v>0.66666666666666663</v>
      </c>
      <c r="F345" s="28">
        <v>18</v>
      </c>
      <c r="G345" s="29">
        <f>F345/F348</f>
        <v>0.38297872340425532</v>
      </c>
      <c r="H345" s="28">
        <v>117</v>
      </c>
      <c r="I345" s="29">
        <f>H345/H348</f>
        <v>0.53424657534246578</v>
      </c>
      <c r="J345" s="28">
        <v>39</v>
      </c>
      <c r="K345" s="29">
        <f>J345/J348</f>
        <v>0.52</v>
      </c>
      <c r="L345" s="28">
        <v>150</v>
      </c>
      <c r="M345" s="29">
        <f>L345/L348</f>
        <v>0.53191489361702127</v>
      </c>
      <c r="N345" s="21">
        <f>B345+D345+F345+H345+J345+L345</f>
        <v>405</v>
      </c>
      <c r="O345" s="29">
        <f>N345/N348</f>
        <v>0.52325581395348841</v>
      </c>
    </row>
    <row r="346" spans="1:26" x14ac:dyDescent="0.2">
      <c r="A346" s="20" t="s">
        <v>18</v>
      </c>
      <c r="B346" s="28">
        <v>9</v>
      </c>
      <c r="C346" s="29">
        <f>B346/B348</f>
        <v>6.0810810810810814E-2</v>
      </c>
      <c r="D346" s="28"/>
      <c r="E346" s="29">
        <f>D346/D348</f>
        <v>0</v>
      </c>
      <c r="F346" s="28">
        <v>6</v>
      </c>
      <c r="G346" s="29">
        <f>F346/F348</f>
        <v>0.1276595744680851</v>
      </c>
      <c r="H346" s="28">
        <v>20</v>
      </c>
      <c r="I346" s="29">
        <f>H346/H348</f>
        <v>9.1324200913242004E-2</v>
      </c>
      <c r="J346" s="28">
        <v>2</v>
      </c>
      <c r="K346" s="29">
        <f>J346/J348</f>
        <v>2.6666666666666668E-2</v>
      </c>
      <c r="L346" s="28">
        <v>19</v>
      </c>
      <c r="M346" s="29">
        <f>L346/L348</f>
        <v>6.7375886524822695E-2</v>
      </c>
      <c r="N346" s="21">
        <f>B346+D346+F346+H346+J346+L346</f>
        <v>56</v>
      </c>
      <c r="O346" s="29">
        <f>N346/N348</f>
        <v>7.2351421188630485E-2</v>
      </c>
      <c r="T346" s="33"/>
      <c r="U346" s="33"/>
      <c r="V346" s="33"/>
      <c r="W346" s="33"/>
      <c r="X346" s="33"/>
      <c r="Y346" s="33"/>
    </row>
    <row r="347" spans="1:26" x14ac:dyDescent="0.2">
      <c r="A347" s="20" t="s">
        <v>17</v>
      </c>
      <c r="B347" s="28">
        <v>4</v>
      </c>
      <c r="C347" s="29">
        <f>B347/B348</f>
        <v>2.7027027027027029E-2</v>
      </c>
      <c r="D347" s="28"/>
      <c r="E347" s="29">
        <f>D347/D348</f>
        <v>0</v>
      </c>
      <c r="F347" s="28">
        <v>2</v>
      </c>
      <c r="G347" s="29">
        <f>F347/F348</f>
        <v>4.2553191489361701E-2</v>
      </c>
      <c r="H347" s="28">
        <v>8</v>
      </c>
      <c r="I347" s="29">
        <f>H347/H348</f>
        <v>3.6529680365296802E-2</v>
      </c>
      <c r="J347" s="28">
        <v>3</v>
      </c>
      <c r="K347" s="29">
        <f>J347/J348</f>
        <v>0.04</v>
      </c>
      <c r="L347" s="28">
        <v>7</v>
      </c>
      <c r="M347" s="29">
        <f>L347/L348</f>
        <v>2.4822695035460994E-2</v>
      </c>
      <c r="N347" s="21">
        <f>B347+D347+F347+H347+J347+L347</f>
        <v>24</v>
      </c>
      <c r="O347" s="29">
        <f>N347/N348</f>
        <v>3.1007751937984496E-2</v>
      </c>
    </row>
    <row r="348" spans="1:26" s="33" customFormat="1" x14ac:dyDescent="0.2">
      <c r="A348" s="26" t="s">
        <v>1</v>
      </c>
      <c r="B348" s="22">
        <f t="shared" ref="B348:L348" si="91">SUM(B344:B347)</f>
        <v>148</v>
      </c>
      <c r="C348" s="31">
        <f>SUM(C344:C347)</f>
        <v>1</v>
      </c>
      <c r="D348" s="22">
        <f t="shared" si="91"/>
        <v>3</v>
      </c>
      <c r="E348" s="31">
        <f>SUM(E344:E347)</f>
        <v>1</v>
      </c>
      <c r="F348" s="22">
        <f t="shared" si="91"/>
        <v>47</v>
      </c>
      <c r="G348" s="31">
        <f>SUM(G344:G347)</f>
        <v>0.99999999999999989</v>
      </c>
      <c r="H348" s="22">
        <f t="shared" si="91"/>
        <v>219</v>
      </c>
      <c r="I348" s="31">
        <f>SUM(I344:I347)</f>
        <v>1</v>
      </c>
      <c r="J348" s="22">
        <f t="shared" si="91"/>
        <v>75</v>
      </c>
      <c r="K348" s="31">
        <f>SUM(K344:K347)</f>
        <v>1</v>
      </c>
      <c r="L348" s="22">
        <f t="shared" si="91"/>
        <v>282</v>
      </c>
      <c r="M348" s="31">
        <f>SUM(M344:M347)</f>
        <v>1</v>
      </c>
      <c r="N348" s="22">
        <f>SUM(N342:N347)</f>
        <v>774</v>
      </c>
      <c r="O348" s="31">
        <f>SUM(O342:O347)</f>
        <v>1</v>
      </c>
      <c r="P348" s="36"/>
      <c r="Q348" s="40"/>
      <c r="R348" s="40"/>
      <c r="S348" s="40"/>
      <c r="T348" s="37"/>
      <c r="U348" s="37"/>
      <c r="V348" s="37"/>
      <c r="W348" s="37"/>
      <c r="X348" s="37"/>
      <c r="Y348" s="37"/>
      <c r="Z348" s="37"/>
    </row>
    <row r="349" spans="1:26" x14ac:dyDescent="0.2">
      <c r="A349" s="26" t="s">
        <v>89</v>
      </c>
      <c r="B349" s="19"/>
      <c r="C349" s="54">
        <f>SUM(C344:C345)</f>
        <v>0.91216216216216217</v>
      </c>
      <c r="D349" s="19"/>
      <c r="E349" s="54">
        <f>SUM(E344:E345)</f>
        <v>1</v>
      </c>
      <c r="F349" s="19"/>
      <c r="G349" s="54">
        <f>SUM(G344:G345)</f>
        <v>0.82978723404255317</v>
      </c>
      <c r="H349" s="19"/>
      <c r="I349" s="54">
        <f>SUM(I344:I345)</f>
        <v>0.87214611872146119</v>
      </c>
      <c r="J349" s="19"/>
      <c r="K349" s="54">
        <f>SUM(K344:K345)</f>
        <v>0.93333333333333335</v>
      </c>
      <c r="L349" s="19"/>
      <c r="M349" s="54">
        <f>SUM(M344:M345)</f>
        <v>0.90780141843971629</v>
      </c>
      <c r="N349" s="22"/>
      <c r="O349" s="54">
        <f>SUM(O344:O345)</f>
        <v>0.89664082687338498</v>
      </c>
      <c r="Z349" s="33"/>
    </row>
    <row r="350" spans="1:26" x14ac:dyDescent="0.2">
      <c r="A350" s="14"/>
      <c r="B350" s="4"/>
      <c r="D350" s="1"/>
      <c r="H350" s="36"/>
    </row>
    <row r="351" spans="1:26" ht="24" x14ac:dyDescent="0.2">
      <c r="A351" s="121" t="s">
        <v>178</v>
      </c>
      <c r="B351" s="122" t="s">
        <v>100</v>
      </c>
      <c r="C351" s="122"/>
      <c r="D351" s="122" t="s">
        <v>80</v>
      </c>
      <c r="E351" s="122"/>
      <c r="F351" s="123" t="s">
        <v>136</v>
      </c>
      <c r="G351" s="123"/>
      <c r="H351" s="122" t="s">
        <v>82</v>
      </c>
      <c r="I351" s="122"/>
      <c r="J351" s="122" t="s">
        <v>81</v>
      </c>
      <c r="K351" s="122"/>
      <c r="L351" s="122" t="s">
        <v>98</v>
      </c>
      <c r="M351" s="122"/>
      <c r="N351" s="116" t="s">
        <v>1</v>
      </c>
      <c r="O351" s="116"/>
    </row>
    <row r="352" spans="1:26" x14ac:dyDescent="0.2">
      <c r="A352" s="20" t="s">
        <v>20</v>
      </c>
      <c r="B352" s="28">
        <v>45</v>
      </c>
      <c r="C352" s="29">
        <f>B352/B356</f>
        <v>0.4017857142857143</v>
      </c>
      <c r="D352" s="28">
        <v>3</v>
      </c>
      <c r="E352" s="29">
        <f>D352/D356</f>
        <v>0.5</v>
      </c>
      <c r="F352" s="28">
        <v>13</v>
      </c>
      <c r="G352" s="29">
        <f>F352/F356</f>
        <v>0.38235294117647056</v>
      </c>
      <c r="H352" s="28">
        <v>50</v>
      </c>
      <c r="I352" s="29">
        <f>H352/H356</f>
        <v>0.31847133757961782</v>
      </c>
      <c r="J352" s="28">
        <v>27</v>
      </c>
      <c r="K352" s="29">
        <f>J352/J356</f>
        <v>0.43548387096774194</v>
      </c>
      <c r="L352" s="28">
        <v>79</v>
      </c>
      <c r="M352" s="29">
        <f>L352/L356</f>
        <v>0.37980769230769229</v>
      </c>
      <c r="N352" s="21">
        <f>B352+D352+F352+H352+J352+L352</f>
        <v>217</v>
      </c>
      <c r="O352" s="29">
        <f>N352/N356</f>
        <v>0.37478411053540589</v>
      </c>
    </row>
    <row r="353" spans="1:26" x14ac:dyDescent="0.2">
      <c r="A353" s="20" t="s">
        <v>19</v>
      </c>
      <c r="B353" s="28">
        <v>63</v>
      </c>
      <c r="C353" s="29">
        <f>B353/B356</f>
        <v>0.5625</v>
      </c>
      <c r="D353" s="28">
        <v>3</v>
      </c>
      <c r="E353" s="29">
        <f>D353/D356</f>
        <v>0.5</v>
      </c>
      <c r="F353" s="28">
        <v>20</v>
      </c>
      <c r="G353" s="29">
        <f>F353/F356</f>
        <v>0.58823529411764708</v>
      </c>
      <c r="H353" s="28">
        <v>97</v>
      </c>
      <c r="I353" s="29">
        <f>H353/H356</f>
        <v>0.61783439490445857</v>
      </c>
      <c r="J353" s="28">
        <v>32</v>
      </c>
      <c r="K353" s="29">
        <f>J353/J356</f>
        <v>0.5161290322580645</v>
      </c>
      <c r="L353" s="28">
        <v>121</v>
      </c>
      <c r="M353" s="29">
        <f>L353/L356</f>
        <v>0.58173076923076927</v>
      </c>
      <c r="N353" s="21">
        <f>B353+D353+F353+H353+J353+L353</f>
        <v>336</v>
      </c>
      <c r="O353" s="29">
        <f>N353/N356</f>
        <v>0.5803108808290155</v>
      </c>
    </row>
    <row r="354" spans="1:26" x14ac:dyDescent="0.2">
      <c r="A354" s="20" t="s">
        <v>18</v>
      </c>
      <c r="B354" s="28">
        <v>4</v>
      </c>
      <c r="C354" s="29">
        <f>B354/B356</f>
        <v>3.5714285714285712E-2</v>
      </c>
      <c r="D354" s="28"/>
      <c r="E354" s="29">
        <f>D354/D356</f>
        <v>0</v>
      </c>
      <c r="F354" s="28"/>
      <c r="G354" s="29">
        <f>F354/F356</f>
        <v>0</v>
      </c>
      <c r="H354" s="28">
        <v>7</v>
      </c>
      <c r="I354" s="29">
        <f>H354/H356</f>
        <v>4.4585987261146494E-2</v>
      </c>
      <c r="J354" s="28">
        <v>1</v>
      </c>
      <c r="K354" s="29">
        <f>J354/J356</f>
        <v>1.6129032258064516E-2</v>
      </c>
      <c r="L354" s="28">
        <v>5</v>
      </c>
      <c r="M354" s="29">
        <f>L354/L356</f>
        <v>2.403846153846154E-2</v>
      </c>
      <c r="N354" s="21">
        <f>B354+D354+F354+H354+J354+L354</f>
        <v>17</v>
      </c>
      <c r="O354" s="29">
        <f>N354/N356</f>
        <v>2.9360967184801381E-2</v>
      </c>
    </row>
    <row r="355" spans="1:26" x14ac:dyDescent="0.2">
      <c r="A355" s="20" t="s">
        <v>17</v>
      </c>
      <c r="B355" s="28"/>
      <c r="C355" s="29">
        <f>B355/B356</f>
        <v>0</v>
      </c>
      <c r="D355" s="28"/>
      <c r="E355" s="29">
        <f>D355/D356</f>
        <v>0</v>
      </c>
      <c r="F355" s="28">
        <v>1</v>
      </c>
      <c r="G355" s="29">
        <f>F355/F356</f>
        <v>2.9411764705882353E-2</v>
      </c>
      <c r="H355" s="28">
        <v>3</v>
      </c>
      <c r="I355" s="29">
        <f>H355/H356</f>
        <v>1.9108280254777069E-2</v>
      </c>
      <c r="J355" s="28">
        <v>2</v>
      </c>
      <c r="K355" s="29">
        <f>J355/J356</f>
        <v>3.2258064516129031E-2</v>
      </c>
      <c r="L355" s="28">
        <v>3</v>
      </c>
      <c r="M355" s="29">
        <f>L355/L356</f>
        <v>1.4423076923076924E-2</v>
      </c>
      <c r="N355" s="21">
        <f>B355+D355+F355+H355+J355+L355</f>
        <v>9</v>
      </c>
      <c r="O355" s="29">
        <f>N355/N356</f>
        <v>1.5544041450777202E-2</v>
      </c>
    </row>
    <row r="356" spans="1:26" s="33" customFormat="1" x14ac:dyDescent="0.2">
      <c r="A356" s="26" t="s">
        <v>1</v>
      </c>
      <c r="B356" s="22">
        <f>SUM(B352:B355)</f>
        <v>112</v>
      </c>
      <c r="C356" s="31">
        <f>SUM(C352:C355)</f>
        <v>1</v>
      </c>
      <c r="D356" s="22">
        <f t="shared" ref="D356:L356" si="92">SUM(D352:D355)</f>
        <v>6</v>
      </c>
      <c r="E356" s="31">
        <f>SUM(E352:E355)</f>
        <v>1</v>
      </c>
      <c r="F356" s="22">
        <f t="shared" si="92"/>
        <v>34</v>
      </c>
      <c r="G356" s="31">
        <f>SUM(G352:G355)</f>
        <v>1</v>
      </c>
      <c r="H356" s="22">
        <f t="shared" si="92"/>
        <v>157</v>
      </c>
      <c r="I356" s="31">
        <f>SUM(I352:I355)</f>
        <v>1</v>
      </c>
      <c r="J356" s="22">
        <f t="shared" si="92"/>
        <v>62</v>
      </c>
      <c r="K356" s="31">
        <f>SUM(K352:K355)</f>
        <v>1</v>
      </c>
      <c r="L356" s="22">
        <f t="shared" si="92"/>
        <v>208</v>
      </c>
      <c r="M356" s="31">
        <f>SUM(M352:M355)</f>
        <v>1</v>
      </c>
      <c r="N356" s="22">
        <f>SUM(N350:N355)</f>
        <v>579</v>
      </c>
      <c r="O356" s="31">
        <f>SUM(O350:O355)</f>
        <v>1</v>
      </c>
      <c r="P356" s="36"/>
      <c r="Q356" s="40"/>
      <c r="R356" s="40"/>
      <c r="S356" s="40"/>
      <c r="T356" s="37"/>
      <c r="U356" s="37"/>
      <c r="V356" s="37"/>
      <c r="W356" s="37"/>
      <c r="X356" s="37"/>
      <c r="Y356" s="37"/>
      <c r="Z356" s="37"/>
    </row>
    <row r="357" spans="1:26" x14ac:dyDescent="0.2">
      <c r="A357" s="26" t="s">
        <v>89</v>
      </c>
      <c r="B357" s="19"/>
      <c r="C357" s="54">
        <f>SUM(C352:C353)</f>
        <v>0.9642857142857143</v>
      </c>
      <c r="D357" s="19"/>
      <c r="E357" s="54">
        <f>SUM(E352:E353)</f>
        <v>1</v>
      </c>
      <c r="F357" s="19"/>
      <c r="G357" s="54">
        <f>SUM(G352:G353)</f>
        <v>0.97058823529411764</v>
      </c>
      <c r="H357" s="19"/>
      <c r="I357" s="54">
        <f>SUM(I352:I353)</f>
        <v>0.93630573248407645</v>
      </c>
      <c r="J357" s="19"/>
      <c r="K357" s="54">
        <f>SUM(K352:K353)</f>
        <v>0.95161290322580649</v>
      </c>
      <c r="L357" s="19"/>
      <c r="M357" s="54">
        <f>SUM(M352:M353)</f>
        <v>0.96153846153846156</v>
      </c>
      <c r="N357" s="22"/>
      <c r="O357" s="54">
        <f>SUM(O352:O353)</f>
        <v>0.95509499136442133</v>
      </c>
      <c r="Z357" s="33"/>
    </row>
    <row r="358" spans="1:26" x14ac:dyDescent="0.2">
      <c r="A358" s="14"/>
      <c r="B358" s="4"/>
      <c r="D358" s="1"/>
      <c r="H358" s="36"/>
    </row>
    <row r="359" spans="1:26" ht="15" x14ac:dyDescent="0.2">
      <c r="A359" s="80" t="s">
        <v>78</v>
      </c>
      <c r="B359" s="82"/>
      <c r="C359" s="82"/>
      <c r="H359" s="36"/>
    </row>
    <row r="360" spans="1:26" ht="12" customHeight="1" x14ac:dyDescent="0.2">
      <c r="A360" s="121" t="s">
        <v>75</v>
      </c>
      <c r="B360" s="122" t="s">
        <v>100</v>
      </c>
      <c r="C360" s="122"/>
      <c r="D360" s="122" t="s">
        <v>80</v>
      </c>
      <c r="E360" s="122"/>
      <c r="F360" s="123" t="s">
        <v>136</v>
      </c>
      <c r="G360" s="123"/>
      <c r="H360" s="122" t="s">
        <v>82</v>
      </c>
      <c r="I360" s="122"/>
      <c r="J360" s="122" t="s">
        <v>81</v>
      </c>
      <c r="K360" s="122"/>
      <c r="L360" s="122" t="s">
        <v>98</v>
      </c>
      <c r="M360" s="122"/>
      <c r="N360" s="116" t="s">
        <v>1</v>
      </c>
      <c r="O360" s="116"/>
    </row>
    <row r="361" spans="1:26" x14ac:dyDescent="0.2">
      <c r="A361" s="20" t="s">
        <v>20</v>
      </c>
      <c r="B361" s="28">
        <v>95</v>
      </c>
      <c r="C361" s="29">
        <f>B361/B365</f>
        <v>0.31045751633986929</v>
      </c>
      <c r="D361" s="28">
        <v>6</v>
      </c>
      <c r="E361" s="29">
        <f>D361/D365</f>
        <v>0.5</v>
      </c>
      <c r="F361" s="28">
        <v>28</v>
      </c>
      <c r="G361" s="29">
        <f>F361/F365</f>
        <v>0.30107526881720431</v>
      </c>
      <c r="H361" s="28">
        <v>123</v>
      </c>
      <c r="I361" s="29">
        <f>H361/H365</f>
        <v>0.25894736842105265</v>
      </c>
      <c r="J361" s="28">
        <v>69</v>
      </c>
      <c r="K361" s="29">
        <f>J361/J365</f>
        <v>0.31506849315068491</v>
      </c>
      <c r="L361" s="28">
        <v>182</v>
      </c>
      <c r="M361" s="29">
        <f>L361/L365</f>
        <v>0.30082644628099175</v>
      </c>
      <c r="N361" s="21">
        <f>B361+D361+F361+H361+J361+L361</f>
        <v>503</v>
      </c>
      <c r="O361" s="29">
        <f>N361/N365</f>
        <v>0.29415204678362572</v>
      </c>
    </row>
    <row r="362" spans="1:26" x14ac:dyDescent="0.2">
      <c r="A362" s="20" t="s">
        <v>19</v>
      </c>
      <c r="B362" s="28">
        <v>158</v>
      </c>
      <c r="C362" s="29">
        <f>B362/B365</f>
        <v>0.5163398692810458</v>
      </c>
      <c r="D362" s="28">
        <v>6</v>
      </c>
      <c r="E362" s="29">
        <f>D362/D365</f>
        <v>0.5</v>
      </c>
      <c r="F362" s="28">
        <v>49</v>
      </c>
      <c r="G362" s="29">
        <f>F362/F365</f>
        <v>0.5268817204301075</v>
      </c>
      <c r="H362" s="28">
        <v>273</v>
      </c>
      <c r="I362" s="29">
        <f>H362/H365</f>
        <v>0.57473684210526321</v>
      </c>
      <c r="J362" s="28">
        <v>117</v>
      </c>
      <c r="K362" s="29">
        <f>J362/J365</f>
        <v>0.53424657534246578</v>
      </c>
      <c r="L362" s="28">
        <v>345</v>
      </c>
      <c r="M362" s="29">
        <f>L362/L365</f>
        <v>0.57024793388429751</v>
      </c>
      <c r="N362" s="21">
        <f>B362+D362+F362+H362+J362+L362</f>
        <v>948</v>
      </c>
      <c r="O362" s="29">
        <f>N362/N365</f>
        <v>0.55438596491228065</v>
      </c>
    </row>
    <row r="363" spans="1:26" x14ac:dyDescent="0.2">
      <c r="A363" s="20" t="s">
        <v>18</v>
      </c>
      <c r="B363" s="28">
        <v>45</v>
      </c>
      <c r="C363" s="29">
        <f>B363/B365</f>
        <v>0.14705882352941177</v>
      </c>
      <c r="D363" s="28"/>
      <c r="E363" s="29">
        <f>D363/D365</f>
        <v>0</v>
      </c>
      <c r="F363" s="28">
        <v>12</v>
      </c>
      <c r="G363" s="29">
        <f>F363/F365</f>
        <v>0.12903225806451613</v>
      </c>
      <c r="H363" s="28">
        <v>60</v>
      </c>
      <c r="I363" s="29">
        <f>H363/H365</f>
        <v>0.12631578947368421</v>
      </c>
      <c r="J363" s="28">
        <v>22</v>
      </c>
      <c r="K363" s="29">
        <f>J363/J365</f>
        <v>0.1004566210045662</v>
      </c>
      <c r="L363" s="28">
        <v>59</v>
      </c>
      <c r="M363" s="29">
        <f>L363/L365</f>
        <v>9.7520661157024791E-2</v>
      </c>
      <c r="N363" s="21">
        <f>B363+D363+F363+H363+J363+L363</f>
        <v>198</v>
      </c>
      <c r="O363" s="29">
        <f>N363/N365</f>
        <v>0.11578947368421053</v>
      </c>
    </row>
    <row r="364" spans="1:26" x14ac:dyDescent="0.2">
      <c r="A364" s="20" t="s">
        <v>17</v>
      </c>
      <c r="B364" s="28">
        <v>8</v>
      </c>
      <c r="C364" s="29">
        <f>B364/B365</f>
        <v>2.6143790849673203E-2</v>
      </c>
      <c r="D364" s="28"/>
      <c r="E364" s="29">
        <f>D364/D365</f>
        <v>0</v>
      </c>
      <c r="F364" s="28">
        <v>4</v>
      </c>
      <c r="G364" s="29">
        <f>F364/F365</f>
        <v>4.3010752688172046E-2</v>
      </c>
      <c r="H364" s="28">
        <v>19</v>
      </c>
      <c r="I364" s="29">
        <f>H364/H365</f>
        <v>0.04</v>
      </c>
      <c r="J364" s="28">
        <v>11</v>
      </c>
      <c r="K364" s="29">
        <f>J364/J365</f>
        <v>5.0228310502283102E-2</v>
      </c>
      <c r="L364" s="28">
        <v>19</v>
      </c>
      <c r="M364" s="29">
        <f>L364/L365</f>
        <v>3.1404958677685953E-2</v>
      </c>
      <c r="N364" s="21">
        <f>B364+D364+F364+H364+J364+L364</f>
        <v>61</v>
      </c>
      <c r="O364" s="29">
        <f>N364/N365</f>
        <v>3.5672514619883043E-2</v>
      </c>
    </row>
    <row r="365" spans="1:26" s="33" customFormat="1" x14ac:dyDescent="0.2">
      <c r="A365" s="26" t="s">
        <v>1</v>
      </c>
      <c r="B365" s="22">
        <f t="shared" ref="B365:L365" si="93">SUM(B361:B364)</f>
        <v>306</v>
      </c>
      <c r="C365" s="31">
        <f>SUM(C361:C364)</f>
        <v>1</v>
      </c>
      <c r="D365" s="22">
        <f t="shared" si="93"/>
        <v>12</v>
      </c>
      <c r="E365" s="31">
        <f>SUM(E361:E364)</f>
        <v>1</v>
      </c>
      <c r="F365" s="22">
        <f t="shared" si="93"/>
        <v>93</v>
      </c>
      <c r="G365" s="31">
        <f>SUM(G361:G364)</f>
        <v>0.99999999999999989</v>
      </c>
      <c r="H365" s="22">
        <f t="shared" si="93"/>
        <v>475</v>
      </c>
      <c r="I365" s="31">
        <f>SUM(I361:I364)</f>
        <v>1</v>
      </c>
      <c r="J365" s="22">
        <f t="shared" si="93"/>
        <v>219</v>
      </c>
      <c r="K365" s="31">
        <f>SUM(K361:K364)</f>
        <v>1</v>
      </c>
      <c r="L365" s="22">
        <f t="shared" si="93"/>
        <v>605</v>
      </c>
      <c r="M365" s="31">
        <f>SUM(M361:M364)</f>
        <v>1</v>
      </c>
      <c r="N365" s="22">
        <f>SUM(N359:N364)</f>
        <v>1710</v>
      </c>
      <c r="O365" s="31">
        <f>SUM(O359:O364)</f>
        <v>1</v>
      </c>
      <c r="P365" s="36"/>
      <c r="Q365" s="40"/>
      <c r="R365" s="40"/>
      <c r="S365" s="40"/>
      <c r="T365" s="37"/>
      <c r="U365" s="37"/>
      <c r="V365" s="37"/>
      <c r="W365" s="37"/>
      <c r="X365" s="37"/>
      <c r="Y365" s="37"/>
      <c r="Z365" s="37"/>
    </row>
    <row r="366" spans="1:26" x14ac:dyDescent="0.2">
      <c r="A366" s="26" t="s">
        <v>89</v>
      </c>
      <c r="B366" s="19"/>
      <c r="C366" s="54">
        <f>SUM(C361:C362)</f>
        <v>0.82679738562091509</v>
      </c>
      <c r="D366" s="19"/>
      <c r="E366" s="54">
        <f>SUM(E361:E362)</f>
        <v>1</v>
      </c>
      <c r="F366" s="19"/>
      <c r="G366" s="54">
        <f>SUM(G361:G362)</f>
        <v>0.82795698924731176</v>
      </c>
      <c r="H366" s="19"/>
      <c r="I366" s="54">
        <f>SUM(I361:I362)</f>
        <v>0.83368421052631581</v>
      </c>
      <c r="J366" s="19"/>
      <c r="K366" s="54">
        <f>SUM(K361:K362)</f>
        <v>0.84931506849315075</v>
      </c>
      <c r="L366" s="19"/>
      <c r="M366" s="54">
        <f>SUM(M361:M362)</f>
        <v>0.87107438016528926</v>
      </c>
      <c r="N366" s="22"/>
      <c r="O366" s="54">
        <f>SUM(O361:O362)</f>
        <v>0.84853801169590637</v>
      </c>
    </row>
    <row r="367" spans="1:26" x14ac:dyDescent="0.2">
      <c r="A367" s="14"/>
      <c r="B367" s="4"/>
      <c r="D367" s="1"/>
      <c r="H367" s="36"/>
    </row>
    <row r="368" spans="1:26" ht="12" customHeight="1" x14ac:dyDescent="0.2">
      <c r="A368" s="121" t="s">
        <v>76</v>
      </c>
      <c r="B368" s="122" t="s">
        <v>100</v>
      </c>
      <c r="C368" s="122"/>
      <c r="D368" s="122" t="s">
        <v>80</v>
      </c>
      <c r="E368" s="122"/>
      <c r="F368" s="123" t="s">
        <v>136</v>
      </c>
      <c r="G368" s="123"/>
      <c r="H368" s="122" t="s">
        <v>82</v>
      </c>
      <c r="I368" s="122"/>
      <c r="J368" s="122" t="s">
        <v>81</v>
      </c>
      <c r="K368" s="122"/>
      <c r="L368" s="122" t="s">
        <v>98</v>
      </c>
      <c r="M368" s="122"/>
      <c r="N368" s="116" t="s">
        <v>1</v>
      </c>
      <c r="O368" s="116"/>
    </row>
    <row r="369" spans="1:26" x14ac:dyDescent="0.2">
      <c r="A369" s="20" t="s">
        <v>20</v>
      </c>
      <c r="B369" s="28">
        <v>74</v>
      </c>
      <c r="C369" s="29">
        <f>B369/B373</f>
        <v>0.33944954128440369</v>
      </c>
      <c r="D369" s="28">
        <v>5</v>
      </c>
      <c r="E369" s="29">
        <f>D369/D373</f>
        <v>0.625</v>
      </c>
      <c r="F369" s="28">
        <v>21</v>
      </c>
      <c r="G369" s="29">
        <f>F369/F373</f>
        <v>0.28767123287671231</v>
      </c>
      <c r="H369" s="28">
        <v>132</v>
      </c>
      <c r="I369" s="29">
        <f>H369/H373</f>
        <v>0.34920634920634919</v>
      </c>
      <c r="J369" s="28">
        <v>62</v>
      </c>
      <c r="K369" s="29">
        <f>J369/J373</f>
        <v>0.39240506329113922</v>
      </c>
      <c r="L369" s="28">
        <v>145</v>
      </c>
      <c r="M369" s="29">
        <f>L369/L373</f>
        <v>0.33105022831050229</v>
      </c>
      <c r="N369" s="21">
        <f>B369+D369+F369+H369+J369+L369</f>
        <v>439</v>
      </c>
      <c r="O369" s="29">
        <f>N369/N373</f>
        <v>0.3448546739984289</v>
      </c>
    </row>
    <row r="370" spans="1:26" x14ac:dyDescent="0.2">
      <c r="A370" s="20" t="s">
        <v>19</v>
      </c>
      <c r="B370" s="28">
        <v>130</v>
      </c>
      <c r="C370" s="29">
        <f>B370/B373</f>
        <v>0.59633027522935778</v>
      </c>
      <c r="D370" s="28">
        <v>3</v>
      </c>
      <c r="E370" s="29">
        <f>D370/D373</f>
        <v>0.375</v>
      </c>
      <c r="F370" s="28">
        <v>44</v>
      </c>
      <c r="G370" s="29">
        <f>F370/F373</f>
        <v>0.60273972602739723</v>
      </c>
      <c r="H370" s="28">
        <v>227</v>
      </c>
      <c r="I370" s="29">
        <f>H370/H373</f>
        <v>0.60052910052910058</v>
      </c>
      <c r="J370" s="28">
        <v>84</v>
      </c>
      <c r="K370" s="29">
        <f>J370/J373</f>
        <v>0.53164556962025311</v>
      </c>
      <c r="L370" s="28">
        <v>264</v>
      </c>
      <c r="M370" s="29">
        <f>L370/L373</f>
        <v>0.60273972602739723</v>
      </c>
      <c r="N370" s="21">
        <f>B370+D370+F370+H370+J370+L370</f>
        <v>752</v>
      </c>
      <c r="O370" s="29">
        <f>N370/N373</f>
        <v>0.59073055773762762</v>
      </c>
    </row>
    <row r="371" spans="1:26" x14ac:dyDescent="0.2">
      <c r="A371" s="20" t="s">
        <v>18</v>
      </c>
      <c r="B371" s="28">
        <v>8</v>
      </c>
      <c r="C371" s="29">
        <f>B371/B373</f>
        <v>3.669724770642202E-2</v>
      </c>
      <c r="D371" s="28"/>
      <c r="E371" s="29">
        <f>D371/D373</f>
        <v>0</v>
      </c>
      <c r="F371" s="28">
        <v>4</v>
      </c>
      <c r="G371" s="29">
        <f>F371/F373</f>
        <v>5.4794520547945202E-2</v>
      </c>
      <c r="H371" s="28">
        <v>16</v>
      </c>
      <c r="I371" s="29">
        <f>H371/H373</f>
        <v>4.2328042328042326E-2</v>
      </c>
      <c r="J371" s="28">
        <v>8</v>
      </c>
      <c r="K371" s="29">
        <f>J371/J373</f>
        <v>5.0632911392405063E-2</v>
      </c>
      <c r="L371" s="28">
        <v>21</v>
      </c>
      <c r="M371" s="29">
        <f>L371/L373</f>
        <v>4.7945205479452052E-2</v>
      </c>
      <c r="N371" s="21">
        <f>B371+D371+F371+H371+J371+L371</f>
        <v>57</v>
      </c>
      <c r="O371" s="29">
        <f>N371/N373</f>
        <v>4.4776119402985072E-2</v>
      </c>
    </row>
    <row r="372" spans="1:26" x14ac:dyDescent="0.2">
      <c r="A372" s="20" t="s">
        <v>17</v>
      </c>
      <c r="B372" s="28">
        <v>6</v>
      </c>
      <c r="C372" s="29">
        <f>B372/B373</f>
        <v>2.7522935779816515E-2</v>
      </c>
      <c r="D372" s="28"/>
      <c r="E372" s="29">
        <f>D372/D373</f>
        <v>0</v>
      </c>
      <c r="F372" s="28">
        <v>4</v>
      </c>
      <c r="G372" s="29">
        <f>F372/F373</f>
        <v>5.4794520547945202E-2</v>
      </c>
      <c r="H372" s="28">
        <v>3</v>
      </c>
      <c r="I372" s="29">
        <f>H372/H373</f>
        <v>7.9365079365079361E-3</v>
      </c>
      <c r="J372" s="28">
        <v>4</v>
      </c>
      <c r="K372" s="29">
        <f>J372/J373</f>
        <v>2.5316455696202531E-2</v>
      </c>
      <c r="L372" s="28">
        <v>8</v>
      </c>
      <c r="M372" s="29">
        <f>L372/L373</f>
        <v>1.8264840182648401E-2</v>
      </c>
      <c r="N372" s="21">
        <f>B372+D372+F372+H372+J372+L372</f>
        <v>25</v>
      </c>
      <c r="O372" s="29">
        <f>N372/N373</f>
        <v>1.9638648860958365E-2</v>
      </c>
    </row>
    <row r="373" spans="1:26" s="33" customFormat="1" x14ac:dyDescent="0.2">
      <c r="A373" s="26" t="s">
        <v>1</v>
      </c>
      <c r="B373" s="22">
        <f t="shared" ref="B373:L373" si="94">SUM(B369:B372)</f>
        <v>218</v>
      </c>
      <c r="C373" s="31">
        <f>SUM(C369:C372)</f>
        <v>1</v>
      </c>
      <c r="D373" s="22">
        <f t="shared" si="94"/>
        <v>8</v>
      </c>
      <c r="E373" s="31">
        <f>SUM(E369:E372)</f>
        <v>1</v>
      </c>
      <c r="F373" s="22">
        <f t="shared" si="94"/>
        <v>73</v>
      </c>
      <c r="G373" s="31">
        <f>SUM(G369:G372)</f>
        <v>1</v>
      </c>
      <c r="H373" s="22">
        <f t="shared" si="94"/>
        <v>378</v>
      </c>
      <c r="I373" s="31">
        <f>SUM(I369:I372)</f>
        <v>1</v>
      </c>
      <c r="J373" s="22">
        <f t="shared" si="94"/>
        <v>158</v>
      </c>
      <c r="K373" s="31">
        <f>SUM(K369:K372)</f>
        <v>1</v>
      </c>
      <c r="L373" s="22">
        <f t="shared" si="94"/>
        <v>438</v>
      </c>
      <c r="M373" s="31">
        <f>SUM(M369:M372)</f>
        <v>1</v>
      </c>
      <c r="N373" s="22">
        <f>SUM(N367:N372)</f>
        <v>1273</v>
      </c>
      <c r="O373" s="31">
        <f>SUM(O367:O372)</f>
        <v>0.99999999999999989</v>
      </c>
      <c r="P373" s="36"/>
      <c r="Q373" s="40"/>
      <c r="R373" s="40"/>
      <c r="S373" s="40"/>
      <c r="T373" s="37"/>
      <c r="U373" s="37"/>
      <c r="V373" s="37"/>
      <c r="W373" s="37"/>
      <c r="X373" s="37"/>
      <c r="Y373" s="37"/>
      <c r="Z373" s="37"/>
    </row>
    <row r="374" spans="1:26" x14ac:dyDescent="0.2">
      <c r="A374" s="26" t="s">
        <v>89</v>
      </c>
      <c r="B374" s="19"/>
      <c r="C374" s="54">
        <f>SUM(C369:C370)</f>
        <v>0.93577981651376141</v>
      </c>
      <c r="D374" s="19"/>
      <c r="E374" s="54">
        <f>SUM(E369:E370)</f>
        <v>1</v>
      </c>
      <c r="F374" s="19"/>
      <c r="G374" s="54">
        <f>SUM(G369:G370)</f>
        <v>0.8904109589041096</v>
      </c>
      <c r="H374" s="19"/>
      <c r="I374" s="54">
        <f>SUM(I369:I370)</f>
        <v>0.94973544973544977</v>
      </c>
      <c r="J374" s="19"/>
      <c r="K374" s="54">
        <f>SUM(K369:K370)</f>
        <v>0.92405063291139233</v>
      </c>
      <c r="L374" s="19"/>
      <c r="M374" s="54">
        <f>SUM(M369:M370)</f>
        <v>0.93378995433789957</v>
      </c>
      <c r="N374" s="22"/>
      <c r="O374" s="54">
        <f>SUM(O369:O370)</f>
        <v>0.93558523173605646</v>
      </c>
    </row>
    <row r="375" spans="1:26" x14ac:dyDescent="0.2">
      <c r="A375" s="14"/>
      <c r="B375" s="4"/>
      <c r="D375" s="1"/>
      <c r="H375" s="36"/>
    </row>
    <row r="376" spans="1:26" ht="12" customHeight="1" x14ac:dyDescent="0.2">
      <c r="A376" s="121" t="s">
        <v>77</v>
      </c>
      <c r="B376" s="122" t="s">
        <v>100</v>
      </c>
      <c r="C376" s="122"/>
      <c r="D376" s="122" t="s">
        <v>80</v>
      </c>
      <c r="E376" s="122"/>
      <c r="F376" s="123" t="s">
        <v>136</v>
      </c>
      <c r="G376" s="123"/>
      <c r="H376" s="122" t="s">
        <v>82</v>
      </c>
      <c r="I376" s="122"/>
      <c r="J376" s="122" t="s">
        <v>81</v>
      </c>
      <c r="K376" s="122"/>
      <c r="L376" s="122" t="s">
        <v>98</v>
      </c>
      <c r="M376" s="122"/>
      <c r="N376" s="116" t="s">
        <v>1</v>
      </c>
      <c r="O376" s="116"/>
    </row>
    <row r="377" spans="1:26" x14ac:dyDescent="0.2">
      <c r="A377" s="20" t="s">
        <v>20</v>
      </c>
      <c r="B377" s="28">
        <v>59</v>
      </c>
      <c r="C377" s="29">
        <f>B377/B381</f>
        <v>0.29648241206030151</v>
      </c>
      <c r="D377" s="28"/>
      <c r="E377" s="29">
        <f>D377/D381</f>
        <v>0</v>
      </c>
      <c r="F377" s="28">
        <v>13</v>
      </c>
      <c r="G377" s="29">
        <f>F377/F381</f>
        <v>0.29545454545454547</v>
      </c>
      <c r="H377" s="28">
        <v>84</v>
      </c>
      <c r="I377" s="29">
        <f>H377/H381</f>
        <v>0.24277456647398843</v>
      </c>
      <c r="J377" s="28">
        <v>29</v>
      </c>
      <c r="K377" s="29">
        <f>J377/J381</f>
        <v>0.30526315789473685</v>
      </c>
      <c r="L377" s="28">
        <v>106</v>
      </c>
      <c r="M377" s="29">
        <f>L377/L381</f>
        <v>0.26700251889168763</v>
      </c>
      <c r="N377" s="21">
        <f>B377+D377+F377+H377+J377+L377</f>
        <v>291</v>
      </c>
      <c r="O377" s="29">
        <f>N377/N381</f>
        <v>0.26894639556377081</v>
      </c>
    </row>
    <row r="378" spans="1:26" x14ac:dyDescent="0.2">
      <c r="A378" s="20" t="s">
        <v>19</v>
      </c>
      <c r="B378" s="28">
        <v>100</v>
      </c>
      <c r="C378" s="29">
        <f>B378/B381</f>
        <v>0.50251256281407031</v>
      </c>
      <c r="D378" s="28">
        <v>1</v>
      </c>
      <c r="E378" s="29">
        <f>D378/D381</f>
        <v>1</v>
      </c>
      <c r="F378" s="28">
        <v>24</v>
      </c>
      <c r="G378" s="29">
        <f>F378/F381</f>
        <v>0.54545454545454541</v>
      </c>
      <c r="H378" s="28">
        <v>174</v>
      </c>
      <c r="I378" s="29">
        <f>H378/H381</f>
        <v>0.50289017341040465</v>
      </c>
      <c r="J378" s="28">
        <v>50</v>
      </c>
      <c r="K378" s="29">
        <f>J378/J381</f>
        <v>0.52631578947368418</v>
      </c>
      <c r="L378" s="28">
        <v>198</v>
      </c>
      <c r="M378" s="29">
        <f>L378/L381</f>
        <v>0.4987405541561713</v>
      </c>
      <c r="N378" s="21">
        <f>B378+D378+F378+H378+J378+L378</f>
        <v>547</v>
      </c>
      <c r="O378" s="29">
        <f>N378/N381</f>
        <v>0.50554528650646946</v>
      </c>
    </row>
    <row r="379" spans="1:26" x14ac:dyDescent="0.2">
      <c r="A379" s="20" t="s">
        <v>18</v>
      </c>
      <c r="B379" s="28">
        <v>26</v>
      </c>
      <c r="C379" s="29">
        <f>B379/B381</f>
        <v>0.1306532663316583</v>
      </c>
      <c r="D379" s="28"/>
      <c r="E379" s="29">
        <f>D379/D381</f>
        <v>0</v>
      </c>
      <c r="F379" s="28">
        <v>6</v>
      </c>
      <c r="G379" s="29">
        <f>F379/F381</f>
        <v>0.13636363636363635</v>
      </c>
      <c r="H379" s="28">
        <v>57</v>
      </c>
      <c r="I379" s="29">
        <f>H379/H381</f>
        <v>0.16473988439306358</v>
      </c>
      <c r="J379" s="28">
        <v>14</v>
      </c>
      <c r="K379" s="29">
        <f>J379/J381</f>
        <v>0.14736842105263157</v>
      </c>
      <c r="L379" s="28">
        <v>63</v>
      </c>
      <c r="M379" s="29">
        <f>L379/L381</f>
        <v>0.15869017632241814</v>
      </c>
      <c r="N379" s="21">
        <f>B379+D379+F379+H379+J379+L379</f>
        <v>166</v>
      </c>
      <c r="O379" s="29">
        <f>N379/N381</f>
        <v>0.15341959334565619</v>
      </c>
    </row>
    <row r="380" spans="1:26" x14ac:dyDescent="0.2">
      <c r="A380" s="20" t="s">
        <v>17</v>
      </c>
      <c r="B380" s="28">
        <v>14</v>
      </c>
      <c r="C380" s="29">
        <f>B380/B381</f>
        <v>7.0351758793969849E-2</v>
      </c>
      <c r="D380" s="28"/>
      <c r="E380" s="29">
        <f>D380/D381</f>
        <v>0</v>
      </c>
      <c r="F380" s="28">
        <v>1</v>
      </c>
      <c r="G380" s="29">
        <f>F380/F381</f>
        <v>2.2727272727272728E-2</v>
      </c>
      <c r="H380" s="28">
        <v>31</v>
      </c>
      <c r="I380" s="29">
        <f>H380/H381</f>
        <v>8.9595375722543349E-2</v>
      </c>
      <c r="J380" s="28">
        <v>2</v>
      </c>
      <c r="K380" s="29">
        <f>J380/J381</f>
        <v>2.1052631578947368E-2</v>
      </c>
      <c r="L380" s="28">
        <v>30</v>
      </c>
      <c r="M380" s="29">
        <f>L380/L381</f>
        <v>7.5566750629722929E-2</v>
      </c>
      <c r="N380" s="21">
        <f>B380+D380+F380+H380+J380+L380</f>
        <v>78</v>
      </c>
      <c r="O380" s="29">
        <f>N380/N381</f>
        <v>7.2088724584103508E-2</v>
      </c>
    </row>
    <row r="381" spans="1:26" s="33" customFormat="1" x14ac:dyDescent="0.2">
      <c r="A381" s="26" t="s">
        <v>1</v>
      </c>
      <c r="B381" s="22">
        <f t="shared" ref="B381:L381" si="95">SUM(B377:B380)</f>
        <v>199</v>
      </c>
      <c r="C381" s="31">
        <f>SUM(C377:C380)</f>
        <v>1</v>
      </c>
      <c r="D381" s="22">
        <f t="shared" si="95"/>
        <v>1</v>
      </c>
      <c r="E381" s="31">
        <f>SUM(E377:E380)</f>
        <v>1</v>
      </c>
      <c r="F381" s="22">
        <f t="shared" si="95"/>
        <v>44</v>
      </c>
      <c r="G381" s="31">
        <f>SUM(G377:G380)</f>
        <v>0.99999999999999989</v>
      </c>
      <c r="H381" s="22">
        <f t="shared" si="95"/>
        <v>346</v>
      </c>
      <c r="I381" s="31">
        <f>SUM(I377:I380)</f>
        <v>1</v>
      </c>
      <c r="J381" s="22">
        <f t="shared" si="95"/>
        <v>95</v>
      </c>
      <c r="K381" s="31">
        <f>SUM(K377:K380)</f>
        <v>0.99999999999999989</v>
      </c>
      <c r="L381" s="22">
        <f t="shared" si="95"/>
        <v>397</v>
      </c>
      <c r="M381" s="31">
        <f>SUM(M377:M380)</f>
        <v>1</v>
      </c>
      <c r="N381" s="22">
        <f>SUM(N375:N380)</f>
        <v>1082</v>
      </c>
      <c r="O381" s="31">
        <f>SUM(O375:O380)</f>
        <v>1</v>
      </c>
      <c r="P381" s="36"/>
      <c r="Q381" s="40"/>
      <c r="R381" s="40"/>
      <c r="S381" s="40"/>
      <c r="T381" s="37"/>
      <c r="U381" s="37"/>
      <c r="V381" s="37"/>
      <c r="W381" s="37"/>
      <c r="X381" s="37"/>
      <c r="Y381" s="37"/>
      <c r="Z381" s="37"/>
    </row>
    <row r="382" spans="1:26" x14ac:dyDescent="0.2">
      <c r="A382" s="26" t="s">
        <v>89</v>
      </c>
      <c r="B382" s="19"/>
      <c r="C382" s="54">
        <f>SUM(C377:C378)</f>
        <v>0.79899497487437188</v>
      </c>
      <c r="D382" s="19"/>
      <c r="E382" s="54">
        <f>SUM(E377:E378)</f>
        <v>1</v>
      </c>
      <c r="F382" s="19"/>
      <c r="G382" s="54">
        <f>SUM(G377:G378)</f>
        <v>0.84090909090909083</v>
      </c>
      <c r="H382" s="19"/>
      <c r="I382" s="54">
        <f>SUM(I377:I378)</f>
        <v>0.74566473988439308</v>
      </c>
      <c r="J382" s="19"/>
      <c r="K382" s="54">
        <f>SUM(K377:K378)</f>
        <v>0.83157894736842097</v>
      </c>
      <c r="L382" s="19"/>
      <c r="M382" s="54">
        <f>SUM(M377:M378)</f>
        <v>0.76574307304785894</v>
      </c>
      <c r="N382" s="22"/>
      <c r="O382" s="54">
        <f>SUM(O377:O378)</f>
        <v>0.77449168207024033</v>
      </c>
    </row>
    <row r="383" spans="1:26" x14ac:dyDescent="0.2">
      <c r="A383" s="14"/>
      <c r="B383" s="4"/>
      <c r="D383" s="1"/>
      <c r="H383" s="36"/>
    </row>
    <row r="384" spans="1:26" ht="24" x14ac:dyDescent="0.2">
      <c r="A384" s="121" t="s">
        <v>74</v>
      </c>
      <c r="B384" s="122" t="s">
        <v>100</v>
      </c>
      <c r="C384" s="122"/>
      <c r="D384" s="122" t="s">
        <v>80</v>
      </c>
      <c r="E384" s="122"/>
      <c r="F384" s="123" t="s">
        <v>136</v>
      </c>
      <c r="G384" s="123"/>
      <c r="H384" s="122" t="s">
        <v>82</v>
      </c>
      <c r="I384" s="122"/>
      <c r="J384" s="122" t="s">
        <v>81</v>
      </c>
      <c r="K384" s="122"/>
      <c r="L384" s="122" t="s">
        <v>98</v>
      </c>
      <c r="M384" s="122"/>
      <c r="N384" s="116" t="s">
        <v>1</v>
      </c>
      <c r="O384" s="116"/>
    </row>
    <row r="385" spans="1:26" x14ac:dyDescent="0.2">
      <c r="A385" s="20" t="s">
        <v>20</v>
      </c>
      <c r="B385" s="28">
        <v>99</v>
      </c>
      <c r="C385" s="29">
        <f>B385/B389</f>
        <v>0.32142857142857145</v>
      </c>
      <c r="D385" s="28">
        <v>5</v>
      </c>
      <c r="E385" s="29">
        <f>D385/D389</f>
        <v>0.38461538461538464</v>
      </c>
      <c r="F385" s="28">
        <v>33</v>
      </c>
      <c r="G385" s="29">
        <f>F385/F389</f>
        <v>0.31132075471698112</v>
      </c>
      <c r="H385" s="28">
        <v>143</v>
      </c>
      <c r="I385" s="29">
        <f>H385/H389</f>
        <v>0.29183673469387755</v>
      </c>
      <c r="J385" s="28">
        <v>65</v>
      </c>
      <c r="K385" s="29">
        <f>J385/J389</f>
        <v>0.2914798206278027</v>
      </c>
      <c r="L385" s="28">
        <v>166</v>
      </c>
      <c r="M385" s="29">
        <f>L385/L389</f>
        <v>0.27483443708609273</v>
      </c>
      <c r="N385" s="21">
        <f>B385+D385+F385+H385+J385+L385</f>
        <v>511</v>
      </c>
      <c r="O385" s="29">
        <f>N385/N389</f>
        <v>0.29300458715596328</v>
      </c>
    </row>
    <row r="386" spans="1:26" x14ac:dyDescent="0.2">
      <c r="A386" s="20" t="s">
        <v>19</v>
      </c>
      <c r="B386" s="28">
        <v>188</v>
      </c>
      <c r="C386" s="29">
        <f>B386/B389</f>
        <v>0.61038961038961037</v>
      </c>
      <c r="D386" s="28">
        <v>8</v>
      </c>
      <c r="E386" s="29">
        <f>D386/D389</f>
        <v>0.61538461538461542</v>
      </c>
      <c r="F386" s="28">
        <v>59</v>
      </c>
      <c r="G386" s="29">
        <f>F386/F389</f>
        <v>0.55660377358490565</v>
      </c>
      <c r="H386" s="28">
        <v>322</v>
      </c>
      <c r="I386" s="29">
        <f>H386/H389</f>
        <v>0.65714285714285714</v>
      </c>
      <c r="J386" s="28">
        <v>142</v>
      </c>
      <c r="K386" s="29">
        <f>J386/J389</f>
        <v>0.63677130044843044</v>
      </c>
      <c r="L386" s="28">
        <v>397</v>
      </c>
      <c r="M386" s="29">
        <f>L386/L389</f>
        <v>0.6572847682119205</v>
      </c>
      <c r="N386" s="21">
        <f>B386+D386+F386+H386+J386+L386</f>
        <v>1116</v>
      </c>
      <c r="O386" s="29">
        <f>N386/N389</f>
        <v>0.63990825688073394</v>
      </c>
    </row>
    <row r="387" spans="1:26" x14ac:dyDescent="0.2">
      <c r="A387" s="20" t="s">
        <v>18</v>
      </c>
      <c r="B387" s="28">
        <v>17</v>
      </c>
      <c r="C387" s="29">
        <f>B387/B389</f>
        <v>5.5194805194805192E-2</v>
      </c>
      <c r="D387" s="28"/>
      <c r="E387" s="29">
        <f>D387/D389</f>
        <v>0</v>
      </c>
      <c r="F387" s="28">
        <v>10</v>
      </c>
      <c r="G387" s="29">
        <f>F387/F389</f>
        <v>9.4339622641509441E-2</v>
      </c>
      <c r="H387" s="28">
        <v>20</v>
      </c>
      <c r="I387" s="29">
        <f>H387/H389</f>
        <v>4.0816326530612242E-2</v>
      </c>
      <c r="J387" s="28">
        <v>9</v>
      </c>
      <c r="K387" s="29">
        <f>J387/J389</f>
        <v>4.0358744394618833E-2</v>
      </c>
      <c r="L387" s="28">
        <v>37</v>
      </c>
      <c r="M387" s="29">
        <f>L387/L389</f>
        <v>6.1258278145695365E-2</v>
      </c>
      <c r="N387" s="21">
        <f>B387+D387+F387+H387+J387+L387</f>
        <v>93</v>
      </c>
      <c r="O387" s="29">
        <f>N387/N389</f>
        <v>5.3325688073394495E-2</v>
      </c>
    </row>
    <row r="388" spans="1:26" x14ac:dyDescent="0.2">
      <c r="A388" s="20" t="s">
        <v>17</v>
      </c>
      <c r="B388" s="28">
        <v>4</v>
      </c>
      <c r="C388" s="29">
        <f>B388/B389</f>
        <v>1.2987012987012988E-2</v>
      </c>
      <c r="D388" s="28"/>
      <c r="E388" s="29">
        <f>D388/D389</f>
        <v>0</v>
      </c>
      <c r="F388" s="28">
        <v>4</v>
      </c>
      <c r="G388" s="29">
        <f>F388/F389</f>
        <v>3.7735849056603772E-2</v>
      </c>
      <c r="H388" s="28">
        <v>5</v>
      </c>
      <c r="I388" s="29">
        <f>H388/H389</f>
        <v>1.020408163265306E-2</v>
      </c>
      <c r="J388" s="28">
        <v>7</v>
      </c>
      <c r="K388" s="29">
        <f>J388/J389</f>
        <v>3.1390134529147982E-2</v>
      </c>
      <c r="L388" s="28">
        <v>4</v>
      </c>
      <c r="M388" s="29">
        <f>L388/L389</f>
        <v>6.6225165562913907E-3</v>
      </c>
      <c r="N388" s="21">
        <f>B388+D388+F388+H388+J388+L388</f>
        <v>24</v>
      </c>
      <c r="O388" s="29">
        <f>N388/N389</f>
        <v>1.3761467889908258E-2</v>
      </c>
    </row>
    <row r="389" spans="1:26" s="33" customFormat="1" x14ac:dyDescent="0.2">
      <c r="A389" s="26" t="s">
        <v>1</v>
      </c>
      <c r="B389" s="22">
        <f t="shared" ref="B389:J389" si="96">SUM(B385:B388)</f>
        <v>308</v>
      </c>
      <c r="C389" s="31">
        <f>SUM(C385:C388)</f>
        <v>1</v>
      </c>
      <c r="D389" s="22">
        <f t="shared" si="96"/>
        <v>13</v>
      </c>
      <c r="E389" s="31">
        <f>SUM(E385:E388)</f>
        <v>1</v>
      </c>
      <c r="F389" s="22">
        <f t="shared" si="96"/>
        <v>106</v>
      </c>
      <c r="G389" s="31">
        <f>SUM(G385:G388)</f>
        <v>1</v>
      </c>
      <c r="H389" s="22">
        <f t="shared" si="96"/>
        <v>490</v>
      </c>
      <c r="I389" s="31">
        <f>SUM(I385:I388)</f>
        <v>1</v>
      </c>
      <c r="J389" s="22">
        <f t="shared" si="96"/>
        <v>223</v>
      </c>
      <c r="K389" s="31">
        <f>SUM(K385:K388)</f>
        <v>1</v>
      </c>
      <c r="L389" s="22">
        <f t="shared" ref="L389" si="97">SUM(L385:L388)</f>
        <v>604</v>
      </c>
      <c r="M389" s="31">
        <f>SUM(M385:M388)</f>
        <v>1</v>
      </c>
      <c r="N389" s="22">
        <f>SUM(N383:N388)</f>
        <v>1744</v>
      </c>
      <c r="O389" s="31">
        <f>SUM(O383:O388)</f>
        <v>1</v>
      </c>
      <c r="P389" s="36"/>
      <c r="Q389" s="40"/>
      <c r="R389" s="40"/>
      <c r="S389" s="40"/>
      <c r="T389" s="37"/>
      <c r="U389" s="37"/>
      <c r="V389" s="37"/>
      <c r="W389" s="37"/>
      <c r="X389" s="37"/>
      <c r="Y389" s="37"/>
      <c r="Z389" s="37"/>
    </row>
    <row r="390" spans="1:26" x14ac:dyDescent="0.2">
      <c r="A390" s="26" t="s">
        <v>89</v>
      </c>
      <c r="B390" s="19"/>
      <c r="C390" s="54">
        <f>SUM(C385:C386)</f>
        <v>0.93181818181818188</v>
      </c>
      <c r="D390" s="19"/>
      <c r="E390" s="54">
        <f>SUM(E385:E386)</f>
        <v>1</v>
      </c>
      <c r="F390" s="19"/>
      <c r="G390" s="54">
        <f>SUM(G385:G386)</f>
        <v>0.86792452830188682</v>
      </c>
      <c r="H390" s="19"/>
      <c r="I390" s="54">
        <f>SUM(I385:I386)</f>
        <v>0.94897959183673475</v>
      </c>
      <c r="J390" s="19"/>
      <c r="K390" s="54">
        <f>SUM(K385:K386)</f>
        <v>0.9282511210762332</v>
      </c>
      <c r="L390" s="19"/>
      <c r="M390" s="54">
        <f>SUM(M385:M386)</f>
        <v>0.93211920529801318</v>
      </c>
      <c r="N390" s="22"/>
      <c r="O390" s="54">
        <f>SUM(O385:O386)</f>
        <v>0.93291284403669716</v>
      </c>
    </row>
    <row r="391" spans="1:26" x14ac:dyDescent="0.2">
      <c r="H391" s="36"/>
    </row>
    <row r="394" spans="1:26" ht="15" x14ac:dyDescent="0.2">
      <c r="A394" s="80" t="s">
        <v>137</v>
      </c>
      <c r="B394" s="82"/>
      <c r="C394" s="82"/>
    </row>
    <row r="395" spans="1:26" ht="24" x14ac:dyDescent="0.2">
      <c r="A395" s="121" t="s">
        <v>21</v>
      </c>
      <c r="B395" s="122" t="s">
        <v>100</v>
      </c>
      <c r="C395" s="122"/>
      <c r="D395" s="122" t="s">
        <v>80</v>
      </c>
      <c r="E395" s="122"/>
      <c r="F395" s="123" t="s">
        <v>136</v>
      </c>
      <c r="G395" s="123"/>
      <c r="H395" s="122" t="s">
        <v>82</v>
      </c>
      <c r="I395" s="122"/>
      <c r="J395" s="122" t="s">
        <v>81</v>
      </c>
      <c r="K395" s="122"/>
      <c r="L395" s="122" t="s">
        <v>98</v>
      </c>
      <c r="M395" s="122"/>
      <c r="N395" s="116" t="s">
        <v>1</v>
      </c>
      <c r="O395" s="116"/>
      <c r="Q395" s="40"/>
      <c r="R395" s="40"/>
      <c r="S395" s="40"/>
    </row>
    <row r="396" spans="1:26" ht="24" x14ac:dyDescent="0.2">
      <c r="A396" s="20" t="s">
        <v>90</v>
      </c>
      <c r="B396" s="28">
        <v>20</v>
      </c>
      <c r="C396" s="29">
        <f t="shared" ref="C396:C405" si="98">B396/$D$4</f>
        <v>5.5401662049861494E-2</v>
      </c>
      <c r="D396" s="28">
        <v>0</v>
      </c>
      <c r="E396" s="29">
        <f t="shared" ref="E396:E405" si="99">D396/$D$5</f>
        <v>0</v>
      </c>
      <c r="F396" s="28">
        <v>5</v>
      </c>
      <c r="G396" s="29">
        <f t="shared" ref="G396:G405" si="100">F396/$D$6</f>
        <v>3.787878787878788E-2</v>
      </c>
      <c r="H396" s="28">
        <v>12</v>
      </c>
      <c r="I396" s="29">
        <f t="shared" ref="I396:I405" si="101">H396/$D$7</f>
        <v>2.1428571428571429E-2</v>
      </c>
      <c r="J396" s="28">
        <v>15</v>
      </c>
      <c r="K396" s="29">
        <f t="shared" ref="K396:K405" si="102">J396/$D$8</f>
        <v>5.905511811023622E-2</v>
      </c>
      <c r="L396" s="28">
        <v>42</v>
      </c>
      <c r="M396" s="29">
        <f>L396/$D$9</f>
        <v>6.0344827586206899E-2</v>
      </c>
      <c r="N396" s="21">
        <f>B396+D396+F396+H396+J396+L396</f>
        <v>94</v>
      </c>
      <c r="O396" s="29">
        <f>N396/$D$10</f>
        <v>4.6580773042616451E-2</v>
      </c>
      <c r="Q396" s="36" t="s">
        <v>0</v>
      </c>
    </row>
    <row r="397" spans="1:26" ht="24" x14ac:dyDescent="0.2">
      <c r="A397" s="20" t="s">
        <v>22</v>
      </c>
      <c r="B397" s="28">
        <v>16</v>
      </c>
      <c r="C397" s="29">
        <f t="shared" si="98"/>
        <v>4.4321329639889197E-2</v>
      </c>
      <c r="D397" s="28">
        <v>2</v>
      </c>
      <c r="E397" s="29">
        <f t="shared" si="99"/>
        <v>0.13333333333333333</v>
      </c>
      <c r="F397" s="28">
        <v>3</v>
      </c>
      <c r="G397" s="29">
        <f t="shared" si="100"/>
        <v>2.2727272727272728E-2</v>
      </c>
      <c r="H397" s="28">
        <v>14</v>
      </c>
      <c r="I397" s="29">
        <f t="shared" si="101"/>
        <v>2.5000000000000001E-2</v>
      </c>
      <c r="J397" s="28">
        <v>5</v>
      </c>
      <c r="K397" s="29">
        <f t="shared" si="102"/>
        <v>1.968503937007874E-2</v>
      </c>
      <c r="L397" s="28">
        <v>14</v>
      </c>
      <c r="M397" s="29">
        <f t="shared" ref="M397:M405" si="103">L397/$D$9</f>
        <v>2.0114942528735632E-2</v>
      </c>
      <c r="N397" s="21">
        <f t="shared" ref="N397:N405" si="104">B397+D397+F397+H397+J397+L397</f>
        <v>54</v>
      </c>
      <c r="O397" s="29">
        <f t="shared" ref="O397:O405" si="105">N397/$D$10</f>
        <v>2.6759167492566897E-2</v>
      </c>
      <c r="Q397" s="40"/>
      <c r="R397" s="40"/>
      <c r="S397" s="40"/>
    </row>
    <row r="398" spans="1:26" ht="24" x14ac:dyDescent="0.2">
      <c r="A398" s="20" t="s">
        <v>23</v>
      </c>
      <c r="B398" s="28">
        <v>15</v>
      </c>
      <c r="C398" s="29">
        <f t="shared" si="98"/>
        <v>4.1551246537396121E-2</v>
      </c>
      <c r="D398" s="28">
        <v>1</v>
      </c>
      <c r="E398" s="29">
        <f t="shared" si="99"/>
        <v>6.6666666666666666E-2</v>
      </c>
      <c r="F398" s="28">
        <v>7</v>
      </c>
      <c r="G398" s="29">
        <f t="shared" si="100"/>
        <v>5.3030303030303032E-2</v>
      </c>
      <c r="H398" s="28">
        <v>18</v>
      </c>
      <c r="I398" s="29">
        <f t="shared" si="101"/>
        <v>3.214285714285714E-2</v>
      </c>
      <c r="J398" s="28">
        <v>13</v>
      </c>
      <c r="K398" s="29">
        <f t="shared" si="102"/>
        <v>5.1181102362204724E-2</v>
      </c>
      <c r="L398" s="28">
        <v>26</v>
      </c>
      <c r="M398" s="29">
        <f t="shared" si="103"/>
        <v>3.7356321839080463E-2</v>
      </c>
      <c r="N398" s="21">
        <f t="shared" si="104"/>
        <v>80</v>
      </c>
      <c r="O398" s="29">
        <f t="shared" si="105"/>
        <v>3.9643211100099107E-2</v>
      </c>
      <c r="Q398" s="36" t="s">
        <v>0</v>
      </c>
    </row>
    <row r="399" spans="1:26" ht="24" x14ac:dyDescent="0.2">
      <c r="A399" s="20" t="s">
        <v>24</v>
      </c>
      <c r="B399" s="28">
        <v>37</v>
      </c>
      <c r="C399" s="29">
        <f t="shared" si="98"/>
        <v>0.10249307479224377</v>
      </c>
      <c r="D399" s="113"/>
      <c r="E399" s="29">
        <f t="shared" si="99"/>
        <v>0</v>
      </c>
      <c r="F399" s="28">
        <v>13</v>
      </c>
      <c r="G399" s="29">
        <f t="shared" si="100"/>
        <v>9.8484848484848481E-2</v>
      </c>
      <c r="H399" s="28">
        <v>33</v>
      </c>
      <c r="I399" s="29">
        <f t="shared" si="101"/>
        <v>5.8928571428571427E-2</v>
      </c>
      <c r="J399" s="28">
        <v>18</v>
      </c>
      <c r="K399" s="29">
        <f t="shared" si="102"/>
        <v>7.0866141732283464E-2</v>
      </c>
      <c r="L399" s="28">
        <v>48</v>
      </c>
      <c r="M399" s="29">
        <f t="shared" si="103"/>
        <v>6.8965517241379309E-2</v>
      </c>
      <c r="N399" s="21">
        <f t="shared" si="104"/>
        <v>149</v>
      </c>
      <c r="O399" s="29">
        <f t="shared" si="105"/>
        <v>7.3835480673934584E-2</v>
      </c>
      <c r="Q399" s="40"/>
      <c r="R399" s="40"/>
      <c r="S399" s="40"/>
    </row>
    <row r="400" spans="1:26" x14ac:dyDescent="0.2">
      <c r="A400" s="20" t="s">
        <v>25</v>
      </c>
      <c r="B400" s="28">
        <v>48</v>
      </c>
      <c r="C400" s="29">
        <f t="shared" si="98"/>
        <v>0.1329639889196676</v>
      </c>
      <c r="D400" s="28">
        <v>1</v>
      </c>
      <c r="E400" s="29">
        <f t="shared" si="99"/>
        <v>6.6666666666666666E-2</v>
      </c>
      <c r="F400" s="28">
        <v>13</v>
      </c>
      <c r="G400" s="29">
        <f t="shared" si="100"/>
        <v>9.8484848484848481E-2</v>
      </c>
      <c r="H400" s="28">
        <v>65</v>
      </c>
      <c r="I400" s="29">
        <f t="shared" si="101"/>
        <v>0.11607142857142858</v>
      </c>
      <c r="J400" s="28">
        <v>16</v>
      </c>
      <c r="K400" s="29">
        <f t="shared" si="102"/>
        <v>6.2992125984251968E-2</v>
      </c>
      <c r="L400" s="28">
        <v>109</v>
      </c>
      <c r="M400" s="29">
        <f t="shared" si="103"/>
        <v>0.15660919540229884</v>
      </c>
      <c r="N400" s="21">
        <f t="shared" si="104"/>
        <v>252</v>
      </c>
      <c r="O400" s="29">
        <f t="shared" si="105"/>
        <v>0.12487611496531219</v>
      </c>
      <c r="Q400" s="36" t="s">
        <v>0</v>
      </c>
    </row>
    <row r="401" spans="1:19" ht="24" x14ac:dyDescent="0.2">
      <c r="A401" s="56" t="s">
        <v>27</v>
      </c>
      <c r="B401" s="28">
        <v>57</v>
      </c>
      <c r="C401" s="29">
        <f t="shared" si="98"/>
        <v>0.15789473684210525</v>
      </c>
      <c r="D401" s="113"/>
      <c r="E401" s="29">
        <f t="shared" si="99"/>
        <v>0</v>
      </c>
      <c r="F401" s="28">
        <v>12</v>
      </c>
      <c r="G401" s="29">
        <f t="shared" si="100"/>
        <v>9.0909090909090912E-2</v>
      </c>
      <c r="H401" s="28">
        <v>88</v>
      </c>
      <c r="I401" s="29">
        <f t="shared" si="101"/>
        <v>0.15714285714285714</v>
      </c>
      <c r="J401" s="28">
        <v>21</v>
      </c>
      <c r="K401" s="29">
        <f t="shared" si="102"/>
        <v>8.2677165354330714E-2</v>
      </c>
      <c r="L401" s="28">
        <v>125</v>
      </c>
      <c r="M401" s="29">
        <f t="shared" si="103"/>
        <v>0.17959770114942528</v>
      </c>
      <c r="N401" s="21">
        <f t="shared" si="104"/>
        <v>303</v>
      </c>
      <c r="O401" s="29">
        <f t="shared" si="105"/>
        <v>0.15014866204162536</v>
      </c>
      <c r="Q401" s="40"/>
      <c r="R401" s="40"/>
      <c r="S401" s="40"/>
    </row>
    <row r="402" spans="1:19" ht="24" x14ac:dyDescent="0.2">
      <c r="A402" s="56" t="s">
        <v>28</v>
      </c>
      <c r="B402" s="28">
        <v>124</v>
      </c>
      <c r="C402" s="29">
        <f t="shared" si="98"/>
        <v>0.34349030470914127</v>
      </c>
      <c r="D402" s="28">
        <v>6</v>
      </c>
      <c r="E402" s="29">
        <f t="shared" si="99"/>
        <v>0.4</v>
      </c>
      <c r="F402" s="28">
        <v>40</v>
      </c>
      <c r="G402" s="29">
        <f t="shared" si="100"/>
        <v>0.30303030303030304</v>
      </c>
      <c r="H402" s="28">
        <v>203</v>
      </c>
      <c r="I402" s="29">
        <f t="shared" si="101"/>
        <v>0.36249999999999999</v>
      </c>
      <c r="J402" s="28">
        <v>77</v>
      </c>
      <c r="K402" s="29">
        <f t="shared" si="102"/>
        <v>0.30314960629921262</v>
      </c>
      <c r="L402" s="28">
        <v>206</v>
      </c>
      <c r="M402" s="29">
        <f t="shared" si="103"/>
        <v>0.29597701149425287</v>
      </c>
      <c r="N402" s="21">
        <f t="shared" si="104"/>
        <v>656</v>
      </c>
      <c r="O402" s="29">
        <f t="shared" si="105"/>
        <v>0.32507433102081268</v>
      </c>
      <c r="Q402" s="36" t="s">
        <v>0</v>
      </c>
    </row>
    <row r="403" spans="1:19" ht="24" x14ac:dyDescent="0.2">
      <c r="A403" s="56" t="s">
        <v>29</v>
      </c>
      <c r="B403" s="28">
        <v>14</v>
      </c>
      <c r="C403" s="29">
        <f t="shared" si="98"/>
        <v>3.8781163434903045E-2</v>
      </c>
      <c r="D403" s="113"/>
      <c r="E403" s="29">
        <f t="shared" si="99"/>
        <v>0</v>
      </c>
      <c r="F403" s="28">
        <v>1</v>
      </c>
      <c r="G403" s="29">
        <f t="shared" si="100"/>
        <v>7.575757575757576E-3</v>
      </c>
      <c r="H403" s="28">
        <v>24</v>
      </c>
      <c r="I403" s="29">
        <f t="shared" si="101"/>
        <v>4.2857142857142858E-2</v>
      </c>
      <c r="J403" s="28">
        <v>7</v>
      </c>
      <c r="K403" s="29">
        <f t="shared" si="102"/>
        <v>2.7559055118110236E-2</v>
      </c>
      <c r="L403" s="28">
        <v>29</v>
      </c>
      <c r="M403" s="29">
        <f t="shared" si="103"/>
        <v>4.1666666666666664E-2</v>
      </c>
      <c r="N403" s="21">
        <f t="shared" si="104"/>
        <v>75</v>
      </c>
      <c r="O403" s="29">
        <f t="shared" si="105"/>
        <v>3.7165510406342916E-2</v>
      </c>
      <c r="Q403" s="40"/>
      <c r="R403" s="40"/>
      <c r="S403" s="40"/>
    </row>
    <row r="404" spans="1:19" x14ac:dyDescent="0.2">
      <c r="A404" s="56" t="s">
        <v>30</v>
      </c>
      <c r="B404" s="28">
        <v>125</v>
      </c>
      <c r="C404" s="29">
        <f t="shared" si="98"/>
        <v>0.34626038781163437</v>
      </c>
      <c r="D404" s="28">
        <v>7</v>
      </c>
      <c r="E404" s="29">
        <f t="shared" si="99"/>
        <v>0.46666666666666667</v>
      </c>
      <c r="F404" s="28">
        <v>46</v>
      </c>
      <c r="G404" s="29">
        <f t="shared" si="100"/>
        <v>0.34848484848484851</v>
      </c>
      <c r="H404" s="28">
        <v>189</v>
      </c>
      <c r="I404" s="29">
        <f t="shared" si="101"/>
        <v>0.33750000000000002</v>
      </c>
      <c r="J404" s="28">
        <v>91</v>
      </c>
      <c r="K404" s="29">
        <f t="shared" si="102"/>
        <v>0.35826771653543305</v>
      </c>
      <c r="L404" s="28">
        <v>239</v>
      </c>
      <c r="M404" s="29">
        <f t="shared" si="103"/>
        <v>0.34339080459770116</v>
      </c>
      <c r="N404" s="21">
        <f t="shared" si="104"/>
        <v>697</v>
      </c>
      <c r="O404" s="29">
        <f t="shared" si="105"/>
        <v>0.34539147670961345</v>
      </c>
      <c r="Q404" s="36" t="s">
        <v>0</v>
      </c>
    </row>
    <row r="405" spans="1:19" x14ac:dyDescent="0.2">
      <c r="A405" s="56" t="s">
        <v>31</v>
      </c>
      <c r="B405" s="28">
        <v>96</v>
      </c>
      <c r="C405" s="29">
        <f t="shared" si="98"/>
        <v>0.26592797783933519</v>
      </c>
      <c r="D405" s="28">
        <v>1</v>
      </c>
      <c r="E405" s="29">
        <f t="shared" si="99"/>
        <v>6.6666666666666666E-2</v>
      </c>
      <c r="F405" s="28">
        <v>41</v>
      </c>
      <c r="G405" s="29">
        <f t="shared" si="100"/>
        <v>0.31060606060606061</v>
      </c>
      <c r="H405" s="28">
        <v>132</v>
      </c>
      <c r="I405" s="29">
        <f t="shared" si="101"/>
        <v>0.23571428571428571</v>
      </c>
      <c r="J405" s="28">
        <v>84</v>
      </c>
      <c r="K405" s="29">
        <f t="shared" si="102"/>
        <v>0.33070866141732286</v>
      </c>
      <c r="L405" s="28">
        <v>199</v>
      </c>
      <c r="M405" s="29">
        <f t="shared" si="103"/>
        <v>0.28591954022988508</v>
      </c>
      <c r="N405" s="21">
        <f t="shared" si="104"/>
        <v>553</v>
      </c>
      <c r="O405" s="29">
        <f t="shared" si="105"/>
        <v>0.27403369672943506</v>
      </c>
      <c r="Q405" s="40"/>
      <c r="R405" s="40"/>
      <c r="S405" s="40"/>
    </row>
    <row r="407" spans="1:19" ht="15" x14ac:dyDescent="0.2">
      <c r="A407" s="80" t="s">
        <v>137</v>
      </c>
      <c r="B407" s="82"/>
      <c r="C407" s="82"/>
      <c r="G407" s="39"/>
      <c r="H407" s="36"/>
      <c r="Q407" s="36" t="s">
        <v>0</v>
      </c>
    </row>
    <row r="408" spans="1:19" ht="48" x14ac:dyDescent="0.2">
      <c r="A408" s="121" t="s">
        <v>33</v>
      </c>
      <c r="B408" s="122" t="s">
        <v>100</v>
      </c>
      <c r="C408" s="122"/>
      <c r="D408" s="122" t="s">
        <v>80</v>
      </c>
      <c r="E408" s="122"/>
      <c r="F408" s="123" t="s">
        <v>136</v>
      </c>
      <c r="G408" s="123"/>
      <c r="H408" s="122" t="s">
        <v>82</v>
      </c>
      <c r="I408" s="122"/>
      <c r="J408" s="122" t="s">
        <v>81</v>
      </c>
      <c r="K408" s="122"/>
      <c r="L408" s="122" t="s">
        <v>98</v>
      </c>
      <c r="M408" s="122"/>
      <c r="N408" s="116" t="s">
        <v>1</v>
      </c>
      <c r="O408" s="116"/>
    </row>
    <row r="409" spans="1:19" x14ac:dyDescent="0.2">
      <c r="A409" s="20" t="s">
        <v>32</v>
      </c>
      <c r="B409" s="114">
        <v>116</v>
      </c>
      <c r="C409" s="29">
        <f t="shared" ref="C409:C419" si="106">B409/$D$4</f>
        <v>0.32132963988919666</v>
      </c>
      <c r="D409" s="28">
        <v>4</v>
      </c>
      <c r="E409" s="29">
        <f t="shared" ref="E409:E419" si="107">D409/$D$5</f>
        <v>0.26666666666666666</v>
      </c>
      <c r="F409" s="28">
        <v>21</v>
      </c>
      <c r="G409" s="29">
        <f t="shared" ref="G409:G419" si="108">F409/$D$6</f>
        <v>0.15909090909090909</v>
      </c>
      <c r="H409" s="28">
        <v>183</v>
      </c>
      <c r="I409" s="29">
        <f t="shared" ref="I409:I419" si="109">H409/$D$7</f>
        <v>0.32678571428571429</v>
      </c>
      <c r="J409" s="28">
        <v>52</v>
      </c>
      <c r="K409" s="29">
        <f t="shared" ref="K409:K419" si="110">J409/$D$8</f>
        <v>0.20472440944881889</v>
      </c>
      <c r="L409" s="28">
        <v>198</v>
      </c>
      <c r="M409" s="29">
        <f>L409/$D$9</f>
        <v>0.28448275862068967</v>
      </c>
      <c r="N409" s="21">
        <f>B409+D409+F409+H409+J409+L409</f>
        <v>574</v>
      </c>
      <c r="O409" s="29">
        <f>N409/$D$10</f>
        <v>0.28444003964321107</v>
      </c>
    </row>
    <row r="410" spans="1:19" x14ac:dyDescent="0.2">
      <c r="A410" s="20" t="s">
        <v>34</v>
      </c>
      <c r="B410" s="28">
        <v>245</v>
      </c>
      <c r="C410" s="29">
        <f t="shared" si="106"/>
        <v>0.67867036011080328</v>
      </c>
      <c r="D410" s="28">
        <v>11</v>
      </c>
      <c r="E410" s="29">
        <f t="shared" si="107"/>
        <v>0.73333333333333328</v>
      </c>
      <c r="F410" s="28">
        <v>61</v>
      </c>
      <c r="G410" s="29">
        <f t="shared" si="108"/>
        <v>0.4621212121212121</v>
      </c>
      <c r="H410" s="28">
        <v>322</v>
      </c>
      <c r="I410" s="29">
        <f t="shared" si="109"/>
        <v>0.57499999999999996</v>
      </c>
      <c r="J410" s="28">
        <v>139</v>
      </c>
      <c r="K410" s="29">
        <f t="shared" si="110"/>
        <v>0.547244094488189</v>
      </c>
      <c r="L410" s="28">
        <v>444</v>
      </c>
      <c r="M410" s="29">
        <f t="shared" ref="M410:M419" si="111">L410/$D$9</f>
        <v>0.63793103448275867</v>
      </c>
      <c r="N410" s="21">
        <f t="shared" ref="N410:N419" si="112">B410+D410+F410+H410+J410+L410</f>
        <v>1222</v>
      </c>
      <c r="O410" s="29">
        <f t="shared" ref="O410:O412" si="113">N410/$D$10</f>
        <v>0.60555004955401392</v>
      </c>
    </row>
    <row r="411" spans="1:19" x14ac:dyDescent="0.2">
      <c r="A411" s="20" t="s">
        <v>35</v>
      </c>
      <c r="B411" s="28">
        <v>255</v>
      </c>
      <c r="C411" s="29">
        <f t="shared" si="106"/>
        <v>0.7063711911357341</v>
      </c>
      <c r="D411" s="28">
        <v>6</v>
      </c>
      <c r="E411" s="29">
        <f t="shared" si="107"/>
        <v>0.4</v>
      </c>
      <c r="F411" s="28">
        <v>68</v>
      </c>
      <c r="G411" s="29">
        <f t="shared" si="108"/>
        <v>0.51515151515151514</v>
      </c>
      <c r="H411" s="28">
        <v>406</v>
      </c>
      <c r="I411" s="29">
        <f t="shared" si="109"/>
        <v>0.72499999999999998</v>
      </c>
      <c r="J411" s="28">
        <v>148</v>
      </c>
      <c r="K411" s="29">
        <f t="shared" si="110"/>
        <v>0.58267716535433067</v>
      </c>
      <c r="L411" s="28">
        <v>468</v>
      </c>
      <c r="M411" s="29">
        <f t="shared" si="111"/>
        <v>0.67241379310344829</v>
      </c>
      <c r="N411" s="21">
        <f t="shared" si="112"/>
        <v>1351</v>
      </c>
      <c r="O411" s="29">
        <f t="shared" si="113"/>
        <v>0.66947472745292369</v>
      </c>
    </row>
    <row r="412" spans="1:19" ht="24" x14ac:dyDescent="0.2">
      <c r="A412" s="20" t="s">
        <v>36</v>
      </c>
      <c r="B412" s="28">
        <v>209</v>
      </c>
      <c r="C412" s="29">
        <f t="shared" si="106"/>
        <v>0.57894736842105265</v>
      </c>
      <c r="D412" s="28">
        <v>9</v>
      </c>
      <c r="E412" s="29">
        <f t="shared" si="107"/>
        <v>0.6</v>
      </c>
      <c r="F412" s="28">
        <v>64</v>
      </c>
      <c r="G412" s="29">
        <f t="shared" si="108"/>
        <v>0.48484848484848486</v>
      </c>
      <c r="H412" s="28">
        <v>343</v>
      </c>
      <c r="I412" s="29">
        <f t="shared" si="109"/>
        <v>0.61250000000000004</v>
      </c>
      <c r="J412" s="28">
        <v>134</v>
      </c>
      <c r="K412" s="29">
        <f t="shared" si="110"/>
        <v>0.52755905511811019</v>
      </c>
      <c r="L412" s="28">
        <v>400</v>
      </c>
      <c r="M412" s="29">
        <f t="shared" si="111"/>
        <v>0.57471264367816088</v>
      </c>
      <c r="N412" s="21">
        <f t="shared" si="112"/>
        <v>1159</v>
      </c>
      <c r="O412" s="29">
        <f t="shared" si="113"/>
        <v>0.57433102081268583</v>
      </c>
    </row>
    <row r="413" spans="1:19" x14ac:dyDescent="0.2">
      <c r="A413" s="20" t="s">
        <v>37</v>
      </c>
      <c r="B413" s="28">
        <v>183</v>
      </c>
      <c r="C413" s="29">
        <f t="shared" si="106"/>
        <v>0.50692520775623273</v>
      </c>
      <c r="D413" s="28">
        <v>8</v>
      </c>
      <c r="E413" s="29">
        <f t="shared" si="107"/>
        <v>0.53333333333333333</v>
      </c>
      <c r="F413" s="28">
        <v>25</v>
      </c>
      <c r="G413" s="29">
        <f t="shared" si="108"/>
        <v>0.18939393939393939</v>
      </c>
      <c r="H413" s="28">
        <v>292</v>
      </c>
      <c r="I413" s="29">
        <f t="shared" si="109"/>
        <v>0.52142857142857146</v>
      </c>
      <c r="J413" s="28">
        <v>59</v>
      </c>
      <c r="K413" s="29">
        <f t="shared" si="110"/>
        <v>0.23228346456692914</v>
      </c>
      <c r="L413" s="28">
        <v>284</v>
      </c>
      <c r="M413" s="29">
        <f t="shared" si="111"/>
        <v>0.40804597701149425</v>
      </c>
      <c r="N413" s="21">
        <f t="shared" si="112"/>
        <v>851</v>
      </c>
      <c r="O413" s="29">
        <f>N413/$D$10</f>
        <v>0.42170465807730428</v>
      </c>
    </row>
    <row r="414" spans="1:19" x14ac:dyDescent="0.2">
      <c r="A414" s="20" t="s">
        <v>38</v>
      </c>
      <c r="B414" s="28">
        <v>121</v>
      </c>
      <c r="C414" s="29">
        <f t="shared" si="106"/>
        <v>0.33518005540166207</v>
      </c>
      <c r="D414" s="28">
        <v>5</v>
      </c>
      <c r="E414" s="29">
        <f t="shared" si="107"/>
        <v>0.33333333333333331</v>
      </c>
      <c r="F414" s="28">
        <v>21</v>
      </c>
      <c r="G414" s="29">
        <f t="shared" si="108"/>
        <v>0.15909090909090909</v>
      </c>
      <c r="H414" s="28">
        <v>187</v>
      </c>
      <c r="I414" s="29">
        <f t="shared" si="109"/>
        <v>0.33392857142857141</v>
      </c>
      <c r="J414" s="28">
        <v>32</v>
      </c>
      <c r="K414" s="29">
        <f t="shared" si="110"/>
        <v>0.12598425196850394</v>
      </c>
      <c r="L414" s="28">
        <v>189</v>
      </c>
      <c r="M414" s="29">
        <f t="shared" si="111"/>
        <v>0.27155172413793105</v>
      </c>
      <c r="N414" s="21">
        <f t="shared" si="112"/>
        <v>555</v>
      </c>
      <c r="O414" s="29">
        <f t="shared" ref="O414:O415" si="114">N414/$D$10</f>
        <v>0.27502477700693756</v>
      </c>
    </row>
    <row r="415" spans="1:19" x14ac:dyDescent="0.2">
      <c r="A415" s="56" t="s">
        <v>39</v>
      </c>
      <c r="B415" s="28">
        <v>39</v>
      </c>
      <c r="C415" s="29">
        <f t="shared" si="106"/>
        <v>0.10803324099722991</v>
      </c>
      <c r="D415" s="28">
        <v>1</v>
      </c>
      <c r="E415" s="29">
        <f t="shared" si="107"/>
        <v>6.6666666666666666E-2</v>
      </c>
      <c r="F415" s="28">
        <v>8</v>
      </c>
      <c r="G415" s="29">
        <f t="shared" si="108"/>
        <v>6.0606060606060608E-2</v>
      </c>
      <c r="H415" s="28">
        <v>70</v>
      </c>
      <c r="I415" s="29">
        <f t="shared" si="109"/>
        <v>0.125</v>
      </c>
      <c r="J415" s="28">
        <v>22</v>
      </c>
      <c r="K415" s="29">
        <f t="shared" si="110"/>
        <v>8.6614173228346455E-2</v>
      </c>
      <c r="L415" s="28">
        <v>89</v>
      </c>
      <c r="M415" s="29">
        <f t="shared" si="111"/>
        <v>0.1278735632183908</v>
      </c>
      <c r="N415" s="21">
        <f t="shared" si="112"/>
        <v>229</v>
      </c>
      <c r="O415" s="29">
        <f t="shared" si="114"/>
        <v>0.11347869177403369</v>
      </c>
    </row>
    <row r="416" spans="1:19" ht="36" x14ac:dyDescent="0.2">
      <c r="A416" s="56" t="s">
        <v>41</v>
      </c>
      <c r="B416" s="28">
        <v>82</v>
      </c>
      <c r="C416" s="29">
        <f t="shared" si="106"/>
        <v>0.22714681440443213</v>
      </c>
      <c r="D416" s="28">
        <v>1</v>
      </c>
      <c r="E416" s="29">
        <f t="shared" si="107"/>
        <v>6.6666666666666666E-2</v>
      </c>
      <c r="F416" s="28">
        <v>22</v>
      </c>
      <c r="G416" s="29">
        <f t="shared" si="108"/>
        <v>0.16666666666666666</v>
      </c>
      <c r="H416" s="28">
        <v>112</v>
      </c>
      <c r="I416" s="29">
        <f t="shared" si="109"/>
        <v>0.2</v>
      </c>
      <c r="J416" s="28">
        <v>49</v>
      </c>
      <c r="K416" s="29">
        <f t="shared" si="110"/>
        <v>0.19291338582677164</v>
      </c>
      <c r="L416" s="28">
        <v>133</v>
      </c>
      <c r="M416" s="29">
        <f t="shared" si="111"/>
        <v>0.19109195402298851</v>
      </c>
      <c r="N416" s="21">
        <f t="shared" si="112"/>
        <v>399</v>
      </c>
      <c r="O416" s="29">
        <f>N416/$D$10</f>
        <v>0.19772051536174431</v>
      </c>
    </row>
    <row r="417" spans="1:15" ht="12.75" x14ac:dyDescent="0.2">
      <c r="A417" s="56" t="s">
        <v>40</v>
      </c>
      <c r="B417" s="28">
        <v>29</v>
      </c>
      <c r="C417" s="29">
        <f t="shared" si="106"/>
        <v>8.0332409972299165E-2</v>
      </c>
      <c r="D417" s="113"/>
      <c r="E417" s="29">
        <f t="shared" si="107"/>
        <v>0</v>
      </c>
      <c r="F417" s="28">
        <v>7</v>
      </c>
      <c r="G417" s="29">
        <f t="shared" si="108"/>
        <v>5.3030303030303032E-2</v>
      </c>
      <c r="H417" s="28">
        <v>66</v>
      </c>
      <c r="I417" s="29">
        <f t="shared" si="109"/>
        <v>0.11785714285714285</v>
      </c>
      <c r="J417" s="28">
        <v>19</v>
      </c>
      <c r="K417" s="29">
        <f t="shared" si="110"/>
        <v>7.4803149606299218E-2</v>
      </c>
      <c r="L417" s="28">
        <v>76</v>
      </c>
      <c r="M417" s="29">
        <f t="shared" si="111"/>
        <v>0.10919540229885058</v>
      </c>
      <c r="N417" s="21">
        <f t="shared" si="112"/>
        <v>197</v>
      </c>
      <c r="O417" s="29">
        <f t="shared" ref="O417:O419" si="115">N417/$D$10</f>
        <v>9.7621407333994048E-2</v>
      </c>
    </row>
    <row r="418" spans="1:15" ht="24" x14ac:dyDescent="0.2">
      <c r="A418" s="56" t="s">
        <v>42</v>
      </c>
      <c r="B418" s="28">
        <v>103</v>
      </c>
      <c r="C418" s="29">
        <f t="shared" si="106"/>
        <v>0.2853185595567867</v>
      </c>
      <c r="D418" s="28">
        <v>6</v>
      </c>
      <c r="E418" s="29">
        <f t="shared" si="107"/>
        <v>0.4</v>
      </c>
      <c r="F418" s="28">
        <v>55</v>
      </c>
      <c r="G418" s="29">
        <f t="shared" si="108"/>
        <v>0.41666666666666669</v>
      </c>
      <c r="H418" s="28">
        <v>164</v>
      </c>
      <c r="I418" s="29">
        <f t="shared" si="109"/>
        <v>0.29285714285714287</v>
      </c>
      <c r="J418" s="28">
        <v>102</v>
      </c>
      <c r="K418" s="29">
        <f t="shared" si="110"/>
        <v>0.40157480314960631</v>
      </c>
      <c r="L418" s="28">
        <v>230</v>
      </c>
      <c r="M418" s="29">
        <f t="shared" si="111"/>
        <v>0.33045977011494254</v>
      </c>
      <c r="N418" s="21">
        <f t="shared" si="112"/>
        <v>660</v>
      </c>
      <c r="O418" s="29">
        <f t="shared" si="115"/>
        <v>0.32705649157581762</v>
      </c>
    </row>
    <row r="419" spans="1:15" ht="24" x14ac:dyDescent="0.2">
      <c r="A419" s="56" t="s">
        <v>43</v>
      </c>
      <c r="B419" s="28">
        <v>95</v>
      </c>
      <c r="C419" s="29">
        <f t="shared" si="106"/>
        <v>0.26315789473684209</v>
      </c>
      <c r="D419" s="28">
        <v>3</v>
      </c>
      <c r="E419" s="29">
        <f t="shared" si="107"/>
        <v>0.2</v>
      </c>
      <c r="F419" s="28">
        <v>30</v>
      </c>
      <c r="G419" s="29">
        <f t="shared" si="108"/>
        <v>0.22727272727272727</v>
      </c>
      <c r="H419" s="28">
        <v>167</v>
      </c>
      <c r="I419" s="29">
        <f t="shared" si="109"/>
        <v>0.29821428571428571</v>
      </c>
      <c r="J419" s="28">
        <v>66</v>
      </c>
      <c r="K419" s="29">
        <f t="shared" si="110"/>
        <v>0.25984251968503935</v>
      </c>
      <c r="L419" s="28">
        <v>187</v>
      </c>
      <c r="M419" s="29">
        <f t="shared" si="111"/>
        <v>0.26867816091954022</v>
      </c>
      <c r="N419" s="21">
        <f t="shared" si="112"/>
        <v>548</v>
      </c>
      <c r="O419" s="29">
        <f t="shared" si="115"/>
        <v>0.27155599603567887</v>
      </c>
    </row>
    <row r="420" spans="1:15" x14ac:dyDescent="0.2">
      <c r="B420" s="3"/>
      <c r="C420" s="3"/>
      <c r="D420" s="3"/>
    </row>
    <row r="421" spans="1:15" ht="12" customHeight="1" x14ac:dyDescent="0.2">
      <c r="A421" s="121" t="s">
        <v>179</v>
      </c>
      <c r="B421" s="122" t="s">
        <v>100</v>
      </c>
      <c r="C421" s="122"/>
      <c r="D421" s="122" t="s">
        <v>80</v>
      </c>
      <c r="E421" s="122"/>
      <c r="F421" s="123" t="s">
        <v>136</v>
      </c>
      <c r="G421" s="123"/>
      <c r="H421" s="122" t="s">
        <v>82</v>
      </c>
      <c r="I421" s="122"/>
      <c r="J421" s="122" t="s">
        <v>81</v>
      </c>
      <c r="K421" s="122"/>
      <c r="L421" s="122" t="s">
        <v>98</v>
      </c>
      <c r="M421" s="122"/>
      <c r="N421" s="116" t="s">
        <v>1</v>
      </c>
      <c r="O421" s="116"/>
    </row>
    <row r="422" spans="1:15" x14ac:dyDescent="0.2">
      <c r="A422" s="20" t="s">
        <v>180</v>
      </c>
      <c r="B422" s="28">
        <v>241</v>
      </c>
      <c r="C422" s="29">
        <f>B422/$D$4</f>
        <v>0.66759002770083098</v>
      </c>
      <c r="D422" s="28">
        <v>11</v>
      </c>
      <c r="E422" s="29">
        <f>D422/$D$5</f>
        <v>0.73333333333333328</v>
      </c>
      <c r="F422" s="28">
        <v>97</v>
      </c>
      <c r="G422" s="29">
        <f>F422/$D$6</f>
        <v>0.73484848484848486</v>
      </c>
      <c r="H422" s="28">
        <v>383</v>
      </c>
      <c r="I422" s="29">
        <f>H422/$D$7</f>
        <v>0.68392857142857144</v>
      </c>
      <c r="J422" s="28">
        <v>206</v>
      </c>
      <c r="K422" s="29">
        <f>J422/$D$8</f>
        <v>0.8110236220472441</v>
      </c>
      <c r="L422" s="28">
        <v>504</v>
      </c>
      <c r="M422" s="29">
        <f>L422/$D$9</f>
        <v>0.72413793103448276</v>
      </c>
      <c r="N422" s="21">
        <f>B422+D422+F422+H422+J422+L422</f>
        <v>1442</v>
      </c>
      <c r="O422" s="29">
        <f>N422/$D$10</f>
        <v>0.71456888007928643</v>
      </c>
    </row>
    <row r="423" spans="1:15" x14ac:dyDescent="0.2">
      <c r="A423" s="20" t="s">
        <v>181</v>
      </c>
      <c r="B423" s="28">
        <v>84</v>
      </c>
      <c r="C423" s="29">
        <f>B423/$D$4</f>
        <v>0.23268698060941828</v>
      </c>
      <c r="D423" s="28">
        <v>2</v>
      </c>
      <c r="E423" s="29">
        <f t="shared" ref="E423:E424" si="116">D423/$D$5</f>
        <v>0.13333333333333333</v>
      </c>
      <c r="F423" s="28">
        <v>20</v>
      </c>
      <c r="G423" s="29">
        <f t="shared" ref="G423:G424" si="117">F423/$D$6</f>
        <v>0.15151515151515152</v>
      </c>
      <c r="H423" s="28">
        <v>127</v>
      </c>
      <c r="I423" s="29">
        <f t="shared" ref="I423:I424" si="118">H423/$D$7</f>
        <v>0.22678571428571428</v>
      </c>
      <c r="J423" s="28">
        <v>30</v>
      </c>
      <c r="K423" s="29">
        <f t="shared" ref="K423:K424" si="119">J423/$D$8</f>
        <v>0.11811023622047244</v>
      </c>
      <c r="L423" s="28">
        <v>122</v>
      </c>
      <c r="M423" s="29">
        <f t="shared" ref="M423:M424" si="120">L423/$D$9</f>
        <v>0.17528735632183909</v>
      </c>
      <c r="N423" s="21">
        <f t="shared" ref="N423:N424" si="121">B423+D423+F423+H423+J423+L423</f>
        <v>385</v>
      </c>
      <c r="O423" s="29">
        <f t="shared" ref="O423:O424" si="122">N423/$D$10</f>
        <v>0.19078295341922696</v>
      </c>
    </row>
    <row r="424" spans="1:15" ht="24" x14ac:dyDescent="0.2">
      <c r="A424" s="20" t="s">
        <v>182</v>
      </c>
      <c r="B424" s="28">
        <v>6</v>
      </c>
      <c r="C424" s="29">
        <f t="shared" ref="C424" si="123">B424/$D$4</f>
        <v>1.662049861495845E-2</v>
      </c>
      <c r="D424" s="28"/>
      <c r="E424" s="29">
        <f t="shared" si="116"/>
        <v>0</v>
      </c>
      <c r="F424" s="28">
        <v>1</v>
      </c>
      <c r="G424" s="29">
        <f t="shared" si="117"/>
        <v>7.575757575757576E-3</v>
      </c>
      <c r="H424" s="28">
        <v>9</v>
      </c>
      <c r="I424" s="29">
        <f t="shared" si="118"/>
        <v>1.607142857142857E-2</v>
      </c>
      <c r="J424" s="28">
        <v>4</v>
      </c>
      <c r="K424" s="29">
        <f t="shared" si="119"/>
        <v>1.5748031496062992E-2</v>
      </c>
      <c r="L424" s="28">
        <v>15</v>
      </c>
      <c r="M424" s="29">
        <f t="shared" si="120"/>
        <v>2.1551724137931036E-2</v>
      </c>
      <c r="N424" s="21">
        <f t="shared" si="121"/>
        <v>35</v>
      </c>
      <c r="O424" s="29">
        <f t="shared" si="122"/>
        <v>1.7343904856293359E-2</v>
      </c>
    </row>
    <row r="426" spans="1:15" ht="36" x14ac:dyDescent="0.2">
      <c r="A426" s="121" t="s">
        <v>183</v>
      </c>
      <c r="B426" s="122" t="s">
        <v>100</v>
      </c>
      <c r="C426" s="122"/>
      <c r="D426" s="122" t="s">
        <v>80</v>
      </c>
      <c r="E426" s="122"/>
      <c r="F426" s="123" t="s">
        <v>136</v>
      </c>
      <c r="G426" s="123"/>
      <c r="H426" s="122" t="s">
        <v>82</v>
      </c>
      <c r="I426" s="122"/>
      <c r="J426" s="122" t="s">
        <v>81</v>
      </c>
      <c r="K426" s="122"/>
      <c r="L426" s="122" t="s">
        <v>98</v>
      </c>
      <c r="M426" s="122"/>
      <c r="N426" s="116" t="s">
        <v>1</v>
      </c>
      <c r="O426" s="116"/>
    </row>
    <row r="427" spans="1:15" x14ac:dyDescent="0.2">
      <c r="A427" s="20" t="s">
        <v>180</v>
      </c>
      <c r="B427" s="28">
        <v>153</v>
      </c>
      <c r="C427" s="29">
        <f>B427/$D$4</f>
        <v>0.42382271468144045</v>
      </c>
      <c r="D427" s="28">
        <v>5</v>
      </c>
      <c r="E427" s="29">
        <f>D427/$D$5</f>
        <v>0.33333333333333331</v>
      </c>
      <c r="F427" s="28">
        <v>60</v>
      </c>
      <c r="G427" s="29">
        <f>F427/$D$6</f>
        <v>0.45454545454545453</v>
      </c>
      <c r="H427" s="28">
        <v>225</v>
      </c>
      <c r="I427" s="29">
        <f>H427/$D$7</f>
        <v>0.4017857142857143</v>
      </c>
      <c r="J427" s="28">
        <v>107</v>
      </c>
      <c r="K427" s="29">
        <f>J427/$D$8</f>
        <v>0.42125984251968501</v>
      </c>
      <c r="L427" s="28">
        <v>284</v>
      </c>
      <c r="M427" s="29">
        <f>L427/$D$9</f>
        <v>0.40804597701149425</v>
      </c>
      <c r="N427" s="21">
        <f>B427+D427+F427+H427+J427+L427</f>
        <v>834</v>
      </c>
      <c r="O427" s="29">
        <f>N427/$D$10</f>
        <v>0.41328047571853321</v>
      </c>
    </row>
    <row r="428" spans="1:15" x14ac:dyDescent="0.2">
      <c r="A428" s="20" t="s">
        <v>181</v>
      </c>
      <c r="B428" s="28">
        <v>178</v>
      </c>
      <c r="C428" s="29">
        <f>B428/$D$4</f>
        <v>0.49307479224376732</v>
      </c>
      <c r="D428" s="28">
        <v>8</v>
      </c>
      <c r="E428" s="29">
        <f t="shared" ref="E428" si="124">D428/$D$5</f>
        <v>0.53333333333333333</v>
      </c>
      <c r="F428" s="28">
        <v>57</v>
      </c>
      <c r="G428" s="29">
        <f t="shared" ref="G428" si="125">F428/$D$6</f>
        <v>0.43181818181818182</v>
      </c>
      <c r="H428" s="28">
        <v>294</v>
      </c>
      <c r="I428" s="29">
        <f t="shared" ref="I428" si="126">H428/$D$7</f>
        <v>0.52500000000000002</v>
      </c>
      <c r="J428" s="28">
        <v>132</v>
      </c>
      <c r="K428" s="29">
        <f t="shared" ref="K428" si="127">J428/$D$8</f>
        <v>0.51968503937007871</v>
      </c>
      <c r="L428" s="28">
        <v>350</v>
      </c>
      <c r="M428" s="29">
        <f t="shared" ref="M428" si="128">L428/$D$9</f>
        <v>0.50287356321839083</v>
      </c>
      <c r="N428" s="21">
        <f t="shared" ref="N428" si="129">B428+D428+F428+H428+J428+L428</f>
        <v>1019</v>
      </c>
      <c r="O428" s="29">
        <f t="shared" ref="O428" si="130">N428/$D$10</f>
        <v>0.50495540138751238</v>
      </c>
    </row>
    <row r="431" spans="1:15" x14ac:dyDescent="0.2">
      <c r="A431" s="84" t="s">
        <v>138</v>
      </c>
    </row>
    <row r="432" spans="1:15" ht="12" customHeight="1" x14ac:dyDescent="0.2">
      <c r="A432" s="121" t="s">
        <v>139</v>
      </c>
      <c r="B432" s="122" t="s">
        <v>100</v>
      </c>
      <c r="C432" s="122"/>
      <c r="D432" s="122" t="s">
        <v>80</v>
      </c>
      <c r="E432" s="122"/>
      <c r="F432" s="123" t="s">
        <v>136</v>
      </c>
      <c r="G432" s="123"/>
      <c r="H432" s="122" t="s">
        <v>82</v>
      </c>
      <c r="I432" s="122"/>
      <c r="J432" s="122" t="s">
        <v>81</v>
      </c>
      <c r="K432" s="122"/>
      <c r="L432" s="122" t="s">
        <v>98</v>
      </c>
      <c r="M432" s="122"/>
      <c r="N432" s="116" t="s">
        <v>1</v>
      </c>
      <c r="O432" s="116"/>
    </row>
    <row r="433" spans="1:15" x14ac:dyDescent="0.2">
      <c r="A433" s="20" t="s">
        <v>144</v>
      </c>
      <c r="B433" s="28">
        <v>5</v>
      </c>
      <c r="C433" s="29">
        <f>B433/B438</f>
        <v>1.5015015015015015E-2</v>
      </c>
      <c r="D433" s="28">
        <v>2</v>
      </c>
      <c r="E433" s="29">
        <f>D433/D438</f>
        <v>0.15384615384615385</v>
      </c>
      <c r="F433" s="28">
        <v>5</v>
      </c>
      <c r="G433" s="29">
        <f>F433/F438</f>
        <v>4.2016806722689079E-2</v>
      </c>
      <c r="H433" s="28">
        <v>7</v>
      </c>
      <c r="I433" s="29">
        <f>H433/H438</f>
        <v>1.3409961685823755E-2</v>
      </c>
      <c r="J433" s="28">
        <v>1</v>
      </c>
      <c r="K433" s="29">
        <f>J433/J438</f>
        <v>4.1666666666666666E-3</v>
      </c>
      <c r="L433" s="28">
        <v>6</v>
      </c>
      <c r="M433" s="29">
        <f>L433/L438</f>
        <v>9.3603744149765994E-3</v>
      </c>
      <c r="N433" s="21">
        <f>B433+D433+F433+H433+J433+L433</f>
        <v>26</v>
      </c>
      <c r="O433" s="29">
        <f>N433/N438</f>
        <v>1.3918629550321198E-2</v>
      </c>
    </row>
    <row r="434" spans="1:15" x14ac:dyDescent="0.2">
      <c r="A434" s="20" t="s">
        <v>143</v>
      </c>
      <c r="B434" s="28">
        <v>13</v>
      </c>
      <c r="C434" s="29">
        <f>B434/B438</f>
        <v>3.903903903903904E-2</v>
      </c>
      <c r="D434" s="28"/>
      <c r="E434" s="29">
        <f>D434/D438</f>
        <v>0</v>
      </c>
      <c r="F434" s="28">
        <v>3</v>
      </c>
      <c r="G434" s="29">
        <f>F434/F438</f>
        <v>2.5210084033613446E-2</v>
      </c>
      <c r="H434" s="28">
        <v>11</v>
      </c>
      <c r="I434" s="29">
        <f>H434/H438</f>
        <v>2.1072796934865901E-2</v>
      </c>
      <c r="J434" s="28">
        <v>2</v>
      </c>
      <c r="K434" s="29">
        <f>J434/J438</f>
        <v>8.3333333333333332E-3</v>
      </c>
      <c r="L434" s="28">
        <v>17</v>
      </c>
      <c r="M434" s="29">
        <f>L434/L438</f>
        <v>2.6521060842433698E-2</v>
      </c>
      <c r="N434" s="21">
        <f t="shared" ref="N434:N437" si="131">B434+D434+F434+H434+J434+L434</f>
        <v>46</v>
      </c>
      <c r="O434" s="29">
        <f>N434/N438</f>
        <v>2.4625267665952889E-2</v>
      </c>
    </row>
    <row r="435" spans="1:15" x14ac:dyDescent="0.2">
      <c r="A435" s="20" t="s">
        <v>142</v>
      </c>
      <c r="B435" s="28">
        <v>25</v>
      </c>
      <c r="C435" s="29">
        <f>B435/B438</f>
        <v>7.5075075075075076E-2</v>
      </c>
      <c r="D435" s="28">
        <v>1</v>
      </c>
      <c r="E435" s="29">
        <f>D435/D438</f>
        <v>7.6923076923076927E-2</v>
      </c>
      <c r="F435" s="28">
        <v>1</v>
      </c>
      <c r="G435" s="29">
        <f>F435/F438</f>
        <v>8.4033613445378148E-3</v>
      </c>
      <c r="H435" s="28">
        <v>37</v>
      </c>
      <c r="I435" s="29">
        <f>H435/H438</f>
        <v>7.0881226053639848E-2</v>
      </c>
      <c r="J435" s="28">
        <v>1</v>
      </c>
      <c r="K435" s="29">
        <f>J435/J438</f>
        <v>4.1666666666666666E-3</v>
      </c>
      <c r="L435" s="28">
        <v>37</v>
      </c>
      <c r="M435" s="29">
        <f>L435/L438</f>
        <v>5.7722308892355696E-2</v>
      </c>
      <c r="N435" s="21">
        <f t="shared" si="131"/>
        <v>102</v>
      </c>
      <c r="O435" s="29">
        <f>N435/N438</f>
        <v>5.460385438972163E-2</v>
      </c>
    </row>
    <row r="436" spans="1:15" x14ac:dyDescent="0.2">
      <c r="A436" s="20" t="s">
        <v>141</v>
      </c>
      <c r="B436" s="28">
        <v>92</v>
      </c>
      <c r="C436" s="29">
        <f>B436/B438</f>
        <v>0.27627627627627627</v>
      </c>
      <c r="D436" s="28">
        <v>3</v>
      </c>
      <c r="E436" s="29">
        <f>D436/D438</f>
        <v>0.23076923076923078</v>
      </c>
      <c r="F436" s="28">
        <v>22</v>
      </c>
      <c r="G436" s="29">
        <f>F436/F438</f>
        <v>0.18487394957983194</v>
      </c>
      <c r="H436" s="28">
        <v>118</v>
      </c>
      <c r="I436" s="29">
        <f>H436/H438</f>
        <v>0.22605363984674329</v>
      </c>
      <c r="J436" s="28">
        <v>30</v>
      </c>
      <c r="K436" s="29">
        <f>J436/J438</f>
        <v>0.125</v>
      </c>
      <c r="L436" s="28">
        <v>185</v>
      </c>
      <c r="M436" s="29">
        <f>L436/L438</f>
        <v>0.28861154446177845</v>
      </c>
      <c r="N436" s="21">
        <f t="shared" si="131"/>
        <v>450</v>
      </c>
      <c r="O436" s="29">
        <f>N436/N438</f>
        <v>0.24089935760171305</v>
      </c>
    </row>
    <row r="437" spans="1:15" x14ac:dyDescent="0.2">
      <c r="A437" s="20" t="s">
        <v>140</v>
      </c>
      <c r="B437" s="28">
        <v>198</v>
      </c>
      <c r="C437" s="29">
        <f>B437/B438</f>
        <v>0.59459459459459463</v>
      </c>
      <c r="D437" s="28">
        <v>7</v>
      </c>
      <c r="E437" s="29">
        <f>D437/D438</f>
        <v>0.53846153846153844</v>
      </c>
      <c r="F437" s="28">
        <v>88</v>
      </c>
      <c r="G437" s="29">
        <f>F437/F438</f>
        <v>0.73949579831932777</v>
      </c>
      <c r="H437" s="28">
        <v>349</v>
      </c>
      <c r="I437" s="29">
        <f>H437/H438</f>
        <v>0.66858237547892718</v>
      </c>
      <c r="J437" s="28">
        <v>206</v>
      </c>
      <c r="K437" s="29">
        <f>J437/J438</f>
        <v>0.85833333333333328</v>
      </c>
      <c r="L437" s="28">
        <v>396</v>
      </c>
      <c r="M437" s="29">
        <f>L437/L438</f>
        <v>0.61778471138845559</v>
      </c>
      <c r="N437" s="21">
        <f t="shared" si="131"/>
        <v>1244</v>
      </c>
      <c r="O437" s="29">
        <f>N437/N438</f>
        <v>0.66595289079229125</v>
      </c>
    </row>
    <row r="438" spans="1:15" x14ac:dyDescent="0.2">
      <c r="A438" s="73" t="s">
        <v>1</v>
      </c>
      <c r="B438" s="22">
        <f>SUM(B433:B437)</f>
        <v>333</v>
      </c>
      <c r="C438" s="29">
        <f>SUM(C433:C437)</f>
        <v>1</v>
      </c>
      <c r="D438" s="22">
        <f>SUM(D433:D437)</f>
        <v>13</v>
      </c>
      <c r="E438" s="29">
        <f>SUM(E433:E437)</f>
        <v>1</v>
      </c>
      <c r="F438" s="22">
        <f>SUM(F433:F437)</f>
        <v>119</v>
      </c>
      <c r="G438" s="29">
        <f>SUM(G433:G437)</f>
        <v>1</v>
      </c>
      <c r="H438" s="22">
        <f>SUM(H433:H437)</f>
        <v>522</v>
      </c>
      <c r="I438" s="29">
        <f>SUM(I433:I437)</f>
        <v>1</v>
      </c>
      <c r="J438" s="22">
        <f>SUM(J433:J437)</f>
        <v>240</v>
      </c>
      <c r="K438" s="29">
        <f>SUM(K433:K437)</f>
        <v>1</v>
      </c>
      <c r="L438" s="22">
        <f>SUM(L433:L437)</f>
        <v>641</v>
      </c>
      <c r="M438" s="29">
        <f>SUM(M433:M437)</f>
        <v>1</v>
      </c>
      <c r="N438" s="22">
        <f>SUM(N433:N437)</f>
        <v>1868</v>
      </c>
      <c r="O438" s="29">
        <f>SUM(O433:O437)</f>
        <v>1</v>
      </c>
    </row>
    <row r="439" spans="1:15" x14ac:dyDescent="0.2">
      <c r="A439" s="73" t="s">
        <v>145</v>
      </c>
      <c r="B439" s="28"/>
      <c r="C439" s="54">
        <f>SUM(C435:C437)</f>
        <v>0.94594594594594594</v>
      </c>
      <c r="D439" s="28"/>
      <c r="E439" s="54">
        <f>SUM(E435:E437)</f>
        <v>0.84615384615384615</v>
      </c>
      <c r="F439" s="28"/>
      <c r="G439" s="54">
        <f>SUM(G435:G437)</f>
        <v>0.9327731092436975</v>
      </c>
      <c r="H439" s="28"/>
      <c r="I439" s="54">
        <f>SUM(I435:I437)</f>
        <v>0.96551724137931028</v>
      </c>
      <c r="J439" s="28"/>
      <c r="K439" s="54">
        <f>SUM(K435:K437)</f>
        <v>0.98749999999999993</v>
      </c>
      <c r="L439" s="28"/>
      <c r="M439" s="54">
        <f>SUM(M435:M437)</f>
        <v>0.96411856474258972</v>
      </c>
      <c r="N439" s="22"/>
      <c r="O439" s="54">
        <f>SUM(O435:O437)</f>
        <v>0.96145610278372595</v>
      </c>
    </row>
    <row r="441" spans="1:15" ht="12" customHeight="1" x14ac:dyDescent="0.2">
      <c r="A441" s="121" t="s">
        <v>146</v>
      </c>
      <c r="B441" s="122" t="s">
        <v>100</v>
      </c>
      <c r="C441" s="122"/>
      <c r="D441" s="122" t="s">
        <v>80</v>
      </c>
      <c r="E441" s="122"/>
      <c r="F441" s="123" t="s">
        <v>136</v>
      </c>
      <c r="G441" s="123"/>
      <c r="H441" s="122" t="s">
        <v>82</v>
      </c>
      <c r="I441" s="122"/>
      <c r="J441" s="122" t="s">
        <v>81</v>
      </c>
      <c r="K441" s="122"/>
      <c r="L441" s="122" t="s">
        <v>98</v>
      </c>
      <c r="M441" s="122"/>
      <c r="N441" s="116" t="s">
        <v>1</v>
      </c>
      <c r="O441" s="116"/>
    </row>
    <row r="442" spans="1:15" x14ac:dyDescent="0.2">
      <c r="A442" s="20" t="s">
        <v>144</v>
      </c>
      <c r="B442" s="28">
        <v>2</v>
      </c>
      <c r="C442" s="29">
        <f>B442/B447</f>
        <v>6.0790273556231003E-3</v>
      </c>
      <c r="D442" s="28"/>
      <c r="E442" s="29">
        <f>D442/D447</f>
        <v>0</v>
      </c>
      <c r="F442" s="28"/>
      <c r="G442" s="29">
        <f>F442/F447</f>
        <v>0</v>
      </c>
      <c r="H442" s="28">
        <v>5</v>
      </c>
      <c r="I442" s="29">
        <f>H442/H447</f>
        <v>9.6339113680154135E-3</v>
      </c>
      <c r="J442" s="28">
        <v>1</v>
      </c>
      <c r="K442" s="29">
        <f>J442/J447</f>
        <v>4.1666666666666666E-3</v>
      </c>
      <c r="L442" s="28">
        <v>2</v>
      </c>
      <c r="M442" s="29">
        <f>L442/L447</f>
        <v>3.1298904538341159E-3</v>
      </c>
      <c r="N442" s="21">
        <f>B442+D442+F442+H442+J442+L442</f>
        <v>10</v>
      </c>
      <c r="O442" s="29">
        <f>N442/N447</f>
        <v>5.3850296176628969E-3</v>
      </c>
    </row>
    <row r="443" spans="1:15" x14ac:dyDescent="0.2">
      <c r="A443" s="20" t="s">
        <v>143</v>
      </c>
      <c r="B443" s="28">
        <v>43</v>
      </c>
      <c r="C443" s="29">
        <f>B443/B447</f>
        <v>0.13069908814589665</v>
      </c>
      <c r="D443" s="28">
        <v>1</v>
      </c>
      <c r="E443" s="29">
        <f>D443/D447</f>
        <v>7.6923076923076927E-2</v>
      </c>
      <c r="F443" s="28">
        <v>5</v>
      </c>
      <c r="G443" s="29">
        <f>F443/F447</f>
        <v>4.2735042735042736E-2</v>
      </c>
      <c r="H443" s="28">
        <v>70</v>
      </c>
      <c r="I443" s="29">
        <f>H443/H447</f>
        <v>0.13487475915221581</v>
      </c>
      <c r="J443" s="28">
        <v>27</v>
      </c>
      <c r="K443" s="29">
        <f>J443/J447</f>
        <v>0.1125</v>
      </c>
      <c r="L443" s="28">
        <v>73</v>
      </c>
      <c r="M443" s="29">
        <f>L443/L447</f>
        <v>0.11424100156494522</v>
      </c>
      <c r="N443" s="21">
        <f t="shared" ref="N443:N446" si="132">B443+D443+F443+H443+J443+L443</f>
        <v>219</v>
      </c>
      <c r="O443" s="29">
        <f>N443/N447</f>
        <v>0.11793214862681745</v>
      </c>
    </row>
    <row r="444" spans="1:15" x14ac:dyDescent="0.2">
      <c r="A444" s="20" t="s">
        <v>142</v>
      </c>
      <c r="B444" s="28">
        <v>70</v>
      </c>
      <c r="C444" s="29">
        <f>B444/B447</f>
        <v>0.21276595744680851</v>
      </c>
      <c r="D444" s="28">
        <v>6</v>
      </c>
      <c r="E444" s="29">
        <f>D444/D447</f>
        <v>0.46153846153846156</v>
      </c>
      <c r="F444" s="28">
        <v>11</v>
      </c>
      <c r="G444" s="29">
        <f>F444/F447</f>
        <v>9.4017094017094016E-2</v>
      </c>
      <c r="H444" s="28">
        <v>114</v>
      </c>
      <c r="I444" s="29">
        <f>H444/H447</f>
        <v>0.21965317919075145</v>
      </c>
      <c r="J444" s="28">
        <v>42</v>
      </c>
      <c r="K444" s="29">
        <f>J444/J447</f>
        <v>0.17499999999999999</v>
      </c>
      <c r="L444" s="28">
        <v>152</v>
      </c>
      <c r="M444" s="29">
        <f>L444/L447</f>
        <v>0.23787167449139279</v>
      </c>
      <c r="N444" s="21">
        <f t="shared" si="132"/>
        <v>395</v>
      </c>
      <c r="O444" s="29">
        <f>N444/N447</f>
        <v>0.21270866989768444</v>
      </c>
    </row>
    <row r="445" spans="1:15" x14ac:dyDescent="0.2">
      <c r="A445" s="20" t="s">
        <v>141</v>
      </c>
      <c r="B445" s="28">
        <v>101</v>
      </c>
      <c r="C445" s="29">
        <f>B445/B447</f>
        <v>0.30699088145896658</v>
      </c>
      <c r="D445" s="28">
        <v>2</v>
      </c>
      <c r="E445" s="29">
        <f>D445/D447</f>
        <v>0.15384615384615385</v>
      </c>
      <c r="F445" s="28">
        <v>31</v>
      </c>
      <c r="G445" s="29">
        <f>F445/F447</f>
        <v>0.26495726495726496</v>
      </c>
      <c r="H445" s="28">
        <v>133</v>
      </c>
      <c r="I445" s="29">
        <f>H445/H447</f>
        <v>0.25626204238921002</v>
      </c>
      <c r="J445" s="28">
        <v>58</v>
      </c>
      <c r="K445" s="29">
        <f>J445/J447</f>
        <v>0.24166666666666667</v>
      </c>
      <c r="L445" s="28">
        <v>178</v>
      </c>
      <c r="M445" s="29">
        <f>L445/L447</f>
        <v>0.27856025039123633</v>
      </c>
      <c r="N445" s="21">
        <f t="shared" si="132"/>
        <v>503</v>
      </c>
      <c r="O445" s="29">
        <f>N445/N447</f>
        <v>0.2708669897684437</v>
      </c>
    </row>
    <row r="446" spans="1:15" x14ac:dyDescent="0.2">
      <c r="A446" s="20" t="s">
        <v>140</v>
      </c>
      <c r="B446" s="28">
        <v>113</v>
      </c>
      <c r="C446" s="29">
        <f>B446/B447</f>
        <v>0.34346504559270519</v>
      </c>
      <c r="D446" s="28">
        <v>4</v>
      </c>
      <c r="E446" s="29">
        <f>D446/D447</f>
        <v>0.30769230769230771</v>
      </c>
      <c r="F446" s="28">
        <v>70</v>
      </c>
      <c r="G446" s="29">
        <f>F446/F447</f>
        <v>0.59829059829059827</v>
      </c>
      <c r="H446" s="28">
        <v>197</v>
      </c>
      <c r="I446" s="29">
        <f>H446/H447</f>
        <v>0.37957610789980734</v>
      </c>
      <c r="J446" s="28">
        <v>112</v>
      </c>
      <c r="K446" s="29">
        <f>J446/J447</f>
        <v>0.46666666666666667</v>
      </c>
      <c r="L446" s="28">
        <v>234</v>
      </c>
      <c r="M446" s="29">
        <f>L446/L447</f>
        <v>0.36619718309859156</v>
      </c>
      <c r="N446" s="21">
        <f t="shared" si="132"/>
        <v>730</v>
      </c>
      <c r="O446" s="29">
        <f>N446/N447</f>
        <v>0.3931071620893915</v>
      </c>
    </row>
    <row r="447" spans="1:15" x14ac:dyDescent="0.2">
      <c r="A447" s="73" t="s">
        <v>1</v>
      </c>
      <c r="B447" s="22">
        <f>SUM(B442:B446)</f>
        <v>329</v>
      </c>
      <c r="C447" s="29">
        <f>SUM(C442:C446)</f>
        <v>1</v>
      </c>
      <c r="D447" s="22">
        <f>SUM(D442:D446)</f>
        <v>13</v>
      </c>
      <c r="E447" s="29">
        <f>SUM(E442:E446)</f>
        <v>1</v>
      </c>
      <c r="F447" s="22">
        <f>SUM(F442:F446)</f>
        <v>117</v>
      </c>
      <c r="G447" s="29">
        <f>SUM(G442:G446)</f>
        <v>1</v>
      </c>
      <c r="H447" s="22">
        <f>SUM(H442:H446)</f>
        <v>519</v>
      </c>
      <c r="I447" s="29">
        <f>SUM(I442:I446)</f>
        <v>1</v>
      </c>
      <c r="J447" s="22">
        <f>SUM(J442:J446)</f>
        <v>240</v>
      </c>
      <c r="K447" s="29">
        <f>SUM(K442:K446)</f>
        <v>1</v>
      </c>
      <c r="L447" s="22">
        <f>SUM(L442:L446)</f>
        <v>639</v>
      </c>
      <c r="M447" s="29">
        <f>SUM(M442:M446)</f>
        <v>1</v>
      </c>
      <c r="N447" s="22">
        <f>SUM(N442:N446)</f>
        <v>1857</v>
      </c>
      <c r="O447" s="29">
        <f>SUM(O442:O446)</f>
        <v>1</v>
      </c>
    </row>
    <row r="448" spans="1:15" x14ac:dyDescent="0.2">
      <c r="A448" s="73" t="s">
        <v>145</v>
      </c>
      <c r="B448" s="28"/>
      <c r="C448" s="54">
        <f>SUM(C444:C446)</f>
        <v>0.86322188449848025</v>
      </c>
      <c r="D448" s="28"/>
      <c r="E448" s="54">
        <f>SUM(E444:E446)</f>
        <v>0.92307692307692313</v>
      </c>
      <c r="F448" s="28"/>
      <c r="G448" s="54">
        <f>SUM(G444:G446)</f>
        <v>0.95726495726495719</v>
      </c>
      <c r="H448" s="28"/>
      <c r="I448" s="54">
        <f>SUM(I444:I446)</f>
        <v>0.8554913294797688</v>
      </c>
      <c r="J448" s="28"/>
      <c r="K448" s="54">
        <f>SUM(K444:K446)</f>
        <v>0.8833333333333333</v>
      </c>
      <c r="L448" s="28"/>
      <c r="M448" s="54">
        <f>SUM(M444:M446)</f>
        <v>0.88262910798122074</v>
      </c>
      <c r="N448" s="22"/>
      <c r="O448" s="54">
        <f>SUM(O444:O446)</f>
        <v>0.87668282175551959</v>
      </c>
    </row>
    <row r="450" spans="1:15" ht="12" customHeight="1" x14ac:dyDescent="0.2">
      <c r="A450" s="121" t="s">
        <v>184</v>
      </c>
      <c r="B450" s="122" t="s">
        <v>100</v>
      </c>
      <c r="C450" s="122"/>
      <c r="D450" s="122" t="s">
        <v>80</v>
      </c>
      <c r="E450" s="122"/>
      <c r="F450" s="123" t="s">
        <v>136</v>
      </c>
      <c r="G450" s="123"/>
      <c r="H450" s="122" t="s">
        <v>82</v>
      </c>
      <c r="I450" s="122"/>
      <c r="J450" s="122" t="s">
        <v>81</v>
      </c>
      <c r="K450" s="122"/>
      <c r="L450" s="122" t="s">
        <v>98</v>
      </c>
      <c r="M450" s="122"/>
      <c r="N450" s="116" t="s">
        <v>1</v>
      </c>
      <c r="O450" s="116"/>
    </row>
    <row r="451" spans="1:15" x14ac:dyDescent="0.2">
      <c r="A451" s="20" t="s">
        <v>144</v>
      </c>
      <c r="B451" s="28">
        <v>192</v>
      </c>
      <c r="C451" s="29">
        <f>B451/B456</f>
        <v>0.58536585365853655</v>
      </c>
      <c r="D451" s="28">
        <v>7</v>
      </c>
      <c r="E451" s="29">
        <f>D451/D456</f>
        <v>0.53846153846153844</v>
      </c>
      <c r="F451" s="28">
        <v>56</v>
      </c>
      <c r="G451" s="29">
        <f>F451/F456</f>
        <v>0.48275862068965519</v>
      </c>
      <c r="H451" s="28">
        <v>306</v>
      </c>
      <c r="I451" s="29">
        <f>H451/H456</f>
        <v>0.59417475728155345</v>
      </c>
      <c r="J451" s="28">
        <v>124</v>
      </c>
      <c r="K451" s="29">
        <f>J451/J456</f>
        <v>0.52320675105485237</v>
      </c>
      <c r="L451" s="28">
        <v>350</v>
      </c>
      <c r="M451" s="29">
        <f>L451/L456</f>
        <v>0.55555555555555558</v>
      </c>
      <c r="N451" s="21">
        <f>B451+D451+F451+H451+J451+L451</f>
        <v>1035</v>
      </c>
      <c r="O451" s="29">
        <f>N451/N456</f>
        <v>0.56280587275693317</v>
      </c>
    </row>
    <row r="452" spans="1:15" x14ac:dyDescent="0.2">
      <c r="A452" s="20" t="s">
        <v>143</v>
      </c>
      <c r="B452" s="28">
        <v>20</v>
      </c>
      <c r="C452" s="29">
        <f>B452/B456</f>
        <v>6.097560975609756E-2</v>
      </c>
      <c r="D452" s="28">
        <v>3</v>
      </c>
      <c r="E452" s="29">
        <f>D452/D456</f>
        <v>0.23076923076923078</v>
      </c>
      <c r="F452" s="28">
        <v>1</v>
      </c>
      <c r="G452" s="29">
        <f>F452/F456</f>
        <v>8.6206896551724137E-3</v>
      </c>
      <c r="H452" s="28">
        <v>29</v>
      </c>
      <c r="I452" s="29">
        <f>H452/H456</f>
        <v>5.6310679611650483E-2</v>
      </c>
      <c r="J452" s="28">
        <v>13</v>
      </c>
      <c r="K452" s="29">
        <f>J452/J456</f>
        <v>5.4852320675105488E-2</v>
      </c>
      <c r="L452" s="28">
        <v>32</v>
      </c>
      <c r="M452" s="29">
        <f>L452/L456</f>
        <v>5.0793650793650794E-2</v>
      </c>
      <c r="N452" s="21">
        <f t="shared" ref="N452:N455" si="133">B452+D452+F452+H452+J452+L452</f>
        <v>98</v>
      </c>
      <c r="O452" s="29">
        <f>N452/N456</f>
        <v>5.328983143012507E-2</v>
      </c>
    </row>
    <row r="453" spans="1:15" x14ac:dyDescent="0.2">
      <c r="A453" s="20" t="s">
        <v>142</v>
      </c>
      <c r="B453" s="28">
        <v>9</v>
      </c>
      <c r="C453" s="29">
        <f>B453/B456</f>
        <v>2.7439024390243903E-2</v>
      </c>
      <c r="D453" s="28"/>
      <c r="E453" s="29">
        <f>D453/D456</f>
        <v>0</v>
      </c>
      <c r="F453" s="28">
        <v>5</v>
      </c>
      <c r="G453" s="29">
        <f>F453/F456</f>
        <v>4.3103448275862072E-2</v>
      </c>
      <c r="H453" s="28">
        <v>16</v>
      </c>
      <c r="I453" s="29">
        <f>H453/H456</f>
        <v>3.1067961165048542E-2</v>
      </c>
      <c r="J453" s="28">
        <v>5</v>
      </c>
      <c r="K453" s="29">
        <f>J453/J456</f>
        <v>2.1097046413502109E-2</v>
      </c>
      <c r="L453" s="28">
        <v>37</v>
      </c>
      <c r="M453" s="29">
        <f>L453/L456</f>
        <v>5.873015873015873E-2</v>
      </c>
      <c r="N453" s="21">
        <f t="shared" si="133"/>
        <v>72</v>
      </c>
      <c r="O453" s="29">
        <f>N453/N456</f>
        <v>3.9151712887438822E-2</v>
      </c>
    </row>
    <row r="454" spans="1:15" x14ac:dyDescent="0.2">
      <c r="A454" s="20" t="s">
        <v>141</v>
      </c>
      <c r="B454" s="28">
        <v>21</v>
      </c>
      <c r="C454" s="29">
        <f>B454/B456</f>
        <v>6.402439024390244E-2</v>
      </c>
      <c r="D454" s="28"/>
      <c r="E454" s="29">
        <f>D454/D456</f>
        <v>0</v>
      </c>
      <c r="F454" s="28">
        <v>11</v>
      </c>
      <c r="G454" s="29">
        <f>F454/F456</f>
        <v>9.4827586206896547E-2</v>
      </c>
      <c r="H454" s="28">
        <v>25</v>
      </c>
      <c r="I454" s="29">
        <f>H454/H456</f>
        <v>4.8543689320388349E-2</v>
      </c>
      <c r="J454" s="28">
        <v>16</v>
      </c>
      <c r="K454" s="29">
        <f>J454/J456</f>
        <v>6.7510548523206745E-2</v>
      </c>
      <c r="L454" s="28">
        <v>38</v>
      </c>
      <c r="M454" s="29">
        <f>L454/L456</f>
        <v>6.0317460317460318E-2</v>
      </c>
      <c r="N454" s="21">
        <f t="shared" si="133"/>
        <v>111</v>
      </c>
      <c r="O454" s="29">
        <f>N454/N456</f>
        <v>6.0358890701468187E-2</v>
      </c>
    </row>
    <row r="455" spans="1:15" x14ac:dyDescent="0.2">
      <c r="A455" s="20" t="s">
        <v>140</v>
      </c>
      <c r="B455" s="28">
        <v>86</v>
      </c>
      <c r="C455" s="29">
        <f>B455/B456</f>
        <v>0.26219512195121952</v>
      </c>
      <c r="D455" s="28">
        <v>3</v>
      </c>
      <c r="E455" s="29">
        <f>D455/D456</f>
        <v>0.23076923076923078</v>
      </c>
      <c r="F455" s="28">
        <v>43</v>
      </c>
      <c r="G455" s="29">
        <f>F455/F456</f>
        <v>0.37068965517241381</v>
      </c>
      <c r="H455" s="28">
        <v>139</v>
      </c>
      <c r="I455" s="29">
        <f>H455/H456</f>
        <v>0.26990291262135924</v>
      </c>
      <c r="J455" s="28">
        <v>79</v>
      </c>
      <c r="K455" s="29">
        <f>J455/J456</f>
        <v>0.33333333333333331</v>
      </c>
      <c r="L455" s="28">
        <v>173</v>
      </c>
      <c r="M455" s="29">
        <f>L455/L456</f>
        <v>0.27460317460317463</v>
      </c>
      <c r="N455" s="21">
        <f t="shared" si="133"/>
        <v>523</v>
      </c>
      <c r="O455" s="29">
        <f>N455/N456</f>
        <v>0.28439369222403482</v>
      </c>
    </row>
    <row r="456" spans="1:15" x14ac:dyDescent="0.2">
      <c r="A456" s="73" t="s">
        <v>1</v>
      </c>
      <c r="B456" s="22">
        <f>SUM(B451:B455)</f>
        <v>328</v>
      </c>
      <c r="C456" s="29">
        <f>SUM(C451:C455)</f>
        <v>1</v>
      </c>
      <c r="D456" s="22">
        <f>SUM(D451:D455)</f>
        <v>13</v>
      </c>
      <c r="E456" s="29">
        <f>SUM(E451:E455)</f>
        <v>1</v>
      </c>
      <c r="F456" s="22">
        <f>SUM(F451:F455)</f>
        <v>116</v>
      </c>
      <c r="G456" s="29">
        <f>SUM(G451:G455)</f>
        <v>1</v>
      </c>
      <c r="H456" s="22">
        <f>SUM(H451:H455)</f>
        <v>515</v>
      </c>
      <c r="I456" s="29">
        <f>SUM(I451:I455)</f>
        <v>1</v>
      </c>
      <c r="J456" s="22">
        <f>SUM(J451:J455)</f>
        <v>237</v>
      </c>
      <c r="K456" s="29">
        <f>SUM(K451:K455)</f>
        <v>1</v>
      </c>
      <c r="L456" s="22">
        <f>SUM(L451:L455)</f>
        <v>630</v>
      </c>
      <c r="M456" s="29">
        <f>SUM(M451:M455)</f>
        <v>1</v>
      </c>
      <c r="N456" s="22">
        <f>SUM(N451:N455)</f>
        <v>1839</v>
      </c>
      <c r="O456" s="29">
        <f>SUM(O451:O455)</f>
        <v>1</v>
      </c>
    </row>
    <row r="457" spans="1:15" x14ac:dyDescent="0.2">
      <c r="A457" s="73" t="s">
        <v>145</v>
      </c>
      <c r="B457" s="28"/>
      <c r="C457" s="54">
        <f>SUM(C453:C455)</f>
        <v>0.35365853658536583</v>
      </c>
      <c r="D457" s="28"/>
      <c r="E457" s="54">
        <f>SUM(E453:E455)</f>
        <v>0.23076923076923078</v>
      </c>
      <c r="F457" s="28"/>
      <c r="G457" s="54">
        <f>SUM(G453:G455)</f>
        <v>0.50862068965517238</v>
      </c>
      <c r="H457" s="28"/>
      <c r="I457" s="54">
        <f>SUM(I453:I455)</f>
        <v>0.34951456310679613</v>
      </c>
      <c r="J457" s="28"/>
      <c r="K457" s="54">
        <f>SUM(K453:K455)</f>
        <v>0.42194092827004215</v>
      </c>
      <c r="L457" s="28"/>
      <c r="M457" s="54">
        <f>SUM(M453:M455)</f>
        <v>0.3936507936507937</v>
      </c>
      <c r="N457" s="22"/>
      <c r="O457" s="54">
        <f>SUM(O453:O455)</f>
        <v>0.38390429581294183</v>
      </c>
    </row>
    <row r="459" spans="1:15" ht="12" customHeight="1" x14ac:dyDescent="0.2">
      <c r="A459" s="121" t="s">
        <v>185</v>
      </c>
      <c r="B459" s="122" t="s">
        <v>100</v>
      </c>
      <c r="C459" s="122"/>
      <c r="D459" s="122" t="s">
        <v>80</v>
      </c>
      <c r="E459" s="122"/>
      <c r="F459" s="123" t="s">
        <v>136</v>
      </c>
      <c r="G459" s="123"/>
      <c r="H459" s="122" t="s">
        <v>82</v>
      </c>
      <c r="I459" s="122"/>
      <c r="J459" s="122" t="s">
        <v>81</v>
      </c>
      <c r="K459" s="122"/>
      <c r="L459" s="122" t="s">
        <v>98</v>
      </c>
      <c r="M459" s="122"/>
      <c r="N459" s="116" t="s">
        <v>1</v>
      </c>
      <c r="O459" s="116"/>
    </row>
    <row r="460" spans="1:15" x14ac:dyDescent="0.2">
      <c r="A460" s="20" t="s">
        <v>144</v>
      </c>
      <c r="B460" s="28">
        <v>243</v>
      </c>
      <c r="C460" s="29">
        <f>B460/B465</f>
        <v>0.745398773006135</v>
      </c>
      <c r="D460" s="28">
        <v>10</v>
      </c>
      <c r="E460" s="29">
        <f>D460/D465</f>
        <v>0.76923076923076927</v>
      </c>
      <c r="F460" s="28">
        <v>71</v>
      </c>
      <c r="G460" s="29">
        <f>F460/F465</f>
        <v>0.61739130434782608</v>
      </c>
      <c r="H460" s="28">
        <v>374</v>
      </c>
      <c r="I460" s="29">
        <f>H460/H465</f>
        <v>0.73333333333333328</v>
      </c>
      <c r="J460" s="28">
        <v>140</v>
      </c>
      <c r="K460" s="29">
        <f>J460/J465</f>
        <v>0.58823529411764708</v>
      </c>
      <c r="L460" s="28">
        <v>477</v>
      </c>
      <c r="M460" s="29">
        <f>L460/L465</f>
        <v>0.75236593059936907</v>
      </c>
      <c r="N460" s="21">
        <f>B460+D460+F460+H460+J460+L460</f>
        <v>1315</v>
      </c>
      <c r="O460" s="29">
        <f>N460/N465</f>
        <v>0.71623093681917216</v>
      </c>
    </row>
    <row r="461" spans="1:15" x14ac:dyDescent="0.2">
      <c r="A461" s="20" t="s">
        <v>143</v>
      </c>
      <c r="B461" s="28">
        <v>21</v>
      </c>
      <c r="C461" s="29">
        <f>B461/B465</f>
        <v>6.4417177914110432E-2</v>
      </c>
      <c r="D461" s="28">
        <v>3</v>
      </c>
      <c r="E461" s="29">
        <f>D461/D465</f>
        <v>0.23076923076923078</v>
      </c>
      <c r="F461" s="28">
        <v>8</v>
      </c>
      <c r="G461" s="29">
        <f>F461/F465</f>
        <v>6.9565217391304349E-2</v>
      </c>
      <c r="H461" s="28">
        <v>41</v>
      </c>
      <c r="I461" s="29">
        <f>H461/H465</f>
        <v>8.0392156862745104E-2</v>
      </c>
      <c r="J461" s="28">
        <v>23</v>
      </c>
      <c r="K461" s="29">
        <f>J461/J465</f>
        <v>9.6638655462184878E-2</v>
      </c>
      <c r="L461" s="28">
        <v>43</v>
      </c>
      <c r="M461" s="29">
        <f>L461/L465</f>
        <v>6.7823343848580436E-2</v>
      </c>
      <c r="N461" s="21">
        <f t="shared" ref="N461:N464" si="134">B461+D461+F461+H461+J461+L461</f>
        <v>139</v>
      </c>
      <c r="O461" s="29">
        <f>N461/N465</f>
        <v>7.5708061002178653E-2</v>
      </c>
    </row>
    <row r="462" spans="1:15" x14ac:dyDescent="0.2">
      <c r="A462" s="20" t="s">
        <v>142</v>
      </c>
      <c r="B462" s="28">
        <v>12</v>
      </c>
      <c r="C462" s="29">
        <f>B462/B465</f>
        <v>3.6809815950920248E-2</v>
      </c>
      <c r="D462" s="28"/>
      <c r="E462" s="29">
        <f>D462/D465</f>
        <v>0</v>
      </c>
      <c r="F462" s="28">
        <v>9</v>
      </c>
      <c r="G462" s="29">
        <f>F462/F465</f>
        <v>7.8260869565217397E-2</v>
      </c>
      <c r="H462" s="28">
        <v>30</v>
      </c>
      <c r="I462" s="29">
        <f>H462/H465</f>
        <v>5.8823529411764705E-2</v>
      </c>
      <c r="J462" s="28">
        <v>20</v>
      </c>
      <c r="K462" s="29">
        <f>J462/J465</f>
        <v>8.4033613445378158E-2</v>
      </c>
      <c r="L462" s="28">
        <v>28</v>
      </c>
      <c r="M462" s="29">
        <f>L462/L465</f>
        <v>4.4164037854889593E-2</v>
      </c>
      <c r="N462" s="21">
        <f t="shared" si="134"/>
        <v>99</v>
      </c>
      <c r="O462" s="29">
        <f>N462/N465</f>
        <v>5.3921568627450983E-2</v>
      </c>
    </row>
    <row r="463" spans="1:15" x14ac:dyDescent="0.2">
      <c r="A463" s="20" t="s">
        <v>141</v>
      </c>
      <c r="B463" s="28">
        <v>18</v>
      </c>
      <c r="C463" s="29">
        <f>B463/B465</f>
        <v>5.5214723926380369E-2</v>
      </c>
      <c r="D463" s="28"/>
      <c r="E463" s="29">
        <f>D463/D465</f>
        <v>0</v>
      </c>
      <c r="F463" s="28">
        <v>8</v>
      </c>
      <c r="G463" s="29">
        <f>F463/F465</f>
        <v>6.9565217391304349E-2</v>
      </c>
      <c r="H463" s="28">
        <v>26</v>
      </c>
      <c r="I463" s="29">
        <f>H463/H465</f>
        <v>5.0980392156862744E-2</v>
      </c>
      <c r="J463" s="28">
        <v>17</v>
      </c>
      <c r="K463" s="29">
        <f>J463/J465</f>
        <v>7.1428571428571425E-2</v>
      </c>
      <c r="L463" s="28">
        <v>33</v>
      </c>
      <c r="M463" s="29">
        <f>L463/L465</f>
        <v>5.2050473186119876E-2</v>
      </c>
      <c r="N463" s="21">
        <f t="shared" si="134"/>
        <v>102</v>
      </c>
      <c r="O463" s="29">
        <f>N463/N465</f>
        <v>5.5555555555555552E-2</v>
      </c>
    </row>
    <row r="464" spans="1:15" x14ac:dyDescent="0.2">
      <c r="A464" s="20" t="s">
        <v>140</v>
      </c>
      <c r="B464" s="28">
        <v>32</v>
      </c>
      <c r="C464" s="29">
        <f>B464/B465</f>
        <v>9.815950920245399E-2</v>
      </c>
      <c r="D464" s="28"/>
      <c r="E464" s="29">
        <f>D464/D465</f>
        <v>0</v>
      </c>
      <c r="F464" s="28">
        <v>19</v>
      </c>
      <c r="G464" s="29">
        <f>F464/F465</f>
        <v>0.16521739130434782</v>
      </c>
      <c r="H464" s="28">
        <v>39</v>
      </c>
      <c r="I464" s="29">
        <f>H464/H465</f>
        <v>7.6470588235294124E-2</v>
      </c>
      <c r="J464" s="28">
        <v>38</v>
      </c>
      <c r="K464" s="29">
        <f>J464/J465</f>
        <v>0.15966386554621848</v>
      </c>
      <c r="L464" s="28">
        <v>53</v>
      </c>
      <c r="M464" s="29">
        <f>L464/L465</f>
        <v>8.3596214511041003E-2</v>
      </c>
      <c r="N464" s="21">
        <f t="shared" si="134"/>
        <v>181</v>
      </c>
      <c r="O464" s="29">
        <f>N464/N465</f>
        <v>9.8583877995642707E-2</v>
      </c>
    </row>
    <row r="465" spans="1:15" x14ac:dyDescent="0.2">
      <c r="A465" s="73" t="s">
        <v>1</v>
      </c>
      <c r="B465" s="22">
        <f>SUM(B460:B464)</f>
        <v>326</v>
      </c>
      <c r="C465" s="29">
        <f>SUM(C460:C464)</f>
        <v>1</v>
      </c>
      <c r="D465" s="22">
        <f>SUM(D460:D464)</f>
        <v>13</v>
      </c>
      <c r="E465" s="29">
        <f>SUM(E460:E464)</f>
        <v>1</v>
      </c>
      <c r="F465" s="22">
        <f>SUM(F460:F464)</f>
        <v>115</v>
      </c>
      <c r="G465" s="29">
        <f>SUM(G460:G464)</f>
        <v>1</v>
      </c>
      <c r="H465" s="22">
        <f>SUM(H460:H464)</f>
        <v>510</v>
      </c>
      <c r="I465" s="29">
        <f>SUM(I460:I464)</f>
        <v>1</v>
      </c>
      <c r="J465" s="22">
        <f>SUM(J460:J464)</f>
        <v>238</v>
      </c>
      <c r="K465" s="29">
        <f>SUM(K460:K464)</f>
        <v>1</v>
      </c>
      <c r="L465" s="22">
        <f>SUM(L460:L464)</f>
        <v>634</v>
      </c>
      <c r="M465" s="29">
        <f>SUM(M460:M464)</f>
        <v>1</v>
      </c>
      <c r="N465" s="22">
        <f>SUM(N460:N464)</f>
        <v>1836</v>
      </c>
      <c r="O465" s="29">
        <f>SUM(O460:O464)</f>
        <v>1</v>
      </c>
    </row>
    <row r="466" spans="1:15" x14ac:dyDescent="0.2">
      <c r="A466" s="73" t="s">
        <v>145</v>
      </c>
      <c r="B466" s="28"/>
      <c r="C466" s="54">
        <f>SUM(C462:C464)</f>
        <v>0.19018404907975461</v>
      </c>
      <c r="D466" s="28"/>
      <c r="E466" s="54">
        <f>SUM(E462:E464)</f>
        <v>0</v>
      </c>
      <c r="F466" s="28"/>
      <c r="G466" s="54">
        <f>SUM(G462:G464)</f>
        <v>0.31304347826086953</v>
      </c>
      <c r="H466" s="28"/>
      <c r="I466" s="54">
        <f>SUM(I462:I464)</f>
        <v>0.18627450980392157</v>
      </c>
      <c r="J466" s="28"/>
      <c r="K466" s="54">
        <f>SUM(K462:K464)</f>
        <v>0.31512605042016806</v>
      </c>
      <c r="L466" s="28"/>
      <c r="M466" s="54">
        <f>SUM(M462:M464)</f>
        <v>0.17981072555205047</v>
      </c>
      <c r="N466" s="22"/>
      <c r="O466" s="54">
        <f>SUM(O462:O464)</f>
        <v>0.20806100217864926</v>
      </c>
    </row>
    <row r="467" spans="1:15" x14ac:dyDescent="0.2">
      <c r="A467" s="37"/>
    </row>
    <row r="468" spans="1:15" ht="24" x14ac:dyDescent="0.2">
      <c r="A468" s="121" t="s">
        <v>186</v>
      </c>
      <c r="B468" s="122" t="s">
        <v>100</v>
      </c>
      <c r="C468" s="122"/>
      <c r="D468" s="122" t="s">
        <v>80</v>
      </c>
      <c r="E468" s="122"/>
      <c r="F468" s="123" t="s">
        <v>136</v>
      </c>
      <c r="G468" s="123"/>
      <c r="H468" s="122" t="s">
        <v>82</v>
      </c>
      <c r="I468" s="122"/>
      <c r="J468" s="122" t="s">
        <v>81</v>
      </c>
      <c r="K468" s="122"/>
      <c r="L468" s="122" t="s">
        <v>98</v>
      </c>
      <c r="M468" s="122"/>
      <c r="N468" s="116" t="s">
        <v>1</v>
      </c>
      <c r="O468" s="116"/>
    </row>
    <row r="469" spans="1:15" x14ac:dyDescent="0.2">
      <c r="A469" s="20" t="s">
        <v>144</v>
      </c>
      <c r="B469" s="28">
        <v>176</v>
      </c>
      <c r="C469" s="29">
        <f>B469/B474</f>
        <v>0.53822629969418956</v>
      </c>
      <c r="D469" s="28">
        <v>9</v>
      </c>
      <c r="E469" s="29">
        <f>D469/D474</f>
        <v>0.69230769230769229</v>
      </c>
      <c r="F469" s="28">
        <v>54</v>
      </c>
      <c r="G469" s="29">
        <f>F469/F474</f>
        <v>0.47368421052631576</v>
      </c>
      <c r="H469" s="28">
        <v>295</v>
      </c>
      <c r="I469" s="29">
        <f>H469/H474</f>
        <v>0.5772994129158513</v>
      </c>
      <c r="J469" s="28">
        <v>131</v>
      </c>
      <c r="K469" s="29">
        <f>J469/J474</f>
        <v>0.5527426160337553</v>
      </c>
      <c r="L469" s="28">
        <v>382</v>
      </c>
      <c r="M469" s="29">
        <f>L469/L474</f>
        <v>0.59874608150470221</v>
      </c>
      <c r="N469" s="21">
        <f>B469+D469+F469+H469+J469+L469</f>
        <v>1047</v>
      </c>
      <c r="O469" s="29">
        <f>N469/N474</f>
        <v>0.56902173913043474</v>
      </c>
    </row>
    <row r="470" spans="1:15" x14ac:dyDescent="0.2">
      <c r="A470" s="20" t="s">
        <v>143</v>
      </c>
      <c r="B470" s="28">
        <v>70</v>
      </c>
      <c r="C470" s="29">
        <f>B470/B474</f>
        <v>0.21406727828746178</v>
      </c>
      <c r="D470" s="28"/>
      <c r="E470" s="29">
        <f>D470/D474</f>
        <v>0</v>
      </c>
      <c r="F470" s="28">
        <v>20</v>
      </c>
      <c r="G470" s="29">
        <f>F470/F474</f>
        <v>0.17543859649122806</v>
      </c>
      <c r="H470" s="28">
        <v>111</v>
      </c>
      <c r="I470" s="29">
        <f>H470/H474</f>
        <v>0.2172211350293542</v>
      </c>
      <c r="J470" s="28">
        <v>43</v>
      </c>
      <c r="K470" s="29">
        <f>J470/J474</f>
        <v>0.18143459915611815</v>
      </c>
      <c r="L470" s="28">
        <v>111</v>
      </c>
      <c r="M470" s="29">
        <f>L470/L474</f>
        <v>0.17398119122257052</v>
      </c>
      <c r="N470" s="21">
        <f t="shared" ref="N470:N473" si="135">B470+D470+F470+H470+J470+L470</f>
        <v>355</v>
      </c>
      <c r="O470" s="29">
        <f>N470/N474</f>
        <v>0.19293478260869565</v>
      </c>
    </row>
    <row r="471" spans="1:15" x14ac:dyDescent="0.2">
      <c r="A471" s="20" t="s">
        <v>142</v>
      </c>
      <c r="B471" s="28">
        <v>31</v>
      </c>
      <c r="C471" s="29">
        <f>B471/B474</f>
        <v>9.480122324159021E-2</v>
      </c>
      <c r="D471" s="28">
        <v>1</v>
      </c>
      <c r="E471" s="29">
        <f>D471/D474</f>
        <v>7.6923076923076927E-2</v>
      </c>
      <c r="F471" s="28">
        <v>18</v>
      </c>
      <c r="G471" s="29">
        <f>F471/F474</f>
        <v>0.15789473684210525</v>
      </c>
      <c r="H471" s="28">
        <v>42</v>
      </c>
      <c r="I471" s="29">
        <f>H471/H474</f>
        <v>8.2191780821917804E-2</v>
      </c>
      <c r="J471" s="28">
        <v>21</v>
      </c>
      <c r="K471" s="29">
        <f>J471/J474</f>
        <v>8.8607594936708861E-2</v>
      </c>
      <c r="L471" s="28">
        <v>55</v>
      </c>
      <c r="M471" s="29">
        <f>L471/L474</f>
        <v>8.6206896551724144E-2</v>
      </c>
      <c r="N471" s="21">
        <f t="shared" si="135"/>
        <v>168</v>
      </c>
      <c r="O471" s="29">
        <f>N471/N474</f>
        <v>9.1304347826086957E-2</v>
      </c>
    </row>
    <row r="472" spans="1:15" x14ac:dyDescent="0.2">
      <c r="A472" s="20" t="s">
        <v>141</v>
      </c>
      <c r="B472" s="28">
        <v>22</v>
      </c>
      <c r="C472" s="29">
        <f>B472/B474</f>
        <v>6.7278287461773695E-2</v>
      </c>
      <c r="D472" s="28">
        <v>1</v>
      </c>
      <c r="E472" s="29">
        <f>D472/D474</f>
        <v>7.6923076923076927E-2</v>
      </c>
      <c r="F472" s="28">
        <v>6</v>
      </c>
      <c r="G472" s="29">
        <f>F472/F474</f>
        <v>5.2631578947368418E-2</v>
      </c>
      <c r="H472" s="28">
        <v>26</v>
      </c>
      <c r="I472" s="29">
        <f>H472/H474</f>
        <v>5.0880626223091974E-2</v>
      </c>
      <c r="J472" s="28">
        <v>18</v>
      </c>
      <c r="K472" s="29">
        <f>J472/J474</f>
        <v>7.5949367088607597E-2</v>
      </c>
      <c r="L472" s="28">
        <v>30</v>
      </c>
      <c r="M472" s="29">
        <f>L472/L474</f>
        <v>4.7021943573667714E-2</v>
      </c>
      <c r="N472" s="21">
        <f t="shared" si="135"/>
        <v>103</v>
      </c>
      <c r="O472" s="29">
        <f>N472/N474</f>
        <v>5.597826086956522E-2</v>
      </c>
    </row>
    <row r="473" spans="1:15" x14ac:dyDescent="0.2">
      <c r="A473" s="20" t="s">
        <v>140</v>
      </c>
      <c r="B473" s="28">
        <v>28</v>
      </c>
      <c r="C473" s="29">
        <f>B473/B474</f>
        <v>8.5626911314984705E-2</v>
      </c>
      <c r="D473" s="28">
        <v>2</v>
      </c>
      <c r="E473" s="29">
        <f>D473/D474</f>
        <v>0.15384615384615385</v>
      </c>
      <c r="F473" s="28">
        <v>16</v>
      </c>
      <c r="G473" s="29">
        <f>F473/F474</f>
        <v>0.14035087719298245</v>
      </c>
      <c r="H473" s="28">
        <v>37</v>
      </c>
      <c r="I473" s="29">
        <f>H473/H474</f>
        <v>7.2407045009784732E-2</v>
      </c>
      <c r="J473" s="28">
        <v>24</v>
      </c>
      <c r="K473" s="29">
        <f>J473/J474</f>
        <v>0.10126582278481013</v>
      </c>
      <c r="L473" s="28">
        <v>60</v>
      </c>
      <c r="M473" s="29">
        <f>L473/L474</f>
        <v>9.4043887147335428E-2</v>
      </c>
      <c r="N473" s="21">
        <f t="shared" si="135"/>
        <v>167</v>
      </c>
      <c r="O473" s="29">
        <f>N473/N474</f>
        <v>9.0760869565217395E-2</v>
      </c>
    </row>
    <row r="474" spans="1:15" x14ac:dyDescent="0.2">
      <c r="A474" s="73" t="s">
        <v>1</v>
      </c>
      <c r="B474" s="22">
        <f>SUM(B469:B473)</f>
        <v>327</v>
      </c>
      <c r="C474" s="29">
        <f>SUM(C469:C473)</f>
        <v>0.99999999999999989</v>
      </c>
      <c r="D474" s="22">
        <f>SUM(D469:D473)</f>
        <v>13</v>
      </c>
      <c r="E474" s="29">
        <f>SUM(E469:E473)</f>
        <v>0.99999999999999989</v>
      </c>
      <c r="F474" s="22">
        <f>SUM(F469:F473)</f>
        <v>114</v>
      </c>
      <c r="G474" s="29">
        <f>SUM(G469:G473)</f>
        <v>1</v>
      </c>
      <c r="H474" s="22">
        <f>SUM(H469:H473)</f>
        <v>511</v>
      </c>
      <c r="I474" s="29">
        <f>SUM(I469:I473)</f>
        <v>1</v>
      </c>
      <c r="J474" s="22">
        <f>SUM(J469:J473)</f>
        <v>237</v>
      </c>
      <c r="K474" s="29">
        <f>SUM(K469:K473)</f>
        <v>1</v>
      </c>
      <c r="L474" s="22">
        <f>SUM(L469:L473)</f>
        <v>638</v>
      </c>
      <c r="M474" s="29">
        <f>SUM(M469:M473)</f>
        <v>1</v>
      </c>
      <c r="N474" s="22">
        <f>SUM(N469:N473)</f>
        <v>1840</v>
      </c>
      <c r="O474" s="29">
        <f>SUM(O469:O473)</f>
        <v>1</v>
      </c>
    </row>
    <row r="475" spans="1:15" x14ac:dyDescent="0.2">
      <c r="A475" s="73" t="s">
        <v>145</v>
      </c>
      <c r="B475" s="28"/>
      <c r="C475" s="54">
        <f>SUM(C471:C473)</f>
        <v>0.24770642201834861</v>
      </c>
      <c r="D475" s="28"/>
      <c r="E475" s="54">
        <f>SUM(E471:E473)</f>
        <v>0.30769230769230771</v>
      </c>
      <c r="F475" s="28"/>
      <c r="G475" s="54">
        <f>SUM(G471:G473)</f>
        <v>0.35087719298245612</v>
      </c>
      <c r="H475" s="28"/>
      <c r="I475" s="54">
        <f>SUM(I471:I473)</f>
        <v>0.20547945205479451</v>
      </c>
      <c r="J475" s="28"/>
      <c r="K475" s="54">
        <f>SUM(K471:K473)</f>
        <v>0.26582278481012656</v>
      </c>
      <c r="L475" s="28"/>
      <c r="M475" s="54">
        <f>SUM(M471:M473)</f>
        <v>0.22727272727272729</v>
      </c>
      <c r="N475" s="22"/>
      <c r="O475" s="54">
        <f>SUM(O471:O473)</f>
        <v>0.23804347826086958</v>
      </c>
    </row>
    <row r="476" spans="1:15" x14ac:dyDescent="0.2">
      <c r="A476" s="37"/>
    </row>
    <row r="477" spans="1:15" ht="12" customHeight="1" x14ac:dyDescent="0.2">
      <c r="A477" s="121" t="s">
        <v>187</v>
      </c>
      <c r="B477" s="122" t="s">
        <v>100</v>
      </c>
      <c r="C477" s="122"/>
      <c r="D477" s="122" t="s">
        <v>80</v>
      </c>
      <c r="E477" s="122"/>
      <c r="F477" s="123" t="s">
        <v>136</v>
      </c>
      <c r="G477" s="123"/>
      <c r="H477" s="122" t="s">
        <v>82</v>
      </c>
      <c r="I477" s="122"/>
      <c r="J477" s="122" t="s">
        <v>81</v>
      </c>
      <c r="K477" s="122"/>
      <c r="L477" s="122" t="s">
        <v>98</v>
      </c>
      <c r="M477" s="122"/>
      <c r="N477" s="116" t="s">
        <v>1</v>
      </c>
      <c r="O477" s="116"/>
    </row>
    <row r="478" spans="1:15" x14ac:dyDescent="0.2">
      <c r="A478" s="20" t="s">
        <v>144</v>
      </c>
      <c r="B478" s="28">
        <v>82</v>
      </c>
      <c r="C478" s="29">
        <f>B478/B483</f>
        <v>0.25</v>
      </c>
      <c r="D478" s="28">
        <v>2</v>
      </c>
      <c r="E478" s="29">
        <f>D478/D483</f>
        <v>0.15384615384615385</v>
      </c>
      <c r="F478" s="28">
        <v>15</v>
      </c>
      <c r="G478" s="29">
        <f>F478/F483</f>
        <v>0.13274336283185842</v>
      </c>
      <c r="H478" s="28">
        <v>134</v>
      </c>
      <c r="I478" s="29">
        <f>H478/H483</f>
        <v>0.25918762088974856</v>
      </c>
      <c r="J478" s="28">
        <v>32</v>
      </c>
      <c r="K478" s="29">
        <f>J478/J483</f>
        <v>0.13445378151260504</v>
      </c>
      <c r="L478" s="28">
        <v>127</v>
      </c>
      <c r="M478" s="29">
        <f>L478/L483</f>
        <v>0.20031545741324921</v>
      </c>
      <c r="N478" s="21">
        <f>B478+D478+F478+H478+J478+L478</f>
        <v>392</v>
      </c>
      <c r="O478" s="29">
        <f>N478/N483</f>
        <v>0.21269669017905588</v>
      </c>
    </row>
    <row r="479" spans="1:15" x14ac:dyDescent="0.2">
      <c r="A479" s="20" t="s">
        <v>143</v>
      </c>
      <c r="B479" s="28">
        <v>11</v>
      </c>
      <c r="C479" s="29">
        <f>B479/B483</f>
        <v>3.3536585365853661E-2</v>
      </c>
      <c r="D479" s="28"/>
      <c r="E479" s="29">
        <f>D479/D483</f>
        <v>0</v>
      </c>
      <c r="F479" s="28">
        <v>2</v>
      </c>
      <c r="G479" s="29">
        <f>F479/F483</f>
        <v>1.7699115044247787E-2</v>
      </c>
      <c r="H479" s="28">
        <v>11</v>
      </c>
      <c r="I479" s="29">
        <f>H479/H483</f>
        <v>2.1276595744680851E-2</v>
      </c>
      <c r="J479" s="28">
        <v>8</v>
      </c>
      <c r="K479" s="29">
        <f>J479/J483</f>
        <v>3.3613445378151259E-2</v>
      </c>
      <c r="L479" s="28">
        <v>14</v>
      </c>
      <c r="M479" s="29">
        <f>L479/L483</f>
        <v>2.2082018927444796E-2</v>
      </c>
      <c r="N479" s="21">
        <f t="shared" ref="N479:N482" si="136">B479+D479+F479+H479+J479+L479</f>
        <v>46</v>
      </c>
      <c r="O479" s="29">
        <f>N479/N483</f>
        <v>2.4959305480195332E-2</v>
      </c>
    </row>
    <row r="480" spans="1:15" x14ac:dyDescent="0.2">
      <c r="A480" s="20" t="s">
        <v>142</v>
      </c>
      <c r="B480" s="28">
        <v>11</v>
      </c>
      <c r="C480" s="29">
        <f>B480/B483</f>
        <v>3.3536585365853661E-2</v>
      </c>
      <c r="D480" s="28">
        <v>1</v>
      </c>
      <c r="E480" s="29">
        <f>D480/D483</f>
        <v>7.6923076923076927E-2</v>
      </c>
      <c r="F480" s="28">
        <v>5</v>
      </c>
      <c r="G480" s="29">
        <f>F480/F483</f>
        <v>4.4247787610619468E-2</v>
      </c>
      <c r="H480" s="28">
        <v>11</v>
      </c>
      <c r="I480" s="29">
        <f>H480/H483</f>
        <v>2.1276595744680851E-2</v>
      </c>
      <c r="J480" s="28">
        <v>5</v>
      </c>
      <c r="K480" s="29">
        <f>J480/J483</f>
        <v>2.100840336134454E-2</v>
      </c>
      <c r="L480" s="28">
        <v>21</v>
      </c>
      <c r="M480" s="29">
        <f>L480/L483</f>
        <v>3.3123028391167195E-2</v>
      </c>
      <c r="N480" s="21">
        <f t="shared" si="136"/>
        <v>54</v>
      </c>
      <c r="O480" s="29">
        <f>N480/N483</f>
        <v>2.9300054259359741E-2</v>
      </c>
    </row>
    <row r="481" spans="1:15" x14ac:dyDescent="0.2">
      <c r="A481" s="20" t="s">
        <v>141</v>
      </c>
      <c r="B481" s="28">
        <v>22</v>
      </c>
      <c r="C481" s="29">
        <f>B481/B483</f>
        <v>6.7073170731707321E-2</v>
      </c>
      <c r="D481" s="28"/>
      <c r="E481" s="29">
        <f>D481/D483</f>
        <v>0</v>
      </c>
      <c r="F481" s="28">
        <v>4</v>
      </c>
      <c r="G481" s="29">
        <f>F481/F483</f>
        <v>3.5398230088495575E-2</v>
      </c>
      <c r="H481" s="28">
        <v>22</v>
      </c>
      <c r="I481" s="29">
        <f>H481/H483</f>
        <v>4.2553191489361701E-2</v>
      </c>
      <c r="J481" s="28">
        <v>16</v>
      </c>
      <c r="K481" s="29">
        <f>J481/J483</f>
        <v>6.7226890756302518E-2</v>
      </c>
      <c r="L481" s="28">
        <v>21</v>
      </c>
      <c r="M481" s="29">
        <f>L481/L483</f>
        <v>3.3123028391167195E-2</v>
      </c>
      <c r="N481" s="21">
        <f t="shared" si="136"/>
        <v>85</v>
      </c>
      <c r="O481" s="29">
        <f>N481/N483</f>
        <v>4.6120455778621811E-2</v>
      </c>
    </row>
    <row r="482" spans="1:15" x14ac:dyDescent="0.2">
      <c r="A482" s="20" t="s">
        <v>140</v>
      </c>
      <c r="B482" s="28">
        <v>202</v>
      </c>
      <c r="C482" s="29">
        <f>B482/B483</f>
        <v>0.61585365853658536</v>
      </c>
      <c r="D482" s="28">
        <v>10</v>
      </c>
      <c r="E482" s="29">
        <f>D482/D483</f>
        <v>0.76923076923076927</v>
      </c>
      <c r="F482" s="28">
        <v>87</v>
      </c>
      <c r="G482" s="29">
        <f>F482/F483</f>
        <v>0.76991150442477874</v>
      </c>
      <c r="H482" s="28">
        <v>339</v>
      </c>
      <c r="I482" s="29">
        <f>H482/H483</f>
        <v>0.65570599613152802</v>
      </c>
      <c r="J482" s="28">
        <v>177</v>
      </c>
      <c r="K482" s="29">
        <f>J482/J483</f>
        <v>0.74369747899159666</v>
      </c>
      <c r="L482" s="28">
        <v>451</v>
      </c>
      <c r="M482" s="29">
        <f>L482/L483</f>
        <v>0.71135646687697163</v>
      </c>
      <c r="N482" s="21">
        <f t="shared" si="136"/>
        <v>1266</v>
      </c>
      <c r="O482" s="29">
        <f>N482/N483</f>
        <v>0.68692349430276722</v>
      </c>
    </row>
    <row r="483" spans="1:15" x14ac:dyDescent="0.2">
      <c r="A483" s="73" t="s">
        <v>1</v>
      </c>
      <c r="B483" s="22">
        <f>SUM(B478:B482)</f>
        <v>328</v>
      </c>
      <c r="C483" s="29">
        <f>SUM(C478:C482)</f>
        <v>1</v>
      </c>
      <c r="D483" s="22">
        <f>SUM(D478:D482)</f>
        <v>13</v>
      </c>
      <c r="E483" s="29">
        <f>SUM(E478:E482)</f>
        <v>1</v>
      </c>
      <c r="F483" s="22">
        <f>SUM(F478:F482)</f>
        <v>113</v>
      </c>
      <c r="G483" s="29">
        <f>SUM(G478:G482)</f>
        <v>1</v>
      </c>
      <c r="H483" s="22">
        <f>SUM(H478:H482)</f>
        <v>517</v>
      </c>
      <c r="I483" s="29">
        <f>SUM(I478:I482)</f>
        <v>1</v>
      </c>
      <c r="J483" s="22">
        <f>SUM(J478:J482)</f>
        <v>238</v>
      </c>
      <c r="K483" s="29">
        <f>SUM(K478:K482)</f>
        <v>1</v>
      </c>
      <c r="L483" s="22">
        <f>SUM(L478:L482)</f>
        <v>634</v>
      </c>
      <c r="M483" s="29">
        <f>SUM(M478:M482)</f>
        <v>1</v>
      </c>
      <c r="N483" s="22">
        <f>SUM(N478:N482)</f>
        <v>1843</v>
      </c>
      <c r="O483" s="29">
        <f>SUM(O478:O482)</f>
        <v>1</v>
      </c>
    </row>
    <row r="484" spans="1:15" x14ac:dyDescent="0.2">
      <c r="A484" s="73" t="s">
        <v>145</v>
      </c>
      <c r="B484" s="28"/>
      <c r="C484" s="54">
        <f>SUM(C480:C482)</f>
        <v>0.71646341463414631</v>
      </c>
      <c r="D484" s="28"/>
      <c r="E484" s="54">
        <f>SUM(E480:E482)</f>
        <v>0.84615384615384626</v>
      </c>
      <c r="F484" s="28"/>
      <c r="G484" s="54">
        <f>SUM(G480:G482)</f>
        <v>0.84955752212389379</v>
      </c>
      <c r="H484" s="28"/>
      <c r="I484" s="54">
        <f>SUM(I480:I482)</f>
        <v>0.71953578336557056</v>
      </c>
      <c r="J484" s="28"/>
      <c r="K484" s="54">
        <f>SUM(K480:K482)</f>
        <v>0.83193277310924374</v>
      </c>
      <c r="L484" s="28"/>
      <c r="M484" s="54">
        <f>SUM(M480:M482)</f>
        <v>0.77760252365930604</v>
      </c>
      <c r="N484" s="22"/>
      <c r="O484" s="54">
        <f>SUM(O480:O482)</f>
        <v>0.76234400434074878</v>
      </c>
    </row>
    <row r="485" spans="1:15" x14ac:dyDescent="0.2">
      <c r="A485" s="36"/>
    </row>
    <row r="486" spans="1:15" ht="12" customHeight="1" x14ac:dyDescent="0.2">
      <c r="A486" s="121" t="s">
        <v>147</v>
      </c>
      <c r="B486" s="122" t="s">
        <v>100</v>
      </c>
      <c r="C486" s="122"/>
      <c r="D486" s="122" t="s">
        <v>80</v>
      </c>
      <c r="E486" s="122"/>
      <c r="F486" s="123" t="s">
        <v>136</v>
      </c>
      <c r="G486" s="123"/>
      <c r="H486" s="122" t="s">
        <v>82</v>
      </c>
      <c r="I486" s="122"/>
      <c r="J486" s="122" t="s">
        <v>81</v>
      </c>
      <c r="K486" s="122"/>
      <c r="L486" s="122" t="s">
        <v>98</v>
      </c>
      <c r="M486" s="122"/>
      <c r="N486" s="116" t="s">
        <v>1</v>
      </c>
      <c r="O486" s="116"/>
    </row>
    <row r="487" spans="1:15" x14ac:dyDescent="0.2">
      <c r="A487" s="20" t="s">
        <v>144</v>
      </c>
      <c r="B487" s="28">
        <v>21</v>
      </c>
      <c r="C487" s="29">
        <f>B487/B492</f>
        <v>6.4220183486238536E-2</v>
      </c>
      <c r="D487" s="28"/>
      <c r="E487" s="29">
        <f>D487/D492</f>
        <v>0</v>
      </c>
      <c r="F487" s="28">
        <v>5</v>
      </c>
      <c r="G487" s="29">
        <f>F487/F492</f>
        <v>4.2016806722689079E-2</v>
      </c>
      <c r="H487" s="28">
        <v>29</v>
      </c>
      <c r="I487" s="29">
        <f>H487/H492</f>
        <v>5.5769230769230772E-2</v>
      </c>
      <c r="J487" s="28">
        <v>9</v>
      </c>
      <c r="K487" s="29">
        <f>J487/J492</f>
        <v>3.7656903765690378E-2</v>
      </c>
      <c r="L487" s="28">
        <v>38</v>
      </c>
      <c r="M487" s="29">
        <f>L487/L492</f>
        <v>5.9374999999999997E-2</v>
      </c>
      <c r="N487" s="21">
        <f>B487+D487+F487+H487+J487+L487</f>
        <v>102</v>
      </c>
      <c r="O487" s="29">
        <f>N487/N492</f>
        <v>5.4897739504843918E-2</v>
      </c>
    </row>
    <row r="488" spans="1:15" x14ac:dyDescent="0.2">
      <c r="A488" s="20" t="s">
        <v>143</v>
      </c>
      <c r="B488" s="28">
        <v>6</v>
      </c>
      <c r="C488" s="29">
        <f>B488/B492</f>
        <v>1.834862385321101E-2</v>
      </c>
      <c r="D488" s="28"/>
      <c r="E488" s="29">
        <f>D488/D492</f>
        <v>0</v>
      </c>
      <c r="F488" s="28">
        <v>2</v>
      </c>
      <c r="G488" s="29">
        <f>F488/F492</f>
        <v>1.680672268907563E-2</v>
      </c>
      <c r="H488" s="28">
        <v>7</v>
      </c>
      <c r="I488" s="29">
        <f>H488/H492</f>
        <v>1.3461538461538462E-2</v>
      </c>
      <c r="J488" s="28">
        <v>5</v>
      </c>
      <c r="K488" s="29">
        <f>J488/J492</f>
        <v>2.0920502092050208E-2</v>
      </c>
      <c r="L488" s="28">
        <v>9</v>
      </c>
      <c r="M488" s="29">
        <f>L488/L492</f>
        <v>1.40625E-2</v>
      </c>
      <c r="N488" s="21">
        <f t="shared" ref="N488:N491" si="137">B488+D488+F488+H488+J488+L488</f>
        <v>29</v>
      </c>
      <c r="O488" s="29">
        <f>N488/N492</f>
        <v>1.5608180839612486E-2</v>
      </c>
    </row>
    <row r="489" spans="1:15" x14ac:dyDescent="0.2">
      <c r="A489" s="20" t="s">
        <v>142</v>
      </c>
      <c r="B489" s="28">
        <v>8</v>
      </c>
      <c r="C489" s="29">
        <f>B489/B492</f>
        <v>2.4464831804281346E-2</v>
      </c>
      <c r="D489" s="28"/>
      <c r="E489" s="29">
        <f>D489/D492</f>
        <v>0</v>
      </c>
      <c r="F489" s="28">
        <v>4</v>
      </c>
      <c r="G489" s="29">
        <f>F489/F492</f>
        <v>3.3613445378151259E-2</v>
      </c>
      <c r="H489" s="28">
        <v>17</v>
      </c>
      <c r="I489" s="29">
        <f>H489/H492</f>
        <v>3.2692307692307694E-2</v>
      </c>
      <c r="J489" s="28">
        <v>4</v>
      </c>
      <c r="K489" s="29">
        <f>J489/J492</f>
        <v>1.6736401673640166E-2</v>
      </c>
      <c r="L489" s="28">
        <v>19</v>
      </c>
      <c r="M489" s="29">
        <f>L489/L492</f>
        <v>2.9687499999999999E-2</v>
      </c>
      <c r="N489" s="21">
        <f t="shared" si="137"/>
        <v>52</v>
      </c>
      <c r="O489" s="29">
        <f>N489/N492</f>
        <v>2.7987082884822389E-2</v>
      </c>
    </row>
    <row r="490" spans="1:15" x14ac:dyDescent="0.2">
      <c r="A490" s="20" t="s">
        <v>141</v>
      </c>
      <c r="B490" s="28">
        <v>27</v>
      </c>
      <c r="C490" s="29">
        <f>B490/B492</f>
        <v>8.2568807339449546E-2</v>
      </c>
      <c r="D490" s="28"/>
      <c r="E490" s="29">
        <f>D490/D492</f>
        <v>0</v>
      </c>
      <c r="F490" s="28">
        <v>15</v>
      </c>
      <c r="G490" s="29">
        <f>F490/F492</f>
        <v>0.12605042016806722</v>
      </c>
      <c r="H490" s="28">
        <v>42</v>
      </c>
      <c r="I490" s="29">
        <f>H490/H492</f>
        <v>8.0769230769230774E-2</v>
      </c>
      <c r="J490" s="28">
        <v>14</v>
      </c>
      <c r="K490" s="29">
        <f>J490/J492</f>
        <v>5.8577405857740586E-2</v>
      </c>
      <c r="L490" s="28">
        <v>34</v>
      </c>
      <c r="M490" s="29">
        <f>L490/L492</f>
        <v>5.3124999999999999E-2</v>
      </c>
      <c r="N490" s="21">
        <f t="shared" si="137"/>
        <v>132</v>
      </c>
      <c r="O490" s="29">
        <f>N490/N492</f>
        <v>7.1044133476856841E-2</v>
      </c>
    </row>
    <row r="491" spans="1:15" x14ac:dyDescent="0.2">
      <c r="A491" s="20" t="s">
        <v>140</v>
      </c>
      <c r="B491" s="28">
        <v>265</v>
      </c>
      <c r="C491" s="29">
        <f>B491/B492</f>
        <v>0.81039755351681952</v>
      </c>
      <c r="D491" s="28">
        <v>13</v>
      </c>
      <c r="E491" s="29">
        <f>D491/D492</f>
        <v>1</v>
      </c>
      <c r="F491" s="28">
        <v>93</v>
      </c>
      <c r="G491" s="29">
        <f>F491/F492</f>
        <v>0.78151260504201681</v>
      </c>
      <c r="H491" s="28">
        <v>425</v>
      </c>
      <c r="I491" s="29">
        <f>H491/H492</f>
        <v>0.81730769230769229</v>
      </c>
      <c r="J491" s="28">
        <v>207</v>
      </c>
      <c r="K491" s="29">
        <f>J491/J492</f>
        <v>0.86610878661087864</v>
      </c>
      <c r="L491" s="28">
        <v>540</v>
      </c>
      <c r="M491" s="29">
        <f>L491/L492</f>
        <v>0.84375</v>
      </c>
      <c r="N491" s="21">
        <f t="shared" si="137"/>
        <v>1543</v>
      </c>
      <c r="O491" s="29">
        <f>N491/N492</f>
        <v>0.83046286329386432</v>
      </c>
    </row>
    <row r="492" spans="1:15" x14ac:dyDescent="0.2">
      <c r="A492" s="73" t="s">
        <v>1</v>
      </c>
      <c r="B492" s="22">
        <f>SUM(B487:B491)</f>
        <v>327</v>
      </c>
      <c r="C492" s="29">
        <f>SUM(C487:C491)</f>
        <v>1</v>
      </c>
      <c r="D492" s="22">
        <f>SUM(D487:D491)</f>
        <v>13</v>
      </c>
      <c r="E492" s="29">
        <f>SUM(E487:E491)</f>
        <v>1</v>
      </c>
      <c r="F492" s="22">
        <f>SUM(F487:F491)</f>
        <v>119</v>
      </c>
      <c r="G492" s="29">
        <f>SUM(G487:G491)</f>
        <v>1</v>
      </c>
      <c r="H492" s="22">
        <f>SUM(H487:H491)</f>
        <v>520</v>
      </c>
      <c r="I492" s="29">
        <f>SUM(I487:I491)</f>
        <v>1</v>
      </c>
      <c r="J492" s="22">
        <f>SUM(J487:J491)</f>
        <v>239</v>
      </c>
      <c r="K492" s="29">
        <f>SUM(K487:K491)</f>
        <v>1</v>
      </c>
      <c r="L492" s="22">
        <f>SUM(L487:L491)</f>
        <v>640</v>
      </c>
      <c r="M492" s="29">
        <f>SUM(M487:M491)</f>
        <v>1</v>
      </c>
      <c r="N492" s="22">
        <f>SUM(N487:N491)</f>
        <v>1858</v>
      </c>
      <c r="O492" s="29">
        <f>SUM(O487:O491)</f>
        <v>1</v>
      </c>
    </row>
    <row r="493" spans="1:15" x14ac:dyDescent="0.2">
      <c r="A493" s="73" t="s">
        <v>145</v>
      </c>
      <c r="B493" s="28"/>
      <c r="C493" s="54">
        <f>SUM(C489:C491)</f>
        <v>0.9174311926605504</v>
      </c>
      <c r="D493" s="28"/>
      <c r="E493" s="54">
        <f>SUM(E489:E491)</f>
        <v>1</v>
      </c>
      <c r="F493" s="28"/>
      <c r="G493" s="54">
        <f>SUM(G489:G491)</f>
        <v>0.94117647058823528</v>
      </c>
      <c r="H493" s="28"/>
      <c r="I493" s="54">
        <f>SUM(I489:I491)</f>
        <v>0.93076923076923079</v>
      </c>
      <c r="J493" s="28"/>
      <c r="K493" s="54">
        <f>SUM(K489:K491)</f>
        <v>0.94142259414225937</v>
      </c>
      <c r="L493" s="28"/>
      <c r="M493" s="54">
        <f>SUM(M489:M491)</f>
        <v>0.92656249999999996</v>
      </c>
      <c r="N493" s="22"/>
      <c r="O493" s="54">
        <f>SUM(O489:O491)</f>
        <v>0.92949407965554354</v>
      </c>
    </row>
    <row r="494" spans="1:15" x14ac:dyDescent="0.2">
      <c r="A494" s="37"/>
    </row>
    <row r="495" spans="1:15" ht="12" customHeight="1" x14ac:dyDescent="0.2">
      <c r="A495" s="121" t="s">
        <v>188</v>
      </c>
      <c r="B495" s="122" t="s">
        <v>100</v>
      </c>
      <c r="C495" s="122"/>
      <c r="D495" s="122" t="s">
        <v>80</v>
      </c>
      <c r="E495" s="122"/>
      <c r="F495" s="123" t="s">
        <v>136</v>
      </c>
      <c r="G495" s="123"/>
      <c r="H495" s="122" t="s">
        <v>82</v>
      </c>
      <c r="I495" s="122"/>
      <c r="J495" s="122" t="s">
        <v>81</v>
      </c>
      <c r="K495" s="122"/>
      <c r="L495" s="122" t="s">
        <v>98</v>
      </c>
      <c r="M495" s="122"/>
      <c r="N495" s="116" t="s">
        <v>1</v>
      </c>
      <c r="O495" s="116"/>
    </row>
    <row r="496" spans="1:15" x14ac:dyDescent="0.2">
      <c r="A496" s="20" t="s">
        <v>144</v>
      </c>
      <c r="B496" s="28">
        <v>12</v>
      </c>
      <c r="C496" s="29">
        <f>B496/B501</f>
        <v>3.6585365853658534E-2</v>
      </c>
      <c r="D496" s="28"/>
      <c r="E496" s="29">
        <f>D496/D501</f>
        <v>0</v>
      </c>
      <c r="F496" s="28">
        <v>10</v>
      </c>
      <c r="G496" s="29">
        <f>F496/F501</f>
        <v>8.4745762711864403E-2</v>
      </c>
      <c r="H496" s="28">
        <v>30</v>
      </c>
      <c r="I496" s="29">
        <f>H496/H501</f>
        <v>5.8139534883720929E-2</v>
      </c>
      <c r="J496" s="28">
        <v>13</v>
      </c>
      <c r="K496" s="29">
        <f>J496/J501</f>
        <v>5.4166666666666669E-2</v>
      </c>
      <c r="L496" s="28">
        <v>35</v>
      </c>
      <c r="M496" s="29">
        <f>L496/L501</f>
        <v>5.4432348367029551E-2</v>
      </c>
      <c r="N496" s="21">
        <f>B496+D496+F496+H496+J496+L496</f>
        <v>100</v>
      </c>
      <c r="O496" s="29">
        <f>N496/N501</f>
        <v>5.3821313240043057E-2</v>
      </c>
    </row>
    <row r="497" spans="1:15" x14ac:dyDescent="0.2">
      <c r="A497" s="20" t="s">
        <v>143</v>
      </c>
      <c r="B497" s="28">
        <v>44</v>
      </c>
      <c r="C497" s="29">
        <f>B497/B501</f>
        <v>0.13414634146341464</v>
      </c>
      <c r="D497" s="28">
        <v>2</v>
      </c>
      <c r="E497" s="29">
        <f>D497/D501</f>
        <v>0.15384615384615385</v>
      </c>
      <c r="F497" s="28">
        <v>10</v>
      </c>
      <c r="G497" s="29">
        <f>F497/F501</f>
        <v>8.4745762711864403E-2</v>
      </c>
      <c r="H497" s="28">
        <v>90</v>
      </c>
      <c r="I497" s="29">
        <f>H497/H501</f>
        <v>0.1744186046511628</v>
      </c>
      <c r="J497" s="28">
        <v>43</v>
      </c>
      <c r="K497" s="29">
        <f>J497/J501</f>
        <v>0.17916666666666667</v>
      </c>
      <c r="L497" s="28">
        <v>108</v>
      </c>
      <c r="M497" s="29">
        <f>L497/L501</f>
        <v>0.16796267496111975</v>
      </c>
      <c r="N497" s="21">
        <f t="shared" ref="N497:N500" si="138">B497+D497+F497+H497+J497+L497</f>
        <v>297</v>
      </c>
      <c r="O497" s="29">
        <f>N497/N501</f>
        <v>0.15984930032292788</v>
      </c>
    </row>
    <row r="498" spans="1:15" x14ac:dyDescent="0.2">
      <c r="A498" s="20" t="s">
        <v>142</v>
      </c>
      <c r="B498" s="28">
        <v>83</v>
      </c>
      <c r="C498" s="29">
        <f>B498/B501</f>
        <v>0.25304878048780488</v>
      </c>
      <c r="D498" s="28">
        <v>5</v>
      </c>
      <c r="E498" s="29">
        <f>D498/D501</f>
        <v>0.38461538461538464</v>
      </c>
      <c r="F498" s="28">
        <v>25</v>
      </c>
      <c r="G498" s="29">
        <f>F498/F501</f>
        <v>0.21186440677966101</v>
      </c>
      <c r="H498" s="28">
        <v>128</v>
      </c>
      <c r="I498" s="29">
        <f>H498/H501</f>
        <v>0.24806201550387597</v>
      </c>
      <c r="J498" s="28">
        <v>56</v>
      </c>
      <c r="K498" s="29">
        <f>J498/J501</f>
        <v>0.23333333333333334</v>
      </c>
      <c r="L498" s="28">
        <v>138</v>
      </c>
      <c r="M498" s="29">
        <f>L498/L501</f>
        <v>0.21461897356143078</v>
      </c>
      <c r="N498" s="21">
        <f t="shared" si="138"/>
        <v>435</v>
      </c>
      <c r="O498" s="29">
        <f>N498/N501</f>
        <v>0.23412271259418729</v>
      </c>
    </row>
    <row r="499" spans="1:15" x14ac:dyDescent="0.2">
      <c r="A499" s="20" t="s">
        <v>141</v>
      </c>
      <c r="B499" s="28">
        <v>99</v>
      </c>
      <c r="C499" s="29">
        <f>B499/B501</f>
        <v>0.30182926829268292</v>
      </c>
      <c r="D499" s="28">
        <v>3</v>
      </c>
      <c r="E499" s="29">
        <f>D499/D501</f>
        <v>0.23076923076923078</v>
      </c>
      <c r="F499" s="28">
        <v>26</v>
      </c>
      <c r="G499" s="29">
        <f>F499/F501</f>
        <v>0.22033898305084745</v>
      </c>
      <c r="H499" s="28">
        <v>125</v>
      </c>
      <c r="I499" s="29">
        <f>H499/H501</f>
        <v>0.24224806201550386</v>
      </c>
      <c r="J499" s="28">
        <v>61</v>
      </c>
      <c r="K499" s="29">
        <f>J499/J501</f>
        <v>0.25416666666666665</v>
      </c>
      <c r="L499" s="28">
        <v>167</v>
      </c>
      <c r="M499" s="29">
        <f>L499/L501</f>
        <v>0.25972006220839816</v>
      </c>
      <c r="N499" s="21">
        <f t="shared" si="138"/>
        <v>481</v>
      </c>
      <c r="O499" s="29">
        <f>N499/N501</f>
        <v>0.2588805166846071</v>
      </c>
    </row>
    <row r="500" spans="1:15" x14ac:dyDescent="0.2">
      <c r="A500" s="20" t="s">
        <v>140</v>
      </c>
      <c r="B500" s="28">
        <v>90</v>
      </c>
      <c r="C500" s="29">
        <f>B500/B501</f>
        <v>0.27439024390243905</v>
      </c>
      <c r="D500" s="28">
        <v>3</v>
      </c>
      <c r="E500" s="29">
        <f>D500/D501</f>
        <v>0.23076923076923078</v>
      </c>
      <c r="F500" s="28">
        <v>47</v>
      </c>
      <c r="G500" s="29">
        <f>F500/F501</f>
        <v>0.39830508474576271</v>
      </c>
      <c r="H500" s="28">
        <v>143</v>
      </c>
      <c r="I500" s="29">
        <f>H500/H501</f>
        <v>0.27713178294573643</v>
      </c>
      <c r="J500" s="28">
        <v>67</v>
      </c>
      <c r="K500" s="29">
        <f>J500/J501</f>
        <v>0.27916666666666667</v>
      </c>
      <c r="L500" s="28">
        <v>195</v>
      </c>
      <c r="M500" s="29">
        <f>L500/L501</f>
        <v>0.30326594090202175</v>
      </c>
      <c r="N500" s="21">
        <f t="shared" si="138"/>
        <v>545</v>
      </c>
      <c r="O500" s="29">
        <f>N500/N501</f>
        <v>0.29332615715823468</v>
      </c>
    </row>
    <row r="501" spans="1:15" x14ac:dyDescent="0.2">
      <c r="A501" s="73" t="s">
        <v>1</v>
      </c>
      <c r="B501" s="22">
        <f>SUM(B496:B500)</f>
        <v>328</v>
      </c>
      <c r="C501" s="29">
        <f>SUM(C496:C500)</f>
        <v>1</v>
      </c>
      <c r="D501" s="22">
        <f>SUM(D496:D500)</f>
        <v>13</v>
      </c>
      <c r="E501" s="29">
        <f>SUM(E496:E500)</f>
        <v>1.0000000000000002</v>
      </c>
      <c r="F501" s="22">
        <f>SUM(F496:F500)</f>
        <v>118</v>
      </c>
      <c r="G501" s="29">
        <f>SUM(G496:G500)</f>
        <v>1</v>
      </c>
      <c r="H501" s="22">
        <f>SUM(H496:H500)</f>
        <v>516</v>
      </c>
      <c r="I501" s="29">
        <f>SUM(I496:I500)</f>
        <v>1</v>
      </c>
      <c r="J501" s="22">
        <f>SUM(J496:J500)</f>
        <v>240</v>
      </c>
      <c r="K501" s="29">
        <f>SUM(K496:K500)</f>
        <v>1</v>
      </c>
      <c r="L501" s="22">
        <f>SUM(L496:L500)</f>
        <v>643</v>
      </c>
      <c r="M501" s="29">
        <f>SUM(M496:M500)</f>
        <v>1</v>
      </c>
      <c r="N501" s="22">
        <f>SUM(N496:N500)</f>
        <v>1858</v>
      </c>
      <c r="O501" s="29">
        <f>SUM(O496:O500)</f>
        <v>1</v>
      </c>
    </row>
    <row r="502" spans="1:15" x14ac:dyDescent="0.2">
      <c r="A502" s="73" t="s">
        <v>145</v>
      </c>
      <c r="B502" s="28"/>
      <c r="C502" s="54">
        <f>SUM(C498:C500)</f>
        <v>0.8292682926829269</v>
      </c>
      <c r="D502" s="28"/>
      <c r="E502" s="54">
        <f>SUM(E498:E500)</f>
        <v>0.84615384615384626</v>
      </c>
      <c r="F502" s="28"/>
      <c r="G502" s="54">
        <f>SUM(G498:G500)</f>
        <v>0.83050847457627119</v>
      </c>
      <c r="H502" s="28"/>
      <c r="I502" s="54">
        <f>SUM(I498:I500)</f>
        <v>0.76744186046511631</v>
      </c>
      <c r="J502" s="28"/>
      <c r="K502" s="54">
        <f>SUM(K498:K500)</f>
        <v>0.76666666666666661</v>
      </c>
      <c r="L502" s="28"/>
      <c r="M502" s="54">
        <f>SUM(M498:M500)</f>
        <v>0.77760497667185069</v>
      </c>
      <c r="N502" s="22"/>
      <c r="O502" s="54">
        <f>SUM(O498:O500)</f>
        <v>0.7863293864370291</v>
      </c>
    </row>
    <row r="503" spans="1:15" x14ac:dyDescent="0.2">
      <c r="A503" s="37"/>
    </row>
    <row r="504" spans="1:15" ht="12" customHeight="1" x14ac:dyDescent="0.2">
      <c r="A504" s="121" t="s">
        <v>148</v>
      </c>
      <c r="B504" s="122" t="s">
        <v>100</v>
      </c>
      <c r="C504" s="122"/>
      <c r="D504" s="122" t="s">
        <v>80</v>
      </c>
      <c r="E504" s="122"/>
      <c r="F504" s="123" t="s">
        <v>136</v>
      </c>
      <c r="G504" s="123"/>
      <c r="H504" s="122" t="s">
        <v>82</v>
      </c>
      <c r="I504" s="122"/>
      <c r="J504" s="122" t="s">
        <v>81</v>
      </c>
      <c r="K504" s="122"/>
      <c r="L504" s="122" t="s">
        <v>98</v>
      </c>
      <c r="M504" s="122"/>
      <c r="N504" s="116" t="s">
        <v>1</v>
      </c>
      <c r="O504" s="116"/>
    </row>
    <row r="505" spans="1:15" x14ac:dyDescent="0.2">
      <c r="A505" s="20" t="s">
        <v>144</v>
      </c>
      <c r="B505" s="28">
        <v>4</v>
      </c>
      <c r="C505" s="29">
        <f>B505/B510</f>
        <v>1.2195121951219513E-2</v>
      </c>
      <c r="D505" s="28"/>
      <c r="E505" s="29">
        <f>D505/D510</f>
        <v>0</v>
      </c>
      <c r="F505" s="28">
        <v>2</v>
      </c>
      <c r="G505" s="29">
        <f>F505/F510</f>
        <v>1.6666666666666666E-2</v>
      </c>
      <c r="H505" s="28">
        <v>9</v>
      </c>
      <c r="I505" s="29">
        <f>H505/H510</f>
        <v>1.7374517374517374E-2</v>
      </c>
      <c r="J505" s="28">
        <v>5</v>
      </c>
      <c r="K505" s="29">
        <f>J505/J510</f>
        <v>2.1186440677966101E-2</v>
      </c>
      <c r="L505" s="28">
        <v>13</v>
      </c>
      <c r="M505" s="29">
        <f>L505/L510</f>
        <v>2.0408163265306121E-2</v>
      </c>
      <c r="N505" s="21">
        <f>B505+D505+F505+H505+J505+L505</f>
        <v>33</v>
      </c>
      <c r="O505" s="29">
        <f>N505/N510</f>
        <v>1.7818574514038878E-2</v>
      </c>
    </row>
    <row r="506" spans="1:15" x14ac:dyDescent="0.2">
      <c r="A506" s="20" t="s">
        <v>143</v>
      </c>
      <c r="B506" s="28">
        <v>10</v>
      </c>
      <c r="C506" s="29">
        <f>B506/B510</f>
        <v>3.048780487804878E-2</v>
      </c>
      <c r="D506" s="28">
        <v>1</v>
      </c>
      <c r="E506" s="29">
        <f>D506/D510</f>
        <v>7.6923076923076927E-2</v>
      </c>
      <c r="F506" s="28">
        <v>1</v>
      </c>
      <c r="G506" s="29">
        <f>F506/F510</f>
        <v>8.3333333333333332E-3</v>
      </c>
      <c r="H506" s="28">
        <v>16</v>
      </c>
      <c r="I506" s="29">
        <f>H506/H510</f>
        <v>3.0888030888030889E-2</v>
      </c>
      <c r="J506" s="28">
        <v>3</v>
      </c>
      <c r="K506" s="29">
        <f>J506/J510</f>
        <v>1.2711864406779662E-2</v>
      </c>
      <c r="L506" s="28">
        <v>16</v>
      </c>
      <c r="M506" s="29">
        <f>L506/L510</f>
        <v>2.5117739403453691E-2</v>
      </c>
      <c r="N506" s="21">
        <f t="shared" ref="N506:N509" si="139">B506+D506+F506+H506+J506+L506</f>
        <v>47</v>
      </c>
      <c r="O506" s="29">
        <f>N506/N510</f>
        <v>2.5377969762419007E-2</v>
      </c>
    </row>
    <row r="507" spans="1:15" x14ac:dyDescent="0.2">
      <c r="A507" s="20" t="s">
        <v>142</v>
      </c>
      <c r="B507" s="28">
        <v>16</v>
      </c>
      <c r="C507" s="29">
        <f>B507/B510</f>
        <v>4.878048780487805E-2</v>
      </c>
      <c r="D507" s="28">
        <v>1</v>
      </c>
      <c r="E507" s="29">
        <f>D507/D510</f>
        <v>7.6923076923076927E-2</v>
      </c>
      <c r="F507" s="28">
        <v>6</v>
      </c>
      <c r="G507" s="29">
        <f>F507/F510</f>
        <v>0.05</v>
      </c>
      <c r="H507" s="28">
        <v>20</v>
      </c>
      <c r="I507" s="29">
        <f>H507/H510</f>
        <v>3.8610038610038609E-2</v>
      </c>
      <c r="J507" s="28">
        <v>5</v>
      </c>
      <c r="K507" s="29">
        <f>J507/J510</f>
        <v>2.1186440677966101E-2</v>
      </c>
      <c r="L507" s="28">
        <v>37</v>
      </c>
      <c r="M507" s="29">
        <f>L507/L510</f>
        <v>5.8084772370486655E-2</v>
      </c>
      <c r="N507" s="21">
        <f t="shared" si="139"/>
        <v>85</v>
      </c>
      <c r="O507" s="29">
        <f>N507/N510</f>
        <v>4.5896328293736501E-2</v>
      </c>
    </row>
    <row r="508" spans="1:15" x14ac:dyDescent="0.2">
      <c r="A508" s="20" t="s">
        <v>141</v>
      </c>
      <c r="B508" s="28">
        <v>34</v>
      </c>
      <c r="C508" s="29">
        <f>B508/B510</f>
        <v>0.10365853658536585</v>
      </c>
      <c r="D508" s="28"/>
      <c r="E508" s="29">
        <f>D508/D510</f>
        <v>0</v>
      </c>
      <c r="F508" s="28">
        <v>8</v>
      </c>
      <c r="G508" s="29">
        <f>F508/F510</f>
        <v>6.6666666666666666E-2</v>
      </c>
      <c r="H508" s="28">
        <v>56</v>
      </c>
      <c r="I508" s="29">
        <f>H508/H510</f>
        <v>0.10810810810810811</v>
      </c>
      <c r="J508" s="28">
        <v>20</v>
      </c>
      <c r="K508" s="29">
        <f>J508/J510</f>
        <v>8.4745762711864403E-2</v>
      </c>
      <c r="L508" s="28">
        <v>64</v>
      </c>
      <c r="M508" s="29">
        <f>L508/L510</f>
        <v>0.10047095761381476</v>
      </c>
      <c r="N508" s="21">
        <f t="shared" si="139"/>
        <v>182</v>
      </c>
      <c r="O508" s="29">
        <f>N508/N510</f>
        <v>9.827213822894168E-2</v>
      </c>
    </row>
    <row r="509" spans="1:15" x14ac:dyDescent="0.2">
      <c r="A509" s="20" t="s">
        <v>140</v>
      </c>
      <c r="B509" s="28">
        <v>264</v>
      </c>
      <c r="C509" s="29">
        <f>B509/B510</f>
        <v>0.80487804878048785</v>
      </c>
      <c r="D509" s="28">
        <v>11</v>
      </c>
      <c r="E509" s="29">
        <f>D509/D510</f>
        <v>0.84615384615384615</v>
      </c>
      <c r="F509" s="28">
        <v>103</v>
      </c>
      <c r="G509" s="29">
        <f>F509/F510</f>
        <v>0.85833333333333328</v>
      </c>
      <c r="H509" s="28">
        <v>417</v>
      </c>
      <c r="I509" s="29">
        <f>H509/H510</f>
        <v>0.80501930501930496</v>
      </c>
      <c r="J509" s="28">
        <v>203</v>
      </c>
      <c r="K509" s="29">
        <f>J509/J510</f>
        <v>0.86016949152542377</v>
      </c>
      <c r="L509" s="28">
        <v>507</v>
      </c>
      <c r="M509" s="29">
        <f>L509/L510</f>
        <v>0.79591836734693877</v>
      </c>
      <c r="N509" s="21">
        <f t="shared" si="139"/>
        <v>1505</v>
      </c>
      <c r="O509" s="29">
        <f>N509/N510</f>
        <v>0.81263498920086397</v>
      </c>
    </row>
    <row r="510" spans="1:15" x14ac:dyDescent="0.2">
      <c r="A510" s="73" t="s">
        <v>1</v>
      </c>
      <c r="B510" s="22">
        <f>SUM(B505:B509)</f>
        <v>328</v>
      </c>
      <c r="C510" s="29">
        <f>SUM(C505:C509)</f>
        <v>1</v>
      </c>
      <c r="D510" s="22">
        <f>SUM(D505:D509)</f>
        <v>13</v>
      </c>
      <c r="E510" s="29">
        <f>SUM(E505:E509)</f>
        <v>1</v>
      </c>
      <c r="F510" s="22">
        <f>SUM(F505:F509)</f>
        <v>120</v>
      </c>
      <c r="G510" s="29">
        <f>SUM(G505:G509)</f>
        <v>1</v>
      </c>
      <c r="H510" s="22">
        <f>SUM(H505:H509)</f>
        <v>518</v>
      </c>
      <c r="I510" s="29">
        <f>SUM(I505:I509)</f>
        <v>1</v>
      </c>
      <c r="J510" s="22">
        <f>SUM(J505:J509)</f>
        <v>236</v>
      </c>
      <c r="K510" s="29">
        <f>SUM(K505:K509)</f>
        <v>1</v>
      </c>
      <c r="L510" s="22">
        <f>SUM(L505:L509)</f>
        <v>637</v>
      </c>
      <c r="M510" s="29">
        <f>SUM(M505:M509)</f>
        <v>1</v>
      </c>
      <c r="N510" s="22">
        <f>SUM(N505:N509)</f>
        <v>1852</v>
      </c>
      <c r="O510" s="29">
        <f>SUM(O505:O509)</f>
        <v>1</v>
      </c>
    </row>
    <row r="511" spans="1:15" x14ac:dyDescent="0.2">
      <c r="A511" s="73" t="s">
        <v>145</v>
      </c>
      <c r="B511" s="28"/>
      <c r="C511" s="54">
        <f>SUM(C507:C509)</f>
        <v>0.95731707317073178</v>
      </c>
      <c r="D511" s="28"/>
      <c r="E511" s="54">
        <f>SUM(E507:E509)</f>
        <v>0.92307692307692313</v>
      </c>
      <c r="F511" s="28"/>
      <c r="G511" s="54">
        <f>SUM(G507:G509)</f>
        <v>0.97499999999999998</v>
      </c>
      <c r="H511" s="28"/>
      <c r="I511" s="54">
        <f>SUM(I507:I509)</f>
        <v>0.95173745173745172</v>
      </c>
      <c r="J511" s="28"/>
      <c r="K511" s="54">
        <f>SUM(K507:K509)</f>
        <v>0.96610169491525433</v>
      </c>
      <c r="L511" s="28"/>
      <c r="M511" s="54">
        <f>SUM(M507:M509)</f>
        <v>0.95447409733124022</v>
      </c>
      <c r="N511" s="22"/>
      <c r="O511" s="54">
        <f>SUM(O507:O509)</f>
        <v>0.95680345572354208</v>
      </c>
    </row>
    <row r="513" spans="1:15" x14ac:dyDescent="0.2">
      <c r="A513" s="84" t="s">
        <v>189</v>
      </c>
    </row>
    <row r="514" spans="1:15" ht="12" customHeight="1" x14ac:dyDescent="0.2">
      <c r="A514" s="121" t="s">
        <v>150</v>
      </c>
      <c r="B514" s="122" t="s">
        <v>100</v>
      </c>
      <c r="C514" s="122"/>
      <c r="D514" s="122" t="s">
        <v>80</v>
      </c>
      <c r="E514" s="122"/>
      <c r="F514" s="123" t="s">
        <v>136</v>
      </c>
      <c r="G514" s="123"/>
      <c r="H514" s="122" t="s">
        <v>82</v>
      </c>
      <c r="I514" s="122"/>
      <c r="J514" s="122" t="s">
        <v>81</v>
      </c>
      <c r="K514" s="122"/>
      <c r="L514" s="122" t="s">
        <v>98</v>
      </c>
      <c r="M514" s="122"/>
      <c r="N514" s="116" t="s">
        <v>1</v>
      </c>
      <c r="O514" s="116"/>
    </row>
    <row r="515" spans="1:15" x14ac:dyDescent="0.2">
      <c r="A515" s="20" t="s">
        <v>144</v>
      </c>
      <c r="B515" s="28">
        <v>61</v>
      </c>
      <c r="C515" s="29">
        <f>B515/B520</f>
        <v>0.18541033434650456</v>
      </c>
      <c r="D515" s="28">
        <v>3</v>
      </c>
      <c r="E515" s="29">
        <f>D515/D520</f>
        <v>0.23076923076923078</v>
      </c>
      <c r="F515" s="28">
        <v>17</v>
      </c>
      <c r="G515" s="29">
        <f>F515/F520</f>
        <v>0.14655172413793102</v>
      </c>
      <c r="H515" s="28">
        <v>118</v>
      </c>
      <c r="I515" s="29">
        <f>H515/H520</f>
        <v>0.22692307692307692</v>
      </c>
      <c r="J515" s="28">
        <v>33</v>
      </c>
      <c r="K515" s="29">
        <f>J515/J520</f>
        <v>0.13750000000000001</v>
      </c>
      <c r="L515" s="28">
        <v>100</v>
      </c>
      <c r="M515" s="29">
        <f>L515/L520</f>
        <v>0.15625</v>
      </c>
      <c r="N515" s="21">
        <f>B515+D515+F515+H515+J515+L515</f>
        <v>332</v>
      </c>
      <c r="O515" s="29">
        <f>N515/N520</f>
        <v>0.17868675995694294</v>
      </c>
    </row>
    <row r="516" spans="1:15" x14ac:dyDescent="0.2">
      <c r="A516" s="20" t="s">
        <v>143</v>
      </c>
      <c r="B516" s="28">
        <v>16</v>
      </c>
      <c r="C516" s="29">
        <f>B516/B520</f>
        <v>4.8632218844984802E-2</v>
      </c>
      <c r="D516" s="28">
        <v>1</v>
      </c>
      <c r="E516" s="29">
        <f>D516/D520</f>
        <v>7.6923076923076927E-2</v>
      </c>
      <c r="F516" s="28">
        <v>12</v>
      </c>
      <c r="G516" s="29">
        <f>F516/F520</f>
        <v>0.10344827586206896</v>
      </c>
      <c r="H516" s="28">
        <v>42</v>
      </c>
      <c r="I516" s="29">
        <f>H516/H520</f>
        <v>8.0769230769230774E-2</v>
      </c>
      <c r="J516" s="28">
        <v>18</v>
      </c>
      <c r="K516" s="29">
        <f>J516/J520</f>
        <v>7.4999999999999997E-2</v>
      </c>
      <c r="L516" s="28">
        <v>42</v>
      </c>
      <c r="M516" s="29">
        <f>L516/L520</f>
        <v>6.5625000000000003E-2</v>
      </c>
      <c r="N516" s="21">
        <f t="shared" ref="N516:N519" si="140">B516+D516+F516+H516+J516+L516</f>
        <v>131</v>
      </c>
      <c r="O516" s="29">
        <f>N516/N520</f>
        <v>7.0505920344456408E-2</v>
      </c>
    </row>
    <row r="517" spans="1:15" x14ac:dyDescent="0.2">
      <c r="A517" s="20" t="s">
        <v>142</v>
      </c>
      <c r="B517" s="28">
        <v>26</v>
      </c>
      <c r="C517" s="29">
        <f>B517/B520</f>
        <v>7.9027355623100301E-2</v>
      </c>
      <c r="D517" s="28">
        <v>1</v>
      </c>
      <c r="E517" s="29">
        <f>D517/D520</f>
        <v>7.6923076923076927E-2</v>
      </c>
      <c r="F517" s="28">
        <v>10</v>
      </c>
      <c r="G517" s="29">
        <f>F517/F520</f>
        <v>8.6206896551724144E-2</v>
      </c>
      <c r="H517" s="28">
        <v>39</v>
      </c>
      <c r="I517" s="29">
        <f>H517/H520</f>
        <v>7.4999999999999997E-2</v>
      </c>
      <c r="J517" s="28">
        <v>23</v>
      </c>
      <c r="K517" s="29">
        <f>J517/J520</f>
        <v>9.583333333333334E-2</v>
      </c>
      <c r="L517" s="28">
        <v>46</v>
      </c>
      <c r="M517" s="29">
        <f>L517/L520</f>
        <v>7.1874999999999994E-2</v>
      </c>
      <c r="N517" s="21">
        <f t="shared" si="140"/>
        <v>145</v>
      </c>
      <c r="O517" s="29">
        <f>N517/N520</f>
        <v>7.8040904198062436E-2</v>
      </c>
    </row>
    <row r="518" spans="1:15" x14ac:dyDescent="0.2">
      <c r="A518" s="20" t="s">
        <v>141</v>
      </c>
      <c r="B518" s="28">
        <v>52</v>
      </c>
      <c r="C518" s="29">
        <f>B518/B520</f>
        <v>0.1580547112462006</v>
      </c>
      <c r="D518" s="28">
        <v>2</v>
      </c>
      <c r="E518" s="29">
        <f>D518/D520</f>
        <v>0.15384615384615385</v>
      </c>
      <c r="F518" s="28">
        <v>17</v>
      </c>
      <c r="G518" s="29">
        <f>F518/F520</f>
        <v>0.14655172413793102</v>
      </c>
      <c r="H518" s="28">
        <v>69</v>
      </c>
      <c r="I518" s="29">
        <f>H518/H520</f>
        <v>0.13269230769230769</v>
      </c>
      <c r="J518" s="28">
        <v>36</v>
      </c>
      <c r="K518" s="29">
        <f>J518/J520</f>
        <v>0.15</v>
      </c>
      <c r="L518" s="28">
        <v>86</v>
      </c>
      <c r="M518" s="29">
        <f>L518/L520</f>
        <v>0.13437499999999999</v>
      </c>
      <c r="N518" s="21">
        <f t="shared" si="140"/>
        <v>262</v>
      </c>
      <c r="O518" s="29">
        <f>N518/N520</f>
        <v>0.14101184068891282</v>
      </c>
    </row>
    <row r="519" spans="1:15" x14ac:dyDescent="0.2">
      <c r="A519" s="20" t="s">
        <v>140</v>
      </c>
      <c r="B519" s="28">
        <v>174</v>
      </c>
      <c r="C519" s="29">
        <f>B519/B520</f>
        <v>0.52887537993920974</v>
      </c>
      <c r="D519" s="28">
        <v>6</v>
      </c>
      <c r="E519" s="29">
        <f>D519/D520</f>
        <v>0.46153846153846156</v>
      </c>
      <c r="F519" s="28">
        <v>60</v>
      </c>
      <c r="G519" s="29">
        <f>F519/F520</f>
        <v>0.51724137931034486</v>
      </c>
      <c r="H519" s="28">
        <v>252</v>
      </c>
      <c r="I519" s="29">
        <f>H519/H520</f>
        <v>0.48461538461538461</v>
      </c>
      <c r="J519" s="28">
        <v>130</v>
      </c>
      <c r="K519" s="29">
        <f>J519/J520</f>
        <v>0.54166666666666663</v>
      </c>
      <c r="L519" s="28">
        <v>366</v>
      </c>
      <c r="M519" s="29">
        <f>L519/L520</f>
        <v>0.57187500000000002</v>
      </c>
      <c r="N519" s="21">
        <f t="shared" si="140"/>
        <v>988</v>
      </c>
      <c r="O519" s="29">
        <f>N519/N520</f>
        <v>0.53175457481162536</v>
      </c>
    </row>
    <row r="520" spans="1:15" x14ac:dyDescent="0.2">
      <c r="A520" s="73" t="s">
        <v>1</v>
      </c>
      <c r="B520" s="22">
        <f>SUM(B515:B519)</f>
        <v>329</v>
      </c>
      <c r="C520" s="29">
        <f>SUM(C515:C519)</f>
        <v>1</v>
      </c>
      <c r="D520" s="22">
        <f>SUM(D515:D519)</f>
        <v>13</v>
      </c>
      <c r="E520" s="29">
        <f>SUM(E515:E519)</f>
        <v>1</v>
      </c>
      <c r="F520" s="22">
        <f>SUM(F515:F519)</f>
        <v>116</v>
      </c>
      <c r="G520" s="29">
        <f>SUM(G515:G519)</f>
        <v>1</v>
      </c>
      <c r="H520" s="22">
        <f>SUM(H515:H519)</f>
        <v>520</v>
      </c>
      <c r="I520" s="29">
        <f>SUM(I515:I519)</f>
        <v>1</v>
      </c>
      <c r="J520" s="22">
        <f>SUM(J515:J519)</f>
        <v>240</v>
      </c>
      <c r="K520" s="29">
        <f>SUM(K515:K519)</f>
        <v>1</v>
      </c>
      <c r="L520" s="22">
        <f>SUM(L515:L519)</f>
        <v>640</v>
      </c>
      <c r="M520" s="29">
        <f>SUM(M515:M519)</f>
        <v>1</v>
      </c>
      <c r="N520" s="22">
        <f>SUM(N515:N519)</f>
        <v>1858</v>
      </c>
      <c r="O520" s="29">
        <f>SUM(O515:O519)</f>
        <v>1</v>
      </c>
    </row>
    <row r="521" spans="1:15" x14ac:dyDescent="0.2">
      <c r="A521" s="73" t="s">
        <v>145</v>
      </c>
      <c r="B521" s="28"/>
      <c r="C521" s="54">
        <f>SUM(C517:C519)</f>
        <v>0.76595744680851063</v>
      </c>
      <c r="D521" s="28"/>
      <c r="E521" s="54">
        <f>SUM(E517:E519)</f>
        <v>0.69230769230769229</v>
      </c>
      <c r="F521" s="28"/>
      <c r="G521" s="54">
        <f>SUM(G517:G519)</f>
        <v>0.75</v>
      </c>
      <c r="H521" s="28"/>
      <c r="I521" s="54">
        <f>SUM(I517:I519)</f>
        <v>0.69230769230769229</v>
      </c>
      <c r="J521" s="28"/>
      <c r="K521" s="54">
        <f>SUM(K517:K519)</f>
        <v>0.78749999999999998</v>
      </c>
      <c r="L521" s="28"/>
      <c r="M521" s="54">
        <f>SUM(M517:M519)</f>
        <v>0.77812499999999996</v>
      </c>
      <c r="N521" s="22"/>
      <c r="O521" s="54">
        <f>SUM(O517:O519)</f>
        <v>0.75080731969860059</v>
      </c>
    </row>
    <row r="523" spans="1:15" ht="12" customHeight="1" x14ac:dyDescent="0.2">
      <c r="A523" s="121" t="s">
        <v>190</v>
      </c>
      <c r="B523" s="122" t="s">
        <v>100</v>
      </c>
      <c r="C523" s="122"/>
      <c r="D523" s="122" t="s">
        <v>80</v>
      </c>
      <c r="E523" s="122"/>
      <c r="F523" s="123" t="s">
        <v>136</v>
      </c>
      <c r="G523" s="123"/>
      <c r="H523" s="122" t="s">
        <v>82</v>
      </c>
      <c r="I523" s="122"/>
      <c r="J523" s="122" t="s">
        <v>81</v>
      </c>
      <c r="K523" s="122"/>
      <c r="L523" s="122" t="s">
        <v>98</v>
      </c>
      <c r="M523" s="122"/>
      <c r="N523" s="116" t="s">
        <v>1</v>
      </c>
      <c r="O523" s="116"/>
    </row>
    <row r="524" spans="1:15" x14ac:dyDescent="0.2">
      <c r="A524" s="20" t="s">
        <v>144</v>
      </c>
      <c r="B524" s="28">
        <v>216</v>
      </c>
      <c r="C524" s="29">
        <f>B524/B529</f>
        <v>0.66257668711656437</v>
      </c>
      <c r="D524" s="28">
        <v>11</v>
      </c>
      <c r="E524" s="29">
        <f>D524/D529</f>
        <v>0.84615384615384615</v>
      </c>
      <c r="F524" s="28">
        <v>73</v>
      </c>
      <c r="G524" s="29">
        <f>F524/F529</f>
        <v>0.64035087719298245</v>
      </c>
      <c r="H524" s="28">
        <v>347</v>
      </c>
      <c r="I524" s="29">
        <f>H524/H529</f>
        <v>0.67378640776699028</v>
      </c>
      <c r="J524" s="28">
        <v>138</v>
      </c>
      <c r="K524" s="29">
        <f>J524/J529</f>
        <v>0.58723404255319145</v>
      </c>
      <c r="L524" s="28">
        <v>437</v>
      </c>
      <c r="M524" s="29">
        <f>L524/L529</f>
        <v>0.68818897637795273</v>
      </c>
      <c r="N524" s="21">
        <f>B524+D524+F524+H524+J524+L524</f>
        <v>1222</v>
      </c>
      <c r="O524" s="29">
        <f>N524/N529</f>
        <v>0.66485310119695318</v>
      </c>
    </row>
    <row r="525" spans="1:15" x14ac:dyDescent="0.2">
      <c r="A525" s="20" t="s">
        <v>143</v>
      </c>
      <c r="B525" s="28">
        <v>40</v>
      </c>
      <c r="C525" s="29">
        <f>B525/B529</f>
        <v>0.12269938650306748</v>
      </c>
      <c r="D525" s="28"/>
      <c r="E525" s="29">
        <f>D525/D529</f>
        <v>0</v>
      </c>
      <c r="F525" s="28">
        <v>11</v>
      </c>
      <c r="G525" s="29">
        <f>F525/F529</f>
        <v>9.6491228070175433E-2</v>
      </c>
      <c r="H525" s="28">
        <v>63</v>
      </c>
      <c r="I525" s="29">
        <f>H525/H529</f>
        <v>0.12233009708737864</v>
      </c>
      <c r="J525" s="28">
        <v>31</v>
      </c>
      <c r="K525" s="29">
        <f>J525/J529</f>
        <v>0.13191489361702127</v>
      </c>
      <c r="L525" s="28">
        <v>65</v>
      </c>
      <c r="M525" s="29">
        <f>L525/L529</f>
        <v>0.10236220472440945</v>
      </c>
      <c r="N525" s="21">
        <f t="shared" ref="N525:N528" si="141">B525+D525+F525+H525+J525+L525</f>
        <v>210</v>
      </c>
      <c r="O525" s="29">
        <f>N525/N529</f>
        <v>0.11425462459194777</v>
      </c>
    </row>
    <row r="526" spans="1:15" x14ac:dyDescent="0.2">
      <c r="A526" s="20" t="s">
        <v>142</v>
      </c>
      <c r="B526" s="28">
        <v>19</v>
      </c>
      <c r="C526" s="29">
        <f>B526/B529</f>
        <v>5.8282208588957052E-2</v>
      </c>
      <c r="D526" s="28"/>
      <c r="E526" s="29">
        <f>D526/D529</f>
        <v>0</v>
      </c>
      <c r="F526" s="28">
        <v>5</v>
      </c>
      <c r="G526" s="29">
        <f>F526/F529</f>
        <v>4.3859649122807015E-2</v>
      </c>
      <c r="H526" s="28">
        <v>28</v>
      </c>
      <c r="I526" s="29">
        <f>H526/H529</f>
        <v>5.4368932038834951E-2</v>
      </c>
      <c r="J526" s="28">
        <v>16</v>
      </c>
      <c r="K526" s="29">
        <f>J526/J529</f>
        <v>6.8085106382978725E-2</v>
      </c>
      <c r="L526" s="28">
        <v>41</v>
      </c>
      <c r="M526" s="29">
        <f>L526/L529</f>
        <v>6.4566929133858267E-2</v>
      </c>
      <c r="N526" s="21">
        <f t="shared" si="141"/>
        <v>109</v>
      </c>
      <c r="O526" s="29">
        <f>N526/N529</f>
        <v>5.930359085963003E-2</v>
      </c>
    </row>
    <row r="527" spans="1:15" x14ac:dyDescent="0.2">
      <c r="A527" s="20" t="s">
        <v>141</v>
      </c>
      <c r="B527" s="28">
        <v>24</v>
      </c>
      <c r="C527" s="29">
        <f>B527/B529</f>
        <v>7.3619631901840496E-2</v>
      </c>
      <c r="D527" s="28"/>
      <c r="E527" s="29">
        <f>D527/D529</f>
        <v>0</v>
      </c>
      <c r="F527" s="28">
        <v>10</v>
      </c>
      <c r="G527" s="29">
        <f>F527/F529</f>
        <v>8.771929824561403E-2</v>
      </c>
      <c r="H527" s="28">
        <v>31</v>
      </c>
      <c r="I527" s="29">
        <f>H527/H529</f>
        <v>6.0194174757281553E-2</v>
      </c>
      <c r="J527" s="28">
        <v>18</v>
      </c>
      <c r="K527" s="29">
        <f>J527/J529</f>
        <v>7.6595744680851063E-2</v>
      </c>
      <c r="L527" s="28">
        <v>41</v>
      </c>
      <c r="M527" s="29">
        <f>L527/L529</f>
        <v>6.4566929133858267E-2</v>
      </c>
      <c r="N527" s="21">
        <f t="shared" si="141"/>
        <v>124</v>
      </c>
      <c r="O527" s="29">
        <f>N527/N529</f>
        <v>6.7464635473340584E-2</v>
      </c>
    </row>
    <row r="528" spans="1:15" x14ac:dyDescent="0.2">
      <c r="A528" s="20" t="s">
        <v>140</v>
      </c>
      <c r="B528" s="28">
        <v>27</v>
      </c>
      <c r="C528" s="29">
        <f>B528/B529</f>
        <v>8.2822085889570546E-2</v>
      </c>
      <c r="D528" s="28">
        <v>2</v>
      </c>
      <c r="E528" s="29">
        <f>D528/D529</f>
        <v>0.15384615384615385</v>
      </c>
      <c r="F528" s="28">
        <v>15</v>
      </c>
      <c r="G528" s="29">
        <f>F528/F529</f>
        <v>0.13157894736842105</v>
      </c>
      <c r="H528" s="28">
        <v>46</v>
      </c>
      <c r="I528" s="29">
        <f>H528/H529</f>
        <v>8.9320388349514557E-2</v>
      </c>
      <c r="J528" s="28">
        <v>32</v>
      </c>
      <c r="K528" s="29">
        <f>J528/J529</f>
        <v>0.13617021276595745</v>
      </c>
      <c r="L528" s="28">
        <v>51</v>
      </c>
      <c r="M528" s="29">
        <f>L528/L529</f>
        <v>8.0314960629921259E-2</v>
      </c>
      <c r="N528" s="21">
        <f t="shared" si="141"/>
        <v>173</v>
      </c>
      <c r="O528" s="29">
        <f>N528/N529</f>
        <v>9.4124047878128406E-2</v>
      </c>
    </row>
    <row r="529" spans="1:15" x14ac:dyDescent="0.2">
      <c r="A529" s="73" t="s">
        <v>1</v>
      </c>
      <c r="B529" s="22">
        <f>SUM(B524:B528)</f>
        <v>326</v>
      </c>
      <c r="C529" s="29">
        <f>SUM(C524:C528)</f>
        <v>0.99999999999999989</v>
      </c>
      <c r="D529" s="22">
        <f>SUM(D524:D528)</f>
        <v>13</v>
      </c>
      <c r="E529" s="29">
        <f>SUM(E524:E528)</f>
        <v>1</v>
      </c>
      <c r="F529" s="22">
        <f>SUM(F524:F528)</f>
        <v>114</v>
      </c>
      <c r="G529" s="29">
        <f>SUM(G524:G528)</f>
        <v>1</v>
      </c>
      <c r="H529" s="22">
        <f>SUM(H524:H528)</f>
        <v>515</v>
      </c>
      <c r="I529" s="29">
        <f>SUM(I524:I528)</f>
        <v>1</v>
      </c>
      <c r="J529" s="22">
        <f>SUM(J524:J528)</f>
        <v>235</v>
      </c>
      <c r="K529" s="29">
        <f>SUM(K524:K528)</f>
        <v>0.99999999999999989</v>
      </c>
      <c r="L529" s="22">
        <f>SUM(L524:L528)</f>
        <v>635</v>
      </c>
      <c r="M529" s="29">
        <f>SUM(M524:M528)</f>
        <v>1</v>
      </c>
      <c r="N529" s="22">
        <f>SUM(N524:N528)</f>
        <v>1838</v>
      </c>
      <c r="O529" s="29">
        <f>SUM(O524:O528)</f>
        <v>1</v>
      </c>
    </row>
    <row r="530" spans="1:15" x14ac:dyDescent="0.2">
      <c r="A530" s="73" t="s">
        <v>145</v>
      </c>
      <c r="B530" s="28"/>
      <c r="C530" s="54">
        <f>SUM(C526:C528)</f>
        <v>0.21472392638036811</v>
      </c>
      <c r="D530" s="28"/>
      <c r="E530" s="54">
        <f>SUM(E526:E528)</f>
        <v>0.15384615384615385</v>
      </c>
      <c r="F530" s="28"/>
      <c r="G530" s="54">
        <f>SUM(G526:G528)</f>
        <v>0.26315789473684209</v>
      </c>
      <c r="H530" s="28"/>
      <c r="I530" s="54">
        <f>SUM(I526:I528)</f>
        <v>0.20388349514563106</v>
      </c>
      <c r="J530" s="28"/>
      <c r="K530" s="54">
        <f>SUM(K526:K528)</f>
        <v>0.2808510638297872</v>
      </c>
      <c r="L530" s="28"/>
      <c r="M530" s="54">
        <f>SUM(M526:M528)</f>
        <v>0.20944881889763778</v>
      </c>
      <c r="N530" s="22"/>
      <c r="O530" s="54">
        <f>SUM(O526:O528)</f>
        <v>0.22089227421109903</v>
      </c>
    </row>
    <row r="532" spans="1:15" ht="12" customHeight="1" x14ac:dyDescent="0.2">
      <c r="A532" s="121" t="s">
        <v>191</v>
      </c>
      <c r="B532" s="122" t="s">
        <v>100</v>
      </c>
      <c r="C532" s="122"/>
      <c r="D532" s="122" t="s">
        <v>80</v>
      </c>
      <c r="E532" s="122"/>
      <c r="F532" s="123" t="s">
        <v>136</v>
      </c>
      <c r="G532" s="123"/>
      <c r="H532" s="122" t="s">
        <v>82</v>
      </c>
      <c r="I532" s="122"/>
      <c r="J532" s="122" t="s">
        <v>81</v>
      </c>
      <c r="K532" s="122"/>
      <c r="L532" s="122" t="s">
        <v>98</v>
      </c>
      <c r="M532" s="122"/>
      <c r="N532" s="116" t="s">
        <v>1</v>
      </c>
      <c r="O532" s="116"/>
    </row>
    <row r="533" spans="1:15" x14ac:dyDescent="0.2">
      <c r="A533" s="20" t="s">
        <v>144</v>
      </c>
      <c r="B533" s="28">
        <v>185</v>
      </c>
      <c r="C533" s="29">
        <f>B533/B538</f>
        <v>0.56748466257668717</v>
      </c>
      <c r="D533" s="28">
        <v>8</v>
      </c>
      <c r="E533" s="29">
        <f>D533/D538</f>
        <v>0.61538461538461542</v>
      </c>
      <c r="F533" s="28">
        <v>52</v>
      </c>
      <c r="G533" s="29">
        <f>F533/F538</f>
        <v>0.46017699115044247</v>
      </c>
      <c r="H533" s="28">
        <v>298</v>
      </c>
      <c r="I533" s="29">
        <f>H533/H538</f>
        <v>0.57976653696498059</v>
      </c>
      <c r="J533" s="28">
        <v>128</v>
      </c>
      <c r="K533" s="29">
        <f>J533/J538</f>
        <v>0.54700854700854706</v>
      </c>
      <c r="L533" s="28">
        <v>349</v>
      </c>
      <c r="M533" s="29">
        <f>L533/L538</f>
        <v>0.5496062992125984</v>
      </c>
      <c r="N533" s="21">
        <f>B533+D533+F533+H533+J533+L533</f>
        <v>1020</v>
      </c>
      <c r="O533" s="29">
        <f>N533/N538</f>
        <v>0.55585831062670299</v>
      </c>
    </row>
    <row r="534" spans="1:15" x14ac:dyDescent="0.2">
      <c r="A534" s="20" t="s">
        <v>143</v>
      </c>
      <c r="B534" s="28">
        <v>32</v>
      </c>
      <c r="C534" s="29">
        <f>B534/B538</f>
        <v>9.815950920245399E-2</v>
      </c>
      <c r="D534" s="28"/>
      <c r="E534" s="29">
        <f>D534/D538</f>
        <v>0</v>
      </c>
      <c r="F534" s="28">
        <v>22</v>
      </c>
      <c r="G534" s="29">
        <f>F534/F538</f>
        <v>0.19469026548672566</v>
      </c>
      <c r="H534" s="28">
        <v>59</v>
      </c>
      <c r="I534" s="29">
        <f>H534/H538</f>
        <v>0.11478599221789883</v>
      </c>
      <c r="J534" s="28">
        <v>26</v>
      </c>
      <c r="K534" s="29">
        <f>J534/J538</f>
        <v>0.1111111111111111</v>
      </c>
      <c r="L534" s="28">
        <v>63</v>
      </c>
      <c r="M534" s="29">
        <f>L534/L538</f>
        <v>9.9212598425196849E-2</v>
      </c>
      <c r="N534" s="21">
        <f t="shared" ref="N534:N537" si="142">B534+D534+F534+H534+J534+L534</f>
        <v>202</v>
      </c>
      <c r="O534" s="29">
        <f>N534/N538</f>
        <v>0.11008174386920981</v>
      </c>
    </row>
    <row r="535" spans="1:15" x14ac:dyDescent="0.2">
      <c r="A535" s="20" t="s">
        <v>142</v>
      </c>
      <c r="B535" s="28">
        <v>18</v>
      </c>
      <c r="C535" s="29">
        <f>B535/B538</f>
        <v>5.5214723926380369E-2</v>
      </c>
      <c r="D535" s="28">
        <v>2</v>
      </c>
      <c r="E535" s="29">
        <f>D535/D538</f>
        <v>0.15384615384615385</v>
      </c>
      <c r="F535" s="28">
        <v>11</v>
      </c>
      <c r="G535" s="29">
        <f>F535/F538</f>
        <v>9.7345132743362831E-2</v>
      </c>
      <c r="H535" s="28">
        <v>31</v>
      </c>
      <c r="I535" s="29">
        <f>H535/H538</f>
        <v>6.0311284046692608E-2</v>
      </c>
      <c r="J535" s="28">
        <v>19</v>
      </c>
      <c r="K535" s="29">
        <f>J535/J538</f>
        <v>8.11965811965812E-2</v>
      </c>
      <c r="L535" s="28">
        <v>50</v>
      </c>
      <c r="M535" s="29">
        <f>L535/L538</f>
        <v>7.874015748031496E-2</v>
      </c>
      <c r="N535" s="21">
        <f t="shared" si="142"/>
        <v>131</v>
      </c>
      <c r="O535" s="29">
        <f>N535/N538</f>
        <v>7.1389645776566757E-2</v>
      </c>
    </row>
    <row r="536" spans="1:15" x14ac:dyDescent="0.2">
      <c r="A536" s="20" t="s">
        <v>141</v>
      </c>
      <c r="B536" s="28">
        <v>22</v>
      </c>
      <c r="C536" s="29">
        <f>B536/B538</f>
        <v>6.7484662576687116E-2</v>
      </c>
      <c r="D536" s="28"/>
      <c r="E536" s="29">
        <f>D536/D538</f>
        <v>0</v>
      </c>
      <c r="F536" s="28">
        <v>5</v>
      </c>
      <c r="G536" s="29">
        <f>F536/F538</f>
        <v>4.4247787610619468E-2</v>
      </c>
      <c r="H536" s="28">
        <v>39</v>
      </c>
      <c r="I536" s="29">
        <f>H536/H538</f>
        <v>7.5875486381322951E-2</v>
      </c>
      <c r="J536" s="28">
        <v>18</v>
      </c>
      <c r="K536" s="29">
        <f>J536/J538</f>
        <v>7.6923076923076927E-2</v>
      </c>
      <c r="L536" s="28">
        <v>48</v>
      </c>
      <c r="M536" s="29">
        <f>L536/L538</f>
        <v>7.5590551181102361E-2</v>
      </c>
      <c r="N536" s="21">
        <f t="shared" si="142"/>
        <v>132</v>
      </c>
      <c r="O536" s="29">
        <f>N536/N538</f>
        <v>7.1934604904632146E-2</v>
      </c>
    </row>
    <row r="537" spans="1:15" x14ac:dyDescent="0.2">
      <c r="A537" s="20" t="s">
        <v>140</v>
      </c>
      <c r="B537" s="28">
        <v>69</v>
      </c>
      <c r="C537" s="29">
        <f>B537/B538</f>
        <v>0.21165644171779141</v>
      </c>
      <c r="D537" s="28">
        <v>3</v>
      </c>
      <c r="E537" s="29">
        <f>D537/D538</f>
        <v>0.23076923076923078</v>
      </c>
      <c r="F537" s="28">
        <v>23</v>
      </c>
      <c r="G537" s="29">
        <f>F537/F538</f>
        <v>0.20353982300884957</v>
      </c>
      <c r="H537" s="28">
        <v>87</v>
      </c>
      <c r="I537" s="29">
        <f>H537/H538</f>
        <v>0.16926070038910507</v>
      </c>
      <c r="J537" s="28">
        <v>43</v>
      </c>
      <c r="K537" s="29">
        <f>J537/J538</f>
        <v>0.18376068376068377</v>
      </c>
      <c r="L537" s="28">
        <v>125</v>
      </c>
      <c r="M537" s="29">
        <f>L537/L538</f>
        <v>0.19685039370078741</v>
      </c>
      <c r="N537" s="21">
        <f t="shared" si="142"/>
        <v>350</v>
      </c>
      <c r="O537" s="29">
        <f>N537/N538</f>
        <v>0.1907356948228883</v>
      </c>
    </row>
    <row r="538" spans="1:15" x14ac:dyDescent="0.2">
      <c r="A538" s="73" t="s">
        <v>1</v>
      </c>
      <c r="B538" s="22">
        <f>SUM(B533:B537)</f>
        <v>326</v>
      </c>
      <c r="C538" s="29">
        <f>SUM(C533:C537)</f>
        <v>1</v>
      </c>
      <c r="D538" s="22">
        <f>SUM(D533:D537)</f>
        <v>13</v>
      </c>
      <c r="E538" s="29">
        <f>SUM(E533:E537)</f>
        <v>1</v>
      </c>
      <c r="F538" s="22">
        <f>SUM(F533:F537)</f>
        <v>113</v>
      </c>
      <c r="G538" s="29">
        <f>SUM(G533:G537)</f>
        <v>1</v>
      </c>
      <c r="H538" s="22">
        <f>SUM(H533:H537)</f>
        <v>514</v>
      </c>
      <c r="I538" s="29">
        <f>SUM(I533:I537)</f>
        <v>1</v>
      </c>
      <c r="J538" s="22">
        <f>SUM(J533:J537)</f>
        <v>234</v>
      </c>
      <c r="K538" s="29">
        <f>SUM(K533:K537)</f>
        <v>1.0000000000000002</v>
      </c>
      <c r="L538" s="22">
        <f>SUM(L533:L537)</f>
        <v>635</v>
      </c>
      <c r="M538" s="29">
        <f>SUM(M533:M537)</f>
        <v>0.99999999999999989</v>
      </c>
      <c r="N538" s="22">
        <f>SUM(N533:N537)</f>
        <v>1835</v>
      </c>
      <c r="O538" s="29">
        <f>SUM(O533:O537)</f>
        <v>0.99999999999999989</v>
      </c>
    </row>
    <row r="539" spans="1:15" x14ac:dyDescent="0.2">
      <c r="A539" s="73" t="s">
        <v>145</v>
      </c>
      <c r="B539" s="28"/>
      <c r="C539" s="54">
        <f>SUM(C535:C537)</f>
        <v>0.33435582822085891</v>
      </c>
      <c r="D539" s="28"/>
      <c r="E539" s="54">
        <f>SUM(E535:E537)</f>
        <v>0.38461538461538464</v>
      </c>
      <c r="F539" s="28"/>
      <c r="G539" s="54">
        <f>SUM(G535:G537)</f>
        <v>0.34513274336283184</v>
      </c>
      <c r="H539" s="28"/>
      <c r="I539" s="54">
        <f>SUM(I535:I537)</f>
        <v>0.30544747081712065</v>
      </c>
      <c r="J539" s="28"/>
      <c r="K539" s="54">
        <f>SUM(K535:K537)</f>
        <v>0.34188034188034189</v>
      </c>
      <c r="L539" s="28"/>
      <c r="M539" s="54">
        <f>SUM(M535:M537)</f>
        <v>0.35118110236220473</v>
      </c>
      <c r="N539" s="22"/>
      <c r="O539" s="54">
        <f>SUM(O535:O537)</f>
        <v>0.33405994550408724</v>
      </c>
    </row>
    <row r="541" spans="1:15" ht="12" customHeight="1" x14ac:dyDescent="0.2">
      <c r="A541" s="121" t="s">
        <v>151</v>
      </c>
      <c r="B541" s="122" t="s">
        <v>100</v>
      </c>
      <c r="C541" s="122"/>
      <c r="D541" s="122" t="s">
        <v>80</v>
      </c>
      <c r="E541" s="122"/>
      <c r="F541" s="123" t="s">
        <v>136</v>
      </c>
      <c r="G541" s="123"/>
      <c r="H541" s="122" t="s">
        <v>82</v>
      </c>
      <c r="I541" s="122"/>
      <c r="J541" s="122" t="s">
        <v>81</v>
      </c>
      <c r="K541" s="122"/>
      <c r="L541" s="122" t="s">
        <v>98</v>
      </c>
      <c r="M541" s="122"/>
      <c r="N541" s="116" t="s">
        <v>1</v>
      </c>
      <c r="O541" s="116"/>
    </row>
    <row r="542" spans="1:15" x14ac:dyDescent="0.2">
      <c r="A542" s="20" t="s">
        <v>144</v>
      </c>
      <c r="B542" s="28">
        <v>35</v>
      </c>
      <c r="C542" s="29">
        <f>B542/B547</f>
        <v>0.10835913312693499</v>
      </c>
      <c r="D542" s="28">
        <v>1</v>
      </c>
      <c r="E542" s="29">
        <f>D542/D547</f>
        <v>7.6923076923076927E-2</v>
      </c>
      <c r="F542" s="28">
        <v>24</v>
      </c>
      <c r="G542" s="29">
        <f>F542/F547</f>
        <v>0.20869565217391303</v>
      </c>
      <c r="H542" s="28">
        <v>67</v>
      </c>
      <c r="I542" s="29">
        <f>H542/H547</f>
        <v>0.13009708737864079</v>
      </c>
      <c r="J542" s="28">
        <v>29</v>
      </c>
      <c r="K542" s="29">
        <f>J542/J547</f>
        <v>0.1228813559322034</v>
      </c>
      <c r="L542" s="28">
        <v>63</v>
      </c>
      <c r="M542" s="29">
        <f>L542/L547</f>
        <v>9.9212598425196849E-2</v>
      </c>
      <c r="N542" s="21">
        <f>B542+D542+F542+H542+J542+L542</f>
        <v>219</v>
      </c>
      <c r="O542" s="29">
        <f>N542/N547</f>
        <v>0.11921611322808928</v>
      </c>
    </row>
    <row r="543" spans="1:15" x14ac:dyDescent="0.2">
      <c r="A543" s="20" t="s">
        <v>143</v>
      </c>
      <c r="B543" s="28">
        <v>78</v>
      </c>
      <c r="C543" s="29">
        <f>B543/B547</f>
        <v>0.24148606811145512</v>
      </c>
      <c r="D543" s="28">
        <v>2</v>
      </c>
      <c r="E543" s="29">
        <f>D543/D547</f>
        <v>0.15384615384615385</v>
      </c>
      <c r="F543" s="28">
        <v>21</v>
      </c>
      <c r="G543" s="29">
        <f>F543/F547</f>
        <v>0.18260869565217391</v>
      </c>
      <c r="H543" s="28">
        <v>128</v>
      </c>
      <c r="I543" s="29">
        <f>H543/H547</f>
        <v>0.24854368932038834</v>
      </c>
      <c r="J543" s="28">
        <v>66</v>
      </c>
      <c r="K543" s="29">
        <f>J543/J547</f>
        <v>0.27966101694915252</v>
      </c>
      <c r="L543" s="28">
        <v>141</v>
      </c>
      <c r="M543" s="29">
        <f>L543/L547</f>
        <v>0.2220472440944882</v>
      </c>
      <c r="N543" s="21">
        <f t="shared" ref="N543:N546" si="143">B543+D543+F543+H543+J543+L543</f>
        <v>436</v>
      </c>
      <c r="O543" s="29">
        <f>N543/N547</f>
        <v>0.23734349482852476</v>
      </c>
    </row>
    <row r="544" spans="1:15" x14ac:dyDescent="0.2">
      <c r="A544" s="20" t="s">
        <v>142</v>
      </c>
      <c r="B544" s="28">
        <v>64</v>
      </c>
      <c r="C544" s="29">
        <f>B544/B547</f>
        <v>0.19814241486068113</v>
      </c>
      <c r="D544" s="28">
        <v>6</v>
      </c>
      <c r="E544" s="29">
        <f>D544/D547</f>
        <v>0.46153846153846156</v>
      </c>
      <c r="F544" s="28">
        <v>22</v>
      </c>
      <c r="G544" s="29">
        <f>F544/F547</f>
        <v>0.19130434782608696</v>
      </c>
      <c r="H544" s="28">
        <v>107</v>
      </c>
      <c r="I544" s="29">
        <f>H544/H547</f>
        <v>0.20776699029126214</v>
      </c>
      <c r="J544" s="28">
        <v>46</v>
      </c>
      <c r="K544" s="29">
        <f>J544/J547</f>
        <v>0.19491525423728814</v>
      </c>
      <c r="L544" s="28">
        <v>139</v>
      </c>
      <c r="M544" s="29">
        <f>L544/L547</f>
        <v>0.2188976377952756</v>
      </c>
      <c r="N544" s="21">
        <f t="shared" si="143"/>
        <v>384</v>
      </c>
      <c r="O544" s="29">
        <f>N544/N547</f>
        <v>0.20903647250952639</v>
      </c>
    </row>
    <row r="545" spans="1:15" x14ac:dyDescent="0.2">
      <c r="A545" s="20" t="s">
        <v>141</v>
      </c>
      <c r="B545" s="28">
        <v>74</v>
      </c>
      <c r="C545" s="29">
        <f>B545/B547</f>
        <v>0.22910216718266255</v>
      </c>
      <c r="D545" s="28">
        <v>3</v>
      </c>
      <c r="E545" s="29">
        <f>D545/D547</f>
        <v>0.23076923076923078</v>
      </c>
      <c r="F545" s="28">
        <v>29</v>
      </c>
      <c r="G545" s="29">
        <f>F545/F547</f>
        <v>0.25217391304347825</v>
      </c>
      <c r="H545" s="28">
        <v>134</v>
      </c>
      <c r="I545" s="29">
        <f>H545/H547</f>
        <v>0.26019417475728157</v>
      </c>
      <c r="J545" s="28">
        <v>45</v>
      </c>
      <c r="K545" s="29">
        <f>J545/J547</f>
        <v>0.19067796610169491</v>
      </c>
      <c r="L545" s="28">
        <v>169</v>
      </c>
      <c r="M545" s="29">
        <f>L545/L547</f>
        <v>0.26614173228346455</v>
      </c>
      <c r="N545" s="21">
        <f t="shared" si="143"/>
        <v>454</v>
      </c>
      <c r="O545" s="29">
        <f>N545/N547</f>
        <v>0.24714207947740882</v>
      </c>
    </row>
    <row r="546" spans="1:15" x14ac:dyDescent="0.2">
      <c r="A546" s="20" t="s">
        <v>140</v>
      </c>
      <c r="B546" s="28">
        <v>72</v>
      </c>
      <c r="C546" s="29">
        <f>B546/B547</f>
        <v>0.22291021671826625</v>
      </c>
      <c r="D546" s="28">
        <v>1</v>
      </c>
      <c r="E546" s="29">
        <f>D546/D547</f>
        <v>7.6923076923076927E-2</v>
      </c>
      <c r="F546" s="28">
        <v>19</v>
      </c>
      <c r="G546" s="29">
        <f>F546/F547</f>
        <v>0.16521739130434782</v>
      </c>
      <c r="H546" s="28">
        <v>79</v>
      </c>
      <c r="I546" s="29">
        <f>H546/H547</f>
        <v>0.15339805825242719</v>
      </c>
      <c r="J546" s="28">
        <v>50</v>
      </c>
      <c r="K546" s="29">
        <f>J546/J547</f>
        <v>0.21186440677966101</v>
      </c>
      <c r="L546" s="28">
        <v>123</v>
      </c>
      <c r="M546" s="29">
        <f>L546/L547</f>
        <v>0.19370078740157481</v>
      </c>
      <c r="N546" s="21">
        <f t="shared" si="143"/>
        <v>344</v>
      </c>
      <c r="O546" s="29">
        <f>N546/N547</f>
        <v>0.18726183995645074</v>
      </c>
    </row>
    <row r="547" spans="1:15" x14ac:dyDescent="0.2">
      <c r="A547" s="73" t="s">
        <v>1</v>
      </c>
      <c r="B547" s="22">
        <f>SUM(B542:B546)</f>
        <v>323</v>
      </c>
      <c r="C547" s="29">
        <f>SUM(C542:C546)</f>
        <v>1</v>
      </c>
      <c r="D547" s="22">
        <f>SUM(D542:D546)</f>
        <v>13</v>
      </c>
      <c r="E547" s="29">
        <f>SUM(E542:E546)</f>
        <v>1</v>
      </c>
      <c r="F547" s="22">
        <f>SUM(F542:F546)</f>
        <v>115</v>
      </c>
      <c r="G547" s="29">
        <f>SUM(G542:G546)</f>
        <v>1</v>
      </c>
      <c r="H547" s="22">
        <f>SUM(H542:H546)</f>
        <v>515</v>
      </c>
      <c r="I547" s="29">
        <f>SUM(I542:I546)</f>
        <v>1</v>
      </c>
      <c r="J547" s="22">
        <f>SUM(J542:J546)</f>
        <v>236</v>
      </c>
      <c r="K547" s="29">
        <f>SUM(K542:K546)</f>
        <v>0.99999999999999989</v>
      </c>
      <c r="L547" s="22">
        <f>SUM(L542:L546)</f>
        <v>635</v>
      </c>
      <c r="M547" s="29">
        <f>SUM(M542:M546)</f>
        <v>1</v>
      </c>
      <c r="N547" s="22">
        <f>SUM(N542:N546)</f>
        <v>1837</v>
      </c>
      <c r="O547" s="29">
        <f>SUM(O542:O546)</f>
        <v>1</v>
      </c>
    </row>
    <row r="548" spans="1:15" x14ac:dyDescent="0.2">
      <c r="A548" s="73" t="s">
        <v>145</v>
      </c>
      <c r="B548" s="28"/>
      <c r="C548" s="54">
        <f>SUM(C544:C546)</f>
        <v>0.65015479876160998</v>
      </c>
      <c r="D548" s="28"/>
      <c r="E548" s="54">
        <f>SUM(E544:E546)</f>
        <v>0.76923076923076916</v>
      </c>
      <c r="F548" s="28"/>
      <c r="G548" s="54">
        <f>SUM(G544:G546)</f>
        <v>0.60869565217391308</v>
      </c>
      <c r="H548" s="28"/>
      <c r="I548" s="54">
        <f>SUM(I544:I546)</f>
        <v>0.62135922330097082</v>
      </c>
      <c r="J548" s="28"/>
      <c r="K548" s="54">
        <f>SUM(K544:K546)</f>
        <v>0.59745762711864403</v>
      </c>
      <c r="L548" s="28"/>
      <c r="M548" s="54">
        <f>SUM(M544:M546)</f>
        <v>0.67874015748031491</v>
      </c>
      <c r="N548" s="22"/>
      <c r="O548" s="54">
        <f>SUM(O544:O546)</f>
        <v>0.64344039194338598</v>
      </c>
    </row>
    <row r="549" spans="1:15" ht="11.25" customHeight="1" x14ac:dyDescent="0.2"/>
    <row r="550" spans="1:15" x14ac:dyDescent="0.2">
      <c r="A550" s="73" t="s">
        <v>149</v>
      </c>
      <c r="B550" s="96" t="s">
        <v>100</v>
      </c>
      <c r="C550" s="96"/>
      <c r="D550" s="96" t="s">
        <v>80</v>
      </c>
      <c r="E550" s="96"/>
      <c r="F550" s="97" t="s">
        <v>136</v>
      </c>
      <c r="G550" s="97"/>
      <c r="H550" s="96" t="s">
        <v>82</v>
      </c>
      <c r="I550" s="96"/>
      <c r="J550" s="96" t="s">
        <v>81</v>
      </c>
      <c r="K550" s="96"/>
      <c r="L550" s="96" t="s">
        <v>98</v>
      </c>
      <c r="M550" s="96"/>
      <c r="N550" s="98" t="s">
        <v>1</v>
      </c>
      <c r="O550" s="98"/>
    </row>
    <row r="551" spans="1:15" x14ac:dyDescent="0.2">
      <c r="A551" s="121" t="s">
        <v>144</v>
      </c>
      <c r="B551" s="122">
        <v>256</v>
      </c>
      <c r="C551" s="122">
        <f>B551/B556</f>
        <v>0.78769230769230769</v>
      </c>
      <c r="D551" s="122">
        <v>13</v>
      </c>
      <c r="E551" s="122">
        <f>D551/D556</f>
        <v>1</v>
      </c>
      <c r="F551" s="123">
        <v>86</v>
      </c>
      <c r="G551" s="123">
        <f>F551/F556</f>
        <v>0.76106194690265483</v>
      </c>
      <c r="H551" s="122">
        <v>433</v>
      </c>
      <c r="I551" s="122">
        <f>H551/H556</f>
        <v>0.85236220472440949</v>
      </c>
      <c r="J551" s="122">
        <v>175</v>
      </c>
      <c r="K551" s="122">
        <f>J551/J556</f>
        <v>0.74468085106382975</v>
      </c>
      <c r="L551" s="122">
        <v>499</v>
      </c>
      <c r="M551" s="122">
        <f>L551/L556</f>
        <v>0.78459119496855345</v>
      </c>
      <c r="N551" s="116">
        <f>B551+D551+F551+H551+J551+L551</f>
        <v>1462</v>
      </c>
      <c r="O551" s="116">
        <f>N551/N556</f>
        <v>0.79890710382513663</v>
      </c>
    </row>
    <row r="552" spans="1:15" x14ac:dyDescent="0.2">
      <c r="A552" s="20" t="s">
        <v>143</v>
      </c>
      <c r="B552" s="28">
        <v>23</v>
      </c>
      <c r="C552" s="29">
        <f>B552/B556</f>
        <v>7.0769230769230765E-2</v>
      </c>
      <c r="D552" s="28"/>
      <c r="E552" s="29">
        <f>D552/D556</f>
        <v>0</v>
      </c>
      <c r="F552" s="28">
        <v>11</v>
      </c>
      <c r="G552" s="29">
        <f>F552/F556</f>
        <v>9.7345132743362831E-2</v>
      </c>
      <c r="H552" s="28">
        <v>25</v>
      </c>
      <c r="I552" s="29">
        <f>H552/H556</f>
        <v>4.9212598425196853E-2</v>
      </c>
      <c r="J552" s="28">
        <v>23</v>
      </c>
      <c r="K552" s="29">
        <f>J552/J556</f>
        <v>9.7872340425531917E-2</v>
      </c>
      <c r="L552" s="28">
        <v>34</v>
      </c>
      <c r="M552" s="29">
        <f>L552/L556</f>
        <v>5.3459119496855348E-2</v>
      </c>
      <c r="N552" s="21">
        <f t="shared" ref="N552:N555" si="144">B552+D552+F552+H552+J552+L552</f>
        <v>116</v>
      </c>
      <c r="O552" s="29">
        <f>N552/N556</f>
        <v>6.3387978142076501E-2</v>
      </c>
    </row>
    <row r="553" spans="1:15" x14ac:dyDescent="0.2">
      <c r="A553" s="20" t="s">
        <v>142</v>
      </c>
      <c r="B553" s="28">
        <v>12</v>
      </c>
      <c r="C553" s="29">
        <f>B553/B556</f>
        <v>3.6923076923076927E-2</v>
      </c>
      <c r="D553" s="28"/>
      <c r="E553" s="29">
        <f>D553/D556</f>
        <v>0</v>
      </c>
      <c r="F553" s="28">
        <v>4</v>
      </c>
      <c r="G553" s="29">
        <f>F553/F556</f>
        <v>3.5398230088495575E-2</v>
      </c>
      <c r="H553" s="28">
        <v>13</v>
      </c>
      <c r="I553" s="29">
        <f>H553/H556</f>
        <v>2.5590551181102362E-2</v>
      </c>
      <c r="J553" s="28">
        <v>8</v>
      </c>
      <c r="K553" s="29">
        <f>J553/J556</f>
        <v>3.4042553191489362E-2</v>
      </c>
      <c r="L553" s="28">
        <v>30</v>
      </c>
      <c r="M553" s="29">
        <f>L553/L556</f>
        <v>4.716981132075472E-2</v>
      </c>
      <c r="N553" s="21">
        <f t="shared" si="144"/>
        <v>67</v>
      </c>
      <c r="O553" s="29">
        <f>N553/N556</f>
        <v>3.6612021857923498E-2</v>
      </c>
    </row>
    <row r="554" spans="1:15" x14ac:dyDescent="0.2">
      <c r="A554" s="20" t="s">
        <v>141</v>
      </c>
      <c r="B554" s="28">
        <v>14</v>
      </c>
      <c r="C554" s="29">
        <f>B554/B556</f>
        <v>4.3076923076923075E-2</v>
      </c>
      <c r="D554" s="28"/>
      <c r="E554" s="29">
        <f>D554/D556</f>
        <v>0</v>
      </c>
      <c r="F554" s="28">
        <v>4</v>
      </c>
      <c r="G554" s="29">
        <f>F554/F556</f>
        <v>3.5398230088495575E-2</v>
      </c>
      <c r="H554" s="28">
        <v>12</v>
      </c>
      <c r="I554" s="29">
        <f>H554/H556</f>
        <v>2.3622047244094488E-2</v>
      </c>
      <c r="J554" s="28">
        <v>11</v>
      </c>
      <c r="K554" s="29">
        <f>J554/J556</f>
        <v>4.6808510638297871E-2</v>
      </c>
      <c r="L554" s="28">
        <v>23</v>
      </c>
      <c r="M554" s="29">
        <f>L554/L556</f>
        <v>3.6163522012578615E-2</v>
      </c>
      <c r="N554" s="21">
        <f t="shared" si="144"/>
        <v>64</v>
      </c>
      <c r="O554" s="29">
        <f>N554/N556</f>
        <v>3.4972677595628415E-2</v>
      </c>
    </row>
    <row r="555" spans="1:15" x14ac:dyDescent="0.2">
      <c r="A555" s="20" t="s">
        <v>140</v>
      </c>
      <c r="B555" s="28">
        <v>20</v>
      </c>
      <c r="C555" s="29">
        <f>B555/B556</f>
        <v>6.1538461538461542E-2</v>
      </c>
      <c r="D555" s="28"/>
      <c r="E555" s="29">
        <f>D555/D556</f>
        <v>0</v>
      </c>
      <c r="F555" s="28">
        <v>8</v>
      </c>
      <c r="G555" s="29">
        <f>F555/F556</f>
        <v>7.0796460176991149E-2</v>
      </c>
      <c r="H555" s="28">
        <v>25</v>
      </c>
      <c r="I555" s="29">
        <f>H555/H556</f>
        <v>4.9212598425196853E-2</v>
      </c>
      <c r="J555" s="28">
        <v>18</v>
      </c>
      <c r="K555" s="29">
        <f>J555/J556</f>
        <v>7.6595744680851063E-2</v>
      </c>
      <c r="L555" s="28">
        <v>50</v>
      </c>
      <c r="M555" s="29">
        <f>L555/L556</f>
        <v>7.8616352201257858E-2</v>
      </c>
      <c r="N555" s="21">
        <f t="shared" si="144"/>
        <v>121</v>
      </c>
      <c r="O555" s="29">
        <f>N555/N556</f>
        <v>6.6120218579234974E-2</v>
      </c>
    </row>
    <row r="556" spans="1:15" x14ac:dyDescent="0.2">
      <c r="A556" s="73" t="s">
        <v>1</v>
      </c>
      <c r="B556" s="22">
        <f>SUM(B551:B555)</f>
        <v>325</v>
      </c>
      <c r="C556" s="29">
        <f>SUM(C551:C555)</f>
        <v>1</v>
      </c>
      <c r="D556" s="22">
        <f>SUM(D551:D555)</f>
        <v>13</v>
      </c>
      <c r="E556" s="29">
        <f>SUM(E551:E555)</f>
        <v>1</v>
      </c>
      <c r="F556" s="22">
        <f>SUM(F551:F555)</f>
        <v>113</v>
      </c>
      <c r="G556" s="29">
        <f>SUM(G551:G555)</f>
        <v>1</v>
      </c>
      <c r="H556" s="22">
        <f>SUM(H551:H555)</f>
        <v>508</v>
      </c>
      <c r="I556" s="29">
        <f>SUM(I551:I555)</f>
        <v>1</v>
      </c>
      <c r="J556" s="22">
        <f>SUM(J551:J555)</f>
        <v>235</v>
      </c>
      <c r="K556" s="29">
        <f>SUM(K551:K555)</f>
        <v>1</v>
      </c>
      <c r="L556" s="22">
        <f>SUM(L551:L555)</f>
        <v>636</v>
      </c>
      <c r="M556" s="29">
        <f>SUM(M551:M555)</f>
        <v>1</v>
      </c>
      <c r="N556" s="22">
        <f>SUM(N551:N555)</f>
        <v>1830</v>
      </c>
      <c r="O556" s="29">
        <f>SUM(O551:O555)</f>
        <v>1</v>
      </c>
    </row>
    <row r="557" spans="1:15" x14ac:dyDescent="0.2">
      <c r="A557" s="73" t="s">
        <v>145</v>
      </c>
      <c r="B557" s="28"/>
      <c r="C557" s="54">
        <f>SUM(C553:C555)</f>
        <v>0.14153846153846156</v>
      </c>
      <c r="D557" s="28"/>
      <c r="E557" s="54">
        <f>SUM(E553:E555)</f>
        <v>0</v>
      </c>
      <c r="F557" s="28"/>
      <c r="G557" s="54">
        <f>SUM(G553:G555)</f>
        <v>0.1415929203539823</v>
      </c>
      <c r="H557" s="28"/>
      <c r="I557" s="54">
        <f>SUM(I553:I555)</f>
        <v>9.8425196850393692E-2</v>
      </c>
      <c r="J557" s="28"/>
      <c r="K557" s="54">
        <f>SUM(K553:K555)</f>
        <v>0.1574468085106383</v>
      </c>
      <c r="L557" s="28"/>
      <c r="M557" s="54">
        <f>SUM(M553:M555)</f>
        <v>0.16194968553459121</v>
      </c>
      <c r="N557" s="22"/>
      <c r="O557" s="54">
        <f>SUM(O553:O555)</f>
        <v>0.13770491803278689</v>
      </c>
    </row>
    <row r="558" spans="1:15" ht="11.25" customHeight="1" x14ac:dyDescent="0.2"/>
    <row r="559" spans="1:15" ht="12" customHeight="1" x14ac:dyDescent="0.2">
      <c r="A559" s="121" t="s">
        <v>192</v>
      </c>
      <c r="B559" s="122" t="s">
        <v>100</v>
      </c>
      <c r="C559" s="122"/>
      <c r="D559" s="122" t="s">
        <v>80</v>
      </c>
      <c r="E559" s="122"/>
      <c r="F559" s="123" t="s">
        <v>136</v>
      </c>
      <c r="G559" s="123"/>
      <c r="H559" s="122" t="s">
        <v>82</v>
      </c>
      <c r="I559" s="122"/>
      <c r="J559" s="122" t="s">
        <v>81</v>
      </c>
      <c r="K559" s="122"/>
      <c r="L559" s="122" t="s">
        <v>98</v>
      </c>
      <c r="M559" s="122"/>
      <c r="N559" s="116" t="s">
        <v>1</v>
      </c>
      <c r="O559" s="116"/>
    </row>
    <row r="560" spans="1:15" x14ac:dyDescent="0.2">
      <c r="A560" s="20" t="s">
        <v>144</v>
      </c>
      <c r="B560" s="28">
        <v>289</v>
      </c>
      <c r="C560" s="29">
        <f>B560/B565</f>
        <v>0.88923076923076927</v>
      </c>
      <c r="D560" s="28">
        <v>13</v>
      </c>
      <c r="E560" s="29">
        <f>D560/D565</f>
        <v>1</v>
      </c>
      <c r="F560" s="28">
        <v>96</v>
      </c>
      <c r="G560" s="29">
        <f>F560/F565</f>
        <v>0.82758620689655171</v>
      </c>
      <c r="H560" s="28">
        <v>466</v>
      </c>
      <c r="I560" s="29">
        <f>H560/H565</f>
        <v>0.9066147859922179</v>
      </c>
      <c r="J560" s="28">
        <v>209</v>
      </c>
      <c r="K560" s="29">
        <f>J560/J565</f>
        <v>0.88559322033898302</v>
      </c>
      <c r="L560" s="28">
        <v>563</v>
      </c>
      <c r="M560" s="29">
        <f>L560/L565</f>
        <v>0.88522012578616349</v>
      </c>
      <c r="N560" s="21">
        <f>B560+D560+F560+H560+J560+L560</f>
        <v>1636</v>
      </c>
      <c r="O560" s="29">
        <f>N560/N565</f>
        <v>0.88913043478260867</v>
      </c>
    </row>
    <row r="561" spans="1:15" x14ac:dyDescent="0.2">
      <c r="A561" s="20" t="s">
        <v>143</v>
      </c>
      <c r="B561" s="28">
        <v>8</v>
      </c>
      <c r="C561" s="29">
        <f>B561/B565</f>
        <v>2.4615384615384615E-2</v>
      </c>
      <c r="D561" s="28"/>
      <c r="E561" s="29">
        <f>D561/D565</f>
        <v>0</v>
      </c>
      <c r="F561" s="28">
        <v>6</v>
      </c>
      <c r="G561" s="29">
        <f>F561/F565</f>
        <v>5.1724137931034482E-2</v>
      </c>
      <c r="H561" s="28">
        <v>14</v>
      </c>
      <c r="I561" s="29">
        <f>H561/H565</f>
        <v>2.7237354085603113E-2</v>
      </c>
      <c r="J561" s="28">
        <v>9</v>
      </c>
      <c r="K561" s="29">
        <f>J561/J565</f>
        <v>3.8135593220338986E-2</v>
      </c>
      <c r="L561" s="28">
        <v>30</v>
      </c>
      <c r="M561" s="29">
        <f>L561/L565</f>
        <v>4.716981132075472E-2</v>
      </c>
      <c r="N561" s="21">
        <f t="shared" ref="N561:N564" si="145">B561+D561+F561+H561+J561+L561</f>
        <v>67</v>
      </c>
      <c r="O561" s="29">
        <f>N561/N565</f>
        <v>3.6413043478260868E-2</v>
      </c>
    </row>
    <row r="562" spans="1:15" x14ac:dyDescent="0.2">
      <c r="A562" s="20" t="s">
        <v>142</v>
      </c>
      <c r="B562" s="28">
        <v>6</v>
      </c>
      <c r="C562" s="29">
        <f>B562/B565</f>
        <v>1.8461538461538463E-2</v>
      </c>
      <c r="D562" s="28"/>
      <c r="E562" s="29">
        <f>D562/D565</f>
        <v>0</v>
      </c>
      <c r="F562" s="28">
        <v>3</v>
      </c>
      <c r="G562" s="29">
        <f>F562/F565</f>
        <v>2.5862068965517241E-2</v>
      </c>
      <c r="H562" s="28">
        <v>9</v>
      </c>
      <c r="I562" s="29">
        <f>H562/H565</f>
        <v>1.7509727626459144E-2</v>
      </c>
      <c r="J562" s="28">
        <v>5</v>
      </c>
      <c r="K562" s="29">
        <f>J562/J565</f>
        <v>2.1186440677966101E-2</v>
      </c>
      <c r="L562" s="28">
        <v>9</v>
      </c>
      <c r="M562" s="29">
        <f>L562/L565</f>
        <v>1.4150943396226415E-2</v>
      </c>
      <c r="N562" s="21">
        <f t="shared" si="145"/>
        <v>32</v>
      </c>
      <c r="O562" s="29">
        <f>N562/N565</f>
        <v>1.7391304347826087E-2</v>
      </c>
    </row>
    <row r="563" spans="1:15" x14ac:dyDescent="0.2">
      <c r="A563" s="20" t="s">
        <v>141</v>
      </c>
      <c r="B563" s="28">
        <v>7</v>
      </c>
      <c r="C563" s="29">
        <f>B563/B565</f>
        <v>2.1538461538461538E-2</v>
      </c>
      <c r="D563" s="28"/>
      <c r="E563" s="29">
        <f>D563/D565</f>
        <v>0</v>
      </c>
      <c r="F563" s="28">
        <v>8</v>
      </c>
      <c r="G563" s="29">
        <f>F563/F565</f>
        <v>6.8965517241379309E-2</v>
      </c>
      <c r="H563" s="28">
        <v>7</v>
      </c>
      <c r="I563" s="29">
        <f>H563/H565</f>
        <v>1.3618677042801557E-2</v>
      </c>
      <c r="J563" s="28">
        <v>7</v>
      </c>
      <c r="K563" s="29">
        <f>J563/J565</f>
        <v>2.9661016949152543E-2</v>
      </c>
      <c r="L563" s="28">
        <v>11</v>
      </c>
      <c r="M563" s="29">
        <f>L563/L565</f>
        <v>1.7295597484276729E-2</v>
      </c>
      <c r="N563" s="21">
        <f t="shared" si="145"/>
        <v>40</v>
      </c>
      <c r="O563" s="29">
        <f>N563/N565</f>
        <v>2.1739130434782608E-2</v>
      </c>
    </row>
    <row r="564" spans="1:15" x14ac:dyDescent="0.2">
      <c r="A564" s="20" t="s">
        <v>140</v>
      </c>
      <c r="B564" s="28">
        <v>15</v>
      </c>
      <c r="C564" s="29">
        <f>B564/B565</f>
        <v>4.6153846153846156E-2</v>
      </c>
      <c r="D564" s="28"/>
      <c r="E564" s="29">
        <f>D564/D565</f>
        <v>0</v>
      </c>
      <c r="F564" s="28">
        <v>3</v>
      </c>
      <c r="G564" s="29">
        <f>F564/F565</f>
        <v>2.5862068965517241E-2</v>
      </c>
      <c r="H564" s="28">
        <v>18</v>
      </c>
      <c r="I564" s="29">
        <f>H564/H565</f>
        <v>3.5019455252918288E-2</v>
      </c>
      <c r="J564" s="28">
        <v>6</v>
      </c>
      <c r="K564" s="29">
        <f>J564/J565</f>
        <v>2.5423728813559324E-2</v>
      </c>
      <c r="L564" s="28">
        <v>23</v>
      </c>
      <c r="M564" s="29">
        <f>L564/L565</f>
        <v>3.6163522012578615E-2</v>
      </c>
      <c r="N564" s="21">
        <f t="shared" si="145"/>
        <v>65</v>
      </c>
      <c r="O564" s="29">
        <f>N564/N565</f>
        <v>3.5326086956521736E-2</v>
      </c>
    </row>
    <row r="565" spans="1:15" x14ac:dyDescent="0.2">
      <c r="A565" s="95" t="s">
        <v>1</v>
      </c>
      <c r="B565" s="22">
        <f>SUM(B560:B564)</f>
        <v>325</v>
      </c>
      <c r="C565" s="29">
        <f>SUM(C560:C564)</f>
        <v>1</v>
      </c>
      <c r="D565" s="22">
        <f>SUM(D560:D564)</f>
        <v>13</v>
      </c>
      <c r="E565" s="29">
        <f>SUM(E560:E564)</f>
        <v>1</v>
      </c>
      <c r="F565" s="22">
        <f>SUM(F560:F564)</f>
        <v>116</v>
      </c>
      <c r="G565" s="29">
        <f>SUM(G560:G564)</f>
        <v>1</v>
      </c>
      <c r="H565" s="22">
        <f>SUM(H560:H564)</f>
        <v>514</v>
      </c>
      <c r="I565" s="29">
        <f>SUM(I560:I564)</f>
        <v>1</v>
      </c>
      <c r="J565" s="22">
        <f>SUM(J560:J564)</f>
        <v>236</v>
      </c>
      <c r="K565" s="29">
        <f>SUM(K560:K564)</f>
        <v>1</v>
      </c>
      <c r="L565" s="22">
        <f>SUM(L560:L564)</f>
        <v>636</v>
      </c>
      <c r="M565" s="29">
        <f>SUM(M560:M564)</f>
        <v>1</v>
      </c>
      <c r="N565" s="22">
        <f>SUM(N560:N564)</f>
        <v>1840</v>
      </c>
      <c r="O565" s="29">
        <f>SUM(O560:O564)</f>
        <v>1</v>
      </c>
    </row>
    <row r="566" spans="1:15" x14ac:dyDescent="0.2">
      <c r="A566" s="95" t="s">
        <v>145</v>
      </c>
      <c r="B566" s="28"/>
      <c r="C566" s="54">
        <f>SUM(C562:C564)</f>
        <v>8.6153846153846164E-2</v>
      </c>
      <c r="D566" s="28"/>
      <c r="E566" s="54">
        <f>SUM(E562:E564)</f>
        <v>0</v>
      </c>
      <c r="F566" s="28"/>
      <c r="G566" s="54">
        <f>SUM(G562:G564)</f>
        <v>0.12068965517241378</v>
      </c>
      <c r="H566" s="28"/>
      <c r="I566" s="54">
        <f>SUM(I562:I564)</f>
        <v>6.6147859922178989E-2</v>
      </c>
      <c r="J566" s="28"/>
      <c r="K566" s="54">
        <f>SUM(K562:K564)</f>
        <v>7.6271186440677971E-2</v>
      </c>
      <c r="L566" s="28"/>
      <c r="M566" s="54">
        <f>SUM(M562:M564)</f>
        <v>6.761006289308176E-2</v>
      </c>
      <c r="N566" s="22"/>
      <c r="O566" s="54">
        <f>SUM(O562:O564)</f>
        <v>7.4456521739130421E-2</v>
      </c>
    </row>
    <row r="567" spans="1:15" ht="11.25" customHeight="1" x14ac:dyDescent="0.2"/>
    <row r="568" spans="1:15" ht="12" customHeight="1" x14ac:dyDescent="0.2">
      <c r="A568" s="121" t="s">
        <v>193</v>
      </c>
      <c r="B568" s="122" t="s">
        <v>100</v>
      </c>
      <c r="C568" s="122"/>
      <c r="D568" s="122" t="s">
        <v>80</v>
      </c>
      <c r="E568" s="122"/>
      <c r="F568" s="123" t="s">
        <v>136</v>
      </c>
      <c r="G568" s="123"/>
      <c r="H568" s="122" t="s">
        <v>82</v>
      </c>
      <c r="I568" s="122"/>
      <c r="J568" s="122" t="s">
        <v>81</v>
      </c>
      <c r="K568" s="122"/>
      <c r="L568" s="122" t="s">
        <v>98</v>
      </c>
      <c r="M568" s="122"/>
      <c r="N568" s="116" t="s">
        <v>1</v>
      </c>
      <c r="O568" s="116"/>
    </row>
    <row r="569" spans="1:15" x14ac:dyDescent="0.2">
      <c r="A569" s="20" t="s">
        <v>144</v>
      </c>
      <c r="B569" s="28">
        <v>250</v>
      </c>
      <c r="C569" s="29">
        <f>B569/B574</f>
        <v>0.76923076923076927</v>
      </c>
      <c r="D569" s="28">
        <v>11</v>
      </c>
      <c r="E569" s="29">
        <f>D569/D574</f>
        <v>0.84615384615384615</v>
      </c>
      <c r="F569" s="28">
        <v>69</v>
      </c>
      <c r="G569" s="29">
        <f>F569/F574</f>
        <v>0.6</v>
      </c>
      <c r="H569" s="28">
        <v>399</v>
      </c>
      <c r="I569" s="29">
        <f>H569/H574</f>
        <v>0.77777777777777779</v>
      </c>
      <c r="J569" s="28">
        <v>153</v>
      </c>
      <c r="K569" s="29">
        <f>J569/J574</f>
        <v>0.65106382978723409</v>
      </c>
      <c r="L569" s="28">
        <v>510</v>
      </c>
      <c r="M569" s="29">
        <f>L569/L574</f>
        <v>0.80568720379146919</v>
      </c>
      <c r="N569" s="21">
        <f>B569+D569+F569+H569+J569+L569</f>
        <v>1392</v>
      </c>
      <c r="O569" s="29">
        <f>N569/N574</f>
        <v>0.75899672846237731</v>
      </c>
    </row>
    <row r="570" spans="1:15" x14ac:dyDescent="0.2">
      <c r="A570" s="20" t="s">
        <v>143</v>
      </c>
      <c r="B570" s="28">
        <v>53</v>
      </c>
      <c r="C570" s="29">
        <f>B570/B574</f>
        <v>0.16307692307692306</v>
      </c>
      <c r="D570" s="28">
        <v>1</v>
      </c>
      <c r="E570" s="29">
        <f>D570/D574</f>
        <v>7.6923076923076927E-2</v>
      </c>
      <c r="F570" s="28">
        <v>26</v>
      </c>
      <c r="G570" s="29">
        <f>F570/F574</f>
        <v>0.22608695652173913</v>
      </c>
      <c r="H570" s="28">
        <v>67</v>
      </c>
      <c r="I570" s="29">
        <f>H570/H574</f>
        <v>0.13060428849902533</v>
      </c>
      <c r="J570" s="28">
        <v>41</v>
      </c>
      <c r="K570" s="29">
        <f>J570/J574</f>
        <v>0.17446808510638298</v>
      </c>
      <c r="L570" s="28">
        <v>74</v>
      </c>
      <c r="M570" s="29">
        <f>L570/L574</f>
        <v>0.11690363349131122</v>
      </c>
      <c r="N570" s="21">
        <f t="shared" ref="N570:N573" si="146">B570+D570+F570+H570+J570+L570</f>
        <v>262</v>
      </c>
      <c r="O570" s="29">
        <f>N570/N574</f>
        <v>0.14285714285714285</v>
      </c>
    </row>
    <row r="571" spans="1:15" x14ac:dyDescent="0.2">
      <c r="A571" s="20" t="s">
        <v>142</v>
      </c>
      <c r="B571" s="28">
        <v>12</v>
      </c>
      <c r="C571" s="29">
        <f>B571/B574</f>
        <v>3.6923076923076927E-2</v>
      </c>
      <c r="D571" s="28">
        <v>1</v>
      </c>
      <c r="E571" s="29">
        <f>D571/D574</f>
        <v>7.6923076923076927E-2</v>
      </c>
      <c r="F571" s="28">
        <v>9</v>
      </c>
      <c r="G571" s="29">
        <f>F571/F574</f>
        <v>7.8260869565217397E-2</v>
      </c>
      <c r="H571" s="28">
        <v>32</v>
      </c>
      <c r="I571" s="29">
        <f>H571/H574</f>
        <v>6.2378167641325533E-2</v>
      </c>
      <c r="J571" s="28">
        <v>21</v>
      </c>
      <c r="K571" s="29">
        <f>J571/J574</f>
        <v>8.9361702127659579E-2</v>
      </c>
      <c r="L571" s="28">
        <v>37</v>
      </c>
      <c r="M571" s="29">
        <f>L571/L574</f>
        <v>5.845181674565561E-2</v>
      </c>
      <c r="N571" s="21">
        <f t="shared" si="146"/>
        <v>112</v>
      </c>
      <c r="O571" s="29">
        <f>N571/N574</f>
        <v>6.1068702290076333E-2</v>
      </c>
    </row>
    <row r="572" spans="1:15" x14ac:dyDescent="0.2">
      <c r="A572" s="20" t="s">
        <v>141</v>
      </c>
      <c r="B572" s="28">
        <v>7</v>
      </c>
      <c r="C572" s="29">
        <f>B572/B574</f>
        <v>2.1538461538461538E-2</v>
      </c>
      <c r="D572" s="28"/>
      <c r="E572" s="29">
        <f>D572/D574</f>
        <v>0</v>
      </c>
      <c r="F572" s="28">
        <v>5</v>
      </c>
      <c r="G572" s="29">
        <f>F572/F574</f>
        <v>4.3478260869565216E-2</v>
      </c>
      <c r="H572" s="28">
        <v>10</v>
      </c>
      <c r="I572" s="29">
        <f>H572/H574</f>
        <v>1.9493177387914229E-2</v>
      </c>
      <c r="J572" s="28">
        <v>14</v>
      </c>
      <c r="K572" s="29">
        <f>J572/J574</f>
        <v>5.9574468085106386E-2</v>
      </c>
      <c r="L572" s="28">
        <v>8</v>
      </c>
      <c r="M572" s="29">
        <f>L572/L574</f>
        <v>1.2638230647709321E-2</v>
      </c>
      <c r="N572" s="21">
        <f t="shared" si="146"/>
        <v>44</v>
      </c>
      <c r="O572" s="29">
        <f>N572/N574</f>
        <v>2.3991275899672846E-2</v>
      </c>
    </row>
    <row r="573" spans="1:15" x14ac:dyDescent="0.2">
      <c r="A573" s="20" t="s">
        <v>140</v>
      </c>
      <c r="B573" s="28">
        <v>3</v>
      </c>
      <c r="C573" s="29">
        <f>B573/B574</f>
        <v>9.2307692307692316E-3</v>
      </c>
      <c r="D573" s="28"/>
      <c r="E573" s="29">
        <f>D573/D574</f>
        <v>0</v>
      </c>
      <c r="F573" s="28">
        <v>6</v>
      </c>
      <c r="G573" s="29">
        <f>F573/F574</f>
        <v>5.2173913043478258E-2</v>
      </c>
      <c r="H573" s="28">
        <v>5</v>
      </c>
      <c r="I573" s="29">
        <f>H573/H574</f>
        <v>9.7465886939571145E-3</v>
      </c>
      <c r="J573" s="28">
        <v>6</v>
      </c>
      <c r="K573" s="29">
        <f>J573/J574</f>
        <v>2.553191489361702E-2</v>
      </c>
      <c r="L573" s="28">
        <v>4</v>
      </c>
      <c r="M573" s="29">
        <f>L573/L574</f>
        <v>6.3191153238546603E-3</v>
      </c>
      <c r="N573" s="21">
        <f t="shared" si="146"/>
        <v>24</v>
      </c>
      <c r="O573" s="29">
        <f>N573/N574</f>
        <v>1.3086150490730643E-2</v>
      </c>
    </row>
    <row r="574" spans="1:15" x14ac:dyDescent="0.2">
      <c r="A574" s="95" t="s">
        <v>1</v>
      </c>
      <c r="B574" s="22">
        <f>SUM(B569:B573)</f>
        <v>325</v>
      </c>
      <c r="C574" s="29">
        <f>SUM(C569:C573)</f>
        <v>1</v>
      </c>
      <c r="D574" s="22">
        <f>SUM(D569:D573)</f>
        <v>13</v>
      </c>
      <c r="E574" s="29">
        <f>SUM(E569:E573)</f>
        <v>1</v>
      </c>
      <c r="F574" s="22">
        <f>SUM(F569:F573)</f>
        <v>115</v>
      </c>
      <c r="G574" s="29">
        <f>SUM(G569:G573)</f>
        <v>1</v>
      </c>
      <c r="H574" s="22">
        <f>SUM(H569:H573)</f>
        <v>513</v>
      </c>
      <c r="I574" s="29">
        <f>SUM(I569:I573)</f>
        <v>1</v>
      </c>
      <c r="J574" s="22">
        <f>SUM(J569:J573)</f>
        <v>235</v>
      </c>
      <c r="K574" s="29">
        <f>SUM(K569:K573)</f>
        <v>1</v>
      </c>
      <c r="L574" s="22">
        <f>SUM(L569:L573)</f>
        <v>633</v>
      </c>
      <c r="M574" s="29">
        <f>SUM(M569:M573)</f>
        <v>1</v>
      </c>
      <c r="N574" s="22">
        <f>SUM(N569:N573)</f>
        <v>1834</v>
      </c>
      <c r="O574" s="29">
        <f>SUM(O569:O573)</f>
        <v>1</v>
      </c>
    </row>
    <row r="575" spans="1:15" x14ac:dyDescent="0.2">
      <c r="A575" s="95" t="s">
        <v>145</v>
      </c>
      <c r="B575" s="28"/>
      <c r="C575" s="54">
        <f>SUM(C571:C573)</f>
        <v>6.7692307692307704E-2</v>
      </c>
      <c r="D575" s="28"/>
      <c r="E575" s="54">
        <f>SUM(E571:E573)</f>
        <v>7.6923076923076927E-2</v>
      </c>
      <c r="F575" s="28"/>
      <c r="G575" s="54">
        <f>SUM(G571:G573)</f>
        <v>0.17391304347826086</v>
      </c>
      <c r="H575" s="28"/>
      <c r="I575" s="54">
        <f>SUM(I571:I573)</f>
        <v>9.1617933723196876E-2</v>
      </c>
      <c r="J575" s="28"/>
      <c r="K575" s="54">
        <f>SUM(K571:K573)</f>
        <v>0.17446808510638298</v>
      </c>
      <c r="L575" s="28"/>
      <c r="M575" s="54">
        <f>SUM(M571:M573)</f>
        <v>7.7409162717219593E-2</v>
      </c>
      <c r="N575" s="22"/>
      <c r="O575" s="54">
        <f>SUM(O571:O573)</f>
        <v>9.8146128680479824E-2</v>
      </c>
    </row>
    <row r="576" spans="1:15" ht="11.25" customHeight="1" x14ac:dyDescent="0.2"/>
    <row r="577" spans="1:15" ht="12" customHeight="1" x14ac:dyDescent="0.2">
      <c r="A577" s="121" t="s">
        <v>194</v>
      </c>
      <c r="B577" s="122" t="s">
        <v>100</v>
      </c>
      <c r="C577" s="122"/>
      <c r="D577" s="122" t="s">
        <v>80</v>
      </c>
      <c r="E577" s="122"/>
      <c r="F577" s="123" t="s">
        <v>136</v>
      </c>
      <c r="G577" s="123"/>
      <c r="H577" s="122" t="s">
        <v>82</v>
      </c>
      <c r="I577" s="122"/>
      <c r="J577" s="122" t="s">
        <v>81</v>
      </c>
      <c r="K577" s="122"/>
      <c r="L577" s="122" t="s">
        <v>98</v>
      </c>
      <c r="M577" s="122"/>
      <c r="N577" s="116" t="s">
        <v>1</v>
      </c>
      <c r="O577" s="116"/>
    </row>
    <row r="578" spans="1:15" x14ac:dyDescent="0.2">
      <c r="A578" s="20" t="s">
        <v>144</v>
      </c>
      <c r="B578" s="28">
        <v>298</v>
      </c>
      <c r="C578" s="29">
        <f>B578/B583</f>
        <v>0.91411042944785281</v>
      </c>
      <c r="D578" s="28">
        <v>13</v>
      </c>
      <c r="E578" s="29">
        <f>D578/D583</f>
        <v>1</v>
      </c>
      <c r="F578" s="28">
        <v>105</v>
      </c>
      <c r="G578" s="29">
        <f>F578/F583</f>
        <v>0.9375</v>
      </c>
      <c r="H578" s="28">
        <v>465</v>
      </c>
      <c r="I578" s="29">
        <f>H578/H583</f>
        <v>0.9064327485380117</v>
      </c>
      <c r="J578" s="28">
        <v>223</v>
      </c>
      <c r="K578" s="29">
        <f>J578/J583</f>
        <v>0.94893617021276599</v>
      </c>
      <c r="L578" s="28">
        <v>569</v>
      </c>
      <c r="M578" s="29">
        <f>L578/L583</f>
        <v>0.89606299212598428</v>
      </c>
      <c r="N578" s="21">
        <f>B578+D578+F578+H578+J578+L578</f>
        <v>1673</v>
      </c>
      <c r="O578" s="29">
        <f>N578/N583</f>
        <v>0.91221374045801529</v>
      </c>
    </row>
    <row r="579" spans="1:15" x14ac:dyDescent="0.2">
      <c r="A579" s="20" t="s">
        <v>143</v>
      </c>
      <c r="B579" s="28">
        <v>7</v>
      </c>
      <c r="C579" s="29">
        <f>B579/B583</f>
        <v>2.1472392638036811E-2</v>
      </c>
      <c r="D579" s="28"/>
      <c r="E579" s="29">
        <f>D579/D583</f>
        <v>0</v>
      </c>
      <c r="F579" s="28">
        <v>4</v>
      </c>
      <c r="G579" s="29">
        <f>F579/F583</f>
        <v>3.5714285714285712E-2</v>
      </c>
      <c r="H579" s="28">
        <v>12</v>
      </c>
      <c r="I579" s="29">
        <f>H579/H583</f>
        <v>2.3391812865497075E-2</v>
      </c>
      <c r="J579" s="28"/>
      <c r="K579" s="29">
        <f>J579/J583</f>
        <v>0</v>
      </c>
      <c r="L579" s="28">
        <v>18</v>
      </c>
      <c r="M579" s="29">
        <f>L579/L583</f>
        <v>2.8346456692913385E-2</v>
      </c>
      <c r="N579" s="21">
        <f t="shared" ref="N579:N582" si="147">B579+D579+F579+H579+J579+L579</f>
        <v>41</v>
      </c>
      <c r="O579" s="29">
        <f>N579/N583</f>
        <v>2.2355507088331516E-2</v>
      </c>
    </row>
    <row r="580" spans="1:15" x14ac:dyDescent="0.2">
      <c r="A580" s="20" t="s">
        <v>142</v>
      </c>
      <c r="B580" s="28">
        <v>5</v>
      </c>
      <c r="C580" s="29">
        <f>B580/B583</f>
        <v>1.5337423312883436E-2</v>
      </c>
      <c r="D580" s="28"/>
      <c r="E580" s="29">
        <f>D580/D583</f>
        <v>0</v>
      </c>
      <c r="F580" s="28">
        <v>1</v>
      </c>
      <c r="G580" s="29">
        <f>F580/F583</f>
        <v>8.9285714285714281E-3</v>
      </c>
      <c r="H580" s="28">
        <v>11</v>
      </c>
      <c r="I580" s="29">
        <f>H580/H583</f>
        <v>2.1442495126705652E-2</v>
      </c>
      <c r="J580" s="28">
        <v>5</v>
      </c>
      <c r="K580" s="29">
        <f>J580/J583</f>
        <v>2.1276595744680851E-2</v>
      </c>
      <c r="L580" s="28">
        <v>13</v>
      </c>
      <c r="M580" s="29">
        <f>L580/L583</f>
        <v>2.0472440944881889E-2</v>
      </c>
      <c r="N580" s="21">
        <f t="shared" si="147"/>
        <v>35</v>
      </c>
      <c r="O580" s="29">
        <f>N580/N583</f>
        <v>1.9083969465648856E-2</v>
      </c>
    </row>
    <row r="581" spans="1:15" x14ac:dyDescent="0.2">
      <c r="A581" s="20" t="s">
        <v>141</v>
      </c>
      <c r="B581" s="28">
        <v>6</v>
      </c>
      <c r="C581" s="29">
        <f>B581/B583</f>
        <v>1.8404907975460124E-2</v>
      </c>
      <c r="D581" s="28"/>
      <c r="E581" s="29">
        <f>D581/D583</f>
        <v>0</v>
      </c>
      <c r="F581" s="28">
        <v>2</v>
      </c>
      <c r="G581" s="29">
        <f>F581/F583</f>
        <v>1.7857142857142856E-2</v>
      </c>
      <c r="H581" s="28">
        <v>11</v>
      </c>
      <c r="I581" s="29">
        <f>H581/H583</f>
        <v>2.1442495126705652E-2</v>
      </c>
      <c r="J581" s="28">
        <v>4</v>
      </c>
      <c r="K581" s="29">
        <f>J581/J583</f>
        <v>1.7021276595744681E-2</v>
      </c>
      <c r="L581" s="28">
        <v>15</v>
      </c>
      <c r="M581" s="29">
        <f>L581/L583</f>
        <v>2.3622047244094488E-2</v>
      </c>
      <c r="N581" s="21">
        <f t="shared" si="147"/>
        <v>38</v>
      </c>
      <c r="O581" s="29">
        <f>N581/N583</f>
        <v>2.0719738276990186E-2</v>
      </c>
    </row>
    <row r="582" spans="1:15" x14ac:dyDescent="0.2">
      <c r="A582" s="20" t="s">
        <v>140</v>
      </c>
      <c r="B582" s="28">
        <v>10</v>
      </c>
      <c r="C582" s="29">
        <f>B582/B583</f>
        <v>3.0674846625766871E-2</v>
      </c>
      <c r="D582" s="28"/>
      <c r="E582" s="29">
        <f>D582/D583</f>
        <v>0</v>
      </c>
      <c r="F582" s="28"/>
      <c r="G582" s="29">
        <f>F582/F583</f>
        <v>0</v>
      </c>
      <c r="H582" s="28">
        <v>14</v>
      </c>
      <c r="I582" s="29">
        <f>H582/H583</f>
        <v>2.7290448343079921E-2</v>
      </c>
      <c r="J582" s="28">
        <v>3</v>
      </c>
      <c r="K582" s="29">
        <f>J582/J583</f>
        <v>1.276595744680851E-2</v>
      </c>
      <c r="L582" s="28">
        <v>20</v>
      </c>
      <c r="M582" s="29">
        <f>L582/L583</f>
        <v>3.1496062992125984E-2</v>
      </c>
      <c r="N582" s="21">
        <f t="shared" si="147"/>
        <v>47</v>
      </c>
      <c r="O582" s="29">
        <f>N582/N583</f>
        <v>2.5627044711014176E-2</v>
      </c>
    </row>
    <row r="583" spans="1:15" x14ac:dyDescent="0.2">
      <c r="A583" s="95" t="s">
        <v>1</v>
      </c>
      <c r="B583" s="22">
        <f>SUM(B578:B582)</f>
        <v>326</v>
      </c>
      <c r="C583" s="29">
        <f>SUM(C578:C582)</f>
        <v>1</v>
      </c>
      <c r="D583" s="22">
        <f>SUM(D578:D582)</f>
        <v>13</v>
      </c>
      <c r="E583" s="29">
        <f>SUM(E578:E582)</f>
        <v>1</v>
      </c>
      <c r="F583" s="22">
        <f>SUM(F578:F582)</f>
        <v>112</v>
      </c>
      <c r="G583" s="29">
        <f>SUM(G578:G582)</f>
        <v>1</v>
      </c>
      <c r="H583" s="22">
        <f>SUM(H578:H582)</f>
        <v>513</v>
      </c>
      <c r="I583" s="29">
        <f>SUM(I578:I582)</f>
        <v>0.99999999999999989</v>
      </c>
      <c r="J583" s="22">
        <f>SUM(J578:J582)</f>
        <v>235</v>
      </c>
      <c r="K583" s="29">
        <f>SUM(K578:K582)</f>
        <v>1</v>
      </c>
      <c r="L583" s="22">
        <f>SUM(L578:L582)</f>
        <v>635</v>
      </c>
      <c r="M583" s="29">
        <f>SUM(M578:M582)</f>
        <v>1</v>
      </c>
      <c r="N583" s="22">
        <f>SUM(N578:N582)</f>
        <v>1834</v>
      </c>
      <c r="O583" s="29">
        <f>SUM(O578:O582)</f>
        <v>1</v>
      </c>
    </row>
    <row r="584" spans="1:15" x14ac:dyDescent="0.2">
      <c r="A584" s="95" t="s">
        <v>145</v>
      </c>
      <c r="B584" s="28"/>
      <c r="C584" s="54">
        <f>SUM(C580:C582)</f>
        <v>6.4417177914110432E-2</v>
      </c>
      <c r="D584" s="28"/>
      <c r="E584" s="54">
        <f>SUM(E580:E582)</f>
        <v>0</v>
      </c>
      <c r="F584" s="28"/>
      <c r="G584" s="54">
        <f>SUM(G580:G582)</f>
        <v>2.6785714285714284E-2</v>
      </c>
      <c r="H584" s="28"/>
      <c r="I584" s="54">
        <f>SUM(I580:I582)</f>
        <v>7.0175438596491224E-2</v>
      </c>
      <c r="J584" s="28"/>
      <c r="K584" s="54">
        <f>SUM(K580:K582)</f>
        <v>5.106382978723404E-2</v>
      </c>
      <c r="L584" s="28"/>
      <c r="M584" s="54">
        <f>SUM(M580:M582)</f>
        <v>7.5590551181102361E-2</v>
      </c>
      <c r="N584" s="22"/>
      <c r="O584" s="54">
        <f>SUM(O580:O582)</f>
        <v>6.5430752453653221E-2</v>
      </c>
    </row>
    <row r="586" spans="1:15" ht="24" x14ac:dyDescent="0.2">
      <c r="A586" s="121" t="s">
        <v>200</v>
      </c>
      <c r="B586" s="122" t="s">
        <v>100</v>
      </c>
      <c r="C586" s="122"/>
      <c r="D586" s="122" t="s">
        <v>80</v>
      </c>
      <c r="E586" s="122"/>
      <c r="F586" s="123" t="s">
        <v>136</v>
      </c>
      <c r="G586" s="123"/>
      <c r="H586" s="122" t="s">
        <v>82</v>
      </c>
      <c r="I586" s="122"/>
      <c r="J586" s="122" t="s">
        <v>81</v>
      </c>
      <c r="K586" s="122"/>
      <c r="L586" s="122" t="s">
        <v>98</v>
      </c>
      <c r="M586" s="122"/>
      <c r="N586" s="116" t="s">
        <v>1</v>
      </c>
      <c r="O586" s="116"/>
    </row>
    <row r="587" spans="1:15" x14ac:dyDescent="0.2">
      <c r="A587" s="20" t="s">
        <v>144</v>
      </c>
      <c r="B587" s="28">
        <v>315</v>
      </c>
      <c r="C587" s="29">
        <f>B587/B592</f>
        <v>0.97222222222222221</v>
      </c>
      <c r="D587" s="28">
        <v>12</v>
      </c>
      <c r="E587" s="29">
        <f>D587/D592</f>
        <v>0.92307692307692313</v>
      </c>
      <c r="F587" s="28">
        <v>113</v>
      </c>
      <c r="G587" s="29">
        <f>F587/F592</f>
        <v>0.99122807017543857</v>
      </c>
      <c r="H587" s="28">
        <v>501</v>
      </c>
      <c r="I587" s="29">
        <f>H587/H592</f>
        <v>0.98043052837573386</v>
      </c>
      <c r="J587" s="28">
        <v>227</v>
      </c>
      <c r="K587" s="29">
        <f>J587/J592</f>
        <v>0.97008547008547008</v>
      </c>
      <c r="L587" s="28">
        <v>615</v>
      </c>
      <c r="M587" s="29">
        <f>L587/L592</f>
        <v>0.97310126582278478</v>
      </c>
      <c r="N587" s="21">
        <f>B587+D587+F587+H587+J587+L587</f>
        <v>1783</v>
      </c>
      <c r="O587" s="29">
        <f>N587/N592</f>
        <v>0.97538293216630201</v>
      </c>
    </row>
    <row r="588" spans="1:15" x14ac:dyDescent="0.2">
      <c r="A588" s="20" t="s">
        <v>143</v>
      </c>
      <c r="B588" s="28">
        <v>2</v>
      </c>
      <c r="C588" s="29">
        <f>B588/B592</f>
        <v>6.1728395061728392E-3</v>
      </c>
      <c r="D588" s="28">
        <v>1</v>
      </c>
      <c r="E588" s="29">
        <f>D588/D592</f>
        <v>7.6923076923076927E-2</v>
      </c>
      <c r="F588" s="28"/>
      <c r="G588" s="29">
        <f>F588/F592</f>
        <v>0</v>
      </c>
      <c r="H588" s="28">
        <v>3</v>
      </c>
      <c r="I588" s="29">
        <f>H588/H592</f>
        <v>5.8708414872798431E-3</v>
      </c>
      <c r="J588" s="28">
        <v>3</v>
      </c>
      <c r="K588" s="29">
        <f>J588/J592</f>
        <v>1.282051282051282E-2</v>
      </c>
      <c r="L588" s="28">
        <v>3</v>
      </c>
      <c r="M588" s="29">
        <f>L588/L592</f>
        <v>4.7468354430379748E-3</v>
      </c>
      <c r="N588" s="21">
        <f t="shared" ref="N588:N591" si="148">B588+D588+F588+H588+J588+L588</f>
        <v>12</v>
      </c>
      <c r="O588" s="29">
        <f>N588/N592</f>
        <v>6.5645514223194746E-3</v>
      </c>
    </row>
    <row r="589" spans="1:15" x14ac:dyDescent="0.2">
      <c r="A589" s="20" t="s">
        <v>142</v>
      </c>
      <c r="B589" s="28">
        <v>1</v>
      </c>
      <c r="C589" s="29">
        <f>B589/B592</f>
        <v>3.0864197530864196E-3</v>
      </c>
      <c r="D589" s="28"/>
      <c r="E589" s="29">
        <f>D589/D592</f>
        <v>0</v>
      </c>
      <c r="F589" s="28"/>
      <c r="G589" s="29">
        <f>F589/F592</f>
        <v>0</v>
      </c>
      <c r="H589" s="28">
        <v>1</v>
      </c>
      <c r="I589" s="29">
        <f>H589/H592</f>
        <v>1.9569471624266144E-3</v>
      </c>
      <c r="J589" s="28">
        <v>3</v>
      </c>
      <c r="K589" s="29">
        <f>J589/J592</f>
        <v>1.282051282051282E-2</v>
      </c>
      <c r="L589" s="28">
        <v>6</v>
      </c>
      <c r="M589" s="29">
        <f>L589/L592</f>
        <v>9.4936708860759497E-3</v>
      </c>
      <c r="N589" s="21">
        <f t="shared" si="148"/>
        <v>11</v>
      </c>
      <c r="O589" s="29">
        <f>N589/N592</f>
        <v>6.0175054704595188E-3</v>
      </c>
    </row>
    <row r="590" spans="1:15" x14ac:dyDescent="0.2">
      <c r="A590" s="20" t="s">
        <v>141</v>
      </c>
      <c r="B590" s="28">
        <v>2</v>
      </c>
      <c r="C590" s="29">
        <f>B590/B592</f>
        <v>6.1728395061728392E-3</v>
      </c>
      <c r="D590" s="28"/>
      <c r="E590" s="29">
        <f>D590/D592</f>
        <v>0</v>
      </c>
      <c r="F590" s="28">
        <v>1</v>
      </c>
      <c r="G590" s="29">
        <f>F590/F592</f>
        <v>8.771929824561403E-3</v>
      </c>
      <c r="H590" s="28">
        <v>4</v>
      </c>
      <c r="I590" s="29">
        <f>H590/H592</f>
        <v>7.8277886497064575E-3</v>
      </c>
      <c r="J590" s="28">
        <v>1</v>
      </c>
      <c r="K590" s="29">
        <f>J590/J592</f>
        <v>4.2735042735042739E-3</v>
      </c>
      <c r="L590" s="28">
        <v>3</v>
      </c>
      <c r="M590" s="29">
        <f>L590/L592</f>
        <v>4.7468354430379748E-3</v>
      </c>
      <c r="N590" s="21">
        <f t="shared" si="148"/>
        <v>11</v>
      </c>
      <c r="O590" s="29">
        <f>N590/N592</f>
        <v>6.0175054704595188E-3</v>
      </c>
    </row>
    <row r="591" spans="1:15" x14ac:dyDescent="0.2">
      <c r="A591" s="20" t="s">
        <v>140</v>
      </c>
      <c r="B591" s="28">
        <v>4</v>
      </c>
      <c r="C591" s="29">
        <f>B591/B592</f>
        <v>1.2345679012345678E-2</v>
      </c>
      <c r="D591" s="28"/>
      <c r="E591" s="29">
        <f>D591/D592</f>
        <v>0</v>
      </c>
      <c r="F591" s="28"/>
      <c r="G591" s="29">
        <f>F591/F592</f>
        <v>0</v>
      </c>
      <c r="H591" s="28">
        <v>2</v>
      </c>
      <c r="I591" s="29">
        <f>H591/H592</f>
        <v>3.9138943248532287E-3</v>
      </c>
      <c r="J591" s="28"/>
      <c r="K591" s="29">
        <f>J591/J592</f>
        <v>0</v>
      </c>
      <c r="L591" s="28">
        <v>5</v>
      </c>
      <c r="M591" s="29">
        <f>L591/L592</f>
        <v>7.9113924050632917E-3</v>
      </c>
      <c r="N591" s="21">
        <f t="shared" si="148"/>
        <v>11</v>
      </c>
      <c r="O591" s="29">
        <f>N591/N592</f>
        <v>6.0175054704595188E-3</v>
      </c>
    </row>
    <row r="592" spans="1:15" x14ac:dyDescent="0.2">
      <c r="A592" s="95" t="s">
        <v>1</v>
      </c>
      <c r="B592" s="22">
        <f>SUM(B587:B591)</f>
        <v>324</v>
      </c>
      <c r="C592" s="29">
        <f>SUM(C587:C591)</f>
        <v>1</v>
      </c>
      <c r="D592" s="22">
        <f>SUM(D587:D591)</f>
        <v>13</v>
      </c>
      <c r="E592" s="29">
        <f>SUM(E587:E591)</f>
        <v>1</v>
      </c>
      <c r="F592" s="22">
        <f>SUM(F587:F591)</f>
        <v>114</v>
      </c>
      <c r="G592" s="29">
        <f>SUM(G587:G591)</f>
        <v>1</v>
      </c>
      <c r="H592" s="22">
        <f>SUM(H587:H591)</f>
        <v>511</v>
      </c>
      <c r="I592" s="29">
        <f>SUM(I587:I591)</f>
        <v>0.99999999999999989</v>
      </c>
      <c r="J592" s="22">
        <f>SUM(J587:J591)</f>
        <v>234</v>
      </c>
      <c r="K592" s="29">
        <f>SUM(K587:K591)</f>
        <v>0.99999999999999989</v>
      </c>
      <c r="L592" s="22">
        <f>SUM(L587:L591)</f>
        <v>632</v>
      </c>
      <c r="M592" s="29">
        <f>SUM(M587:M591)</f>
        <v>1</v>
      </c>
      <c r="N592" s="22">
        <f>SUM(N587:N591)</f>
        <v>1828</v>
      </c>
      <c r="O592" s="29">
        <f>SUM(O587:O591)</f>
        <v>1</v>
      </c>
    </row>
    <row r="593" spans="1:15" x14ac:dyDescent="0.2">
      <c r="A593" s="95" t="s">
        <v>145</v>
      </c>
      <c r="B593" s="28"/>
      <c r="C593" s="54">
        <f>SUM(C589:C591)</f>
        <v>2.1604938271604937E-2</v>
      </c>
      <c r="D593" s="28"/>
      <c r="E593" s="54">
        <f>SUM(E589:E591)</f>
        <v>0</v>
      </c>
      <c r="F593" s="28"/>
      <c r="G593" s="54">
        <f>SUM(G589:G591)</f>
        <v>8.771929824561403E-3</v>
      </c>
      <c r="H593" s="28"/>
      <c r="I593" s="54">
        <f>SUM(I589:I591)</f>
        <v>1.3698630136986301E-2</v>
      </c>
      <c r="J593" s="28"/>
      <c r="K593" s="54">
        <f>SUM(K589:K591)</f>
        <v>1.7094017094017096E-2</v>
      </c>
      <c r="L593" s="28"/>
      <c r="M593" s="54">
        <f>SUM(M589:M591)</f>
        <v>2.2151898734177215E-2</v>
      </c>
      <c r="N593" s="22"/>
      <c r="O593" s="54">
        <f>SUM(O589:O591)</f>
        <v>1.8052516411378557E-2</v>
      </c>
    </row>
    <row r="595" spans="1:15" ht="36" x14ac:dyDescent="0.2">
      <c r="A595" s="121" t="s">
        <v>201</v>
      </c>
      <c r="B595" s="122" t="s">
        <v>100</v>
      </c>
      <c r="C595" s="122"/>
      <c r="D595" s="122" t="s">
        <v>80</v>
      </c>
      <c r="E595" s="122"/>
      <c r="F595" s="123" t="s">
        <v>136</v>
      </c>
      <c r="G595" s="123"/>
      <c r="H595" s="122" t="s">
        <v>82</v>
      </c>
      <c r="I595" s="122"/>
      <c r="J595" s="122" t="s">
        <v>81</v>
      </c>
      <c r="K595" s="122"/>
      <c r="L595" s="122" t="s">
        <v>98</v>
      </c>
      <c r="M595" s="122"/>
      <c r="N595" s="116" t="s">
        <v>1</v>
      </c>
      <c r="O595" s="116"/>
    </row>
    <row r="596" spans="1:15" x14ac:dyDescent="0.2">
      <c r="A596" s="20" t="s">
        <v>144</v>
      </c>
      <c r="B596" s="28">
        <v>279</v>
      </c>
      <c r="C596" s="29">
        <f>B596/B601</f>
        <v>0.87460815047021945</v>
      </c>
      <c r="D596" s="28">
        <v>12</v>
      </c>
      <c r="E596" s="29">
        <f>D596/D601</f>
        <v>0.92307692307692313</v>
      </c>
      <c r="F596" s="28">
        <v>98</v>
      </c>
      <c r="G596" s="29">
        <f>F596/F601</f>
        <v>0.89090909090909087</v>
      </c>
      <c r="H596" s="28">
        <v>454</v>
      </c>
      <c r="I596" s="29">
        <f>H596/H601</f>
        <v>0.89723320158102771</v>
      </c>
      <c r="J596" s="28">
        <v>209</v>
      </c>
      <c r="K596" s="29">
        <f>J596/J601</f>
        <v>0.90476190476190477</v>
      </c>
      <c r="L596" s="28">
        <v>543</v>
      </c>
      <c r="M596" s="29">
        <f>L596/L601</f>
        <v>0.87019230769230771</v>
      </c>
      <c r="N596" s="21">
        <f>B596+D596+F596+H596+J596+L596</f>
        <v>1595</v>
      </c>
      <c r="O596" s="29">
        <f>N596/N601</f>
        <v>0.88463671658347198</v>
      </c>
    </row>
    <row r="597" spans="1:15" x14ac:dyDescent="0.2">
      <c r="A597" s="20" t="s">
        <v>143</v>
      </c>
      <c r="B597" s="28">
        <v>16</v>
      </c>
      <c r="C597" s="29">
        <f>B597/B601</f>
        <v>5.0156739811912224E-2</v>
      </c>
      <c r="D597" s="28">
        <v>1</v>
      </c>
      <c r="E597" s="29">
        <f>D597/D601</f>
        <v>7.6923076923076927E-2</v>
      </c>
      <c r="F597" s="28">
        <v>4</v>
      </c>
      <c r="G597" s="29">
        <f>F597/F601</f>
        <v>3.6363636363636362E-2</v>
      </c>
      <c r="H597" s="28">
        <v>11</v>
      </c>
      <c r="I597" s="29">
        <f>H597/H601</f>
        <v>2.1739130434782608E-2</v>
      </c>
      <c r="J597" s="28">
        <v>6</v>
      </c>
      <c r="K597" s="29">
        <f>J597/J601</f>
        <v>2.5974025974025976E-2</v>
      </c>
      <c r="L597" s="28">
        <v>31</v>
      </c>
      <c r="M597" s="29">
        <f>L597/L601</f>
        <v>4.9679487179487176E-2</v>
      </c>
      <c r="N597" s="21">
        <f t="shared" ref="N597:N600" si="149">B597+D597+F597+H597+J597+L597</f>
        <v>69</v>
      </c>
      <c r="O597" s="29">
        <f>N597/N601</f>
        <v>3.8269550748752081E-2</v>
      </c>
    </row>
    <row r="598" spans="1:15" x14ac:dyDescent="0.2">
      <c r="A598" s="20" t="s">
        <v>142</v>
      </c>
      <c r="B598" s="28">
        <v>2</v>
      </c>
      <c r="C598" s="29">
        <f>B598/B601</f>
        <v>6.269592476489028E-3</v>
      </c>
      <c r="D598" s="28"/>
      <c r="E598" s="29">
        <f>D598/D601</f>
        <v>0</v>
      </c>
      <c r="F598" s="28"/>
      <c r="G598" s="29">
        <f>F598/F601</f>
        <v>0</v>
      </c>
      <c r="H598" s="28">
        <v>14</v>
      </c>
      <c r="I598" s="29">
        <f>H598/H601</f>
        <v>2.766798418972332E-2</v>
      </c>
      <c r="J598" s="28">
        <v>7</v>
      </c>
      <c r="K598" s="29">
        <f>J598/J601</f>
        <v>3.0303030303030304E-2</v>
      </c>
      <c r="L598" s="28">
        <v>14</v>
      </c>
      <c r="M598" s="29">
        <f>L598/L601</f>
        <v>2.2435897435897436E-2</v>
      </c>
      <c r="N598" s="21">
        <f t="shared" si="149"/>
        <v>37</v>
      </c>
      <c r="O598" s="29">
        <f>N598/N601</f>
        <v>2.0521353300055462E-2</v>
      </c>
    </row>
    <row r="599" spans="1:15" x14ac:dyDescent="0.2">
      <c r="A599" s="20" t="s">
        <v>141</v>
      </c>
      <c r="B599" s="28">
        <v>11</v>
      </c>
      <c r="C599" s="29">
        <f>B599/B601</f>
        <v>3.4482758620689655E-2</v>
      </c>
      <c r="D599" s="28"/>
      <c r="E599" s="29">
        <f>D599/D601</f>
        <v>0</v>
      </c>
      <c r="F599" s="28">
        <v>3</v>
      </c>
      <c r="G599" s="29">
        <f>F599/F601</f>
        <v>2.7272727272727271E-2</v>
      </c>
      <c r="H599" s="28">
        <v>16</v>
      </c>
      <c r="I599" s="29">
        <f>H599/H601</f>
        <v>3.1620553359683792E-2</v>
      </c>
      <c r="J599" s="28">
        <v>6</v>
      </c>
      <c r="K599" s="29">
        <f>J599/J601</f>
        <v>2.5974025974025976E-2</v>
      </c>
      <c r="L599" s="28">
        <v>15</v>
      </c>
      <c r="M599" s="29">
        <f>L599/L601</f>
        <v>2.403846153846154E-2</v>
      </c>
      <c r="N599" s="21">
        <f t="shared" si="149"/>
        <v>51</v>
      </c>
      <c r="O599" s="29">
        <f>N599/N601</f>
        <v>2.8286189683860232E-2</v>
      </c>
    </row>
    <row r="600" spans="1:15" x14ac:dyDescent="0.2">
      <c r="A600" s="20" t="s">
        <v>140</v>
      </c>
      <c r="B600" s="28">
        <v>11</v>
      </c>
      <c r="C600" s="29">
        <f>B600/B601</f>
        <v>3.4482758620689655E-2</v>
      </c>
      <c r="D600" s="28"/>
      <c r="E600" s="29">
        <f>D600/D601</f>
        <v>0</v>
      </c>
      <c r="F600" s="28">
        <v>5</v>
      </c>
      <c r="G600" s="29">
        <f>F600/F601</f>
        <v>4.5454545454545456E-2</v>
      </c>
      <c r="H600" s="28">
        <v>11</v>
      </c>
      <c r="I600" s="29">
        <f>H600/H601</f>
        <v>2.1739130434782608E-2</v>
      </c>
      <c r="J600" s="28">
        <v>3</v>
      </c>
      <c r="K600" s="29">
        <f>J600/J601</f>
        <v>1.2987012987012988E-2</v>
      </c>
      <c r="L600" s="28">
        <v>21</v>
      </c>
      <c r="M600" s="29">
        <f>L600/L601</f>
        <v>3.3653846153846152E-2</v>
      </c>
      <c r="N600" s="21">
        <f t="shared" si="149"/>
        <v>51</v>
      </c>
      <c r="O600" s="29">
        <f>N600/N601</f>
        <v>2.8286189683860232E-2</v>
      </c>
    </row>
    <row r="601" spans="1:15" x14ac:dyDescent="0.2">
      <c r="A601" s="95" t="s">
        <v>1</v>
      </c>
      <c r="B601" s="22">
        <f>SUM(B596:B600)</f>
        <v>319</v>
      </c>
      <c r="C601" s="29">
        <f>SUM(C596:C600)</f>
        <v>1</v>
      </c>
      <c r="D601" s="22">
        <f>SUM(D596:D600)</f>
        <v>13</v>
      </c>
      <c r="E601" s="29">
        <f>SUM(E596:E600)</f>
        <v>1</v>
      </c>
      <c r="F601" s="22">
        <f>SUM(F596:F600)</f>
        <v>110</v>
      </c>
      <c r="G601" s="29">
        <f>SUM(G596:G600)</f>
        <v>0.99999999999999989</v>
      </c>
      <c r="H601" s="22">
        <f>SUM(H596:H600)</f>
        <v>506</v>
      </c>
      <c r="I601" s="29">
        <f>SUM(I596:I600)</f>
        <v>1</v>
      </c>
      <c r="J601" s="22">
        <f>SUM(J596:J600)</f>
        <v>231</v>
      </c>
      <c r="K601" s="29">
        <f>SUM(K596:K600)</f>
        <v>1</v>
      </c>
      <c r="L601" s="22">
        <f>SUM(L596:L600)</f>
        <v>624</v>
      </c>
      <c r="M601" s="29">
        <f>SUM(M596:M600)</f>
        <v>1.0000000000000002</v>
      </c>
      <c r="N601" s="22">
        <f>SUM(N596:N600)</f>
        <v>1803</v>
      </c>
      <c r="O601" s="29">
        <f>SUM(O596:O600)</f>
        <v>0.99999999999999989</v>
      </c>
    </row>
    <row r="602" spans="1:15" x14ac:dyDescent="0.2">
      <c r="A602" s="95" t="s">
        <v>145</v>
      </c>
      <c r="B602" s="28"/>
      <c r="C602" s="54">
        <f>SUM(C598:C600)</f>
        <v>7.5235109717868343E-2</v>
      </c>
      <c r="D602" s="28"/>
      <c r="E602" s="54">
        <f>SUM(E598:E600)</f>
        <v>0</v>
      </c>
      <c r="F602" s="28"/>
      <c r="G602" s="54">
        <f>SUM(G598:G600)</f>
        <v>7.2727272727272724E-2</v>
      </c>
      <c r="H602" s="28"/>
      <c r="I602" s="54">
        <f>SUM(I598:I600)</f>
        <v>8.1027667984189727E-2</v>
      </c>
      <c r="J602" s="28"/>
      <c r="K602" s="54">
        <f>SUM(K598:K600)</f>
        <v>6.9264069264069264E-2</v>
      </c>
      <c r="L602" s="28"/>
      <c r="M602" s="54">
        <f>SUM(M598:M600)</f>
        <v>8.0128205128205121E-2</v>
      </c>
      <c r="N602" s="22"/>
      <c r="O602" s="54">
        <f>SUM(O598:O600)</f>
        <v>7.709373266777593E-2</v>
      </c>
    </row>
  </sheetData>
  <mergeCells count="503">
    <mergeCell ref="B595:C595"/>
    <mergeCell ref="D595:E595"/>
    <mergeCell ref="F595:G595"/>
    <mergeCell ref="H595:I595"/>
    <mergeCell ref="J595:K595"/>
    <mergeCell ref="L595:M595"/>
    <mergeCell ref="N595:O595"/>
    <mergeCell ref="B551:C551"/>
    <mergeCell ref="D551:E551"/>
    <mergeCell ref="F551:G551"/>
    <mergeCell ref="H551:I551"/>
    <mergeCell ref="J551:K551"/>
    <mergeCell ref="L551:M551"/>
    <mergeCell ref="N551:O551"/>
    <mergeCell ref="B577:C577"/>
    <mergeCell ref="D577:E577"/>
    <mergeCell ref="F577:G577"/>
    <mergeCell ref="H577:I577"/>
    <mergeCell ref="J577:K577"/>
    <mergeCell ref="L577:M577"/>
    <mergeCell ref="N577:O577"/>
    <mergeCell ref="B586:C586"/>
    <mergeCell ref="D586:E586"/>
    <mergeCell ref="F586:G586"/>
    <mergeCell ref="H586:I586"/>
    <mergeCell ref="J586:K586"/>
    <mergeCell ref="L586:M586"/>
    <mergeCell ref="N586:O586"/>
    <mergeCell ref="B559:C559"/>
    <mergeCell ref="D559:E559"/>
    <mergeCell ref="F559:G559"/>
    <mergeCell ref="H559:I559"/>
    <mergeCell ref="J559:K559"/>
    <mergeCell ref="L559:M559"/>
    <mergeCell ref="N559:O559"/>
    <mergeCell ref="B568:C568"/>
    <mergeCell ref="D568:E568"/>
    <mergeCell ref="F568:G568"/>
    <mergeCell ref="H568:I568"/>
    <mergeCell ref="J568:K568"/>
    <mergeCell ref="L568:M568"/>
    <mergeCell ref="N568:O568"/>
    <mergeCell ref="D421:E421"/>
    <mergeCell ref="F421:G421"/>
    <mergeCell ref="H421:I421"/>
    <mergeCell ref="J421:K421"/>
    <mergeCell ref="L421:M421"/>
    <mergeCell ref="N421:O421"/>
    <mergeCell ref="B426:C426"/>
    <mergeCell ref="D426:E426"/>
    <mergeCell ref="F426:G426"/>
    <mergeCell ref="H426:I426"/>
    <mergeCell ref="J426:K426"/>
    <mergeCell ref="L426:M426"/>
    <mergeCell ref="N426:O426"/>
    <mergeCell ref="N100:O100"/>
    <mergeCell ref="N51:O51"/>
    <mergeCell ref="N81:O81"/>
    <mergeCell ref="B81:C81"/>
    <mergeCell ref="D81:E81"/>
    <mergeCell ref="D3:E3"/>
    <mergeCell ref="B3:C3"/>
    <mergeCell ref="B12:C12"/>
    <mergeCell ref="D12:E12"/>
    <mergeCell ref="B21:C21"/>
    <mergeCell ref="D21:E21"/>
    <mergeCell ref="B28:C28"/>
    <mergeCell ref="D28:E28"/>
    <mergeCell ref="B39:C39"/>
    <mergeCell ref="D39:E39"/>
    <mergeCell ref="N62:O62"/>
    <mergeCell ref="B75:C75"/>
    <mergeCell ref="D75:E75"/>
    <mergeCell ref="F75:G75"/>
    <mergeCell ref="H75:I75"/>
    <mergeCell ref="J75:K75"/>
    <mergeCell ref="L75:M75"/>
    <mergeCell ref="N75:O75"/>
    <mergeCell ref="F81:G81"/>
    <mergeCell ref="N107:O107"/>
    <mergeCell ref="B395:C395"/>
    <mergeCell ref="D395:E395"/>
    <mergeCell ref="F395:G395"/>
    <mergeCell ref="H395:I395"/>
    <mergeCell ref="J395:K395"/>
    <mergeCell ref="L395:M395"/>
    <mergeCell ref="N395:O395"/>
    <mergeCell ref="B107:C107"/>
    <mergeCell ref="D107:E107"/>
    <mergeCell ref="F107:G107"/>
    <mergeCell ref="H107:I107"/>
    <mergeCell ref="J107:K107"/>
    <mergeCell ref="L107:M107"/>
    <mergeCell ref="D376:E376"/>
    <mergeCell ref="F376:G376"/>
    <mergeCell ref="H376:I376"/>
    <mergeCell ref="J376:K376"/>
    <mergeCell ref="L376:M376"/>
    <mergeCell ref="N376:O376"/>
    <mergeCell ref="B384:C384"/>
    <mergeCell ref="D384:E384"/>
    <mergeCell ref="F384:G384"/>
    <mergeCell ref="H384:I384"/>
    <mergeCell ref="B117:C117"/>
    <mergeCell ref="D117:E117"/>
    <mergeCell ref="F117:G117"/>
    <mergeCell ref="H117:I117"/>
    <mergeCell ref="J117:K117"/>
    <mergeCell ref="L117:M117"/>
    <mergeCell ref="N117:O117"/>
    <mergeCell ref="N408:O408"/>
    <mergeCell ref="B408:C408"/>
    <mergeCell ref="D408:E408"/>
    <mergeCell ref="F408:G408"/>
    <mergeCell ref="H408:I408"/>
    <mergeCell ref="J408:K408"/>
    <mergeCell ref="L408:M408"/>
    <mergeCell ref="N384:O384"/>
    <mergeCell ref="B376:C376"/>
    <mergeCell ref="B421:C421"/>
    <mergeCell ref="B100:C100"/>
    <mergeCell ref="D100:E100"/>
    <mergeCell ref="F100:G100"/>
    <mergeCell ref="H100:I100"/>
    <mergeCell ref="D51:E51"/>
    <mergeCell ref="B51:C51"/>
    <mergeCell ref="J81:K81"/>
    <mergeCell ref="L81:M81"/>
    <mergeCell ref="B62:C62"/>
    <mergeCell ref="D62:E62"/>
    <mergeCell ref="F62:G62"/>
    <mergeCell ref="H62:I62"/>
    <mergeCell ref="J62:K62"/>
    <mergeCell ref="L62:M62"/>
    <mergeCell ref="B69:C69"/>
    <mergeCell ref="D69:E69"/>
    <mergeCell ref="F69:G69"/>
    <mergeCell ref="H69:I69"/>
    <mergeCell ref="J69:K69"/>
    <mergeCell ref="L69:M69"/>
    <mergeCell ref="J100:K100"/>
    <mergeCell ref="L100:M100"/>
    <mergeCell ref="J384:K384"/>
    <mergeCell ref="L384:M384"/>
    <mergeCell ref="N368:O368"/>
    <mergeCell ref="B360:C360"/>
    <mergeCell ref="D360:E360"/>
    <mergeCell ref="F360:G360"/>
    <mergeCell ref="H360:I360"/>
    <mergeCell ref="J360:K360"/>
    <mergeCell ref="L360:M360"/>
    <mergeCell ref="N360:O360"/>
    <mergeCell ref="B368:C368"/>
    <mergeCell ref="D368:E368"/>
    <mergeCell ref="F368:G368"/>
    <mergeCell ref="H368:I368"/>
    <mergeCell ref="J368:K368"/>
    <mergeCell ref="L368:M368"/>
    <mergeCell ref="B351:C351"/>
    <mergeCell ref="D351:E351"/>
    <mergeCell ref="F351:G351"/>
    <mergeCell ref="H351:I351"/>
    <mergeCell ref="J351:K351"/>
    <mergeCell ref="L351:M351"/>
    <mergeCell ref="N351:O351"/>
    <mergeCell ref="N343:O343"/>
    <mergeCell ref="B335:C335"/>
    <mergeCell ref="D335:E335"/>
    <mergeCell ref="F335:G335"/>
    <mergeCell ref="H335:I335"/>
    <mergeCell ref="J335:K335"/>
    <mergeCell ref="L335:M335"/>
    <mergeCell ref="N335:O335"/>
    <mergeCell ref="B343:C343"/>
    <mergeCell ref="D343:E343"/>
    <mergeCell ref="F343:G343"/>
    <mergeCell ref="H343:I343"/>
    <mergeCell ref="J343:K343"/>
    <mergeCell ref="L343:M343"/>
    <mergeCell ref="N327:O327"/>
    <mergeCell ref="B319:C319"/>
    <mergeCell ref="D319:E319"/>
    <mergeCell ref="F319:G319"/>
    <mergeCell ref="H319:I319"/>
    <mergeCell ref="J319:K319"/>
    <mergeCell ref="L319:M319"/>
    <mergeCell ref="N319:O319"/>
    <mergeCell ref="B327:C327"/>
    <mergeCell ref="D327:E327"/>
    <mergeCell ref="F327:G327"/>
    <mergeCell ref="H327:I327"/>
    <mergeCell ref="J327:K327"/>
    <mergeCell ref="L327:M327"/>
    <mergeCell ref="N311:O311"/>
    <mergeCell ref="B303:C303"/>
    <mergeCell ref="D303:E303"/>
    <mergeCell ref="F303:G303"/>
    <mergeCell ref="H303:I303"/>
    <mergeCell ref="J303:K303"/>
    <mergeCell ref="L303:M303"/>
    <mergeCell ref="N303:O303"/>
    <mergeCell ref="B311:C311"/>
    <mergeCell ref="D311:E311"/>
    <mergeCell ref="F311:G311"/>
    <mergeCell ref="H311:I311"/>
    <mergeCell ref="J311:K311"/>
    <mergeCell ref="L311:M311"/>
    <mergeCell ref="N295:O295"/>
    <mergeCell ref="B287:C287"/>
    <mergeCell ref="D287:E287"/>
    <mergeCell ref="F287:G287"/>
    <mergeCell ref="H287:I287"/>
    <mergeCell ref="J287:K287"/>
    <mergeCell ref="L287:M287"/>
    <mergeCell ref="N287:O287"/>
    <mergeCell ref="B295:C295"/>
    <mergeCell ref="D295:E295"/>
    <mergeCell ref="F295:G295"/>
    <mergeCell ref="H295:I295"/>
    <mergeCell ref="J295:K295"/>
    <mergeCell ref="L295:M295"/>
    <mergeCell ref="N279:O279"/>
    <mergeCell ref="B271:C271"/>
    <mergeCell ref="D271:E271"/>
    <mergeCell ref="F271:G271"/>
    <mergeCell ref="H271:I271"/>
    <mergeCell ref="J271:K271"/>
    <mergeCell ref="L271:M271"/>
    <mergeCell ref="N271:O271"/>
    <mergeCell ref="B279:C279"/>
    <mergeCell ref="D279:E279"/>
    <mergeCell ref="F279:G279"/>
    <mergeCell ref="H279:I279"/>
    <mergeCell ref="J279:K279"/>
    <mergeCell ref="L279:M279"/>
    <mergeCell ref="N262:O262"/>
    <mergeCell ref="B254:C254"/>
    <mergeCell ref="D254:E254"/>
    <mergeCell ref="F254:G254"/>
    <mergeCell ref="H254:I254"/>
    <mergeCell ref="J254:K254"/>
    <mergeCell ref="L254:M254"/>
    <mergeCell ref="N254:O254"/>
    <mergeCell ref="B262:C262"/>
    <mergeCell ref="D262:E262"/>
    <mergeCell ref="F262:G262"/>
    <mergeCell ref="H262:I262"/>
    <mergeCell ref="J262:K262"/>
    <mergeCell ref="L262:M262"/>
    <mergeCell ref="N246:O246"/>
    <mergeCell ref="B238:C238"/>
    <mergeCell ref="D238:E238"/>
    <mergeCell ref="F238:G238"/>
    <mergeCell ref="H238:I238"/>
    <mergeCell ref="J238:K238"/>
    <mergeCell ref="L238:M238"/>
    <mergeCell ref="N238:O238"/>
    <mergeCell ref="B246:C246"/>
    <mergeCell ref="D246:E246"/>
    <mergeCell ref="F246:G246"/>
    <mergeCell ref="H246:I246"/>
    <mergeCell ref="J246:K246"/>
    <mergeCell ref="L246:M246"/>
    <mergeCell ref="N230:O230"/>
    <mergeCell ref="B222:C222"/>
    <mergeCell ref="D222:E222"/>
    <mergeCell ref="F222:G222"/>
    <mergeCell ref="H222:I222"/>
    <mergeCell ref="J222:K222"/>
    <mergeCell ref="L222:M222"/>
    <mergeCell ref="N222:O222"/>
    <mergeCell ref="B230:C230"/>
    <mergeCell ref="D230:E230"/>
    <mergeCell ref="F230:G230"/>
    <mergeCell ref="H230:I230"/>
    <mergeCell ref="J230:K230"/>
    <mergeCell ref="L230:M230"/>
    <mergeCell ref="N214:O214"/>
    <mergeCell ref="B206:C206"/>
    <mergeCell ref="D206:E206"/>
    <mergeCell ref="F206:G206"/>
    <mergeCell ref="H206:I206"/>
    <mergeCell ref="J206:K206"/>
    <mergeCell ref="L206:M206"/>
    <mergeCell ref="N206:O206"/>
    <mergeCell ref="B214:C214"/>
    <mergeCell ref="D214:E214"/>
    <mergeCell ref="F214:G214"/>
    <mergeCell ref="H214:I214"/>
    <mergeCell ref="J214:K214"/>
    <mergeCell ref="L214:M214"/>
    <mergeCell ref="N198:O198"/>
    <mergeCell ref="B190:C190"/>
    <mergeCell ref="D190:E190"/>
    <mergeCell ref="F190:G190"/>
    <mergeCell ref="H190:I190"/>
    <mergeCell ref="J190:K190"/>
    <mergeCell ref="L190:M190"/>
    <mergeCell ref="N190:O190"/>
    <mergeCell ref="B198:C198"/>
    <mergeCell ref="D198:E198"/>
    <mergeCell ref="F198:G198"/>
    <mergeCell ref="H198:I198"/>
    <mergeCell ref="J198:K198"/>
    <mergeCell ref="L198:M198"/>
    <mergeCell ref="N181:O181"/>
    <mergeCell ref="B173:C173"/>
    <mergeCell ref="D173:E173"/>
    <mergeCell ref="F173:G173"/>
    <mergeCell ref="H173:I173"/>
    <mergeCell ref="J173:K173"/>
    <mergeCell ref="L173:M173"/>
    <mergeCell ref="N173:O173"/>
    <mergeCell ref="B181:C181"/>
    <mergeCell ref="D181:E181"/>
    <mergeCell ref="F181:G181"/>
    <mergeCell ref="H181:I181"/>
    <mergeCell ref="J181:K181"/>
    <mergeCell ref="L181:M181"/>
    <mergeCell ref="N165:O165"/>
    <mergeCell ref="B157:C157"/>
    <mergeCell ref="D157:E157"/>
    <mergeCell ref="F157:G157"/>
    <mergeCell ref="H157:I157"/>
    <mergeCell ref="J157:K157"/>
    <mergeCell ref="L157:M157"/>
    <mergeCell ref="N157:O157"/>
    <mergeCell ref="B165:C165"/>
    <mergeCell ref="D165:E165"/>
    <mergeCell ref="F165:G165"/>
    <mergeCell ref="H165:I165"/>
    <mergeCell ref="J165:K165"/>
    <mergeCell ref="L165:M165"/>
    <mergeCell ref="N149:O149"/>
    <mergeCell ref="B141:C141"/>
    <mergeCell ref="D141:E141"/>
    <mergeCell ref="F141:G141"/>
    <mergeCell ref="H141:I141"/>
    <mergeCell ref="J141:K141"/>
    <mergeCell ref="L141:M141"/>
    <mergeCell ref="N141:O141"/>
    <mergeCell ref="B149:C149"/>
    <mergeCell ref="D149:E149"/>
    <mergeCell ref="F149:G149"/>
    <mergeCell ref="H149:I149"/>
    <mergeCell ref="J149:K149"/>
    <mergeCell ref="L149:M149"/>
    <mergeCell ref="G12:H12"/>
    <mergeCell ref="I12:J12"/>
    <mergeCell ref="K12:L12"/>
    <mergeCell ref="M12:N12"/>
    <mergeCell ref="O12:P12"/>
    <mergeCell ref="N133:O133"/>
    <mergeCell ref="B125:C125"/>
    <mergeCell ref="D125:E125"/>
    <mergeCell ref="F125:G125"/>
    <mergeCell ref="H125:I125"/>
    <mergeCell ref="J125:K125"/>
    <mergeCell ref="L125:M125"/>
    <mergeCell ref="N125:O125"/>
    <mergeCell ref="B133:C133"/>
    <mergeCell ref="D133:E133"/>
    <mergeCell ref="F133:G133"/>
    <mergeCell ref="H133:I133"/>
    <mergeCell ref="J133:K133"/>
    <mergeCell ref="L133:M133"/>
    <mergeCell ref="L51:M51"/>
    <mergeCell ref="J51:K51"/>
    <mergeCell ref="H51:I51"/>
    <mergeCell ref="F51:G51"/>
    <mergeCell ref="Q12:R12"/>
    <mergeCell ref="G21:H21"/>
    <mergeCell ref="I21:J21"/>
    <mergeCell ref="K21:L21"/>
    <mergeCell ref="M21:N21"/>
    <mergeCell ref="O21:P21"/>
    <mergeCell ref="Q21:R21"/>
    <mergeCell ref="Q39:R39"/>
    <mergeCell ref="G28:H28"/>
    <mergeCell ref="I28:J28"/>
    <mergeCell ref="K28:L28"/>
    <mergeCell ref="M28:N28"/>
    <mergeCell ref="O28:P28"/>
    <mergeCell ref="Q28:R28"/>
    <mergeCell ref="G39:H39"/>
    <mergeCell ref="I39:J39"/>
    <mergeCell ref="K39:L39"/>
    <mergeCell ref="M39:N39"/>
    <mergeCell ref="O39:P39"/>
    <mergeCell ref="N69:O69"/>
    <mergeCell ref="B86:C86"/>
    <mergeCell ref="D86:E86"/>
    <mergeCell ref="F86:G86"/>
    <mergeCell ref="H86:I86"/>
    <mergeCell ref="J86:K86"/>
    <mergeCell ref="L86:M86"/>
    <mergeCell ref="N86:O86"/>
    <mergeCell ref="B93:C93"/>
    <mergeCell ref="D93:E93"/>
    <mergeCell ref="F93:G93"/>
    <mergeCell ref="H93:I93"/>
    <mergeCell ref="J93:K93"/>
    <mergeCell ref="L93:M93"/>
    <mergeCell ref="N93:O93"/>
    <mergeCell ref="H81:I81"/>
    <mergeCell ref="B432:C432"/>
    <mergeCell ref="D432:E432"/>
    <mergeCell ref="F432:G432"/>
    <mergeCell ref="H432:I432"/>
    <mergeCell ref="J432:K432"/>
    <mergeCell ref="L432:M432"/>
    <mergeCell ref="N432:O432"/>
    <mergeCell ref="B441:C441"/>
    <mergeCell ref="D441:E441"/>
    <mergeCell ref="F441:G441"/>
    <mergeCell ref="H441:I441"/>
    <mergeCell ref="J441:K441"/>
    <mergeCell ref="L441:M441"/>
    <mergeCell ref="N441:O441"/>
    <mergeCell ref="B450:C450"/>
    <mergeCell ref="D450:E450"/>
    <mergeCell ref="F450:G450"/>
    <mergeCell ref="H450:I450"/>
    <mergeCell ref="J450:K450"/>
    <mergeCell ref="L450:M450"/>
    <mergeCell ref="N450:O450"/>
    <mergeCell ref="B459:C459"/>
    <mergeCell ref="D459:E459"/>
    <mergeCell ref="F459:G459"/>
    <mergeCell ref="H459:I459"/>
    <mergeCell ref="J459:K459"/>
    <mergeCell ref="L459:M459"/>
    <mergeCell ref="N459:O459"/>
    <mergeCell ref="B468:C468"/>
    <mergeCell ref="D468:E468"/>
    <mergeCell ref="F468:G468"/>
    <mergeCell ref="H468:I468"/>
    <mergeCell ref="J468:K468"/>
    <mergeCell ref="L468:M468"/>
    <mergeCell ref="N468:O468"/>
    <mergeCell ref="B477:C477"/>
    <mergeCell ref="D477:E477"/>
    <mergeCell ref="F477:G477"/>
    <mergeCell ref="H477:I477"/>
    <mergeCell ref="J477:K477"/>
    <mergeCell ref="L477:M477"/>
    <mergeCell ref="N477:O477"/>
    <mergeCell ref="B486:C486"/>
    <mergeCell ref="D486:E486"/>
    <mergeCell ref="F486:G486"/>
    <mergeCell ref="H486:I486"/>
    <mergeCell ref="J486:K486"/>
    <mergeCell ref="L486:M486"/>
    <mergeCell ref="N486:O486"/>
    <mergeCell ref="B495:C495"/>
    <mergeCell ref="D495:E495"/>
    <mergeCell ref="F495:G495"/>
    <mergeCell ref="H495:I495"/>
    <mergeCell ref="J495:K495"/>
    <mergeCell ref="L495:M495"/>
    <mergeCell ref="N495:O495"/>
    <mergeCell ref="B504:C504"/>
    <mergeCell ref="D504:E504"/>
    <mergeCell ref="F504:G504"/>
    <mergeCell ref="H504:I504"/>
    <mergeCell ref="J504:K504"/>
    <mergeCell ref="L504:M504"/>
    <mergeCell ref="N504:O504"/>
    <mergeCell ref="B514:C514"/>
    <mergeCell ref="D514:E514"/>
    <mergeCell ref="F514:G514"/>
    <mergeCell ref="H514:I514"/>
    <mergeCell ref="J514:K514"/>
    <mergeCell ref="L514:M514"/>
    <mergeCell ref="N514:O514"/>
    <mergeCell ref="B523:C523"/>
    <mergeCell ref="D523:E523"/>
    <mergeCell ref="F523:G523"/>
    <mergeCell ref="H523:I523"/>
    <mergeCell ref="J523:K523"/>
    <mergeCell ref="L523:M523"/>
    <mergeCell ref="N523:O523"/>
    <mergeCell ref="B550:C550"/>
    <mergeCell ref="D550:E550"/>
    <mergeCell ref="F550:G550"/>
    <mergeCell ref="H550:I550"/>
    <mergeCell ref="J550:K550"/>
    <mergeCell ref="L550:M550"/>
    <mergeCell ref="N550:O550"/>
    <mergeCell ref="B532:C532"/>
    <mergeCell ref="D532:E532"/>
    <mergeCell ref="F532:G532"/>
    <mergeCell ref="H532:I532"/>
    <mergeCell ref="J532:K532"/>
    <mergeCell ref="L532:M532"/>
    <mergeCell ref="N532:O532"/>
    <mergeCell ref="B541:C541"/>
    <mergeCell ref="D541:E541"/>
    <mergeCell ref="F541:G541"/>
    <mergeCell ref="H541:I541"/>
    <mergeCell ref="J541:K541"/>
    <mergeCell ref="L541:M541"/>
    <mergeCell ref="N541:O541"/>
  </mergeCells>
  <phoneticPr fontId="0" type="noConversion"/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zoomScaleNormal="100" workbookViewId="0">
      <selection activeCell="G564" sqref="G564"/>
    </sheetView>
  </sheetViews>
  <sheetFormatPr defaultRowHeight="12" x14ac:dyDescent="0.2"/>
  <cols>
    <col min="1" max="1" width="14" style="88" customWidth="1"/>
    <col min="2" max="2" width="6.5703125" style="34" bestFit="1" customWidth="1"/>
    <col min="3" max="3" width="7.140625" style="34" bestFit="1" customWidth="1"/>
    <col min="4" max="4" width="5.5703125" style="34" customWidth="1"/>
    <col min="5" max="5" width="5.7109375" style="34" bestFit="1" customWidth="1"/>
    <col min="6" max="6" width="8.140625" style="34" customWidth="1"/>
    <col min="7" max="7" width="5.42578125" style="34" bestFit="1" customWidth="1"/>
    <col min="8" max="8" width="7.28515625" style="35" bestFit="1" customWidth="1"/>
    <col min="9" max="13" width="5.42578125" style="34" bestFit="1" customWidth="1"/>
    <col min="14" max="14" width="5.5703125" style="34" bestFit="1" customWidth="1"/>
    <col min="15" max="15" width="6.7109375" style="34" bestFit="1" customWidth="1"/>
    <col min="16" max="16" width="5.42578125" style="34" bestFit="1" customWidth="1"/>
    <col min="17" max="17" width="5.7109375" style="34" customWidth="1"/>
    <col min="18" max="18" width="7.28515625" style="34" bestFit="1" customWidth="1"/>
    <col min="19" max="19" width="18.5703125" style="34" customWidth="1"/>
    <col min="20" max="20" width="1.7109375" style="34" customWidth="1"/>
    <col min="21" max="16384" width="9.140625" style="74"/>
  </cols>
  <sheetData>
    <row r="1" spans="1:20" ht="15.75" x14ac:dyDescent="0.2">
      <c r="A1" s="89" t="s">
        <v>202</v>
      </c>
      <c r="R1" s="74"/>
      <c r="S1" s="74"/>
      <c r="T1" s="74"/>
    </row>
    <row r="2" spans="1:20" x14ac:dyDescent="0.2">
      <c r="B2" s="61"/>
      <c r="C2" s="61"/>
      <c r="D2" s="61"/>
    </row>
    <row r="3" spans="1:20" ht="24" x14ac:dyDescent="0.2">
      <c r="A3" s="115" t="s">
        <v>87</v>
      </c>
      <c r="B3" s="116" t="s">
        <v>1</v>
      </c>
      <c r="C3" s="116"/>
      <c r="D3" s="117" t="s">
        <v>86</v>
      </c>
      <c r="E3" s="117"/>
      <c r="F3" s="118" t="s">
        <v>99</v>
      </c>
      <c r="G3" s="40"/>
      <c r="H3" s="40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33"/>
    </row>
    <row r="4" spans="1:20" x14ac:dyDescent="0.2">
      <c r="A4" s="20" t="s">
        <v>79</v>
      </c>
      <c r="B4" s="28">
        <v>2474</v>
      </c>
      <c r="C4" s="29">
        <f>B4/B10</f>
        <v>0.13860720488542774</v>
      </c>
      <c r="D4" s="28">
        <v>361</v>
      </c>
      <c r="E4" s="29">
        <f>D4/D10</f>
        <v>0.17888999008919723</v>
      </c>
      <c r="F4" s="41">
        <f>D4/B4</f>
        <v>0.14591754244139046</v>
      </c>
      <c r="H4" s="3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37"/>
    </row>
    <row r="5" spans="1:20" x14ac:dyDescent="0.2">
      <c r="A5" s="20" t="s">
        <v>80</v>
      </c>
      <c r="B5" s="28">
        <v>169</v>
      </c>
      <c r="C5" s="29">
        <f>B5/B10</f>
        <v>9.468317552804079E-3</v>
      </c>
      <c r="D5" s="28">
        <v>15</v>
      </c>
      <c r="E5" s="29">
        <f>D5/D10</f>
        <v>7.4331020812685826E-3</v>
      </c>
      <c r="F5" s="41">
        <f t="shared" ref="F5:F10" si="0">D5/B5</f>
        <v>8.8757396449704137E-2</v>
      </c>
      <c r="G5" s="124" t="s">
        <v>203</v>
      </c>
      <c r="H5" s="125"/>
      <c r="I5" s="125"/>
      <c r="J5" s="125"/>
      <c r="K5" s="125"/>
      <c r="L5" s="125"/>
      <c r="M5" s="125"/>
      <c r="N5" s="125"/>
      <c r="O5" s="125"/>
      <c r="P5" s="125"/>
      <c r="Q5" s="126"/>
      <c r="R5" s="74"/>
      <c r="S5" s="74"/>
      <c r="T5" s="37"/>
    </row>
    <row r="6" spans="1:20" x14ac:dyDescent="0.2">
      <c r="A6" s="20" t="s">
        <v>83</v>
      </c>
      <c r="B6" s="28">
        <v>1609</v>
      </c>
      <c r="C6" s="29">
        <f>B6/B10</f>
        <v>9.01451061684128E-2</v>
      </c>
      <c r="D6" s="28">
        <v>132</v>
      </c>
      <c r="E6" s="29">
        <f>D6/D10</f>
        <v>6.5411298315163527E-2</v>
      </c>
      <c r="F6" s="41">
        <f t="shared" si="0"/>
        <v>8.2038533250466131E-2</v>
      </c>
      <c r="G6" s="124" t="s">
        <v>153</v>
      </c>
      <c r="H6" s="125"/>
      <c r="I6" s="125"/>
      <c r="J6" s="125"/>
      <c r="K6" s="125"/>
      <c r="L6" s="125"/>
      <c r="M6" s="125"/>
      <c r="N6" s="125"/>
      <c r="O6" s="125"/>
      <c r="P6" s="125"/>
      <c r="Q6" s="126"/>
      <c r="R6" s="74"/>
      <c r="S6" s="74"/>
      <c r="T6" s="37"/>
    </row>
    <row r="7" spans="1:20" x14ac:dyDescent="0.2">
      <c r="A7" s="20" t="s">
        <v>82</v>
      </c>
      <c r="B7" s="28">
        <v>5555</v>
      </c>
      <c r="C7" s="29">
        <f>B7/B10</f>
        <v>0.31122191719424058</v>
      </c>
      <c r="D7" s="28">
        <v>560</v>
      </c>
      <c r="E7" s="29">
        <f>D7/D10</f>
        <v>0.27750247770069375</v>
      </c>
      <c r="F7" s="41">
        <f>D7/B7</f>
        <v>0.10081008100810081</v>
      </c>
      <c r="H7" s="34"/>
      <c r="S7" s="74"/>
      <c r="T7" s="37"/>
    </row>
    <row r="8" spans="1:20" x14ac:dyDescent="0.2">
      <c r="A8" s="20" t="s">
        <v>81</v>
      </c>
      <c r="B8" s="28">
        <v>2384</v>
      </c>
      <c r="C8" s="29">
        <f>B8/B10</f>
        <v>0.13356490559695222</v>
      </c>
      <c r="D8" s="28">
        <v>254</v>
      </c>
      <c r="E8" s="29">
        <f>D8/D10</f>
        <v>0.12586719524281467</v>
      </c>
      <c r="F8" s="41">
        <f>D8/B8</f>
        <v>0.10654362416107382</v>
      </c>
      <c r="H8" s="34"/>
      <c r="S8" s="74"/>
      <c r="T8" s="37"/>
    </row>
    <row r="9" spans="1:20" x14ac:dyDescent="0.2">
      <c r="A9" s="20" t="s">
        <v>98</v>
      </c>
      <c r="B9" s="28">
        <v>5658</v>
      </c>
      <c r="C9" s="29">
        <f>B9/B10</f>
        <v>0.31699254860216258</v>
      </c>
      <c r="D9" s="28">
        <v>696</v>
      </c>
      <c r="E9" s="29">
        <f>D9/D10</f>
        <v>0.34489593657086226</v>
      </c>
      <c r="F9" s="41">
        <f t="shared" si="0"/>
        <v>0.12301166489925769</v>
      </c>
      <c r="H9" s="34"/>
      <c r="S9" s="74"/>
      <c r="T9" s="37"/>
    </row>
    <row r="10" spans="1:20" x14ac:dyDescent="0.2">
      <c r="A10" s="95" t="s">
        <v>1</v>
      </c>
      <c r="B10" s="22">
        <f>SUM(B4:B9)</f>
        <v>17849</v>
      </c>
      <c r="C10" s="77">
        <f>SUM(C4:C9)</f>
        <v>1</v>
      </c>
      <c r="D10" s="22">
        <f t="shared" ref="D10" si="1">SUM(D4:D9)</f>
        <v>2018</v>
      </c>
      <c r="E10" s="42">
        <f>SUM(E4:E9)</f>
        <v>1</v>
      </c>
      <c r="F10" s="43">
        <f t="shared" si="0"/>
        <v>0.11305955515715166</v>
      </c>
      <c r="G10" s="44"/>
      <c r="H10" s="44"/>
      <c r="I10" s="44"/>
      <c r="J10" s="44"/>
      <c r="K10" s="44"/>
      <c r="L10" s="44"/>
      <c r="M10" s="44" t="s">
        <v>0</v>
      </c>
      <c r="N10" s="44"/>
      <c r="O10" s="44"/>
      <c r="P10" s="44"/>
      <c r="Q10" s="44"/>
      <c r="R10" s="44"/>
      <c r="S10" s="75"/>
      <c r="T10" s="33"/>
    </row>
    <row r="11" spans="1:20" x14ac:dyDescent="0.2">
      <c r="A11" s="38"/>
      <c r="B11" s="36"/>
      <c r="C11" s="36"/>
      <c r="D11" s="36"/>
      <c r="E11" s="36"/>
      <c r="F11" s="35"/>
      <c r="H11" s="34"/>
      <c r="S11" s="74"/>
      <c r="T11" s="37"/>
    </row>
    <row r="12" spans="1:20" ht="12" customHeight="1" x14ac:dyDescent="0.2">
      <c r="A12" s="119" t="s">
        <v>4</v>
      </c>
      <c r="B12" s="116" t="s">
        <v>1</v>
      </c>
      <c r="C12" s="116"/>
      <c r="D12" s="117" t="s">
        <v>86</v>
      </c>
      <c r="E12" s="117"/>
      <c r="F12" s="118" t="s">
        <v>15</v>
      </c>
      <c r="G12" s="120" t="s">
        <v>100</v>
      </c>
      <c r="H12" s="120"/>
      <c r="I12" s="120" t="s">
        <v>80</v>
      </c>
      <c r="J12" s="120"/>
      <c r="K12" s="117" t="s">
        <v>136</v>
      </c>
      <c r="L12" s="117"/>
      <c r="M12" s="120" t="s">
        <v>82</v>
      </c>
      <c r="N12" s="120"/>
      <c r="O12" s="120" t="s">
        <v>81</v>
      </c>
      <c r="P12" s="120"/>
      <c r="Q12" s="120" t="s">
        <v>98</v>
      </c>
      <c r="R12" s="120"/>
      <c r="S12" s="74"/>
      <c r="T12" s="74"/>
    </row>
    <row r="13" spans="1:20" x14ac:dyDescent="0.2">
      <c r="A13" s="20" t="s">
        <v>160</v>
      </c>
      <c r="B13" s="28">
        <v>5702</v>
      </c>
      <c r="C13" s="29">
        <f>B13/B19</f>
        <v>0.31945767269875064</v>
      </c>
      <c r="D13" s="28">
        <v>598</v>
      </c>
      <c r="E13" s="29">
        <f>D13/D19</f>
        <v>0.29633300297324083</v>
      </c>
      <c r="F13" s="41">
        <f>D13/B13</f>
        <v>0.10487548228691687</v>
      </c>
      <c r="G13" s="28">
        <v>109</v>
      </c>
      <c r="H13" s="29">
        <f>G13/G19</f>
        <v>0.30193905817174516</v>
      </c>
      <c r="I13" s="28">
        <v>2</v>
      </c>
      <c r="J13" s="29">
        <f>I13/I19</f>
        <v>0.13333333333333333</v>
      </c>
      <c r="K13" s="28">
        <v>40</v>
      </c>
      <c r="L13" s="29">
        <f>K13/K19</f>
        <v>0.30303030303030304</v>
      </c>
      <c r="M13" s="28">
        <v>171</v>
      </c>
      <c r="N13" s="29">
        <f>M13/M19</f>
        <v>0.30535714285714288</v>
      </c>
      <c r="O13" s="28">
        <v>75</v>
      </c>
      <c r="P13" s="29">
        <f>O13/O19</f>
        <v>0.29527559055118108</v>
      </c>
      <c r="Q13" s="28">
        <v>201</v>
      </c>
      <c r="R13" s="29">
        <f>Q13/Q19</f>
        <v>0.28879310344827586</v>
      </c>
      <c r="S13" s="74"/>
      <c r="T13" s="74"/>
    </row>
    <row r="14" spans="1:20" x14ac:dyDescent="0.2">
      <c r="A14" s="20" t="s">
        <v>161</v>
      </c>
      <c r="B14" s="28">
        <v>4875</v>
      </c>
      <c r="C14" s="29">
        <f>B14/B19</f>
        <v>0.27312454479242537</v>
      </c>
      <c r="D14" s="28">
        <v>682</v>
      </c>
      <c r="E14" s="29">
        <f>D14/D19</f>
        <v>0.33795837462834488</v>
      </c>
      <c r="F14" s="41">
        <f t="shared" ref="F14:F19" si="2">D14/B14</f>
        <v>0.13989743589743589</v>
      </c>
      <c r="G14" s="28">
        <v>92</v>
      </c>
      <c r="H14" s="29">
        <f>G14/G19</f>
        <v>0.25484764542936289</v>
      </c>
      <c r="I14" s="28">
        <v>5</v>
      </c>
      <c r="J14" s="29">
        <f>I14/I19</f>
        <v>0.33333333333333331</v>
      </c>
      <c r="K14" s="28">
        <v>42</v>
      </c>
      <c r="L14" s="29">
        <f>K14/K19</f>
        <v>0.31818181818181818</v>
      </c>
      <c r="M14" s="28">
        <v>192</v>
      </c>
      <c r="N14" s="29">
        <f>M14/M19</f>
        <v>0.34285714285714286</v>
      </c>
      <c r="O14" s="28">
        <v>101</v>
      </c>
      <c r="P14" s="29">
        <f>O14/O19</f>
        <v>0.39763779527559057</v>
      </c>
      <c r="Q14" s="28">
        <v>250</v>
      </c>
      <c r="R14" s="29">
        <f>Q14/Q19</f>
        <v>0.35919540229885055</v>
      </c>
      <c r="S14" s="74"/>
      <c r="T14" s="74"/>
    </row>
    <row r="15" spans="1:20" ht="12" customHeight="1" x14ac:dyDescent="0.2">
      <c r="A15" s="20" t="s">
        <v>162</v>
      </c>
      <c r="B15" s="28">
        <v>978</v>
      </c>
      <c r="C15" s="29">
        <f>B15/B19</f>
        <v>5.4792985601434252E-2</v>
      </c>
      <c r="D15" s="28">
        <v>93</v>
      </c>
      <c r="E15" s="29">
        <f>D15/D19</f>
        <v>4.6085232903865216E-2</v>
      </c>
      <c r="F15" s="41">
        <f t="shared" si="2"/>
        <v>9.5092024539877307E-2</v>
      </c>
      <c r="G15" s="28">
        <v>14</v>
      </c>
      <c r="H15" s="29">
        <f>G15/G19</f>
        <v>3.8781163434903045E-2</v>
      </c>
      <c r="I15" s="28">
        <v>2</v>
      </c>
      <c r="J15" s="29">
        <f>I15/I19</f>
        <v>0.13333333333333333</v>
      </c>
      <c r="K15" s="28">
        <v>5</v>
      </c>
      <c r="L15" s="29">
        <f>K15/K19</f>
        <v>3.787878787878788E-2</v>
      </c>
      <c r="M15" s="28">
        <v>26</v>
      </c>
      <c r="N15" s="29">
        <f>M15/M19</f>
        <v>4.642857142857143E-2</v>
      </c>
      <c r="O15" s="28">
        <v>15</v>
      </c>
      <c r="P15" s="29">
        <f>O15/O19</f>
        <v>5.905511811023622E-2</v>
      </c>
      <c r="Q15" s="28">
        <v>31</v>
      </c>
      <c r="R15" s="29">
        <f>Q15/Q19</f>
        <v>4.4540229885057472E-2</v>
      </c>
      <c r="S15" s="74"/>
      <c r="T15" s="74"/>
    </row>
    <row r="16" spans="1:20" x14ac:dyDescent="0.2">
      <c r="A16" s="20" t="s">
        <v>163</v>
      </c>
      <c r="B16" s="28">
        <v>3711</v>
      </c>
      <c r="C16" s="29">
        <f>B16/B19</f>
        <v>0.20791080732814163</v>
      </c>
      <c r="D16" s="28">
        <v>385</v>
      </c>
      <c r="E16" s="29">
        <f>D16/D19</f>
        <v>0.19078295341922696</v>
      </c>
      <c r="F16" s="41">
        <f t="shared" si="2"/>
        <v>0.10374562112638103</v>
      </c>
      <c r="G16" s="28">
        <v>70</v>
      </c>
      <c r="H16" s="29">
        <f>G16/G19</f>
        <v>0.19390581717451524</v>
      </c>
      <c r="I16" s="28">
        <v>4</v>
      </c>
      <c r="J16" s="29">
        <f>I16/I19</f>
        <v>0.26666666666666666</v>
      </c>
      <c r="K16" s="28">
        <v>32</v>
      </c>
      <c r="L16" s="29">
        <f>K16/K19</f>
        <v>0.24242424242424243</v>
      </c>
      <c r="M16" s="28">
        <v>101</v>
      </c>
      <c r="N16" s="29">
        <f>M16/M19</f>
        <v>0.18035714285714285</v>
      </c>
      <c r="O16" s="28">
        <v>32</v>
      </c>
      <c r="P16" s="29">
        <f>O16/O19</f>
        <v>0.12598425196850394</v>
      </c>
      <c r="Q16" s="28">
        <v>146</v>
      </c>
      <c r="R16" s="29">
        <f>Q16/Q19</f>
        <v>0.20977011494252873</v>
      </c>
      <c r="S16" s="74"/>
      <c r="T16" s="74"/>
    </row>
    <row r="17" spans="1:20" x14ac:dyDescent="0.2">
      <c r="A17" s="20" t="s">
        <v>158</v>
      </c>
      <c r="B17" s="28">
        <v>1249</v>
      </c>
      <c r="C17" s="29">
        <f>B17/B19</f>
        <v>6.9975909014510618E-2</v>
      </c>
      <c r="D17" s="28">
        <v>161</v>
      </c>
      <c r="E17" s="29">
        <f>D17/D19</f>
        <v>7.978196233894945E-2</v>
      </c>
      <c r="F17" s="41">
        <f t="shared" si="2"/>
        <v>0.1289031224979984</v>
      </c>
      <c r="G17" s="28">
        <v>54</v>
      </c>
      <c r="H17" s="29">
        <f>G17/G19</f>
        <v>0.14958448753462603</v>
      </c>
      <c r="I17" s="28">
        <v>2</v>
      </c>
      <c r="J17" s="29">
        <f>I17/I19</f>
        <v>0.13333333333333333</v>
      </c>
      <c r="K17" s="28">
        <v>4</v>
      </c>
      <c r="L17" s="29">
        <f>K17/K19</f>
        <v>3.0303030303030304E-2</v>
      </c>
      <c r="M17" s="28">
        <v>39</v>
      </c>
      <c r="N17" s="29">
        <f>M17/M19</f>
        <v>6.9642857142857145E-2</v>
      </c>
      <c r="O17" s="28">
        <v>24</v>
      </c>
      <c r="P17" s="29">
        <f>O17/O19</f>
        <v>9.4488188976377951E-2</v>
      </c>
      <c r="Q17" s="28">
        <v>38</v>
      </c>
      <c r="R17" s="29">
        <f>Q17/Q19</f>
        <v>5.459770114942529E-2</v>
      </c>
    </row>
    <row r="18" spans="1:20" x14ac:dyDescent="0.2">
      <c r="A18" s="20" t="s">
        <v>159</v>
      </c>
      <c r="B18" s="28">
        <v>1334</v>
      </c>
      <c r="C18" s="29">
        <f>B18/B19</f>
        <v>7.4738080564737519E-2</v>
      </c>
      <c r="D18" s="28">
        <v>99</v>
      </c>
      <c r="E18" s="29">
        <f>D18/D19</f>
        <v>4.9058473736372649E-2</v>
      </c>
      <c r="F18" s="41">
        <f t="shared" si="2"/>
        <v>7.4212893553223386E-2</v>
      </c>
      <c r="G18" s="28">
        <v>22</v>
      </c>
      <c r="H18" s="29">
        <f>G18/G19</f>
        <v>6.0941828254847646E-2</v>
      </c>
      <c r="I18" s="28"/>
      <c r="J18" s="29">
        <f>I18/I19</f>
        <v>0</v>
      </c>
      <c r="K18" s="28">
        <v>9</v>
      </c>
      <c r="L18" s="29">
        <f>K18/K19</f>
        <v>6.8181818181818177E-2</v>
      </c>
      <c r="M18" s="28">
        <v>31</v>
      </c>
      <c r="N18" s="29">
        <f>M18/M19</f>
        <v>5.5357142857142855E-2</v>
      </c>
      <c r="O18" s="28">
        <v>7</v>
      </c>
      <c r="P18" s="29">
        <f>O18/O19</f>
        <v>2.7559055118110236E-2</v>
      </c>
      <c r="Q18" s="28">
        <v>30</v>
      </c>
      <c r="R18" s="29">
        <f>Q18/Q19</f>
        <v>4.3103448275862072E-2</v>
      </c>
    </row>
    <row r="19" spans="1:20" x14ac:dyDescent="0.2">
      <c r="A19" s="95" t="s">
        <v>1</v>
      </c>
      <c r="B19" s="22">
        <f>SUM(B13:B18)</f>
        <v>17849</v>
      </c>
      <c r="C19" s="42">
        <f>SUM(C13:C18)</f>
        <v>1</v>
      </c>
      <c r="D19" s="19">
        <f>SUM(D13:D18)</f>
        <v>2018</v>
      </c>
      <c r="E19" s="42">
        <f>SUM(E13:E18)</f>
        <v>0.99999999999999989</v>
      </c>
      <c r="F19" s="43">
        <f t="shared" si="2"/>
        <v>0.11305955515715166</v>
      </c>
      <c r="G19" s="19">
        <f t="shared" ref="G19:R19" si="3">SUM(G13:G18)</f>
        <v>361</v>
      </c>
      <c r="H19" s="31">
        <f t="shared" si="3"/>
        <v>1</v>
      </c>
      <c r="I19" s="19">
        <f t="shared" si="3"/>
        <v>15</v>
      </c>
      <c r="J19" s="31">
        <f t="shared" si="3"/>
        <v>1</v>
      </c>
      <c r="K19" s="19">
        <f t="shared" si="3"/>
        <v>132</v>
      </c>
      <c r="L19" s="31">
        <f t="shared" si="3"/>
        <v>1</v>
      </c>
      <c r="M19" s="19">
        <f t="shared" si="3"/>
        <v>560</v>
      </c>
      <c r="N19" s="31">
        <f t="shared" si="3"/>
        <v>1</v>
      </c>
      <c r="O19" s="19">
        <f t="shared" si="3"/>
        <v>254</v>
      </c>
      <c r="P19" s="31">
        <f t="shared" si="3"/>
        <v>1</v>
      </c>
      <c r="Q19" s="19">
        <f t="shared" si="3"/>
        <v>696</v>
      </c>
      <c r="R19" s="31">
        <f t="shared" si="3"/>
        <v>1</v>
      </c>
    </row>
    <row r="20" spans="1:20" x14ac:dyDescent="0.2">
      <c r="A20" s="15"/>
      <c r="B20" s="2"/>
      <c r="C20" s="36"/>
      <c r="D20" s="36"/>
      <c r="E20" s="36"/>
      <c r="F20" s="39"/>
      <c r="G20" s="36"/>
      <c r="H20" s="36"/>
      <c r="I20" s="36" t="s">
        <v>0</v>
      </c>
      <c r="J20" s="36"/>
      <c r="K20" s="36"/>
      <c r="L20" s="36"/>
      <c r="M20" s="36"/>
      <c r="N20" s="36"/>
      <c r="O20" s="36"/>
      <c r="P20" s="36"/>
      <c r="Q20" s="36"/>
      <c r="R20" s="36"/>
    </row>
    <row r="21" spans="1:20" x14ac:dyDescent="0.2">
      <c r="A21" s="119" t="s">
        <v>5</v>
      </c>
      <c r="B21" s="116" t="s">
        <v>1</v>
      </c>
      <c r="C21" s="116"/>
      <c r="D21" s="117" t="s">
        <v>86</v>
      </c>
      <c r="E21" s="117"/>
      <c r="F21" s="118" t="s">
        <v>15</v>
      </c>
      <c r="G21" s="120" t="s">
        <v>100</v>
      </c>
      <c r="H21" s="120"/>
      <c r="I21" s="120" t="s">
        <v>80</v>
      </c>
      <c r="J21" s="120"/>
      <c r="K21" s="117" t="s">
        <v>136</v>
      </c>
      <c r="L21" s="117"/>
      <c r="M21" s="120" t="s">
        <v>82</v>
      </c>
      <c r="N21" s="120"/>
      <c r="O21" s="120" t="s">
        <v>81</v>
      </c>
      <c r="P21" s="120"/>
      <c r="Q21" s="120" t="s">
        <v>98</v>
      </c>
      <c r="R21" s="120"/>
      <c r="S21" s="99" t="s">
        <v>154</v>
      </c>
      <c r="T21" s="100"/>
    </row>
    <row r="22" spans="1:20" x14ac:dyDescent="0.2">
      <c r="A22" s="20" t="s">
        <v>84</v>
      </c>
      <c r="B22" s="28">
        <v>10082</v>
      </c>
      <c r="C22" s="29">
        <f>B22/B25</f>
        <v>0.56484957140456049</v>
      </c>
      <c r="D22" s="28">
        <v>1403</v>
      </c>
      <c r="E22" s="29">
        <f>D22/D25</f>
        <v>0.6952428146679881</v>
      </c>
      <c r="F22" s="41">
        <f t="shared" ref="F22:F25" si="4">D22/B22</f>
        <v>0.13915889704423726</v>
      </c>
      <c r="G22" s="28">
        <v>270</v>
      </c>
      <c r="H22" s="29">
        <f>G22/G25</f>
        <v>0.74792243767313016</v>
      </c>
      <c r="I22" s="28">
        <v>12</v>
      </c>
      <c r="J22" s="29">
        <f>I22/I25</f>
        <v>0.8</v>
      </c>
      <c r="K22" s="28">
        <v>91</v>
      </c>
      <c r="L22" s="29">
        <f>K22/K25</f>
        <v>0.68939393939393945</v>
      </c>
      <c r="M22" s="28">
        <v>344</v>
      </c>
      <c r="N22" s="29">
        <f>M22/M25</f>
        <v>0.61428571428571432</v>
      </c>
      <c r="O22" s="28">
        <v>203</v>
      </c>
      <c r="P22" s="29">
        <f>O22/O25</f>
        <v>0.79921259842519687</v>
      </c>
      <c r="Q22" s="28">
        <v>483</v>
      </c>
      <c r="R22" s="29">
        <f>Q22/Q25</f>
        <v>0.69396551724137934</v>
      </c>
      <c r="S22" s="104"/>
      <c r="T22" s="105"/>
    </row>
    <row r="23" spans="1:20" x14ac:dyDescent="0.2">
      <c r="A23" s="20" t="s">
        <v>85</v>
      </c>
      <c r="B23" s="28">
        <v>7757</v>
      </c>
      <c r="C23" s="29">
        <f>B23/B25</f>
        <v>0.43459017311894221</v>
      </c>
      <c r="D23" s="28">
        <v>614</v>
      </c>
      <c r="E23" s="29">
        <f>D23/D25</f>
        <v>0.30426164519326065</v>
      </c>
      <c r="F23" s="41">
        <f t="shared" si="4"/>
        <v>7.9154312234111124E-2</v>
      </c>
      <c r="G23" s="28">
        <v>91</v>
      </c>
      <c r="H23" s="29">
        <f>G23/G25</f>
        <v>0.25207756232686979</v>
      </c>
      <c r="I23" s="28">
        <v>3</v>
      </c>
      <c r="J23" s="29">
        <f>I23/I25</f>
        <v>0.2</v>
      </c>
      <c r="K23" s="28">
        <v>41</v>
      </c>
      <c r="L23" s="29">
        <f>K23/K25</f>
        <v>0.31060606060606061</v>
      </c>
      <c r="M23" s="28">
        <v>216</v>
      </c>
      <c r="N23" s="29">
        <f>M23/M25</f>
        <v>0.38571428571428573</v>
      </c>
      <c r="O23" s="28">
        <v>50</v>
      </c>
      <c r="P23" s="29">
        <f>O23/O25</f>
        <v>0.19685039370078741</v>
      </c>
      <c r="Q23" s="28">
        <v>213</v>
      </c>
      <c r="R23" s="29">
        <f>Q23/Q25</f>
        <v>0.30603448275862066</v>
      </c>
      <c r="S23" s="104"/>
      <c r="T23" s="105"/>
    </row>
    <row r="24" spans="1:20" x14ac:dyDescent="0.2">
      <c r="A24" s="20" t="s">
        <v>109</v>
      </c>
      <c r="B24" s="28">
        <v>10</v>
      </c>
      <c r="C24" s="29">
        <f>B24/B25</f>
        <v>5.6025547649728277E-4</v>
      </c>
      <c r="D24" s="28">
        <v>1</v>
      </c>
      <c r="E24" s="29">
        <f>D24/D25</f>
        <v>4.9554013875123884E-4</v>
      </c>
      <c r="F24" s="41">
        <f t="shared" si="4"/>
        <v>0.1</v>
      </c>
      <c r="G24" s="28"/>
      <c r="H24" s="29">
        <f>G24/G25</f>
        <v>0</v>
      </c>
      <c r="I24" s="17"/>
      <c r="J24" s="29">
        <f>I24/I25</f>
        <v>0</v>
      </c>
      <c r="K24" s="17"/>
      <c r="L24" s="29">
        <f>K24/K25</f>
        <v>0</v>
      </c>
      <c r="M24" s="28"/>
      <c r="N24" s="29">
        <f>M24/M25</f>
        <v>0</v>
      </c>
      <c r="O24" s="28">
        <v>1</v>
      </c>
      <c r="P24" s="29">
        <f>O24/O25</f>
        <v>3.937007874015748E-3</v>
      </c>
      <c r="Q24" s="17"/>
      <c r="R24" s="29">
        <f>Q24/Q25</f>
        <v>0</v>
      </c>
      <c r="S24" s="104"/>
      <c r="T24" s="105"/>
    </row>
    <row r="25" spans="1:20" x14ac:dyDescent="0.2">
      <c r="A25" s="95" t="s">
        <v>1</v>
      </c>
      <c r="B25" s="22">
        <f>SUM(B22:B24)</f>
        <v>17849</v>
      </c>
      <c r="C25" s="31">
        <f>SUM(C22:C24)</f>
        <v>1</v>
      </c>
      <c r="D25" s="22">
        <f>SUM(D22:D24)</f>
        <v>2018</v>
      </c>
      <c r="E25" s="31">
        <f>SUM(E22:E24)</f>
        <v>1</v>
      </c>
      <c r="F25" s="43">
        <f t="shared" si="4"/>
        <v>0.11305955515715166</v>
      </c>
      <c r="G25" s="22">
        <f t="shared" ref="G25:R25" si="5">SUM(G22:G24)</f>
        <v>361</v>
      </c>
      <c r="H25" s="31">
        <f t="shared" si="5"/>
        <v>1</v>
      </c>
      <c r="I25" s="22">
        <f t="shared" si="5"/>
        <v>15</v>
      </c>
      <c r="J25" s="31">
        <f t="shared" si="5"/>
        <v>1</v>
      </c>
      <c r="K25" s="22">
        <f t="shared" si="5"/>
        <v>132</v>
      </c>
      <c r="L25" s="31">
        <f t="shared" si="5"/>
        <v>1</v>
      </c>
      <c r="M25" s="22">
        <f t="shared" si="5"/>
        <v>560</v>
      </c>
      <c r="N25" s="31">
        <f t="shared" si="5"/>
        <v>1</v>
      </c>
      <c r="O25" s="22">
        <f t="shared" si="5"/>
        <v>254</v>
      </c>
      <c r="P25" s="31">
        <f t="shared" si="5"/>
        <v>1</v>
      </c>
      <c r="Q25" s="22">
        <f t="shared" si="5"/>
        <v>696</v>
      </c>
      <c r="R25" s="31">
        <f t="shared" si="5"/>
        <v>1</v>
      </c>
      <c r="S25" s="101"/>
      <c r="T25" s="102"/>
    </row>
    <row r="26" spans="1:20" x14ac:dyDescent="0.2">
      <c r="A26" s="38"/>
      <c r="B26" s="3"/>
      <c r="C26" s="36"/>
      <c r="D26" s="36"/>
      <c r="E26" s="36"/>
      <c r="F26" s="39"/>
      <c r="G26" s="36"/>
      <c r="H26" s="39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spans="1:20" x14ac:dyDescent="0.2">
      <c r="A27" s="112" t="s">
        <v>111</v>
      </c>
      <c r="B27" s="3"/>
      <c r="C27" s="36"/>
      <c r="D27" s="36"/>
      <c r="E27" s="36"/>
      <c r="F27" s="39"/>
      <c r="G27" s="36"/>
      <c r="H27" s="39"/>
      <c r="I27" s="36"/>
      <c r="J27" s="36"/>
      <c r="K27" s="36"/>
      <c r="L27" s="36"/>
      <c r="M27" s="36"/>
      <c r="N27" s="36"/>
      <c r="O27" s="36"/>
      <c r="P27" s="36"/>
      <c r="Q27" s="36"/>
      <c r="R27" s="36"/>
      <c r="T27" s="37"/>
    </row>
    <row r="28" spans="1:20" x14ac:dyDescent="0.2">
      <c r="A28" s="119" t="s">
        <v>3</v>
      </c>
      <c r="B28" s="116" t="s">
        <v>1</v>
      </c>
      <c r="C28" s="116"/>
      <c r="D28" s="117" t="s">
        <v>86</v>
      </c>
      <c r="E28" s="117"/>
      <c r="F28" s="118" t="s">
        <v>15</v>
      </c>
      <c r="G28" s="120" t="s">
        <v>100</v>
      </c>
      <c r="H28" s="120"/>
      <c r="I28" s="120" t="s">
        <v>80</v>
      </c>
      <c r="J28" s="120"/>
      <c r="K28" s="117" t="s">
        <v>136</v>
      </c>
      <c r="L28" s="117"/>
      <c r="M28" s="120" t="s">
        <v>82</v>
      </c>
      <c r="N28" s="120"/>
      <c r="O28" s="120" t="s">
        <v>81</v>
      </c>
      <c r="P28" s="120"/>
      <c r="Q28" s="120" t="s">
        <v>98</v>
      </c>
      <c r="R28" s="120"/>
      <c r="S28" s="44"/>
      <c r="T28" s="33"/>
    </row>
    <row r="29" spans="1:20" x14ac:dyDescent="0.2">
      <c r="A29" s="20" t="s">
        <v>97</v>
      </c>
      <c r="B29" s="28"/>
      <c r="C29" s="29">
        <f>B29/B36</f>
        <v>0</v>
      </c>
      <c r="D29" s="28"/>
      <c r="E29" s="29"/>
      <c r="F29" s="41"/>
      <c r="G29" s="21"/>
      <c r="H29" s="29"/>
      <c r="I29" s="21"/>
      <c r="J29" s="29"/>
      <c r="K29" s="21"/>
      <c r="L29" s="29"/>
      <c r="M29" s="21"/>
      <c r="N29" s="29"/>
      <c r="O29" s="21"/>
      <c r="P29" s="29"/>
      <c r="Q29" s="21"/>
      <c r="R29" s="29"/>
      <c r="S29" s="45"/>
      <c r="T29" s="37"/>
    </row>
    <row r="30" spans="1:20" x14ac:dyDescent="0.2">
      <c r="A30" s="20" t="s">
        <v>6</v>
      </c>
      <c r="B30" s="28">
        <v>3505</v>
      </c>
      <c r="C30" s="29">
        <f>B30/B36</f>
        <v>0.1963695445122976</v>
      </c>
      <c r="D30" s="28">
        <v>307</v>
      </c>
      <c r="E30" s="29">
        <f>D30/D36</f>
        <v>0.15213082259663033</v>
      </c>
      <c r="F30" s="41">
        <f>D30/B30</f>
        <v>8.7589158345221116E-2</v>
      </c>
      <c r="G30" s="28">
        <v>68</v>
      </c>
      <c r="H30" s="29">
        <f>G30/G36</f>
        <v>0.18836565096952909</v>
      </c>
      <c r="I30" s="28">
        <v>2</v>
      </c>
      <c r="J30" s="29">
        <f>I30/I36</f>
        <v>0.13333333333333333</v>
      </c>
      <c r="K30" s="28">
        <v>4</v>
      </c>
      <c r="L30" s="29">
        <f>K30/K36</f>
        <v>3.0303030303030304E-2</v>
      </c>
      <c r="M30" s="28">
        <v>92</v>
      </c>
      <c r="N30" s="29">
        <f>M30/M36</f>
        <v>0.16428571428571428</v>
      </c>
      <c r="O30" s="28">
        <v>10</v>
      </c>
      <c r="P30" s="29">
        <f>O30/O36</f>
        <v>3.937007874015748E-2</v>
      </c>
      <c r="Q30" s="28">
        <v>131</v>
      </c>
      <c r="R30" s="29">
        <f>Q30/Q36</f>
        <v>0.18821839080459771</v>
      </c>
      <c r="S30" s="103" t="s">
        <v>92</v>
      </c>
      <c r="T30" s="103"/>
    </row>
    <row r="31" spans="1:20" x14ac:dyDescent="0.2">
      <c r="A31" s="20" t="s">
        <v>7</v>
      </c>
      <c r="B31" s="28">
        <v>3135</v>
      </c>
      <c r="C31" s="29">
        <f>B31/B36</f>
        <v>0.17564009188189814</v>
      </c>
      <c r="D31" s="28">
        <v>227</v>
      </c>
      <c r="E31" s="29">
        <f>D31/D36</f>
        <v>0.11248761149653122</v>
      </c>
      <c r="F31" s="41">
        <f t="shared" ref="F31:F36" si="6">D31/B31</f>
        <v>7.2408293460925047E-2</v>
      </c>
      <c r="G31" s="28">
        <v>37</v>
      </c>
      <c r="H31" s="29">
        <f>G31/G36</f>
        <v>0.10249307479224377</v>
      </c>
      <c r="I31" s="28">
        <v>4</v>
      </c>
      <c r="J31" s="29">
        <f>I31/I36</f>
        <v>0.26666666666666666</v>
      </c>
      <c r="K31" s="28">
        <v>6</v>
      </c>
      <c r="L31" s="29">
        <f>K31/K36</f>
        <v>4.5454545454545456E-2</v>
      </c>
      <c r="M31" s="28">
        <v>74</v>
      </c>
      <c r="N31" s="29">
        <f>M31/M36</f>
        <v>0.13214285714285715</v>
      </c>
      <c r="O31" s="28">
        <v>11</v>
      </c>
      <c r="P31" s="29">
        <f>O31/O36</f>
        <v>4.3307086614173228E-2</v>
      </c>
      <c r="Q31" s="28">
        <v>95</v>
      </c>
      <c r="R31" s="29">
        <f>Q31/Q36</f>
        <v>0.13649425287356323</v>
      </c>
      <c r="S31" s="103"/>
      <c r="T31" s="103"/>
    </row>
    <row r="32" spans="1:20" ht="12" customHeight="1" x14ac:dyDescent="0.2">
      <c r="A32" s="20" t="s">
        <v>8</v>
      </c>
      <c r="B32" s="28">
        <v>3036</v>
      </c>
      <c r="C32" s="29">
        <f>B32/B36</f>
        <v>0.17009356266457504</v>
      </c>
      <c r="D32" s="28">
        <v>237</v>
      </c>
      <c r="E32" s="29">
        <f>D32/D36</f>
        <v>0.1174430128840436</v>
      </c>
      <c r="F32" s="41">
        <f t="shared" si="6"/>
        <v>7.8063241106719361E-2</v>
      </c>
      <c r="G32" s="28">
        <v>38</v>
      </c>
      <c r="H32" s="29">
        <f>G32/G36</f>
        <v>0.10526315789473684</v>
      </c>
      <c r="I32" s="28">
        <v>1</v>
      </c>
      <c r="J32" s="29">
        <f>I32/I36</f>
        <v>6.6666666666666666E-2</v>
      </c>
      <c r="K32" s="28">
        <v>23</v>
      </c>
      <c r="L32" s="29">
        <f>K32/K36</f>
        <v>0.17424242424242425</v>
      </c>
      <c r="M32" s="28">
        <v>56</v>
      </c>
      <c r="N32" s="29">
        <f>M32/M36</f>
        <v>0.1</v>
      </c>
      <c r="O32" s="28">
        <v>37</v>
      </c>
      <c r="P32" s="29">
        <f>O32/O36</f>
        <v>0.14566929133858267</v>
      </c>
      <c r="Q32" s="28">
        <v>82</v>
      </c>
      <c r="R32" s="29">
        <f>Q32/Q36</f>
        <v>0.11781609195402298</v>
      </c>
      <c r="S32" s="99" t="s">
        <v>204</v>
      </c>
      <c r="T32" s="100"/>
    </row>
    <row r="33" spans="1:20" ht="12" customHeight="1" x14ac:dyDescent="0.2">
      <c r="A33" s="20" t="s">
        <v>9</v>
      </c>
      <c r="B33" s="28">
        <v>3460</v>
      </c>
      <c r="C33" s="29">
        <f>B33/B36</f>
        <v>0.19384839486805983</v>
      </c>
      <c r="D33" s="28">
        <v>394</v>
      </c>
      <c r="E33" s="29">
        <f>D33/D36</f>
        <v>0.1952428146679881</v>
      </c>
      <c r="F33" s="41">
        <f t="shared" si="6"/>
        <v>0.1138728323699422</v>
      </c>
      <c r="G33" s="28">
        <v>65</v>
      </c>
      <c r="H33" s="29">
        <f>G33/G36</f>
        <v>0.18005540166204986</v>
      </c>
      <c r="I33" s="28">
        <v>3</v>
      </c>
      <c r="J33" s="29">
        <f>I33/I36</f>
        <v>0.2</v>
      </c>
      <c r="K33" s="28">
        <v>29</v>
      </c>
      <c r="L33" s="29">
        <f>K33/K36</f>
        <v>0.2196969696969697</v>
      </c>
      <c r="M33" s="28">
        <v>115</v>
      </c>
      <c r="N33" s="29">
        <f>M33/M36</f>
        <v>0.20535714285714285</v>
      </c>
      <c r="O33" s="28">
        <v>49</v>
      </c>
      <c r="P33" s="29">
        <f>O33/O36</f>
        <v>0.19291338582677164</v>
      </c>
      <c r="Q33" s="28">
        <v>133</v>
      </c>
      <c r="R33" s="29">
        <f>Q33/Q36</f>
        <v>0.19109195402298851</v>
      </c>
      <c r="S33" s="104"/>
      <c r="T33" s="105"/>
    </row>
    <row r="34" spans="1:20" x14ac:dyDescent="0.2">
      <c r="A34" s="20" t="s">
        <v>10</v>
      </c>
      <c r="B34" s="28">
        <v>2707</v>
      </c>
      <c r="C34" s="29">
        <f>B34/B36</f>
        <v>0.15166115748781445</v>
      </c>
      <c r="D34" s="28">
        <v>409</v>
      </c>
      <c r="E34" s="29">
        <f>D34/D36</f>
        <v>0.2026759167492567</v>
      </c>
      <c r="F34" s="41">
        <f t="shared" si="6"/>
        <v>0.15108976727004064</v>
      </c>
      <c r="G34" s="28">
        <v>62</v>
      </c>
      <c r="H34" s="29">
        <f>G34/G36</f>
        <v>0.17174515235457063</v>
      </c>
      <c r="I34" s="28">
        <v>3</v>
      </c>
      <c r="J34" s="29">
        <f>I34/I36</f>
        <v>0.2</v>
      </c>
      <c r="K34" s="28">
        <v>32</v>
      </c>
      <c r="L34" s="29">
        <f>K34/K36</f>
        <v>0.24242424242424243</v>
      </c>
      <c r="M34" s="28">
        <v>114</v>
      </c>
      <c r="N34" s="29">
        <f>M34/M36</f>
        <v>0.20357142857142857</v>
      </c>
      <c r="O34" s="28">
        <v>70</v>
      </c>
      <c r="P34" s="29">
        <f>O34/O36</f>
        <v>0.27559055118110237</v>
      </c>
      <c r="Q34" s="28">
        <v>128</v>
      </c>
      <c r="R34" s="29">
        <f>Q34/Q36</f>
        <v>0.18390804597701149</v>
      </c>
      <c r="S34" s="104"/>
      <c r="T34" s="105"/>
    </row>
    <row r="35" spans="1:20" x14ac:dyDescent="0.2">
      <c r="A35" s="20" t="s">
        <v>11</v>
      </c>
      <c r="B35" s="28">
        <v>2006</v>
      </c>
      <c r="C35" s="29">
        <f>B35/B36</f>
        <v>0.11238724858535493</v>
      </c>
      <c r="D35" s="28">
        <v>444</v>
      </c>
      <c r="E35" s="29">
        <f>D35/D36</f>
        <v>0.22001982160555006</v>
      </c>
      <c r="F35" s="41">
        <f t="shared" si="6"/>
        <v>0.2213359920239282</v>
      </c>
      <c r="G35" s="28">
        <v>91</v>
      </c>
      <c r="H35" s="29">
        <f>G35/G36</f>
        <v>0.25207756232686979</v>
      </c>
      <c r="I35" s="28">
        <v>2</v>
      </c>
      <c r="J35" s="29">
        <f>I35/I36</f>
        <v>0.13333333333333333</v>
      </c>
      <c r="K35" s="28">
        <v>38</v>
      </c>
      <c r="L35" s="29">
        <f>K35/K36</f>
        <v>0.2878787878787879</v>
      </c>
      <c r="M35" s="28">
        <v>109</v>
      </c>
      <c r="N35" s="29">
        <f>M35/M36</f>
        <v>0.19464285714285715</v>
      </c>
      <c r="O35" s="28">
        <v>77</v>
      </c>
      <c r="P35" s="29">
        <f>O35/O36</f>
        <v>0.30314960629921262</v>
      </c>
      <c r="Q35" s="28">
        <v>127</v>
      </c>
      <c r="R35" s="29">
        <f>Q35/Q36</f>
        <v>0.18247126436781611</v>
      </c>
      <c r="S35" s="101"/>
      <c r="T35" s="102"/>
    </row>
    <row r="36" spans="1:20" x14ac:dyDescent="0.2">
      <c r="A36" s="95" t="s">
        <v>1</v>
      </c>
      <c r="B36" s="30">
        <f>SUM(B29:B35)</f>
        <v>17849</v>
      </c>
      <c r="C36" s="31">
        <f>SUM(C29:C35)</f>
        <v>1</v>
      </c>
      <c r="D36" s="30">
        <f>SUM(D29:D35)</f>
        <v>2018</v>
      </c>
      <c r="E36" s="42">
        <f>SUM(E29:E35)</f>
        <v>1</v>
      </c>
      <c r="F36" s="43">
        <f t="shared" si="6"/>
        <v>0.11305955515715166</v>
      </c>
      <c r="G36" s="22">
        <f t="shared" ref="G36:R36" si="7">SUM(G29:G35)</f>
        <v>361</v>
      </c>
      <c r="H36" s="42">
        <f t="shared" si="7"/>
        <v>1</v>
      </c>
      <c r="I36" s="22">
        <f t="shared" si="7"/>
        <v>15</v>
      </c>
      <c r="J36" s="42">
        <f t="shared" si="7"/>
        <v>1</v>
      </c>
      <c r="K36" s="22">
        <f t="shared" si="7"/>
        <v>132</v>
      </c>
      <c r="L36" s="42">
        <f t="shared" si="7"/>
        <v>1</v>
      </c>
      <c r="M36" s="22">
        <f t="shared" si="7"/>
        <v>560</v>
      </c>
      <c r="N36" s="42">
        <f t="shared" si="7"/>
        <v>1</v>
      </c>
      <c r="O36" s="22">
        <f t="shared" si="7"/>
        <v>254</v>
      </c>
      <c r="P36" s="42">
        <f t="shared" si="7"/>
        <v>1</v>
      </c>
      <c r="Q36" s="22">
        <f t="shared" si="7"/>
        <v>696</v>
      </c>
      <c r="R36" s="42">
        <f t="shared" si="7"/>
        <v>1</v>
      </c>
      <c r="S36" s="46"/>
      <c r="T36" s="33"/>
    </row>
    <row r="37" spans="1:20" x14ac:dyDescent="0.2">
      <c r="A37" s="25" t="s">
        <v>110</v>
      </c>
      <c r="B37" s="86">
        <v>24</v>
      </c>
      <c r="C37" s="32"/>
      <c r="D37" s="87">
        <v>28</v>
      </c>
      <c r="E37" s="94"/>
      <c r="F37" s="94"/>
      <c r="G37" s="94">
        <v>28</v>
      </c>
      <c r="H37" s="49"/>
      <c r="I37" s="48">
        <v>27</v>
      </c>
      <c r="J37" s="48"/>
      <c r="K37" s="94">
        <v>32</v>
      </c>
      <c r="L37" s="48"/>
      <c r="M37" s="94">
        <v>28</v>
      </c>
      <c r="N37" s="48"/>
      <c r="O37" s="48">
        <v>32</v>
      </c>
      <c r="P37" s="48"/>
      <c r="Q37" s="48">
        <v>26</v>
      </c>
      <c r="R37" s="94"/>
      <c r="S37" s="36"/>
      <c r="T37" s="37"/>
    </row>
    <row r="38" spans="1:20" x14ac:dyDescent="0.2">
      <c r="A38" s="38"/>
      <c r="B38" s="4"/>
      <c r="C38" s="4"/>
      <c r="D38" s="2"/>
      <c r="E38" s="36"/>
      <c r="F38" s="39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spans="1:20" x14ac:dyDescent="0.2">
      <c r="A39" s="119" t="s">
        <v>13</v>
      </c>
      <c r="B39" s="116" t="s">
        <v>1</v>
      </c>
      <c r="C39" s="116"/>
      <c r="D39" s="117" t="s">
        <v>86</v>
      </c>
      <c r="E39" s="117"/>
      <c r="F39" s="118" t="s">
        <v>15</v>
      </c>
      <c r="G39" s="120" t="s">
        <v>100</v>
      </c>
      <c r="H39" s="120"/>
      <c r="I39" s="120" t="s">
        <v>80</v>
      </c>
      <c r="J39" s="120"/>
      <c r="K39" s="117" t="s">
        <v>136</v>
      </c>
      <c r="L39" s="117"/>
      <c r="M39" s="120" t="s">
        <v>82</v>
      </c>
      <c r="N39" s="120"/>
      <c r="O39" s="120" t="s">
        <v>81</v>
      </c>
      <c r="P39" s="120"/>
      <c r="Q39" s="120" t="s">
        <v>98</v>
      </c>
      <c r="R39" s="120"/>
      <c r="S39" s="99" t="s">
        <v>155</v>
      </c>
      <c r="T39" s="100"/>
    </row>
    <row r="40" spans="1:20" x14ac:dyDescent="0.2">
      <c r="A40" s="20" t="s">
        <v>112</v>
      </c>
      <c r="B40" s="28">
        <v>15</v>
      </c>
      <c r="C40" s="29">
        <f>B40/B48</f>
        <v>8.4038321474592416E-4</v>
      </c>
      <c r="D40" s="28">
        <v>2</v>
      </c>
      <c r="E40" s="29">
        <f>D40/D48</f>
        <v>9.9108027750247768E-4</v>
      </c>
      <c r="F40" s="41">
        <f>D40/B40</f>
        <v>0.13333333333333333</v>
      </c>
      <c r="G40" s="28"/>
      <c r="H40" s="29"/>
      <c r="I40" s="28"/>
      <c r="J40" s="29"/>
      <c r="K40" s="28">
        <v>1</v>
      </c>
      <c r="L40" s="29">
        <f>K40/K48</f>
        <v>7.575757575757576E-3</v>
      </c>
      <c r="M40" s="28">
        <v>1</v>
      </c>
      <c r="N40" s="29">
        <f>M40/M48</f>
        <v>1.7857142857142857E-3</v>
      </c>
      <c r="O40" s="28"/>
      <c r="P40" s="29">
        <f>O40/O48</f>
        <v>0</v>
      </c>
      <c r="Q40" s="28"/>
      <c r="R40" s="29">
        <f>Q40/Q48</f>
        <v>0</v>
      </c>
      <c r="S40" s="104"/>
      <c r="T40" s="105"/>
    </row>
    <row r="41" spans="1:20" x14ac:dyDescent="0.2">
      <c r="A41" s="20" t="s">
        <v>14</v>
      </c>
      <c r="B41" s="28">
        <v>366</v>
      </c>
      <c r="C41" s="29">
        <f>B41/B48</f>
        <v>2.0505350439800549E-2</v>
      </c>
      <c r="D41" s="28">
        <v>43</v>
      </c>
      <c r="E41" s="29">
        <f>D41/D48</f>
        <v>2.130822596630327E-2</v>
      </c>
      <c r="F41" s="41">
        <f t="shared" ref="F41:F48" si="8">D41/B41</f>
        <v>0.11748633879781421</v>
      </c>
      <c r="G41" s="28">
        <v>12</v>
      </c>
      <c r="H41" s="29">
        <f>G41/G48</f>
        <v>3.3240997229916899E-2</v>
      </c>
      <c r="I41" s="28">
        <v>1</v>
      </c>
      <c r="J41" s="29">
        <f>I41/I48</f>
        <v>6.6666666666666666E-2</v>
      </c>
      <c r="K41" s="28">
        <v>2</v>
      </c>
      <c r="L41" s="29">
        <f>K41/K48</f>
        <v>1.5151515151515152E-2</v>
      </c>
      <c r="M41" s="28">
        <v>10</v>
      </c>
      <c r="N41" s="29">
        <f>M41/M48</f>
        <v>1.7857142857142856E-2</v>
      </c>
      <c r="O41" s="28">
        <v>7</v>
      </c>
      <c r="P41" s="29">
        <f>O41/O48</f>
        <v>2.7559055118110236E-2</v>
      </c>
      <c r="Q41" s="28">
        <v>11</v>
      </c>
      <c r="R41" s="29">
        <f>Q41/Q48</f>
        <v>1.5804597701149427E-2</v>
      </c>
      <c r="S41" s="101"/>
      <c r="T41" s="102"/>
    </row>
    <row r="42" spans="1:20" x14ac:dyDescent="0.2">
      <c r="A42" s="20" t="s">
        <v>113</v>
      </c>
      <c r="B42" s="28">
        <v>761</v>
      </c>
      <c r="C42" s="29">
        <f>B42/B48</f>
        <v>4.2635441761443217E-2</v>
      </c>
      <c r="D42" s="28">
        <v>65</v>
      </c>
      <c r="E42" s="29">
        <f>D42/D48</f>
        <v>3.2210109018830528E-2</v>
      </c>
      <c r="F42" s="41">
        <f t="shared" si="8"/>
        <v>8.5413929040735873E-2</v>
      </c>
      <c r="G42" s="28">
        <v>11</v>
      </c>
      <c r="H42" s="29">
        <f>G42/G48</f>
        <v>3.0470914127423823E-2</v>
      </c>
      <c r="I42" s="28"/>
      <c r="J42" s="29">
        <f>I42/I48</f>
        <v>0</v>
      </c>
      <c r="K42" s="28">
        <v>2</v>
      </c>
      <c r="L42" s="29">
        <f>K42/K48</f>
        <v>1.5151515151515152E-2</v>
      </c>
      <c r="M42" s="28">
        <v>15</v>
      </c>
      <c r="N42" s="29">
        <f>M42/M48</f>
        <v>2.6785714285714284E-2</v>
      </c>
      <c r="O42" s="28">
        <v>7</v>
      </c>
      <c r="P42" s="29">
        <f>O42/O48</f>
        <v>2.7559055118110236E-2</v>
      </c>
      <c r="Q42" s="28">
        <v>30</v>
      </c>
      <c r="R42" s="29">
        <f>Q42/Q48</f>
        <v>4.3103448275862072E-2</v>
      </c>
      <c r="S42" s="74"/>
      <c r="T42" s="74"/>
    </row>
    <row r="43" spans="1:20" x14ac:dyDescent="0.2">
      <c r="A43" s="20" t="s">
        <v>114</v>
      </c>
      <c r="B43" s="28">
        <v>393</v>
      </c>
      <c r="C43" s="29">
        <f>B43/B48</f>
        <v>2.2018040226343214E-2</v>
      </c>
      <c r="D43" s="28">
        <v>37</v>
      </c>
      <c r="E43" s="29">
        <f>D43/D48</f>
        <v>1.8334985133795837E-2</v>
      </c>
      <c r="F43" s="41">
        <f t="shared" si="8"/>
        <v>9.4147582697201013E-2</v>
      </c>
      <c r="G43" s="28">
        <v>10</v>
      </c>
      <c r="H43" s="29">
        <f>G43/G48</f>
        <v>2.7700831024930747E-2</v>
      </c>
      <c r="I43" s="28"/>
      <c r="J43" s="29">
        <f>I43/I48</f>
        <v>0</v>
      </c>
      <c r="K43" s="28">
        <v>3</v>
      </c>
      <c r="L43" s="29">
        <f>K43/K48</f>
        <v>2.2727272727272728E-2</v>
      </c>
      <c r="M43" s="28">
        <v>5</v>
      </c>
      <c r="N43" s="29">
        <f>M43/M48</f>
        <v>8.9285714285714281E-3</v>
      </c>
      <c r="O43" s="28">
        <v>9</v>
      </c>
      <c r="P43" s="29">
        <f>O43/O48</f>
        <v>3.5433070866141732E-2</v>
      </c>
      <c r="Q43" s="28">
        <v>10</v>
      </c>
      <c r="R43" s="29">
        <f>Q43/Q48</f>
        <v>1.4367816091954023E-2</v>
      </c>
      <c r="S43" s="74"/>
      <c r="T43" s="74"/>
    </row>
    <row r="44" spans="1:20" x14ac:dyDescent="0.2">
      <c r="A44" s="20" t="s">
        <v>12</v>
      </c>
      <c r="B44" s="28">
        <v>2367</v>
      </c>
      <c r="C44" s="29">
        <f>B44/B48</f>
        <v>0.13261247128690684</v>
      </c>
      <c r="D44" s="28">
        <v>250</v>
      </c>
      <c r="E44" s="29">
        <f>D44/D48</f>
        <v>0.12388503468780972</v>
      </c>
      <c r="F44" s="41">
        <f t="shared" si="8"/>
        <v>0.10561892691170258</v>
      </c>
      <c r="G44" s="28">
        <v>39</v>
      </c>
      <c r="H44" s="29">
        <f>G44/G48</f>
        <v>0.10803324099722991</v>
      </c>
      <c r="I44" s="28">
        <v>4</v>
      </c>
      <c r="J44" s="29">
        <f>I44/I48</f>
        <v>0.26666666666666666</v>
      </c>
      <c r="K44" s="28">
        <v>12</v>
      </c>
      <c r="L44" s="29">
        <f>K44/K48</f>
        <v>9.0909090909090912E-2</v>
      </c>
      <c r="M44" s="28">
        <v>48</v>
      </c>
      <c r="N44" s="29">
        <f>M44/M48</f>
        <v>8.5714285714285715E-2</v>
      </c>
      <c r="O44" s="28">
        <v>38</v>
      </c>
      <c r="P44" s="29">
        <f>O44/O48</f>
        <v>0.14960629921259844</v>
      </c>
      <c r="Q44" s="28">
        <v>109</v>
      </c>
      <c r="R44" s="29">
        <f>Q44/Q48</f>
        <v>0.15660919540229884</v>
      </c>
      <c r="S44" s="103" t="s">
        <v>102</v>
      </c>
      <c r="T44" s="103"/>
    </row>
    <row r="45" spans="1:20" x14ac:dyDescent="0.2">
      <c r="A45" s="20" t="s">
        <v>115</v>
      </c>
      <c r="B45" s="28">
        <v>225</v>
      </c>
      <c r="C45" s="29">
        <f>B45/B48</f>
        <v>1.2605748221188862E-2</v>
      </c>
      <c r="D45" s="28">
        <v>35</v>
      </c>
      <c r="E45" s="29">
        <f>D45/D48</f>
        <v>1.7343904856293359E-2</v>
      </c>
      <c r="F45" s="41">
        <f t="shared" si="8"/>
        <v>0.15555555555555556</v>
      </c>
      <c r="G45" s="28">
        <v>14</v>
      </c>
      <c r="H45" s="29">
        <f>G45/G48</f>
        <v>3.8781163434903045E-2</v>
      </c>
      <c r="I45" s="28">
        <v>1</v>
      </c>
      <c r="J45" s="29">
        <f>I45/I48</f>
        <v>6.6666666666666666E-2</v>
      </c>
      <c r="K45" s="28">
        <v>2</v>
      </c>
      <c r="L45" s="29">
        <f>K45/K48</f>
        <v>1.5151515151515152E-2</v>
      </c>
      <c r="M45" s="28">
        <v>5</v>
      </c>
      <c r="N45" s="29">
        <f>M45/M48</f>
        <v>8.9285714285714281E-3</v>
      </c>
      <c r="O45" s="28">
        <v>2</v>
      </c>
      <c r="P45" s="29">
        <f>O45/O48</f>
        <v>7.874015748031496E-3</v>
      </c>
      <c r="Q45" s="28">
        <v>11</v>
      </c>
      <c r="R45" s="29">
        <f>Q45/Q48</f>
        <v>1.5804597701149427E-2</v>
      </c>
      <c r="S45" s="103"/>
      <c r="T45" s="103"/>
    </row>
    <row r="46" spans="1:20" x14ac:dyDescent="0.2">
      <c r="A46" s="20" t="s">
        <v>2</v>
      </c>
      <c r="B46" s="28">
        <v>913</v>
      </c>
      <c r="C46" s="29">
        <f>B46/B48</f>
        <v>5.1151325004201914E-2</v>
      </c>
      <c r="D46" s="28">
        <v>91</v>
      </c>
      <c r="E46" s="29">
        <f>D46/D48</f>
        <v>4.5094152626362738E-2</v>
      </c>
      <c r="F46" s="41">
        <f t="shared" si="8"/>
        <v>9.9671412924424968E-2</v>
      </c>
      <c r="G46" s="28">
        <v>18</v>
      </c>
      <c r="H46" s="29">
        <f>G46/G48</f>
        <v>4.9861495844875349E-2</v>
      </c>
      <c r="I46" s="28"/>
      <c r="J46" s="29">
        <f>I46/I48</f>
        <v>0</v>
      </c>
      <c r="K46" s="28">
        <v>5</v>
      </c>
      <c r="L46" s="29">
        <f>K46/K48</f>
        <v>3.787878787878788E-2</v>
      </c>
      <c r="M46" s="28">
        <v>18</v>
      </c>
      <c r="N46" s="29">
        <f>M46/M48</f>
        <v>3.214285714285714E-2</v>
      </c>
      <c r="O46" s="28">
        <v>8</v>
      </c>
      <c r="P46" s="29">
        <f>O46/O48</f>
        <v>3.1496062992125984E-2</v>
      </c>
      <c r="Q46" s="28">
        <v>42</v>
      </c>
      <c r="R46" s="29">
        <f>Q46/Q48</f>
        <v>6.0344827586206899E-2</v>
      </c>
      <c r="S46" s="103"/>
      <c r="T46" s="103"/>
    </row>
    <row r="47" spans="1:20" x14ac:dyDescent="0.2">
      <c r="A47" s="20" t="s">
        <v>116</v>
      </c>
      <c r="B47" s="28">
        <v>12809</v>
      </c>
      <c r="C47" s="29">
        <f>B47/B48</f>
        <v>0.71763123984536947</v>
      </c>
      <c r="D47" s="28">
        <v>1495</v>
      </c>
      <c r="E47" s="29">
        <f>D47/D48</f>
        <v>0.74083250743310203</v>
      </c>
      <c r="F47" s="41">
        <f t="shared" si="8"/>
        <v>0.11671480989928956</v>
      </c>
      <c r="G47" s="28">
        <v>257</v>
      </c>
      <c r="H47" s="29">
        <f>G47/G48</f>
        <v>0.7119113573407202</v>
      </c>
      <c r="I47" s="28">
        <v>9</v>
      </c>
      <c r="J47" s="29">
        <f>I47/I48</f>
        <v>0.6</v>
      </c>
      <c r="K47" s="28">
        <v>105</v>
      </c>
      <c r="L47" s="29">
        <f>K47/K48</f>
        <v>0.79545454545454541</v>
      </c>
      <c r="M47" s="28">
        <v>458</v>
      </c>
      <c r="N47" s="29">
        <f>M47/M48</f>
        <v>0.81785714285714284</v>
      </c>
      <c r="O47" s="28">
        <v>183</v>
      </c>
      <c r="P47" s="29">
        <f>O47/O48</f>
        <v>0.72047244094488194</v>
      </c>
      <c r="Q47" s="28">
        <v>483</v>
      </c>
      <c r="R47" s="29">
        <f>Q47/Q48</f>
        <v>0.69396551724137934</v>
      </c>
      <c r="S47" s="99" t="s">
        <v>205</v>
      </c>
      <c r="T47" s="100"/>
    </row>
    <row r="48" spans="1:20" x14ac:dyDescent="0.2">
      <c r="A48" s="95" t="s">
        <v>1</v>
      </c>
      <c r="B48" s="22">
        <f>SUM(B40:B47)</f>
        <v>17849</v>
      </c>
      <c r="C48" s="42">
        <f>SUM(C40:C47)</f>
        <v>1</v>
      </c>
      <c r="D48" s="22">
        <f>SUM(D40:D47)</f>
        <v>2018</v>
      </c>
      <c r="E48" s="42">
        <f>SUM(E40:E47)</f>
        <v>1</v>
      </c>
      <c r="F48" s="43">
        <f t="shared" si="8"/>
        <v>0.11305955515715166</v>
      </c>
      <c r="G48" s="22">
        <f t="shared" ref="G48:R48" si="9">SUM(G40:G47)</f>
        <v>361</v>
      </c>
      <c r="H48" s="42">
        <f t="shared" si="9"/>
        <v>1</v>
      </c>
      <c r="I48" s="22">
        <f t="shared" si="9"/>
        <v>15</v>
      </c>
      <c r="J48" s="42">
        <f t="shared" si="9"/>
        <v>1</v>
      </c>
      <c r="K48" s="22">
        <f t="shared" si="9"/>
        <v>132</v>
      </c>
      <c r="L48" s="42">
        <f t="shared" si="9"/>
        <v>1</v>
      </c>
      <c r="M48" s="22">
        <f t="shared" si="9"/>
        <v>560</v>
      </c>
      <c r="N48" s="42">
        <f t="shared" si="9"/>
        <v>1</v>
      </c>
      <c r="O48" s="22">
        <f t="shared" si="9"/>
        <v>254</v>
      </c>
      <c r="P48" s="42">
        <f t="shared" si="9"/>
        <v>1</v>
      </c>
      <c r="Q48" s="22">
        <f t="shared" si="9"/>
        <v>696</v>
      </c>
      <c r="R48" s="42">
        <f t="shared" si="9"/>
        <v>1</v>
      </c>
      <c r="S48" s="101"/>
      <c r="T48" s="102"/>
    </row>
  </sheetData>
  <mergeCells count="42">
    <mergeCell ref="M39:N39"/>
    <mergeCell ref="O39:P39"/>
    <mergeCell ref="Q39:R39"/>
    <mergeCell ref="S32:T35"/>
    <mergeCell ref="B39:C39"/>
    <mergeCell ref="D39:E39"/>
    <mergeCell ref="G39:H39"/>
    <mergeCell ref="I39:J39"/>
    <mergeCell ref="K39:L39"/>
    <mergeCell ref="M21:N21"/>
    <mergeCell ref="O21:P21"/>
    <mergeCell ref="Q21:R21"/>
    <mergeCell ref="B28:C28"/>
    <mergeCell ref="D28:E28"/>
    <mergeCell ref="G28:H28"/>
    <mergeCell ref="I28:J28"/>
    <mergeCell ref="K28:L28"/>
    <mergeCell ref="M28:N28"/>
    <mergeCell ref="O28:P28"/>
    <mergeCell ref="Q28:R28"/>
    <mergeCell ref="B21:C21"/>
    <mergeCell ref="D21:E21"/>
    <mergeCell ref="G21:H21"/>
    <mergeCell ref="I21:J21"/>
    <mergeCell ref="K21:L21"/>
    <mergeCell ref="I12:J12"/>
    <mergeCell ref="K12:L12"/>
    <mergeCell ref="M12:N12"/>
    <mergeCell ref="O12:P12"/>
    <mergeCell ref="Q12:R12"/>
    <mergeCell ref="B3:C3"/>
    <mergeCell ref="D3:E3"/>
    <mergeCell ref="B12:C12"/>
    <mergeCell ref="D12:E12"/>
    <mergeCell ref="G12:H12"/>
    <mergeCell ref="G5:Q5"/>
    <mergeCell ref="G6:Q6"/>
    <mergeCell ref="S30:T31"/>
    <mergeCell ref="S21:T25"/>
    <mergeCell ref="S39:T41"/>
    <mergeCell ref="S47:T48"/>
    <mergeCell ref="S44:T46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Normal="100" workbookViewId="0">
      <selection activeCell="C12" sqref="C12"/>
    </sheetView>
  </sheetViews>
  <sheetFormatPr defaultRowHeight="12.75" x14ac:dyDescent="0.2"/>
  <cols>
    <col min="1" max="1" width="35.85546875" style="16" customWidth="1"/>
    <col min="2" max="2" width="4" style="24" bestFit="1" customWidth="1"/>
    <col min="3" max="3" width="7.28515625" style="24" bestFit="1" customWidth="1"/>
    <col min="4" max="4" width="3" style="24" bestFit="1" customWidth="1"/>
    <col min="5" max="5" width="7.28515625" style="24" bestFit="1" customWidth="1"/>
    <col min="6" max="6" width="4" style="24" bestFit="1" customWidth="1"/>
    <col min="7" max="7" width="7.28515625" style="24" bestFit="1" customWidth="1"/>
    <col min="8" max="8" width="5.42578125" style="60" bestFit="1" customWidth="1"/>
    <col min="9" max="9" width="7.28515625" style="24" bestFit="1" customWidth="1"/>
    <col min="10" max="10" width="4" style="24" bestFit="1" customWidth="1"/>
    <col min="11" max="11" width="7.28515625" style="24" bestFit="1" customWidth="1"/>
    <col min="12" max="12" width="5.42578125" style="24" bestFit="1" customWidth="1"/>
    <col min="13" max="13" width="7.28515625" style="24" bestFit="1" customWidth="1"/>
    <col min="14" max="14" width="5.5703125" style="24" bestFit="1" customWidth="1"/>
    <col min="15" max="15" width="7.28515625" style="24" bestFit="1" customWidth="1"/>
    <col min="16" max="16" width="17.85546875" style="7" customWidth="1"/>
    <col min="17" max="17" width="3.85546875" style="9" customWidth="1"/>
    <col min="18" max="16384" width="9.140625" style="9"/>
  </cols>
  <sheetData>
    <row r="1" spans="1:16" ht="15.75" x14ac:dyDescent="0.2">
      <c r="A1" s="85" t="s">
        <v>206</v>
      </c>
    </row>
    <row r="2" spans="1:16" x14ac:dyDescent="0.2">
      <c r="A2" s="15" t="s">
        <v>0</v>
      </c>
      <c r="B2" s="61"/>
      <c r="C2" s="61"/>
      <c r="D2" s="61"/>
      <c r="E2" s="61"/>
    </row>
    <row r="3" spans="1:16" s="11" customFormat="1" ht="24" customHeight="1" x14ac:dyDescent="0.2">
      <c r="A3" s="115" t="s">
        <v>195</v>
      </c>
      <c r="B3" s="120" t="s">
        <v>100</v>
      </c>
      <c r="C3" s="120"/>
      <c r="D3" s="120" t="s">
        <v>80</v>
      </c>
      <c r="E3" s="120"/>
      <c r="F3" s="117" t="s">
        <v>136</v>
      </c>
      <c r="G3" s="117"/>
      <c r="H3" s="120" t="s">
        <v>82</v>
      </c>
      <c r="I3" s="120"/>
      <c r="J3" s="120" t="s">
        <v>81</v>
      </c>
      <c r="K3" s="120"/>
      <c r="L3" s="120" t="s">
        <v>98</v>
      </c>
      <c r="M3" s="120"/>
      <c r="N3" s="116" t="s">
        <v>1</v>
      </c>
      <c r="O3" s="116"/>
      <c r="P3" s="128" t="s">
        <v>207</v>
      </c>
    </row>
    <row r="4" spans="1:16" x14ac:dyDescent="0.2">
      <c r="A4" s="20" t="s">
        <v>118</v>
      </c>
      <c r="B4" s="28">
        <v>162</v>
      </c>
      <c r="C4" s="29">
        <f>B4/B12</f>
        <v>0.46820809248554912</v>
      </c>
      <c r="D4" s="28">
        <v>6</v>
      </c>
      <c r="E4" s="29">
        <f>D4/D12</f>
        <v>0.42857142857142855</v>
      </c>
      <c r="F4" s="28">
        <v>67</v>
      </c>
      <c r="G4" s="29">
        <f>F4/F12</f>
        <v>0.54032258064516125</v>
      </c>
      <c r="H4" s="28">
        <v>267</v>
      </c>
      <c r="I4" s="29">
        <f>H4/H12</f>
        <v>0.48722627737226276</v>
      </c>
      <c r="J4" s="28">
        <v>151</v>
      </c>
      <c r="K4" s="29">
        <f>J4/J12</f>
        <v>0.62916666666666665</v>
      </c>
      <c r="L4" s="28">
        <v>337</v>
      </c>
      <c r="M4" s="29">
        <f>L4/L12</f>
        <v>0.49558823529411766</v>
      </c>
      <c r="N4" s="28">
        <f>L4+J4+H4+F4+D4+B4</f>
        <v>990</v>
      </c>
      <c r="O4" s="29">
        <f>N4/N12</f>
        <v>0.50717213114754101</v>
      </c>
      <c r="P4" s="129"/>
    </row>
    <row r="5" spans="1:16" x14ac:dyDescent="0.2">
      <c r="A5" s="20" t="s">
        <v>117</v>
      </c>
      <c r="B5" s="28">
        <v>23</v>
      </c>
      <c r="C5" s="29">
        <f>B5/B12</f>
        <v>6.6473988439306353E-2</v>
      </c>
      <c r="D5" s="28">
        <v>4</v>
      </c>
      <c r="E5" s="29">
        <f>D5/D12</f>
        <v>0.2857142857142857</v>
      </c>
      <c r="F5" s="28">
        <v>11</v>
      </c>
      <c r="G5" s="29">
        <f>F5/F12</f>
        <v>8.8709677419354843E-2</v>
      </c>
      <c r="H5" s="28">
        <v>71</v>
      </c>
      <c r="I5" s="29">
        <f>H5/H12</f>
        <v>0.12956204379562045</v>
      </c>
      <c r="J5" s="28">
        <v>22</v>
      </c>
      <c r="K5" s="29">
        <f>J5/J12</f>
        <v>9.166666666666666E-2</v>
      </c>
      <c r="L5" s="28">
        <v>83</v>
      </c>
      <c r="M5" s="29">
        <f>L5/L12</f>
        <v>0.12205882352941176</v>
      </c>
      <c r="N5" s="28">
        <f t="shared" ref="N5:N11" si="0">L5+J5+H5+F5+D5+B5</f>
        <v>214</v>
      </c>
      <c r="O5" s="29">
        <f>N5/N12</f>
        <v>0.1096311475409836</v>
      </c>
      <c r="P5" s="129"/>
    </row>
    <row r="6" spans="1:16" x14ac:dyDescent="0.2">
      <c r="A6" s="20" t="s">
        <v>164</v>
      </c>
      <c r="B6" s="28">
        <v>38</v>
      </c>
      <c r="C6" s="29">
        <f>B6/B12</f>
        <v>0.10982658959537572</v>
      </c>
      <c r="D6" s="28">
        <v>1</v>
      </c>
      <c r="E6" s="29">
        <f>D6/D12</f>
        <v>7.1428571428571425E-2</v>
      </c>
      <c r="F6" s="28">
        <v>4</v>
      </c>
      <c r="G6" s="29">
        <f>F6/F12</f>
        <v>3.2258064516129031E-2</v>
      </c>
      <c r="H6" s="28">
        <v>31</v>
      </c>
      <c r="I6" s="29">
        <f>H6/H12</f>
        <v>5.6569343065693431E-2</v>
      </c>
      <c r="J6" s="28">
        <v>14</v>
      </c>
      <c r="K6" s="29">
        <f>J6/J12</f>
        <v>5.8333333333333334E-2</v>
      </c>
      <c r="L6" s="28">
        <v>34</v>
      </c>
      <c r="M6" s="29">
        <f>L6/L12</f>
        <v>0.05</v>
      </c>
      <c r="N6" s="28">
        <f t="shared" si="0"/>
        <v>122</v>
      </c>
      <c r="O6" s="29">
        <f>N6/N12</f>
        <v>6.25E-2</v>
      </c>
      <c r="P6" s="129"/>
    </row>
    <row r="7" spans="1:16" x14ac:dyDescent="0.2">
      <c r="A7" s="20" t="s">
        <v>152</v>
      </c>
      <c r="B7" s="28">
        <v>80</v>
      </c>
      <c r="C7" s="29">
        <f>B7/B12</f>
        <v>0.23121387283236994</v>
      </c>
      <c r="D7" s="21"/>
      <c r="E7" s="29">
        <f>D7/D12</f>
        <v>0</v>
      </c>
      <c r="F7" s="28">
        <v>30</v>
      </c>
      <c r="G7" s="29">
        <f>F7/F12</f>
        <v>0.24193548387096775</v>
      </c>
      <c r="H7" s="28">
        <v>129</v>
      </c>
      <c r="I7" s="29">
        <f>H7/H12</f>
        <v>0.23540145985401459</v>
      </c>
      <c r="J7" s="28">
        <v>37</v>
      </c>
      <c r="K7" s="29">
        <f>J7/J12</f>
        <v>0.15416666666666667</v>
      </c>
      <c r="L7" s="28">
        <v>187</v>
      </c>
      <c r="M7" s="29">
        <f>L7/L12</f>
        <v>0.27500000000000002</v>
      </c>
      <c r="N7" s="28">
        <f t="shared" si="0"/>
        <v>463</v>
      </c>
      <c r="O7" s="29">
        <f>N7/N12</f>
        <v>0.23719262295081966</v>
      </c>
      <c r="P7" s="129"/>
    </row>
    <row r="8" spans="1:16" x14ac:dyDescent="0.2">
      <c r="A8" s="20" t="s">
        <v>120</v>
      </c>
      <c r="B8" s="28">
        <v>14</v>
      </c>
      <c r="C8" s="29">
        <f>B8/B12</f>
        <v>4.046242774566474E-2</v>
      </c>
      <c r="D8" s="28">
        <v>1</v>
      </c>
      <c r="E8" s="29">
        <f>D8/D12</f>
        <v>7.1428571428571425E-2</v>
      </c>
      <c r="F8" s="28">
        <v>5</v>
      </c>
      <c r="G8" s="29">
        <f>F8/F12</f>
        <v>4.0322580645161289E-2</v>
      </c>
      <c r="H8" s="28">
        <v>18</v>
      </c>
      <c r="I8" s="29">
        <f>H8/H12</f>
        <v>3.2846715328467155E-2</v>
      </c>
      <c r="J8" s="28">
        <v>8</v>
      </c>
      <c r="K8" s="29">
        <f>J8/J12</f>
        <v>3.3333333333333333E-2</v>
      </c>
      <c r="L8" s="28">
        <v>12</v>
      </c>
      <c r="M8" s="29">
        <f>L8/L12</f>
        <v>1.7647058823529412E-2</v>
      </c>
      <c r="N8" s="28">
        <f t="shared" si="0"/>
        <v>58</v>
      </c>
      <c r="O8" s="29">
        <f>N8/N12</f>
        <v>2.9713114754098359E-2</v>
      </c>
      <c r="P8" s="129"/>
    </row>
    <row r="9" spans="1:16" x14ac:dyDescent="0.2">
      <c r="A9" s="20" t="s">
        <v>119</v>
      </c>
      <c r="B9" s="28">
        <v>8</v>
      </c>
      <c r="C9" s="29">
        <f>B9/B12</f>
        <v>2.3121387283236993E-2</v>
      </c>
      <c r="D9" s="28">
        <v>1</v>
      </c>
      <c r="E9" s="29">
        <f>D9/D12</f>
        <v>7.1428571428571425E-2</v>
      </c>
      <c r="F9" s="28">
        <v>4</v>
      </c>
      <c r="G9" s="29">
        <f>F9/F12</f>
        <v>3.2258064516129031E-2</v>
      </c>
      <c r="H9" s="28">
        <v>13</v>
      </c>
      <c r="I9" s="29">
        <f>H9/H12</f>
        <v>2.3722627737226276E-2</v>
      </c>
      <c r="J9" s="28">
        <v>4</v>
      </c>
      <c r="K9" s="29">
        <f>J9/J12</f>
        <v>1.6666666666666666E-2</v>
      </c>
      <c r="L9" s="28">
        <v>13</v>
      </c>
      <c r="M9" s="29">
        <f>L9/L12</f>
        <v>1.9117647058823531E-2</v>
      </c>
      <c r="N9" s="28">
        <f t="shared" si="0"/>
        <v>43</v>
      </c>
      <c r="O9" s="29">
        <f>N9/N12</f>
        <v>2.2028688524590164E-2</v>
      </c>
      <c r="P9" s="129"/>
    </row>
    <row r="10" spans="1:16" x14ac:dyDescent="0.2">
      <c r="A10" s="20" t="s">
        <v>121</v>
      </c>
      <c r="B10" s="28">
        <v>1</v>
      </c>
      <c r="C10" s="29">
        <f>B10/B12</f>
        <v>2.8901734104046241E-3</v>
      </c>
      <c r="D10" s="21"/>
      <c r="E10" s="29">
        <f>D10/D12</f>
        <v>0</v>
      </c>
      <c r="F10" s="21"/>
      <c r="G10" s="29">
        <f>F10/F12</f>
        <v>0</v>
      </c>
      <c r="H10" s="28">
        <v>4</v>
      </c>
      <c r="I10" s="29">
        <f>H10/H12</f>
        <v>7.2992700729927005E-3</v>
      </c>
      <c r="J10" s="21"/>
      <c r="K10" s="29">
        <f>J10/J12</f>
        <v>0</v>
      </c>
      <c r="L10" s="28">
        <v>3</v>
      </c>
      <c r="M10" s="29">
        <f>L10/L12</f>
        <v>4.4117647058823529E-3</v>
      </c>
      <c r="N10" s="28">
        <f t="shared" si="0"/>
        <v>8</v>
      </c>
      <c r="O10" s="29">
        <f>N10/N12</f>
        <v>4.0983606557377051E-3</v>
      </c>
      <c r="P10" s="129"/>
    </row>
    <row r="11" spans="1:16" x14ac:dyDescent="0.2">
      <c r="A11" s="20" t="s">
        <v>165</v>
      </c>
      <c r="B11" s="28">
        <v>20</v>
      </c>
      <c r="C11" s="29">
        <f>B11/B12</f>
        <v>5.7803468208092484E-2</v>
      </c>
      <c r="D11" s="28">
        <v>1</v>
      </c>
      <c r="E11" s="29">
        <f>D11/D12</f>
        <v>7.1428571428571425E-2</v>
      </c>
      <c r="F11" s="28">
        <v>3</v>
      </c>
      <c r="G11" s="29">
        <f>F11/F12</f>
        <v>2.4193548387096774E-2</v>
      </c>
      <c r="H11" s="28">
        <v>15</v>
      </c>
      <c r="I11" s="29">
        <f>H11/H12</f>
        <v>2.7372262773722629E-2</v>
      </c>
      <c r="J11" s="28">
        <v>4</v>
      </c>
      <c r="K11" s="29">
        <f>J11/J12</f>
        <v>1.6666666666666666E-2</v>
      </c>
      <c r="L11" s="28">
        <v>11</v>
      </c>
      <c r="M11" s="29">
        <f>L11/L12</f>
        <v>1.6176470588235296E-2</v>
      </c>
      <c r="N11" s="28">
        <f t="shared" si="0"/>
        <v>54</v>
      </c>
      <c r="O11" s="29">
        <f>N11/N12</f>
        <v>2.7663934426229508E-2</v>
      </c>
      <c r="P11" s="129"/>
    </row>
    <row r="12" spans="1:16" x14ac:dyDescent="0.2">
      <c r="A12" s="95" t="s">
        <v>1</v>
      </c>
      <c r="B12" s="19">
        <f>SUM(B4:B11)</f>
        <v>346</v>
      </c>
      <c r="C12" s="31">
        <f>SUM(C4:C11)</f>
        <v>1</v>
      </c>
      <c r="D12" s="19">
        <f>SUM(D4:D11)</f>
        <v>14</v>
      </c>
      <c r="E12" s="31">
        <f>SUM(E4:E11)</f>
        <v>0.99999999999999978</v>
      </c>
      <c r="F12" s="19">
        <f>SUM(F4:F11)</f>
        <v>124</v>
      </c>
      <c r="G12" s="31">
        <f>SUM(G4:G11)</f>
        <v>0.99999999999999989</v>
      </c>
      <c r="H12" s="19">
        <f>SUM(H4:H11)</f>
        <v>548</v>
      </c>
      <c r="I12" s="31">
        <f>SUM(I4:I11)</f>
        <v>1</v>
      </c>
      <c r="J12" s="19">
        <f>SUM(J4:J11)</f>
        <v>240</v>
      </c>
      <c r="K12" s="31">
        <f>SUM(K4:K11)</f>
        <v>1</v>
      </c>
      <c r="L12" s="19">
        <f>SUM(L4:L11)</f>
        <v>680</v>
      </c>
      <c r="M12" s="31">
        <f>SUM(M4:M11)</f>
        <v>1.0000000000000002</v>
      </c>
      <c r="N12" s="22">
        <f>SUM(N4:N11)</f>
        <v>1952</v>
      </c>
      <c r="O12" s="31">
        <f>SUM(O4:O11)</f>
        <v>0.99999999999999989</v>
      </c>
      <c r="P12" s="130"/>
    </row>
    <row r="13" spans="1:16" s="11" customFormat="1" x14ac:dyDescent="0.2">
      <c r="A13" s="15"/>
      <c r="B13" s="5"/>
      <c r="C13" s="52"/>
      <c r="D13" s="5"/>
      <c r="E13" s="52"/>
      <c r="F13" s="5"/>
      <c r="G13" s="52"/>
      <c r="H13" s="5"/>
      <c r="I13" s="52"/>
      <c r="J13" s="5"/>
      <c r="K13" s="52"/>
      <c r="L13" s="5"/>
      <c r="M13" s="52"/>
      <c r="N13" s="51"/>
      <c r="O13" s="52"/>
      <c r="P13" s="127"/>
    </row>
    <row r="14" spans="1:16" x14ac:dyDescent="0.2">
      <c r="A14" s="115" t="s">
        <v>122</v>
      </c>
      <c r="B14" s="120" t="s">
        <v>100</v>
      </c>
      <c r="C14" s="120"/>
      <c r="D14" s="120" t="s">
        <v>80</v>
      </c>
      <c r="E14" s="120"/>
      <c r="F14" s="117" t="s">
        <v>136</v>
      </c>
      <c r="G14" s="117"/>
      <c r="H14" s="120" t="s">
        <v>82</v>
      </c>
      <c r="I14" s="120"/>
      <c r="J14" s="120" t="s">
        <v>81</v>
      </c>
      <c r="K14" s="120"/>
      <c r="L14" s="120" t="s">
        <v>98</v>
      </c>
      <c r="M14" s="120"/>
      <c r="N14" s="116" t="s">
        <v>1</v>
      </c>
      <c r="O14" s="116"/>
      <c r="P14" s="108" t="s">
        <v>208</v>
      </c>
    </row>
    <row r="15" spans="1:16" ht="12.75" customHeight="1" x14ac:dyDescent="0.2">
      <c r="A15" s="78" t="s">
        <v>166</v>
      </c>
      <c r="B15" s="28">
        <v>228</v>
      </c>
      <c r="C15" s="29">
        <f>B15/B19</f>
        <v>0.6386554621848739</v>
      </c>
      <c r="D15" s="28">
        <v>12</v>
      </c>
      <c r="E15" s="29">
        <f>D15/D19</f>
        <v>0.8</v>
      </c>
      <c r="F15" s="28">
        <v>86</v>
      </c>
      <c r="G15" s="29">
        <f>F15/F19</f>
        <v>0.65648854961832059</v>
      </c>
      <c r="H15" s="28">
        <v>342</v>
      </c>
      <c r="I15" s="29">
        <f>H15/H19</f>
        <v>0.61621621621621625</v>
      </c>
      <c r="J15" s="28">
        <v>156</v>
      </c>
      <c r="K15" s="29">
        <f>J15/J19</f>
        <v>0.61904761904761907</v>
      </c>
      <c r="L15" s="28">
        <v>430</v>
      </c>
      <c r="M15" s="29">
        <f>L15/L19</f>
        <v>0.62228654124457305</v>
      </c>
      <c r="N15" s="21">
        <f t="shared" ref="N15:N18" si="1">B15+D15+F15+H15+J15+L15</f>
        <v>1254</v>
      </c>
      <c r="O15" s="29">
        <f>N15/N19</f>
        <v>0.62668665667166412</v>
      </c>
      <c r="P15" s="108"/>
    </row>
    <row r="16" spans="1:16" s="7" customFormat="1" x14ac:dyDescent="0.2">
      <c r="A16" s="78" t="s">
        <v>167</v>
      </c>
      <c r="B16" s="28">
        <v>1</v>
      </c>
      <c r="C16" s="29">
        <f>B16/B19</f>
        <v>2.8011204481792717E-3</v>
      </c>
      <c r="D16" s="21"/>
      <c r="E16" s="29">
        <f>D16/D19</f>
        <v>0</v>
      </c>
      <c r="F16" s="28">
        <v>2</v>
      </c>
      <c r="G16" s="29">
        <f>F16/F19</f>
        <v>1.5267175572519083E-2</v>
      </c>
      <c r="H16" s="28">
        <v>4</v>
      </c>
      <c r="I16" s="29">
        <f>H16/H19</f>
        <v>7.2072072072072073E-3</v>
      </c>
      <c r="J16" s="21"/>
      <c r="K16" s="29">
        <f>J16/J19</f>
        <v>0</v>
      </c>
      <c r="L16" s="28">
        <v>6</v>
      </c>
      <c r="M16" s="29">
        <f>L16/L19</f>
        <v>8.6830680173661367E-3</v>
      </c>
      <c r="N16" s="21">
        <f t="shared" si="1"/>
        <v>13</v>
      </c>
      <c r="O16" s="29">
        <f>N16/N19</f>
        <v>6.4967516241879056E-3</v>
      </c>
      <c r="P16" s="108"/>
    </row>
    <row r="17" spans="1:16" s="7" customFormat="1" x14ac:dyDescent="0.2">
      <c r="A17" s="78" t="s">
        <v>168</v>
      </c>
      <c r="B17" s="28">
        <v>54</v>
      </c>
      <c r="C17" s="29">
        <f>B17/B19</f>
        <v>0.15126050420168066</v>
      </c>
      <c r="D17" s="28">
        <v>2</v>
      </c>
      <c r="E17" s="29">
        <f>D17/D19</f>
        <v>0.13333333333333333</v>
      </c>
      <c r="F17" s="28">
        <v>25</v>
      </c>
      <c r="G17" s="29">
        <f>F17/F19</f>
        <v>0.19083969465648856</v>
      </c>
      <c r="H17" s="28">
        <v>100</v>
      </c>
      <c r="I17" s="29">
        <f>H17/H19</f>
        <v>0.18018018018018017</v>
      </c>
      <c r="J17" s="28">
        <v>49</v>
      </c>
      <c r="K17" s="29">
        <f>J17/J19</f>
        <v>0.19444444444444445</v>
      </c>
      <c r="L17" s="28">
        <v>122</v>
      </c>
      <c r="M17" s="29">
        <f>L17/L19</f>
        <v>0.17655571635311143</v>
      </c>
      <c r="N17" s="21">
        <f t="shared" si="1"/>
        <v>352</v>
      </c>
      <c r="O17" s="29">
        <f>N17/N19</f>
        <v>0.175912043978011</v>
      </c>
      <c r="P17" s="108"/>
    </row>
    <row r="18" spans="1:16" s="7" customFormat="1" x14ac:dyDescent="0.2">
      <c r="A18" s="78" t="s">
        <v>169</v>
      </c>
      <c r="B18" s="28">
        <v>74</v>
      </c>
      <c r="C18" s="29">
        <f>B18/B19</f>
        <v>0.20728291316526612</v>
      </c>
      <c r="D18" s="28">
        <v>1</v>
      </c>
      <c r="E18" s="29">
        <f>D18/D19</f>
        <v>6.6666666666666666E-2</v>
      </c>
      <c r="F18" s="28">
        <v>18</v>
      </c>
      <c r="G18" s="29">
        <f>F18/F19</f>
        <v>0.13740458015267176</v>
      </c>
      <c r="H18" s="28">
        <v>109</v>
      </c>
      <c r="I18" s="29">
        <f>H18/H19</f>
        <v>0.19639639639639639</v>
      </c>
      <c r="J18" s="28">
        <v>47</v>
      </c>
      <c r="K18" s="29">
        <f>J18/J19</f>
        <v>0.18650793650793651</v>
      </c>
      <c r="L18" s="28">
        <v>133</v>
      </c>
      <c r="M18" s="29">
        <f>L18/L19</f>
        <v>0.19247467438494936</v>
      </c>
      <c r="N18" s="21">
        <f t="shared" si="1"/>
        <v>382</v>
      </c>
      <c r="O18" s="29">
        <f>N18/N19</f>
        <v>0.19090454772613694</v>
      </c>
      <c r="P18" s="108"/>
    </row>
    <row r="19" spans="1:16" s="7" customFormat="1" x14ac:dyDescent="0.2">
      <c r="A19" s="53" t="s">
        <v>1</v>
      </c>
      <c r="B19" s="94">
        <f>SUM(B15:B18)</f>
        <v>357</v>
      </c>
      <c r="C19" s="31">
        <f>SUM(C15:C18)</f>
        <v>1</v>
      </c>
      <c r="D19" s="94">
        <f>SUM(D15:D18)</f>
        <v>15</v>
      </c>
      <c r="E19" s="31">
        <f>SUM(E15:E18)</f>
        <v>1</v>
      </c>
      <c r="F19" s="94">
        <f>SUM(F15:F18)</f>
        <v>131</v>
      </c>
      <c r="G19" s="31">
        <f>SUM(G15:G18)</f>
        <v>1</v>
      </c>
      <c r="H19" s="94">
        <f>SUM(H15:H18)</f>
        <v>555</v>
      </c>
      <c r="I19" s="31">
        <f>SUM(I15:I18)</f>
        <v>1</v>
      </c>
      <c r="J19" s="94">
        <f>SUM(J15:J18)</f>
        <v>252</v>
      </c>
      <c r="K19" s="31">
        <f>SUM(K15:K18)</f>
        <v>1</v>
      </c>
      <c r="L19" s="94">
        <f>SUM(L15:L18)</f>
        <v>691</v>
      </c>
      <c r="M19" s="31">
        <f>SUM(M15:M18)</f>
        <v>1</v>
      </c>
      <c r="N19" s="22">
        <f>SUM(N15:N18)</f>
        <v>2001</v>
      </c>
      <c r="O19" s="31">
        <f>SUM(O15:O18)</f>
        <v>1</v>
      </c>
      <c r="P19" s="110"/>
    </row>
    <row r="20" spans="1:16" s="7" customFormat="1" x14ac:dyDescent="0.2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1:16" s="7" customFormat="1" ht="24" x14ac:dyDescent="0.2">
      <c r="A21" s="115" t="s">
        <v>123</v>
      </c>
      <c r="B21" s="120" t="s">
        <v>100</v>
      </c>
      <c r="C21" s="120"/>
      <c r="D21" s="120" t="s">
        <v>80</v>
      </c>
      <c r="E21" s="120"/>
      <c r="F21" s="117" t="s">
        <v>136</v>
      </c>
      <c r="G21" s="117"/>
      <c r="H21" s="120" t="s">
        <v>82</v>
      </c>
      <c r="I21" s="120"/>
      <c r="J21" s="120" t="s">
        <v>81</v>
      </c>
      <c r="K21" s="120"/>
      <c r="L21" s="120" t="s">
        <v>98</v>
      </c>
      <c r="M21" s="120"/>
      <c r="N21" s="116" t="s">
        <v>1</v>
      </c>
      <c r="O21" s="116"/>
      <c r="P21" s="128" t="s">
        <v>209</v>
      </c>
    </row>
    <row r="22" spans="1:16" s="7" customFormat="1" x14ac:dyDescent="0.2">
      <c r="A22" s="57" t="s">
        <v>124</v>
      </c>
      <c r="B22" s="28">
        <v>98</v>
      </c>
      <c r="C22" s="29">
        <f>B22/B25</f>
        <v>0.4</v>
      </c>
      <c r="D22" s="28">
        <v>5</v>
      </c>
      <c r="E22" s="29">
        <f>D22/D25</f>
        <v>0.38461538461538464</v>
      </c>
      <c r="F22" s="28">
        <v>22</v>
      </c>
      <c r="G22" s="29">
        <f>F22/F25</f>
        <v>0.2391304347826087</v>
      </c>
      <c r="H22" s="28">
        <v>148</v>
      </c>
      <c r="I22" s="29">
        <f>H22/H25</f>
        <v>0.41456582633053224</v>
      </c>
      <c r="J22" s="28">
        <v>24</v>
      </c>
      <c r="K22" s="29">
        <f>J22/J25</f>
        <v>0.1437125748502994</v>
      </c>
      <c r="L22" s="28">
        <v>155</v>
      </c>
      <c r="M22" s="29">
        <f>L22/L25</f>
        <v>0.33549783549783552</v>
      </c>
      <c r="N22" s="21">
        <f>B22+D22+F22+H22+J22+L22</f>
        <v>452</v>
      </c>
      <c r="O22" s="29">
        <f>N22/N25</f>
        <v>0.33832335329341318</v>
      </c>
      <c r="P22" s="129"/>
    </row>
    <row r="23" spans="1:16" s="11" customFormat="1" x14ac:dyDescent="0.2">
      <c r="A23" s="57" t="s">
        <v>125</v>
      </c>
      <c r="B23" s="28">
        <v>103</v>
      </c>
      <c r="C23" s="29">
        <f>B23/B25</f>
        <v>0.42040816326530611</v>
      </c>
      <c r="D23" s="28">
        <v>4</v>
      </c>
      <c r="E23" s="29">
        <f>D23/D25</f>
        <v>0.30769230769230771</v>
      </c>
      <c r="F23" s="28">
        <v>23</v>
      </c>
      <c r="G23" s="29">
        <f>F23/F25</f>
        <v>0.25</v>
      </c>
      <c r="H23" s="28">
        <v>136</v>
      </c>
      <c r="I23" s="29">
        <f>H23/H25</f>
        <v>0.38095238095238093</v>
      </c>
      <c r="J23" s="28">
        <v>42</v>
      </c>
      <c r="K23" s="29">
        <f>J23/J25</f>
        <v>0.25149700598802394</v>
      </c>
      <c r="L23" s="28">
        <v>183</v>
      </c>
      <c r="M23" s="29">
        <f>L23/L25</f>
        <v>0.39610389610389612</v>
      </c>
      <c r="N23" s="21">
        <f>B23+D23+F23+H23+J23+L23</f>
        <v>491</v>
      </c>
      <c r="O23" s="29">
        <f>N23/N25</f>
        <v>0.36751497005988026</v>
      </c>
      <c r="P23" s="129"/>
    </row>
    <row r="24" spans="1:16" x14ac:dyDescent="0.2">
      <c r="A24" s="57" t="s">
        <v>126</v>
      </c>
      <c r="B24" s="28">
        <v>44</v>
      </c>
      <c r="C24" s="29">
        <f>B24/B25</f>
        <v>0.17959183673469387</v>
      </c>
      <c r="D24" s="28">
        <v>4</v>
      </c>
      <c r="E24" s="29">
        <f>D24/D25</f>
        <v>0.30769230769230771</v>
      </c>
      <c r="F24" s="28">
        <v>47</v>
      </c>
      <c r="G24" s="29">
        <f>F24/F25</f>
        <v>0.51086956521739135</v>
      </c>
      <c r="H24" s="28">
        <v>73</v>
      </c>
      <c r="I24" s="29">
        <f>H24/H25</f>
        <v>0.20448179271708683</v>
      </c>
      <c r="J24" s="28">
        <v>101</v>
      </c>
      <c r="K24" s="29">
        <f>J24/J25</f>
        <v>0.60479041916167664</v>
      </c>
      <c r="L24" s="28">
        <v>124</v>
      </c>
      <c r="M24" s="29">
        <f>L24/L25</f>
        <v>0.26839826839826841</v>
      </c>
      <c r="N24" s="21">
        <f>B24+D24+F24+H24+J24+L24</f>
        <v>393</v>
      </c>
      <c r="O24" s="29">
        <f>N24/N25</f>
        <v>0.29416167664670656</v>
      </c>
      <c r="P24" s="129"/>
    </row>
    <row r="25" spans="1:16" x14ac:dyDescent="0.2">
      <c r="A25" s="53" t="s">
        <v>1</v>
      </c>
      <c r="B25" s="94">
        <f t="shared" ref="B25:M25" si="2">SUM(B22:B24)</f>
        <v>245</v>
      </c>
      <c r="C25" s="31">
        <f t="shared" si="2"/>
        <v>1</v>
      </c>
      <c r="D25" s="94">
        <f t="shared" si="2"/>
        <v>13</v>
      </c>
      <c r="E25" s="31">
        <f t="shared" si="2"/>
        <v>1</v>
      </c>
      <c r="F25" s="94">
        <f t="shared" si="2"/>
        <v>92</v>
      </c>
      <c r="G25" s="31">
        <f t="shared" si="2"/>
        <v>1</v>
      </c>
      <c r="H25" s="94">
        <f t="shared" si="2"/>
        <v>357</v>
      </c>
      <c r="I25" s="31">
        <f t="shared" si="2"/>
        <v>1</v>
      </c>
      <c r="J25" s="94">
        <f t="shared" si="2"/>
        <v>167</v>
      </c>
      <c r="K25" s="31">
        <f t="shared" si="2"/>
        <v>1</v>
      </c>
      <c r="L25" s="94">
        <f t="shared" si="2"/>
        <v>462</v>
      </c>
      <c r="M25" s="31">
        <f t="shared" si="2"/>
        <v>1</v>
      </c>
      <c r="N25" s="22">
        <f>SUM(N21:N24)</f>
        <v>1336</v>
      </c>
      <c r="O25" s="31">
        <f>SUM(O21:O24)</f>
        <v>1</v>
      </c>
      <c r="P25" s="130"/>
    </row>
    <row r="26" spans="1:16" x14ac:dyDescent="0.2">
      <c r="P26" s="9"/>
    </row>
    <row r="27" spans="1:16" ht="24" customHeight="1" x14ac:dyDescent="0.2">
      <c r="A27" s="115" t="s">
        <v>93</v>
      </c>
      <c r="B27" s="120" t="s">
        <v>100</v>
      </c>
      <c r="C27" s="120"/>
      <c r="D27" s="120" t="s">
        <v>80</v>
      </c>
      <c r="E27" s="120"/>
      <c r="F27" s="117" t="s">
        <v>136</v>
      </c>
      <c r="G27" s="117"/>
      <c r="H27" s="120" t="s">
        <v>82</v>
      </c>
      <c r="I27" s="120"/>
      <c r="J27" s="120" t="s">
        <v>81</v>
      </c>
      <c r="K27" s="120"/>
      <c r="L27" s="120" t="s">
        <v>98</v>
      </c>
      <c r="M27" s="120"/>
      <c r="N27" s="116" t="s">
        <v>1</v>
      </c>
      <c r="O27" s="116"/>
      <c r="P27" s="128" t="s">
        <v>156</v>
      </c>
    </row>
    <row r="28" spans="1:16" x14ac:dyDescent="0.2">
      <c r="A28" s="57" t="s">
        <v>94</v>
      </c>
      <c r="B28" s="28">
        <v>44</v>
      </c>
      <c r="C28" s="29">
        <f>B28/B31</f>
        <v>0.12290502793296089</v>
      </c>
      <c r="D28" s="28">
        <v>4</v>
      </c>
      <c r="E28" s="29">
        <f>D28/D31</f>
        <v>0.26666666666666666</v>
      </c>
      <c r="F28" s="28">
        <v>17</v>
      </c>
      <c r="G28" s="29">
        <f>F28/F31</f>
        <v>0.12977099236641221</v>
      </c>
      <c r="H28" s="28">
        <v>41</v>
      </c>
      <c r="I28" s="29">
        <f>H28/H31</f>
        <v>7.4007220216606495E-2</v>
      </c>
      <c r="J28" s="28">
        <v>36</v>
      </c>
      <c r="K28" s="29">
        <f>J28/J31</f>
        <v>0.14229249011857709</v>
      </c>
      <c r="L28" s="28">
        <v>65</v>
      </c>
      <c r="M28" s="29">
        <f>L28/L31</f>
        <v>9.3930635838150284E-2</v>
      </c>
      <c r="N28" s="21">
        <f>B28+D28+F28+H28+J28+L28</f>
        <v>207</v>
      </c>
      <c r="O28" s="29">
        <f>N28/N31</f>
        <v>0.10334498252621069</v>
      </c>
      <c r="P28" s="129"/>
    </row>
    <row r="29" spans="1:16" s="11" customFormat="1" x14ac:dyDescent="0.2">
      <c r="A29" s="57" t="s">
        <v>95</v>
      </c>
      <c r="B29" s="28">
        <v>168</v>
      </c>
      <c r="C29" s="29">
        <f>B29/B31</f>
        <v>0.46927374301675978</v>
      </c>
      <c r="D29" s="28">
        <v>8</v>
      </c>
      <c r="E29" s="29">
        <f>D29/D31</f>
        <v>0.53333333333333333</v>
      </c>
      <c r="F29" s="28">
        <v>74</v>
      </c>
      <c r="G29" s="29">
        <f>F29/F31</f>
        <v>0.56488549618320616</v>
      </c>
      <c r="H29" s="28">
        <v>216</v>
      </c>
      <c r="I29" s="29">
        <f>H29/H31</f>
        <v>0.38989169675090252</v>
      </c>
      <c r="J29" s="28">
        <v>155</v>
      </c>
      <c r="K29" s="29">
        <f>J29/J31</f>
        <v>0.61264822134387353</v>
      </c>
      <c r="L29" s="28">
        <v>324</v>
      </c>
      <c r="M29" s="29">
        <f>L29/L31</f>
        <v>0.46820809248554912</v>
      </c>
      <c r="N29" s="21">
        <f>B29+D29+F29+H29+J29+L29</f>
        <v>945</v>
      </c>
      <c r="O29" s="29">
        <f>N29/N31</f>
        <v>0.47179231153270096</v>
      </c>
      <c r="P29" s="129"/>
    </row>
    <row r="30" spans="1:16" x14ac:dyDescent="0.2">
      <c r="A30" s="57" t="s">
        <v>96</v>
      </c>
      <c r="B30" s="28">
        <v>146</v>
      </c>
      <c r="C30" s="29">
        <f>B30/B31</f>
        <v>0.40782122905027934</v>
      </c>
      <c r="D30" s="28">
        <v>3</v>
      </c>
      <c r="E30" s="29">
        <f>D30/D31</f>
        <v>0.2</v>
      </c>
      <c r="F30" s="28">
        <v>40</v>
      </c>
      <c r="G30" s="29">
        <f>F30/F31</f>
        <v>0.30534351145038169</v>
      </c>
      <c r="H30" s="28">
        <v>297</v>
      </c>
      <c r="I30" s="29">
        <f>H30/H31</f>
        <v>0.53610108303249093</v>
      </c>
      <c r="J30" s="28">
        <v>62</v>
      </c>
      <c r="K30" s="29">
        <f>J30/J31</f>
        <v>0.24505928853754941</v>
      </c>
      <c r="L30" s="28">
        <v>303</v>
      </c>
      <c r="M30" s="29">
        <f>L30/L31</f>
        <v>0.43786127167630057</v>
      </c>
      <c r="N30" s="21">
        <f>B30+D30+F30+H30+J30+L30</f>
        <v>851</v>
      </c>
      <c r="O30" s="29">
        <f>N30/N31</f>
        <v>0.42486270594108838</v>
      </c>
      <c r="P30" s="129"/>
    </row>
    <row r="31" spans="1:16" customFormat="1" ht="24" customHeight="1" x14ac:dyDescent="0.2">
      <c r="A31" s="53" t="s">
        <v>1</v>
      </c>
      <c r="B31" s="22">
        <f t="shared" ref="B31:O31" si="3">SUM(B28:B30)</f>
        <v>358</v>
      </c>
      <c r="C31" s="31">
        <f t="shared" si="3"/>
        <v>1</v>
      </c>
      <c r="D31" s="22">
        <f t="shared" si="3"/>
        <v>15</v>
      </c>
      <c r="E31" s="31">
        <f t="shared" si="3"/>
        <v>1</v>
      </c>
      <c r="F31" s="22">
        <f t="shared" si="3"/>
        <v>131</v>
      </c>
      <c r="G31" s="31">
        <f t="shared" si="3"/>
        <v>1</v>
      </c>
      <c r="H31" s="22">
        <f t="shared" si="3"/>
        <v>554</v>
      </c>
      <c r="I31" s="31">
        <f t="shared" si="3"/>
        <v>1</v>
      </c>
      <c r="J31" s="22">
        <f t="shared" si="3"/>
        <v>253</v>
      </c>
      <c r="K31" s="31">
        <f t="shared" si="3"/>
        <v>1</v>
      </c>
      <c r="L31" s="22">
        <f t="shared" si="3"/>
        <v>692</v>
      </c>
      <c r="M31" s="31">
        <f t="shared" si="3"/>
        <v>1</v>
      </c>
      <c r="N31" s="22">
        <f t="shared" si="3"/>
        <v>2003</v>
      </c>
      <c r="O31" s="31">
        <f t="shared" si="3"/>
        <v>1</v>
      </c>
      <c r="P31" s="130"/>
    </row>
  </sheetData>
  <mergeCells count="32">
    <mergeCell ref="P3:P12"/>
    <mergeCell ref="P14:P19"/>
    <mergeCell ref="P27:P31"/>
    <mergeCell ref="P21:P25"/>
    <mergeCell ref="L21:M21"/>
    <mergeCell ref="N21:O21"/>
    <mergeCell ref="B27:C27"/>
    <mergeCell ref="D27:E27"/>
    <mergeCell ref="F27:G27"/>
    <mergeCell ref="H27:I27"/>
    <mergeCell ref="J27:K27"/>
    <mergeCell ref="L27:M27"/>
    <mergeCell ref="N27:O27"/>
    <mergeCell ref="B21:C21"/>
    <mergeCell ref="D21:E21"/>
    <mergeCell ref="F21:G21"/>
    <mergeCell ref="H21:I21"/>
    <mergeCell ref="J21:K21"/>
    <mergeCell ref="L3:M3"/>
    <mergeCell ref="N3:O3"/>
    <mergeCell ref="B14:C14"/>
    <mergeCell ref="D14:E14"/>
    <mergeCell ref="F14:G14"/>
    <mergeCell ref="H14:I14"/>
    <mergeCell ref="J14:K14"/>
    <mergeCell ref="L14:M14"/>
    <mergeCell ref="N14:O14"/>
    <mergeCell ref="B3:C3"/>
    <mergeCell ref="D3:E3"/>
    <mergeCell ref="F3:G3"/>
    <mergeCell ref="H3:I3"/>
    <mergeCell ref="J3:K3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zoomScaleNormal="100" workbookViewId="0">
      <selection activeCell="G564" sqref="G564"/>
    </sheetView>
  </sheetViews>
  <sheetFormatPr defaultRowHeight="12.75" x14ac:dyDescent="0.2"/>
  <cols>
    <col min="1" max="1" width="32" style="16" customWidth="1"/>
    <col min="2" max="2" width="6.5703125" style="24" bestFit="1" customWidth="1"/>
    <col min="3" max="3" width="7.140625" style="24" bestFit="1" customWidth="1"/>
    <col min="4" max="4" width="5.5703125" style="24" customWidth="1"/>
    <col min="5" max="5" width="7.28515625" style="24" bestFit="1" customWidth="1"/>
    <col min="6" max="6" width="4.7109375" style="24" bestFit="1" customWidth="1"/>
    <col min="7" max="7" width="5.42578125" style="24" bestFit="1" customWidth="1"/>
    <col min="8" max="8" width="5.42578125" style="60" bestFit="1" customWidth="1"/>
    <col min="9" max="11" width="5.42578125" style="24" bestFit="1" customWidth="1"/>
    <col min="12" max="13" width="6.7109375" style="24" customWidth="1"/>
    <col min="14" max="14" width="5.5703125" style="24" bestFit="1" customWidth="1"/>
    <col min="15" max="15" width="7.7109375" style="24" customWidth="1"/>
    <col min="16" max="16" width="12.140625" style="7" customWidth="1"/>
    <col min="17" max="17" width="8.5703125" style="7" customWidth="1"/>
    <col min="18" max="18" width="1.42578125" style="9" customWidth="1"/>
    <col min="19" max="16384" width="9.140625" style="9"/>
  </cols>
  <sheetData>
    <row r="1" spans="1:17" ht="15.75" x14ac:dyDescent="0.2">
      <c r="A1" s="85" t="s">
        <v>210</v>
      </c>
      <c r="Q1" s="9"/>
    </row>
    <row r="2" spans="1:17" x14ac:dyDescent="0.2">
      <c r="A2" s="15"/>
      <c r="B2" s="63"/>
      <c r="C2" s="62"/>
      <c r="D2" s="63"/>
      <c r="E2" s="62"/>
      <c r="F2" s="63"/>
      <c r="G2" s="62"/>
      <c r="H2" s="63"/>
      <c r="I2" s="62"/>
      <c r="J2" s="63"/>
      <c r="K2" s="62"/>
      <c r="L2" s="63"/>
      <c r="M2" s="62"/>
      <c r="N2" s="23"/>
      <c r="Q2" s="9"/>
    </row>
    <row r="3" spans="1:17" ht="24" customHeight="1" x14ac:dyDescent="0.2">
      <c r="A3" s="121" t="s">
        <v>16</v>
      </c>
      <c r="B3" s="122" t="s">
        <v>100</v>
      </c>
      <c r="C3" s="122"/>
      <c r="D3" s="122" t="s">
        <v>80</v>
      </c>
      <c r="E3" s="122"/>
      <c r="F3" s="123" t="s">
        <v>136</v>
      </c>
      <c r="G3" s="123"/>
      <c r="H3" s="122" t="s">
        <v>82</v>
      </c>
      <c r="I3" s="122"/>
      <c r="J3" s="122" t="s">
        <v>81</v>
      </c>
      <c r="K3" s="122"/>
      <c r="L3" s="122" t="s">
        <v>98</v>
      </c>
      <c r="M3" s="122"/>
      <c r="N3" s="116" t="s">
        <v>1</v>
      </c>
      <c r="O3" s="116"/>
      <c r="Q3" s="9"/>
    </row>
    <row r="4" spans="1:17" x14ac:dyDescent="0.2">
      <c r="A4" s="20" t="s">
        <v>133</v>
      </c>
      <c r="B4" s="28">
        <v>169</v>
      </c>
      <c r="C4" s="29">
        <f>B4/B8</f>
        <v>0.47206703910614523</v>
      </c>
      <c r="D4" s="28">
        <v>6</v>
      </c>
      <c r="E4" s="29">
        <f>D4/D8</f>
        <v>0.4</v>
      </c>
      <c r="F4" s="28">
        <v>49</v>
      </c>
      <c r="G4" s="29">
        <f>F4/F8</f>
        <v>0.37984496124031009</v>
      </c>
      <c r="H4" s="28">
        <v>252</v>
      </c>
      <c r="I4" s="29">
        <f>H4/H8</f>
        <v>0.46069469835466181</v>
      </c>
      <c r="J4" s="28">
        <v>101</v>
      </c>
      <c r="K4" s="29">
        <f>J4/J8</f>
        <v>0.39920948616600793</v>
      </c>
      <c r="L4" s="28">
        <v>300</v>
      </c>
      <c r="M4" s="29">
        <f>L4/L8</f>
        <v>0.4366812227074236</v>
      </c>
      <c r="N4" s="21">
        <f>B4+D4+F4+H4+J4+L4</f>
        <v>877</v>
      </c>
      <c r="O4" s="29">
        <f>N4/N8</f>
        <v>0.4409250879839115</v>
      </c>
      <c r="Q4" s="9"/>
    </row>
    <row r="5" spans="1:17" x14ac:dyDescent="0.2">
      <c r="A5" s="20" t="s">
        <v>19</v>
      </c>
      <c r="B5" s="28">
        <v>171</v>
      </c>
      <c r="C5" s="29">
        <f>B5/B8</f>
        <v>0.47765363128491622</v>
      </c>
      <c r="D5" s="28">
        <v>8</v>
      </c>
      <c r="E5" s="29">
        <f>D5/D8</f>
        <v>0.53333333333333333</v>
      </c>
      <c r="F5" s="28">
        <v>63</v>
      </c>
      <c r="G5" s="29">
        <f>F5/F8</f>
        <v>0.48837209302325579</v>
      </c>
      <c r="H5" s="28">
        <v>280</v>
      </c>
      <c r="I5" s="29">
        <f>H5/H8</f>
        <v>0.51188299817184646</v>
      </c>
      <c r="J5" s="28">
        <v>133</v>
      </c>
      <c r="K5" s="29">
        <f>J5/J8</f>
        <v>0.52569169960474305</v>
      </c>
      <c r="L5" s="28">
        <v>358</v>
      </c>
      <c r="M5" s="29">
        <f>L5/L8</f>
        <v>0.5211062590975255</v>
      </c>
      <c r="N5" s="21">
        <f>B5+D5+F5+H5+J5+L5</f>
        <v>1013</v>
      </c>
      <c r="O5" s="29">
        <f>N5/N8</f>
        <v>0.50930115635997986</v>
      </c>
      <c r="Q5" s="9"/>
    </row>
    <row r="6" spans="1:17" x14ac:dyDescent="0.2">
      <c r="A6" s="20" t="s">
        <v>18</v>
      </c>
      <c r="B6" s="28">
        <v>12</v>
      </c>
      <c r="C6" s="29">
        <f>B6/B8</f>
        <v>3.3519553072625698E-2</v>
      </c>
      <c r="D6" s="28">
        <v>1</v>
      </c>
      <c r="E6" s="29">
        <f>D6/D8</f>
        <v>6.6666666666666666E-2</v>
      </c>
      <c r="F6" s="28">
        <v>13</v>
      </c>
      <c r="G6" s="29">
        <f>F6/F8</f>
        <v>0.10077519379844961</v>
      </c>
      <c r="H6" s="28">
        <v>13</v>
      </c>
      <c r="I6" s="29">
        <f>H6/H8</f>
        <v>2.376599634369287E-2</v>
      </c>
      <c r="J6" s="28">
        <v>12</v>
      </c>
      <c r="K6" s="29">
        <f>J6/J8</f>
        <v>4.7430830039525688E-2</v>
      </c>
      <c r="L6" s="28">
        <v>22</v>
      </c>
      <c r="M6" s="29">
        <f>L6/L8</f>
        <v>3.2023289665211063E-2</v>
      </c>
      <c r="N6" s="21">
        <f>B6+D6+F6+H6+J6+L6</f>
        <v>73</v>
      </c>
      <c r="O6" s="29">
        <f>N6/N8</f>
        <v>3.6701860231271997E-2</v>
      </c>
      <c r="Q6" s="9"/>
    </row>
    <row r="7" spans="1:17" x14ac:dyDescent="0.2">
      <c r="A7" s="20" t="s">
        <v>134</v>
      </c>
      <c r="B7" s="28">
        <v>6</v>
      </c>
      <c r="C7" s="29">
        <f>B7/B8</f>
        <v>1.6759776536312849E-2</v>
      </c>
      <c r="D7" s="28"/>
      <c r="E7" s="29">
        <f>D7/D8</f>
        <v>0</v>
      </c>
      <c r="F7" s="28">
        <v>4</v>
      </c>
      <c r="G7" s="29">
        <f>F7/F8</f>
        <v>3.1007751937984496E-2</v>
      </c>
      <c r="H7" s="28">
        <v>2</v>
      </c>
      <c r="I7" s="29">
        <f>H7/H8</f>
        <v>3.6563071297989031E-3</v>
      </c>
      <c r="J7" s="28">
        <v>7</v>
      </c>
      <c r="K7" s="29">
        <f>J7/J8</f>
        <v>2.766798418972332E-2</v>
      </c>
      <c r="L7" s="28">
        <v>7</v>
      </c>
      <c r="M7" s="29">
        <f>L7/L8</f>
        <v>1.0189228529839884E-2</v>
      </c>
      <c r="N7" s="21">
        <f>B7+D7+F7+H7+J7+L7</f>
        <v>26</v>
      </c>
      <c r="O7" s="29">
        <f>N7/N8</f>
        <v>1.3071895424836602E-2</v>
      </c>
      <c r="Q7" s="9"/>
    </row>
    <row r="8" spans="1:17" s="11" customFormat="1" x14ac:dyDescent="0.2">
      <c r="A8" s="95" t="s">
        <v>1</v>
      </c>
      <c r="B8" s="19">
        <f t="shared" ref="B8:O8" si="0">SUM(B4:B7)</f>
        <v>358</v>
      </c>
      <c r="C8" s="31">
        <f t="shared" si="0"/>
        <v>1</v>
      </c>
      <c r="D8" s="19">
        <f t="shared" si="0"/>
        <v>15</v>
      </c>
      <c r="E8" s="31">
        <f t="shared" si="0"/>
        <v>1</v>
      </c>
      <c r="F8" s="19">
        <f t="shared" si="0"/>
        <v>129</v>
      </c>
      <c r="G8" s="31">
        <f t="shared" si="0"/>
        <v>1</v>
      </c>
      <c r="H8" s="19">
        <f t="shared" si="0"/>
        <v>547</v>
      </c>
      <c r="I8" s="31">
        <f t="shared" si="0"/>
        <v>1</v>
      </c>
      <c r="J8" s="19">
        <f t="shared" si="0"/>
        <v>253</v>
      </c>
      <c r="K8" s="31">
        <f t="shared" si="0"/>
        <v>0.99999999999999989</v>
      </c>
      <c r="L8" s="19">
        <f t="shared" si="0"/>
        <v>687</v>
      </c>
      <c r="M8" s="31">
        <f t="shared" si="0"/>
        <v>1</v>
      </c>
      <c r="N8" s="19">
        <f t="shared" si="0"/>
        <v>1989</v>
      </c>
      <c r="O8" s="31">
        <f t="shared" si="0"/>
        <v>0.99999999999999989</v>
      </c>
      <c r="P8" s="10"/>
    </row>
    <row r="9" spans="1:17" s="11" customFormat="1" x14ac:dyDescent="0.2">
      <c r="A9" s="95" t="s">
        <v>89</v>
      </c>
      <c r="B9" s="19"/>
      <c r="C9" s="54">
        <f>SUM(C4:C5)</f>
        <v>0.94972067039106145</v>
      </c>
      <c r="D9" s="19"/>
      <c r="E9" s="54">
        <f>SUM(E4:E5)</f>
        <v>0.93333333333333335</v>
      </c>
      <c r="F9" s="19"/>
      <c r="G9" s="54">
        <f>SUM(G4:G5)</f>
        <v>0.86821705426356588</v>
      </c>
      <c r="H9" s="19"/>
      <c r="I9" s="54">
        <f>SUM(I4:I5)</f>
        <v>0.97257769652650827</v>
      </c>
      <c r="J9" s="19"/>
      <c r="K9" s="54">
        <f>SUM(K4:K5)</f>
        <v>0.92490118577075098</v>
      </c>
      <c r="L9" s="19"/>
      <c r="M9" s="54">
        <f>SUM(M4:M5)</f>
        <v>0.9577874818049491</v>
      </c>
      <c r="N9" s="22"/>
      <c r="O9" s="54">
        <f>SUM(O4:O5)</f>
        <v>0.95022624434389136</v>
      </c>
      <c r="P9" s="10"/>
    </row>
    <row r="11" spans="1:17" s="11" customFormat="1" ht="25.5" customHeight="1" x14ac:dyDescent="0.2">
      <c r="A11" s="121" t="s">
        <v>127</v>
      </c>
      <c r="B11" s="122" t="s">
        <v>100</v>
      </c>
      <c r="C11" s="122"/>
      <c r="D11" s="122" t="s">
        <v>80</v>
      </c>
      <c r="E11" s="122"/>
      <c r="F11" s="123" t="s">
        <v>136</v>
      </c>
      <c r="G11" s="123"/>
      <c r="H11" s="122" t="s">
        <v>82</v>
      </c>
      <c r="I11" s="122"/>
      <c r="J11" s="122" t="s">
        <v>81</v>
      </c>
      <c r="K11" s="122"/>
      <c r="L11" s="122" t="s">
        <v>98</v>
      </c>
      <c r="M11" s="122"/>
      <c r="N11" s="116" t="s">
        <v>1</v>
      </c>
      <c r="O11" s="116"/>
      <c r="P11" s="10"/>
      <c r="Q11" s="10"/>
    </row>
    <row r="12" spans="1:17" ht="24" x14ac:dyDescent="0.2">
      <c r="A12" s="20" t="s">
        <v>128</v>
      </c>
      <c r="B12" s="28">
        <v>336</v>
      </c>
      <c r="C12" s="29">
        <v>0.93854748603351945</v>
      </c>
      <c r="D12" s="28">
        <v>12</v>
      </c>
      <c r="E12" s="29">
        <v>0.8</v>
      </c>
      <c r="F12" s="28">
        <v>113</v>
      </c>
      <c r="G12" s="29">
        <v>0.86259541984732824</v>
      </c>
      <c r="H12" s="28">
        <v>524</v>
      </c>
      <c r="I12" s="29">
        <v>0.94584837545126343</v>
      </c>
      <c r="J12" s="28">
        <v>229</v>
      </c>
      <c r="K12" s="29">
        <v>0.90513833992094861</v>
      </c>
      <c r="L12" s="28">
        <v>647</v>
      </c>
      <c r="M12" s="29">
        <v>0.93768115942028984</v>
      </c>
      <c r="N12" s="21">
        <f>B12+D12+F12+H12+J12+L12</f>
        <v>1861</v>
      </c>
      <c r="O12" s="76">
        <f>AVERAGE(C12,E12,G12,I12,K12,M12)</f>
        <v>0.89830179677889166</v>
      </c>
      <c r="P12" s="10"/>
      <c r="Q12" s="10"/>
    </row>
    <row r="13" spans="1:17" ht="24" x14ac:dyDescent="0.2">
      <c r="A13" s="20" t="s">
        <v>196</v>
      </c>
      <c r="B13" s="28">
        <v>321</v>
      </c>
      <c r="C13" s="29">
        <v>0.89415041782729821</v>
      </c>
      <c r="D13" s="28">
        <v>15</v>
      </c>
      <c r="E13" s="29">
        <v>1</v>
      </c>
      <c r="F13" s="28">
        <v>118</v>
      </c>
      <c r="G13" s="29">
        <v>0.9007633587786259</v>
      </c>
      <c r="H13" s="28">
        <v>508</v>
      </c>
      <c r="I13" s="29">
        <v>0.92531876138433522</v>
      </c>
      <c r="J13" s="28">
        <v>237</v>
      </c>
      <c r="K13" s="29">
        <v>0.94799999999999995</v>
      </c>
      <c r="L13" s="28">
        <v>627</v>
      </c>
      <c r="M13" s="29">
        <v>0.91399416909621001</v>
      </c>
      <c r="N13" s="21">
        <f t="shared" ref="N13:N14" si="1">B13+D13+F13+H13+J13+L13</f>
        <v>1826</v>
      </c>
      <c r="O13" s="76">
        <f t="shared" ref="O13:O14" si="2">AVERAGE(C13,E13,G13,I13,K13,M13)</f>
        <v>0.93037111784774496</v>
      </c>
      <c r="P13" s="10"/>
      <c r="Q13" s="10"/>
    </row>
    <row r="14" spans="1:17" ht="24" x14ac:dyDescent="0.2">
      <c r="A14" s="20" t="s">
        <v>197</v>
      </c>
      <c r="B14" s="28">
        <v>314</v>
      </c>
      <c r="C14" s="29">
        <v>0.89971346704871058</v>
      </c>
      <c r="D14" s="28">
        <v>14</v>
      </c>
      <c r="E14" s="29">
        <v>0.93333333333333324</v>
      </c>
      <c r="F14" s="28">
        <v>112</v>
      </c>
      <c r="G14" s="29">
        <v>0.86821705426356588</v>
      </c>
      <c r="H14" s="28">
        <v>498</v>
      </c>
      <c r="I14" s="29">
        <v>0.91544117647058831</v>
      </c>
      <c r="J14" s="28">
        <v>230</v>
      </c>
      <c r="K14" s="29">
        <v>0.92</v>
      </c>
      <c r="L14" s="28">
        <v>620</v>
      </c>
      <c r="M14" s="29">
        <v>0.91851851851851851</v>
      </c>
      <c r="N14" s="21">
        <f t="shared" si="1"/>
        <v>1788</v>
      </c>
      <c r="O14" s="76">
        <f t="shared" si="2"/>
        <v>0.90920392493911939</v>
      </c>
      <c r="P14" s="10"/>
      <c r="Q14" s="10"/>
    </row>
    <row r="15" spans="1:17" x14ac:dyDescent="0.2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10"/>
      <c r="Q15" s="10"/>
    </row>
    <row r="16" spans="1:17" ht="36" x14ac:dyDescent="0.2">
      <c r="A16" s="121" t="s">
        <v>88</v>
      </c>
      <c r="B16" s="122" t="s">
        <v>100</v>
      </c>
      <c r="C16" s="122"/>
      <c r="D16" s="122" t="s">
        <v>80</v>
      </c>
      <c r="E16" s="122"/>
      <c r="F16" s="123" t="s">
        <v>136</v>
      </c>
      <c r="G16" s="123"/>
      <c r="H16" s="122" t="s">
        <v>82</v>
      </c>
      <c r="I16" s="122"/>
      <c r="J16" s="122" t="s">
        <v>81</v>
      </c>
      <c r="K16" s="122"/>
      <c r="L16" s="122" t="s">
        <v>98</v>
      </c>
      <c r="M16" s="122"/>
      <c r="N16" s="116" t="s">
        <v>1</v>
      </c>
      <c r="O16" s="116"/>
      <c r="P16" s="10"/>
      <c r="Q16" s="10"/>
    </row>
    <row r="17" spans="1:17" ht="14.25" customHeight="1" x14ac:dyDescent="0.2">
      <c r="A17" s="20" t="s">
        <v>130</v>
      </c>
      <c r="B17" s="28">
        <v>17</v>
      </c>
      <c r="C17" s="29">
        <f>B17/B21</f>
        <v>4.7353760445682451E-2</v>
      </c>
      <c r="D17" s="28"/>
      <c r="E17" s="29">
        <f>D17/D21</f>
        <v>0</v>
      </c>
      <c r="F17" s="28">
        <v>9</v>
      </c>
      <c r="G17" s="29">
        <f>F17/F21</f>
        <v>6.9767441860465115E-2</v>
      </c>
      <c r="H17" s="28">
        <v>45</v>
      </c>
      <c r="I17" s="29">
        <f>H17/H21</f>
        <v>8.211678832116788E-2</v>
      </c>
      <c r="J17" s="28">
        <v>16</v>
      </c>
      <c r="K17" s="29">
        <f>J17/J21</f>
        <v>6.4257028112449793E-2</v>
      </c>
      <c r="L17" s="28">
        <v>50</v>
      </c>
      <c r="M17" s="29">
        <f>L17/L21</f>
        <v>7.320644216691069E-2</v>
      </c>
      <c r="N17" s="21">
        <f>B17+D17+F17+H17+J17+L17</f>
        <v>137</v>
      </c>
      <c r="O17" s="29">
        <f>N17/N21</f>
        <v>6.9087241553202214E-2</v>
      </c>
      <c r="P17" s="10"/>
      <c r="Q17" s="10"/>
    </row>
    <row r="18" spans="1:17" ht="14.25" customHeight="1" x14ac:dyDescent="0.2">
      <c r="A18" s="20" t="s">
        <v>129</v>
      </c>
      <c r="B18" s="28">
        <v>274</v>
      </c>
      <c r="C18" s="29">
        <f>B18/B21</f>
        <v>0.76323119777158777</v>
      </c>
      <c r="D18" s="28">
        <v>12</v>
      </c>
      <c r="E18" s="29">
        <f>D18/D21</f>
        <v>0.8</v>
      </c>
      <c r="F18" s="28">
        <v>69</v>
      </c>
      <c r="G18" s="29">
        <f>F18/F21</f>
        <v>0.53488372093023251</v>
      </c>
      <c r="H18" s="28">
        <v>373</v>
      </c>
      <c r="I18" s="29">
        <f>H18/H21</f>
        <v>0.68065693430656937</v>
      </c>
      <c r="J18" s="28">
        <v>158</v>
      </c>
      <c r="K18" s="29">
        <f>J18/J21</f>
        <v>0.63453815261044177</v>
      </c>
      <c r="L18" s="28">
        <v>484</v>
      </c>
      <c r="M18" s="29">
        <f>L18/L21</f>
        <v>0.70863836017569548</v>
      </c>
      <c r="N18" s="21">
        <f>B18+D18+F18+H18+J18+L18</f>
        <v>1370</v>
      </c>
      <c r="O18" s="29">
        <f>N18/N21</f>
        <v>0.69087241553202217</v>
      </c>
      <c r="P18" s="10"/>
      <c r="Q18" s="10"/>
    </row>
    <row r="19" spans="1:17" ht="14.25" customHeight="1" x14ac:dyDescent="0.2">
      <c r="A19" s="20" t="s">
        <v>131</v>
      </c>
      <c r="B19" s="28">
        <v>11</v>
      </c>
      <c r="C19" s="29">
        <f>B19/B21</f>
        <v>3.0640668523676879E-2</v>
      </c>
      <c r="D19" s="28"/>
      <c r="E19" s="29">
        <f>D19/D21</f>
        <v>0</v>
      </c>
      <c r="F19" s="28">
        <v>5</v>
      </c>
      <c r="G19" s="29">
        <f>F19/F21</f>
        <v>3.875968992248062E-2</v>
      </c>
      <c r="H19" s="28">
        <v>6</v>
      </c>
      <c r="I19" s="29">
        <f>H19/H21</f>
        <v>1.0948905109489052E-2</v>
      </c>
      <c r="J19" s="28">
        <v>2</v>
      </c>
      <c r="K19" s="29">
        <f>J19/J21</f>
        <v>8.0321285140562242E-3</v>
      </c>
      <c r="L19" s="28">
        <v>11</v>
      </c>
      <c r="M19" s="29">
        <f>L19/L21</f>
        <v>1.6105417276720352E-2</v>
      </c>
      <c r="N19" s="21">
        <f>B19+D19+F19+H19+J19+L19</f>
        <v>35</v>
      </c>
      <c r="O19" s="29">
        <f>N19/N21</f>
        <v>1.7650025214321734E-2</v>
      </c>
      <c r="P19" s="10"/>
      <c r="Q19" s="10"/>
    </row>
    <row r="20" spans="1:17" ht="14.25" customHeight="1" x14ac:dyDescent="0.2">
      <c r="A20" s="20" t="s">
        <v>132</v>
      </c>
      <c r="B20" s="28">
        <v>57</v>
      </c>
      <c r="C20" s="29">
        <f>B20/B21</f>
        <v>0.15877437325905291</v>
      </c>
      <c r="D20" s="28">
        <v>3</v>
      </c>
      <c r="E20" s="29">
        <f>D20/D21</f>
        <v>0.2</v>
      </c>
      <c r="F20" s="28">
        <v>46</v>
      </c>
      <c r="G20" s="29">
        <f>F20/F21</f>
        <v>0.35658914728682173</v>
      </c>
      <c r="H20" s="28">
        <v>124</v>
      </c>
      <c r="I20" s="29">
        <f>H20/H21</f>
        <v>0.22627737226277372</v>
      </c>
      <c r="J20" s="28">
        <v>73</v>
      </c>
      <c r="K20" s="29">
        <f>J20/J21</f>
        <v>0.29317269076305219</v>
      </c>
      <c r="L20" s="28">
        <v>138</v>
      </c>
      <c r="M20" s="29">
        <f>L20/L21</f>
        <v>0.2020497803806735</v>
      </c>
      <c r="N20" s="21">
        <f>B20+D20+F20+H20+J20+L20</f>
        <v>441</v>
      </c>
      <c r="O20" s="29">
        <f>N20/N21</f>
        <v>0.22239031770045387</v>
      </c>
      <c r="P20" s="10"/>
      <c r="Q20" s="10"/>
    </row>
    <row r="21" spans="1:17" ht="14.25" customHeight="1" x14ac:dyDescent="0.2">
      <c r="A21" s="20"/>
      <c r="B21" s="22">
        <f t="shared" ref="B21:O21" si="3">SUM(B17:B20)</f>
        <v>359</v>
      </c>
      <c r="C21" s="31">
        <f t="shared" si="3"/>
        <v>1</v>
      </c>
      <c r="D21" s="22">
        <f t="shared" si="3"/>
        <v>15</v>
      </c>
      <c r="E21" s="31">
        <f t="shared" si="3"/>
        <v>1</v>
      </c>
      <c r="F21" s="22">
        <f t="shared" si="3"/>
        <v>129</v>
      </c>
      <c r="G21" s="31">
        <f t="shared" si="3"/>
        <v>1</v>
      </c>
      <c r="H21" s="22">
        <f t="shared" si="3"/>
        <v>548</v>
      </c>
      <c r="I21" s="31">
        <f t="shared" si="3"/>
        <v>1</v>
      </c>
      <c r="J21" s="22">
        <f t="shared" si="3"/>
        <v>249</v>
      </c>
      <c r="K21" s="31">
        <f t="shared" si="3"/>
        <v>1</v>
      </c>
      <c r="L21" s="22">
        <f t="shared" si="3"/>
        <v>683</v>
      </c>
      <c r="M21" s="31">
        <f t="shared" si="3"/>
        <v>1</v>
      </c>
      <c r="N21" s="22">
        <f t="shared" si="3"/>
        <v>1983</v>
      </c>
      <c r="O21" s="31">
        <f t="shared" si="3"/>
        <v>1</v>
      </c>
      <c r="P21" s="10"/>
      <c r="Q21" s="10"/>
    </row>
    <row r="22" spans="1:17" x14ac:dyDescent="0.2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10"/>
      <c r="Q22" s="10"/>
    </row>
    <row r="23" spans="1:17" ht="24" customHeight="1" x14ac:dyDescent="0.2">
      <c r="A23" s="121" t="s">
        <v>170</v>
      </c>
      <c r="B23" s="122" t="s">
        <v>100</v>
      </c>
      <c r="C23" s="122"/>
      <c r="D23" s="122" t="s">
        <v>80</v>
      </c>
      <c r="E23" s="122"/>
      <c r="F23" s="123" t="s">
        <v>136</v>
      </c>
      <c r="G23" s="123"/>
      <c r="H23" s="122" t="s">
        <v>82</v>
      </c>
      <c r="I23" s="122"/>
      <c r="J23" s="122" t="s">
        <v>81</v>
      </c>
      <c r="K23" s="122"/>
      <c r="L23" s="122" t="s">
        <v>98</v>
      </c>
      <c r="M23" s="122"/>
      <c r="N23" s="116" t="s">
        <v>1</v>
      </c>
      <c r="O23" s="116"/>
      <c r="P23" s="10"/>
      <c r="Q23" s="10"/>
    </row>
    <row r="24" spans="1:17" x14ac:dyDescent="0.2">
      <c r="A24" s="20" t="s">
        <v>130</v>
      </c>
      <c r="B24" s="28">
        <v>29</v>
      </c>
      <c r="C24" s="29">
        <f>B24/B28</f>
        <v>8.1232492997198882E-2</v>
      </c>
      <c r="D24" s="28">
        <v>1</v>
      </c>
      <c r="E24" s="29">
        <f>D24/D28</f>
        <v>6.6666666666666666E-2</v>
      </c>
      <c r="F24" s="28">
        <v>11</v>
      </c>
      <c r="G24" s="29">
        <f>F24/F28</f>
        <v>8.5271317829457363E-2</v>
      </c>
      <c r="H24" s="28">
        <v>44</v>
      </c>
      <c r="I24" s="29">
        <f>H24/H28</f>
        <v>8.1180811808118078E-2</v>
      </c>
      <c r="J24" s="28">
        <v>15</v>
      </c>
      <c r="K24" s="29">
        <f>J24/J28</f>
        <v>6.0728744939271252E-2</v>
      </c>
      <c r="L24" s="28">
        <v>48</v>
      </c>
      <c r="M24" s="29">
        <f>L24/L28</f>
        <v>7.0484581497797363E-2</v>
      </c>
      <c r="N24" s="21">
        <f>B24+D24+F24+H24+J24+L24</f>
        <v>148</v>
      </c>
      <c r="O24" s="29">
        <f>N24/N28</f>
        <v>7.5088787417554537E-2</v>
      </c>
      <c r="P24" s="10"/>
      <c r="Q24" s="10"/>
    </row>
    <row r="25" spans="1:17" x14ac:dyDescent="0.2">
      <c r="A25" s="20" t="s">
        <v>129</v>
      </c>
      <c r="B25" s="28">
        <v>188</v>
      </c>
      <c r="C25" s="29">
        <f>B25/B28</f>
        <v>0.5266106442577031</v>
      </c>
      <c r="D25" s="28">
        <v>7</v>
      </c>
      <c r="E25" s="29">
        <f>D25/D28</f>
        <v>0.46666666666666667</v>
      </c>
      <c r="F25" s="28">
        <v>38</v>
      </c>
      <c r="G25" s="29">
        <f>F25/F28</f>
        <v>0.29457364341085274</v>
      </c>
      <c r="H25" s="28">
        <v>268</v>
      </c>
      <c r="I25" s="29">
        <f>H25/H28</f>
        <v>0.49446494464944651</v>
      </c>
      <c r="J25" s="28">
        <v>109</v>
      </c>
      <c r="K25" s="29">
        <f>J25/J28</f>
        <v>0.44129554655870445</v>
      </c>
      <c r="L25" s="28">
        <v>331</v>
      </c>
      <c r="M25" s="29">
        <f>L25/L28</f>
        <v>0.48604992657856094</v>
      </c>
      <c r="N25" s="21">
        <f>B25+D25+F25+H25+J25+L25</f>
        <v>941</v>
      </c>
      <c r="O25" s="29">
        <f>N25/N28</f>
        <v>0.47742262810755959</v>
      </c>
      <c r="P25" s="10"/>
      <c r="Q25" s="10"/>
    </row>
    <row r="26" spans="1:17" x14ac:dyDescent="0.2">
      <c r="A26" s="20" t="s">
        <v>131</v>
      </c>
      <c r="B26" s="28">
        <v>12</v>
      </c>
      <c r="C26" s="29">
        <f>B26/B28</f>
        <v>3.3613445378151259E-2</v>
      </c>
      <c r="D26" s="28"/>
      <c r="E26" s="29">
        <f>D26/D28</f>
        <v>0</v>
      </c>
      <c r="F26" s="28">
        <v>2</v>
      </c>
      <c r="G26" s="29">
        <f>F26/F28</f>
        <v>1.5503875968992248E-2</v>
      </c>
      <c r="H26" s="28">
        <v>12</v>
      </c>
      <c r="I26" s="29">
        <f>H26/H28</f>
        <v>2.2140221402214021E-2</v>
      </c>
      <c r="J26" s="28"/>
      <c r="K26" s="29">
        <f>J26/J28</f>
        <v>0</v>
      </c>
      <c r="L26" s="28">
        <v>10</v>
      </c>
      <c r="M26" s="29">
        <f>L26/L28</f>
        <v>1.4684287812041116E-2</v>
      </c>
      <c r="N26" s="21">
        <f>B26+D26+F26+H26+J26+L26</f>
        <v>36</v>
      </c>
      <c r="O26" s="29">
        <f>N26/N28</f>
        <v>1.8264840182648401E-2</v>
      </c>
      <c r="P26" s="10"/>
      <c r="Q26" s="10"/>
    </row>
    <row r="27" spans="1:17" x14ac:dyDescent="0.2">
      <c r="A27" s="20" t="s">
        <v>132</v>
      </c>
      <c r="B27" s="28">
        <v>128</v>
      </c>
      <c r="C27" s="29">
        <f>B27/B28</f>
        <v>0.35854341736694678</v>
      </c>
      <c r="D27" s="28">
        <v>7</v>
      </c>
      <c r="E27" s="29">
        <f>D27/D28</f>
        <v>0.46666666666666667</v>
      </c>
      <c r="F27" s="28">
        <v>78</v>
      </c>
      <c r="G27" s="29">
        <f>F27/F28</f>
        <v>0.60465116279069764</v>
      </c>
      <c r="H27" s="28">
        <v>218</v>
      </c>
      <c r="I27" s="29">
        <f>H27/H28</f>
        <v>0.40221402214022139</v>
      </c>
      <c r="J27" s="28">
        <v>123</v>
      </c>
      <c r="K27" s="29">
        <f>J27/J28</f>
        <v>0.49797570850202427</v>
      </c>
      <c r="L27" s="28">
        <v>292</v>
      </c>
      <c r="M27" s="29">
        <f>L27/L28</f>
        <v>0.42878120411160059</v>
      </c>
      <c r="N27" s="21">
        <f>B27+D27+F27+H27+J27+L27</f>
        <v>846</v>
      </c>
      <c r="O27" s="29">
        <f>N27/N28</f>
        <v>0.42922374429223742</v>
      </c>
      <c r="P27" s="10"/>
      <c r="Q27" s="10"/>
    </row>
    <row r="28" spans="1:17" x14ac:dyDescent="0.2">
      <c r="A28" s="20"/>
      <c r="B28" s="22">
        <f t="shared" ref="B28:O28" si="4">SUM(B24:B27)</f>
        <v>357</v>
      </c>
      <c r="C28" s="31">
        <f t="shared" si="4"/>
        <v>1</v>
      </c>
      <c r="D28" s="22">
        <f t="shared" si="4"/>
        <v>15</v>
      </c>
      <c r="E28" s="31">
        <f t="shared" si="4"/>
        <v>1</v>
      </c>
      <c r="F28" s="22">
        <f t="shared" si="4"/>
        <v>129</v>
      </c>
      <c r="G28" s="31">
        <f t="shared" si="4"/>
        <v>1</v>
      </c>
      <c r="H28" s="22">
        <f t="shared" si="4"/>
        <v>542</v>
      </c>
      <c r="I28" s="31">
        <f t="shared" si="4"/>
        <v>1</v>
      </c>
      <c r="J28" s="22">
        <f t="shared" si="4"/>
        <v>247</v>
      </c>
      <c r="K28" s="31">
        <f t="shared" si="4"/>
        <v>1</v>
      </c>
      <c r="L28" s="22">
        <f t="shared" si="4"/>
        <v>681</v>
      </c>
      <c r="M28" s="31">
        <f t="shared" si="4"/>
        <v>1</v>
      </c>
      <c r="N28" s="22">
        <f t="shared" si="4"/>
        <v>1971</v>
      </c>
      <c r="O28" s="31">
        <f t="shared" si="4"/>
        <v>0.99999999999999989</v>
      </c>
      <c r="P28" s="10"/>
      <c r="Q28" s="10"/>
    </row>
    <row r="29" spans="1:17" x14ac:dyDescent="0.2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10"/>
      <c r="Q29" s="10"/>
    </row>
    <row r="30" spans="1:17" ht="22.5" customHeight="1" x14ac:dyDescent="0.2">
      <c r="A30" s="121" t="s">
        <v>26</v>
      </c>
      <c r="B30" s="122" t="s">
        <v>100</v>
      </c>
      <c r="C30" s="122"/>
      <c r="D30" s="122" t="s">
        <v>80</v>
      </c>
      <c r="E30" s="122"/>
      <c r="F30" s="123" t="s">
        <v>136</v>
      </c>
      <c r="G30" s="123"/>
      <c r="H30" s="122" t="s">
        <v>82</v>
      </c>
      <c r="I30" s="122"/>
      <c r="J30" s="122" t="s">
        <v>81</v>
      </c>
      <c r="K30" s="122"/>
      <c r="L30" s="122" t="s">
        <v>98</v>
      </c>
      <c r="M30" s="122"/>
      <c r="N30" s="116" t="s">
        <v>1</v>
      </c>
      <c r="O30" s="116"/>
      <c r="P30" s="106" t="s">
        <v>103</v>
      </c>
      <c r="Q30" s="107"/>
    </row>
    <row r="31" spans="1:17" x14ac:dyDescent="0.2">
      <c r="A31" s="20" t="s">
        <v>171</v>
      </c>
      <c r="B31" s="28">
        <v>259</v>
      </c>
      <c r="C31" s="29">
        <f>B31/B35</f>
        <v>0.40723270440251574</v>
      </c>
      <c r="D31" s="28">
        <v>9</v>
      </c>
      <c r="E31" s="29">
        <f>D31/D35</f>
        <v>0.32142857142857145</v>
      </c>
      <c r="F31" s="28">
        <v>52</v>
      </c>
      <c r="G31" s="29">
        <f>F31/F35</f>
        <v>0.22127659574468084</v>
      </c>
      <c r="H31" s="28">
        <v>371</v>
      </c>
      <c r="I31" s="29">
        <f>H31/H35</f>
        <v>0.40282301845819762</v>
      </c>
      <c r="J31" s="28">
        <v>105</v>
      </c>
      <c r="K31" s="29">
        <f>J31/J35</f>
        <v>0.2328159645232816</v>
      </c>
      <c r="L31" s="28">
        <v>443</v>
      </c>
      <c r="M31" s="29">
        <f>L31/L35</f>
        <v>0.38156761412575368</v>
      </c>
      <c r="N31" s="21">
        <f>B31+D31+F31+H31+J31+L31</f>
        <v>1239</v>
      </c>
      <c r="O31" s="29">
        <f>N31/N35</f>
        <v>0.36101398601398599</v>
      </c>
      <c r="P31" s="108"/>
      <c r="Q31" s="109"/>
    </row>
    <row r="32" spans="1:17" x14ac:dyDescent="0.2">
      <c r="A32" s="20" t="s">
        <v>172</v>
      </c>
      <c r="B32" s="28">
        <v>224</v>
      </c>
      <c r="C32" s="29">
        <f>B32/B35</f>
        <v>0.3522012578616352</v>
      </c>
      <c r="D32" s="28">
        <v>11</v>
      </c>
      <c r="E32" s="29">
        <f>D32/D35</f>
        <v>0.39285714285714285</v>
      </c>
      <c r="F32" s="28">
        <v>53</v>
      </c>
      <c r="G32" s="29">
        <f>F32/F35</f>
        <v>0.22553191489361701</v>
      </c>
      <c r="H32" s="28">
        <v>333</v>
      </c>
      <c r="I32" s="29">
        <f>H32/H35</f>
        <v>0.36156351791530944</v>
      </c>
      <c r="J32" s="28">
        <v>103</v>
      </c>
      <c r="K32" s="29">
        <f>J32/J35</f>
        <v>0.22838137472283815</v>
      </c>
      <c r="L32" s="28">
        <v>399</v>
      </c>
      <c r="M32" s="29">
        <f>L32/L35</f>
        <v>0.34366925064599485</v>
      </c>
      <c r="N32" s="21">
        <f t="shared" ref="N32:N34" si="5">B32+D32+F32+H32+J32+L32</f>
        <v>1123</v>
      </c>
      <c r="O32" s="29">
        <f>N32/N35</f>
        <v>0.32721445221445222</v>
      </c>
      <c r="P32" s="108"/>
      <c r="Q32" s="109"/>
    </row>
    <row r="33" spans="1:17" x14ac:dyDescent="0.2">
      <c r="A33" s="20" t="s">
        <v>173</v>
      </c>
      <c r="B33" s="28">
        <v>114</v>
      </c>
      <c r="C33" s="29">
        <f>B33/B35</f>
        <v>0.17924528301886791</v>
      </c>
      <c r="D33" s="28">
        <v>7</v>
      </c>
      <c r="E33" s="29">
        <f>D33/D35</f>
        <v>0.25</v>
      </c>
      <c r="F33" s="28">
        <v>84</v>
      </c>
      <c r="G33" s="29">
        <f>F33/F35</f>
        <v>0.35744680851063831</v>
      </c>
      <c r="H33" s="28">
        <v>174</v>
      </c>
      <c r="I33" s="29">
        <f>H33/H35</f>
        <v>0.18892508143322476</v>
      </c>
      <c r="J33" s="28">
        <v>159</v>
      </c>
      <c r="K33" s="29">
        <f>J33/J35</f>
        <v>0.35254988913525498</v>
      </c>
      <c r="L33" s="28">
        <v>259</v>
      </c>
      <c r="M33" s="29">
        <f>L33/L35</f>
        <v>0.22308354866494401</v>
      </c>
      <c r="N33" s="21">
        <f t="shared" si="5"/>
        <v>797</v>
      </c>
      <c r="O33" s="29">
        <f>N33/N35</f>
        <v>0.23222610722610723</v>
      </c>
      <c r="P33" s="108"/>
      <c r="Q33" s="109"/>
    </row>
    <row r="34" spans="1:17" x14ac:dyDescent="0.2">
      <c r="A34" s="20" t="s">
        <v>174</v>
      </c>
      <c r="B34" s="28">
        <v>39</v>
      </c>
      <c r="C34" s="29">
        <f>B34/B35</f>
        <v>6.1320754716981132E-2</v>
      </c>
      <c r="D34" s="28">
        <v>1</v>
      </c>
      <c r="E34" s="29">
        <f>D34/D35</f>
        <v>3.5714285714285712E-2</v>
      </c>
      <c r="F34" s="28">
        <v>46</v>
      </c>
      <c r="G34" s="29">
        <f>F34/F35</f>
        <v>0.19574468085106383</v>
      </c>
      <c r="H34" s="28">
        <v>43</v>
      </c>
      <c r="I34" s="29">
        <f>H34/H35</f>
        <v>4.6688382193268187E-2</v>
      </c>
      <c r="J34" s="28">
        <v>84</v>
      </c>
      <c r="K34" s="29">
        <f>J34/J35</f>
        <v>0.18625277161862527</v>
      </c>
      <c r="L34" s="28">
        <v>60</v>
      </c>
      <c r="M34" s="29">
        <f>L34/L35</f>
        <v>5.1679586563307491E-2</v>
      </c>
      <c r="N34" s="21">
        <f t="shared" si="5"/>
        <v>273</v>
      </c>
      <c r="O34" s="29">
        <f>N34/N35</f>
        <v>7.9545454545454544E-2</v>
      </c>
      <c r="P34" s="108"/>
      <c r="Q34" s="109"/>
    </row>
    <row r="35" spans="1:17" x14ac:dyDescent="0.2">
      <c r="A35" s="95" t="s">
        <v>198</v>
      </c>
      <c r="B35" s="22">
        <f t="shared" ref="B35:O35" si="6">SUM(B31:B34)</f>
        <v>636</v>
      </c>
      <c r="C35" s="31">
        <f t="shared" si="6"/>
        <v>1</v>
      </c>
      <c r="D35" s="22">
        <f t="shared" si="6"/>
        <v>28</v>
      </c>
      <c r="E35" s="31">
        <f t="shared" si="6"/>
        <v>1</v>
      </c>
      <c r="F35" s="22">
        <f t="shared" si="6"/>
        <v>235</v>
      </c>
      <c r="G35" s="31">
        <f t="shared" si="6"/>
        <v>1</v>
      </c>
      <c r="H35" s="22">
        <f t="shared" si="6"/>
        <v>921</v>
      </c>
      <c r="I35" s="31">
        <f t="shared" si="6"/>
        <v>1</v>
      </c>
      <c r="J35" s="22">
        <f t="shared" si="6"/>
        <v>451</v>
      </c>
      <c r="K35" s="31">
        <f t="shared" si="6"/>
        <v>1</v>
      </c>
      <c r="L35" s="22">
        <f t="shared" si="6"/>
        <v>1161</v>
      </c>
      <c r="M35" s="31">
        <f t="shared" si="6"/>
        <v>1</v>
      </c>
      <c r="N35" s="22">
        <f t="shared" si="6"/>
        <v>3432</v>
      </c>
      <c r="O35" s="31">
        <f t="shared" si="6"/>
        <v>1</v>
      </c>
      <c r="P35" s="110"/>
      <c r="Q35" s="111"/>
    </row>
    <row r="36" spans="1:17" x14ac:dyDescent="0.2">
      <c r="A36" s="15"/>
      <c r="B36" s="1"/>
      <c r="C36" s="2"/>
      <c r="D36" s="1"/>
      <c r="E36" s="2"/>
      <c r="F36" s="1"/>
      <c r="G36" s="2"/>
      <c r="H36" s="1"/>
      <c r="I36" s="2"/>
      <c r="J36" s="1"/>
      <c r="K36" s="2"/>
      <c r="L36" s="1"/>
      <c r="M36" s="2"/>
      <c r="N36" s="50"/>
      <c r="O36" s="36"/>
    </row>
    <row r="54" spans="1:17" x14ac:dyDescent="0.2">
      <c r="A54" s="38"/>
      <c r="B54" s="3"/>
      <c r="C54" s="3"/>
      <c r="D54" s="3"/>
      <c r="E54" s="36"/>
      <c r="F54" s="36"/>
      <c r="G54" s="39"/>
      <c r="H54" s="36"/>
      <c r="I54" s="36"/>
      <c r="J54" s="36"/>
      <c r="K54" s="36"/>
      <c r="L54" s="36"/>
      <c r="M54" s="36"/>
      <c r="N54" s="36"/>
      <c r="O54" s="36"/>
    </row>
    <row r="62" spans="1:17" x14ac:dyDescent="0.2">
      <c r="P62" s="9"/>
      <c r="Q62" s="9"/>
    </row>
    <row r="63" spans="1:17" x14ac:dyDescent="0.2">
      <c r="P63" s="9"/>
      <c r="Q63" s="9"/>
    </row>
    <row r="64" spans="1:17" x14ac:dyDescent="0.2">
      <c r="P64" s="9"/>
      <c r="Q64" s="9"/>
    </row>
    <row r="65" spans="16:17" x14ac:dyDescent="0.2">
      <c r="P65" s="9"/>
      <c r="Q65" s="9"/>
    </row>
    <row r="66" spans="16:17" x14ac:dyDescent="0.2">
      <c r="P66" s="9"/>
      <c r="Q66" s="9"/>
    </row>
  </sheetData>
  <mergeCells count="36">
    <mergeCell ref="L3:M3"/>
    <mergeCell ref="N3:O3"/>
    <mergeCell ref="P30:Q35"/>
    <mergeCell ref="B3:C3"/>
    <mergeCell ref="D3:E3"/>
    <mergeCell ref="F3:G3"/>
    <mergeCell ref="H3:I3"/>
    <mergeCell ref="J3:K3"/>
    <mergeCell ref="L23:M23"/>
    <mergeCell ref="N23:O23"/>
    <mergeCell ref="B30:C30"/>
    <mergeCell ref="D30:E30"/>
    <mergeCell ref="F30:G30"/>
    <mergeCell ref="H30:I30"/>
    <mergeCell ref="J30:K30"/>
    <mergeCell ref="L30:M30"/>
    <mergeCell ref="N30:O30"/>
    <mergeCell ref="B23:C23"/>
    <mergeCell ref="D23:E23"/>
    <mergeCell ref="F23:G23"/>
    <mergeCell ref="H23:I23"/>
    <mergeCell ref="J23:K23"/>
    <mergeCell ref="L11:M11"/>
    <mergeCell ref="N11:O11"/>
    <mergeCell ref="B16:C16"/>
    <mergeCell ref="D16:E16"/>
    <mergeCell ref="F16:G16"/>
    <mergeCell ref="H16:I16"/>
    <mergeCell ref="J16:K16"/>
    <mergeCell ref="L16:M16"/>
    <mergeCell ref="N16:O16"/>
    <mergeCell ref="B11:C11"/>
    <mergeCell ref="D11:E11"/>
    <mergeCell ref="F11:G11"/>
    <mergeCell ref="H11:I11"/>
    <mergeCell ref="J11:K11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rowBreaks count="1" manualBreakCount="1">
    <brk id="2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zoomScaleNormal="100" workbookViewId="0">
      <selection activeCell="R29" sqref="R29"/>
    </sheetView>
  </sheetViews>
  <sheetFormatPr defaultRowHeight="12.75" x14ac:dyDescent="0.2"/>
  <cols>
    <col min="1" max="1" width="31.85546875" style="16" customWidth="1"/>
    <col min="2" max="7" width="7" style="7" customWidth="1"/>
    <col min="8" max="8" width="7" style="8" customWidth="1"/>
    <col min="9" max="15" width="7" style="7" customWidth="1"/>
    <col min="16" max="16" width="2.28515625" style="7" customWidth="1"/>
    <col min="17" max="17" width="38" style="9" bestFit="1" customWidth="1"/>
    <col min="18" max="16384" width="9.140625" style="9"/>
  </cols>
  <sheetData>
    <row r="1" spans="1:24" ht="15.75" x14ac:dyDescent="0.2">
      <c r="A1" s="85" t="s">
        <v>211</v>
      </c>
      <c r="P1" s="9"/>
    </row>
    <row r="2" spans="1:24" x14ac:dyDescent="0.2">
      <c r="A2" s="64" t="s">
        <v>157</v>
      </c>
      <c r="P2" s="9"/>
    </row>
    <row r="3" spans="1:24" x14ac:dyDescent="0.2">
      <c r="A3" s="64" t="s">
        <v>0</v>
      </c>
      <c r="G3" s="8"/>
      <c r="H3" s="13" t="s">
        <v>0</v>
      </c>
      <c r="Q3" s="64" t="s">
        <v>212</v>
      </c>
    </row>
    <row r="4" spans="1:24" ht="12.75" customHeight="1" x14ac:dyDescent="0.2">
      <c r="A4" s="121" t="s">
        <v>32</v>
      </c>
      <c r="B4" s="122" t="s">
        <v>100</v>
      </c>
      <c r="C4" s="122"/>
      <c r="D4" s="122" t="s">
        <v>80</v>
      </c>
      <c r="E4" s="122"/>
      <c r="F4" s="123" t="s">
        <v>136</v>
      </c>
      <c r="G4" s="123"/>
      <c r="H4" s="122" t="s">
        <v>82</v>
      </c>
      <c r="I4" s="122"/>
      <c r="J4" s="122" t="s">
        <v>81</v>
      </c>
      <c r="K4" s="122"/>
      <c r="L4" s="122" t="s">
        <v>98</v>
      </c>
      <c r="M4" s="122"/>
      <c r="N4" s="116" t="s">
        <v>1</v>
      </c>
      <c r="O4" s="116"/>
      <c r="Q4" s="131" t="s">
        <v>44</v>
      </c>
      <c r="R4" s="132" t="s">
        <v>227</v>
      </c>
      <c r="S4" s="132" t="s">
        <v>80</v>
      </c>
      <c r="T4" s="133" t="s">
        <v>105</v>
      </c>
      <c r="U4" s="132" t="s">
        <v>82</v>
      </c>
      <c r="V4" s="132" t="s">
        <v>101</v>
      </c>
      <c r="W4" s="132" t="s">
        <v>98</v>
      </c>
      <c r="X4" s="134" t="s">
        <v>1</v>
      </c>
    </row>
    <row r="5" spans="1:24" x14ac:dyDescent="0.2">
      <c r="A5" s="20" t="s">
        <v>20</v>
      </c>
      <c r="B5" s="28">
        <v>176</v>
      </c>
      <c r="C5" s="29">
        <f>B5/B9</f>
        <v>0.5</v>
      </c>
      <c r="D5" s="28">
        <v>7</v>
      </c>
      <c r="E5" s="29">
        <f>D5/D9</f>
        <v>0.46666666666666667</v>
      </c>
      <c r="F5" s="28">
        <v>50</v>
      </c>
      <c r="G5" s="29">
        <f>F5/F9</f>
        <v>0.3968253968253968</v>
      </c>
      <c r="H5" s="28">
        <v>269</v>
      </c>
      <c r="I5" s="29">
        <f>H5/H9</f>
        <v>0.49722735674676527</v>
      </c>
      <c r="J5" s="28">
        <v>103</v>
      </c>
      <c r="K5" s="29">
        <f>J5/J9</f>
        <v>0.42040816326530611</v>
      </c>
      <c r="L5" s="28">
        <v>332</v>
      </c>
      <c r="M5" s="29">
        <f>L5/L9</f>
        <v>0.49185185185185187</v>
      </c>
      <c r="N5" s="21">
        <f>B5+D5+F5+H5+J5+L5</f>
        <v>937</v>
      </c>
      <c r="O5" s="29">
        <f>N5/N9</f>
        <v>0.47952917093142272</v>
      </c>
      <c r="Q5" s="67" t="s">
        <v>32</v>
      </c>
      <c r="R5" s="68">
        <f>C10</f>
        <v>0.94886363636363635</v>
      </c>
      <c r="S5" s="135">
        <f>E10</f>
        <v>0.8666666666666667</v>
      </c>
      <c r="T5" s="68">
        <f>G10</f>
        <v>0.89682539682539675</v>
      </c>
      <c r="U5" s="68">
        <f>I10</f>
        <v>0.97966728280961179</v>
      </c>
      <c r="V5" s="68">
        <f>K10</f>
        <v>0.93877551020408156</v>
      </c>
      <c r="W5" s="68">
        <f>M10</f>
        <v>0.96740740740740749</v>
      </c>
      <c r="X5" s="68">
        <f>O10</f>
        <v>0.95854657113613095</v>
      </c>
    </row>
    <row r="6" spans="1:24" ht="12.75" customHeight="1" x14ac:dyDescent="0.2">
      <c r="A6" s="20" t="s">
        <v>19</v>
      </c>
      <c r="B6" s="28">
        <v>158</v>
      </c>
      <c r="C6" s="29">
        <f>B6/B9</f>
        <v>0.44886363636363635</v>
      </c>
      <c r="D6" s="28">
        <v>6</v>
      </c>
      <c r="E6" s="29">
        <f>D6/D9</f>
        <v>0.4</v>
      </c>
      <c r="F6" s="28">
        <v>63</v>
      </c>
      <c r="G6" s="29">
        <f>F6/F9</f>
        <v>0.5</v>
      </c>
      <c r="H6" s="28">
        <v>261</v>
      </c>
      <c r="I6" s="29">
        <f>H6/H9</f>
        <v>0.48243992606284658</v>
      </c>
      <c r="J6" s="28">
        <v>127</v>
      </c>
      <c r="K6" s="29">
        <f>J6/J9</f>
        <v>0.51836734693877551</v>
      </c>
      <c r="L6" s="28">
        <v>321</v>
      </c>
      <c r="M6" s="29">
        <f>L6/L9</f>
        <v>0.47555555555555556</v>
      </c>
      <c r="N6" s="21">
        <f>B6+D6+F6+H6+J6+L6</f>
        <v>936</v>
      </c>
      <c r="O6" s="29">
        <f>N6/N9</f>
        <v>0.47901740020470829</v>
      </c>
      <c r="Q6" s="67" t="s">
        <v>228</v>
      </c>
      <c r="R6" s="68">
        <f>C18</f>
        <v>0.97727272727272729</v>
      </c>
      <c r="S6" s="135">
        <f>E18</f>
        <v>0.8666666666666667</v>
      </c>
      <c r="T6" s="68">
        <f>G18</f>
        <v>0.94399999999999995</v>
      </c>
      <c r="U6" s="68">
        <f>I18</f>
        <v>0.98523985239852396</v>
      </c>
      <c r="V6" s="68">
        <f>K18</f>
        <v>0.97551020408163269</v>
      </c>
      <c r="W6" s="68">
        <f>M18</f>
        <v>0.98216939078751864</v>
      </c>
      <c r="X6" s="68">
        <f>O18</f>
        <v>0.97797131147540983</v>
      </c>
    </row>
    <row r="7" spans="1:24" ht="12.75" customHeight="1" x14ac:dyDescent="0.2">
      <c r="A7" s="20" t="s">
        <v>18</v>
      </c>
      <c r="B7" s="28">
        <v>14</v>
      </c>
      <c r="C7" s="29">
        <f>B7/B9</f>
        <v>3.9772727272727272E-2</v>
      </c>
      <c r="D7" s="28">
        <v>1</v>
      </c>
      <c r="E7" s="29">
        <f>D7/D9</f>
        <v>6.6666666666666666E-2</v>
      </c>
      <c r="F7" s="28">
        <v>9</v>
      </c>
      <c r="G7" s="29">
        <f>F7/F9</f>
        <v>7.1428571428571425E-2</v>
      </c>
      <c r="H7" s="28">
        <v>11</v>
      </c>
      <c r="I7" s="29">
        <f>H7/H9</f>
        <v>2.0332717190388171E-2</v>
      </c>
      <c r="J7" s="28">
        <v>12</v>
      </c>
      <c r="K7" s="29">
        <f>J7/J9</f>
        <v>4.8979591836734691E-2</v>
      </c>
      <c r="L7" s="28">
        <v>17</v>
      </c>
      <c r="M7" s="29">
        <f>L7/L9</f>
        <v>2.5185185185185185E-2</v>
      </c>
      <c r="N7" s="21">
        <f>B7+D7+F7+H7+J7+L7</f>
        <v>64</v>
      </c>
      <c r="O7" s="29">
        <f>N7/N9</f>
        <v>3.2753326509723645E-2</v>
      </c>
      <c r="Q7" s="67" t="s">
        <v>46</v>
      </c>
      <c r="R7" s="68">
        <f>C26</f>
        <v>0.95170454545454541</v>
      </c>
      <c r="S7" s="68">
        <f>E26</f>
        <v>1</v>
      </c>
      <c r="T7" s="135">
        <f>G26</f>
        <v>0.84</v>
      </c>
      <c r="U7" s="68">
        <f>I26</f>
        <v>0.9556377079482441</v>
      </c>
      <c r="V7" s="68">
        <f>K26</f>
        <v>0.90612244897959182</v>
      </c>
      <c r="W7" s="68">
        <f>M26</f>
        <v>0.94510385756676563</v>
      </c>
      <c r="X7" s="68">
        <f>O26</f>
        <v>0.93801229508196715</v>
      </c>
    </row>
    <row r="8" spans="1:24" x14ac:dyDescent="0.2">
      <c r="A8" s="20" t="s">
        <v>17</v>
      </c>
      <c r="B8" s="28">
        <v>4</v>
      </c>
      <c r="C8" s="29">
        <f>B8/B9</f>
        <v>1.1363636363636364E-2</v>
      </c>
      <c r="D8" s="28">
        <v>1</v>
      </c>
      <c r="E8" s="29">
        <f>D8/D9</f>
        <v>6.6666666666666666E-2</v>
      </c>
      <c r="F8" s="28">
        <v>4</v>
      </c>
      <c r="G8" s="29">
        <f>F8/F9</f>
        <v>3.1746031746031744E-2</v>
      </c>
      <c r="H8" s="28"/>
      <c r="I8" s="29">
        <f>H8/H9</f>
        <v>0</v>
      </c>
      <c r="J8" s="28">
        <v>3</v>
      </c>
      <c r="K8" s="29">
        <f>J8/J9</f>
        <v>1.2244897959183673E-2</v>
      </c>
      <c r="L8" s="28">
        <v>5</v>
      </c>
      <c r="M8" s="29">
        <f>L8/L9</f>
        <v>7.4074074074074077E-3</v>
      </c>
      <c r="N8" s="21">
        <f>B8+D8+F8+H8+J8+L8</f>
        <v>17</v>
      </c>
      <c r="O8" s="29">
        <f>N8/N9</f>
        <v>8.7001023541453427E-3</v>
      </c>
      <c r="Q8" s="67" t="s">
        <v>229</v>
      </c>
      <c r="R8" s="68">
        <f>C34</f>
        <v>0.96296296296296302</v>
      </c>
      <c r="S8" s="68">
        <f>E34</f>
        <v>1</v>
      </c>
      <c r="T8" s="135">
        <f>G34</f>
        <v>0.86507936507936511</v>
      </c>
      <c r="U8" s="68">
        <f>I34</f>
        <v>0.98518518518518516</v>
      </c>
      <c r="V8" s="68">
        <f>K34</f>
        <v>0.94693877551020411</v>
      </c>
      <c r="W8" s="68">
        <f>M34</f>
        <v>0.97181008902077148</v>
      </c>
      <c r="X8" s="68">
        <f>O34</f>
        <v>0.96412096360840593</v>
      </c>
    </row>
    <row r="9" spans="1:24" s="11" customFormat="1" x14ac:dyDescent="0.2">
      <c r="A9" s="95" t="s">
        <v>1</v>
      </c>
      <c r="B9" s="22">
        <f t="shared" ref="B9:L9" si="0">SUM(B5:B8)</f>
        <v>352</v>
      </c>
      <c r="C9" s="31">
        <f>SUM(C5:C8)</f>
        <v>1</v>
      </c>
      <c r="D9" s="22">
        <f t="shared" si="0"/>
        <v>15</v>
      </c>
      <c r="E9" s="31">
        <f>SUM(E5:E8)</f>
        <v>1</v>
      </c>
      <c r="F9" s="22">
        <f t="shared" si="0"/>
        <v>126</v>
      </c>
      <c r="G9" s="31">
        <f>SUM(G5:G8)</f>
        <v>0.99999999999999989</v>
      </c>
      <c r="H9" s="22">
        <f t="shared" si="0"/>
        <v>541</v>
      </c>
      <c r="I9" s="31">
        <f>SUM(I5:I8)</f>
        <v>1</v>
      </c>
      <c r="J9" s="22">
        <f t="shared" si="0"/>
        <v>245</v>
      </c>
      <c r="K9" s="31">
        <f>SUM(K5:K8)</f>
        <v>1</v>
      </c>
      <c r="L9" s="22">
        <f t="shared" si="0"/>
        <v>675</v>
      </c>
      <c r="M9" s="31">
        <f>SUM(M5:M8)</f>
        <v>1</v>
      </c>
      <c r="N9" s="22">
        <f>SUM(N3:N8)</f>
        <v>1954</v>
      </c>
      <c r="O9" s="31">
        <f>SUM(O3:O8)</f>
        <v>0.99999999999999989</v>
      </c>
      <c r="P9" s="10"/>
      <c r="Q9" s="67" t="s">
        <v>48</v>
      </c>
      <c r="R9" s="68">
        <f>C42</f>
        <v>0.90313390313390318</v>
      </c>
      <c r="S9" s="68">
        <f>E42</f>
        <v>0.93333333333333335</v>
      </c>
      <c r="T9" s="135">
        <f>G42</f>
        <v>0.84000000000000008</v>
      </c>
      <c r="U9" s="68">
        <f>I42</f>
        <v>0.93357933579335795</v>
      </c>
      <c r="V9" s="68">
        <f>K42</f>
        <v>0.89795918367346927</v>
      </c>
      <c r="W9" s="68">
        <f>M42</f>
        <v>0.93462109955423478</v>
      </c>
      <c r="X9" s="68">
        <f>O42</f>
        <v>0.91799077396207074</v>
      </c>
    </row>
    <row r="10" spans="1:24" x14ac:dyDescent="0.2">
      <c r="A10" s="95" t="s">
        <v>89</v>
      </c>
      <c r="B10" s="19"/>
      <c r="C10" s="54">
        <f>SUM(C5:C6)</f>
        <v>0.94886363636363635</v>
      </c>
      <c r="D10" s="19"/>
      <c r="E10" s="54">
        <f>SUM(E5:E6)</f>
        <v>0.8666666666666667</v>
      </c>
      <c r="F10" s="19"/>
      <c r="G10" s="54">
        <f>SUM(G5:G6)</f>
        <v>0.89682539682539675</v>
      </c>
      <c r="H10" s="19"/>
      <c r="I10" s="54">
        <f>SUM(I5:I6)</f>
        <v>0.97966728280961179</v>
      </c>
      <c r="J10" s="19"/>
      <c r="K10" s="54">
        <f>SUM(K5:K6)</f>
        <v>0.93877551020408156</v>
      </c>
      <c r="L10" s="19"/>
      <c r="M10" s="54">
        <f>SUM(M5:M6)</f>
        <v>0.96740740740740749</v>
      </c>
      <c r="N10" s="22"/>
      <c r="O10" s="54">
        <f>SUM(O5:O6)</f>
        <v>0.95854657113613095</v>
      </c>
      <c r="Q10" s="67" t="s">
        <v>49</v>
      </c>
      <c r="R10" s="68">
        <f>C50</f>
        <v>0.92263610315186251</v>
      </c>
      <c r="S10" s="68">
        <f>E50</f>
        <v>0.93333333333333335</v>
      </c>
      <c r="T10" s="68">
        <f>G50</f>
        <v>0.90322580645161299</v>
      </c>
      <c r="U10" s="68">
        <f>I50</f>
        <v>0.9424860853432282</v>
      </c>
      <c r="V10" s="68">
        <f>K50</f>
        <v>0.91056910569105698</v>
      </c>
      <c r="W10" s="68">
        <f>M50</f>
        <v>0.93768545994065278</v>
      </c>
      <c r="X10" s="68">
        <f>O50</f>
        <v>0.93066255778120188</v>
      </c>
    </row>
    <row r="11" spans="1:24" x14ac:dyDescent="0.2">
      <c r="A11" s="14"/>
      <c r="B11" s="4"/>
      <c r="C11" s="36"/>
      <c r="D11" s="36"/>
      <c r="E11" s="36"/>
      <c r="F11" s="36"/>
      <c r="G11" s="39"/>
      <c r="H11" s="36"/>
      <c r="I11" s="36"/>
      <c r="J11" s="36"/>
      <c r="K11" s="36"/>
      <c r="L11" s="36"/>
      <c r="M11" s="36"/>
      <c r="N11" s="36"/>
      <c r="O11" s="36"/>
      <c r="Q11" s="67" t="s">
        <v>106</v>
      </c>
      <c r="R11" s="68">
        <f>C58</f>
        <v>0.9943019943019944</v>
      </c>
      <c r="S11" s="68">
        <f>E58</f>
        <v>1</v>
      </c>
      <c r="T11" s="68">
        <f>G58</f>
        <v>0.99199999999999999</v>
      </c>
      <c r="U11" s="68">
        <f>I58</f>
        <v>0.97592592592592586</v>
      </c>
      <c r="V11" s="68">
        <f>K58</f>
        <v>0.98367346938775513</v>
      </c>
      <c r="W11" s="68">
        <f>M58</f>
        <v>0.98222222222222233</v>
      </c>
      <c r="X11" s="68">
        <f>O58</f>
        <v>0.98359815479241419</v>
      </c>
    </row>
    <row r="12" spans="1:24" ht="12.75" customHeight="1" x14ac:dyDescent="0.2">
      <c r="A12" s="121" t="s">
        <v>45</v>
      </c>
      <c r="B12" s="122" t="s">
        <v>100</v>
      </c>
      <c r="C12" s="122"/>
      <c r="D12" s="122" t="s">
        <v>80</v>
      </c>
      <c r="E12" s="122"/>
      <c r="F12" s="123" t="s">
        <v>136</v>
      </c>
      <c r="G12" s="123"/>
      <c r="H12" s="122" t="s">
        <v>82</v>
      </c>
      <c r="I12" s="122"/>
      <c r="J12" s="122" t="s">
        <v>81</v>
      </c>
      <c r="K12" s="122"/>
      <c r="L12" s="122" t="s">
        <v>98</v>
      </c>
      <c r="M12" s="122"/>
      <c r="N12" s="116" t="s">
        <v>1</v>
      </c>
      <c r="O12" s="116"/>
      <c r="Q12" s="67" t="s">
        <v>51</v>
      </c>
      <c r="R12" s="135">
        <f>C66</f>
        <v>0.83954154727793706</v>
      </c>
      <c r="S12" s="135">
        <f>E66</f>
        <v>0.73333333333333339</v>
      </c>
      <c r="T12" s="135">
        <f>G66</f>
        <v>0.84126984126984117</v>
      </c>
      <c r="U12" s="135">
        <f>I66</f>
        <v>0.80961182994454717</v>
      </c>
      <c r="V12" s="135">
        <f>K66</f>
        <v>0.86585365853658547</v>
      </c>
      <c r="W12" s="135">
        <f>M66</f>
        <v>0.81845238095238093</v>
      </c>
      <c r="X12" s="135">
        <f>O66</f>
        <v>0.8265777321703438</v>
      </c>
    </row>
    <row r="13" spans="1:24" x14ac:dyDescent="0.2">
      <c r="A13" s="20" t="s">
        <v>20</v>
      </c>
      <c r="B13" s="28">
        <v>225</v>
      </c>
      <c r="C13" s="29">
        <f>B13/B17</f>
        <v>0.63920454545454541</v>
      </c>
      <c r="D13" s="28">
        <v>10</v>
      </c>
      <c r="E13" s="29">
        <f>D13/D17</f>
        <v>0.66666666666666663</v>
      </c>
      <c r="F13" s="28">
        <v>66</v>
      </c>
      <c r="G13" s="29">
        <f>F13/F17</f>
        <v>0.52800000000000002</v>
      </c>
      <c r="H13" s="28">
        <v>354</v>
      </c>
      <c r="I13" s="29">
        <f>H13/H17</f>
        <v>0.65313653136531369</v>
      </c>
      <c r="J13" s="28">
        <v>139</v>
      </c>
      <c r="K13" s="29">
        <f>J13/J17</f>
        <v>0.56734693877551023</v>
      </c>
      <c r="L13" s="28">
        <v>434</v>
      </c>
      <c r="M13" s="29">
        <f>L13/L17</f>
        <v>0.64487369985141163</v>
      </c>
      <c r="N13" s="21">
        <f>B13+D13+F13+H13+J13+L13</f>
        <v>1228</v>
      </c>
      <c r="O13" s="29">
        <f>N13/N17</f>
        <v>0.62909836065573765</v>
      </c>
      <c r="Q13" s="67" t="s">
        <v>52</v>
      </c>
      <c r="R13" s="68">
        <f>C74</f>
        <v>0.96306818181818188</v>
      </c>
      <c r="S13" s="135">
        <f>E74</f>
        <v>0.8666666666666667</v>
      </c>
      <c r="T13" s="68">
        <f>G74</f>
        <v>0.89600000000000002</v>
      </c>
      <c r="U13" s="68">
        <f>I74</f>
        <v>0.97966728280961179</v>
      </c>
      <c r="V13" s="68">
        <f>K74</f>
        <v>0.93827160493827155</v>
      </c>
      <c r="W13" s="68">
        <f>M74</f>
        <v>0.9748148148148148</v>
      </c>
      <c r="X13" s="68">
        <f>O74</f>
        <v>0.96360840594566888</v>
      </c>
    </row>
    <row r="14" spans="1:24" x14ac:dyDescent="0.2">
      <c r="A14" s="20" t="s">
        <v>19</v>
      </c>
      <c r="B14" s="28">
        <v>119</v>
      </c>
      <c r="C14" s="29">
        <f>B14/B17</f>
        <v>0.33806818181818182</v>
      </c>
      <c r="D14" s="28">
        <v>3</v>
      </c>
      <c r="E14" s="29">
        <f>D14/D17</f>
        <v>0.2</v>
      </c>
      <c r="F14" s="28">
        <v>52</v>
      </c>
      <c r="G14" s="29">
        <f>F14/F17</f>
        <v>0.41599999999999998</v>
      </c>
      <c r="H14" s="28">
        <v>180</v>
      </c>
      <c r="I14" s="29">
        <f>H14/H17</f>
        <v>0.33210332103321033</v>
      </c>
      <c r="J14" s="28">
        <v>100</v>
      </c>
      <c r="K14" s="29">
        <f>J14/J17</f>
        <v>0.40816326530612246</v>
      </c>
      <c r="L14" s="28">
        <v>227</v>
      </c>
      <c r="M14" s="29">
        <f>L14/L17</f>
        <v>0.33729569093610701</v>
      </c>
      <c r="N14" s="21">
        <f>B14+D14+F14+H14+J14+L14</f>
        <v>681</v>
      </c>
      <c r="O14" s="29">
        <f>N14/N17</f>
        <v>0.34887295081967212</v>
      </c>
    </row>
    <row r="15" spans="1:24" x14ac:dyDescent="0.2">
      <c r="A15" s="20" t="s">
        <v>18</v>
      </c>
      <c r="B15" s="28">
        <v>7</v>
      </c>
      <c r="C15" s="29">
        <f>B15/B17</f>
        <v>1.9886363636363636E-2</v>
      </c>
      <c r="D15" s="28">
        <v>1</v>
      </c>
      <c r="E15" s="29">
        <f>D15/D17</f>
        <v>6.6666666666666666E-2</v>
      </c>
      <c r="F15" s="28">
        <v>5</v>
      </c>
      <c r="G15" s="29">
        <f>F15/F17</f>
        <v>0.04</v>
      </c>
      <c r="H15" s="28">
        <v>6</v>
      </c>
      <c r="I15" s="29">
        <f>H15/H17</f>
        <v>1.107011070110701E-2</v>
      </c>
      <c r="J15" s="28">
        <v>4</v>
      </c>
      <c r="K15" s="29">
        <f>J15/J17</f>
        <v>1.6326530612244899E-2</v>
      </c>
      <c r="L15" s="28">
        <v>10</v>
      </c>
      <c r="M15" s="29">
        <f>L15/L17</f>
        <v>1.4858841010401188E-2</v>
      </c>
      <c r="N15" s="21">
        <f>B15+D15+F15+H15+J15+L15</f>
        <v>33</v>
      </c>
      <c r="O15" s="29">
        <f>N15/N17</f>
        <v>1.6905737704918034E-2</v>
      </c>
    </row>
    <row r="16" spans="1:24" x14ac:dyDescent="0.2">
      <c r="A16" s="20" t="s">
        <v>17</v>
      </c>
      <c r="B16" s="28">
        <v>1</v>
      </c>
      <c r="C16" s="29">
        <f>B16/B17</f>
        <v>2.840909090909091E-3</v>
      </c>
      <c r="D16" s="28">
        <v>1</v>
      </c>
      <c r="E16" s="29">
        <f>D16/D17</f>
        <v>6.6666666666666666E-2</v>
      </c>
      <c r="F16" s="28">
        <v>2</v>
      </c>
      <c r="G16" s="29">
        <f>F16/F17</f>
        <v>1.6E-2</v>
      </c>
      <c r="H16" s="28">
        <v>2</v>
      </c>
      <c r="I16" s="29">
        <f>H16/H17</f>
        <v>3.6900369003690036E-3</v>
      </c>
      <c r="J16" s="28">
        <v>2</v>
      </c>
      <c r="K16" s="29">
        <f>J16/J17</f>
        <v>8.1632653061224497E-3</v>
      </c>
      <c r="L16" s="28">
        <v>2</v>
      </c>
      <c r="M16" s="29">
        <f>L16/L17</f>
        <v>2.9717682020802376E-3</v>
      </c>
      <c r="N16" s="21">
        <f>B16+D16+F16+H16+J16+L16</f>
        <v>10</v>
      </c>
      <c r="O16" s="29">
        <f>N16/N17</f>
        <v>5.1229508196721308E-3</v>
      </c>
    </row>
    <row r="17" spans="1:20" s="11" customFormat="1" x14ac:dyDescent="0.2">
      <c r="A17" s="95" t="s">
        <v>1</v>
      </c>
      <c r="B17" s="22">
        <f t="shared" ref="B17" si="1">SUM(B13:B16)</f>
        <v>352</v>
      </c>
      <c r="C17" s="31">
        <f>SUM(C13:C16)</f>
        <v>1</v>
      </c>
      <c r="D17" s="22">
        <f t="shared" ref="D17" si="2">SUM(D13:D16)</f>
        <v>15</v>
      </c>
      <c r="E17" s="31">
        <f>SUM(E13:E16)</f>
        <v>1</v>
      </c>
      <c r="F17" s="22">
        <f t="shared" ref="F17" si="3">SUM(F13:F16)</f>
        <v>125</v>
      </c>
      <c r="G17" s="31">
        <f>SUM(G13:G16)</f>
        <v>1</v>
      </c>
      <c r="H17" s="22">
        <f t="shared" ref="H17" si="4">SUM(H13:H16)</f>
        <v>542</v>
      </c>
      <c r="I17" s="31">
        <f>SUM(I13:I16)</f>
        <v>0.99999999999999989</v>
      </c>
      <c r="J17" s="22">
        <f t="shared" ref="J17" si="5">SUM(J13:J16)</f>
        <v>245</v>
      </c>
      <c r="K17" s="31">
        <f>SUM(K13:K16)</f>
        <v>1</v>
      </c>
      <c r="L17" s="22">
        <f t="shared" ref="L17" si="6">SUM(L13:L16)</f>
        <v>673</v>
      </c>
      <c r="M17" s="31">
        <f>SUM(M13:M16)</f>
        <v>1</v>
      </c>
      <c r="N17" s="22">
        <f>SUM(N12:N16)</f>
        <v>1952</v>
      </c>
      <c r="O17" s="31">
        <f>SUM(O12:O16)</f>
        <v>1</v>
      </c>
      <c r="P17" s="10"/>
    </row>
    <row r="18" spans="1:20" x14ac:dyDescent="0.2">
      <c r="A18" s="95" t="s">
        <v>89</v>
      </c>
      <c r="B18" s="19"/>
      <c r="C18" s="54">
        <f>SUM(C13:C14)</f>
        <v>0.97727272727272729</v>
      </c>
      <c r="D18" s="19"/>
      <c r="E18" s="54">
        <f>SUM(E13:E14)</f>
        <v>0.8666666666666667</v>
      </c>
      <c r="F18" s="19"/>
      <c r="G18" s="54">
        <f>SUM(G13:G14)</f>
        <v>0.94399999999999995</v>
      </c>
      <c r="H18" s="19"/>
      <c r="I18" s="54">
        <f>SUM(I13:I14)</f>
        <v>0.98523985239852396</v>
      </c>
      <c r="J18" s="19"/>
      <c r="K18" s="54">
        <f>SUM(K13:K14)</f>
        <v>0.97551020408163269</v>
      </c>
      <c r="L18" s="19"/>
      <c r="M18" s="54">
        <f>SUM(M13:M14)</f>
        <v>0.98216939078751864</v>
      </c>
      <c r="N18" s="22"/>
      <c r="O18" s="54">
        <f>SUM(O13:O14)</f>
        <v>0.97797131147540983</v>
      </c>
    </row>
    <row r="19" spans="1:20" x14ac:dyDescent="0.2">
      <c r="A19" s="14"/>
      <c r="B19" s="4"/>
      <c r="C19" s="36"/>
      <c r="D19" s="36"/>
      <c r="E19" s="36"/>
      <c r="F19" s="36"/>
      <c r="G19" s="39"/>
      <c r="H19" s="36"/>
      <c r="I19" s="36"/>
      <c r="J19" s="36"/>
      <c r="K19" s="36"/>
      <c r="L19" s="36"/>
      <c r="M19" s="36"/>
      <c r="N19" s="36"/>
      <c r="O19" s="36"/>
    </row>
    <row r="20" spans="1:20" ht="24" x14ac:dyDescent="0.2">
      <c r="A20" s="121" t="s">
        <v>46</v>
      </c>
      <c r="B20" s="122" t="s">
        <v>100</v>
      </c>
      <c r="C20" s="122"/>
      <c r="D20" s="122" t="s">
        <v>80</v>
      </c>
      <c r="E20" s="122"/>
      <c r="F20" s="123" t="s">
        <v>136</v>
      </c>
      <c r="G20" s="123"/>
      <c r="H20" s="122" t="s">
        <v>82</v>
      </c>
      <c r="I20" s="122"/>
      <c r="J20" s="122" t="s">
        <v>81</v>
      </c>
      <c r="K20" s="122"/>
      <c r="L20" s="122" t="s">
        <v>98</v>
      </c>
      <c r="M20" s="122"/>
      <c r="N20" s="116" t="s">
        <v>1</v>
      </c>
      <c r="O20" s="116"/>
    </row>
    <row r="21" spans="1:20" x14ac:dyDescent="0.2">
      <c r="A21" s="20" t="s">
        <v>20</v>
      </c>
      <c r="B21" s="28">
        <v>165</v>
      </c>
      <c r="C21" s="29">
        <f>B21/B25</f>
        <v>0.46875</v>
      </c>
      <c r="D21" s="28">
        <v>8</v>
      </c>
      <c r="E21" s="29">
        <f>D21/D25</f>
        <v>0.53333333333333333</v>
      </c>
      <c r="F21" s="28">
        <v>52</v>
      </c>
      <c r="G21" s="29">
        <f>F21/F25</f>
        <v>0.41599999999999998</v>
      </c>
      <c r="H21" s="28">
        <v>272</v>
      </c>
      <c r="I21" s="29">
        <f>H21/H25</f>
        <v>0.50277264325323479</v>
      </c>
      <c r="J21" s="28">
        <v>106</v>
      </c>
      <c r="K21" s="29">
        <f>J21/J25</f>
        <v>0.43265306122448982</v>
      </c>
      <c r="L21" s="28">
        <v>327</v>
      </c>
      <c r="M21" s="29">
        <f>L21/L25</f>
        <v>0.48516320474777447</v>
      </c>
      <c r="N21" s="21">
        <f>B21+D21+F21+H21+J21+L21</f>
        <v>930</v>
      </c>
      <c r="O21" s="29">
        <f>N21/N25</f>
        <v>0.47643442622950821</v>
      </c>
    </row>
    <row r="22" spans="1:20" x14ac:dyDescent="0.2">
      <c r="A22" s="20" t="s">
        <v>19</v>
      </c>
      <c r="B22" s="28">
        <v>170</v>
      </c>
      <c r="C22" s="29">
        <f>B22/B25</f>
        <v>0.48295454545454547</v>
      </c>
      <c r="D22" s="28">
        <v>7</v>
      </c>
      <c r="E22" s="29">
        <f>D22/D25</f>
        <v>0.46666666666666667</v>
      </c>
      <c r="F22" s="28">
        <v>53</v>
      </c>
      <c r="G22" s="29">
        <f>F22/F25</f>
        <v>0.42399999999999999</v>
      </c>
      <c r="H22" s="28">
        <v>245</v>
      </c>
      <c r="I22" s="29">
        <f>H22/H25</f>
        <v>0.45286506469500926</v>
      </c>
      <c r="J22" s="28">
        <v>116</v>
      </c>
      <c r="K22" s="29">
        <f>J22/J25</f>
        <v>0.47346938775510206</v>
      </c>
      <c r="L22" s="28">
        <v>310</v>
      </c>
      <c r="M22" s="29">
        <f>L22/L25</f>
        <v>0.4599406528189911</v>
      </c>
      <c r="N22" s="21">
        <f>B22+D22+F22+H22+J22+L22</f>
        <v>901</v>
      </c>
      <c r="O22" s="29">
        <f>N22/N25</f>
        <v>0.46157786885245899</v>
      </c>
    </row>
    <row r="23" spans="1:20" x14ac:dyDescent="0.2">
      <c r="A23" s="20" t="s">
        <v>18</v>
      </c>
      <c r="B23" s="28">
        <v>14</v>
      </c>
      <c r="C23" s="29">
        <f>B23/B25</f>
        <v>3.9772727272727272E-2</v>
      </c>
      <c r="D23" s="28"/>
      <c r="E23" s="29">
        <f>D23/D25</f>
        <v>0</v>
      </c>
      <c r="F23" s="28">
        <v>12</v>
      </c>
      <c r="G23" s="29">
        <f>F23/F25</f>
        <v>9.6000000000000002E-2</v>
      </c>
      <c r="H23" s="28">
        <v>21</v>
      </c>
      <c r="I23" s="29">
        <f>H23/H25</f>
        <v>3.8817005545286505E-2</v>
      </c>
      <c r="J23" s="28">
        <v>20</v>
      </c>
      <c r="K23" s="29">
        <f>J23/J25</f>
        <v>8.1632653061224483E-2</v>
      </c>
      <c r="L23" s="28">
        <v>32</v>
      </c>
      <c r="M23" s="29">
        <f>L23/L25</f>
        <v>4.7477744807121663E-2</v>
      </c>
      <c r="N23" s="21">
        <f>B23+D23+F23+H23+J23+L23</f>
        <v>99</v>
      </c>
      <c r="O23" s="29">
        <f>N23/N25</f>
        <v>5.0717213114754099E-2</v>
      </c>
    </row>
    <row r="24" spans="1:20" x14ac:dyDescent="0.2">
      <c r="A24" s="20" t="s">
        <v>17</v>
      </c>
      <c r="B24" s="28">
        <v>3</v>
      </c>
      <c r="C24" s="29">
        <f>B24/B25</f>
        <v>8.5227272727272721E-3</v>
      </c>
      <c r="D24" s="28"/>
      <c r="E24" s="29">
        <f>D24/D25</f>
        <v>0</v>
      </c>
      <c r="F24" s="28">
        <v>8</v>
      </c>
      <c r="G24" s="29">
        <f>F24/F25</f>
        <v>6.4000000000000001E-2</v>
      </c>
      <c r="H24" s="28">
        <v>3</v>
      </c>
      <c r="I24" s="29">
        <f>H24/H25</f>
        <v>5.5452865064695009E-3</v>
      </c>
      <c r="J24" s="28">
        <v>3</v>
      </c>
      <c r="K24" s="29">
        <f>J24/J25</f>
        <v>1.2244897959183673E-2</v>
      </c>
      <c r="L24" s="28">
        <v>5</v>
      </c>
      <c r="M24" s="29">
        <f>L24/L25</f>
        <v>7.4183976261127599E-3</v>
      </c>
      <c r="N24" s="21">
        <f>B24+D24+F24+H24+J24+L24</f>
        <v>22</v>
      </c>
      <c r="O24" s="29">
        <f>N24/N25</f>
        <v>1.1270491803278689E-2</v>
      </c>
    </row>
    <row r="25" spans="1:20" s="11" customFormat="1" x14ac:dyDescent="0.2">
      <c r="A25" s="95" t="s">
        <v>1</v>
      </c>
      <c r="B25" s="22">
        <f t="shared" ref="B25" si="7">SUM(B21:B24)</f>
        <v>352</v>
      </c>
      <c r="C25" s="31">
        <f>SUM(C21:C24)</f>
        <v>1</v>
      </c>
      <c r="D25" s="22">
        <f t="shared" ref="D25" si="8">SUM(D21:D24)</f>
        <v>15</v>
      </c>
      <c r="E25" s="31">
        <f>SUM(E21:E24)</f>
        <v>1</v>
      </c>
      <c r="F25" s="22">
        <f t="shared" ref="F25" si="9">SUM(F21:F24)</f>
        <v>125</v>
      </c>
      <c r="G25" s="31">
        <f>SUM(G21:G24)</f>
        <v>1</v>
      </c>
      <c r="H25" s="22">
        <f t="shared" ref="H25" si="10">SUM(H21:H24)</f>
        <v>541</v>
      </c>
      <c r="I25" s="31">
        <f>SUM(I21:I24)</f>
        <v>1.0000000000000002</v>
      </c>
      <c r="J25" s="22">
        <f t="shared" ref="J25" si="11">SUM(J21:J24)</f>
        <v>245</v>
      </c>
      <c r="K25" s="31">
        <f>SUM(K21:K24)</f>
        <v>1</v>
      </c>
      <c r="L25" s="22">
        <f t="shared" ref="L25" si="12">SUM(L21:L24)</f>
        <v>674</v>
      </c>
      <c r="M25" s="31">
        <f>SUM(M21:M24)</f>
        <v>1</v>
      </c>
      <c r="N25" s="22">
        <f>SUM(N19:N24)</f>
        <v>1952</v>
      </c>
      <c r="O25" s="31">
        <f>SUM(O19:O24)</f>
        <v>0.99999999999999989</v>
      </c>
      <c r="P25" s="10"/>
    </row>
    <row r="26" spans="1:20" x14ac:dyDescent="0.2">
      <c r="A26" s="95" t="s">
        <v>89</v>
      </c>
      <c r="B26" s="19"/>
      <c r="C26" s="54">
        <f>SUM(C21:C22)</f>
        <v>0.95170454545454541</v>
      </c>
      <c r="D26" s="19"/>
      <c r="E26" s="54">
        <f>SUM(E21:E22)</f>
        <v>1</v>
      </c>
      <c r="F26" s="19"/>
      <c r="G26" s="54">
        <f>SUM(G21:G22)</f>
        <v>0.84</v>
      </c>
      <c r="H26" s="19"/>
      <c r="I26" s="54">
        <f>SUM(I21:I22)</f>
        <v>0.9556377079482441</v>
      </c>
      <c r="J26" s="19"/>
      <c r="K26" s="54">
        <f>SUM(K21:K22)</f>
        <v>0.90612244897959182</v>
      </c>
      <c r="L26" s="19"/>
      <c r="M26" s="54">
        <f>SUM(M21:M22)</f>
        <v>0.94510385756676563</v>
      </c>
      <c r="N26" s="22"/>
      <c r="O26" s="54">
        <f>SUM(O21:O22)</f>
        <v>0.93801229508196715</v>
      </c>
    </row>
    <row r="27" spans="1:20" x14ac:dyDescent="0.2">
      <c r="A27" s="14"/>
      <c r="B27" s="4"/>
      <c r="C27" s="36"/>
      <c r="D27" s="36"/>
      <c r="E27" s="36"/>
      <c r="F27" s="36"/>
      <c r="G27" s="39"/>
      <c r="H27" s="36"/>
      <c r="I27" s="36"/>
      <c r="J27" s="36"/>
      <c r="K27" s="36"/>
      <c r="L27" s="36"/>
      <c r="M27" s="36"/>
      <c r="N27" s="36"/>
      <c r="O27" s="36"/>
    </row>
    <row r="28" spans="1:20" ht="12.75" customHeight="1" x14ac:dyDescent="0.2">
      <c r="A28" s="121" t="s">
        <v>47</v>
      </c>
      <c r="B28" s="122" t="s">
        <v>100</v>
      </c>
      <c r="C28" s="122"/>
      <c r="D28" s="122" t="s">
        <v>80</v>
      </c>
      <c r="E28" s="122"/>
      <c r="F28" s="123" t="s">
        <v>136</v>
      </c>
      <c r="G28" s="123"/>
      <c r="H28" s="122" t="s">
        <v>82</v>
      </c>
      <c r="I28" s="122"/>
      <c r="J28" s="122" t="s">
        <v>81</v>
      </c>
      <c r="K28" s="122"/>
      <c r="L28" s="122" t="s">
        <v>98</v>
      </c>
      <c r="M28" s="122"/>
      <c r="N28" s="116" t="s">
        <v>1</v>
      </c>
      <c r="O28" s="116"/>
      <c r="T28" s="64" t="s">
        <v>0</v>
      </c>
    </row>
    <row r="29" spans="1:20" x14ac:dyDescent="0.2">
      <c r="A29" s="20" t="s">
        <v>20</v>
      </c>
      <c r="B29" s="28">
        <v>162</v>
      </c>
      <c r="C29" s="29">
        <f>B29/B33</f>
        <v>0.46153846153846156</v>
      </c>
      <c r="D29" s="28">
        <v>8</v>
      </c>
      <c r="E29" s="29">
        <f>D29/D33</f>
        <v>0.53333333333333333</v>
      </c>
      <c r="F29" s="28">
        <v>50</v>
      </c>
      <c r="G29" s="29">
        <f>F29/F33</f>
        <v>0.3968253968253968</v>
      </c>
      <c r="H29" s="28">
        <v>256</v>
      </c>
      <c r="I29" s="29">
        <f>H29/H33</f>
        <v>0.47407407407407409</v>
      </c>
      <c r="J29" s="28">
        <v>115</v>
      </c>
      <c r="K29" s="29">
        <f>J29/J33</f>
        <v>0.46938775510204084</v>
      </c>
      <c r="L29" s="28">
        <v>323</v>
      </c>
      <c r="M29" s="29">
        <f>L29/L33</f>
        <v>0.47922848664688428</v>
      </c>
      <c r="N29" s="21">
        <f>B29+D29+F29+H29+J29+L29</f>
        <v>914</v>
      </c>
      <c r="O29" s="29">
        <f>N29/N33</f>
        <v>0.46847770374167091</v>
      </c>
    </row>
    <row r="30" spans="1:20" x14ac:dyDescent="0.2">
      <c r="A30" s="20" t="s">
        <v>19</v>
      </c>
      <c r="B30" s="28">
        <v>176</v>
      </c>
      <c r="C30" s="29">
        <f>B30/B33</f>
        <v>0.50142450142450146</v>
      </c>
      <c r="D30" s="28">
        <v>7</v>
      </c>
      <c r="E30" s="29">
        <f>D30/D33</f>
        <v>0.46666666666666667</v>
      </c>
      <c r="F30" s="28">
        <v>59</v>
      </c>
      <c r="G30" s="29">
        <f>F30/F33</f>
        <v>0.46825396825396826</v>
      </c>
      <c r="H30" s="28">
        <v>276</v>
      </c>
      <c r="I30" s="29">
        <f>H30/H33</f>
        <v>0.51111111111111107</v>
      </c>
      <c r="J30" s="28">
        <v>117</v>
      </c>
      <c r="K30" s="29">
        <f>J30/J33</f>
        <v>0.47755102040816327</v>
      </c>
      <c r="L30" s="28">
        <v>332</v>
      </c>
      <c r="M30" s="29">
        <f>L30/L33</f>
        <v>0.49258160237388726</v>
      </c>
      <c r="N30" s="21">
        <f>B30+D30+F30+H30+J30+L30</f>
        <v>967</v>
      </c>
      <c r="O30" s="29">
        <f>N30/N33</f>
        <v>0.49564325986673502</v>
      </c>
    </row>
    <row r="31" spans="1:20" x14ac:dyDescent="0.2">
      <c r="A31" s="20" t="s">
        <v>18</v>
      </c>
      <c r="B31" s="28">
        <v>10</v>
      </c>
      <c r="C31" s="29">
        <f>B31/B33</f>
        <v>2.8490028490028491E-2</v>
      </c>
      <c r="D31" s="28"/>
      <c r="E31" s="29">
        <f>D31/D33</f>
        <v>0</v>
      </c>
      <c r="F31" s="28">
        <v>10</v>
      </c>
      <c r="G31" s="29">
        <f>F31/F33</f>
        <v>7.9365079365079361E-2</v>
      </c>
      <c r="H31" s="28">
        <v>8</v>
      </c>
      <c r="I31" s="29">
        <f>H31/H33</f>
        <v>1.4814814814814815E-2</v>
      </c>
      <c r="J31" s="28">
        <v>12</v>
      </c>
      <c r="K31" s="29">
        <f>J31/J33</f>
        <v>4.8979591836734691E-2</v>
      </c>
      <c r="L31" s="28">
        <v>13</v>
      </c>
      <c r="M31" s="29">
        <f>L31/L33</f>
        <v>1.9287833827893175E-2</v>
      </c>
      <c r="N31" s="21">
        <f>B31+D31+F31+H31+J31+L31</f>
        <v>53</v>
      </c>
      <c r="O31" s="29">
        <f>N31/N33</f>
        <v>2.7165556125064071E-2</v>
      </c>
    </row>
    <row r="32" spans="1:20" x14ac:dyDescent="0.2">
      <c r="A32" s="20" t="s">
        <v>17</v>
      </c>
      <c r="B32" s="28">
        <v>3</v>
      </c>
      <c r="C32" s="29">
        <f>B32/B33</f>
        <v>8.5470085470085479E-3</v>
      </c>
      <c r="D32" s="28"/>
      <c r="E32" s="29">
        <f>D32/D33</f>
        <v>0</v>
      </c>
      <c r="F32" s="28">
        <v>7</v>
      </c>
      <c r="G32" s="29">
        <f>F32/F33</f>
        <v>5.5555555555555552E-2</v>
      </c>
      <c r="H32" s="28"/>
      <c r="I32" s="29">
        <f>H32/H33</f>
        <v>0</v>
      </c>
      <c r="J32" s="28">
        <v>1</v>
      </c>
      <c r="K32" s="29">
        <f>J32/J33</f>
        <v>4.0816326530612249E-3</v>
      </c>
      <c r="L32" s="28">
        <v>6</v>
      </c>
      <c r="M32" s="29">
        <f>L32/L33</f>
        <v>8.9020771513353119E-3</v>
      </c>
      <c r="N32" s="21">
        <f>B32+D32+F32+H32+J32+L32</f>
        <v>17</v>
      </c>
      <c r="O32" s="29">
        <f>N32/N33</f>
        <v>8.7134802665299847E-3</v>
      </c>
    </row>
    <row r="33" spans="1:16" s="11" customFormat="1" x14ac:dyDescent="0.2">
      <c r="A33" s="95" t="s">
        <v>1</v>
      </c>
      <c r="B33" s="22">
        <f t="shared" ref="B33" si="13">SUM(B29:B32)</f>
        <v>351</v>
      </c>
      <c r="C33" s="31">
        <f>SUM(C29:C32)</f>
        <v>1</v>
      </c>
      <c r="D33" s="22">
        <f t="shared" ref="D33" si="14">SUM(D29:D32)</f>
        <v>15</v>
      </c>
      <c r="E33" s="31">
        <f>SUM(E29:E32)</f>
        <v>1</v>
      </c>
      <c r="F33" s="22">
        <f t="shared" ref="F33" si="15">SUM(F29:F32)</f>
        <v>126</v>
      </c>
      <c r="G33" s="31">
        <f>SUM(G29:G32)</f>
        <v>1</v>
      </c>
      <c r="H33" s="22">
        <f t="shared" ref="H33" si="16">SUM(H29:H32)</f>
        <v>540</v>
      </c>
      <c r="I33" s="31">
        <f>SUM(I29:I32)</f>
        <v>1</v>
      </c>
      <c r="J33" s="22">
        <f t="shared" ref="J33" si="17">SUM(J29:J32)</f>
        <v>245</v>
      </c>
      <c r="K33" s="31">
        <f>SUM(K29:K32)</f>
        <v>1</v>
      </c>
      <c r="L33" s="22">
        <f t="shared" ref="L33" si="18">SUM(L29:L32)</f>
        <v>674</v>
      </c>
      <c r="M33" s="31">
        <f>SUM(M29:M32)</f>
        <v>1</v>
      </c>
      <c r="N33" s="22">
        <f>SUM(N27:N32)</f>
        <v>1951</v>
      </c>
      <c r="O33" s="31">
        <f>SUM(O27:O32)</f>
        <v>1</v>
      </c>
      <c r="P33" s="10"/>
    </row>
    <row r="34" spans="1:16" x14ac:dyDescent="0.2">
      <c r="A34" s="95" t="s">
        <v>89</v>
      </c>
      <c r="B34" s="19"/>
      <c r="C34" s="54">
        <f>SUM(C29:C30)</f>
        <v>0.96296296296296302</v>
      </c>
      <c r="D34" s="19"/>
      <c r="E34" s="54">
        <f>SUM(E29:E30)</f>
        <v>1</v>
      </c>
      <c r="F34" s="19"/>
      <c r="G34" s="54">
        <f>SUM(G29:G30)</f>
        <v>0.86507936507936511</v>
      </c>
      <c r="H34" s="19"/>
      <c r="I34" s="54">
        <f>SUM(I29:I30)</f>
        <v>0.98518518518518516</v>
      </c>
      <c r="J34" s="19"/>
      <c r="K34" s="54">
        <f>SUM(K29:K30)</f>
        <v>0.94693877551020411</v>
      </c>
      <c r="L34" s="19"/>
      <c r="M34" s="54">
        <f>SUM(M29:M30)</f>
        <v>0.97181008902077148</v>
      </c>
      <c r="N34" s="22"/>
      <c r="O34" s="54">
        <f>SUM(O29:O30)</f>
        <v>0.96412096360840593</v>
      </c>
    </row>
    <row r="35" spans="1:16" x14ac:dyDescent="0.2">
      <c r="A35" s="14"/>
      <c r="B35" s="4"/>
      <c r="C35" s="36"/>
      <c r="D35" s="36"/>
      <c r="E35" s="36"/>
      <c r="F35" s="36"/>
      <c r="G35" s="39"/>
      <c r="H35" s="36"/>
      <c r="I35" s="36"/>
      <c r="J35" s="36"/>
      <c r="K35" s="36"/>
      <c r="L35" s="36"/>
      <c r="M35" s="36"/>
      <c r="N35" s="36"/>
      <c r="O35" s="36"/>
    </row>
    <row r="36" spans="1:16" ht="12.75" customHeight="1" x14ac:dyDescent="0.2">
      <c r="A36" s="121" t="s">
        <v>48</v>
      </c>
      <c r="B36" s="122" t="s">
        <v>100</v>
      </c>
      <c r="C36" s="122"/>
      <c r="D36" s="122" t="s">
        <v>80</v>
      </c>
      <c r="E36" s="122"/>
      <c r="F36" s="123" t="s">
        <v>136</v>
      </c>
      <c r="G36" s="123"/>
      <c r="H36" s="122" t="s">
        <v>82</v>
      </c>
      <c r="I36" s="122"/>
      <c r="J36" s="122" t="s">
        <v>81</v>
      </c>
      <c r="K36" s="122"/>
      <c r="L36" s="122" t="s">
        <v>98</v>
      </c>
      <c r="M36" s="122"/>
      <c r="N36" s="116" t="s">
        <v>1</v>
      </c>
      <c r="O36" s="116"/>
    </row>
    <row r="37" spans="1:16" x14ac:dyDescent="0.2">
      <c r="A37" s="20" t="s">
        <v>20</v>
      </c>
      <c r="B37" s="28">
        <v>144</v>
      </c>
      <c r="C37" s="29">
        <f>B37/B41</f>
        <v>0.41025641025641024</v>
      </c>
      <c r="D37" s="28">
        <v>7</v>
      </c>
      <c r="E37" s="29">
        <f>D37/D41</f>
        <v>0.46666666666666667</v>
      </c>
      <c r="F37" s="28">
        <v>38</v>
      </c>
      <c r="G37" s="29">
        <f>F37/F41</f>
        <v>0.30399999999999999</v>
      </c>
      <c r="H37" s="28">
        <v>217</v>
      </c>
      <c r="I37" s="29">
        <f>H37/H41</f>
        <v>0.40036900369003692</v>
      </c>
      <c r="J37" s="28">
        <v>87</v>
      </c>
      <c r="K37" s="29">
        <f>J37/J41</f>
        <v>0.35510204081632651</v>
      </c>
      <c r="L37" s="28">
        <v>271</v>
      </c>
      <c r="M37" s="29">
        <f>L37/L41</f>
        <v>0.40267459138187223</v>
      </c>
      <c r="N37" s="21">
        <f>B37+D37+F37+H37+J37+L37</f>
        <v>764</v>
      </c>
      <c r="O37" s="29">
        <f>N37/N41</f>
        <v>0.39159405433111227</v>
      </c>
    </row>
    <row r="38" spans="1:16" x14ac:dyDescent="0.2">
      <c r="A38" s="20" t="s">
        <v>19</v>
      </c>
      <c r="B38" s="28">
        <v>173</v>
      </c>
      <c r="C38" s="29">
        <f>B38/B41</f>
        <v>0.49287749287749288</v>
      </c>
      <c r="D38" s="28">
        <v>7</v>
      </c>
      <c r="E38" s="29">
        <f>D38/D41</f>
        <v>0.46666666666666667</v>
      </c>
      <c r="F38" s="28">
        <v>67</v>
      </c>
      <c r="G38" s="29">
        <f>F38/F41</f>
        <v>0.53600000000000003</v>
      </c>
      <c r="H38" s="28">
        <v>289</v>
      </c>
      <c r="I38" s="29">
        <f>H38/H41</f>
        <v>0.53321033210332103</v>
      </c>
      <c r="J38" s="28">
        <v>133</v>
      </c>
      <c r="K38" s="29">
        <f>J38/J41</f>
        <v>0.54285714285714282</v>
      </c>
      <c r="L38" s="28">
        <v>358</v>
      </c>
      <c r="M38" s="29">
        <f>L38/L41</f>
        <v>0.53194650817236255</v>
      </c>
      <c r="N38" s="21">
        <f>B38+D38+F38+H38+J38+L38</f>
        <v>1027</v>
      </c>
      <c r="O38" s="29">
        <f>N38/N41</f>
        <v>0.52639671963095847</v>
      </c>
    </row>
    <row r="39" spans="1:16" x14ac:dyDescent="0.2">
      <c r="A39" s="20" t="s">
        <v>18</v>
      </c>
      <c r="B39" s="28">
        <v>26</v>
      </c>
      <c r="C39" s="29">
        <f>B39/B41</f>
        <v>7.407407407407407E-2</v>
      </c>
      <c r="D39" s="28"/>
      <c r="E39" s="29">
        <f>D39/D41</f>
        <v>0</v>
      </c>
      <c r="F39" s="28">
        <v>12</v>
      </c>
      <c r="G39" s="29">
        <f>F39/F41</f>
        <v>9.6000000000000002E-2</v>
      </c>
      <c r="H39" s="28">
        <v>34</v>
      </c>
      <c r="I39" s="29">
        <f>H39/H41</f>
        <v>6.273062730627306E-2</v>
      </c>
      <c r="J39" s="28">
        <v>20</v>
      </c>
      <c r="K39" s="29">
        <f>J39/J41</f>
        <v>8.1632653061224483E-2</v>
      </c>
      <c r="L39" s="28">
        <v>34</v>
      </c>
      <c r="M39" s="29">
        <f>L39/L41</f>
        <v>5.0520059435364043E-2</v>
      </c>
      <c r="N39" s="21">
        <f>B39+D39+F39+H39+J39+L39</f>
        <v>126</v>
      </c>
      <c r="O39" s="29">
        <f>N39/N41</f>
        <v>6.4582265504869299E-2</v>
      </c>
    </row>
    <row r="40" spans="1:16" x14ac:dyDescent="0.2">
      <c r="A40" s="20" t="s">
        <v>17</v>
      </c>
      <c r="B40" s="28">
        <v>8</v>
      </c>
      <c r="C40" s="29">
        <f>B40/B41</f>
        <v>2.2792022792022793E-2</v>
      </c>
      <c r="D40" s="28">
        <v>1</v>
      </c>
      <c r="E40" s="29">
        <f>D40/D41</f>
        <v>6.6666666666666666E-2</v>
      </c>
      <c r="F40" s="28">
        <v>8</v>
      </c>
      <c r="G40" s="29">
        <f>F40/F41</f>
        <v>6.4000000000000001E-2</v>
      </c>
      <c r="H40" s="28">
        <v>2</v>
      </c>
      <c r="I40" s="29">
        <f>H40/H41</f>
        <v>3.6900369003690036E-3</v>
      </c>
      <c r="J40" s="28">
        <v>5</v>
      </c>
      <c r="K40" s="29">
        <f>J40/J41</f>
        <v>2.0408163265306121E-2</v>
      </c>
      <c r="L40" s="28">
        <v>10</v>
      </c>
      <c r="M40" s="29">
        <f>L40/L41</f>
        <v>1.4858841010401188E-2</v>
      </c>
      <c r="N40" s="21">
        <f>B40+D40+F40+H40+J40+L40</f>
        <v>34</v>
      </c>
      <c r="O40" s="29">
        <f>N40/N41</f>
        <v>1.7426960533059969E-2</v>
      </c>
    </row>
    <row r="41" spans="1:16" s="11" customFormat="1" x14ac:dyDescent="0.2">
      <c r="A41" s="95" t="s">
        <v>1</v>
      </c>
      <c r="B41" s="22">
        <f t="shared" ref="B41" si="19">SUM(B37:B40)</f>
        <v>351</v>
      </c>
      <c r="C41" s="31">
        <f>SUM(C37:C40)</f>
        <v>1</v>
      </c>
      <c r="D41" s="22">
        <f t="shared" ref="D41" si="20">SUM(D37:D40)</f>
        <v>15</v>
      </c>
      <c r="E41" s="31">
        <f>SUM(E37:E40)</f>
        <v>1</v>
      </c>
      <c r="F41" s="22">
        <f t="shared" ref="F41" si="21">SUM(F37:F40)</f>
        <v>125</v>
      </c>
      <c r="G41" s="31">
        <f>SUM(G37:G40)</f>
        <v>1</v>
      </c>
      <c r="H41" s="22">
        <f t="shared" ref="H41" si="22">SUM(H37:H40)</f>
        <v>542</v>
      </c>
      <c r="I41" s="31">
        <f>SUM(I37:I40)</f>
        <v>1</v>
      </c>
      <c r="J41" s="22">
        <f t="shared" ref="J41" si="23">SUM(J37:J40)</f>
        <v>245</v>
      </c>
      <c r="K41" s="31">
        <f>SUM(K37:K40)</f>
        <v>0.99999999999999989</v>
      </c>
      <c r="L41" s="22">
        <f t="shared" ref="L41" si="24">SUM(L37:L40)</f>
        <v>673</v>
      </c>
      <c r="M41" s="31">
        <f>SUM(M37:M40)</f>
        <v>1</v>
      </c>
      <c r="N41" s="22">
        <f>SUM(N35:N40)</f>
        <v>1951</v>
      </c>
      <c r="O41" s="31">
        <f>SUM(O35:O40)</f>
        <v>1</v>
      </c>
      <c r="P41" s="10"/>
    </row>
    <row r="42" spans="1:16" x14ac:dyDescent="0.2">
      <c r="A42" s="95" t="s">
        <v>89</v>
      </c>
      <c r="B42" s="19"/>
      <c r="C42" s="54">
        <f>SUM(C37:C38)</f>
        <v>0.90313390313390318</v>
      </c>
      <c r="D42" s="19"/>
      <c r="E42" s="54">
        <f>SUM(E37:E38)</f>
        <v>0.93333333333333335</v>
      </c>
      <c r="F42" s="19"/>
      <c r="G42" s="54">
        <f>SUM(G37:G38)</f>
        <v>0.84000000000000008</v>
      </c>
      <c r="H42" s="19"/>
      <c r="I42" s="54">
        <f>SUM(I37:I38)</f>
        <v>0.93357933579335795</v>
      </c>
      <c r="J42" s="19"/>
      <c r="K42" s="54">
        <f>SUM(K37:K38)</f>
        <v>0.89795918367346927</v>
      </c>
      <c r="L42" s="19"/>
      <c r="M42" s="54">
        <f>SUM(M37:M38)</f>
        <v>0.93462109955423478</v>
      </c>
      <c r="N42" s="22"/>
      <c r="O42" s="54">
        <f>SUM(O37:O38)</f>
        <v>0.91799077396207074</v>
      </c>
    </row>
    <row r="43" spans="1:16" x14ac:dyDescent="0.2">
      <c r="A43" s="14"/>
      <c r="B43" s="4"/>
      <c r="C43" s="36"/>
      <c r="D43" s="36"/>
      <c r="E43" s="36"/>
      <c r="F43" s="36"/>
      <c r="G43" s="39"/>
      <c r="H43" s="36"/>
      <c r="I43" s="36"/>
      <c r="J43" s="36"/>
      <c r="K43" s="36"/>
      <c r="L43" s="36"/>
      <c r="M43" s="36"/>
      <c r="N43" s="36"/>
      <c r="O43" s="36"/>
    </row>
    <row r="44" spans="1:16" ht="12.75" customHeight="1" x14ac:dyDescent="0.2">
      <c r="A44" s="121" t="s">
        <v>49</v>
      </c>
      <c r="B44" s="122" t="s">
        <v>100</v>
      </c>
      <c r="C44" s="122"/>
      <c r="D44" s="122" t="s">
        <v>80</v>
      </c>
      <c r="E44" s="122"/>
      <c r="F44" s="123" t="s">
        <v>136</v>
      </c>
      <c r="G44" s="123"/>
      <c r="H44" s="122" t="s">
        <v>82</v>
      </c>
      <c r="I44" s="122"/>
      <c r="J44" s="122" t="s">
        <v>81</v>
      </c>
      <c r="K44" s="122"/>
      <c r="L44" s="122" t="s">
        <v>98</v>
      </c>
      <c r="M44" s="122"/>
      <c r="N44" s="116" t="s">
        <v>1</v>
      </c>
      <c r="O44" s="116"/>
    </row>
    <row r="45" spans="1:16" x14ac:dyDescent="0.2">
      <c r="A45" s="20" t="s">
        <v>20</v>
      </c>
      <c r="B45" s="28">
        <v>151</v>
      </c>
      <c r="C45" s="29">
        <f>B45/B49</f>
        <v>0.43266475644699143</v>
      </c>
      <c r="D45" s="28">
        <v>9</v>
      </c>
      <c r="E45" s="29">
        <f>D45/D49</f>
        <v>0.6</v>
      </c>
      <c r="F45" s="28">
        <v>40</v>
      </c>
      <c r="G45" s="29">
        <f>F45/F49</f>
        <v>0.32258064516129031</v>
      </c>
      <c r="H45" s="28">
        <v>226</v>
      </c>
      <c r="I45" s="29">
        <f>H45/H49</f>
        <v>0.41929499072356213</v>
      </c>
      <c r="J45" s="28">
        <v>78</v>
      </c>
      <c r="K45" s="29">
        <f>J45/J49</f>
        <v>0.31707317073170732</v>
      </c>
      <c r="L45" s="28">
        <v>275</v>
      </c>
      <c r="M45" s="29">
        <f>L45/L49</f>
        <v>0.40801186943620177</v>
      </c>
      <c r="N45" s="21">
        <f>B45+D45+F45+H45+J45+L45</f>
        <v>779</v>
      </c>
      <c r="O45" s="29">
        <f>N45/N49</f>
        <v>0.40010272213662046</v>
      </c>
    </row>
    <row r="46" spans="1:16" x14ac:dyDescent="0.2">
      <c r="A46" s="20" t="s">
        <v>19</v>
      </c>
      <c r="B46" s="28">
        <v>171</v>
      </c>
      <c r="C46" s="29">
        <f>B46/B49</f>
        <v>0.48997134670487108</v>
      </c>
      <c r="D46" s="28">
        <v>5</v>
      </c>
      <c r="E46" s="29">
        <f>D46/D49</f>
        <v>0.33333333333333331</v>
      </c>
      <c r="F46" s="28">
        <v>72</v>
      </c>
      <c r="G46" s="29">
        <f>F46/F49</f>
        <v>0.58064516129032262</v>
      </c>
      <c r="H46" s="28">
        <v>282</v>
      </c>
      <c r="I46" s="29">
        <f>H46/H49</f>
        <v>0.52319109461966606</v>
      </c>
      <c r="J46" s="28">
        <v>146</v>
      </c>
      <c r="K46" s="29">
        <f>J46/J49</f>
        <v>0.5934959349593496</v>
      </c>
      <c r="L46" s="28">
        <v>357</v>
      </c>
      <c r="M46" s="29">
        <f>L46/L49</f>
        <v>0.52967359050445106</v>
      </c>
      <c r="N46" s="21">
        <f>B46+D46+F46+H46+J46+L46</f>
        <v>1033</v>
      </c>
      <c r="O46" s="29">
        <f>N46/N49</f>
        <v>0.53055983564458142</v>
      </c>
    </row>
    <row r="47" spans="1:16" x14ac:dyDescent="0.2">
      <c r="A47" s="20" t="s">
        <v>18</v>
      </c>
      <c r="B47" s="28">
        <v>22</v>
      </c>
      <c r="C47" s="29">
        <f>B47/B49</f>
        <v>6.3037249283667621E-2</v>
      </c>
      <c r="D47" s="28"/>
      <c r="E47" s="29">
        <f>D47/D49</f>
        <v>0</v>
      </c>
      <c r="F47" s="28">
        <v>7</v>
      </c>
      <c r="G47" s="29">
        <f>F47/F49</f>
        <v>5.6451612903225805E-2</v>
      </c>
      <c r="H47" s="28">
        <v>28</v>
      </c>
      <c r="I47" s="29">
        <f>H47/H49</f>
        <v>5.1948051948051951E-2</v>
      </c>
      <c r="J47" s="28">
        <v>20</v>
      </c>
      <c r="K47" s="29">
        <f>J47/J49</f>
        <v>8.1300813008130079E-2</v>
      </c>
      <c r="L47" s="28">
        <v>37</v>
      </c>
      <c r="M47" s="29">
        <f>L47/L49</f>
        <v>5.4896142433234422E-2</v>
      </c>
      <c r="N47" s="21">
        <f>B47+D47+F47+H47+J47+L47</f>
        <v>114</v>
      </c>
      <c r="O47" s="29">
        <f>N47/N49</f>
        <v>5.8551617873651769E-2</v>
      </c>
    </row>
    <row r="48" spans="1:16" x14ac:dyDescent="0.2">
      <c r="A48" s="20" t="s">
        <v>17</v>
      </c>
      <c r="B48" s="28">
        <v>5</v>
      </c>
      <c r="C48" s="29">
        <f>B48/B49</f>
        <v>1.4326647564469915E-2</v>
      </c>
      <c r="D48" s="28">
        <v>1</v>
      </c>
      <c r="E48" s="29">
        <f>D48/D49</f>
        <v>6.6666666666666666E-2</v>
      </c>
      <c r="F48" s="28">
        <v>5</v>
      </c>
      <c r="G48" s="29">
        <f>F48/F49</f>
        <v>4.0322580645161289E-2</v>
      </c>
      <c r="H48" s="28">
        <v>3</v>
      </c>
      <c r="I48" s="29">
        <f>H48/H49</f>
        <v>5.5658627087198514E-3</v>
      </c>
      <c r="J48" s="28">
        <v>2</v>
      </c>
      <c r="K48" s="29">
        <f>J48/J49</f>
        <v>8.130081300813009E-3</v>
      </c>
      <c r="L48" s="28">
        <v>5</v>
      </c>
      <c r="M48" s="29">
        <f>L48/L49</f>
        <v>7.4183976261127599E-3</v>
      </c>
      <c r="N48" s="21">
        <f>B48+D48+F48+H48+J48+L48</f>
        <v>21</v>
      </c>
      <c r="O48" s="29">
        <f>N48/N49</f>
        <v>1.078582434514638E-2</v>
      </c>
    </row>
    <row r="49" spans="1:16" s="11" customFormat="1" x14ac:dyDescent="0.2">
      <c r="A49" s="95" t="s">
        <v>1</v>
      </c>
      <c r="B49" s="22">
        <f t="shared" ref="B49" si="25">SUM(B45:B48)</f>
        <v>349</v>
      </c>
      <c r="C49" s="31">
        <f>SUM(C45:C48)</f>
        <v>1</v>
      </c>
      <c r="D49" s="22">
        <f t="shared" ref="D49" si="26">SUM(D45:D48)</f>
        <v>15</v>
      </c>
      <c r="E49" s="31">
        <f>SUM(E45:E48)</f>
        <v>1</v>
      </c>
      <c r="F49" s="22">
        <f t="shared" ref="F49" si="27">SUM(F45:F48)</f>
        <v>124</v>
      </c>
      <c r="G49" s="31">
        <f>SUM(G45:G48)</f>
        <v>1</v>
      </c>
      <c r="H49" s="22">
        <f t="shared" ref="H49" si="28">SUM(H45:H48)</f>
        <v>539</v>
      </c>
      <c r="I49" s="31">
        <f>SUM(I45:I48)</f>
        <v>1</v>
      </c>
      <c r="J49" s="22">
        <f t="shared" ref="J49" si="29">SUM(J45:J48)</f>
        <v>246</v>
      </c>
      <c r="K49" s="31">
        <f>SUM(K45:K48)</f>
        <v>1</v>
      </c>
      <c r="L49" s="22">
        <f t="shared" ref="L49" si="30">SUM(L45:L48)</f>
        <v>674</v>
      </c>
      <c r="M49" s="31">
        <f>SUM(M45:M48)</f>
        <v>0.99999999999999989</v>
      </c>
      <c r="N49" s="22">
        <f>SUM(N43:N48)</f>
        <v>1947</v>
      </c>
      <c r="O49" s="31">
        <f>SUM(O43:O48)</f>
        <v>1</v>
      </c>
      <c r="P49" s="10"/>
    </row>
    <row r="50" spans="1:16" x14ac:dyDescent="0.2">
      <c r="A50" s="95" t="s">
        <v>89</v>
      </c>
      <c r="B50" s="19"/>
      <c r="C50" s="54">
        <f>SUM(C45:C46)</f>
        <v>0.92263610315186251</v>
      </c>
      <c r="D50" s="19"/>
      <c r="E50" s="54">
        <f>SUM(E45:E46)</f>
        <v>0.93333333333333335</v>
      </c>
      <c r="F50" s="19"/>
      <c r="G50" s="54">
        <f>SUM(G45:G46)</f>
        <v>0.90322580645161299</v>
      </c>
      <c r="H50" s="19"/>
      <c r="I50" s="54">
        <f>SUM(I45:I46)</f>
        <v>0.9424860853432282</v>
      </c>
      <c r="J50" s="19"/>
      <c r="K50" s="54">
        <f>SUM(K45:K46)</f>
        <v>0.91056910569105698</v>
      </c>
      <c r="L50" s="19"/>
      <c r="M50" s="54">
        <f>SUM(M45:M46)</f>
        <v>0.93768545994065278</v>
      </c>
      <c r="N50" s="22"/>
      <c r="O50" s="54">
        <f>SUM(O45:O46)</f>
        <v>0.93066255778120188</v>
      </c>
    </row>
    <row r="51" spans="1:16" x14ac:dyDescent="0.2">
      <c r="A51" s="14"/>
      <c r="B51" s="4"/>
      <c r="C51" s="36"/>
      <c r="D51" s="36"/>
      <c r="E51" s="36"/>
      <c r="F51" s="36"/>
      <c r="G51" s="39"/>
      <c r="H51" s="36"/>
      <c r="I51" s="36"/>
      <c r="J51" s="36"/>
      <c r="K51" s="36"/>
      <c r="L51" s="36"/>
      <c r="M51" s="36"/>
      <c r="N51" s="36"/>
      <c r="O51" s="36"/>
    </row>
    <row r="52" spans="1:16" ht="12.75" customHeight="1" x14ac:dyDescent="0.2">
      <c r="A52" s="121" t="s">
        <v>50</v>
      </c>
      <c r="B52" s="122" t="s">
        <v>100</v>
      </c>
      <c r="C52" s="122"/>
      <c r="D52" s="122" t="s">
        <v>80</v>
      </c>
      <c r="E52" s="122"/>
      <c r="F52" s="123" t="s">
        <v>136</v>
      </c>
      <c r="G52" s="123"/>
      <c r="H52" s="122" t="s">
        <v>82</v>
      </c>
      <c r="I52" s="122"/>
      <c r="J52" s="122" t="s">
        <v>81</v>
      </c>
      <c r="K52" s="122"/>
      <c r="L52" s="122" t="s">
        <v>98</v>
      </c>
      <c r="M52" s="122"/>
      <c r="N52" s="116" t="s">
        <v>1</v>
      </c>
      <c r="O52" s="116"/>
    </row>
    <row r="53" spans="1:16" x14ac:dyDescent="0.2">
      <c r="A53" s="20" t="s">
        <v>20</v>
      </c>
      <c r="B53" s="28">
        <v>223</v>
      </c>
      <c r="C53" s="29">
        <f>B53/B57</f>
        <v>0.63532763532763536</v>
      </c>
      <c r="D53" s="28">
        <v>12</v>
      </c>
      <c r="E53" s="29">
        <f>D53/D57</f>
        <v>0.8</v>
      </c>
      <c r="F53" s="28">
        <v>60</v>
      </c>
      <c r="G53" s="29">
        <f>F53/F57</f>
        <v>0.48</v>
      </c>
      <c r="H53" s="28">
        <v>346</v>
      </c>
      <c r="I53" s="29">
        <f>H53/H57</f>
        <v>0.64074074074074072</v>
      </c>
      <c r="J53" s="28">
        <v>124</v>
      </c>
      <c r="K53" s="29">
        <f>J53/J57</f>
        <v>0.5061224489795918</v>
      </c>
      <c r="L53" s="28">
        <v>392</v>
      </c>
      <c r="M53" s="29">
        <f>L53/L57</f>
        <v>0.58074074074074078</v>
      </c>
      <c r="N53" s="21">
        <f>B53+D53+F53+H53+J53+L53</f>
        <v>1157</v>
      </c>
      <c r="O53" s="29">
        <f>N53/N57</f>
        <v>0.59302921578677603</v>
      </c>
    </row>
    <row r="54" spans="1:16" x14ac:dyDescent="0.2">
      <c r="A54" s="20" t="s">
        <v>19</v>
      </c>
      <c r="B54" s="28">
        <v>126</v>
      </c>
      <c r="C54" s="29">
        <f>B54/B57</f>
        <v>0.35897435897435898</v>
      </c>
      <c r="D54" s="28">
        <v>3</v>
      </c>
      <c r="E54" s="29">
        <f>D54/D57</f>
        <v>0.2</v>
      </c>
      <c r="F54" s="28">
        <v>64</v>
      </c>
      <c r="G54" s="29">
        <f>F54/F57</f>
        <v>0.51200000000000001</v>
      </c>
      <c r="H54" s="28">
        <v>181</v>
      </c>
      <c r="I54" s="29">
        <f>H54/H57</f>
        <v>0.3351851851851852</v>
      </c>
      <c r="J54" s="28">
        <v>117</v>
      </c>
      <c r="K54" s="29">
        <f>J54/J57</f>
        <v>0.47755102040816327</v>
      </c>
      <c r="L54" s="28">
        <v>271</v>
      </c>
      <c r="M54" s="29">
        <f>L54/L57</f>
        <v>0.40148148148148149</v>
      </c>
      <c r="N54" s="21">
        <f>B54+D54+F54+H54+J54+L54</f>
        <v>762</v>
      </c>
      <c r="O54" s="29">
        <f>N54/N57</f>
        <v>0.39056893900563816</v>
      </c>
    </row>
    <row r="55" spans="1:16" x14ac:dyDescent="0.2">
      <c r="A55" s="20" t="s">
        <v>18</v>
      </c>
      <c r="B55" s="28">
        <v>2</v>
      </c>
      <c r="C55" s="29">
        <f>B55/B57</f>
        <v>5.6980056980056983E-3</v>
      </c>
      <c r="D55" s="28"/>
      <c r="E55" s="29">
        <f>D55/D57</f>
        <v>0</v>
      </c>
      <c r="F55" s="28"/>
      <c r="G55" s="29">
        <f>F55/F57</f>
        <v>0</v>
      </c>
      <c r="H55" s="28">
        <v>9</v>
      </c>
      <c r="I55" s="29">
        <f>H55/H57</f>
        <v>1.6666666666666666E-2</v>
      </c>
      <c r="J55" s="28">
        <v>3</v>
      </c>
      <c r="K55" s="29">
        <f>J55/J57</f>
        <v>1.2244897959183673E-2</v>
      </c>
      <c r="L55" s="28">
        <v>10</v>
      </c>
      <c r="M55" s="29">
        <f>L55/L57</f>
        <v>1.4814814814814815E-2</v>
      </c>
      <c r="N55" s="21">
        <f>B55+D55+F55+H55+J55+L55</f>
        <v>24</v>
      </c>
      <c r="O55" s="29">
        <f>N55/N57</f>
        <v>1.2301383905689391E-2</v>
      </c>
    </row>
    <row r="56" spans="1:16" x14ac:dyDescent="0.2">
      <c r="A56" s="20" t="s">
        <v>17</v>
      </c>
      <c r="B56" s="28"/>
      <c r="C56" s="29">
        <f>B56/B57</f>
        <v>0</v>
      </c>
      <c r="D56" s="28"/>
      <c r="E56" s="29">
        <f>D56/D57</f>
        <v>0</v>
      </c>
      <c r="F56" s="28">
        <v>1</v>
      </c>
      <c r="G56" s="29">
        <f>F56/F57</f>
        <v>8.0000000000000002E-3</v>
      </c>
      <c r="H56" s="28">
        <v>4</v>
      </c>
      <c r="I56" s="29">
        <f>H56/H57</f>
        <v>7.4074074074074077E-3</v>
      </c>
      <c r="J56" s="28">
        <v>1</v>
      </c>
      <c r="K56" s="29">
        <f>J56/J57</f>
        <v>4.0816326530612249E-3</v>
      </c>
      <c r="L56" s="28">
        <v>2</v>
      </c>
      <c r="M56" s="29">
        <f>L56/L57</f>
        <v>2.9629629629629628E-3</v>
      </c>
      <c r="N56" s="21">
        <f>B56+D56+F56+H56+J56+L56</f>
        <v>8</v>
      </c>
      <c r="O56" s="29">
        <f>N56/N57</f>
        <v>4.1004613018964632E-3</v>
      </c>
    </row>
    <row r="57" spans="1:16" s="11" customFormat="1" x14ac:dyDescent="0.2">
      <c r="A57" s="95" t="s">
        <v>1</v>
      </c>
      <c r="B57" s="22">
        <f t="shared" ref="B57" si="31">SUM(B53:B56)</f>
        <v>351</v>
      </c>
      <c r="C57" s="31">
        <f>SUM(C53:C56)</f>
        <v>1</v>
      </c>
      <c r="D57" s="22">
        <f t="shared" ref="D57" si="32">SUM(D53:D56)</f>
        <v>15</v>
      </c>
      <c r="E57" s="31">
        <f>SUM(E53:E56)</f>
        <v>1</v>
      </c>
      <c r="F57" s="22">
        <f t="shared" ref="F57" si="33">SUM(F53:F56)</f>
        <v>125</v>
      </c>
      <c r="G57" s="31">
        <f>SUM(G53:G56)</f>
        <v>1</v>
      </c>
      <c r="H57" s="22">
        <f t="shared" ref="H57" si="34">SUM(H53:H56)</f>
        <v>540</v>
      </c>
      <c r="I57" s="31">
        <f>SUM(I53:I56)</f>
        <v>1</v>
      </c>
      <c r="J57" s="22">
        <f t="shared" ref="J57" si="35">SUM(J53:J56)</f>
        <v>245</v>
      </c>
      <c r="K57" s="31">
        <f>SUM(K53:K56)</f>
        <v>1</v>
      </c>
      <c r="L57" s="22">
        <f t="shared" ref="L57" si="36">SUM(L53:L56)</f>
        <v>675</v>
      </c>
      <c r="M57" s="31">
        <f>SUM(M53:M56)</f>
        <v>1.0000000000000002</v>
      </c>
      <c r="N57" s="22">
        <f>SUM(N51:N56)</f>
        <v>1951</v>
      </c>
      <c r="O57" s="31">
        <f>SUM(O51:O56)</f>
        <v>1</v>
      </c>
      <c r="P57" s="10"/>
    </row>
    <row r="58" spans="1:16" x14ac:dyDescent="0.2">
      <c r="A58" s="95" t="s">
        <v>89</v>
      </c>
      <c r="B58" s="19"/>
      <c r="C58" s="54">
        <f>SUM(C53:C54)</f>
        <v>0.9943019943019944</v>
      </c>
      <c r="D58" s="19"/>
      <c r="E58" s="54">
        <f>SUM(E53:E54)</f>
        <v>1</v>
      </c>
      <c r="F58" s="19"/>
      <c r="G58" s="54">
        <f>SUM(G53:G54)</f>
        <v>0.99199999999999999</v>
      </c>
      <c r="H58" s="19"/>
      <c r="I58" s="54">
        <f>SUM(I53:I54)</f>
        <v>0.97592592592592586</v>
      </c>
      <c r="J58" s="19"/>
      <c r="K58" s="54">
        <f>SUM(K53:K54)</f>
        <v>0.98367346938775513</v>
      </c>
      <c r="L58" s="19"/>
      <c r="M58" s="54">
        <f>SUM(M53:M54)</f>
        <v>0.98222222222222233</v>
      </c>
      <c r="N58" s="22"/>
      <c r="O58" s="54">
        <f>SUM(O53:O54)</f>
        <v>0.98359815479241419</v>
      </c>
    </row>
    <row r="59" spans="1:16" x14ac:dyDescent="0.2">
      <c r="A59" s="14"/>
      <c r="B59" s="4"/>
      <c r="C59" s="36"/>
      <c r="D59" s="36"/>
      <c r="E59" s="36"/>
      <c r="F59" s="36"/>
      <c r="G59" s="39"/>
      <c r="H59" s="36"/>
      <c r="I59" s="36"/>
      <c r="J59" s="36"/>
      <c r="K59" s="36"/>
      <c r="L59" s="36"/>
      <c r="M59" s="36"/>
      <c r="N59" s="36"/>
      <c r="O59" s="36"/>
    </row>
    <row r="60" spans="1:16" ht="12.75" customHeight="1" x14ac:dyDescent="0.2">
      <c r="A60" s="121" t="s">
        <v>51</v>
      </c>
      <c r="B60" s="122" t="s">
        <v>100</v>
      </c>
      <c r="C60" s="122"/>
      <c r="D60" s="122" t="s">
        <v>80</v>
      </c>
      <c r="E60" s="122"/>
      <c r="F60" s="123" t="s">
        <v>136</v>
      </c>
      <c r="G60" s="123"/>
      <c r="H60" s="122" t="s">
        <v>82</v>
      </c>
      <c r="I60" s="122"/>
      <c r="J60" s="122" t="s">
        <v>81</v>
      </c>
      <c r="K60" s="122"/>
      <c r="L60" s="122" t="s">
        <v>98</v>
      </c>
      <c r="M60" s="122"/>
      <c r="N60" s="116" t="s">
        <v>1</v>
      </c>
      <c r="O60" s="116"/>
    </row>
    <row r="61" spans="1:16" x14ac:dyDescent="0.2">
      <c r="A61" s="20" t="s">
        <v>20</v>
      </c>
      <c r="B61" s="28">
        <v>106</v>
      </c>
      <c r="C61" s="29">
        <f>B61/B65</f>
        <v>0.30372492836676218</v>
      </c>
      <c r="D61" s="28">
        <v>6</v>
      </c>
      <c r="E61" s="29">
        <f>D61/D65</f>
        <v>0.4</v>
      </c>
      <c r="F61" s="28">
        <v>52</v>
      </c>
      <c r="G61" s="29">
        <f>F61/F65</f>
        <v>0.41269841269841268</v>
      </c>
      <c r="H61" s="28">
        <v>161</v>
      </c>
      <c r="I61" s="29">
        <f>H61/H65</f>
        <v>0.29759704251386321</v>
      </c>
      <c r="J61" s="28">
        <v>88</v>
      </c>
      <c r="K61" s="29">
        <f>J61/J65</f>
        <v>0.35772357723577236</v>
      </c>
      <c r="L61" s="28">
        <v>196</v>
      </c>
      <c r="M61" s="29">
        <f>L61/L65</f>
        <v>0.29166666666666669</v>
      </c>
      <c r="N61" s="21">
        <f>B61+D61+F61+H61+J61+L61</f>
        <v>609</v>
      </c>
      <c r="O61" s="29">
        <f>N61/N65</f>
        <v>0.31246793227296049</v>
      </c>
    </row>
    <row r="62" spans="1:16" x14ac:dyDescent="0.2">
      <c r="A62" s="20" t="s">
        <v>19</v>
      </c>
      <c r="B62" s="28">
        <v>187</v>
      </c>
      <c r="C62" s="29">
        <f>B62/B65</f>
        <v>0.53581661891117482</v>
      </c>
      <c r="D62" s="28">
        <v>5</v>
      </c>
      <c r="E62" s="29">
        <f>D62/D65</f>
        <v>0.33333333333333331</v>
      </c>
      <c r="F62" s="28">
        <v>54</v>
      </c>
      <c r="G62" s="29">
        <f>F62/F65</f>
        <v>0.42857142857142855</v>
      </c>
      <c r="H62" s="28">
        <v>277</v>
      </c>
      <c r="I62" s="29">
        <f>H62/H65</f>
        <v>0.51201478743068396</v>
      </c>
      <c r="J62" s="28">
        <v>125</v>
      </c>
      <c r="K62" s="29">
        <f>J62/J65</f>
        <v>0.50813008130081305</v>
      </c>
      <c r="L62" s="28">
        <v>354</v>
      </c>
      <c r="M62" s="29">
        <f>L62/L65</f>
        <v>0.5267857142857143</v>
      </c>
      <c r="N62" s="21">
        <f>B62+D62+F62+H62+J62+L62</f>
        <v>1002</v>
      </c>
      <c r="O62" s="29">
        <f>N62/N65</f>
        <v>0.51410979989738326</v>
      </c>
    </row>
    <row r="63" spans="1:16" x14ac:dyDescent="0.2">
      <c r="A63" s="20" t="s">
        <v>18</v>
      </c>
      <c r="B63" s="28">
        <v>48</v>
      </c>
      <c r="C63" s="29">
        <f>B63/B65</f>
        <v>0.13753581661891118</v>
      </c>
      <c r="D63" s="28">
        <v>1</v>
      </c>
      <c r="E63" s="29">
        <f>D63/D65</f>
        <v>6.6666666666666666E-2</v>
      </c>
      <c r="F63" s="28">
        <v>14</v>
      </c>
      <c r="G63" s="29">
        <f>F63/F65</f>
        <v>0.1111111111111111</v>
      </c>
      <c r="H63" s="28">
        <v>89</v>
      </c>
      <c r="I63" s="29">
        <f>H63/H65</f>
        <v>0.16451016635859519</v>
      </c>
      <c r="J63" s="28">
        <v>29</v>
      </c>
      <c r="K63" s="29">
        <f>J63/J65</f>
        <v>0.11788617886178862</v>
      </c>
      <c r="L63" s="28">
        <v>109</v>
      </c>
      <c r="M63" s="29">
        <f>L63/L65</f>
        <v>0.16220238095238096</v>
      </c>
      <c r="N63" s="21">
        <f>B63+D63+F63+H63+J63+L63</f>
        <v>290</v>
      </c>
      <c r="O63" s="29">
        <f>N63/N65</f>
        <v>0.14879425346331451</v>
      </c>
    </row>
    <row r="64" spans="1:16" x14ac:dyDescent="0.2">
      <c r="A64" s="20" t="s">
        <v>17</v>
      </c>
      <c r="B64" s="28">
        <v>8</v>
      </c>
      <c r="C64" s="29">
        <f>B64/B65</f>
        <v>2.2922636103151862E-2</v>
      </c>
      <c r="D64" s="28">
        <v>3</v>
      </c>
      <c r="E64" s="29">
        <f>D64/D65</f>
        <v>0.2</v>
      </c>
      <c r="F64" s="28">
        <v>6</v>
      </c>
      <c r="G64" s="29">
        <f>F64/F65</f>
        <v>4.7619047619047616E-2</v>
      </c>
      <c r="H64" s="28">
        <v>14</v>
      </c>
      <c r="I64" s="29">
        <f>H64/H65</f>
        <v>2.5878003696857672E-2</v>
      </c>
      <c r="J64" s="28">
        <v>4</v>
      </c>
      <c r="K64" s="29">
        <f>J64/J65</f>
        <v>1.6260162601626018E-2</v>
      </c>
      <c r="L64" s="28">
        <v>13</v>
      </c>
      <c r="M64" s="29">
        <f>L64/L65</f>
        <v>1.9345238095238096E-2</v>
      </c>
      <c r="N64" s="21">
        <f>B64+D64+F64+H64+J64+L64</f>
        <v>48</v>
      </c>
      <c r="O64" s="29">
        <f>N64/N65</f>
        <v>2.4628014366341714E-2</v>
      </c>
    </row>
    <row r="65" spans="1:16" s="11" customFormat="1" x14ac:dyDescent="0.2">
      <c r="A65" s="95" t="s">
        <v>1</v>
      </c>
      <c r="B65" s="22">
        <f t="shared" ref="B65" si="37">SUM(B61:B64)</f>
        <v>349</v>
      </c>
      <c r="C65" s="31">
        <f>SUM(C61:C64)</f>
        <v>1</v>
      </c>
      <c r="D65" s="22">
        <f t="shared" ref="D65" si="38">SUM(D61:D64)</f>
        <v>15</v>
      </c>
      <c r="E65" s="31">
        <f>SUM(E61:E64)</f>
        <v>1</v>
      </c>
      <c r="F65" s="22">
        <f t="shared" ref="F65" si="39">SUM(F61:F64)</f>
        <v>126</v>
      </c>
      <c r="G65" s="31">
        <f>SUM(G61:G64)</f>
        <v>1</v>
      </c>
      <c r="H65" s="22">
        <f t="shared" ref="H65" si="40">SUM(H61:H64)</f>
        <v>541</v>
      </c>
      <c r="I65" s="31">
        <f>SUM(I61:I64)</f>
        <v>1</v>
      </c>
      <c r="J65" s="22">
        <f t="shared" ref="J65" si="41">SUM(J61:J64)</f>
        <v>246</v>
      </c>
      <c r="K65" s="31">
        <f>SUM(K61:K64)</f>
        <v>1.0000000000000002</v>
      </c>
      <c r="L65" s="22">
        <f t="shared" ref="L65" si="42">SUM(L61:L64)</f>
        <v>672</v>
      </c>
      <c r="M65" s="31">
        <f>SUM(M61:M64)</f>
        <v>1</v>
      </c>
      <c r="N65" s="22">
        <f>SUM(N59:N64)</f>
        <v>1949</v>
      </c>
      <c r="O65" s="31">
        <f>SUM(O59:O64)</f>
        <v>1</v>
      </c>
      <c r="P65" s="10"/>
    </row>
    <row r="66" spans="1:16" x14ac:dyDescent="0.2">
      <c r="A66" s="95" t="s">
        <v>89</v>
      </c>
      <c r="B66" s="19"/>
      <c r="C66" s="54">
        <f>SUM(C61:C62)</f>
        <v>0.83954154727793706</v>
      </c>
      <c r="D66" s="19"/>
      <c r="E66" s="54">
        <f>SUM(E61:E62)</f>
        <v>0.73333333333333339</v>
      </c>
      <c r="F66" s="19"/>
      <c r="G66" s="54">
        <f>SUM(G61:G62)</f>
        <v>0.84126984126984117</v>
      </c>
      <c r="H66" s="19"/>
      <c r="I66" s="54">
        <f>SUM(I61:I62)</f>
        <v>0.80961182994454717</v>
      </c>
      <c r="J66" s="19"/>
      <c r="K66" s="54">
        <f>SUM(K61:K62)</f>
        <v>0.86585365853658547</v>
      </c>
      <c r="L66" s="19"/>
      <c r="M66" s="54">
        <f>SUM(M61:M62)</f>
        <v>0.81845238095238093</v>
      </c>
      <c r="N66" s="22"/>
      <c r="O66" s="54">
        <f>SUM(O61:O62)</f>
        <v>0.8265777321703438</v>
      </c>
    </row>
    <row r="67" spans="1:16" x14ac:dyDescent="0.2">
      <c r="A67" s="14"/>
      <c r="B67" s="4"/>
      <c r="C67" s="36"/>
      <c r="D67" s="36"/>
      <c r="E67" s="36"/>
      <c r="F67" s="36"/>
      <c r="G67" s="39"/>
      <c r="H67" s="36"/>
      <c r="I67" s="36"/>
      <c r="J67" s="36"/>
      <c r="K67" s="36"/>
      <c r="L67" s="36"/>
      <c r="M67" s="36"/>
      <c r="N67" s="36"/>
      <c r="O67" s="36"/>
    </row>
    <row r="68" spans="1:16" ht="12.75" customHeight="1" x14ac:dyDescent="0.2">
      <c r="A68" s="121" t="s">
        <v>52</v>
      </c>
      <c r="B68" s="122" t="s">
        <v>100</v>
      </c>
      <c r="C68" s="122"/>
      <c r="D68" s="122" t="s">
        <v>80</v>
      </c>
      <c r="E68" s="122"/>
      <c r="F68" s="123" t="s">
        <v>136</v>
      </c>
      <c r="G68" s="123"/>
      <c r="H68" s="122" t="s">
        <v>82</v>
      </c>
      <c r="I68" s="122"/>
      <c r="J68" s="122" t="s">
        <v>81</v>
      </c>
      <c r="K68" s="122"/>
      <c r="L68" s="122" t="s">
        <v>98</v>
      </c>
      <c r="M68" s="122"/>
      <c r="N68" s="116" t="s">
        <v>1</v>
      </c>
      <c r="O68" s="116"/>
    </row>
    <row r="69" spans="1:16" x14ac:dyDescent="0.2">
      <c r="A69" s="20" t="s">
        <v>20</v>
      </c>
      <c r="B69" s="28">
        <v>171</v>
      </c>
      <c r="C69" s="29">
        <f>B69/B73</f>
        <v>0.48579545454545453</v>
      </c>
      <c r="D69" s="28">
        <v>6</v>
      </c>
      <c r="E69" s="29">
        <f>D69/D73</f>
        <v>0.4</v>
      </c>
      <c r="F69" s="28">
        <v>48</v>
      </c>
      <c r="G69" s="29">
        <f>F69/F73</f>
        <v>0.38400000000000001</v>
      </c>
      <c r="H69" s="28">
        <v>240</v>
      </c>
      <c r="I69" s="29">
        <f>H69/H73</f>
        <v>0.44362292051756008</v>
      </c>
      <c r="J69" s="28">
        <v>99</v>
      </c>
      <c r="K69" s="29">
        <f>J69/J73</f>
        <v>0.40740740740740738</v>
      </c>
      <c r="L69" s="28">
        <v>323</v>
      </c>
      <c r="M69" s="29">
        <f>L69/L73</f>
        <v>0.47851851851851851</v>
      </c>
      <c r="N69" s="21">
        <f>B69+D69+F69+H69+J69+L69</f>
        <v>887</v>
      </c>
      <c r="O69" s="29">
        <f>N69/N73</f>
        <v>0.45463864684777039</v>
      </c>
    </row>
    <row r="70" spans="1:16" x14ac:dyDescent="0.2">
      <c r="A70" s="20" t="s">
        <v>19</v>
      </c>
      <c r="B70" s="28">
        <v>168</v>
      </c>
      <c r="C70" s="29">
        <f>B70/B73</f>
        <v>0.47727272727272729</v>
      </c>
      <c r="D70" s="28">
        <v>7</v>
      </c>
      <c r="E70" s="29">
        <f>D70/D73</f>
        <v>0.46666666666666667</v>
      </c>
      <c r="F70" s="28">
        <v>64</v>
      </c>
      <c r="G70" s="29">
        <f>F70/F73</f>
        <v>0.51200000000000001</v>
      </c>
      <c r="H70" s="28">
        <v>290</v>
      </c>
      <c r="I70" s="29">
        <f>H70/H73</f>
        <v>0.53604436229205177</v>
      </c>
      <c r="J70" s="28">
        <v>129</v>
      </c>
      <c r="K70" s="29">
        <f>J70/J73</f>
        <v>0.53086419753086422</v>
      </c>
      <c r="L70" s="28">
        <v>335</v>
      </c>
      <c r="M70" s="29">
        <f>L70/L73</f>
        <v>0.49629629629629629</v>
      </c>
      <c r="N70" s="21">
        <f>B70+D70+F70+H70+J70+L70</f>
        <v>993</v>
      </c>
      <c r="O70" s="29">
        <f>N70/N73</f>
        <v>0.50896975909789854</v>
      </c>
    </row>
    <row r="71" spans="1:16" x14ac:dyDescent="0.2">
      <c r="A71" s="20" t="s">
        <v>18</v>
      </c>
      <c r="B71" s="28">
        <v>10</v>
      </c>
      <c r="C71" s="29">
        <f>B71/B73</f>
        <v>2.8409090909090908E-2</v>
      </c>
      <c r="D71" s="28">
        <v>2</v>
      </c>
      <c r="E71" s="29">
        <f>D71/D73</f>
        <v>0.13333333333333333</v>
      </c>
      <c r="F71" s="28">
        <v>9</v>
      </c>
      <c r="G71" s="29">
        <f>F71/F73</f>
        <v>7.1999999999999995E-2</v>
      </c>
      <c r="H71" s="28">
        <v>10</v>
      </c>
      <c r="I71" s="29">
        <f>H71/H73</f>
        <v>1.8484288354898338E-2</v>
      </c>
      <c r="J71" s="28">
        <v>10</v>
      </c>
      <c r="K71" s="29">
        <f>J71/J73</f>
        <v>4.1152263374485597E-2</v>
      </c>
      <c r="L71" s="28">
        <v>11</v>
      </c>
      <c r="M71" s="29">
        <f>L71/L73</f>
        <v>1.6296296296296295E-2</v>
      </c>
      <c r="N71" s="21">
        <f>B71+D71+F71+H71+J71+L71</f>
        <v>52</v>
      </c>
      <c r="O71" s="29">
        <f>N71/N73</f>
        <v>2.6652998462327011E-2</v>
      </c>
    </row>
    <row r="72" spans="1:16" x14ac:dyDescent="0.2">
      <c r="A72" s="20" t="s">
        <v>17</v>
      </c>
      <c r="B72" s="28">
        <v>3</v>
      </c>
      <c r="C72" s="29">
        <f>B72/B73</f>
        <v>8.5227272727272721E-3</v>
      </c>
      <c r="D72" s="28"/>
      <c r="E72" s="29">
        <f>D72/D73</f>
        <v>0</v>
      </c>
      <c r="F72" s="28">
        <v>4</v>
      </c>
      <c r="G72" s="29">
        <f>F72/F73</f>
        <v>3.2000000000000001E-2</v>
      </c>
      <c r="H72" s="28">
        <v>1</v>
      </c>
      <c r="I72" s="29">
        <f>H72/H73</f>
        <v>1.8484288354898336E-3</v>
      </c>
      <c r="J72" s="28">
        <v>5</v>
      </c>
      <c r="K72" s="29">
        <f>J72/J73</f>
        <v>2.0576131687242798E-2</v>
      </c>
      <c r="L72" s="28">
        <v>6</v>
      </c>
      <c r="M72" s="29">
        <f>L72/L73</f>
        <v>8.8888888888888889E-3</v>
      </c>
      <c r="N72" s="21">
        <f>B72+D72+F72+H72+J72+L72</f>
        <v>19</v>
      </c>
      <c r="O72" s="29">
        <f>N72/N73</f>
        <v>9.7385955920041012E-3</v>
      </c>
    </row>
    <row r="73" spans="1:16" s="11" customFormat="1" x14ac:dyDescent="0.2">
      <c r="A73" s="95" t="s">
        <v>1</v>
      </c>
      <c r="B73" s="22">
        <f t="shared" ref="B73" si="43">SUM(B69:B72)</f>
        <v>352</v>
      </c>
      <c r="C73" s="31">
        <f>SUM(C69:C72)</f>
        <v>1</v>
      </c>
      <c r="D73" s="22">
        <f t="shared" ref="D73" si="44">SUM(D69:D72)</f>
        <v>15</v>
      </c>
      <c r="E73" s="31">
        <f>SUM(E69:E72)</f>
        <v>1</v>
      </c>
      <c r="F73" s="22">
        <f t="shared" ref="F73" si="45">SUM(F69:F72)</f>
        <v>125</v>
      </c>
      <c r="G73" s="31">
        <f>SUM(G69:G72)</f>
        <v>1</v>
      </c>
      <c r="H73" s="22">
        <f t="shared" ref="H73" si="46">SUM(H69:H72)</f>
        <v>541</v>
      </c>
      <c r="I73" s="31">
        <f>SUM(I69:I72)</f>
        <v>1</v>
      </c>
      <c r="J73" s="22">
        <f t="shared" ref="J73" si="47">SUM(J69:J72)</f>
        <v>243</v>
      </c>
      <c r="K73" s="31">
        <f>SUM(K69:K72)</f>
        <v>1</v>
      </c>
      <c r="L73" s="22">
        <f t="shared" ref="L73" si="48">SUM(L69:L72)</f>
        <v>675</v>
      </c>
      <c r="M73" s="31">
        <f>SUM(M69:M72)</f>
        <v>0.99999999999999989</v>
      </c>
      <c r="N73" s="22">
        <f>SUM(N67:N72)</f>
        <v>1951</v>
      </c>
      <c r="O73" s="31">
        <f>SUM(O67:O72)</f>
        <v>1</v>
      </c>
      <c r="P73" s="10"/>
    </row>
    <row r="74" spans="1:16" x14ac:dyDescent="0.2">
      <c r="A74" s="95" t="s">
        <v>89</v>
      </c>
      <c r="B74" s="19"/>
      <c r="C74" s="54">
        <f>SUM(C69:C70)</f>
        <v>0.96306818181818188</v>
      </c>
      <c r="D74" s="19"/>
      <c r="E74" s="54">
        <f>SUM(E69:E70)</f>
        <v>0.8666666666666667</v>
      </c>
      <c r="F74" s="19"/>
      <c r="G74" s="54">
        <f>SUM(G69:G70)</f>
        <v>0.89600000000000002</v>
      </c>
      <c r="H74" s="19"/>
      <c r="I74" s="54">
        <f>SUM(I69:I70)</f>
        <v>0.97966728280961179</v>
      </c>
      <c r="J74" s="19"/>
      <c r="K74" s="54">
        <f>SUM(K69:K70)</f>
        <v>0.93827160493827155</v>
      </c>
      <c r="L74" s="19"/>
      <c r="M74" s="54">
        <f>SUM(M69:M70)</f>
        <v>0.9748148148148148</v>
      </c>
      <c r="N74" s="22"/>
      <c r="O74" s="54">
        <f>SUM(O69:O70)</f>
        <v>0.96360840594566888</v>
      </c>
    </row>
    <row r="75" spans="1:16" x14ac:dyDescent="0.2">
      <c r="A75" s="14"/>
      <c r="B75" s="4"/>
      <c r="G75" s="8"/>
      <c r="H75" s="7"/>
    </row>
  </sheetData>
  <mergeCells count="63">
    <mergeCell ref="B4:C4"/>
    <mergeCell ref="D4:E4"/>
    <mergeCell ref="F4:G4"/>
    <mergeCell ref="H4:I4"/>
    <mergeCell ref="J4:K4"/>
    <mergeCell ref="B12:C12"/>
    <mergeCell ref="D12:E12"/>
    <mergeCell ref="F12:G12"/>
    <mergeCell ref="H12:I12"/>
    <mergeCell ref="J12:K12"/>
    <mergeCell ref="B52:C52"/>
    <mergeCell ref="N20:O20"/>
    <mergeCell ref="B28:C28"/>
    <mergeCell ref="D28:E28"/>
    <mergeCell ref="F28:G28"/>
    <mergeCell ref="H28:I28"/>
    <mergeCell ref="J28:K28"/>
    <mergeCell ref="L28:M28"/>
    <mergeCell ref="N28:O28"/>
    <mergeCell ref="B20:C20"/>
    <mergeCell ref="D20:E20"/>
    <mergeCell ref="F20:G20"/>
    <mergeCell ref="H20:I20"/>
    <mergeCell ref="J20:K20"/>
    <mergeCell ref="L20:M20"/>
    <mergeCell ref="B36:C36"/>
    <mergeCell ref="D36:E36"/>
    <mergeCell ref="F36:G36"/>
    <mergeCell ref="H36:I36"/>
    <mergeCell ref="J36:K36"/>
    <mergeCell ref="B44:C44"/>
    <mergeCell ref="D44:E44"/>
    <mergeCell ref="F44:G44"/>
    <mergeCell ref="H44:I44"/>
    <mergeCell ref="J44:K44"/>
    <mergeCell ref="N36:O36"/>
    <mergeCell ref="L44:M44"/>
    <mergeCell ref="N44:O44"/>
    <mergeCell ref="L36:M36"/>
    <mergeCell ref="N4:O4"/>
    <mergeCell ref="L12:M12"/>
    <mergeCell ref="N12:O12"/>
    <mergeCell ref="L4:M4"/>
    <mergeCell ref="D52:E52"/>
    <mergeCell ref="F52:G52"/>
    <mergeCell ref="H52:I52"/>
    <mergeCell ref="J52:K52"/>
    <mergeCell ref="N52:O52"/>
    <mergeCell ref="L52:M52"/>
    <mergeCell ref="N68:O68"/>
    <mergeCell ref="B68:C68"/>
    <mergeCell ref="D68:E68"/>
    <mergeCell ref="F68:G68"/>
    <mergeCell ref="H68:I68"/>
    <mergeCell ref="J68:K68"/>
    <mergeCell ref="L68:M68"/>
    <mergeCell ref="L60:M60"/>
    <mergeCell ref="N60:O60"/>
    <mergeCell ref="B60:C60"/>
    <mergeCell ref="D60:E60"/>
    <mergeCell ref="F60:G60"/>
    <mergeCell ref="H60:I60"/>
    <mergeCell ref="J60:K60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rowBreaks count="1" manualBreakCount="1">
    <brk id="35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topLeftCell="B1" zoomScaleNormal="100" workbookViewId="0">
      <selection activeCell="L44" sqref="L44:M44"/>
    </sheetView>
  </sheetViews>
  <sheetFormatPr defaultRowHeight="12.75" x14ac:dyDescent="0.2"/>
  <cols>
    <col min="1" max="1" width="33.42578125" style="16" customWidth="1"/>
    <col min="2" max="7" width="7.28515625" style="7" customWidth="1"/>
    <col min="8" max="8" width="7.28515625" style="8" customWidth="1"/>
    <col min="9" max="15" width="7.28515625" style="7" customWidth="1"/>
    <col min="16" max="16" width="9.140625" style="9"/>
    <col min="17" max="17" width="51" style="9" bestFit="1" customWidth="1"/>
    <col min="18" max="16384" width="9.140625" style="9"/>
  </cols>
  <sheetData>
    <row r="1" spans="1:24" ht="15.75" x14ac:dyDescent="0.2">
      <c r="A1" s="85" t="s">
        <v>213</v>
      </c>
    </row>
    <row r="2" spans="1:24" x14ac:dyDescent="0.2">
      <c r="A2" s="64" t="s">
        <v>104</v>
      </c>
      <c r="B2" s="1"/>
      <c r="C2" s="2"/>
      <c r="D2" s="1"/>
      <c r="E2" s="2"/>
      <c r="F2" s="1"/>
      <c r="G2" s="2"/>
      <c r="H2" s="1"/>
      <c r="I2" s="2"/>
      <c r="J2" s="1"/>
      <c r="K2" s="2"/>
      <c r="L2" s="1"/>
      <c r="M2" s="2"/>
      <c r="N2" s="12"/>
    </row>
    <row r="3" spans="1:24" x14ac:dyDescent="0.2">
      <c r="A3" s="64" t="s">
        <v>0</v>
      </c>
      <c r="B3" s="1"/>
      <c r="H3" s="7"/>
    </row>
    <row r="4" spans="1:24" ht="24" x14ac:dyDescent="0.2">
      <c r="A4" s="121" t="s">
        <v>58</v>
      </c>
      <c r="B4" s="122" t="s">
        <v>100</v>
      </c>
      <c r="C4" s="122"/>
      <c r="D4" s="122" t="s">
        <v>80</v>
      </c>
      <c r="E4" s="122"/>
      <c r="F4" s="123" t="s">
        <v>136</v>
      </c>
      <c r="G4" s="123"/>
      <c r="H4" s="122" t="s">
        <v>82</v>
      </c>
      <c r="I4" s="122"/>
      <c r="J4" s="122" t="s">
        <v>81</v>
      </c>
      <c r="K4" s="122"/>
      <c r="L4" s="122" t="s">
        <v>98</v>
      </c>
      <c r="M4" s="122"/>
      <c r="N4" s="116" t="s">
        <v>1</v>
      </c>
      <c r="O4" s="116"/>
      <c r="Q4" s="161" t="s">
        <v>44</v>
      </c>
      <c r="R4" s="139" t="s">
        <v>227</v>
      </c>
      <c r="S4" s="139" t="s">
        <v>80</v>
      </c>
      <c r="T4" s="160" t="s">
        <v>136</v>
      </c>
      <c r="U4" s="160" t="s">
        <v>82</v>
      </c>
      <c r="V4" s="160" t="s">
        <v>81</v>
      </c>
      <c r="W4" s="160" t="s">
        <v>226</v>
      </c>
      <c r="X4" s="140" t="s">
        <v>1</v>
      </c>
    </row>
    <row r="5" spans="1:24" x14ac:dyDescent="0.2">
      <c r="A5" s="20" t="s">
        <v>57</v>
      </c>
      <c r="B5" s="28">
        <v>86</v>
      </c>
      <c r="C5" s="29">
        <f>B5/B9</f>
        <v>0.33076923076923076</v>
      </c>
      <c r="D5" s="28">
        <v>7</v>
      </c>
      <c r="E5" s="29">
        <f>D5/D9</f>
        <v>0.58333333333333337</v>
      </c>
      <c r="F5" s="28">
        <v>31</v>
      </c>
      <c r="G5" s="29">
        <f>F5/F9</f>
        <v>0.33695652173913043</v>
      </c>
      <c r="H5" s="28">
        <v>141</v>
      </c>
      <c r="I5" s="29">
        <f>H5/H9</f>
        <v>0.32867132867132864</v>
      </c>
      <c r="J5" s="28">
        <v>63</v>
      </c>
      <c r="K5" s="29">
        <f>J5/J9</f>
        <v>0.34615384615384615</v>
      </c>
      <c r="L5" s="28">
        <v>180</v>
      </c>
      <c r="M5" s="29">
        <f>L5/L9</f>
        <v>0.34351145038167941</v>
      </c>
      <c r="N5" s="21">
        <f>B5+D5+F5+H5+J5+L5</f>
        <v>508</v>
      </c>
      <c r="O5" s="29">
        <f>N5/N9</f>
        <v>0.3388925950633756</v>
      </c>
      <c r="Q5" s="165" t="str">
        <f>A4</f>
        <v>Ability to organize ideas</v>
      </c>
      <c r="R5" s="157">
        <f>C10</f>
        <v>0.92692307692307696</v>
      </c>
      <c r="S5" s="157">
        <f>E10</f>
        <v>1</v>
      </c>
      <c r="T5" s="157">
        <f>G10</f>
        <v>0.90217391304347827</v>
      </c>
      <c r="U5" s="157">
        <f>I10</f>
        <v>0.96270396270396263</v>
      </c>
      <c r="V5" s="157">
        <f>K10</f>
        <v>0.93406593406593408</v>
      </c>
      <c r="W5" s="157">
        <f>M10</f>
        <v>0.94465648854961837</v>
      </c>
      <c r="X5" s="157">
        <f>O10</f>
        <v>0.94329553035356906</v>
      </c>
    </row>
    <row r="6" spans="1:24" x14ac:dyDescent="0.2">
      <c r="A6" s="20" t="s">
        <v>56</v>
      </c>
      <c r="B6" s="28">
        <v>155</v>
      </c>
      <c r="C6" s="29">
        <f>B6/B9</f>
        <v>0.59615384615384615</v>
      </c>
      <c r="D6" s="28">
        <v>5</v>
      </c>
      <c r="E6" s="29">
        <f>D6/D9</f>
        <v>0.41666666666666669</v>
      </c>
      <c r="F6" s="28">
        <v>52</v>
      </c>
      <c r="G6" s="29">
        <f>F6/F9</f>
        <v>0.56521739130434778</v>
      </c>
      <c r="H6" s="28">
        <v>272</v>
      </c>
      <c r="I6" s="29">
        <f>H6/H9</f>
        <v>0.63403263403263399</v>
      </c>
      <c r="J6" s="28">
        <v>107</v>
      </c>
      <c r="K6" s="29">
        <f>J6/J9</f>
        <v>0.58791208791208793</v>
      </c>
      <c r="L6" s="28">
        <v>315</v>
      </c>
      <c r="M6" s="29">
        <f>L6/L9</f>
        <v>0.60114503816793896</v>
      </c>
      <c r="N6" s="21">
        <f>B6+D6+F6+H6+J6+L6</f>
        <v>906</v>
      </c>
      <c r="O6" s="29">
        <f>N6/N9</f>
        <v>0.60440293529019351</v>
      </c>
      <c r="Q6" s="165" t="str">
        <f>A12</f>
        <v>Ability to think critically</v>
      </c>
      <c r="R6" s="157">
        <f>C18</f>
        <v>0.95736434108527124</v>
      </c>
      <c r="S6" s="157">
        <f>E18</f>
        <v>1</v>
      </c>
      <c r="T6" s="157">
        <f>G18</f>
        <v>0.91397849462365588</v>
      </c>
      <c r="U6" s="157">
        <f>I18</f>
        <v>0.95591647331786544</v>
      </c>
      <c r="V6" s="157">
        <f>K18</f>
        <v>0.946524064171123</v>
      </c>
      <c r="W6" s="157">
        <f>M18</f>
        <v>0.95327102803738328</v>
      </c>
      <c r="X6" s="157">
        <f>O18</f>
        <v>0.9518151815181517</v>
      </c>
    </row>
    <row r="7" spans="1:24" x14ac:dyDescent="0.2">
      <c r="A7" s="20" t="s">
        <v>55</v>
      </c>
      <c r="B7" s="28">
        <v>17</v>
      </c>
      <c r="C7" s="29">
        <f>B7/B9</f>
        <v>6.5384615384615388E-2</v>
      </c>
      <c r="D7" s="28"/>
      <c r="E7" s="29">
        <f>D7/D9</f>
        <v>0</v>
      </c>
      <c r="F7" s="28">
        <v>7</v>
      </c>
      <c r="G7" s="29">
        <f>F7/F9</f>
        <v>7.6086956521739135E-2</v>
      </c>
      <c r="H7" s="28">
        <v>16</v>
      </c>
      <c r="I7" s="29">
        <f>H7/H9</f>
        <v>3.7296037296037296E-2</v>
      </c>
      <c r="J7" s="28">
        <v>8</v>
      </c>
      <c r="K7" s="29">
        <f>J7/J9</f>
        <v>4.3956043956043959E-2</v>
      </c>
      <c r="L7" s="28">
        <v>23</v>
      </c>
      <c r="M7" s="29">
        <f>L7/L9</f>
        <v>4.3893129770992363E-2</v>
      </c>
      <c r="N7" s="21">
        <f>B7+D7+F7+H7+J7+L7</f>
        <v>71</v>
      </c>
      <c r="O7" s="29">
        <f>N7/N9</f>
        <v>4.7364909939959975E-2</v>
      </c>
      <c r="Q7" s="165" t="str">
        <f>A20</f>
        <v>Ability to write with clarity</v>
      </c>
      <c r="R7" s="157">
        <f>C26</f>
        <v>0.95510204081632655</v>
      </c>
      <c r="S7" s="157">
        <f>E26</f>
        <v>0.92307692307692313</v>
      </c>
      <c r="T7" s="157">
        <f>G26</f>
        <v>0.91489361702127647</v>
      </c>
      <c r="U7" s="157">
        <f>I26</f>
        <v>0.95774647887323938</v>
      </c>
      <c r="V7" s="157">
        <f>K26</f>
        <v>0.9414893617021276</v>
      </c>
      <c r="W7" s="157">
        <f>M26</f>
        <v>0.94756554307116114</v>
      </c>
      <c r="X7" s="157">
        <f>O26</f>
        <v>0.94866666666666666</v>
      </c>
    </row>
    <row r="8" spans="1:24" x14ac:dyDescent="0.2">
      <c r="A8" s="20" t="s">
        <v>54</v>
      </c>
      <c r="B8" s="28">
        <v>2</v>
      </c>
      <c r="C8" s="29">
        <f>B8/B9</f>
        <v>7.6923076923076927E-3</v>
      </c>
      <c r="D8" s="28"/>
      <c r="E8" s="29">
        <f>D8/D9</f>
        <v>0</v>
      </c>
      <c r="F8" s="28">
        <v>2</v>
      </c>
      <c r="G8" s="29">
        <f>F8/F9</f>
        <v>2.1739130434782608E-2</v>
      </c>
      <c r="H8" s="28"/>
      <c r="I8" s="29">
        <f>H8/H9</f>
        <v>0</v>
      </c>
      <c r="J8" s="28">
        <v>4</v>
      </c>
      <c r="K8" s="29">
        <f>J8/J9</f>
        <v>2.197802197802198E-2</v>
      </c>
      <c r="L8" s="28">
        <v>6</v>
      </c>
      <c r="M8" s="29">
        <f>L8/L9</f>
        <v>1.1450381679389313E-2</v>
      </c>
      <c r="N8" s="21">
        <f>B8+D8+F8+H8+J8+L8</f>
        <v>14</v>
      </c>
      <c r="O8" s="29">
        <f>N8/N9</f>
        <v>9.3395597064709814E-3</v>
      </c>
      <c r="Q8" s="165" t="str">
        <f>A28</f>
        <v>Ability to speak with clarity</v>
      </c>
      <c r="R8" s="157">
        <f>C34</f>
        <v>0.93625498007968133</v>
      </c>
      <c r="S8" s="157">
        <f>E34</f>
        <v>1</v>
      </c>
      <c r="T8" s="157">
        <f>G34</f>
        <v>0.9101123595505618</v>
      </c>
      <c r="U8" s="157">
        <f>I34</f>
        <v>0.93601895734597163</v>
      </c>
      <c r="V8" s="157">
        <f>K34</f>
        <v>0.93854748603351956</v>
      </c>
      <c r="W8" s="157">
        <f>M34</f>
        <v>0.94817658349328215</v>
      </c>
      <c r="X8" s="157">
        <f>O34</f>
        <v>0.93957909029192122</v>
      </c>
    </row>
    <row r="9" spans="1:24" s="11" customFormat="1" x14ac:dyDescent="0.2">
      <c r="A9" s="95" t="s">
        <v>1</v>
      </c>
      <c r="B9" s="22">
        <f t="shared" ref="B9:L9" si="0">SUM(B5:B8)</f>
        <v>260</v>
      </c>
      <c r="C9" s="31">
        <f>SUM(C5:C8)</f>
        <v>1</v>
      </c>
      <c r="D9" s="22">
        <f t="shared" si="0"/>
        <v>12</v>
      </c>
      <c r="E9" s="31">
        <f>SUM(E5:E8)</f>
        <v>1</v>
      </c>
      <c r="F9" s="22">
        <f t="shared" si="0"/>
        <v>92</v>
      </c>
      <c r="G9" s="31">
        <f>SUM(G5:G8)</f>
        <v>1</v>
      </c>
      <c r="H9" s="22">
        <f t="shared" si="0"/>
        <v>429</v>
      </c>
      <c r="I9" s="31">
        <f>SUM(I5:I8)</f>
        <v>0.99999999999999989</v>
      </c>
      <c r="J9" s="22">
        <f t="shared" si="0"/>
        <v>182</v>
      </c>
      <c r="K9" s="31">
        <f>SUM(K5:K8)</f>
        <v>1</v>
      </c>
      <c r="L9" s="22">
        <f t="shared" si="0"/>
        <v>524</v>
      </c>
      <c r="M9" s="31">
        <f>SUM(M5:M8)</f>
        <v>1</v>
      </c>
      <c r="N9" s="22">
        <f>SUM(N3:N8)</f>
        <v>1499</v>
      </c>
      <c r="O9" s="31">
        <f>SUM(O3:O8)</f>
        <v>1</v>
      </c>
      <c r="Q9" s="165" t="str">
        <f>A36</f>
        <v>Ability and skills in problem solving</v>
      </c>
      <c r="R9" s="157">
        <f>C42</f>
        <v>0.97397769516728627</v>
      </c>
      <c r="S9" s="157">
        <f>E42</f>
        <v>1</v>
      </c>
      <c r="T9" s="157">
        <f>G42</f>
        <v>0.90109890109890101</v>
      </c>
      <c r="U9" s="157">
        <f>I42</f>
        <v>0.96270396270396263</v>
      </c>
      <c r="V9" s="157">
        <f>K42</f>
        <v>0.96825396825396814</v>
      </c>
      <c r="W9" s="157">
        <f>M42</f>
        <v>0.95202952029520294</v>
      </c>
      <c r="X9" s="157">
        <f>O42</f>
        <v>0.95819725669497058</v>
      </c>
    </row>
    <row r="10" spans="1:24" x14ac:dyDescent="0.2">
      <c r="A10" s="95" t="s">
        <v>91</v>
      </c>
      <c r="B10" s="19"/>
      <c r="C10" s="54">
        <f>SUM(C5:C6)</f>
        <v>0.92692307692307696</v>
      </c>
      <c r="D10" s="19"/>
      <c r="E10" s="54">
        <f>SUM(E5:E6)</f>
        <v>1</v>
      </c>
      <c r="F10" s="19"/>
      <c r="G10" s="54">
        <f>SUM(G5:G6)</f>
        <v>0.90217391304347827</v>
      </c>
      <c r="H10" s="19"/>
      <c r="I10" s="54">
        <f>SUM(I5:I6)</f>
        <v>0.96270396270396263</v>
      </c>
      <c r="J10" s="19"/>
      <c r="K10" s="54">
        <f>SUM(K5:K6)</f>
        <v>0.93406593406593408</v>
      </c>
      <c r="L10" s="19"/>
      <c r="M10" s="54">
        <f>SUM(M5:M6)</f>
        <v>0.94465648854961837</v>
      </c>
      <c r="N10" s="22"/>
      <c r="O10" s="54">
        <f>SUM(O5:O6)</f>
        <v>0.94329553035356906</v>
      </c>
      <c r="Q10" s="165" t="str">
        <f>A44</f>
        <v>Knowledge of methods &amp; problems in the social sciences</v>
      </c>
      <c r="R10" s="157">
        <f>C50</f>
        <v>0.94716981132075473</v>
      </c>
      <c r="S10" s="157">
        <f>E50</f>
        <v>1</v>
      </c>
      <c r="T10" s="157">
        <f>G50</f>
        <v>0.91666666666666663</v>
      </c>
      <c r="U10" s="157">
        <f>I50</f>
        <v>0.94654788418708247</v>
      </c>
      <c r="V10" s="157">
        <f>K50</f>
        <v>0.93085106382978722</v>
      </c>
      <c r="W10" s="157">
        <f>M50</f>
        <v>0.94824399260628467</v>
      </c>
      <c r="X10" s="157">
        <f>O50</f>
        <v>0.94390715667311409</v>
      </c>
    </row>
    <row r="11" spans="1:24" x14ac:dyDescent="0.2">
      <c r="A11" s="14"/>
      <c r="B11" s="1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 t="s">
        <v>0</v>
      </c>
      <c r="Q11" s="165" t="str">
        <f>A52</f>
        <v>Knowledge of methods &amp; achievements in science</v>
      </c>
      <c r="R11" s="157">
        <f>C58</f>
        <v>0.95035460992907794</v>
      </c>
      <c r="S11" s="157">
        <f>E58</f>
        <v>0.90909090909090906</v>
      </c>
      <c r="T11" s="157">
        <f>G58</f>
        <v>0.90816326530612246</v>
      </c>
      <c r="U11" s="157">
        <f>I58</f>
        <v>0.92765957446808511</v>
      </c>
      <c r="V11" s="157">
        <f>K58</f>
        <v>0.91489361702127669</v>
      </c>
      <c r="W11" s="157">
        <f>M58</f>
        <v>0.93189964157706084</v>
      </c>
      <c r="X11" s="157">
        <f>O58</f>
        <v>0.93030491599253273</v>
      </c>
    </row>
    <row r="12" spans="1:24" ht="12.75" customHeight="1" x14ac:dyDescent="0.2">
      <c r="A12" s="121" t="s">
        <v>59</v>
      </c>
      <c r="B12" s="122" t="s">
        <v>100</v>
      </c>
      <c r="C12" s="122"/>
      <c r="D12" s="122" t="s">
        <v>80</v>
      </c>
      <c r="E12" s="122"/>
      <c r="F12" s="123" t="s">
        <v>136</v>
      </c>
      <c r="G12" s="123"/>
      <c r="H12" s="122" t="s">
        <v>82</v>
      </c>
      <c r="I12" s="122"/>
      <c r="J12" s="122" t="s">
        <v>81</v>
      </c>
      <c r="K12" s="122"/>
      <c r="L12" s="122" t="s">
        <v>98</v>
      </c>
      <c r="M12" s="122"/>
      <c r="N12" s="116" t="s">
        <v>1</v>
      </c>
      <c r="O12" s="116"/>
      <c r="Q12" s="165" t="str">
        <f>A60</f>
        <v>Knowledge &amp; skills in mathematics</v>
      </c>
      <c r="R12" s="157">
        <f>C66</f>
        <v>0.91999999999999993</v>
      </c>
      <c r="S12" s="157">
        <f>E66</f>
        <v>0.90909090909090906</v>
      </c>
      <c r="T12" s="166">
        <f>G66</f>
        <v>0.8666666666666667</v>
      </c>
      <c r="U12" s="166">
        <f>I66</f>
        <v>0.88427947598253276</v>
      </c>
      <c r="V12" s="166">
        <f>K66</f>
        <v>0.89417989417989419</v>
      </c>
      <c r="W12" s="157">
        <f>M66</f>
        <v>0.90476190476190477</v>
      </c>
      <c r="X12" s="157">
        <f>O66</f>
        <v>0.89781931464174458</v>
      </c>
    </row>
    <row r="13" spans="1:24" x14ac:dyDescent="0.2">
      <c r="A13" s="20" t="s">
        <v>57</v>
      </c>
      <c r="B13" s="28">
        <v>106</v>
      </c>
      <c r="C13" s="29">
        <f>B13/B17</f>
        <v>0.41085271317829458</v>
      </c>
      <c r="D13" s="28">
        <v>5</v>
      </c>
      <c r="E13" s="29">
        <f>D13/D17</f>
        <v>0.45454545454545453</v>
      </c>
      <c r="F13" s="28">
        <v>34</v>
      </c>
      <c r="G13" s="29">
        <f>F13/F17</f>
        <v>0.36559139784946237</v>
      </c>
      <c r="H13" s="28">
        <v>162</v>
      </c>
      <c r="I13" s="29">
        <f>H13/H17</f>
        <v>0.37587006960556846</v>
      </c>
      <c r="J13" s="28">
        <v>71</v>
      </c>
      <c r="K13" s="29">
        <f>J13/J17</f>
        <v>0.37967914438502676</v>
      </c>
      <c r="L13" s="28">
        <v>206</v>
      </c>
      <c r="M13" s="29">
        <f>L13/L17</f>
        <v>0.38504672897196263</v>
      </c>
      <c r="N13" s="21">
        <f>B13+D13+F13+H13+J13+L13</f>
        <v>584</v>
      </c>
      <c r="O13" s="29">
        <f>N13/N17</f>
        <v>0.38547854785478547</v>
      </c>
      <c r="Q13" s="165" t="str">
        <f>A68</f>
        <v>Awareness &amp; appreciation of the arts and humanities</v>
      </c>
      <c r="R13" s="157">
        <f>C74</f>
        <v>0.95719844357976647</v>
      </c>
      <c r="S13" s="157">
        <f>E74</f>
        <v>1</v>
      </c>
      <c r="T13" s="157">
        <f>G74</f>
        <v>0.94791666666666674</v>
      </c>
      <c r="U13" s="157">
        <f>I74</f>
        <v>0.94651162790697674</v>
      </c>
      <c r="V13" s="157">
        <f>K74</f>
        <v>0.92391304347826098</v>
      </c>
      <c r="W13" s="157">
        <f>M74</f>
        <v>0.92975970425138632</v>
      </c>
      <c r="X13" s="157">
        <f>O74</f>
        <v>0.94013157894736843</v>
      </c>
    </row>
    <row r="14" spans="1:24" x14ac:dyDescent="0.2">
      <c r="A14" s="20" t="s">
        <v>56</v>
      </c>
      <c r="B14" s="28">
        <v>141</v>
      </c>
      <c r="C14" s="29">
        <f>B14/B17</f>
        <v>0.54651162790697672</v>
      </c>
      <c r="D14" s="28">
        <v>6</v>
      </c>
      <c r="E14" s="29">
        <f>D14/D17</f>
        <v>0.54545454545454541</v>
      </c>
      <c r="F14" s="28">
        <v>51</v>
      </c>
      <c r="G14" s="29">
        <f>F14/F17</f>
        <v>0.54838709677419351</v>
      </c>
      <c r="H14" s="28">
        <v>250</v>
      </c>
      <c r="I14" s="29">
        <f>H14/H17</f>
        <v>0.58004640371229699</v>
      </c>
      <c r="J14" s="28">
        <v>106</v>
      </c>
      <c r="K14" s="29">
        <f>J14/J17</f>
        <v>0.5668449197860963</v>
      </c>
      <c r="L14" s="28">
        <v>304</v>
      </c>
      <c r="M14" s="29">
        <f>L14/L17</f>
        <v>0.5682242990654206</v>
      </c>
      <c r="N14" s="21">
        <f>B14+D14+F14+H14+J14+L14</f>
        <v>858</v>
      </c>
      <c r="O14" s="29">
        <f>N14/N17</f>
        <v>0.56633663366336628</v>
      </c>
      <c r="Q14" s="165" t="str">
        <f>A76</f>
        <v>Awareness &amp; understanding of ethics</v>
      </c>
      <c r="R14" s="157">
        <f>C82</f>
        <v>0.93798449612403112</v>
      </c>
      <c r="S14" s="157">
        <f>E82</f>
        <v>1</v>
      </c>
      <c r="T14" s="157">
        <f>G82</f>
        <v>0.91397849462365599</v>
      </c>
      <c r="U14" s="157">
        <f>I82</f>
        <v>0.94536817102137771</v>
      </c>
      <c r="V14" s="157">
        <f>K82</f>
        <v>0.93684210526315792</v>
      </c>
      <c r="W14" s="157">
        <f>M82</f>
        <v>0.94296577946768068</v>
      </c>
      <c r="X14" s="157">
        <f>O82</f>
        <v>0.94066666666666676</v>
      </c>
    </row>
    <row r="15" spans="1:24" x14ac:dyDescent="0.2">
      <c r="A15" s="20" t="s">
        <v>55</v>
      </c>
      <c r="B15" s="28">
        <v>9</v>
      </c>
      <c r="C15" s="29">
        <f>B15/B17</f>
        <v>3.4883720930232558E-2</v>
      </c>
      <c r="D15" s="28"/>
      <c r="E15" s="29">
        <f>D15/D17</f>
        <v>0</v>
      </c>
      <c r="F15" s="28">
        <v>8</v>
      </c>
      <c r="G15" s="29">
        <f>F15/F17</f>
        <v>8.6021505376344093E-2</v>
      </c>
      <c r="H15" s="28">
        <v>17</v>
      </c>
      <c r="I15" s="29">
        <f>H15/H17</f>
        <v>3.9443155452436193E-2</v>
      </c>
      <c r="J15" s="28">
        <v>7</v>
      </c>
      <c r="K15" s="29">
        <f>J15/J17</f>
        <v>3.7433155080213901E-2</v>
      </c>
      <c r="L15" s="28">
        <v>21</v>
      </c>
      <c r="M15" s="29">
        <f>L15/L17</f>
        <v>3.925233644859813E-2</v>
      </c>
      <c r="N15" s="21">
        <f>B15+D15+F15+H15+J15+L15</f>
        <v>62</v>
      </c>
      <c r="O15" s="29">
        <f>N15/N17</f>
        <v>4.0924092409240921E-2</v>
      </c>
    </row>
    <row r="16" spans="1:24" x14ac:dyDescent="0.2">
      <c r="A16" s="20" t="s">
        <v>54</v>
      </c>
      <c r="B16" s="28">
        <v>2</v>
      </c>
      <c r="C16" s="29">
        <f>B16/B17</f>
        <v>7.7519379844961239E-3</v>
      </c>
      <c r="D16" s="28"/>
      <c r="E16" s="29">
        <f>D16/D17</f>
        <v>0</v>
      </c>
      <c r="F16" s="28"/>
      <c r="G16" s="29">
        <f>F16/F17</f>
        <v>0</v>
      </c>
      <c r="H16" s="28">
        <v>2</v>
      </c>
      <c r="I16" s="29">
        <f>H16/H17</f>
        <v>4.6403712296983757E-3</v>
      </c>
      <c r="J16" s="28">
        <v>3</v>
      </c>
      <c r="K16" s="29">
        <f>J16/J17</f>
        <v>1.6042780748663103E-2</v>
      </c>
      <c r="L16" s="28">
        <v>4</v>
      </c>
      <c r="M16" s="29">
        <f>L16/L17</f>
        <v>7.4766355140186919E-3</v>
      </c>
      <c r="N16" s="21">
        <f>B16+D16+F16+H16+J16+L16</f>
        <v>11</v>
      </c>
      <c r="O16" s="29">
        <f>N16/N17</f>
        <v>7.2607260726072608E-3</v>
      </c>
    </row>
    <row r="17" spans="1:15" s="11" customFormat="1" x14ac:dyDescent="0.2">
      <c r="A17" s="95" t="s">
        <v>1</v>
      </c>
      <c r="B17" s="22">
        <f t="shared" ref="B17:L17" si="1">SUM(B13:B16)</f>
        <v>258</v>
      </c>
      <c r="C17" s="31">
        <f>SUM(C13:C16)</f>
        <v>0.99999999999999989</v>
      </c>
      <c r="D17" s="22">
        <f t="shared" si="1"/>
        <v>11</v>
      </c>
      <c r="E17" s="31">
        <f>SUM(E13:E16)</f>
        <v>1</v>
      </c>
      <c r="F17" s="22">
        <f t="shared" si="1"/>
        <v>93</v>
      </c>
      <c r="G17" s="31">
        <f>SUM(G13:G16)</f>
        <v>1</v>
      </c>
      <c r="H17" s="22">
        <f t="shared" si="1"/>
        <v>431</v>
      </c>
      <c r="I17" s="31">
        <f>SUM(I13:I16)</f>
        <v>1</v>
      </c>
      <c r="J17" s="22">
        <f t="shared" si="1"/>
        <v>187</v>
      </c>
      <c r="K17" s="31">
        <f>SUM(K13:K16)</f>
        <v>1</v>
      </c>
      <c r="L17" s="22">
        <f t="shared" si="1"/>
        <v>535</v>
      </c>
      <c r="M17" s="31">
        <f>SUM(M13:M16)</f>
        <v>1.0000000000000002</v>
      </c>
      <c r="N17" s="22">
        <f>SUM(N11:N16)</f>
        <v>1515</v>
      </c>
      <c r="O17" s="31">
        <f>SUM(O11:O16)</f>
        <v>0.99999999999999989</v>
      </c>
    </row>
    <row r="18" spans="1:15" x14ac:dyDescent="0.2">
      <c r="A18" s="95" t="s">
        <v>91</v>
      </c>
      <c r="B18" s="19"/>
      <c r="C18" s="54">
        <f>SUM(C13:C14)</f>
        <v>0.95736434108527124</v>
      </c>
      <c r="D18" s="19"/>
      <c r="E18" s="54">
        <f>SUM(E13:E14)</f>
        <v>1</v>
      </c>
      <c r="F18" s="19"/>
      <c r="G18" s="54">
        <f>SUM(G13:G14)</f>
        <v>0.91397849462365588</v>
      </c>
      <c r="H18" s="19"/>
      <c r="I18" s="54">
        <f>SUM(I13:I14)</f>
        <v>0.95591647331786544</v>
      </c>
      <c r="J18" s="19"/>
      <c r="K18" s="54">
        <f>SUM(K13:K14)</f>
        <v>0.946524064171123</v>
      </c>
      <c r="L18" s="19"/>
      <c r="M18" s="54">
        <f>SUM(M13:M14)</f>
        <v>0.95327102803738328</v>
      </c>
      <c r="N18" s="22"/>
      <c r="O18" s="54">
        <f>SUM(O13:O14)</f>
        <v>0.9518151815181517</v>
      </c>
    </row>
    <row r="19" spans="1:15" x14ac:dyDescent="0.2">
      <c r="A19" s="38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1:15" ht="12.75" customHeight="1" x14ac:dyDescent="0.2">
      <c r="A20" s="121" t="s">
        <v>60</v>
      </c>
      <c r="B20" s="122" t="s">
        <v>100</v>
      </c>
      <c r="C20" s="122"/>
      <c r="D20" s="122" t="s">
        <v>80</v>
      </c>
      <c r="E20" s="122"/>
      <c r="F20" s="123" t="s">
        <v>136</v>
      </c>
      <c r="G20" s="123"/>
      <c r="H20" s="122" t="s">
        <v>82</v>
      </c>
      <c r="I20" s="122"/>
      <c r="J20" s="122" t="s">
        <v>81</v>
      </c>
      <c r="K20" s="122"/>
      <c r="L20" s="122" t="s">
        <v>98</v>
      </c>
      <c r="M20" s="122"/>
      <c r="N20" s="116" t="s">
        <v>1</v>
      </c>
      <c r="O20" s="116"/>
    </row>
    <row r="21" spans="1:15" x14ac:dyDescent="0.2">
      <c r="A21" s="20" t="s">
        <v>57</v>
      </c>
      <c r="B21" s="28">
        <v>97</v>
      </c>
      <c r="C21" s="29">
        <f>B21/B25</f>
        <v>0.39591836734693875</v>
      </c>
      <c r="D21" s="28">
        <v>4</v>
      </c>
      <c r="E21" s="29">
        <f>D21/D25</f>
        <v>0.30769230769230771</v>
      </c>
      <c r="F21" s="28">
        <v>35</v>
      </c>
      <c r="G21" s="29">
        <f>F21/F25</f>
        <v>0.37234042553191488</v>
      </c>
      <c r="H21" s="28">
        <v>157</v>
      </c>
      <c r="I21" s="29">
        <f>H21/H25</f>
        <v>0.36854460093896713</v>
      </c>
      <c r="J21" s="28">
        <v>75</v>
      </c>
      <c r="K21" s="29">
        <f>J21/J25</f>
        <v>0.39893617021276595</v>
      </c>
      <c r="L21" s="28">
        <v>205</v>
      </c>
      <c r="M21" s="29">
        <f>L21/L25</f>
        <v>0.38389513108614232</v>
      </c>
      <c r="N21" s="21">
        <f>B21+D21+F21+H21+J21+L21</f>
        <v>573</v>
      </c>
      <c r="O21" s="29">
        <f>N21/N25</f>
        <v>0.38200000000000001</v>
      </c>
    </row>
    <row r="22" spans="1:15" x14ac:dyDescent="0.2">
      <c r="A22" s="20" t="s">
        <v>56</v>
      </c>
      <c r="B22" s="28">
        <v>137</v>
      </c>
      <c r="C22" s="29">
        <f>B22/B25</f>
        <v>0.5591836734693878</v>
      </c>
      <c r="D22" s="28">
        <v>8</v>
      </c>
      <c r="E22" s="29">
        <f>D22/D25</f>
        <v>0.61538461538461542</v>
      </c>
      <c r="F22" s="28">
        <v>51</v>
      </c>
      <c r="G22" s="29">
        <f>F22/F25</f>
        <v>0.54255319148936165</v>
      </c>
      <c r="H22" s="28">
        <v>251</v>
      </c>
      <c r="I22" s="29">
        <f>H22/H25</f>
        <v>0.58920187793427226</v>
      </c>
      <c r="J22" s="28">
        <v>102</v>
      </c>
      <c r="K22" s="29">
        <f>J22/J25</f>
        <v>0.54255319148936165</v>
      </c>
      <c r="L22" s="28">
        <v>301</v>
      </c>
      <c r="M22" s="29">
        <f>L22/L25</f>
        <v>0.56367041198501877</v>
      </c>
      <c r="N22" s="21">
        <f>B22+D22+F22+H22+J22+L22</f>
        <v>850</v>
      </c>
      <c r="O22" s="29">
        <f>N22/N25</f>
        <v>0.56666666666666665</v>
      </c>
    </row>
    <row r="23" spans="1:15" x14ac:dyDescent="0.2">
      <c r="A23" s="20" t="s">
        <v>55</v>
      </c>
      <c r="B23" s="28">
        <v>9</v>
      </c>
      <c r="C23" s="29">
        <f>B23/B25</f>
        <v>3.6734693877551024E-2</v>
      </c>
      <c r="D23" s="28">
        <v>1</v>
      </c>
      <c r="E23" s="29">
        <f>D23/D25</f>
        <v>7.6923076923076927E-2</v>
      </c>
      <c r="F23" s="28">
        <v>8</v>
      </c>
      <c r="G23" s="29">
        <f>F23/F25</f>
        <v>8.5106382978723402E-2</v>
      </c>
      <c r="H23" s="28">
        <v>17</v>
      </c>
      <c r="I23" s="29">
        <f>H23/H25</f>
        <v>3.9906103286384977E-2</v>
      </c>
      <c r="J23" s="28">
        <v>8</v>
      </c>
      <c r="K23" s="29">
        <f>J23/J25</f>
        <v>4.2553191489361701E-2</v>
      </c>
      <c r="L23" s="28">
        <v>23</v>
      </c>
      <c r="M23" s="29">
        <f>L23/L25</f>
        <v>4.307116104868914E-2</v>
      </c>
      <c r="N23" s="21">
        <f>B23+D23+F23+H23+J23+L23</f>
        <v>66</v>
      </c>
      <c r="O23" s="29">
        <f>N23/N25</f>
        <v>4.3999999999999997E-2</v>
      </c>
    </row>
    <row r="24" spans="1:15" x14ac:dyDescent="0.2">
      <c r="A24" s="20" t="s">
        <v>54</v>
      </c>
      <c r="B24" s="28">
        <v>2</v>
      </c>
      <c r="C24" s="29">
        <f>B24/B25</f>
        <v>8.1632653061224497E-3</v>
      </c>
      <c r="D24" s="28"/>
      <c r="E24" s="29">
        <f>D24/D25</f>
        <v>0</v>
      </c>
      <c r="F24" s="28"/>
      <c r="G24" s="29">
        <f>F24/F25</f>
        <v>0</v>
      </c>
      <c r="H24" s="28">
        <v>1</v>
      </c>
      <c r="I24" s="29">
        <f>H24/H25</f>
        <v>2.3474178403755869E-3</v>
      </c>
      <c r="J24" s="28">
        <v>3</v>
      </c>
      <c r="K24" s="29">
        <f>J24/J25</f>
        <v>1.5957446808510637E-2</v>
      </c>
      <c r="L24" s="28">
        <v>5</v>
      </c>
      <c r="M24" s="29">
        <f>L24/L25</f>
        <v>9.3632958801498131E-3</v>
      </c>
      <c r="N24" s="21">
        <f>B24+D24+F24+H24+J24+L24</f>
        <v>11</v>
      </c>
      <c r="O24" s="29">
        <f>N24/N25</f>
        <v>7.3333333333333332E-3</v>
      </c>
    </row>
    <row r="25" spans="1:15" s="11" customFormat="1" x14ac:dyDescent="0.2">
      <c r="A25" s="95" t="s">
        <v>1</v>
      </c>
      <c r="B25" s="22">
        <f t="shared" ref="B25:L25" si="2">SUM(B21:B24)</f>
        <v>245</v>
      </c>
      <c r="C25" s="31">
        <f>SUM(C21:C24)</f>
        <v>1</v>
      </c>
      <c r="D25" s="22">
        <f t="shared" si="2"/>
        <v>13</v>
      </c>
      <c r="E25" s="31">
        <f>SUM(E21:E24)</f>
        <v>1</v>
      </c>
      <c r="F25" s="22">
        <f t="shared" si="2"/>
        <v>94</v>
      </c>
      <c r="G25" s="31">
        <f>SUM(G21:G24)</f>
        <v>0.99999999999999989</v>
      </c>
      <c r="H25" s="22">
        <f t="shared" si="2"/>
        <v>426</v>
      </c>
      <c r="I25" s="31">
        <f>SUM(I21:I24)</f>
        <v>1</v>
      </c>
      <c r="J25" s="22">
        <f t="shared" si="2"/>
        <v>188</v>
      </c>
      <c r="K25" s="31">
        <f>SUM(K21:K24)</f>
        <v>0.99999999999999989</v>
      </c>
      <c r="L25" s="22">
        <f t="shared" si="2"/>
        <v>534</v>
      </c>
      <c r="M25" s="31">
        <f>SUM(M21:M24)</f>
        <v>1</v>
      </c>
      <c r="N25" s="22">
        <f>SUM(N19:N24)</f>
        <v>1500</v>
      </c>
      <c r="O25" s="31">
        <f>SUM(O19:O24)</f>
        <v>1</v>
      </c>
    </row>
    <row r="26" spans="1:15" x14ac:dyDescent="0.2">
      <c r="A26" s="95" t="s">
        <v>91</v>
      </c>
      <c r="B26" s="19"/>
      <c r="C26" s="54">
        <f>SUM(C21:C22)</f>
        <v>0.95510204081632655</v>
      </c>
      <c r="D26" s="19"/>
      <c r="E26" s="54">
        <f>SUM(E21:E22)</f>
        <v>0.92307692307692313</v>
      </c>
      <c r="F26" s="19"/>
      <c r="G26" s="54">
        <f>SUM(G21:G22)</f>
        <v>0.91489361702127647</v>
      </c>
      <c r="H26" s="19"/>
      <c r="I26" s="54">
        <f>SUM(I21:I22)</f>
        <v>0.95774647887323938</v>
      </c>
      <c r="J26" s="19"/>
      <c r="K26" s="54">
        <f>SUM(K21:K22)</f>
        <v>0.9414893617021276</v>
      </c>
      <c r="L26" s="19"/>
      <c r="M26" s="54">
        <f>SUM(M21:M22)</f>
        <v>0.94756554307116114</v>
      </c>
      <c r="N26" s="22"/>
      <c r="O26" s="54">
        <f>SUM(O21:O22)</f>
        <v>0.94866666666666666</v>
      </c>
    </row>
    <row r="27" spans="1:15" x14ac:dyDescent="0.2">
      <c r="A27" s="38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 ht="12.75" customHeight="1" x14ac:dyDescent="0.2">
      <c r="A28" s="121" t="s">
        <v>61</v>
      </c>
      <c r="B28" s="122" t="s">
        <v>100</v>
      </c>
      <c r="C28" s="122"/>
      <c r="D28" s="122" t="s">
        <v>80</v>
      </c>
      <c r="E28" s="122"/>
      <c r="F28" s="123" t="s">
        <v>136</v>
      </c>
      <c r="G28" s="123"/>
      <c r="H28" s="122" t="s">
        <v>82</v>
      </c>
      <c r="I28" s="122"/>
      <c r="J28" s="122" t="s">
        <v>81</v>
      </c>
      <c r="K28" s="122"/>
      <c r="L28" s="122" t="s">
        <v>98</v>
      </c>
      <c r="M28" s="122"/>
      <c r="N28" s="116" t="s">
        <v>1</v>
      </c>
      <c r="O28" s="116"/>
    </row>
    <row r="29" spans="1:15" x14ac:dyDescent="0.2">
      <c r="A29" s="20" t="s">
        <v>57</v>
      </c>
      <c r="B29" s="28">
        <v>89</v>
      </c>
      <c r="C29" s="29">
        <f>B29/B33</f>
        <v>0.35458167330677293</v>
      </c>
      <c r="D29" s="28">
        <v>4</v>
      </c>
      <c r="E29" s="29">
        <f>D29/D33</f>
        <v>0.36363636363636365</v>
      </c>
      <c r="F29" s="28">
        <v>29</v>
      </c>
      <c r="G29" s="29">
        <f>F29/F33</f>
        <v>0.3258426966292135</v>
      </c>
      <c r="H29" s="28">
        <v>142</v>
      </c>
      <c r="I29" s="29">
        <f>H29/H33</f>
        <v>0.33649289099526064</v>
      </c>
      <c r="J29" s="28">
        <v>63</v>
      </c>
      <c r="K29" s="29">
        <f>J29/J33</f>
        <v>0.35195530726256985</v>
      </c>
      <c r="L29" s="28">
        <v>185</v>
      </c>
      <c r="M29" s="29">
        <f>L29/L33</f>
        <v>0.3550863723608445</v>
      </c>
      <c r="N29" s="21">
        <f>B29+D29+F29+H29+J29+L29</f>
        <v>512</v>
      </c>
      <c r="O29" s="29">
        <f>N29/N33</f>
        <v>0.34758995247793617</v>
      </c>
    </row>
    <row r="30" spans="1:15" x14ac:dyDescent="0.2">
      <c r="A30" s="20" t="s">
        <v>56</v>
      </c>
      <c r="B30" s="28">
        <v>146</v>
      </c>
      <c r="C30" s="29">
        <f>B30/B33</f>
        <v>0.58167330677290841</v>
      </c>
      <c r="D30" s="28">
        <v>7</v>
      </c>
      <c r="E30" s="29">
        <f>D30/D33</f>
        <v>0.63636363636363635</v>
      </c>
      <c r="F30" s="28">
        <v>52</v>
      </c>
      <c r="G30" s="29">
        <f>F30/F33</f>
        <v>0.5842696629213483</v>
      </c>
      <c r="H30" s="28">
        <v>253</v>
      </c>
      <c r="I30" s="29">
        <f>H30/H33</f>
        <v>0.59952606635071093</v>
      </c>
      <c r="J30" s="28">
        <v>105</v>
      </c>
      <c r="K30" s="29">
        <f>J30/J33</f>
        <v>0.58659217877094971</v>
      </c>
      <c r="L30" s="28">
        <v>309</v>
      </c>
      <c r="M30" s="29">
        <f>L30/L33</f>
        <v>0.59309021113243765</v>
      </c>
      <c r="N30" s="21">
        <f>B30+D30+F30+H30+J30+L30</f>
        <v>872</v>
      </c>
      <c r="O30" s="29">
        <f>N30/N33</f>
        <v>0.5919891378139851</v>
      </c>
    </row>
    <row r="31" spans="1:15" x14ac:dyDescent="0.2">
      <c r="A31" s="20" t="s">
        <v>55</v>
      </c>
      <c r="B31" s="28">
        <v>12</v>
      </c>
      <c r="C31" s="29">
        <f>B31/B33</f>
        <v>4.7808764940239043E-2</v>
      </c>
      <c r="D31" s="28"/>
      <c r="E31" s="29">
        <f>D31/D33</f>
        <v>0</v>
      </c>
      <c r="F31" s="28">
        <v>7</v>
      </c>
      <c r="G31" s="29">
        <f>F31/F33</f>
        <v>7.8651685393258425E-2</v>
      </c>
      <c r="H31" s="28">
        <v>26</v>
      </c>
      <c r="I31" s="29">
        <f>H31/H33</f>
        <v>6.1611374407582936E-2</v>
      </c>
      <c r="J31" s="28">
        <v>8</v>
      </c>
      <c r="K31" s="29">
        <f>J31/J33</f>
        <v>4.4692737430167599E-2</v>
      </c>
      <c r="L31" s="28">
        <v>22</v>
      </c>
      <c r="M31" s="29">
        <f>L31/L33</f>
        <v>4.2226487523992322E-2</v>
      </c>
      <c r="N31" s="21">
        <f>B31+D31+F31+H31+J31+L31</f>
        <v>75</v>
      </c>
      <c r="O31" s="29">
        <f>N31/N33</f>
        <v>5.0916496945010187E-2</v>
      </c>
    </row>
    <row r="32" spans="1:15" x14ac:dyDescent="0.2">
      <c r="A32" s="20" t="s">
        <v>54</v>
      </c>
      <c r="B32" s="28">
        <v>4</v>
      </c>
      <c r="C32" s="29">
        <f>B32/B33</f>
        <v>1.5936254980079681E-2</v>
      </c>
      <c r="D32" s="28"/>
      <c r="E32" s="29">
        <f>D32/D33</f>
        <v>0</v>
      </c>
      <c r="F32" s="28">
        <v>1</v>
      </c>
      <c r="G32" s="29">
        <f>F32/F33</f>
        <v>1.1235955056179775E-2</v>
      </c>
      <c r="H32" s="28">
        <v>1</v>
      </c>
      <c r="I32" s="29">
        <f>H32/H33</f>
        <v>2.3696682464454978E-3</v>
      </c>
      <c r="J32" s="28">
        <v>3</v>
      </c>
      <c r="K32" s="29">
        <f>J32/J33</f>
        <v>1.6759776536312849E-2</v>
      </c>
      <c r="L32" s="28">
        <v>5</v>
      </c>
      <c r="M32" s="29">
        <f>L32/L33</f>
        <v>9.5969289827255271E-3</v>
      </c>
      <c r="N32" s="21">
        <f>B32+D32+F32+H32+J32+L32</f>
        <v>14</v>
      </c>
      <c r="O32" s="29">
        <f>N32/N33</f>
        <v>9.5044127630685669E-3</v>
      </c>
    </row>
    <row r="33" spans="1:15" s="11" customFormat="1" x14ac:dyDescent="0.2">
      <c r="A33" s="95" t="s">
        <v>1</v>
      </c>
      <c r="B33" s="22">
        <f t="shared" ref="B33:L33" si="3">SUM(B29:B32)</f>
        <v>251</v>
      </c>
      <c r="C33" s="31">
        <f>SUM(C29:C32)</f>
        <v>1</v>
      </c>
      <c r="D33" s="22">
        <f t="shared" si="3"/>
        <v>11</v>
      </c>
      <c r="E33" s="31">
        <f>SUM(E29:E32)</f>
        <v>1</v>
      </c>
      <c r="F33" s="22">
        <f t="shared" si="3"/>
        <v>89</v>
      </c>
      <c r="G33" s="31">
        <f>SUM(G29:G32)</f>
        <v>1</v>
      </c>
      <c r="H33" s="22">
        <f t="shared" si="3"/>
        <v>422</v>
      </c>
      <c r="I33" s="31">
        <f>SUM(I29:I32)</f>
        <v>1</v>
      </c>
      <c r="J33" s="22">
        <f t="shared" si="3"/>
        <v>179</v>
      </c>
      <c r="K33" s="31">
        <f>SUM(K29:K32)</f>
        <v>1</v>
      </c>
      <c r="L33" s="22">
        <f t="shared" si="3"/>
        <v>521</v>
      </c>
      <c r="M33" s="31">
        <f>SUM(M29:M32)</f>
        <v>1</v>
      </c>
      <c r="N33" s="22">
        <f>SUM(N27:N32)</f>
        <v>1473</v>
      </c>
      <c r="O33" s="31">
        <f>SUM(O27:O32)</f>
        <v>1</v>
      </c>
    </row>
    <row r="34" spans="1:15" x14ac:dyDescent="0.2">
      <c r="A34" s="95" t="s">
        <v>91</v>
      </c>
      <c r="B34" s="19"/>
      <c r="C34" s="54">
        <f>SUM(C29:C30)</f>
        <v>0.93625498007968133</v>
      </c>
      <c r="D34" s="19"/>
      <c r="E34" s="54">
        <f>SUM(E29:E30)</f>
        <v>1</v>
      </c>
      <c r="F34" s="19"/>
      <c r="G34" s="54">
        <f>SUM(G29:G30)</f>
        <v>0.9101123595505618</v>
      </c>
      <c r="H34" s="19"/>
      <c r="I34" s="54">
        <f>SUM(I29:I30)</f>
        <v>0.93601895734597163</v>
      </c>
      <c r="J34" s="19"/>
      <c r="K34" s="54">
        <f>SUM(K29:K30)</f>
        <v>0.93854748603351956</v>
      </c>
      <c r="L34" s="19"/>
      <c r="M34" s="54">
        <f>SUM(M29:M30)</f>
        <v>0.94817658349328215</v>
      </c>
      <c r="N34" s="22"/>
      <c r="O34" s="54">
        <f>SUM(O29:O30)</f>
        <v>0.93957909029192122</v>
      </c>
    </row>
    <row r="35" spans="1:15" x14ac:dyDescent="0.2">
      <c r="A35" s="38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1:15" ht="12.75" customHeight="1" x14ac:dyDescent="0.2">
      <c r="A36" s="121" t="s">
        <v>62</v>
      </c>
      <c r="B36" s="122" t="s">
        <v>100</v>
      </c>
      <c r="C36" s="122"/>
      <c r="D36" s="122" t="s">
        <v>80</v>
      </c>
      <c r="E36" s="122"/>
      <c r="F36" s="123" t="s">
        <v>136</v>
      </c>
      <c r="G36" s="123"/>
      <c r="H36" s="122" t="s">
        <v>82</v>
      </c>
      <c r="I36" s="122"/>
      <c r="J36" s="122" t="s">
        <v>81</v>
      </c>
      <c r="K36" s="122"/>
      <c r="L36" s="122" t="s">
        <v>98</v>
      </c>
      <c r="M36" s="122"/>
      <c r="N36" s="116" t="s">
        <v>1</v>
      </c>
      <c r="O36" s="116"/>
    </row>
    <row r="37" spans="1:15" x14ac:dyDescent="0.2">
      <c r="A37" s="20" t="s">
        <v>57</v>
      </c>
      <c r="B37" s="28">
        <v>95</v>
      </c>
      <c r="C37" s="29">
        <f>B37/B41</f>
        <v>0.35315985130111527</v>
      </c>
      <c r="D37" s="28">
        <v>5</v>
      </c>
      <c r="E37" s="29">
        <f>D37/D41</f>
        <v>0.45454545454545453</v>
      </c>
      <c r="F37" s="28">
        <v>36</v>
      </c>
      <c r="G37" s="29">
        <f>F37/F41</f>
        <v>0.39560439560439559</v>
      </c>
      <c r="H37" s="28">
        <v>151</v>
      </c>
      <c r="I37" s="29">
        <f>H37/H41</f>
        <v>0.351981351981352</v>
      </c>
      <c r="J37" s="28">
        <v>71</v>
      </c>
      <c r="K37" s="29">
        <f>J37/J41</f>
        <v>0.37566137566137564</v>
      </c>
      <c r="L37" s="28">
        <v>207</v>
      </c>
      <c r="M37" s="29">
        <f>L37/L41</f>
        <v>0.38191881918819187</v>
      </c>
      <c r="N37" s="21">
        <f>B37+D37+F37+H37+J37+L37</f>
        <v>565</v>
      </c>
      <c r="O37" s="29">
        <f>N37/N41</f>
        <v>0.36903984323971262</v>
      </c>
    </row>
    <row r="38" spans="1:15" x14ac:dyDescent="0.2">
      <c r="A38" s="20" t="s">
        <v>56</v>
      </c>
      <c r="B38" s="28">
        <v>167</v>
      </c>
      <c r="C38" s="29">
        <f>B38/B41</f>
        <v>0.620817843866171</v>
      </c>
      <c r="D38" s="28">
        <v>6</v>
      </c>
      <c r="E38" s="29">
        <f>D38/D41</f>
        <v>0.54545454545454541</v>
      </c>
      <c r="F38" s="28">
        <v>46</v>
      </c>
      <c r="G38" s="29">
        <f>F38/F41</f>
        <v>0.50549450549450547</v>
      </c>
      <c r="H38" s="28">
        <v>262</v>
      </c>
      <c r="I38" s="29">
        <f>H38/H41</f>
        <v>0.61072261072261069</v>
      </c>
      <c r="J38" s="28">
        <v>112</v>
      </c>
      <c r="K38" s="29">
        <f>J38/J41</f>
        <v>0.59259259259259256</v>
      </c>
      <c r="L38" s="28">
        <v>309</v>
      </c>
      <c r="M38" s="29">
        <f>L38/L41</f>
        <v>0.57011070110701112</v>
      </c>
      <c r="N38" s="21">
        <f>B38+D38+F38+H38+J38+L38</f>
        <v>902</v>
      </c>
      <c r="O38" s="29">
        <f>N38/N41</f>
        <v>0.58915741345525796</v>
      </c>
    </row>
    <row r="39" spans="1:15" x14ac:dyDescent="0.2">
      <c r="A39" s="20" t="s">
        <v>55</v>
      </c>
      <c r="B39" s="28">
        <v>4</v>
      </c>
      <c r="C39" s="29">
        <f>B39/B41</f>
        <v>1.4869888475836431E-2</v>
      </c>
      <c r="D39" s="28"/>
      <c r="E39" s="29">
        <f>D39/D41</f>
        <v>0</v>
      </c>
      <c r="F39" s="28">
        <v>8</v>
      </c>
      <c r="G39" s="29">
        <f>F39/F41</f>
        <v>8.7912087912087919E-2</v>
      </c>
      <c r="H39" s="28">
        <v>14</v>
      </c>
      <c r="I39" s="29">
        <f>H39/H41</f>
        <v>3.2634032634032632E-2</v>
      </c>
      <c r="J39" s="28">
        <v>2</v>
      </c>
      <c r="K39" s="29">
        <f>J39/J41</f>
        <v>1.0582010582010581E-2</v>
      </c>
      <c r="L39" s="28">
        <v>21</v>
      </c>
      <c r="M39" s="29">
        <f>L39/L41</f>
        <v>3.8745387453874541E-2</v>
      </c>
      <c r="N39" s="21">
        <f>B39+D39+F39+H39+J39+L39</f>
        <v>49</v>
      </c>
      <c r="O39" s="29">
        <f>N39/N41</f>
        <v>3.2005225342913127E-2</v>
      </c>
    </row>
    <row r="40" spans="1:15" x14ac:dyDescent="0.2">
      <c r="A40" s="20" t="s">
        <v>54</v>
      </c>
      <c r="B40" s="28">
        <v>3</v>
      </c>
      <c r="C40" s="29">
        <f>B40/B41</f>
        <v>1.1152416356877323E-2</v>
      </c>
      <c r="D40" s="28"/>
      <c r="E40" s="29">
        <f>D40/D41</f>
        <v>0</v>
      </c>
      <c r="F40" s="28">
        <v>1</v>
      </c>
      <c r="G40" s="29">
        <f>F40/F41</f>
        <v>1.098901098901099E-2</v>
      </c>
      <c r="H40" s="28">
        <v>2</v>
      </c>
      <c r="I40" s="29">
        <f>H40/H41</f>
        <v>4.662004662004662E-3</v>
      </c>
      <c r="J40" s="28">
        <v>4</v>
      </c>
      <c r="K40" s="29">
        <f>J40/J41</f>
        <v>2.1164021164021163E-2</v>
      </c>
      <c r="L40" s="28">
        <v>5</v>
      </c>
      <c r="M40" s="29">
        <f>L40/L41</f>
        <v>9.2250922509225092E-3</v>
      </c>
      <c r="N40" s="21">
        <f>B40+D40+F40+H40+J40+L40</f>
        <v>15</v>
      </c>
      <c r="O40" s="29">
        <f>N40/N41</f>
        <v>9.7975179621162638E-3</v>
      </c>
    </row>
    <row r="41" spans="1:15" s="11" customFormat="1" x14ac:dyDescent="0.2">
      <c r="A41" s="95" t="s">
        <v>1</v>
      </c>
      <c r="B41" s="22">
        <f t="shared" ref="B41:L41" si="4">SUM(B37:B40)</f>
        <v>269</v>
      </c>
      <c r="C41" s="31">
        <f>SUM(C37:C40)</f>
        <v>1</v>
      </c>
      <c r="D41" s="22">
        <f t="shared" si="4"/>
        <v>11</v>
      </c>
      <c r="E41" s="31">
        <f>SUM(E37:E40)</f>
        <v>1</v>
      </c>
      <c r="F41" s="22">
        <f t="shared" si="4"/>
        <v>91</v>
      </c>
      <c r="G41" s="31">
        <f>SUM(G37:G40)</f>
        <v>0.99999999999999989</v>
      </c>
      <c r="H41" s="22">
        <f t="shared" si="4"/>
        <v>429</v>
      </c>
      <c r="I41" s="31">
        <f>SUM(I37:I40)</f>
        <v>0.99999999999999989</v>
      </c>
      <c r="J41" s="22">
        <f t="shared" si="4"/>
        <v>189</v>
      </c>
      <c r="K41" s="31">
        <f>SUM(K37:K40)</f>
        <v>0.99999999999999989</v>
      </c>
      <c r="L41" s="22">
        <f t="shared" si="4"/>
        <v>542</v>
      </c>
      <c r="M41" s="31">
        <f>SUM(M37:M40)</f>
        <v>1</v>
      </c>
      <c r="N41" s="22">
        <f>SUM(N35:N40)</f>
        <v>1531</v>
      </c>
      <c r="O41" s="31">
        <f>SUM(O35:O40)</f>
        <v>1</v>
      </c>
    </row>
    <row r="42" spans="1:15" x14ac:dyDescent="0.2">
      <c r="A42" s="95" t="s">
        <v>91</v>
      </c>
      <c r="B42" s="19"/>
      <c r="C42" s="54">
        <f>SUM(C37:C38)</f>
        <v>0.97397769516728627</v>
      </c>
      <c r="D42" s="19"/>
      <c r="E42" s="54">
        <f>SUM(E37:E38)</f>
        <v>1</v>
      </c>
      <c r="F42" s="19"/>
      <c r="G42" s="54">
        <f>SUM(G37:G38)</f>
        <v>0.90109890109890101</v>
      </c>
      <c r="H42" s="19"/>
      <c r="I42" s="54">
        <f>SUM(I37:I38)</f>
        <v>0.96270396270396263</v>
      </c>
      <c r="J42" s="19"/>
      <c r="K42" s="54">
        <f>SUM(K37:K38)</f>
        <v>0.96825396825396814</v>
      </c>
      <c r="L42" s="19"/>
      <c r="M42" s="54">
        <f>SUM(M37:M38)</f>
        <v>0.95202952029520294</v>
      </c>
      <c r="N42" s="22"/>
      <c r="O42" s="54">
        <f>SUM(O37:O38)</f>
        <v>0.95819725669497058</v>
      </c>
    </row>
    <row r="43" spans="1:15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6"/>
      <c r="O43" s="36"/>
    </row>
    <row r="44" spans="1:15" ht="24" x14ac:dyDescent="0.2">
      <c r="A44" s="121" t="s">
        <v>199</v>
      </c>
      <c r="B44" s="122" t="s">
        <v>100</v>
      </c>
      <c r="C44" s="122"/>
      <c r="D44" s="122" t="s">
        <v>80</v>
      </c>
      <c r="E44" s="122"/>
      <c r="F44" s="123" t="s">
        <v>136</v>
      </c>
      <c r="G44" s="123"/>
      <c r="H44" s="122" t="s">
        <v>82</v>
      </c>
      <c r="I44" s="122"/>
      <c r="J44" s="122" t="s">
        <v>81</v>
      </c>
      <c r="K44" s="122"/>
      <c r="L44" s="122" t="s">
        <v>98</v>
      </c>
      <c r="M44" s="122"/>
      <c r="N44" s="116" t="s">
        <v>1</v>
      </c>
      <c r="O44" s="116"/>
    </row>
    <row r="45" spans="1:15" x14ac:dyDescent="0.2">
      <c r="A45" s="20" t="s">
        <v>57</v>
      </c>
      <c r="B45" s="28">
        <v>88</v>
      </c>
      <c r="C45" s="29">
        <f>B45/B49</f>
        <v>0.33207547169811319</v>
      </c>
      <c r="D45" s="28">
        <v>6</v>
      </c>
      <c r="E45" s="29">
        <f>D45/D49</f>
        <v>0.5</v>
      </c>
      <c r="F45" s="28">
        <v>33</v>
      </c>
      <c r="G45" s="29">
        <f>F45/F49</f>
        <v>0.34375</v>
      </c>
      <c r="H45" s="28">
        <v>128</v>
      </c>
      <c r="I45" s="29">
        <f>H45/H49</f>
        <v>0.28507795100222716</v>
      </c>
      <c r="J45" s="28">
        <v>69</v>
      </c>
      <c r="K45" s="29">
        <f>J45/J49</f>
        <v>0.36702127659574468</v>
      </c>
      <c r="L45" s="28">
        <v>174</v>
      </c>
      <c r="M45" s="29">
        <f>L45/L49</f>
        <v>0.32162661737523107</v>
      </c>
      <c r="N45" s="21">
        <f>B45+D45+F45+H45+J45+L45</f>
        <v>498</v>
      </c>
      <c r="O45" s="29">
        <f>N45/N49</f>
        <v>0.32108317214700194</v>
      </c>
    </row>
    <row r="46" spans="1:15" x14ac:dyDescent="0.2">
      <c r="A46" s="20" t="s">
        <v>56</v>
      </c>
      <c r="B46" s="28">
        <v>163</v>
      </c>
      <c r="C46" s="29">
        <f>B46/B49</f>
        <v>0.61509433962264148</v>
      </c>
      <c r="D46" s="28">
        <v>6</v>
      </c>
      <c r="E46" s="29">
        <f>D46/D49</f>
        <v>0.5</v>
      </c>
      <c r="F46" s="28">
        <v>55</v>
      </c>
      <c r="G46" s="29">
        <f>F46/F49</f>
        <v>0.57291666666666663</v>
      </c>
      <c r="H46" s="28">
        <v>297</v>
      </c>
      <c r="I46" s="29">
        <f>H46/H49</f>
        <v>0.66146993318485525</v>
      </c>
      <c r="J46" s="28">
        <v>106</v>
      </c>
      <c r="K46" s="29">
        <f>J46/J49</f>
        <v>0.56382978723404253</v>
      </c>
      <c r="L46" s="28">
        <v>339</v>
      </c>
      <c r="M46" s="29">
        <f>L46/L49</f>
        <v>0.62661737523105365</v>
      </c>
      <c r="N46" s="21">
        <f>B46+D46+F46+H46+J46+L46</f>
        <v>966</v>
      </c>
      <c r="O46" s="29">
        <f>N46/N49</f>
        <v>0.62282398452611221</v>
      </c>
    </row>
    <row r="47" spans="1:15" x14ac:dyDescent="0.2">
      <c r="A47" s="20" t="s">
        <v>55</v>
      </c>
      <c r="B47" s="28">
        <v>10</v>
      </c>
      <c r="C47" s="29">
        <f>B47/B49</f>
        <v>3.7735849056603772E-2</v>
      </c>
      <c r="D47" s="28"/>
      <c r="E47" s="29">
        <f>D47/D49</f>
        <v>0</v>
      </c>
      <c r="F47" s="28">
        <v>7</v>
      </c>
      <c r="G47" s="29">
        <f>F47/F49</f>
        <v>7.2916666666666671E-2</v>
      </c>
      <c r="H47" s="28">
        <v>22</v>
      </c>
      <c r="I47" s="29">
        <f>H47/H49</f>
        <v>4.8997772828507792E-2</v>
      </c>
      <c r="J47" s="28">
        <v>9</v>
      </c>
      <c r="K47" s="29">
        <f>J47/J49</f>
        <v>4.7872340425531915E-2</v>
      </c>
      <c r="L47" s="28">
        <v>23</v>
      </c>
      <c r="M47" s="29">
        <f>L47/L49</f>
        <v>4.2513863216266171E-2</v>
      </c>
      <c r="N47" s="21">
        <f>B47+D47+F47+H47+J47+L47</f>
        <v>71</v>
      </c>
      <c r="O47" s="29">
        <f>N47/N49</f>
        <v>4.5776918117343648E-2</v>
      </c>
    </row>
    <row r="48" spans="1:15" x14ac:dyDescent="0.2">
      <c r="A48" s="20" t="s">
        <v>54</v>
      </c>
      <c r="B48" s="28">
        <v>4</v>
      </c>
      <c r="C48" s="29">
        <f>B48/B49</f>
        <v>1.509433962264151E-2</v>
      </c>
      <c r="D48" s="28"/>
      <c r="E48" s="29">
        <f>D48/D49</f>
        <v>0</v>
      </c>
      <c r="F48" s="28">
        <v>1</v>
      </c>
      <c r="G48" s="29">
        <f>F48/F49</f>
        <v>1.0416666666666666E-2</v>
      </c>
      <c r="H48" s="28">
        <v>2</v>
      </c>
      <c r="I48" s="29">
        <f>H48/H49</f>
        <v>4.4543429844097994E-3</v>
      </c>
      <c r="J48" s="28">
        <v>4</v>
      </c>
      <c r="K48" s="29">
        <f>J48/J49</f>
        <v>2.1276595744680851E-2</v>
      </c>
      <c r="L48" s="28">
        <v>5</v>
      </c>
      <c r="M48" s="29">
        <f>L48/L49</f>
        <v>9.242144177449169E-3</v>
      </c>
      <c r="N48" s="21">
        <f>B48+D48+F48+H48+J48+L48</f>
        <v>16</v>
      </c>
      <c r="O48" s="29">
        <f>N48/N49</f>
        <v>1.0315925209542231E-2</v>
      </c>
    </row>
    <row r="49" spans="1:15" s="11" customFormat="1" x14ac:dyDescent="0.2">
      <c r="A49" s="95" t="s">
        <v>1</v>
      </c>
      <c r="B49" s="22">
        <f t="shared" ref="B49:L49" si="5">SUM(B45:B48)</f>
        <v>265</v>
      </c>
      <c r="C49" s="31">
        <f>SUM(C45:C48)</f>
        <v>1</v>
      </c>
      <c r="D49" s="22">
        <f t="shared" si="5"/>
        <v>12</v>
      </c>
      <c r="E49" s="31">
        <f>SUM(E45:E48)</f>
        <v>1</v>
      </c>
      <c r="F49" s="22">
        <f t="shared" si="5"/>
        <v>96</v>
      </c>
      <c r="G49" s="31">
        <f>SUM(G45:G48)</f>
        <v>0.99999999999999989</v>
      </c>
      <c r="H49" s="22">
        <f t="shared" si="5"/>
        <v>449</v>
      </c>
      <c r="I49" s="31">
        <f>SUM(I45:I48)</f>
        <v>1</v>
      </c>
      <c r="J49" s="22">
        <f t="shared" si="5"/>
        <v>188</v>
      </c>
      <c r="K49" s="31">
        <f>SUM(K45:K48)</f>
        <v>1</v>
      </c>
      <c r="L49" s="22">
        <f t="shared" si="5"/>
        <v>541</v>
      </c>
      <c r="M49" s="31">
        <f>SUM(M45:M48)</f>
        <v>1</v>
      </c>
      <c r="N49" s="22">
        <f>SUM(N43:N48)</f>
        <v>1551</v>
      </c>
      <c r="O49" s="31">
        <f>SUM(O43:O48)</f>
        <v>1</v>
      </c>
    </row>
    <row r="50" spans="1:15" x14ac:dyDescent="0.2">
      <c r="A50" s="95" t="s">
        <v>91</v>
      </c>
      <c r="B50" s="19"/>
      <c r="C50" s="54">
        <f>SUM(C45:C46)</f>
        <v>0.94716981132075473</v>
      </c>
      <c r="D50" s="19"/>
      <c r="E50" s="54">
        <f>SUM(E45:E46)</f>
        <v>1</v>
      </c>
      <c r="F50" s="19"/>
      <c r="G50" s="54">
        <f>SUM(G45:G46)</f>
        <v>0.91666666666666663</v>
      </c>
      <c r="H50" s="19"/>
      <c r="I50" s="54">
        <f>SUM(I45:I46)</f>
        <v>0.94654788418708247</v>
      </c>
      <c r="J50" s="19"/>
      <c r="K50" s="54">
        <f>SUM(K45:K46)</f>
        <v>0.93085106382978722</v>
      </c>
      <c r="L50" s="19"/>
      <c r="M50" s="54">
        <f>SUM(M45:M46)</f>
        <v>0.94824399260628467</v>
      </c>
      <c r="N50" s="22"/>
      <c r="O50" s="54">
        <f>SUM(O45:O46)</f>
        <v>0.94390715667311409</v>
      </c>
    </row>
    <row r="51" spans="1:15" x14ac:dyDescent="0.2">
      <c r="A51" s="38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1:15" ht="24" x14ac:dyDescent="0.2">
      <c r="A52" s="121" t="s">
        <v>135</v>
      </c>
      <c r="B52" s="122" t="s">
        <v>100</v>
      </c>
      <c r="C52" s="122"/>
      <c r="D52" s="122" t="s">
        <v>80</v>
      </c>
      <c r="E52" s="122"/>
      <c r="F52" s="123" t="s">
        <v>136</v>
      </c>
      <c r="G52" s="123"/>
      <c r="H52" s="122" t="s">
        <v>82</v>
      </c>
      <c r="I52" s="122"/>
      <c r="J52" s="122" t="s">
        <v>81</v>
      </c>
      <c r="K52" s="122"/>
      <c r="L52" s="122" t="s">
        <v>98</v>
      </c>
      <c r="M52" s="122"/>
      <c r="N52" s="116" t="s">
        <v>1</v>
      </c>
      <c r="O52" s="116"/>
    </row>
    <row r="53" spans="1:15" x14ac:dyDescent="0.2">
      <c r="A53" s="20" t="s">
        <v>57</v>
      </c>
      <c r="B53" s="28">
        <v>93</v>
      </c>
      <c r="C53" s="29">
        <f>B53/B57</f>
        <v>0.32978723404255317</v>
      </c>
      <c r="D53" s="28">
        <v>4</v>
      </c>
      <c r="E53" s="29">
        <f>D53/D57</f>
        <v>0.36363636363636365</v>
      </c>
      <c r="F53" s="28">
        <v>33</v>
      </c>
      <c r="G53" s="29">
        <f>F53/F57</f>
        <v>0.33673469387755101</v>
      </c>
      <c r="H53" s="28">
        <v>157</v>
      </c>
      <c r="I53" s="29">
        <f>H53/H57</f>
        <v>0.33404255319148934</v>
      </c>
      <c r="J53" s="28">
        <v>65</v>
      </c>
      <c r="K53" s="29">
        <f>J53/J57</f>
        <v>0.34574468085106386</v>
      </c>
      <c r="L53" s="28">
        <v>177</v>
      </c>
      <c r="M53" s="29">
        <f>L53/L57</f>
        <v>0.31720430107526881</v>
      </c>
      <c r="N53" s="21">
        <f>B53+D53+F53+H53+J53+L53</f>
        <v>529</v>
      </c>
      <c r="O53" s="29">
        <f>N53/N57</f>
        <v>0.32918481642812697</v>
      </c>
    </row>
    <row r="54" spans="1:15" x14ac:dyDescent="0.2">
      <c r="A54" s="20" t="s">
        <v>56</v>
      </c>
      <c r="B54" s="28">
        <v>175</v>
      </c>
      <c r="C54" s="29">
        <f>B54/B57</f>
        <v>0.62056737588652477</v>
      </c>
      <c r="D54" s="28">
        <v>6</v>
      </c>
      <c r="E54" s="29">
        <f>D54/D57</f>
        <v>0.54545454545454541</v>
      </c>
      <c r="F54" s="28">
        <v>56</v>
      </c>
      <c r="G54" s="29">
        <f>F54/F57</f>
        <v>0.5714285714285714</v>
      </c>
      <c r="H54" s="28">
        <v>279</v>
      </c>
      <c r="I54" s="29">
        <f>H54/H57</f>
        <v>0.59361702127659577</v>
      </c>
      <c r="J54" s="28">
        <v>107</v>
      </c>
      <c r="K54" s="29">
        <f>J54/J57</f>
        <v>0.56914893617021278</v>
      </c>
      <c r="L54" s="28">
        <v>343</v>
      </c>
      <c r="M54" s="29">
        <f>L54/L57</f>
        <v>0.61469534050179209</v>
      </c>
      <c r="N54" s="21">
        <f>B54+D54+F54+H54+J54+L54</f>
        <v>966</v>
      </c>
      <c r="O54" s="29">
        <f>N54/N57</f>
        <v>0.60112009956440571</v>
      </c>
    </row>
    <row r="55" spans="1:15" x14ac:dyDescent="0.2">
      <c r="A55" s="20" t="s">
        <v>55</v>
      </c>
      <c r="B55" s="28">
        <v>10</v>
      </c>
      <c r="C55" s="29">
        <f>B55/B57</f>
        <v>3.5460992907801421E-2</v>
      </c>
      <c r="D55" s="28">
        <v>1</v>
      </c>
      <c r="E55" s="29">
        <f>D55/D57</f>
        <v>9.0909090909090912E-2</v>
      </c>
      <c r="F55" s="28">
        <v>9</v>
      </c>
      <c r="G55" s="29">
        <f>F55/F57</f>
        <v>9.1836734693877556E-2</v>
      </c>
      <c r="H55" s="28">
        <v>30</v>
      </c>
      <c r="I55" s="29">
        <f>H55/H57</f>
        <v>6.3829787234042548E-2</v>
      </c>
      <c r="J55" s="28">
        <v>10</v>
      </c>
      <c r="K55" s="29">
        <f>J55/J57</f>
        <v>5.3191489361702128E-2</v>
      </c>
      <c r="L55" s="28">
        <v>31</v>
      </c>
      <c r="M55" s="29">
        <f>L55/L57</f>
        <v>5.5555555555555552E-2</v>
      </c>
      <c r="N55" s="21">
        <f>B55+D55+F55+H55+J55+L55</f>
        <v>91</v>
      </c>
      <c r="O55" s="29">
        <f>N55/N57</f>
        <v>5.6627255756067203E-2</v>
      </c>
    </row>
    <row r="56" spans="1:15" x14ac:dyDescent="0.2">
      <c r="A56" s="20" t="s">
        <v>54</v>
      </c>
      <c r="B56" s="28">
        <v>4</v>
      </c>
      <c r="C56" s="29">
        <f>B56/B57</f>
        <v>1.4184397163120567E-2</v>
      </c>
      <c r="D56" s="28"/>
      <c r="E56" s="29">
        <f>D56/D57</f>
        <v>0</v>
      </c>
      <c r="F56" s="28"/>
      <c r="G56" s="29">
        <f>F56/F57</f>
        <v>0</v>
      </c>
      <c r="H56" s="28">
        <v>4</v>
      </c>
      <c r="I56" s="29">
        <f>H56/H57</f>
        <v>8.5106382978723406E-3</v>
      </c>
      <c r="J56" s="28">
        <v>6</v>
      </c>
      <c r="K56" s="29">
        <f>J56/J57</f>
        <v>3.1914893617021274E-2</v>
      </c>
      <c r="L56" s="28">
        <v>7</v>
      </c>
      <c r="M56" s="29">
        <f>L56/L57</f>
        <v>1.2544802867383513E-2</v>
      </c>
      <c r="N56" s="21">
        <f>B56+D56+F56+H56+J56+L56</f>
        <v>21</v>
      </c>
      <c r="O56" s="29">
        <f>N56/N57</f>
        <v>1.3067828251400125E-2</v>
      </c>
    </row>
    <row r="57" spans="1:15" s="11" customFormat="1" x14ac:dyDescent="0.2">
      <c r="A57" s="95" t="s">
        <v>1</v>
      </c>
      <c r="B57" s="22">
        <f t="shared" ref="B57:L57" si="6">SUM(B53:B56)</f>
        <v>282</v>
      </c>
      <c r="C57" s="31">
        <f>SUM(C53:C56)</f>
        <v>1</v>
      </c>
      <c r="D57" s="22">
        <f t="shared" si="6"/>
        <v>11</v>
      </c>
      <c r="E57" s="31">
        <f>SUM(E53:E56)</f>
        <v>1</v>
      </c>
      <c r="F57" s="22">
        <f t="shared" si="6"/>
        <v>98</v>
      </c>
      <c r="G57" s="31">
        <f>SUM(G53:G56)</f>
        <v>1</v>
      </c>
      <c r="H57" s="22">
        <f t="shared" si="6"/>
        <v>470</v>
      </c>
      <c r="I57" s="31">
        <f>SUM(I53:I56)</f>
        <v>1</v>
      </c>
      <c r="J57" s="22">
        <f t="shared" si="6"/>
        <v>188</v>
      </c>
      <c r="K57" s="31">
        <f>SUM(K53:K56)</f>
        <v>1.0000000000000002</v>
      </c>
      <c r="L57" s="22">
        <f t="shared" si="6"/>
        <v>558</v>
      </c>
      <c r="M57" s="31">
        <f>SUM(M53:M56)</f>
        <v>0.99999999999999989</v>
      </c>
      <c r="N57" s="22">
        <f>SUM(N51:N56)</f>
        <v>1607</v>
      </c>
      <c r="O57" s="31">
        <f>SUM(O51:O56)</f>
        <v>1</v>
      </c>
    </row>
    <row r="58" spans="1:15" x14ac:dyDescent="0.2">
      <c r="A58" s="95" t="s">
        <v>91</v>
      </c>
      <c r="B58" s="19"/>
      <c r="C58" s="54">
        <f>SUM(C53:C54)</f>
        <v>0.95035460992907794</v>
      </c>
      <c r="D58" s="19"/>
      <c r="E58" s="54">
        <f>SUM(E53:E54)</f>
        <v>0.90909090909090906</v>
      </c>
      <c r="F58" s="19"/>
      <c r="G58" s="54">
        <f>SUM(G53:G54)</f>
        <v>0.90816326530612246</v>
      </c>
      <c r="H58" s="19"/>
      <c r="I58" s="54">
        <f>SUM(I53:I54)</f>
        <v>0.92765957446808511</v>
      </c>
      <c r="J58" s="19"/>
      <c r="K58" s="54">
        <f>SUM(K53:K54)</f>
        <v>0.91489361702127669</v>
      </c>
      <c r="L58" s="19"/>
      <c r="M58" s="54">
        <f>SUM(M53:M54)</f>
        <v>0.93189964157706084</v>
      </c>
      <c r="N58" s="22"/>
      <c r="O58" s="54">
        <f>SUM(O53:O54)</f>
        <v>0.93030491599253273</v>
      </c>
    </row>
    <row r="59" spans="1:15" x14ac:dyDescent="0.2">
      <c r="A59" s="38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spans="1:15" ht="12.75" customHeight="1" x14ac:dyDescent="0.2">
      <c r="A60" s="121" t="s">
        <v>63</v>
      </c>
      <c r="B60" s="122" t="s">
        <v>100</v>
      </c>
      <c r="C60" s="122"/>
      <c r="D60" s="122" t="s">
        <v>80</v>
      </c>
      <c r="E60" s="122"/>
      <c r="F60" s="123" t="s">
        <v>136</v>
      </c>
      <c r="G60" s="123"/>
      <c r="H60" s="122" t="s">
        <v>82</v>
      </c>
      <c r="I60" s="122"/>
      <c r="J60" s="122" t="s">
        <v>81</v>
      </c>
      <c r="K60" s="122"/>
      <c r="L60" s="122" t="s">
        <v>98</v>
      </c>
      <c r="M60" s="122"/>
      <c r="N60" s="116" t="s">
        <v>1</v>
      </c>
      <c r="O60" s="116"/>
    </row>
    <row r="61" spans="1:15" x14ac:dyDescent="0.2">
      <c r="A61" s="20" t="s">
        <v>57</v>
      </c>
      <c r="B61" s="28">
        <v>92</v>
      </c>
      <c r="C61" s="29">
        <f>B61/B65</f>
        <v>0.33454545454545453</v>
      </c>
      <c r="D61" s="28">
        <v>5</v>
      </c>
      <c r="E61" s="29">
        <f>D61/D65</f>
        <v>0.45454545454545453</v>
      </c>
      <c r="F61" s="28">
        <v>38</v>
      </c>
      <c r="G61" s="29">
        <f>F61/F65</f>
        <v>0.3619047619047619</v>
      </c>
      <c r="H61" s="28">
        <v>140</v>
      </c>
      <c r="I61" s="29">
        <f>H61/H65</f>
        <v>0.3056768558951965</v>
      </c>
      <c r="J61" s="28">
        <v>54</v>
      </c>
      <c r="K61" s="29">
        <f>J61/J65</f>
        <v>0.2857142857142857</v>
      </c>
      <c r="L61" s="28">
        <v>192</v>
      </c>
      <c r="M61" s="29">
        <f>L61/L65</f>
        <v>0.33862433862433861</v>
      </c>
      <c r="N61" s="21">
        <f>B61+D61+F61+H61+J61+L61</f>
        <v>521</v>
      </c>
      <c r="O61" s="29">
        <f>N61/N65</f>
        <v>0.32461059190031155</v>
      </c>
    </row>
    <row r="62" spans="1:15" x14ac:dyDescent="0.2">
      <c r="A62" s="20" t="s">
        <v>56</v>
      </c>
      <c r="B62" s="28">
        <v>161</v>
      </c>
      <c r="C62" s="29">
        <f>B62/B65</f>
        <v>0.58545454545454545</v>
      </c>
      <c r="D62" s="28">
        <v>5</v>
      </c>
      <c r="E62" s="29">
        <f>D62/D65</f>
        <v>0.45454545454545453</v>
      </c>
      <c r="F62" s="28">
        <v>53</v>
      </c>
      <c r="G62" s="29">
        <f>F62/F65</f>
        <v>0.50476190476190474</v>
      </c>
      <c r="H62" s="28">
        <v>265</v>
      </c>
      <c r="I62" s="29">
        <f>H62/H65</f>
        <v>0.57860262008733621</v>
      </c>
      <c r="J62" s="28">
        <v>115</v>
      </c>
      <c r="K62" s="29">
        <f>J62/J65</f>
        <v>0.60846560846560849</v>
      </c>
      <c r="L62" s="28">
        <v>321</v>
      </c>
      <c r="M62" s="29">
        <f>L62/L65</f>
        <v>0.56613756613756616</v>
      </c>
      <c r="N62" s="21">
        <f>B62+D62+F62+H62+J62+L62</f>
        <v>920</v>
      </c>
      <c r="O62" s="29">
        <f>N62/N65</f>
        <v>0.57320872274143297</v>
      </c>
    </row>
    <row r="63" spans="1:15" x14ac:dyDescent="0.2">
      <c r="A63" s="20" t="s">
        <v>55</v>
      </c>
      <c r="B63" s="28">
        <v>19</v>
      </c>
      <c r="C63" s="29">
        <f>B63/B65</f>
        <v>6.9090909090909092E-2</v>
      </c>
      <c r="D63" s="28">
        <v>1</v>
      </c>
      <c r="E63" s="29">
        <f>D63/D65</f>
        <v>9.0909090909090912E-2</v>
      </c>
      <c r="F63" s="28">
        <v>11</v>
      </c>
      <c r="G63" s="29">
        <f>F63/F65</f>
        <v>0.10476190476190476</v>
      </c>
      <c r="H63" s="28">
        <v>39</v>
      </c>
      <c r="I63" s="29">
        <f>H63/H65</f>
        <v>8.5152838427947602E-2</v>
      </c>
      <c r="J63" s="28">
        <v>15</v>
      </c>
      <c r="K63" s="29">
        <f>J63/J65</f>
        <v>7.9365079365079361E-2</v>
      </c>
      <c r="L63" s="28">
        <v>42</v>
      </c>
      <c r="M63" s="29">
        <f>L63/L65</f>
        <v>7.407407407407407E-2</v>
      </c>
      <c r="N63" s="21">
        <f>B63+D63+F63+H63+J63+L63</f>
        <v>127</v>
      </c>
      <c r="O63" s="29">
        <f>N63/N65</f>
        <v>7.912772585669782E-2</v>
      </c>
    </row>
    <row r="64" spans="1:15" x14ac:dyDescent="0.2">
      <c r="A64" s="20" t="s">
        <v>54</v>
      </c>
      <c r="B64" s="28">
        <v>3</v>
      </c>
      <c r="C64" s="29">
        <f>B64/B65</f>
        <v>1.090909090909091E-2</v>
      </c>
      <c r="D64" s="28"/>
      <c r="E64" s="29">
        <f>D64/D65</f>
        <v>0</v>
      </c>
      <c r="F64" s="28">
        <v>3</v>
      </c>
      <c r="G64" s="29">
        <f>F64/F65</f>
        <v>2.8571428571428571E-2</v>
      </c>
      <c r="H64" s="28">
        <v>14</v>
      </c>
      <c r="I64" s="29">
        <f>H64/H65</f>
        <v>3.0567685589519649E-2</v>
      </c>
      <c r="J64" s="28">
        <v>5</v>
      </c>
      <c r="K64" s="29">
        <f>J64/J65</f>
        <v>2.6455026455026454E-2</v>
      </c>
      <c r="L64" s="28">
        <v>12</v>
      </c>
      <c r="M64" s="29">
        <f>L64/L65</f>
        <v>2.1164021164021163E-2</v>
      </c>
      <c r="N64" s="21">
        <f>B64+D64+F64+H64+J64+L64</f>
        <v>37</v>
      </c>
      <c r="O64" s="29">
        <f>N64/N65</f>
        <v>2.3052959501557634E-2</v>
      </c>
    </row>
    <row r="65" spans="1:15" s="11" customFormat="1" x14ac:dyDescent="0.2">
      <c r="A65" s="95" t="s">
        <v>1</v>
      </c>
      <c r="B65" s="22">
        <f t="shared" ref="B65:L65" si="7">SUM(B61:B64)</f>
        <v>275</v>
      </c>
      <c r="C65" s="31">
        <f>SUM(C61:C64)</f>
        <v>0.99999999999999989</v>
      </c>
      <c r="D65" s="22">
        <f t="shared" si="7"/>
        <v>11</v>
      </c>
      <c r="E65" s="31">
        <f>SUM(E61:E64)</f>
        <v>1</v>
      </c>
      <c r="F65" s="22">
        <f t="shared" si="7"/>
        <v>105</v>
      </c>
      <c r="G65" s="31">
        <f>SUM(G61:G64)</f>
        <v>1</v>
      </c>
      <c r="H65" s="22">
        <f t="shared" si="7"/>
        <v>458</v>
      </c>
      <c r="I65" s="31">
        <f>SUM(I61:I64)</f>
        <v>1</v>
      </c>
      <c r="J65" s="22">
        <f t="shared" si="7"/>
        <v>189</v>
      </c>
      <c r="K65" s="31">
        <f>SUM(K61:K64)</f>
        <v>1</v>
      </c>
      <c r="L65" s="22">
        <f t="shared" si="7"/>
        <v>567</v>
      </c>
      <c r="M65" s="31">
        <f>SUM(M61:M64)</f>
        <v>1</v>
      </c>
      <c r="N65" s="22">
        <f>SUM(N59:N64)</f>
        <v>1605</v>
      </c>
      <c r="O65" s="31">
        <f>SUM(O59:O64)</f>
        <v>1</v>
      </c>
    </row>
    <row r="66" spans="1:15" x14ac:dyDescent="0.2">
      <c r="A66" s="95" t="s">
        <v>91</v>
      </c>
      <c r="B66" s="19"/>
      <c r="C66" s="54">
        <f>SUM(C61:C62)</f>
        <v>0.91999999999999993</v>
      </c>
      <c r="D66" s="19"/>
      <c r="E66" s="54">
        <f>SUM(E61:E62)</f>
        <v>0.90909090909090906</v>
      </c>
      <c r="F66" s="19"/>
      <c r="G66" s="54">
        <f>SUM(G61:G62)</f>
        <v>0.8666666666666667</v>
      </c>
      <c r="H66" s="19"/>
      <c r="I66" s="54">
        <f>SUM(I61:I62)</f>
        <v>0.88427947598253276</v>
      </c>
      <c r="J66" s="19"/>
      <c r="K66" s="54">
        <f>SUM(K61:K62)</f>
        <v>0.89417989417989419</v>
      </c>
      <c r="L66" s="19"/>
      <c r="M66" s="54">
        <f>SUM(M61:M62)</f>
        <v>0.90476190476190477</v>
      </c>
      <c r="N66" s="22"/>
      <c r="O66" s="54">
        <f>SUM(O61:O62)</f>
        <v>0.89781931464174458</v>
      </c>
    </row>
    <row r="67" spans="1:15" x14ac:dyDescent="0.2">
      <c r="A67" s="38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1:15" ht="24" x14ac:dyDescent="0.2">
      <c r="A68" s="121" t="s">
        <v>64</v>
      </c>
      <c r="B68" s="122" t="s">
        <v>100</v>
      </c>
      <c r="C68" s="122"/>
      <c r="D68" s="122" t="s">
        <v>80</v>
      </c>
      <c r="E68" s="122"/>
      <c r="F68" s="123" t="s">
        <v>136</v>
      </c>
      <c r="G68" s="123"/>
      <c r="H68" s="122" t="s">
        <v>82</v>
      </c>
      <c r="I68" s="122"/>
      <c r="J68" s="122" t="s">
        <v>81</v>
      </c>
      <c r="K68" s="122"/>
      <c r="L68" s="122" t="s">
        <v>98</v>
      </c>
      <c r="M68" s="122"/>
      <c r="N68" s="116" t="s">
        <v>1</v>
      </c>
      <c r="O68" s="116"/>
    </row>
    <row r="69" spans="1:15" x14ac:dyDescent="0.2">
      <c r="A69" s="20" t="s">
        <v>57</v>
      </c>
      <c r="B69" s="28">
        <v>98</v>
      </c>
      <c r="C69" s="29">
        <f>B69/B73</f>
        <v>0.38132295719844356</v>
      </c>
      <c r="D69" s="28">
        <v>4</v>
      </c>
      <c r="E69" s="29">
        <f>D69/D73</f>
        <v>0.33333333333333331</v>
      </c>
      <c r="F69" s="28">
        <v>31</v>
      </c>
      <c r="G69" s="29">
        <f>F69/F73</f>
        <v>0.32291666666666669</v>
      </c>
      <c r="H69" s="28">
        <v>124</v>
      </c>
      <c r="I69" s="29">
        <f>H69/H73</f>
        <v>0.28837209302325584</v>
      </c>
      <c r="J69" s="28">
        <v>63</v>
      </c>
      <c r="K69" s="29">
        <f>J69/J73</f>
        <v>0.34239130434782611</v>
      </c>
      <c r="L69" s="28">
        <v>194</v>
      </c>
      <c r="M69" s="29">
        <f>L69/L73</f>
        <v>0.35859519408502771</v>
      </c>
      <c r="N69" s="21">
        <f>B69+D69+F69+H69+J69+L69</f>
        <v>514</v>
      </c>
      <c r="O69" s="29">
        <f>N69/N73</f>
        <v>0.3381578947368421</v>
      </c>
    </row>
    <row r="70" spans="1:15" x14ac:dyDescent="0.2">
      <c r="A70" s="20" t="s">
        <v>56</v>
      </c>
      <c r="B70" s="28">
        <v>148</v>
      </c>
      <c r="C70" s="29">
        <f>B70/B73</f>
        <v>0.57587548638132291</v>
      </c>
      <c r="D70" s="28">
        <v>8</v>
      </c>
      <c r="E70" s="29">
        <f>D70/D73</f>
        <v>0.66666666666666663</v>
      </c>
      <c r="F70" s="28">
        <v>60</v>
      </c>
      <c r="G70" s="29">
        <f>F70/F73</f>
        <v>0.625</v>
      </c>
      <c r="H70" s="28">
        <v>283</v>
      </c>
      <c r="I70" s="29">
        <f>H70/H73</f>
        <v>0.6581395348837209</v>
      </c>
      <c r="J70" s="28">
        <v>107</v>
      </c>
      <c r="K70" s="29">
        <f>J70/J73</f>
        <v>0.58152173913043481</v>
      </c>
      <c r="L70" s="28">
        <v>309</v>
      </c>
      <c r="M70" s="29">
        <f>L70/L73</f>
        <v>0.57116451016635861</v>
      </c>
      <c r="N70" s="21">
        <f>B70+D70+F70+H70+J70+L70</f>
        <v>915</v>
      </c>
      <c r="O70" s="29">
        <f>N70/N73</f>
        <v>0.60197368421052633</v>
      </c>
    </row>
    <row r="71" spans="1:15" x14ac:dyDescent="0.2">
      <c r="A71" s="20" t="s">
        <v>55</v>
      </c>
      <c r="B71" s="28">
        <v>9</v>
      </c>
      <c r="C71" s="29">
        <f>B71/B73</f>
        <v>3.5019455252918288E-2</v>
      </c>
      <c r="D71" s="28"/>
      <c r="E71" s="29">
        <f>D71/D73</f>
        <v>0</v>
      </c>
      <c r="F71" s="28">
        <v>5</v>
      </c>
      <c r="G71" s="29">
        <f>F71/F73</f>
        <v>5.2083333333333336E-2</v>
      </c>
      <c r="H71" s="28">
        <v>19</v>
      </c>
      <c r="I71" s="29">
        <f>H71/H73</f>
        <v>4.4186046511627906E-2</v>
      </c>
      <c r="J71" s="28">
        <v>10</v>
      </c>
      <c r="K71" s="29">
        <f>J71/J73</f>
        <v>5.434782608695652E-2</v>
      </c>
      <c r="L71" s="28">
        <v>31</v>
      </c>
      <c r="M71" s="29">
        <f>L71/L73</f>
        <v>5.730129390018484E-2</v>
      </c>
      <c r="N71" s="21">
        <f>B71+D71+F71+H71+J71+L71</f>
        <v>74</v>
      </c>
      <c r="O71" s="29">
        <f>N71/N73</f>
        <v>4.8684210526315788E-2</v>
      </c>
    </row>
    <row r="72" spans="1:15" x14ac:dyDescent="0.2">
      <c r="A72" s="20" t="s">
        <v>54</v>
      </c>
      <c r="B72" s="28">
        <v>2</v>
      </c>
      <c r="C72" s="29">
        <f>B72/B73</f>
        <v>7.7821011673151752E-3</v>
      </c>
      <c r="D72" s="28"/>
      <c r="E72" s="29">
        <f>D72/D73</f>
        <v>0</v>
      </c>
      <c r="F72" s="28"/>
      <c r="G72" s="29">
        <f>F72/F73</f>
        <v>0</v>
      </c>
      <c r="H72" s="28">
        <v>4</v>
      </c>
      <c r="I72" s="29">
        <f>H72/H73</f>
        <v>9.3023255813953487E-3</v>
      </c>
      <c r="J72" s="28">
        <v>4</v>
      </c>
      <c r="K72" s="29">
        <f>J72/J73</f>
        <v>2.1739130434782608E-2</v>
      </c>
      <c r="L72" s="28">
        <v>7</v>
      </c>
      <c r="M72" s="29">
        <f>L72/L73</f>
        <v>1.2939001848428836E-2</v>
      </c>
      <c r="N72" s="21">
        <f>B72+D72+F72+H72+J72+L72</f>
        <v>17</v>
      </c>
      <c r="O72" s="29">
        <f>N72/N73</f>
        <v>1.118421052631579E-2</v>
      </c>
    </row>
    <row r="73" spans="1:15" s="11" customFormat="1" x14ac:dyDescent="0.2">
      <c r="A73" s="95" t="s">
        <v>1</v>
      </c>
      <c r="B73" s="22">
        <f t="shared" ref="B73:L73" si="8">SUM(B69:B72)</f>
        <v>257</v>
      </c>
      <c r="C73" s="31">
        <f>SUM(C69:C72)</f>
        <v>0.99999999999999989</v>
      </c>
      <c r="D73" s="22">
        <f t="shared" si="8"/>
        <v>12</v>
      </c>
      <c r="E73" s="31">
        <f>SUM(E69:E72)</f>
        <v>1</v>
      </c>
      <c r="F73" s="22">
        <f t="shared" si="8"/>
        <v>96</v>
      </c>
      <c r="G73" s="31">
        <f>SUM(G69:G72)</f>
        <v>1</v>
      </c>
      <c r="H73" s="22">
        <f t="shared" si="8"/>
        <v>430</v>
      </c>
      <c r="I73" s="31">
        <f>SUM(I69:I72)</f>
        <v>1</v>
      </c>
      <c r="J73" s="22">
        <f t="shared" si="8"/>
        <v>184</v>
      </c>
      <c r="K73" s="31">
        <f>SUM(K69:K72)</f>
        <v>1.0000000000000002</v>
      </c>
      <c r="L73" s="22">
        <f t="shared" si="8"/>
        <v>541</v>
      </c>
      <c r="M73" s="31">
        <f>SUM(M69:M72)</f>
        <v>1</v>
      </c>
      <c r="N73" s="22">
        <f>SUM(N67:N72)</f>
        <v>1520</v>
      </c>
      <c r="O73" s="31">
        <f>SUM(O67:O72)</f>
        <v>1</v>
      </c>
    </row>
    <row r="74" spans="1:15" x14ac:dyDescent="0.2">
      <c r="A74" s="95" t="s">
        <v>91</v>
      </c>
      <c r="B74" s="19"/>
      <c r="C74" s="54">
        <f>SUM(C69:C70)</f>
        <v>0.95719844357976647</v>
      </c>
      <c r="D74" s="19"/>
      <c r="E74" s="54">
        <f>SUM(E69:E70)</f>
        <v>1</v>
      </c>
      <c r="F74" s="19"/>
      <c r="G74" s="54">
        <f>SUM(G69:G70)</f>
        <v>0.94791666666666674</v>
      </c>
      <c r="H74" s="19"/>
      <c r="I74" s="54">
        <f>SUM(I69:I70)</f>
        <v>0.94651162790697674</v>
      </c>
      <c r="J74" s="19"/>
      <c r="K74" s="54">
        <f>SUM(K69:K70)</f>
        <v>0.92391304347826098</v>
      </c>
      <c r="L74" s="19"/>
      <c r="M74" s="54">
        <f>SUM(M69:M70)</f>
        <v>0.92975970425138632</v>
      </c>
      <c r="N74" s="22"/>
      <c r="O74" s="54">
        <f>SUM(O69:O70)</f>
        <v>0.94013157894736843</v>
      </c>
    </row>
    <row r="75" spans="1:15" x14ac:dyDescent="0.2">
      <c r="A75" s="38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1:15" ht="12.75" customHeight="1" x14ac:dyDescent="0.2">
      <c r="A76" s="121" t="s">
        <v>65</v>
      </c>
      <c r="B76" s="122" t="s">
        <v>100</v>
      </c>
      <c r="C76" s="122"/>
      <c r="D76" s="122" t="s">
        <v>80</v>
      </c>
      <c r="E76" s="122"/>
      <c r="F76" s="123" t="s">
        <v>136</v>
      </c>
      <c r="G76" s="123"/>
      <c r="H76" s="122" t="s">
        <v>82</v>
      </c>
      <c r="I76" s="122"/>
      <c r="J76" s="122" t="s">
        <v>81</v>
      </c>
      <c r="K76" s="122"/>
      <c r="L76" s="122" t="s">
        <v>98</v>
      </c>
      <c r="M76" s="122"/>
      <c r="N76" s="116" t="s">
        <v>1</v>
      </c>
      <c r="O76" s="116"/>
    </row>
    <row r="77" spans="1:15" x14ac:dyDescent="0.2">
      <c r="A77" s="20" t="s">
        <v>57</v>
      </c>
      <c r="B77" s="28">
        <v>90</v>
      </c>
      <c r="C77" s="29">
        <f>B77/B81</f>
        <v>0.34883720930232559</v>
      </c>
      <c r="D77" s="28">
        <v>4</v>
      </c>
      <c r="E77" s="29">
        <f>D77/D81</f>
        <v>0.33333333333333331</v>
      </c>
      <c r="F77" s="28">
        <v>32</v>
      </c>
      <c r="G77" s="29">
        <f>F77/F81</f>
        <v>0.34408602150537637</v>
      </c>
      <c r="H77" s="28">
        <v>119</v>
      </c>
      <c r="I77" s="29">
        <f>H77/H81</f>
        <v>0.28266033254156769</v>
      </c>
      <c r="J77" s="28">
        <v>73</v>
      </c>
      <c r="K77" s="29">
        <f>J77/J81</f>
        <v>0.38421052631578945</v>
      </c>
      <c r="L77" s="28">
        <v>197</v>
      </c>
      <c r="M77" s="29">
        <f>L77/L81</f>
        <v>0.37452471482889732</v>
      </c>
      <c r="N77" s="21">
        <f>B77+D77+F77+H77+J77+L77</f>
        <v>515</v>
      </c>
      <c r="O77" s="29">
        <f>N77/N81</f>
        <v>0.34333333333333332</v>
      </c>
    </row>
    <row r="78" spans="1:15" x14ac:dyDescent="0.2">
      <c r="A78" s="20" t="s">
        <v>56</v>
      </c>
      <c r="B78" s="28">
        <v>152</v>
      </c>
      <c r="C78" s="29">
        <f>B78/B81</f>
        <v>0.58914728682170547</v>
      </c>
      <c r="D78" s="28">
        <v>8</v>
      </c>
      <c r="E78" s="29">
        <f>D78/D81</f>
        <v>0.66666666666666663</v>
      </c>
      <c r="F78" s="28">
        <v>53</v>
      </c>
      <c r="G78" s="29">
        <f>F78/F81</f>
        <v>0.56989247311827962</v>
      </c>
      <c r="H78" s="28">
        <v>279</v>
      </c>
      <c r="I78" s="29">
        <f>H78/H81</f>
        <v>0.66270783847980996</v>
      </c>
      <c r="J78" s="28">
        <v>105</v>
      </c>
      <c r="K78" s="29">
        <f>J78/J81</f>
        <v>0.55263157894736847</v>
      </c>
      <c r="L78" s="28">
        <v>299</v>
      </c>
      <c r="M78" s="29">
        <f>L78/L81</f>
        <v>0.5684410646387833</v>
      </c>
      <c r="N78" s="21">
        <f>B78+D78+F78+H78+J78+L78</f>
        <v>896</v>
      </c>
      <c r="O78" s="29">
        <f>N78/N81</f>
        <v>0.59733333333333338</v>
      </c>
    </row>
    <row r="79" spans="1:15" x14ac:dyDescent="0.2">
      <c r="A79" s="20" t="s">
        <v>55</v>
      </c>
      <c r="B79" s="28">
        <v>10</v>
      </c>
      <c r="C79" s="29">
        <f>B79/B81</f>
        <v>3.875968992248062E-2</v>
      </c>
      <c r="D79" s="28"/>
      <c r="E79" s="29">
        <f>D79/D81</f>
        <v>0</v>
      </c>
      <c r="F79" s="28">
        <v>7</v>
      </c>
      <c r="G79" s="29">
        <f>F79/F81</f>
        <v>7.5268817204301078E-2</v>
      </c>
      <c r="H79" s="28">
        <v>18</v>
      </c>
      <c r="I79" s="29">
        <f>H79/H81</f>
        <v>4.2755344418052253E-2</v>
      </c>
      <c r="J79" s="28">
        <v>8</v>
      </c>
      <c r="K79" s="29">
        <f>J79/J81</f>
        <v>4.2105263157894736E-2</v>
      </c>
      <c r="L79" s="28">
        <v>21</v>
      </c>
      <c r="M79" s="29">
        <f>L79/L81</f>
        <v>3.9923954372623575E-2</v>
      </c>
      <c r="N79" s="21">
        <f>B79+D79+F79+H79+J79+L79</f>
        <v>64</v>
      </c>
      <c r="O79" s="29">
        <f>N79/N81</f>
        <v>4.2666666666666665E-2</v>
      </c>
    </row>
    <row r="80" spans="1:15" x14ac:dyDescent="0.2">
      <c r="A80" s="20" t="s">
        <v>54</v>
      </c>
      <c r="B80" s="28">
        <v>6</v>
      </c>
      <c r="C80" s="29">
        <f>B80/B81</f>
        <v>2.3255813953488372E-2</v>
      </c>
      <c r="D80" s="28"/>
      <c r="E80" s="29">
        <f>D80/D81</f>
        <v>0</v>
      </c>
      <c r="F80" s="28">
        <v>1</v>
      </c>
      <c r="G80" s="29">
        <f>F80/F81</f>
        <v>1.0752688172043012E-2</v>
      </c>
      <c r="H80" s="28">
        <v>5</v>
      </c>
      <c r="I80" s="29">
        <f>H80/H81</f>
        <v>1.1876484560570071E-2</v>
      </c>
      <c r="J80" s="28">
        <v>4</v>
      </c>
      <c r="K80" s="29">
        <f>J80/J81</f>
        <v>2.1052631578947368E-2</v>
      </c>
      <c r="L80" s="28">
        <v>9</v>
      </c>
      <c r="M80" s="29">
        <f>L80/L81</f>
        <v>1.7110266159695818E-2</v>
      </c>
      <c r="N80" s="21">
        <f>B80+D80+F80+H80+J80+L80</f>
        <v>25</v>
      </c>
      <c r="O80" s="29">
        <f>N80/N81</f>
        <v>1.6666666666666666E-2</v>
      </c>
    </row>
    <row r="81" spans="1:15" s="11" customFormat="1" x14ac:dyDescent="0.2">
      <c r="A81" s="95" t="s">
        <v>1</v>
      </c>
      <c r="B81" s="22">
        <f t="shared" ref="B81:L81" si="9">SUM(B77:B80)</f>
        <v>258</v>
      </c>
      <c r="C81" s="31">
        <f>SUM(C77:C80)</f>
        <v>1</v>
      </c>
      <c r="D81" s="22">
        <f t="shared" si="9"/>
        <v>12</v>
      </c>
      <c r="E81" s="31">
        <f>SUM(E77:E80)</f>
        <v>1</v>
      </c>
      <c r="F81" s="22">
        <f t="shared" si="9"/>
        <v>93</v>
      </c>
      <c r="G81" s="31">
        <f>SUM(G77:G80)</f>
        <v>1.0000000000000002</v>
      </c>
      <c r="H81" s="22">
        <f t="shared" si="9"/>
        <v>421</v>
      </c>
      <c r="I81" s="31">
        <f>SUM(I77:I80)</f>
        <v>1</v>
      </c>
      <c r="J81" s="22">
        <f t="shared" si="9"/>
        <v>190</v>
      </c>
      <c r="K81" s="31">
        <f>SUM(K77:K80)</f>
        <v>1</v>
      </c>
      <c r="L81" s="22">
        <f t="shared" si="9"/>
        <v>526</v>
      </c>
      <c r="M81" s="31">
        <f>SUM(M77:M80)</f>
        <v>1</v>
      </c>
      <c r="N81" s="22">
        <f>SUM(N75:N80)</f>
        <v>1500</v>
      </c>
      <c r="O81" s="31">
        <f>SUM(O75:O80)</f>
        <v>1</v>
      </c>
    </row>
    <row r="82" spans="1:15" x14ac:dyDescent="0.2">
      <c r="A82" s="95" t="s">
        <v>91</v>
      </c>
      <c r="B82" s="19"/>
      <c r="C82" s="54">
        <f>SUM(C77:C78)</f>
        <v>0.93798449612403112</v>
      </c>
      <c r="D82" s="19"/>
      <c r="E82" s="54">
        <f>SUM(E77:E78)</f>
        <v>1</v>
      </c>
      <c r="F82" s="19"/>
      <c r="G82" s="54">
        <f>SUM(G77:G78)</f>
        <v>0.91397849462365599</v>
      </c>
      <c r="H82" s="19"/>
      <c r="I82" s="54">
        <f>SUM(I77:I78)</f>
        <v>0.94536817102137771</v>
      </c>
      <c r="J82" s="19"/>
      <c r="K82" s="54">
        <f>SUM(K77:K78)</f>
        <v>0.93684210526315792</v>
      </c>
      <c r="L82" s="19"/>
      <c r="M82" s="54">
        <f>SUM(M77:M78)</f>
        <v>0.94296577946768068</v>
      </c>
      <c r="N82" s="22"/>
      <c r="O82" s="54">
        <f>SUM(O77:O78)</f>
        <v>0.94066666666666676</v>
      </c>
    </row>
    <row r="83" spans="1:15" x14ac:dyDescent="0.2">
      <c r="H83" s="7"/>
    </row>
    <row r="103" spans="4:4" x14ac:dyDescent="0.2">
      <c r="D103" s="13" t="s">
        <v>0</v>
      </c>
    </row>
  </sheetData>
  <mergeCells count="70">
    <mergeCell ref="N4:O4"/>
    <mergeCell ref="B4:C4"/>
    <mergeCell ref="D4:E4"/>
    <mergeCell ref="F4:G4"/>
    <mergeCell ref="H4:I4"/>
    <mergeCell ref="J4:K4"/>
    <mergeCell ref="L4:M4"/>
    <mergeCell ref="B12:C12"/>
    <mergeCell ref="D12:E12"/>
    <mergeCell ref="F12:G12"/>
    <mergeCell ref="H12:I12"/>
    <mergeCell ref="J12:K12"/>
    <mergeCell ref="B20:C20"/>
    <mergeCell ref="D20:E20"/>
    <mergeCell ref="F20:G20"/>
    <mergeCell ref="H20:I20"/>
    <mergeCell ref="J20:K20"/>
    <mergeCell ref="B60:C60"/>
    <mergeCell ref="N28:O28"/>
    <mergeCell ref="B36:C36"/>
    <mergeCell ref="D36:E36"/>
    <mergeCell ref="F36:G36"/>
    <mergeCell ref="H36:I36"/>
    <mergeCell ref="J36:K36"/>
    <mergeCell ref="L36:M36"/>
    <mergeCell ref="N36:O36"/>
    <mergeCell ref="B28:C28"/>
    <mergeCell ref="D28:E28"/>
    <mergeCell ref="F28:G28"/>
    <mergeCell ref="H28:I28"/>
    <mergeCell ref="J28:K28"/>
    <mergeCell ref="L28:M28"/>
    <mergeCell ref="B44:C44"/>
    <mergeCell ref="B52:C52"/>
    <mergeCell ref="D52:E52"/>
    <mergeCell ref="F52:G52"/>
    <mergeCell ref="H52:I52"/>
    <mergeCell ref="J52:K52"/>
    <mergeCell ref="D44:E44"/>
    <mergeCell ref="F44:G44"/>
    <mergeCell ref="H44:I44"/>
    <mergeCell ref="J44:K44"/>
    <mergeCell ref="N44:O44"/>
    <mergeCell ref="L52:M52"/>
    <mergeCell ref="N52:O52"/>
    <mergeCell ref="L44:M44"/>
    <mergeCell ref="N12:O12"/>
    <mergeCell ref="L20:M20"/>
    <mergeCell ref="N20:O20"/>
    <mergeCell ref="L12:M12"/>
    <mergeCell ref="D60:E60"/>
    <mergeCell ref="F60:G60"/>
    <mergeCell ref="H60:I60"/>
    <mergeCell ref="J60:K60"/>
    <mergeCell ref="N60:O60"/>
    <mergeCell ref="L60:M60"/>
    <mergeCell ref="N76:O76"/>
    <mergeCell ref="B76:C76"/>
    <mergeCell ref="D76:E76"/>
    <mergeCell ref="F76:G76"/>
    <mergeCell ref="H76:I76"/>
    <mergeCell ref="J76:K76"/>
    <mergeCell ref="L76:M76"/>
    <mergeCell ref="L68:M68"/>
    <mergeCell ref="N68:O68"/>
    <mergeCell ref="B68:C68"/>
    <mergeCell ref="D68:E68"/>
    <mergeCell ref="F68:G68"/>
    <mergeCell ref="H68:I68"/>
    <mergeCell ref="J68:K68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rowBreaks count="2" manualBreakCount="2">
    <brk id="35" max="16383" man="1"/>
    <brk id="6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topLeftCell="B4" zoomScaleNormal="100" workbookViewId="0">
      <selection activeCell="Q42" sqref="Q42"/>
    </sheetView>
  </sheetViews>
  <sheetFormatPr defaultRowHeight="12.75" x14ac:dyDescent="0.2"/>
  <cols>
    <col min="1" max="1" width="33.42578125" style="16" customWidth="1"/>
    <col min="2" max="7" width="7.28515625" style="7" customWidth="1"/>
    <col min="8" max="8" width="7.28515625" style="8" customWidth="1"/>
    <col min="9" max="15" width="7.28515625" style="7" customWidth="1"/>
    <col min="16" max="16" width="9.140625" style="9"/>
    <col min="17" max="17" width="32.28515625" style="136" customWidth="1"/>
    <col min="18" max="18" width="11" style="136" customWidth="1"/>
    <col min="19" max="22" width="9.140625" style="136"/>
    <col min="23" max="23" width="9.140625" style="136" customWidth="1"/>
    <col min="24" max="25" width="9.140625" style="136"/>
    <col min="26" max="16384" width="9.140625" style="9"/>
  </cols>
  <sheetData>
    <row r="1" spans="1:25" ht="15.75" x14ac:dyDescent="0.2">
      <c r="A1" s="85" t="s">
        <v>214</v>
      </c>
    </row>
    <row r="2" spans="1:25" x14ac:dyDescent="0.2">
      <c r="A2" s="65" t="s">
        <v>215</v>
      </c>
    </row>
    <row r="3" spans="1:25" x14ac:dyDescent="0.2">
      <c r="A3" s="15"/>
      <c r="B3" s="1"/>
      <c r="C3" s="2"/>
      <c r="D3" s="1"/>
      <c r="E3" s="2"/>
      <c r="F3" s="1"/>
      <c r="G3" s="2"/>
      <c r="H3" s="1"/>
      <c r="I3" s="2"/>
      <c r="J3" s="1"/>
      <c r="K3" s="2"/>
      <c r="L3" s="1"/>
      <c r="M3" s="2"/>
      <c r="N3" s="12"/>
    </row>
    <row r="4" spans="1:25" x14ac:dyDescent="0.2">
      <c r="A4" s="6" t="s">
        <v>67</v>
      </c>
      <c r="H4" s="7"/>
    </row>
    <row r="5" spans="1:25" ht="24" x14ac:dyDescent="0.2">
      <c r="A5" s="121" t="s">
        <v>66</v>
      </c>
      <c r="B5" s="122" t="s">
        <v>100</v>
      </c>
      <c r="C5" s="122"/>
      <c r="D5" s="122" t="s">
        <v>80</v>
      </c>
      <c r="E5" s="122"/>
      <c r="F5" s="123" t="s">
        <v>136</v>
      </c>
      <c r="G5" s="123"/>
      <c r="H5" s="122" t="s">
        <v>82</v>
      </c>
      <c r="I5" s="122"/>
      <c r="J5" s="122" t="s">
        <v>81</v>
      </c>
      <c r="K5" s="122"/>
      <c r="L5" s="122" t="s">
        <v>98</v>
      </c>
      <c r="M5" s="122"/>
      <c r="N5" s="116" t="s">
        <v>1</v>
      </c>
      <c r="O5" s="116"/>
      <c r="Q5" s="155" t="s">
        <v>107</v>
      </c>
      <c r="R5" s="139" t="s">
        <v>227</v>
      </c>
      <c r="S5" s="139" t="s">
        <v>80</v>
      </c>
      <c r="T5" s="160" t="s">
        <v>136</v>
      </c>
      <c r="U5" s="160" t="s">
        <v>82</v>
      </c>
      <c r="V5" s="160" t="s">
        <v>81</v>
      </c>
      <c r="W5" s="160" t="s">
        <v>226</v>
      </c>
      <c r="X5" s="140" t="s">
        <v>1</v>
      </c>
    </row>
    <row r="6" spans="1:25" x14ac:dyDescent="0.2">
      <c r="A6" s="20" t="s">
        <v>20</v>
      </c>
      <c r="B6" s="28">
        <v>142</v>
      </c>
      <c r="C6" s="29">
        <f>B6/B10</f>
        <v>0.4303030303030303</v>
      </c>
      <c r="D6" s="28">
        <v>6</v>
      </c>
      <c r="E6" s="29">
        <f>D6/D10</f>
        <v>0.46153846153846156</v>
      </c>
      <c r="F6" s="28">
        <v>51</v>
      </c>
      <c r="G6" s="29">
        <f>F6/F10</f>
        <v>0.44736842105263158</v>
      </c>
      <c r="H6" s="28">
        <v>201</v>
      </c>
      <c r="I6" s="29">
        <f>H6/H10</f>
        <v>0.39489194499017682</v>
      </c>
      <c r="J6" s="28">
        <v>102</v>
      </c>
      <c r="K6" s="29">
        <f>J6/J10</f>
        <v>0.44155844155844154</v>
      </c>
      <c r="L6" s="28">
        <v>243</v>
      </c>
      <c r="M6" s="29">
        <f>L6/L10</f>
        <v>0.38388625592417064</v>
      </c>
      <c r="N6" s="21">
        <f>B6+D6+F6+H6+J6+L6</f>
        <v>745</v>
      </c>
      <c r="O6" s="29">
        <f>N6/N10</f>
        <v>0.40710382513661203</v>
      </c>
      <c r="Q6" s="156" t="str">
        <f>A5</f>
        <v>Admission/registration procedures</v>
      </c>
      <c r="R6" s="157">
        <f>C11</f>
        <v>0.94242424242424239</v>
      </c>
      <c r="S6" s="157">
        <f>E11</f>
        <v>0.92307692307692313</v>
      </c>
      <c r="T6" s="158">
        <f>G11</f>
        <v>0.87719298245614041</v>
      </c>
      <c r="U6" s="157">
        <f>I11</f>
        <v>0.95088408644400779</v>
      </c>
      <c r="V6" s="157">
        <f>K11</f>
        <v>0.90909090909090906</v>
      </c>
      <c r="W6" s="157">
        <f>M11</f>
        <v>0.93206951026856233</v>
      </c>
      <c r="X6" s="157">
        <f>O11</f>
        <v>0.9327868852459017</v>
      </c>
    </row>
    <row r="7" spans="1:25" x14ac:dyDescent="0.2">
      <c r="A7" s="20" t="s">
        <v>19</v>
      </c>
      <c r="B7" s="28">
        <v>169</v>
      </c>
      <c r="C7" s="29">
        <f>B7/B10</f>
        <v>0.51212121212121209</v>
      </c>
      <c r="D7" s="28">
        <v>6</v>
      </c>
      <c r="E7" s="29">
        <f>D7/D10</f>
        <v>0.46153846153846156</v>
      </c>
      <c r="F7" s="28">
        <v>49</v>
      </c>
      <c r="G7" s="29">
        <f>F7/F10</f>
        <v>0.42982456140350878</v>
      </c>
      <c r="H7" s="28">
        <v>283</v>
      </c>
      <c r="I7" s="29">
        <f>H7/H10</f>
        <v>0.55599214145383102</v>
      </c>
      <c r="J7" s="28">
        <v>108</v>
      </c>
      <c r="K7" s="29">
        <f>J7/J10</f>
        <v>0.46753246753246752</v>
      </c>
      <c r="L7" s="28">
        <v>347</v>
      </c>
      <c r="M7" s="29">
        <f>L7/L10</f>
        <v>0.54818325434439175</v>
      </c>
      <c r="N7" s="21">
        <f>B7+D7+F7+H7+J7+L7</f>
        <v>962</v>
      </c>
      <c r="O7" s="29">
        <f>N7/N10</f>
        <v>0.52568306010928967</v>
      </c>
      <c r="Q7" s="156" t="str">
        <f>A13</f>
        <v>Career counseling</v>
      </c>
      <c r="R7" s="159">
        <f>C19</f>
        <v>0.84390243902439033</v>
      </c>
      <c r="S7" s="158">
        <f>E19</f>
        <v>0.66666666666666663</v>
      </c>
      <c r="T7" s="158">
        <f>G19</f>
        <v>0.70666666666666678</v>
      </c>
      <c r="U7" s="158">
        <f>I19</f>
        <v>0.83625730994152048</v>
      </c>
      <c r="V7" s="158">
        <f>K19</f>
        <v>0.82894736842105265</v>
      </c>
      <c r="W7" s="158">
        <f>M19</f>
        <v>0.7876344086021505</v>
      </c>
      <c r="X7" s="158">
        <f>O19</f>
        <v>0.81125541125541123</v>
      </c>
    </row>
    <row r="8" spans="1:25" x14ac:dyDescent="0.2">
      <c r="A8" s="20" t="s">
        <v>18</v>
      </c>
      <c r="B8" s="28">
        <v>14</v>
      </c>
      <c r="C8" s="29">
        <f>B8/B10</f>
        <v>4.2424242424242427E-2</v>
      </c>
      <c r="D8" s="28"/>
      <c r="E8" s="29">
        <f>D8/D10</f>
        <v>0</v>
      </c>
      <c r="F8" s="28">
        <v>8</v>
      </c>
      <c r="G8" s="29">
        <f>F8/F10</f>
        <v>7.0175438596491224E-2</v>
      </c>
      <c r="H8" s="28">
        <v>19</v>
      </c>
      <c r="I8" s="29">
        <f>H8/H10</f>
        <v>3.732809430255403E-2</v>
      </c>
      <c r="J8" s="28">
        <v>15</v>
      </c>
      <c r="K8" s="29">
        <f>J8/J10</f>
        <v>6.4935064935064929E-2</v>
      </c>
      <c r="L8" s="28">
        <v>30</v>
      </c>
      <c r="M8" s="29">
        <f>L8/L10</f>
        <v>4.7393364928909949E-2</v>
      </c>
      <c r="N8" s="21">
        <f>B8+D8+F8+H8+J8+L8</f>
        <v>86</v>
      </c>
      <c r="O8" s="29">
        <f>N8/N10</f>
        <v>4.6994535519125684E-2</v>
      </c>
      <c r="Q8" s="156" t="str">
        <f>A21</f>
        <v>Course advising</v>
      </c>
      <c r="R8" s="159">
        <f>C27</f>
        <v>0.87142857142857144</v>
      </c>
      <c r="S8" s="158">
        <f>E27</f>
        <v>0.84615384615384615</v>
      </c>
      <c r="T8" s="158">
        <f>G27</f>
        <v>0.7142857142857143</v>
      </c>
      <c r="U8" s="158">
        <f>I27</f>
        <v>0.8288288288288288</v>
      </c>
      <c r="V8" s="158">
        <f>K27</f>
        <v>0.77114427860696511</v>
      </c>
      <c r="W8" s="158">
        <f>M27</f>
        <v>0.77819548872180455</v>
      </c>
      <c r="X8" s="158">
        <f>O27</f>
        <v>0.80484693877551017</v>
      </c>
    </row>
    <row r="9" spans="1:25" x14ac:dyDescent="0.2">
      <c r="A9" s="20" t="s">
        <v>17</v>
      </c>
      <c r="B9" s="28">
        <v>5</v>
      </c>
      <c r="C9" s="29">
        <f>B9/B10</f>
        <v>1.5151515151515152E-2</v>
      </c>
      <c r="D9" s="28">
        <v>1</v>
      </c>
      <c r="E9" s="29">
        <f>D9/D10</f>
        <v>7.6923076923076927E-2</v>
      </c>
      <c r="F9" s="28">
        <v>6</v>
      </c>
      <c r="G9" s="29">
        <f>F9/F10</f>
        <v>5.2631578947368418E-2</v>
      </c>
      <c r="H9" s="28">
        <v>6</v>
      </c>
      <c r="I9" s="29">
        <f>H9/H10</f>
        <v>1.1787819253438114E-2</v>
      </c>
      <c r="J9" s="28">
        <v>6</v>
      </c>
      <c r="K9" s="29">
        <f>J9/J10</f>
        <v>2.5974025974025976E-2</v>
      </c>
      <c r="L9" s="28">
        <v>13</v>
      </c>
      <c r="M9" s="29">
        <f>L9/L10</f>
        <v>2.0537124802527645E-2</v>
      </c>
      <c r="N9" s="21">
        <f>B9+D9+F9+H9+J9+L9</f>
        <v>37</v>
      </c>
      <c r="O9" s="29">
        <f>N9/N10</f>
        <v>2.0218579234972677E-2</v>
      </c>
      <c r="Q9" s="156" t="str">
        <f>A29</f>
        <v>Financial aid</v>
      </c>
      <c r="R9" s="159">
        <f>C35</f>
        <v>0.87148594377510036</v>
      </c>
      <c r="S9" s="158">
        <f>E35</f>
        <v>0.88888888888888884</v>
      </c>
      <c r="T9" s="158">
        <f>G35</f>
        <v>0.85263157894736841</v>
      </c>
      <c r="U9" s="158">
        <f>I35</f>
        <v>0.8861985472154964</v>
      </c>
      <c r="V9" s="158">
        <f>K35</f>
        <v>0.85853658536585364</v>
      </c>
      <c r="W9" s="158">
        <f>M35</f>
        <v>0.87425149700598803</v>
      </c>
      <c r="X9" s="158">
        <f>O35</f>
        <v>0.87364130434782616</v>
      </c>
    </row>
    <row r="10" spans="1:25" s="11" customFormat="1" x14ac:dyDescent="0.2">
      <c r="A10" s="95" t="s">
        <v>1</v>
      </c>
      <c r="B10" s="22">
        <f t="shared" ref="B10" si="0">SUM(B6:B9)</f>
        <v>330</v>
      </c>
      <c r="C10" s="31">
        <f>SUM(C6:C9)</f>
        <v>1</v>
      </c>
      <c r="D10" s="22">
        <f t="shared" ref="D10" si="1">SUM(D6:D9)</f>
        <v>13</v>
      </c>
      <c r="E10" s="31">
        <f>SUM(E6:E9)</f>
        <v>1</v>
      </c>
      <c r="F10" s="22">
        <f t="shared" ref="F10" si="2">SUM(F6:F9)</f>
        <v>114</v>
      </c>
      <c r="G10" s="31">
        <f>SUM(G6:G9)</f>
        <v>1</v>
      </c>
      <c r="H10" s="22">
        <f t="shared" ref="H10" si="3">SUM(H6:H9)</f>
        <v>509</v>
      </c>
      <c r="I10" s="31">
        <f>SUM(I6:I9)</f>
        <v>0.99999999999999989</v>
      </c>
      <c r="J10" s="22">
        <f t="shared" ref="J10" si="4">SUM(J6:J9)</f>
        <v>231</v>
      </c>
      <c r="K10" s="31">
        <f>SUM(K6:K9)</f>
        <v>1</v>
      </c>
      <c r="L10" s="22">
        <f t="shared" ref="L10" si="5">SUM(L6:L9)</f>
        <v>633</v>
      </c>
      <c r="M10" s="31">
        <f>SUM(M6:M9)</f>
        <v>1</v>
      </c>
      <c r="N10" s="22">
        <f>SUM(N4:N9)</f>
        <v>1830</v>
      </c>
      <c r="O10" s="31">
        <f>SUM(O4:O9)</f>
        <v>1</v>
      </c>
      <c r="P10" s="9"/>
      <c r="Q10" s="156" t="str">
        <f>A37</f>
        <v>Veterans' services</v>
      </c>
      <c r="R10" s="159">
        <f>C43</f>
        <v>0.875</v>
      </c>
      <c r="S10" s="157"/>
      <c r="T10" s="157">
        <f>G43</f>
        <v>0.95454545454545459</v>
      </c>
      <c r="U10" s="157">
        <f>I43</f>
        <v>0.94690265486725667</v>
      </c>
      <c r="V10" s="157">
        <f>K43</f>
        <v>0.97826086956521729</v>
      </c>
      <c r="W10" s="157">
        <f>M43</f>
        <v>0.91338582677165348</v>
      </c>
      <c r="X10" s="157">
        <f>O43</f>
        <v>0.92761394101876671</v>
      </c>
      <c r="Y10" s="137"/>
    </row>
    <row r="11" spans="1:25" x14ac:dyDescent="0.2">
      <c r="A11" s="95" t="s">
        <v>89</v>
      </c>
      <c r="B11" s="19"/>
      <c r="C11" s="54">
        <f>SUM(C6:C7)</f>
        <v>0.94242424242424239</v>
      </c>
      <c r="D11" s="19"/>
      <c r="E11" s="54">
        <f>SUM(E6:E7)</f>
        <v>0.92307692307692313</v>
      </c>
      <c r="F11" s="19"/>
      <c r="G11" s="54">
        <f>SUM(G6:G7)</f>
        <v>0.87719298245614041</v>
      </c>
      <c r="H11" s="19"/>
      <c r="I11" s="54">
        <f>SUM(I6:I7)</f>
        <v>0.95088408644400779</v>
      </c>
      <c r="J11" s="19"/>
      <c r="K11" s="54">
        <f>SUM(K6:K7)</f>
        <v>0.90909090909090906</v>
      </c>
      <c r="L11" s="19"/>
      <c r="M11" s="54">
        <f>SUM(M6:M7)</f>
        <v>0.93206951026856233</v>
      </c>
      <c r="N11" s="22"/>
      <c r="O11" s="54">
        <f>SUM(O6:O7)</f>
        <v>0.9327868852459017</v>
      </c>
      <c r="Q11" s="156" t="str">
        <f>A45</f>
        <v>Student Life</v>
      </c>
      <c r="R11" s="157">
        <f>C51</f>
        <v>0.92727272727272725</v>
      </c>
      <c r="S11" s="157"/>
      <c r="T11" s="157">
        <f>G51</f>
        <v>0.89999999999999991</v>
      </c>
      <c r="U11" s="157">
        <f>I51</f>
        <v>0.93013100436681229</v>
      </c>
      <c r="V11" s="157">
        <f>K51</f>
        <v>0.9156626506024097</v>
      </c>
      <c r="W11" s="157">
        <f>M51</f>
        <v>0.94528875379939215</v>
      </c>
      <c r="X11" s="157">
        <f>O51</f>
        <v>0.93176470588235305</v>
      </c>
    </row>
    <row r="12" spans="1:25" x14ac:dyDescent="0.2">
      <c r="A12" s="14"/>
      <c r="B12" s="4"/>
      <c r="C12" s="36"/>
      <c r="D12" s="1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Q12" s="156" t="str">
        <f>A53</f>
        <v>Job placement</v>
      </c>
      <c r="R12" s="159">
        <f>C59</f>
        <v>0.86153846153846159</v>
      </c>
      <c r="S12" s="157"/>
      <c r="T12" s="158">
        <f>G59</f>
        <v>0.8</v>
      </c>
      <c r="U12" s="158">
        <f>I59</f>
        <v>0.81372549019607843</v>
      </c>
      <c r="V12" s="158">
        <f>K59</f>
        <v>0.84615384615384603</v>
      </c>
      <c r="W12" s="158">
        <f>M59</f>
        <v>0.81746031746031744</v>
      </c>
      <c r="X12" s="158">
        <f>O59</f>
        <v>0.8263305322128851</v>
      </c>
    </row>
    <row r="13" spans="1:25" ht="12.75" customHeight="1" x14ac:dyDescent="0.2">
      <c r="A13" s="121" t="s">
        <v>68</v>
      </c>
      <c r="B13" s="122" t="s">
        <v>100</v>
      </c>
      <c r="C13" s="122"/>
      <c r="D13" s="122" t="s">
        <v>80</v>
      </c>
      <c r="E13" s="122"/>
      <c r="F13" s="123" t="s">
        <v>136</v>
      </c>
      <c r="G13" s="123"/>
      <c r="H13" s="122" t="s">
        <v>82</v>
      </c>
      <c r="I13" s="122"/>
      <c r="J13" s="122" t="s">
        <v>81</v>
      </c>
      <c r="K13" s="122"/>
      <c r="L13" s="122" t="s">
        <v>98</v>
      </c>
      <c r="M13" s="122"/>
      <c r="N13" s="116" t="s">
        <v>1</v>
      </c>
      <c r="O13" s="116"/>
      <c r="Q13" s="156" t="str">
        <f>A61</f>
        <v>Special services</v>
      </c>
      <c r="R13" s="159">
        <f>C67</f>
        <v>0.8666666666666667</v>
      </c>
      <c r="S13" s="157"/>
      <c r="T13" s="158">
        <f>G67</f>
        <v>0.875</v>
      </c>
      <c r="U13" s="157">
        <f>I67</f>
        <v>0.91199999999999992</v>
      </c>
      <c r="V13" s="157">
        <f>K67</f>
        <v>0.93181818181818188</v>
      </c>
      <c r="W13" s="157">
        <f>M67</f>
        <v>0.91275167785234901</v>
      </c>
      <c r="X13" s="157">
        <f>O67</f>
        <v>0.90375586854460099</v>
      </c>
    </row>
    <row r="14" spans="1:25" x14ac:dyDescent="0.2">
      <c r="A14" s="20" t="s">
        <v>20</v>
      </c>
      <c r="B14" s="28">
        <v>79</v>
      </c>
      <c r="C14" s="29">
        <f>B14/B18</f>
        <v>0.38536585365853659</v>
      </c>
      <c r="D14" s="28">
        <v>3</v>
      </c>
      <c r="E14" s="29">
        <f>D14/D18</f>
        <v>0.33333333333333331</v>
      </c>
      <c r="F14" s="28">
        <v>21</v>
      </c>
      <c r="G14" s="29">
        <f>F14/F18</f>
        <v>0.28000000000000003</v>
      </c>
      <c r="H14" s="28">
        <v>120</v>
      </c>
      <c r="I14" s="29">
        <f>H14/H18</f>
        <v>0.35087719298245612</v>
      </c>
      <c r="J14" s="28">
        <v>62</v>
      </c>
      <c r="K14" s="29">
        <f>J14/J18</f>
        <v>0.40789473684210525</v>
      </c>
      <c r="L14" s="28">
        <v>127</v>
      </c>
      <c r="M14" s="29">
        <f>L14/L18</f>
        <v>0.34139784946236557</v>
      </c>
      <c r="N14" s="21">
        <f>B14+D14+F14+H14+J14+L14</f>
        <v>412</v>
      </c>
      <c r="O14" s="29">
        <f>N14/N18</f>
        <v>0.3567099567099567</v>
      </c>
      <c r="Q14" s="156" t="str">
        <f>A69</f>
        <v>Library/Learning resource center</v>
      </c>
      <c r="R14" s="157">
        <f>C75</f>
        <v>0.94418604651162785</v>
      </c>
      <c r="S14" s="158">
        <f>E75</f>
        <v>0.875</v>
      </c>
      <c r="T14" s="157">
        <f>G75</f>
        <v>0.97101449275362317</v>
      </c>
      <c r="U14" s="157">
        <f>I75</f>
        <v>0.94890510948905105</v>
      </c>
      <c r="V14" s="157">
        <f>K75</f>
        <v>0.94890510948905116</v>
      </c>
      <c r="W14" s="157">
        <f>M75</f>
        <v>0.966796875</v>
      </c>
      <c r="X14" s="157">
        <f>O75</f>
        <v>0.95562130177514792</v>
      </c>
    </row>
    <row r="15" spans="1:25" x14ac:dyDescent="0.2">
      <c r="A15" s="20" t="s">
        <v>19</v>
      </c>
      <c r="B15" s="28">
        <v>94</v>
      </c>
      <c r="C15" s="29">
        <f>B15/B18</f>
        <v>0.45853658536585368</v>
      </c>
      <c r="D15" s="28">
        <v>3</v>
      </c>
      <c r="E15" s="29">
        <f>D15/D18</f>
        <v>0.33333333333333331</v>
      </c>
      <c r="F15" s="28">
        <v>32</v>
      </c>
      <c r="G15" s="29">
        <f>F15/F18</f>
        <v>0.42666666666666669</v>
      </c>
      <c r="H15" s="28">
        <v>166</v>
      </c>
      <c r="I15" s="29">
        <f>H15/H18</f>
        <v>0.4853801169590643</v>
      </c>
      <c r="J15" s="28">
        <v>64</v>
      </c>
      <c r="K15" s="29">
        <f>J15/J18</f>
        <v>0.42105263157894735</v>
      </c>
      <c r="L15" s="28">
        <v>166</v>
      </c>
      <c r="M15" s="29">
        <f>L15/L18</f>
        <v>0.44623655913978494</v>
      </c>
      <c r="N15" s="21">
        <f>B15+D15+F15+H15+J15+L15</f>
        <v>525</v>
      </c>
      <c r="O15" s="29">
        <f>N15/N18</f>
        <v>0.45454545454545453</v>
      </c>
      <c r="Q15" s="156" t="str">
        <f>A77</f>
        <v>Tutoring services</v>
      </c>
      <c r="R15" s="157">
        <f>C83</f>
        <v>0.91216216216216217</v>
      </c>
      <c r="S15" s="157"/>
      <c r="T15" s="158">
        <f>G83</f>
        <v>0.82978723404255317</v>
      </c>
      <c r="U15" s="158">
        <f>I83</f>
        <v>0.87214611872146119</v>
      </c>
      <c r="V15" s="157">
        <f>K83</f>
        <v>0.93333333333333335</v>
      </c>
      <c r="W15" s="157">
        <f>M83</f>
        <v>0.90780141843971629</v>
      </c>
      <c r="X15" s="157">
        <f>O83</f>
        <v>0.89664082687338498</v>
      </c>
    </row>
    <row r="16" spans="1:25" ht="12.75" customHeight="1" x14ac:dyDescent="0.2">
      <c r="A16" s="20" t="s">
        <v>18</v>
      </c>
      <c r="B16" s="28">
        <v>25</v>
      </c>
      <c r="C16" s="29">
        <f>B16/B18</f>
        <v>0.12195121951219512</v>
      </c>
      <c r="D16" s="28">
        <v>3</v>
      </c>
      <c r="E16" s="29">
        <f>D16/D18</f>
        <v>0.33333333333333331</v>
      </c>
      <c r="F16" s="28">
        <v>14</v>
      </c>
      <c r="G16" s="29">
        <f>F16/F18</f>
        <v>0.18666666666666668</v>
      </c>
      <c r="H16" s="28">
        <v>52</v>
      </c>
      <c r="I16" s="29">
        <f>H16/H18</f>
        <v>0.15204678362573099</v>
      </c>
      <c r="J16" s="28">
        <v>18</v>
      </c>
      <c r="K16" s="29">
        <f>J16/J18</f>
        <v>0.11842105263157894</v>
      </c>
      <c r="L16" s="28">
        <v>60</v>
      </c>
      <c r="M16" s="29">
        <f>L16/L18</f>
        <v>0.16129032258064516</v>
      </c>
      <c r="N16" s="21">
        <f>B16+D16+F16+H16+J16+L16</f>
        <v>172</v>
      </c>
      <c r="O16" s="29">
        <f>N16/N18</f>
        <v>0.14891774891774892</v>
      </c>
      <c r="Q16" s="71" t="str">
        <f>A85</f>
        <v>Development education/basic skills center</v>
      </c>
      <c r="R16" s="18">
        <f>C91</f>
        <v>0.9642857142857143</v>
      </c>
      <c r="S16" s="18">
        <f>E91</f>
        <v>1</v>
      </c>
      <c r="T16" s="18">
        <f>G91</f>
        <v>0.97058823529411764</v>
      </c>
      <c r="U16" s="18">
        <f>I91</f>
        <v>0.93630573248407645</v>
      </c>
      <c r="V16" s="18">
        <f>K91</f>
        <v>0.95161290322580649</v>
      </c>
      <c r="W16" s="18">
        <f>M91</f>
        <v>0.96153846153846156</v>
      </c>
      <c r="X16" s="18">
        <f>O91</f>
        <v>0.95509499136442133</v>
      </c>
    </row>
    <row r="17" spans="1:25" ht="12.75" customHeight="1" x14ac:dyDescent="0.2">
      <c r="A17" s="20" t="s">
        <v>17</v>
      </c>
      <c r="B17" s="28">
        <v>7</v>
      </c>
      <c r="C17" s="29">
        <f>B17/B18</f>
        <v>3.4146341463414637E-2</v>
      </c>
      <c r="D17" s="28"/>
      <c r="E17" s="29">
        <f>D17/D18</f>
        <v>0</v>
      </c>
      <c r="F17" s="28">
        <v>8</v>
      </c>
      <c r="G17" s="29">
        <f>F17/F18</f>
        <v>0.10666666666666667</v>
      </c>
      <c r="H17" s="28">
        <v>4</v>
      </c>
      <c r="I17" s="29">
        <f>H17/H18</f>
        <v>1.1695906432748537E-2</v>
      </c>
      <c r="J17" s="28">
        <v>8</v>
      </c>
      <c r="K17" s="29">
        <f>J17/J18</f>
        <v>5.2631578947368418E-2</v>
      </c>
      <c r="L17" s="28">
        <v>19</v>
      </c>
      <c r="M17" s="29">
        <f>L17/L18</f>
        <v>5.1075268817204304E-2</v>
      </c>
      <c r="N17" s="21">
        <f>B17+D17+F17+H17+J17+L17</f>
        <v>46</v>
      </c>
      <c r="O17" s="29">
        <f>N17/N18</f>
        <v>3.9826839826839829E-2</v>
      </c>
      <c r="Q17" s="138"/>
      <c r="R17" s="27"/>
      <c r="S17" s="27"/>
      <c r="T17" s="27"/>
      <c r="U17" s="27"/>
      <c r="V17" s="27"/>
      <c r="W17" s="27"/>
      <c r="X17" s="27"/>
    </row>
    <row r="18" spans="1:25" s="11" customFormat="1" x14ac:dyDescent="0.2">
      <c r="A18" s="95" t="s">
        <v>1</v>
      </c>
      <c r="B18" s="22">
        <f t="shared" ref="B18" si="6">SUM(B14:B17)</f>
        <v>205</v>
      </c>
      <c r="C18" s="31">
        <f>SUM(C14:C17)</f>
        <v>1</v>
      </c>
      <c r="D18" s="22">
        <f t="shared" ref="D18" si="7">SUM(D14:D17)</f>
        <v>9</v>
      </c>
      <c r="E18" s="31">
        <f>SUM(E14:E17)</f>
        <v>1</v>
      </c>
      <c r="F18" s="22">
        <f t="shared" ref="F18" si="8">SUM(F14:F17)</f>
        <v>75</v>
      </c>
      <c r="G18" s="31">
        <f>SUM(G14:G17)</f>
        <v>1</v>
      </c>
      <c r="H18" s="22">
        <f t="shared" ref="H18" si="9">SUM(H14:H17)</f>
        <v>342</v>
      </c>
      <c r="I18" s="31">
        <f>SUM(I14:I17)</f>
        <v>1</v>
      </c>
      <c r="J18" s="22">
        <f t="shared" ref="J18" si="10">SUM(J14:J17)</f>
        <v>152</v>
      </c>
      <c r="K18" s="31">
        <f>SUM(K14:K17)</f>
        <v>1</v>
      </c>
      <c r="L18" s="22">
        <f t="shared" ref="L18" si="11">SUM(L14:L17)</f>
        <v>372</v>
      </c>
      <c r="M18" s="31">
        <f>SUM(M14:M17)</f>
        <v>0.99999999999999989</v>
      </c>
      <c r="N18" s="22">
        <f>SUM(N12:N17)</f>
        <v>1155</v>
      </c>
      <c r="O18" s="31">
        <f>SUM(O12:O17)</f>
        <v>1</v>
      </c>
      <c r="P18" s="9"/>
      <c r="Q18" s="138"/>
      <c r="R18" s="27"/>
      <c r="S18" s="27"/>
      <c r="T18" s="27"/>
      <c r="U18" s="27"/>
      <c r="V18" s="27"/>
      <c r="W18" s="27"/>
      <c r="X18" s="27"/>
      <c r="Y18" s="137"/>
    </row>
    <row r="19" spans="1:25" ht="24" x14ac:dyDescent="0.2">
      <c r="A19" s="95" t="s">
        <v>89</v>
      </c>
      <c r="B19" s="19"/>
      <c r="C19" s="54">
        <f>SUM(C14:C15)</f>
        <v>0.84390243902439033</v>
      </c>
      <c r="D19" s="19"/>
      <c r="E19" s="54">
        <f>SUM(E14:E15)</f>
        <v>0.66666666666666663</v>
      </c>
      <c r="F19" s="19"/>
      <c r="G19" s="54">
        <f>SUM(G14:G15)</f>
        <v>0.70666666666666678</v>
      </c>
      <c r="H19" s="19"/>
      <c r="I19" s="54">
        <f>SUM(I14:I15)</f>
        <v>0.83625730994152048</v>
      </c>
      <c r="J19" s="19"/>
      <c r="K19" s="54">
        <f>SUM(K14:K15)</f>
        <v>0.82894736842105265</v>
      </c>
      <c r="L19" s="19"/>
      <c r="M19" s="54">
        <f>SUM(M14:M15)</f>
        <v>0.7876344086021505</v>
      </c>
      <c r="N19" s="22"/>
      <c r="O19" s="54">
        <f>SUM(O14:O15)</f>
        <v>0.81125541125541123</v>
      </c>
      <c r="Q19" s="162" t="s">
        <v>108</v>
      </c>
      <c r="R19" s="139" t="s">
        <v>227</v>
      </c>
      <c r="S19" s="139" t="s">
        <v>80</v>
      </c>
      <c r="T19" s="160" t="s">
        <v>136</v>
      </c>
      <c r="U19" s="160" t="s">
        <v>82</v>
      </c>
      <c r="V19" s="160" t="s">
        <v>81</v>
      </c>
      <c r="W19" s="160" t="s">
        <v>226</v>
      </c>
      <c r="X19" s="140" t="s">
        <v>1</v>
      </c>
    </row>
    <row r="20" spans="1:25" x14ac:dyDescent="0.2">
      <c r="A20" s="38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Q20" s="163" t="str">
        <f>A95</f>
        <v>Bookstore</v>
      </c>
      <c r="R20" s="69">
        <f>C101</f>
        <v>0.82679738562091509</v>
      </c>
      <c r="S20" s="70">
        <f>E101</f>
        <v>1</v>
      </c>
      <c r="T20" s="69">
        <f>G101</f>
        <v>0.82795698924731176</v>
      </c>
      <c r="U20" s="69">
        <f>I101</f>
        <v>0.83368421052631581</v>
      </c>
      <c r="V20" s="69">
        <f>K101</f>
        <v>0.84931506849315075</v>
      </c>
      <c r="W20" s="69">
        <f>M101</f>
        <v>0.87107438016528926</v>
      </c>
      <c r="X20" s="69">
        <f>O101</f>
        <v>0.84853801169590637</v>
      </c>
    </row>
    <row r="21" spans="1:25" x14ac:dyDescent="0.2">
      <c r="A21" s="121" t="s">
        <v>175</v>
      </c>
      <c r="B21" s="122" t="s">
        <v>100</v>
      </c>
      <c r="C21" s="122"/>
      <c r="D21" s="122" t="s">
        <v>80</v>
      </c>
      <c r="E21" s="122"/>
      <c r="F21" s="123" t="s">
        <v>136</v>
      </c>
      <c r="G21" s="123"/>
      <c r="H21" s="122" t="s">
        <v>82</v>
      </c>
      <c r="I21" s="122"/>
      <c r="J21" s="122" t="s">
        <v>81</v>
      </c>
      <c r="K21" s="122"/>
      <c r="L21" s="122" t="s">
        <v>98</v>
      </c>
      <c r="M21" s="122"/>
      <c r="N21" s="116" t="s">
        <v>1</v>
      </c>
      <c r="O21" s="116"/>
      <c r="Q21" s="164" t="str">
        <f>A103</f>
        <v>Cashier</v>
      </c>
      <c r="R21" s="70">
        <f>C109</f>
        <v>0.93577981651376141</v>
      </c>
      <c r="S21" s="70">
        <f>E109</f>
        <v>1</v>
      </c>
      <c r="T21" s="69">
        <f>G109</f>
        <v>0.8904109589041096</v>
      </c>
      <c r="U21" s="70">
        <f>I109</f>
        <v>0.94973544973544977</v>
      </c>
      <c r="V21" s="70">
        <f>K109</f>
        <v>0.92405063291139233</v>
      </c>
      <c r="W21" s="70">
        <f>M109</f>
        <v>0.93378995433789957</v>
      </c>
      <c r="X21" s="70">
        <f>O109</f>
        <v>0.93558523173605646</v>
      </c>
    </row>
    <row r="22" spans="1:25" x14ac:dyDescent="0.2">
      <c r="A22" s="20" t="s">
        <v>20</v>
      </c>
      <c r="B22" s="28">
        <v>117</v>
      </c>
      <c r="C22" s="29">
        <f>B22/B26</f>
        <v>0.41785714285714287</v>
      </c>
      <c r="D22" s="28">
        <v>4</v>
      </c>
      <c r="E22" s="29">
        <f>D22/D26</f>
        <v>0.30769230769230771</v>
      </c>
      <c r="F22" s="28">
        <v>26</v>
      </c>
      <c r="G22" s="29">
        <f>F22/F26</f>
        <v>0.26530612244897961</v>
      </c>
      <c r="H22" s="28">
        <v>131</v>
      </c>
      <c r="I22" s="29">
        <f>H22/H26</f>
        <v>0.29504504504504503</v>
      </c>
      <c r="J22" s="28">
        <v>67</v>
      </c>
      <c r="K22" s="29">
        <f>J22/J26</f>
        <v>0.33333333333333331</v>
      </c>
      <c r="L22" s="28">
        <v>170</v>
      </c>
      <c r="M22" s="29">
        <f>L22/L26</f>
        <v>0.31954887218045114</v>
      </c>
      <c r="N22" s="21">
        <f>B22+D22+F22+H22+J22+L22</f>
        <v>515</v>
      </c>
      <c r="O22" s="29">
        <f>N22/N26</f>
        <v>0.32844387755102039</v>
      </c>
      <c r="Q22" s="164" t="str">
        <f>A111</f>
        <v>Food services</v>
      </c>
      <c r="R22" s="69">
        <f>C117</f>
        <v>0.79899497487437188</v>
      </c>
      <c r="S22" s="157"/>
      <c r="T22" s="69">
        <f>G117</f>
        <v>0.84090909090909083</v>
      </c>
      <c r="U22" s="69">
        <f>I117</f>
        <v>0.74566473988439308</v>
      </c>
      <c r="V22" s="69">
        <f>K117</f>
        <v>0.83157894736842097</v>
      </c>
      <c r="W22" s="69">
        <f>M117</f>
        <v>0.76574307304785894</v>
      </c>
      <c r="X22" s="69">
        <f>O117</f>
        <v>0.77449168207024033</v>
      </c>
    </row>
    <row r="23" spans="1:25" ht="12.75" customHeight="1" x14ac:dyDescent="0.2">
      <c r="A23" s="20" t="s">
        <v>19</v>
      </c>
      <c r="B23" s="28">
        <v>127</v>
      </c>
      <c r="C23" s="29">
        <f>B23/B26</f>
        <v>0.45357142857142857</v>
      </c>
      <c r="D23" s="28">
        <v>7</v>
      </c>
      <c r="E23" s="29">
        <f>D23/D26</f>
        <v>0.53846153846153844</v>
      </c>
      <c r="F23" s="28">
        <v>44</v>
      </c>
      <c r="G23" s="29">
        <f>F23/F26</f>
        <v>0.44897959183673469</v>
      </c>
      <c r="H23" s="28">
        <v>237</v>
      </c>
      <c r="I23" s="29">
        <f>H23/H26</f>
        <v>0.53378378378378377</v>
      </c>
      <c r="J23" s="28">
        <v>88</v>
      </c>
      <c r="K23" s="29">
        <f>J23/J26</f>
        <v>0.43781094527363185</v>
      </c>
      <c r="L23" s="28">
        <v>244</v>
      </c>
      <c r="M23" s="29">
        <f>L23/L26</f>
        <v>0.45864661654135336</v>
      </c>
      <c r="N23" s="21">
        <f>B23+D23+F23+H23+J23+L23</f>
        <v>747</v>
      </c>
      <c r="O23" s="29">
        <f>N23/N26</f>
        <v>0.47640306122448978</v>
      </c>
      <c r="Q23" s="164" t="str">
        <f>A119</f>
        <v>Overall Evaluation of Student Services</v>
      </c>
      <c r="R23" s="70">
        <f>C125</f>
        <v>0.93181818181818188</v>
      </c>
      <c r="S23" s="70">
        <f>E125</f>
        <v>1</v>
      </c>
      <c r="T23" s="69">
        <f>G125</f>
        <v>0.86792452830188682</v>
      </c>
      <c r="U23" s="70">
        <f>I125</f>
        <v>0.94897959183673475</v>
      </c>
      <c r="V23" s="70">
        <f>K125</f>
        <v>0.9282511210762332</v>
      </c>
      <c r="W23" s="70">
        <f>M125</f>
        <v>0.93211920529801318</v>
      </c>
      <c r="X23" s="70">
        <f>O125</f>
        <v>0.93291284403669716</v>
      </c>
    </row>
    <row r="24" spans="1:25" x14ac:dyDescent="0.2">
      <c r="A24" s="20" t="s">
        <v>18</v>
      </c>
      <c r="B24" s="28">
        <v>30</v>
      </c>
      <c r="C24" s="29">
        <f>B24/B26</f>
        <v>0.10714285714285714</v>
      </c>
      <c r="D24" s="28">
        <v>1</v>
      </c>
      <c r="E24" s="29">
        <f>D24/D26</f>
        <v>7.6923076923076927E-2</v>
      </c>
      <c r="F24" s="28">
        <v>18</v>
      </c>
      <c r="G24" s="29">
        <f>F24/F26</f>
        <v>0.18367346938775511</v>
      </c>
      <c r="H24" s="28">
        <v>63</v>
      </c>
      <c r="I24" s="29">
        <f>H24/H26</f>
        <v>0.14189189189189189</v>
      </c>
      <c r="J24" s="28">
        <v>34</v>
      </c>
      <c r="K24" s="29">
        <f>J24/J26</f>
        <v>0.1691542288557214</v>
      </c>
      <c r="L24" s="28">
        <v>86</v>
      </c>
      <c r="M24" s="29">
        <f>L24/L26</f>
        <v>0.16165413533834586</v>
      </c>
      <c r="N24" s="21">
        <f>B24+D24+F24+H24+J24+L24</f>
        <v>232</v>
      </c>
      <c r="O24" s="29">
        <f>N24/N26</f>
        <v>0.14795918367346939</v>
      </c>
    </row>
    <row r="25" spans="1:25" x14ac:dyDescent="0.2">
      <c r="A25" s="20" t="s">
        <v>17</v>
      </c>
      <c r="B25" s="28">
        <v>6</v>
      </c>
      <c r="C25" s="29">
        <f>B25/B26</f>
        <v>2.1428571428571429E-2</v>
      </c>
      <c r="D25" s="28">
        <v>1</v>
      </c>
      <c r="E25" s="29">
        <f>D25/D26</f>
        <v>7.6923076923076927E-2</v>
      </c>
      <c r="F25" s="28">
        <v>10</v>
      </c>
      <c r="G25" s="29">
        <f>F25/F26</f>
        <v>0.10204081632653061</v>
      </c>
      <c r="H25" s="28">
        <v>13</v>
      </c>
      <c r="I25" s="29">
        <f>H25/H26</f>
        <v>2.9279279279279279E-2</v>
      </c>
      <c r="J25" s="28">
        <v>12</v>
      </c>
      <c r="K25" s="29">
        <f>J25/J26</f>
        <v>5.9701492537313432E-2</v>
      </c>
      <c r="L25" s="28">
        <v>32</v>
      </c>
      <c r="M25" s="29">
        <f>L25/L26</f>
        <v>6.0150375939849621E-2</v>
      </c>
      <c r="N25" s="21">
        <f>B25+D25+F25+H25+J25+L25</f>
        <v>74</v>
      </c>
      <c r="O25" s="29">
        <f>N25/N26</f>
        <v>4.7193877551020405E-2</v>
      </c>
      <c r="Q25" s="9"/>
      <c r="R25" s="9"/>
      <c r="S25" s="9"/>
      <c r="T25" s="9"/>
      <c r="U25" s="9"/>
      <c r="V25" s="9"/>
      <c r="W25" s="9"/>
      <c r="X25" s="9"/>
      <c r="Y25" s="9"/>
    </row>
    <row r="26" spans="1:25" s="11" customFormat="1" x14ac:dyDescent="0.2">
      <c r="A26" s="95" t="s">
        <v>1</v>
      </c>
      <c r="B26" s="22">
        <f t="shared" ref="B26" si="12">SUM(B22:B25)</f>
        <v>280</v>
      </c>
      <c r="C26" s="31">
        <f>SUM(C22:C25)</f>
        <v>1</v>
      </c>
      <c r="D26" s="22">
        <f t="shared" ref="D26" si="13">SUM(D22:D25)</f>
        <v>13</v>
      </c>
      <c r="E26" s="31">
        <f>SUM(E22:E25)</f>
        <v>1</v>
      </c>
      <c r="F26" s="22">
        <f t="shared" ref="F26" si="14">SUM(F22:F25)</f>
        <v>98</v>
      </c>
      <c r="G26" s="31">
        <f>SUM(G22:G25)</f>
        <v>1</v>
      </c>
      <c r="H26" s="22">
        <f t="shared" ref="H26" si="15">SUM(H22:H25)</f>
        <v>444</v>
      </c>
      <c r="I26" s="31">
        <f>SUM(I22:I25)</f>
        <v>1</v>
      </c>
      <c r="J26" s="22">
        <f t="shared" ref="J26" si="16">SUM(J22:J25)</f>
        <v>201</v>
      </c>
      <c r="K26" s="31">
        <f>SUM(K22:K25)</f>
        <v>0.99999999999999989</v>
      </c>
      <c r="L26" s="22">
        <f t="shared" ref="L26" si="17">SUM(L22:L25)</f>
        <v>532</v>
      </c>
      <c r="M26" s="31">
        <f>SUM(M22:M25)</f>
        <v>1</v>
      </c>
      <c r="N26" s="22">
        <f>SUM(N20:N25)</f>
        <v>1568</v>
      </c>
      <c r="O26" s="31">
        <f>SUM(O20:O25)</f>
        <v>1</v>
      </c>
    </row>
    <row r="27" spans="1:25" x14ac:dyDescent="0.2">
      <c r="A27" s="95" t="s">
        <v>89</v>
      </c>
      <c r="B27" s="19"/>
      <c r="C27" s="54">
        <f>SUM(C22:C23)</f>
        <v>0.87142857142857144</v>
      </c>
      <c r="D27" s="19"/>
      <c r="E27" s="54">
        <f>SUM(E22:E23)</f>
        <v>0.84615384615384615</v>
      </c>
      <c r="F27" s="19"/>
      <c r="G27" s="54">
        <f>SUM(G22:G23)</f>
        <v>0.7142857142857143</v>
      </c>
      <c r="H27" s="19"/>
      <c r="I27" s="54">
        <f>SUM(I22:I23)</f>
        <v>0.8288288288288288</v>
      </c>
      <c r="J27" s="19"/>
      <c r="K27" s="54">
        <f>SUM(K22:K23)</f>
        <v>0.77114427860696511</v>
      </c>
      <c r="L27" s="19"/>
      <c r="M27" s="54">
        <f>SUM(M22:M23)</f>
        <v>0.77819548872180455</v>
      </c>
      <c r="N27" s="22"/>
      <c r="O27" s="54">
        <f>SUM(O22:O23)</f>
        <v>0.80484693877551017</v>
      </c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">
      <c r="A28" s="38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Q28" s="9"/>
      <c r="R28" s="9"/>
      <c r="S28" s="9"/>
      <c r="T28" s="9"/>
      <c r="U28" s="9"/>
      <c r="V28" s="9"/>
      <c r="W28" s="9"/>
      <c r="X28" s="9"/>
      <c r="Y28" s="9"/>
    </row>
    <row r="29" spans="1:25" ht="12.75" customHeight="1" x14ac:dyDescent="0.2">
      <c r="A29" s="121" t="s">
        <v>69</v>
      </c>
      <c r="B29" s="122" t="s">
        <v>100</v>
      </c>
      <c r="C29" s="122"/>
      <c r="D29" s="122" t="s">
        <v>80</v>
      </c>
      <c r="E29" s="122"/>
      <c r="F29" s="123" t="s">
        <v>136</v>
      </c>
      <c r="G29" s="123"/>
      <c r="H29" s="122" t="s">
        <v>82</v>
      </c>
      <c r="I29" s="122"/>
      <c r="J29" s="122" t="s">
        <v>81</v>
      </c>
      <c r="K29" s="122"/>
      <c r="L29" s="122" t="s">
        <v>98</v>
      </c>
      <c r="M29" s="122"/>
      <c r="N29" s="116" t="s">
        <v>1</v>
      </c>
      <c r="O29" s="116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">
      <c r="A30" s="20" t="s">
        <v>20</v>
      </c>
      <c r="B30" s="28">
        <v>97</v>
      </c>
      <c r="C30" s="29">
        <f>B30/B34</f>
        <v>0.38955823293172692</v>
      </c>
      <c r="D30" s="28">
        <v>3</v>
      </c>
      <c r="E30" s="29">
        <f>D30/D34</f>
        <v>0.33333333333333331</v>
      </c>
      <c r="F30" s="28">
        <v>39</v>
      </c>
      <c r="G30" s="29">
        <f>F30/F34</f>
        <v>0.41052631578947368</v>
      </c>
      <c r="H30" s="28">
        <v>150</v>
      </c>
      <c r="I30" s="29">
        <f>H30/H34</f>
        <v>0.36319612590799033</v>
      </c>
      <c r="J30" s="28">
        <v>90</v>
      </c>
      <c r="K30" s="29">
        <f>J30/J34</f>
        <v>0.43902439024390244</v>
      </c>
      <c r="L30" s="28">
        <v>191</v>
      </c>
      <c r="M30" s="29">
        <f>L30/L34</f>
        <v>0.38123752495009983</v>
      </c>
      <c r="N30" s="21">
        <f>B30+D30+F30+H30+J30+L30</f>
        <v>570</v>
      </c>
      <c r="O30" s="29">
        <f>N30/N34</f>
        <v>0.38722826086956524</v>
      </c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">
      <c r="A31" s="20" t="s">
        <v>19</v>
      </c>
      <c r="B31" s="28">
        <v>120</v>
      </c>
      <c r="C31" s="29">
        <f>B31/B34</f>
        <v>0.48192771084337349</v>
      </c>
      <c r="D31" s="28">
        <v>5</v>
      </c>
      <c r="E31" s="29">
        <f>D31/D34</f>
        <v>0.55555555555555558</v>
      </c>
      <c r="F31" s="28">
        <v>42</v>
      </c>
      <c r="G31" s="29">
        <f>F31/F34</f>
        <v>0.44210526315789472</v>
      </c>
      <c r="H31" s="28">
        <v>216</v>
      </c>
      <c r="I31" s="29">
        <f>H31/H34</f>
        <v>0.52300242130750607</v>
      </c>
      <c r="J31" s="28">
        <v>86</v>
      </c>
      <c r="K31" s="29">
        <f>J31/J34</f>
        <v>0.4195121951219512</v>
      </c>
      <c r="L31" s="28">
        <v>247</v>
      </c>
      <c r="M31" s="29">
        <f>L31/L34</f>
        <v>0.49301397205588821</v>
      </c>
      <c r="N31" s="21">
        <f>B31+D31+F31+H31+J31+L31</f>
        <v>716</v>
      </c>
      <c r="O31" s="29">
        <f>N31/N34</f>
        <v>0.48641304347826086</v>
      </c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">
      <c r="A32" s="20" t="s">
        <v>18</v>
      </c>
      <c r="B32" s="28">
        <v>25</v>
      </c>
      <c r="C32" s="29">
        <f>B32/B34</f>
        <v>0.10040160642570281</v>
      </c>
      <c r="D32" s="28">
        <v>1</v>
      </c>
      <c r="E32" s="29">
        <f>D32/D34</f>
        <v>0.1111111111111111</v>
      </c>
      <c r="F32" s="28">
        <v>7</v>
      </c>
      <c r="G32" s="29">
        <f>F32/F34</f>
        <v>7.3684210526315783E-2</v>
      </c>
      <c r="H32" s="28">
        <v>30</v>
      </c>
      <c r="I32" s="29">
        <f>H32/H34</f>
        <v>7.2639225181598058E-2</v>
      </c>
      <c r="J32" s="28">
        <v>20</v>
      </c>
      <c r="K32" s="29">
        <f>J32/J34</f>
        <v>9.7560975609756101E-2</v>
      </c>
      <c r="L32" s="28">
        <v>42</v>
      </c>
      <c r="M32" s="29">
        <f>L32/L34</f>
        <v>8.3832335329341312E-2</v>
      </c>
      <c r="N32" s="21">
        <f>B32+D32+F32+H32+J32+L32</f>
        <v>125</v>
      </c>
      <c r="O32" s="29">
        <f>N32/N34</f>
        <v>8.4918478260869568E-2</v>
      </c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">
      <c r="A33" s="20" t="s">
        <v>17</v>
      </c>
      <c r="B33" s="28">
        <v>7</v>
      </c>
      <c r="C33" s="29">
        <f>B33/B34</f>
        <v>2.8112449799196786E-2</v>
      </c>
      <c r="D33" s="28"/>
      <c r="E33" s="29">
        <f>D33/D34</f>
        <v>0</v>
      </c>
      <c r="F33" s="28">
        <v>7</v>
      </c>
      <c r="G33" s="29">
        <f>F33/F34</f>
        <v>7.3684210526315783E-2</v>
      </c>
      <c r="H33" s="28">
        <v>17</v>
      </c>
      <c r="I33" s="29">
        <f>H33/H34</f>
        <v>4.1162227602905568E-2</v>
      </c>
      <c r="J33" s="28">
        <v>9</v>
      </c>
      <c r="K33" s="29">
        <f>J33/J34</f>
        <v>4.3902439024390241E-2</v>
      </c>
      <c r="L33" s="28">
        <v>21</v>
      </c>
      <c r="M33" s="29">
        <f>L33/L34</f>
        <v>4.1916167664670656E-2</v>
      </c>
      <c r="N33" s="21">
        <f>B33+D33+F33+H33+J33+L33</f>
        <v>61</v>
      </c>
      <c r="O33" s="29">
        <f>N33/N34</f>
        <v>4.1440217391304345E-2</v>
      </c>
      <c r="Q33" s="9"/>
      <c r="R33" s="9"/>
      <c r="S33" s="9"/>
      <c r="T33" s="9"/>
      <c r="U33" s="9"/>
      <c r="V33" s="9"/>
      <c r="W33" s="9"/>
      <c r="X33" s="9"/>
      <c r="Y33" s="9"/>
    </row>
    <row r="34" spans="1:25" s="11" customFormat="1" x14ac:dyDescent="0.2">
      <c r="A34" s="95" t="s">
        <v>1</v>
      </c>
      <c r="B34" s="22">
        <f t="shared" ref="B34" si="18">SUM(B30:B33)</f>
        <v>249</v>
      </c>
      <c r="C34" s="31">
        <f>SUM(C30:C33)</f>
        <v>1</v>
      </c>
      <c r="D34" s="22">
        <f t="shared" ref="D34" si="19">SUM(D30:D33)</f>
        <v>9</v>
      </c>
      <c r="E34" s="31">
        <f>SUM(E30:E33)</f>
        <v>1</v>
      </c>
      <c r="F34" s="22">
        <f t="shared" ref="F34" si="20">SUM(F30:F33)</f>
        <v>95</v>
      </c>
      <c r="G34" s="31">
        <f>SUM(G30:G33)</f>
        <v>1</v>
      </c>
      <c r="H34" s="22">
        <f t="shared" ref="H34" si="21">SUM(H30:H33)</f>
        <v>413</v>
      </c>
      <c r="I34" s="31">
        <f>SUM(I30:I33)</f>
        <v>1</v>
      </c>
      <c r="J34" s="22">
        <f t="shared" ref="J34" si="22">SUM(J30:J33)</f>
        <v>205</v>
      </c>
      <c r="K34" s="31">
        <f>SUM(K30:K33)</f>
        <v>1</v>
      </c>
      <c r="L34" s="22">
        <f t="shared" ref="L34" si="23">SUM(L30:L33)</f>
        <v>501</v>
      </c>
      <c r="M34" s="31">
        <f>SUM(M30:M33)</f>
        <v>1</v>
      </c>
      <c r="N34" s="22">
        <f>SUM(N28:N33)</f>
        <v>1472</v>
      </c>
      <c r="O34" s="31">
        <f>SUM(O28:O33)</f>
        <v>1.0000000000000002</v>
      </c>
    </row>
    <row r="35" spans="1:25" x14ac:dyDescent="0.2">
      <c r="A35" s="95" t="s">
        <v>89</v>
      </c>
      <c r="B35" s="19"/>
      <c r="C35" s="54">
        <f>SUM(C30:C31)</f>
        <v>0.87148594377510036</v>
      </c>
      <c r="D35" s="19"/>
      <c r="E35" s="54">
        <f>SUM(E30:E31)</f>
        <v>0.88888888888888884</v>
      </c>
      <c r="F35" s="19"/>
      <c r="G35" s="54">
        <f>SUM(G30:G31)</f>
        <v>0.85263157894736841</v>
      </c>
      <c r="H35" s="19"/>
      <c r="I35" s="54">
        <f>SUM(I30:I31)</f>
        <v>0.8861985472154964</v>
      </c>
      <c r="J35" s="19"/>
      <c r="K35" s="54">
        <f>SUM(K30:K31)</f>
        <v>0.85853658536585364</v>
      </c>
      <c r="L35" s="19"/>
      <c r="M35" s="54">
        <f>SUM(M30:M31)</f>
        <v>0.87425149700598803</v>
      </c>
      <c r="N35" s="22"/>
      <c r="O35" s="54">
        <f>SUM(O30:O31)</f>
        <v>0.87364130434782616</v>
      </c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">
      <c r="A36" s="38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Q36" s="9"/>
      <c r="R36" s="9"/>
      <c r="S36" s="9"/>
      <c r="T36" s="9"/>
      <c r="U36" s="9"/>
      <c r="V36" s="9"/>
      <c r="W36" s="9"/>
      <c r="X36" s="9"/>
      <c r="Y36" s="9"/>
    </row>
    <row r="37" spans="1:25" ht="12.75" customHeight="1" x14ac:dyDescent="0.2">
      <c r="A37" s="121" t="s">
        <v>70</v>
      </c>
      <c r="B37" s="122" t="s">
        <v>100</v>
      </c>
      <c r="C37" s="122"/>
      <c r="D37" s="122" t="s">
        <v>80</v>
      </c>
      <c r="E37" s="122"/>
      <c r="F37" s="123" t="s">
        <v>136</v>
      </c>
      <c r="G37" s="123"/>
      <c r="H37" s="122" t="s">
        <v>82</v>
      </c>
      <c r="I37" s="122"/>
      <c r="J37" s="122" t="s">
        <v>81</v>
      </c>
      <c r="K37" s="122"/>
      <c r="L37" s="122" t="s">
        <v>98</v>
      </c>
      <c r="M37" s="122"/>
      <c r="N37" s="116" t="s">
        <v>1</v>
      </c>
      <c r="O37" s="116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">
      <c r="A38" s="20" t="s">
        <v>20</v>
      </c>
      <c r="B38" s="28">
        <v>25</v>
      </c>
      <c r="C38" s="29">
        <f>B38/B42</f>
        <v>0.390625</v>
      </c>
      <c r="D38" s="28">
        <v>1</v>
      </c>
      <c r="E38" s="29">
        <f>D38/D42</f>
        <v>1</v>
      </c>
      <c r="F38" s="28">
        <v>9</v>
      </c>
      <c r="G38" s="29">
        <f>F38/F42</f>
        <v>0.40909090909090912</v>
      </c>
      <c r="H38" s="28">
        <v>50</v>
      </c>
      <c r="I38" s="29">
        <f>H38/H42</f>
        <v>0.44247787610619471</v>
      </c>
      <c r="J38" s="28">
        <v>19</v>
      </c>
      <c r="K38" s="29">
        <f>J38/J42</f>
        <v>0.41304347826086957</v>
      </c>
      <c r="L38" s="28">
        <v>53</v>
      </c>
      <c r="M38" s="29">
        <f>L38/L42</f>
        <v>0.41732283464566927</v>
      </c>
      <c r="N38" s="21">
        <f>B38+D38+F38+H38+J38+L38</f>
        <v>157</v>
      </c>
      <c r="O38" s="29">
        <f>N38/N42</f>
        <v>0.42091152815013405</v>
      </c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">
      <c r="A39" s="20" t="s">
        <v>19</v>
      </c>
      <c r="B39" s="28">
        <v>31</v>
      </c>
      <c r="C39" s="29">
        <f>B39/B42</f>
        <v>0.484375</v>
      </c>
      <c r="D39" s="28"/>
      <c r="E39" s="29">
        <f>D39/D42</f>
        <v>0</v>
      </c>
      <c r="F39" s="28">
        <v>12</v>
      </c>
      <c r="G39" s="29">
        <f>F39/F42</f>
        <v>0.54545454545454541</v>
      </c>
      <c r="H39" s="28">
        <v>57</v>
      </c>
      <c r="I39" s="29">
        <f>H39/H42</f>
        <v>0.50442477876106195</v>
      </c>
      <c r="J39" s="28">
        <v>26</v>
      </c>
      <c r="K39" s="29">
        <f>J39/J42</f>
        <v>0.56521739130434778</v>
      </c>
      <c r="L39" s="28">
        <v>63</v>
      </c>
      <c r="M39" s="29">
        <f>L39/L42</f>
        <v>0.49606299212598426</v>
      </c>
      <c r="N39" s="21">
        <f>B39+D39+F39+H39+J39+L39</f>
        <v>189</v>
      </c>
      <c r="O39" s="29">
        <f>N39/N42</f>
        <v>0.50670241286863271</v>
      </c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">
      <c r="A40" s="20" t="s">
        <v>18</v>
      </c>
      <c r="B40" s="28">
        <v>5</v>
      </c>
      <c r="C40" s="29">
        <f>B40/B42</f>
        <v>7.8125E-2</v>
      </c>
      <c r="D40" s="28"/>
      <c r="E40" s="29">
        <f>D40/D42</f>
        <v>0</v>
      </c>
      <c r="F40" s="28">
        <v>1</v>
      </c>
      <c r="G40" s="29">
        <f>F40/F42</f>
        <v>4.5454545454545456E-2</v>
      </c>
      <c r="H40" s="28">
        <v>5</v>
      </c>
      <c r="I40" s="29">
        <f>H40/H42</f>
        <v>4.4247787610619468E-2</v>
      </c>
      <c r="J40" s="28"/>
      <c r="K40" s="29">
        <f>J40/J42</f>
        <v>0</v>
      </c>
      <c r="L40" s="28">
        <v>8</v>
      </c>
      <c r="M40" s="29">
        <f>L40/L42</f>
        <v>6.2992125984251968E-2</v>
      </c>
      <c r="N40" s="21">
        <f>B40+D40+F40+H40+J40+L40</f>
        <v>19</v>
      </c>
      <c r="O40" s="29">
        <f>N40/N42</f>
        <v>5.0938337801608578E-2</v>
      </c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">
      <c r="A41" s="20" t="s">
        <v>17</v>
      </c>
      <c r="B41" s="28">
        <v>3</v>
      </c>
      <c r="C41" s="29">
        <f>B41/B42</f>
        <v>4.6875E-2</v>
      </c>
      <c r="D41" s="28"/>
      <c r="E41" s="29">
        <f>D41/D42</f>
        <v>0</v>
      </c>
      <c r="F41" s="28"/>
      <c r="G41" s="29">
        <f>F41/F42</f>
        <v>0</v>
      </c>
      <c r="H41" s="28">
        <v>1</v>
      </c>
      <c r="I41" s="29">
        <f>H41/H42</f>
        <v>8.8495575221238937E-3</v>
      </c>
      <c r="J41" s="28">
        <v>1</v>
      </c>
      <c r="K41" s="29">
        <f>J41/J42</f>
        <v>2.1739130434782608E-2</v>
      </c>
      <c r="L41" s="28">
        <v>3</v>
      </c>
      <c r="M41" s="29">
        <f>L41/L42</f>
        <v>2.3622047244094488E-2</v>
      </c>
      <c r="N41" s="21">
        <f>B41+D41+F41+H41+J41+L41</f>
        <v>8</v>
      </c>
      <c r="O41" s="29">
        <f>N41/N42</f>
        <v>2.1447721179624665E-2</v>
      </c>
      <c r="Q41" s="9"/>
      <c r="R41" s="9"/>
      <c r="S41" s="9"/>
      <c r="T41" s="9"/>
      <c r="U41" s="9"/>
      <c r="V41" s="9"/>
      <c r="W41" s="9"/>
      <c r="X41" s="9"/>
      <c r="Y41" s="9"/>
    </row>
    <row r="42" spans="1:25" s="11" customFormat="1" x14ac:dyDescent="0.2">
      <c r="A42" s="95" t="s">
        <v>1</v>
      </c>
      <c r="B42" s="22">
        <f t="shared" ref="B42" si="24">SUM(B38:B41)</f>
        <v>64</v>
      </c>
      <c r="C42" s="31">
        <f>SUM(C38:C41)</f>
        <v>1</v>
      </c>
      <c r="D42" s="22">
        <f t="shared" ref="D42" si="25">SUM(D38:D41)</f>
        <v>1</v>
      </c>
      <c r="E42" s="31">
        <f>SUM(E38:E41)</f>
        <v>1</v>
      </c>
      <c r="F42" s="22">
        <f t="shared" ref="F42" si="26">SUM(F38:F41)</f>
        <v>22</v>
      </c>
      <c r="G42" s="31">
        <f>SUM(G38:G41)</f>
        <v>1</v>
      </c>
      <c r="H42" s="22">
        <f t="shared" ref="H42" si="27">SUM(H38:H41)</f>
        <v>113</v>
      </c>
      <c r="I42" s="31">
        <f>SUM(I38:I41)</f>
        <v>1</v>
      </c>
      <c r="J42" s="22">
        <f t="shared" ref="J42" si="28">SUM(J38:J41)</f>
        <v>46</v>
      </c>
      <c r="K42" s="31">
        <f>SUM(K38:K41)</f>
        <v>0.99999999999999989</v>
      </c>
      <c r="L42" s="22">
        <f t="shared" ref="L42" si="29">SUM(L38:L41)</f>
        <v>127</v>
      </c>
      <c r="M42" s="31">
        <f>SUM(M38:M41)</f>
        <v>0.99999999999999989</v>
      </c>
      <c r="N42" s="22">
        <f>SUM(N36:N41)</f>
        <v>373</v>
      </c>
      <c r="O42" s="31">
        <f>SUM(O36:O41)</f>
        <v>1</v>
      </c>
    </row>
    <row r="43" spans="1:25" x14ac:dyDescent="0.2">
      <c r="A43" s="95" t="s">
        <v>89</v>
      </c>
      <c r="B43" s="19"/>
      <c r="C43" s="54">
        <f>SUM(C38:C39)</f>
        <v>0.875</v>
      </c>
      <c r="D43" s="19"/>
      <c r="E43" s="54">
        <f>SUM(E38:E39)</f>
        <v>1</v>
      </c>
      <c r="F43" s="19"/>
      <c r="G43" s="54">
        <f>SUM(G38:G39)</f>
        <v>0.95454545454545459</v>
      </c>
      <c r="H43" s="19"/>
      <c r="I43" s="54">
        <f>SUM(I38:I39)</f>
        <v>0.94690265486725667</v>
      </c>
      <c r="J43" s="19"/>
      <c r="K43" s="54">
        <f>SUM(K38:K39)</f>
        <v>0.97826086956521729</v>
      </c>
      <c r="L43" s="19"/>
      <c r="M43" s="54">
        <f>SUM(M38:M39)</f>
        <v>0.91338582677165348</v>
      </c>
      <c r="N43" s="22"/>
      <c r="O43" s="54">
        <f>SUM(O38:O39)</f>
        <v>0.92761394101876671</v>
      </c>
      <c r="Q43" s="9"/>
      <c r="R43" s="9"/>
      <c r="S43" s="9"/>
      <c r="T43" s="9"/>
      <c r="U43" s="9"/>
      <c r="V43" s="9"/>
      <c r="W43" s="9"/>
      <c r="X43" s="9"/>
      <c r="Y43" s="9"/>
    </row>
    <row r="44" spans="1:25" x14ac:dyDescent="0.2">
      <c r="A44" s="38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25" ht="12.75" customHeight="1" x14ac:dyDescent="0.2">
      <c r="A45" s="121" t="s">
        <v>176</v>
      </c>
      <c r="B45" s="122" t="s">
        <v>100</v>
      </c>
      <c r="C45" s="122"/>
      <c r="D45" s="122" t="s">
        <v>80</v>
      </c>
      <c r="E45" s="122"/>
      <c r="F45" s="123" t="s">
        <v>136</v>
      </c>
      <c r="G45" s="123"/>
      <c r="H45" s="122" t="s">
        <v>82</v>
      </c>
      <c r="I45" s="122"/>
      <c r="J45" s="122" t="s">
        <v>81</v>
      </c>
      <c r="K45" s="122"/>
      <c r="L45" s="122" t="s">
        <v>98</v>
      </c>
      <c r="M45" s="122"/>
      <c r="N45" s="116" t="s">
        <v>1</v>
      </c>
      <c r="O45" s="116"/>
    </row>
    <row r="46" spans="1:25" x14ac:dyDescent="0.2">
      <c r="A46" s="20" t="s">
        <v>20</v>
      </c>
      <c r="B46" s="28">
        <v>64</v>
      </c>
      <c r="C46" s="29">
        <f>B46/B50</f>
        <v>0.38787878787878788</v>
      </c>
      <c r="D46" s="28">
        <v>1</v>
      </c>
      <c r="E46" s="29">
        <f>D46/D50</f>
        <v>0.25</v>
      </c>
      <c r="F46" s="28">
        <v>13</v>
      </c>
      <c r="G46" s="29">
        <f>F46/F50</f>
        <v>0.32500000000000001</v>
      </c>
      <c r="H46" s="28">
        <v>77</v>
      </c>
      <c r="I46" s="29">
        <f>H46/H50</f>
        <v>0.33624454148471616</v>
      </c>
      <c r="J46" s="28">
        <v>32</v>
      </c>
      <c r="K46" s="29">
        <f>J46/J50</f>
        <v>0.38554216867469882</v>
      </c>
      <c r="L46" s="28">
        <v>129</v>
      </c>
      <c r="M46" s="29">
        <f>L46/L50</f>
        <v>0.39209726443769</v>
      </c>
      <c r="N46" s="21">
        <f>B46+D46+F46+H46+J46+L46</f>
        <v>316</v>
      </c>
      <c r="O46" s="29">
        <f>N46/N50</f>
        <v>0.37176470588235294</v>
      </c>
    </row>
    <row r="47" spans="1:25" x14ac:dyDescent="0.2">
      <c r="A47" s="20" t="s">
        <v>19</v>
      </c>
      <c r="B47" s="28">
        <v>89</v>
      </c>
      <c r="C47" s="29">
        <f>B47/B50</f>
        <v>0.53939393939393943</v>
      </c>
      <c r="D47" s="28">
        <v>2</v>
      </c>
      <c r="E47" s="29">
        <f>D47/D50</f>
        <v>0.5</v>
      </c>
      <c r="F47" s="28">
        <v>23</v>
      </c>
      <c r="G47" s="29">
        <f>F47/F50</f>
        <v>0.57499999999999996</v>
      </c>
      <c r="H47" s="28">
        <v>136</v>
      </c>
      <c r="I47" s="29">
        <f>H47/H50</f>
        <v>0.59388646288209612</v>
      </c>
      <c r="J47" s="28">
        <v>44</v>
      </c>
      <c r="K47" s="29">
        <f>J47/J50</f>
        <v>0.53012048192771088</v>
      </c>
      <c r="L47" s="28">
        <v>182</v>
      </c>
      <c r="M47" s="29">
        <f>L47/L50</f>
        <v>0.55319148936170215</v>
      </c>
      <c r="N47" s="21">
        <f>B47+D47+F47+H47+J47+L47</f>
        <v>476</v>
      </c>
      <c r="O47" s="29">
        <f>N47/N50</f>
        <v>0.56000000000000005</v>
      </c>
      <c r="Q47" s="137"/>
      <c r="R47" s="137"/>
      <c r="S47" s="137"/>
      <c r="T47" s="137"/>
      <c r="U47" s="137"/>
      <c r="V47" s="137"/>
      <c r="W47" s="137"/>
      <c r="X47" s="137"/>
    </row>
    <row r="48" spans="1:25" x14ac:dyDescent="0.2">
      <c r="A48" s="20" t="s">
        <v>18</v>
      </c>
      <c r="B48" s="28">
        <v>9</v>
      </c>
      <c r="C48" s="29">
        <f>B48/B50</f>
        <v>5.4545454545454543E-2</v>
      </c>
      <c r="D48" s="28">
        <v>1</v>
      </c>
      <c r="E48" s="29">
        <f>D48/D50</f>
        <v>0.25</v>
      </c>
      <c r="F48" s="28">
        <v>3</v>
      </c>
      <c r="G48" s="29">
        <f>F48/F50</f>
        <v>7.4999999999999997E-2</v>
      </c>
      <c r="H48" s="28">
        <v>15</v>
      </c>
      <c r="I48" s="29">
        <f>H48/H50</f>
        <v>6.5502183406113537E-2</v>
      </c>
      <c r="J48" s="28">
        <v>5</v>
      </c>
      <c r="K48" s="29">
        <f>J48/J50</f>
        <v>6.0240963855421686E-2</v>
      </c>
      <c r="L48" s="28">
        <v>12</v>
      </c>
      <c r="M48" s="29">
        <f>L48/L50</f>
        <v>3.64741641337386E-2</v>
      </c>
      <c r="N48" s="21">
        <f>B48+D48+F48+H48+J48+L48</f>
        <v>45</v>
      </c>
      <c r="O48" s="29">
        <f>N48/N50</f>
        <v>5.2941176470588235E-2</v>
      </c>
    </row>
    <row r="49" spans="1:25" x14ac:dyDescent="0.2">
      <c r="A49" s="20" t="s">
        <v>17</v>
      </c>
      <c r="B49" s="28">
        <v>3</v>
      </c>
      <c r="C49" s="29">
        <f>B49/B50</f>
        <v>1.8181818181818181E-2</v>
      </c>
      <c r="D49" s="28"/>
      <c r="E49" s="29">
        <f>D49/D50</f>
        <v>0</v>
      </c>
      <c r="F49" s="28">
        <v>1</v>
      </c>
      <c r="G49" s="29">
        <f>F49/F50</f>
        <v>2.5000000000000001E-2</v>
      </c>
      <c r="H49" s="28">
        <v>1</v>
      </c>
      <c r="I49" s="29">
        <f>H49/H50</f>
        <v>4.3668122270742356E-3</v>
      </c>
      <c r="J49" s="28">
        <v>2</v>
      </c>
      <c r="K49" s="29">
        <f>J49/J50</f>
        <v>2.4096385542168676E-2</v>
      </c>
      <c r="L49" s="28">
        <v>6</v>
      </c>
      <c r="M49" s="29">
        <f>L49/L50</f>
        <v>1.82370820668693E-2</v>
      </c>
      <c r="N49" s="21">
        <f>B49+D49+F49+H49+J49+L49</f>
        <v>13</v>
      </c>
      <c r="O49" s="29">
        <f>N49/N50</f>
        <v>1.5294117647058824E-2</v>
      </c>
    </row>
    <row r="50" spans="1:25" s="11" customFormat="1" x14ac:dyDescent="0.2">
      <c r="A50" s="95" t="s">
        <v>1</v>
      </c>
      <c r="B50" s="22">
        <f t="shared" ref="B50" si="30">SUM(B46:B49)</f>
        <v>165</v>
      </c>
      <c r="C50" s="31">
        <f>SUM(C46:C49)</f>
        <v>1</v>
      </c>
      <c r="D50" s="22">
        <f t="shared" ref="D50" si="31">SUM(D46:D49)</f>
        <v>4</v>
      </c>
      <c r="E50" s="31">
        <f>SUM(E46:E49)</f>
        <v>1</v>
      </c>
      <c r="F50" s="22">
        <f t="shared" ref="F50" si="32">SUM(F46:F49)</f>
        <v>40</v>
      </c>
      <c r="G50" s="31">
        <f>SUM(G46:G49)</f>
        <v>0.99999999999999989</v>
      </c>
      <c r="H50" s="22">
        <f t="shared" ref="H50" si="33">SUM(H46:H49)</f>
        <v>229</v>
      </c>
      <c r="I50" s="31">
        <f>SUM(I46:I49)</f>
        <v>1</v>
      </c>
      <c r="J50" s="22">
        <f t="shared" ref="J50" si="34">SUM(J46:J49)</f>
        <v>83</v>
      </c>
      <c r="K50" s="31">
        <f>SUM(K46:K49)</f>
        <v>1</v>
      </c>
      <c r="L50" s="22">
        <f t="shared" ref="L50" si="35">SUM(L46:L49)</f>
        <v>329</v>
      </c>
      <c r="M50" s="31">
        <f>SUM(M46:M49)</f>
        <v>1</v>
      </c>
      <c r="N50" s="22">
        <f>SUM(N44:N49)</f>
        <v>850</v>
      </c>
      <c r="O50" s="31">
        <f>SUM(O44:O49)</f>
        <v>1.0000000000000002</v>
      </c>
      <c r="Q50" s="136"/>
      <c r="R50" s="136"/>
      <c r="S50" s="136"/>
      <c r="T50" s="136"/>
      <c r="U50" s="136"/>
      <c r="V50" s="136"/>
      <c r="W50" s="136"/>
      <c r="X50" s="136"/>
      <c r="Y50" s="137"/>
    </row>
    <row r="51" spans="1:25" x14ac:dyDescent="0.2">
      <c r="A51" s="95" t="s">
        <v>89</v>
      </c>
      <c r="B51" s="19"/>
      <c r="C51" s="54">
        <f>SUM(C46:C47)</f>
        <v>0.92727272727272725</v>
      </c>
      <c r="D51" s="19"/>
      <c r="E51" s="54">
        <f>SUM(E46:E47)</f>
        <v>0.75</v>
      </c>
      <c r="F51" s="19"/>
      <c r="G51" s="54">
        <f>SUM(G46:G47)</f>
        <v>0.89999999999999991</v>
      </c>
      <c r="H51" s="19"/>
      <c r="I51" s="54">
        <f>SUM(I46:I47)</f>
        <v>0.93013100436681229</v>
      </c>
      <c r="J51" s="19"/>
      <c r="K51" s="54">
        <f>SUM(K46:K47)</f>
        <v>0.9156626506024097</v>
      </c>
      <c r="L51" s="19"/>
      <c r="M51" s="54">
        <f>SUM(M46:M47)</f>
        <v>0.94528875379939215</v>
      </c>
      <c r="N51" s="22"/>
      <c r="O51" s="54">
        <f>SUM(O46:O47)</f>
        <v>0.93176470588235305</v>
      </c>
    </row>
    <row r="52" spans="1:25" x14ac:dyDescent="0.2">
      <c r="A52" s="38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spans="1:25" ht="12.75" customHeight="1" x14ac:dyDescent="0.2">
      <c r="A53" s="121" t="s">
        <v>71</v>
      </c>
      <c r="B53" s="122" t="s">
        <v>100</v>
      </c>
      <c r="C53" s="122"/>
      <c r="D53" s="122" t="s">
        <v>80</v>
      </c>
      <c r="E53" s="122"/>
      <c r="F53" s="123" t="s">
        <v>136</v>
      </c>
      <c r="G53" s="123"/>
      <c r="H53" s="122" t="s">
        <v>82</v>
      </c>
      <c r="I53" s="122"/>
      <c r="J53" s="122" t="s">
        <v>81</v>
      </c>
      <c r="K53" s="122"/>
      <c r="L53" s="122" t="s">
        <v>98</v>
      </c>
      <c r="M53" s="122"/>
      <c r="N53" s="116" t="s">
        <v>1</v>
      </c>
      <c r="O53" s="116"/>
    </row>
    <row r="54" spans="1:25" x14ac:dyDescent="0.2">
      <c r="A54" s="20" t="s">
        <v>20</v>
      </c>
      <c r="B54" s="28">
        <v>21</v>
      </c>
      <c r="C54" s="29">
        <f>B54/B58</f>
        <v>0.32307692307692309</v>
      </c>
      <c r="D54" s="28"/>
      <c r="E54" s="29"/>
      <c r="F54" s="28">
        <v>8</v>
      </c>
      <c r="G54" s="29">
        <f>F54/F58</f>
        <v>0.32</v>
      </c>
      <c r="H54" s="28">
        <v>33</v>
      </c>
      <c r="I54" s="29">
        <f>H54/H58</f>
        <v>0.3235294117647059</v>
      </c>
      <c r="J54" s="28">
        <v>13</v>
      </c>
      <c r="K54" s="29">
        <f>J54/J58</f>
        <v>0.33333333333333331</v>
      </c>
      <c r="L54" s="28">
        <v>37</v>
      </c>
      <c r="M54" s="29">
        <f>L54/L58</f>
        <v>0.29365079365079366</v>
      </c>
      <c r="N54" s="21">
        <f>B54+D54+F54+H54+J54+L54</f>
        <v>112</v>
      </c>
      <c r="O54" s="29">
        <f>N54/N58</f>
        <v>0.31372549019607843</v>
      </c>
    </row>
    <row r="55" spans="1:25" x14ac:dyDescent="0.2">
      <c r="A55" s="20" t="s">
        <v>19</v>
      </c>
      <c r="B55" s="28">
        <v>35</v>
      </c>
      <c r="C55" s="29">
        <f>B55/B58</f>
        <v>0.53846153846153844</v>
      </c>
      <c r="D55" s="28"/>
      <c r="E55" s="29"/>
      <c r="F55" s="28">
        <v>12</v>
      </c>
      <c r="G55" s="29">
        <f>F55/F58</f>
        <v>0.48</v>
      </c>
      <c r="H55" s="28">
        <v>50</v>
      </c>
      <c r="I55" s="29">
        <f>H55/H58</f>
        <v>0.49019607843137253</v>
      </c>
      <c r="J55" s="28">
        <v>20</v>
      </c>
      <c r="K55" s="29">
        <f>J55/J58</f>
        <v>0.51282051282051277</v>
      </c>
      <c r="L55" s="28">
        <v>66</v>
      </c>
      <c r="M55" s="29">
        <f>L55/L58</f>
        <v>0.52380952380952384</v>
      </c>
      <c r="N55" s="21">
        <f>B55+D55+F55+H55+J55+L55</f>
        <v>183</v>
      </c>
      <c r="O55" s="29">
        <f>N55/N58</f>
        <v>0.51260504201680668</v>
      </c>
      <c r="Q55" s="137"/>
      <c r="R55" s="137"/>
      <c r="S55" s="137"/>
      <c r="T55" s="137"/>
      <c r="U55" s="137"/>
      <c r="V55" s="137"/>
      <c r="W55" s="137"/>
      <c r="X55" s="137"/>
    </row>
    <row r="56" spans="1:25" x14ac:dyDescent="0.2">
      <c r="A56" s="20" t="s">
        <v>18</v>
      </c>
      <c r="B56" s="28">
        <v>5</v>
      </c>
      <c r="C56" s="29">
        <f>B56/B58</f>
        <v>7.6923076923076927E-2</v>
      </c>
      <c r="D56" s="28"/>
      <c r="E56" s="29"/>
      <c r="F56" s="28">
        <v>3</v>
      </c>
      <c r="G56" s="29">
        <f>F56/F58</f>
        <v>0.12</v>
      </c>
      <c r="H56" s="28">
        <v>14</v>
      </c>
      <c r="I56" s="29">
        <f>H56/H58</f>
        <v>0.13725490196078433</v>
      </c>
      <c r="J56" s="28">
        <v>4</v>
      </c>
      <c r="K56" s="29">
        <f>J56/J58</f>
        <v>0.10256410256410256</v>
      </c>
      <c r="L56" s="28">
        <v>16</v>
      </c>
      <c r="M56" s="29">
        <f>L56/L58</f>
        <v>0.12698412698412698</v>
      </c>
      <c r="N56" s="21">
        <f>B56+D56+F56+H56+J56+L56</f>
        <v>42</v>
      </c>
      <c r="O56" s="29">
        <f>N56/N58</f>
        <v>0.11764705882352941</v>
      </c>
    </row>
    <row r="57" spans="1:25" x14ac:dyDescent="0.2">
      <c r="A57" s="20" t="s">
        <v>17</v>
      </c>
      <c r="B57" s="28">
        <v>4</v>
      </c>
      <c r="C57" s="29">
        <f>B57/B58</f>
        <v>6.1538461538461542E-2</v>
      </c>
      <c r="D57" s="28"/>
      <c r="E57" s="29"/>
      <c r="F57" s="28">
        <v>2</v>
      </c>
      <c r="G57" s="29">
        <f>F57/F58</f>
        <v>0.08</v>
      </c>
      <c r="H57" s="28">
        <v>5</v>
      </c>
      <c r="I57" s="29">
        <f>H57/H58</f>
        <v>4.9019607843137254E-2</v>
      </c>
      <c r="J57" s="28">
        <v>2</v>
      </c>
      <c r="K57" s="29">
        <f>J57/J58</f>
        <v>5.128205128205128E-2</v>
      </c>
      <c r="L57" s="28">
        <v>7</v>
      </c>
      <c r="M57" s="29">
        <f>L57/L58</f>
        <v>5.5555555555555552E-2</v>
      </c>
      <c r="N57" s="21">
        <f>B57+D57+F57+H57+J57+L57</f>
        <v>20</v>
      </c>
      <c r="O57" s="29">
        <f>N57/N58</f>
        <v>5.6022408963585436E-2</v>
      </c>
    </row>
    <row r="58" spans="1:25" s="11" customFormat="1" x14ac:dyDescent="0.2">
      <c r="A58" s="95" t="s">
        <v>1</v>
      </c>
      <c r="B58" s="22">
        <f t="shared" ref="B58" si="36">SUM(B54:B57)</f>
        <v>65</v>
      </c>
      <c r="C58" s="31">
        <f>SUM(C54:C57)</f>
        <v>1</v>
      </c>
      <c r="D58" s="22">
        <f t="shared" ref="D58" si="37">SUM(D54:D57)</f>
        <v>0</v>
      </c>
      <c r="E58" s="31"/>
      <c r="F58" s="22">
        <f t="shared" ref="F58" si="38">SUM(F54:F57)</f>
        <v>25</v>
      </c>
      <c r="G58" s="31">
        <f>SUM(G54:G57)</f>
        <v>1</v>
      </c>
      <c r="H58" s="22">
        <f t="shared" ref="H58" si="39">SUM(H54:H57)</f>
        <v>102</v>
      </c>
      <c r="I58" s="31">
        <f>SUM(I54:I57)</f>
        <v>1</v>
      </c>
      <c r="J58" s="22">
        <f t="shared" ref="J58" si="40">SUM(J54:J57)</f>
        <v>39</v>
      </c>
      <c r="K58" s="31">
        <f>SUM(K54:K57)</f>
        <v>0.99999999999999989</v>
      </c>
      <c r="L58" s="22">
        <f t="shared" ref="L58" si="41">SUM(L54:L57)</f>
        <v>126</v>
      </c>
      <c r="M58" s="31">
        <f>SUM(M54:M57)</f>
        <v>1</v>
      </c>
      <c r="N58" s="22">
        <f>SUM(N52:N57)</f>
        <v>357</v>
      </c>
      <c r="O58" s="31">
        <f>SUM(O52:O57)</f>
        <v>1</v>
      </c>
      <c r="Q58" s="136"/>
      <c r="R58" s="136"/>
      <c r="S58" s="136"/>
      <c r="T58" s="136"/>
      <c r="U58" s="136"/>
      <c r="V58" s="136"/>
      <c r="W58" s="136"/>
      <c r="X58" s="136"/>
      <c r="Y58" s="137"/>
    </row>
    <row r="59" spans="1:25" x14ac:dyDescent="0.2">
      <c r="A59" s="95" t="s">
        <v>89</v>
      </c>
      <c r="B59" s="19"/>
      <c r="C59" s="54">
        <f>SUM(C54:C55)</f>
        <v>0.86153846153846159</v>
      </c>
      <c r="D59" s="19"/>
      <c r="E59" s="54">
        <f>SUM(E54:E55)</f>
        <v>0</v>
      </c>
      <c r="F59" s="19"/>
      <c r="G59" s="54">
        <f>SUM(G54:G55)</f>
        <v>0.8</v>
      </c>
      <c r="H59" s="19"/>
      <c r="I59" s="54">
        <f>SUM(I54:I55)</f>
        <v>0.81372549019607843</v>
      </c>
      <c r="J59" s="19"/>
      <c r="K59" s="54">
        <f>SUM(K54:K55)</f>
        <v>0.84615384615384603</v>
      </c>
      <c r="L59" s="19"/>
      <c r="M59" s="54">
        <f>SUM(M54:M55)</f>
        <v>0.81746031746031744</v>
      </c>
      <c r="N59" s="22"/>
      <c r="O59" s="54">
        <f>SUM(O54:O55)</f>
        <v>0.8263305322128851</v>
      </c>
    </row>
    <row r="60" spans="1:25" x14ac:dyDescent="0.2">
      <c r="A60" s="14"/>
      <c r="B60" s="4"/>
      <c r="C60" s="36"/>
      <c r="D60" s="1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1:25" ht="12.75" customHeight="1" x14ac:dyDescent="0.2">
      <c r="A61" s="121" t="s">
        <v>72</v>
      </c>
      <c r="B61" s="122" t="s">
        <v>100</v>
      </c>
      <c r="C61" s="122"/>
      <c r="D61" s="122" t="s">
        <v>80</v>
      </c>
      <c r="E61" s="122"/>
      <c r="F61" s="123" t="s">
        <v>136</v>
      </c>
      <c r="G61" s="123"/>
      <c r="H61" s="122" t="s">
        <v>82</v>
      </c>
      <c r="I61" s="122"/>
      <c r="J61" s="122" t="s">
        <v>81</v>
      </c>
      <c r="K61" s="122"/>
      <c r="L61" s="122" t="s">
        <v>98</v>
      </c>
      <c r="M61" s="122"/>
      <c r="N61" s="116" t="s">
        <v>1</v>
      </c>
      <c r="O61" s="116"/>
    </row>
    <row r="62" spans="1:25" x14ac:dyDescent="0.2">
      <c r="A62" s="20" t="s">
        <v>20</v>
      </c>
      <c r="B62" s="28">
        <v>30</v>
      </c>
      <c r="C62" s="29">
        <f>B62/B66</f>
        <v>0.4</v>
      </c>
      <c r="D62" s="28">
        <v>1</v>
      </c>
      <c r="E62" s="29">
        <f>D62/D66</f>
        <v>1</v>
      </c>
      <c r="F62" s="28">
        <v>13</v>
      </c>
      <c r="G62" s="29">
        <f>F62/F66</f>
        <v>0.40625</v>
      </c>
      <c r="H62" s="28">
        <v>53</v>
      </c>
      <c r="I62" s="29">
        <f>H62/H66</f>
        <v>0.42399999999999999</v>
      </c>
      <c r="J62" s="28">
        <v>20</v>
      </c>
      <c r="K62" s="29">
        <f>J62/J66</f>
        <v>0.45454545454545453</v>
      </c>
      <c r="L62" s="28">
        <v>59</v>
      </c>
      <c r="M62" s="29">
        <f>L62/L66</f>
        <v>0.39597315436241609</v>
      </c>
      <c r="N62" s="21">
        <f>B62+D62+F62+H62+J62+L62</f>
        <v>176</v>
      </c>
      <c r="O62" s="29">
        <f>N62/N66</f>
        <v>0.41314553990610331</v>
      </c>
    </row>
    <row r="63" spans="1:25" x14ac:dyDescent="0.2">
      <c r="A63" s="20" t="s">
        <v>19</v>
      </c>
      <c r="B63" s="28">
        <v>35</v>
      </c>
      <c r="C63" s="29">
        <f>B63/B66</f>
        <v>0.46666666666666667</v>
      </c>
      <c r="D63" s="28"/>
      <c r="E63" s="29">
        <f>D63/D66</f>
        <v>0</v>
      </c>
      <c r="F63" s="28">
        <v>15</v>
      </c>
      <c r="G63" s="29">
        <f>F63/F66</f>
        <v>0.46875</v>
      </c>
      <c r="H63" s="28">
        <v>61</v>
      </c>
      <c r="I63" s="29">
        <f>H63/H66</f>
        <v>0.48799999999999999</v>
      </c>
      <c r="J63" s="28">
        <v>21</v>
      </c>
      <c r="K63" s="29">
        <f>J63/J66</f>
        <v>0.47727272727272729</v>
      </c>
      <c r="L63" s="28">
        <v>77</v>
      </c>
      <c r="M63" s="29">
        <f>L63/L66</f>
        <v>0.51677852348993292</v>
      </c>
      <c r="N63" s="21">
        <f>B63+D63+F63+H63+J63+L63</f>
        <v>209</v>
      </c>
      <c r="O63" s="29">
        <f>N63/N66</f>
        <v>0.49061032863849763</v>
      </c>
      <c r="Q63" s="137"/>
      <c r="R63" s="137"/>
      <c r="S63" s="137"/>
      <c r="T63" s="137"/>
      <c r="U63" s="137"/>
      <c r="V63" s="137"/>
      <c r="W63" s="137"/>
      <c r="X63" s="137"/>
    </row>
    <row r="64" spans="1:25" x14ac:dyDescent="0.2">
      <c r="A64" s="20" t="s">
        <v>18</v>
      </c>
      <c r="B64" s="28">
        <v>7</v>
      </c>
      <c r="C64" s="29">
        <f>B64/B66</f>
        <v>9.3333333333333338E-2</v>
      </c>
      <c r="D64" s="28"/>
      <c r="E64" s="29">
        <f>D64/D66</f>
        <v>0</v>
      </c>
      <c r="F64" s="28">
        <v>3</v>
      </c>
      <c r="G64" s="29">
        <f>F64/F66</f>
        <v>9.375E-2</v>
      </c>
      <c r="H64" s="28">
        <v>6</v>
      </c>
      <c r="I64" s="29">
        <f>H64/H66</f>
        <v>4.8000000000000001E-2</v>
      </c>
      <c r="J64" s="28">
        <v>1</v>
      </c>
      <c r="K64" s="29">
        <f>J64/J66</f>
        <v>2.2727272727272728E-2</v>
      </c>
      <c r="L64" s="28">
        <v>9</v>
      </c>
      <c r="M64" s="29">
        <f>L64/L66</f>
        <v>6.0402684563758392E-2</v>
      </c>
      <c r="N64" s="21">
        <f>B64+D64+F64+H64+J64+L64</f>
        <v>26</v>
      </c>
      <c r="O64" s="29">
        <f>N64/N66</f>
        <v>6.1032863849765258E-2</v>
      </c>
    </row>
    <row r="65" spans="1:25" x14ac:dyDescent="0.2">
      <c r="A65" s="20" t="s">
        <v>17</v>
      </c>
      <c r="B65" s="28">
        <v>3</v>
      </c>
      <c r="C65" s="29">
        <f>B65/B66</f>
        <v>0.04</v>
      </c>
      <c r="D65" s="28"/>
      <c r="E65" s="29">
        <f>D65/D66</f>
        <v>0</v>
      </c>
      <c r="F65" s="28">
        <v>1</v>
      </c>
      <c r="G65" s="29">
        <f>F65/F66</f>
        <v>3.125E-2</v>
      </c>
      <c r="H65" s="28">
        <v>5</v>
      </c>
      <c r="I65" s="29">
        <f>H65/H66</f>
        <v>0.04</v>
      </c>
      <c r="J65" s="28">
        <v>2</v>
      </c>
      <c r="K65" s="29">
        <f>J65/J66</f>
        <v>4.5454545454545456E-2</v>
      </c>
      <c r="L65" s="28">
        <v>4</v>
      </c>
      <c r="M65" s="29">
        <f>L65/L66</f>
        <v>2.6845637583892617E-2</v>
      </c>
      <c r="N65" s="21">
        <f>B65+D65+F65+H65+J65+L65</f>
        <v>15</v>
      </c>
      <c r="O65" s="29">
        <f>N65/N66</f>
        <v>3.5211267605633804E-2</v>
      </c>
    </row>
    <row r="66" spans="1:25" s="11" customFormat="1" x14ac:dyDescent="0.2">
      <c r="A66" s="95" t="s">
        <v>1</v>
      </c>
      <c r="B66" s="22">
        <f t="shared" ref="B66" si="42">SUM(B62:B65)</f>
        <v>75</v>
      </c>
      <c r="C66" s="31">
        <f>SUM(C62:C65)</f>
        <v>1</v>
      </c>
      <c r="D66" s="22">
        <f t="shared" ref="D66" si="43">SUM(D62:D65)</f>
        <v>1</v>
      </c>
      <c r="E66" s="31">
        <f>SUM(E62:E65)</f>
        <v>1</v>
      </c>
      <c r="F66" s="22">
        <f t="shared" ref="F66" si="44">SUM(F62:F65)</f>
        <v>32</v>
      </c>
      <c r="G66" s="31">
        <f>SUM(G62:G65)</f>
        <v>1</v>
      </c>
      <c r="H66" s="22">
        <f t="shared" ref="H66" si="45">SUM(H62:H65)</f>
        <v>125</v>
      </c>
      <c r="I66" s="31">
        <f>SUM(I62:I65)</f>
        <v>1</v>
      </c>
      <c r="J66" s="22">
        <f t="shared" ref="J66" si="46">SUM(J62:J65)</f>
        <v>44</v>
      </c>
      <c r="K66" s="31">
        <f>SUM(K62:K65)</f>
        <v>1</v>
      </c>
      <c r="L66" s="22">
        <f t="shared" ref="L66" si="47">SUM(L62:L65)</f>
        <v>149</v>
      </c>
      <c r="M66" s="31">
        <f>SUM(M62:M65)</f>
        <v>1</v>
      </c>
      <c r="N66" s="22">
        <f>SUM(N60:N65)</f>
        <v>426</v>
      </c>
      <c r="O66" s="31">
        <f>SUM(O60:O65)</f>
        <v>1</v>
      </c>
      <c r="Q66" s="136"/>
      <c r="R66" s="136"/>
      <c r="S66" s="136"/>
      <c r="T66" s="136"/>
      <c r="U66" s="136"/>
      <c r="V66" s="136"/>
      <c r="W66" s="136"/>
      <c r="X66" s="136"/>
      <c r="Y66" s="137"/>
    </row>
    <row r="67" spans="1:25" x14ac:dyDescent="0.2">
      <c r="A67" s="95" t="s">
        <v>89</v>
      </c>
      <c r="B67" s="19"/>
      <c r="C67" s="54">
        <f>SUM(C62:C63)</f>
        <v>0.8666666666666667</v>
      </c>
      <c r="D67" s="19"/>
      <c r="E67" s="54">
        <f>SUM(E62:E63)</f>
        <v>1</v>
      </c>
      <c r="F67" s="19"/>
      <c r="G67" s="54">
        <f>SUM(G62:G63)</f>
        <v>0.875</v>
      </c>
      <c r="H67" s="19"/>
      <c r="I67" s="54">
        <f>SUM(I62:I63)</f>
        <v>0.91199999999999992</v>
      </c>
      <c r="J67" s="19"/>
      <c r="K67" s="54">
        <f>SUM(K62:K63)</f>
        <v>0.93181818181818188</v>
      </c>
      <c r="L67" s="19"/>
      <c r="M67" s="54">
        <f>SUM(M62:M63)</f>
        <v>0.91275167785234901</v>
      </c>
      <c r="N67" s="22"/>
      <c r="O67" s="54">
        <f>SUM(O62:O63)</f>
        <v>0.90375586854460099</v>
      </c>
    </row>
    <row r="68" spans="1:25" x14ac:dyDescent="0.2">
      <c r="A68" s="14"/>
      <c r="B68" s="4"/>
      <c r="C68" s="36"/>
      <c r="D68" s="1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1:25" ht="12.75" customHeight="1" x14ac:dyDescent="0.2">
      <c r="A69" s="121" t="s">
        <v>177</v>
      </c>
      <c r="B69" s="122" t="s">
        <v>100</v>
      </c>
      <c r="C69" s="122"/>
      <c r="D69" s="122" t="s">
        <v>80</v>
      </c>
      <c r="E69" s="122"/>
      <c r="F69" s="123" t="s">
        <v>136</v>
      </c>
      <c r="G69" s="123"/>
      <c r="H69" s="122" t="s">
        <v>82</v>
      </c>
      <c r="I69" s="122"/>
      <c r="J69" s="122" t="s">
        <v>81</v>
      </c>
      <c r="K69" s="122"/>
      <c r="L69" s="122" t="s">
        <v>98</v>
      </c>
      <c r="M69" s="122"/>
      <c r="N69" s="116" t="s">
        <v>1</v>
      </c>
      <c r="O69" s="116"/>
    </row>
    <row r="70" spans="1:25" x14ac:dyDescent="0.2">
      <c r="A70" s="20" t="s">
        <v>20</v>
      </c>
      <c r="B70" s="28">
        <v>103</v>
      </c>
      <c r="C70" s="29">
        <f>B70/B74</f>
        <v>0.47906976744186047</v>
      </c>
      <c r="D70" s="28">
        <v>3</v>
      </c>
      <c r="E70" s="29">
        <f>D70/D74</f>
        <v>0.375</v>
      </c>
      <c r="F70" s="28">
        <v>28</v>
      </c>
      <c r="G70" s="29">
        <f>F70/F74</f>
        <v>0.40579710144927539</v>
      </c>
      <c r="H70" s="28">
        <v>201</v>
      </c>
      <c r="I70" s="29">
        <f>H70/H74</f>
        <v>0.48905109489051096</v>
      </c>
      <c r="J70" s="28">
        <v>61</v>
      </c>
      <c r="K70" s="29">
        <f>J70/J74</f>
        <v>0.44525547445255476</v>
      </c>
      <c r="L70" s="28">
        <v>242</v>
      </c>
      <c r="M70" s="29">
        <f>L70/L74</f>
        <v>0.47265625</v>
      </c>
      <c r="N70" s="21">
        <f>B70+D70+F70+H70+J70+L70</f>
        <v>638</v>
      </c>
      <c r="O70" s="29">
        <f>N70/N74</f>
        <v>0.47189349112426038</v>
      </c>
    </row>
    <row r="71" spans="1:25" x14ac:dyDescent="0.2">
      <c r="A71" s="20" t="s">
        <v>19</v>
      </c>
      <c r="B71" s="28">
        <v>100</v>
      </c>
      <c r="C71" s="29">
        <f>B71/B74</f>
        <v>0.46511627906976744</v>
      </c>
      <c r="D71" s="28">
        <v>4</v>
      </c>
      <c r="E71" s="29">
        <f>D71/D74</f>
        <v>0.5</v>
      </c>
      <c r="F71" s="28">
        <v>39</v>
      </c>
      <c r="G71" s="29">
        <f>F71/F74</f>
        <v>0.56521739130434778</v>
      </c>
      <c r="H71" s="28">
        <v>189</v>
      </c>
      <c r="I71" s="29">
        <f>H71/H74</f>
        <v>0.45985401459854014</v>
      </c>
      <c r="J71" s="28">
        <v>69</v>
      </c>
      <c r="K71" s="29">
        <f>J71/J74</f>
        <v>0.5036496350364964</v>
      </c>
      <c r="L71" s="28">
        <v>253</v>
      </c>
      <c r="M71" s="29">
        <f>L71/L74</f>
        <v>0.494140625</v>
      </c>
      <c r="N71" s="21">
        <f>B71+D71+F71+H71+J71+L71</f>
        <v>654</v>
      </c>
      <c r="O71" s="29">
        <f>N71/N74</f>
        <v>0.48372781065088755</v>
      </c>
      <c r="Q71" s="137"/>
      <c r="R71" s="137"/>
      <c r="S71" s="137"/>
      <c r="T71" s="137"/>
      <c r="U71" s="137"/>
      <c r="V71" s="137"/>
      <c r="W71" s="137"/>
      <c r="X71" s="137"/>
    </row>
    <row r="72" spans="1:25" x14ac:dyDescent="0.2">
      <c r="A72" s="20" t="s">
        <v>18</v>
      </c>
      <c r="B72" s="28">
        <v>7</v>
      </c>
      <c r="C72" s="29">
        <f>B72/B74</f>
        <v>3.255813953488372E-2</v>
      </c>
      <c r="D72" s="28">
        <v>1</v>
      </c>
      <c r="E72" s="29">
        <f>D72/D74</f>
        <v>0.125</v>
      </c>
      <c r="F72" s="28">
        <v>2</v>
      </c>
      <c r="G72" s="29">
        <f>F72/F74</f>
        <v>2.8985507246376812E-2</v>
      </c>
      <c r="H72" s="28">
        <v>18</v>
      </c>
      <c r="I72" s="29">
        <f>H72/H74</f>
        <v>4.3795620437956206E-2</v>
      </c>
      <c r="J72" s="28">
        <v>5</v>
      </c>
      <c r="K72" s="29">
        <f>J72/J74</f>
        <v>3.6496350364963501E-2</v>
      </c>
      <c r="L72" s="28">
        <v>14</v>
      </c>
      <c r="M72" s="29">
        <f>L72/L74</f>
        <v>2.734375E-2</v>
      </c>
      <c r="N72" s="21">
        <f>B72+D72+F72+H72+J72+L72</f>
        <v>47</v>
      </c>
      <c r="O72" s="29">
        <f>N72/N74</f>
        <v>3.4763313609467453E-2</v>
      </c>
    </row>
    <row r="73" spans="1:25" x14ac:dyDescent="0.2">
      <c r="A73" s="20" t="s">
        <v>17</v>
      </c>
      <c r="B73" s="28">
        <v>5</v>
      </c>
      <c r="C73" s="29">
        <f>B73/B74</f>
        <v>2.3255813953488372E-2</v>
      </c>
      <c r="D73" s="28"/>
      <c r="E73" s="29">
        <f>D73/D74</f>
        <v>0</v>
      </c>
      <c r="F73" s="28"/>
      <c r="G73" s="29">
        <f>F73/F74</f>
        <v>0</v>
      </c>
      <c r="H73" s="28">
        <v>3</v>
      </c>
      <c r="I73" s="29">
        <f>H73/H74</f>
        <v>7.2992700729927005E-3</v>
      </c>
      <c r="J73" s="28">
        <v>2</v>
      </c>
      <c r="K73" s="29">
        <f>J73/J74</f>
        <v>1.4598540145985401E-2</v>
      </c>
      <c r="L73" s="28">
        <v>3</v>
      </c>
      <c r="M73" s="29">
        <f>L73/L74</f>
        <v>5.859375E-3</v>
      </c>
      <c r="N73" s="21">
        <f>B73+D73+F73+H73+J73+L73</f>
        <v>13</v>
      </c>
      <c r="O73" s="29">
        <f>N73/N74</f>
        <v>9.6153846153846159E-3</v>
      </c>
    </row>
    <row r="74" spans="1:25" s="11" customFormat="1" x14ac:dyDescent="0.2">
      <c r="A74" s="95" t="s">
        <v>1</v>
      </c>
      <c r="B74" s="22">
        <f t="shared" ref="B74" si="48">SUM(B70:B73)</f>
        <v>215</v>
      </c>
      <c r="C74" s="31">
        <f>SUM(C70:C73)</f>
        <v>1</v>
      </c>
      <c r="D74" s="22">
        <f t="shared" ref="D74" si="49">SUM(D70:D73)</f>
        <v>8</v>
      </c>
      <c r="E74" s="31">
        <f>SUM(E70:E73)</f>
        <v>1</v>
      </c>
      <c r="F74" s="22">
        <f t="shared" ref="F74" si="50">SUM(F70:F73)</f>
        <v>69</v>
      </c>
      <c r="G74" s="31">
        <f>SUM(G70:G73)</f>
        <v>1</v>
      </c>
      <c r="H74" s="22">
        <f t="shared" ref="H74" si="51">SUM(H70:H73)</f>
        <v>411</v>
      </c>
      <c r="I74" s="31">
        <f>SUM(I70:I73)</f>
        <v>0.99999999999999989</v>
      </c>
      <c r="J74" s="22">
        <f t="shared" ref="J74" si="52">SUM(J70:J73)</f>
        <v>137</v>
      </c>
      <c r="K74" s="31">
        <f>SUM(K70:K73)</f>
        <v>1</v>
      </c>
      <c r="L74" s="22">
        <f t="shared" ref="L74" si="53">SUM(L70:L73)</f>
        <v>512</v>
      </c>
      <c r="M74" s="31">
        <f>SUM(M70:M73)</f>
        <v>1</v>
      </c>
      <c r="N74" s="22">
        <f>SUM(N68:N73)</f>
        <v>1352</v>
      </c>
      <c r="O74" s="31">
        <f>SUM(O68:O73)</f>
        <v>1</v>
      </c>
      <c r="Q74" s="136"/>
      <c r="R74" s="136"/>
      <c r="S74" s="136"/>
      <c r="T74" s="136"/>
      <c r="U74" s="136"/>
      <c r="V74" s="136"/>
      <c r="W74" s="136"/>
      <c r="X74" s="136"/>
      <c r="Y74" s="137"/>
    </row>
    <row r="75" spans="1:25" x14ac:dyDescent="0.2">
      <c r="A75" s="95" t="s">
        <v>89</v>
      </c>
      <c r="B75" s="19"/>
      <c r="C75" s="54">
        <f>SUM(C70:C71)</f>
        <v>0.94418604651162785</v>
      </c>
      <c r="D75" s="19"/>
      <c r="E75" s="54">
        <f>SUM(E70:E71)</f>
        <v>0.875</v>
      </c>
      <c r="F75" s="19"/>
      <c r="G75" s="54">
        <f>SUM(G70:G71)</f>
        <v>0.97101449275362317</v>
      </c>
      <c r="H75" s="19"/>
      <c r="I75" s="54">
        <f>SUM(I70:I71)</f>
        <v>0.94890510948905105</v>
      </c>
      <c r="J75" s="19"/>
      <c r="K75" s="54">
        <f>SUM(K70:K71)</f>
        <v>0.94890510948905116</v>
      </c>
      <c r="L75" s="19"/>
      <c r="M75" s="54">
        <f>SUM(M70:M71)</f>
        <v>0.966796875</v>
      </c>
      <c r="N75" s="22"/>
      <c r="O75" s="54">
        <f>SUM(O70:O71)</f>
        <v>0.95562130177514792</v>
      </c>
    </row>
    <row r="76" spans="1:25" x14ac:dyDescent="0.2">
      <c r="A76" s="14"/>
      <c r="B76" s="4"/>
      <c r="C76" s="36"/>
      <c r="D76" s="1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1:25" ht="12.75" customHeight="1" x14ac:dyDescent="0.2">
      <c r="A77" s="121" t="s">
        <v>73</v>
      </c>
      <c r="B77" s="122" t="s">
        <v>100</v>
      </c>
      <c r="C77" s="122"/>
      <c r="D77" s="122" t="s">
        <v>80</v>
      </c>
      <c r="E77" s="122"/>
      <c r="F77" s="123" t="s">
        <v>136</v>
      </c>
      <c r="G77" s="123"/>
      <c r="H77" s="122" t="s">
        <v>82</v>
      </c>
      <c r="I77" s="122"/>
      <c r="J77" s="122" t="s">
        <v>81</v>
      </c>
      <c r="K77" s="122"/>
      <c r="L77" s="122" t="s">
        <v>98</v>
      </c>
      <c r="M77" s="122"/>
      <c r="N77" s="116" t="s">
        <v>1</v>
      </c>
      <c r="O77" s="116"/>
    </row>
    <row r="78" spans="1:25" x14ac:dyDescent="0.2">
      <c r="A78" s="20" t="s">
        <v>20</v>
      </c>
      <c r="B78" s="28">
        <v>56</v>
      </c>
      <c r="C78" s="29">
        <f>B78/B82</f>
        <v>0.3783783783783784</v>
      </c>
      <c r="D78" s="28">
        <v>1</v>
      </c>
      <c r="E78" s="29">
        <f>D78/D82</f>
        <v>0.33333333333333331</v>
      </c>
      <c r="F78" s="28">
        <v>21</v>
      </c>
      <c r="G78" s="29">
        <f>F78/F82</f>
        <v>0.44680851063829785</v>
      </c>
      <c r="H78" s="28">
        <v>74</v>
      </c>
      <c r="I78" s="29">
        <f>H78/H82</f>
        <v>0.33789954337899542</v>
      </c>
      <c r="J78" s="28">
        <v>31</v>
      </c>
      <c r="K78" s="29">
        <f>J78/J82</f>
        <v>0.41333333333333333</v>
      </c>
      <c r="L78" s="28">
        <v>106</v>
      </c>
      <c r="M78" s="29">
        <f>L78/L82</f>
        <v>0.37588652482269502</v>
      </c>
      <c r="N78" s="21">
        <f>B78+D78+F78+H78+J78+L78</f>
        <v>289</v>
      </c>
      <c r="O78" s="29">
        <f>N78/N82</f>
        <v>0.37338501291989662</v>
      </c>
    </row>
    <row r="79" spans="1:25" x14ac:dyDescent="0.2">
      <c r="A79" s="20" t="s">
        <v>19</v>
      </c>
      <c r="B79" s="28">
        <v>79</v>
      </c>
      <c r="C79" s="29">
        <f>B79/B82</f>
        <v>0.53378378378378377</v>
      </c>
      <c r="D79" s="28">
        <v>2</v>
      </c>
      <c r="E79" s="29">
        <f>D79/D82</f>
        <v>0.66666666666666663</v>
      </c>
      <c r="F79" s="28">
        <v>18</v>
      </c>
      <c r="G79" s="29">
        <f>F79/F82</f>
        <v>0.38297872340425532</v>
      </c>
      <c r="H79" s="28">
        <v>117</v>
      </c>
      <c r="I79" s="29">
        <f>H79/H82</f>
        <v>0.53424657534246578</v>
      </c>
      <c r="J79" s="28">
        <v>39</v>
      </c>
      <c r="K79" s="29">
        <f>J79/J82</f>
        <v>0.52</v>
      </c>
      <c r="L79" s="28">
        <v>150</v>
      </c>
      <c r="M79" s="29">
        <f>L79/L82</f>
        <v>0.53191489361702127</v>
      </c>
      <c r="N79" s="21">
        <f>B79+D79+F79+H79+J79+L79</f>
        <v>405</v>
      </c>
      <c r="O79" s="29">
        <f>N79/N82</f>
        <v>0.52325581395348841</v>
      </c>
      <c r="Q79" s="137"/>
      <c r="R79" s="137"/>
      <c r="S79" s="137"/>
      <c r="T79" s="137"/>
      <c r="U79" s="137"/>
      <c r="V79" s="137"/>
      <c r="W79" s="137"/>
      <c r="X79" s="137"/>
    </row>
    <row r="80" spans="1:25" x14ac:dyDescent="0.2">
      <c r="A80" s="20" t="s">
        <v>18</v>
      </c>
      <c r="B80" s="28">
        <v>9</v>
      </c>
      <c r="C80" s="29">
        <f>B80/B82</f>
        <v>6.0810810810810814E-2</v>
      </c>
      <c r="D80" s="28"/>
      <c r="E80" s="29">
        <f>D80/D82</f>
        <v>0</v>
      </c>
      <c r="F80" s="28">
        <v>6</v>
      </c>
      <c r="G80" s="29">
        <f>F80/F82</f>
        <v>0.1276595744680851</v>
      </c>
      <c r="H80" s="28">
        <v>20</v>
      </c>
      <c r="I80" s="29">
        <f>H80/H82</f>
        <v>9.1324200913242004E-2</v>
      </c>
      <c r="J80" s="28">
        <v>2</v>
      </c>
      <c r="K80" s="29">
        <f>J80/J82</f>
        <v>2.6666666666666668E-2</v>
      </c>
      <c r="L80" s="28">
        <v>19</v>
      </c>
      <c r="M80" s="29">
        <f>L80/L82</f>
        <v>6.7375886524822695E-2</v>
      </c>
      <c r="N80" s="21">
        <f>B80+D80+F80+H80+J80+L80</f>
        <v>56</v>
      </c>
      <c r="O80" s="29">
        <f>N80/N82</f>
        <v>7.2351421188630485E-2</v>
      </c>
    </row>
    <row r="81" spans="1:25" x14ac:dyDescent="0.2">
      <c r="A81" s="20" t="s">
        <v>17</v>
      </c>
      <c r="B81" s="28">
        <v>4</v>
      </c>
      <c r="C81" s="29">
        <f>B81/B82</f>
        <v>2.7027027027027029E-2</v>
      </c>
      <c r="D81" s="28"/>
      <c r="E81" s="29">
        <f>D81/D82</f>
        <v>0</v>
      </c>
      <c r="F81" s="28">
        <v>2</v>
      </c>
      <c r="G81" s="29">
        <f>F81/F82</f>
        <v>4.2553191489361701E-2</v>
      </c>
      <c r="H81" s="28">
        <v>8</v>
      </c>
      <c r="I81" s="29">
        <f>H81/H82</f>
        <v>3.6529680365296802E-2</v>
      </c>
      <c r="J81" s="28">
        <v>3</v>
      </c>
      <c r="K81" s="29">
        <f>J81/J82</f>
        <v>0.04</v>
      </c>
      <c r="L81" s="28">
        <v>7</v>
      </c>
      <c r="M81" s="29">
        <f>L81/L82</f>
        <v>2.4822695035460994E-2</v>
      </c>
      <c r="N81" s="21">
        <f>B81+D81+F81+H81+J81+L81</f>
        <v>24</v>
      </c>
      <c r="O81" s="29">
        <f>N81/N82</f>
        <v>3.1007751937984496E-2</v>
      </c>
    </row>
    <row r="82" spans="1:25" s="11" customFormat="1" x14ac:dyDescent="0.2">
      <c r="A82" s="95" t="s">
        <v>1</v>
      </c>
      <c r="B82" s="22">
        <f t="shared" ref="B82" si="54">SUM(B78:B81)</f>
        <v>148</v>
      </c>
      <c r="C82" s="31">
        <f>SUM(C78:C81)</f>
        <v>1</v>
      </c>
      <c r="D82" s="22">
        <f t="shared" ref="D82" si="55">SUM(D78:D81)</f>
        <v>3</v>
      </c>
      <c r="E82" s="31">
        <f>SUM(E78:E81)</f>
        <v>1</v>
      </c>
      <c r="F82" s="22">
        <f t="shared" ref="F82" si="56">SUM(F78:F81)</f>
        <v>47</v>
      </c>
      <c r="G82" s="31">
        <f>SUM(G78:G81)</f>
        <v>0.99999999999999989</v>
      </c>
      <c r="H82" s="22">
        <f t="shared" ref="H82" si="57">SUM(H78:H81)</f>
        <v>219</v>
      </c>
      <c r="I82" s="31">
        <f>SUM(I78:I81)</f>
        <v>1</v>
      </c>
      <c r="J82" s="22">
        <f t="shared" ref="J82" si="58">SUM(J78:J81)</f>
        <v>75</v>
      </c>
      <c r="K82" s="31">
        <f>SUM(K78:K81)</f>
        <v>1</v>
      </c>
      <c r="L82" s="22">
        <f t="shared" ref="L82" si="59">SUM(L78:L81)</f>
        <v>282</v>
      </c>
      <c r="M82" s="31">
        <f>SUM(M78:M81)</f>
        <v>1</v>
      </c>
      <c r="N82" s="22">
        <f>SUM(N76:N81)</f>
        <v>774</v>
      </c>
      <c r="O82" s="31">
        <f>SUM(O76:O81)</f>
        <v>1</v>
      </c>
      <c r="Q82" s="136"/>
      <c r="R82" s="136"/>
      <c r="S82" s="136"/>
      <c r="T82" s="136"/>
      <c r="U82" s="136"/>
      <c r="V82" s="136"/>
      <c r="W82" s="136"/>
      <c r="X82" s="136"/>
      <c r="Y82" s="137"/>
    </row>
    <row r="83" spans="1:25" x14ac:dyDescent="0.2">
      <c r="A83" s="95" t="s">
        <v>89</v>
      </c>
      <c r="B83" s="19"/>
      <c r="C83" s="54">
        <f>SUM(C78:C79)</f>
        <v>0.91216216216216217</v>
      </c>
      <c r="D83" s="19"/>
      <c r="E83" s="54">
        <f>SUM(E78:E79)</f>
        <v>1</v>
      </c>
      <c r="F83" s="19"/>
      <c r="G83" s="54">
        <f>SUM(G78:G79)</f>
        <v>0.82978723404255317</v>
      </c>
      <c r="H83" s="19"/>
      <c r="I83" s="54">
        <f>SUM(I78:I79)</f>
        <v>0.87214611872146119</v>
      </c>
      <c r="J83" s="19"/>
      <c r="K83" s="54">
        <f>SUM(K78:K79)</f>
        <v>0.93333333333333335</v>
      </c>
      <c r="L83" s="19"/>
      <c r="M83" s="54">
        <f>SUM(M78:M79)</f>
        <v>0.90780141843971629</v>
      </c>
      <c r="N83" s="22"/>
      <c r="O83" s="54">
        <f>SUM(O78:O79)</f>
        <v>0.89664082687338498</v>
      </c>
    </row>
    <row r="84" spans="1:25" x14ac:dyDescent="0.2">
      <c r="A84" s="14"/>
      <c r="B84" s="4"/>
      <c r="C84" s="36"/>
      <c r="D84" s="1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1:25" ht="24" x14ac:dyDescent="0.2">
      <c r="A85" s="121" t="s">
        <v>178</v>
      </c>
      <c r="B85" s="122" t="s">
        <v>100</v>
      </c>
      <c r="C85" s="122"/>
      <c r="D85" s="122" t="s">
        <v>80</v>
      </c>
      <c r="E85" s="122"/>
      <c r="F85" s="123" t="s">
        <v>136</v>
      </c>
      <c r="G85" s="123"/>
      <c r="H85" s="122" t="s">
        <v>82</v>
      </c>
      <c r="I85" s="122"/>
      <c r="J85" s="122" t="s">
        <v>81</v>
      </c>
      <c r="K85" s="122"/>
      <c r="L85" s="122" t="s">
        <v>98</v>
      </c>
      <c r="M85" s="122"/>
      <c r="N85" s="116" t="s">
        <v>1</v>
      </c>
      <c r="O85" s="116"/>
    </row>
    <row r="86" spans="1:25" x14ac:dyDescent="0.2">
      <c r="A86" s="20" t="s">
        <v>20</v>
      </c>
      <c r="B86" s="28">
        <v>45</v>
      </c>
      <c r="C86" s="29">
        <f>B86/B90</f>
        <v>0.4017857142857143</v>
      </c>
      <c r="D86" s="28">
        <v>3</v>
      </c>
      <c r="E86" s="29">
        <f>D86/D90</f>
        <v>0.5</v>
      </c>
      <c r="F86" s="28">
        <v>13</v>
      </c>
      <c r="G86" s="29">
        <f>F86/F90</f>
        <v>0.38235294117647056</v>
      </c>
      <c r="H86" s="28">
        <v>50</v>
      </c>
      <c r="I86" s="29">
        <f>H86/H90</f>
        <v>0.31847133757961782</v>
      </c>
      <c r="J86" s="28">
        <v>27</v>
      </c>
      <c r="K86" s="29">
        <f>J86/J90</f>
        <v>0.43548387096774194</v>
      </c>
      <c r="L86" s="28">
        <v>79</v>
      </c>
      <c r="M86" s="29">
        <f>L86/L90</f>
        <v>0.37980769230769229</v>
      </c>
      <c r="N86" s="21">
        <f>B86+D86+F86+H86+J86+L86</f>
        <v>217</v>
      </c>
      <c r="O86" s="29">
        <f>N86/N90</f>
        <v>0.37478411053540589</v>
      </c>
    </row>
    <row r="87" spans="1:25" x14ac:dyDescent="0.2">
      <c r="A87" s="20" t="s">
        <v>19</v>
      </c>
      <c r="B87" s="28">
        <v>63</v>
      </c>
      <c r="C87" s="29">
        <f>B87/B90</f>
        <v>0.5625</v>
      </c>
      <c r="D87" s="28">
        <v>3</v>
      </c>
      <c r="E87" s="29">
        <f>D87/D90</f>
        <v>0.5</v>
      </c>
      <c r="F87" s="28">
        <v>20</v>
      </c>
      <c r="G87" s="29">
        <f>F87/F90</f>
        <v>0.58823529411764708</v>
      </c>
      <c r="H87" s="28">
        <v>97</v>
      </c>
      <c r="I87" s="29">
        <f>H87/H90</f>
        <v>0.61783439490445857</v>
      </c>
      <c r="J87" s="28">
        <v>32</v>
      </c>
      <c r="K87" s="29">
        <f>J87/J90</f>
        <v>0.5161290322580645</v>
      </c>
      <c r="L87" s="28">
        <v>121</v>
      </c>
      <c r="M87" s="29">
        <f>L87/L90</f>
        <v>0.58173076923076927</v>
      </c>
      <c r="N87" s="21">
        <f>B87+D87+F87+H87+J87+L87</f>
        <v>336</v>
      </c>
      <c r="O87" s="29">
        <f>N87/N90</f>
        <v>0.5803108808290155</v>
      </c>
      <c r="Q87" s="137"/>
      <c r="R87" s="137"/>
      <c r="S87" s="137"/>
      <c r="T87" s="137"/>
      <c r="U87" s="137"/>
      <c r="V87" s="137"/>
      <c r="W87" s="137"/>
      <c r="X87" s="137"/>
    </row>
    <row r="88" spans="1:25" x14ac:dyDescent="0.2">
      <c r="A88" s="20" t="s">
        <v>18</v>
      </c>
      <c r="B88" s="28">
        <v>4</v>
      </c>
      <c r="C88" s="29">
        <f>B88/B90</f>
        <v>3.5714285714285712E-2</v>
      </c>
      <c r="D88" s="28"/>
      <c r="E88" s="29">
        <f>D88/D90</f>
        <v>0</v>
      </c>
      <c r="F88" s="28"/>
      <c r="G88" s="29">
        <f>F88/F90</f>
        <v>0</v>
      </c>
      <c r="H88" s="28">
        <v>7</v>
      </c>
      <c r="I88" s="29">
        <f>H88/H90</f>
        <v>4.4585987261146494E-2</v>
      </c>
      <c r="J88" s="28">
        <v>1</v>
      </c>
      <c r="K88" s="29">
        <f>J88/J90</f>
        <v>1.6129032258064516E-2</v>
      </c>
      <c r="L88" s="28">
        <v>5</v>
      </c>
      <c r="M88" s="29">
        <f>L88/L90</f>
        <v>2.403846153846154E-2</v>
      </c>
      <c r="N88" s="21">
        <f>B88+D88+F88+H88+J88+L88</f>
        <v>17</v>
      </c>
      <c r="O88" s="29">
        <f>N88/N90</f>
        <v>2.9360967184801381E-2</v>
      </c>
    </row>
    <row r="89" spans="1:25" x14ac:dyDescent="0.2">
      <c r="A89" s="20" t="s">
        <v>17</v>
      </c>
      <c r="B89" s="28"/>
      <c r="C89" s="29">
        <f>B89/B90</f>
        <v>0</v>
      </c>
      <c r="D89" s="28"/>
      <c r="E89" s="29">
        <f>D89/D90</f>
        <v>0</v>
      </c>
      <c r="F89" s="28">
        <v>1</v>
      </c>
      <c r="G89" s="29">
        <f>F89/F90</f>
        <v>2.9411764705882353E-2</v>
      </c>
      <c r="H89" s="28">
        <v>3</v>
      </c>
      <c r="I89" s="29">
        <f>H89/H90</f>
        <v>1.9108280254777069E-2</v>
      </c>
      <c r="J89" s="28">
        <v>2</v>
      </c>
      <c r="K89" s="29">
        <f>J89/J90</f>
        <v>3.2258064516129031E-2</v>
      </c>
      <c r="L89" s="28">
        <v>3</v>
      </c>
      <c r="M89" s="29">
        <f>L89/L90</f>
        <v>1.4423076923076924E-2</v>
      </c>
      <c r="N89" s="21">
        <f>B89+D89+F89+H89+J89+L89</f>
        <v>9</v>
      </c>
      <c r="O89" s="29">
        <f>N89/N90</f>
        <v>1.5544041450777202E-2</v>
      </c>
    </row>
    <row r="90" spans="1:25" s="11" customFormat="1" x14ac:dyDescent="0.2">
      <c r="A90" s="95" t="s">
        <v>1</v>
      </c>
      <c r="B90" s="22">
        <f>SUM(B86:B89)</f>
        <v>112</v>
      </c>
      <c r="C90" s="31">
        <f>SUM(C86:C89)</f>
        <v>1</v>
      </c>
      <c r="D90" s="22">
        <f t="shared" ref="D90" si="60">SUM(D86:D89)</f>
        <v>6</v>
      </c>
      <c r="E90" s="31">
        <f>SUM(E86:E89)</f>
        <v>1</v>
      </c>
      <c r="F90" s="22">
        <f t="shared" ref="F90" si="61">SUM(F86:F89)</f>
        <v>34</v>
      </c>
      <c r="G90" s="31">
        <f>SUM(G86:G89)</f>
        <v>1</v>
      </c>
      <c r="H90" s="22">
        <f t="shared" ref="H90" si="62">SUM(H86:H89)</f>
        <v>157</v>
      </c>
      <c r="I90" s="31">
        <f>SUM(I86:I89)</f>
        <v>1</v>
      </c>
      <c r="J90" s="22">
        <f t="shared" ref="J90" si="63">SUM(J86:J89)</f>
        <v>62</v>
      </c>
      <c r="K90" s="31">
        <f>SUM(K86:K89)</f>
        <v>1</v>
      </c>
      <c r="L90" s="22">
        <f t="shared" ref="L90" si="64">SUM(L86:L89)</f>
        <v>208</v>
      </c>
      <c r="M90" s="31">
        <f>SUM(M86:M89)</f>
        <v>1</v>
      </c>
      <c r="N90" s="22">
        <f>SUM(N84:N89)</f>
        <v>579</v>
      </c>
      <c r="O90" s="31">
        <f>SUM(O84:O89)</f>
        <v>1</v>
      </c>
      <c r="Q90" s="136"/>
      <c r="R90" s="136"/>
      <c r="S90" s="136"/>
      <c r="T90" s="136"/>
      <c r="U90" s="136"/>
      <c r="V90" s="136"/>
      <c r="W90" s="136"/>
      <c r="X90" s="136"/>
      <c r="Y90" s="137"/>
    </row>
    <row r="91" spans="1:25" x14ac:dyDescent="0.2">
      <c r="A91" s="95" t="s">
        <v>89</v>
      </c>
      <c r="B91" s="19"/>
      <c r="C91" s="54">
        <f>SUM(C86:C87)</f>
        <v>0.9642857142857143</v>
      </c>
      <c r="D91" s="19"/>
      <c r="E91" s="54">
        <f>SUM(E86:E87)</f>
        <v>1</v>
      </c>
      <c r="F91" s="19"/>
      <c r="G91" s="54">
        <f>SUM(G86:G87)</f>
        <v>0.97058823529411764</v>
      </c>
      <c r="H91" s="19"/>
      <c r="I91" s="54">
        <f>SUM(I86:I87)</f>
        <v>0.93630573248407645</v>
      </c>
      <c r="J91" s="19"/>
      <c r="K91" s="54">
        <f>SUM(K86:K87)</f>
        <v>0.95161290322580649</v>
      </c>
      <c r="L91" s="19"/>
      <c r="M91" s="54">
        <f>SUM(M86:M87)</f>
        <v>0.96153846153846156</v>
      </c>
      <c r="N91" s="22"/>
      <c r="O91" s="54">
        <f>SUM(O86:O87)</f>
        <v>0.95509499136442133</v>
      </c>
    </row>
    <row r="92" spans="1:25" x14ac:dyDescent="0.2">
      <c r="A92" s="14"/>
      <c r="B92" s="4"/>
      <c r="D92" s="1"/>
      <c r="H92" s="7"/>
    </row>
    <row r="93" spans="1:25" x14ac:dyDescent="0.2">
      <c r="A93" s="14"/>
      <c r="B93" s="4"/>
      <c r="D93" s="1"/>
      <c r="H93" s="7"/>
    </row>
    <row r="94" spans="1:25" x14ac:dyDescent="0.2">
      <c r="A94" s="6" t="s">
        <v>78</v>
      </c>
      <c r="H94" s="7"/>
    </row>
    <row r="95" spans="1:25" ht="12.75" customHeight="1" x14ac:dyDescent="0.2">
      <c r="A95" s="121" t="s">
        <v>75</v>
      </c>
      <c r="B95" s="122" t="s">
        <v>100</v>
      </c>
      <c r="C95" s="122"/>
      <c r="D95" s="122" t="s">
        <v>80</v>
      </c>
      <c r="E95" s="122"/>
      <c r="F95" s="123" t="s">
        <v>136</v>
      </c>
      <c r="G95" s="123"/>
      <c r="H95" s="122" t="s">
        <v>82</v>
      </c>
      <c r="I95" s="122"/>
      <c r="J95" s="122" t="s">
        <v>81</v>
      </c>
      <c r="K95" s="122"/>
      <c r="L95" s="122" t="s">
        <v>98</v>
      </c>
      <c r="M95" s="122"/>
      <c r="N95" s="116" t="s">
        <v>1</v>
      </c>
      <c r="O95" s="116"/>
    </row>
    <row r="96" spans="1:25" x14ac:dyDescent="0.2">
      <c r="A96" s="20" t="s">
        <v>20</v>
      </c>
      <c r="B96" s="28">
        <v>95</v>
      </c>
      <c r="C96" s="29">
        <f>B96/B100</f>
        <v>0.31045751633986929</v>
      </c>
      <c r="D96" s="28">
        <v>6</v>
      </c>
      <c r="E96" s="29">
        <f>D96/D100</f>
        <v>0.5</v>
      </c>
      <c r="F96" s="28">
        <v>28</v>
      </c>
      <c r="G96" s="29">
        <f>F96/F100</f>
        <v>0.30107526881720431</v>
      </c>
      <c r="H96" s="28">
        <v>123</v>
      </c>
      <c r="I96" s="29">
        <f>H96/H100</f>
        <v>0.25894736842105265</v>
      </c>
      <c r="J96" s="28">
        <v>69</v>
      </c>
      <c r="K96" s="29">
        <f>J96/J100</f>
        <v>0.31506849315068491</v>
      </c>
      <c r="L96" s="28">
        <v>182</v>
      </c>
      <c r="M96" s="29">
        <f>L96/L100</f>
        <v>0.30082644628099175</v>
      </c>
      <c r="N96" s="21">
        <f>B96+D96+F96+H96+J96+L96</f>
        <v>503</v>
      </c>
      <c r="O96" s="29">
        <f>N96/N100</f>
        <v>0.29415204678362572</v>
      </c>
    </row>
    <row r="97" spans="1:25" x14ac:dyDescent="0.2">
      <c r="A97" s="20" t="s">
        <v>19</v>
      </c>
      <c r="B97" s="28">
        <v>158</v>
      </c>
      <c r="C97" s="29">
        <f>B97/B100</f>
        <v>0.5163398692810458</v>
      </c>
      <c r="D97" s="28">
        <v>6</v>
      </c>
      <c r="E97" s="29">
        <f>D97/D100</f>
        <v>0.5</v>
      </c>
      <c r="F97" s="28">
        <v>49</v>
      </c>
      <c r="G97" s="29">
        <f>F97/F100</f>
        <v>0.5268817204301075</v>
      </c>
      <c r="H97" s="28">
        <v>273</v>
      </c>
      <c r="I97" s="29">
        <f>H97/H100</f>
        <v>0.57473684210526321</v>
      </c>
      <c r="J97" s="28">
        <v>117</v>
      </c>
      <c r="K97" s="29">
        <f>J97/J100</f>
        <v>0.53424657534246578</v>
      </c>
      <c r="L97" s="28">
        <v>345</v>
      </c>
      <c r="M97" s="29">
        <f>L97/L100</f>
        <v>0.57024793388429751</v>
      </c>
      <c r="N97" s="21">
        <f>B97+D97+F97+H97+J97+L97</f>
        <v>948</v>
      </c>
      <c r="O97" s="29">
        <f>N97/N100</f>
        <v>0.55438596491228065</v>
      </c>
      <c r="Q97" s="137"/>
      <c r="R97" s="137"/>
      <c r="S97" s="137"/>
      <c r="T97" s="137"/>
      <c r="U97" s="137"/>
      <c r="V97" s="137"/>
      <c r="W97" s="137"/>
      <c r="X97" s="137"/>
    </row>
    <row r="98" spans="1:25" x14ac:dyDescent="0.2">
      <c r="A98" s="20" t="s">
        <v>18</v>
      </c>
      <c r="B98" s="28">
        <v>45</v>
      </c>
      <c r="C98" s="29">
        <f>B98/B100</f>
        <v>0.14705882352941177</v>
      </c>
      <c r="D98" s="28"/>
      <c r="E98" s="29">
        <f>D98/D100</f>
        <v>0</v>
      </c>
      <c r="F98" s="28">
        <v>12</v>
      </c>
      <c r="G98" s="29">
        <f>F98/F100</f>
        <v>0.12903225806451613</v>
      </c>
      <c r="H98" s="28">
        <v>60</v>
      </c>
      <c r="I98" s="29">
        <f>H98/H100</f>
        <v>0.12631578947368421</v>
      </c>
      <c r="J98" s="28">
        <v>22</v>
      </c>
      <c r="K98" s="29">
        <f>J98/J100</f>
        <v>0.1004566210045662</v>
      </c>
      <c r="L98" s="28">
        <v>59</v>
      </c>
      <c r="M98" s="29">
        <f>L98/L100</f>
        <v>9.7520661157024791E-2</v>
      </c>
      <c r="N98" s="21">
        <f>B98+D98+F98+H98+J98+L98</f>
        <v>198</v>
      </c>
      <c r="O98" s="29">
        <f>N98/N100</f>
        <v>0.11578947368421053</v>
      </c>
    </row>
    <row r="99" spans="1:25" x14ac:dyDescent="0.2">
      <c r="A99" s="20" t="s">
        <v>17</v>
      </c>
      <c r="B99" s="28">
        <v>8</v>
      </c>
      <c r="C99" s="29">
        <f>B99/B100</f>
        <v>2.6143790849673203E-2</v>
      </c>
      <c r="D99" s="28"/>
      <c r="E99" s="29">
        <f>D99/D100</f>
        <v>0</v>
      </c>
      <c r="F99" s="28">
        <v>4</v>
      </c>
      <c r="G99" s="29">
        <f>F99/F100</f>
        <v>4.3010752688172046E-2</v>
      </c>
      <c r="H99" s="28">
        <v>19</v>
      </c>
      <c r="I99" s="29">
        <f>H99/H100</f>
        <v>0.04</v>
      </c>
      <c r="J99" s="28">
        <v>11</v>
      </c>
      <c r="K99" s="29">
        <f>J99/J100</f>
        <v>5.0228310502283102E-2</v>
      </c>
      <c r="L99" s="28">
        <v>19</v>
      </c>
      <c r="M99" s="29">
        <f>L99/L100</f>
        <v>3.1404958677685953E-2</v>
      </c>
      <c r="N99" s="21">
        <f>B99+D99+F99+H99+J99+L99</f>
        <v>61</v>
      </c>
      <c r="O99" s="29">
        <f>N99/N100</f>
        <v>3.5672514619883043E-2</v>
      </c>
    </row>
    <row r="100" spans="1:25" s="11" customFormat="1" x14ac:dyDescent="0.2">
      <c r="A100" s="95" t="s">
        <v>1</v>
      </c>
      <c r="B100" s="22">
        <f t="shared" ref="B100:L100" si="65">SUM(B96:B99)</f>
        <v>306</v>
      </c>
      <c r="C100" s="31">
        <f>SUM(C96:C99)</f>
        <v>1</v>
      </c>
      <c r="D100" s="22">
        <f t="shared" ref="D100:N100" si="66">SUM(D96:D99)</f>
        <v>12</v>
      </c>
      <c r="E100" s="31">
        <f>SUM(E96:E99)</f>
        <v>1</v>
      </c>
      <c r="F100" s="22">
        <f t="shared" ref="F100:O100" si="67">SUM(F96:F99)</f>
        <v>93</v>
      </c>
      <c r="G100" s="31">
        <f>SUM(G96:G99)</f>
        <v>0.99999999999999989</v>
      </c>
      <c r="H100" s="22">
        <f t="shared" ref="H100:O100" si="68">SUM(H96:H99)</f>
        <v>475</v>
      </c>
      <c r="I100" s="31">
        <f>SUM(I96:I99)</f>
        <v>1</v>
      </c>
      <c r="J100" s="22">
        <f t="shared" ref="J100:O100" si="69">SUM(J96:J99)</f>
        <v>219</v>
      </c>
      <c r="K100" s="31">
        <f>SUM(K96:K99)</f>
        <v>1</v>
      </c>
      <c r="L100" s="22">
        <f t="shared" ref="L100:O100" si="70">SUM(L96:L99)</f>
        <v>605</v>
      </c>
      <c r="M100" s="31">
        <f>SUM(M96:M99)</f>
        <v>1</v>
      </c>
      <c r="N100" s="22">
        <f>SUM(N94:N99)</f>
        <v>1710</v>
      </c>
      <c r="O100" s="31">
        <f>SUM(O94:O99)</f>
        <v>1</v>
      </c>
      <c r="Q100" s="136"/>
      <c r="R100" s="136"/>
      <c r="S100" s="136"/>
      <c r="T100" s="136"/>
      <c r="U100" s="136"/>
      <c r="V100" s="136"/>
      <c r="W100" s="136"/>
      <c r="X100" s="136"/>
      <c r="Y100" s="137"/>
    </row>
    <row r="101" spans="1:25" x14ac:dyDescent="0.2">
      <c r="A101" s="95" t="s">
        <v>89</v>
      </c>
      <c r="B101" s="19"/>
      <c r="C101" s="54">
        <f>SUM(C96:C97)</f>
        <v>0.82679738562091509</v>
      </c>
      <c r="D101" s="19"/>
      <c r="E101" s="54">
        <f>SUM(E96:E97)</f>
        <v>1</v>
      </c>
      <c r="F101" s="19"/>
      <c r="G101" s="54">
        <f>SUM(G96:G97)</f>
        <v>0.82795698924731176</v>
      </c>
      <c r="H101" s="19"/>
      <c r="I101" s="54">
        <f>SUM(I96:I97)</f>
        <v>0.83368421052631581</v>
      </c>
      <c r="J101" s="19"/>
      <c r="K101" s="54">
        <f>SUM(K96:K97)</f>
        <v>0.84931506849315075</v>
      </c>
      <c r="L101" s="19"/>
      <c r="M101" s="54">
        <f>SUM(M96:M97)</f>
        <v>0.87107438016528926</v>
      </c>
      <c r="N101" s="22"/>
      <c r="O101" s="54">
        <f>SUM(O96:O97)</f>
        <v>0.84853801169590637</v>
      </c>
    </row>
    <row r="102" spans="1:25" x14ac:dyDescent="0.2">
      <c r="A102" s="14"/>
      <c r="B102" s="4"/>
      <c r="C102" s="36"/>
      <c r="D102" s="1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1:25" ht="12.75" customHeight="1" x14ac:dyDescent="0.2">
      <c r="A103" s="121" t="s">
        <v>76</v>
      </c>
      <c r="B103" s="122" t="s">
        <v>100</v>
      </c>
      <c r="C103" s="122"/>
      <c r="D103" s="122" t="s">
        <v>80</v>
      </c>
      <c r="E103" s="122"/>
      <c r="F103" s="123" t="s">
        <v>136</v>
      </c>
      <c r="G103" s="123"/>
      <c r="H103" s="122" t="s">
        <v>82</v>
      </c>
      <c r="I103" s="122"/>
      <c r="J103" s="122" t="s">
        <v>81</v>
      </c>
      <c r="K103" s="122"/>
      <c r="L103" s="122" t="s">
        <v>98</v>
      </c>
      <c r="M103" s="122"/>
      <c r="N103" s="116" t="s">
        <v>1</v>
      </c>
      <c r="O103" s="116"/>
    </row>
    <row r="104" spans="1:25" x14ac:dyDescent="0.2">
      <c r="A104" s="20" t="s">
        <v>20</v>
      </c>
      <c r="B104" s="28">
        <v>74</v>
      </c>
      <c r="C104" s="29">
        <f>B104/B108</f>
        <v>0.33944954128440369</v>
      </c>
      <c r="D104" s="28">
        <v>5</v>
      </c>
      <c r="E104" s="29">
        <f>D104/D108</f>
        <v>0.625</v>
      </c>
      <c r="F104" s="28">
        <v>21</v>
      </c>
      <c r="G104" s="29">
        <f>F104/F108</f>
        <v>0.28767123287671231</v>
      </c>
      <c r="H104" s="28">
        <v>132</v>
      </c>
      <c r="I104" s="29">
        <f>H104/H108</f>
        <v>0.34920634920634919</v>
      </c>
      <c r="J104" s="28">
        <v>62</v>
      </c>
      <c r="K104" s="29">
        <f>J104/J108</f>
        <v>0.39240506329113922</v>
      </c>
      <c r="L104" s="28">
        <v>145</v>
      </c>
      <c r="M104" s="29">
        <f>L104/L108</f>
        <v>0.33105022831050229</v>
      </c>
      <c r="N104" s="21">
        <f>B104+D104+F104+H104+J104+L104</f>
        <v>439</v>
      </c>
      <c r="O104" s="29">
        <f>N104/N108</f>
        <v>0.3448546739984289</v>
      </c>
    </row>
    <row r="105" spans="1:25" x14ac:dyDescent="0.2">
      <c r="A105" s="20" t="s">
        <v>19</v>
      </c>
      <c r="B105" s="28">
        <v>130</v>
      </c>
      <c r="C105" s="29">
        <f>B105/B108</f>
        <v>0.59633027522935778</v>
      </c>
      <c r="D105" s="28">
        <v>3</v>
      </c>
      <c r="E105" s="29">
        <f>D105/D108</f>
        <v>0.375</v>
      </c>
      <c r="F105" s="28">
        <v>44</v>
      </c>
      <c r="G105" s="29">
        <f>F105/F108</f>
        <v>0.60273972602739723</v>
      </c>
      <c r="H105" s="28">
        <v>227</v>
      </c>
      <c r="I105" s="29">
        <f>H105/H108</f>
        <v>0.60052910052910058</v>
      </c>
      <c r="J105" s="28">
        <v>84</v>
      </c>
      <c r="K105" s="29">
        <f>J105/J108</f>
        <v>0.53164556962025311</v>
      </c>
      <c r="L105" s="28">
        <v>264</v>
      </c>
      <c r="M105" s="29">
        <f>L105/L108</f>
        <v>0.60273972602739723</v>
      </c>
      <c r="N105" s="21">
        <f>B105+D105+F105+H105+J105+L105</f>
        <v>752</v>
      </c>
      <c r="O105" s="29">
        <f>N105/N108</f>
        <v>0.59073055773762762</v>
      </c>
      <c r="Q105" s="137"/>
      <c r="R105" s="137"/>
      <c r="S105" s="137"/>
      <c r="T105" s="137"/>
      <c r="U105" s="137"/>
      <c r="V105" s="137"/>
      <c r="W105" s="137"/>
      <c r="X105" s="137"/>
    </row>
    <row r="106" spans="1:25" x14ac:dyDescent="0.2">
      <c r="A106" s="20" t="s">
        <v>18</v>
      </c>
      <c r="B106" s="28">
        <v>8</v>
      </c>
      <c r="C106" s="29">
        <f>B106/B108</f>
        <v>3.669724770642202E-2</v>
      </c>
      <c r="D106" s="28"/>
      <c r="E106" s="29">
        <f>D106/D108</f>
        <v>0</v>
      </c>
      <c r="F106" s="28">
        <v>4</v>
      </c>
      <c r="G106" s="29">
        <f>F106/F108</f>
        <v>5.4794520547945202E-2</v>
      </c>
      <c r="H106" s="28">
        <v>16</v>
      </c>
      <c r="I106" s="29">
        <f>H106/H108</f>
        <v>4.2328042328042326E-2</v>
      </c>
      <c r="J106" s="28">
        <v>8</v>
      </c>
      <c r="K106" s="29">
        <f>J106/J108</f>
        <v>5.0632911392405063E-2</v>
      </c>
      <c r="L106" s="28">
        <v>21</v>
      </c>
      <c r="M106" s="29">
        <f>L106/L108</f>
        <v>4.7945205479452052E-2</v>
      </c>
      <c r="N106" s="21">
        <f>B106+D106+F106+H106+J106+L106</f>
        <v>57</v>
      </c>
      <c r="O106" s="29">
        <f>N106/N108</f>
        <v>4.4776119402985072E-2</v>
      </c>
    </row>
    <row r="107" spans="1:25" x14ac:dyDescent="0.2">
      <c r="A107" s="20" t="s">
        <v>17</v>
      </c>
      <c r="B107" s="28">
        <v>6</v>
      </c>
      <c r="C107" s="29">
        <f>B107/B108</f>
        <v>2.7522935779816515E-2</v>
      </c>
      <c r="D107" s="28"/>
      <c r="E107" s="29">
        <f>D107/D108</f>
        <v>0</v>
      </c>
      <c r="F107" s="28">
        <v>4</v>
      </c>
      <c r="G107" s="29">
        <f>F107/F108</f>
        <v>5.4794520547945202E-2</v>
      </c>
      <c r="H107" s="28">
        <v>3</v>
      </c>
      <c r="I107" s="29">
        <f>H107/H108</f>
        <v>7.9365079365079361E-3</v>
      </c>
      <c r="J107" s="28">
        <v>4</v>
      </c>
      <c r="K107" s="29">
        <f>J107/J108</f>
        <v>2.5316455696202531E-2</v>
      </c>
      <c r="L107" s="28">
        <v>8</v>
      </c>
      <c r="M107" s="29">
        <f>L107/L108</f>
        <v>1.8264840182648401E-2</v>
      </c>
      <c r="N107" s="21">
        <f>B107+D107+F107+H107+J107+L107</f>
        <v>25</v>
      </c>
      <c r="O107" s="29">
        <f>N107/N108</f>
        <v>1.9638648860958365E-2</v>
      </c>
    </row>
    <row r="108" spans="1:25" s="11" customFormat="1" x14ac:dyDescent="0.2">
      <c r="A108" s="95" t="s">
        <v>1</v>
      </c>
      <c r="B108" s="22">
        <f t="shared" ref="B108:L108" si="71">SUM(B104:B107)</f>
        <v>218</v>
      </c>
      <c r="C108" s="31">
        <f>SUM(C104:C107)</f>
        <v>1</v>
      </c>
      <c r="D108" s="22">
        <f t="shared" ref="D108:N108" si="72">SUM(D104:D107)</f>
        <v>8</v>
      </c>
      <c r="E108" s="31">
        <f>SUM(E104:E107)</f>
        <v>1</v>
      </c>
      <c r="F108" s="22">
        <f t="shared" ref="F108:O108" si="73">SUM(F104:F107)</f>
        <v>73</v>
      </c>
      <c r="G108" s="31">
        <f>SUM(G104:G107)</f>
        <v>1</v>
      </c>
      <c r="H108" s="22">
        <f t="shared" ref="H108:O108" si="74">SUM(H104:H107)</f>
        <v>378</v>
      </c>
      <c r="I108" s="31">
        <f>SUM(I104:I107)</f>
        <v>1</v>
      </c>
      <c r="J108" s="22">
        <f t="shared" ref="J108:O108" si="75">SUM(J104:J107)</f>
        <v>158</v>
      </c>
      <c r="K108" s="31">
        <f>SUM(K104:K107)</f>
        <v>1</v>
      </c>
      <c r="L108" s="22">
        <f t="shared" ref="L108:O108" si="76">SUM(L104:L107)</f>
        <v>438</v>
      </c>
      <c r="M108" s="31">
        <f>SUM(M104:M107)</f>
        <v>1</v>
      </c>
      <c r="N108" s="22">
        <f>SUM(N102:N107)</f>
        <v>1273</v>
      </c>
      <c r="O108" s="31">
        <f>SUM(O102:O107)</f>
        <v>0.99999999999999989</v>
      </c>
      <c r="Q108" s="136"/>
      <c r="R108" s="136"/>
      <c r="S108" s="136"/>
      <c r="T108" s="136"/>
      <c r="U108" s="136"/>
      <c r="V108" s="136"/>
      <c r="W108" s="136"/>
      <c r="X108" s="136"/>
      <c r="Y108" s="137"/>
    </row>
    <row r="109" spans="1:25" x14ac:dyDescent="0.2">
      <c r="A109" s="95" t="s">
        <v>89</v>
      </c>
      <c r="B109" s="19"/>
      <c r="C109" s="54">
        <f>SUM(C104:C105)</f>
        <v>0.93577981651376141</v>
      </c>
      <c r="D109" s="19"/>
      <c r="E109" s="54">
        <f>SUM(E104:E105)</f>
        <v>1</v>
      </c>
      <c r="F109" s="19"/>
      <c r="G109" s="54">
        <f>SUM(G104:G105)</f>
        <v>0.8904109589041096</v>
      </c>
      <c r="H109" s="19"/>
      <c r="I109" s="54">
        <f>SUM(I104:I105)</f>
        <v>0.94973544973544977</v>
      </c>
      <c r="J109" s="19"/>
      <c r="K109" s="54">
        <f>SUM(K104:K105)</f>
        <v>0.92405063291139233</v>
      </c>
      <c r="L109" s="19"/>
      <c r="M109" s="54">
        <f>SUM(M104:M105)</f>
        <v>0.93378995433789957</v>
      </c>
      <c r="N109" s="22"/>
      <c r="O109" s="54">
        <f>SUM(O104:O105)</f>
        <v>0.93558523173605646</v>
      </c>
    </row>
    <row r="110" spans="1:25" x14ac:dyDescent="0.2">
      <c r="A110" s="14"/>
      <c r="B110" s="4"/>
      <c r="C110" s="36"/>
      <c r="D110" s="1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1:25" ht="12.75" customHeight="1" x14ac:dyDescent="0.2">
      <c r="A111" s="121" t="s">
        <v>77</v>
      </c>
      <c r="B111" s="122" t="s">
        <v>100</v>
      </c>
      <c r="C111" s="122"/>
      <c r="D111" s="122" t="s">
        <v>80</v>
      </c>
      <c r="E111" s="122"/>
      <c r="F111" s="123" t="s">
        <v>136</v>
      </c>
      <c r="G111" s="123"/>
      <c r="H111" s="122" t="s">
        <v>82</v>
      </c>
      <c r="I111" s="122"/>
      <c r="J111" s="122" t="s">
        <v>81</v>
      </c>
      <c r="K111" s="122"/>
      <c r="L111" s="122" t="s">
        <v>98</v>
      </c>
      <c r="M111" s="122"/>
      <c r="N111" s="116" t="s">
        <v>1</v>
      </c>
      <c r="O111" s="116"/>
    </row>
    <row r="112" spans="1:25" x14ac:dyDescent="0.2">
      <c r="A112" s="20" t="s">
        <v>20</v>
      </c>
      <c r="B112" s="28">
        <v>59</v>
      </c>
      <c r="C112" s="29">
        <f>B112/B116</f>
        <v>0.29648241206030151</v>
      </c>
      <c r="D112" s="28"/>
      <c r="E112" s="29">
        <f>D112/D116</f>
        <v>0</v>
      </c>
      <c r="F112" s="28">
        <v>13</v>
      </c>
      <c r="G112" s="29">
        <f>F112/F116</f>
        <v>0.29545454545454547</v>
      </c>
      <c r="H112" s="28">
        <v>84</v>
      </c>
      <c r="I112" s="29">
        <f>H112/H116</f>
        <v>0.24277456647398843</v>
      </c>
      <c r="J112" s="28">
        <v>29</v>
      </c>
      <c r="K112" s="29">
        <f>J112/J116</f>
        <v>0.30526315789473685</v>
      </c>
      <c r="L112" s="28">
        <v>106</v>
      </c>
      <c r="M112" s="29">
        <f>L112/L116</f>
        <v>0.26700251889168763</v>
      </c>
      <c r="N112" s="21">
        <f>B112+D112+F112+H112+J112+L112</f>
        <v>291</v>
      </c>
      <c r="O112" s="29">
        <f>N112/N116</f>
        <v>0.26894639556377081</v>
      </c>
    </row>
    <row r="113" spans="1:25" x14ac:dyDescent="0.2">
      <c r="A113" s="20" t="s">
        <v>19</v>
      </c>
      <c r="B113" s="28">
        <v>100</v>
      </c>
      <c r="C113" s="29">
        <f>B113/B116</f>
        <v>0.50251256281407031</v>
      </c>
      <c r="D113" s="28">
        <v>1</v>
      </c>
      <c r="E113" s="29">
        <f>D113/D116</f>
        <v>1</v>
      </c>
      <c r="F113" s="28">
        <v>24</v>
      </c>
      <c r="G113" s="29">
        <f>F113/F116</f>
        <v>0.54545454545454541</v>
      </c>
      <c r="H113" s="28">
        <v>174</v>
      </c>
      <c r="I113" s="29">
        <f>H113/H116</f>
        <v>0.50289017341040465</v>
      </c>
      <c r="J113" s="28">
        <v>50</v>
      </c>
      <c r="K113" s="29">
        <f>J113/J116</f>
        <v>0.52631578947368418</v>
      </c>
      <c r="L113" s="28">
        <v>198</v>
      </c>
      <c r="M113" s="29">
        <f>L113/L116</f>
        <v>0.4987405541561713</v>
      </c>
      <c r="N113" s="21">
        <f>B113+D113+F113+H113+J113+L113</f>
        <v>547</v>
      </c>
      <c r="O113" s="29">
        <f>N113/N116</f>
        <v>0.50554528650646946</v>
      </c>
      <c r="Q113" s="137"/>
      <c r="R113" s="137"/>
      <c r="S113" s="137"/>
      <c r="T113" s="137"/>
      <c r="U113" s="137"/>
      <c r="V113" s="137"/>
      <c r="W113" s="137"/>
      <c r="X113" s="137"/>
    </row>
    <row r="114" spans="1:25" x14ac:dyDescent="0.2">
      <c r="A114" s="20" t="s">
        <v>18</v>
      </c>
      <c r="B114" s="28">
        <v>26</v>
      </c>
      <c r="C114" s="29">
        <f>B114/B116</f>
        <v>0.1306532663316583</v>
      </c>
      <c r="D114" s="28"/>
      <c r="E114" s="29">
        <f>D114/D116</f>
        <v>0</v>
      </c>
      <c r="F114" s="28">
        <v>6</v>
      </c>
      <c r="G114" s="29">
        <f>F114/F116</f>
        <v>0.13636363636363635</v>
      </c>
      <c r="H114" s="28">
        <v>57</v>
      </c>
      <c r="I114" s="29">
        <f>H114/H116</f>
        <v>0.16473988439306358</v>
      </c>
      <c r="J114" s="28">
        <v>14</v>
      </c>
      <c r="K114" s="29">
        <f>J114/J116</f>
        <v>0.14736842105263157</v>
      </c>
      <c r="L114" s="28">
        <v>63</v>
      </c>
      <c r="M114" s="29">
        <f>L114/L116</f>
        <v>0.15869017632241814</v>
      </c>
      <c r="N114" s="21">
        <f>B114+D114+F114+H114+J114+L114</f>
        <v>166</v>
      </c>
      <c r="O114" s="29">
        <f>N114/N116</f>
        <v>0.15341959334565619</v>
      </c>
    </row>
    <row r="115" spans="1:25" x14ac:dyDescent="0.2">
      <c r="A115" s="20" t="s">
        <v>17</v>
      </c>
      <c r="B115" s="28">
        <v>14</v>
      </c>
      <c r="C115" s="29">
        <f>B115/B116</f>
        <v>7.0351758793969849E-2</v>
      </c>
      <c r="D115" s="28"/>
      <c r="E115" s="29">
        <f>D115/D116</f>
        <v>0</v>
      </c>
      <c r="F115" s="28">
        <v>1</v>
      </c>
      <c r="G115" s="29">
        <f>F115/F116</f>
        <v>2.2727272727272728E-2</v>
      </c>
      <c r="H115" s="28">
        <v>31</v>
      </c>
      <c r="I115" s="29">
        <f>H115/H116</f>
        <v>8.9595375722543349E-2</v>
      </c>
      <c r="J115" s="28">
        <v>2</v>
      </c>
      <c r="K115" s="29">
        <f>J115/J116</f>
        <v>2.1052631578947368E-2</v>
      </c>
      <c r="L115" s="28">
        <v>30</v>
      </c>
      <c r="M115" s="29">
        <f>L115/L116</f>
        <v>7.5566750629722929E-2</v>
      </c>
      <c r="N115" s="21">
        <f>B115+D115+F115+H115+J115+L115</f>
        <v>78</v>
      </c>
      <c r="O115" s="29">
        <f>N115/N116</f>
        <v>7.2088724584103508E-2</v>
      </c>
    </row>
    <row r="116" spans="1:25" s="11" customFormat="1" x14ac:dyDescent="0.2">
      <c r="A116" s="95" t="s">
        <v>1</v>
      </c>
      <c r="B116" s="22">
        <f t="shared" ref="B116:L116" si="77">SUM(B112:B115)</f>
        <v>199</v>
      </c>
      <c r="C116" s="31">
        <f>SUM(C112:C115)</f>
        <v>1</v>
      </c>
      <c r="D116" s="22">
        <f t="shared" ref="D116:N116" si="78">SUM(D112:D115)</f>
        <v>1</v>
      </c>
      <c r="E116" s="31">
        <f>SUM(E112:E115)</f>
        <v>1</v>
      </c>
      <c r="F116" s="22">
        <f t="shared" ref="F116:O116" si="79">SUM(F112:F115)</f>
        <v>44</v>
      </c>
      <c r="G116" s="31">
        <f>SUM(G112:G115)</f>
        <v>0.99999999999999989</v>
      </c>
      <c r="H116" s="22">
        <f t="shared" ref="H116:O116" si="80">SUM(H112:H115)</f>
        <v>346</v>
      </c>
      <c r="I116" s="31">
        <f>SUM(I112:I115)</f>
        <v>1</v>
      </c>
      <c r="J116" s="22">
        <f t="shared" ref="J116:O116" si="81">SUM(J112:J115)</f>
        <v>95</v>
      </c>
      <c r="K116" s="31">
        <f>SUM(K112:K115)</f>
        <v>0.99999999999999989</v>
      </c>
      <c r="L116" s="22">
        <f t="shared" ref="L116:O116" si="82">SUM(L112:L115)</f>
        <v>397</v>
      </c>
      <c r="M116" s="31">
        <f>SUM(M112:M115)</f>
        <v>1</v>
      </c>
      <c r="N116" s="22">
        <f>SUM(N110:N115)</f>
        <v>1082</v>
      </c>
      <c r="O116" s="31">
        <f>SUM(O110:O115)</f>
        <v>1</v>
      </c>
      <c r="Q116" s="136"/>
      <c r="R116" s="136"/>
      <c r="S116" s="136"/>
      <c r="T116" s="136"/>
      <c r="U116" s="136"/>
      <c r="V116" s="136"/>
      <c r="W116" s="136"/>
      <c r="X116" s="136"/>
      <c r="Y116" s="137"/>
    </row>
    <row r="117" spans="1:25" x14ac:dyDescent="0.2">
      <c r="A117" s="95" t="s">
        <v>89</v>
      </c>
      <c r="B117" s="19"/>
      <c r="C117" s="54">
        <f>SUM(C112:C113)</f>
        <v>0.79899497487437188</v>
      </c>
      <c r="D117" s="19"/>
      <c r="E117" s="54">
        <f>SUM(E112:E113)</f>
        <v>1</v>
      </c>
      <c r="F117" s="19"/>
      <c r="G117" s="54">
        <f>SUM(G112:G113)</f>
        <v>0.84090909090909083</v>
      </c>
      <c r="H117" s="19"/>
      <c r="I117" s="54">
        <f>SUM(I112:I113)</f>
        <v>0.74566473988439308</v>
      </c>
      <c r="J117" s="19"/>
      <c r="K117" s="54">
        <f>SUM(K112:K113)</f>
        <v>0.83157894736842097</v>
      </c>
      <c r="L117" s="19"/>
      <c r="M117" s="54">
        <f>SUM(M112:M113)</f>
        <v>0.76574307304785894</v>
      </c>
      <c r="N117" s="22"/>
      <c r="O117" s="54">
        <f>SUM(O112:O113)</f>
        <v>0.77449168207024033</v>
      </c>
    </row>
    <row r="118" spans="1:25" x14ac:dyDescent="0.2">
      <c r="A118" s="14"/>
      <c r="B118" s="4"/>
      <c r="C118" s="36"/>
      <c r="D118" s="1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1:25" x14ac:dyDescent="0.2">
      <c r="A119" s="121" t="s">
        <v>74</v>
      </c>
      <c r="B119" s="122" t="s">
        <v>100</v>
      </c>
      <c r="C119" s="122"/>
      <c r="D119" s="122" t="s">
        <v>80</v>
      </c>
      <c r="E119" s="122"/>
      <c r="F119" s="123" t="s">
        <v>136</v>
      </c>
      <c r="G119" s="123"/>
      <c r="H119" s="122" t="s">
        <v>82</v>
      </c>
      <c r="I119" s="122"/>
      <c r="J119" s="122" t="s">
        <v>81</v>
      </c>
      <c r="K119" s="122"/>
      <c r="L119" s="122" t="s">
        <v>98</v>
      </c>
      <c r="M119" s="122"/>
      <c r="N119" s="116" t="s">
        <v>1</v>
      </c>
      <c r="O119" s="116"/>
    </row>
    <row r="120" spans="1:25" x14ac:dyDescent="0.2">
      <c r="A120" s="20" t="s">
        <v>20</v>
      </c>
      <c r="B120" s="28">
        <v>99</v>
      </c>
      <c r="C120" s="29">
        <f>B120/B124</f>
        <v>0.32142857142857145</v>
      </c>
      <c r="D120" s="28">
        <v>5</v>
      </c>
      <c r="E120" s="29">
        <f>D120/D124</f>
        <v>0.38461538461538464</v>
      </c>
      <c r="F120" s="28">
        <v>33</v>
      </c>
      <c r="G120" s="29">
        <f>F120/F124</f>
        <v>0.31132075471698112</v>
      </c>
      <c r="H120" s="28">
        <v>143</v>
      </c>
      <c r="I120" s="29">
        <f>H120/H124</f>
        <v>0.29183673469387755</v>
      </c>
      <c r="J120" s="28">
        <v>65</v>
      </c>
      <c r="K120" s="29">
        <f>J120/J124</f>
        <v>0.2914798206278027</v>
      </c>
      <c r="L120" s="28">
        <v>166</v>
      </c>
      <c r="M120" s="29">
        <f>L120/L124</f>
        <v>0.27483443708609273</v>
      </c>
      <c r="N120" s="21">
        <f>B120+D120+F120+H120+J120+L120</f>
        <v>511</v>
      </c>
      <c r="O120" s="29">
        <f>N120/N124</f>
        <v>0.29300458715596328</v>
      </c>
    </row>
    <row r="121" spans="1:25" x14ac:dyDescent="0.2">
      <c r="A121" s="20" t="s">
        <v>19</v>
      </c>
      <c r="B121" s="28">
        <v>188</v>
      </c>
      <c r="C121" s="29">
        <f>B121/B124</f>
        <v>0.61038961038961037</v>
      </c>
      <c r="D121" s="28">
        <v>8</v>
      </c>
      <c r="E121" s="29">
        <f>D121/D124</f>
        <v>0.61538461538461542</v>
      </c>
      <c r="F121" s="28">
        <v>59</v>
      </c>
      <c r="G121" s="29">
        <f>F121/F124</f>
        <v>0.55660377358490565</v>
      </c>
      <c r="H121" s="28">
        <v>322</v>
      </c>
      <c r="I121" s="29">
        <f>H121/H124</f>
        <v>0.65714285714285714</v>
      </c>
      <c r="J121" s="28">
        <v>142</v>
      </c>
      <c r="K121" s="29">
        <f>J121/J124</f>
        <v>0.63677130044843044</v>
      </c>
      <c r="L121" s="28">
        <v>397</v>
      </c>
      <c r="M121" s="29">
        <f>L121/L124</f>
        <v>0.6572847682119205</v>
      </c>
      <c r="N121" s="21">
        <f>B121+D121+F121+H121+J121+L121</f>
        <v>1116</v>
      </c>
      <c r="O121" s="29">
        <f>N121/N124</f>
        <v>0.63990825688073394</v>
      </c>
      <c r="Q121" s="137"/>
      <c r="R121" s="137"/>
      <c r="S121" s="137"/>
      <c r="T121" s="137"/>
      <c r="U121" s="137"/>
      <c r="V121" s="137"/>
      <c r="W121" s="137"/>
      <c r="X121" s="137"/>
    </row>
    <row r="122" spans="1:25" x14ac:dyDescent="0.2">
      <c r="A122" s="20" t="s">
        <v>18</v>
      </c>
      <c r="B122" s="28">
        <v>17</v>
      </c>
      <c r="C122" s="29">
        <f>B122/B124</f>
        <v>5.5194805194805192E-2</v>
      </c>
      <c r="D122" s="28"/>
      <c r="E122" s="29">
        <f>D122/D124</f>
        <v>0</v>
      </c>
      <c r="F122" s="28">
        <v>10</v>
      </c>
      <c r="G122" s="29">
        <f>F122/F124</f>
        <v>9.4339622641509441E-2</v>
      </c>
      <c r="H122" s="28">
        <v>20</v>
      </c>
      <c r="I122" s="29">
        <f>H122/H124</f>
        <v>4.0816326530612242E-2</v>
      </c>
      <c r="J122" s="28">
        <v>9</v>
      </c>
      <c r="K122" s="29">
        <f>J122/J124</f>
        <v>4.0358744394618833E-2</v>
      </c>
      <c r="L122" s="28">
        <v>37</v>
      </c>
      <c r="M122" s="29">
        <f>L122/L124</f>
        <v>6.1258278145695365E-2</v>
      </c>
      <c r="N122" s="21">
        <f>B122+D122+F122+H122+J122+L122</f>
        <v>93</v>
      </c>
      <c r="O122" s="29">
        <f>N122/N124</f>
        <v>5.3325688073394495E-2</v>
      </c>
    </row>
    <row r="123" spans="1:25" x14ac:dyDescent="0.2">
      <c r="A123" s="20" t="s">
        <v>17</v>
      </c>
      <c r="B123" s="28">
        <v>4</v>
      </c>
      <c r="C123" s="29">
        <f>B123/B124</f>
        <v>1.2987012987012988E-2</v>
      </c>
      <c r="D123" s="28"/>
      <c r="E123" s="29">
        <f>D123/D124</f>
        <v>0</v>
      </c>
      <c r="F123" s="28">
        <v>4</v>
      </c>
      <c r="G123" s="29">
        <f>F123/F124</f>
        <v>3.7735849056603772E-2</v>
      </c>
      <c r="H123" s="28">
        <v>5</v>
      </c>
      <c r="I123" s="29">
        <f>H123/H124</f>
        <v>1.020408163265306E-2</v>
      </c>
      <c r="J123" s="28">
        <v>7</v>
      </c>
      <c r="K123" s="29">
        <f>J123/J124</f>
        <v>3.1390134529147982E-2</v>
      </c>
      <c r="L123" s="28">
        <v>4</v>
      </c>
      <c r="M123" s="29">
        <f>L123/L124</f>
        <v>6.6225165562913907E-3</v>
      </c>
      <c r="N123" s="21">
        <f>B123+D123+F123+H123+J123+L123</f>
        <v>24</v>
      </c>
      <c r="O123" s="29">
        <f>N123/N124</f>
        <v>1.3761467889908258E-2</v>
      </c>
    </row>
    <row r="124" spans="1:25" s="11" customFormat="1" x14ac:dyDescent="0.2">
      <c r="A124" s="95" t="s">
        <v>1</v>
      </c>
      <c r="B124" s="22">
        <f t="shared" ref="B124:J124" si="83">SUM(B120:B123)</f>
        <v>308</v>
      </c>
      <c r="C124" s="31">
        <f>SUM(C120:C123)</f>
        <v>1</v>
      </c>
      <c r="D124" s="22">
        <f t="shared" ref="D124:L124" si="84">SUM(D120:D123)</f>
        <v>13</v>
      </c>
      <c r="E124" s="31">
        <f>SUM(E120:E123)</f>
        <v>1</v>
      </c>
      <c r="F124" s="22">
        <f t="shared" ref="F124:N124" si="85">SUM(F120:F123)</f>
        <v>106</v>
      </c>
      <c r="G124" s="31">
        <f>SUM(G120:G123)</f>
        <v>1</v>
      </c>
      <c r="H124" s="22">
        <f t="shared" ref="H124:O124" si="86">SUM(H120:H123)</f>
        <v>490</v>
      </c>
      <c r="I124" s="31">
        <f>SUM(I120:I123)</f>
        <v>1</v>
      </c>
      <c r="J124" s="22">
        <f t="shared" ref="J124:O124" si="87">SUM(J120:J123)</f>
        <v>223</v>
      </c>
      <c r="K124" s="31">
        <f>SUM(K120:K123)</f>
        <v>1</v>
      </c>
      <c r="L124" s="22">
        <f t="shared" ref="L124" si="88">SUM(L120:L123)</f>
        <v>604</v>
      </c>
      <c r="M124" s="31">
        <f>SUM(M120:M123)</f>
        <v>1</v>
      </c>
      <c r="N124" s="22">
        <f>SUM(N118:N123)</f>
        <v>1744</v>
      </c>
      <c r="O124" s="31">
        <f>SUM(O118:O123)</f>
        <v>1</v>
      </c>
      <c r="Q124" s="136"/>
      <c r="R124" s="136"/>
      <c r="S124" s="136"/>
      <c r="T124" s="136"/>
      <c r="U124" s="136"/>
      <c r="V124" s="136"/>
      <c r="W124" s="136"/>
      <c r="X124" s="136"/>
      <c r="Y124" s="137"/>
    </row>
    <row r="125" spans="1:25" x14ac:dyDescent="0.2">
      <c r="A125" s="95" t="s">
        <v>89</v>
      </c>
      <c r="B125" s="19"/>
      <c r="C125" s="54">
        <f>SUM(C120:C121)</f>
        <v>0.93181818181818188</v>
      </c>
      <c r="D125" s="19"/>
      <c r="E125" s="54">
        <f>SUM(E120:E121)</f>
        <v>1</v>
      </c>
      <c r="F125" s="19"/>
      <c r="G125" s="54">
        <f>SUM(G120:G121)</f>
        <v>0.86792452830188682</v>
      </c>
      <c r="H125" s="19"/>
      <c r="I125" s="54">
        <f>SUM(I120:I121)</f>
        <v>0.94897959183673475</v>
      </c>
      <c r="J125" s="19"/>
      <c r="K125" s="54">
        <f>SUM(K120:K121)</f>
        <v>0.9282511210762332</v>
      </c>
      <c r="L125" s="19"/>
      <c r="M125" s="54">
        <f>SUM(M120:M121)</f>
        <v>0.93211920529801318</v>
      </c>
      <c r="N125" s="22"/>
      <c r="O125" s="54">
        <f>SUM(O120:O121)</f>
        <v>0.93291284403669716</v>
      </c>
    </row>
    <row r="126" spans="1:25" x14ac:dyDescent="0.2">
      <c r="H126" s="7"/>
    </row>
  </sheetData>
  <mergeCells count="105">
    <mergeCell ref="B5:C5"/>
    <mergeCell ref="D5:E5"/>
    <mergeCell ref="F5:G5"/>
    <mergeCell ref="H5:I5"/>
    <mergeCell ref="J5:K5"/>
    <mergeCell ref="L5:M5"/>
    <mergeCell ref="N5:O5"/>
    <mergeCell ref="N13:O13"/>
    <mergeCell ref="B21:C21"/>
    <mergeCell ref="D21:E21"/>
    <mergeCell ref="F21:G21"/>
    <mergeCell ref="H21:I21"/>
    <mergeCell ref="J21:K21"/>
    <mergeCell ref="L21:M21"/>
    <mergeCell ref="N21:O21"/>
    <mergeCell ref="B13:C13"/>
    <mergeCell ref="D13:E13"/>
    <mergeCell ref="F13:G13"/>
    <mergeCell ref="H13:I13"/>
    <mergeCell ref="J13:K13"/>
    <mergeCell ref="L13:M13"/>
    <mergeCell ref="N29:O29"/>
    <mergeCell ref="B37:C37"/>
    <mergeCell ref="D37:E37"/>
    <mergeCell ref="F37:G37"/>
    <mergeCell ref="H37:I37"/>
    <mergeCell ref="J37:K37"/>
    <mergeCell ref="L37:M37"/>
    <mergeCell ref="N37:O37"/>
    <mergeCell ref="B29:C29"/>
    <mergeCell ref="D29:E29"/>
    <mergeCell ref="F29:G29"/>
    <mergeCell ref="H29:I29"/>
    <mergeCell ref="J29:K29"/>
    <mergeCell ref="L29:M29"/>
    <mergeCell ref="N45:O45"/>
    <mergeCell ref="B53:C53"/>
    <mergeCell ref="D53:E53"/>
    <mergeCell ref="F53:G53"/>
    <mergeCell ref="H53:I53"/>
    <mergeCell ref="J53:K53"/>
    <mergeCell ref="L53:M53"/>
    <mergeCell ref="N53:O53"/>
    <mergeCell ref="B45:C45"/>
    <mergeCell ref="D45:E45"/>
    <mergeCell ref="F45:G45"/>
    <mergeCell ref="H45:I45"/>
    <mergeCell ref="J45:K45"/>
    <mergeCell ref="L45:M45"/>
    <mergeCell ref="N61:O61"/>
    <mergeCell ref="B69:C69"/>
    <mergeCell ref="D69:E69"/>
    <mergeCell ref="F69:G69"/>
    <mergeCell ref="H69:I69"/>
    <mergeCell ref="J69:K69"/>
    <mergeCell ref="L69:M69"/>
    <mergeCell ref="N69:O69"/>
    <mergeCell ref="B61:C61"/>
    <mergeCell ref="D61:E61"/>
    <mergeCell ref="F61:G61"/>
    <mergeCell ref="H61:I61"/>
    <mergeCell ref="J61:K61"/>
    <mergeCell ref="L61:M61"/>
    <mergeCell ref="N77:O77"/>
    <mergeCell ref="B85:C85"/>
    <mergeCell ref="D85:E85"/>
    <mergeCell ref="F85:G85"/>
    <mergeCell ref="H85:I85"/>
    <mergeCell ref="J85:K85"/>
    <mergeCell ref="L85:M85"/>
    <mergeCell ref="N85:O85"/>
    <mergeCell ref="B77:C77"/>
    <mergeCell ref="D77:E77"/>
    <mergeCell ref="F77:G77"/>
    <mergeCell ref="H77:I77"/>
    <mergeCell ref="J77:K77"/>
    <mergeCell ref="L77:M77"/>
    <mergeCell ref="B95:C95"/>
    <mergeCell ref="D95:E95"/>
    <mergeCell ref="F95:G95"/>
    <mergeCell ref="H95:I95"/>
    <mergeCell ref="J95:K95"/>
    <mergeCell ref="L95:M95"/>
    <mergeCell ref="N95:O95"/>
    <mergeCell ref="N119:O119"/>
    <mergeCell ref="B119:C119"/>
    <mergeCell ref="D119:E119"/>
    <mergeCell ref="F119:G119"/>
    <mergeCell ref="H119:I119"/>
    <mergeCell ref="J119:K119"/>
    <mergeCell ref="L119:M119"/>
    <mergeCell ref="N103:O103"/>
    <mergeCell ref="B111:C111"/>
    <mergeCell ref="D111:E111"/>
    <mergeCell ref="F111:G111"/>
    <mergeCell ref="H111:I111"/>
    <mergeCell ref="J111:K111"/>
    <mergeCell ref="L111:M111"/>
    <mergeCell ref="N111:O111"/>
    <mergeCell ref="B103:C103"/>
    <mergeCell ref="D103:E103"/>
    <mergeCell ref="F103:G103"/>
    <mergeCell ref="H103:I103"/>
    <mergeCell ref="J103:K103"/>
    <mergeCell ref="L103:M103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rowBreaks count="2" manualBreakCount="2">
    <brk id="36" max="16383" man="1"/>
    <brk id="10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zoomScaleNormal="100" workbookViewId="0">
      <selection activeCell="L34" sqref="L34"/>
    </sheetView>
  </sheetViews>
  <sheetFormatPr defaultRowHeight="12.75" x14ac:dyDescent="0.2"/>
  <cols>
    <col min="1" max="1" width="39.28515625" style="16" customWidth="1"/>
    <col min="2" max="2" width="6.5703125" style="7" bestFit="1" customWidth="1"/>
    <col min="3" max="3" width="7.140625" style="91" bestFit="1" customWidth="1"/>
    <col min="4" max="4" width="5.5703125" style="7" customWidth="1"/>
    <col min="5" max="5" width="5.7109375" style="91" bestFit="1" customWidth="1"/>
    <col min="6" max="6" width="4.7109375" style="7" bestFit="1" customWidth="1"/>
    <col min="7" max="7" width="5.42578125" style="91" bestFit="1" customWidth="1"/>
    <col min="8" max="8" width="5.42578125" style="8" bestFit="1" customWidth="1"/>
    <col min="9" max="9" width="5.42578125" style="91" bestFit="1" customWidth="1"/>
    <col min="10" max="10" width="5.42578125" style="7" bestFit="1" customWidth="1"/>
    <col min="11" max="11" width="5.42578125" style="91" bestFit="1" customWidth="1"/>
    <col min="12" max="12" width="6.42578125" style="7" customWidth="1"/>
    <col min="13" max="13" width="6.42578125" style="91" customWidth="1"/>
    <col min="14" max="14" width="5.5703125" style="7" bestFit="1" customWidth="1"/>
    <col min="15" max="15" width="5.42578125" style="91" bestFit="1" customWidth="1"/>
    <col min="16" max="16" width="5.42578125" style="7" bestFit="1" customWidth="1"/>
    <col min="17" max="16384" width="9.140625" style="9"/>
  </cols>
  <sheetData>
    <row r="1" spans="1:17" ht="15.75" x14ac:dyDescent="0.2">
      <c r="A1" s="85" t="s">
        <v>216</v>
      </c>
    </row>
    <row r="2" spans="1:17" x14ac:dyDescent="0.2">
      <c r="A2" s="15"/>
      <c r="B2" s="1"/>
      <c r="C2" s="90"/>
      <c r="D2" s="1"/>
      <c r="E2" s="90"/>
      <c r="F2" s="1"/>
      <c r="G2" s="90"/>
      <c r="H2" s="1"/>
      <c r="I2" s="90"/>
      <c r="J2" s="1"/>
      <c r="K2" s="90"/>
      <c r="L2" s="1"/>
      <c r="M2" s="90"/>
      <c r="N2" s="12"/>
    </row>
    <row r="3" spans="1:17" ht="24" x14ac:dyDescent="0.2">
      <c r="A3" s="143" t="s">
        <v>21</v>
      </c>
      <c r="B3" s="144" t="s">
        <v>100</v>
      </c>
      <c r="C3" s="145"/>
      <c r="D3" s="144" t="s">
        <v>80</v>
      </c>
      <c r="E3" s="145"/>
      <c r="F3" s="146" t="s">
        <v>105</v>
      </c>
      <c r="G3" s="147"/>
      <c r="H3" s="144" t="s">
        <v>82</v>
      </c>
      <c r="I3" s="145"/>
      <c r="J3" s="144" t="s">
        <v>101</v>
      </c>
      <c r="K3" s="145"/>
      <c r="L3" s="144" t="s">
        <v>98</v>
      </c>
      <c r="M3" s="145"/>
      <c r="N3" s="148" t="s">
        <v>1</v>
      </c>
      <c r="O3" s="149"/>
      <c r="Q3" s="9" t="s">
        <v>0</v>
      </c>
    </row>
    <row r="4" spans="1:17" x14ac:dyDescent="0.2">
      <c r="A4" s="20" t="str">
        <f>all!A396</f>
        <v>Class schedule mailed to home or office</v>
      </c>
      <c r="B4" s="17">
        <f>all!B396</f>
        <v>20</v>
      </c>
      <c r="C4" s="66">
        <f>all!C396</f>
        <v>5.5401662049861494E-2</v>
      </c>
      <c r="D4" s="17">
        <f>all!D396</f>
        <v>0</v>
      </c>
      <c r="E4" s="66">
        <f>all!E396</f>
        <v>0</v>
      </c>
      <c r="F4" s="17">
        <f>all!F396</f>
        <v>5</v>
      </c>
      <c r="G4" s="66">
        <f>all!G396</f>
        <v>3.787878787878788E-2</v>
      </c>
      <c r="H4" s="17">
        <f>all!H396</f>
        <v>12</v>
      </c>
      <c r="I4" s="66">
        <f>all!I396</f>
        <v>2.1428571428571429E-2</v>
      </c>
      <c r="J4" s="17">
        <f>all!J396</f>
        <v>15</v>
      </c>
      <c r="K4" s="66">
        <f>all!K396</f>
        <v>5.905511811023622E-2</v>
      </c>
      <c r="L4" s="17">
        <f>all!L396</f>
        <v>42</v>
      </c>
      <c r="M4" s="66">
        <f>all!M396</f>
        <v>6.0344827586206899E-2</v>
      </c>
      <c r="N4" s="17">
        <f>all!N396</f>
        <v>94</v>
      </c>
      <c r="O4" s="66">
        <f>all!O396</f>
        <v>4.6580773042616451E-2</v>
      </c>
    </row>
    <row r="5" spans="1:17" x14ac:dyDescent="0.2">
      <c r="A5" s="20" t="str">
        <f>all!A397</f>
        <v>Class schedule picked up at other location</v>
      </c>
      <c r="B5" s="17">
        <f>all!B397</f>
        <v>16</v>
      </c>
      <c r="C5" s="66">
        <f>all!C397</f>
        <v>4.4321329639889197E-2</v>
      </c>
      <c r="D5" s="17">
        <f>all!D397</f>
        <v>2</v>
      </c>
      <c r="E5" s="66">
        <f>all!E397</f>
        <v>0.13333333333333333</v>
      </c>
      <c r="F5" s="17">
        <f>all!F397</f>
        <v>3</v>
      </c>
      <c r="G5" s="66">
        <f>all!G397</f>
        <v>2.2727272727272728E-2</v>
      </c>
      <c r="H5" s="17">
        <f>all!H397</f>
        <v>14</v>
      </c>
      <c r="I5" s="66">
        <f>all!I397</f>
        <v>2.5000000000000001E-2</v>
      </c>
      <c r="J5" s="17">
        <f>all!J397</f>
        <v>5</v>
      </c>
      <c r="K5" s="66">
        <f>all!K397</f>
        <v>1.968503937007874E-2</v>
      </c>
      <c r="L5" s="17">
        <f>all!L397</f>
        <v>14</v>
      </c>
      <c r="M5" s="66">
        <f>all!M397</f>
        <v>2.0114942528735632E-2</v>
      </c>
      <c r="N5" s="17">
        <f>all!N397</f>
        <v>54</v>
      </c>
      <c r="O5" s="66">
        <f>all!O397</f>
        <v>2.6759167492566897E-2</v>
      </c>
    </row>
    <row r="6" spans="1:17" x14ac:dyDescent="0.2">
      <c r="A6" s="20" t="str">
        <f>all!A398</f>
        <v xml:space="preserve"> Newspaper articles or advertisements</v>
      </c>
      <c r="B6" s="17">
        <f>all!B398</f>
        <v>15</v>
      </c>
      <c r="C6" s="66">
        <f>all!C398</f>
        <v>4.1551246537396121E-2</v>
      </c>
      <c r="D6" s="17">
        <f>all!D398</f>
        <v>1</v>
      </c>
      <c r="E6" s="66">
        <f>all!E398</f>
        <v>6.6666666666666666E-2</v>
      </c>
      <c r="F6" s="17">
        <f>all!F398</f>
        <v>7</v>
      </c>
      <c r="G6" s="66">
        <f>all!G398</f>
        <v>5.3030303030303032E-2</v>
      </c>
      <c r="H6" s="17">
        <f>all!H398</f>
        <v>18</v>
      </c>
      <c r="I6" s="66">
        <f>all!I398</f>
        <v>3.214285714285714E-2</v>
      </c>
      <c r="J6" s="17">
        <f>all!J398</f>
        <v>13</v>
      </c>
      <c r="K6" s="66">
        <f>all!K398</f>
        <v>5.1181102362204724E-2</v>
      </c>
      <c r="L6" s="17">
        <f>all!L398</f>
        <v>26</v>
      </c>
      <c r="M6" s="66">
        <f>all!M398</f>
        <v>3.7356321839080463E-2</v>
      </c>
      <c r="N6" s="17">
        <f>all!N398</f>
        <v>80</v>
      </c>
      <c r="O6" s="66">
        <f>all!O398</f>
        <v>3.9643211100099107E-2</v>
      </c>
    </row>
    <row r="7" spans="1:17" x14ac:dyDescent="0.2">
      <c r="A7" s="20" t="str">
        <f>all!A399</f>
        <v>Viewbook, catalog, or other brochures</v>
      </c>
      <c r="B7" s="17">
        <f>all!B399</f>
        <v>37</v>
      </c>
      <c r="C7" s="66">
        <f>all!C399</f>
        <v>0.10249307479224377</v>
      </c>
      <c r="D7" s="17">
        <f>all!D399</f>
        <v>0</v>
      </c>
      <c r="E7" s="66">
        <f>all!E399</f>
        <v>0</v>
      </c>
      <c r="F7" s="17">
        <f>all!F399</f>
        <v>13</v>
      </c>
      <c r="G7" s="66">
        <f>all!G399</f>
        <v>9.8484848484848481E-2</v>
      </c>
      <c r="H7" s="17">
        <f>all!H399</f>
        <v>33</v>
      </c>
      <c r="I7" s="66">
        <f>all!I399</f>
        <v>5.8928571428571427E-2</v>
      </c>
      <c r="J7" s="17">
        <f>all!J399</f>
        <v>18</v>
      </c>
      <c r="K7" s="66">
        <f>all!K399</f>
        <v>7.0866141732283464E-2</v>
      </c>
      <c r="L7" s="17">
        <f>all!L399</f>
        <v>48</v>
      </c>
      <c r="M7" s="66">
        <f>all!M399</f>
        <v>6.8965517241379309E-2</v>
      </c>
      <c r="N7" s="17">
        <f>all!N399</f>
        <v>149</v>
      </c>
      <c r="O7" s="66">
        <f>all!O399</f>
        <v>7.3835480673934584E-2</v>
      </c>
    </row>
    <row r="8" spans="1:17" x14ac:dyDescent="0.2">
      <c r="A8" s="20" t="str">
        <f>all!A400</f>
        <v>Parents</v>
      </c>
      <c r="B8" s="17">
        <f>all!B400</f>
        <v>48</v>
      </c>
      <c r="C8" s="66">
        <f>all!C400</f>
        <v>0.1329639889196676</v>
      </c>
      <c r="D8" s="17">
        <f>all!D400</f>
        <v>1</v>
      </c>
      <c r="E8" s="66">
        <f>all!E400</f>
        <v>6.6666666666666666E-2</v>
      </c>
      <c r="F8" s="17">
        <f>all!F400</f>
        <v>13</v>
      </c>
      <c r="G8" s="66">
        <f>all!G400</f>
        <v>9.8484848484848481E-2</v>
      </c>
      <c r="H8" s="17">
        <f>all!H400</f>
        <v>65</v>
      </c>
      <c r="I8" s="66">
        <f>all!I400</f>
        <v>0.11607142857142858</v>
      </c>
      <c r="J8" s="17">
        <f>all!J400</f>
        <v>16</v>
      </c>
      <c r="K8" s="66">
        <f>all!K400</f>
        <v>6.2992125984251968E-2</v>
      </c>
      <c r="L8" s="17">
        <f>all!L400</f>
        <v>109</v>
      </c>
      <c r="M8" s="66">
        <f>all!M400</f>
        <v>0.15660919540229884</v>
      </c>
      <c r="N8" s="17">
        <f>all!N400</f>
        <v>252</v>
      </c>
      <c r="O8" s="66">
        <f>all!O400</f>
        <v>0.12487611496531219</v>
      </c>
    </row>
    <row r="9" spans="1:17" x14ac:dyDescent="0.2">
      <c r="A9" s="20" t="str">
        <f>all!A401</f>
        <v>High school teacher or counselor</v>
      </c>
      <c r="B9" s="17">
        <f>all!B401</f>
        <v>57</v>
      </c>
      <c r="C9" s="66">
        <f>all!C401</f>
        <v>0.15789473684210525</v>
      </c>
      <c r="D9" s="17">
        <f>all!D401</f>
        <v>0</v>
      </c>
      <c r="E9" s="66">
        <f>all!E401</f>
        <v>0</v>
      </c>
      <c r="F9" s="17">
        <f>all!F401</f>
        <v>12</v>
      </c>
      <c r="G9" s="66">
        <f>all!G401</f>
        <v>9.0909090909090912E-2</v>
      </c>
      <c r="H9" s="17">
        <f>all!H401</f>
        <v>88</v>
      </c>
      <c r="I9" s="66">
        <f>all!I401</f>
        <v>0.15714285714285714</v>
      </c>
      <c r="J9" s="17">
        <f>all!J401</f>
        <v>21</v>
      </c>
      <c r="K9" s="66">
        <f>all!K401</f>
        <v>8.2677165354330714E-2</v>
      </c>
      <c r="L9" s="17">
        <f>all!L401</f>
        <v>125</v>
      </c>
      <c r="M9" s="66">
        <f>all!M401</f>
        <v>0.17959770114942528</v>
      </c>
      <c r="N9" s="17">
        <f>all!N401</f>
        <v>303</v>
      </c>
      <c r="O9" s="66">
        <f>all!O401</f>
        <v>0.15014866204162536</v>
      </c>
    </row>
    <row r="10" spans="1:17" x14ac:dyDescent="0.2">
      <c r="A10" s="20" t="str">
        <f>all!A402</f>
        <v>Friend or another FRCC student</v>
      </c>
      <c r="B10" s="17">
        <f>all!B402</f>
        <v>124</v>
      </c>
      <c r="C10" s="66">
        <f>all!C402</f>
        <v>0.34349030470914127</v>
      </c>
      <c r="D10" s="17">
        <f>all!D402</f>
        <v>6</v>
      </c>
      <c r="E10" s="66">
        <f>all!E402</f>
        <v>0.4</v>
      </c>
      <c r="F10" s="17">
        <f>all!F402</f>
        <v>40</v>
      </c>
      <c r="G10" s="66">
        <f>all!G402</f>
        <v>0.30303030303030304</v>
      </c>
      <c r="H10" s="17">
        <f>all!H402</f>
        <v>203</v>
      </c>
      <c r="I10" s="66">
        <f>all!I402</f>
        <v>0.36249999999999999</v>
      </c>
      <c r="J10" s="17">
        <f>all!J402</f>
        <v>77</v>
      </c>
      <c r="K10" s="66">
        <f>all!K402</f>
        <v>0.30314960629921262</v>
      </c>
      <c r="L10" s="17">
        <f>all!L402</f>
        <v>206</v>
      </c>
      <c r="M10" s="66">
        <f>all!M402</f>
        <v>0.29597701149425287</v>
      </c>
      <c r="N10" s="17">
        <f>all!N402</f>
        <v>656</v>
      </c>
      <c r="O10" s="66">
        <f>all!O402</f>
        <v>0.32507433102081268</v>
      </c>
    </row>
    <row r="11" spans="1:17" x14ac:dyDescent="0.2">
      <c r="A11" s="20" t="str">
        <f>all!A403</f>
        <v>Visit to high school by FRCC staff</v>
      </c>
      <c r="B11" s="17">
        <f>all!B403</f>
        <v>14</v>
      </c>
      <c r="C11" s="66">
        <f>all!C403</f>
        <v>3.8781163434903045E-2</v>
      </c>
      <c r="D11" s="17">
        <f>all!D403</f>
        <v>0</v>
      </c>
      <c r="E11" s="66">
        <f>all!E403</f>
        <v>0</v>
      </c>
      <c r="F11" s="17">
        <f>all!F403</f>
        <v>1</v>
      </c>
      <c r="G11" s="66">
        <f>all!G403</f>
        <v>7.575757575757576E-3</v>
      </c>
      <c r="H11" s="17">
        <f>all!H403</f>
        <v>24</v>
      </c>
      <c r="I11" s="66">
        <f>all!I403</f>
        <v>4.2857142857142858E-2</v>
      </c>
      <c r="J11" s="17">
        <f>all!J403</f>
        <v>7</v>
      </c>
      <c r="K11" s="66">
        <f>all!K403</f>
        <v>2.7559055118110236E-2</v>
      </c>
      <c r="L11" s="17">
        <f>all!L403</f>
        <v>29</v>
      </c>
      <c r="M11" s="66">
        <f>all!M403</f>
        <v>4.1666666666666664E-2</v>
      </c>
      <c r="N11" s="17">
        <f>all!N403</f>
        <v>75</v>
      </c>
      <c r="O11" s="66">
        <f>all!O403</f>
        <v>3.7165510406342916E-2</v>
      </c>
    </row>
    <row r="12" spans="1:17" x14ac:dyDescent="0.2">
      <c r="A12" s="20" t="str">
        <f>all!A404</f>
        <v>Sought out closest college</v>
      </c>
      <c r="B12" s="17">
        <f>all!B404</f>
        <v>125</v>
      </c>
      <c r="C12" s="66">
        <f>all!C404</f>
        <v>0.34626038781163437</v>
      </c>
      <c r="D12" s="17">
        <f>all!D404</f>
        <v>7</v>
      </c>
      <c r="E12" s="66">
        <f>all!E404</f>
        <v>0.46666666666666667</v>
      </c>
      <c r="F12" s="17">
        <f>all!F404</f>
        <v>46</v>
      </c>
      <c r="G12" s="66">
        <f>all!G404</f>
        <v>0.34848484848484851</v>
      </c>
      <c r="H12" s="17">
        <f>all!H404</f>
        <v>189</v>
      </c>
      <c r="I12" s="66">
        <f>all!I404</f>
        <v>0.33750000000000002</v>
      </c>
      <c r="J12" s="17">
        <f>all!J404</f>
        <v>91</v>
      </c>
      <c r="K12" s="66">
        <f>all!K404</f>
        <v>0.35826771653543305</v>
      </c>
      <c r="L12" s="17">
        <f>all!L404</f>
        <v>239</v>
      </c>
      <c r="M12" s="66">
        <f>all!M404</f>
        <v>0.34339080459770116</v>
      </c>
      <c r="N12" s="17">
        <f>all!N404</f>
        <v>697</v>
      </c>
      <c r="O12" s="66">
        <f>all!O404</f>
        <v>0.34539147670961345</v>
      </c>
    </row>
    <row r="13" spans="1:17" x14ac:dyDescent="0.2">
      <c r="A13" s="20" t="str">
        <f>all!A405</f>
        <v>FRCC web site</v>
      </c>
      <c r="B13" s="17">
        <f>all!B405</f>
        <v>96</v>
      </c>
      <c r="C13" s="66">
        <f>all!C405</f>
        <v>0.26592797783933519</v>
      </c>
      <c r="D13" s="17">
        <f>all!D405</f>
        <v>1</v>
      </c>
      <c r="E13" s="66">
        <f>all!E405</f>
        <v>6.6666666666666666E-2</v>
      </c>
      <c r="F13" s="17">
        <f>all!F405</f>
        <v>41</v>
      </c>
      <c r="G13" s="66">
        <f>all!G405</f>
        <v>0.31060606060606061</v>
      </c>
      <c r="H13" s="17">
        <f>all!H405</f>
        <v>132</v>
      </c>
      <c r="I13" s="66">
        <f>all!I405</f>
        <v>0.23571428571428571</v>
      </c>
      <c r="J13" s="17">
        <f>all!J405</f>
        <v>84</v>
      </c>
      <c r="K13" s="66">
        <f>all!K405</f>
        <v>0.33070866141732286</v>
      </c>
      <c r="L13" s="17">
        <f>all!L405</f>
        <v>199</v>
      </c>
      <c r="M13" s="66">
        <f>all!M405</f>
        <v>0.28591954022988508</v>
      </c>
      <c r="N13" s="17">
        <f>all!N405</f>
        <v>553</v>
      </c>
      <c r="O13" s="66">
        <f>all!O405</f>
        <v>0.27403369672943506</v>
      </c>
    </row>
    <row r="14" spans="1:17" x14ac:dyDescent="0.2">
      <c r="A14" s="14"/>
      <c r="B14" s="1"/>
      <c r="C14" s="90"/>
      <c r="D14" s="1"/>
      <c r="E14" s="90"/>
      <c r="F14" s="1"/>
      <c r="G14" s="90"/>
      <c r="H14" s="1"/>
      <c r="I14" s="90"/>
      <c r="J14" s="1"/>
      <c r="K14" s="90"/>
      <c r="L14" s="1"/>
      <c r="M14" s="90"/>
      <c r="N14" s="1"/>
      <c r="O14" s="90"/>
    </row>
    <row r="15" spans="1:17" x14ac:dyDescent="0.2">
      <c r="A15" s="7"/>
      <c r="G15" s="93"/>
      <c r="H15" s="7"/>
    </row>
    <row r="16" spans="1:17" ht="24" customHeight="1" x14ac:dyDescent="0.2">
      <c r="A16" s="143" t="str">
        <f>all!A408</f>
        <v>What are the main reasons that you chose or are continuing at FRCC (multiple answers)</v>
      </c>
      <c r="B16" s="150" t="s">
        <v>100</v>
      </c>
      <c r="C16" s="150"/>
      <c r="D16" s="150" t="s">
        <v>80</v>
      </c>
      <c r="E16" s="150"/>
      <c r="F16" s="151" t="s">
        <v>105</v>
      </c>
      <c r="G16" s="151"/>
      <c r="H16" s="150" t="s">
        <v>82</v>
      </c>
      <c r="I16" s="150"/>
      <c r="J16" s="150" t="s">
        <v>101</v>
      </c>
      <c r="K16" s="150"/>
      <c r="L16" s="150" t="s">
        <v>98</v>
      </c>
      <c r="M16" s="150"/>
      <c r="N16" s="152" t="s">
        <v>1</v>
      </c>
      <c r="O16" s="152"/>
    </row>
    <row r="17" spans="1:16" x14ac:dyDescent="0.2">
      <c r="A17" s="20" t="str">
        <f>all!A409</f>
        <v>Quality of instruction</v>
      </c>
      <c r="B17" s="17">
        <f>all!B409</f>
        <v>116</v>
      </c>
      <c r="C17" s="66">
        <f>all!C409</f>
        <v>0.32132963988919666</v>
      </c>
      <c r="D17" s="17">
        <f>all!D409</f>
        <v>4</v>
      </c>
      <c r="E17" s="66">
        <f>all!E409</f>
        <v>0.26666666666666666</v>
      </c>
      <c r="F17" s="17">
        <f>all!F409</f>
        <v>21</v>
      </c>
      <c r="G17" s="66">
        <f>all!G409</f>
        <v>0.15909090909090909</v>
      </c>
      <c r="H17" s="17">
        <f>all!H409</f>
        <v>183</v>
      </c>
      <c r="I17" s="66">
        <f>all!I409</f>
        <v>0.32678571428571429</v>
      </c>
      <c r="J17" s="17">
        <f>all!J409</f>
        <v>52</v>
      </c>
      <c r="K17" s="66">
        <f>all!K409</f>
        <v>0.20472440944881889</v>
      </c>
      <c r="L17" s="17">
        <f>all!L409</f>
        <v>198</v>
      </c>
      <c r="M17" s="66">
        <f>all!M409</f>
        <v>0.28448275862068967</v>
      </c>
      <c r="N17" s="17">
        <f>all!N409</f>
        <v>574</v>
      </c>
      <c r="O17" s="66">
        <f>all!O409</f>
        <v>0.28444003964321107</v>
      </c>
    </row>
    <row r="18" spans="1:16" x14ac:dyDescent="0.2">
      <c r="A18" s="20" t="str">
        <f>all!A410</f>
        <v>Close to home or work</v>
      </c>
      <c r="B18" s="17">
        <f>all!B410</f>
        <v>245</v>
      </c>
      <c r="C18" s="66">
        <f>all!C410</f>
        <v>0.67867036011080328</v>
      </c>
      <c r="D18" s="17">
        <f>all!D410</f>
        <v>11</v>
      </c>
      <c r="E18" s="66">
        <f>all!E410</f>
        <v>0.73333333333333328</v>
      </c>
      <c r="F18" s="17">
        <f>all!F410</f>
        <v>61</v>
      </c>
      <c r="G18" s="66">
        <f>all!G410</f>
        <v>0.4621212121212121</v>
      </c>
      <c r="H18" s="17">
        <f>all!H410</f>
        <v>322</v>
      </c>
      <c r="I18" s="66">
        <f>all!I410</f>
        <v>0.57499999999999996</v>
      </c>
      <c r="J18" s="17">
        <f>all!J410</f>
        <v>139</v>
      </c>
      <c r="K18" s="66">
        <f>all!K410</f>
        <v>0.547244094488189</v>
      </c>
      <c r="L18" s="17">
        <f>all!L410</f>
        <v>444</v>
      </c>
      <c r="M18" s="66">
        <f>all!M410</f>
        <v>0.63793103448275867</v>
      </c>
      <c r="N18" s="17">
        <f>all!N410</f>
        <v>1222</v>
      </c>
      <c r="O18" s="66">
        <f>all!O410</f>
        <v>0.60555004955401392</v>
      </c>
    </row>
    <row r="19" spans="1:16" x14ac:dyDescent="0.2">
      <c r="A19" s="20" t="str">
        <f>all!A411</f>
        <v>Low cost</v>
      </c>
      <c r="B19" s="17">
        <f>all!B411</f>
        <v>255</v>
      </c>
      <c r="C19" s="66">
        <f>all!C411</f>
        <v>0.7063711911357341</v>
      </c>
      <c r="D19" s="17">
        <f>all!D411</f>
        <v>6</v>
      </c>
      <c r="E19" s="66">
        <f>all!E411</f>
        <v>0.4</v>
      </c>
      <c r="F19" s="17">
        <f>all!F411</f>
        <v>68</v>
      </c>
      <c r="G19" s="66">
        <f>all!G411</f>
        <v>0.51515151515151514</v>
      </c>
      <c r="H19" s="17">
        <f>all!H411</f>
        <v>406</v>
      </c>
      <c r="I19" s="66">
        <f>all!I411</f>
        <v>0.72499999999999998</v>
      </c>
      <c r="J19" s="17">
        <f>all!J411</f>
        <v>148</v>
      </c>
      <c r="K19" s="66">
        <f>all!K411</f>
        <v>0.58267716535433067</v>
      </c>
      <c r="L19" s="17">
        <f>all!L411</f>
        <v>468</v>
      </c>
      <c r="M19" s="66">
        <f>all!M411</f>
        <v>0.67241379310344829</v>
      </c>
      <c r="N19" s="17">
        <f>all!N411</f>
        <v>1351</v>
      </c>
      <c r="O19" s="66">
        <f>all!O411</f>
        <v>0.66947472745292369</v>
      </c>
    </row>
    <row r="20" spans="1:16" s="7" customFormat="1" x14ac:dyDescent="0.2">
      <c r="A20" s="20" t="str">
        <f>all!A412</f>
        <v>Courses or programs meet my needs</v>
      </c>
      <c r="B20" s="17">
        <f>all!B412</f>
        <v>209</v>
      </c>
      <c r="C20" s="66">
        <f>all!C412</f>
        <v>0.57894736842105265</v>
      </c>
      <c r="D20" s="17">
        <f>all!D412</f>
        <v>9</v>
      </c>
      <c r="E20" s="66">
        <f>all!E412</f>
        <v>0.6</v>
      </c>
      <c r="F20" s="17">
        <f>all!F412</f>
        <v>64</v>
      </c>
      <c r="G20" s="66">
        <f>all!G412</f>
        <v>0.48484848484848486</v>
      </c>
      <c r="H20" s="17">
        <f>all!H412</f>
        <v>343</v>
      </c>
      <c r="I20" s="66">
        <f>all!I412</f>
        <v>0.61250000000000004</v>
      </c>
      <c r="J20" s="17">
        <f>all!J412</f>
        <v>134</v>
      </c>
      <c r="K20" s="66">
        <f>all!K412</f>
        <v>0.52755905511811019</v>
      </c>
      <c r="L20" s="17">
        <f>all!L412</f>
        <v>400</v>
      </c>
      <c r="M20" s="66">
        <f>all!M412</f>
        <v>0.57471264367816088</v>
      </c>
      <c r="N20" s="17">
        <f>all!N412</f>
        <v>1159</v>
      </c>
      <c r="O20" s="66">
        <f>all!O412</f>
        <v>0.57433102081268583</v>
      </c>
    </row>
    <row r="21" spans="1:16" s="7" customFormat="1" x14ac:dyDescent="0.2">
      <c r="A21" s="20" t="str">
        <f>all!A413</f>
        <v>Small classes</v>
      </c>
      <c r="B21" s="17">
        <f>all!B413</f>
        <v>183</v>
      </c>
      <c r="C21" s="66">
        <f>all!C413</f>
        <v>0.50692520775623273</v>
      </c>
      <c r="D21" s="17">
        <f>all!D413</f>
        <v>8</v>
      </c>
      <c r="E21" s="66">
        <f>all!E413</f>
        <v>0.53333333333333333</v>
      </c>
      <c r="F21" s="17">
        <f>all!F413</f>
        <v>25</v>
      </c>
      <c r="G21" s="66">
        <f>all!G413</f>
        <v>0.18939393939393939</v>
      </c>
      <c r="H21" s="17">
        <f>all!H413</f>
        <v>292</v>
      </c>
      <c r="I21" s="66">
        <f>all!I413</f>
        <v>0.52142857142857146</v>
      </c>
      <c r="J21" s="17">
        <f>all!J413</f>
        <v>59</v>
      </c>
      <c r="K21" s="66">
        <f>all!K413</f>
        <v>0.23228346456692914</v>
      </c>
      <c r="L21" s="17">
        <f>all!L413</f>
        <v>284</v>
      </c>
      <c r="M21" s="66">
        <f>all!M413</f>
        <v>0.40804597701149425</v>
      </c>
      <c r="N21" s="17">
        <f>all!N413</f>
        <v>851</v>
      </c>
      <c r="O21" s="66">
        <f>all!O413</f>
        <v>0.42170465807730428</v>
      </c>
    </row>
    <row r="22" spans="1:16" s="7" customFormat="1" x14ac:dyDescent="0.2">
      <c r="A22" s="20" t="str">
        <f>all!A414</f>
        <v>Supportive staff</v>
      </c>
      <c r="B22" s="17">
        <f>all!B414</f>
        <v>121</v>
      </c>
      <c r="C22" s="66">
        <f>all!C414</f>
        <v>0.33518005540166207</v>
      </c>
      <c r="D22" s="17">
        <f>all!D414</f>
        <v>5</v>
      </c>
      <c r="E22" s="66">
        <f>all!E414</f>
        <v>0.33333333333333331</v>
      </c>
      <c r="F22" s="17">
        <f>all!F414</f>
        <v>21</v>
      </c>
      <c r="G22" s="66">
        <f>all!G414</f>
        <v>0.15909090909090909</v>
      </c>
      <c r="H22" s="17">
        <f>all!H414</f>
        <v>187</v>
      </c>
      <c r="I22" s="66">
        <f>all!I414</f>
        <v>0.33392857142857141</v>
      </c>
      <c r="J22" s="17">
        <f>all!J414</f>
        <v>32</v>
      </c>
      <c r="K22" s="66">
        <f>all!K414</f>
        <v>0.12598425196850394</v>
      </c>
      <c r="L22" s="17">
        <f>all!L414</f>
        <v>189</v>
      </c>
      <c r="M22" s="66">
        <f>all!M414</f>
        <v>0.27155172413793105</v>
      </c>
      <c r="N22" s="17">
        <f>all!N414</f>
        <v>555</v>
      </c>
      <c r="O22" s="66">
        <f>all!O414</f>
        <v>0.27502477700693756</v>
      </c>
    </row>
    <row r="23" spans="1:16" s="7" customFormat="1" x14ac:dyDescent="0.2">
      <c r="A23" s="20" t="str">
        <f>all!A415</f>
        <v>Friends or relatives advice</v>
      </c>
      <c r="B23" s="17">
        <f>all!B415</f>
        <v>39</v>
      </c>
      <c r="C23" s="66">
        <f>all!C415</f>
        <v>0.10803324099722991</v>
      </c>
      <c r="D23" s="17">
        <f>all!D415</f>
        <v>1</v>
      </c>
      <c r="E23" s="66">
        <f>all!E415</f>
        <v>6.6666666666666666E-2</v>
      </c>
      <c r="F23" s="17">
        <f>all!F415</f>
        <v>8</v>
      </c>
      <c r="G23" s="66">
        <f>all!G415</f>
        <v>6.0606060606060608E-2</v>
      </c>
      <c r="H23" s="17">
        <f>all!H415</f>
        <v>70</v>
      </c>
      <c r="I23" s="66">
        <f>all!I415</f>
        <v>0.125</v>
      </c>
      <c r="J23" s="17">
        <f>all!J415</f>
        <v>22</v>
      </c>
      <c r="K23" s="66">
        <f>all!K415</f>
        <v>8.6614173228346455E-2</v>
      </c>
      <c r="L23" s="17">
        <f>all!L415</f>
        <v>89</v>
      </c>
      <c r="M23" s="66">
        <f>all!M415</f>
        <v>0.1278735632183908</v>
      </c>
      <c r="N23" s="17">
        <f>all!N415</f>
        <v>229</v>
      </c>
      <c r="O23" s="66">
        <f>all!O415</f>
        <v>0.11347869177403369</v>
      </c>
    </row>
    <row r="24" spans="1:16" s="7" customFormat="1" ht="24" x14ac:dyDescent="0.2">
      <c r="A24" s="20" t="str">
        <f>all!A416</f>
        <v>Admission or registration procedures made FRCC easier to attend</v>
      </c>
      <c r="B24" s="17">
        <f>all!B416</f>
        <v>82</v>
      </c>
      <c r="C24" s="66">
        <f>all!C416</f>
        <v>0.22714681440443213</v>
      </c>
      <c r="D24" s="17">
        <f>all!D416</f>
        <v>1</v>
      </c>
      <c r="E24" s="66">
        <f>all!E416</f>
        <v>6.6666666666666666E-2</v>
      </c>
      <c r="F24" s="17">
        <f>all!F416</f>
        <v>22</v>
      </c>
      <c r="G24" s="66">
        <f>all!G416</f>
        <v>0.16666666666666666</v>
      </c>
      <c r="H24" s="17">
        <f>all!H416</f>
        <v>112</v>
      </c>
      <c r="I24" s="66">
        <f>all!I416</f>
        <v>0.2</v>
      </c>
      <c r="J24" s="17">
        <f>all!J416</f>
        <v>49</v>
      </c>
      <c r="K24" s="66">
        <f>all!K416</f>
        <v>0.19291338582677164</v>
      </c>
      <c r="L24" s="17">
        <f>all!L416</f>
        <v>133</v>
      </c>
      <c r="M24" s="66">
        <f>all!M416</f>
        <v>0.19109195402298851</v>
      </c>
      <c r="N24" s="17">
        <f>all!N416</f>
        <v>399</v>
      </c>
      <c r="O24" s="66">
        <f>all!O416</f>
        <v>0.19772051536174431</v>
      </c>
      <c r="P24" s="1"/>
    </row>
    <row r="25" spans="1:16" s="7" customFormat="1" x14ac:dyDescent="0.2">
      <c r="A25" s="20" t="str">
        <f>all!A417</f>
        <v>Convenient parking</v>
      </c>
      <c r="B25" s="17">
        <f>all!B417</f>
        <v>29</v>
      </c>
      <c r="C25" s="66">
        <f>all!C417</f>
        <v>8.0332409972299165E-2</v>
      </c>
      <c r="D25" s="17">
        <f>all!D417</f>
        <v>0</v>
      </c>
      <c r="E25" s="66">
        <f>all!E417</f>
        <v>0</v>
      </c>
      <c r="F25" s="17">
        <f>all!F417</f>
        <v>7</v>
      </c>
      <c r="G25" s="66">
        <f>all!G417</f>
        <v>5.3030303030303032E-2</v>
      </c>
      <c r="H25" s="17">
        <f>all!H417</f>
        <v>66</v>
      </c>
      <c r="I25" s="66">
        <f>all!I417</f>
        <v>0.11785714285714285</v>
      </c>
      <c r="J25" s="17">
        <f>all!J417</f>
        <v>19</v>
      </c>
      <c r="K25" s="66">
        <f>all!K417</f>
        <v>7.4803149606299218E-2</v>
      </c>
      <c r="L25" s="17">
        <f>all!L417</f>
        <v>76</v>
      </c>
      <c r="M25" s="66">
        <f>all!M417</f>
        <v>0.10919540229885058</v>
      </c>
      <c r="N25" s="17">
        <f>all!N417</f>
        <v>197</v>
      </c>
      <c r="O25" s="66">
        <f>all!O417</f>
        <v>9.7621407333994048E-2</v>
      </c>
    </row>
    <row r="26" spans="1:16" s="7" customFormat="1" x14ac:dyDescent="0.2">
      <c r="A26" s="20" t="str">
        <f>all!A418</f>
        <v>Courses offered where or when I can take them</v>
      </c>
      <c r="B26" s="17">
        <f>all!B418</f>
        <v>103</v>
      </c>
      <c r="C26" s="66">
        <f>all!C418</f>
        <v>0.2853185595567867</v>
      </c>
      <c r="D26" s="17">
        <f>all!D418</f>
        <v>6</v>
      </c>
      <c r="E26" s="66">
        <f>all!E418</f>
        <v>0.4</v>
      </c>
      <c r="F26" s="17">
        <f>all!F418</f>
        <v>55</v>
      </c>
      <c r="G26" s="66">
        <f>all!G418</f>
        <v>0.41666666666666669</v>
      </c>
      <c r="H26" s="17">
        <f>all!H418</f>
        <v>164</v>
      </c>
      <c r="I26" s="66">
        <f>all!I418</f>
        <v>0.29285714285714287</v>
      </c>
      <c r="J26" s="17">
        <f>all!J418</f>
        <v>102</v>
      </c>
      <c r="K26" s="66">
        <f>all!K418</f>
        <v>0.40157480314960631</v>
      </c>
      <c r="L26" s="17">
        <f>all!L418</f>
        <v>230</v>
      </c>
      <c r="M26" s="66">
        <f>all!M418</f>
        <v>0.33045977011494254</v>
      </c>
      <c r="N26" s="17">
        <f>all!N418</f>
        <v>660</v>
      </c>
      <c r="O26" s="66">
        <f>all!O418</f>
        <v>0.32705649157581762</v>
      </c>
    </row>
    <row r="27" spans="1:16" s="7" customFormat="1" x14ac:dyDescent="0.2">
      <c r="A27" s="20" t="str">
        <f>all!A419</f>
        <v>I obtained financial aid or scholarship.</v>
      </c>
      <c r="B27" s="17">
        <f>all!B419</f>
        <v>95</v>
      </c>
      <c r="C27" s="66">
        <f>all!C419</f>
        <v>0.26315789473684209</v>
      </c>
      <c r="D27" s="17">
        <f>all!D419</f>
        <v>3</v>
      </c>
      <c r="E27" s="66">
        <f>all!E419</f>
        <v>0.2</v>
      </c>
      <c r="F27" s="17">
        <f>all!F419</f>
        <v>30</v>
      </c>
      <c r="G27" s="66">
        <f>all!G419</f>
        <v>0.22727272727272727</v>
      </c>
      <c r="H27" s="17">
        <f>all!H419</f>
        <v>167</v>
      </c>
      <c r="I27" s="66">
        <f>all!I419</f>
        <v>0.29821428571428571</v>
      </c>
      <c r="J27" s="17">
        <f>all!J419</f>
        <v>66</v>
      </c>
      <c r="K27" s="66">
        <f>all!K419</f>
        <v>0.25984251968503935</v>
      </c>
      <c r="L27" s="17">
        <f>all!L419</f>
        <v>187</v>
      </c>
      <c r="M27" s="66">
        <f>all!M419</f>
        <v>0.26867816091954022</v>
      </c>
      <c r="N27" s="17">
        <f>all!N419</f>
        <v>548</v>
      </c>
      <c r="O27" s="66">
        <f>all!O419</f>
        <v>0.27155599603567887</v>
      </c>
    </row>
    <row r="28" spans="1:16" s="7" customFormat="1" x14ac:dyDescent="0.2">
      <c r="A28" s="16"/>
      <c r="B28" s="3"/>
      <c r="C28" s="92"/>
      <c r="D28" s="3"/>
      <c r="E28" s="91"/>
      <c r="G28" s="91"/>
      <c r="H28" s="8"/>
      <c r="I28" s="91"/>
      <c r="K28" s="91"/>
      <c r="M28" s="91"/>
      <c r="O28" s="91"/>
    </row>
    <row r="29" spans="1:16" x14ac:dyDescent="0.2">
      <c r="A29" s="14"/>
      <c r="B29" s="4"/>
      <c r="G29" s="93"/>
      <c r="H29" s="7"/>
    </row>
    <row r="30" spans="1:16" x14ac:dyDescent="0.2">
      <c r="H30" s="7"/>
    </row>
    <row r="31" spans="1:16" x14ac:dyDescent="0.2">
      <c r="H31" s="7"/>
      <c r="I31" s="91" t="s">
        <v>0</v>
      </c>
    </row>
  </sheetData>
  <mergeCells count="14">
    <mergeCell ref="N3:O3"/>
    <mergeCell ref="B16:C16"/>
    <mergeCell ref="D16:E16"/>
    <mergeCell ref="F16:G16"/>
    <mergeCell ref="H16:I16"/>
    <mergeCell ref="J16:K16"/>
    <mergeCell ref="L16:M16"/>
    <mergeCell ref="N16:O16"/>
    <mergeCell ref="B3:C3"/>
    <mergeCell ref="D3:E3"/>
    <mergeCell ref="F3:G3"/>
    <mergeCell ref="H3:I3"/>
    <mergeCell ref="J3:K3"/>
    <mergeCell ref="L3:M3"/>
  </mergeCells>
  <conditionalFormatting sqref="C4:C13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{2B46E8EB-112E-4CCB-8256-B53936D91467}</x14:id>
        </ext>
      </extLst>
    </cfRule>
  </conditionalFormatting>
  <conditionalFormatting sqref="E4:E1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{6279209F-1024-4465-B221-2129692650CA}</x14:id>
        </ext>
      </extLst>
    </cfRule>
  </conditionalFormatting>
  <conditionalFormatting sqref="G4:G1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{4EC557A6-6DE0-48CC-AB46-789557E6D464}</x14:id>
        </ext>
      </extLst>
    </cfRule>
  </conditionalFormatting>
  <conditionalFormatting sqref="I4:I1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{C568DC40-01C1-4DF8-A927-A55760B5D216}</x14:id>
        </ext>
      </extLst>
    </cfRule>
  </conditionalFormatting>
  <conditionalFormatting sqref="K4:K1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{765B3089-F8B7-42BC-866C-2890DB4C564D}</x14:id>
        </ext>
      </extLst>
    </cfRule>
  </conditionalFormatting>
  <conditionalFormatting sqref="M4:M13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{4FCD5FD4-08FF-483D-B419-DE09287FD54F}</x14:id>
        </ext>
      </extLst>
    </cfRule>
  </conditionalFormatting>
  <conditionalFormatting sqref="O4:O1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{5883A4B6-B42D-44F0-A5A9-6976687766DA}</x14:id>
        </ext>
      </extLst>
    </cfRule>
  </conditionalFormatting>
  <conditionalFormatting sqref="C17:C2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{3D12DBB3-6978-4D3A-8219-28C21476AE84}</x14:id>
        </ext>
      </extLst>
    </cfRule>
  </conditionalFormatting>
  <conditionalFormatting sqref="E17:E2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{94A0DC2D-AEF8-4538-BD7A-ACE81C77BDAA}</x14:id>
        </ext>
      </extLst>
    </cfRule>
  </conditionalFormatting>
  <conditionalFormatting sqref="G17:G2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{8A5895AB-627E-42D8-8D0F-BEF890CF0AB2}</x14:id>
        </ext>
      </extLst>
    </cfRule>
  </conditionalFormatting>
  <conditionalFormatting sqref="I17:I2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{2B816C0F-99FF-4C42-84E9-3D8F8A370868}</x14:id>
        </ext>
      </extLst>
    </cfRule>
  </conditionalFormatting>
  <conditionalFormatting sqref="K17:K2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{EEE1BFD8-9BE8-4760-B677-BF420279EFE1}</x14:id>
        </ext>
      </extLst>
    </cfRule>
  </conditionalFormatting>
  <conditionalFormatting sqref="M17:M2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{CAA65518-5219-4392-B22D-03E522E2020F}</x14:id>
        </ext>
      </extLst>
    </cfRule>
  </conditionalFormatting>
  <conditionalFormatting sqref="O17:O2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{F06079C5-9B04-48B1-89DF-729546C0586D}</x14:id>
        </ext>
      </extLst>
    </cfRule>
  </conditionalFormatting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46E8EB-112E-4CCB-8256-B53936D91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C4:C13</xm:sqref>
        </x14:conditionalFormatting>
        <x14:conditionalFormatting xmlns:xm="http://schemas.microsoft.com/office/excel/2006/main">
          <x14:cfRule type="dataBar" id="{6279209F-1024-4465-B221-2129692650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E4:E13</xm:sqref>
        </x14:conditionalFormatting>
        <x14:conditionalFormatting xmlns:xm="http://schemas.microsoft.com/office/excel/2006/main">
          <x14:cfRule type="dataBar" id="{4EC557A6-6DE0-48CC-AB46-789557E6D4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G4:G13</xm:sqref>
        </x14:conditionalFormatting>
        <x14:conditionalFormatting xmlns:xm="http://schemas.microsoft.com/office/excel/2006/main">
          <x14:cfRule type="dataBar" id="{C568DC40-01C1-4DF8-A927-A55760B5D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I4:I13</xm:sqref>
        </x14:conditionalFormatting>
        <x14:conditionalFormatting xmlns:xm="http://schemas.microsoft.com/office/excel/2006/main">
          <x14:cfRule type="dataBar" id="{765B3089-F8B7-42BC-866C-2890DB4C56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K4:K13</xm:sqref>
        </x14:conditionalFormatting>
        <x14:conditionalFormatting xmlns:xm="http://schemas.microsoft.com/office/excel/2006/main">
          <x14:cfRule type="dataBar" id="{4FCD5FD4-08FF-483D-B419-DE09287FD5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M4:M13</xm:sqref>
        </x14:conditionalFormatting>
        <x14:conditionalFormatting xmlns:xm="http://schemas.microsoft.com/office/excel/2006/main">
          <x14:cfRule type="dataBar" id="{5883A4B6-B42D-44F0-A5A9-6976687766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O4:O13</xm:sqref>
        </x14:conditionalFormatting>
        <x14:conditionalFormatting xmlns:xm="http://schemas.microsoft.com/office/excel/2006/main">
          <x14:cfRule type="dataBar" id="{3D12DBB3-6978-4D3A-8219-28C21476A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C17:C27</xm:sqref>
        </x14:conditionalFormatting>
        <x14:conditionalFormatting xmlns:xm="http://schemas.microsoft.com/office/excel/2006/main">
          <x14:cfRule type="dataBar" id="{94A0DC2D-AEF8-4538-BD7A-ACE81C77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E17:E27</xm:sqref>
        </x14:conditionalFormatting>
        <x14:conditionalFormatting xmlns:xm="http://schemas.microsoft.com/office/excel/2006/main">
          <x14:cfRule type="dataBar" id="{8A5895AB-627E-42D8-8D0F-BEF890CF0A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G17:G27</xm:sqref>
        </x14:conditionalFormatting>
        <x14:conditionalFormatting xmlns:xm="http://schemas.microsoft.com/office/excel/2006/main">
          <x14:cfRule type="dataBar" id="{2B816C0F-99FF-4C42-84E9-3D8F8A3708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I17:I27</xm:sqref>
        </x14:conditionalFormatting>
        <x14:conditionalFormatting xmlns:xm="http://schemas.microsoft.com/office/excel/2006/main">
          <x14:cfRule type="dataBar" id="{EEE1BFD8-9BE8-4760-B677-BF420279EF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K17:K27</xm:sqref>
        </x14:conditionalFormatting>
        <x14:conditionalFormatting xmlns:xm="http://schemas.microsoft.com/office/excel/2006/main">
          <x14:cfRule type="dataBar" id="{CAA65518-5219-4392-B22D-03E522E20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M17:M27</xm:sqref>
        </x14:conditionalFormatting>
        <x14:conditionalFormatting xmlns:xm="http://schemas.microsoft.com/office/excel/2006/main">
          <x14:cfRule type="dataBar" id="{F06079C5-9B04-48B1-89DF-729546C058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O17:O27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9"/>
  <sheetViews>
    <sheetView zoomScaleNormal="100" workbookViewId="0">
      <selection activeCell="R1" sqref="R1:V1048576"/>
    </sheetView>
  </sheetViews>
  <sheetFormatPr defaultRowHeight="12.75" x14ac:dyDescent="0.2"/>
  <cols>
    <col min="1" max="1" width="34.5703125" style="9" customWidth="1"/>
    <col min="2" max="15" width="6.85546875" style="9" customWidth="1"/>
    <col min="16" max="17" width="9.140625" style="9"/>
    <col min="18" max="18" width="31.42578125" style="9" hidden="1" customWidth="1"/>
    <col min="19" max="19" width="16.140625" style="9" hidden="1" customWidth="1"/>
    <col min="20" max="22" width="0" style="9" hidden="1" customWidth="1"/>
    <col min="23" max="16384" width="9.140625" style="9"/>
  </cols>
  <sheetData>
    <row r="1" spans="1:21" ht="15.75" x14ac:dyDescent="0.2">
      <c r="A1" s="85" t="s">
        <v>217</v>
      </c>
    </row>
    <row r="3" spans="1:21" x14ac:dyDescent="0.2">
      <c r="A3" s="121" t="s">
        <v>179</v>
      </c>
      <c r="B3" s="122" t="s">
        <v>100</v>
      </c>
      <c r="C3" s="122"/>
      <c r="D3" s="122" t="s">
        <v>80</v>
      </c>
      <c r="E3" s="122"/>
      <c r="F3" s="123" t="s">
        <v>136</v>
      </c>
      <c r="G3" s="123"/>
      <c r="H3" s="122" t="s">
        <v>82</v>
      </c>
      <c r="I3" s="122"/>
      <c r="J3" s="122" t="s">
        <v>81</v>
      </c>
      <c r="K3" s="122"/>
      <c r="L3" s="122" t="s">
        <v>98</v>
      </c>
      <c r="M3" s="122"/>
      <c r="N3" s="116" t="s">
        <v>1</v>
      </c>
      <c r="O3" s="116"/>
    </row>
    <row r="4" spans="1:21" x14ac:dyDescent="0.2">
      <c r="A4" s="20" t="s">
        <v>180</v>
      </c>
      <c r="B4" s="28">
        <v>241</v>
      </c>
      <c r="C4" s="29">
        <v>0.66759002770083098</v>
      </c>
      <c r="D4" s="28">
        <v>11</v>
      </c>
      <c r="E4" s="29">
        <v>0.73333333333333328</v>
      </c>
      <c r="F4" s="28">
        <v>97</v>
      </c>
      <c r="G4" s="29">
        <v>0.73484848484848486</v>
      </c>
      <c r="H4" s="28">
        <v>383</v>
      </c>
      <c r="I4" s="29">
        <v>0.68392857142857144</v>
      </c>
      <c r="J4" s="28">
        <v>206</v>
      </c>
      <c r="K4" s="29">
        <v>0.8110236220472441</v>
      </c>
      <c r="L4" s="28">
        <v>504</v>
      </c>
      <c r="M4" s="29">
        <v>0.72413793103448276</v>
      </c>
      <c r="N4" s="21">
        <v>1442</v>
      </c>
      <c r="O4" s="29">
        <v>0.71456888007928643</v>
      </c>
    </row>
    <row r="5" spans="1:21" x14ac:dyDescent="0.2">
      <c r="A5" s="20" t="s">
        <v>181</v>
      </c>
      <c r="B5" s="28">
        <v>84</v>
      </c>
      <c r="C5" s="29">
        <v>0.23268698060941828</v>
      </c>
      <c r="D5" s="28">
        <v>2</v>
      </c>
      <c r="E5" s="29">
        <v>0.13333333333333333</v>
      </c>
      <c r="F5" s="28">
        <v>20</v>
      </c>
      <c r="G5" s="29">
        <v>0.15151515151515152</v>
      </c>
      <c r="H5" s="28">
        <v>127</v>
      </c>
      <c r="I5" s="29">
        <v>0.22678571428571428</v>
      </c>
      <c r="J5" s="28">
        <v>30</v>
      </c>
      <c r="K5" s="29">
        <v>0.11811023622047244</v>
      </c>
      <c r="L5" s="28">
        <v>122</v>
      </c>
      <c r="M5" s="29">
        <v>0.17528735632183909</v>
      </c>
      <c r="N5" s="21">
        <v>385</v>
      </c>
      <c r="O5" s="29">
        <v>0.19078295341922696</v>
      </c>
    </row>
    <row r="6" spans="1:21" ht="24" x14ac:dyDescent="0.2">
      <c r="A6" s="20" t="s">
        <v>182</v>
      </c>
      <c r="B6" s="28">
        <v>6</v>
      </c>
      <c r="C6" s="29">
        <v>1.662049861495845E-2</v>
      </c>
      <c r="D6" s="28"/>
      <c r="E6" s="29">
        <v>0</v>
      </c>
      <c r="F6" s="28">
        <v>1</v>
      </c>
      <c r="G6" s="29">
        <v>7.575757575757576E-3</v>
      </c>
      <c r="H6" s="28">
        <v>9</v>
      </c>
      <c r="I6" s="29">
        <v>1.607142857142857E-2</v>
      </c>
      <c r="J6" s="28">
        <v>4</v>
      </c>
      <c r="K6" s="29">
        <v>1.5748031496062992E-2</v>
      </c>
      <c r="L6" s="28">
        <v>15</v>
      </c>
      <c r="M6" s="29">
        <v>2.1551724137931036E-2</v>
      </c>
      <c r="N6" s="21">
        <v>35</v>
      </c>
      <c r="O6" s="29">
        <v>1.7343904856293359E-2</v>
      </c>
    </row>
    <row r="7" spans="1:21" x14ac:dyDescent="0.2">
      <c r="A7" s="38"/>
      <c r="B7" s="36"/>
      <c r="C7" s="36"/>
      <c r="D7" s="36"/>
      <c r="E7" s="36"/>
      <c r="F7" s="36"/>
      <c r="G7" s="36"/>
      <c r="H7" s="39"/>
      <c r="I7" s="36"/>
      <c r="J7" s="36"/>
      <c r="K7" s="36"/>
      <c r="L7" s="36"/>
      <c r="M7" s="36"/>
      <c r="N7" s="36"/>
      <c r="O7" s="36"/>
    </row>
    <row r="8" spans="1:21" ht="24" x14ac:dyDescent="0.2">
      <c r="A8" s="121" t="s">
        <v>183</v>
      </c>
      <c r="B8" s="122" t="s">
        <v>100</v>
      </c>
      <c r="C8" s="122"/>
      <c r="D8" s="122" t="s">
        <v>80</v>
      </c>
      <c r="E8" s="122"/>
      <c r="F8" s="123" t="s">
        <v>136</v>
      </c>
      <c r="G8" s="123"/>
      <c r="H8" s="122" t="s">
        <v>82</v>
      </c>
      <c r="I8" s="122"/>
      <c r="J8" s="122" t="s">
        <v>81</v>
      </c>
      <c r="K8" s="122"/>
      <c r="L8" s="122" t="s">
        <v>98</v>
      </c>
      <c r="M8" s="122"/>
      <c r="N8" s="116" t="s">
        <v>1</v>
      </c>
      <c r="O8" s="116"/>
    </row>
    <row r="9" spans="1:21" x14ac:dyDescent="0.2">
      <c r="A9" s="20" t="s">
        <v>180</v>
      </c>
      <c r="B9" s="28">
        <v>153</v>
      </c>
      <c r="C9" s="29">
        <v>0.42382271468144045</v>
      </c>
      <c r="D9" s="28">
        <v>5</v>
      </c>
      <c r="E9" s="29">
        <v>0.33333333333333331</v>
      </c>
      <c r="F9" s="28">
        <v>60</v>
      </c>
      <c r="G9" s="29">
        <v>0.45454545454545453</v>
      </c>
      <c r="H9" s="28">
        <v>225</v>
      </c>
      <c r="I9" s="29">
        <v>0.4017857142857143</v>
      </c>
      <c r="J9" s="28">
        <v>107</v>
      </c>
      <c r="K9" s="29">
        <v>0.42125984251968501</v>
      </c>
      <c r="L9" s="28">
        <v>284</v>
      </c>
      <c r="M9" s="29">
        <v>0.40804597701149425</v>
      </c>
      <c r="N9" s="21">
        <v>834</v>
      </c>
      <c r="O9" s="29">
        <v>0.41328047571853321</v>
      </c>
    </row>
    <row r="10" spans="1:21" x14ac:dyDescent="0.2">
      <c r="A10" s="20" t="s">
        <v>181</v>
      </c>
      <c r="B10" s="28">
        <v>178</v>
      </c>
      <c r="C10" s="29">
        <v>0.49307479224376732</v>
      </c>
      <c r="D10" s="28">
        <v>8</v>
      </c>
      <c r="E10" s="29">
        <v>0.53333333333333333</v>
      </c>
      <c r="F10" s="28">
        <v>57</v>
      </c>
      <c r="G10" s="29">
        <v>0.43181818181818182</v>
      </c>
      <c r="H10" s="28">
        <v>294</v>
      </c>
      <c r="I10" s="29">
        <v>0.52500000000000002</v>
      </c>
      <c r="J10" s="28">
        <v>132</v>
      </c>
      <c r="K10" s="29">
        <v>0.51968503937007871</v>
      </c>
      <c r="L10" s="28">
        <v>350</v>
      </c>
      <c r="M10" s="29">
        <v>0.50287356321839083</v>
      </c>
      <c r="N10" s="21">
        <v>1019</v>
      </c>
      <c r="O10" s="29">
        <v>0.50495540138751238</v>
      </c>
    </row>
    <row r="11" spans="1:21" x14ac:dyDescent="0.2">
      <c r="A11" s="38"/>
      <c r="B11" s="36"/>
      <c r="C11" s="36"/>
      <c r="D11" s="36"/>
      <c r="E11" s="36"/>
      <c r="F11" s="36"/>
      <c r="G11" s="36"/>
      <c r="H11" s="39"/>
      <c r="I11" s="36"/>
      <c r="J11" s="36"/>
      <c r="K11" s="36"/>
      <c r="L11" s="36"/>
      <c r="M11" s="36"/>
      <c r="N11" s="36"/>
      <c r="O11" s="36"/>
    </row>
    <row r="12" spans="1:21" x14ac:dyDescent="0.2">
      <c r="A12" s="38"/>
      <c r="B12" s="36"/>
      <c r="C12" s="36"/>
      <c r="D12" s="36"/>
      <c r="E12" s="36"/>
      <c r="F12" s="36"/>
      <c r="G12" s="36"/>
      <c r="H12" s="39"/>
      <c r="I12" s="36"/>
      <c r="J12" s="36"/>
      <c r="K12" s="36"/>
      <c r="L12" s="36"/>
      <c r="M12" s="36"/>
      <c r="N12" s="36"/>
      <c r="O12" s="36"/>
    </row>
    <row r="13" spans="1:21" ht="36" x14ac:dyDescent="0.2">
      <c r="A13" s="84" t="s">
        <v>221</v>
      </c>
      <c r="B13" s="36"/>
      <c r="C13" s="36"/>
      <c r="D13" s="36"/>
      <c r="E13" s="36"/>
      <c r="F13" s="36"/>
      <c r="G13" s="36"/>
      <c r="H13" s="39"/>
      <c r="I13" s="36"/>
      <c r="J13" s="36"/>
      <c r="K13" s="36"/>
      <c r="L13" s="36"/>
      <c r="M13" s="36"/>
      <c r="N13" s="36"/>
      <c r="O13" s="36"/>
      <c r="R13" s="168" t="s">
        <v>231</v>
      </c>
      <c r="S13" s="171" t="s">
        <v>140</v>
      </c>
      <c r="T13" s="172" t="s">
        <v>145</v>
      </c>
      <c r="U13" s="172" t="s">
        <v>144</v>
      </c>
    </row>
    <row r="14" spans="1:21" x14ac:dyDescent="0.2">
      <c r="A14" s="121" t="s">
        <v>139</v>
      </c>
      <c r="B14" s="122" t="s">
        <v>100</v>
      </c>
      <c r="C14" s="122"/>
      <c r="D14" s="122" t="s">
        <v>80</v>
      </c>
      <c r="E14" s="122"/>
      <c r="F14" s="123" t="s">
        <v>136</v>
      </c>
      <c r="G14" s="123"/>
      <c r="H14" s="122" t="s">
        <v>82</v>
      </c>
      <c r="I14" s="122"/>
      <c r="J14" s="122" t="s">
        <v>81</v>
      </c>
      <c r="K14" s="122"/>
      <c r="L14" s="122" t="s">
        <v>98</v>
      </c>
      <c r="M14" s="122"/>
      <c r="N14" s="116" t="s">
        <v>1</v>
      </c>
      <c r="O14" s="116"/>
      <c r="R14" s="169" t="str">
        <f>A14</f>
        <v>Desire2Learn</v>
      </c>
      <c r="S14" s="170">
        <f>O19</f>
        <v>0.66595289079229125</v>
      </c>
      <c r="T14" s="154">
        <f>O21</f>
        <v>0.96145610278372595</v>
      </c>
      <c r="U14" s="154">
        <f>O15</f>
        <v>1.3918629550321198E-2</v>
      </c>
    </row>
    <row r="15" spans="1:21" x14ac:dyDescent="0.2">
      <c r="A15" s="20" t="s">
        <v>144</v>
      </c>
      <c r="B15" s="28">
        <v>5</v>
      </c>
      <c r="C15" s="29">
        <v>1.5015015015015015E-2</v>
      </c>
      <c r="D15" s="28">
        <v>2</v>
      </c>
      <c r="E15" s="29">
        <v>0.15384615384615385</v>
      </c>
      <c r="F15" s="28">
        <v>5</v>
      </c>
      <c r="G15" s="29">
        <v>4.2016806722689079E-2</v>
      </c>
      <c r="H15" s="28">
        <v>7</v>
      </c>
      <c r="I15" s="29">
        <v>1.3409961685823755E-2</v>
      </c>
      <c r="J15" s="28">
        <v>1</v>
      </c>
      <c r="K15" s="29">
        <v>4.1666666666666666E-3</v>
      </c>
      <c r="L15" s="28">
        <v>6</v>
      </c>
      <c r="M15" s="29">
        <v>9.3603744149765994E-3</v>
      </c>
      <c r="N15" s="21">
        <v>26</v>
      </c>
      <c r="O15" s="29">
        <v>1.3918629550321198E-2</v>
      </c>
      <c r="R15" s="169" t="str">
        <f>A23</f>
        <v>eWolf</v>
      </c>
      <c r="S15" s="170">
        <f>O28</f>
        <v>0.3931071620893915</v>
      </c>
      <c r="T15" s="154">
        <f>O30</f>
        <v>0.87668282175551959</v>
      </c>
      <c r="U15" s="154">
        <f>O24</f>
        <v>5.3850296176628969E-3</v>
      </c>
    </row>
    <row r="16" spans="1:21" x14ac:dyDescent="0.2">
      <c r="A16" s="20" t="s">
        <v>143</v>
      </c>
      <c r="B16" s="28">
        <v>13</v>
      </c>
      <c r="C16" s="29">
        <v>3.903903903903904E-2</v>
      </c>
      <c r="D16" s="28"/>
      <c r="E16" s="29">
        <v>0</v>
      </c>
      <c r="F16" s="28">
        <v>3</v>
      </c>
      <c r="G16" s="29">
        <v>2.5210084033613446E-2</v>
      </c>
      <c r="H16" s="28">
        <v>11</v>
      </c>
      <c r="I16" s="29">
        <v>2.1072796934865901E-2</v>
      </c>
      <c r="J16" s="28">
        <v>2</v>
      </c>
      <c r="K16" s="29">
        <v>8.3333333333333332E-3</v>
      </c>
      <c r="L16" s="28">
        <v>17</v>
      </c>
      <c r="M16" s="29">
        <v>2.6521060842433698E-2</v>
      </c>
      <c r="N16" s="21">
        <v>46</v>
      </c>
      <c r="O16" s="29">
        <v>2.4625267665952889E-2</v>
      </c>
      <c r="R16" s="169" t="str">
        <f>A32</f>
        <v>Touch screen table</v>
      </c>
      <c r="S16" s="170">
        <f>O37</f>
        <v>0.28439369222403482</v>
      </c>
      <c r="T16" s="154">
        <f>O39</f>
        <v>0.38390429581294183</v>
      </c>
      <c r="U16" s="154">
        <f>O33</f>
        <v>0.56280587275693317</v>
      </c>
    </row>
    <row r="17" spans="1:34" x14ac:dyDescent="0.2">
      <c r="A17" s="20" t="s">
        <v>142</v>
      </c>
      <c r="B17" s="28">
        <v>25</v>
      </c>
      <c r="C17" s="29">
        <v>7.5075075075075076E-2</v>
      </c>
      <c r="D17" s="28">
        <v>1</v>
      </c>
      <c r="E17" s="29">
        <v>7.6923076923076927E-2</v>
      </c>
      <c r="F17" s="28">
        <v>1</v>
      </c>
      <c r="G17" s="29">
        <v>8.4033613445378148E-3</v>
      </c>
      <c r="H17" s="28">
        <v>37</v>
      </c>
      <c r="I17" s="29">
        <v>7.0881226053639848E-2</v>
      </c>
      <c r="J17" s="28">
        <v>1</v>
      </c>
      <c r="K17" s="29">
        <v>4.1666666666666666E-3</v>
      </c>
      <c r="L17" s="28">
        <v>37</v>
      </c>
      <c r="M17" s="29">
        <v>5.7722308892355696E-2</v>
      </c>
      <c r="N17" s="21">
        <v>102</v>
      </c>
      <c r="O17" s="29">
        <v>5.460385438972163E-2</v>
      </c>
      <c r="R17" s="169" t="str">
        <f>A41</f>
        <v>eReaders</v>
      </c>
      <c r="S17" s="170">
        <f>O46</f>
        <v>9.8583877995642707E-2</v>
      </c>
      <c r="T17" s="154">
        <f>O48</f>
        <v>0.20806100217864926</v>
      </c>
      <c r="U17" s="154">
        <f>O42</f>
        <v>0.71623093681917216</v>
      </c>
    </row>
    <row r="18" spans="1:34" x14ac:dyDescent="0.2">
      <c r="A18" s="20" t="s">
        <v>141</v>
      </c>
      <c r="B18" s="28">
        <v>92</v>
      </c>
      <c r="C18" s="29">
        <v>0.27627627627627627</v>
      </c>
      <c r="D18" s="28">
        <v>3</v>
      </c>
      <c r="E18" s="29">
        <v>0.23076923076923078</v>
      </c>
      <c r="F18" s="28">
        <v>22</v>
      </c>
      <c r="G18" s="29">
        <v>0.18487394957983194</v>
      </c>
      <c r="H18" s="28">
        <v>118</v>
      </c>
      <c r="I18" s="29">
        <v>0.22605363984674329</v>
      </c>
      <c r="J18" s="28">
        <v>30</v>
      </c>
      <c r="K18" s="29">
        <v>0.125</v>
      </c>
      <c r="L18" s="28">
        <v>185</v>
      </c>
      <c r="M18" s="29">
        <v>0.28861154446177845</v>
      </c>
      <c r="N18" s="21">
        <v>450</v>
      </c>
      <c r="O18" s="29">
        <v>0.24089935760171305</v>
      </c>
      <c r="R18" s="169" t="str">
        <f>A50</f>
        <v>Web-based video conferencing tools</v>
      </c>
      <c r="S18" s="170">
        <f>O55</f>
        <v>9.0760869565217395E-2</v>
      </c>
      <c r="T18" s="154">
        <f>O57</f>
        <v>0.23804347826086958</v>
      </c>
      <c r="U18" s="154">
        <f>O51</f>
        <v>0.56902173913043474</v>
      </c>
    </row>
    <row r="19" spans="1:34" x14ac:dyDescent="0.2">
      <c r="A19" s="20" t="s">
        <v>140</v>
      </c>
      <c r="B19" s="28">
        <v>198</v>
      </c>
      <c r="C19" s="29">
        <v>0.59459459459459463</v>
      </c>
      <c r="D19" s="28">
        <v>7</v>
      </c>
      <c r="E19" s="29">
        <v>0.53846153846153844</v>
      </c>
      <c r="F19" s="28">
        <v>88</v>
      </c>
      <c r="G19" s="29">
        <v>0.73949579831932777</v>
      </c>
      <c r="H19" s="28">
        <v>349</v>
      </c>
      <c r="I19" s="29">
        <v>0.66858237547892718</v>
      </c>
      <c r="J19" s="28">
        <v>206</v>
      </c>
      <c r="K19" s="29">
        <v>0.85833333333333328</v>
      </c>
      <c r="L19" s="28">
        <v>396</v>
      </c>
      <c r="M19" s="29">
        <v>0.61778471138845559</v>
      </c>
      <c r="N19" s="21">
        <v>1244</v>
      </c>
      <c r="O19" s="29">
        <v>0.66595289079229125</v>
      </c>
      <c r="R19" s="169" t="str">
        <f>A59</f>
        <v>SmartPhone Apps</v>
      </c>
      <c r="S19" s="170">
        <f>O64</f>
        <v>0.68692349430276722</v>
      </c>
      <c r="T19" s="154">
        <f>O66</f>
        <v>0.76234400434074878</v>
      </c>
      <c r="U19" s="154">
        <f>O60</f>
        <v>0.21269669017905588</v>
      </c>
    </row>
    <row r="20" spans="1:34" s="7" customFormat="1" x14ac:dyDescent="0.2">
      <c r="A20" s="95" t="s">
        <v>1</v>
      </c>
      <c r="B20" s="22">
        <v>333</v>
      </c>
      <c r="C20" s="29">
        <v>1</v>
      </c>
      <c r="D20" s="22">
        <v>13</v>
      </c>
      <c r="E20" s="29">
        <v>1</v>
      </c>
      <c r="F20" s="22">
        <v>119</v>
      </c>
      <c r="G20" s="29">
        <v>1</v>
      </c>
      <c r="H20" s="22">
        <v>522</v>
      </c>
      <c r="I20" s="29">
        <v>1</v>
      </c>
      <c r="J20" s="22">
        <v>240</v>
      </c>
      <c r="K20" s="29">
        <v>1</v>
      </c>
      <c r="L20" s="22">
        <v>641</v>
      </c>
      <c r="M20" s="29">
        <v>1</v>
      </c>
      <c r="N20" s="22">
        <v>1868</v>
      </c>
      <c r="O20" s="29">
        <v>1</v>
      </c>
      <c r="R20" s="169" t="str">
        <f>A68</f>
        <v>Text messaging</v>
      </c>
      <c r="S20" s="170">
        <f>O73</f>
        <v>0.83046286329386432</v>
      </c>
      <c r="T20" s="154">
        <f>O75</f>
        <v>0.92949407965554354</v>
      </c>
      <c r="U20" s="154">
        <f>O69</f>
        <v>5.4897739504843918E-2</v>
      </c>
    </row>
    <row r="21" spans="1:34" s="7" customFormat="1" x14ac:dyDescent="0.2">
      <c r="A21" s="95" t="s">
        <v>145</v>
      </c>
      <c r="B21" s="28"/>
      <c r="C21" s="54">
        <v>0.94594594594594594</v>
      </c>
      <c r="D21" s="28"/>
      <c r="E21" s="54">
        <v>0.84615384615384615</v>
      </c>
      <c r="F21" s="28"/>
      <c r="G21" s="54">
        <v>0.9327731092436975</v>
      </c>
      <c r="H21" s="28"/>
      <c r="I21" s="54">
        <v>0.96551724137931028</v>
      </c>
      <c r="J21" s="28"/>
      <c r="K21" s="54">
        <v>0.98749999999999993</v>
      </c>
      <c r="L21" s="28"/>
      <c r="M21" s="54">
        <v>0.96411856474258972</v>
      </c>
      <c r="N21" s="22"/>
      <c r="O21" s="54">
        <v>0.96145610278372595</v>
      </c>
      <c r="R21" s="169" t="str">
        <f>A77</f>
        <v>FRCC email</v>
      </c>
      <c r="S21" s="170">
        <f>O82</f>
        <v>0.29332615715823468</v>
      </c>
      <c r="T21" s="154">
        <f>O84</f>
        <v>0.7863293864370291</v>
      </c>
      <c r="U21" s="154">
        <f>O78</f>
        <v>5.3821313240043057E-2</v>
      </c>
    </row>
    <row r="22" spans="1:34" s="7" customFormat="1" x14ac:dyDescent="0.2">
      <c r="A22" s="38"/>
      <c r="B22" s="36"/>
      <c r="C22" s="36"/>
      <c r="D22" s="36"/>
      <c r="E22" s="36"/>
      <c r="F22" s="36"/>
      <c r="G22" s="36"/>
      <c r="H22" s="39"/>
      <c r="I22" s="36"/>
      <c r="J22" s="36"/>
      <c r="K22" s="36"/>
      <c r="L22" s="36"/>
      <c r="M22" s="36"/>
      <c r="N22" s="36"/>
      <c r="O22" s="36"/>
      <c r="R22" s="169" t="str">
        <f>A86</f>
        <v>Personal Email</v>
      </c>
      <c r="S22" s="170">
        <f>O91</f>
        <v>0.81263498920086397</v>
      </c>
      <c r="T22" s="154">
        <f>O93</f>
        <v>0.95680345572354208</v>
      </c>
      <c r="U22" s="154">
        <f>O87</f>
        <v>1.7818574514038878E-2</v>
      </c>
    </row>
    <row r="23" spans="1:34" s="7" customFormat="1" x14ac:dyDescent="0.2">
      <c r="A23" s="121" t="s">
        <v>146</v>
      </c>
      <c r="B23" s="122" t="s">
        <v>100</v>
      </c>
      <c r="C23" s="122"/>
      <c r="D23" s="122" t="s">
        <v>80</v>
      </c>
      <c r="E23" s="122"/>
      <c r="F23" s="123" t="s">
        <v>136</v>
      </c>
      <c r="G23" s="123"/>
      <c r="H23" s="122" t="s">
        <v>82</v>
      </c>
      <c r="I23" s="122"/>
      <c r="J23" s="122" t="s">
        <v>81</v>
      </c>
      <c r="K23" s="122"/>
      <c r="L23" s="122" t="s">
        <v>98</v>
      </c>
      <c r="M23" s="122"/>
      <c r="N23" s="116" t="s">
        <v>1</v>
      </c>
      <c r="O23" s="116"/>
      <c r="R23" s="167"/>
    </row>
    <row r="24" spans="1:34" s="7" customFormat="1" x14ac:dyDescent="0.2">
      <c r="A24" s="20" t="s">
        <v>144</v>
      </c>
      <c r="B24" s="28">
        <v>2</v>
      </c>
      <c r="C24" s="29">
        <v>6.0790273556231003E-3</v>
      </c>
      <c r="D24" s="28"/>
      <c r="E24" s="29">
        <v>0</v>
      </c>
      <c r="F24" s="28"/>
      <c r="G24" s="29">
        <v>0</v>
      </c>
      <c r="H24" s="28">
        <v>5</v>
      </c>
      <c r="I24" s="29">
        <v>9.6339113680154135E-3</v>
      </c>
      <c r="J24" s="28">
        <v>1</v>
      </c>
      <c r="K24" s="29">
        <v>4.1666666666666666E-3</v>
      </c>
      <c r="L24" s="28">
        <v>2</v>
      </c>
      <c r="M24" s="29">
        <v>3.1298904538341159E-3</v>
      </c>
      <c r="N24" s="21">
        <v>10</v>
      </c>
      <c r="O24" s="29">
        <v>5.3850296176628969E-3</v>
      </c>
      <c r="R24" s="167"/>
    </row>
    <row r="25" spans="1:34" s="7" customFormat="1" ht="36" x14ac:dyDescent="0.2">
      <c r="A25" s="20" t="s">
        <v>143</v>
      </c>
      <c r="B25" s="28">
        <v>43</v>
      </c>
      <c r="C25" s="29">
        <v>0.13069908814589665</v>
      </c>
      <c r="D25" s="28">
        <v>1</v>
      </c>
      <c r="E25" s="29">
        <v>7.6923076923076927E-2</v>
      </c>
      <c r="F25" s="28">
        <v>5</v>
      </c>
      <c r="G25" s="29">
        <v>4.2735042735042736E-2</v>
      </c>
      <c r="H25" s="28">
        <v>70</v>
      </c>
      <c r="I25" s="29">
        <v>0.13487475915221581</v>
      </c>
      <c r="J25" s="28">
        <v>27</v>
      </c>
      <c r="K25" s="29">
        <v>0.1125</v>
      </c>
      <c r="L25" s="28">
        <v>73</v>
      </c>
      <c r="M25" s="29">
        <v>0.11424100156494522</v>
      </c>
      <c r="N25" s="21">
        <v>219</v>
      </c>
      <c r="O25" s="29">
        <v>0.11793214862681745</v>
      </c>
      <c r="R25" s="168" t="s">
        <v>231</v>
      </c>
      <c r="S25" s="173" t="s">
        <v>140</v>
      </c>
      <c r="T25" s="172" t="s">
        <v>145</v>
      </c>
      <c r="U25" s="172" t="s">
        <v>144</v>
      </c>
    </row>
    <row r="26" spans="1:34" s="7" customFormat="1" x14ac:dyDescent="0.2">
      <c r="A26" s="20" t="s">
        <v>142</v>
      </c>
      <c r="B26" s="28">
        <v>70</v>
      </c>
      <c r="C26" s="29">
        <v>0.21276595744680851</v>
      </c>
      <c r="D26" s="28">
        <v>6</v>
      </c>
      <c r="E26" s="29">
        <v>0.46153846153846156</v>
      </c>
      <c r="F26" s="28">
        <v>11</v>
      </c>
      <c r="G26" s="29">
        <v>9.4017094017094016E-2</v>
      </c>
      <c r="H26" s="28">
        <v>114</v>
      </c>
      <c r="I26" s="29">
        <v>0.21965317919075145</v>
      </c>
      <c r="J26" s="28">
        <v>42</v>
      </c>
      <c r="K26" s="29">
        <v>0.17499999999999999</v>
      </c>
      <c r="L26" s="28">
        <v>152</v>
      </c>
      <c r="M26" s="29">
        <v>0.23787167449139279</v>
      </c>
      <c r="N26" s="21">
        <v>395</v>
      </c>
      <c r="O26" s="29">
        <v>0.21270866989768444</v>
      </c>
      <c r="R26" s="169" t="s">
        <v>147</v>
      </c>
      <c r="S26" s="170">
        <v>0.83046286329386432</v>
      </c>
      <c r="T26" s="154">
        <v>0.92949407965554354</v>
      </c>
      <c r="U26" s="154">
        <v>5.4897739504843918E-2</v>
      </c>
    </row>
    <row r="27" spans="1:34" s="7" customFormat="1" x14ac:dyDescent="0.2">
      <c r="A27" s="20" t="s">
        <v>141</v>
      </c>
      <c r="B27" s="28">
        <v>101</v>
      </c>
      <c r="C27" s="29">
        <v>0.30699088145896658</v>
      </c>
      <c r="D27" s="28">
        <v>2</v>
      </c>
      <c r="E27" s="29">
        <v>0.15384615384615385</v>
      </c>
      <c r="F27" s="28">
        <v>31</v>
      </c>
      <c r="G27" s="29">
        <v>0.26495726495726496</v>
      </c>
      <c r="H27" s="28">
        <v>133</v>
      </c>
      <c r="I27" s="29">
        <v>0.25626204238921002</v>
      </c>
      <c r="J27" s="28">
        <v>58</v>
      </c>
      <c r="K27" s="29">
        <v>0.24166666666666667</v>
      </c>
      <c r="L27" s="28">
        <v>178</v>
      </c>
      <c r="M27" s="29">
        <v>0.27856025039123633</v>
      </c>
      <c r="N27" s="21">
        <v>503</v>
      </c>
      <c r="O27" s="29">
        <v>0.2708669897684437</v>
      </c>
      <c r="R27" s="169" t="s">
        <v>148</v>
      </c>
      <c r="S27" s="170">
        <v>0.81263498920086397</v>
      </c>
      <c r="T27" s="154">
        <v>0.95680345572354208</v>
      </c>
      <c r="U27" s="154">
        <v>1.7818574514038878E-2</v>
      </c>
    </row>
    <row r="28" spans="1:34" s="7" customFormat="1" x14ac:dyDescent="0.2">
      <c r="A28" s="20" t="s">
        <v>140</v>
      </c>
      <c r="B28" s="28">
        <v>113</v>
      </c>
      <c r="C28" s="29">
        <v>0.34346504559270519</v>
      </c>
      <c r="D28" s="28">
        <v>4</v>
      </c>
      <c r="E28" s="29">
        <v>0.30769230769230771</v>
      </c>
      <c r="F28" s="28">
        <v>70</v>
      </c>
      <c r="G28" s="29">
        <v>0.59829059829059827</v>
      </c>
      <c r="H28" s="28">
        <v>197</v>
      </c>
      <c r="I28" s="29">
        <v>0.37957610789980734</v>
      </c>
      <c r="J28" s="28">
        <v>112</v>
      </c>
      <c r="K28" s="29">
        <v>0.46666666666666667</v>
      </c>
      <c r="L28" s="28">
        <v>234</v>
      </c>
      <c r="M28" s="29">
        <v>0.36619718309859156</v>
      </c>
      <c r="N28" s="21">
        <v>730</v>
      </c>
      <c r="O28" s="29">
        <v>0.3931071620893915</v>
      </c>
      <c r="R28" s="169" t="s">
        <v>187</v>
      </c>
      <c r="S28" s="170">
        <v>0.68692349430276722</v>
      </c>
      <c r="T28" s="154">
        <v>0.76234400434074878</v>
      </c>
      <c r="U28" s="154">
        <v>0.21269669017905588</v>
      </c>
    </row>
    <row r="29" spans="1:34" x14ac:dyDescent="0.2">
      <c r="A29" s="95" t="s">
        <v>1</v>
      </c>
      <c r="B29" s="22">
        <v>329</v>
      </c>
      <c r="C29" s="29">
        <v>1</v>
      </c>
      <c r="D29" s="22">
        <v>13</v>
      </c>
      <c r="E29" s="29">
        <v>1</v>
      </c>
      <c r="F29" s="22">
        <v>117</v>
      </c>
      <c r="G29" s="29">
        <v>1</v>
      </c>
      <c r="H29" s="22">
        <v>519</v>
      </c>
      <c r="I29" s="29">
        <v>1</v>
      </c>
      <c r="J29" s="22">
        <v>240</v>
      </c>
      <c r="K29" s="29">
        <v>1</v>
      </c>
      <c r="L29" s="22">
        <v>639</v>
      </c>
      <c r="M29" s="29">
        <v>1</v>
      </c>
      <c r="N29" s="22">
        <v>1857</v>
      </c>
      <c r="O29" s="29">
        <v>1</v>
      </c>
      <c r="R29" s="169" t="s">
        <v>139</v>
      </c>
      <c r="S29" s="170">
        <v>0.66595289079229125</v>
      </c>
      <c r="T29" s="154">
        <v>0.96145610278372595</v>
      </c>
      <c r="U29" s="154">
        <v>1.3918629550321198E-2</v>
      </c>
    </row>
    <row r="30" spans="1:34" x14ac:dyDescent="0.2">
      <c r="A30" s="95" t="s">
        <v>145</v>
      </c>
      <c r="B30" s="28"/>
      <c r="C30" s="54">
        <v>0.86322188449848025</v>
      </c>
      <c r="D30" s="28"/>
      <c r="E30" s="54">
        <v>0.92307692307692313</v>
      </c>
      <c r="F30" s="28"/>
      <c r="G30" s="54">
        <v>0.95726495726495719</v>
      </c>
      <c r="H30" s="28"/>
      <c r="I30" s="54">
        <v>0.8554913294797688</v>
      </c>
      <c r="J30" s="28"/>
      <c r="K30" s="54">
        <v>0.8833333333333333</v>
      </c>
      <c r="L30" s="28"/>
      <c r="M30" s="54">
        <v>0.88262910798122074</v>
      </c>
      <c r="N30" s="22"/>
      <c r="O30" s="54">
        <v>0.87668282175551959</v>
      </c>
      <c r="R30" s="169" t="s">
        <v>146</v>
      </c>
      <c r="S30" s="170">
        <v>0.3931071620893915</v>
      </c>
      <c r="T30" s="154">
        <v>0.87668282175551959</v>
      </c>
      <c r="U30" s="154">
        <v>5.3850296176628969E-3</v>
      </c>
    </row>
    <row r="31" spans="1:34" s="7" customFormat="1" x14ac:dyDescent="0.2">
      <c r="A31" s="38"/>
      <c r="B31" s="36"/>
      <c r="C31" s="36"/>
      <c r="D31" s="36"/>
      <c r="E31" s="36"/>
      <c r="F31" s="36"/>
      <c r="G31" s="36"/>
      <c r="H31" s="39"/>
      <c r="I31" s="36"/>
      <c r="J31" s="36"/>
      <c r="K31" s="36"/>
      <c r="L31" s="36"/>
      <c r="M31" s="36"/>
      <c r="N31" s="36"/>
      <c r="O31" s="36"/>
      <c r="P31" s="9"/>
      <c r="Q31" s="9"/>
      <c r="R31" s="169" t="s">
        <v>188</v>
      </c>
      <c r="S31" s="170">
        <v>0.29332615715823468</v>
      </c>
      <c r="T31" s="154">
        <v>0.7863293864370291</v>
      </c>
      <c r="U31" s="154">
        <v>5.3821313240043057E-2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s="121" t="s">
        <v>184</v>
      </c>
      <c r="B32" s="122" t="s">
        <v>100</v>
      </c>
      <c r="C32" s="122"/>
      <c r="D32" s="122" t="s">
        <v>80</v>
      </c>
      <c r="E32" s="122"/>
      <c r="F32" s="123" t="s">
        <v>136</v>
      </c>
      <c r="G32" s="123"/>
      <c r="H32" s="122" t="s">
        <v>82</v>
      </c>
      <c r="I32" s="122"/>
      <c r="J32" s="122" t="s">
        <v>81</v>
      </c>
      <c r="K32" s="122"/>
      <c r="L32" s="122" t="s">
        <v>98</v>
      </c>
      <c r="M32" s="122"/>
      <c r="N32" s="116" t="s">
        <v>1</v>
      </c>
      <c r="O32" s="116"/>
      <c r="R32" s="169" t="s">
        <v>184</v>
      </c>
      <c r="S32" s="170">
        <v>0.28439369222403482</v>
      </c>
      <c r="T32" s="154">
        <v>0.38390429581294183</v>
      </c>
      <c r="U32" s="154">
        <v>0.56280587275693317</v>
      </c>
    </row>
    <row r="33" spans="1:21" x14ac:dyDescent="0.2">
      <c r="A33" s="20" t="s">
        <v>144</v>
      </c>
      <c r="B33" s="28">
        <v>192</v>
      </c>
      <c r="C33" s="29">
        <v>0.58536585365853655</v>
      </c>
      <c r="D33" s="28">
        <v>7</v>
      </c>
      <c r="E33" s="29">
        <v>0.53846153846153844</v>
      </c>
      <c r="F33" s="28">
        <v>56</v>
      </c>
      <c r="G33" s="29">
        <v>0.48275862068965519</v>
      </c>
      <c r="H33" s="28">
        <v>306</v>
      </c>
      <c r="I33" s="29">
        <v>0.59417475728155345</v>
      </c>
      <c r="J33" s="28">
        <v>124</v>
      </c>
      <c r="K33" s="29">
        <v>0.52320675105485237</v>
      </c>
      <c r="L33" s="28">
        <v>350</v>
      </c>
      <c r="M33" s="29">
        <v>0.55555555555555558</v>
      </c>
      <c r="N33" s="21">
        <v>1035</v>
      </c>
      <c r="O33" s="29">
        <v>0.56280587275693317</v>
      </c>
      <c r="R33" s="169" t="s">
        <v>185</v>
      </c>
      <c r="S33" s="170">
        <v>9.8583877995642707E-2</v>
      </c>
      <c r="T33" s="154">
        <v>0.20806100217864926</v>
      </c>
      <c r="U33" s="154">
        <v>0.71623093681917216</v>
      </c>
    </row>
    <row r="34" spans="1:21" x14ac:dyDescent="0.2">
      <c r="A34" s="20" t="s">
        <v>143</v>
      </c>
      <c r="B34" s="28">
        <v>20</v>
      </c>
      <c r="C34" s="29">
        <v>6.097560975609756E-2</v>
      </c>
      <c r="D34" s="28">
        <v>3</v>
      </c>
      <c r="E34" s="29">
        <v>0.23076923076923078</v>
      </c>
      <c r="F34" s="28">
        <v>1</v>
      </c>
      <c r="G34" s="29">
        <v>8.6206896551724137E-3</v>
      </c>
      <c r="H34" s="28">
        <v>29</v>
      </c>
      <c r="I34" s="29">
        <v>5.6310679611650483E-2</v>
      </c>
      <c r="J34" s="28">
        <v>13</v>
      </c>
      <c r="K34" s="29">
        <v>5.4852320675105488E-2</v>
      </c>
      <c r="L34" s="28">
        <v>32</v>
      </c>
      <c r="M34" s="29">
        <v>5.0793650793650794E-2</v>
      </c>
      <c r="N34" s="21">
        <v>98</v>
      </c>
      <c r="O34" s="29">
        <v>5.328983143012507E-2</v>
      </c>
      <c r="R34" s="169" t="s">
        <v>230</v>
      </c>
      <c r="S34" s="170">
        <v>9.0760869565217395E-2</v>
      </c>
      <c r="T34" s="154">
        <v>0.23804347826086958</v>
      </c>
      <c r="U34" s="154">
        <v>0.56902173913043474</v>
      </c>
    </row>
    <row r="35" spans="1:21" x14ac:dyDescent="0.2">
      <c r="A35" s="20" t="s">
        <v>142</v>
      </c>
      <c r="B35" s="28">
        <v>9</v>
      </c>
      <c r="C35" s="29">
        <v>2.7439024390243903E-2</v>
      </c>
      <c r="D35" s="28"/>
      <c r="E35" s="29">
        <v>0</v>
      </c>
      <c r="F35" s="28">
        <v>5</v>
      </c>
      <c r="G35" s="29">
        <v>4.3103448275862072E-2</v>
      </c>
      <c r="H35" s="28">
        <v>16</v>
      </c>
      <c r="I35" s="29">
        <v>3.1067961165048542E-2</v>
      </c>
      <c r="J35" s="28">
        <v>5</v>
      </c>
      <c r="K35" s="29">
        <v>2.1097046413502109E-2</v>
      </c>
      <c r="L35" s="28">
        <v>37</v>
      </c>
      <c r="M35" s="29">
        <v>5.873015873015873E-2</v>
      </c>
      <c r="N35" s="21">
        <v>72</v>
      </c>
      <c r="O35" s="29">
        <v>3.9151712887438822E-2</v>
      </c>
    </row>
    <row r="36" spans="1:21" x14ac:dyDescent="0.2">
      <c r="A36" s="20" t="s">
        <v>141</v>
      </c>
      <c r="B36" s="28">
        <v>21</v>
      </c>
      <c r="C36" s="29">
        <v>6.402439024390244E-2</v>
      </c>
      <c r="D36" s="28"/>
      <c r="E36" s="29">
        <v>0</v>
      </c>
      <c r="F36" s="28">
        <v>11</v>
      </c>
      <c r="G36" s="29">
        <v>9.4827586206896547E-2</v>
      </c>
      <c r="H36" s="28">
        <v>25</v>
      </c>
      <c r="I36" s="29">
        <v>4.8543689320388349E-2</v>
      </c>
      <c r="J36" s="28">
        <v>16</v>
      </c>
      <c r="K36" s="29">
        <v>6.7510548523206745E-2</v>
      </c>
      <c r="L36" s="28">
        <v>38</v>
      </c>
      <c r="M36" s="29">
        <v>6.0317460317460318E-2</v>
      </c>
      <c r="N36" s="21">
        <v>111</v>
      </c>
      <c r="O36" s="29">
        <v>6.0358890701468187E-2</v>
      </c>
    </row>
    <row r="37" spans="1:21" x14ac:dyDescent="0.2">
      <c r="A37" s="20" t="s">
        <v>140</v>
      </c>
      <c r="B37" s="28">
        <v>86</v>
      </c>
      <c r="C37" s="29">
        <v>0.26219512195121952</v>
      </c>
      <c r="D37" s="28">
        <v>3</v>
      </c>
      <c r="E37" s="29">
        <v>0.23076923076923078</v>
      </c>
      <c r="F37" s="28">
        <v>43</v>
      </c>
      <c r="G37" s="29">
        <v>0.37068965517241381</v>
      </c>
      <c r="H37" s="28">
        <v>139</v>
      </c>
      <c r="I37" s="29">
        <v>0.26990291262135924</v>
      </c>
      <c r="J37" s="28">
        <v>79</v>
      </c>
      <c r="K37" s="29">
        <v>0.33333333333333331</v>
      </c>
      <c r="L37" s="28">
        <v>173</v>
      </c>
      <c r="M37" s="29">
        <v>0.27460317460317463</v>
      </c>
      <c r="N37" s="21">
        <v>523</v>
      </c>
      <c r="O37" s="29">
        <v>0.28439369222403482</v>
      </c>
    </row>
    <row r="38" spans="1:21" x14ac:dyDescent="0.2">
      <c r="A38" s="95" t="s">
        <v>1</v>
      </c>
      <c r="B38" s="22">
        <v>328</v>
      </c>
      <c r="C38" s="29">
        <v>1</v>
      </c>
      <c r="D38" s="22">
        <v>13</v>
      </c>
      <c r="E38" s="29">
        <v>1</v>
      </c>
      <c r="F38" s="22">
        <v>116</v>
      </c>
      <c r="G38" s="29">
        <v>1</v>
      </c>
      <c r="H38" s="22">
        <v>515</v>
      </c>
      <c r="I38" s="29">
        <v>1</v>
      </c>
      <c r="J38" s="22">
        <v>237</v>
      </c>
      <c r="K38" s="29">
        <v>1</v>
      </c>
      <c r="L38" s="22">
        <v>630</v>
      </c>
      <c r="M38" s="29">
        <v>1</v>
      </c>
      <c r="N38" s="22">
        <v>1839</v>
      </c>
      <c r="O38" s="29">
        <v>1</v>
      </c>
    </row>
    <row r="39" spans="1:21" x14ac:dyDescent="0.2">
      <c r="A39" s="95" t="s">
        <v>145</v>
      </c>
      <c r="B39" s="28"/>
      <c r="C39" s="54">
        <v>0.35365853658536583</v>
      </c>
      <c r="D39" s="28"/>
      <c r="E39" s="54">
        <v>0.23076923076923078</v>
      </c>
      <c r="F39" s="28"/>
      <c r="G39" s="54">
        <v>0.50862068965517238</v>
      </c>
      <c r="H39" s="28"/>
      <c r="I39" s="54">
        <v>0.34951456310679613</v>
      </c>
      <c r="J39" s="28"/>
      <c r="K39" s="54">
        <v>0.42194092827004215</v>
      </c>
      <c r="L39" s="28"/>
      <c r="M39" s="54">
        <v>0.3936507936507937</v>
      </c>
      <c r="N39" s="22"/>
      <c r="O39" s="54">
        <v>0.38390429581294183</v>
      </c>
    </row>
    <row r="40" spans="1:21" x14ac:dyDescent="0.2">
      <c r="A40" s="38"/>
      <c r="B40" s="36"/>
      <c r="C40" s="36"/>
      <c r="D40" s="36"/>
      <c r="E40" s="36"/>
      <c r="F40" s="36"/>
      <c r="G40" s="36"/>
      <c r="H40" s="39"/>
      <c r="I40" s="36"/>
      <c r="J40" s="36"/>
      <c r="K40" s="36"/>
      <c r="L40" s="36"/>
      <c r="M40" s="36"/>
      <c r="N40" s="36"/>
      <c r="O40" s="36"/>
    </row>
    <row r="41" spans="1:21" x14ac:dyDescent="0.2">
      <c r="A41" s="121" t="s">
        <v>185</v>
      </c>
      <c r="B41" s="122" t="s">
        <v>100</v>
      </c>
      <c r="C41" s="122"/>
      <c r="D41" s="122" t="s">
        <v>80</v>
      </c>
      <c r="E41" s="122"/>
      <c r="F41" s="123" t="s">
        <v>136</v>
      </c>
      <c r="G41" s="123"/>
      <c r="H41" s="122" t="s">
        <v>82</v>
      </c>
      <c r="I41" s="122"/>
      <c r="J41" s="122" t="s">
        <v>81</v>
      </c>
      <c r="K41" s="122"/>
      <c r="L41" s="122" t="s">
        <v>98</v>
      </c>
      <c r="M41" s="122"/>
      <c r="N41" s="116" t="s">
        <v>1</v>
      </c>
      <c r="O41" s="116"/>
    </row>
    <row r="42" spans="1:21" x14ac:dyDescent="0.2">
      <c r="A42" s="20" t="s">
        <v>144</v>
      </c>
      <c r="B42" s="28">
        <v>243</v>
      </c>
      <c r="C42" s="29">
        <v>0.745398773006135</v>
      </c>
      <c r="D42" s="28">
        <v>10</v>
      </c>
      <c r="E42" s="29">
        <v>0.76923076923076927</v>
      </c>
      <c r="F42" s="28">
        <v>71</v>
      </c>
      <c r="G42" s="29">
        <v>0.61739130434782608</v>
      </c>
      <c r="H42" s="28">
        <v>374</v>
      </c>
      <c r="I42" s="29">
        <v>0.73333333333333328</v>
      </c>
      <c r="J42" s="28">
        <v>140</v>
      </c>
      <c r="K42" s="29">
        <v>0.58823529411764708</v>
      </c>
      <c r="L42" s="28">
        <v>477</v>
      </c>
      <c r="M42" s="29">
        <v>0.75236593059936907</v>
      </c>
      <c r="N42" s="21">
        <v>1315</v>
      </c>
      <c r="O42" s="29">
        <v>0.71623093681917216</v>
      </c>
    </row>
    <row r="43" spans="1:21" x14ac:dyDescent="0.2">
      <c r="A43" s="20" t="s">
        <v>143</v>
      </c>
      <c r="B43" s="28">
        <v>21</v>
      </c>
      <c r="C43" s="29">
        <v>6.4417177914110432E-2</v>
      </c>
      <c r="D43" s="28">
        <v>3</v>
      </c>
      <c r="E43" s="29">
        <v>0.23076923076923078</v>
      </c>
      <c r="F43" s="28">
        <v>8</v>
      </c>
      <c r="G43" s="29">
        <v>6.9565217391304349E-2</v>
      </c>
      <c r="H43" s="28">
        <v>41</v>
      </c>
      <c r="I43" s="29">
        <v>8.0392156862745104E-2</v>
      </c>
      <c r="J43" s="28">
        <v>23</v>
      </c>
      <c r="K43" s="29">
        <v>9.6638655462184878E-2</v>
      </c>
      <c r="L43" s="28">
        <v>43</v>
      </c>
      <c r="M43" s="29">
        <v>6.7823343848580436E-2</v>
      </c>
      <c r="N43" s="21">
        <v>139</v>
      </c>
      <c r="O43" s="29">
        <v>7.5708061002178653E-2</v>
      </c>
    </row>
    <row r="44" spans="1:21" x14ac:dyDescent="0.2">
      <c r="A44" s="20" t="s">
        <v>142</v>
      </c>
      <c r="B44" s="28">
        <v>12</v>
      </c>
      <c r="C44" s="29">
        <v>3.6809815950920248E-2</v>
      </c>
      <c r="D44" s="28"/>
      <c r="E44" s="29">
        <v>0</v>
      </c>
      <c r="F44" s="28">
        <v>9</v>
      </c>
      <c r="G44" s="29">
        <v>7.8260869565217397E-2</v>
      </c>
      <c r="H44" s="28">
        <v>30</v>
      </c>
      <c r="I44" s="29">
        <v>5.8823529411764705E-2</v>
      </c>
      <c r="J44" s="28">
        <v>20</v>
      </c>
      <c r="K44" s="29">
        <v>8.4033613445378158E-2</v>
      </c>
      <c r="L44" s="28">
        <v>28</v>
      </c>
      <c r="M44" s="29">
        <v>4.4164037854889593E-2</v>
      </c>
      <c r="N44" s="21">
        <v>99</v>
      </c>
      <c r="O44" s="29">
        <v>5.3921568627450983E-2</v>
      </c>
    </row>
    <row r="45" spans="1:21" x14ac:dyDescent="0.2">
      <c r="A45" s="20" t="s">
        <v>141</v>
      </c>
      <c r="B45" s="28">
        <v>18</v>
      </c>
      <c r="C45" s="29">
        <v>5.5214723926380369E-2</v>
      </c>
      <c r="D45" s="28"/>
      <c r="E45" s="29">
        <v>0</v>
      </c>
      <c r="F45" s="28">
        <v>8</v>
      </c>
      <c r="G45" s="29">
        <v>6.9565217391304349E-2</v>
      </c>
      <c r="H45" s="28">
        <v>26</v>
      </c>
      <c r="I45" s="29">
        <v>5.0980392156862744E-2</v>
      </c>
      <c r="J45" s="28">
        <v>17</v>
      </c>
      <c r="K45" s="29">
        <v>7.1428571428571425E-2</v>
      </c>
      <c r="L45" s="28">
        <v>33</v>
      </c>
      <c r="M45" s="29">
        <v>5.2050473186119876E-2</v>
      </c>
      <c r="N45" s="21">
        <v>102</v>
      </c>
      <c r="O45" s="29">
        <v>5.5555555555555552E-2</v>
      </c>
    </row>
    <row r="46" spans="1:21" x14ac:dyDescent="0.2">
      <c r="A46" s="20" t="s">
        <v>140</v>
      </c>
      <c r="B46" s="28">
        <v>32</v>
      </c>
      <c r="C46" s="29">
        <v>9.815950920245399E-2</v>
      </c>
      <c r="D46" s="28"/>
      <c r="E46" s="29">
        <v>0</v>
      </c>
      <c r="F46" s="28">
        <v>19</v>
      </c>
      <c r="G46" s="29">
        <v>0.16521739130434782</v>
      </c>
      <c r="H46" s="28">
        <v>39</v>
      </c>
      <c r="I46" s="29">
        <v>7.6470588235294124E-2</v>
      </c>
      <c r="J46" s="28">
        <v>38</v>
      </c>
      <c r="K46" s="29">
        <v>0.15966386554621848</v>
      </c>
      <c r="L46" s="28">
        <v>53</v>
      </c>
      <c r="M46" s="29">
        <v>8.3596214511041003E-2</v>
      </c>
      <c r="N46" s="21">
        <v>181</v>
      </c>
      <c r="O46" s="29">
        <v>9.8583877995642707E-2</v>
      </c>
    </row>
    <row r="47" spans="1:21" x14ac:dyDescent="0.2">
      <c r="A47" s="95" t="s">
        <v>1</v>
      </c>
      <c r="B47" s="22">
        <v>326</v>
      </c>
      <c r="C47" s="29">
        <v>1</v>
      </c>
      <c r="D47" s="22">
        <v>13</v>
      </c>
      <c r="E47" s="29">
        <v>1</v>
      </c>
      <c r="F47" s="22">
        <v>115</v>
      </c>
      <c r="G47" s="29">
        <v>1</v>
      </c>
      <c r="H47" s="22">
        <v>510</v>
      </c>
      <c r="I47" s="29">
        <v>1</v>
      </c>
      <c r="J47" s="22">
        <v>238</v>
      </c>
      <c r="K47" s="29">
        <v>1</v>
      </c>
      <c r="L47" s="22">
        <v>634</v>
      </c>
      <c r="M47" s="29">
        <v>1</v>
      </c>
      <c r="N47" s="22">
        <v>1836</v>
      </c>
      <c r="O47" s="29">
        <v>1</v>
      </c>
    </row>
    <row r="48" spans="1:21" x14ac:dyDescent="0.2">
      <c r="A48" s="95" t="s">
        <v>145</v>
      </c>
      <c r="B48" s="28"/>
      <c r="C48" s="54">
        <v>0.19018404907975461</v>
      </c>
      <c r="D48" s="28"/>
      <c r="E48" s="54">
        <v>0</v>
      </c>
      <c r="F48" s="28"/>
      <c r="G48" s="54">
        <v>0.31304347826086953</v>
      </c>
      <c r="H48" s="28"/>
      <c r="I48" s="54">
        <v>0.18627450980392157</v>
      </c>
      <c r="J48" s="28"/>
      <c r="K48" s="54">
        <v>0.31512605042016806</v>
      </c>
      <c r="L48" s="28"/>
      <c r="M48" s="54">
        <v>0.17981072555205047</v>
      </c>
      <c r="N48" s="22"/>
      <c r="O48" s="54">
        <v>0.20806100217864926</v>
      </c>
    </row>
    <row r="49" spans="1:15" x14ac:dyDescent="0.2">
      <c r="A49" s="37"/>
      <c r="B49" s="36"/>
      <c r="C49" s="36"/>
      <c r="D49" s="36"/>
      <c r="E49" s="36"/>
      <c r="F49" s="36"/>
      <c r="G49" s="36"/>
      <c r="H49" s="39"/>
      <c r="I49" s="36"/>
      <c r="J49" s="36"/>
      <c r="K49" s="36"/>
      <c r="L49" s="36"/>
      <c r="M49" s="36"/>
      <c r="N49" s="36"/>
      <c r="O49" s="36"/>
    </row>
    <row r="50" spans="1:15" x14ac:dyDescent="0.2">
      <c r="A50" s="121" t="s">
        <v>230</v>
      </c>
      <c r="B50" s="122" t="s">
        <v>100</v>
      </c>
      <c r="C50" s="122"/>
      <c r="D50" s="122" t="s">
        <v>80</v>
      </c>
      <c r="E50" s="122"/>
      <c r="F50" s="123" t="s">
        <v>136</v>
      </c>
      <c r="G50" s="123"/>
      <c r="H50" s="122" t="s">
        <v>82</v>
      </c>
      <c r="I50" s="122"/>
      <c r="J50" s="122" t="s">
        <v>81</v>
      </c>
      <c r="K50" s="122"/>
      <c r="L50" s="122" t="s">
        <v>98</v>
      </c>
      <c r="M50" s="122"/>
      <c r="N50" s="116" t="s">
        <v>1</v>
      </c>
      <c r="O50" s="116"/>
    </row>
    <row r="51" spans="1:15" x14ac:dyDescent="0.2">
      <c r="A51" s="20" t="s">
        <v>144</v>
      </c>
      <c r="B51" s="28">
        <v>176</v>
      </c>
      <c r="C51" s="29">
        <v>0.53822629969418956</v>
      </c>
      <c r="D51" s="28">
        <v>9</v>
      </c>
      <c r="E51" s="29">
        <v>0.69230769230769229</v>
      </c>
      <c r="F51" s="28">
        <v>54</v>
      </c>
      <c r="G51" s="29">
        <v>0.47368421052631576</v>
      </c>
      <c r="H51" s="28">
        <v>295</v>
      </c>
      <c r="I51" s="29">
        <v>0.5772994129158513</v>
      </c>
      <c r="J51" s="28">
        <v>131</v>
      </c>
      <c r="K51" s="29">
        <v>0.5527426160337553</v>
      </c>
      <c r="L51" s="28">
        <v>382</v>
      </c>
      <c r="M51" s="29">
        <v>0.59874608150470221</v>
      </c>
      <c r="N51" s="21">
        <v>1047</v>
      </c>
      <c r="O51" s="29">
        <v>0.56902173913043474</v>
      </c>
    </row>
    <row r="52" spans="1:15" x14ac:dyDescent="0.2">
      <c r="A52" s="20" t="s">
        <v>143</v>
      </c>
      <c r="B52" s="28">
        <v>70</v>
      </c>
      <c r="C52" s="29">
        <v>0.21406727828746178</v>
      </c>
      <c r="D52" s="28"/>
      <c r="E52" s="29">
        <v>0</v>
      </c>
      <c r="F52" s="28">
        <v>20</v>
      </c>
      <c r="G52" s="29">
        <v>0.17543859649122806</v>
      </c>
      <c r="H52" s="28">
        <v>111</v>
      </c>
      <c r="I52" s="29">
        <v>0.2172211350293542</v>
      </c>
      <c r="J52" s="28">
        <v>43</v>
      </c>
      <c r="K52" s="29">
        <v>0.18143459915611815</v>
      </c>
      <c r="L52" s="28">
        <v>111</v>
      </c>
      <c r="M52" s="29">
        <v>0.17398119122257052</v>
      </c>
      <c r="N52" s="21">
        <v>355</v>
      </c>
      <c r="O52" s="29">
        <v>0.19293478260869565</v>
      </c>
    </row>
    <row r="53" spans="1:15" x14ac:dyDescent="0.2">
      <c r="A53" s="20" t="s">
        <v>142</v>
      </c>
      <c r="B53" s="28">
        <v>31</v>
      </c>
      <c r="C53" s="29">
        <v>9.480122324159021E-2</v>
      </c>
      <c r="D53" s="28">
        <v>1</v>
      </c>
      <c r="E53" s="29">
        <v>7.6923076923076927E-2</v>
      </c>
      <c r="F53" s="28">
        <v>18</v>
      </c>
      <c r="G53" s="29">
        <v>0.15789473684210525</v>
      </c>
      <c r="H53" s="28">
        <v>42</v>
      </c>
      <c r="I53" s="29">
        <v>8.2191780821917804E-2</v>
      </c>
      <c r="J53" s="28">
        <v>21</v>
      </c>
      <c r="K53" s="29">
        <v>8.8607594936708861E-2</v>
      </c>
      <c r="L53" s="28">
        <v>55</v>
      </c>
      <c r="M53" s="29">
        <v>8.6206896551724144E-2</v>
      </c>
      <c r="N53" s="21">
        <v>168</v>
      </c>
      <c r="O53" s="29">
        <v>9.1304347826086957E-2</v>
      </c>
    </row>
    <row r="54" spans="1:15" x14ac:dyDescent="0.2">
      <c r="A54" s="20" t="s">
        <v>141</v>
      </c>
      <c r="B54" s="28">
        <v>22</v>
      </c>
      <c r="C54" s="29">
        <v>6.7278287461773695E-2</v>
      </c>
      <c r="D54" s="28">
        <v>1</v>
      </c>
      <c r="E54" s="29">
        <v>7.6923076923076927E-2</v>
      </c>
      <c r="F54" s="28">
        <v>6</v>
      </c>
      <c r="G54" s="29">
        <v>5.2631578947368418E-2</v>
      </c>
      <c r="H54" s="28">
        <v>26</v>
      </c>
      <c r="I54" s="29">
        <v>5.0880626223091974E-2</v>
      </c>
      <c r="J54" s="28">
        <v>18</v>
      </c>
      <c r="K54" s="29">
        <v>7.5949367088607597E-2</v>
      </c>
      <c r="L54" s="28">
        <v>30</v>
      </c>
      <c r="M54" s="29">
        <v>4.7021943573667714E-2</v>
      </c>
      <c r="N54" s="21">
        <v>103</v>
      </c>
      <c r="O54" s="29">
        <v>5.597826086956522E-2</v>
      </c>
    </row>
    <row r="55" spans="1:15" x14ac:dyDescent="0.2">
      <c r="A55" s="20" t="s">
        <v>140</v>
      </c>
      <c r="B55" s="28">
        <v>28</v>
      </c>
      <c r="C55" s="29">
        <v>8.5626911314984705E-2</v>
      </c>
      <c r="D55" s="28">
        <v>2</v>
      </c>
      <c r="E55" s="29">
        <v>0.15384615384615385</v>
      </c>
      <c r="F55" s="28">
        <v>16</v>
      </c>
      <c r="G55" s="29">
        <v>0.14035087719298245</v>
      </c>
      <c r="H55" s="28">
        <v>37</v>
      </c>
      <c r="I55" s="29">
        <v>7.2407045009784732E-2</v>
      </c>
      <c r="J55" s="28">
        <v>24</v>
      </c>
      <c r="K55" s="29">
        <v>0.10126582278481013</v>
      </c>
      <c r="L55" s="28">
        <v>60</v>
      </c>
      <c r="M55" s="29">
        <v>9.4043887147335428E-2</v>
      </c>
      <c r="N55" s="21">
        <v>167</v>
      </c>
      <c r="O55" s="29">
        <v>9.0760869565217395E-2</v>
      </c>
    </row>
    <row r="56" spans="1:15" x14ac:dyDescent="0.2">
      <c r="A56" s="95" t="s">
        <v>1</v>
      </c>
      <c r="B56" s="22">
        <v>327</v>
      </c>
      <c r="C56" s="29">
        <v>0.99999999999999989</v>
      </c>
      <c r="D56" s="22">
        <v>13</v>
      </c>
      <c r="E56" s="29">
        <v>0.99999999999999989</v>
      </c>
      <c r="F56" s="22">
        <v>114</v>
      </c>
      <c r="G56" s="29">
        <v>1</v>
      </c>
      <c r="H56" s="22">
        <v>511</v>
      </c>
      <c r="I56" s="29">
        <v>1</v>
      </c>
      <c r="J56" s="22">
        <v>237</v>
      </c>
      <c r="K56" s="29">
        <v>1</v>
      </c>
      <c r="L56" s="22">
        <v>638</v>
      </c>
      <c r="M56" s="29">
        <v>1</v>
      </c>
      <c r="N56" s="22">
        <v>1840</v>
      </c>
      <c r="O56" s="29">
        <v>1</v>
      </c>
    </row>
    <row r="57" spans="1:15" x14ac:dyDescent="0.2">
      <c r="A57" s="95" t="s">
        <v>145</v>
      </c>
      <c r="B57" s="28"/>
      <c r="C57" s="54">
        <v>0.24770642201834861</v>
      </c>
      <c r="D57" s="28"/>
      <c r="E57" s="54">
        <v>0.30769230769230771</v>
      </c>
      <c r="F57" s="28"/>
      <c r="G57" s="54">
        <v>0.35087719298245612</v>
      </c>
      <c r="H57" s="28"/>
      <c r="I57" s="54">
        <v>0.20547945205479451</v>
      </c>
      <c r="J57" s="28"/>
      <c r="K57" s="54">
        <v>0.26582278481012656</v>
      </c>
      <c r="L57" s="28"/>
      <c r="M57" s="54">
        <v>0.22727272727272729</v>
      </c>
      <c r="N57" s="22"/>
      <c r="O57" s="54">
        <v>0.23804347826086958</v>
      </c>
    </row>
    <row r="58" spans="1:15" x14ac:dyDescent="0.2">
      <c r="A58" s="37"/>
      <c r="B58" s="36"/>
      <c r="C58" s="36"/>
      <c r="D58" s="36"/>
      <c r="E58" s="36"/>
      <c r="F58" s="36"/>
      <c r="G58" s="36"/>
      <c r="H58" s="39"/>
      <c r="I58" s="36"/>
      <c r="J58" s="36"/>
      <c r="K58" s="36"/>
      <c r="L58" s="36"/>
      <c r="M58" s="36"/>
      <c r="N58" s="36"/>
      <c r="O58" s="36"/>
    </row>
    <row r="59" spans="1:15" x14ac:dyDescent="0.2">
      <c r="A59" s="121" t="s">
        <v>187</v>
      </c>
      <c r="B59" s="122" t="s">
        <v>100</v>
      </c>
      <c r="C59" s="122"/>
      <c r="D59" s="122" t="s">
        <v>80</v>
      </c>
      <c r="E59" s="122"/>
      <c r="F59" s="123" t="s">
        <v>136</v>
      </c>
      <c r="G59" s="123"/>
      <c r="H59" s="122" t="s">
        <v>82</v>
      </c>
      <c r="I59" s="122"/>
      <c r="J59" s="122" t="s">
        <v>81</v>
      </c>
      <c r="K59" s="122"/>
      <c r="L59" s="122" t="s">
        <v>98</v>
      </c>
      <c r="M59" s="122"/>
      <c r="N59" s="116" t="s">
        <v>1</v>
      </c>
      <c r="O59" s="116"/>
    </row>
    <row r="60" spans="1:15" x14ac:dyDescent="0.2">
      <c r="A60" s="20" t="s">
        <v>144</v>
      </c>
      <c r="B60" s="28">
        <v>82</v>
      </c>
      <c r="C60" s="29">
        <v>0.25</v>
      </c>
      <c r="D60" s="28">
        <v>2</v>
      </c>
      <c r="E60" s="29">
        <v>0.15384615384615385</v>
      </c>
      <c r="F60" s="28">
        <v>15</v>
      </c>
      <c r="G60" s="29">
        <v>0.13274336283185842</v>
      </c>
      <c r="H60" s="28">
        <v>134</v>
      </c>
      <c r="I60" s="29">
        <v>0.25918762088974856</v>
      </c>
      <c r="J60" s="28">
        <v>32</v>
      </c>
      <c r="K60" s="29">
        <v>0.13445378151260504</v>
      </c>
      <c r="L60" s="28">
        <v>127</v>
      </c>
      <c r="M60" s="29">
        <v>0.20031545741324921</v>
      </c>
      <c r="N60" s="21">
        <v>392</v>
      </c>
      <c r="O60" s="29">
        <v>0.21269669017905588</v>
      </c>
    </row>
    <row r="61" spans="1:15" x14ac:dyDescent="0.2">
      <c r="A61" s="20" t="s">
        <v>143</v>
      </c>
      <c r="B61" s="28">
        <v>11</v>
      </c>
      <c r="C61" s="29">
        <v>3.3536585365853661E-2</v>
      </c>
      <c r="D61" s="28"/>
      <c r="E61" s="29">
        <v>0</v>
      </c>
      <c r="F61" s="28">
        <v>2</v>
      </c>
      <c r="G61" s="29">
        <v>1.7699115044247787E-2</v>
      </c>
      <c r="H61" s="28">
        <v>11</v>
      </c>
      <c r="I61" s="29">
        <v>2.1276595744680851E-2</v>
      </c>
      <c r="J61" s="28">
        <v>8</v>
      </c>
      <c r="K61" s="29">
        <v>3.3613445378151259E-2</v>
      </c>
      <c r="L61" s="28">
        <v>14</v>
      </c>
      <c r="M61" s="29">
        <v>2.2082018927444796E-2</v>
      </c>
      <c r="N61" s="21">
        <v>46</v>
      </c>
      <c r="O61" s="29">
        <v>2.4959305480195332E-2</v>
      </c>
    </row>
    <row r="62" spans="1:15" x14ac:dyDescent="0.2">
      <c r="A62" s="20" t="s">
        <v>142</v>
      </c>
      <c r="B62" s="28">
        <v>11</v>
      </c>
      <c r="C62" s="29">
        <v>3.3536585365853661E-2</v>
      </c>
      <c r="D62" s="28">
        <v>1</v>
      </c>
      <c r="E62" s="29">
        <v>7.6923076923076927E-2</v>
      </c>
      <c r="F62" s="28">
        <v>5</v>
      </c>
      <c r="G62" s="29">
        <v>4.4247787610619468E-2</v>
      </c>
      <c r="H62" s="28">
        <v>11</v>
      </c>
      <c r="I62" s="29">
        <v>2.1276595744680851E-2</v>
      </c>
      <c r="J62" s="28">
        <v>5</v>
      </c>
      <c r="K62" s="29">
        <v>2.100840336134454E-2</v>
      </c>
      <c r="L62" s="28">
        <v>21</v>
      </c>
      <c r="M62" s="29">
        <v>3.3123028391167195E-2</v>
      </c>
      <c r="N62" s="21">
        <v>54</v>
      </c>
      <c r="O62" s="29">
        <v>2.9300054259359741E-2</v>
      </c>
    </row>
    <row r="63" spans="1:15" x14ac:dyDescent="0.2">
      <c r="A63" s="20" t="s">
        <v>141</v>
      </c>
      <c r="B63" s="28">
        <v>22</v>
      </c>
      <c r="C63" s="29">
        <v>6.7073170731707321E-2</v>
      </c>
      <c r="D63" s="28"/>
      <c r="E63" s="29">
        <v>0</v>
      </c>
      <c r="F63" s="28">
        <v>4</v>
      </c>
      <c r="G63" s="29">
        <v>3.5398230088495575E-2</v>
      </c>
      <c r="H63" s="28">
        <v>22</v>
      </c>
      <c r="I63" s="29">
        <v>4.2553191489361701E-2</v>
      </c>
      <c r="J63" s="28">
        <v>16</v>
      </c>
      <c r="K63" s="29">
        <v>6.7226890756302518E-2</v>
      </c>
      <c r="L63" s="28">
        <v>21</v>
      </c>
      <c r="M63" s="29">
        <v>3.3123028391167195E-2</v>
      </c>
      <c r="N63" s="21">
        <v>85</v>
      </c>
      <c r="O63" s="29">
        <v>4.6120455778621811E-2</v>
      </c>
    </row>
    <row r="64" spans="1:15" x14ac:dyDescent="0.2">
      <c r="A64" s="20" t="s">
        <v>140</v>
      </c>
      <c r="B64" s="28">
        <v>202</v>
      </c>
      <c r="C64" s="29">
        <v>0.61585365853658536</v>
      </c>
      <c r="D64" s="28">
        <v>10</v>
      </c>
      <c r="E64" s="29">
        <v>0.76923076923076927</v>
      </c>
      <c r="F64" s="28">
        <v>87</v>
      </c>
      <c r="G64" s="29">
        <v>0.76991150442477874</v>
      </c>
      <c r="H64" s="28">
        <v>339</v>
      </c>
      <c r="I64" s="29">
        <v>0.65570599613152802</v>
      </c>
      <c r="J64" s="28">
        <v>177</v>
      </c>
      <c r="K64" s="29">
        <v>0.74369747899159666</v>
      </c>
      <c r="L64" s="28">
        <v>451</v>
      </c>
      <c r="M64" s="29">
        <v>0.71135646687697163</v>
      </c>
      <c r="N64" s="21">
        <v>1266</v>
      </c>
      <c r="O64" s="29">
        <v>0.68692349430276722</v>
      </c>
    </row>
    <row r="65" spans="1:15" x14ac:dyDescent="0.2">
      <c r="A65" s="95" t="s">
        <v>1</v>
      </c>
      <c r="B65" s="22">
        <v>328</v>
      </c>
      <c r="C65" s="29">
        <v>1</v>
      </c>
      <c r="D65" s="22">
        <v>13</v>
      </c>
      <c r="E65" s="29">
        <v>1</v>
      </c>
      <c r="F65" s="22">
        <v>113</v>
      </c>
      <c r="G65" s="29">
        <v>1</v>
      </c>
      <c r="H65" s="22">
        <v>517</v>
      </c>
      <c r="I65" s="29">
        <v>1</v>
      </c>
      <c r="J65" s="22">
        <v>238</v>
      </c>
      <c r="K65" s="29">
        <v>1</v>
      </c>
      <c r="L65" s="22">
        <v>634</v>
      </c>
      <c r="M65" s="29">
        <v>1</v>
      </c>
      <c r="N65" s="22">
        <v>1843</v>
      </c>
      <c r="O65" s="29">
        <v>1</v>
      </c>
    </row>
    <row r="66" spans="1:15" x14ac:dyDescent="0.2">
      <c r="A66" s="95" t="s">
        <v>145</v>
      </c>
      <c r="B66" s="28"/>
      <c r="C66" s="54">
        <v>0.71646341463414631</v>
      </c>
      <c r="D66" s="28"/>
      <c r="E66" s="54">
        <v>0.84615384615384626</v>
      </c>
      <c r="F66" s="28"/>
      <c r="G66" s="54">
        <v>0.84955752212389379</v>
      </c>
      <c r="H66" s="28"/>
      <c r="I66" s="54">
        <v>0.71953578336557056</v>
      </c>
      <c r="J66" s="28"/>
      <c r="K66" s="54">
        <v>0.83193277310924374</v>
      </c>
      <c r="L66" s="28"/>
      <c r="M66" s="54">
        <v>0.77760252365930604</v>
      </c>
      <c r="N66" s="22"/>
      <c r="O66" s="54">
        <v>0.76234400434074878</v>
      </c>
    </row>
    <row r="67" spans="1:15" x14ac:dyDescent="0.2">
      <c r="A67" s="36"/>
      <c r="B67" s="36"/>
      <c r="C67" s="36"/>
      <c r="D67" s="36"/>
      <c r="E67" s="36"/>
      <c r="F67" s="36"/>
      <c r="G67" s="36"/>
      <c r="H67" s="39"/>
      <c r="I67" s="36"/>
      <c r="J67" s="36"/>
      <c r="K67" s="36"/>
      <c r="L67" s="36"/>
      <c r="M67" s="36"/>
      <c r="N67" s="36"/>
      <c r="O67" s="36"/>
    </row>
    <row r="68" spans="1:15" x14ac:dyDescent="0.2">
      <c r="A68" s="121" t="s">
        <v>147</v>
      </c>
      <c r="B68" s="122" t="s">
        <v>100</v>
      </c>
      <c r="C68" s="122"/>
      <c r="D68" s="122" t="s">
        <v>80</v>
      </c>
      <c r="E68" s="122"/>
      <c r="F68" s="123" t="s">
        <v>136</v>
      </c>
      <c r="G68" s="123"/>
      <c r="H68" s="122" t="s">
        <v>82</v>
      </c>
      <c r="I68" s="122"/>
      <c r="J68" s="122" t="s">
        <v>81</v>
      </c>
      <c r="K68" s="122"/>
      <c r="L68" s="122" t="s">
        <v>98</v>
      </c>
      <c r="M68" s="122"/>
      <c r="N68" s="116" t="s">
        <v>1</v>
      </c>
      <c r="O68" s="116"/>
    </row>
    <row r="69" spans="1:15" x14ac:dyDescent="0.2">
      <c r="A69" s="20" t="s">
        <v>144</v>
      </c>
      <c r="B69" s="28">
        <v>21</v>
      </c>
      <c r="C69" s="29">
        <v>6.4220183486238536E-2</v>
      </c>
      <c r="D69" s="28"/>
      <c r="E69" s="29">
        <v>0</v>
      </c>
      <c r="F69" s="28">
        <v>5</v>
      </c>
      <c r="G69" s="29">
        <v>4.2016806722689079E-2</v>
      </c>
      <c r="H69" s="28">
        <v>29</v>
      </c>
      <c r="I69" s="29">
        <v>5.5769230769230772E-2</v>
      </c>
      <c r="J69" s="28">
        <v>9</v>
      </c>
      <c r="K69" s="29">
        <v>3.7656903765690378E-2</v>
      </c>
      <c r="L69" s="28">
        <v>38</v>
      </c>
      <c r="M69" s="29">
        <v>5.9374999999999997E-2</v>
      </c>
      <c r="N69" s="21">
        <v>102</v>
      </c>
      <c r="O69" s="29">
        <v>5.4897739504843918E-2</v>
      </c>
    </row>
    <row r="70" spans="1:15" x14ac:dyDescent="0.2">
      <c r="A70" s="20" t="s">
        <v>143</v>
      </c>
      <c r="B70" s="28">
        <v>6</v>
      </c>
      <c r="C70" s="29">
        <v>1.834862385321101E-2</v>
      </c>
      <c r="D70" s="28"/>
      <c r="E70" s="29">
        <v>0</v>
      </c>
      <c r="F70" s="28">
        <v>2</v>
      </c>
      <c r="G70" s="29">
        <v>1.680672268907563E-2</v>
      </c>
      <c r="H70" s="28">
        <v>7</v>
      </c>
      <c r="I70" s="29">
        <v>1.3461538461538462E-2</v>
      </c>
      <c r="J70" s="28">
        <v>5</v>
      </c>
      <c r="K70" s="29">
        <v>2.0920502092050208E-2</v>
      </c>
      <c r="L70" s="28">
        <v>9</v>
      </c>
      <c r="M70" s="29">
        <v>1.40625E-2</v>
      </c>
      <c r="N70" s="21">
        <v>29</v>
      </c>
      <c r="O70" s="29">
        <v>1.5608180839612486E-2</v>
      </c>
    </row>
    <row r="71" spans="1:15" x14ac:dyDescent="0.2">
      <c r="A71" s="20" t="s">
        <v>142</v>
      </c>
      <c r="B71" s="28">
        <v>8</v>
      </c>
      <c r="C71" s="29">
        <v>2.4464831804281346E-2</v>
      </c>
      <c r="D71" s="28"/>
      <c r="E71" s="29">
        <v>0</v>
      </c>
      <c r="F71" s="28">
        <v>4</v>
      </c>
      <c r="G71" s="29">
        <v>3.3613445378151259E-2</v>
      </c>
      <c r="H71" s="28">
        <v>17</v>
      </c>
      <c r="I71" s="29">
        <v>3.2692307692307694E-2</v>
      </c>
      <c r="J71" s="28">
        <v>4</v>
      </c>
      <c r="K71" s="29">
        <v>1.6736401673640166E-2</v>
      </c>
      <c r="L71" s="28">
        <v>19</v>
      </c>
      <c r="M71" s="29">
        <v>2.9687499999999999E-2</v>
      </c>
      <c r="N71" s="21">
        <v>52</v>
      </c>
      <c r="O71" s="29">
        <v>2.7987082884822389E-2</v>
      </c>
    </row>
    <row r="72" spans="1:15" x14ac:dyDescent="0.2">
      <c r="A72" s="20" t="s">
        <v>141</v>
      </c>
      <c r="B72" s="28">
        <v>27</v>
      </c>
      <c r="C72" s="29">
        <v>8.2568807339449546E-2</v>
      </c>
      <c r="D72" s="28"/>
      <c r="E72" s="29">
        <v>0</v>
      </c>
      <c r="F72" s="28">
        <v>15</v>
      </c>
      <c r="G72" s="29">
        <v>0.12605042016806722</v>
      </c>
      <c r="H72" s="28">
        <v>42</v>
      </c>
      <c r="I72" s="29">
        <v>8.0769230769230774E-2</v>
      </c>
      <c r="J72" s="28">
        <v>14</v>
      </c>
      <c r="K72" s="29">
        <v>5.8577405857740586E-2</v>
      </c>
      <c r="L72" s="28">
        <v>34</v>
      </c>
      <c r="M72" s="29">
        <v>5.3124999999999999E-2</v>
      </c>
      <c r="N72" s="21">
        <v>132</v>
      </c>
      <c r="O72" s="29">
        <v>7.1044133476856841E-2</v>
      </c>
    </row>
    <row r="73" spans="1:15" x14ac:dyDescent="0.2">
      <c r="A73" s="20" t="s">
        <v>140</v>
      </c>
      <c r="B73" s="28">
        <v>265</v>
      </c>
      <c r="C73" s="29">
        <v>0.81039755351681952</v>
      </c>
      <c r="D73" s="28">
        <v>13</v>
      </c>
      <c r="E73" s="29">
        <v>1</v>
      </c>
      <c r="F73" s="28">
        <v>93</v>
      </c>
      <c r="G73" s="29">
        <v>0.78151260504201681</v>
      </c>
      <c r="H73" s="28">
        <v>425</v>
      </c>
      <c r="I73" s="29">
        <v>0.81730769230769229</v>
      </c>
      <c r="J73" s="28">
        <v>207</v>
      </c>
      <c r="K73" s="29">
        <v>0.86610878661087864</v>
      </c>
      <c r="L73" s="28">
        <v>540</v>
      </c>
      <c r="M73" s="29">
        <v>0.84375</v>
      </c>
      <c r="N73" s="21">
        <v>1543</v>
      </c>
      <c r="O73" s="29">
        <v>0.83046286329386432</v>
      </c>
    </row>
    <row r="74" spans="1:15" x14ac:dyDescent="0.2">
      <c r="A74" s="95" t="s">
        <v>1</v>
      </c>
      <c r="B74" s="22">
        <v>327</v>
      </c>
      <c r="C74" s="29">
        <v>1</v>
      </c>
      <c r="D74" s="22">
        <v>13</v>
      </c>
      <c r="E74" s="29">
        <v>1</v>
      </c>
      <c r="F74" s="22">
        <v>119</v>
      </c>
      <c r="G74" s="29">
        <v>1</v>
      </c>
      <c r="H74" s="22">
        <v>520</v>
      </c>
      <c r="I74" s="29">
        <v>1</v>
      </c>
      <c r="J74" s="22">
        <v>239</v>
      </c>
      <c r="K74" s="29">
        <v>1</v>
      </c>
      <c r="L74" s="22">
        <v>640</v>
      </c>
      <c r="M74" s="29">
        <v>1</v>
      </c>
      <c r="N74" s="22">
        <v>1858</v>
      </c>
      <c r="O74" s="29">
        <v>1</v>
      </c>
    </row>
    <row r="75" spans="1:15" x14ac:dyDescent="0.2">
      <c r="A75" s="95" t="s">
        <v>145</v>
      </c>
      <c r="B75" s="28"/>
      <c r="C75" s="54">
        <v>0.9174311926605504</v>
      </c>
      <c r="D75" s="28"/>
      <c r="E75" s="54">
        <v>1</v>
      </c>
      <c r="F75" s="28"/>
      <c r="G75" s="54">
        <v>0.94117647058823528</v>
      </c>
      <c r="H75" s="28"/>
      <c r="I75" s="54">
        <v>0.93076923076923079</v>
      </c>
      <c r="J75" s="28"/>
      <c r="K75" s="54">
        <v>0.94142259414225937</v>
      </c>
      <c r="L75" s="28"/>
      <c r="M75" s="54">
        <v>0.92656249999999996</v>
      </c>
      <c r="N75" s="22"/>
      <c r="O75" s="54">
        <v>0.92949407965554354</v>
      </c>
    </row>
    <row r="76" spans="1:15" x14ac:dyDescent="0.2">
      <c r="A76" s="37"/>
      <c r="B76" s="36"/>
      <c r="C76" s="36"/>
      <c r="D76" s="36"/>
      <c r="E76" s="36"/>
      <c r="F76" s="36"/>
      <c r="G76" s="36"/>
      <c r="H76" s="39"/>
      <c r="I76" s="36"/>
      <c r="J76" s="36"/>
      <c r="K76" s="36"/>
      <c r="L76" s="36"/>
      <c r="M76" s="36"/>
      <c r="N76" s="36"/>
      <c r="O76" s="36"/>
    </row>
    <row r="77" spans="1:15" x14ac:dyDescent="0.2">
      <c r="A77" s="121" t="s">
        <v>188</v>
      </c>
      <c r="B77" s="122" t="s">
        <v>100</v>
      </c>
      <c r="C77" s="122"/>
      <c r="D77" s="122" t="s">
        <v>80</v>
      </c>
      <c r="E77" s="122"/>
      <c r="F77" s="123" t="s">
        <v>136</v>
      </c>
      <c r="G77" s="123"/>
      <c r="H77" s="122" t="s">
        <v>82</v>
      </c>
      <c r="I77" s="122"/>
      <c r="J77" s="122" t="s">
        <v>81</v>
      </c>
      <c r="K77" s="122"/>
      <c r="L77" s="122" t="s">
        <v>98</v>
      </c>
      <c r="M77" s="122"/>
      <c r="N77" s="116" t="s">
        <v>1</v>
      </c>
      <c r="O77" s="116"/>
    </row>
    <row r="78" spans="1:15" x14ac:dyDescent="0.2">
      <c r="A78" s="20" t="s">
        <v>144</v>
      </c>
      <c r="B78" s="28">
        <v>12</v>
      </c>
      <c r="C78" s="29">
        <v>3.6585365853658534E-2</v>
      </c>
      <c r="D78" s="28"/>
      <c r="E78" s="29">
        <v>0</v>
      </c>
      <c r="F78" s="28">
        <v>10</v>
      </c>
      <c r="G78" s="29">
        <v>8.4745762711864403E-2</v>
      </c>
      <c r="H78" s="28">
        <v>30</v>
      </c>
      <c r="I78" s="29">
        <v>5.8139534883720929E-2</v>
      </c>
      <c r="J78" s="28">
        <v>13</v>
      </c>
      <c r="K78" s="29">
        <v>5.4166666666666669E-2</v>
      </c>
      <c r="L78" s="28">
        <v>35</v>
      </c>
      <c r="M78" s="29">
        <v>5.4432348367029551E-2</v>
      </c>
      <c r="N78" s="21">
        <v>100</v>
      </c>
      <c r="O78" s="29">
        <v>5.3821313240043057E-2</v>
      </c>
    </row>
    <row r="79" spans="1:15" x14ac:dyDescent="0.2">
      <c r="A79" s="20" t="s">
        <v>143</v>
      </c>
      <c r="B79" s="28">
        <v>44</v>
      </c>
      <c r="C79" s="29">
        <v>0.13414634146341464</v>
      </c>
      <c r="D79" s="28">
        <v>2</v>
      </c>
      <c r="E79" s="29">
        <v>0.15384615384615385</v>
      </c>
      <c r="F79" s="28">
        <v>10</v>
      </c>
      <c r="G79" s="29">
        <v>8.4745762711864403E-2</v>
      </c>
      <c r="H79" s="28">
        <v>90</v>
      </c>
      <c r="I79" s="29">
        <v>0.1744186046511628</v>
      </c>
      <c r="J79" s="28">
        <v>43</v>
      </c>
      <c r="K79" s="29">
        <v>0.17916666666666667</v>
      </c>
      <c r="L79" s="28">
        <v>108</v>
      </c>
      <c r="M79" s="29">
        <v>0.16796267496111975</v>
      </c>
      <c r="N79" s="21">
        <v>297</v>
      </c>
      <c r="O79" s="29">
        <v>0.15984930032292788</v>
      </c>
    </row>
    <row r="80" spans="1:15" x14ac:dyDescent="0.2">
      <c r="A80" s="20" t="s">
        <v>142</v>
      </c>
      <c r="B80" s="28">
        <v>83</v>
      </c>
      <c r="C80" s="29">
        <v>0.25304878048780488</v>
      </c>
      <c r="D80" s="28">
        <v>5</v>
      </c>
      <c r="E80" s="29">
        <v>0.38461538461538464</v>
      </c>
      <c r="F80" s="28">
        <v>25</v>
      </c>
      <c r="G80" s="29">
        <v>0.21186440677966101</v>
      </c>
      <c r="H80" s="28">
        <v>128</v>
      </c>
      <c r="I80" s="29">
        <v>0.24806201550387597</v>
      </c>
      <c r="J80" s="28">
        <v>56</v>
      </c>
      <c r="K80" s="29">
        <v>0.23333333333333334</v>
      </c>
      <c r="L80" s="28">
        <v>138</v>
      </c>
      <c r="M80" s="29">
        <v>0.21461897356143078</v>
      </c>
      <c r="N80" s="21">
        <v>435</v>
      </c>
      <c r="O80" s="29">
        <v>0.23412271259418729</v>
      </c>
    </row>
    <row r="81" spans="1:21" x14ac:dyDescent="0.2">
      <c r="A81" s="20" t="s">
        <v>141</v>
      </c>
      <c r="B81" s="28">
        <v>99</v>
      </c>
      <c r="C81" s="29">
        <v>0.30182926829268292</v>
      </c>
      <c r="D81" s="28">
        <v>3</v>
      </c>
      <c r="E81" s="29">
        <v>0.23076923076923078</v>
      </c>
      <c r="F81" s="28">
        <v>26</v>
      </c>
      <c r="G81" s="29">
        <v>0.22033898305084745</v>
      </c>
      <c r="H81" s="28">
        <v>125</v>
      </c>
      <c r="I81" s="29">
        <v>0.24224806201550386</v>
      </c>
      <c r="J81" s="28">
        <v>61</v>
      </c>
      <c r="K81" s="29">
        <v>0.25416666666666665</v>
      </c>
      <c r="L81" s="28">
        <v>167</v>
      </c>
      <c r="M81" s="29">
        <v>0.25972006220839816</v>
      </c>
      <c r="N81" s="21">
        <v>481</v>
      </c>
      <c r="O81" s="29">
        <v>0.2588805166846071</v>
      </c>
    </row>
    <row r="82" spans="1:21" x14ac:dyDescent="0.2">
      <c r="A82" s="20" t="s">
        <v>140</v>
      </c>
      <c r="B82" s="28">
        <v>90</v>
      </c>
      <c r="C82" s="29">
        <v>0.27439024390243905</v>
      </c>
      <c r="D82" s="28">
        <v>3</v>
      </c>
      <c r="E82" s="29">
        <v>0.23076923076923078</v>
      </c>
      <c r="F82" s="28">
        <v>47</v>
      </c>
      <c r="G82" s="29">
        <v>0.39830508474576271</v>
      </c>
      <c r="H82" s="28">
        <v>143</v>
      </c>
      <c r="I82" s="29">
        <v>0.27713178294573643</v>
      </c>
      <c r="J82" s="28">
        <v>67</v>
      </c>
      <c r="K82" s="29">
        <v>0.27916666666666667</v>
      </c>
      <c r="L82" s="28">
        <v>195</v>
      </c>
      <c r="M82" s="29">
        <v>0.30326594090202175</v>
      </c>
      <c r="N82" s="21">
        <v>545</v>
      </c>
      <c r="O82" s="29">
        <v>0.29332615715823468</v>
      </c>
    </row>
    <row r="83" spans="1:21" x14ac:dyDescent="0.2">
      <c r="A83" s="95" t="s">
        <v>1</v>
      </c>
      <c r="B83" s="22">
        <v>328</v>
      </c>
      <c r="C83" s="29">
        <v>1</v>
      </c>
      <c r="D83" s="22">
        <v>13</v>
      </c>
      <c r="E83" s="29">
        <v>1.0000000000000002</v>
      </c>
      <c r="F83" s="22">
        <v>118</v>
      </c>
      <c r="G83" s="29">
        <v>1</v>
      </c>
      <c r="H83" s="22">
        <v>516</v>
      </c>
      <c r="I83" s="29">
        <v>1</v>
      </c>
      <c r="J83" s="22">
        <v>240</v>
      </c>
      <c r="K83" s="29">
        <v>1</v>
      </c>
      <c r="L83" s="22">
        <v>643</v>
      </c>
      <c r="M83" s="29">
        <v>1</v>
      </c>
      <c r="N83" s="22">
        <v>1858</v>
      </c>
      <c r="O83" s="29">
        <v>1</v>
      </c>
    </row>
    <row r="84" spans="1:21" x14ac:dyDescent="0.2">
      <c r="A84" s="95" t="s">
        <v>145</v>
      </c>
      <c r="B84" s="28"/>
      <c r="C84" s="54">
        <v>0.8292682926829269</v>
      </c>
      <c r="D84" s="28"/>
      <c r="E84" s="54">
        <v>0.84615384615384626</v>
      </c>
      <c r="F84" s="28"/>
      <c r="G84" s="54">
        <v>0.83050847457627119</v>
      </c>
      <c r="H84" s="28"/>
      <c r="I84" s="54">
        <v>0.76744186046511631</v>
      </c>
      <c r="J84" s="28"/>
      <c r="K84" s="54">
        <v>0.76666666666666661</v>
      </c>
      <c r="L84" s="28"/>
      <c r="M84" s="54">
        <v>0.77760497667185069</v>
      </c>
      <c r="N84" s="22"/>
      <c r="O84" s="54">
        <v>0.7863293864370291</v>
      </c>
    </row>
    <row r="85" spans="1:21" x14ac:dyDescent="0.2">
      <c r="A85" s="37"/>
      <c r="B85" s="36"/>
      <c r="C85" s="36"/>
      <c r="D85" s="36"/>
      <c r="E85" s="36"/>
      <c r="F85" s="36"/>
      <c r="G85" s="36"/>
      <c r="H85" s="39"/>
      <c r="I85" s="36"/>
      <c r="J85" s="36"/>
      <c r="K85" s="36"/>
      <c r="L85" s="36"/>
      <c r="M85" s="36"/>
      <c r="N85" s="36"/>
      <c r="O85" s="36"/>
    </row>
    <row r="86" spans="1:21" x14ac:dyDescent="0.2">
      <c r="A86" s="121" t="s">
        <v>148</v>
      </c>
      <c r="B86" s="122" t="s">
        <v>100</v>
      </c>
      <c r="C86" s="122"/>
      <c r="D86" s="122" t="s">
        <v>80</v>
      </c>
      <c r="E86" s="122"/>
      <c r="F86" s="123" t="s">
        <v>136</v>
      </c>
      <c r="G86" s="123"/>
      <c r="H86" s="122" t="s">
        <v>82</v>
      </c>
      <c r="I86" s="122"/>
      <c r="J86" s="122" t="s">
        <v>81</v>
      </c>
      <c r="K86" s="122"/>
      <c r="L86" s="122" t="s">
        <v>98</v>
      </c>
      <c r="M86" s="122"/>
      <c r="N86" s="116" t="s">
        <v>1</v>
      </c>
      <c r="O86" s="116"/>
    </row>
    <row r="87" spans="1:21" x14ac:dyDescent="0.2">
      <c r="A87" s="20" t="s">
        <v>144</v>
      </c>
      <c r="B87" s="28">
        <v>4</v>
      </c>
      <c r="C87" s="29">
        <v>1.2195121951219513E-2</v>
      </c>
      <c r="D87" s="28"/>
      <c r="E87" s="29">
        <v>0</v>
      </c>
      <c r="F87" s="28">
        <v>2</v>
      </c>
      <c r="G87" s="29">
        <v>1.6666666666666666E-2</v>
      </c>
      <c r="H87" s="28">
        <v>9</v>
      </c>
      <c r="I87" s="29">
        <v>1.7374517374517374E-2</v>
      </c>
      <c r="J87" s="28">
        <v>5</v>
      </c>
      <c r="K87" s="29">
        <v>2.1186440677966101E-2</v>
      </c>
      <c r="L87" s="28">
        <v>13</v>
      </c>
      <c r="M87" s="29">
        <v>2.0408163265306121E-2</v>
      </c>
      <c r="N87" s="21">
        <v>33</v>
      </c>
      <c r="O87" s="29">
        <v>1.7818574514038878E-2</v>
      </c>
    </row>
    <row r="88" spans="1:21" x14ac:dyDescent="0.2">
      <c r="A88" s="20" t="s">
        <v>143</v>
      </c>
      <c r="B88" s="28">
        <v>10</v>
      </c>
      <c r="C88" s="29">
        <v>3.048780487804878E-2</v>
      </c>
      <c r="D88" s="28">
        <v>1</v>
      </c>
      <c r="E88" s="29">
        <v>7.6923076923076927E-2</v>
      </c>
      <c r="F88" s="28">
        <v>1</v>
      </c>
      <c r="G88" s="29">
        <v>8.3333333333333332E-3</v>
      </c>
      <c r="H88" s="28">
        <v>16</v>
      </c>
      <c r="I88" s="29">
        <v>3.0888030888030889E-2</v>
      </c>
      <c r="J88" s="28">
        <v>3</v>
      </c>
      <c r="K88" s="29">
        <v>1.2711864406779662E-2</v>
      </c>
      <c r="L88" s="28">
        <v>16</v>
      </c>
      <c r="M88" s="29">
        <v>2.5117739403453691E-2</v>
      </c>
      <c r="N88" s="21">
        <v>47</v>
      </c>
      <c r="O88" s="29">
        <v>2.5377969762419007E-2</v>
      </c>
    </row>
    <row r="89" spans="1:21" x14ac:dyDescent="0.2">
      <c r="A89" s="20" t="s">
        <v>142</v>
      </c>
      <c r="B89" s="28">
        <v>16</v>
      </c>
      <c r="C89" s="29">
        <v>4.878048780487805E-2</v>
      </c>
      <c r="D89" s="28">
        <v>1</v>
      </c>
      <c r="E89" s="29">
        <v>7.6923076923076927E-2</v>
      </c>
      <c r="F89" s="28">
        <v>6</v>
      </c>
      <c r="G89" s="29">
        <v>0.05</v>
      </c>
      <c r="H89" s="28">
        <v>20</v>
      </c>
      <c r="I89" s="29">
        <v>3.8610038610038609E-2</v>
      </c>
      <c r="J89" s="28">
        <v>5</v>
      </c>
      <c r="K89" s="29">
        <v>2.1186440677966101E-2</v>
      </c>
      <c r="L89" s="28">
        <v>37</v>
      </c>
      <c r="M89" s="29">
        <v>5.8084772370486655E-2</v>
      </c>
      <c r="N89" s="21">
        <v>85</v>
      </c>
      <c r="O89" s="29">
        <v>4.5896328293736501E-2</v>
      </c>
    </row>
    <row r="90" spans="1:21" x14ac:dyDescent="0.2">
      <c r="A90" s="20" t="s">
        <v>141</v>
      </c>
      <c r="B90" s="28">
        <v>34</v>
      </c>
      <c r="C90" s="29">
        <v>0.10365853658536585</v>
      </c>
      <c r="D90" s="28"/>
      <c r="E90" s="29">
        <v>0</v>
      </c>
      <c r="F90" s="28">
        <v>8</v>
      </c>
      <c r="G90" s="29">
        <v>6.6666666666666666E-2</v>
      </c>
      <c r="H90" s="28">
        <v>56</v>
      </c>
      <c r="I90" s="29">
        <v>0.10810810810810811</v>
      </c>
      <c r="J90" s="28">
        <v>20</v>
      </c>
      <c r="K90" s="29">
        <v>8.4745762711864403E-2</v>
      </c>
      <c r="L90" s="28">
        <v>64</v>
      </c>
      <c r="M90" s="29">
        <v>0.10047095761381476</v>
      </c>
      <c r="N90" s="21">
        <v>182</v>
      </c>
      <c r="O90" s="29">
        <v>9.827213822894168E-2</v>
      </c>
    </row>
    <row r="91" spans="1:21" x14ac:dyDescent="0.2">
      <c r="A91" s="20" t="s">
        <v>140</v>
      </c>
      <c r="B91" s="28">
        <v>264</v>
      </c>
      <c r="C91" s="29">
        <v>0.80487804878048785</v>
      </c>
      <c r="D91" s="28">
        <v>11</v>
      </c>
      <c r="E91" s="29">
        <v>0.84615384615384615</v>
      </c>
      <c r="F91" s="28">
        <v>103</v>
      </c>
      <c r="G91" s="29">
        <v>0.85833333333333328</v>
      </c>
      <c r="H91" s="28">
        <v>417</v>
      </c>
      <c r="I91" s="29">
        <v>0.80501930501930496</v>
      </c>
      <c r="J91" s="28">
        <v>203</v>
      </c>
      <c r="K91" s="29">
        <v>0.86016949152542377</v>
      </c>
      <c r="L91" s="28">
        <v>507</v>
      </c>
      <c r="M91" s="29">
        <v>0.79591836734693877</v>
      </c>
      <c r="N91" s="21">
        <v>1505</v>
      </c>
      <c r="O91" s="29">
        <v>0.81263498920086397</v>
      </c>
    </row>
    <row r="92" spans="1:21" x14ac:dyDescent="0.2">
      <c r="A92" s="95" t="s">
        <v>1</v>
      </c>
      <c r="B92" s="22">
        <v>328</v>
      </c>
      <c r="C92" s="29">
        <v>1</v>
      </c>
      <c r="D92" s="22">
        <v>13</v>
      </c>
      <c r="E92" s="29">
        <v>1</v>
      </c>
      <c r="F92" s="22">
        <v>120</v>
      </c>
      <c r="G92" s="29">
        <v>1</v>
      </c>
      <c r="H92" s="22">
        <v>518</v>
      </c>
      <c r="I92" s="29">
        <v>1</v>
      </c>
      <c r="J92" s="22">
        <v>236</v>
      </c>
      <c r="K92" s="29">
        <v>1</v>
      </c>
      <c r="L92" s="22">
        <v>637</v>
      </c>
      <c r="M92" s="29">
        <v>1</v>
      </c>
      <c r="N92" s="22">
        <v>1852</v>
      </c>
      <c r="O92" s="29">
        <v>1</v>
      </c>
    </row>
    <row r="93" spans="1:21" x14ac:dyDescent="0.2">
      <c r="A93" s="95" t="s">
        <v>145</v>
      </c>
      <c r="B93" s="28"/>
      <c r="C93" s="54">
        <v>0.95731707317073178</v>
      </c>
      <c r="D93" s="28"/>
      <c r="E93" s="54">
        <v>0.92307692307692313</v>
      </c>
      <c r="F93" s="28"/>
      <c r="G93" s="54">
        <v>0.97499999999999998</v>
      </c>
      <c r="H93" s="28"/>
      <c r="I93" s="54">
        <v>0.95173745173745172</v>
      </c>
      <c r="J93" s="28"/>
      <c r="K93" s="54">
        <v>0.96610169491525433</v>
      </c>
      <c r="L93" s="28"/>
      <c r="M93" s="54">
        <v>0.95447409733124022</v>
      </c>
      <c r="N93" s="22"/>
      <c r="O93" s="54">
        <v>0.95680345572354208</v>
      </c>
    </row>
    <row r="94" spans="1:21" x14ac:dyDescent="0.2">
      <c r="A94" s="38"/>
      <c r="B94" s="36"/>
      <c r="C94" s="36"/>
      <c r="D94" s="36"/>
      <c r="E94" s="36"/>
      <c r="F94" s="36"/>
      <c r="G94" s="36"/>
      <c r="H94" s="39"/>
      <c r="I94" s="36"/>
      <c r="J94" s="36"/>
      <c r="K94" s="36"/>
      <c r="L94" s="36"/>
      <c r="M94" s="36"/>
      <c r="N94" s="36"/>
      <c r="O94" s="36"/>
    </row>
    <row r="95" spans="1:21" ht="36" x14ac:dyDescent="0.2">
      <c r="A95" s="84" t="s">
        <v>189</v>
      </c>
      <c r="B95" s="36"/>
      <c r="C95" s="36"/>
      <c r="D95" s="36"/>
      <c r="E95" s="36"/>
      <c r="F95" s="36"/>
      <c r="G95" s="36"/>
      <c r="H95" s="39"/>
      <c r="I95" s="36"/>
      <c r="J95" s="36"/>
      <c r="K95" s="36"/>
      <c r="L95" s="36"/>
      <c r="M95" s="36"/>
      <c r="N95" s="36"/>
      <c r="O95" s="36"/>
      <c r="R95" s="168" t="s">
        <v>232</v>
      </c>
      <c r="S95" s="171" t="s">
        <v>140</v>
      </c>
      <c r="T95" s="172" t="s">
        <v>145</v>
      </c>
      <c r="U95" s="172" t="s">
        <v>144</v>
      </c>
    </row>
    <row r="96" spans="1:21" x14ac:dyDescent="0.2">
      <c r="A96" s="121" t="s">
        <v>150</v>
      </c>
      <c r="B96" s="122" t="s">
        <v>100</v>
      </c>
      <c r="C96" s="122"/>
      <c r="D96" s="122" t="s">
        <v>80</v>
      </c>
      <c r="E96" s="122"/>
      <c r="F96" s="123" t="s">
        <v>136</v>
      </c>
      <c r="G96" s="123"/>
      <c r="H96" s="122" t="s">
        <v>82</v>
      </c>
      <c r="I96" s="122"/>
      <c r="J96" s="122" t="s">
        <v>81</v>
      </c>
      <c r="K96" s="122"/>
      <c r="L96" s="122" t="s">
        <v>98</v>
      </c>
      <c r="M96" s="122"/>
      <c r="N96" s="116" t="s">
        <v>1</v>
      </c>
      <c r="O96" s="116"/>
      <c r="R96" s="169" t="str">
        <f>A96</f>
        <v>Facebook</v>
      </c>
      <c r="S96" s="170">
        <f>O101</f>
        <v>0.53175457481162536</v>
      </c>
      <c r="T96" s="154">
        <f>O103</f>
        <v>0.75080731969860059</v>
      </c>
      <c r="U96" s="154">
        <f>O97</f>
        <v>0.17868675995694294</v>
      </c>
    </row>
    <row r="97" spans="1:21" x14ac:dyDescent="0.2">
      <c r="A97" s="20" t="s">
        <v>144</v>
      </c>
      <c r="B97" s="28">
        <v>61</v>
      </c>
      <c r="C97" s="29">
        <v>0.18541033434650456</v>
      </c>
      <c r="D97" s="28">
        <v>3</v>
      </c>
      <c r="E97" s="29">
        <v>0.23076923076923078</v>
      </c>
      <c r="F97" s="28">
        <v>17</v>
      </c>
      <c r="G97" s="29">
        <v>0.14655172413793102</v>
      </c>
      <c r="H97" s="28">
        <v>118</v>
      </c>
      <c r="I97" s="29">
        <v>0.22692307692307692</v>
      </c>
      <c r="J97" s="28">
        <v>33</v>
      </c>
      <c r="K97" s="29">
        <v>0.13750000000000001</v>
      </c>
      <c r="L97" s="28">
        <v>100</v>
      </c>
      <c r="M97" s="29">
        <v>0.15625</v>
      </c>
      <c r="N97" s="21">
        <v>332</v>
      </c>
      <c r="O97" s="29">
        <v>0.17868675995694294</v>
      </c>
      <c r="R97" s="169" t="str">
        <f>A105</f>
        <v>Pinterest</v>
      </c>
      <c r="S97" s="170">
        <f>O110</f>
        <v>9.4124047878128406E-2</v>
      </c>
      <c r="T97" s="154">
        <f>O112</f>
        <v>0.22089227421109903</v>
      </c>
      <c r="U97" s="154">
        <f>O106</f>
        <v>0.66485310119695318</v>
      </c>
    </row>
    <row r="98" spans="1:21" x14ac:dyDescent="0.2">
      <c r="A98" s="20" t="s">
        <v>143</v>
      </c>
      <c r="B98" s="28">
        <v>16</v>
      </c>
      <c r="C98" s="29">
        <v>4.8632218844984802E-2</v>
      </c>
      <c r="D98" s="28">
        <v>1</v>
      </c>
      <c r="E98" s="29">
        <v>7.6923076923076927E-2</v>
      </c>
      <c r="F98" s="28">
        <v>12</v>
      </c>
      <c r="G98" s="29">
        <v>0.10344827586206896</v>
      </c>
      <c r="H98" s="28">
        <v>42</v>
      </c>
      <c r="I98" s="29">
        <v>8.0769230769230774E-2</v>
      </c>
      <c r="J98" s="28">
        <v>18</v>
      </c>
      <c r="K98" s="29">
        <v>7.4999999999999997E-2</v>
      </c>
      <c r="L98" s="28">
        <v>42</v>
      </c>
      <c r="M98" s="29">
        <v>6.5625000000000003E-2</v>
      </c>
      <c r="N98" s="21">
        <v>131</v>
      </c>
      <c r="O98" s="29">
        <v>7.0505920344456408E-2</v>
      </c>
      <c r="R98" s="169" t="str">
        <f>A114</f>
        <v>Google+</v>
      </c>
      <c r="S98" s="170">
        <f>O119</f>
        <v>0.1907356948228883</v>
      </c>
      <c r="T98" s="154">
        <f>O121</f>
        <v>0.33405994550408724</v>
      </c>
      <c r="U98" s="154">
        <f>O115</f>
        <v>0.55585831062670299</v>
      </c>
    </row>
    <row r="99" spans="1:21" x14ac:dyDescent="0.2">
      <c r="A99" s="20" t="s">
        <v>142</v>
      </c>
      <c r="B99" s="28">
        <v>26</v>
      </c>
      <c r="C99" s="29">
        <v>7.9027355623100301E-2</v>
      </c>
      <c r="D99" s="28">
        <v>1</v>
      </c>
      <c r="E99" s="29">
        <v>7.6923076923076927E-2</v>
      </c>
      <c r="F99" s="28">
        <v>10</v>
      </c>
      <c r="G99" s="29">
        <v>8.6206896551724144E-2</v>
      </c>
      <c r="H99" s="28">
        <v>39</v>
      </c>
      <c r="I99" s="29">
        <v>7.4999999999999997E-2</v>
      </c>
      <c r="J99" s="28">
        <v>23</v>
      </c>
      <c r="K99" s="29">
        <v>9.583333333333334E-2</v>
      </c>
      <c r="L99" s="28">
        <v>46</v>
      </c>
      <c r="M99" s="29">
        <v>7.1874999999999994E-2</v>
      </c>
      <c r="N99" s="21">
        <v>145</v>
      </c>
      <c r="O99" s="29">
        <v>7.8040904198062436E-2</v>
      </c>
      <c r="R99" s="169" t="str">
        <f>A123</f>
        <v>YouTube</v>
      </c>
      <c r="S99" s="170">
        <f>O128</f>
        <v>0.18726183995645074</v>
      </c>
      <c r="T99" s="154">
        <f>O130</f>
        <v>0.64344039194338598</v>
      </c>
      <c r="U99" s="154">
        <f>O124</f>
        <v>0.11921611322808928</v>
      </c>
    </row>
    <row r="100" spans="1:21" x14ac:dyDescent="0.2">
      <c r="A100" s="20" t="s">
        <v>141</v>
      </c>
      <c r="B100" s="28">
        <v>52</v>
      </c>
      <c r="C100" s="29">
        <v>0.1580547112462006</v>
      </c>
      <c r="D100" s="28">
        <v>2</v>
      </c>
      <c r="E100" s="29">
        <v>0.15384615384615385</v>
      </c>
      <c r="F100" s="28">
        <v>17</v>
      </c>
      <c r="G100" s="29">
        <v>0.14655172413793102</v>
      </c>
      <c r="H100" s="28">
        <v>69</v>
      </c>
      <c r="I100" s="29">
        <v>0.13269230769230769</v>
      </c>
      <c r="J100" s="28">
        <v>36</v>
      </c>
      <c r="K100" s="29">
        <v>0.15</v>
      </c>
      <c r="L100" s="28">
        <v>86</v>
      </c>
      <c r="M100" s="29">
        <v>0.13437499999999999</v>
      </c>
      <c r="N100" s="21">
        <v>262</v>
      </c>
      <c r="O100" s="29">
        <v>0.14101184068891282</v>
      </c>
      <c r="R100" s="169" t="str">
        <f>A132</f>
        <v>Twitter</v>
      </c>
      <c r="S100" s="170">
        <f>O137</f>
        <v>6.6120218579234974E-2</v>
      </c>
      <c r="T100" s="154">
        <f>O139</f>
        <v>0.13770491803278689</v>
      </c>
      <c r="U100" s="154">
        <f>O133</f>
        <v>0.79890710382513663</v>
      </c>
    </row>
    <row r="101" spans="1:21" x14ac:dyDescent="0.2">
      <c r="A101" s="20" t="s">
        <v>140</v>
      </c>
      <c r="B101" s="28">
        <v>174</v>
      </c>
      <c r="C101" s="29">
        <v>0.52887537993920974</v>
      </c>
      <c r="D101" s="28">
        <v>6</v>
      </c>
      <c r="E101" s="29">
        <v>0.46153846153846156</v>
      </c>
      <c r="F101" s="28">
        <v>60</v>
      </c>
      <c r="G101" s="29">
        <v>0.51724137931034486</v>
      </c>
      <c r="H101" s="28">
        <v>252</v>
      </c>
      <c r="I101" s="29">
        <v>0.48461538461538461</v>
      </c>
      <c r="J101" s="28">
        <v>130</v>
      </c>
      <c r="K101" s="29">
        <v>0.54166666666666663</v>
      </c>
      <c r="L101" s="28">
        <v>366</v>
      </c>
      <c r="M101" s="29">
        <v>0.57187500000000002</v>
      </c>
      <c r="N101" s="21">
        <v>988</v>
      </c>
      <c r="O101" s="29">
        <v>0.53175457481162536</v>
      </c>
      <c r="R101" s="169" t="str">
        <f>A141</f>
        <v>Tumbir</v>
      </c>
      <c r="S101" s="170">
        <f>O146</f>
        <v>3.5326086956521736E-2</v>
      </c>
      <c r="T101" s="154">
        <f>O148</f>
        <v>7.4456521739130421E-2</v>
      </c>
      <c r="U101" s="154">
        <f>O142</f>
        <v>0.88913043478260867</v>
      </c>
    </row>
    <row r="102" spans="1:21" x14ac:dyDescent="0.2">
      <c r="A102" s="95" t="s">
        <v>1</v>
      </c>
      <c r="B102" s="22">
        <v>329</v>
      </c>
      <c r="C102" s="29">
        <v>1</v>
      </c>
      <c r="D102" s="22">
        <v>13</v>
      </c>
      <c r="E102" s="29">
        <v>1</v>
      </c>
      <c r="F102" s="22">
        <v>116</v>
      </c>
      <c r="G102" s="29">
        <v>1</v>
      </c>
      <c r="H102" s="22">
        <v>520</v>
      </c>
      <c r="I102" s="29">
        <v>1</v>
      </c>
      <c r="J102" s="22">
        <v>240</v>
      </c>
      <c r="K102" s="29">
        <v>1</v>
      </c>
      <c r="L102" s="22">
        <v>640</v>
      </c>
      <c r="M102" s="29">
        <v>1</v>
      </c>
      <c r="N102" s="22">
        <v>1858</v>
      </c>
      <c r="O102" s="29">
        <v>1</v>
      </c>
      <c r="R102" s="169" t="str">
        <f>A150</f>
        <v>Linkedin</v>
      </c>
      <c r="S102" s="170">
        <f>O155</f>
        <v>1.3086150490730643E-2</v>
      </c>
      <c r="T102" s="154">
        <f>O157</f>
        <v>9.8146128680479824E-2</v>
      </c>
      <c r="U102" s="154">
        <f>O151</f>
        <v>0.75899672846237731</v>
      </c>
    </row>
    <row r="103" spans="1:21" x14ac:dyDescent="0.2">
      <c r="A103" s="95" t="s">
        <v>145</v>
      </c>
      <c r="B103" s="28"/>
      <c r="C103" s="54">
        <v>0.76595744680851063</v>
      </c>
      <c r="D103" s="28"/>
      <c r="E103" s="54">
        <v>0.69230769230769229</v>
      </c>
      <c r="F103" s="28"/>
      <c r="G103" s="54">
        <v>0.75</v>
      </c>
      <c r="H103" s="28"/>
      <c r="I103" s="54">
        <v>0.69230769230769229</v>
      </c>
      <c r="J103" s="28"/>
      <c r="K103" s="54">
        <v>0.78749999999999998</v>
      </c>
      <c r="L103" s="28"/>
      <c r="M103" s="54">
        <v>0.77812499999999996</v>
      </c>
      <c r="N103" s="22"/>
      <c r="O103" s="54">
        <v>0.75080731969860059</v>
      </c>
      <c r="R103" s="169" t="str">
        <f>A159</f>
        <v>Vine</v>
      </c>
      <c r="S103" s="170">
        <f>O164</f>
        <v>2.5627044711014176E-2</v>
      </c>
      <c r="T103" s="154">
        <f>O166</f>
        <v>6.5430752453653221E-2</v>
      </c>
      <c r="U103" s="154">
        <f>O160</f>
        <v>0.91221374045801529</v>
      </c>
    </row>
    <row r="104" spans="1:21" x14ac:dyDescent="0.2">
      <c r="A104" s="38"/>
      <c r="B104" s="36"/>
      <c r="C104" s="36"/>
      <c r="D104" s="36"/>
      <c r="E104" s="36"/>
      <c r="F104" s="36"/>
      <c r="G104" s="36"/>
      <c r="H104" s="39"/>
      <c r="I104" s="36"/>
      <c r="J104" s="36"/>
      <c r="K104" s="36"/>
      <c r="L104" s="36"/>
      <c r="M104" s="36"/>
      <c r="N104" s="36"/>
      <c r="O104" s="36"/>
      <c r="R104" s="169" t="str">
        <f>A168</f>
        <v>2nd Life or other virtual worlds</v>
      </c>
      <c r="S104" s="170">
        <f>O173</f>
        <v>6.0175054704595188E-3</v>
      </c>
      <c r="T104" s="154">
        <f>O175</f>
        <v>1.8052516411378557E-2</v>
      </c>
      <c r="U104" s="154">
        <f>O169</f>
        <v>0.97538293216630201</v>
      </c>
    </row>
    <row r="105" spans="1:21" x14ac:dyDescent="0.2">
      <c r="A105" s="121" t="s">
        <v>190</v>
      </c>
      <c r="B105" s="122" t="s">
        <v>100</v>
      </c>
      <c r="C105" s="122"/>
      <c r="D105" s="122" t="s">
        <v>80</v>
      </c>
      <c r="E105" s="122"/>
      <c r="F105" s="123" t="s">
        <v>136</v>
      </c>
      <c r="G105" s="123"/>
      <c r="H105" s="122" t="s">
        <v>82</v>
      </c>
      <c r="I105" s="122"/>
      <c r="J105" s="122" t="s">
        <v>81</v>
      </c>
      <c r="K105" s="122"/>
      <c r="L105" s="122" t="s">
        <v>98</v>
      </c>
      <c r="M105" s="122"/>
      <c r="N105" s="116" t="s">
        <v>1</v>
      </c>
      <c r="O105" s="116"/>
      <c r="R105" s="142" t="str">
        <f>A177</f>
        <v>Massive multi-player online games (World of Warcraft, etc.)</v>
      </c>
      <c r="S105" s="170">
        <f>O182</f>
        <v>2.8286189683860232E-2</v>
      </c>
      <c r="T105" s="170">
        <f>O184</f>
        <v>7.709373266777593E-2</v>
      </c>
      <c r="U105" s="154">
        <f>O178</f>
        <v>0.88463671658347198</v>
      </c>
    </row>
    <row r="106" spans="1:21" x14ac:dyDescent="0.2">
      <c r="A106" s="20" t="s">
        <v>144</v>
      </c>
      <c r="B106" s="28">
        <v>216</v>
      </c>
      <c r="C106" s="29">
        <v>0.66257668711656437</v>
      </c>
      <c r="D106" s="28">
        <v>11</v>
      </c>
      <c r="E106" s="29">
        <v>0.84615384615384615</v>
      </c>
      <c r="F106" s="28">
        <v>73</v>
      </c>
      <c r="G106" s="29">
        <v>0.64035087719298245</v>
      </c>
      <c r="H106" s="28">
        <v>347</v>
      </c>
      <c r="I106" s="29">
        <v>0.67378640776699028</v>
      </c>
      <c r="J106" s="28">
        <v>138</v>
      </c>
      <c r="K106" s="29">
        <v>0.58723404255319145</v>
      </c>
      <c r="L106" s="28">
        <v>437</v>
      </c>
      <c r="M106" s="29">
        <v>0.68818897637795273</v>
      </c>
      <c r="N106" s="21">
        <v>1222</v>
      </c>
      <c r="O106" s="29">
        <v>0.66485310119695318</v>
      </c>
    </row>
    <row r="107" spans="1:21" x14ac:dyDescent="0.2">
      <c r="A107" s="20" t="s">
        <v>143</v>
      </c>
      <c r="B107" s="28">
        <v>40</v>
      </c>
      <c r="C107" s="29">
        <v>0.12269938650306748</v>
      </c>
      <c r="D107" s="28"/>
      <c r="E107" s="29">
        <v>0</v>
      </c>
      <c r="F107" s="28">
        <v>11</v>
      </c>
      <c r="G107" s="29">
        <v>9.6491228070175433E-2</v>
      </c>
      <c r="H107" s="28">
        <v>63</v>
      </c>
      <c r="I107" s="29">
        <v>0.12233009708737864</v>
      </c>
      <c r="J107" s="28">
        <v>31</v>
      </c>
      <c r="K107" s="29">
        <v>0.13191489361702127</v>
      </c>
      <c r="L107" s="28">
        <v>65</v>
      </c>
      <c r="M107" s="29">
        <v>0.10236220472440945</v>
      </c>
      <c r="N107" s="21">
        <v>210</v>
      </c>
      <c r="O107" s="29">
        <v>0.11425462459194777</v>
      </c>
    </row>
    <row r="108" spans="1:21" x14ac:dyDescent="0.2">
      <c r="A108" s="20" t="s">
        <v>142</v>
      </c>
      <c r="B108" s="28">
        <v>19</v>
      </c>
      <c r="C108" s="29">
        <v>5.8282208588957052E-2</v>
      </c>
      <c r="D108" s="28"/>
      <c r="E108" s="29">
        <v>0</v>
      </c>
      <c r="F108" s="28">
        <v>5</v>
      </c>
      <c r="G108" s="29">
        <v>4.3859649122807015E-2</v>
      </c>
      <c r="H108" s="28">
        <v>28</v>
      </c>
      <c r="I108" s="29">
        <v>5.4368932038834951E-2</v>
      </c>
      <c r="J108" s="28">
        <v>16</v>
      </c>
      <c r="K108" s="29">
        <v>6.8085106382978725E-2</v>
      </c>
      <c r="L108" s="28">
        <v>41</v>
      </c>
      <c r="M108" s="29">
        <v>6.4566929133858267E-2</v>
      </c>
      <c r="N108" s="21">
        <v>109</v>
      </c>
      <c r="O108" s="29">
        <v>5.930359085963003E-2</v>
      </c>
    </row>
    <row r="109" spans="1:21" ht="36" x14ac:dyDescent="0.2">
      <c r="A109" s="20" t="s">
        <v>141</v>
      </c>
      <c r="B109" s="28">
        <v>24</v>
      </c>
      <c r="C109" s="29">
        <v>7.3619631901840496E-2</v>
      </c>
      <c r="D109" s="28"/>
      <c r="E109" s="29">
        <v>0</v>
      </c>
      <c r="F109" s="28">
        <v>10</v>
      </c>
      <c r="G109" s="29">
        <v>8.771929824561403E-2</v>
      </c>
      <c r="H109" s="28">
        <v>31</v>
      </c>
      <c r="I109" s="29">
        <v>6.0194174757281553E-2</v>
      </c>
      <c r="J109" s="28">
        <v>18</v>
      </c>
      <c r="K109" s="29">
        <v>7.6595744680851063E-2</v>
      </c>
      <c r="L109" s="28">
        <v>41</v>
      </c>
      <c r="M109" s="29">
        <v>6.4566929133858267E-2</v>
      </c>
      <c r="N109" s="21">
        <v>124</v>
      </c>
      <c r="O109" s="29">
        <v>6.7464635473340584E-2</v>
      </c>
      <c r="R109" s="168" t="s">
        <v>232</v>
      </c>
      <c r="S109" s="173" t="s">
        <v>140</v>
      </c>
      <c r="T109" s="172" t="s">
        <v>145</v>
      </c>
      <c r="U109" s="172" t="s">
        <v>144</v>
      </c>
    </row>
    <row r="110" spans="1:21" x14ac:dyDescent="0.2">
      <c r="A110" s="20" t="s">
        <v>140</v>
      </c>
      <c r="B110" s="28">
        <v>27</v>
      </c>
      <c r="C110" s="29">
        <v>8.2822085889570546E-2</v>
      </c>
      <c r="D110" s="28">
        <v>2</v>
      </c>
      <c r="E110" s="29">
        <v>0.15384615384615385</v>
      </c>
      <c r="F110" s="28">
        <v>15</v>
      </c>
      <c r="G110" s="29">
        <v>0.13157894736842105</v>
      </c>
      <c r="H110" s="28">
        <v>46</v>
      </c>
      <c r="I110" s="29">
        <v>8.9320388349514557E-2</v>
      </c>
      <c r="J110" s="28">
        <v>32</v>
      </c>
      <c r="K110" s="29">
        <v>0.13617021276595745</v>
      </c>
      <c r="L110" s="28">
        <v>51</v>
      </c>
      <c r="M110" s="29">
        <v>8.0314960629921259E-2</v>
      </c>
      <c r="N110" s="21">
        <v>173</v>
      </c>
      <c r="O110" s="29">
        <v>9.4124047878128406E-2</v>
      </c>
      <c r="R110" s="169" t="s">
        <v>150</v>
      </c>
      <c r="S110" s="170">
        <v>0.53175457481162536</v>
      </c>
      <c r="T110" s="154">
        <v>0.75080731969860059</v>
      </c>
      <c r="U110" s="154">
        <v>0.17868675995694294</v>
      </c>
    </row>
    <row r="111" spans="1:21" x14ac:dyDescent="0.2">
      <c r="A111" s="95" t="s">
        <v>1</v>
      </c>
      <c r="B111" s="22">
        <v>326</v>
      </c>
      <c r="C111" s="29">
        <v>0.99999999999999989</v>
      </c>
      <c r="D111" s="22">
        <v>13</v>
      </c>
      <c r="E111" s="29">
        <v>1</v>
      </c>
      <c r="F111" s="22">
        <v>114</v>
      </c>
      <c r="G111" s="29">
        <v>1</v>
      </c>
      <c r="H111" s="22">
        <v>515</v>
      </c>
      <c r="I111" s="29">
        <v>1</v>
      </c>
      <c r="J111" s="22">
        <v>235</v>
      </c>
      <c r="K111" s="29">
        <v>0.99999999999999989</v>
      </c>
      <c r="L111" s="22">
        <v>635</v>
      </c>
      <c r="M111" s="29">
        <v>1</v>
      </c>
      <c r="N111" s="22">
        <v>1838</v>
      </c>
      <c r="O111" s="29">
        <v>1</v>
      </c>
      <c r="R111" s="169" t="s">
        <v>191</v>
      </c>
      <c r="S111" s="170">
        <v>0.1907356948228883</v>
      </c>
      <c r="T111" s="154">
        <v>0.33405994550408724</v>
      </c>
      <c r="U111" s="154">
        <v>0.55585831062670299</v>
      </c>
    </row>
    <row r="112" spans="1:21" x14ac:dyDescent="0.2">
      <c r="A112" s="95" t="s">
        <v>145</v>
      </c>
      <c r="B112" s="28"/>
      <c r="C112" s="54">
        <v>0.21472392638036811</v>
      </c>
      <c r="D112" s="28"/>
      <c r="E112" s="54">
        <v>0.15384615384615385</v>
      </c>
      <c r="F112" s="28"/>
      <c r="G112" s="54">
        <v>0.26315789473684209</v>
      </c>
      <c r="H112" s="28"/>
      <c r="I112" s="54">
        <v>0.20388349514563106</v>
      </c>
      <c r="J112" s="28"/>
      <c r="K112" s="54">
        <v>0.2808510638297872</v>
      </c>
      <c r="L112" s="28"/>
      <c r="M112" s="54">
        <v>0.20944881889763778</v>
      </c>
      <c r="N112" s="22"/>
      <c r="O112" s="54">
        <v>0.22089227421109903</v>
      </c>
      <c r="R112" s="169" t="s">
        <v>151</v>
      </c>
      <c r="S112" s="170">
        <v>0.18726183995645074</v>
      </c>
      <c r="T112" s="154">
        <v>0.64344039194338598</v>
      </c>
      <c r="U112" s="154">
        <v>0.11921611322808928</v>
      </c>
    </row>
    <row r="113" spans="1:21" x14ac:dyDescent="0.2">
      <c r="A113" s="38"/>
      <c r="B113" s="36"/>
      <c r="C113" s="36"/>
      <c r="D113" s="36"/>
      <c r="E113" s="36"/>
      <c r="F113" s="36"/>
      <c r="G113" s="36"/>
      <c r="H113" s="39"/>
      <c r="I113" s="36"/>
      <c r="J113" s="36"/>
      <c r="K113" s="36"/>
      <c r="L113" s="36"/>
      <c r="M113" s="36"/>
      <c r="N113" s="36"/>
      <c r="O113" s="36"/>
      <c r="R113" s="169" t="s">
        <v>190</v>
      </c>
      <c r="S113" s="170">
        <v>9.4124047878128406E-2</v>
      </c>
      <c r="T113" s="154">
        <v>0.22089227421109903</v>
      </c>
      <c r="U113" s="154">
        <v>0.66485310119695318</v>
      </c>
    </row>
    <row r="114" spans="1:21" x14ac:dyDescent="0.2">
      <c r="A114" s="121" t="s">
        <v>191</v>
      </c>
      <c r="B114" s="122" t="s">
        <v>100</v>
      </c>
      <c r="C114" s="122"/>
      <c r="D114" s="122" t="s">
        <v>80</v>
      </c>
      <c r="E114" s="122"/>
      <c r="F114" s="123" t="s">
        <v>136</v>
      </c>
      <c r="G114" s="123"/>
      <c r="H114" s="122" t="s">
        <v>82</v>
      </c>
      <c r="I114" s="122"/>
      <c r="J114" s="122" t="s">
        <v>81</v>
      </c>
      <c r="K114" s="122"/>
      <c r="L114" s="122" t="s">
        <v>98</v>
      </c>
      <c r="M114" s="122"/>
      <c r="N114" s="116" t="s">
        <v>1</v>
      </c>
      <c r="O114" s="116"/>
      <c r="R114" s="169" t="s">
        <v>149</v>
      </c>
      <c r="S114" s="170">
        <v>6.6120218579234974E-2</v>
      </c>
      <c r="T114" s="154">
        <v>0.13770491803278689</v>
      </c>
      <c r="U114" s="154">
        <v>0.79890710382513663</v>
      </c>
    </row>
    <row r="115" spans="1:21" x14ac:dyDescent="0.2">
      <c r="A115" s="20" t="s">
        <v>144</v>
      </c>
      <c r="B115" s="28">
        <v>185</v>
      </c>
      <c r="C115" s="29">
        <v>0.56748466257668717</v>
      </c>
      <c r="D115" s="28">
        <v>8</v>
      </c>
      <c r="E115" s="29">
        <v>0.61538461538461542</v>
      </c>
      <c r="F115" s="28">
        <v>52</v>
      </c>
      <c r="G115" s="29">
        <v>0.46017699115044247</v>
      </c>
      <c r="H115" s="28">
        <v>298</v>
      </c>
      <c r="I115" s="29">
        <v>0.57976653696498059</v>
      </c>
      <c r="J115" s="28">
        <v>128</v>
      </c>
      <c r="K115" s="29">
        <v>0.54700854700854706</v>
      </c>
      <c r="L115" s="28">
        <v>349</v>
      </c>
      <c r="M115" s="29">
        <v>0.5496062992125984</v>
      </c>
      <c r="N115" s="21">
        <v>1020</v>
      </c>
      <c r="O115" s="29">
        <v>0.55585831062670299</v>
      </c>
      <c r="R115" s="169" t="s">
        <v>192</v>
      </c>
      <c r="S115" s="170">
        <v>3.5326086956521736E-2</v>
      </c>
      <c r="T115" s="154">
        <v>7.4456521739130421E-2</v>
      </c>
      <c r="U115" s="154">
        <v>0.88913043478260867</v>
      </c>
    </row>
    <row r="116" spans="1:21" x14ac:dyDescent="0.2">
      <c r="A116" s="20" t="s">
        <v>143</v>
      </c>
      <c r="B116" s="28">
        <v>32</v>
      </c>
      <c r="C116" s="29">
        <v>9.815950920245399E-2</v>
      </c>
      <c r="D116" s="28"/>
      <c r="E116" s="29">
        <v>0</v>
      </c>
      <c r="F116" s="28">
        <v>22</v>
      </c>
      <c r="G116" s="29">
        <v>0.19469026548672566</v>
      </c>
      <c r="H116" s="28">
        <v>59</v>
      </c>
      <c r="I116" s="29">
        <v>0.11478599221789883</v>
      </c>
      <c r="J116" s="28">
        <v>26</v>
      </c>
      <c r="K116" s="29">
        <v>0.1111111111111111</v>
      </c>
      <c r="L116" s="28">
        <v>63</v>
      </c>
      <c r="M116" s="29">
        <v>9.9212598425196849E-2</v>
      </c>
      <c r="N116" s="21">
        <v>202</v>
      </c>
      <c r="O116" s="29">
        <v>0.11008174386920981</v>
      </c>
      <c r="R116" s="169" t="s">
        <v>201</v>
      </c>
      <c r="S116" s="170">
        <v>2.8286189683860232E-2</v>
      </c>
      <c r="T116" s="154">
        <v>7.709373266777593E-2</v>
      </c>
      <c r="U116" s="154">
        <v>0.88463671658347198</v>
      </c>
    </row>
    <row r="117" spans="1:21" x14ac:dyDescent="0.2">
      <c r="A117" s="20" t="s">
        <v>142</v>
      </c>
      <c r="B117" s="28">
        <v>18</v>
      </c>
      <c r="C117" s="29">
        <v>5.5214723926380369E-2</v>
      </c>
      <c r="D117" s="28">
        <v>2</v>
      </c>
      <c r="E117" s="29">
        <v>0.15384615384615385</v>
      </c>
      <c r="F117" s="28">
        <v>11</v>
      </c>
      <c r="G117" s="29">
        <v>9.7345132743362831E-2</v>
      </c>
      <c r="H117" s="28">
        <v>31</v>
      </c>
      <c r="I117" s="29">
        <v>6.0311284046692608E-2</v>
      </c>
      <c r="J117" s="28">
        <v>19</v>
      </c>
      <c r="K117" s="29">
        <v>8.11965811965812E-2</v>
      </c>
      <c r="L117" s="28">
        <v>50</v>
      </c>
      <c r="M117" s="29">
        <v>7.874015748031496E-2</v>
      </c>
      <c r="N117" s="21">
        <v>131</v>
      </c>
      <c r="O117" s="29">
        <v>7.1389645776566757E-2</v>
      </c>
      <c r="R117" s="169" t="s">
        <v>194</v>
      </c>
      <c r="S117" s="170">
        <v>2.5627044711014176E-2</v>
      </c>
      <c r="T117" s="154">
        <v>6.5430752453653221E-2</v>
      </c>
      <c r="U117" s="154">
        <v>0.91221374045801529</v>
      </c>
    </row>
    <row r="118" spans="1:21" x14ac:dyDescent="0.2">
      <c r="A118" s="20" t="s">
        <v>141</v>
      </c>
      <c r="B118" s="28">
        <v>22</v>
      </c>
      <c r="C118" s="29">
        <v>6.7484662576687116E-2</v>
      </c>
      <c r="D118" s="28"/>
      <c r="E118" s="29">
        <v>0</v>
      </c>
      <c r="F118" s="28">
        <v>5</v>
      </c>
      <c r="G118" s="29">
        <v>4.4247787610619468E-2</v>
      </c>
      <c r="H118" s="28">
        <v>39</v>
      </c>
      <c r="I118" s="29">
        <v>7.5875486381322951E-2</v>
      </c>
      <c r="J118" s="28">
        <v>18</v>
      </c>
      <c r="K118" s="29">
        <v>7.6923076923076927E-2</v>
      </c>
      <c r="L118" s="28">
        <v>48</v>
      </c>
      <c r="M118" s="29">
        <v>7.5590551181102361E-2</v>
      </c>
      <c r="N118" s="21">
        <v>132</v>
      </c>
      <c r="O118" s="29">
        <v>7.1934604904632146E-2</v>
      </c>
      <c r="R118" s="174" t="s">
        <v>193</v>
      </c>
      <c r="S118" s="170">
        <v>1.3086150490730643E-2</v>
      </c>
      <c r="T118" s="170">
        <v>9.8146128680479824E-2</v>
      </c>
      <c r="U118" s="154">
        <v>0.75899672846237731</v>
      </c>
    </row>
    <row r="119" spans="1:21" x14ac:dyDescent="0.2">
      <c r="A119" s="20" t="s">
        <v>140</v>
      </c>
      <c r="B119" s="28">
        <v>69</v>
      </c>
      <c r="C119" s="29">
        <v>0.21165644171779141</v>
      </c>
      <c r="D119" s="28">
        <v>3</v>
      </c>
      <c r="E119" s="29">
        <v>0.23076923076923078</v>
      </c>
      <c r="F119" s="28">
        <v>23</v>
      </c>
      <c r="G119" s="29">
        <v>0.20353982300884957</v>
      </c>
      <c r="H119" s="28">
        <v>87</v>
      </c>
      <c r="I119" s="29">
        <v>0.16926070038910507</v>
      </c>
      <c r="J119" s="28">
        <v>43</v>
      </c>
      <c r="K119" s="29">
        <v>0.18376068376068377</v>
      </c>
      <c r="L119" s="28">
        <v>125</v>
      </c>
      <c r="M119" s="29">
        <v>0.19685039370078741</v>
      </c>
      <c r="N119" s="21">
        <v>350</v>
      </c>
      <c r="O119" s="29">
        <v>0.1907356948228883</v>
      </c>
      <c r="R119" s="169" t="s">
        <v>200</v>
      </c>
      <c r="S119" s="170">
        <v>6.0175054704595188E-3</v>
      </c>
      <c r="T119" s="154">
        <v>1.8052516411378557E-2</v>
      </c>
      <c r="U119" s="154">
        <v>0.97538293216630201</v>
      </c>
    </row>
    <row r="120" spans="1:21" x14ac:dyDescent="0.2">
      <c r="A120" s="95" t="s">
        <v>1</v>
      </c>
      <c r="B120" s="22">
        <v>326</v>
      </c>
      <c r="C120" s="29">
        <v>1</v>
      </c>
      <c r="D120" s="22">
        <v>13</v>
      </c>
      <c r="E120" s="29">
        <v>1</v>
      </c>
      <c r="F120" s="22">
        <v>113</v>
      </c>
      <c r="G120" s="29">
        <v>1</v>
      </c>
      <c r="H120" s="22">
        <v>514</v>
      </c>
      <c r="I120" s="29">
        <v>1</v>
      </c>
      <c r="J120" s="22">
        <v>234</v>
      </c>
      <c r="K120" s="29">
        <v>1.0000000000000002</v>
      </c>
      <c r="L120" s="22">
        <v>635</v>
      </c>
      <c r="M120" s="29">
        <v>0.99999999999999989</v>
      </c>
      <c r="N120" s="22">
        <v>1835</v>
      </c>
      <c r="O120" s="29">
        <v>0.99999999999999989</v>
      </c>
    </row>
    <row r="121" spans="1:21" x14ac:dyDescent="0.2">
      <c r="A121" s="95" t="s">
        <v>145</v>
      </c>
      <c r="B121" s="28"/>
      <c r="C121" s="54">
        <v>0.33435582822085891</v>
      </c>
      <c r="D121" s="28"/>
      <c r="E121" s="54">
        <v>0.38461538461538464</v>
      </c>
      <c r="F121" s="28"/>
      <c r="G121" s="54">
        <v>0.34513274336283184</v>
      </c>
      <c r="H121" s="28"/>
      <c r="I121" s="54">
        <v>0.30544747081712065</v>
      </c>
      <c r="J121" s="28"/>
      <c r="K121" s="54">
        <v>0.34188034188034189</v>
      </c>
      <c r="L121" s="28"/>
      <c r="M121" s="54">
        <v>0.35118110236220473</v>
      </c>
      <c r="N121" s="22"/>
      <c r="O121" s="54">
        <v>0.33405994550408724</v>
      </c>
    </row>
    <row r="122" spans="1:21" x14ac:dyDescent="0.2">
      <c r="A122" s="38"/>
      <c r="B122" s="36"/>
      <c r="C122" s="36"/>
      <c r="D122" s="36"/>
      <c r="E122" s="36"/>
      <c r="F122" s="36"/>
      <c r="G122" s="36"/>
      <c r="H122" s="39"/>
      <c r="I122" s="36"/>
      <c r="J122" s="36"/>
      <c r="K122" s="36"/>
      <c r="L122" s="36"/>
      <c r="M122" s="36"/>
      <c r="N122" s="36"/>
      <c r="O122" s="36"/>
    </row>
    <row r="123" spans="1:21" x14ac:dyDescent="0.2">
      <c r="A123" s="121" t="s">
        <v>151</v>
      </c>
      <c r="B123" s="122" t="s">
        <v>100</v>
      </c>
      <c r="C123" s="122"/>
      <c r="D123" s="122" t="s">
        <v>80</v>
      </c>
      <c r="E123" s="122"/>
      <c r="F123" s="123" t="s">
        <v>136</v>
      </c>
      <c r="G123" s="123"/>
      <c r="H123" s="122" t="s">
        <v>82</v>
      </c>
      <c r="I123" s="122"/>
      <c r="J123" s="122" t="s">
        <v>81</v>
      </c>
      <c r="K123" s="122"/>
      <c r="L123" s="122" t="s">
        <v>98</v>
      </c>
      <c r="M123" s="122"/>
      <c r="N123" s="116" t="s">
        <v>1</v>
      </c>
      <c r="O123" s="116"/>
    </row>
    <row r="124" spans="1:21" x14ac:dyDescent="0.2">
      <c r="A124" s="20" t="s">
        <v>144</v>
      </c>
      <c r="B124" s="28">
        <v>35</v>
      </c>
      <c r="C124" s="29">
        <v>0.10835913312693499</v>
      </c>
      <c r="D124" s="28">
        <v>1</v>
      </c>
      <c r="E124" s="29">
        <v>7.6923076923076927E-2</v>
      </c>
      <c r="F124" s="28">
        <v>24</v>
      </c>
      <c r="G124" s="29">
        <v>0.20869565217391303</v>
      </c>
      <c r="H124" s="28">
        <v>67</v>
      </c>
      <c r="I124" s="29">
        <v>0.13009708737864079</v>
      </c>
      <c r="J124" s="28">
        <v>29</v>
      </c>
      <c r="K124" s="29">
        <v>0.1228813559322034</v>
      </c>
      <c r="L124" s="28">
        <v>63</v>
      </c>
      <c r="M124" s="29">
        <v>9.9212598425196849E-2</v>
      </c>
      <c r="N124" s="21">
        <v>219</v>
      </c>
      <c r="O124" s="29">
        <v>0.11921611322808928</v>
      </c>
    </row>
    <row r="125" spans="1:21" x14ac:dyDescent="0.2">
      <c r="A125" s="20" t="s">
        <v>143</v>
      </c>
      <c r="B125" s="28">
        <v>78</v>
      </c>
      <c r="C125" s="29">
        <v>0.24148606811145512</v>
      </c>
      <c r="D125" s="28">
        <v>2</v>
      </c>
      <c r="E125" s="29">
        <v>0.15384615384615385</v>
      </c>
      <c r="F125" s="28">
        <v>21</v>
      </c>
      <c r="G125" s="29">
        <v>0.18260869565217391</v>
      </c>
      <c r="H125" s="28">
        <v>128</v>
      </c>
      <c r="I125" s="29">
        <v>0.24854368932038834</v>
      </c>
      <c r="J125" s="28">
        <v>66</v>
      </c>
      <c r="K125" s="29">
        <v>0.27966101694915252</v>
      </c>
      <c r="L125" s="28">
        <v>141</v>
      </c>
      <c r="M125" s="29">
        <v>0.2220472440944882</v>
      </c>
      <c r="N125" s="21">
        <v>436</v>
      </c>
      <c r="O125" s="29">
        <v>0.23734349482852476</v>
      </c>
    </row>
    <row r="126" spans="1:21" x14ac:dyDescent="0.2">
      <c r="A126" s="20" t="s">
        <v>142</v>
      </c>
      <c r="B126" s="28">
        <v>64</v>
      </c>
      <c r="C126" s="29">
        <v>0.19814241486068113</v>
      </c>
      <c r="D126" s="28">
        <v>6</v>
      </c>
      <c r="E126" s="29">
        <v>0.46153846153846156</v>
      </c>
      <c r="F126" s="28">
        <v>22</v>
      </c>
      <c r="G126" s="29">
        <v>0.19130434782608696</v>
      </c>
      <c r="H126" s="28">
        <v>107</v>
      </c>
      <c r="I126" s="29">
        <v>0.20776699029126214</v>
      </c>
      <c r="J126" s="28">
        <v>46</v>
      </c>
      <c r="K126" s="29">
        <v>0.19491525423728814</v>
      </c>
      <c r="L126" s="28">
        <v>139</v>
      </c>
      <c r="M126" s="29">
        <v>0.2188976377952756</v>
      </c>
      <c r="N126" s="21">
        <v>384</v>
      </c>
      <c r="O126" s="29">
        <v>0.20903647250952639</v>
      </c>
    </row>
    <row r="127" spans="1:21" x14ac:dyDescent="0.2">
      <c r="A127" s="20" t="s">
        <v>141</v>
      </c>
      <c r="B127" s="28">
        <v>74</v>
      </c>
      <c r="C127" s="29">
        <v>0.22910216718266255</v>
      </c>
      <c r="D127" s="28">
        <v>3</v>
      </c>
      <c r="E127" s="29">
        <v>0.23076923076923078</v>
      </c>
      <c r="F127" s="28">
        <v>29</v>
      </c>
      <c r="G127" s="29">
        <v>0.25217391304347825</v>
      </c>
      <c r="H127" s="28">
        <v>134</v>
      </c>
      <c r="I127" s="29">
        <v>0.26019417475728157</v>
      </c>
      <c r="J127" s="28">
        <v>45</v>
      </c>
      <c r="K127" s="29">
        <v>0.19067796610169491</v>
      </c>
      <c r="L127" s="28">
        <v>169</v>
      </c>
      <c r="M127" s="29">
        <v>0.26614173228346455</v>
      </c>
      <c r="N127" s="21">
        <v>454</v>
      </c>
      <c r="O127" s="29">
        <v>0.24714207947740882</v>
      </c>
    </row>
    <row r="128" spans="1:21" x14ac:dyDescent="0.2">
      <c r="A128" s="20" t="s">
        <v>140</v>
      </c>
      <c r="B128" s="28">
        <v>72</v>
      </c>
      <c r="C128" s="29">
        <v>0.22291021671826625</v>
      </c>
      <c r="D128" s="28">
        <v>1</v>
      </c>
      <c r="E128" s="29">
        <v>7.6923076923076927E-2</v>
      </c>
      <c r="F128" s="28">
        <v>19</v>
      </c>
      <c r="G128" s="29">
        <v>0.16521739130434782</v>
      </c>
      <c r="H128" s="28">
        <v>79</v>
      </c>
      <c r="I128" s="29">
        <v>0.15339805825242719</v>
      </c>
      <c r="J128" s="28">
        <v>50</v>
      </c>
      <c r="K128" s="29">
        <v>0.21186440677966101</v>
      </c>
      <c r="L128" s="28">
        <v>123</v>
      </c>
      <c r="M128" s="29">
        <v>0.19370078740157481</v>
      </c>
      <c r="N128" s="21">
        <v>344</v>
      </c>
      <c r="O128" s="29">
        <v>0.18726183995645074</v>
      </c>
    </row>
    <row r="129" spans="1:15" x14ac:dyDescent="0.2">
      <c r="A129" s="95" t="s">
        <v>1</v>
      </c>
      <c r="B129" s="22">
        <v>323</v>
      </c>
      <c r="C129" s="29">
        <v>1</v>
      </c>
      <c r="D129" s="22">
        <v>13</v>
      </c>
      <c r="E129" s="29">
        <v>1</v>
      </c>
      <c r="F129" s="22">
        <v>115</v>
      </c>
      <c r="G129" s="29">
        <v>1</v>
      </c>
      <c r="H129" s="22">
        <v>515</v>
      </c>
      <c r="I129" s="29">
        <v>1</v>
      </c>
      <c r="J129" s="22">
        <v>236</v>
      </c>
      <c r="K129" s="29">
        <v>0.99999999999999989</v>
      </c>
      <c r="L129" s="22">
        <v>635</v>
      </c>
      <c r="M129" s="29">
        <v>1</v>
      </c>
      <c r="N129" s="22">
        <v>1837</v>
      </c>
      <c r="O129" s="29">
        <v>1</v>
      </c>
    </row>
    <row r="130" spans="1:15" x14ac:dyDescent="0.2">
      <c r="A130" s="95" t="s">
        <v>145</v>
      </c>
      <c r="B130" s="28"/>
      <c r="C130" s="54">
        <v>0.65015479876160998</v>
      </c>
      <c r="D130" s="28"/>
      <c r="E130" s="54">
        <v>0.76923076923076916</v>
      </c>
      <c r="F130" s="28"/>
      <c r="G130" s="54">
        <v>0.60869565217391308</v>
      </c>
      <c r="H130" s="28"/>
      <c r="I130" s="54">
        <v>0.62135922330097082</v>
      </c>
      <c r="J130" s="28"/>
      <c r="K130" s="54">
        <v>0.59745762711864403</v>
      </c>
      <c r="L130" s="28"/>
      <c r="M130" s="54">
        <v>0.67874015748031491</v>
      </c>
      <c r="N130" s="22"/>
      <c r="O130" s="54">
        <v>0.64344039194338598</v>
      </c>
    </row>
    <row r="131" spans="1:15" x14ac:dyDescent="0.2">
      <c r="A131" s="38"/>
      <c r="B131" s="36"/>
      <c r="C131" s="36"/>
      <c r="D131" s="36"/>
      <c r="E131" s="36"/>
      <c r="F131" s="36"/>
      <c r="G131" s="36"/>
      <c r="H131" s="39"/>
      <c r="I131" s="36"/>
      <c r="J131" s="36"/>
      <c r="K131" s="36"/>
      <c r="L131" s="36"/>
      <c r="M131" s="36"/>
      <c r="N131" s="36"/>
      <c r="O131" s="36"/>
    </row>
    <row r="132" spans="1:15" x14ac:dyDescent="0.2">
      <c r="A132" s="95" t="s">
        <v>149</v>
      </c>
      <c r="B132" s="96" t="s">
        <v>100</v>
      </c>
      <c r="C132" s="96"/>
      <c r="D132" s="96" t="s">
        <v>80</v>
      </c>
      <c r="E132" s="96"/>
      <c r="F132" s="97" t="s">
        <v>136</v>
      </c>
      <c r="G132" s="97"/>
      <c r="H132" s="96" t="s">
        <v>82</v>
      </c>
      <c r="I132" s="96"/>
      <c r="J132" s="96" t="s">
        <v>81</v>
      </c>
      <c r="K132" s="96"/>
      <c r="L132" s="96" t="s">
        <v>98</v>
      </c>
      <c r="M132" s="96"/>
      <c r="N132" s="98" t="s">
        <v>1</v>
      </c>
      <c r="O132" s="98"/>
    </row>
    <row r="133" spans="1:15" x14ac:dyDescent="0.2">
      <c r="A133" s="121" t="s">
        <v>144</v>
      </c>
      <c r="B133" s="122">
        <v>256</v>
      </c>
      <c r="C133" s="122">
        <v>0.78769230769230769</v>
      </c>
      <c r="D133" s="122">
        <v>13</v>
      </c>
      <c r="E133" s="122">
        <v>1</v>
      </c>
      <c r="F133" s="123">
        <v>86</v>
      </c>
      <c r="G133" s="123">
        <v>0.76106194690265483</v>
      </c>
      <c r="H133" s="122">
        <v>433</v>
      </c>
      <c r="I133" s="122">
        <v>0.85236220472440949</v>
      </c>
      <c r="J133" s="122">
        <v>175</v>
      </c>
      <c r="K133" s="122">
        <v>0.74468085106382975</v>
      </c>
      <c r="L133" s="122">
        <v>499</v>
      </c>
      <c r="M133" s="122">
        <v>0.78459119496855345</v>
      </c>
      <c r="N133" s="116">
        <v>1462</v>
      </c>
      <c r="O133" s="116">
        <v>0.79890710382513663</v>
      </c>
    </row>
    <row r="134" spans="1:15" x14ac:dyDescent="0.2">
      <c r="A134" s="20" t="s">
        <v>143</v>
      </c>
      <c r="B134" s="28">
        <v>23</v>
      </c>
      <c r="C134" s="29">
        <v>7.0769230769230765E-2</v>
      </c>
      <c r="D134" s="28"/>
      <c r="E134" s="29">
        <v>0</v>
      </c>
      <c r="F134" s="28">
        <v>11</v>
      </c>
      <c r="G134" s="29">
        <v>9.7345132743362831E-2</v>
      </c>
      <c r="H134" s="28">
        <v>25</v>
      </c>
      <c r="I134" s="29">
        <v>4.9212598425196853E-2</v>
      </c>
      <c r="J134" s="28">
        <v>23</v>
      </c>
      <c r="K134" s="29">
        <v>9.7872340425531917E-2</v>
      </c>
      <c r="L134" s="28">
        <v>34</v>
      </c>
      <c r="M134" s="29">
        <v>5.3459119496855348E-2</v>
      </c>
      <c r="N134" s="21">
        <v>116</v>
      </c>
      <c r="O134" s="29">
        <v>6.3387978142076501E-2</v>
      </c>
    </row>
    <row r="135" spans="1:15" x14ac:dyDescent="0.2">
      <c r="A135" s="20" t="s">
        <v>142</v>
      </c>
      <c r="B135" s="28">
        <v>12</v>
      </c>
      <c r="C135" s="29">
        <v>3.6923076923076927E-2</v>
      </c>
      <c r="D135" s="28"/>
      <c r="E135" s="29">
        <v>0</v>
      </c>
      <c r="F135" s="28">
        <v>4</v>
      </c>
      <c r="G135" s="29">
        <v>3.5398230088495575E-2</v>
      </c>
      <c r="H135" s="28">
        <v>13</v>
      </c>
      <c r="I135" s="29">
        <v>2.5590551181102362E-2</v>
      </c>
      <c r="J135" s="28">
        <v>8</v>
      </c>
      <c r="K135" s="29">
        <v>3.4042553191489362E-2</v>
      </c>
      <c r="L135" s="28">
        <v>30</v>
      </c>
      <c r="M135" s="29">
        <v>4.716981132075472E-2</v>
      </c>
      <c r="N135" s="21">
        <v>67</v>
      </c>
      <c r="O135" s="29">
        <v>3.6612021857923498E-2</v>
      </c>
    </row>
    <row r="136" spans="1:15" x14ac:dyDescent="0.2">
      <c r="A136" s="20" t="s">
        <v>141</v>
      </c>
      <c r="B136" s="28">
        <v>14</v>
      </c>
      <c r="C136" s="29">
        <v>4.3076923076923075E-2</v>
      </c>
      <c r="D136" s="28"/>
      <c r="E136" s="29">
        <v>0</v>
      </c>
      <c r="F136" s="28">
        <v>4</v>
      </c>
      <c r="G136" s="29">
        <v>3.5398230088495575E-2</v>
      </c>
      <c r="H136" s="28">
        <v>12</v>
      </c>
      <c r="I136" s="29">
        <v>2.3622047244094488E-2</v>
      </c>
      <c r="J136" s="28">
        <v>11</v>
      </c>
      <c r="K136" s="29">
        <v>4.6808510638297871E-2</v>
      </c>
      <c r="L136" s="28">
        <v>23</v>
      </c>
      <c r="M136" s="29">
        <v>3.6163522012578615E-2</v>
      </c>
      <c r="N136" s="21">
        <v>64</v>
      </c>
      <c r="O136" s="29">
        <v>3.4972677595628415E-2</v>
      </c>
    </row>
    <row r="137" spans="1:15" x14ac:dyDescent="0.2">
      <c r="A137" s="20" t="s">
        <v>140</v>
      </c>
      <c r="B137" s="28">
        <v>20</v>
      </c>
      <c r="C137" s="29">
        <v>6.1538461538461542E-2</v>
      </c>
      <c r="D137" s="28"/>
      <c r="E137" s="29">
        <v>0</v>
      </c>
      <c r="F137" s="28">
        <v>8</v>
      </c>
      <c r="G137" s="29">
        <v>7.0796460176991149E-2</v>
      </c>
      <c r="H137" s="28">
        <v>25</v>
      </c>
      <c r="I137" s="29">
        <v>4.9212598425196853E-2</v>
      </c>
      <c r="J137" s="28">
        <v>18</v>
      </c>
      <c r="K137" s="29">
        <v>7.6595744680851063E-2</v>
      </c>
      <c r="L137" s="28">
        <v>50</v>
      </c>
      <c r="M137" s="29">
        <v>7.8616352201257858E-2</v>
      </c>
      <c r="N137" s="21">
        <v>121</v>
      </c>
      <c r="O137" s="29">
        <v>6.6120218579234974E-2</v>
      </c>
    </row>
    <row r="138" spans="1:15" x14ac:dyDescent="0.2">
      <c r="A138" s="95" t="s">
        <v>1</v>
      </c>
      <c r="B138" s="22">
        <v>325</v>
      </c>
      <c r="C138" s="29">
        <v>1</v>
      </c>
      <c r="D138" s="22">
        <v>13</v>
      </c>
      <c r="E138" s="29">
        <v>1</v>
      </c>
      <c r="F138" s="22">
        <v>113</v>
      </c>
      <c r="G138" s="29">
        <v>1</v>
      </c>
      <c r="H138" s="22">
        <v>508</v>
      </c>
      <c r="I138" s="29">
        <v>1</v>
      </c>
      <c r="J138" s="22">
        <v>235</v>
      </c>
      <c r="K138" s="29">
        <v>1</v>
      </c>
      <c r="L138" s="22">
        <v>636</v>
      </c>
      <c r="M138" s="29">
        <v>1</v>
      </c>
      <c r="N138" s="22">
        <v>1830</v>
      </c>
      <c r="O138" s="29">
        <v>1</v>
      </c>
    </row>
    <row r="139" spans="1:15" x14ac:dyDescent="0.2">
      <c r="A139" s="95" t="s">
        <v>145</v>
      </c>
      <c r="B139" s="28"/>
      <c r="C139" s="54">
        <v>0.14153846153846156</v>
      </c>
      <c r="D139" s="28"/>
      <c r="E139" s="54">
        <v>0</v>
      </c>
      <c r="F139" s="28"/>
      <c r="G139" s="54">
        <v>0.1415929203539823</v>
      </c>
      <c r="H139" s="28"/>
      <c r="I139" s="54">
        <v>9.8425196850393692E-2</v>
      </c>
      <c r="J139" s="28"/>
      <c r="K139" s="54">
        <v>0.1574468085106383</v>
      </c>
      <c r="L139" s="28"/>
      <c r="M139" s="54">
        <v>0.16194968553459121</v>
      </c>
      <c r="N139" s="22"/>
      <c r="O139" s="54">
        <v>0.13770491803278689</v>
      </c>
    </row>
    <row r="140" spans="1:15" x14ac:dyDescent="0.2">
      <c r="A140" s="38"/>
      <c r="B140" s="36"/>
      <c r="C140" s="36"/>
      <c r="D140" s="36"/>
      <c r="E140" s="36"/>
      <c r="F140" s="36"/>
      <c r="G140" s="36"/>
      <c r="H140" s="39"/>
      <c r="I140" s="36"/>
      <c r="J140" s="36"/>
      <c r="K140" s="36"/>
      <c r="L140" s="36"/>
      <c r="M140" s="36"/>
      <c r="N140" s="36"/>
      <c r="O140" s="36"/>
    </row>
    <row r="141" spans="1:15" x14ac:dyDescent="0.2">
      <c r="A141" s="121" t="s">
        <v>192</v>
      </c>
      <c r="B141" s="122" t="s">
        <v>100</v>
      </c>
      <c r="C141" s="122"/>
      <c r="D141" s="122" t="s">
        <v>80</v>
      </c>
      <c r="E141" s="122"/>
      <c r="F141" s="123" t="s">
        <v>136</v>
      </c>
      <c r="G141" s="123"/>
      <c r="H141" s="122" t="s">
        <v>82</v>
      </c>
      <c r="I141" s="122"/>
      <c r="J141" s="122" t="s">
        <v>81</v>
      </c>
      <c r="K141" s="122"/>
      <c r="L141" s="122" t="s">
        <v>98</v>
      </c>
      <c r="M141" s="122"/>
      <c r="N141" s="116" t="s">
        <v>1</v>
      </c>
      <c r="O141" s="116"/>
    </row>
    <row r="142" spans="1:15" x14ac:dyDescent="0.2">
      <c r="A142" s="20" t="s">
        <v>144</v>
      </c>
      <c r="B142" s="28">
        <v>289</v>
      </c>
      <c r="C142" s="29">
        <v>0.88923076923076927</v>
      </c>
      <c r="D142" s="28">
        <v>13</v>
      </c>
      <c r="E142" s="29">
        <v>1</v>
      </c>
      <c r="F142" s="28">
        <v>96</v>
      </c>
      <c r="G142" s="29">
        <v>0.82758620689655171</v>
      </c>
      <c r="H142" s="28">
        <v>466</v>
      </c>
      <c r="I142" s="29">
        <v>0.9066147859922179</v>
      </c>
      <c r="J142" s="28">
        <v>209</v>
      </c>
      <c r="K142" s="29">
        <v>0.88559322033898302</v>
      </c>
      <c r="L142" s="28">
        <v>563</v>
      </c>
      <c r="M142" s="29">
        <v>0.88522012578616349</v>
      </c>
      <c r="N142" s="21">
        <v>1636</v>
      </c>
      <c r="O142" s="29">
        <v>0.88913043478260867</v>
      </c>
    </row>
    <row r="143" spans="1:15" x14ac:dyDescent="0.2">
      <c r="A143" s="20" t="s">
        <v>143</v>
      </c>
      <c r="B143" s="28">
        <v>8</v>
      </c>
      <c r="C143" s="29">
        <v>2.4615384615384615E-2</v>
      </c>
      <c r="D143" s="28"/>
      <c r="E143" s="29">
        <v>0</v>
      </c>
      <c r="F143" s="28">
        <v>6</v>
      </c>
      <c r="G143" s="29">
        <v>5.1724137931034482E-2</v>
      </c>
      <c r="H143" s="28">
        <v>14</v>
      </c>
      <c r="I143" s="29">
        <v>2.7237354085603113E-2</v>
      </c>
      <c r="J143" s="28">
        <v>9</v>
      </c>
      <c r="K143" s="29">
        <v>3.8135593220338986E-2</v>
      </c>
      <c r="L143" s="28">
        <v>30</v>
      </c>
      <c r="M143" s="29">
        <v>4.716981132075472E-2</v>
      </c>
      <c r="N143" s="21">
        <v>67</v>
      </c>
      <c r="O143" s="29">
        <v>3.6413043478260868E-2</v>
      </c>
    </row>
    <row r="144" spans="1:15" x14ac:dyDescent="0.2">
      <c r="A144" s="20" t="s">
        <v>142</v>
      </c>
      <c r="B144" s="28">
        <v>6</v>
      </c>
      <c r="C144" s="29">
        <v>1.8461538461538463E-2</v>
      </c>
      <c r="D144" s="28"/>
      <c r="E144" s="29">
        <v>0</v>
      </c>
      <c r="F144" s="28">
        <v>3</v>
      </c>
      <c r="G144" s="29">
        <v>2.5862068965517241E-2</v>
      </c>
      <c r="H144" s="28">
        <v>9</v>
      </c>
      <c r="I144" s="29">
        <v>1.7509727626459144E-2</v>
      </c>
      <c r="J144" s="28">
        <v>5</v>
      </c>
      <c r="K144" s="29">
        <v>2.1186440677966101E-2</v>
      </c>
      <c r="L144" s="28">
        <v>9</v>
      </c>
      <c r="M144" s="29">
        <v>1.4150943396226415E-2</v>
      </c>
      <c r="N144" s="21">
        <v>32</v>
      </c>
      <c r="O144" s="29">
        <v>1.7391304347826087E-2</v>
      </c>
    </row>
    <row r="145" spans="1:15" x14ac:dyDescent="0.2">
      <c r="A145" s="20" t="s">
        <v>141</v>
      </c>
      <c r="B145" s="28">
        <v>7</v>
      </c>
      <c r="C145" s="29">
        <v>2.1538461538461538E-2</v>
      </c>
      <c r="D145" s="28"/>
      <c r="E145" s="29">
        <v>0</v>
      </c>
      <c r="F145" s="28">
        <v>8</v>
      </c>
      <c r="G145" s="29">
        <v>6.8965517241379309E-2</v>
      </c>
      <c r="H145" s="28">
        <v>7</v>
      </c>
      <c r="I145" s="29">
        <v>1.3618677042801557E-2</v>
      </c>
      <c r="J145" s="28">
        <v>7</v>
      </c>
      <c r="K145" s="29">
        <v>2.9661016949152543E-2</v>
      </c>
      <c r="L145" s="28">
        <v>11</v>
      </c>
      <c r="M145" s="29">
        <v>1.7295597484276729E-2</v>
      </c>
      <c r="N145" s="21">
        <v>40</v>
      </c>
      <c r="O145" s="29">
        <v>2.1739130434782608E-2</v>
      </c>
    </row>
    <row r="146" spans="1:15" x14ac:dyDescent="0.2">
      <c r="A146" s="20" t="s">
        <v>140</v>
      </c>
      <c r="B146" s="28">
        <v>15</v>
      </c>
      <c r="C146" s="29">
        <v>4.6153846153846156E-2</v>
      </c>
      <c r="D146" s="28"/>
      <c r="E146" s="29">
        <v>0</v>
      </c>
      <c r="F146" s="28">
        <v>3</v>
      </c>
      <c r="G146" s="29">
        <v>2.5862068965517241E-2</v>
      </c>
      <c r="H146" s="28">
        <v>18</v>
      </c>
      <c r="I146" s="29">
        <v>3.5019455252918288E-2</v>
      </c>
      <c r="J146" s="28">
        <v>6</v>
      </c>
      <c r="K146" s="29">
        <v>2.5423728813559324E-2</v>
      </c>
      <c r="L146" s="28">
        <v>23</v>
      </c>
      <c r="M146" s="29">
        <v>3.6163522012578615E-2</v>
      </c>
      <c r="N146" s="21">
        <v>65</v>
      </c>
      <c r="O146" s="29">
        <v>3.5326086956521736E-2</v>
      </c>
    </row>
    <row r="147" spans="1:15" x14ac:dyDescent="0.2">
      <c r="A147" s="95" t="s">
        <v>1</v>
      </c>
      <c r="B147" s="22">
        <v>325</v>
      </c>
      <c r="C147" s="29">
        <v>1</v>
      </c>
      <c r="D147" s="22">
        <v>13</v>
      </c>
      <c r="E147" s="29">
        <v>1</v>
      </c>
      <c r="F147" s="22">
        <v>116</v>
      </c>
      <c r="G147" s="29">
        <v>1</v>
      </c>
      <c r="H147" s="22">
        <v>514</v>
      </c>
      <c r="I147" s="29">
        <v>1</v>
      </c>
      <c r="J147" s="22">
        <v>236</v>
      </c>
      <c r="K147" s="29">
        <v>1</v>
      </c>
      <c r="L147" s="22">
        <v>636</v>
      </c>
      <c r="M147" s="29">
        <v>1</v>
      </c>
      <c r="N147" s="22">
        <v>1840</v>
      </c>
      <c r="O147" s="29">
        <v>1</v>
      </c>
    </row>
    <row r="148" spans="1:15" x14ac:dyDescent="0.2">
      <c r="A148" s="95" t="s">
        <v>145</v>
      </c>
      <c r="B148" s="28"/>
      <c r="C148" s="54">
        <v>8.6153846153846164E-2</v>
      </c>
      <c r="D148" s="28"/>
      <c r="E148" s="54">
        <v>0</v>
      </c>
      <c r="F148" s="28"/>
      <c r="G148" s="54">
        <v>0.12068965517241378</v>
      </c>
      <c r="H148" s="28"/>
      <c r="I148" s="54">
        <v>6.6147859922178989E-2</v>
      </c>
      <c r="J148" s="28"/>
      <c r="K148" s="54">
        <v>7.6271186440677971E-2</v>
      </c>
      <c r="L148" s="28"/>
      <c r="M148" s="54">
        <v>6.761006289308176E-2</v>
      </c>
      <c r="N148" s="22"/>
      <c r="O148" s="54">
        <v>7.4456521739130421E-2</v>
      </c>
    </row>
    <row r="149" spans="1:15" x14ac:dyDescent="0.2">
      <c r="A149" s="38"/>
      <c r="B149" s="36"/>
      <c r="C149" s="36"/>
      <c r="D149" s="36"/>
      <c r="E149" s="36"/>
      <c r="F149" s="36"/>
      <c r="G149" s="36"/>
      <c r="H149" s="39"/>
      <c r="I149" s="36"/>
      <c r="J149" s="36"/>
      <c r="K149" s="36"/>
      <c r="L149" s="36"/>
      <c r="M149" s="36"/>
      <c r="N149" s="36"/>
      <c r="O149" s="36"/>
    </row>
    <row r="150" spans="1:15" x14ac:dyDescent="0.2">
      <c r="A150" s="121" t="s">
        <v>193</v>
      </c>
      <c r="B150" s="122" t="s">
        <v>100</v>
      </c>
      <c r="C150" s="122"/>
      <c r="D150" s="122" t="s">
        <v>80</v>
      </c>
      <c r="E150" s="122"/>
      <c r="F150" s="123" t="s">
        <v>136</v>
      </c>
      <c r="G150" s="123"/>
      <c r="H150" s="122" t="s">
        <v>82</v>
      </c>
      <c r="I150" s="122"/>
      <c r="J150" s="122" t="s">
        <v>81</v>
      </c>
      <c r="K150" s="122"/>
      <c r="L150" s="122" t="s">
        <v>98</v>
      </c>
      <c r="M150" s="122"/>
      <c r="N150" s="116" t="s">
        <v>1</v>
      </c>
      <c r="O150" s="116"/>
    </row>
    <row r="151" spans="1:15" x14ac:dyDescent="0.2">
      <c r="A151" s="20" t="s">
        <v>144</v>
      </c>
      <c r="B151" s="28">
        <v>250</v>
      </c>
      <c r="C151" s="29">
        <v>0.76923076923076927</v>
      </c>
      <c r="D151" s="28">
        <v>11</v>
      </c>
      <c r="E151" s="29">
        <v>0.84615384615384615</v>
      </c>
      <c r="F151" s="28">
        <v>69</v>
      </c>
      <c r="G151" s="29">
        <v>0.6</v>
      </c>
      <c r="H151" s="28">
        <v>399</v>
      </c>
      <c r="I151" s="29">
        <v>0.77777777777777779</v>
      </c>
      <c r="J151" s="28">
        <v>153</v>
      </c>
      <c r="K151" s="29">
        <v>0.65106382978723409</v>
      </c>
      <c r="L151" s="28">
        <v>510</v>
      </c>
      <c r="M151" s="29">
        <v>0.80568720379146919</v>
      </c>
      <c r="N151" s="21">
        <v>1392</v>
      </c>
      <c r="O151" s="29">
        <v>0.75899672846237731</v>
      </c>
    </row>
    <row r="152" spans="1:15" x14ac:dyDescent="0.2">
      <c r="A152" s="20" t="s">
        <v>143</v>
      </c>
      <c r="B152" s="28">
        <v>53</v>
      </c>
      <c r="C152" s="29">
        <v>0.16307692307692306</v>
      </c>
      <c r="D152" s="28">
        <v>1</v>
      </c>
      <c r="E152" s="29">
        <v>7.6923076923076927E-2</v>
      </c>
      <c r="F152" s="28">
        <v>26</v>
      </c>
      <c r="G152" s="29">
        <v>0.22608695652173913</v>
      </c>
      <c r="H152" s="28">
        <v>67</v>
      </c>
      <c r="I152" s="29">
        <v>0.13060428849902533</v>
      </c>
      <c r="J152" s="28">
        <v>41</v>
      </c>
      <c r="K152" s="29">
        <v>0.17446808510638298</v>
      </c>
      <c r="L152" s="28">
        <v>74</v>
      </c>
      <c r="M152" s="29">
        <v>0.11690363349131122</v>
      </c>
      <c r="N152" s="21">
        <v>262</v>
      </c>
      <c r="O152" s="29">
        <v>0.14285714285714285</v>
      </c>
    </row>
    <row r="153" spans="1:15" x14ac:dyDescent="0.2">
      <c r="A153" s="20" t="s">
        <v>142</v>
      </c>
      <c r="B153" s="28">
        <v>12</v>
      </c>
      <c r="C153" s="29">
        <v>3.6923076923076927E-2</v>
      </c>
      <c r="D153" s="28">
        <v>1</v>
      </c>
      <c r="E153" s="29">
        <v>7.6923076923076927E-2</v>
      </c>
      <c r="F153" s="28">
        <v>9</v>
      </c>
      <c r="G153" s="29">
        <v>7.8260869565217397E-2</v>
      </c>
      <c r="H153" s="28">
        <v>32</v>
      </c>
      <c r="I153" s="29">
        <v>6.2378167641325533E-2</v>
      </c>
      <c r="J153" s="28">
        <v>21</v>
      </c>
      <c r="K153" s="29">
        <v>8.9361702127659579E-2</v>
      </c>
      <c r="L153" s="28">
        <v>37</v>
      </c>
      <c r="M153" s="29">
        <v>5.845181674565561E-2</v>
      </c>
      <c r="N153" s="21">
        <v>112</v>
      </c>
      <c r="O153" s="29">
        <v>6.1068702290076333E-2</v>
      </c>
    </row>
    <row r="154" spans="1:15" x14ac:dyDescent="0.2">
      <c r="A154" s="20" t="s">
        <v>141</v>
      </c>
      <c r="B154" s="28">
        <v>7</v>
      </c>
      <c r="C154" s="29">
        <v>2.1538461538461538E-2</v>
      </c>
      <c r="D154" s="28"/>
      <c r="E154" s="29">
        <v>0</v>
      </c>
      <c r="F154" s="28">
        <v>5</v>
      </c>
      <c r="G154" s="29">
        <v>4.3478260869565216E-2</v>
      </c>
      <c r="H154" s="28">
        <v>10</v>
      </c>
      <c r="I154" s="29">
        <v>1.9493177387914229E-2</v>
      </c>
      <c r="J154" s="28">
        <v>14</v>
      </c>
      <c r="K154" s="29">
        <v>5.9574468085106386E-2</v>
      </c>
      <c r="L154" s="28">
        <v>8</v>
      </c>
      <c r="M154" s="29">
        <v>1.2638230647709321E-2</v>
      </c>
      <c r="N154" s="21">
        <v>44</v>
      </c>
      <c r="O154" s="29">
        <v>2.3991275899672846E-2</v>
      </c>
    </row>
    <row r="155" spans="1:15" x14ac:dyDescent="0.2">
      <c r="A155" s="20" t="s">
        <v>140</v>
      </c>
      <c r="B155" s="28">
        <v>3</v>
      </c>
      <c r="C155" s="29">
        <v>9.2307692307692316E-3</v>
      </c>
      <c r="D155" s="28"/>
      <c r="E155" s="29">
        <v>0</v>
      </c>
      <c r="F155" s="28">
        <v>6</v>
      </c>
      <c r="G155" s="29">
        <v>5.2173913043478258E-2</v>
      </c>
      <c r="H155" s="28">
        <v>5</v>
      </c>
      <c r="I155" s="29">
        <v>9.7465886939571145E-3</v>
      </c>
      <c r="J155" s="28">
        <v>6</v>
      </c>
      <c r="K155" s="29">
        <v>2.553191489361702E-2</v>
      </c>
      <c r="L155" s="28">
        <v>4</v>
      </c>
      <c r="M155" s="29">
        <v>6.3191153238546603E-3</v>
      </c>
      <c r="N155" s="21">
        <v>24</v>
      </c>
      <c r="O155" s="29">
        <v>1.3086150490730643E-2</v>
      </c>
    </row>
    <row r="156" spans="1:15" x14ac:dyDescent="0.2">
      <c r="A156" s="95" t="s">
        <v>1</v>
      </c>
      <c r="B156" s="22">
        <v>325</v>
      </c>
      <c r="C156" s="29">
        <v>1</v>
      </c>
      <c r="D156" s="22">
        <v>13</v>
      </c>
      <c r="E156" s="29">
        <v>1</v>
      </c>
      <c r="F156" s="22">
        <v>115</v>
      </c>
      <c r="G156" s="29">
        <v>1</v>
      </c>
      <c r="H156" s="22">
        <v>513</v>
      </c>
      <c r="I156" s="29">
        <v>1</v>
      </c>
      <c r="J156" s="22">
        <v>235</v>
      </c>
      <c r="K156" s="29">
        <v>1</v>
      </c>
      <c r="L156" s="22">
        <v>633</v>
      </c>
      <c r="M156" s="29">
        <v>1</v>
      </c>
      <c r="N156" s="22">
        <v>1834</v>
      </c>
      <c r="O156" s="29">
        <v>1</v>
      </c>
    </row>
    <row r="157" spans="1:15" x14ac:dyDescent="0.2">
      <c r="A157" s="95" t="s">
        <v>145</v>
      </c>
      <c r="B157" s="28"/>
      <c r="C157" s="54">
        <v>6.7692307692307704E-2</v>
      </c>
      <c r="D157" s="28"/>
      <c r="E157" s="54">
        <v>7.6923076923076927E-2</v>
      </c>
      <c r="F157" s="28"/>
      <c r="G157" s="54">
        <v>0.17391304347826086</v>
      </c>
      <c r="H157" s="28"/>
      <c r="I157" s="54">
        <v>9.1617933723196876E-2</v>
      </c>
      <c r="J157" s="28"/>
      <c r="K157" s="54">
        <v>0.17446808510638298</v>
      </c>
      <c r="L157" s="28"/>
      <c r="M157" s="54">
        <v>7.7409162717219593E-2</v>
      </c>
      <c r="N157" s="22"/>
      <c r="O157" s="54">
        <v>9.8146128680479824E-2</v>
      </c>
    </row>
    <row r="158" spans="1:15" x14ac:dyDescent="0.2">
      <c r="A158" s="38"/>
      <c r="B158" s="36"/>
      <c r="C158" s="36"/>
      <c r="D158" s="36"/>
      <c r="E158" s="36"/>
      <c r="F158" s="36"/>
      <c r="G158" s="36"/>
      <c r="H158" s="39"/>
      <c r="I158" s="36"/>
      <c r="J158" s="36"/>
      <c r="K158" s="36"/>
      <c r="L158" s="36"/>
      <c r="M158" s="36"/>
      <c r="N158" s="36"/>
      <c r="O158" s="36"/>
    </row>
    <row r="159" spans="1:15" x14ac:dyDescent="0.2">
      <c r="A159" s="121" t="s">
        <v>194</v>
      </c>
      <c r="B159" s="122" t="s">
        <v>100</v>
      </c>
      <c r="C159" s="122"/>
      <c r="D159" s="122" t="s">
        <v>80</v>
      </c>
      <c r="E159" s="122"/>
      <c r="F159" s="123" t="s">
        <v>136</v>
      </c>
      <c r="G159" s="123"/>
      <c r="H159" s="122" t="s">
        <v>82</v>
      </c>
      <c r="I159" s="122"/>
      <c r="J159" s="122" t="s">
        <v>81</v>
      </c>
      <c r="K159" s="122"/>
      <c r="L159" s="122" t="s">
        <v>98</v>
      </c>
      <c r="M159" s="122"/>
      <c r="N159" s="116" t="s">
        <v>1</v>
      </c>
      <c r="O159" s="116"/>
    </row>
    <row r="160" spans="1:15" x14ac:dyDescent="0.2">
      <c r="A160" s="20" t="s">
        <v>144</v>
      </c>
      <c r="B160" s="28">
        <v>298</v>
      </c>
      <c r="C160" s="29">
        <v>0.91411042944785281</v>
      </c>
      <c r="D160" s="28">
        <v>13</v>
      </c>
      <c r="E160" s="29">
        <v>1</v>
      </c>
      <c r="F160" s="28">
        <v>105</v>
      </c>
      <c r="G160" s="29">
        <v>0.9375</v>
      </c>
      <c r="H160" s="28">
        <v>465</v>
      </c>
      <c r="I160" s="29">
        <v>0.9064327485380117</v>
      </c>
      <c r="J160" s="28">
        <v>223</v>
      </c>
      <c r="K160" s="29">
        <v>0.94893617021276599</v>
      </c>
      <c r="L160" s="28">
        <v>569</v>
      </c>
      <c r="M160" s="29">
        <v>0.89606299212598428</v>
      </c>
      <c r="N160" s="21">
        <v>1673</v>
      </c>
      <c r="O160" s="29">
        <v>0.91221374045801529</v>
      </c>
    </row>
    <row r="161" spans="1:15" x14ac:dyDescent="0.2">
      <c r="A161" s="20" t="s">
        <v>143</v>
      </c>
      <c r="B161" s="28">
        <v>7</v>
      </c>
      <c r="C161" s="29">
        <v>2.1472392638036811E-2</v>
      </c>
      <c r="D161" s="28"/>
      <c r="E161" s="29">
        <v>0</v>
      </c>
      <c r="F161" s="28">
        <v>4</v>
      </c>
      <c r="G161" s="29">
        <v>3.5714285714285712E-2</v>
      </c>
      <c r="H161" s="28">
        <v>12</v>
      </c>
      <c r="I161" s="29">
        <v>2.3391812865497075E-2</v>
      </c>
      <c r="J161" s="28"/>
      <c r="K161" s="29">
        <v>0</v>
      </c>
      <c r="L161" s="28">
        <v>18</v>
      </c>
      <c r="M161" s="29">
        <v>2.8346456692913385E-2</v>
      </c>
      <c r="N161" s="21">
        <v>41</v>
      </c>
      <c r="O161" s="29">
        <v>2.2355507088331516E-2</v>
      </c>
    </row>
    <row r="162" spans="1:15" x14ac:dyDescent="0.2">
      <c r="A162" s="20" t="s">
        <v>142</v>
      </c>
      <c r="B162" s="28">
        <v>5</v>
      </c>
      <c r="C162" s="29">
        <v>1.5337423312883436E-2</v>
      </c>
      <c r="D162" s="28"/>
      <c r="E162" s="29">
        <v>0</v>
      </c>
      <c r="F162" s="28">
        <v>1</v>
      </c>
      <c r="G162" s="29">
        <v>8.9285714285714281E-3</v>
      </c>
      <c r="H162" s="28">
        <v>11</v>
      </c>
      <c r="I162" s="29">
        <v>2.1442495126705652E-2</v>
      </c>
      <c r="J162" s="28">
        <v>5</v>
      </c>
      <c r="K162" s="29">
        <v>2.1276595744680851E-2</v>
      </c>
      <c r="L162" s="28">
        <v>13</v>
      </c>
      <c r="M162" s="29">
        <v>2.0472440944881889E-2</v>
      </c>
      <c r="N162" s="21">
        <v>35</v>
      </c>
      <c r="O162" s="29">
        <v>1.9083969465648856E-2</v>
      </c>
    </row>
    <row r="163" spans="1:15" x14ac:dyDescent="0.2">
      <c r="A163" s="20" t="s">
        <v>141</v>
      </c>
      <c r="B163" s="28">
        <v>6</v>
      </c>
      <c r="C163" s="29">
        <v>1.8404907975460124E-2</v>
      </c>
      <c r="D163" s="28"/>
      <c r="E163" s="29">
        <v>0</v>
      </c>
      <c r="F163" s="28">
        <v>2</v>
      </c>
      <c r="G163" s="29">
        <v>1.7857142857142856E-2</v>
      </c>
      <c r="H163" s="28">
        <v>11</v>
      </c>
      <c r="I163" s="29">
        <v>2.1442495126705652E-2</v>
      </c>
      <c r="J163" s="28">
        <v>4</v>
      </c>
      <c r="K163" s="29">
        <v>1.7021276595744681E-2</v>
      </c>
      <c r="L163" s="28">
        <v>15</v>
      </c>
      <c r="M163" s="29">
        <v>2.3622047244094488E-2</v>
      </c>
      <c r="N163" s="21">
        <v>38</v>
      </c>
      <c r="O163" s="29">
        <v>2.0719738276990186E-2</v>
      </c>
    </row>
    <row r="164" spans="1:15" x14ac:dyDescent="0.2">
      <c r="A164" s="20" t="s">
        <v>140</v>
      </c>
      <c r="B164" s="28">
        <v>10</v>
      </c>
      <c r="C164" s="29">
        <v>3.0674846625766871E-2</v>
      </c>
      <c r="D164" s="28"/>
      <c r="E164" s="29">
        <v>0</v>
      </c>
      <c r="F164" s="28"/>
      <c r="G164" s="29">
        <v>0</v>
      </c>
      <c r="H164" s="28">
        <v>14</v>
      </c>
      <c r="I164" s="29">
        <v>2.7290448343079921E-2</v>
      </c>
      <c r="J164" s="28">
        <v>3</v>
      </c>
      <c r="K164" s="29">
        <v>1.276595744680851E-2</v>
      </c>
      <c r="L164" s="28">
        <v>20</v>
      </c>
      <c r="M164" s="29">
        <v>3.1496062992125984E-2</v>
      </c>
      <c r="N164" s="21">
        <v>47</v>
      </c>
      <c r="O164" s="29">
        <v>2.5627044711014176E-2</v>
      </c>
    </row>
    <row r="165" spans="1:15" x14ac:dyDescent="0.2">
      <c r="A165" s="95" t="s">
        <v>1</v>
      </c>
      <c r="B165" s="22">
        <v>326</v>
      </c>
      <c r="C165" s="29">
        <v>1</v>
      </c>
      <c r="D165" s="22">
        <v>13</v>
      </c>
      <c r="E165" s="29">
        <v>1</v>
      </c>
      <c r="F165" s="22">
        <v>112</v>
      </c>
      <c r="G165" s="29">
        <v>1</v>
      </c>
      <c r="H165" s="22">
        <v>513</v>
      </c>
      <c r="I165" s="29">
        <v>0.99999999999999989</v>
      </c>
      <c r="J165" s="22">
        <v>235</v>
      </c>
      <c r="K165" s="29">
        <v>1</v>
      </c>
      <c r="L165" s="22">
        <v>635</v>
      </c>
      <c r="M165" s="29">
        <v>1</v>
      </c>
      <c r="N165" s="22">
        <v>1834</v>
      </c>
      <c r="O165" s="29">
        <v>1</v>
      </c>
    </row>
    <row r="166" spans="1:15" x14ac:dyDescent="0.2">
      <c r="A166" s="95" t="s">
        <v>145</v>
      </c>
      <c r="B166" s="28"/>
      <c r="C166" s="54">
        <v>6.4417177914110432E-2</v>
      </c>
      <c r="D166" s="28"/>
      <c r="E166" s="54">
        <v>0</v>
      </c>
      <c r="F166" s="28"/>
      <c r="G166" s="54">
        <v>2.6785714285714284E-2</v>
      </c>
      <c r="H166" s="28"/>
      <c r="I166" s="54">
        <v>7.0175438596491224E-2</v>
      </c>
      <c r="J166" s="28"/>
      <c r="K166" s="54">
        <v>5.106382978723404E-2</v>
      </c>
      <c r="L166" s="28"/>
      <c r="M166" s="54">
        <v>7.5590551181102361E-2</v>
      </c>
      <c r="N166" s="22"/>
      <c r="O166" s="54">
        <v>6.5430752453653221E-2</v>
      </c>
    </row>
    <row r="167" spans="1:15" x14ac:dyDescent="0.2">
      <c r="A167" s="38"/>
      <c r="B167" s="36"/>
      <c r="C167" s="36"/>
      <c r="D167" s="36"/>
      <c r="E167" s="36"/>
      <c r="F167" s="36"/>
      <c r="G167" s="36"/>
      <c r="H167" s="39"/>
      <c r="I167" s="36"/>
      <c r="J167" s="36"/>
      <c r="K167" s="36"/>
      <c r="L167" s="36"/>
      <c r="M167" s="36"/>
      <c r="N167" s="36"/>
      <c r="O167" s="36"/>
    </row>
    <row r="168" spans="1:15" x14ac:dyDescent="0.2">
      <c r="A168" s="121" t="s">
        <v>200</v>
      </c>
      <c r="B168" s="122" t="s">
        <v>100</v>
      </c>
      <c r="C168" s="122"/>
      <c r="D168" s="122" t="s">
        <v>80</v>
      </c>
      <c r="E168" s="122"/>
      <c r="F168" s="123" t="s">
        <v>136</v>
      </c>
      <c r="G168" s="123"/>
      <c r="H168" s="122" t="s">
        <v>82</v>
      </c>
      <c r="I168" s="122"/>
      <c r="J168" s="122" t="s">
        <v>81</v>
      </c>
      <c r="K168" s="122"/>
      <c r="L168" s="122" t="s">
        <v>98</v>
      </c>
      <c r="M168" s="122"/>
      <c r="N168" s="116" t="s">
        <v>1</v>
      </c>
      <c r="O168" s="116"/>
    </row>
    <row r="169" spans="1:15" x14ac:dyDescent="0.2">
      <c r="A169" s="20" t="s">
        <v>144</v>
      </c>
      <c r="B169" s="28">
        <v>315</v>
      </c>
      <c r="C169" s="29">
        <v>0.97222222222222221</v>
      </c>
      <c r="D169" s="28">
        <v>12</v>
      </c>
      <c r="E169" s="29">
        <v>0.92307692307692313</v>
      </c>
      <c r="F169" s="28">
        <v>113</v>
      </c>
      <c r="G169" s="29">
        <v>0.99122807017543857</v>
      </c>
      <c r="H169" s="28">
        <v>501</v>
      </c>
      <c r="I169" s="29">
        <v>0.98043052837573386</v>
      </c>
      <c r="J169" s="28">
        <v>227</v>
      </c>
      <c r="K169" s="29">
        <v>0.97008547008547008</v>
      </c>
      <c r="L169" s="28">
        <v>615</v>
      </c>
      <c r="M169" s="29">
        <v>0.97310126582278478</v>
      </c>
      <c r="N169" s="21">
        <v>1783</v>
      </c>
      <c r="O169" s="29">
        <v>0.97538293216630201</v>
      </c>
    </row>
    <row r="170" spans="1:15" x14ac:dyDescent="0.2">
      <c r="A170" s="20" t="s">
        <v>143</v>
      </c>
      <c r="B170" s="28">
        <v>2</v>
      </c>
      <c r="C170" s="29">
        <v>6.1728395061728392E-3</v>
      </c>
      <c r="D170" s="28">
        <v>1</v>
      </c>
      <c r="E170" s="29">
        <v>7.6923076923076927E-2</v>
      </c>
      <c r="F170" s="28"/>
      <c r="G170" s="29">
        <v>0</v>
      </c>
      <c r="H170" s="28">
        <v>3</v>
      </c>
      <c r="I170" s="29">
        <v>5.8708414872798431E-3</v>
      </c>
      <c r="J170" s="28">
        <v>3</v>
      </c>
      <c r="K170" s="29">
        <v>1.282051282051282E-2</v>
      </c>
      <c r="L170" s="28">
        <v>3</v>
      </c>
      <c r="M170" s="29">
        <v>4.7468354430379748E-3</v>
      </c>
      <c r="N170" s="21">
        <v>12</v>
      </c>
      <c r="O170" s="29">
        <v>6.5645514223194746E-3</v>
      </c>
    </row>
    <row r="171" spans="1:15" x14ac:dyDescent="0.2">
      <c r="A171" s="20" t="s">
        <v>142</v>
      </c>
      <c r="B171" s="28">
        <v>1</v>
      </c>
      <c r="C171" s="29">
        <v>3.0864197530864196E-3</v>
      </c>
      <c r="D171" s="28"/>
      <c r="E171" s="29">
        <v>0</v>
      </c>
      <c r="F171" s="28"/>
      <c r="G171" s="29">
        <v>0</v>
      </c>
      <c r="H171" s="28">
        <v>1</v>
      </c>
      <c r="I171" s="29">
        <v>1.9569471624266144E-3</v>
      </c>
      <c r="J171" s="28">
        <v>3</v>
      </c>
      <c r="K171" s="29">
        <v>1.282051282051282E-2</v>
      </c>
      <c r="L171" s="28">
        <v>6</v>
      </c>
      <c r="M171" s="29">
        <v>9.4936708860759497E-3</v>
      </c>
      <c r="N171" s="21">
        <v>11</v>
      </c>
      <c r="O171" s="29">
        <v>6.0175054704595188E-3</v>
      </c>
    </row>
    <row r="172" spans="1:15" x14ac:dyDescent="0.2">
      <c r="A172" s="20" t="s">
        <v>141</v>
      </c>
      <c r="B172" s="28">
        <v>2</v>
      </c>
      <c r="C172" s="29">
        <v>6.1728395061728392E-3</v>
      </c>
      <c r="D172" s="28"/>
      <c r="E172" s="29">
        <v>0</v>
      </c>
      <c r="F172" s="28">
        <v>1</v>
      </c>
      <c r="G172" s="29">
        <v>8.771929824561403E-3</v>
      </c>
      <c r="H172" s="28">
        <v>4</v>
      </c>
      <c r="I172" s="29">
        <v>7.8277886497064575E-3</v>
      </c>
      <c r="J172" s="28">
        <v>1</v>
      </c>
      <c r="K172" s="29">
        <v>4.2735042735042739E-3</v>
      </c>
      <c r="L172" s="28">
        <v>3</v>
      </c>
      <c r="M172" s="29">
        <v>4.7468354430379748E-3</v>
      </c>
      <c r="N172" s="21">
        <v>11</v>
      </c>
      <c r="O172" s="29">
        <v>6.0175054704595188E-3</v>
      </c>
    </row>
    <row r="173" spans="1:15" x14ac:dyDescent="0.2">
      <c r="A173" s="20" t="s">
        <v>140</v>
      </c>
      <c r="B173" s="28">
        <v>4</v>
      </c>
      <c r="C173" s="29">
        <v>1.2345679012345678E-2</v>
      </c>
      <c r="D173" s="28"/>
      <c r="E173" s="29">
        <v>0</v>
      </c>
      <c r="F173" s="28"/>
      <c r="G173" s="29">
        <v>0</v>
      </c>
      <c r="H173" s="28">
        <v>2</v>
      </c>
      <c r="I173" s="29">
        <v>3.9138943248532287E-3</v>
      </c>
      <c r="J173" s="28"/>
      <c r="K173" s="29">
        <v>0</v>
      </c>
      <c r="L173" s="28">
        <v>5</v>
      </c>
      <c r="M173" s="29">
        <v>7.9113924050632917E-3</v>
      </c>
      <c r="N173" s="21">
        <v>11</v>
      </c>
      <c r="O173" s="29">
        <v>6.0175054704595188E-3</v>
      </c>
    </row>
    <row r="174" spans="1:15" x14ac:dyDescent="0.2">
      <c r="A174" s="95" t="s">
        <v>1</v>
      </c>
      <c r="B174" s="22">
        <v>324</v>
      </c>
      <c r="C174" s="29">
        <v>1</v>
      </c>
      <c r="D174" s="22">
        <v>13</v>
      </c>
      <c r="E174" s="29">
        <v>1</v>
      </c>
      <c r="F174" s="22">
        <v>114</v>
      </c>
      <c r="G174" s="29">
        <v>1</v>
      </c>
      <c r="H174" s="22">
        <v>511</v>
      </c>
      <c r="I174" s="29">
        <v>0.99999999999999989</v>
      </c>
      <c r="J174" s="22">
        <v>234</v>
      </c>
      <c r="K174" s="29">
        <v>0.99999999999999989</v>
      </c>
      <c r="L174" s="22">
        <v>632</v>
      </c>
      <c r="M174" s="29">
        <v>1</v>
      </c>
      <c r="N174" s="22">
        <v>1828</v>
      </c>
      <c r="O174" s="29">
        <v>1</v>
      </c>
    </row>
    <row r="175" spans="1:15" x14ac:dyDescent="0.2">
      <c r="A175" s="95" t="s">
        <v>145</v>
      </c>
      <c r="B175" s="28"/>
      <c r="C175" s="54">
        <v>2.1604938271604937E-2</v>
      </c>
      <c r="D175" s="28"/>
      <c r="E175" s="54">
        <v>0</v>
      </c>
      <c r="F175" s="28"/>
      <c r="G175" s="54">
        <v>8.771929824561403E-3</v>
      </c>
      <c r="H175" s="28"/>
      <c r="I175" s="54">
        <v>1.3698630136986301E-2</v>
      </c>
      <c r="J175" s="28"/>
      <c r="K175" s="54">
        <v>1.7094017094017096E-2</v>
      </c>
      <c r="L175" s="28"/>
      <c r="M175" s="54">
        <v>2.2151898734177215E-2</v>
      </c>
      <c r="N175" s="22"/>
      <c r="O175" s="54">
        <v>1.8052516411378557E-2</v>
      </c>
    </row>
    <row r="176" spans="1:15" x14ac:dyDescent="0.2">
      <c r="A176" s="38"/>
      <c r="B176" s="36"/>
      <c r="C176" s="36"/>
      <c r="D176" s="36"/>
      <c r="E176" s="36"/>
      <c r="F176" s="36"/>
      <c r="G176" s="36"/>
      <c r="H176" s="39"/>
      <c r="I176" s="36"/>
      <c r="J176" s="36"/>
      <c r="K176" s="36"/>
      <c r="L176" s="36"/>
      <c r="M176" s="36"/>
      <c r="N176" s="36"/>
      <c r="O176" s="36"/>
    </row>
    <row r="177" spans="1:15" ht="24" x14ac:dyDescent="0.2">
      <c r="A177" s="121" t="s">
        <v>201</v>
      </c>
      <c r="B177" s="122" t="s">
        <v>100</v>
      </c>
      <c r="C177" s="122"/>
      <c r="D177" s="122" t="s">
        <v>80</v>
      </c>
      <c r="E177" s="122"/>
      <c r="F177" s="123" t="s">
        <v>136</v>
      </c>
      <c r="G177" s="123"/>
      <c r="H177" s="122" t="s">
        <v>82</v>
      </c>
      <c r="I177" s="122"/>
      <c r="J177" s="122" t="s">
        <v>81</v>
      </c>
      <c r="K177" s="122"/>
      <c r="L177" s="122" t="s">
        <v>98</v>
      </c>
      <c r="M177" s="122"/>
      <c r="N177" s="116" t="s">
        <v>1</v>
      </c>
      <c r="O177" s="116"/>
    </row>
    <row r="178" spans="1:15" x14ac:dyDescent="0.2">
      <c r="A178" s="20" t="s">
        <v>144</v>
      </c>
      <c r="B178" s="28">
        <v>279</v>
      </c>
      <c r="C178" s="29">
        <v>0.87460815047021945</v>
      </c>
      <c r="D178" s="28">
        <v>12</v>
      </c>
      <c r="E178" s="29">
        <v>0.92307692307692313</v>
      </c>
      <c r="F178" s="28">
        <v>98</v>
      </c>
      <c r="G178" s="29">
        <v>0.89090909090909087</v>
      </c>
      <c r="H178" s="28">
        <v>454</v>
      </c>
      <c r="I178" s="29">
        <v>0.89723320158102771</v>
      </c>
      <c r="J178" s="28">
        <v>209</v>
      </c>
      <c r="K178" s="29">
        <v>0.90476190476190477</v>
      </c>
      <c r="L178" s="28">
        <v>543</v>
      </c>
      <c r="M178" s="29">
        <v>0.87019230769230771</v>
      </c>
      <c r="N178" s="21">
        <v>1595</v>
      </c>
      <c r="O178" s="29">
        <v>0.88463671658347198</v>
      </c>
    </row>
    <row r="179" spans="1:15" x14ac:dyDescent="0.2">
      <c r="A179" s="20" t="s">
        <v>143</v>
      </c>
      <c r="B179" s="28">
        <v>16</v>
      </c>
      <c r="C179" s="29">
        <v>5.0156739811912224E-2</v>
      </c>
      <c r="D179" s="28">
        <v>1</v>
      </c>
      <c r="E179" s="29">
        <v>7.6923076923076927E-2</v>
      </c>
      <c r="F179" s="28">
        <v>4</v>
      </c>
      <c r="G179" s="29">
        <v>3.6363636363636362E-2</v>
      </c>
      <c r="H179" s="28">
        <v>11</v>
      </c>
      <c r="I179" s="29">
        <v>2.1739130434782608E-2</v>
      </c>
      <c r="J179" s="28">
        <v>6</v>
      </c>
      <c r="K179" s="29">
        <v>2.5974025974025976E-2</v>
      </c>
      <c r="L179" s="28">
        <v>31</v>
      </c>
      <c r="M179" s="29">
        <v>4.9679487179487176E-2</v>
      </c>
      <c r="N179" s="21">
        <v>69</v>
      </c>
      <c r="O179" s="29">
        <v>3.8269550748752081E-2</v>
      </c>
    </row>
    <row r="180" spans="1:15" x14ac:dyDescent="0.2">
      <c r="A180" s="20" t="s">
        <v>142</v>
      </c>
      <c r="B180" s="28">
        <v>2</v>
      </c>
      <c r="C180" s="29">
        <v>6.269592476489028E-3</v>
      </c>
      <c r="D180" s="28"/>
      <c r="E180" s="29">
        <v>0</v>
      </c>
      <c r="F180" s="28"/>
      <c r="G180" s="29">
        <v>0</v>
      </c>
      <c r="H180" s="28">
        <v>14</v>
      </c>
      <c r="I180" s="29">
        <v>2.766798418972332E-2</v>
      </c>
      <c r="J180" s="28">
        <v>7</v>
      </c>
      <c r="K180" s="29">
        <v>3.0303030303030304E-2</v>
      </c>
      <c r="L180" s="28">
        <v>14</v>
      </c>
      <c r="M180" s="29">
        <v>2.2435897435897436E-2</v>
      </c>
      <c r="N180" s="21">
        <v>37</v>
      </c>
      <c r="O180" s="29">
        <v>2.0521353300055462E-2</v>
      </c>
    </row>
    <row r="181" spans="1:15" x14ac:dyDescent="0.2">
      <c r="A181" s="20" t="s">
        <v>141</v>
      </c>
      <c r="B181" s="28">
        <v>11</v>
      </c>
      <c r="C181" s="29">
        <v>3.4482758620689655E-2</v>
      </c>
      <c r="D181" s="28"/>
      <c r="E181" s="29">
        <v>0</v>
      </c>
      <c r="F181" s="28">
        <v>3</v>
      </c>
      <c r="G181" s="29">
        <v>2.7272727272727271E-2</v>
      </c>
      <c r="H181" s="28">
        <v>16</v>
      </c>
      <c r="I181" s="29">
        <v>3.1620553359683792E-2</v>
      </c>
      <c r="J181" s="28">
        <v>6</v>
      </c>
      <c r="K181" s="29">
        <v>2.5974025974025976E-2</v>
      </c>
      <c r="L181" s="28">
        <v>15</v>
      </c>
      <c r="M181" s="29">
        <v>2.403846153846154E-2</v>
      </c>
      <c r="N181" s="21">
        <v>51</v>
      </c>
      <c r="O181" s="29">
        <v>2.8286189683860232E-2</v>
      </c>
    </row>
    <row r="182" spans="1:15" x14ac:dyDescent="0.2">
      <c r="A182" s="20" t="s">
        <v>140</v>
      </c>
      <c r="B182" s="28">
        <v>11</v>
      </c>
      <c r="C182" s="29">
        <v>3.4482758620689655E-2</v>
      </c>
      <c r="D182" s="28"/>
      <c r="E182" s="29">
        <v>0</v>
      </c>
      <c r="F182" s="28">
        <v>5</v>
      </c>
      <c r="G182" s="29">
        <v>4.5454545454545456E-2</v>
      </c>
      <c r="H182" s="28">
        <v>11</v>
      </c>
      <c r="I182" s="29">
        <v>2.1739130434782608E-2</v>
      </c>
      <c r="J182" s="28">
        <v>3</v>
      </c>
      <c r="K182" s="29">
        <v>1.2987012987012988E-2</v>
      </c>
      <c r="L182" s="28">
        <v>21</v>
      </c>
      <c r="M182" s="29">
        <v>3.3653846153846152E-2</v>
      </c>
      <c r="N182" s="21">
        <v>51</v>
      </c>
      <c r="O182" s="29">
        <v>2.8286189683860232E-2</v>
      </c>
    </row>
    <row r="183" spans="1:15" x14ac:dyDescent="0.2">
      <c r="A183" s="95" t="s">
        <v>1</v>
      </c>
      <c r="B183" s="22">
        <v>319</v>
      </c>
      <c r="C183" s="29">
        <v>1</v>
      </c>
      <c r="D183" s="22">
        <v>13</v>
      </c>
      <c r="E183" s="29">
        <v>1</v>
      </c>
      <c r="F183" s="22">
        <v>110</v>
      </c>
      <c r="G183" s="29">
        <v>0.99999999999999989</v>
      </c>
      <c r="H183" s="22">
        <v>506</v>
      </c>
      <c r="I183" s="29">
        <v>1</v>
      </c>
      <c r="J183" s="22">
        <v>231</v>
      </c>
      <c r="K183" s="29">
        <v>1</v>
      </c>
      <c r="L183" s="22">
        <v>624</v>
      </c>
      <c r="M183" s="29">
        <v>1.0000000000000002</v>
      </c>
      <c r="N183" s="22">
        <v>1803</v>
      </c>
      <c r="O183" s="29">
        <v>0.99999999999999989</v>
      </c>
    </row>
    <row r="184" spans="1:15" x14ac:dyDescent="0.2">
      <c r="A184" s="95" t="s">
        <v>145</v>
      </c>
      <c r="B184" s="28"/>
      <c r="C184" s="54">
        <v>7.5235109717868343E-2</v>
      </c>
      <c r="D184" s="28"/>
      <c r="E184" s="54">
        <v>0</v>
      </c>
      <c r="F184" s="28"/>
      <c r="G184" s="54">
        <v>7.2727272727272724E-2</v>
      </c>
      <c r="H184" s="28"/>
      <c r="I184" s="54">
        <v>8.1027667984189727E-2</v>
      </c>
      <c r="J184" s="28"/>
      <c r="K184" s="54">
        <v>6.9264069264069264E-2</v>
      </c>
      <c r="L184" s="28"/>
      <c r="M184" s="54">
        <v>8.0128205128205121E-2</v>
      </c>
      <c r="N184" s="22"/>
      <c r="O184" s="54">
        <v>7.709373266777593E-2</v>
      </c>
    </row>
    <row r="187" spans="1:15" x14ac:dyDescent="0.2">
      <c r="A187" s="141" t="s">
        <v>218</v>
      </c>
      <c r="B187" s="141"/>
    </row>
    <row r="188" spans="1:15" x14ac:dyDescent="0.2">
      <c r="A188" s="142" t="s">
        <v>219</v>
      </c>
      <c r="B188" s="142">
        <v>6</v>
      </c>
    </row>
    <row r="189" spans="1:15" x14ac:dyDescent="0.2">
      <c r="A189" s="142" t="s">
        <v>220</v>
      </c>
      <c r="B189" s="142">
        <v>2</v>
      </c>
    </row>
  </sheetData>
  <sortState ref="R110:U119">
    <sortCondition descending="1" ref="S110:S119"/>
  </sortState>
  <mergeCells count="155">
    <mergeCell ref="N168:O168"/>
    <mergeCell ref="B177:C177"/>
    <mergeCell ref="D177:E177"/>
    <mergeCell ref="F177:G177"/>
    <mergeCell ref="H177:I177"/>
    <mergeCell ref="J177:K177"/>
    <mergeCell ref="L177:M177"/>
    <mergeCell ref="N177:O177"/>
    <mergeCell ref="B168:C168"/>
    <mergeCell ref="D168:E168"/>
    <mergeCell ref="F168:G168"/>
    <mergeCell ref="H168:I168"/>
    <mergeCell ref="J168:K168"/>
    <mergeCell ref="L168:M168"/>
    <mergeCell ref="N150:O150"/>
    <mergeCell ref="B159:C159"/>
    <mergeCell ref="D159:E159"/>
    <mergeCell ref="F159:G159"/>
    <mergeCell ref="H159:I159"/>
    <mergeCell ref="J159:K159"/>
    <mergeCell ref="L159:M159"/>
    <mergeCell ref="N159:O159"/>
    <mergeCell ref="B150:C150"/>
    <mergeCell ref="D150:E150"/>
    <mergeCell ref="F150:G150"/>
    <mergeCell ref="H150:I150"/>
    <mergeCell ref="J150:K150"/>
    <mergeCell ref="L150:M150"/>
    <mergeCell ref="N133:O133"/>
    <mergeCell ref="B141:C141"/>
    <mergeCell ref="D141:E141"/>
    <mergeCell ref="F141:G141"/>
    <mergeCell ref="H141:I141"/>
    <mergeCell ref="J141:K141"/>
    <mergeCell ref="L141:M141"/>
    <mergeCell ref="N141:O141"/>
    <mergeCell ref="B133:C133"/>
    <mergeCell ref="D133:E133"/>
    <mergeCell ref="F133:G133"/>
    <mergeCell ref="H133:I133"/>
    <mergeCell ref="J133:K133"/>
    <mergeCell ref="L133:M133"/>
    <mergeCell ref="N123:O123"/>
    <mergeCell ref="B132:C132"/>
    <mergeCell ref="D132:E132"/>
    <mergeCell ref="F132:G132"/>
    <mergeCell ref="H132:I132"/>
    <mergeCell ref="J132:K132"/>
    <mergeCell ref="L132:M132"/>
    <mergeCell ref="N132:O132"/>
    <mergeCell ref="B123:C123"/>
    <mergeCell ref="D123:E123"/>
    <mergeCell ref="F123:G123"/>
    <mergeCell ref="H123:I123"/>
    <mergeCell ref="J123:K123"/>
    <mergeCell ref="L123:M123"/>
    <mergeCell ref="N105:O105"/>
    <mergeCell ref="B114:C114"/>
    <mergeCell ref="D114:E114"/>
    <mergeCell ref="F114:G114"/>
    <mergeCell ref="H114:I114"/>
    <mergeCell ref="J114:K114"/>
    <mergeCell ref="L114:M114"/>
    <mergeCell ref="N114:O114"/>
    <mergeCell ref="B105:C105"/>
    <mergeCell ref="D105:E105"/>
    <mergeCell ref="F105:G105"/>
    <mergeCell ref="H105:I105"/>
    <mergeCell ref="J105:K105"/>
    <mergeCell ref="L105:M105"/>
    <mergeCell ref="N86:O86"/>
    <mergeCell ref="B96:C96"/>
    <mergeCell ref="D96:E96"/>
    <mergeCell ref="F96:G96"/>
    <mergeCell ref="H96:I96"/>
    <mergeCell ref="J96:K96"/>
    <mergeCell ref="L96:M96"/>
    <mergeCell ref="N96:O96"/>
    <mergeCell ref="B86:C86"/>
    <mergeCell ref="D86:E86"/>
    <mergeCell ref="F86:G86"/>
    <mergeCell ref="H86:I86"/>
    <mergeCell ref="J86:K86"/>
    <mergeCell ref="L86:M86"/>
    <mergeCell ref="N68:O68"/>
    <mergeCell ref="B77:C77"/>
    <mergeCell ref="D77:E77"/>
    <mergeCell ref="F77:G77"/>
    <mergeCell ref="H77:I77"/>
    <mergeCell ref="J77:K77"/>
    <mergeCell ref="L77:M77"/>
    <mergeCell ref="N77:O77"/>
    <mergeCell ref="B68:C68"/>
    <mergeCell ref="D68:E68"/>
    <mergeCell ref="F68:G68"/>
    <mergeCell ref="H68:I68"/>
    <mergeCell ref="J68:K68"/>
    <mergeCell ref="L68:M68"/>
    <mergeCell ref="N50:O50"/>
    <mergeCell ref="B59:C59"/>
    <mergeCell ref="D59:E59"/>
    <mergeCell ref="F59:G59"/>
    <mergeCell ref="H59:I59"/>
    <mergeCell ref="J59:K59"/>
    <mergeCell ref="L59:M59"/>
    <mergeCell ref="N59:O59"/>
    <mergeCell ref="B50:C50"/>
    <mergeCell ref="D50:E50"/>
    <mergeCell ref="F50:G50"/>
    <mergeCell ref="H50:I50"/>
    <mergeCell ref="J50:K50"/>
    <mergeCell ref="L50:M50"/>
    <mergeCell ref="N32:O32"/>
    <mergeCell ref="B41:C41"/>
    <mergeCell ref="D41:E41"/>
    <mergeCell ref="F41:G41"/>
    <mergeCell ref="H41:I41"/>
    <mergeCell ref="J41:K41"/>
    <mergeCell ref="L41:M41"/>
    <mergeCell ref="N41:O41"/>
    <mergeCell ref="B32:C32"/>
    <mergeCell ref="D32:E32"/>
    <mergeCell ref="F32:G32"/>
    <mergeCell ref="H32:I32"/>
    <mergeCell ref="J32:K32"/>
    <mergeCell ref="L32:M32"/>
    <mergeCell ref="N14:O14"/>
    <mergeCell ref="B23:C23"/>
    <mergeCell ref="D23:E23"/>
    <mergeCell ref="F23:G23"/>
    <mergeCell ref="H23:I23"/>
    <mergeCell ref="J23:K23"/>
    <mergeCell ref="L23:M23"/>
    <mergeCell ref="N23:O23"/>
    <mergeCell ref="B14:C14"/>
    <mergeCell ref="D14:E14"/>
    <mergeCell ref="F14:G14"/>
    <mergeCell ref="H14:I14"/>
    <mergeCell ref="J14:K14"/>
    <mergeCell ref="L14:M14"/>
    <mergeCell ref="N3:O3"/>
    <mergeCell ref="B8:C8"/>
    <mergeCell ref="D8:E8"/>
    <mergeCell ref="F8:G8"/>
    <mergeCell ref="H8:I8"/>
    <mergeCell ref="J8:K8"/>
    <mergeCell ref="L8:M8"/>
    <mergeCell ref="N8:O8"/>
    <mergeCell ref="B3:C3"/>
    <mergeCell ref="D3:E3"/>
    <mergeCell ref="F3:G3"/>
    <mergeCell ref="H3:I3"/>
    <mergeCell ref="J3:K3"/>
    <mergeCell ref="L3:M3"/>
    <mergeCell ref="A187:B187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IR&amp;C&amp;F&amp;R&amp;P of &amp;N</oddFooter>
  </headerFooter>
  <rowBreaks count="4" manualBreakCount="4">
    <brk id="31" max="16383" man="1"/>
    <brk id="67" max="16383" man="1"/>
    <brk id="104" max="16383" man="1"/>
    <brk id="1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all</vt:lpstr>
      <vt:lpstr>Demographics</vt:lpstr>
      <vt:lpstr>Obj Emp </vt:lpstr>
      <vt:lpstr>Meeting needs</vt:lpstr>
      <vt:lpstr>Evaluate Instruction</vt:lpstr>
      <vt:lpstr>Pers Grow</vt:lpstr>
      <vt:lpstr>Eval Stud Serv</vt:lpstr>
      <vt:lpstr>Reasons at FRCC</vt:lpstr>
      <vt:lpstr>Technology Special Questions</vt:lpstr>
      <vt:lpstr>'Evaluate Instruction'!Print_Area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Wallace, Kim</dc:creator>
  <cp:lastModifiedBy>Wallace, Kim</cp:lastModifiedBy>
  <cp:lastPrinted>2013-11-20T21:02:33Z</cp:lastPrinted>
  <dcterms:created xsi:type="dcterms:W3CDTF">2009-11-12T16:13:37Z</dcterms:created>
  <dcterms:modified xsi:type="dcterms:W3CDTF">2013-11-20T22:20:43Z</dcterms:modified>
</cp:coreProperties>
</file>