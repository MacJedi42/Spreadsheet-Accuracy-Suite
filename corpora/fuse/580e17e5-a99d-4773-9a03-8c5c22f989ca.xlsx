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75" yWindow="555" windowWidth="19320" windowHeight="11460" activeTab="2"/>
  </bookViews>
  <sheets>
    <sheet name="CIP" sheetId="1" r:id="rId1"/>
    <sheet name="Lists" sheetId="2" r:id="rId2"/>
    <sheet name="20 Year Plan" sheetId="7" r:id="rId3"/>
  </sheets>
  <definedNames>
    <definedName name="_xlnm._FilterDatabase" localSheetId="0" hidden="1">CIP!$A$4:$AQ$329</definedName>
    <definedName name="CondWeight">CIP!$G$3</definedName>
    <definedName name="Consequence_Ratings">Lists!$D$2:$D$12</definedName>
    <definedName name="Efactor">CIP!$AL$3</definedName>
    <definedName name="Funding_Source">Lists!$F$2:$F$11</definedName>
    <definedName name="Overall_Condition">Lists!$B$2:$B$12</definedName>
    <definedName name="Percent_Life_Left">Lists!$A$2:$A$12</definedName>
    <definedName name="PLifeWeight">CIP!$H$3</definedName>
    <definedName name="_xlnm.Print_Area" localSheetId="2">'20 Year Plan'!$A$1:$P$2165</definedName>
    <definedName name="_xlnm.Print_Area" localSheetId="0">CIP!$A$1:$AQ$332</definedName>
    <definedName name="_xlnm.Print_Titles" localSheetId="2">'20 Year Plan'!$3:$3</definedName>
    <definedName name="_xlnm.Print_Titles" localSheetId="0">CIP!$4:$4</definedName>
    <definedName name="t">CIP!$I$3</definedName>
    <definedName name="Weight1">CIP!$I$3</definedName>
    <definedName name="Weight2">CIP!$J$3</definedName>
    <definedName name="Weight3">CIP!$K$3</definedName>
    <definedName name="Weight4">CIP!$L$3</definedName>
    <definedName name="Weight5">CIP!$M$3</definedName>
    <definedName name="Weight6">CIP!$N$3</definedName>
    <definedName name="Weight7">CIP!$O$3</definedName>
    <definedName name="Weight8">CIP!$P$3</definedName>
    <definedName name="WSum">CIP!$Q$3</definedName>
  </definedNames>
  <calcPr calcId="145621"/>
</workbook>
</file>

<file path=xl/calcChain.xml><?xml version="1.0" encoding="utf-8"?>
<calcChain xmlns="http://schemas.openxmlformats.org/spreadsheetml/2006/main">
  <c r="L929" i="7" l="1"/>
  <c r="M928" i="7"/>
  <c r="M929" i="7" s="1"/>
  <c r="M1668" i="7"/>
  <c r="O2148" i="7" l="1"/>
  <c r="O2145" i="7"/>
  <c r="O2144" i="7"/>
  <c r="M2148" i="7"/>
  <c r="M2147" i="7"/>
  <c r="M2146" i="7"/>
  <c r="K2148" i="7"/>
  <c r="K2145" i="7"/>
  <c r="K2144" i="7"/>
  <c r="N2149" i="7"/>
  <c r="L2149" i="7"/>
  <c r="J2149" i="7"/>
  <c r="O2141" i="7"/>
  <c r="O2140" i="7"/>
  <c r="M2141" i="7"/>
  <c r="M2140" i="7"/>
  <c r="K2141" i="7"/>
  <c r="K2140" i="7"/>
  <c r="N2142" i="7"/>
  <c r="L2142" i="7"/>
  <c r="J2142" i="7"/>
  <c r="O2137" i="7"/>
  <c r="O2136" i="7"/>
  <c r="O2134" i="7"/>
  <c r="O2133" i="7"/>
  <c r="O2131" i="7"/>
  <c r="O2130" i="7"/>
  <c r="O2129" i="7"/>
  <c r="M2137" i="7"/>
  <c r="M2136" i="7"/>
  <c r="M2135" i="7"/>
  <c r="M2134" i="7"/>
  <c r="M2132" i="7"/>
  <c r="M2130" i="7"/>
  <c r="M2129" i="7"/>
  <c r="K2137" i="7"/>
  <c r="K2136" i="7"/>
  <c r="K2134" i="7"/>
  <c r="K2133" i="7"/>
  <c r="K2131" i="7"/>
  <c r="K2130" i="7"/>
  <c r="K2129" i="7"/>
  <c r="N2138" i="7"/>
  <c r="N2150" i="7" s="1"/>
  <c r="L2138" i="7"/>
  <c r="J2138" i="7"/>
  <c r="M1819" i="7"/>
  <c r="P1819" i="7" s="1"/>
  <c r="M1823" i="7"/>
  <c r="K1823" i="7"/>
  <c r="N1824" i="7"/>
  <c r="L1824" i="7"/>
  <c r="J1824" i="7"/>
  <c r="O1823" i="7"/>
  <c r="K1822" i="7"/>
  <c r="P1822" i="7" s="1"/>
  <c r="O1818" i="7"/>
  <c r="K1821" i="7"/>
  <c r="P1821" i="7" s="1"/>
  <c r="J2150" i="7" l="1"/>
  <c r="P2134" i="7"/>
  <c r="L2150" i="7"/>
  <c r="P2131" i="7"/>
  <c r="P2137" i="7"/>
  <c r="P2136" i="7"/>
  <c r="P2144" i="7"/>
  <c r="AO88" i="1"/>
  <c r="F692" i="7" s="1"/>
  <c r="AP106" i="1"/>
  <c r="G1472" i="7" s="1"/>
  <c r="AN88" i="1"/>
  <c r="E692" i="7" s="1"/>
  <c r="AQ101" i="1"/>
  <c r="H1827" i="7" s="1"/>
  <c r="AP86" i="1"/>
  <c r="G1827" i="7" s="1"/>
  <c r="AO81" i="1"/>
  <c r="F1828" i="7" s="1"/>
  <c r="I1828" i="7" s="1"/>
  <c r="O1683" i="7"/>
  <c r="M1683" i="7"/>
  <c r="K1683" i="7"/>
  <c r="I692" i="7" l="1"/>
  <c r="P692" i="7" s="1"/>
  <c r="I1472" i="7"/>
  <c r="P1472" i="7" s="1"/>
  <c r="G1480" i="7"/>
  <c r="A1" i="1"/>
  <c r="O1682" i="7"/>
  <c r="M1682" i="7"/>
  <c r="K1682" i="7"/>
  <c r="I1480" i="7" l="1"/>
  <c r="G1681" i="7"/>
  <c r="F4" i="1"/>
  <c r="N2163" i="7" l="1"/>
  <c r="L2163" i="7"/>
  <c r="J2163" i="7"/>
  <c r="O2162" i="7"/>
  <c r="K2162" i="7"/>
  <c r="O2161" i="7"/>
  <c r="M2161" i="7"/>
  <c r="M2163" i="7" s="1"/>
  <c r="K2161" i="7"/>
  <c r="L1632" i="7"/>
  <c r="M1631" i="7"/>
  <c r="P1631" i="7" s="1"/>
  <c r="O814" i="7"/>
  <c r="K810" i="7"/>
  <c r="P810" i="7" s="1"/>
  <c r="L733" i="7"/>
  <c r="M732" i="7"/>
  <c r="M733" i="7" s="1"/>
  <c r="M718" i="7"/>
  <c r="M701" i="7"/>
  <c r="K2163" i="7" l="1"/>
  <c r="O2163" i="7"/>
  <c r="P2162" i="7"/>
  <c r="M1632" i="7"/>
  <c r="P1632" i="7" s="1"/>
  <c r="E1050" i="7"/>
  <c r="Q243" i="1" l="1"/>
  <c r="R243" i="1" s="1"/>
  <c r="AB243" i="1" s="1"/>
  <c r="AA243" i="1"/>
  <c r="AP99" i="1"/>
  <c r="G1683" i="7" s="1"/>
  <c r="AA99" i="1"/>
  <c r="Q99" i="1"/>
  <c r="R99" i="1" s="1"/>
  <c r="AB99" i="1" s="1"/>
  <c r="AO68" i="1"/>
  <c r="F1683" i="7" s="1"/>
  <c r="AA68" i="1"/>
  <c r="Q68" i="1"/>
  <c r="R68" i="1" s="1"/>
  <c r="AB68" i="1" s="1"/>
  <c r="AN47" i="1"/>
  <c r="E1683" i="7" s="1"/>
  <c r="AA47" i="1"/>
  <c r="Q47" i="1"/>
  <c r="R47" i="1" s="1"/>
  <c r="AB47" i="1" s="1"/>
  <c r="AC243" i="1" l="1"/>
  <c r="AC68" i="1"/>
  <c r="AC99" i="1"/>
  <c r="AC47" i="1"/>
  <c r="K117" i="7" l="1"/>
  <c r="K119" i="7" s="1"/>
  <c r="J119" i="7"/>
  <c r="O2154" i="7" l="1"/>
  <c r="M2153" i="7"/>
  <c r="P2153" i="7" s="1"/>
  <c r="M2152" i="7"/>
  <c r="K2155" i="7"/>
  <c r="P2155" i="7" s="1"/>
  <c r="K2154" i="7"/>
  <c r="O2149" i="7"/>
  <c r="M2149" i="7"/>
  <c r="K2149" i="7"/>
  <c r="O2142" i="7"/>
  <c r="O2138" i="7"/>
  <c r="M2142" i="7"/>
  <c r="M2138" i="7"/>
  <c r="K2142" i="7"/>
  <c r="K2138" i="7"/>
  <c r="K2125" i="7"/>
  <c r="O2125" i="7"/>
  <c r="O2119" i="7"/>
  <c r="O2118" i="7"/>
  <c r="P2118" i="7" s="1"/>
  <c r="O2115" i="7"/>
  <c r="O2113" i="7"/>
  <c r="O2110" i="7"/>
  <c r="P2110" i="7" s="1"/>
  <c r="M2124" i="7"/>
  <c r="P2124" i="7" s="1"/>
  <c r="M2117" i="7"/>
  <c r="P2117" i="7" s="1"/>
  <c r="M2116" i="7"/>
  <c r="P2116" i="7" s="1"/>
  <c r="M2112" i="7"/>
  <c r="P2112" i="7" s="1"/>
  <c r="K2123" i="7"/>
  <c r="P2123" i="7" s="1"/>
  <c r="K2122" i="7"/>
  <c r="P2122" i="7" s="1"/>
  <c r="K2121" i="7"/>
  <c r="P2121" i="7" s="1"/>
  <c r="K2120" i="7"/>
  <c r="P2120" i="7" s="1"/>
  <c r="K2119" i="7"/>
  <c r="K2114" i="7"/>
  <c r="P2114" i="7" s="1"/>
  <c r="K2111" i="7"/>
  <c r="P2111" i="7" s="1"/>
  <c r="O2104" i="7"/>
  <c r="P2104" i="7" s="1"/>
  <c r="O2103" i="7"/>
  <c r="M2103" i="7"/>
  <c r="K2102" i="7"/>
  <c r="P2102" i="7" s="1"/>
  <c r="K2101" i="7"/>
  <c r="P2101" i="7" s="1"/>
  <c r="K2100" i="7"/>
  <c r="P2100" i="7" s="1"/>
  <c r="M2069" i="7"/>
  <c r="K2079" i="7"/>
  <c r="K2069" i="7"/>
  <c r="M2057" i="7"/>
  <c r="P2057" i="7" s="1"/>
  <c r="K2037" i="7"/>
  <c r="P2037" i="7" s="1"/>
  <c r="K2027" i="7"/>
  <c r="P2027" i="7" s="1"/>
  <c r="K2017" i="7"/>
  <c r="P2017" i="7" s="1"/>
  <c r="K2011" i="7"/>
  <c r="P2011" i="7" s="1"/>
  <c r="P2014" i="7"/>
  <c r="P2013" i="7"/>
  <c r="P2012" i="7"/>
  <c r="M1998" i="7"/>
  <c r="P1998" i="7" s="1"/>
  <c r="M1996" i="7"/>
  <c r="M1993" i="7"/>
  <c r="M1992" i="7"/>
  <c r="P1992" i="7" s="1"/>
  <c r="K1996" i="7"/>
  <c r="K1995" i="7"/>
  <c r="P1995" i="7" s="1"/>
  <c r="K1993" i="7"/>
  <c r="P1993" i="7" s="1"/>
  <c r="L1969" i="7"/>
  <c r="M1969" i="7" s="1"/>
  <c r="O1968" i="7"/>
  <c r="O1960" i="7"/>
  <c r="M1971" i="7"/>
  <c r="M1967" i="7"/>
  <c r="P1967" i="7" s="1"/>
  <c r="M1964" i="7"/>
  <c r="P1964" i="7" s="1"/>
  <c r="M1960" i="7"/>
  <c r="K1971" i="7"/>
  <c r="K1968" i="7"/>
  <c r="K1960" i="7"/>
  <c r="O1951" i="7"/>
  <c r="P1951" i="7" s="1"/>
  <c r="O1948" i="7"/>
  <c r="O1945" i="7"/>
  <c r="O1944" i="7"/>
  <c r="M1950" i="7"/>
  <c r="P1950" i="7" s="1"/>
  <c r="M1947" i="7"/>
  <c r="M1944" i="7"/>
  <c r="K1953" i="7"/>
  <c r="P1953" i="7" s="1"/>
  <c r="K1949" i="7"/>
  <c r="P1949" i="7" s="1"/>
  <c r="K1946" i="7"/>
  <c r="P1946" i="7" s="1"/>
  <c r="K1945" i="7"/>
  <c r="K1944" i="7"/>
  <c r="O1942" i="7"/>
  <c r="M1942" i="7"/>
  <c r="K1942" i="7"/>
  <c r="O1932" i="7"/>
  <c r="P1932" i="7" s="1"/>
  <c r="O1929" i="7"/>
  <c r="M1930" i="7"/>
  <c r="M1925" i="7"/>
  <c r="P1925" i="7" s="1"/>
  <c r="O1919" i="7"/>
  <c r="M1918" i="7"/>
  <c r="P1918" i="7" s="1"/>
  <c r="K1920" i="7"/>
  <c r="P1920" i="7" s="1"/>
  <c r="O1832" i="7"/>
  <c r="M1832" i="7"/>
  <c r="K1832" i="7"/>
  <c r="N1829" i="7"/>
  <c r="O1829" i="7" s="1"/>
  <c r="L1829" i="7"/>
  <c r="M1829" i="7" s="1"/>
  <c r="J1829" i="7"/>
  <c r="K1829" i="7" s="1"/>
  <c r="K1828" i="7"/>
  <c r="O1827" i="7"/>
  <c r="M1827" i="7"/>
  <c r="K1827" i="7"/>
  <c r="O1826" i="7"/>
  <c r="M1826" i="7"/>
  <c r="K1826" i="7"/>
  <c r="O1824" i="7"/>
  <c r="M1824" i="7"/>
  <c r="K1824" i="7"/>
  <c r="O1812" i="7"/>
  <c r="O1811" i="7"/>
  <c r="M1812" i="7"/>
  <c r="M1811" i="7"/>
  <c r="K1812" i="7"/>
  <c r="K1811" i="7"/>
  <c r="O462" i="7"/>
  <c r="O1675" i="7"/>
  <c r="P1675" i="7" s="1"/>
  <c r="O1672" i="7"/>
  <c r="P1672" i="7" s="1"/>
  <c r="M1664" i="7"/>
  <c r="P1664" i="7" s="1"/>
  <c r="M1659" i="7"/>
  <c r="P1659" i="7" s="1"/>
  <c r="M1651" i="7"/>
  <c r="P1651" i="7" s="1"/>
  <c r="K1635" i="7"/>
  <c r="P1635" i="7" s="1"/>
  <c r="M1613" i="7"/>
  <c r="P1613" i="7" s="1"/>
  <c r="K1628" i="7"/>
  <c r="P1628" i="7" s="1"/>
  <c r="K1622" i="7"/>
  <c r="P1622" i="7" s="1"/>
  <c r="K1621" i="7"/>
  <c r="P1621" i="7" s="1"/>
  <c r="K1606" i="7"/>
  <c r="P1606" i="7" s="1"/>
  <c r="K1598" i="7"/>
  <c r="P1598" i="7" s="1"/>
  <c r="K1585" i="7"/>
  <c r="P1585" i="7" s="1"/>
  <c r="K1572" i="7"/>
  <c r="P1572" i="7" s="1"/>
  <c r="K1561" i="7"/>
  <c r="P1561" i="7" s="1"/>
  <c r="K1555" i="7"/>
  <c r="P1555" i="7" s="1"/>
  <c r="K1550" i="7"/>
  <c r="P1550" i="7" s="1"/>
  <c r="K1541" i="7"/>
  <c r="K1529" i="7"/>
  <c r="P1529" i="7" s="1"/>
  <c r="K1512" i="7"/>
  <c r="P1512" i="7" s="1"/>
  <c r="K1505" i="7"/>
  <c r="P1505" i="7" s="1"/>
  <c r="K1473" i="7"/>
  <c r="P1473" i="7" s="1"/>
  <c r="K1471" i="7"/>
  <c r="P1471" i="7" s="1"/>
  <c r="O1421" i="7"/>
  <c r="P1421" i="7" s="1"/>
  <c r="O1384" i="7"/>
  <c r="P1384" i="7" s="1"/>
  <c r="M1358" i="7"/>
  <c r="P1358" i="7" s="1"/>
  <c r="M1357" i="7"/>
  <c r="P1357" i="7" s="1"/>
  <c r="K1348" i="7"/>
  <c r="P1348" i="7" s="1"/>
  <c r="O1329" i="7"/>
  <c r="P1329" i="7" s="1"/>
  <c r="M1336" i="7"/>
  <c r="P1336" i="7" s="1"/>
  <c r="M1334" i="7"/>
  <c r="P1334" i="7" s="1"/>
  <c r="P1326" i="7"/>
  <c r="K1330" i="7"/>
  <c r="P1330" i="7" s="1"/>
  <c r="K1328" i="7"/>
  <c r="P1328" i="7" s="1"/>
  <c r="K1312" i="7"/>
  <c r="P1312" i="7" s="1"/>
  <c r="K1308" i="7"/>
  <c r="P1308" i="7" s="1"/>
  <c r="K1300" i="7"/>
  <c r="P1300" i="7" s="1"/>
  <c r="O1274" i="7"/>
  <c r="P1274" i="7" s="1"/>
  <c r="O1273" i="7"/>
  <c r="P1273" i="7" s="1"/>
  <c r="O1256" i="7"/>
  <c r="P1256" i="7" s="1"/>
  <c r="M1280" i="7"/>
  <c r="P1280" i="7" s="1"/>
  <c r="K1223" i="7"/>
  <c r="P1223" i="7" s="1"/>
  <c r="K1216" i="7"/>
  <c r="P1216" i="7" s="1"/>
  <c r="K1205" i="7"/>
  <c r="P1205" i="7" s="1"/>
  <c r="O1158" i="7"/>
  <c r="P1158" i="7" s="1"/>
  <c r="O1141" i="7"/>
  <c r="P1141" i="7" s="1"/>
  <c r="M1130" i="7"/>
  <c r="P1130" i="7" s="1"/>
  <c r="M1113" i="7"/>
  <c r="P1113" i="7" s="1"/>
  <c r="M1109" i="7"/>
  <c r="M1108" i="7"/>
  <c r="P1108" i="7" s="1"/>
  <c r="K1099" i="7"/>
  <c r="P1099" i="7" s="1"/>
  <c r="K1087" i="7"/>
  <c r="P1087" i="7" s="1"/>
  <c r="K1080" i="7"/>
  <c r="K1079" i="7"/>
  <c r="P1079" i="7" s="1"/>
  <c r="M1044" i="7"/>
  <c r="P1044" i="7" s="1"/>
  <c r="M1038" i="7"/>
  <c r="P1038" i="7" s="1"/>
  <c r="M1036" i="7"/>
  <c r="P1036" i="7" s="1"/>
  <c r="M1034" i="7"/>
  <c r="P1034" i="7" s="1"/>
  <c r="K1020" i="7"/>
  <c r="P1020" i="7" s="1"/>
  <c r="O1016" i="7"/>
  <c r="P1016" i="7" s="1"/>
  <c r="O1015" i="7"/>
  <c r="P1015" i="7" s="1"/>
  <c r="O1009" i="7"/>
  <c r="P1009" i="7" s="1"/>
  <c r="O1008" i="7"/>
  <c r="P1008" i="7" s="1"/>
  <c r="O1005" i="7"/>
  <c r="P1005" i="7" s="1"/>
  <c r="O998" i="7"/>
  <c r="P998" i="7" s="1"/>
  <c r="O993" i="7"/>
  <c r="P993" i="7" s="1"/>
  <c r="O987" i="7"/>
  <c r="O979" i="7"/>
  <c r="P979" i="7" s="1"/>
  <c r="M987" i="7"/>
  <c r="M980" i="7"/>
  <c r="M968" i="7"/>
  <c r="P968" i="7" s="1"/>
  <c r="M962" i="7"/>
  <c r="P962" i="7" s="1"/>
  <c r="K986" i="7"/>
  <c r="P986" i="7" s="1"/>
  <c r="K984" i="7"/>
  <c r="P984" i="7" s="1"/>
  <c r="K900" i="7"/>
  <c r="P900" i="7" s="1"/>
  <c r="K893" i="7"/>
  <c r="P893" i="7" s="1"/>
  <c r="K888" i="7"/>
  <c r="P888" i="7" s="1"/>
  <c r="K872" i="7"/>
  <c r="P872" i="7" s="1"/>
  <c r="K867" i="7"/>
  <c r="P867" i="7" s="1"/>
  <c r="K866" i="7"/>
  <c r="P866" i="7" s="1"/>
  <c r="K865" i="7"/>
  <c r="P865" i="7" s="1"/>
  <c r="K856" i="7"/>
  <c r="P856" i="7" s="1"/>
  <c r="O838" i="7"/>
  <c r="P838" i="7" s="1"/>
  <c r="M837" i="7"/>
  <c r="P837" i="7" s="1"/>
  <c r="K844" i="7"/>
  <c r="P844" i="7" s="1"/>
  <c r="K836" i="7"/>
  <c r="P836" i="7" s="1"/>
  <c r="K827" i="7"/>
  <c r="P827" i="7" s="1"/>
  <c r="K824" i="7"/>
  <c r="P824" i="7" s="1"/>
  <c r="K822" i="7"/>
  <c r="P822" i="7" s="1"/>
  <c r="K820" i="7"/>
  <c r="P820" i="7" s="1"/>
  <c r="K816" i="7"/>
  <c r="P816" i="7" s="1"/>
  <c r="P814" i="7"/>
  <c r="K809" i="7"/>
  <c r="P809" i="7" s="1"/>
  <c r="K792" i="7"/>
  <c r="P792" i="7" s="1"/>
  <c r="O788" i="7"/>
  <c r="P788" i="7" s="1"/>
  <c r="M781" i="7"/>
  <c r="P781" i="7" s="1"/>
  <c r="M777" i="7"/>
  <c r="P777" i="7" s="1"/>
  <c r="M754" i="7"/>
  <c r="P754" i="7" s="1"/>
  <c r="K757" i="7"/>
  <c r="P757" i="7" s="1"/>
  <c r="K753" i="7"/>
  <c r="P753" i="7" s="1"/>
  <c r="K752" i="7"/>
  <c r="P752" i="7" s="1"/>
  <c r="K750" i="7"/>
  <c r="P750" i="7" s="1"/>
  <c r="P732" i="7"/>
  <c r="M722" i="7"/>
  <c r="P722" i="7" s="1"/>
  <c r="M705" i="7"/>
  <c r="P705" i="7" s="1"/>
  <c r="P718" i="7"/>
  <c r="K711" i="7"/>
  <c r="P711" i="7" s="1"/>
  <c r="K707" i="7"/>
  <c r="P707" i="7" s="1"/>
  <c r="O712" i="7"/>
  <c r="P712" i="7" s="1"/>
  <c r="O697" i="7"/>
  <c r="M700" i="7"/>
  <c r="P700" i="7" s="1"/>
  <c r="M697" i="7"/>
  <c r="P701" i="7"/>
  <c r="K699" i="7"/>
  <c r="P699" i="7" s="1"/>
  <c r="K697" i="7"/>
  <c r="K696" i="7"/>
  <c r="P696" i="7" s="1"/>
  <c r="K694" i="7"/>
  <c r="P694" i="7" s="1"/>
  <c r="K693" i="7"/>
  <c r="P693" i="7" s="1"/>
  <c r="K689" i="7"/>
  <c r="P689" i="7" s="1"/>
  <c r="K687" i="7"/>
  <c r="P687" i="7" s="1"/>
  <c r="K683" i="7"/>
  <c r="P683" i="7" s="1"/>
  <c r="K681" i="7"/>
  <c r="P681" i="7" s="1"/>
  <c r="O669" i="7"/>
  <c r="M669" i="7"/>
  <c r="O661" i="7"/>
  <c r="P661" i="7" s="1"/>
  <c r="O660" i="7"/>
  <c r="P660" i="7" s="1"/>
  <c r="O652" i="7"/>
  <c r="P652" i="7" s="1"/>
  <c r="O645" i="7"/>
  <c r="P645" i="7" s="1"/>
  <c r="O644" i="7"/>
  <c r="P644" i="7" s="1"/>
  <c r="O615" i="7"/>
  <c r="P615" i="7" s="1"/>
  <c r="M639" i="7"/>
  <c r="P639" i="7" s="1"/>
  <c r="P590" i="7"/>
  <c r="O592" i="7"/>
  <c r="P592" i="7" s="1"/>
  <c r="O582" i="7"/>
  <c r="P582" i="7" s="1"/>
  <c r="O581" i="7"/>
  <c r="O551" i="7"/>
  <c r="P551" i="7" s="1"/>
  <c r="O547" i="7"/>
  <c r="P547" i="7" s="1"/>
  <c r="M542" i="7"/>
  <c r="P542" i="7" s="1"/>
  <c r="O521" i="7"/>
  <c r="P521" i="7" s="1"/>
  <c r="M503" i="7"/>
  <c r="P503" i="7" s="1"/>
  <c r="O484" i="7"/>
  <c r="P484" i="7" s="1"/>
  <c r="O483" i="7"/>
  <c r="P483" i="7" s="1"/>
  <c r="O480" i="7"/>
  <c r="P480" i="7" s="1"/>
  <c r="O431" i="7"/>
  <c r="O415" i="7"/>
  <c r="P415" i="7" s="1"/>
  <c r="O412" i="7"/>
  <c r="M433" i="7"/>
  <c r="P433" i="7" s="1"/>
  <c r="M430" i="7"/>
  <c r="P430" i="7" s="1"/>
  <c r="M426" i="7"/>
  <c r="P426" i="7" s="1"/>
  <c r="M425" i="7"/>
  <c r="P425" i="7" s="1"/>
  <c r="M405" i="7"/>
  <c r="P405" i="7" s="1"/>
  <c r="M383" i="7"/>
  <c r="P383" i="7" s="1"/>
  <c r="M382" i="7"/>
  <c r="P382" i="7" s="1"/>
  <c r="M381" i="7"/>
  <c r="P381" i="7" s="1"/>
  <c r="M380" i="7"/>
  <c r="P380" i="7" s="1"/>
  <c r="O368" i="7"/>
  <c r="P368" i="7" s="1"/>
  <c r="M348" i="7"/>
  <c r="P348" i="7" s="1"/>
  <c r="M340" i="7"/>
  <c r="P340" i="7" s="1"/>
  <c r="O317" i="7"/>
  <c r="P317" i="7" s="1"/>
  <c r="P1945" i="7" l="1"/>
  <c r="K2150" i="7"/>
  <c r="P2119" i="7"/>
  <c r="P2125" i="7"/>
  <c r="P2154" i="7"/>
  <c r="P1968" i="7"/>
  <c r="P2103" i="7"/>
  <c r="P2069" i="7"/>
  <c r="P1996" i="7"/>
  <c r="P697" i="7"/>
  <c r="P987" i="7"/>
  <c r="M316" i="7"/>
  <c r="P316" i="7" s="1"/>
  <c r="M298" i="7"/>
  <c r="P298" i="7" s="1"/>
  <c r="M297" i="7"/>
  <c r="P297" i="7" s="1"/>
  <c r="O253" i="7"/>
  <c r="P253" i="7" s="1"/>
  <c r="O243" i="7"/>
  <c r="P243" i="7" s="1"/>
  <c r="M239" i="7"/>
  <c r="O225" i="7"/>
  <c r="P225" i="7" s="1"/>
  <c r="M202" i="7"/>
  <c r="P202" i="7" s="1"/>
  <c r="M182" i="7"/>
  <c r="M180" i="7"/>
  <c r="M175" i="7"/>
  <c r="P175" i="7" s="1"/>
  <c r="P141" i="7"/>
  <c r="K138" i="7"/>
  <c r="P138" i="7" s="1"/>
  <c r="M58" i="7"/>
  <c r="P58" i="7" s="1"/>
  <c r="O45" i="7"/>
  <c r="P45" i="7" s="1"/>
  <c r="O17" i="7"/>
  <c r="P17" i="7" s="1"/>
  <c r="K669" i="7"/>
  <c r="K665" i="7"/>
  <c r="P665" i="7" s="1"/>
  <c r="K633" i="7"/>
  <c r="P633" i="7" s="1"/>
  <c r="K618" i="7"/>
  <c r="P618" i="7" s="1"/>
  <c r="K616" i="7"/>
  <c r="P616" i="7" s="1"/>
  <c r="K610" i="7"/>
  <c r="P610" i="7" s="1"/>
  <c r="K604" i="7"/>
  <c r="P604" i="7" s="1"/>
  <c r="K603" i="7"/>
  <c r="P603" i="7" s="1"/>
  <c r="K593" i="7"/>
  <c r="P593" i="7" s="1"/>
  <c r="K589" i="7"/>
  <c r="P589" i="7" s="1"/>
  <c r="K587" i="7"/>
  <c r="P587" i="7" s="1"/>
  <c r="K580" i="7"/>
  <c r="P580" i="7" s="1"/>
  <c r="K577" i="7"/>
  <c r="P577" i="7" s="1"/>
  <c r="K569" i="7"/>
  <c r="P569" i="7" s="1"/>
  <c r="K563" i="7"/>
  <c r="P563" i="7" s="1"/>
  <c r="K556" i="7"/>
  <c r="P556" i="7" s="1"/>
  <c r="K544" i="7"/>
  <c r="P544" i="7" s="1"/>
  <c r="K543" i="7"/>
  <c r="P543" i="7" s="1"/>
  <c r="K532" i="7"/>
  <c r="P532" i="7" s="1"/>
  <c r="K529" i="7"/>
  <c r="P529" i="7" s="1"/>
  <c r="K528" i="7"/>
  <c r="P528" i="7" s="1"/>
  <c r="K520" i="7"/>
  <c r="K514" i="7"/>
  <c r="P514" i="7" s="1"/>
  <c r="K499" i="7"/>
  <c r="P499" i="7" s="1"/>
  <c r="K491" i="7"/>
  <c r="P491" i="7" s="1"/>
  <c r="K490" i="7"/>
  <c r="K487" i="7"/>
  <c r="P487" i="7" s="1"/>
  <c r="K479" i="7"/>
  <c r="P479" i="7" s="1"/>
  <c r="K473" i="7"/>
  <c r="K469" i="7"/>
  <c r="P469" i="7" s="1"/>
  <c r="K468" i="7"/>
  <c r="P468" i="7" s="1"/>
  <c r="K466" i="7"/>
  <c r="K455" i="7"/>
  <c r="P455" i="7" s="1"/>
  <c r="K450" i="7"/>
  <c r="P450" i="7" s="1"/>
  <c r="K444" i="7"/>
  <c r="P444" i="7" s="1"/>
  <c r="K443" i="7"/>
  <c r="P443" i="7" s="1"/>
  <c r="K440" i="7"/>
  <c r="P440" i="7" s="1"/>
  <c r="K439" i="7"/>
  <c r="P439" i="7" s="1"/>
  <c r="K431" i="7"/>
  <c r="P431" i="7" s="1"/>
  <c r="K418" i="7"/>
  <c r="P418" i="7" s="1"/>
  <c r="K412" i="7"/>
  <c r="P412" i="7" s="1"/>
  <c r="K411" i="7"/>
  <c r="P411" i="7" s="1"/>
  <c r="K410" i="7"/>
  <c r="K409" i="7"/>
  <c r="P409" i="7" s="1"/>
  <c r="K397" i="7"/>
  <c r="P397" i="7" s="1"/>
  <c r="K396" i="7"/>
  <c r="P396" i="7" s="1"/>
  <c r="K376" i="7"/>
  <c r="P376" i="7" s="1"/>
  <c r="K373" i="7"/>
  <c r="P373" i="7" s="1"/>
  <c r="K370" i="7"/>
  <c r="P370" i="7" s="1"/>
  <c r="K369" i="7"/>
  <c r="P369" i="7" s="1"/>
  <c r="K358" i="7"/>
  <c r="P358" i="7" s="1"/>
  <c r="K354" i="7"/>
  <c r="P354" i="7" s="1"/>
  <c r="K313" i="7"/>
  <c r="P313" i="7" s="1"/>
  <c r="K312" i="7"/>
  <c r="P312" i="7" s="1"/>
  <c r="K296" i="7"/>
  <c r="P296" i="7" s="1"/>
  <c r="K290" i="7"/>
  <c r="P290" i="7" s="1"/>
  <c r="K277" i="7"/>
  <c r="P277" i="7" s="1"/>
  <c r="K272" i="7"/>
  <c r="P272" i="7" s="1"/>
  <c r="K268" i="7"/>
  <c r="P268" i="7" s="1"/>
  <c r="K267" i="7"/>
  <c r="P267" i="7" s="1"/>
  <c r="K265" i="7"/>
  <c r="K261" i="7"/>
  <c r="P261" i="7" s="1"/>
  <c r="K258" i="7"/>
  <c r="P258" i="7" s="1"/>
  <c r="K255" i="7"/>
  <c r="P255" i="7" s="1"/>
  <c r="K237" i="7"/>
  <c r="P237" i="7" s="1"/>
  <c r="K233" i="7"/>
  <c r="P233" i="7" s="1"/>
  <c r="K226" i="7"/>
  <c r="P226" i="7" s="1"/>
  <c r="K211" i="7"/>
  <c r="P211" i="7" s="1"/>
  <c r="K210" i="7"/>
  <c r="P210" i="7" s="1"/>
  <c r="K209" i="7"/>
  <c r="P209" i="7" s="1"/>
  <c r="K204" i="7"/>
  <c r="P204" i="7" s="1"/>
  <c r="K203" i="7"/>
  <c r="P203" i="7" s="1"/>
  <c r="K201" i="7"/>
  <c r="P201" i="7" s="1"/>
  <c r="K198" i="7"/>
  <c r="P198" i="7" s="1"/>
  <c r="K197" i="7"/>
  <c r="P197" i="7" s="1"/>
  <c r="K182" i="7"/>
  <c r="K152" i="7"/>
  <c r="P152" i="7" s="1"/>
  <c r="K146" i="7"/>
  <c r="P146" i="7" s="1"/>
  <c r="K30" i="7"/>
  <c r="P30" i="7" s="1"/>
  <c r="AA119" i="1"/>
  <c r="Q119" i="1"/>
  <c r="R119" i="1" s="1"/>
  <c r="AB119" i="1" s="1"/>
  <c r="AP119" i="1"/>
  <c r="G1818" i="7" s="1"/>
  <c r="P182" i="7" l="1"/>
  <c r="AC119" i="1"/>
  <c r="P2079" i="7"/>
  <c r="P462" i="7"/>
  <c r="AN69" i="1"/>
  <c r="E1827" i="7" s="1"/>
  <c r="AM46" i="1"/>
  <c r="D1827" i="7" s="1"/>
  <c r="AA142" i="1"/>
  <c r="Q142" i="1"/>
  <c r="R142" i="1" s="1"/>
  <c r="AB142" i="1" s="1"/>
  <c r="AA101" i="1"/>
  <c r="Q101" i="1"/>
  <c r="R101" i="1" s="1"/>
  <c r="AB101" i="1" s="1"/>
  <c r="AA69" i="1"/>
  <c r="Q69" i="1"/>
  <c r="R69" i="1" s="1"/>
  <c r="AB69" i="1" s="1"/>
  <c r="AA46" i="1"/>
  <c r="Q46" i="1"/>
  <c r="R46" i="1" s="1"/>
  <c r="AB46" i="1" s="1"/>
  <c r="AA141" i="1"/>
  <c r="Q141" i="1"/>
  <c r="R141" i="1" s="1"/>
  <c r="AB141" i="1" s="1"/>
  <c r="AA112" i="1"/>
  <c r="Q112" i="1"/>
  <c r="R112" i="1" s="1"/>
  <c r="AB112" i="1" s="1"/>
  <c r="AA89" i="1"/>
  <c r="Q89" i="1"/>
  <c r="R89" i="1" s="1"/>
  <c r="AB89" i="1" s="1"/>
  <c r="AQ151" i="1"/>
  <c r="H1826" i="7" s="1"/>
  <c r="AQ126" i="1"/>
  <c r="AP121" i="1"/>
  <c r="G1826" i="7" s="1"/>
  <c r="AP109" i="1"/>
  <c r="AQ104" i="1"/>
  <c r="H1941" i="7" s="1"/>
  <c r="AP104" i="1"/>
  <c r="G1941" i="7" s="1"/>
  <c r="AP75" i="1"/>
  <c r="G1940" i="7" s="1"/>
  <c r="AO75" i="1"/>
  <c r="F1940" i="7" s="1"/>
  <c r="AN61" i="1"/>
  <c r="E1826" i="7" s="1"/>
  <c r="AO67" i="1"/>
  <c r="AO48" i="1"/>
  <c r="F1939" i="7" s="1"/>
  <c r="AN48" i="1"/>
  <c r="E1939" i="7" s="1"/>
  <c r="AN45" i="1"/>
  <c r="AN38" i="1"/>
  <c r="E1938" i="7" s="1"/>
  <c r="AM38" i="1"/>
  <c r="D1938" i="7" s="1"/>
  <c r="AO90" i="1"/>
  <c r="F1826" i="7" s="1"/>
  <c r="AQ141" i="1"/>
  <c r="H1812" i="7" s="1"/>
  <c r="AP112" i="1"/>
  <c r="G1812" i="7" s="1"/>
  <c r="AO89" i="1"/>
  <c r="F1812" i="7" s="1"/>
  <c r="AA151" i="1"/>
  <c r="Q151" i="1"/>
  <c r="R151" i="1" s="1"/>
  <c r="AB151" i="1" s="1"/>
  <c r="AA121" i="1"/>
  <c r="Q121" i="1"/>
  <c r="R121" i="1" s="1"/>
  <c r="AB121" i="1" s="1"/>
  <c r="AA90" i="1"/>
  <c r="Q90" i="1"/>
  <c r="R90" i="1" s="1"/>
  <c r="AB90" i="1" s="1"/>
  <c r="AA61" i="1"/>
  <c r="Q61" i="1"/>
  <c r="R61" i="1" s="1"/>
  <c r="AB61" i="1" s="1"/>
  <c r="AA129" i="1"/>
  <c r="Q129" i="1"/>
  <c r="R129" i="1" s="1"/>
  <c r="AB129" i="1" s="1"/>
  <c r="AA107" i="1"/>
  <c r="Q107" i="1"/>
  <c r="R107" i="1" s="1"/>
  <c r="AB107" i="1" s="1"/>
  <c r="AA71" i="1"/>
  <c r="Q71" i="1"/>
  <c r="R71" i="1" s="1"/>
  <c r="AB71" i="1" s="1"/>
  <c r="AQ129" i="1"/>
  <c r="H1682" i="7" s="1"/>
  <c r="AP107" i="1"/>
  <c r="G1682" i="7" s="1"/>
  <c r="AO71" i="1"/>
  <c r="F1682" i="7" s="1"/>
  <c r="AA135" i="1"/>
  <c r="Q135" i="1"/>
  <c r="R135" i="1" s="1"/>
  <c r="AB135" i="1" s="1"/>
  <c r="AA103" i="1"/>
  <c r="Q103" i="1"/>
  <c r="R103" i="1" s="1"/>
  <c r="AB103" i="1" s="1"/>
  <c r="AA72" i="1"/>
  <c r="Q72" i="1"/>
  <c r="R72" i="1" s="1"/>
  <c r="AB72" i="1" s="1"/>
  <c r="AQ135" i="1"/>
  <c r="H1915" i="7" s="1"/>
  <c r="H1916" i="7" s="1"/>
  <c r="AP103" i="1"/>
  <c r="G1895" i="7" s="1"/>
  <c r="G1916" i="7" s="1"/>
  <c r="AO72" i="1"/>
  <c r="F1873" i="7" s="1"/>
  <c r="F1916" i="7" s="1"/>
  <c r="AA137" i="1"/>
  <c r="Q137" i="1"/>
  <c r="R137" i="1" s="1"/>
  <c r="AB137" i="1" s="1"/>
  <c r="AA108" i="1"/>
  <c r="Q108" i="1"/>
  <c r="R108" i="1" s="1"/>
  <c r="AB108" i="1" s="1"/>
  <c r="AA87" i="1"/>
  <c r="Q87" i="1"/>
  <c r="R87" i="1" s="1"/>
  <c r="AB87" i="1" s="1"/>
  <c r="AA53" i="1"/>
  <c r="Q53" i="1"/>
  <c r="R53" i="1" s="1"/>
  <c r="AB53" i="1" s="1"/>
  <c r="AA39" i="1"/>
  <c r="Q39" i="1"/>
  <c r="R39" i="1" s="1"/>
  <c r="AB39" i="1" s="1"/>
  <c r="AQ137" i="1"/>
  <c r="H669" i="7" s="1"/>
  <c r="AP108" i="1"/>
  <c r="G669" i="7" s="1"/>
  <c r="AO87" i="1"/>
  <c r="F669" i="7" s="1"/>
  <c r="AN53" i="1"/>
  <c r="E669" i="7" s="1"/>
  <c r="AN39" i="1"/>
  <c r="E1856" i="7" s="1"/>
  <c r="E1916" i="7" s="1"/>
  <c r="AA126" i="1"/>
  <c r="Q126" i="1"/>
  <c r="R126" i="1" s="1"/>
  <c r="AB126" i="1" s="1"/>
  <c r="AA109" i="1"/>
  <c r="Q109" i="1"/>
  <c r="R109" i="1" s="1"/>
  <c r="AB109" i="1" s="1"/>
  <c r="AA67" i="1"/>
  <c r="Q67" i="1"/>
  <c r="R67" i="1" s="1"/>
  <c r="AB67" i="1" s="1"/>
  <c r="AA45" i="1"/>
  <c r="Q45" i="1"/>
  <c r="R45" i="1" s="1"/>
  <c r="AB45" i="1" s="1"/>
  <c r="AA104" i="1"/>
  <c r="Q104" i="1"/>
  <c r="R104" i="1" s="1"/>
  <c r="AB104" i="1" s="1"/>
  <c r="AA75" i="1"/>
  <c r="Q75" i="1"/>
  <c r="R75" i="1" s="1"/>
  <c r="AB75" i="1" s="1"/>
  <c r="AA48" i="1"/>
  <c r="Q48" i="1"/>
  <c r="R48" i="1" s="1"/>
  <c r="AB48" i="1" s="1"/>
  <c r="AA38" i="1"/>
  <c r="Q38" i="1"/>
  <c r="R38" i="1" s="1"/>
  <c r="AB38" i="1" s="1"/>
  <c r="I1941" i="7" l="1"/>
  <c r="I1939" i="7"/>
  <c r="I1940" i="7"/>
  <c r="I1938" i="7"/>
  <c r="F1811" i="7"/>
  <c r="I1760" i="7"/>
  <c r="G1811" i="7"/>
  <c r="I1781" i="7"/>
  <c r="H1811" i="7"/>
  <c r="I1810" i="7"/>
  <c r="E1811" i="7"/>
  <c r="I1736" i="7"/>
  <c r="AC46" i="1"/>
  <c r="AC69" i="1"/>
  <c r="AC101" i="1"/>
  <c r="AC142" i="1"/>
  <c r="AC89" i="1"/>
  <c r="AC112" i="1"/>
  <c r="AC141" i="1"/>
  <c r="AC61" i="1"/>
  <c r="AC90" i="1"/>
  <c r="AC121" i="1"/>
  <c r="AC151" i="1"/>
  <c r="AC71" i="1"/>
  <c r="AC107" i="1"/>
  <c r="AC129" i="1"/>
  <c r="AC72" i="1"/>
  <c r="AC103" i="1"/>
  <c r="AC135" i="1"/>
  <c r="AC53" i="1"/>
  <c r="AC87" i="1"/>
  <c r="AC108" i="1"/>
  <c r="AC137" i="1"/>
  <c r="AC39" i="1"/>
  <c r="AC45" i="1"/>
  <c r="AC126" i="1"/>
  <c r="AC67" i="1"/>
  <c r="AC109" i="1"/>
  <c r="AC104" i="1"/>
  <c r="AC75" i="1"/>
  <c r="AC48" i="1"/>
  <c r="AC38" i="1"/>
  <c r="AA114" i="1" l="1"/>
  <c r="Q114" i="1"/>
  <c r="R114" i="1" s="1"/>
  <c r="AB114" i="1" s="1"/>
  <c r="AO42" i="1"/>
  <c r="F706" i="7" s="1"/>
  <c r="AP83" i="1"/>
  <c r="G677" i="7" s="1"/>
  <c r="J292" i="7"/>
  <c r="K292" i="7" s="1"/>
  <c r="J177" i="7"/>
  <c r="K177" i="7" s="1"/>
  <c r="AA36" i="1"/>
  <c r="Q36" i="1"/>
  <c r="R36" i="1" s="1"/>
  <c r="AB36" i="1" s="1"/>
  <c r="AC114" i="1" l="1"/>
  <c r="AC36" i="1"/>
  <c r="AQ36" i="1"/>
  <c r="H117" i="7" s="1"/>
  <c r="AM36" i="1"/>
  <c r="D117" i="7" s="1"/>
  <c r="AM24" i="1" l="1"/>
  <c r="D1813" i="7" s="1"/>
  <c r="AA24" i="1"/>
  <c r="Q24" i="1"/>
  <c r="R24" i="1" s="1"/>
  <c r="AB24" i="1" s="1"/>
  <c r="AC24" i="1" l="1"/>
  <c r="AN63" i="1" l="1"/>
  <c r="E1812" i="7" s="1"/>
  <c r="AA63" i="1"/>
  <c r="Q63" i="1"/>
  <c r="R63" i="1" s="1"/>
  <c r="AB63" i="1" s="1"/>
  <c r="AC63" i="1" l="1"/>
  <c r="F1752" i="7" l="1"/>
  <c r="AA50" i="1" l="1"/>
  <c r="Q50" i="1"/>
  <c r="R50" i="1" s="1"/>
  <c r="AB50" i="1" s="1"/>
  <c r="AN50" i="1"/>
  <c r="E1682" i="7" s="1"/>
  <c r="H1809" i="7"/>
  <c r="G1780" i="7"/>
  <c r="AC50" i="1" l="1"/>
  <c r="E1735" i="7"/>
  <c r="AQ131" i="1" l="1"/>
  <c r="H1823" i="7" s="1"/>
  <c r="AP131" i="1"/>
  <c r="G1823" i="7" s="1"/>
  <c r="AO131" i="1"/>
  <c r="F1823" i="7" s="1"/>
  <c r="AN131" i="1"/>
  <c r="E1823" i="7" s="1"/>
  <c r="AM131" i="1"/>
  <c r="D1823" i="7" s="1"/>
  <c r="J2045" i="7"/>
  <c r="K2045" i="7" s="1"/>
  <c r="P2045" i="7" s="1"/>
  <c r="J2035" i="7"/>
  <c r="K2035" i="7" s="1"/>
  <c r="P2035" i="7" s="1"/>
  <c r="J2002" i="7"/>
  <c r="K2002" i="7" s="1"/>
  <c r="L2002" i="7"/>
  <c r="L1281" i="7"/>
  <c r="M1281" i="7" s="1"/>
  <c r="J1109" i="7"/>
  <c r="K1109" i="7" s="1"/>
  <c r="J1045" i="7"/>
  <c r="K1045" i="7" s="1"/>
  <c r="N583" i="7"/>
  <c r="O583" i="7" s="1"/>
  <c r="N553" i="7"/>
  <c r="O553" i="7" s="1"/>
  <c r="N523" i="7"/>
  <c r="O523" i="7" s="1"/>
  <c r="J234" i="7"/>
  <c r="K234" i="7" s="1"/>
  <c r="F331" i="1"/>
  <c r="AA131" i="1"/>
  <c r="Q131" i="1"/>
  <c r="R131" i="1" s="1"/>
  <c r="AB131" i="1" s="1"/>
  <c r="AM19" i="1"/>
  <c r="D590" i="7" s="1"/>
  <c r="AA19" i="1"/>
  <c r="Q19" i="1"/>
  <c r="R19" i="1" s="1"/>
  <c r="AB19" i="1" s="1"/>
  <c r="AQ140" i="1"/>
  <c r="H2140" i="7" s="1"/>
  <c r="AA140" i="1"/>
  <c r="Q140" i="1"/>
  <c r="R140" i="1" s="1"/>
  <c r="AB140" i="1" s="1"/>
  <c r="AO83" i="1"/>
  <c r="F677" i="7" s="1"/>
  <c r="M2002" i="7" l="1"/>
  <c r="AC131" i="1"/>
  <c r="AC19" i="1"/>
  <c r="AC140" i="1"/>
  <c r="AA264" i="1"/>
  <c r="Q264" i="1"/>
  <c r="R264" i="1" s="1"/>
  <c r="AB264" i="1" s="1"/>
  <c r="P2002" i="7" l="1"/>
  <c r="AC264" i="1"/>
  <c r="AM10" i="1" l="1"/>
  <c r="D669" i="7" s="1"/>
  <c r="AM12" i="1"/>
  <c r="D1682" i="7" s="1"/>
  <c r="I1682" i="7" s="1"/>
  <c r="P1682" i="7" s="1"/>
  <c r="J406" i="7" l="1"/>
  <c r="K406" i="7" s="1"/>
  <c r="AA12" i="1"/>
  <c r="Q12" i="1"/>
  <c r="R12" i="1" s="1"/>
  <c r="AB12" i="1" s="1"/>
  <c r="AA10" i="1"/>
  <c r="Q10" i="1"/>
  <c r="R10" i="1" s="1"/>
  <c r="AB10" i="1" s="1"/>
  <c r="Q205" i="1"/>
  <c r="R205" i="1" s="1"/>
  <c r="AB205" i="1" s="1"/>
  <c r="AA205" i="1"/>
  <c r="AC12" i="1" l="1"/>
  <c r="AC10" i="1"/>
  <c r="AC205" i="1"/>
  <c r="N234" i="7" l="1"/>
  <c r="O234" i="7" s="1"/>
  <c r="P234" i="7" s="1"/>
  <c r="AQ130" i="1" l="1"/>
  <c r="H2135" i="7" s="1"/>
  <c r="AA130" i="1"/>
  <c r="Q130" i="1"/>
  <c r="R130" i="1" s="1"/>
  <c r="AB130" i="1" s="1"/>
  <c r="AC130" i="1" l="1"/>
  <c r="AA35" i="1" l="1"/>
  <c r="Q35" i="1"/>
  <c r="R35" i="1" s="1"/>
  <c r="AB35" i="1" s="1"/>
  <c r="AM35" i="1"/>
  <c r="D2145" i="7" s="1"/>
  <c r="AC35" i="1" l="1"/>
  <c r="AM23" i="1" l="1"/>
  <c r="D581" i="7" s="1"/>
  <c r="AA160" i="1"/>
  <c r="Q160" i="1"/>
  <c r="R160" i="1" s="1"/>
  <c r="AB160" i="1" s="1"/>
  <c r="AA276" i="1"/>
  <c r="Q276" i="1"/>
  <c r="R276" i="1" s="1"/>
  <c r="AB276" i="1" s="1"/>
  <c r="AA174" i="1"/>
  <c r="Q174" i="1"/>
  <c r="R174" i="1" s="1"/>
  <c r="AB174" i="1" s="1"/>
  <c r="AA199" i="1"/>
  <c r="Q199" i="1"/>
  <c r="R199" i="1" s="1"/>
  <c r="AB199" i="1" s="1"/>
  <c r="AC160" i="1" l="1"/>
  <c r="AC276" i="1"/>
  <c r="AC174" i="1"/>
  <c r="AC199" i="1"/>
  <c r="AA23" i="1" l="1"/>
  <c r="Q23" i="1"/>
  <c r="R23" i="1" s="1"/>
  <c r="AB23" i="1" s="1"/>
  <c r="AC23" i="1" l="1"/>
  <c r="H1804" i="7" l="1"/>
  <c r="G1774" i="7"/>
  <c r="F1759" i="7"/>
  <c r="E1726" i="7"/>
  <c r="D1712" i="7"/>
  <c r="D1704" i="7"/>
  <c r="H1810" i="7" l="1"/>
  <c r="E1736" i="7"/>
  <c r="G1781" i="7"/>
  <c r="F1760" i="7"/>
  <c r="D1713" i="7"/>
  <c r="I1713" i="7" s="1"/>
  <c r="AA138" i="1"/>
  <c r="Q138" i="1"/>
  <c r="R138" i="1" s="1"/>
  <c r="AB138" i="1" s="1"/>
  <c r="AA66" i="1"/>
  <c r="Q66" i="1"/>
  <c r="R66" i="1" s="1"/>
  <c r="AB66" i="1" s="1"/>
  <c r="AA55" i="1"/>
  <c r="Q55" i="1"/>
  <c r="R55" i="1" s="1"/>
  <c r="AB55" i="1" s="1"/>
  <c r="AA82" i="1"/>
  <c r="Q82" i="1"/>
  <c r="R82" i="1" s="1"/>
  <c r="AB82" i="1" s="1"/>
  <c r="AA25" i="1"/>
  <c r="Q25" i="1"/>
  <c r="R25" i="1" s="1"/>
  <c r="AB25" i="1" s="1"/>
  <c r="AA128" i="1"/>
  <c r="Q128" i="1"/>
  <c r="R128" i="1" s="1"/>
  <c r="AB128" i="1" s="1"/>
  <c r="AA33" i="1"/>
  <c r="Q33" i="1"/>
  <c r="R33" i="1" s="1"/>
  <c r="AB33" i="1" s="1"/>
  <c r="AA81" i="1"/>
  <c r="Q81" i="1"/>
  <c r="R81" i="1" s="1"/>
  <c r="AB81" i="1" s="1"/>
  <c r="AA41" i="1"/>
  <c r="Q41" i="1"/>
  <c r="R41" i="1" s="1"/>
  <c r="AB41" i="1" s="1"/>
  <c r="AC82" i="1" l="1"/>
  <c r="AC33" i="1"/>
  <c r="AC55" i="1"/>
  <c r="AC25" i="1"/>
  <c r="AC138" i="1"/>
  <c r="AC81" i="1"/>
  <c r="AC128" i="1"/>
  <c r="AC66" i="1"/>
  <c r="AC41" i="1"/>
  <c r="N2156" i="7"/>
  <c r="O2156" i="7" s="1"/>
  <c r="L2156" i="7"/>
  <c r="M2156" i="7" s="1"/>
  <c r="J2156" i="7"/>
  <c r="O2150" i="7"/>
  <c r="M2150" i="7"/>
  <c r="N2126" i="7"/>
  <c r="L2126" i="7"/>
  <c r="J2126" i="7"/>
  <c r="K2126" i="7" s="1"/>
  <c r="N2105" i="7"/>
  <c r="O2105" i="7" s="1"/>
  <c r="L2105" i="7"/>
  <c r="M2105" i="7" s="1"/>
  <c r="J2105" i="7"/>
  <c r="K2105" i="7" s="1"/>
  <c r="J2087" i="7"/>
  <c r="K2087" i="7" s="1"/>
  <c r="P2087" i="7" s="1"/>
  <c r="L2077" i="7"/>
  <c r="J2077" i="7"/>
  <c r="L2065" i="7"/>
  <c r="L2066" i="7" s="1"/>
  <c r="J2025" i="7"/>
  <c r="K2025" i="7" s="1"/>
  <c r="P2025" i="7" s="1"/>
  <c r="J2015" i="7"/>
  <c r="K2015" i="7" s="1"/>
  <c r="P2015" i="7" s="1"/>
  <c r="J1990" i="7"/>
  <c r="I1989" i="7"/>
  <c r="I1983" i="7"/>
  <c r="I1981" i="7"/>
  <c r="I1980" i="7"/>
  <c r="I1979" i="7"/>
  <c r="L1973" i="7"/>
  <c r="M1973" i="7" s="1"/>
  <c r="J1973" i="7"/>
  <c r="K1973" i="7" s="1"/>
  <c r="N1969" i="7"/>
  <c r="O1969" i="7" s="1"/>
  <c r="J1969" i="7"/>
  <c r="K1969" i="7" s="1"/>
  <c r="L1965" i="7"/>
  <c r="M1965" i="7" s="1"/>
  <c r="N1961" i="7"/>
  <c r="L1961" i="7"/>
  <c r="J1961" i="7"/>
  <c r="K1961" i="7" s="1"/>
  <c r="N1954" i="7"/>
  <c r="L1954" i="7"/>
  <c r="J1954" i="7"/>
  <c r="N1931" i="7"/>
  <c r="O1931" i="7" s="1"/>
  <c r="L1931" i="7"/>
  <c r="M1931" i="7" s="1"/>
  <c r="P1930" i="7"/>
  <c r="P1929" i="7"/>
  <c r="L1926" i="7"/>
  <c r="M1926" i="7" s="1"/>
  <c r="I1924" i="7"/>
  <c r="P1924" i="7" s="1"/>
  <c r="I1923" i="7"/>
  <c r="P1923" i="7" s="1"/>
  <c r="N1921" i="7"/>
  <c r="O1921" i="7" s="1"/>
  <c r="L1921" i="7"/>
  <c r="M1921" i="7" s="1"/>
  <c r="J1921" i="7"/>
  <c r="K1921" i="7" s="1"/>
  <c r="O1916" i="7"/>
  <c r="M1916" i="7"/>
  <c r="K1916" i="7"/>
  <c r="N1815" i="7"/>
  <c r="L1815" i="7"/>
  <c r="J1815" i="7"/>
  <c r="L761" i="7"/>
  <c r="M761" i="7" s="1"/>
  <c r="J761" i="7"/>
  <c r="K761" i="7" s="1"/>
  <c r="N789" i="7"/>
  <c r="O789" i="7" s="1"/>
  <c r="L789" i="7"/>
  <c r="M789" i="7" s="1"/>
  <c r="J873" i="7"/>
  <c r="K873" i="7" s="1"/>
  <c r="P873" i="7" s="1"/>
  <c r="N845" i="7"/>
  <c r="O845" i="7" s="1"/>
  <c r="L845" i="7"/>
  <c r="M845" i="7" s="1"/>
  <c r="J845" i="7"/>
  <c r="K845" i="7" s="1"/>
  <c r="J817" i="7"/>
  <c r="K817" i="7" s="1"/>
  <c r="P817" i="7" s="1"/>
  <c r="N730" i="7"/>
  <c r="O730" i="7" s="1"/>
  <c r="L730" i="7"/>
  <c r="M730" i="7" s="1"/>
  <c r="J730" i="7"/>
  <c r="K730" i="7" s="1"/>
  <c r="J901" i="7"/>
  <c r="P733" i="7"/>
  <c r="N702" i="7"/>
  <c r="L702" i="7"/>
  <c r="J702" i="7"/>
  <c r="N1422" i="7"/>
  <c r="O1422" i="7" s="1"/>
  <c r="P1422" i="7" s="1"/>
  <c r="N1393" i="7"/>
  <c r="O1393" i="7" s="1"/>
  <c r="P1393" i="7" s="1"/>
  <c r="L1365" i="7"/>
  <c r="M1365" i="7" s="1"/>
  <c r="J1365" i="7"/>
  <c r="K1365" i="7" s="1"/>
  <c r="N1337" i="7"/>
  <c r="O1337" i="7" s="1"/>
  <c r="L1337" i="7"/>
  <c r="M1337" i="7" s="1"/>
  <c r="J1337" i="7"/>
  <c r="K1337" i="7" s="1"/>
  <c r="J1309" i="7"/>
  <c r="K1309" i="7" s="1"/>
  <c r="P1309" i="7" s="1"/>
  <c r="N1281" i="7"/>
  <c r="O1281" i="7" s="1"/>
  <c r="J1224" i="7"/>
  <c r="K1224" i="7" s="1"/>
  <c r="I1217" i="7"/>
  <c r="P1217" i="7" s="1"/>
  <c r="I1215" i="7"/>
  <c r="P1215" i="7" s="1"/>
  <c r="N1165" i="7"/>
  <c r="O1165" i="7" s="1"/>
  <c r="P1165" i="7" s="1"/>
  <c r="L1137" i="7"/>
  <c r="M1137" i="7" s="1"/>
  <c r="P1137" i="7" s="1"/>
  <c r="L1045" i="7"/>
  <c r="M1045" i="7" s="1"/>
  <c r="N1017" i="7"/>
  <c r="O1017" i="7" s="1"/>
  <c r="P1017" i="7" s="1"/>
  <c r="N988" i="7"/>
  <c r="O988" i="7" s="1"/>
  <c r="L988" i="7"/>
  <c r="M988" i="7" s="1"/>
  <c r="J988" i="7"/>
  <c r="K988" i="7" s="1"/>
  <c r="N1676" i="7"/>
  <c r="O1676" i="7" s="1"/>
  <c r="P1676" i="7" s="1"/>
  <c r="N1673" i="7"/>
  <c r="L1665" i="7"/>
  <c r="M1665" i="7" s="1"/>
  <c r="P1665" i="7" s="1"/>
  <c r="L1660" i="7"/>
  <c r="M1660" i="7" s="1"/>
  <c r="J1660" i="7"/>
  <c r="K1660" i="7" s="1"/>
  <c r="L1629" i="7"/>
  <c r="J1629" i="7"/>
  <c r="K1629" i="7" s="1"/>
  <c r="J1601" i="7"/>
  <c r="K1601" i="7" s="1"/>
  <c r="J1573" i="7"/>
  <c r="K1573" i="7" s="1"/>
  <c r="P1573" i="7" s="1"/>
  <c r="J1542" i="7"/>
  <c r="K1542" i="7" s="1"/>
  <c r="J1513" i="7"/>
  <c r="K1513" i="7" s="1"/>
  <c r="J1480" i="7"/>
  <c r="N668" i="7"/>
  <c r="O668" i="7" s="1"/>
  <c r="J668" i="7"/>
  <c r="K668" i="7" s="1"/>
  <c r="N640" i="7"/>
  <c r="O640" i="7" s="1"/>
  <c r="L640" i="7"/>
  <c r="M640" i="7" s="1"/>
  <c r="J640" i="7"/>
  <c r="K640" i="7" s="1"/>
  <c r="N612" i="7"/>
  <c r="O612" i="7" s="1"/>
  <c r="J612" i="7"/>
  <c r="K612" i="7" s="1"/>
  <c r="I612" i="7"/>
  <c r="J583" i="7"/>
  <c r="K583" i="7" s="1"/>
  <c r="L553" i="7"/>
  <c r="M553" i="7" s="1"/>
  <c r="J553" i="7"/>
  <c r="K553" i="7" s="1"/>
  <c r="L523" i="7"/>
  <c r="M523" i="7" s="1"/>
  <c r="J523" i="7"/>
  <c r="K523" i="7" s="1"/>
  <c r="N494" i="7"/>
  <c r="O494" i="7" s="1"/>
  <c r="J494" i="7"/>
  <c r="K494" i="7" s="1"/>
  <c r="N463" i="7"/>
  <c r="O463" i="7" s="1"/>
  <c r="J463" i="7"/>
  <c r="K463" i="7" s="1"/>
  <c r="N434" i="7"/>
  <c r="O434" i="7" s="1"/>
  <c r="L434" i="7"/>
  <c r="M434" i="7" s="1"/>
  <c r="J434" i="7"/>
  <c r="K434" i="7" s="1"/>
  <c r="L406" i="7"/>
  <c r="M406" i="7" s="1"/>
  <c r="P406" i="7" s="1"/>
  <c r="N377" i="7"/>
  <c r="O377" i="7" s="1"/>
  <c r="J377" i="7"/>
  <c r="K377" i="7" s="1"/>
  <c r="L349" i="7"/>
  <c r="M349" i="7" s="1"/>
  <c r="P349" i="7" s="1"/>
  <c r="N321" i="7"/>
  <c r="O321" i="7" s="1"/>
  <c r="L321" i="7"/>
  <c r="M321" i="7" s="1"/>
  <c r="J321" i="7"/>
  <c r="K321" i="7" s="1"/>
  <c r="N262" i="7"/>
  <c r="O262" i="7" s="1"/>
  <c r="L262" i="7"/>
  <c r="M262" i="7" s="1"/>
  <c r="J262" i="7"/>
  <c r="K262" i="7" s="1"/>
  <c r="L205" i="7"/>
  <c r="M205" i="7" s="1"/>
  <c r="J205" i="7"/>
  <c r="K205" i="7" s="1"/>
  <c r="L177" i="7"/>
  <c r="M177" i="7" s="1"/>
  <c r="J147" i="7"/>
  <c r="K147" i="7" s="1"/>
  <c r="I147" i="7"/>
  <c r="N61" i="7"/>
  <c r="O61" i="7" s="1"/>
  <c r="L61" i="7"/>
  <c r="N33" i="7"/>
  <c r="J33" i="7"/>
  <c r="J2066" i="7" l="1"/>
  <c r="K1480" i="7"/>
  <c r="P1480" i="7" s="1"/>
  <c r="J1681" i="7"/>
  <c r="M1629" i="7"/>
  <c r="L1681" i="7"/>
  <c r="M1681" i="7" s="1"/>
  <c r="O1673" i="7"/>
  <c r="P1673" i="7" s="1"/>
  <c r="N1681" i="7"/>
  <c r="O1681" i="7" s="1"/>
  <c r="K702" i="7"/>
  <c r="J958" i="7"/>
  <c r="O702" i="7"/>
  <c r="N958" i="7"/>
  <c r="K901" i="7"/>
  <c r="P901" i="7" s="1"/>
  <c r="M702" i="7"/>
  <c r="L958" i="7"/>
  <c r="O33" i="7"/>
  <c r="N670" i="7"/>
  <c r="M61" i="7"/>
  <c r="L670" i="7"/>
  <c r="K33" i="7"/>
  <c r="J670" i="7"/>
  <c r="M2077" i="7"/>
  <c r="L2098" i="7"/>
  <c r="M2098" i="7" s="1"/>
  <c r="K2077" i="7"/>
  <c r="J2098" i="7"/>
  <c r="K2098" i="7" s="1"/>
  <c r="M2126" i="7"/>
  <c r="M2157" i="7" s="1"/>
  <c r="L2157" i="7"/>
  <c r="O2126" i="7"/>
  <c r="O2157" i="7" s="1"/>
  <c r="N2157" i="7"/>
  <c r="K2156" i="7"/>
  <c r="K2157" i="7" s="1"/>
  <c r="J2157" i="7"/>
  <c r="P1969" i="7"/>
  <c r="P1365" i="7"/>
  <c r="P1931" i="7"/>
  <c r="O1815" i="7"/>
  <c r="N1833" i="7"/>
  <c r="O1833" i="7" s="1"/>
  <c r="K1815" i="7"/>
  <c r="J1833" i="7"/>
  <c r="K1833" i="7" s="1"/>
  <c r="M1961" i="7"/>
  <c r="L1974" i="7"/>
  <c r="M1974" i="7" s="1"/>
  <c r="M1815" i="7"/>
  <c r="L1833" i="7"/>
  <c r="M1833" i="7" s="1"/>
  <c r="O1961" i="7"/>
  <c r="N1974" i="7"/>
  <c r="O1974" i="7" s="1"/>
  <c r="P2105" i="7"/>
  <c r="K1990" i="7"/>
  <c r="K2066" i="7" s="1"/>
  <c r="M2065" i="7"/>
  <c r="K1954" i="7"/>
  <c r="J1955" i="7"/>
  <c r="K1955" i="7" s="1"/>
  <c r="O1954" i="7"/>
  <c r="N1955" i="7"/>
  <c r="O1955" i="7" s="1"/>
  <c r="M1954" i="7"/>
  <c r="L1955" i="7"/>
  <c r="M1955" i="7" s="1"/>
  <c r="P463" i="7"/>
  <c r="P1660" i="7"/>
  <c r="P1337" i="7"/>
  <c r="P845" i="7"/>
  <c r="P789" i="7"/>
  <c r="P147" i="7"/>
  <c r="P321" i="7"/>
  <c r="P668" i="7"/>
  <c r="P640" i="7"/>
  <c r="P612" i="7"/>
  <c r="P553" i="7"/>
  <c r="N1933" i="7"/>
  <c r="O1933" i="7" s="1"/>
  <c r="N2106" i="7"/>
  <c r="O2106" i="7" s="1"/>
  <c r="J1195" i="7"/>
  <c r="K1195" i="7" s="1"/>
  <c r="N1195" i="7"/>
  <c r="O1195" i="7" s="1"/>
  <c r="L1195" i="7"/>
  <c r="M1195" i="7" s="1"/>
  <c r="J1974" i="7"/>
  <c r="K1974" i="7" s="1"/>
  <c r="J1933" i="7"/>
  <c r="K1933" i="7" s="1"/>
  <c r="L1933" i="7"/>
  <c r="M1933" i="7" s="1"/>
  <c r="N1451" i="7"/>
  <c r="O1451" i="7" s="1"/>
  <c r="L1451" i="7"/>
  <c r="M1451" i="7" s="1"/>
  <c r="K1681" i="7"/>
  <c r="J1451" i="7"/>
  <c r="K1451" i="7" s="1"/>
  <c r="P2077" i="7" l="1"/>
  <c r="P2065" i="7"/>
  <c r="M2066" i="7"/>
  <c r="O958" i="7"/>
  <c r="N1684" i="7"/>
  <c r="N1685" i="7" s="1"/>
  <c r="N2165" i="7" s="1"/>
  <c r="K958" i="7"/>
  <c r="J1684" i="7"/>
  <c r="J1685" i="7" s="1"/>
  <c r="M958" i="7"/>
  <c r="L1684" i="7"/>
  <c r="L1685" i="7" s="1"/>
  <c r="P2098" i="7"/>
  <c r="L2106" i="7"/>
  <c r="M2106" i="7" s="1"/>
  <c r="O670" i="7"/>
  <c r="K670" i="7"/>
  <c r="M670" i="7"/>
  <c r="J2106" i="7"/>
  <c r="K2106" i="7" s="1"/>
  <c r="J2165" i="7" l="1"/>
  <c r="L2165" i="7"/>
  <c r="O1684" i="7"/>
  <c r="O1685" i="7" s="1"/>
  <c r="K1684" i="7"/>
  <c r="K1685" i="7" s="1"/>
  <c r="K2165" i="7" s="1"/>
  <c r="M1684" i="7"/>
  <c r="M1685" i="7" s="1"/>
  <c r="M2165" i="7" l="1"/>
  <c r="O2165" i="7"/>
  <c r="AM41" i="1"/>
  <c r="D1826" i="7" s="1"/>
  <c r="AQ138" i="1" l="1"/>
  <c r="H1926" i="7" s="1"/>
  <c r="AN66" i="1"/>
  <c r="E1919" i="7" s="1"/>
  <c r="AL332" i="1"/>
  <c r="AK332" i="1"/>
  <c r="AJ332" i="1"/>
  <c r="AI332" i="1"/>
  <c r="AH332" i="1"/>
  <c r="AA216" i="1"/>
  <c r="Q216" i="1"/>
  <c r="R216" i="1" s="1"/>
  <c r="AB216" i="1" s="1"/>
  <c r="AA91" i="1"/>
  <c r="Q91" i="1"/>
  <c r="R91" i="1" s="1"/>
  <c r="AB91" i="1" s="1"/>
  <c r="AC91" i="1" l="1"/>
  <c r="AC216" i="1"/>
  <c r="AA269" i="1" l="1"/>
  <c r="Q269" i="1"/>
  <c r="R269" i="1" s="1"/>
  <c r="AB269" i="1" s="1"/>
  <c r="AM17" i="1"/>
  <c r="D1811" i="7" s="1"/>
  <c r="AA236" i="1"/>
  <c r="Q236" i="1"/>
  <c r="R236" i="1" s="1"/>
  <c r="AB236" i="1" s="1"/>
  <c r="AA182" i="1"/>
  <c r="Q182" i="1"/>
  <c r="R182" i="1" s="1"/>
  <c r="AB182" i="1" s="1"/>
  <c r="AA80" i="1"/>
  <c r="Q80" i="1"/>
  <c r="R80" i="1" s="1"/>
  <c r="AB80" i="1" s="1"/>
  <c r="AA232" i="1"/>
  <c r="Q232" i="1"/>
  <c r="R232" i="1" s="1"/>
  <c r="AB232" i="1" s="1"/>
  <c r="AA147" i="1"/>
  <c r="Q147" i="1"/>
  <c r="R147" i="1" s="1"/>
  <c r="AB147" i="1" s="1"/>
  <c r="AA37" i="1"/>
  <c r="Q37" i="1"/>
  <c r="R37" i="1" s="1"/>
  <c r="AB37" i="1" s="1"/>
  <c r="AA175" i="1"/>
  <c r="Q175" i="1"/>
  <c r="R175" i="1" s="1"/>
  <c r="AB175" i="1" s="1"/>
  <c r="AA30" i="1"/>
  <c r="Q30" i="1"/>
  <c r="R30" i="1" s="1"/>
  <c r="AB30" i="1" s="1"/>
  <c r="AA245" i="1"/>
  <c r="Q245" i="1"/>
  <c r="R245" i="1" s="1"/>
  <c r="AB245" i="1" s="1"/>
  <c r="AA224" i="1"/>
  <c r="Q224" i="1"/>
  <c r="R224" i="1" s="1"/>
  <c r="AB224" i="1" s="1"/>
  <c r="AM30" i="1"/>
  <c r="D2004" i="7" s="1"/>
  <c r="AQ146" i="1"/>
  <c r="H1990" i="7" s="1"/>
  <c r="H2066" i="7" s="1"/>
  <c r="AC269" i="1" l="1"/>
  <c r="AC37" i="1"/>
  <c r="AC232" i="1"/>
  <c r="AC182" i="1"/>
  <c r="AC175" i="1"/>
  <c r="AC147" i="1"/>
  <c r="AC80" i="1"/>
  <c r="AC236" i="1"/>
  <c r="AC224" i="1"/>
  <c r="AC30" i="1"/>
  <c r="AC245" i="1"/>
  <c r="AA315" i="1" l="1"/>
  <c r="Q315" i="1"/>
  <c r="R315" i="1" s="1"/>
  <c r="AB315" i="1" s="1"/>
  <c r="AA118" i="1"/>
  <c r="Q118" i="1"/>
  <c r="R118" i="1" s="1"/>
  <c r="AB118" i="1" s="1"/>
  <c r="AC315" i="1" l="1"/>
  <c r="AC118" i="1"/>
  <c r="AQ128" i="1" l="1"/>
  <c r="H1952" i="7" s="1"/>
  <c r="AO82" i="1"/>
  <c r="F1948" i="7" s="1"/>
  <c r="AM25" i="1"/>
  <c r="D1947" i="7" s="1"/>
  <c r="AM33" i="1"/>
  <c r="D1945" i="7" s="1"/>
  <c r="AQ55" i="1"/>
  <c r="H1944" i="7" s="1"/>
  <c r="AP55" i="1"/>
  <c r="G1944" i="7" s="1"/>
  <c r="AM55" i="1"/>
  <c r="D1944" i="7" s="1"/>
  <c r="AO80" i="1"/>
  <c r="F2132" i="7" s="1"/>
  <c r="AQ147" i="1"/>
  <c r="H2133" i="7" s="1"/>
  <c r="AM37" i="1"/>
  <c r="D2135" i="7" s="1"/>
  <c r="AO91" i="1"/>
  <c r="F2152" i="7" s="1"/>
  <c r="AP120" i="1"/>
  <c r="G1972" i="7" s="1"/>
  <c r="AN57" i="1"/>
  <c r="E1971" i="7" s="1"/>
  <c r="AO95" i="1"/>
  <c r="F1963" i="7" s="1"/>
  <c r="AQ150" i="1"/>
  <c r="H1960" i="7" s="1"/>
  <c r="AN65" i="1"/>
  <c r="E1960" i="7" s="1"/>
  <c r="AP118" i="1"/>
  <c r="G1959" i="7" s="1"/>
  <c r="AA157" i="1"/>
  <c r="Q157" i="1"/>
  <c r="R157" i="1" s="1"/>
  <c r="AB157" i="1" s="1"/>
  <c r="AQ148" i="1"/>
  <c r="H1541" i="7" s="1"/>
  <c r="AM27" i="1"/>
  <c r="D1600" i="7" s="1"/>
  <c r="AO84" i="1"/>
  <c r="F1604" i="7" s="1"/>
  <c r="AA187" i="1"/>
  <c r="Q187" i="1"/>
  <c r="R187" i="1" s="1"/>
  <c r="AB187" i="1" s="1"/>
  <c r="AA145" i="1"/>
  <c r="Q145" i="1"/>
  <c r="R145" i="1" s="1"/>
  <c r="AB145" i="1" s="1"/>
  <c r="AA195" i="1"/>
  <c r="Q195" i="1"/>
  <c r="R195" i="1" s="1"/>
  <c r="AB195" i="1" s="1"/>
  <c r="AA259" i="1"/>
  <c r="Q259" i="1"/>
  <c r="R259" i="1" s="1"/>
  <c r="AB259" i="1" s="1"/>
  <c r="AA44" i="1"/>
  <c r="Q44" i="1"/>
  <c r="R44" i="1" s="1"/>
  <c r="AB44" i="1" s="1"/>
  <c r="AA136" i="1"/>
  <c r="Q136" i="1"/>
  <c r="R136" i="1" s="1"/>
  <c r="AB136" i="1" s="1"/>
  <c r="AA240" i="1"/>
  <c r="Q240" i="1"/>
  <c r="R240" i="1" s="1"/>
  <c r="AB240" i="1" s="1"/>
  <c r="AA165" i="1"/>
  <c r="Q165" i="1"/>
  <c r="R165" i="1" s="1"/>
  <c r="AB165" i="1" s="1"/>
  <c r="AA167" i="1"/>
  <c r="Q167" i="1"/>
  <c r="R167" i="1" s="1"/>
  <c r="AB167" i="1" s="1"/>
  <c r="AO94" i="1"/>
  <c r="F1814" i="7" s="1"/>
  <c r="AM21" i="1"/>
  <c r="D1683" i="7" s="1"/>
  <c r="I1683" i="7" s="1"/>
  <c r="P1683" i="7" s="1"/>
  <c r="AM18" i="1"/>
  <c r="D100" i="7" s="1"/>
  <c r="AN59" i="1"/>
  <c r="E2050" i="7" s="1"/>
  <c r="AM59" i="1"/>
  <c r="D2050" i="7" s="1"/>
  <c r="I1818" i="7" l="1"/>
  <c r="P1818" i="7" s="1"/>
  <c r="AC157" i="1"/>
  <c r="AC187" i="1"/>
  <c r="AC44" i="1"/>
  <c r="AC145" i="1"/>
  <c r="AC195" i="1"/>
  <c r="AC259" i="1"/>
  <c r="AC136" i="1"/>
  <c r="AC240" i="1"/>
  <c r="AC165" i="1"/>
  <c r="AC167" i="1"/>
  <c r="AP123" i="1" l="1"/>
  <c r="G2140" i="7" s="1"/>
  <c r="AP124" i="1"/>
  <c r="G2141" i="7" s="1"/>
  <c r="AQ152" i="1"/>
  <c r="H2148" i="7" s="1"/>
  <c r="AO92" i="1"/>
  <c r="F2147" i="7" s="1"/>
  <c r="AN62" i="1"/>
  <c r="E2146" i="7" s="1"/>
  <c r="AM20" i="1"/>
  <c r="D1860" i="7" s="1"/>
  <c r="AO93" i="1"/>
  <c r="F2140" i="7" s="1"/>
  <c r="AN56" i="1"/>
  <c r="E2140" i="7" s="1"/>
  <c r="AM34" i="1"/>
  <c r="D2144" i="7" s="1"/>
  <c r="AM9" i="1"/>
  <c r="D1847" i="7" s="1"/>
  <c r="D1916" i="7" s="1"/>
  <c r="AM8" i="1"/>
  <c r="AM32" i="1"/>
  <c r="D2140" i="7" s="1"/>
  <c r="AN52" i="1"/>
  <c r="E1257" i="7" s="1"/>
  <c r="AO74" i="1"/>
  <c r="F1831" i="7" s="1"/>
  <c r="AM74" i="1"/>
  <c r="D1831" i="7" s="1"/>
  <c r="AM26" i="1"/>
  <c r="D492" i="7" s="1"/>
  <c r="AQ136" i="1"/>
  <c r="H423" i="7" s="1"/>
  <c r="AQ145" i="1"/>
  <c r="H410" i="7" s="1"/>
  <c r="AP117" i="1"/>
  <c r="G241" i="7" s="1"/>
  <c r="AQ144" i="1"/>
  <c r="H520" i="7" s="1"/>
  <c r="AQ143" i="1"/>
  <c r="H490" i="7" s="1"/>
  <c r="AQ134" i="1"/>
  <c r="H2115" i="7" s="1"/>
  <c r="AN44" i="1"/>
  <c r="E572" i="7" s="1"/>
  <c r="AQ139" i="1"/>
  <c r="AQ127" i="1"/>
  <c r="H466" i="7" s="1"/>
  <c r="AM11" i="1"/>
  <c r="D176" i="7" s="1"/>
  <c r="AP105" i="1"/>
  <c r="G156" i="7" s="1"/>
  <c r="AQ133" i="1"/>
  <c r="H1252" i="7" s="1"/>
  <c r="AM28" i="1"/>
  <c r="D141" i="7" s="1"/>
  <c r="AP96" i="1"/>
  <c r="G180" i="7" s="1"/>
  <c r="AP49" i="1"/>
  <c r="G163" i="7" s="1"/>
  <c r="AN49" i="1"/>
  <c r="E162" i="7" s="1"/>
  <c r="H1942" i="7"/>
  <c r="AP102" i="1"/>
  <c r="AP100" i="1"/>
  <c r="G1200" i="7" s="1"/>
  <c r="AP122" i="1"/>
  <c r="G2129" i="7" s="1"/>
  <c r="AO85" i="1"/>
  <c r="AP97" i="1"/>
  <c r="G239" i="7" s="1"/>
  <c r="AO76" i="1"/>
  <c r="F482" i="7" s="1"/>
  <c r="AO70" i="1"/>
  <c r="F2113" i="7" s="1"/>
  <c r="AP79" i="1"/>
  <c r="G352" i="7" s="1"/>
  <c r="AO79" i="1"/>
  <c r="F352" i="7" s="1"/>
  <c r="AO78" i="1"/>
  <c r="F1058" i="7" s="1"/>
  <c r="AP116" i="1"/>
  <c r="G1100" i="7" s="1"/>
  <c r="AP115" i="1"/>
  <c r="G1071" i="7" s="1"/>
  <c r="AN40" i="1"/>
  <c r="E265" i="7" s="1"/>
  <c r="AN64" i="1"/>
  <c r="E980" i="7" s="1"/>
  <c r="AO77" i="1"/>
  <c r="F691" i="7" s="1"/>
  <c r="AN43" i="1"/>
  <c r="E963" i="7" s="1"/>
  <c r="AO73" i="1"/>
  <c r="F473" i="7" s="1"/>
  <c r="AP42" i="1"/>
  <c r="G706" i="7" s="1"/>
  <c r="AN42" i="1"/>
  <c r="E706" i="7" s="1"/>
  <c r="AN60" i="1"/>
  <c r="E688" i="7" s="1"/>
  <c r="AN54" i="1"/>
  <c r="E1060" i="7" s="1"/>
  <c r="AN58" i="1"/>
  <c r="E2129" i="7" s="1"/>
  <c r="AN51" i="1"/>
  <c r="E562" i="7" s="1"/>
  <c r="AM22" i="1"/>
  <c r="D737" i="7" s="1"/>
  <c r="AM13" i="1"/>
  <c r="D1047" i="7" s="1"/>
  <c r="AQ29" i="1"/>
  <c r="AP29" i="1"/>
  <c r="AO29" i="1"/>
  <c r="AN29" i="1"/>
  <c r="AM29" i="1"/>
  <c r="AM31" i="1"/>
  <c r="D2130" i="7" s="1"/>
  <c r="AM14" i="1"/>
  <c r="D1224" i="7" s="1"/>
  <c r="AO7" i="1"/>
  <c r="F1050" i="7" s="1"/>
  <c r="AM7" i="1"/>
  <c r="D1050" i="7" s="1"/>
  <c r="D2163" i="7" l="1"/>
  <c r="D2161" i="7"/>
  <c r="F2163" i="7"/>
  <c r="F2161" i="7"/>
  <c r="H2163" i="7"/>
  <c r="H2161" i="7"/>
  <c r="E2163" i="7"/>
  <c r="E2161" i="7"/>
  <c r="G2163" i="7"/>
  <c r="G2161" i="7"/>
  <c r="D1937" i="7"/>
  <c r="G1089" i="7"/>
  <c r="I1089" i="7" s="1"/>
  <c r="P1089" i="7" s="1"/>
  <c r="H2142" i="7"/>
  <c r="H1026" i="7"/>
  <c r="F2138" i="7"/>
  <c r="F574" i="7"/>
  <c r="I574" i="7" s="1"/>
  <c r="P574" i="7" s="1"/>
  <c r="I473" i="7"/>
  <c r="P473" i="7" s="1"/>
  <c r="I482" i="7"/>
  <c r="P482" i="7" s="1"/>
  <c r="I180" i="7"/>
  <c r="P180" i="7" s="1"/>
  <c r="G1961" i="7"/>
  <c r="I241" i="7"/>
  <c r="P241" i="7" s="1"/>
  <c r="I162" i="7"/>
  <c r="P162" i="7" s="1"/>
  <c r="E2138" i="7"/>
  <c r="G1080" i="7"/>
  <c r="G2138" i="7"/>
  <c r="H2149" i="7"/>
  <c r="H1961" i="7"/>
  <c r="H1974" i="7" s="1"/>
  <c r="I572" i="7"/>
  <c r="P572" i="7" s="1"/>
  <c r="D1829" i="7"/>
  <c r="G1824" i="7"/>
  <c r="I963" i="7"/>
  <c r="P963" i="7" s="1"/>
  <c r="F1824" i="7"/>
  <c r="D1824" i="7"/>
  <c r="H1824" i="7"/>
  <c r="I562" i="7"/>
  <c r="P562" i="7" s="1"/>
  <c r="E1942" i="7"/>
  <c r="E1955" i="7" s="1"/>
  <c r="P1828" i="7"/>
  <c r="E1824" i="7"/>
  <c r="E1080" i="7"/>
  <c r="I691" i="7"/>
  <c r="P691" i="7" s="1"/>
  <c r="F1832" i="7"/>
  <c r="I163" i="7"/>
  <c r="P163" i="7" s="1"/>
  <c r="D1832" i="7"/>
  <c r="I2113" i="7"/>
  <c r="P2113" i="7" s="1"/>
  <c r="E1281" i="7"/>
  <c r="E1451" i="7" s="1"/>
  <c r="E2142" i="7"/>
  <c r="F1080" i="7"/>
  <c r="I2141" i="7"/>
  <c r="P2141" i="7" s="1"/>
  <c r="H2126" i="7"/>
  <c r="I156" i="7"/>
  <c r="P156" i="7" s="1"/>
  <c r="I2147" i="7"/>
  <c r="P2147" i="7" s="1"/>
  <c r="I2146" i="7"/>
  <c r="P2146" i="7" s="1"/>
  <c r="I1100" i="7"/>
  <c r="P1100" i="7" s="1"/>
  <c r="I1873" i="7"/>
  <c r="G1224" i="7"/>
  <c r="G1451" i="7" s="1"/>
  <c r="I520" i="7"/>
  <c r="P520" i="7" s="1"/>
  <c r="I980" i="7"/>
  <c r="P980" i="7" s="1"/>
  <c r="I1952" i="7"/>
  <c r="P1952" i="7" s="1"/>
  <c r="I239" i="7"/>
  <c r="P239" i="7" s="1"/>
  <c r="F1942" i="7"/>
  <c r="I1895" i="7"/>
  <c r="E292" i="7"/>
  <c r="I292" i="7" s="1"/>
  <c r="P292" i="7" s="1"/>
  <c r="I265" i="7"/>
  <c r="P265" i="7" s="1"/>
  <c r="G1973" i="7"/>
  <c r="I1947" i="7"/>
  <c r="P1947" i="7" s="1"/>
  <c r="I100" i="7"/>
  <c r="P100" i="7" s="1"/>
  <c r="H119" i="7"/>
  <c r="I688" i="7"/>
  <c r="P688" i="7" s="1"/>
  <c r="E1973" i="7"/>
  <c r="E730" i="7"/>
  <c r="D1451" i="7"/>
  <c r="I492" i="7"/>
  <c r="P492" i="7" s="1"/>
  <c r="G1954" i="7"/>
  <c r="F730" i="7"/>
  <c r="I737" i="7"/>
  <c r="P737" i="7" s="1"/>
  <c r="I581" i="7"/>
  <c r="P581" i="7" s="1"/>
  <c r="I1919" i="7"/>
  <c r="P1919" i="7" s="1"/>
  <c r="D2142" i="7"/>
  <c r="I1847" i="7"/>
  <c r="I2145" i="7"/>
  <c r="P2145" i="7" s="1"/>
  <c r="D1601" i="7"/>
  <c r="D1681" i="7" s="1"/>
  <c r="F377" i="7"/>
  <c r="D1051" i="7"/>
  <c r="D1195" i="7" s="1"/>
  <c r="I1813" i="7"/>
  <c r="P1813" i="7" s="1"/>
  <c r="F1954" i="7"/>
  <c r="I1971" i="7"/>
  <c r="P1971" i="7" s="1"/>
  <c r="G377" i="7"/>
  <c r="I1814" i="7"/>
  <c r="P1814" i="7" s="1"/>
  <c r="D583" i="7"/>
  <c r="D147" i="7"/>
  <c r="E2055" i="7"/>
  <c r="E1921" i="7"/>
  <c r="D612" i="7"/>
  <c r="F1051" i="7"/>
  <c r="E1051" i="7"/>
  <c r="AP15" i="1"/>
  <c r="AO15" i="1"/>
  <c r="AM15" i="1"/>
  <c r="AO5" i="1"/>
  <c r="F60" i="7" s="1"/>
  <c r="AN5" i="1"/>
  <c r="AM5" i="1"/>
  <c r="D60" i="7" s="1"/>
  <c r="AM6" i="1"/>
  <c r="D32" i="7" s="1"/>
  <c r="E2066" i="7" l="1"/>
  <c r="E2106" i="7" s="1"/>
  <c r="D1942" i="7"/>
  <c r="I1937" i="7"/>
  <c r="I2161" i="7"/>
  <c r="G1942" i="7"/>
  <c r="G1955" i="7" s="1"/>
  <c r="G1815" i="7"/>
  <c r="H1829" i="7"/>
  <c r="I1071" i="7"/>
  <c r="P1071" i="7" s="1"/>
  <c r="G1829" i="7"/>
  <c r="G205" i="7"/>
  <c r="I205" i="7" s="1"/>
  <c r="P205" i="7" s="1"/>
  <c r="F1829" i="7"/>
  <c r="I1058" i="7"/>
  <c r="P1058" i="7" s="1"/>
  <c r="F1955" i="7"/>
  <c r="I2148" i="7"/>
  <c r="P2148" i="7" s="1"/>
  <c r="I1823" i="7"/>
  <c r="P1823" i="7" s="1"/>
  <c r="H1954" i="7"/>
  <c r="H1955" i="7" s="1"/>
  <c r="I1824" i="7"/>
  <c r="P1824" i="7" s="1"/>
  <c r="G2142" i="7"/>
  <c r="G2150" i="7" s="1"/>
  <c r="G2157" i="7" s="1"/>
  <c r="H523" i="7"/>
  <c r="I2132" i="7"/>
  <c r="P2132" i="7" s="1"/>
  <c r="I706" i="7"/>
  <c r="P706" i="7" s="1"/>
  <c r="I1600" i="7"/>
  <c r="G88" i="7"/>
  <c r="G90" i="7" s="1"/>
  <c r="I176" i="7"/>
  <c r="P176" i="7" s="1"/>
  <c r="D88" i="7"/>
  <c r="F88" i="7"/>
  <c r="F90" i="7" s="1"/>
  <c r="I2135" i="7"/>
  <c r="P2135" i="7" s="1"/>
  <c r="D119" i="7"/>
  <c r="D2149" i="7"/>
  <c r="I117" i="7"/>
  <c r="P117" i="7" s="1"/>
  <c r="E1829" i="7"/>
  <c r="D1954" i="7"/>
  <c r="I1856" i="7"/>
  <c r="I352" i="7"/>
  <c r="P352" i="7" s="1"/>
  <c r="E177" i="7"/>
  <c r="G262" i="7"/>
  <c r="F583" i="7"/>
  <c r="G730" i="7"/>
  <c r="I1257" i="7"/>
  <c r="F2126" i="7"/>
  <c r="E1933" i="7"/>
  <c r="I1948" i="7"/>
  <c r="P1948" i="7" s="1"/>
  <c r="E60" i="7"/>
  <c r="E61" i="7" s="1"/>
  <c r="I1047" i="7"/>
  <c r="G1974" i="7"/>
  <c r="I677" i="7"/>
  <c r="P677" i="7" s="1"/>
  <c r="I2130" i="7"/>
  <c r="P2130" i="7" s="1"/>
  <c r="I1200" i="7"/>
  <c r="I1972" i="7"/>
  <c r="P1972" i="7" s="1"/>
  <c r="I1826" i="7"/>
  <c r="P1826" i="7" s="1"/>
  <c r="I1959" i="7"/>
  <c r="P1959" i="7" s="1"/>
  <c r="F1629" i="7"/>
  <c r="F1681" i="7" s="1"/>
  <c r="I1604" i="7"/>
  <c r="P1604" i="7" s="1"/>
  <c r="I2115" i="7"/>
  <c r="P2115" i="7" s="1"/>
  <c r="D1815" i="7"/>
  <c r="I1811" i="7"/>
  <c r="P1811" i="7" s="1"/>
  <c r="I1060" i="7"/>
  <c r="P1060" i="7" s="1"/>
  <c r="I1921" i="7"/>
  <c r="P1921" i="7" s="1"/>
  <c r="G1109" i="7"/>
  <c r="E988" i="7"/>
  <c r="E1195" i="7" s="1"/>
  <c r="F702" i="7"/>
  <c r="F958" i="7" s="1"/>
  <c r="I988" i="7"/>
  <c r="P988" i="7" s="1"/>
  <c r="E2149" i="7"/>
  <c r="E2150" i="7" s="1"/>
  <c r="E2157" i="7" s="1"/>
  <c r="D494" i="7"/>
  <c r="F2149" i="7"/>
  <c r="I1915" i="7"/>
  <c r="D177" i="7"/>
  <c r="G177" i="7"/>
  <c r="I2129" i="7"/>
  <c r="P2129" i="7" s="1"/>
  <c r="F494" i="7"/>
  <c r="E583" i="7"/>
  <c r="D761" i="7"/>
  <c r="D2138" i="7"/>
  <c r="G1933" i="7"/>
  <c r="I1827" i="7"/>
  <c r="P1827" i="7" s="1"/>
  <c r="D2055" i="7"/>
  <c r="I2055" i="7" s="1"/>
  <c r="P2055" i="7" s="1"/>
  <c r="I2050" i="7"/>
  <c r="P2050" i="7" s="1"/>
  <c r="H2138" i="7"/>
  <c r="H2150" i="7" s="1"/>
  <c r="H2157" i="7" s="1"/>
  <c r="I2133" i="7"/>
  <c r="P2133" i="7" s="1"/>
  <c r="I1944" i="7"/>
  <c r="P1944" i="7" s="1"/>
  <c r="I583" i="7"/>
  <c r="P583" i="7" s="1"/>
  <c r="I1050" i="7"/>
  <c r="P1050" i="7" s="1"/>
  <c r="I523" i="7"/>
  <c r="P523" i="7" s="1"/>
  <c r="F1195" i="7"/>
  <c r="I262" i="7"/>
  <c r="P262" i="7" s="1"/>
  <c r="I761" i="7"/>
  <c r="P761" i="7" s="1"/>
  <c r="I1051" i="7"/>
  <c r="P1051" i="7" s="1"/>
  <c r="D33" i="7"/>
  <c r="I32" i="7"/>
  <c r="P32" i="7" s="1"/>
  <c r="D61" i="7"/>
  <c r="F61" i="7"/>
  <c r="AA162" i="1"/>
  <c r="Q162" i="1"/>
  <c r="R162" i="1" s="1"/>
  <c r="AB162" i="1" s="1"/>
  <c r="AA117" i="1"/>
  <c r="Q117" i="1"/>
  <c r="R117" i="1" s="1"/>
  <c r="AB117" i="1" s="1"/>
  <c r="AA166" i="1"/>
  <c r="Q166" i="1"/>
  <c r="R166" i="1" s="1"/>
  <c r="AB166" i="1" s="1"/>
  <c r="AA11" i="1"/>
  <c r="Q11" i="1"/>
  <c r="R11" i="1" s="1"/>
  <c r="AB11" i="1" s="1"/>
  <c r="AA105" i="1"/>
  <c r="Q105" i="1"/>
  <c r="R105" i="1" s="1"/>
  <c r="AB105" i="1" s="1"/>
  <c r="D1955" i="7" l="1"/>
  <c r="F670" i="7"/>
  <c r="D958" i="7"/>
  <c r="D1684" i="7" s="1"/>
  <c r="G670" i="7"/>
  <c r="E670" i="7"/>
  <c r="I2163" i="7"/>
  <c r="P2163" i="7" s="1"/>
  <c r="P2161" i="7"/>
  <c r="I1942" i="7"/>
  <c r="P1942" i="7" s="1"/>
  <c r="G1833" i="7"/>
  <c r="I1829" i="7"/>
  <c r="P1829" i="7" s="1"/>
  <c r="I2149" i="7"/>
  <c r="P2149" i="7" s="1"/>
  <c r="I1601" i="7"/>
  <c r="P1601" i="7" s="1"/>
  <c r="P1600" i="7"/>
  <c r="I1281" i="7"/>
  <c r="P1281" i="7" s="1"/>
  <c r="P1257" i="7"/>
  <c r="I1224" i="7"/>
  <c r="P1224" i="7" s="1"/>
  <c r="P1200" i="7"/>
  <c r="I1048" i="7"/>
  <c r="P1048" i="7" s="1"/>
  <c r="P1047" i="7"/>
  <c r="I177" i="7"/>
  <c r="P177" i="7" s="1"/>
  <c r="I730" i="7"/>
  <c r="P730" i="7" s="1"/>
  <c r="D2150" i="7"/>
  <c r="D2157" i="7" s="1"/>
  <c r="I377" i="7"/>
  <c r="P377" i="7" s="1"/>
  <c r="I2126" i="7"/>
  <c r="I119" i="7"/>
  <c r="P119" i="7" s="1"/>
  <c r="I60" i="7"/>
  <c r="P60" i="7" s="1"/>
  <c r="G1195" i="7"/>
  <c r="I1109" i="7"/>
  <c r="P1109" i="7" s="1"/>
  <c r="I88" i="7"/>
  <c r="P88" i="7" s="1"/>
  <c r="D90" i="7"/>
  <c r="I90" i="7" s="1"/>
  <c r="P90" i="7" s="1"/>
  <c r="I669" i="7"/>
  <c r="P669" i="7" s="1"/>
  <c r="I1973" i="7"/>
  <c r="P1973" i="7" s="1"/>
  <c r="I1080" i="7"/>
  <c r="P1080" i="7" s="1"/>
  <c r="I1629" i="7"/>
  <c r="P1629" i="7" s="1"/>
  <c r="I2138" i="7"/>
  <c r="P2138" i="7" s="1"/>
  <c r="I1954" i="7"/>
  <c r="P1954" i="7" s="1"/>
  <c r="I2004" i="7"/>
  <c r="P2004" i="7" s="1"/>
  <c r="D2005" i="7"/>
  <c r="D2066" i="7" s="1"/>
  <c r="I33" i="7"/>
  <c r="I61" i="7"/>
  <c r="P61" i="7" s="1"/>
  <c r="AC117" i="1"/>
  <c r="AC162" i="1"/>
  <c r="AC166" i="1"/>
  <c r="AC11" i="1"/>
  <c r="AC105" i="1"/>
  <c r="P33" i="7" l="1"/>
  <c r="D670" i="7"/>
  <c r="D1685" i="7" s="1"/>
  <c r="P2126" i="7"/>
  <c r="I2005" i="7"/>
  <c r="P2005" i="7" s="1"/>
  <c r="I1955" i="7"/>
  <c r="P1955" i="7" s="1"/>
  <c r="AL4" i="1"/>
  <c r="AQ4" i="1" s="1"/>
  <c r="AK4" i="1"/>
  <c r="AP4" i="1" s="1"/>
  <c r="AJ4" i="1"/>
  <c r="AO4" i="1" s="1"/>
  <c r="AI4" i="1"/>
  <c r="AN4" i="1" s="1"/>
  <c r="AH4" i="1"/>
  <c r="AM4" i="1" s="1"/>
  <c r="D2106" i="7" l="1"/>
  <c r="AA312" i="1"/>
  <c r="AA74" i="1"/>
  <c r="AA329" i="1"/>
  <c r="AA194" i="1"/>
  <c r="AA311" i="1"/>
  <c r="AA301" i="1"/>
  <c r="AA314" i="1"/>
  <c r="AA275" i="1"/>
  <c r="AA328" i="1"/>
  <c r="AA318" i="1"/>
  <c r="AA323" i="1"/>
  <c r="AA271" i="1"/>
  <c r="AA120" i="1"/>
  <c r="AA298" i="1"/>
  <c r="AA304" i="1"/>
  <c r="AA308" i="1"/>
  <c r="AA306" i="1"/>
  <c r="AA26" i="1"/>
  <c r="AA237" i="1"/>
  <c r="AA282" i="1"/>
  <c r="AA321" i="1"/>
  <c r="AA316" i="1"/>
  <c r="AA324" i="1"/>
  <c r="AA289" i="1"/>
  <c r="AA317" i="1"/>
  <c r="AA274" i="1"/>
  <c r="AA57" i="1"/>
  <c r="AA296" i="1"/>
  <c r="AA319" i="1"/>
  <c r="AA294" i="1"/>
  <c r="AA163" i="1"/>
  <c r="AA273" i="1"/>
  <c r="AA164" i="1"/>
  <c r="AA300" i="1"/>
  <c r="AA299" i="1"/>
  <c r="AA132" i="1"/>
  <c r="AA326" i="1"/>
  <c r="AA272" i="1"/>
  <c r="AA179" i="1"/>
  <c r="AA325" i="1"/>
  <c r="AA305" i="1"/>
  <c r="AA270" i="1"/>
  <c r="AA184" i="1"/>
  <c r="AA310" i="1"/>
  <c r="AA307" i="1"/>
  <c r="AA327" i="1"/>
  <c r="AA295" i="1"/>
  <c r="AA279" i="1"/>
  <c r="AA239" i="1"/>
  <c r="AA291" i="1"/>
  <c r="AA283" i="1"/>
  <c r="AA168" i="1"/>
  <c r="AA155" i="1"/>
  <c r="AA208" i="1"/>
  <c r="AA293" i="1"/>
  <c r="AA95" i="1"/>
  <c r="AA262" i="1"/>
  <c r="AA223" i="1"/>
  <c r="AA281" i="1"/>
  <c r="AA150" i="1"/>
  <c r="AA144" i="1"/>
  <c r="AA246" i="1"/>
  <c r="AA292" i="1"/>
  <c r="AA190" i="1"/>
  <c r="AA303" i="1"/>
  <c r="AA267" i="1"/>
  <c r="AA254" i="1"/>
  <c r="AA320" i="1"/>
  <c r="AA123" i="1"/>
  <c r="AA124" i="1"/>
  <c r="AA256" i="1"/>
  <c r="AA98" i="1"/>
  <c r="AA198" i="1"/>
  <c r="AA233" i="1"/>
  <c r="AA148" i="1"/>
  <c r="AA111" i="1"/>
  <c r="AA257" i="1"/>
  <c r="AA238" i="1"/>
  <c r="AA149" i="1"/>
  <c r="AA288" i="1"/>
  <c r="AA215" i="1"/>
  <c r="AA255" i="1"/>
  <c r="AA143" i="1"/>
  <c r="AA252" i="1"/>
  <c r="AA222" i="1"/>
  <c r="AA234" i="1"/>
  <c r="AA244" i="1"/>
  <c r="AA221" i="1"/>
  <c r="AA290" i="1"/>
  <c r="AA203" i="1"/>
  <c r="AA220" i="1"/>
  <c r="AA250" i="1"/>
  <c r="AA204" i="1"/>
  <c r="AA209" i="1"/>
  <c r="AA248" i="1"/>
  <c r="AA134" i="1"/>
  <c r="AA235" i="1"/>
  <c r="AA258" i="1"/>
  <c r="AA207" i="1"/>
  <c r="AA302" i="1"/>
  <c r="AA266" i="1"/>
  <c r="AA210" i="1"/>
  <c r="AA183" i="1"/>
  <c r="AA263" i="1"/>
  <c r="AA268" i="1"/>
  <c r="AA251" i="1"/>
  <c r="AA188" i="1"/>
  <c r="AA219" i="1"/>
  <c r="AA178" i="1"/>
  <c r="AA218" i="1"/>
  <c r="AA152" i="1"/>
  <c r="AA322" i="1"/>
  <c r="AA286" i="1"/>
  <c r="AA206" i="1"/>
  <c r="AA65" i="1"/>
  <c r="AA158" i="1"/>
  <c r="AA161" i="1"/>
  <c r="AA197" i="1"/>
  <c r="AA193" i="1"/>
  <c r="AA249" i="1"/>
  <c r="AA278" i="1"/>
  <c r="AA176" i="1"/>
  <c r="AA285" i="1"/>
  <c r="AA277" i="1"/>
  <c r="AA139" i="1"/>
  <c r="AA260" i="1"/>
  <c r="AA196" i="1"/>
  <c r="AA280" i="1"/>
  <c r="AA242" i="1"/>
  <c r="AA127" i="1"/>
  <c r="AA185" i="1"/>
  <c r="AA177" i="1"/>
  <c r="AA225" i="1"/>
  <c r="AA253" i="1"/>
  <c r="AA18" i="1"/>
  <c r="AA173" i="1"/>
  <c r="AA92" i="1"/>
  <c r="AA62" i="1"/>
  <c r="AA265" i="1"/>
  <c r="AA156" i="1"/>
  <c r="AA20" i="1"/>
  <c r="AA217" i="1"/>
  <c r="AA125" i="1"/>
  <c r="AA227" i="1"/>
  <c r="AA228" i="1"/>
  <c r="AA214" i="1"/>
  <c r="AA230" i="1"/>
  <c r="AA229" i="1"/>
  <c r="AA287" i="1"/>
  <c r="AA212" i="1"/>
  <c r="AA247" i="1"/>
  <c r="AA226" i="1"/>
  <c r="AA297" i="1"/>
  <c r="AA159" i="1"/>
  <c r="AA52" i="1"/>
  <c r="AA284" i="1"/>
  <c r="AA133" i="1"/>
  <c r="AA241" i="1"/>
  <c r="AA28" i="1"/>
  <c r="AA96" i="1"/>
  <c r="AA181" i="1"/>
  <c r="AA313" i="1"/>
  <c r="AA202" i="1"/>
  <c r="AA309" i="1"/>
  <c r="AA186" i="1"/>
  <c r="AA49" i="1"/>
  <c r="AA200" i="1"/>
  <c r="AA83" i="1"/>
  <c r="AA27" i="1"/>
  <c r="AA102" i="1"/>
  <c r="AA93" i="1"/>
  <c r="AA231" i="1"/>
  <c r="AA192" i="1"/>
  <c r="AA100" i="1"/>
  <c r="AA122" i="1"/>
  <c r="AA261" i="1"/>
  <c r="AA153" i="1"/>
  <c r="AA180" i="1"/>
  <c r="AA85" i="1"/>
  <c r="AA97" i="1"/>
  <c r="AA76" i="1"/>
  <c r="AA86" i="1"/>
  <c r="AA201" i="1"/>
  <c r="AA189" i="1"/>
  <c r="AA211" i="1"/>
  <c r="AA84" i="1"/>
  <c r="AA70" i="1"/>
  <c r="AA172" i="1"/>
  <c r="AA113" i="1"/>
  <c r="AA79" i="1"/>
  <c r="AA78" i="1"/>
  <c r="AA146" i="1"/>
  <c r="AA170" i="1"/>
  <c r="AA116" i="1"/>
  <c r="AA115" i="1"/>
  <c r="AA40" i="1"/>
  <c r="AA94" i="1"/>
  <c r="AA59" i="1"/>
  <c r="AA64" i="1"/>
  <c r="AA56" i="1"/>
  <c r="AA77" i="1"/>
  <c r="AA43" i="1"/>
  <c r="AA73" i="1"/>
  <c r="AA21" i="1"/>
  <c r="AA42" i="1"/>
  <c r="AA169" i="1"/>
  <c r="AA60" i="1"/>
  <c r="AA54" i="1"/>
  <c r="AA110" i="1"/>
  <c r="AA15" i="1"/>
  <c r="AA34" i="1"/>
  <c r="AA9" i="1"/>
  <c r="AA58" i="1"/>
  <c r="AA106" i="1"/>
  <c r="AA88" i="1"/>
  <c r="AA51" i="1"/>
  <c r="AA16" i="1"/>
  <c r="AA171" i="1"/>
  <c r="AA22" i="1"/>
  <c r="AA13" i="1"/>
  <c r="AA191" i="1"/>
  <c r="AA8" i="1"/>
  <c r="AA154" i="1"/>
  <c r="AA29" i="1"/>
  <c r="AA32" i="1"/>
  <c r="AA213" i="1"/>
  <c r="AA31" i="1"/>
  <c r="AA17" i="1"/>
  <c r="AA14" i="1"/>
  <c r="AA7" i="1"/>
  <c r="AA5" i="1"/>
  <c r="AA6" i="1"/>
  <c r="Q3" i="1"/>
  <c r="Q312" i="1"/>
  <c r="R312" i="1" s="1"/>
  <c r="AB312" i="1" s="1"/>
  <c r="Q74" i="1"/>
  <c r="R74" i="1" s="1"/>
  <c r="AB74" i="1" s="1"/>
  <c r="Q329" i="1"/>
  <c r="R329" i="1" s="1"/>
  <c r="AB329" i="1" s="1"/>
  <c r="Q194" i="1"/>
  <c r="R194" i="1" s="1"/>
  <c r="AB194" i="1" s="1"/>
  <c r="Q311" i="1"/>
  <c r="R311" i="1" s="1"/>
  <c r="AB311" i="1" s="1"/>
  <c r="Q301" i="1"/>
  <c r="R301" i="1" s="1"/>
  <c r="AB301" i="1" s="1"/>
  <c r="Q314" i="1"/>
  <c r="R314" i="1" s="1"/>
  <c r="AB314" i="1" s="1"/>
  <c r="Q275" i="1"/>
  <c r="R275" i="1" s="1"/>
  <c r="AB275" i="1" s="1"/>
  <c r="Q328" i="1"/>
  <c r="R328" i="1" s="1"/>
  <c r="AB328" i="1" s="1"/>
  <c r="Q318" i="1"/>
  <c r="R318" i="1" s="1"/>
  <c r="AB318" i="1" s="1"/>
  <c r="Q323" i="1"/>
  <c r="R323" i="1" s="1"/>
  <c r="AB323" i="1" s="1"/>
  <c r="Q271" i="1"/>
  <c r="R271" i="1" s="1"/>
  <c r="AB271" i="1" s="1"/>
  <c r="Q120" i="1"/>
  <c r="R120" i="1" s="1"/>
  <c r="AB120" i="1" s="1"/>
  <c r="Q298" i="1"/>
  <c r="R298" i="1" s="1"/>
  <c r="AB298" i="1" s="1"/>
  <c r="Q304" i="1"/>
  <c r="R304" i="1" s="1"/>
  <c r="AB304" i="1" s="1"/>
  <c r="Q308" i="1"/>
  <c r="R308" i="1" s="1"/>
  <c r="AB308" i="1" s="1"/>
  <c r="Q306" i="1"/>
  <c r="R306" i="1" s="1"/>
  <c r="AB306" i="1" s="1"/>
  <c r="Q26" i="1"/>
  <c r="R26" i="1" s="1"/>
  <c r="AB26" i="1" s="1"/>
  <c r="Q237" i="1"/>
  <c r="R237" i="1" s="1"/>
  <c r="AB237" i="1" s="1"/>
  <c r="Q282" i="1"/>
  <c r="R282" i="1" s="1"/>
  <c r="AB282" i="1" s="1"/>
  <c r="Q321" i="1"/>
  <c r="R321" i="1" s="1"/>
  <c r="AB321" i="1" s="1"/>
  <c r="Q316" i="1"/>
  <c r="R316" i="1" s="1"/>
  <c r="AB316" i="1" s="1"/>
  <c r="Q324" i="1"/>
  <c r="R324" i="1" s="1"/>
  <c r="AB324" i="1" s="1"/>
  <c r="Q289" i="1"/>
  <c r="R289" i="1" s="1"/>
  <c r="AB289" i="1" s="1"/>
  <c r="Q317" i="1"/>
  <c r="R317" i="1" s="1"/>
  <c r="AB317" i="1" s="1"/>
  <c r="Q274" i="1"/>
  <c r="R274" i="1" s="1"/>
  <c r="AB274" i="1" s="1"/>
  <c r="Q57" i="1"/>
  <c r="R57" i="1" s="1"/>
  <c r="AB57" i="1" s="1"/>
  <c r="Q296" i="1"/>
  <c r="R296" i="1" s="1"/>
  <c r="AB296" i="1" s="1"/>
  <c r="Q319" i="1"/>
  <c r="R319" i="1" s="1"/>
  <c r="AB319" i="1" s="1"/>
  <c r="Q294" i="1"/>
  <c r="R294" i="1" s="1"/>
  <c r="AB294" i="1" s="1"/>
  <c r="Q163" i="1"/>
  <c r="R163" i="1" s="1"/>
  <c r="AB163" i="1" s="1"/>
  <c r="Q273" i="1"/>
  <c r="R273" i="1" s="1"/>
  <c r="AB273" i="1" s="1"/>
  <c r="Q164" i="1"/>
  <c r="R164" i="1" s="1"/>
  <c r="AB164" i="1" s="1"/>
  <c r="Q300" i="1"/>
  <c r="R300" i="1" s="1"/>
  <c r="AB300" i="1" s="1"/>
  <c r="Q299" i="1"/>
  <c r="R299" i="1" s="1"/>
  <c r="AB299" i="1" s="1"/>
  <c r="Q132" i="1"/>
  <c r="R132" i="1" s="1"/>
  <c r="AB132" i="1" s="1"/>
  <c r="Q326" i="1"/>
  <c r="R326" i="1" s="1"/>
  <c r="AB326" i="1" s="1"/>
  <c r="Q272" i="1"/>
  <c r="R272" i="1" s="1"/>
  <c r="AB272" i="1" s="1"/>
  <c r="Q179" i="1"/>
  <c r="R179" i="1" s="1"/>
  <c r="AB179" i="1" s="1"/>
  <c r="Q325" i="1"/>
  <c r="R325" i="1" s="1"/>
  <c r="AB325" i="1" s="1"/>
  <c r="Q305" i="1"/>
  <c r="R305" i="1" s="1"/>
  <c r="AB305" i="1" s="1"/>
  <c r="Q270" i="1"/>
  <c r="R270" i="1" s="1"/>
  <c r="AB270" i="1" s="1"/>
  <c r="Q184" i="1"/>
  <c r="R184" i="1" s="1"/>
  <c r="AB184" i="1" s="1"/>
  <c r="Q310" i="1"/>
  <c r="R310" i="1" s="1"/>
  <c r="AB310" i="1" s="1"/>
  <c r="Q307" i="1"/>
  <c r="R307" i="1" s="1"/>
  <c r="AB307" i="1" s="1"/>
  <c r="Q327" i="1"/>
  <c r="R327" i="1" s="1"/>
  <c r="AB327" i="1" s="1"/>
  <c r="Q295" i="1"/>
  <c r="R295" i="1" s="1"/>
  <c r="AB295" i="1" s="1"/>
  <c r="Q279" i="1"/>
  <c r="R279" i="1" s="1"/>
  <c r="AB279" i="1" s="1"/>
  <c r="Q239" i="1"/>
  <c r="R239" i="1" s="1"/>
  <c r="AB239" i="1" s="1"/>
  <c r="Q291" i="1"/>
  <c r="R291" i="1" s="1"/>
  <c r="AB291" i="1" s="1"/>
  <c r="Q283" i="1"/>
  <c r="R283" i="1" s="1"/>
  <c r="AB283" i="1" s="1"/>
  <c r="Q168" i="1"/>
  <c r="R168" i="1" s="1"/>
  <c r="AB168" i="1" s="1"/>
  <c r="Q155" i="1"/>
  <c r="R155" i="1" s="1"/>
  <c r="AB155" i="1" s="1"/>
  <c r="Q208" i="1"/>
  <c r="R208" i="1" s="1"/>
  <c r="AB208" i="1" s="1"/>
  <c r="Q293" i="1"/>
  <c r="R293" i="1" s="1"/>
  <c r="AB293" i="1" s="1"/>
  <c r="Q95" i="1"/>
  <c r="R95" i="1" s="1"/>
  <c r="AB95" i="1" s="1"/>
  <c r="Q262" i="1"/>
  <c r="R262" i="1" s="1"/>
  <c r="AB262" i="1" s="1"/>
  <c r="Q223" i="1"/>
  <c r="R223" i="1" s="1"/>
  <c r="AB223" i="1" s="1"/>
  <c r="Q281" i="1"/>
  <c r="R281" i="1" s="1"/>
  <c r="AB281" i="1" s="1"/>
  <c r="Q150" i="1"/>
  <c r="R150" i="1" s="1"/>
  <c r="AB150" i="1" s="1"/>
  <c r="Q144" i="1"/>
  <c r="R144" i="1" s="1"/>
  <c r="AB144" i="1" s="1"/>
  <c r="Q246" i="1"/>
  <c r="R246" i="1" s="1"/>
  <c r="AB246" i="1" s="1"/>
  <c r="Q292" i="1"/>
  <c r="R292" i="1" s="1"/>
  <c r="AB292" i="1" s="1"/>
  <c r="Q190" i="1"/>
  <c r="R190" i="1" s="1"/>
  <c r="AB190" i="1" s="1"/>
  <c r="Q303" i="1"/>
  <c r="R303" i="1" s="1"/>
  <c r="AB303" i="1" s="1"/>
  <c r="Q267" i="1"/>
  <c r="R267" i="1" s="1"/>
  <c r="AB267" i="1" s="1"/>
  <c r="Q254" i="1"/>
  <c r="R254" i="1" s="1"/>
  <c r="AB254" i="1" s="1"/>
  <c r="Q320" i="1"/>
  <c r="R320" i="1" s="1"/>
  <c r="AB320" i="1" s="1"/>
  <c r="Q123" i="1"/>
  <c r="R123" i="1" s="1"/>
  <c r="AB123" i="1" s="1"/>
  <c r="Q124" i="1"/>
  <c r="R124" i="1" s="1"/>
  <c r="AB124" i="1" s="1"/>
  <c r="Q256" i="1"/>
  <c r="R256" i="1" s="1"/>
  <c r="AB256" i="1" s="1"/>
  <c r="Q98" i="1"/>
  <c r="R98" i="1" s="1"/>
  <c r="AB98" i="1" s="1"/>
  <c r="Q198" i="1"/>
  <c r="R198" i="1" s="1"/>
  <c r="AB198" i="1" s="1"/>
  <c r="Q233" i="1"/>
  <c r="R233" i="1" s="1"/>
  <c r="AB233" i="1" s="1"/>
  <c r="Q148" i="1"/>
  <c r="R148" i="1" s="1"/>
  <c r="AB148" i="1" s="1"/>
  <c r="Q111" i="1"/>
  <c r="R111" i="1" s="1"/>
  <c r="AB111" i="1" s="1"/>
  <c r="Q257" i="1"/>
  <c r="R257" i="1" s="1"/>
  <c r="AB257" i="1" s="1"/>
  <c r="Q238" i="1"/>
  <c r="R238" i="1" s="1"/>
  <c r="AB238" i="1" s="1"/>
  <c r="Q149" i="1"/>
  <c r="R149" i="1" s="1"/>
  <c r="AB149" i="1" s="1"/>
  <c r="Q288" i="1"/>
  <c r="R288" i="1" s="1"/>
  <c r="AB288" i="1" s="1"/>
  <c r="Q215" i="1"/>
  <c r="R215" i="1" s="1"/>
  <c r="AB215" i="1" s="1"/>
  <c r="Q255" i="1"/>
  <c r="R255" i="1" s="1"/>
  <c r="AB255" i="1" s="1"/>
  <c r="Q143" i="1"/>
  <c r="R143" i="1" s="1"/>
  <c r="AB143" i="1" s="1"/>
  <c r="Q252" i="1"/>
  <c r="R252" i="1" s="1"/>
  <c r="AB252" i="1" s="1"/>
  <c r="Q222" i="1"/>
  <c r="R222" i="1" s="1"/>
  <c r="AB222" i="1" s="1"/>
  <c r="Q234" i="1"/>
  <c r="R234" i="1" s="1"/>
  <c r="AB234" i="1" s="1"/>
  <c r="Q244" i="1"/>
  <c r="R244" i="1" s="1"/>
  <c r="AB244" i="1" s="1"/>
  <c r="Q221" i="1"/>
  <c r="R221" i="1" s="1"/>
  <c r="AB221" i="1" s="1"/>
  <c r="Q290" i="1"/>
  <c r="R290" i="1" s="1"/>
  <c r="AB290" i="1" s="1"/>
  <c r="Q203" i="1"/>
  <c r="R203" i="1" s="1"/>
  <c r="AB203" i="1" s="1"/>
  <c r="Q220" i="1"/>
  <c r="R220" i="1" s="1"/>
  <c r="AB220" i="1" s="1"/>
  <c r="Q250" i="1"/>
  <c r="R250" i="1" s="1"/>
  <c r="AB250" i="1" s="1"/>
  <c r="Q204" i="1"/>
  <c r="R204" i="1" s="1"/>
  <c r="AB204" i="1" s="1"/>
  <c r="Q209" i="1"/>
  <c r="R209" i="1" s="1"/>
  <c r="AB209" i="1" s="1"/>
  <c r="Q248" i="1"/>
  <c r="R248" i="1" s="1"/>
  <c r="AB248" i="1" s="1"/>
  <c r="Q134" i="1"/>
  <c r="R134" i="1" s="1"/>
  <c r="AB134" i="1" s="1"/>
  <c r="Q235" i="1"/>
  <c r="R235" i="1" s="1"/>
  <c r="AB235" i="1" s="1"/>
  <c r="Q258" i="1"/>
  <c r="R258" i="1" s="1"/>
  <c r="AB258" i="1" s="1"/>
  <c r="Q207" i="1"/>
  <c r="R207" i="1" s="1"/>
  <c r="AB207" i="1" s="1"/>
  <c r="Q302" i="1"/>
  <c r="R302" i="1" s="1"/>
  <c r="AB302" i="1" s="1"/>
  <c r="Q266" i="1"/>
  <c r="R266" i="1" s="1"/>
  <c r="AB266" i="1" s="1"/>
  <c r="Q210" i="1"/>
  <c r="R210" i="1" s="1"/>
  <c r="AB210" i="1" s="1"/>
  <c r="Q183" i="1"/>
  <c r="R183" i="1" s="1"/>
  <c r="AB183" i="1" s="1"/>
  <c r="Q263" i="1"/>
  <c r="R263" i="1" s="1"/>
  <c r="AB263" i="1" s="1"/>
  <c r="Q268" i="1"/>
  <c r="R268" i="1" s="1"/>
  <c r="AB268" i="1" s="1"/>
  <c r="Q251" i="1"/>
  <c r="R251" i="1" s="1"/>
  <c r="AB251" i="1" s="1"/>
  <c r="Q188" i="1"/>
  <c r="R188" i="1" s="1"/>
  <c r="AB188" i="1" s="1"/>
  <c r="Q219" i="1"/>
  <c r="R219" i="1" s="1"/>
  <c r="AB219" i="1" s="1"/>
  <c r="Q178" i="1"/>
  <c r="R178" i="1" s="1"/>
  <c r="AB178" i="1" s="1"/>
  <c r="Q218" i="1"/>
  <c r="R218" i="1" s="1"/>
  <c r="AB218" i="1" s="1"/>
  <c r="Q152" i="1"/>
  <c r="R152" i="1" s="1"/>
  <c r="AB152" i="1" s="1"/>
  <c r="Q322" i="1"/>
  <c r="R322" i="1" s="1"/>
  <c r="AB322" i="1" s="1"/>
  <c r="Q286" i="1"/>
  <c r="R286" i="1" s="1"/>
  <c r="AB286" i="1" s="1"/>
  <c r="Q206" i="1"/>
  <c r="R206" i="1" s="1"/>
  <c r="AB206" i="1" s="1"/>
  <c r="Q65" i="1"/>
  <c r="R65" i="1" s="1"/>
  <c r="AB65" i="1" s="1"/>
  <c r="Q158" i="1"/>
  <c r="R158" i="1" s="1"/>
  <c r="AB158" i="1" s="1"/>
  <c r="Q161" i="1"/>
  <c r="R161" i="1" s="1"/>
  <c r="AB161" i="1" s="1"/>
  <c r="Q197" i="1"/>
  <c r="R197" i="1" s="1"/>
  <c r="AB197" i="1" s="1"/>
  <c r="Q193" i="1"/>
  <c r="R193" i="1" s="1"/>
  <c r="AB193" i="1" s="1"/>
  <c r="Q249" i="1"/>
  <c r="R249" i="1" s="1"/>
  <c r="AB249" i="1" s="1"/>
  <c r="Q278" i="1"/>
  <c r="R278" i="1" s="1"/>
  <c r="AB278" i="1" s="1"/>
  <c r="Q176" i="1"/>
  <c r="R176" i="1" s="1"/>
  <c r="AB176" i="1" s="1"/>
  <c r="Q285" i="1"/>
  <c r="R285" i="1" s="1"/>
  <c r="AB285" i="1" s="1"/>
  <c r="Q277" i="1"/>
  <c r="R277" i="1" s="1"/>
  <c r="AB277" i="1" s="1"/>
  <c r="Q139" i="1"/>
  <c r="R139" i="1" s="1"/>
  <c r="AB139" i="1" s="1"/>
  <c r="Q260" i="1"/>
  <c r="R260" i="1" s="1"/>
  <c r="AB260" i="1" s="1"/>
  <c r="Q196" i="1"/>
  <c r="R196" i="1" s="1"/>
  <c r="AB196" i="1" s="1"/>
  <c r="Q280" i="1"/>
  <c r="R280" i="1" s="1"/>
  <c r="AB280" i="1" s="1"/>
  <c r="Q242" i="1"/>
  <c r="R242" i="1" s="1"/>
  <c r="AB242" i="1" s="1"/>
  <c r="Q127" i="1"/>
  <c r="R127" i="1" s="1"/>
  <c r="AB127" i="1" s="1"/>
  <c r="Q185" i="1"/>
  <c r="R185" i="1" s="1"/>
  <c r="AB185" i="1" s="1"/>
  <c r="Q177" i="1"/>
  <c r="R177" i="1" s="1"/>
  <c r="AB177" i="1" s="1"/>
  <c r="Q225" i="1"/>
  <c r="R225" i="1" s="1"/>
  <c r="AB225" i="1" s="1"/>
  <c r="Q253" i="1"/>
  <c r="R253" i="1" s="1"/>
  <c r="AB253" i="1" s="1"/>
  <c r="Q18" i="1"/>
  <c r="R18" i="1" s="1"/>
  <c r="AB18" i="1" s="1"/>
  <c r="Q173" i="1"/>
  <c r="R173" i="1" s="1"/>
  <c r="AB173" i="1" s="1"/>
  <c r="Q92" i="1"/>
  <c r="R92" i="1" s="1"/>
  <c r="AB92" i="1" s="1"/>
  <c r="Q62" i="1"/>
  <c r="R62" i="1" s="1"/>
  <c r="AB62" i="1" s="1"/>
  <c r="Q265" i="1"/>
  <c r="R265" i="1" s="1"/>
  <c r="AB265" i="1" s="1"/>
  <c r="Q156" i="1"/>
  <c r="R156" i="1" s="1"/>
  <c r="AB156" i="1" s="1"/>
  <c r="Q20" i="1"/>
  <c r="R20" i="1" s="1"/>
  <c r="AB20" i="1" s="1"/>
  <c r="Q217" i="1"/>
  <c r="R217" i="1" s="1"/>
  <c r="AB217" i="1" s="1"/>
  <c r="Q125" i="1"/>
  <c r="R125" i="1" s="1"/>
  <c r="AB125" i="1" s="1"/>
  <c r="Q227" i="1"/>
  <c r="R227" i="1" s="1"/>
  <c r="AB227" i="1" s="1"/>
  <c r="Q228" i="1"/>
  <c r="R228" i="1" s="1"/>
  <c r="AB228" i="1" s="1"/>
  <c r="Q214" i="1"/>
  <c r="R214" i="1" s="1"/>
  <c r="AB214" i="1" s="1"/>
  <c r="Q230" i="1"/>
  <c r="R230" i="1" s="1"/>
  <c r="AB230" i="1" s="1"/>
  <c r="Q229" i="1"/>
  <c r="R229" i="1" s="1"/>
  <c r="AB229" i="1" s="1"/>
  <c r="Q287" i="1"/>
  <c r="R287" i="1" s="1"/>
  <c r="AB287" i="1" s="1"/>
  <c r="Q212" i="1"/>
  <c r="R212" i="1" s="1"/>
  <c r="AB212" i="1" s="1"/>
  <c r="Q247" i="1"/>
  <c r="R247" i="1" s="1"/>
  <c r="AB247" i="1" s="1"/>
  <c r="Q226" i="1"/>
  <c r="R226" i="1" s="1"/>
  <c r="AB226" i="1" s="1"/>
  <c r="Q297" i="1"/>
  <c r="R297" i="1" s="1"/>
  <c r="AB297" i="1" s="1"/>
  <c r="Q159" i="1"/>
  <c r="R159" i="1" s="1"/>
  <c r="AB159" i="1" s="1"/>
  <c r="Q52" i="1"/>
  <c r="R52" i="1" s="1"/>
  <c r="AB52" i="1" s="1"/>
  <c r="Q284" i="1"/>
  <c r="R284" i="1" s="1"/>
  <c r="AB284" i="1" s="1"/>
  <c r="Q133" i="1"/>
  <c r="R133" i="1" s="1"/>
  <c r="AB133" i="1" s="1"/>
  <c r="Q241" i="1"/>
  <c r="R241" i="1" s="1"/>
  <c r="AB241" i="1" s="1"/>
  <c r="Q28" i="1"/>
  <c r="R28" i="1" s="1"/>
  <c r="AB28" i="1" s="1"/>
  <c r="Q96" i="1"/>
  <c r="R96" i="1" s="1"/>
  <c r="AB96" i="1" s="1"/>
  <c r="Q181" i="1"/>
  <c r="R181" i="1" s="1"/>
  <c r="AB181" i="1" s="1"/>
  <c r="Q313" i="1"/>
  <c r="R313" i="1" s="1"/>
  <c r="AB313" i="1" s="1"/>
  <c r="Q202" i="1"/>
  <c r="R202" i="1" s="1"/>
  <c r="AB202" i="1" s="1"/>
  <c r="Q309" i="1"/>
  <c r="R309" i="1" s="1"/>
  <c r="AB309" i="1" s="1"/>
  <c r="Q186" i="1"/>
  <c r="R186" i="1" s="1"/>
  <c r="AB186" i="1" s="1"/>
  <c r="Q49" i="1"/>
  <c r="R49" i="1" s="1"/>
  <c r="AB49" i="1" s="1"/>
  <c r="Q200" i="1"/>
  <c r="R200" i="1" s="1"/>
  <c r="AB200" i="1" s="1"/>
  <c r="Q83" i="1"/>
  <c r="R83" i="1" s="1"/>
  <c r="AB83" i="1" s="1"/>
  <c r="Q27" i="1"/>
  <c r="R27" i="1" s="1"/>
  <c r="AB27" i="1" s="1"/>
  <c r="Q102" i="1"/>
  <c r="R102" i="1" s="1"/>
  <c r="AB102" i="1" s="1"/>
  <c r="Q93" i="1"/>
  <c r="R93" i="1" s="1"/>
  <c r="AB93" i="1" s="1"/>
  <c r="Q231" i="1"/>
  <c r="R231" i="1" s="1"/>
  <c r="AB231" i="1" s="1"/>
  <c r="Q192" i="1"/>
  <c r="R192" i="1" s="1"/>
  <c r="AB192" i="1" s="1"/>
  <c r="Q100" i="1"/>
  <c r="R100" i="1" s="1"/>
  <c r="AB100" i="1" s="1"/>
  <c r="Q122" i="1"/>
  <c r="R122" i="1" s="1"/>
  <c r="AB122" i="1" s="1"/>
  <c r="Q261" i="1"/>
  <c r="R261" i="1" s="1"/>
  <c r="AB261" i="1" s="1"/>
  <c r="Q153" i="1"/>
  <c r="R153" i="1" s="1"/>
  <c r="AB153" i="1" s="1"/>
  <c r="Q180" i="1"/>
  <c r="R180" i="1" s="1"/>
  <c r="AB180" i="1" s="1"/>
  <c r="Q85" i="1"/>
  <c r="R85" i="1" s="1"/>
  <c r="AB85" i="1" s="1"/>
  <c r="Q97" i="1"/>
  <c r="R97" i="1" s="1"/>
  <c r="AB97" i="1" s="1"/>
  <c r="Q76" i="1"/>
  <c r="R76" i="1" s="1"/>
  <c r="AB76" i="1" s="1"/>
  <c r="Q86" i="1"/>
  <c r="R86" i="1" s="1"/>
  <c r="AB86" i="1" s="1"/>
  <c r="Q201" i="1"/>
  <c r="R201" i="1" s="1"/>
  <c r="AB201" i="1" s="1"/>
  <c r="Q189" i="1"/>
  <c r="R189" i="1" s="1"/>
  <c r="AB189" i="1" s="1"/>
  <c r="Q211" i="1"/>
  <c r="R211" i="1" s="1"/>
  <c r="AB211" i="1" s="1"/>
  <c r="Q84" i="1"/>
  <c r="R84" i="1" s="1"/>
  <c r="AB84" i="1" s="1"/>
  <c r="Q70" i="1"/>
  <c r="R70" i="1" s="1"/>
  <c r="AB70" i="1" s="1"/>
  <c r="Q172" i="1"/>
  <c r="R172" i="1" s="1"/>
  <c r="AB172" i="1" s="1"/>
  <c r="Q113" i="1"/>
  <c r="R113" i="1" s="1"/>
  <c r="AB113" i="1" s="1"/>
  <c r="Q79" i="1"/>
  <c r="R79" i="1" s="1"/>
  <c r="AB79" i="1" s="1"/>
  <c r="Q78" i="1"/>
  <c r="R78" i="1" s="1"/>
  <c r="AB78" i="1" s="1"/>
  <c r="Q146" i="1"/>
  <c r="R146" i="1" s="1"/>
  <c r="AB146" i="1" s="1"/>
  <c r="Q170" i="1"/>
  <c r="R170" i="1" s="1"/>
  <c r="AB170" i="1" s="1"/>
  <c r="Q116" i="1"/>
  <c r="R116" i="1" s="1"/>
  <c r="AB116" i="1" s="1"/>
  <c r="Q115" i="1"/>
  <c r="R115" i="1" s="1"/>
  <c r="AB115" i="1" s="1"/>
  <c r="Q40" i="1"/>
  <c r="R40" i="1" s="1"/>
  <c r="AB40" i="1" s="1"/>
  <c r="Q94" i="1"/>
  <c r="R94" i="1" s="1"/>
  <c r="AB94" i="1" s="1"/>
  <c r="Q59" i="1"/>
  <c r="R59" i="1" s="1"/>
  <c r="AB59" i="1" s="1"/>
  <c r="Q64" i="1"/>
  <c r="R64" i="1" s="1"/>
  <c r="AB64" i="1" s="1"/>
  <c r="Q56" i="1"/>
  <c r="R56" i="1" s="1"/>
  <c r="AB56" i="1" s="1"/>
  <c r="Q77" i="1"/>
  <c r="R77" i="1" s="1"/>
  <c r="AB77" i="1" s="1"/>
  <c r="Q43" i="1"/>
  <c r="R43" i="1" s="1"/>
  <c r="AB43" i="1" s="1"/>
  <c r="Q73" i="1"/>
  <c r="R73" i="1" s="1"/>
  <c r="AB73" i="1" s="1"/>
  <c r="Q21" i="1"/>
  <c r="R21" i="1" s="1"/>
  <c r="AB21" i="1" s="1"/>
  <c r="Q42" i="1"/>
  <c r="R42" i="1" s="1"/>
  <c r="AB42" i="1" s="1"/>
  <c r="Q169" i="1"/>
  <c r="R169" i="1" s="1"/>
  <c r="AB169" i="1" s="1"/>
  <c r="Q60" i="1"/>
  <c r="R60" i="1" s="1"/>
  <c r="AB60" i="1" s="1"/>
  <c r="Q54" i="1"/>
  <c r="R54" i="1" s="1"/>
  <c r="AB54" i="1" s="1"/>
  <c r="Q110" i="1"/>
  <c r="R110" i="1" s="1"/>
  <c r="AB110" i="1" s="1"/>
  <c r="Q15" i="1"/>
  <c r="R15" i="1" s="1"/>
  <c r="AB15" i="1" s="1"/>
  <c r="Q34" i="1"/>
  <c r="R34" i="1" s="1"/>
  <c r="AB34" i="1" s="1"/>
  <c r="Q9" i="1"/>
  <c r="R9" i="1" s="1"/>
  <c r="AB9" i="1" s="1"/>
  <c r="Q58" i="1"/>
  <c r="R58" i="1" s="1"/>
  <c r="AB58" i="1" s="1"/>
  <c r="Q106" i="1"/>
  <c r="R106" i="1" s="1"/>
  <c r="AB106" i="1" s="1"/>
  <c r="Q88" i="1"/>
  <c r="R88" i="1" s="1"/>
  <c r="AB88" i="1" s="1"/>
  <c r="Q51" i="1"/>
  <c r="R51" i="1" s="1"/>
  <c r="AB51" i="1" s="1"/>
  <c r="Q16" i="1"/>
  <c r="R16" i="1" s="1"/>
  <c r="AB16" i="1" s="1"/>
  <c r="Q171" i="1"/>
  <c r="R171" i="1" s="1"/>
  <c r="AB171" i="1" s="1"/>
  <c r="Q22" i="1"/>
  <c r="R22" i="1" s="1"/>
  <c r="AB22" i="1" s="1"/>
  <c r="Q13" i="1"/>
  <c r="R13" i="1" s="1"/>
  <c r="AB13" i="1" s="1"/>
  <c r="Q191" i="1"/>
  <c r="R191" i="1" s="1"/>
  <c r="AB191" i="1" s="1"/>
  <c r="Q8" i="1"/>
  <c r="R8" i="1" s="1"/>
  <c r="AB8" i="1" s="1"/>
  <c r="Q154" i="1"/>
  <c r="R154" i="1" s="1"/>
  <c r="AB154" i="1" s="1"/>
  <c r="Q29" i="1"/>
  <c r="R29" i="1" s="1"/>
  <c r="AB29" i="1" s="1"/>
  <c r="Q32" i="1"/>
  <c r="R32" i="1" s="1"/>
  <c r="AB32" i="1" s="1"/>
  <c r="Q213" i="1"/>
  <c r="R213" i="1" s="1"/>
  <c r="AB213" i="1" s="1"/>
  <c r="Q31" i="1"/>
  <c r="R31" i="1" s="1"/>
  <c r="AB31" i="1" s="1"/>
  <c r="Q17" i="1"/>
  <c r="R17" i="1" s="1"/>
  <c r="AB17" i="1" s="1"/>
  <c r="Q14" i="1"/>
  <c r="R14" i="1" s="1"/>
  <c r="AB14" i="1" s="1"/>
  <c r="Q7" i="1"/>
  <c r="R7" i="1" s="1"/>
  <c r="AB7" i="1" s="1"/>
  <c r="Q5" i="1"/>
  <c r="R5" i="1" s="1"/>
  <c r="AB5" i="1" s="1"/>
  <c r="Q6" i="1"/>
  <c r="R6" i="1" s="1"/>
  <c r="AB6" i="1" s="1"/>
  <c r="U243" i="1" l="1"/>
  <c r="Y243" i="1"/>
  <c r="V243" i="1"/>
  <c r="S243" i="1"/>
  <c r="W243" i="1"/>
  <c r="T243" i="1"/>
  <c r="X243" i="1"/>
  <c r="Z243" i="1"/>
  <c r="X99" i="1"/>
  <c r="T99" i="1"/>
  <c r="S68" i="1"/>
  <c r="Z99" i="1"/>
  <c r="V99" i="1"/>
  <c r="Y68" i="1"/>
  <c r="U68" i="1"/>
  <c r="Y99" i="1"/>
  <c r="U99" i="1"/>
  <c r="X68" i="1"/>
  <c r="T68" i="1"/>
  <c r="W68" i="1"/>
  <c r="W99" i="1"/>
  <c r="S99" i="1"/>
  <c r="Z68" i="1"/>
  <c r="V68" i="1"/>
  <c r="X47" i="1"/>
  <c r="T47" i="1"/>
  <c r="W47" i="1"/>
  <c r="S47" i="1"/>
  <c r="Z47" i="1"/>
  <c r="V47" i="1"/>
  <c r="Y47" i="1"/>
  <c r="U47" i="1"/>
  <c r="Z119" i="1"/>
  <c r="V119" i="1"/>
  <c r="X119" i="1"/>
  <c r="T119" i="1"/>
  <c r="W119" i="1"/>
  <c r="S119" i="1"/>
  <c r="Y119" i="1"/>
  <c r="U119" i="1"/>
  <c r="X142" i="1"/>
  <c r="T142" i="1"/>
  <c r="Z101" i="1"/>
  <c r="V101" i="1"/>
  <c r="X69" i="1"/>
  <c r="T69" i="1"/>
  <c r="Z46" i="1"/>
  <c r="V46" i="1"/>
  <c r="X141" i="1"/>
  <c r="T141" i="1"/>
  <c r="Z112" i="1"/>
  <c r="V112" i="1"/>
  <c r="X89" i="1"/>
  <c r="T89" i="1"/>
  <c r="Y151" i="1"/>
  <c r="U151" i="1"/>
  <c r="W121" i="1"/>
  <c r="S121" i="1"/>
  <c r="Y90" i="1"/>
  <c r="U90" i="1"/>
  <c r="W61" i="1"/>
  <c r="S61" i="1"/>
  <c r="Y129" i="1"/>
  <c r="U129" i="1"/>
  <c r="W107" i="1"/>
  <c r="S107" i="1"/>
  <c r="Y71" i="1"/>
  <c r="U71" i="1"/>
  <c r="V142" i="1"/>
  <c r="X112" i="1"/>
  <c r="V89" i="1"/>
  <c r="W151" i="1"/>
  <c r="U121" i="1"/>
  <c r="S90" i="1"/>
  <c r="U61" i="1"/>
  <c r="W129" i="1"/>
  <c r="U107" i="1"/>
  <c r="S71" i="1"/>
  <c r="W142" i="1"/>
  <c r="S142" i="1"/>
  <c r="Y101" i="1"/>
  <c r="U101" i="1"/>
  <c r="W69" i="1"/>
  <c r="S69" i="1"/>
  <c r="Y46" i="1"/>
  <c r="U46" i="1"/>
  <c r="W141" i="1"/>
  <c r="S141" i="1"/>
  <c r="Y112" i="1"/>
  <c r="U112" i="1"/>
  <c r="W89" i="1"/>
  <c r="S89" i="1"/>
  <c r="X151" i="1"/>
  <c r="T151" i="1"/>
  <c r="Z121" i="1"/>
  <c r="V121" i="1"/>
  <c r="X90" i="1"/>
  <c r="T90" i="1"/>
  <c r="Z61" i="1"/>
  <c r="V61" i="1"/>
  <c r="X129" i="1"/>
  <c r="T129" i="1"/>
  <c r="Z107" i="1"/>
  <c r="V107" i="1"/>
  <c r="X71" i="1"/>
  <c r="T71" i="1"/>
  <c r="Z142" i="1"/>
  <c r="X101" i="1"/>
  <c r="T101" i="1"/>
  <c r="V69" i="1"/>
  <c r="X46" i="1"/>
  <c r="T46" i="1"/>
  <c r="Z141" i="1"/>
  <c r="V141" i="1"/>
  <c r="Z89" i="1"/>
  <c r="Y121" i="1"/>
  <c r="W90" i="1"/>
  <c r="Y107" i="1"/>
  <c r="W71" i="1"/>
  <c r="Y142" i="1"/>
  <c r="U142" i="1"/>
  <c r="W101" i="1"/>
  <c r="S101" i="1"/>
  <c r="Y69" i="1"/>
  <c r="U69" i="1"/>
  <c r="W46" i="1"/>
  <c r="S46" i="1"/>
  <c r="Y141" i="1"/>
  <c r="U141" i="1"/>
  <c r="W112" i="1"/>
  <c r="S112" i="1"/>
  <c r="Y89" i="1"/>
  <c r="U89" i="1"/>
  <c r="Z151" i="1"/>
  <c r="V151" i="1"/>
  <c r="X121" i="1"/>
  <c r="T121" i="1"/>
  <c r="Z90" i="1"/>
  <c r="V90" i="1"/>
  <c r="X61" i="1"/>
  <c r="T61" i="1"/>
  <c r="Z129" i="1"/>
  <c r="V129" i="1"/>
  <c r="X107" i="1"/>
  <c r="T107" i="1"/>
  <c r="Z71" i="1"/>
  <c r="V71" i="1"/>
  <c r="Z69" i="1"/>
  <c r="T112" i="1"/>
  <c r="S151" i="1"/>
  <c r="Y61" i="1"/>
  <c r="S129" i="1"/>
  <c r="I1963" i="7"/>
  <c r="P1963" i="7" s="1"/>
  <c r="F1965" i="7"/>
  <c r="Y135" i="1"/>
  <c r="W135" i="1"/>
  <c r="U135" i="1"/>
  <c r="S135" i="1"/>
  <c r="Y103" i="1"/>
  <c r="W103" i="1"/>
  <c r="U103" i="1"/>
  <c r="S103" i="1"/>
  <c r="Y72" i="1"/>
  <c r="W72" i="1"/>
  <c r="U72" i="1"/>
  <c r="S72" i="1"/>
  <c r="Z137" i="1"/>
  <c r="X137" i="1"/>
  <c r="V137" i="1"/>
  <c r="T137" i="1"/>
  <c r="Z108" i="1"/>
  <c r="X108" i="1"/>
  <c r="V108" i="1"/>
  <c r="T108" i="1"/>
  <c r="Z87" i="1"/>
  <c r="X87" i="1"/>
  <c r="V87" i="1"/>
  <c r="T87" i="1"/>
  <c r="Z53" i="1"/>
  <c r="X53" i="1"/>
  <c r="V53" i="1"/>
  <c r="T53" i="1"/>
  <c r="Z39" i="1"/>
  <c r="X39" i="1"/>
  <c r="V39" i="1"/>
  <c r="T39" i="1"/>
  <c r="Z135" i="1"/>
  <c r="X135" i="1"/>
  <c r="V135" i="1"/>
  <c r="T135" i="1"/>
  <c r="Z103" i="1"/>
  <c r="X103" i="1"/>
  <c r="V103" i="1"/>
  <c r="T103" i="1"/>
  <c r="Z72" i="1"/>
  <c r="X72" i="1"/>
  <c r="V72" i="1"/>
  <c r="T72" i="1"/>
  <c r="Y137" i="1"/>
  <c r="W137" i="1"/>
  <c r="U137" i="1"/>
  <c r="S137" i="1"/>
  <c r="Y108" i="1"/>
  <c r="W108" i="1"/>
  <c r="U108" i="1"/>
  <c r="S108" i="1"/>
  <c r="Y87" i="1"/>
  <c r="W87" i="1"/>
  <c r="U87" i="1"/>
  <c r="S87" i="1"/>
  <c r="Y53" i="1"/>
  <c r="W53" i="1"/>
  <c r="U53" i="1"/>
  <c r="S53" i="1"/>
  <c r="Y39" i="1"/>
  <c r="W39" i="1"/>
  <c r="U39" i="1"/>
  <c r="S39" i="1"/>
  <c r="Z126" i="1"/>
  <c r="X126" i="1"/>
  <c r="V126" i="1"/>
  <c r="T126" i="1"/>
  <c r="Y109" i="1"/>
  <c r="W109" i="1"/>
  <c r="U109" i="1"/>
  <c r="S109" i="1"/>
  <c r="Y67" i="1"/>
  <c r="W67" i="1"/>
  <c r="U67" i="1"/>
  <c r="S67" i="1"/>
  <c r="Y45" i="1"/>
  <c r="W45" i="1"/>
  <c r="U45" i="1"/>
  <c r="S45" i="1"/>
  <c r="Y104" i="1"/>
  <c r="W104" i="1"/>
  <c r="U104" i="1"/>
  <c r="S104" i="1"/>
  <c r="Y75" i="1"/>
  <c r="W75" i="1"/>
  <c r="U75" i="1"/>
  <c r="S75" i="1"/>
  <c r="Y48" i="1"/>
  <c r="W48" i="1"/>
  <c r="U48" i="1"/>
  <c r="S48" i="1"/>
  <c r="Y38" i="1"/>
  <c r="W38" i="1"/>
  <c r="U38" i="1"/>
  <c r="S38" i="1"/>
  <c r="Z67" i="1"/>
  <c r="X67" i="1"/>
  <c r="V67" i="1"/>
  <c r="T67" i="1"/>
  <c r="Z104" i="1"/>
  <c r="X104" i="1"/>
  <c r="T104" i="1"/>
  <c r="Z75" i="1"/>
  <c r="X75" i="1"/>
  <c r="V75" i="1"/>
  <c r="T75" i="1"/>
  <c r="T48" i="1"/>
  <c r="Z38" i="1"/>
  <c r="X38" i="1"/>
  <c r="V38" i="1"/>
  <c r="T38" i="1"/>
  <c r="Y126" i="1"/>
  <c r="W126" i="1"/>
  <c r="U126" i="1"/>
  <c r="S126" i="1"/>
  <c r="Z109" i="1"/>
  <c r="X109" i="1"/>
  <c r="V109" i="1"/>
  <c r="T109" i="1"/>
  <c r="Z45" i="1"/>
  <c r="X45" i="1"/>
  <c r="V45" i="1"/>
  <c r="T45" i="1"/>
  <c r="V104" i="1"/>
  <c r="Z48" i="1"/>
  <c r="X48" i="1"/>
  <c r="V48" i="1"/>
  <c r="Z114" i="1"/>
  <c r="X114" i="1"/>
  <c r="V114" i="1"/>
  <c r="T114" i="1"/>
  <c r="Y114" i="1"/>
  <c r="W114" i="1"/>
  <c r="U114" i="1"/>
  <c r="S114" i="1"/>
  <c r="Z36" i="1"/>
  <c r="X36" i="1"/>
  <c r="V36" i="1"/>
  <c r="T36" i="1"/>
  <c r="Y36" i="1"/>
  <c r="W36" i="1"/>
  <c r="U36" i="1"/>
  <c r="S36" i="1"/>
  <c r="I1252" i="7"/>
  <c r="P1252" i="7" s="1"/>
  <c r="I423" i="7"/>
  <c r="P423" i="7" s="1"/>
  <c r="E702" i="7"/>
  <c r="H1253" i="7"/>
  <c r="I1253" i="7" s="1"/>
  <c r="P1253" i="7" s="1"/>
  <c r="F1815" i="7"/>
  <c r="I466" i="7"/>
  <c r="P466" i="7" s="1"/>
  <c r="I1541" i="7"/>
  <c r="P1541" i="7" s="1"/>
  <c r="I1026" i="7"/>
  <c r="P1026" i="7" s="1"/>
  <c r="H1815" i="7"/>
  <c r="H1833" i="7" s="1"/>
  <c r="W24" i="1"/>
  <c r="S24" i="1"/>
  <c r="V24" i="1"/>
  <c r="Z24" i="1"/>
  <c r="X24" i="1"/>
  <c r="T24" i="1"/>
  <c r="Y24" i="1"/>
  <c r="U24" i="1"/>
  <c r="V147" i="1"/>
  <c r="X63" i="1"/>
  <c r="S63" i="1"/>
  <c r="Z63" i="1"/>
  <c r="V63" i="1"/>
  <c r="Y63" i="1"/>
  <c r="U63" i="1"/>
  <c r="T63" i="1"/>
  <c r="W63" i="1"/>
  <c r="X50" i="1"/>
  <c r="T50" i="1"/>
  <c r="Y50" i="1"/>
  <c r="U50" i="1"/>
  <c r="W50" i="1"/>
  <c r="S50" i="1"/>
  <c r="Z50" i="1"/>
  <c r="V50" i="1"/>
  <c r="Y131" i="1"/>
  <c r="W131" i="1"/>
  <c r="U131" i="1"/>
  <c r="S131" i="1"/>
  <c r="Z19" i="1"/>
  <c r="X19" i="1"/>
  <c r="V19" i="1"/>
  <c r="T19" i="1"/>
  <c r="Z140" i="1"/>
  <c r="X140" i="1"/>
  <c r="V140" i="1"/>
  <c r="T140" i="1"/>
  <c r="W140" i="1"/>
  <c r="S140" i="1"/>
  <c r="Z131" i="1"/>
  <c r="X131" i="1"/>
  <c r="V131" i="1"/>
  <c r="T131" i="1"/>
  <c r="Y19" i="1"/>
  <c r="W19" i="1"/>
  <c r="U19" i="1"/>
  <c r="S19" i="1"/>
  <c r="Y140" i="1"/>
  <c r="U140" i="1"/>
  <c r="Z264" i="1"/>
  <c r="X264" i="1"/>
  <c r="V264" i="1"/>
  <c r="T264" i="1"/>
  <c r="Y264" i="1"/>
  <c r="W264" i="1"/>
  <c r="U264" i="1"/>
  <c r="S264" i="1"/>
  <c r="W12" i="1"/>
  <c r="S12" i="1"/>
  <c r="Y10" i="1"/>
  <c r="U10" i="1"/>
  <c r="Z12" i="1"/>
  <c r="V12" i="1"/>
  <c r="X10" i="1"/>
  <c r="T10" i="1"/>
  <c r="Y12" i="1"/>
  <c r="U12" i="1"/>
  <c r="W10" i="1"/>
  <c r="S10" i="1"/>
  <c r="X12" i="1"/>
  <c r="T12" i="1"/>
  <c r="Z10" i="1"/>
  <c r="V10" i="1"/>
  <c r="V205" i="1"/>
  <c r="Z205" i="1"/>
  <c r="S205" i="1"/>
  <c r="W205" i="1"/>
  <c r="T205" i="1"/>
  <c r="X205" i="1"/>
  <c r="U205" i="1"/>
  <c r="Y205" i="1"/>
  <c r="X130" i="1"/>
  <c r="T130" i="1"/>
  <c r="W130" i="1"/>
  <c r="S130" i="1"/>
  <c r="Z130" i="1"/>
  <c r="V130" i="1"/>
  <c r="Y130" i="1"/>
  <c r="U130" i="1"/>
  <c r="V35" i="1"/>
  <c r="Y35" i="1"/>
  <c r="U35" i="1"/>
  <c r="X35" i="1"/>
  <c r="T35" i="1"/>
  <c r="W35" i="1"/>
  <c r="S35" i="1"/>
  <c r="Z35" i="1"/>
  <c r="Z160" i="1"/>
  <c r="X160" i="1"/>
  <c r="V160" i="1"/>
  <c r="T160" i="1"/>
  <c r="Y160" i="1"/>
  <c r="W160" i="1"/>
  <c r="U160" i="1"/>
  <c r="S160" i="1"/>
  <c r="Z276" i="1"/>
  <c r="X276" i="1"/>
  <c r="V276" i="1"/>
  <c r="T276" i="1"/>
  <c r="Y276" i="1"/>
  <c r="W276" i="1"/>
  <c r="U276" i="1"/>
  <c r="S276" i="1"/>
  <c r="Y174" i="1"/>
  <c r="W174" i="1"/>
  <c r="U174" i="1"/>
  <c r="S174" i="1"/>
  <c r="Y199" i="1"/>
  <c r="W199" i="1"/>
  <c r="U199" i="1"/>
  <c r="S199" i="1"/>
  <c r="Z199" i="1"/>
  <c r="X199" i="1"/>
  <c r="V199" i="1"/>
  <c r="T199" i="1"/>
  <c r="Z174" i="1"/>
  <c r="X174" i="1"/>
  <c r="V174" i="1"/>
  <c r="T174" i="1"/>
  <c r="Y23" i="1"/>
  <c r="W23" i="1"/>
  <c r="U23" i="1"/>
  <c r="S23" i="1"/>
  <c r="Z23" i="1"/>
  <c r="X23" i="1"/>
  <c r="V23" i="1"/>
  <c r="T23" i="1"/>
  <c r="X138" i="1"/>
  <c r="T138" i="1"/>
  <c r="Z66" i="1"/>
  <c r="V66" i="1"/>
  <c r="X55" i="1"/>
  <c r="T55" i="1"/>
  <c r="Z82" i="1"/>
  <c r="V82" i="1"/>
  <c r="X25" i="1"/>
  <c r="T25" i="1"/>
  <c r="Z128" i="1"/>
  <c r="V128" i="1"/>
  <c r="X33" i="1"/>
  <c r="T33" i="1"/>
  <c r="X81" i="1"/>
  <c r="T81" i="1"/>
  <c r="Z41" i="1"/>
  <c r="V41" i="1"/>
  <c r="S66" i="1"/>
  <c r="S82" i="1"/>
  <c r="U25" i="1"/>
  <c r="W128" i="1"/>
  <c r="Y33" i="1"/>
  <c r="Y81" i="1"/>
  <c r="S41" i="1"/>
  <c r="W138" i="1"/>
  <c r="S138" i="1"/>
  <c r="Y66" i="1"/>
  <c r="U66" i="1"/>
  <c r="W55" i="1"/>
  <c r="S55" i="1"/>
  <c r="Y82" i="1"/>
  <c r="U82" i="1"/>
  <c r="W25" i="1"/>
  <c r="S25" i="1"/>
  <c r="Y128" i="1"/>
  <c r="U128" i="1"/>
  <c r="W33" i="1"/>
  <c r="S33" i="1"/>
  <c r="W81" i="1"/>
  <c r="S81" i="1"/>
  <c r="Y41" i="1"/>
  <c r="U41" i="1"/>
  <c r="Z138" i="1"/>
  <c r="V138" i="1"/>
  <c r="X66" i="1"/>
  <c r="T66" i="1"/>
  <c r="Z55" i="1"/>
  <c r="V55" i="1"/>
  <c r="X82" i="1"/>
  <c r="T82" i="1"/>
  <c r="Z25" i="1"/>
  <c r="V25" i="1"/>
  <c r="X128" i="1"/>
  <c r="T128" i="1"/>
  <c r="Z33" i="1"/>
  <c r="V33" i="1"/>
  <c r="Z81" i="1"/>
  <c r="V81" i="1"/>
  <c r="X41" i="1"/>
  <c r="T41" i="1"/>
  <c r="Y138" i="1"/>
  <c r="U138" i="1"/>
  <c r="W66" i="1"/>
  <c r="Y55" i="1"/>
  <c r="U55" i="1"/>
  <c r="W82" i="1"/>
  <c r="Y25" i="1"/>
  <c r="S128" i="1"/>
  <c r="U33" i="1"/>
  <c r="U81" i="1"/>
  <c r="W41" i="1"/>
  <c r="W216" i="1"/>
  <c r="S216" i="1"/>
  <c r="Y91" i="1"/>
  <c r="U91" i="1"/>
  <c r="X91" i="1"/>
  <c r="T91" i="1"/>
  <c r="U216" i="1"/>
  <c r="S91" i="1"/>
  <c r="T216" i="1"/>
  <c r="V91" i="1"/>
  <c r="Z216" i="1"/>
  <c r="V216" i="1"/>
  <c r="Y216" i="1"/>
  <c r="W91" i="1"/>
  <c r="X216" i="1"/>
  <c r="Z91" i="1"/>
  <c r="Y269" i="1"/>
  <c r="U269" i="1"/>
  <c r="W269" i="1"/>
  <c r="S269" i="1"/>
  <c r="X269" i="1"/>
  <c r="V269" i="1"/>
  <c r="T269" i="1"/>
  <c r="Z269" i="1"/>
  <c r="W236" i="1"/>
  <c r="S236" i="1"/>
  <c r="Y182" i="1"/>
  <c r="U182" i="1"/>
  <c r="W80" i="1"/>
  <c r="S80" i="1"/>
  <c r="Y232" i="1"/>
  <c r="U232" i="1"/>
  <c r="W147" i="1"/>
  <c r="S147" i="1"/>
  <c r="Y37" i="1"/>
  <c r="U37" i="1"/>
  <c r="W175" i="1"/>
  <c r="S175" i="1"/>
  <c r="Y30" i="1"/>
  <c r="U30" i="1"/>
  <c r="W245" i="1"/>
  <c r="S245" i="1"/>
  <c r="Y224" i="1"/>
  <c r="U224" i="1"/>
  <c r="Z236" i="1"/>
  <c r="V236" i="1"/>
  <c r="X182" i="1"/>
  <c r="T182" i="1"/>
  <c r="Z80" i="1"/>
  <c r="V80" i="1"/>
  <c r="X232" i="1"/>
  <c r="T232" i="1"/>
  <c r="Z147" i="1"/>
  <c r="X37" i="1"/>
  <c r="T37" i="1"/>
  <c r="Z175" i="1"/>
  <c r="V175" i="1"/>
  <c r="X30" i="1"/>
  <c r="T30" i="1"/>
  <c r="Z245" i="1"/>
  <c r="V245" i="1"/>
  <c r="X224" i="1"/>
  <c r="T224" i="1"/>
  <c r="Y236" i="1"/>
  <c r="U236" i="1"/>
  <c r="W182" i="1"/>
  <c r="S182" i="1"/>
  <c r="Y80" i="1"/>
  <c r="U80" i="1"/>
  <c r="W232" i="1"/>
  <c r="S232" i="1"/>
  <c r="Y147" i="1"/>
  <c r="U147" i="1"/>
  <c r="W37" i="1"/>
  <c r="S37" i="1"/>
  <c r="Y175" i="1"/>
  <c r="U175" i="1"/>
  <c r="W30" i="1"/>
  <c r="S30" i="1"/>
  <c r="Y245" i="1"/>
  <c r="U245" i="1"/>
  <c r="W224" i="1"/>
  <c r="S224" i="1"/>
  <c r="X236" i="1"/>
  <c r="T236" i="1"/>
  <c r="Z182" i="1"/>
  <c r="V182" i="1"/>
  <c r="X80" i="1"/>
  <c r="T80" i="1"/>
  <c r="Z232" i="1"/>
  <c r="V232" i="1"/>
  <c r="X147" i="1"/>
  <c r="T147" i="1"/>
  <c r="Z37" i="1"/>
  <c r="V37" i="1"/>
  <c r="X175" i="1"/>
  <c r="T175" i="1"/>
  <c r="Z30" i="1"/>
  <c r="V30" i="1"/>
  <c r="X245" i="1"/>
  <c r="T245" i="1"/>
  <c r="Z224" i="1"/>
  <c r="V224" i="1"/>
  <c r="X315" i="1"/>
  <c r="T315" i="1"/>
  <c r="Z118" i="1"/>
  <c r="V118" i="1"/>
  <c r="T118" i="1"/>
  <c r="U315" i="1"/>
  <c r="W118" i="1"/>
  <c r="W315" i="1"/>
  <c r="S315" i="1"/>
  <c r="Y118" i="1"/>
  <c r="U118" i="1"/>
  <c r="Z315" i="1"/>
  <c r="V315" i="1"/>
  <c r="X118" i="1"/>
  <c r="Y315" i="1"/>
  <c r="S118" i="1"/>
  <c r="W157" i="1"/>
  <c r="S157" i="1"/>
  <c r="Y187" i="1"/>
  <c r="U187" i="1"/>
  <c r="W145" i="1"/>
  <c r="S145" i="1"/>
  <c r="W195" i="1"/>
  <c r="S195" i="1"/>
  <c r="Y259" i="1"/>
  <c r="U259" i="1"/>
  <c r="Y44" i="1"/>
  <c r="U44" i="1"/>
  <c r="W136" i="1"/>
  <c r="S136" i="1"/>
  <c r="W240" i="1"/>
  <c r="S240" i="1"/>
  <c r="Y165" i="1"/>
  <c r="U165" i="1"/>
  <c r="W167" i="1"/>
  <c r="S167" i="1"/>
  <c r="Z157" i="1"/>
  <c r="V157" i="1"/>
  <c r="X187" i="1"/>
  <c r="T187" i="1"/>
  <c r="Z145" i="1"/>
  <c r="V145" i="1"/>
  <c r="Z195" i="1"/>
  <c r="V195" i="1"/>
  <c r="X259" i="1"/>
  <c r="T259" i="1"/>
  <c r="X44" i="1"/>
  <c r="T44" i="1"/>
  <c r="Z136" i="1"/>
  <c r="V136" i="1"/>
  <c r="Z240" i="1"/>
  <c r="V240" i="1"/>
  <c r="X165" i="1"/>
  <c r="T165" i="1"/>
  <c r="Z167" i="1"/>
  <c r="V167" i="1"/>
  <c r="Y157" i="1"/>
  <c r="U157" i="1"/>
  <c r="W187" i="1"/>
  <c r="S187" i="1"/>
  <c r="Y145" i="1"/>
  <c r="U145" i="1"/>
  <c r="Y195" i="1"/>
  <c r="U195" i="1"/>
  <c r="W259" i="1"/>
  <c r="S259" i="1"/>
  <c r="W44" i="1"/>
  <c r="S44" i="1"/>
  <c r="Y136" i="1"/>
  <c r="U136" i="1"/>
  <c r="Y240" i="1"/>
  <c r="U240" i="1"/>
  <c r="W165" i="1"/>
  <c r="S165" i="1"/>
  <c r="Y167" i="1"/>
  <c r="U167" i="1"/>
  <c r="X157" i="1"/>
  <c r="T157" i="1"/>
  <c r="Z187" i="1"/>
  <c r="V187" i="1"/>
  <c r="X145" i="1"/>
  <c r="T145" i="1"/>
  <c r="X195" i="1"/>
  <c r="T195" i="1"/>
  <c r="Z259" i="1"/>
  <c r="V259" i="1"/>
  <c r="Z44" i="1"/>
  <c r="V44" i="1"/>
  <c r="X136" i="1"/>
  <c r="T136" i="1"/>
  <c r="X240" i="1"/>
  <c r="T240" i="1"/>
  <c r="Z165" i="1"/>
  <c r="V165" i="1"/>
  <c r="X167" i="1"/>
  <c r="T167" i="1"/>
  <c r="AC7" i="1"/>
  <c r="AC32" i="1"/>
  <c r="AC154" i="1"/>
  <c r="Y162" i="1"/>
  <c r="U162" i="1"/>
  <c r="X162" i="1"/>
  <c r="T162" i="1"/>
  <c r="S162" i="1"/>
  <c r="Z162" i="1"/>
  <c r="V162" i="1"/>
  <c r="W162" i="1"/>
  <c r="X117" i="1"/>
  <c r="T117" i="1"/>
  <c r="S117" i="1"/>
  <c r="V117" i="1"/>
  <c r="Y117" i="1"/>
  <c r="U117" i="1"/>
  <c r="W117" i="1"/>
  <c r="Z117" i="1"/>
  <c r="X166" i="1"/>
  <c r="T166" i="1"/>
  <c r="W166" i="1"/>
  <c r="S166" i="1"/>
  <c r="Z166" i="1"/>
  <c r="V166" i="1"/>
  <c r="Y166" i="1"/>
  <c r="U166" i="1"/>
  <c r="W11" i="1"/>
  <c r="S11" i="1"/>
  <c r="Z105" i="1"/>
  <c r="V105" i="1"/>
  <c r="Z11" i="1"/>
  <c r="V11" i="1"/>
  <c r="Y105" i="1"/>
  <c r="U105" i="1"/>
  <c r="Y11" i="1"/>
  <c r="U11" i="1"/>
  <c r="X105" i="1"/>
  <c r="T105" i="1"/>
  <c r="X11" i="1"/>
  <c r="T11" i="1"/>
  <c r="W105" i="1"/>
  <c r="S105" i="1"/>
  <c r="AD105" i="1" s="1"/>
  <c r="AC16" i="1"/>
  <c r="AC58" i="1"/>
  <c r="AC34" i="1"/>
  <c r="AC169" i="1"/>
  <c r="AC73" i="1"/>
  <c r="AC94" i="1"/>
  <c r="AC113" i="1"/>
  <c r="AC211" i="1"/>
  <c r="AC76" i="1"/>
  <c r="AC97" i="1"/>
  <c r="AC153" i="1"/>
  <c r="AC100" i="1"/>
  <c r="AC83" i="1"/>
  <c r="AC309" i="1"/>
  <c r="AC241" i="1"/>
  <c r="AC297" i="1"/>
  <c r="AC212" i="1"/>
  <c r="AC230" i="1"/>
  <c r="AC217" i="1"/>
  <c r="AC265" i="1"/>
  <c r="AC173" i="1"/>
  <c r="AC225" i="1"/>
  <c r="AC127" i="1"/>
  <c r="AC280" i="1"/>
  <c r="AC260" i="1"/>
  <c r="AC176" i="1"/>
  <c r="AC197" i="1"/>
  <c r="AC206" i="1"/>
  <c r="AC152" i="1"/>
  <c r="AC219" i="1"/>
  <c r="AC251" i="1"/>
  <c r="AC183" i="1"/>
  <c r="AC302" i="1"/>
  <c r="AC235" i="1"/>
  <c r="AC209" i="1"/>
  <c r="AC221" i="1"/>
  <c r="AC252" i="1"/>
  <c r="AC255" i="1"/>
  <c r="AC288" i="1"/>
  <c r="AC148" i="1"/>
  <c r="AC198" i="1"/>
  <c r="AC254" i="1"/>
  <c r="AC190" i="1"/>
  <c r="AC150" i="1"/>
  <c r="AC262" i="1"/>
  <c r="AC208" i="1"/>
  <c r="AC168" i="1"/>
  <c r="AC310" i="1"/>
  <c r="AC272" i="1"/>
  <c r="AC273" i="1"/>
  <c r="AC274" i="1"/>
  <c r="AC316" i="1"/>
  <c r="AC308" i="1"/>
  <c r="AC298" i="1"/>
  <c r="AC328" i="1"/>
  <c r="AC329" i="1"/>
  <c r="AC6" i="1"/>
  <c r="AC8" i="1"/>
  <c r="AC110" i="1"/>
  <c r="AC42" i="1"/>
  <c r="AC43" i="1"/>
  <c r="AC64" i="1"/>
  <c r="AC40" i="1"/>
  <c r="AC170" i="1"/>
  <c r="AC146" i="1"/>
  <c r="AC172" i="1"/>
  <c r="AC201" i="1"/>
  <c r="AC85" i="1"/>
  <c r="AC261" i="1"/>
  <c r="AC192" i="1"/>
  <c r="AC93" i="1"/>
  <c r="AC200" i="1"/>
  <c r="AC313" i="1"/>
  <c r="AC96" i="1"/>
  <c r="AC133" i="1"/>
  <c r="AC52" i="1"/>
  <c r="AC226" i="1"/>
  <c r="AC287" i="1"/>
  <c r="AC214" i="1"/>
  <c r="AC20" i="1"/>
  <c r="AC62" i="1"/>
  <c r="AC18" i="1"/>
  <c r="AC196" i="1"/>
  <c r="AC139" i="1"/>
  <c r="AC278" i="1"/>
  <c r="AC161" i="1"/>
  <c r="AC286" i="1"/>
  <c r="AC268" i="1"/>
  <c r="AC134" i="1"/>
  <c r="AC204" i="1"/>
  <c r="AC203" i="1"/>
  <c r="AC244" i="1"/>
  <c r="AC149" i="1"/>
  <c r="AC233" i="1"/>
  <c r="AC124" i="1"/>
  <c r="AC267" i="1"/>
  <c r="AC292" i="1"/>
  <c r="AC95" i="1"/>
  <c r="AC155" i="1"/>
  <c r="AC283" i="1"/>
  <c r="AC295" i="1"/>
  <c r="AC184" i="1"/>
  <c r="AC299" i="1"/>
  <c r="AC163" i="1"/>
  <c r="AC319" i="1"/>
  <c r="AC317" i="1"/>
  <c r="AC321" i="1"/>
  <c r="AC237" i="1"/>
  <c r="AC275" i="1"/>
  <c r="AC301" i="1"/>
  <c r="AC17" i="1"/>
  <c r="AC213" i="1"/>
  <c r="AC5" i="1"/>
  <c r="AC14" i="1"/>
  <c r="AC31" i="1"/>
  <c r="AC29" i="1"/>
  <c r="AC191" i="1"/>
  <c r="AC13" i="1"/>
  <c r="AC171" i="1"/>
  <c r="AC22" i="1"/>
  <c r="AC106" i="1"/>
  <c r="AC15" i="1"/>
  <c r="AC54" i="1"/>
  <c r="AC21" i="1"/>
  <c r="AC56" i="1"/>
  <c r="AC116" i="1"/>
  <c r="AC79" i="1"/>
  <c r="AC84" i="1"/>
  <c r="AC180" i="1"/>
  <c r="AC122" i="1"/>
  <c r="AC231" i="1"/>
  <c r="AC27" i="1"/>
  <c r="AC186" i="1"/>
  <c r="AC159" i="1"/>
  <c r="AC247" i="1"/>
  <c r="AC229" i="1"/>
  <c r="AC227" i="1"/>
  <c r="AC156" i="1"/>
  <c r="AC253" i="1"/>
  <c r="AC185" i="1"/>
  <c r="AC285" i="1"/>
  <c r="AC193" i="1"/>
  <c r="AC65" i="1"/>
  <c r="AC178" i="1"/>
  <c r="AC188" i="1"/>
  <c r="AC263" i="1"/>
  <c r="AC266" i="1"/>
  <c r="AC258" i="1"/>
  <c r="AC220" i="1"/>
  <c r="AC290" i="1"/>
  <c r="AC222" i="1"/>
  <c r="AC143" i="1"/>
  <c r="AC215" i="1"/>
  <c r="AC238" i="1"/>
  <c r="AC111" i="1"/>
  <c r="AC256" i="1"/>
  <c r="AC320" i="1"/>
  <c r="AC303" i="1"/>
  <c r="AC144" i="1"/>
  <c r="AC223" i="1"/>
  <c r="AC293" i="1"/>
  <c r="AC239" i="1"/>
  <c r="AC307" i="1"/>
  <c r="AC305" i="1"/>
  <c r="AC179" i="1"/>
  <c r="AC132" i="1"/>
  <c r="AC164" i="1"/>
  <c r="AC57" i="1"/>
  <c r="AC324" i="1"/>
  <c r="AC306" i="1"/>
  <c r="AC271" i="1"/>
  <c r="AC318" i="1"/>
  <c r="AC314" i="1"/>
  <c r="AC194" i="1"/>
  <c r="AC312" i="1"/>
  <c r="AC51" i="1"/>
  <c r="AC88" i="1"/>
  <c r="AC9" i="1"/>
  <c r="AC60" i="1"/>
  <c r="AC77" i="1"/>
  <c r="AC59" i="1"/>
  <c r="AC115" i="1"/>
  <c r="AC78" i="1"/>
  <c r="AC70" i="1"/>
  <c r="AC189" i="1"/>
  <c r="AC86" i="1"/>
  <c r="AC102" i="1"/>
  <c r="AC49" i="1"/>
  <c r="AC202" i="1"/>
  <c r="AC181" i="1"/>
  <c r="AC28" i="1"/>
  <c r="AC284" i="1"/>
  <c r="AC228" i="1"/>
  <c r="AC125" i="1"/>
  <c r="AC92" i="1"/>
  <c r="AC177" i="1"/>
  <c r="AC242" i="1"/>
  <c r="AC277" i="1"/>
  <c r="AC249" i="1"/>
  <c r="AC158" i="1"/>
  <c r="AC322" i="1"/>
  <c r="AC218" i="1"/>
  <c r="AC210" i="1"/>
  <c r="AC207" i="1"/>
  <c r="AC248" i="1"/>
  <c r="AC250" i="1"/>
  <c r="AC234" i="1"/>
  <c r="AC257" i="1"/>
  <c r="AC98" i="1"/>
  <c r="AC123" i="1"/>
  <c r="AC246" i="1"/>
  <c r="AC281" i="1"/>
  <c r="AC291" i="1"/>
  <c r="AC279" i="1"/>
  <c r="AC327" i="1"/>
  <c r="AC270" i="1"/>
  <c r="AC325" i="1"/>
  <c r="AC326" i="1"/>
  <c r="AC300" i="1"/>
  <c r="AC294" i="1"/>
  <c r="AC296" i="1"/>
  <c r="AC289" i="1"/>
  <c r="AC282" i="1"/>
  <c r="AC26" i="1"/>
  <c r="AC304" i="1"/>
  <c r="AC120" i="1"/>
  <c r="AC323" i="1"/>
  <c r="AC311" i="1"/>
  <c r="AC74" i="1"/>
  <c r="AQ3" i="1"/>
  <c r="Y312" i="1"/>
  <c r="W312" i="1"/>
  <c r="U312" i="1"/>
  <c r="S312" i="1"/>
  <c r="Z74" i="1"/>
  <c r="X74" i="1"/>
  <c r="V74" i="1"/>
  <c r="T74" i="1"/>
  <c r="Z329" i="1"/>
  <c r="X329" i="1"/>
  <c r="V329" i="1"/>
  <c r="T329" i="1"/>
  <c r="Y194" i="1"/>
  <c r="W194" i="1"/>
  <c r="U194" i="1"/>
  <c r="S194" i="1"/>
  <c r="Z311" i="1"/>
  <c r="X311" i="1"/>
  <c r="V311" i="1"/>
  <c r="T311" i="1"/>
  <c r="Y301" i="1"/>
  <c r="W301" i="1"/>
  <c r="U301" i="1"/>
  <c r="S301" i="1"/>
  <c r="Y314" i="1"/>
  <c r="W314" i="1"/>
  <c r="U314" i="1"/>
  <c r="S314" i="1"/>
  <c r="Y275" i="1"/>
  <c r="W275" i="1"/>
  <c r="U275" i="1"/>
  <c r="S275" i="1"/>
  <c r="Z328" i="1"/>
  <c r="X328" i="1"/>
  <c r="V328" i="1"/>
  <c r="T328" i="1"/>
  <c r="Y318" i="1"/>
  <c r="W318" i="1"/>
  <c r="U318" i="1"/>
  <c r="S318" i="1"/>
  <c r="Z323" i="1"/>
  <c r="X323" i="1"/>
  <c r="V323" i="1"/>
  <c r="T323" i="1"/>
  <c r="Y271" i="1"/>
  <c r="W271" i="1"/>
  <c r="U271" i="1"/>
  <c r="S271" i="1"/>
  <c r="Z120" i="1"/>
  <c r="Z312" i="1"/>
  <c r="X312" i="1"/>
  <c r="V312" i="1"/>
  <c r="T312" i="1"/>
  <c r="Y74" i="1"/>
  <c r="W74" i="1"/>
  <c r="U74" i="1"/>
  <c r="S74" i="1"/>
  <c r="Y329" i="1"/>
  <c r="W329" i="1"/>
  <c r="U329" i="1"/>
  <c r="S329" i="1"/>
  <c r="Z194" i="1"/>
  <c r="X194" i="1"/>
  <c r="V194" i="1"/>
  <c r="T194" i="1"/>
  <c r="Y311" i="1"/>
  <c r="W311" i="1"/>
  <c r="U311" i="1"/>
  <c r="S311" i="1"/>
  <c r="Z301" i="1"/>
  <c r="X301" i="1"/>
  <c r="V301" i="1"/>
  <c r="T301" i="1"/>
  <c r="Z314" i="1"/>
  <c r="X314" i="1"/>
  <c r="V314" i="1"/>
  <c r="T314" i="1"/>
  <c r="Z275" i="1"/>
  <c r="X275" i="1"/>
  <c r="V275" i="1"/>
  <c r="T275" i="1"/>
  <c r="Y328" i="1"/>
  <c r="W328" i="1"/>
  <c r="U328" i="1"/>
  <c r="S328" i="1"/>
  <c r="Z318" i="1"/>
  <c r="X318" i="1"/>
  <c r="V318" i="1"/>
  <c r="T318" i="1"/>
  <c r="Y323" i="1"/>
  <c r="W323" i="1"/>
  <c r="U323" i="1"/>
  <c r="S323" i="1"/>
  <c r="Z271" i="1"/>
  <c r="X271" i="1"/>
  <c r="V271" i="1"/>
  <c r="T271" i="1"/>
  <c r="Y120" i="1"/>
  <c r="W120" i="1"/>
  <c r="U120" i="1"/>
  <c r="S120" i="1"/>
  <c r="Y298" i="1"/>
  <c r="W298" i="1"/>
  <c r="U298" i="1"/>
  <c r="S298" i="1"/>
  <c r="Y304" i="1"/>
  <c r="W304" i="1"/>
  <c r="U304" i="1"/>
  <c r="S304" i="1"/>
  <c r="Y308" i="1"/>
  <c r="W308" i="1"/>
  <c r="U308" i="1"/>
  <c r="S308" i="1"/>
  <c r="Z306" i="1"/>
  <c r="X306" i="1"/>
  <c r="V306" i="1"/>
  <c r="T306" i="1"/>
  <c r="Y26" i="1"/>
  <c r="W26" i="1"/>
  <c r="U26" i="1"/>
  <c r="S26" i="1"/>
  <c r="Z237" i="1"/>
  <c r="X237" i="1"/>
  <c r="V237" i="1"/>
  <c r="T237" i="1"/>
  <c r="Y282" i="1"/>
  <c r="W282" i="1"/>
  <c r="U282" i="1"/>
  <c r="S282" i="1"/>
  <c r="Z321" i="1"/>
  <c r="X321" i="1"/>
  <c r="V321" i="1"/>
  <c r="T321" i="1"/>
  <c r="Y316" i="1"/>
  <c r="W316" i="1"/>
  <c r="U316" i="1"/>
  <c r="S316" i="1"/>
  <c r="Z324" i="1"/>
  <c r="X324" i="1"/>
  <c r="V324" i="1"/>
  <c r="T324" i="1"/>
  <c r="Y289" i="1"/>
  <c r="W289" i="1"/>
  <c r="U289" i="1"/>
  <c r="S289" i="1"/>
  <c r="Z317" i="1"/>
  <c r="X317" i="1"/>
  <c r="V317" i="1"/>
  <c r="T317" i="1"/>
  <c r="Y274" i="1"/>
  <c r="W274" i="1"/>
  <c r="U274" i="1"/>
  <c r="S274" i="1"/>
  <c r="Z57" i="1"/>
  <c r="X57" i="1"/>
  <c r="V57" i="1"/>
  <c r="T57" i="1"/>
  <c r="Y296" i="1"/>
  <c r="W296" i="1"/>
  <c r="U296" i="1"/>
  <c r="S296" i="1"/>
  <c r="Z319" i="1"/>
  <c r="X319" i="1"/>
  <c r="V319" i="1"/>
  <c r="T319" i="1"/>
  <c r="X120" i="1"/>
  <c r="V120" i="1"/>
  <c r="T120" i="1"/>
  <c r="Z298" i="1"/>
  <c r="X298" i="1"/>
  <c r="V298" i="1"/>
  <c r="T298" i="1"/>
  <c r="Z304" i="1"/>
  <c r="X304" i="1"/>
  <c r="V304" i="1"/>
  <c r="T304" i="1"/>
  <c r="Z308" i="1"/>
  <c r="X308" i="1"/>
  <c r="V308" i="1"/>
  <c r="T308" i="1"/>
  <c r="Y306" i="1"/>
  <c r="W306" i="1"/>
  <c r="U306" i="1"/>
  <c r="S306" i="1"/>
  <c r="Z26" i="1"/>
  <c r="X26" i="1"/>
  <c r="V26" i="1"/>
  <c r="T26" i="1"/>
  <c r="Y237" i="1"/>
  <c r="W237" i="1"/>
  <c r="U237" i="1"/>
  <c r="S237" i="1"/>
  <c r="Z282" i="1"/>
  <c r="X282" i="1"/>
  <c r="V282" i="1"/>
  <c r="T282" i="1"/>
  <c r="Y321" i="1"/>
  <c r="W321" i="1"/>
  <c r="U321" i="1"/>
  <c r="S321" i="1"/>
  <c r="Z316" i="1"/>
  <c r="X316" i="1"/>
  <c r="V316" i="1"/>
  <c r="T316" i="1"/>
  <c r="Y324" i="1"/>
  <c r="W324" i="1"/>
  <c r="U324" i="1"/>
  <c r="S324" i="1"/>
  <c r="Z289" i="1"/>
  <c r="X289" i="1"/>
  <c r="V289" i="1"/>
  <c r="T289" i="1"/>
  <c r="Y317" i="1"/>
  <c r="W317" i="1"/>
  <c r="U317" i="1"/>
  <c r="S317" i="1"/>
  <c r="Z274" i="1"/>
  <c r="X274" i="1"/>
  <c r="V274" i="1"/>
  <c r="T274" i="1"/>
  <c r="Y57" i="1"/>
  <c r="W57" i="1"/>
  <c r="S57" i="1"/>
  <c r="Z296" i="1"/>
  <c r="V296" i="1"/>
  <c r="W319" i="1"/>
  <c r="S319" i="1"/>
  <c r="Y294" i="1"/>
  <c r="W294" i="1"/>
  <c r="U294" i="1"/>
  <c r="S294" i="1"/>
  <c r="Z163" i="1"/>
  <c r="X163" i="1"/>
  <c r="V163" i="1"/>
  <c r="T163" i="1"/>
  <c r="Y273" i="1"/>
  <c r="W273" i="1"/>
  <c r="U273" i="1"/>
  <c r="S273" i="1"/>
  <c r="Z164" i="1"/>
  <c r="X164" i="1"/>
  <c r="V164" i="1"/>
  <c r="T164" i="1"/>
  <c r="Y300" i="1"/>
  <c r="W300" i="1"/>
  <c r="U300" i="1"/>
  <c r="S300" i="1"/>
  <c r="Z299" i="1"/>
  <c r="X299" i="1"/>
  <c r="V299" i="1"/>
  <c r="T299" i="1"/>
  <c r="Z132" i="1"/>
  <c r="X132" i="1"/>
  <c r="V132" i="1"/>
  <c r="T132" i="1"/>
  <c r="Y326" i="1"/>
  <c r="W326" i="1"/>
  <c r="U326" i="1"/>
  <c r="S326" i="1"/>
  <c r="Y272" i="1"/>
  <c r="W272" i="1"/>
  <c r="U272" i="1"/>
  <c r="S272" i="1"/>
  <c r="Z179" i="1"/>
  <c r="X179" i="1"/>
  <c r="V179" i="1"/>
  <c r="T179" i="1"/>
  <c r="Y325" i="1"/>
  <c r="W325" i="1"/>
  <c r="U325" i="1"/>
  <c r="S325" i="1"/>
  <c r="Z305" i="1"/>
  <c r="X305" i="1"/>
  <c r="V305" i="1"/>
  <c r="T305" i="1"/>
  <c r="Y270" i="1"/>
  <c r="W270" i="1"/>
  <c r="U270" i="1"/>
  <c r="S270" i="1"/>
  <c r="Z184" i="1"/>
  <c r="X184" i="1"/>
  <c r="V184" i="1"/>
  <c r="T184" i="1"/>
  <c r="Y310" i="1"/>
  <c r="W310" i="1"/>
  <c r="U310" i="1"/>
  <c r="S310" i="1"/>
  <c r="Z307" i="1"/>
  <c r="X307" i="1"/>
  <c r="V307" i="1"/>
  <c r="T307" i="1"/>
  <c r="Y327" i="1"/>
  <c r="W327" i="1"/>
  <c r="U327" i="1"/>
  <c r="S327" i="1"/>
  <c r="Z295" i="1"/>
  <c r="X295" i="1"/>
  <c r="V295" i="1"/>
  <c r="T295" i="1"/>
  <c r="Y279" i="1"/>
  <c r="W279" i="1"/>
  <c r="U279" i="1"/>
  <c r="S279" i="1"/>
  <c r="Z239" i="1"/>
  <c r="X239" i="1"/>
  <c r="V239" i="1"/>
  <c r="T239" i="1"/>
  <c r="Y291" i="1"/>
  <c r="W291" i="1"/>
  <c r="U291" i="1"/>
  <c r="S291" i="1"/>
  <c r="Z283" i="1"/>
  <c r="X283" i="1"/>
  <c r="V283" i="1"/>
  <c r="T283" i="1"/>
  <c r="Y168" i="1"/>
  <c r="W168" i="1"/>
  <c r="U168" i="1"/>
  <c r="S168" i="1"/>
  <c r="Z155" i="1"/>
  <c r="X155" i="1"/>
  <c r="V155" i="1"/>
  <c r="T155" i="1"/>
  <c r="Y208" i="1"/>
  <c r="W208" i="1"/>
  <c r="U208" i="1"/>
  <c r="S208" i="1"/>
  <c r="Z293" i="1"/>
  <c r="X293" i="1"/>
  <c r="V293" i="1"/>
  <c r="T293" i="1"/>
  <c r="Z95" i="1"/>
  <c r="X95" i="1"/>
  <c r="V95" i="1"/>
  <c r="T95" i="1"/>
  <c r="Y262" i="1"/>
  <c r="W262" i="1"/>
  <c r="U262" i="1"/>
  <c r="S262" i="1"/>
  <c r="Z223" i="1"/>
  <c r="X223" i="1"/>
  <c r="V223" i="1"/>
  <c r="T223" i="1"/>
  <c r="Y281" i="1"/>
  <c r="U57" i="1"/>
  <c r="X296" i="1"/>
  <c r="T296" i="1"/>
  <c r="Y319" i="1"/>
  <c r="U319" i="1"/>
  <c r="Z294" i="1"/>
  <c r="X294" i="1"/>
  <c r="V294" i="1"/>
  <c r="T294" i="1"/>
  <c r="Y163" i="1"/>
  <c r="W163" i="1"/>
  <c r="U163" i="1"/>
  <c r="S163" i="1"/>
  <c r="Z273" i="1"/>
  <c r="X273" i="1"/>
  <c r="V273" i="1"/>
  <c r="T273" i="1"/>
  <c r="Y164" i="1"/>
  <c r="W164" i="1"/>
  <c r="U164" i="1"/>
  <c r="S164" i="1"/>
  <c r="Z300" i="1"/>
  <c r="X300" i="1"/>
  <c r="V300" i="1"/>
  <c r="T300" i="1"/>
  <c r="Y299" i="1"/>
  <c r="W299" i="1"/>
  <c r="U299" i="1"/>
  <c r="S299" i="1"/>
  <c r="Y132" i="1"/>
  <c r="W132" i="1"/>
  <c r="U132" i="1"/>
  <c r="S132" i="1"/>
  <c r="Z326" i="1"/>
  <c r="X326" i="1"/>
  <c r="V326" i="1"/>
  <c r="T326" i="1"/>
  <c r="Z272" i="1"/>
  <c r="X272" i="1"/>
  <c r="V272" i="1"/>
  <c r="T272" i="1"/>
  <c r="Y179" i="1"/>
  <c r="W179" i="1"/>
  <c r="U179" i="1"/>
  <c r="S179" i="1"/>
  <c r="Z325" i="1"/>
  <c r="X325" i="1"/>
  <c r="V325" i="1"/>
  <c r="T325" i="1"/>
  <c r="Y305" i="1"/>
  <c r="W305" i="1"/>
  <c r="U305" i="1"/>
  <c r="S305" i="1"/>
  <c r="Z270" i="1"/>
  <c r="X270" i="1"/>
  <c r="V270" i="1"/>
  <c r="T270" i="1"/>
  <c r="Y184" i="1"/>
  <c r="W184" i="1"/>
  <c r="U184" i="1"/>
  <c r="S184" i="1"/>
  <c r="Z310" i="1"/>
  <c r="X310" i="1"/>
  <c r="V310" i="1"/>
  <c r="T310" i="1"/>
  <c r="Y307" i="1"/>
  <c r="W307" i="1"/>
  <c r="U307" i="1"/>
  <c r="S307" i="1"/>
  <c r="Z327" i="1"/>
  <c r="X327" i="1"/>
  <c r="V327" i="1"/>
  <c r="T327" i="1"/>
  <c r="Y295" i="1"/>
  <c r="W295" i="1"/>
  <c r="U295" i="1"/>
  <c r="S295" i="1"/>
  <c r="Z279" i="1"/>
  <c r="X279" i="1"/>
  <c r="V279" i="1"/>
  <c r="T279" i="1"/>
  <c r="Y239" i="1"/>
  <c r="W239" i="1"/>
  <c r="U239" i="1"/>
  <c r="S239" i="1"/>
  <c r="Z291" i="1"/>
  <c r="X291" i="1"/>
  <c r="V291" i="1"/>
  <c r="T291" i="1"/>
  <c r="Y283" i="1"/>
  <c r="W283" i="1"/>
  <c r="U283" i="1"/>
  <c r="S283" i="1"/>
  <c r="Z168" i="1"/>
  <c r="X168" i="1"/>
  <c r="V168" i="1"/>
  <c r="T168" i="1"/>
  <c r="Y155" i="1"/>
  <c r="W155" i="1"/>
  <c r="U155" i="1"/>
  <c r="S155" i="1"/>
  <c r="Z208" i="1"/>
  <c r="X208" i="1"/>
  <c r="V208" i="1"/>
  <c r="T208" i="1"/>
  <c r="Y293" i="1"/>
  <c r="W293" i="1"/>
  <c r="S293" i="1"/>
  <c r="W95" i="1"/>
  <c r="S95" i="1"/>
  <c r="Z262" i="1"/>
  <c r="V262" i="1"/>
  <c r="W223" i="1"/>
  <c r="S223" i="1"/>
  <c r="Z281" i="1"/>
  <c r="W281" i="1"/>
  <c r="U281" i="1"/>
  <c r="S281" i="1"/>
  <c r="Y150" i="1"/>
  <c r="W150" i="1"/>
  <c r="U150" i="1"/>
  <c r="S150" i="1"/>
  <c r="Z144" i="1"/>
  <c r="X144" i="1"/>
  <c r="V144" i="1"/>
  <c r="T144" i="1"/>
  <c r="Y246" i="1"/>
  <c r="W246" i="1"/>
  <c r="U246" i="1"/>
  <c r="S246" i="1"/>
  <c r="Z292" i="1"/>
  <c r="X292" i="1"/>
  <c r="V292" i="1"/>
  <c r="T292" i="1"/>
  <c r="Y190" i="1"/>
  <c r="W190" i="1"/>
  <c r="U190" i="1"/>
  <c r="S190" i="1"/>
  <c r="Z303" i="1"/>
  <c r="X303" i="1"/>
  <c r="V303" i="1"/>
  <c r="T303" i="1"/>
  <c r="Z267" i="1"/>
  <c r="X267" i="1"/>
  <c r="V267" i="1"/>
  <c r="T267" i="1"/>
  <c r="Y254" i="1"/>
  <c r="W254" i="1"/>
  <c r="U254" i="1"/>
  <c r="S254" i="1"/>
  <c r="Z320" i="1"/>
  <c r="X320" i="1"/>
  <c r="V320" i="1"/>
  <c r="T320" i="1"/>
  <c r="Y123" i="1"/>
  <c r="W123" i="1"/>
  <c r="U123" i="1"/>
  <c r="S123" i="1"/>
  <c r="Z124" i="1"/>
  <c r="X124" i="1"/>
  <c r="V124" i="1"/>
  <c r="T124" i="1"/>
  <c r="Z256" i="1"/>
  <c r="X256" i="1"/>
  <c r="V256" i="1"/>
  <c r="T256" i="1"/>
  <c r="Y98" i="1"/>
  <c r="W98" i="1"/>
  <c r="U98" i="1"/>
  <c r="S98" i="1"/>
  <c r="Y198" i="1"/>
  <c r="W198" i="1"/>
  <c r="U198" i="1"/>
  <c r="S198" i="1"/>
  <c r="Z233" i="1"/>
  <c r="X233" i="1"/>
  <c r="V233" i="1"/>
  <c r="T233" i="1"/>
  <c r="Y148" i="1"/>
  <c r="W148" i="1"/>
  <c r="U148" i="1"/>
  <c r="S148" i="1"/>
  <c r="Z111" i="1"/>
  <c r="X111" i="1"/>
  <c r="V111" i="1"/>
  <c r="T111" i="1"/>
  <c r="Y257" i="1"/>
  <c r="W257" i="1"/>
  <c r="U257" i="1"/>
  <c r="S257" i="1"/>
  <c r="Z238" i="1"/>
  <c r="X238" i="1"/>
  <c r="V238" i="1"/>
  <c r="T238" i="1"/>
  <c r="Z149" i="1"/>
  <c r="X149" i="1"/>
  <c r="V149" i="1"/>
  <c r="T149" i="1"/>
  <c r="Y288" i="1"/>
  <c r="W288" i="1"/>
  <c r="U288" i="1"/>
  <c r="S288" i="1"/>
  <c r="Z215" i="1"/>
  <c r="X215" i="1"/>
  <c r="V215" i="1"/>
  <c r="T215" i="1"/>
  <c r="Y255" i="1"/>
  <c r="W255" i="1"/>
  <c r="U255" i="1"/>
  <c r="S255" i="1"/>
  <c r="Z143" i="1"/>
  <c r="X143" i="1"/>
  <c r="V143" i="1"/>
  <c r="T143" i="1"/>
  <c r="Y252" i="1"/>
  <c r="W252" i="1"/>
  <c r="U252" i="1"/>
  <c r="S252" i="1"/>
  <c r="Z222" i="1"/>
  <c r="X222" i="1"/>
  <c r="V222" i="1"/>
  <c r="T222" i="1"/>
  <c r="Y234" i="1"/>
  <c r="W234" i="1"/>
  <c r="U234" i="1"/>
  <c r="S234" i="1"/>
  <c r="Z244" i="1"/>
  <c r="X244" i="1"/>
  <c r="V244" i="1"/>
  <c r="T244" i="1"/>
  <c r="Y221" i="1"/>
  <c r="W221" i="1"/>
  <c r="U221" i="1"/>
  <c r="S221" i="1"/>
  <c r="Z290" i="1"/>
  <c r="U293" i="1"/>
  <c r="Y95" i="1"/>
  <c r="U95" i="1"/>
  <c r="X262" i="1"/>
  <c r="T262" i="1"/>
  <c r="Y223" i="1"/>
  <c r="U223" i="1"/>
  <c r="X281" i="1"/>
  <c r="V281" i="1"/>
  <c r="T281" i="1"/>
  <c r="Z150" i="1"/>
  <c r="X150" i="1"/>
  <c r="V150" i="1"/>
  <c r="T150" i="1"/>
  <c r="Y144" i="1"/>
  <c r="W144" i="1"/>
  <c r="U144" i="1"/>
  <c r="S144" i="1"/>
  <c r="Z246" i="1"/>
  <c r="X246" i="1"/>
  <c r="V246" i="1"/>
  <c r="T246" i="1"/>
  <c r="Y292" i="1"/>
  <c r="W292" i="1"/>
  <c r="U292" i="1"/>
  <c r="S292" i="1"/>
  <c r="Z190" i="1"/>
  <c r="X190" i="1"/>
  <c r="V190" i="1"/>
  <c r="T190" i="1"/>
  <c r="Y303" i="1"/>
  <c r="W303" i="1"/>
  <c r="U303" i="1"/>
  <c r="S303" i="1"/>
  <c r="Y267" i="1"/>
  <c r="W267" i="1"/>
  <c r="U267" i="1"/>
  <c r="S267" i="1"/>
  <c r="Z254" i="1"/>
  <c r="X254" i="1"/>
  <c r="V254" i="1"/>
  <c r="T254" i="1"/>
  <c r="Y320" i="1"/>
  <c r="W320" i="1"/>
  <c r="U320" i="1"/>
  <c r="S320" i="1"/>
  <c r="Z123" i="1"/>
  <c r="X123" i="1"/>
  <c r="V123" i="1"/>
  <c r="T123" i="1"/>
  <c r="Y124" i="1"/>
  <c r="W124" i="1"/>
  <c r="U124" i="1"/>
  <c r="S124" i="1"/>
  <c r="Y256" i="1"/>
  <c r="W256" i="1"/>
  <c r="U256" i="1"/>
  <c r="S256" i="1"/>
  <c r="Z98" i="1"/>
  <c r="X98" i="1"/>
  <c r="V98" i="1"/>
  <c r="T98" i="1"/>
  <c r="Z198" i="1"/>
  <c r="X198" i="1"/>
  <c r="V198" i="1"/>
  <c r="T198" i="1"/>
  <c r="Y233" i="1"/>
  <c r="W233" i="1"/>
  <c r="U233" i="1"/>
  <c r="S233" i="1"/>
  <c r="Z148" i="1"/>
  <c r="X148" i="1"/>
  <c r="V148" i="1"/>
  <c r="T148" i="1"/>
  <c r="Y111" i="1"/>
  <c r="W111" i="1"/>
  <c r="U111" i="1"/>
  <c r="S111" i="1"/>
  <c r="Z257" i="1"/>
  <c r="X257" i="1"/>
  <c r="V257" i="1"/>
  <c r="T257" i="1"/>
  <c r="Y238" i="1"/>
  <c r="W238" i="1"/>
  <c r="U238" i="1"/>
  <c r="S238" i="1"/>
  <c r="Y149" i="1"/>
  <c r="W149" i="1"/>
  <c r="U149" i="1"/>
  <c r="S149" i="1"/>
  <c r="Z288" i="1"/>
  <c r="X288" i="1"/>
  <c r="V288" i="1"/>
  <c r="T288" i="1"/>
  <c r="Y215" i="1"/>
  <c r="W215" i="1"/>
  <c r="U215" i="1"/>
  <c r="S215" i="1"/>
  <c r="Z255" i="1"/>
  <c r="X255" i="1"/>
  <c r="V255" i="1"/>
  <c r="T255" i="1"/>
  <c r="Y143" i="1"/>
  <c r="W143" i="1"/>
  <c r="U143" i="1"/>
  <c r="S143" i="1"/>
  <c r="Z252" i="1"/>
  <c r="X252" i="1"/>
  <c r="V252" i="1"/>
  <c r="T252" i="1"/>
  <c r="Y222" i="1"/>
  <c r="W222" i="1"/>
  <c r="U222" i="1"/>
  <c r="S222" i="1"/>
  <c r="Z234" i="1"/>
  <c r="X234" i="1"/>
  <c r="V234" i="1"/>
  <c r="W244" i="1"/>
  <c r="S244" i="1"/>
  <c r="Z221" i="1"/>
  <c r="V221" i="1"/>
  <c r="X290" i="1"/>
  <c r="V290" i="1"/>
  <c r="T290" i="1"/>
  <c r="Z203" i="1"/>
  <c r="X203" i="1"/>
  <c r="V203" i="1"/>
  <c r="T203" i="1"/>
  <c r="Z220" i="1"/>
  <c r="X220" i="1"/>
  <c r="V220" i="1"/>
  <c r="T220" i="1"/>
  <c r="Y250" i="1"/>
  <c r="W250" i="1"/>
  <c r="U250" i="1"/>
  <c r="S250" i="1"/>
  <c r="Z204" i="1"/>
  <c r="X204" i="1"/>
  <c r="V204" i="1"/>
  <c r="T204" i="1"/>
  <c r="Y209" i="1"/>
  <c r="W209" i="1"/>
  <c r="U209" i="1"/>
  <c r="S209" i="1"/>
  <c r="Y248" i="1"/>
  <c r="W248" i="1"/>
  <c r="U248" i="1"/>
  <c r="S248" i="1"/>
  <c r="Z134" i="1"/>
  <c r="X134" i="1"/>
  <c r="V134" i="1"/>
  <c r="T134" i="1"/>
  <c r="Y235" i="1"/>
  <c r="W235" i="1"/>
  <c r="U235" i="1"/>
  <c r="S235" i="1"/>
  <c r="Z258" i="1"/>
  <c r="X258" i="1"/>
  <c r="V258" i="1"/>
  <c r="T258" i="1"/>
  <c r="Y207" i="1"/>
  <c r="W207" i="1"/>
  <c r="U207" i="1"/>
  <c r="S207" i="1"/>
  <c r="Y302" i="1"/>
  <c r="W302" i="1"/>
  <c r="U302" i="1"/>
  <c r="S302" i="1"/>
  <c r="Z266" i="1"/>
  <c r="X266" i="1"/>
  <c r="V266" i="1"/>
  <c r="T266" i="1"/>
  <c r="Y210" i="1"/>
  <c r="W210" i="1"/>
  <c r="U210" i="1"/>
  <c r="S210" i="1"/>
  <c r="Y183" i="1"/>
  <c r="W183" i="1"/>
  <c r="U183" i="1"/>
  <c r="S183" i="1"/>
  <c r="Z263" i="1"/>
  <c r="X263" i="1"/>
  <c r="V263" i="1"/>
  <c r="T263" i="1"/>
  <c r="Z268" i="1"/>
  <c r="X268" i="1"/>
  <c r="V268" i="1"/>
  <c r="T268" i="1"/>
  <c r="Y251" i="1"/>
  <c r="W251" i="1"/>
  <c r="U251" i="1"/>
  <c r="S251" i="1"/>
  <c r="Z188" i="1"/>
  <c r="X188" i="1"/>
  <c r="V188" i="1"/>
  <c r="T188" i="1"/>
  <c r="Y219" i="1"/>
  <c r="W219" i="1"/>
  <c r="U219" i="1"/>
  <c r="S219" i="1"/>
  <c r="Z178" i="1"/>
  <c r="X178" i="1"/>
  <c r="V178" i="1"/>
  <c r="T178" i="1"/>
  <c r="Y218" i="1"/>
  <c r="W218" i="1"/>
  <c r="U218" i="1"/>
  <c r="S218" i="1"/>
  <c r="Y152" i="1"/>
  <c r="W152" i="1"/>
  <c r="U152" i="1"/>
  <c r="S152" i="1"/>
  <c r="Y322" i="1"/>
  <c r="W322" i="1"/>
  <c r="U322" i="1"/>
  <c r="S322" i="1"/>
  <c r="Z286" i="1"/>
  <c r="X286" i="1"/>
  <c r="V286" i="1"/>
  <c r="T286" i="1"/>
  <c r="Y206" i="1"/>
  <c r="W206" i="1"/>
  <c r="U206" i="1"/>
  <c r="S206" i="1"/>
  <c r="Z65" i="1"/>
  <c r="X65" i="1"/>
  <c r="V65" i="1"/>
  <c r="T65" i="1"/>
  <c r="Y158" i="1"/>
  <c r="W158" i="1"/>
  <c r="U158" i="1"/>
  <c r="S158" i="1"/>
  <c r="Z161" i="1"/>
  <c r="X161" i="1"/>
  <c r="V161" i="1"/>
  <c r="T161" i="1"/>
  <c r="Y197" i="1"/>
  <c r="W197" i="1"/>
  <c r="U197" i="1"/>
  <c r="S197" i="1"/>
  <c r="Z193" i="1"/>
  <c r="X193" i="1"/>
  <c r="V193" i="1"/>
  <c r="T193" i="1"/>
  <c r="Y249" i="1"/>
  <c r="W249" i="1"/>
  <c r="U249" i="1"/>
  <c r="S249" i="1"/>
  <c r="Z278" i="1"/>
  <c r="X278" i="1"/>
  <c r="V278" i="1"/>
  <c r="T278" i="1"/>
  <c r="Y176" i="1"/>
  <c r="W176" i="1"/>
  <c r="U176" i="1"/>
  <c r="S176" i="1"/>
  <c r="Z285" i="1"/>
  <c r="X285" i="1"/>
  <c r="V285" i="1"/>
  <c r="T285" i="1"/>
  <c r="Y277" i="1"/>
  <c r="W277" i="1"/>
  <c r="U277" i="1"/>
  <c r="S277" i="1"/>
  <c r="Z139" i="1"/>
  <c r="X139" i="1"/>
  <c r="V139" i="1"/>
  <c r="T139" i="1"/>
  <c r="Y260" i="1"/>
  <c r="W260" i="1"/>
  <c r="U260" i="1"/>
  <c r="S260" i="1"/>
  <c r="Z196" i="1"/>
  <c r="X196" i="1"/>
  <c r="V196" i="1"/>
  <c r="T196" i="1"/>
  <c r="Y280" i="1"/>
  <c r="W280" i="1"/>
  <c r="U280" i="1"/>
  <c r="S280" i="1"/>
  <c r="Y242" i="1"/>
  <c r="W242" i="1"/>
  <c r="U242" i="1"/>
  <c r="S242" i="1"/>
  <c r="Y127" i="1"/>
  <c r="W127" i="1"/>
  <c r="U127" i="1"/>
  <c r="S127" i="1"/>
  <c r="Z185" i="1"/>
  <c r="X185" i="1"/>
  <c r="V185" i="1"/>
  <c r="T185" i="1"/>
  <c r="Y177" i="1"/>
  <c r="W177" i="1"/>
  <c r="U177" i="1"/>
  <c r="S177" i="1"/>
  <c r="Y225" i="1"/>
  <c r="W225" i="1"/>
  <c r="U225" i="1"/>
  <c r="S225" i="1"/>
  <c r="Z253" i="1"/>
  <c r="X253" i="1"/>
  <c r="V253" i="1"/>
  <c r="T253" i="1"/>
  <c r="Z18" i="1"/>
  <c r="X18" i="1"/>
  <c r="V18" i="1"/>
  <c r="T18" i="1"/>
  <c r="Y173" i="1"/>
  <c r="W173" i="1"/>
  <c r="U173" i="1"/>
  <c r="S173" i="1"/>
  <c r="Y92" i="1"/>
  <c r="W92" i="1"/>
  <c r="U92" i="1"/>
  <c r="S92" i="1"/>
  <c r="Z62" i="1"/>
  <c r="X62" i="1"/>
  <c r="V62" i="1"/>
  <c r="T62" i="1"/>
  <c r="Y265" i="1"/>
  <c r="W265" i="1"/>
  <c r="U265" i="1"/>
  <c r="S265" i="1"/>
  <c r="Z156" i="1"/>
  <c r="X156" i="1"/>
  <c r="V156" i="1"/>
  <c r="T156" i="1"/>
  <c r="Z20" i="1"/>
  <c r="X20" i="1"/>
  <c r="V20" i="1"/>
  <c r="T20" i="1"/>
  <c r="Y217" i="1"/>
  <c r="W217" i="1"/>
  <c r="U217" i="1"/>
  <c r="S217" i="1"/>
  <c r="Y125" i="1"/>
  <c r="W125" i="1"/>
  <c r="U125" i="1"/>
  <c r="S125" i="1"/>
  <c r="Z227" i="1"/>
  <c r="T234" i="1"/>
  <c r="Y244" i="1"/>
  <c r="U244" i="1"/>
  <c r="X221" i="1"/>
  <c r="T221" i="1"/>
  <c r="Y290" i="1"/>
  <c r="W290" i="1"/>
  <c r="U290" i="1"/>
  <c r="S290" i="1"/>
  <c r="Y203" i="1"/>
  <c r="W203" i="1"/>
  <c r="U203" i="1"/>
  <c r="S203" i="1"/>
  <c r="Y220" i="1"/>
  <c r="W220" i="1"/>
  <c r="U220" i="1"/>
  <c r="S220" i="1"/>
  <c r="Z250" i="1"/>
  <c r="X250" i="1"/>
  <c r="V250" i="1"/>
  <c r="T250" i="1"/>
  <c r="Y204" i="1"/>
  <c r="W204" i="1"/>
  <c r="U204" i="1"/>
  <c r="S204" i="1"/>
  <c r="Z209" i="1"/>
  <c r="X209" i="1"/>
  <c r="V209" i="1"/>
  <c r="T209" i="1"/>
  <c r="Z248" i="1"/>
  <c r="X248" i="1"/>
  <c r="V248" i="1"/>
  <c r="T248" i="1"/>
  <c r="Y134" i="1"/>
  <c r="W134" i="1"/>
  <c r="U134" i="1"/>
  <c r="S134" i="1"/>
  <c r="Z235" i="1"/>
  <c r="X235" i="1"/>
  <c r="V235" i="1"/>
  <c r="T235" i="1"/>
  <c r="Y258" i="1"/>
  <c r="W258" i="1"/>
  <c r="U258" i="1"/>
  <c r="S258" i="1"/>
  <c r="Z207" i="1"/>
  <c r="X207" i="1"/>
  <c r="V207" i="1"/>
  <c r="T207" i="1"/>
  <c r="Z302" i="1"/>
  <c r="X302" i="1"/>
  <c r="V302" i="1"/>
  <c r="T302" i="1"/>
  <c r="Y266" i="1"/>
  <c r="W266" i="1"/>
  <c r="U266" i="1"/>
  <c r="S266" i="1"/>
  <c r="Z210" i="1"/>
  <c r="X210" i="1"/>
  <c r="V210" i="1"/>
  <c r="T210" i="1"/>
  <c r="Z183" i="1"/>
  <c r="X183" i="1"/>
  <c r="V183" i="1"/>
  <c r="T183" i="1"/>
  <c r="Y263" i="1"/>
  <c r="W263" i="1"/>
  <c r="U263" i="1"/>
  <c r="S263" i="1"/>
  <c r="Y268" i="1"/>
  <c r="W268" i="1"/>
  <c r="U268" i="1"/>
  <c r="S268" i="1"/>
  <c r="Z251" i="1"/>
  <c r="X251" i="1"/>
  <c r="V251" i="1"/>
  <c r="T251" i="1"/>
  <c r="Y188" i="1"/>
  <c r="W188" i="1"/>
  <c r="U188" i="1"/>
  <c r="S188" i="1"/>
  <c r="Z219" i="1"/>
  <c r="X219" i="1"/>
  <c r="V219" i="1"/>
  <c r="T219" i="1"/>
  <c r="Y178" i="1"/>
  <c r="W178" i="1"/>
  <c r="U178" i="1"/>
  <c r="S178" i="1"/>
  <c r="Z218" i="1"/>
  <c r="X218" i="1"/>
  <c r="V218" i="1"/>
  <c r="T218" i="1"/>
  <c r="Z152" i="1"/>
  <c r="X152" i="1"/>
  <c r="V152" i="1"/>
  <c r="T152" i="1"/>
  <c r="Z322" i="1"/>
  <c r="X322" i="1"/>
  <c r="V322" i="1"/>
  <c r="T322" i="1"/>
  <c r="Y286" i="1"/>
  <c r="W286" i="1"/>
  <c r="U286" i="1"/>
  <c r="S286" i="1"/>
  <c r="Z206" i="1"/>
  <c r="X206" i="1"/>
  <c r="V206" i="1"/>
  <c r="T206" i="1"/>
  <c r="Y65" i="1"/>
  <c r="W65" i="1"/>
  <c r="U65" i="1"/>
  <c r="S65" i="1"/>
  <c r="Z158" i="1"/>
  <c r="X158" i="1"/>
  <c r="V158" i="1"/>
  <c r="T158" i="1"/>
  <c r="Y161" i="1"/>
  <c r="W161" i="1"/>
  <c r="U161" i="1"/>
  <c r="S161" i="1"/>
  <c r="Z197" i="1"/>
  <c r="X197" i="1"/>
  <c r="V197" i="1"/>
  <c r="T197" i="1"/>
  <c r="Y193" i="1"/>
  <c r="W193" i="1"/>
  <c r="U193" i="1"/>
  <c r="S193" i="1"/>
  <c r="Z249" i="1"/>
  <c r="X249" i="1"/>
  <c r="V249" i="1"/>
  <c r="T249" i="1"/>
  <c r="Y278" i="1"/>
  <c r="W278" i="1"/>
  <c r="U278" i="1"/>
  <c r="S278" i="1"/>
  <c r="Z176" i="1"/>
  <c r="X176" i="1"/>
  <c r="V176" i="1"/>
  <c r="T176" i="1"/>
  <c r="Y285" i="1"/>
  <c r="W285" i="1"/>
  <c r="U285" i="1"/>
  <c r="S285" i="1"/>
  <c r="Z277" i="1"/>
  <c r="X277" i="1"/>
  <c r="V277" i="1"/>
  <c r="T277" i="1"/>
  <c r="Y139" i="1"/>
  <c r="W139" i="1"/>
  <c r="U139" i="1"/>
  <c r="S139" i="1"/>
  <c r="Z260" i="1"/>
  <c r="X260" i="1"/>
  <c r="V260" i="1"/>
  <c r="T260" i="1"/>
  <c r="Y196" i="1"/>
  <c r="W196" i="1"/>
  <c r="U196" i="1"/>
  <c r="S196" i="1"/>
  <c r="Z280" i="1"/>
  <c r="X280" i="1"/>
  <c r="V280" i="1"/>
  <c r="T280" i="1"/>
  <c r="Z242" i="1"/>
  <c r="X242" i="1"/>
  <c r="V242" i="1"/>
  <c r="T242" i="1"/>
  <c r="Z127" i="1"/>
  <c r="X127" i="1"/>
  <c r="V127" i="1"/>
  <c r="T127" i="1"/>
  <c r="Y185" i="1"/>
  <c r="W185" i="1"/>
  <c r="U185" i="1"/>
  <c r="S185" i="1"/>
  <c r="Z177" i="1"/>
  <c r="X177" i="1"/>
  <c r="V177" i="1"/>
  <c r="T177" i="1"/>
  <c r="Z225" i="1"/>
  <c r="X225" i="1"/>
  <c r="V225" i="1"/>
  <c r="T225" i="1"/>
  <c r="Y253" i="1"/>
  <c r="W253" i="1"/>
  <c r="U253" i="1"/>
  <c r="S253" i="1"/>
  <c r="Y18" i="1"/>
  <c r="W18" i="1"/>
  <c r="U18" i="1"/>
  <c r="S18" i="1"/>
  <c r="Z173" i="1"/>
  <c r="X173" i="1"/>
  <c r="V173" i="1"/>
  <c r="T173" i="1"/>
  <c r="Z92" i="1"/>
  <c r="X92" i="1"/>
  <c r="V92" i="1"/>
  <c r="T92" i="1"/>
  <c r="Y62" i="1"/>
  <c r="W62" i="1"/>
  <c r="U62" i="1"/>
  <c r="S62" i="1"/>
  <c r="Z265" i="1"/>
  <c r="X265" i="1"/>
  <c r="V265" i="1"/>
  <c r="T265" i="1"/>
  <c r="Y156" i="1"/>
  <c r="U156" i="1"/>
  <c r="Y20" i="1"/>
  <c r="U20" i="1"/>
  <c r="X217" i="1"/>
  <c r="T217" i="1"/>
  <c r="X125" i="1"/>
  <c r="T125" i="1"/>
  <c r="Y227" i="1"/>
  <c r="W227" i="1"/>
  <c r="U227" i="1"/>
  <c r="S227" i="1"/>
  <c r="Z228" i="1"/>
  <c r="X228" i="1"/>
  <c r="V228" i="1"/>
  <c r="T228" i="1"/>
  <c r="Y214" i="1"/>
  <c r="W214" i="1"/>
  <c r="U214" i="1"/>
  <c r="S214" i="1"/>
  <c r="Z230" i="1"/>
  <c r="X230" i="1"/>
  <c r="V230" i="1"/>
  <c r="T230" i="1"/>
  <c r="Y229" i="1"/>
  <c r="W229" i="1"/>
  <c r="U229" i="1"/>
  <c r="S229" i="1"/>
  <c r="Y287" i="1"/>
  <c r="W287" i="1"/>
  <c r="U287" i="1"/>
  <c r="S287" i="1"/>
  <c r="Z212" i="1"/>
  <c r="X212" i="1"/>
  <c r="V212" i="1"/>
  <c r="T212" i="1"/>
  <c r="Y247" i="1"/>
  <c r="W247" i="1"/>
  <c r="U247" i="1"/>
  <c r="S247" i="1"/>
  <c r="Y226" i="1"/>
  <c r="W226" i="1"/>
  <c r="U226" i="1"/>
  <c r="S226" i="1"/>
  <c r="Z297" i="1"/>
  <c r="X297" i="1"/>
  <c r="V297" i="1"/>
  <c r="T297" i="1"/>
  <c r="Y159" i="1"/>
  <c r="W159" i="1"/>
  <c r="U159" i="1"/>
  <c r="S159" i="1"/>
  <c r="Y52" i="1"/>
  <c r="W52" i="1"/>
  <c r="U52" i="1"/>
  <c r="S52" i="1"/>
  <c r="Z284" i="1"/>
  <c r="X284" i="1"/>
  <c r="V284" i="1"/>
  <c r="T284" i="1"/>
  <c r="Y133" i="1"/>
  <c r="W133" i="1"/>
  <c r="U133" i="1"/>
  <c r="S133" i="1"/>
  <c r="Z241" i="1"/>
  <c r="X241" i="1"/>
  <c r="V241" i="1"/>
  <c r="T241" i="1"/>
  <c r="Z28" i="1"/>
  <c r="X28" i="1"/>
  <c r="V28" i="1"/>
  <c r="T28" i="1"/>
  <c r="Y96" i="1"/>
  <c r="W96" i="1"/>
  <c r="U96" i="1"/>
  <c r="S96" i="1"/>
  <c r="Z181" i="1"/>
  <c r="X181" i="1"/>
  <c r="V181" i="1"/>
  <c r="T181" i="1"/>
  <c r="Y313" i="1"/>
  <c r="W313" i="1"/>
  <c r="U313" i="1"/>
  <c r="S313" i="1"/>
  <c r="Z202" i="1"/>
  <c r="X202" i="1"/>
  <c r="V202" i="1"/>
  <c r="T202" i="1"/>
  <c r="Z309" i="1"/>
  <c r="X309" i="1"/>
  <c r="V309" i="1"/>
  <c r="T309" i="1"/>
  <c r="Y186" i="1"/>
  <c r="W186" i="1"/>
  <c r="U186" i="1"/>
  <c r="S186" i="1"/>
  <c r="Z49" i="1"/>
  <c r="X49" i="1"/>
  <c r="V49" i="1"/>
  <c r="T49" i="1"/>
  <c r="Y200" i="1"/>
  <c r="W200" i="1"/>
  <c r="U200" i="1"/>
  <c r="S200" i="1"/>
  <c r="Z83" i="1"/>
  <c r="X83" i="1"/>
  <c r="V83" i="1"/>
  <c r="T83" i="1"/>
  <c r="Y27" i="1"/>
  <c r="W27" i="1"/>
  <c r="U27" i="1"/>
  <c r="S27" i="1"/>
  <c r="Z102" i="1"/>
  <c r="X102" i="1"/>
  <c r="V102" i="1"/>
  <c r="T102" i="1"/>
  <c r="Y93" i="1"/>
  <c r="W93" i="1"/>
  <c r="U93" i="1"/>
  <c r="S93" i="1"/>
  <c r="Y231" i="1"/>
  <c r="W231" i="1"/>
  <c r="U231" i="1"/>
  <c r="S231" i="1"/>
  <c r="Y192" i="1"/>
  <c r="W192" i="1"/>
  <c r="U192" i="1"/>
  <c r="S192" i="1"/>
  <c r="Z100" i="1"/>
  <c r="X100" i="1"/>
  <c r="V100" i="1"/>
  <c r="T100" i="1"/>
  <c r="Y122" i="1"/>
  <c r="W122" i="1"/>
  <c r="U122" i="1"/>
  <c r="S122" i="1"/>
  <c r="Y261" i="1"/>
  <c r="W261" i="1"/>
  <c r="U261" i="1"/>
  <c r="S261" i="1"/>
  <c r="Z153" i="1"/>
  <c r="X153" i="1"/>
  <c r="V153" i="1"/>
  <c r="T153" i="1"/>
  <c r="Y180" i="1"/>
  <c r="W180" i="1"/>
  <c r="U180" i="1"/>
  <c r="S180" i="1"/>
  <c r="Y85" i="1"/>
  <c r="W85" i="1"/>
  <c r="U85" i="1"/>
  <c r="S85" i="1"/>
  <c r="Z97" i="1"/>
  <c r="X97" i="1"/>
  <c r="V97" i="1"/>
  <c r="T97" i="1"/>
  <c r="Z76" i="1"/>
  <c r="X76" i="1"/>
  <c r="V76" i="1"/>
  <c r="T76" i="1"/>
  <c r="Z86" i="1"/>
  <c r="X86" i="1"/>
  <c r="V86" i="1"/>
  <c r="T86" i="1"/>
  <c r="Y201" i="1"/>
  <c r="W201" i="1"/>
  <c r="U201" i="1"/>
  <c r="S201" i="1"/>
  <c r="Z189" i="1"/>
  <c r="X189" i="1"/>
  <c r="V189" i="1"/>
  <c r="T189" i="1"/>
  <c r="Z211" i="1"/>
  <c r="X211" i="1"/>
  <c r="V211" i="1"/>
  <c r="T211" i="1"/>
  <c r="Y84" i="1"/>
  <c r="W84" i="1"/>
  <c r="U84" i="1"/>
  <c r="S84" i="1"/>
  <c r="Z70" i="1"/>
  <c r="X70" i="1"/>
  <c r="V70" i="1"/>
  <c r="T70" i="1"/>
  <c r="Y172" i="1"/>
  <c r="W172" i="1"/>
  <c r="U172" i="1"/>
  <c r="S172" i="1"/>
  <c r="Z113" i="1"/>
  <c r="X113" i="1"/>
  <c r="V113" i="1"/>
  <c r="T113" i="1"/>
  <c r="Y79" i="1"/>
  <c r="W79" i="1"/>
  <c r="U79" i="1"/>
  <c r="S79" i="1"/>
  <c r="Z78" i="1"/>
  <c r="X78" i="1"/>
  <c r="V78" i="1"/>
  <c r="T78" i="1"/>
  <c r="Y146" i="1"/>
  <c r="W146" i="1"/>
  <c r="U146" i="1"/>
  <c r="S146" i="1"/>
  <c r="Y170" i="1"/>
  <c r="W170" i="1"/>
  <c r="U170" i="1"/>
  <c r="S170" i="1"/>
  <c r="Y116" i="1"/>
  <c r="W116" i="1"/>
  <c r="U116" i="1"/>
  <c r="S116" i="1"/>
  <c r="Z115" i="1"/>
  <c r="X115" i="1"/>
  <c r="V115" i="1"/>
  <c r="T115" i="1"/>
  <c r="Y40" i="1"/>
  <c r="W40" i="1"/>
  <c r="W156" i="1"/>
  <c r="S156" i="1"/>
  <c r="W20" i="1"/>
  <c r="S20" i="1"/>
  <c r="Z217" i="1"/>
  <c r="V217" i="1"/>
  <c r="Z125" i="1"/>
  <c r="V125" i="1"/>
  <c r="X227" i="1"/>
  <c r="V227" i="1"/>
  <c r="T227" i="1"/>
  <c r="Y228" i="1"/>
  <c r="W228" i="1"/>
  <c r="U228" i="1"/>
  <c r="S228" i="1"/>
  <c r="Z214" i="1"/>
  <c r="X214" i="1"/>
  <c r="V214" i="1"/>
  <c r="T214" i="1"/>
  <c r="Y230" i="1"/>
  <c r="W230" i="1"/>
  <c r="U230" i="1"/>
  <c r="S230" i="1"/>
  <c r="Z229" i="1"/>
  <c r="X229" i="1"/>
  <c r="V229" i="1"/>
  <c r="T229" i="1"/>
  <c r="Z287" i="1"/>
  <c r="X287" i="1"/>
  <c r="V287" i="1"/>
  <c r="T287" i="1"/>
  <c r="Y212" i="1"/>
  <c r="W212" i="1"/>
  <c r="U212" i="1"/>
  <c r="S212" i="1"/>
  <c r="Z247" i="1"/>
  <c r="X247" i="1"/>
  <c r="V247" i="1"/>
  <c r="T247" i="1"/>
  <c r="Z226" i="1"/>
  <c r="X226" i="1"/>
  <c r="V226" i="1"/>
  <c r="T226" i="1"/>
  <c r="Y297" i="1"/>
  <c r="W297" i="1"/>
  <c r="U297" i="1"/>
  <c r="S297" i="1"/>
  <c r="Z159" i="1"/>
  <c r="X159" i="1"/>
  <c r="V159" i="1"/>
  <c r="T159" i="1"/>
  <c r="Z52" i="1"/>
  <c r="X52" i="1"/>
  <c r="V52" i="1"/>
  <c r="T52" i="1"/>
  <c r="Y284" i="1"/>
  <c r="W284" i="1"/>
  <c r="U284" i="1"/>
  <c r="S284" i="1"/>
  <c r="Z133" i="1"/>
  <c r="X133" i="1"/>
  <c r="V133" i="1"/>
  <c r="T133" i="1"/>
  <c r="Y241" i="1"/>
  <c r="W241" i="1"/>
  <c r="U241" i="1"/>
  <c r="S241" i="1"/>
  <c r="Y28" i="1"/>
  <c r="W28" i="1"/>
  <c r="U28" i="1"/>
  <c r="S28" i="1"/>
  <c r="Z96" i="1"/>
  <c r="X96" i="1"/>
  <c r="V96" i="1"/>
  <c r="T96" i="1"/>
  <c r="Y181" i="1"/>
  <c r="W181" i="1"/>
  <c r="U181" i="1"/>
  <c r="S181" i="1"/>
  <c r="Z313" i="1"/>
  <c r="X313" i="1"/>
  <c r="V313" i="1"/>
  <c r="T313" i="1"/>
  <c r="Y202" i="1"/>
  <c r="W202" i="1"/>
  <c r="U202" i="1"/>
  <c r="S202" i="1"/>
  <c r="Y309" i="1"/>
  <c r="W309" i="1"/>
  <c r="U309" i="1"/>
  <c r="S309" i="1"/>
  <c r="Z186" i="1"/>
  <c r="X186" i="1"/>
  <c r="V186" i="1"/>
  <c r="T186" i="1"/>
  <c r="Y49" i="1"/>
  <c r="W49" i="1"/>
  <c r="U49" i="1"/>
  <c r="S49" i="1"/>
  <c r="Z200" i="1"/>
  <c r="X200" i="1"/>
  <c r="V200" i="1"/>
  <c r="T200" i="1"/>
  <c r="Y83" i="1"/>
  <c r="W83" i="1"/>
  <c r="U83" i="1"/>
  <c r="S83" i="1"/>
  <c r="Z27" i="1"/>
  <c r="X27" i="1"/>
  <c r="V27" i="1"/>
  <c r="T27" i="1"/>
  <c r="Y102" i="1"/>
  <c r="W102" i="1"/>
  <c r="U102" i="1"/>
  <c r="S102" i="1"/>
  <c r="Z93" i="1"/>
  <c r="X93" i="1"/>
  <c r="V93" i="1"/>
  <c r="T93" i="1"/>
  <c r="Z231" i="1"/>
  <c r="X231" i="1"/>
  <c r="V231" i="1"/>
  <c r="T231" i="1"/>
  <c r="Z192" i="1"/>
  <c r="X192" i="1"/>
  <c r="V192" i="1"/>
  <c r="T192" i="1"/>
  <c r="Y100" i="1"/>
  <c r="W100" i="1"/>
  <c r="U100" i="1"/>
  <c r="S100" i="1"/>
  <c r="Z122" i="1"/>
  <c r="X122" i="1"/>
  <c r="V122" i="1"/>
  <c r="T122" i="1"/>
  <c r="Z261" i="1"/>
  <c r="X261" i="1"/>
  <c r="V261" i="1"/>
  <c r="T261" i="1"/>
  <c r="Y153" i="1"/>
  <c r="W153" i="1"/>
  <c r="U153" i="1"/>
  <c r="S153" i="1"/>
  <c r="Z180" i="1"/>
  <c r="X180" i="1"/>
  <c r="V180" i="1"/>
  <c r="T180" i="1"/>
  <c r="Z85" i="1"/>
  <c r="X85" i="1"/>
  <c r="V85" i="1"/>
  <c r="T85" i="1"/>
  <c r="Y97" i="1"/>
  <c r="W97" i="1"/>
  <c r="U97" i="1"/>
  <c r="S97" i="1"/>
  <c r="Y76" i="1"/>
  <c r="W76" i="1"/>
  <c r="U76" i="1"/>
  <c r="S76" i="1"/>
  <c r="Y86" i="1"/>
  <c r="W86" i="1"/>
  <c r="U86" i="1"/>
  <c r="S86" i="1"/>
  <c r="Z201" i="1"/>
  <c r="X201" i="1"/>
  <c r="V201" i="1"/>
  <c r="T201" i="1"/>
  <c r="Y189" i="1"/>
  <c r="W189" i="1"/>
  <c r="U189" i="1"/>
  <c r="S189" i="1"/>
  <c r="Y211" i="1"/>
  <c r="W211" i="1"/>
  <c r="U211" i="1"/>
  <c r="S211" i="1"/>
  <c r="Z84" i="1"/>
  <c r="X84" i="1"/>
  <c r="V84" i="1"/>
  <c r="T84" i="1"/>
  <c r="Y70" i="1"/>
  <c r="W70" i="1"/>
  <c r="U70" i="1"/>
  <c r="S70" i="1"/>
  <c r="Z172" i="1"/>
  <c r="X172" i="1"/>
  <c r="V172" i="1"/>
  <c r="T172" i="1"/>
  <c r="Y113" i="1"/>
  <c r="W113" i="1"/>
  <c r="U113" i="1"/>
  <c r="S113" i="1"/>
  <c r="Z79" i="1"/>
  <c r="X79" i="1"/>
  <c r="V79" i="1"/>
  <c r="T79" i="1"/>
  <c r="Y78" i="1"/>
  <c r="W78" i="1"/>
  <c r="U78" i="1"/>
  <c r="S78" i="1"/>
  <c r="Z146" i="1"/>
  <c r="X146" i="1"/>
  <c r="V146" i="1"/>
  <c r="T146" i="1"/>
  <c r="T6" i="1"/>
  <c r="V6" i="1"/>
  <c r="X6" i="1"/>
  <c r="Z6" i="1"/>
  <c r="T5" i="1"/>
  <c r="V5" i="1"/>
  <c r="X5" i="1"/>
  <c r="Z5" i="1"/>
  <c r="S7" i="1"/>
  <c r="U7" i="1"/>
  <c r="W7" i="1"/>
  <c r="Y7" i="1"/>
  <c r="T14" i="1"/>
  <c r="V14" i="1"/>
  <c r="X14" i="1"/>
  <c r="Z14" i="1"/>
  <c r="S17" i="1"/>
  <c r="U17" i="1"/>
  <c r="W17" i="1"/>
  <c r="Y17" i="1"/>
  <c r="T31" i="1"/>
  <c r="V31" i="1"/>
  <c r="X31" i="1"/>
  <c r="Z31" i="1"/>
  <c r="S213" i="1"/>
  <c r="U213" i="1"/>
  <c r="W213" i="1"/>
  <c r="Y213" i="1"/>
  <c r="S32" i="1"/>
  <c r="U32" i="1"/>
  <c r="W32" i="1"/>
  <c r="Y32" i="1"/>
  <c r="T29" i="1"/>
  <c r="V29" i="1"/>
  <c r="X29" i="1"/>
  <c r="Z29" i="1"/>
  <c r="S154" i="1"/>
  <c r="U154" i="1"/>
  <c r="W154" i="1"/>
  <c r="Y154" i="1"/>
  <c r="T8" i="1"/>
  <c r="V8" i="1"/>
  <c r="X8" i="1"/>
  <c r="Z8" i="1"/>
  <c r="T191" i="1"/>
  <c r="V191" i="1"/>
  <c r="X191" i="1"/>
  <c r="Z191" i="1"/>
  <c r="T13" i="1"/>
  <c r="V13" i="1"/>
  <c r="X13" i="1"/>
  <c r="Z13" i="1"/>
  <c r="S22" i="1"/>
  <c r="U22" i="1"/>
  <c r="W22" i="1"/>
  <c r="Y22" i="1"/>
  <c r="T171" i="1"/>
  <c r="V171" i="1"/>
  <c r="X171" i="1"/>
  <c r="Z171" i="1"/>
  <c r="S16" i="1"/>
  <c r="U16" i="1"/>
  <c r="W16" i="1"/>
  <c r="Y16" i="1"/>
  <c r="S51" i="1"/>
  <c r="U51" i="1"/>
  <c r="W51" i="1"/>
  <c r="Y51" i="1"/>
  <c r="S88" i="1"/>
  <c r="U88" i="1"/>
  <c r="W88" i="1"/>
  <c r="Y88" i="1"/>
  <c r="T106" i="1"/>
  <c r="V106" i="1"/>
  <c r="X106" i="1"/>
  <c r="Z106" i="1"/>
  <c r="S58" i="1"/>
  <c r="U58" i="1"/>
  <c r="W58" i="1"/>
  <c r="Y58" i="1"/>
  <c r="S9" i="1"/>
  <c r="U9" i="1"/>
  <c r="W9" i="1"/>
  <c r="Y9" i="1"/>
  <c r="S34" i="1"/>
  <c r="U34" i="1"/>
  <c r="W34" i="1"/>
  <c r="Y34" i="1"/>
  <c r="T15" i="1"/>
  <c r="V15" i="1"/>
  <c r="X15" i="1"/>
  <c r="Z15" i="1"/>
  <c r="T110" i="1"/>
  <c r="V110" i="1"/>
  <c r="X110" i="1"/>
  <c r="Z110" i="1"/>
  <c r="T54" i="1"/>
  <c r="V54" i="1"/>
  <c r="X54" i="1"/>
  <c r="Z54" i="1"/>
  <c r="S60" i="1"/>
  <c r="U60" i="1"/>
  <c r="W60" i="1"/>
  <c r="Y60" i="1"/>
  <c r="S169" i="1"/>
  <c r="U169" i="1"/>
  <c r="W169" i="1"/>
  <c r="Y169" i="1"/>
  <c r="T42" i="1"/>
  <c r="V42" i="1"/>
  <c r="X42" i="1"/>
  <c r="Z42" i="1"/>
  <c r="T21" i="1"/>
  <c r="V21" i="1"/>
  <c r="X21" i="1"/>
  <c r="Z21" i="1"/>
  <c r="S73" i="1"/>
  <c r="U73" i="1"/>
  <c r="W73" i="1"/>
  <c r="Y73" i="1"/>
  <c r="T43" i="1"/>
  <c r="V43" i="1"/>
  <c r="X43" i="1"/>
  <c r="Z43" i="1"/>
  <c r="S77" i="1"/>
  <c r="U77" i="1"/>
  <c r="W77" i="1"/>
  <c r="Y77" i="1"/>
  <c r="T56" i="1"/>
  <c r="V56" i="1"/>
  <c r="X56" i="1"/>
  <c r="Z56" i="1"/>
  <c r="T64" i="1"/>
  <c r="V64" i="1"/>
  <c r="X64" i="1"/>
  <c r="Z64" i="1"/>
  <c r="S59" i="1"/>
  <c r="U59" i="1"/>
  <c r="W59" i="1"/>
  <c r="Y59" i="1"/>
  <c r="S94" i="1"/>
  <c r="U94" i="1"/>
  <c r="W94" i="1"/>
  <c r="Y94" i="1"/>
  <c r="T40" i="1"/>
  <c r="V40" i="1"/>
  <c r="Z40" i="1"/>
  <c r="S115" i="1"/>
  <c r="W115" i="1"/>
  <c r="V116" i="1"/>
  <c r="Z116" i="1"/>
  <c r="V170" i="1"/>
  <c r="Z170" i="1"/>
  <c r="S6" i="1"/>
  <c r="AD6" i="1" s="1"/>
  <c r="U6" i="1"/>
  <c r="W6" i="1"/>
  <c r="Y6" i="1"/>
  <c r="S5" i="1"/>
  <c r="AD5" i="1" s="1"/>
  <c r="U5" i="1"/>
  <c r="W5" i="1"/>
  <c r="Y5" i="1"/>
  <c r="T7" i="1"/>
  <c r="V7" i="1"/>
  <c r="X7" i="1"/>
  <c r="Z7" i="1"/>
  <c r="S14" i="1"/>
  <c r="AD14" i="1" s="1"/>
  <c r="U14" i="1"/>
  <c r="W14" i="1"/>
  <c r="Y14" i="1"/>
  <c r="T17" i="1"/>
  <c r="V17" i="1"/>
  <c r="X17" i="1"/>
  <c r="Z17" i="1"/>
  <c r="S31" i="1"/>
  <c r="AD31" i="1" s="1"/>
  <c r="U31" i="1"/>
  <c r="W31" i="1"/>
  <c r="Y31" i="1"/>
  <c r="T213" i="1"/>
  <c r="V213" i="1"/>
  <c r="X213" i="1"/>
  <c r="Z213" i="1"/>
  <c r="T32" i="1"/>
  <c r="V32" i="1"/>
  <c r="X32" i="1"/>
  <c r="Z32" i="1"/>
  <c r="S29" i="1"/>
  <c r="AD29" i="1" s="1"/>
  <c r="U29" i="1"/>
  <c r="W29" i="1"/>
  <c r="Y29" i="1"/>
  <c r="T154" i="1"/>
  <c r="V154" i="1"/>
  <c r="X154" i="1"/>
  <c r="Z154" i="1"/>
  <c r="S8" i="1"/>
  <c r="AD8" i="1" s="1"/>
  <c r="U8" i="1"/>
  <c r="W8" i="1"/>
  <c r="Y8" i="1"/>
  <c r="S191" i="1"/>
  <c r="AD191" i="1" s="1"/>
  <c r="U191" i="1"/>
  <c r="W191" i="1"/>
  <c r="Y191" i="1"/>
  <c r="S13" i="1"/>
  <c r="AD13" i="1" s="1"/>
  <c r="U13" i="1"/>
  <c r="W13" i="1"/>
  <c r="Y13" i="1"/>
  <c r="T22" i="1"/>
  <c r="V22" i="1"/>
  <c r="X22" i="1"/>
  <c r="Z22" i="1"/>
  <c r="S171" i="1"/>
  <c r="AD171" i="1" s="1"/>
  <c r="U171" i="1"/>
  <c r="W171" i="1"/>
  <c r="Y171" i="1"/>
  <c r="T16" i="1"/>
  <c r="V16" i="1"/>
  <c r="X16" i="1"/>
  <c r="Z16" i="1"/>
  <c r="T51" i="1"/>
  <c r="V51" i="1"/>
  <c r="X51" i="1"/>
  <c r="Z51" i="1"/>
  <c r="T88" i="1"/>
  <c r="V88" i="1"/>
  <c r="X88" i="1"/>
  <c r="Z88" i="1"/>
  <c r="S106" i="1"/>
  <c r="AD106" i="1" s="1"/>
  <c r="U106" i="1"/>
  <c r="W106" i="1"/>
  <c r="Y106" i="1"/>
  <c r="T58" i="1"/>
  <c r="V58" i="1"/>
  <c r="X58" i="1"/>
  <c r="Z58" i="1"/>
  <c r="T9" i="1"/>
  <c r="V9" i="1"/>
  <c r="X9" i="1"/>
  <c r="Z9" i="1"/>
  <c r="T34" i="1"/>
  <c r="V34" i="1"/>
  <c r="X34" i="1"/>
  <c r="Z34" i="1"/>
  <c r="S15" i="1"/>
  <c r="AD15" i="1" s="1"/>
  <c r="U15" i="1"/>
  <c r="W15" i="1"/>
  <c r="Y15" i="1"/>
  <c r="S110" i="1"/>
  <c r="AD110" i="1" s="1"/>
  <c r="U110" i="1"/>
  <c r="W110" i="1"/>
  <c r="Y110" i="1"/>
  <c r="S54" i="1"/>
  <c r="AD54" i="1" s="1"/>
  <c r="U54" i="1"/>
  <c r="W54" i="1"/>
  <c r="Y54" i="1"/>
  <c r="T60" i="1"/>
  <c r="V60" i="1"/>
  <c r="X60" i="1"/>
  <c r="Z60" i="1"/>
  <c r="T169" i="1"/>
  <c r="V169" i="1"/>
  <c r="X169" i="1"/>
  <c r="Z169" i="1"/>
  <c r="S42" i="1"/>
  <c r="AD42" i="1" s="1"/>
  <c r="U42" i="1"/>
  <c r="W42" i="1"/>
  <c r="Y42" i="1"/>
  <c r="S21" i="1"/>
  <c r="AD21" i="1" s="1"/>
  <c r="U21" i="1"/>
  <c r="W21" i="1"/>
  <c r="Y21" i="1"/>
  <c r="T73" i="1"/>
  <c r="V73" i="1"/>
  <c r="X73" i="1"/>
  <c r="Z73" i="1"/>
  <c r="S43" i="1"/>
  <c r="AD43" i="1" s="1"/>
  <c r="U43" i="1"/>
  <c r="W43" i="1"/>
  <c r="Y43" i="1"/>
  <c r="T77" i="1"/>
  <c r="V77" i="1"/>
  <c r="X77" i="1"/>
  <c r="Z77" i="1"/>
  <c r="S56" i="1"/>
  <c r="AD56" i="1" s="1"/>
  <c r="U56" i="1"/>
  <c r="W56" i="1"/>
  <c r="Y56" i="1"/>
  <c r="S64" i="1"/>
  <c r="AD64" i="1" s="1"/>
  <c r="U64" i="1"/>
  <c r="W64" i="1"/>
  <c r="Y64" i="1"/>
  <c r="T59" i="1"/>
  <c r="V59" i="1"/>
  <c r="X59" i="1"/>
  <c r="Z59" i="1"/>
  <c r="T94" i="1"/>
  <c r="V94" i="1"/>
  <c r="X94" i="1"/>
  <c r="Z94" i="1"/>
  <c r="S40" i="1"/>
  <c r="AD40" i="1" s="1"/>
  <c r="U40" i="1"/>
  <c r="X40" i="1"/>
  <c r="U115" i="1"/>
  <c r="Y115" i="1"/>
  <c r="T116" i="1"/>
  <c r="X116" i="1"/>
  <c r="T170" i="1"/>
  <c r="X170" i="1"/>
  <c r="AM3" i="1"/>
  <c r="AO3" i="1"/>
  <c r="AN3" i="1"/>
  <c r="AP3" i="1"/>
  <c r="AD317" i="1" l="1"/>
  <c r="AD324" i="1"/>
  <c r="AE324" i="1" s="1"/>
  <c r="AD321" i="1"/>
  <c r="AD237" i="1"/>
  <c r="AD306" i="1"/>
  <c r="AD23" i="1"/>
  <c r="AD199" i="1"/>
  <c r="AD276" i="1"/>
  <c r="AD160" i="1"/>
  <c r="AD130" i="1"/>
  <c r="AD264" i="1"/>
  <c r="AE264" i="1" s="1"/>
  <c r="AD129" i="1"/>
  <c r="AD293" i="1"/>
  <c r="AD271" i="1"/>
  <c r="AD318" i="1"/>
  <c r="AD314" i="1"/>
  <c r="AD301" i="1"/>
  <c r="AD194" i="1"/>
  <c r="AD312" i="1"/>
  <c r="AD11" i="1"/>
  <c r="AD315" i="1"/>
  <c r="AD269" i="1"/>
  <c r="AE269" i="1" s="1"/>
  <c r="AD91" i="1"/>
  <c r="AE91" i="1" s="1"/>
  <c r="AD174" i="1"/>
  <c r="AD10" i="1"/>
  <c r="AD131" i="1"/>
  <c r="AD89" i="1"/>
  <c r="AD141" i="1"/>
  <c r="AD142" i="1"/>
  <c r="AD47" i="1"/>
  <c r="AD243" i="1"/>
  <c r="AD94" i="1"/>
  <c r="AD73" i="1"/>
  <c r="AD60" i="1"/>
  <c r="AD58" i="1"/>
  <c r="AD88" i="1"/>
  <c r="AD16" i="1"/>
  <c r="AD154" i="1"/>
  <c r="AD32" i="1"/>
  <c r="AD17" i="1"/>
  <c r="AD217" i="1"/>
  <c r="AD173" i="1"/>
  <c r="AD225" i="1"/>
  <c r="AD127" i="1"/>
  <c r="AD280" i="1"/>
  <c r="AD277" i="1"/>
  <c r="AD249" i="1"/>
  <c r="AE249" i="1" s="1"/>
  <c r="AD158" i="1"/>
  <c r="AD322" i="1"/>
  <c r="AD218" i="1"/>
  <c r="AD251" i="1"/>
  <c r="AD183" i="1"/>
  <c r="AD207" i="1"/>
  <c r="AD235" i="1"/>
  <c r="AD248" i="1"/>
  <c r="AD250" i="1"/>
  <c r="AD262" i="1"/>
  <c r="AD208" i="1"/>
  <c r="AD168" i="1"/>
  <c r="AD291" i="1"/>
  <c r="AD310" i="1"/>
  <c r="AD270" i="1"/>
  <c r="AD326" i="1"/>
  <c r="AD273" i="1"/>
  <c r="AD294" i="1"/>
  <c r="AD57" i="1"/>
  <c r="AD162" i="1"/>
  <c r="AD44" i="1"/>
  <c r="AD240" i="1"/>
  <c r="AD118" i="1"/>
  <c r="AD224" i="1"/>
  <c r="AD37" i="1"/>
  <c r="AD182" i="1"/>
  <c r="AD25" i="1"/>
  <c r="AD138" i="1"/>
  <c r="AD66" i="1"/>
  <c r="AD112" i="1"/>
  <c r="AD46" i="1"/>
  <c r="AD101" i="1"/>
  <c r="AD68" i="1"/>
  <c r="AD115" i="1"/>
  <c r="AD78" i="1"/>
  <c r="AD113" i="1"/>
  <c r="AD70" i="1"/>
  <c r="AD211" i="1"/>
  <c r="AD189" i="1"/>
  <c r="AD86" i="1"/>
  <c r="AD76" i="1"/>
  <c r="AD97" i="1"/>
  <c r="AD153" i="1"/>
  <c r="AD100" i="1"/>
  <c r="AD102" i="1"/>
  <c r="AD83" i="1"/>
  <c r="AD49" i="1"/>
  <c r="AD309" i="1"/>
  <c r="AD202" i="1"/>
  <c r="AD181" i="1"/>
  <c r="AD28" i="1"/>
  <c r="AD241" i="1"/>
  <c r="AD284" i="1"/>
  <c r="AD297" i="1"/>
  <c r="AD212" i="1"/>
  <c r="AD230" i="1"/>
  <c r="AD228" i="1"/>
  <c r="AD275" i="1"/>
  <c r="AD82" i="1"/>
  <c r="AD69" i="1"/>
  <c r="AD59" i="1"/>
  <c r="AD77" i="1"/>
  <c r="AD169" i="1"/>
  <c r="AD34" i="1"/>
  <c r="AD9" i="1"/>
  <c r="AD51" i="1"/>
  <c r="AD22" i="1"/>
  <c r="AD213" i="1"/>
  <c r="AD7" i="1"/>
  <c r="AD20" i="1"/>
  <c r="AD125" i="1"/>
  <c r="AD265" i="1"/>
  <c r="AD92" i="1"/>
  <c r="AD177" i="1"/>
  <c r="AD242" i="1"/>
  <c r="AD260" i="1"/>
  <c r="AD176" i="1"/>
  <c r="AD197" i="1"/>
  <c r="AD206" i="1"/>
  <c r="AD152" i="1"/>
  <c r="AD219" i="1"/>
  <c r="AD210" i="1"/>
  <c r="AD302" i="1"/>
  <c r="AD209" i="1"/>
  <c r="AD279" i="1"/>
  <c r="AD327" i="1"/>
  <c r="AD325" i="1"/>
  <c r="AD272" i="1"/>
  <c r="AE272" i="1" s="1"/>
  <c r="AD300" i="1"/>
  <c r="AD319" i="1"/>
  <c r="AD187" i="1"/>
  <c r="AD167" i="1"/>
  <c r="AD195" i="1"/>
  <c r="AD30" i="1"/>
  <c r="AD232" i="1"/>
  <c r="AD33" i="1"/>
  <c r="AD55" i="1"/>
  <c r="AD35" i="1"/>
  <c r="AD205" i="1"/>
  <c r="AD156" i="1"/>
  <c r="AD116" i="1"/>
  <c r="AD170" i="1"/>
  <c r="AD146" i="1"/>
  <c r="AD79" i="1"/>
  <c r="AD172" i="1"/>
  <c r="AD84" i="1"/>
  <c r="AD201" i="1"/>
  <c r="AD85" i="1"/>
  <c r="AD180" i="1"/>
  <c r="AD261" i="1"/>
  <c r="AD122" i="1"/>
  <c r="AD192" i="1"/>
  <c r="AD231" i="1"/>
  <c r="AD93" i="1"/>
  <c r="AD27" i="1"/>
  <c r="AE27" i="1" s="1"/>
  <c r="AD200" i="1"/>
  <c r="AD186" i="1"/>
  <c r="AD244" i="1"/>
  <c r="AD221" i="1"/>
  <c r="AD234" i="1"/>
  <c r="AD252" i="1"/>
  <c r="AD255" i="1"/>
  <c r="AD288" i="1"/>
  <c r="AD257" i="1"/>
  <c r="AD148" i="1"/>
  <c r="AD198" i="1"/>
  <c r="AD98" i="1"/>
  <c r="AD123" i="1"/>
  <c r="AD254" i="1"/>
  <c r="AD190" i="1"/>
  <c r="AD246" i="1"/>
  <c r="AD150" i="1"/>
  <c r="AD281" i="1"/>
  <c r="AD223" i="1"/>
  <c r="AD95" i="1"/>
  <c r="AD166" i="1"/>
  <c r="AD245" i="1"/>
  <c r="AD175" i="1"/>
  <c r="AD147" i="1"/>
  <c r="AD80" i="1"/>
  <c r="AD236" i="1"/>
  <c r="AD216" i="1"/>
  <c r="AD12" i="1"/>
  <c r="AD19" i="1"/>
  <c r="AD140" i="1"/>
  <c r="AD50" i="1"/>
  <c r="AD63" i="1"/>
  <c r="AD36" i="1"/>
  <c r="AD114" i="1"/>
  <c r="AD126" i="1"/>
  <c r="AD38" i="1"/>
  <c r="AD48" i="1"/>
  <c r="AD75" i="1"/>
  <c r="AD104" i="1"/>
  <c r="AD45" i="1"/>
  <c r="AD67" i="1"/>
  <c r="AE67" i="1" s="1"/>
  <c r="AD109" i="1"/>
  <c r="AD39" i="1"/>
  <c r="AD53" i="1"/>
  <c r="AE53" i="1" s="1"/>
  <c r="AD87" i="1"/>
  <c r="AE87" i="1" s="1"/>
  <c r="AD108" i="1"/>
  <c r="AD137" i="1"/>
  <c r="AD72" i="1"/>
  <c r="AD103" i="1"/>
  <c r="AD135" i="1"/>
  <c r="AD151" i="1"/>
  <c r="AD71" i="1"/>
  <c r="AD90" i="1"/>
  <c r="AD107" i="1"/>
  <c r="AD61" i="1"/>
  <c r="AD121" i="1"/>
  <c r="AD119" i="1"/>
  <c r="AD99" i="1"/>
  <c r="AD313" i="1"/>
  <c r="AD96" i="1"/>
  <c r="AD133" i="1"/>
  <c r="AD52" i="1"/>
  <c r="AD159" i="1"/>
  <c r="AD226" i="1"/>
  <c r="AD247" i="1"/>
  <c r="AD287" i="1"/>
  <c r="AD229" i="1"/>
  <c r="AD214" i="1"/>
  <c r="AD227" i="1"/>
  <c r="AD62" i="1"/>
  <c r="AD18" i="1"/>
  <c r="AD253" i="1"/>
  <c r="AD185" i="1"/>
  <c r="AD196" i="1"/>
  <c r="AD139" i="1"/>
  <c r="AD285" i="1"/>
  <c r="AD278" i="1"/>
  <c r="AE278" i="1" s="1"/>
  <c r="AD193" i="1"/>
  <c r="AD161" i="1"/>
  <c r="AD65" i="1"/>
  <c r="AD286" i="1"/>
  <c r="AD178" i="1"/>
  <c r="AD188" i="1"/>
  <c r="AD268" i="1"/>
  <c r="AD263" i="1"/>
  <c r="AD266" i="1"/>
  <c r="AD258" i="1"/>
  <c r="AD134" i="1"/>
  <c r="AD204" i="1"/>
  <c r="AD220" i="1"/>
  <c r="AD203" i="1"/>
  <c r="AD290" i="1"/>
  <c r="AD222" i="1"/>
  <c r="AD143" i="1"/>
  <c r="AD215" i="1"/>
  <c r="AD149" i="1"/>
  <c r="AD238" i="1"/>
  <c r="AD111" i="1"/>
  <c r="AD233" i="1"/>
  <c r="AD256" i="1"/>
  <c r="AD124" i="1"/>
  <c r="AD320" i="1"/>
  <c r="AD267" i="1"/>
  <c r="AD303" i="1"/>
  <c r="AD292" i="1"/>
  <c r="AD144" i="1"/>
  <c r="AD155" i="1"/>
  <c r="AD283" i="1"/>
  <c r="AE283" i="1" s="1"/>
  <c r="AD239" i="1"/>
  <c r="AD295" i="1"/>
  <c r="AD307" i="1"/>
  <c r="AD184" i="1"/>
  <c r="AD305" i="1"/>
  <c r="AE305" i="1" s="1"/>
  <c r="AD179" i="1"/>
  <c r="AD132" i="1"/>
  <c r="AD299" i="1"/>
  <c r="AD164" i="1"/>
  <c r="AD163" i="1"/>
  <c r="AD296" i="1"/>
  <c r="AD274" i="1"/>
  <c r="AE274" i="1" s="1"/>
  <c r="AD289" i="1"/>
  <c r="AD316" i="1"/>
  <c r="AD282" i="1"/>
  <c r="AD26" i="1"/>
  <c r="AD308" i="1"/>
  <c r="AD304" i="1"/>
  <c r="AD298" i="1"/>
  <c r="AD120" i="1"/>
  <c r="AD323" i="1"/>
  <c r="AD328" i="1"/>
  <c r="AD311" i="1"/>
  <c r="AD329" i="1"/>
  <c r="AD74" i="1"/>
  <c r="AE74" i="1" s="1"/>
  <c r="AD117" i="1"/>
  <c r="AD165" i="1"/>
  <c r="AD259" i="1"/>
  <c r="AD136" i="1"/>
  <c r="AD145" i="1"/>
  <c r="AD157" i="1"/>
  <c r="AD128" i="1"/>
  <c r="AD81" i="1"/>
  <c r="AD41" i="1"/>
  <c r="AD24" i="1"/>
  <c r="E958" i="7"/>
  <c r="E1684" i="7" s="1"/>
  <c r="E1685" i="7" s="1"/>
  <c r="AE237" i="1"/>
  <c r="AE129" i="1"/>
  <c r="P1503" i="7"/>
  <c r="F1974" i="7"/>
  <c r="I1965" i="7"/>
  <c r="P1965" i="7" s="1"/>
  <c r="AE39" i="1"/>
  <c r="AE108" i="1"/>
  <c r="F1833" i="7"/>
  <c r="H1542" i="7"/>
  <c r="H1681" i="7" s="1"/>
  <c r="H1451" i="7"/>
  <c r="G702" i="7"/>
  <c r="G958" i="7" s="1"/>
  <c r="F1684" i="7"/>
  <c r="F1685" i="7" s="1"/>
  <c r="I1990" i="7"/>
  <c r="I410" i="7"/>
  <c r="P410" i="7" s="1"/>
  <c r="H434" i="7"/>
  <c r="E1815" i="7"/>
  <c r="I1812" i="7"/>
  <c r="P1812" i="7" s="1"/>
  <c r="H494" i="7"/>
  <c r="I490" i="7"/>
  <c r="P490" i="7" s="1"/>
  <c r="F2142" i="7"/>
  <c r="F2150" i="7" s="1"/>
  <c r="I2140" i="7"/>
  <c r="P2140" i="7" s="1"/>
  <c r="I1960" i="7"/>
  <c r="P1960" i="7" s="1"/>
  <c r="E1961" i="7"/>
  <c r="I1831" i="7"/>
  <c r="I2152" i="7"/>
  <c r="P2152" i="7" s="1"/>
  <c r="F2156" i="7"/>
  <c r="H1045" i="7"/>
  <c r="H1195" i="7" s="1"/>
  <c r="I1926" i="7"/>
  <c r="P1926" i="7" s="1"/>
  <c r="H1933" i="7"/>
  <c r="AE160" i="1"/>
  <c r="AE276" i="1"/>
  <c r="AE193" i="1"/>
  <c r="AE158" i="1"/>
  <c r="AE262" i="1"/>
  <c r="AE223" i="1"/>
  <c r="AE184" i="1"/>
  <c r="AE299" i="1"/>
  <c r="AE316" i="1"/>
  <c r="AE321" i="1"/>
  <c r="AE306" i="1"/>
  <c r="AE171" i="1"/>
  <c r="AE250" i="1"/>
  <c r="AE275" i="1"/>
  <c r="AE176" i="1"/>
  <c r="AE293" i="1"/>
  <c r="AE94" i="1"/>
  <c r="AE73" i="1"/>
  <c r="H670" i="7" l="1"/>
  <c r="P1990" i="7"/>
  <c r="I2066" i="7"/>
  <c r="P2066" i="7" s="1"/>
  <c r="H1684" i="7"/>
  <c r="G1684" i="7"/>
  <c r="G1685" i="7" s="1"/>
  <c r="G2165" i="7" s="1"/>
  <c r="F2157" i="7"/>
  <c r="I2150" i="7"/>
  <c r="AE243" i="1"/>
  <c r="AE47" i="1"/>
  <c r="AE99" i="1"/>
  <c r="AE68" i="1"/>
  <c r="AE119" i="1"/>
  <c r="AE137" i="1"/>
  <c r="AE61" i="1"/>
  <c r="AE36" i="1"/>
  <c r="AE114" i="1"/>
  <c r="AE142" i="1"/>
  <c r="AE107" i="1"/>
  <c r="AE141" i="1"/>
  <c r="AE69" i="1"/>
  <c r="AE151" i="1"/>
  <c r="AE89" i="1"/>
  <c r="AE90" i="1"/>
  <c r="AE101" i="1"/>
  <c r="AE112" i="1"/>
  <c r="AE121" i="1"/>
  <c r="AE71" i="1"/>
  <c r="AE46" i="1"/>
  <c r="P1513" i="7"/>
  <c r="AE135" i="1"/>
  <c r="AE72" i="1"/>
  <c r="AE103" i="1"/>
  <c r="AE126" i="1"/>
  <c r="AE45" i="1"/>
  <c r="AE75" i="1"/>
  <c r="AE38" i="1"/>
  <c r="AE109" i="1"/>
  <c r="AE104" i="1"/>
  <c r="AE48" i="1"/>
  <c r="I1542" i="7"/>
  <c r="I702" i="7"/>
  <c r="H2106" i="7"/>
  <c r="I434" i="7"/>
  <c r="E1833" i="7"/>
  <c r="I1815" i="7"/>
  <c r="P1815" i="7" s="1"/>
  <c r="I494" i="7"/>
  <c r="P494" i="7" s="1"/>
  <c r="I2142" i="7"/>
  <c r="P2142" i="7" s="1"/>
  <c r="I1451" i="7"/>
  <c r="P1451" i="7" s="1"/>
  <c r="I1961" i="7"/>
  <c r="P1961" i="7" s="1"/>
  <c r="E1974" i="7"/>
  <c r="I1832" i="7"/>
  <c r="P1832" i="7" s="1"/>
  <c r="D1833" i="7"/>
  <c r="I2156" i="7"/>
  <c r="P2156" i="7" s="1"/>
  <c r="I1045" i="7"/>
  <c r="P1045" i="7" s="1"/>
  <c r="AE131" i="1"/>
  <c r="AE24" i="1"/>
  <c r="AE19" i="1"/>
  <c r="AE63" i="1"/>
  <c r="AE50" i="1"/>
  <c r="AE140" i="1"/>
  <c r="AE10" i="1"/>
  <c r="AE12" i="1"/>
  <c r="AE205" i="1"/>
  <c r="AE35" i="1"/>
  <c r="AE130" i="1"/>
  <c r="AE174" i="1"/>
  <c r="AE199" i="1"/>
  <c r="AE23" i="1"/>
  <c r="AE128" i="1"/>
  <c r="AE33" i="1"/>
  <c r="AE138" i="1"/>
  <c r="AE66" i="1"/>
  <c r="AE55" i="1"/>
  <c r="AE81" i="1"/>
  <c r="AE41" i="1"/>
  <c r="AE82" i="1"/>
  <c r="AE25" i="1"/>
  <c r="AE216" i="1"/>
  <c r="AE315" i="1"/>
  <c r="AE118" i="1"/>
  <c r="AE37" i="1"/>
  <c r="AE30" i="1"/>
  <c r="AE147" i="1"/>
  <c r="AE182" i="1"/>
  <c r="AE224" i="1"/>
  <c r="AE175" i="1"/>
  <c r="AE80" i="1"/>
  <c r="AE232" i="1"/>
  <c r="AE236" i="1"/>
  <c r="AE245" i="1"/>
  <c r="AE240" i="1"/>
  <c r="AE259" i="1"/>
  <c r="AE117" i="1"/>
  <c r="AE195" i="1"/>
  <c r="AE167" i="1"/>
  <c r="AE44" i="1"/>
  <c r="AE162" i="1"/>
  <c r="AE187" i="1"/>
  <c r="AE166" i="1"/>
  <c r="AE145" i="1"/>
  <c r="AE136" i="1"/>
  <c r="AE165" i="1"/>
  <c r="AE157" i="1"/>
  <c r="AE132" i="1"/>
  <c r="AE285" i="1"/>
  <c r="AE11" i="1"/>
  <c r="AE105" i="1"/>
  <c r="AE298" i="1"/>
  <c r="AE308" i="1"/>
  <c r="AE116" i="1"/>
  <c r="AE326" i="1"/>
  <c r="AE26" i="1"/>
  <c r="AE295" i="1"/>
  <c r="AE312" i="1"/>
  <c r="AE208" i="1"/>
  <c r="AE153" i="1"/>
  <c r="AE115" i="1"/>
  <c r="AE270" i="1"/>
  <c r="AE289" i="1"/>
  <c r="AE291" i="1"/>
  <c r="AE294" i="1"/>
  <c r="AE282" i="1"/>
  <c r="AE120" i="1"/>
  <c r="AE327" i="1"/>
  <c r="AE163" i="1"/>
  <c r="AE168" i="1"/>
  <c r="AE325" i="1"/>
  <c r="AE273" i="1"/>
  <c r="AE310" i="1"/>
  <c r="AE317" i="1"/>
  <c r="AE300" i="1"/>
  <c r="AE279" i="1"/>
  <c r="AE21" i="1"/>
  <c r="AE229" i="1"/>
  <c r="AE155" i="1"/>
  <c r="AE244" i="1"/>
  <c r="AE304" i="1"/>
  <c r="AE169" i="1"/>
  <c r="AE34" i="1"/>
  <c r="AE318" i="1"/>
  <c r="AE57" i="1"/>
  <c r="AE239" i="1"/>
  <c r="AE247" i="1"/>
  <c r="AE231" i="1"/>
  <c r="AE22" i="1"/>
  <c r="AE5" i="1"/>
  <c r="AE15" i="1"/>
  <c r="AE200" i="1"/>
  <c r="AE58" i="1"/>
  <c r="AE8" i="1"/>
  <c r="AE43" i="1"/>
  <c r="AE98" i="1"/>
  <c r="AE185" i="1"/>
  <c r="AE320" i="1"/>
  <c r="AE210" i="1"/>
  <c r="AE322" i="1"/>
  <c r="AE260" i="1"/>
  <c r="AE265" i="1"/>
  <c r="AE164" i="1"/>
  <c r="AE228" i="1"/>
  <c r="AE241" i="1"/>
  <c r="AE192" i="1"/>
  <c r="AE211" i="1"/>
  <c r="AE60" i="1"/>
  <c r="AE54" i="1"/>
  <c r="AE133" i="1"/>
  <c r="AE102" i="1"/>
  <c r="AE97" i="1"/>
  <c r="AE84" i="1"/>
  <c r="AE17" i="1"/>
  <c r="AE13" i="1"/>
  <c r="AE301" i="1"/>
  <c r="AE198" i="1"/>
  <c r="AE255" i="1"/>
  <c r="AE290" i="1"/>
  <c r="AE266" i="1"/>
  <c r="AE139" i="1"/>
  <c r="AE62" i="1"/>
  <c r="AE124" i="1"/>
  <c r="AE233" i="1"/>
  <c r="AE149" i="1"/>
  <c r="AE252" i="1"/>
  <c r="AE235" i="1"/>
  <c r="AE183" i="1"/>
  <c r="AE219" i="1"/>
  <c r="AE206" i="1"/>
  <c r="AE297" i="1"/>
  <c r="AE40" i="1"/>
  <c r="AE179" i="1"/>
  <c r="AE95" i="1"/>
  <c r="AE230" i="1"/>
  <c r="AE159" i="1"/>
  <c r="AE96" i="1"/>
  <c r="AE186" i="1"/>
  <c r="AE122" i="1"/>
  <c r="AE85" i="1"/>
  <c r="AE70" i="1"/>
  <c r="AE88" i="1"/>
  <c r="AE59" i="1"/>
  <c r="AE191" i="1"/>
  <c r="AE329" i="1"/>
  <c r="AE328" i="1"/>
  <c r="AE281" i="1"/>
  <c r="AE227" i="1"/>
  <c r="AE28" i="1"/>
  <c r="AE309" i="1"/>
  <c r="AE201" i="1"/>
  <c r="AE172" i="1"/>
  <c r="AE7" i="1"/>
  <c r="AE213" i="1"/>
  <c r="AE51" i="1"/>
  <c r="AE31" i="1"/>
  <c r="AE110" i="1"/>
  <c r="AE170" i="1"/>
  <c r="AE314" i="1"/>
  <c r="AE144" i="1"/>
  <c r="AE78" i="1"/>
  <c r="AE254" i="1"/>
  <c r="AE203" i="1"/>
  <c r="AE134" i="1"/>
  <c r="AE286" i="1"/>
  <c r="AE161" i="1"/>
  <c r="AE253" i="1"/>
  <c r="AE156" i="1"/>
  <c r="AE287" i="1"/>
  <c r="AE256" i="1"/>
  <c r="AE111" i="1"/>
  <c r="AE215" i="1"/>
  <c r="AE234" i="1"/>
  <c r="AE207" i="1"/>
  <c r="AE218" i="1"/>
  <c r="AE280" i="1"/>
  <c r="AE127" i="1"/>
  <c r="AE173" i="1"/>
  <c r="AE217" i="1"/>
  <c r="AE261" i="1"/>
  <c r="AE284" i="1"/>
  <c r="AE313" i="1"/>
  <c r="AE189" i="1"/>
  <c r="AE9" i="1"/>
  <c r="AE271" i="1"/>
  <c r="AE303" i="1"/>
  <c r="AE212" i="1"/>
  <c r="AE181" i="1"/>
  <c r="AE100" i="1"/>
  <c r="AE86" i="1"/>
  <c r="AE146" i="1"/>
  <c r="AE194" i="1"/>
  <c r="AE83" i="1"/>
  <c r="AE150" i="1"/>
  <c r="AE257" i="1"/>
  <c r="AE221" i="1"/>
  <c r="AE204" i="1"/>
  <c r="AE268" i="1"/>
  <c r="AE238" i="1"/>
  <c r="AE143" i="1"/>
  <c r="AE248" i="1"/>
  <c r="AE197" i="1"/>
  <c r="AE225" i="1"/>
  <c r="AE226" i="1"/>
  <c r="AE180" i="1"/>
  <c r="AE16" i="1"/>
  <c r="AE56" i="1"/>
  <c r="AE319" i="1"/>
  <c r="AE246" i="1"/>
  <c r="AE188" i="1"/>
  <c r="AE307" i="1"/>
  <c r="AE52" i="1"/>
  <c r="AE93" i="1"/>
  <c r="AE6" i="1"/>
  <c r="AE64" i="1"/>
  <c r="AE311" i="1"/>
  <c r="AE296" i="1"/>
  <c r="AE292" i="1"/>
  <c r="AE214" i="1"/>
  <c r="AE49" i="1"/>
  <c r="AE76" i="1"/>
  <c r="AE79" i="1"/>
  <c r="AE32" i="1"/>
  <c r="AE77" i="1"/>
  <c r="AE29" i="1"/>
  <c r="AE106" i="1"/>
  <c r="AE42" i="1"/>
  <c r="AE323" i="1"/>
  <c r="AE190" i="1"/>
  <c r="AE202" i="1"/>
  <c r="AE123" i="1"/>
  <c r="AE148" i="1"/>
  <c r="AE288" i="1"/>
  <c r="AE222" i="1"/>
  <c r="AE220" i="1"/>
  <c r="AE258" i="1"/>
  <c r="AE263" i="1"/>
  <c r="AE178" i="1"/>
  <c r="AE65" i="1"/>
  <c r="AE196" i="1"/>
  <c r="AE18" i="1"/>
  <c r="AE20" i="1"/>
  <c r="AE14" i="1"/>
  <c r="AE267" i="1"/>
  <c r="AE209" i="1"/>
  <c r="AE302" i="1"/>
  <c r="AE251" i="1"/>
  <c r="AE152" i="1"/>
  <c r="AE277" i="1"/>
  <c r="AE242" i="1"/>
  <c r="AE177" i="1"/>
  <c r="AE92" i="1"/>
  <c r="AE125" i="1"/>
  <c r="AE113" i="1"/>
  <c r="AE154" i="1"/>
  <c r="P1542" i="7" l="1"/>
  <c r="I1681" i="7"/>
  <c r="P1681" i="7" s="1"/>
  <c r="P702" i="7"/>
  <c r="I958" i="7"/>
  <c r="P434" i="7"/>
  <c r="I670" i="7"/>
  <c r="E2165" i="7"/>
  <c r="H1685" i="7"/>
  <c r="H2165" i="7" s="1"/>
  <c r="I2157" i="7"/>
  <c r="P2150" i="7"/>
  <c r="P2157" i="7" s="1"/>
  <c r="I2106" i="7"/>
  <c r="P2106" i="7" s="1"/>
  <c r="I1974" i="7"/>
  <c r="P1974" i="7" s="1"/>
  <c r="I1833" i="7"/>
  <c r="P1833" i="7" s="1"/>
  <c r="I1195" i="7"/>
  <c r="P1195" i="7" s="1"/>
  <c r="P958" i="7" l="1"/>
  <c r="I1684" i="7"/>
  <c r="P1684" i="7" s="1"/>
  <c r="P670" i="7"/>
  <c r="I1860" i="7"/>
  <c r="I1685" i="7" l="1"/>
  <c r="P1685" i="7" s="1"/>
  <c r="D1933" i="7"/>
  <c r="D2165" i="7" s="1"/>
  <c r="F1933" i="7" l="1"/>
  <c r="F2165" i="7" s="1"/>
  <c r="I1916" i="7"/>
  <c r="I1933" i="7" l="1"/>
  <c r="I2165" i="7" s="1"/>
  <c r="P1916" i="7"/>
  <c r="P1933" i="7" l="1"/>
  <c r="P2165" i="7" s="1"/>
</calcChain>
</file>

<file path=xl/sharedStrings.xml><?xml version="1.0" encoding="utf-8"?>
<sst xmlns="http://schemas.openxmlformats.org/spreadsheetml/2006/main" count="4156" uniqueCount="1381">
  <si>
    <t>Priority</t>
  </si>
  <si>
    <t>Dept</t>
  </si>
  <si>
    <t>Asset Category</t>
  </si>
  <si>
    <t>Project Title</t>
  </si>
  <si>
    <t>Project Description / Justification</t>
  </si>
  <si>
    <t>Schools</t>
  </si>
  <si>
    <t>Building</t>
  </si>
  <si>
    <t>Public Buildings</t>
  </si>
  <si>
    <t>DPW/ Storm</t>
  </si>
  <si>
    <t>Storm</t>
  </si>
  <si>
    <t>Fire Dept</t>
  </si>
  <si>
    <t>DPW/ Water</t>
  </si>
  <si>
    <t>Water</t>
  </si>
  <si>
    <t>DPW/ Sewer</t>
  </si>
  <si>
    <t>Parks/Rec</t>
  </si>
  <si>
    <t>Sewer</t>
  </si>
  <si>
    <t>DPW</t>
  </si>
  <si>
    <t>DPW - Replace Street Sweeper</t>
  </si>
  <si>
    <t>Health</t>
  </si>
  <si>
    <r>
      <t xml:space="preserve">Health Department Bldg - </t>
    </r>
    <r>
      <rPr>
        <b/>
        <sz val="8"/>
        <color rgb="FFFF0000"/>
        <rFont val="Calibri"/>
        <family val="2"/>
        <scheme val="minor"/>
      </rPr>
      <t>ReUse Consideration</t>
    </r>
  </si>
  <si>
    <t>IT</t>
  </si>
  <si>
    <t>Install Citywide IT Data Network</t>
  </si>
  <si>
    <t>Library</t>
  </si>
  <si>
    <t>Newton Free Library - Generator Replacement</t>
  </si>
  <si>
    <t>Senior Center</t>
  </si>
  <si>
    <t>Senior Center - Mechanical Upgrades</t>
  </si>
  <si>
    <t>Replace Fire Dept Rescue Truck and Rescue Boat</t>
  </si>
  <si>
    <t>City Hall - Exterior Windows &amp; Doors</t>
  </si>
  <si>
    <t>Lincoln Eliot School - Mechanical Upgrades</t>
  </si>
  <si>
    <t>Jackson Homestead</t>
  </si>
  <si>
    <t>Jackson Homestead - Archives Project</t>
  </si>
  <si>
    <t>Fire Station #1, Newton Corner - Replace Emergency Generator</t>
  </si>
  <si>
    <t>Replace emergency electrical generator (30kW, 208Y/120V, 3-Phase, 4-Wire) and transfer switch which are at the end of their useful lives.</t>
  </si>
  <si>
    <t>Newton Free Library - Mechanical Upgrades</t>
  </si>
  <si>
    <t>Ed Center - Electrical Upgrades</t>
  </si>
  <si>
    <t>Police</t>
  </si>
  <si>
    <t>Police Headquarters - Mechanical Upgrades</t>
  </si>
  <si>
    <t xml:space="preserve">City Hall - Envelope - Masonry Repairs  </t>
  </si>
  <si>
    <t>Police Headquarters - Roof Repair/ Replacement</t>
  </si>
  <si>
    <t>Walnut Street (Homer Street to Route 9) - Final Design</t>
  </si>
  <si>
    <t>Bigelow School - Mechanical Upgrades</t>
  </si>
  <si>
    <t>Fire Station #2, West Newton - Replace Ext. Windows &amp; Doors</t>
  </si>
  <si>
    <t>Remove existing wood windows and replace with new energy efficient insulated windows (40ea).</t>
  </si>
  <si>
    <t>City Hall - Masonry Repairs/Restoration, Memorial Steps</t>
  </si>
  <si>
    <t>Implement recommendations from 2007 Study of the Memorial Stairs.</t>
  </si>
  <si>
    <t>FA Day School - Replace Boilers</t>
  </si>
  <si>
    <t>Mason Rice School - Mechanical Upgrades</t>
  </si>
  <si>
    <t>Replace Fire Dept Pumper Truck (Engine 1)</t>
  </si>
  <si>
    <t>Pelligrini Park Field House - Mechanical Upgrades</t>
  </si>
  <si>
    <t>Fire Station #2, West Newton - Repair Building Envelope</t>
  </si>
  <si>
    <t>Address structural crack in CMU wall first.  Repoint/ repair exterior masonry.</t>
  </si>
  <si>
    <t xml:space="preserve">Ed Center - Exterior Masonry Work </t>
  </si>
  <si>
    <t>Brown School - Mechanical Upgrades</t>
  </si>
  <si>
    <t>Horace Mann School - Replace Roof</t>
  </si>
  <si>
    <t>Crafts St DPW Operations (Stable) - Interior Renovation</t>
  </si>
  <si>
    <t>Design and Construction for renovated interior including mechanical, electrical, plumbing, and accessibility upgrades.</t>
  </si>
  <si>
    <r>
      <t xml:space="preserve">Repair concrete at the fire range ceiling. Rebuild tunnel ceiling, waterproof, etc. Repair Interior CMU and concrete walls. </t>
    </r>
    <r>
      <rPr>
        <sz val="8"/>
        <rFont val="Calibri"/>
        <family val="2"/>
        <scheme val="minor"/>
      </rPr>
      <t>Replace carpet flooring that is a tripping hazard.</t>
    </r>
  </si>
  <si>
    <t>Crafts Street Garage - Mechanical Upgrades</t>
  </si>
  <si>
    <t>Pelligrini Park Field House - Accessibility/ Site Upgrades</t>
  </si>
  <si>
    <t>Library Book Autocheckin/ Sorting System</t>
  </si>
  <si>
    <t>Almost 2 million library materials/yr checked in automatically and sorted by material type</t>
  </si>
  <si>
    <t>Fire Station #2, West Newton - Replace Emergency Generator</t>
  </si>
  <si>
    <t>Lower Falls Community Center - Accessibility/ Site Upgrades</t>
  </si>
  <si>
    <t>City Hall - Mechanical Upgrades</t>
  </si>
  <si>
    <r>
      <t xml:space="preserve">Replace condensing units.  Replace and insulate ductwork and replace fans.  </t>
    </r>
    <r>
      <rPr>
        <sz val="8"/>
        <rFont val="Calibri"/>
        <family val="2"/>
        <scheme val="minor"/>
      </rPr>
      <t>Add mini-split A/C units in conjunction with window restoration /replacement ($100K).</t>
    </r>
  </si>
  <si>
    <t>Police Annex - Mechanical Upgrades</t>
  </si>
  <si>
    <t xml:space="preserve">Replace baseboard heaters in bathrooms.  Provide proper ventilation/exhaust in locker rooms and bathrooms. Replace boiler with new high efficiency gas-fired boiler.  </t>
  </si>
  <si>
    <t>Lincoln Eliot School - Plumbing Upgrades</t>
  </si>
  <si>
    <t>Oak Hill School - Mechanical Upgrades - Roof Top Units and Distribution System</t>
  </si>
  <si>
    <t>Kennard Estate-Accessibility/Site</t>
  </si>
  <si>
    <t>Elliot Street Sand_Salt Shed - Structural and Envelope Repairs</t>
  </si>
  <si>
    <t>Jackson Homestead - Exterior Windows &amp; Doors</t>
  </si>
  <si>
    <t>Elliot St. Operations Building - Building Envelope</t>
  </si>
  <si>
    <t>Repair foundation walls and rebuild ramp foundation walls. Repair/replace areaway retaining wall. Repair cracks; repoint mortar joints.</t>
  </si>
  <si>
    <t>Ward School - Accessibility Improvements</t>
  </si>
  <si>
    <t>Burr Park Field House - Mechanical/Electrical Upgrades</t>
  </si>
  <si>
    <t>Replace steam boiler, radiators, venting and piping.  Replace exterior lighting to improve safety and security. Upgrade interior lighting and original wiring and conduit.</t>
  </si>
  <si>
    <t>Crafts St. Salt Storage Sheds Replacement</t>
  </si>
  <si>
    <t>Replace gym floor with new wood flooring.  Replace damaged carpeting and VCT flooring.</t>
  </si>
  <si>
    <t>Bowen School - Mechanical Upgrades</t>
  </si>
  <si>
    <t>DPW-Water/Utilities Department -Mechanical Upgrades</t>
  </si>
  <si>
    <t>Ward School - Mechanical Upgrades</t>
  </si>
  <si>
    <t>Police Garage - Windows &amp; Doors and Building Envelope</t>
  </si>
  <si>
    <t>Replace overhead doors and glass block windows.  Replace door to planning/research and glass block wall. Repair masonry veneer exterior. Repair step cracking in CMU walls.</t>
  </si>
  <si>
    <t>Elliot St. Garage - New Windows and Doors and Envelope Repairs</t>
  </si>
  <si>
    <t>Replace metal windows and security screens.  Remove and replace overhead doors with new insulated overhead doors. Repair exterior brick and at steel window lintels.</t>
  </si>
  <si>
    <t>Pelligrini Park Field House - Exterior Windows &amp; Doors</t>
  </si>
  <si>
    <t>Pelligrini Park Field House - Replace Roofs</t>
  </si>
  <si>
    <t>Replace Halloran Field Athletic Lighting (Albemarle)</t>
  </si>
  <si>
    <t>Replace the athletic lighting at the City's premier athletic complex</t>
  </si>
  <si>
    <t>Commonwealth Avenue (Route 128 to Washington Street)  - Preliminary and Final Design</t>
  </si>
  <si>
    <t>Washington Street (Commonwealth Avenue to Centre Street)  - Preliminary and Final Design</t>
  </si>
  <si>
    <t>Bowen School - Electrical Upgrades</t>
  </si>
  <si>
    <t>Replace electrical panels and sub-panels in original buildings.</t>
  </si>
  <si>
    <t>Emerson Community Center - Electrical Upgrades</t>
  </si>
  <si>
    <t>Replace switchboard and increase service size to meet electrical demands.  Replace original overloaded electrical panels. Install emergency audiovisual horn strobes.</t>
  </si>
  <si>
    <t>Ward School - Electrical Upgrades</t>
  </si>
  <si>
    <t>City Hall - Roof Repair/Replacement</t>
  </si>
  <si>
    <t>Install new membrane roof on flat roofs.  Repair/replace gutters on balcony roofs.  Replace metal roofing and flashing as required.</t>
  </si>
  <si>
    <t>Replace Fire Dept 1994 Cube Van W-4</t>
  </si>
  <si>
    <t>Replace 1994 Ford Cube Van (85,000 miles) for Wires Division which is responsible for city fiber optic, fire alrams, radio and phone systems.</t>
  </si>
  <si>
    <t>Elliot St. Garage - Electrical Upgrades</t>
  </si>
  <si>
    <t>Upgrade / replace egress lighting and exit signage per code. Upgrade audible fire alarm and strobes to ADA compliance. Replace receptacles, conduit and electrical panels.</t>
  </si>
  <si>
    <t>Lincoln Eliot School - Replace Windows and Doors</t>
  </si>
  <si>
    <t>Replace windows in 1965 addition and 1975 clerestory windows</t>
  </si>
  <si>
    <t>Lower Falls Community Center - Electrical Upgrades</t>
  </si>
  <si>
    <t>Front stair railing collapsing; catch basin at entrance plaza, parking area, make accessible route</t>
  </si>
  <si>
    <t>Underwood School - Replace Roof</t>
  </si>
  <si>
    <t>Ed Center - Mechanical Upgrades</t>
  </si>
  <si>
    <t>Public Buildings Department-Electrical</t>
  </si>
  <si>
    <t>Crafts St. Quonset Hut Replacement</t>
  </si>
  <si>
    <t>City Hall - Repair/Replace Stone Entry Stairs and Accessible Ramp</t>
  </si>
  <si>
    <t xml:space="preserve">Repair concrete at front entrance top riser. Install new side entry stairs and handrails. Remove and replace wood stairs.  Install vents through out balanceof soffits. </t>
  </si>
  <si>
    <t xml:space="preserve">Re-build the main entry ramp to be code compliant. Make ADA door opening device fully functioining. </t>
  </si>
  <si>
    <t>Police Garage - Accessibility/Site Upgrades</t>
  </si>
  <si>
    <t>Provide accessible door hardware, signage and code-compliant lower counters.  Install accessible employee toilet room.</t>
  </si>
  <si>
    <t>Burr Park Field House - Accessibility/Site Upgrades</t>
  </si>
  <si>
    <t>Accessibility upgrades to toilet rooms and fixtures, signage, drinking fountain, and door hardware.  Provide accessible path to entrance and an accessible parking space.</t>
  </si>
  <si>
    <t>Emerson Community Center - Accessibility Upgrades</t>
  </si>
  <si>
    <t>Countryside School - Mechanical Upgrades</t>
  </si>
  <si>
    <t>Fire Station #2, West Newton - Mechanical Upgrades</t>
  </si>
  <si>
    <t>City Hall - Elevator and Accessibility Upgrades</t>
  </si>
  <si>
    <t>Current elevator installed in 1976 and does not meet current ADA requirements.</t>
  </si>
  <si>
    <t>Repair Hammond St Drain</t>
  </si>
  <si>
    <t>Emerson Community Center - Mechanical Upgrades</t>
  </si>
  <si>
    <t>Replace existing cast iron radiators with new steam baseboard units. Remove and replace all old insulation on heating pipes. Potential abatement needed.</t>
  </si>
  <si>
    <t>Replace Cold Spring Park Tennis Courts</t>
  </si>
  <si>
    <t>Restoration of Historic East Burying Grounds</t>
  </si>
  <si>
    <r>
      <t>Preservation of Remaining 24 Tombs in two of the three buring grounds.</t>
    </r>
    <r>
      <rPr>
        <sz val="8"/>
        <rFont val="Calibri"/>
        <family val="2"/>
        <scheme val="minor"/>
      </rPr>
      <t xml:space="preserve">  Priority to South, then East Parish, then West Parish sites.</t>
    </r>
  </si>
  <si>
    <t>Kennard Estate - Replace Septic System</t>
  </si>
  <si>
    <t>Bigelow School - Replace Windows and Doors</t>
  </si>
  <si>
    <t>Replace aging windows and exteror doors to improve comfort, operation, and energy efficiency.</t>
  </si>
  <si>
    <t>Burr Park Field House - Building Envelope and Window Restoration</t>
  </si>
  <si>
    <t>Repair damaged exterior brick walls and trim. Remove entry landing stairs and railings and install new code-compliant landing, stairs and railings. Restore windows.</t>
  </si>
  <si>
    <t>Auburndale Library -Mechanical Upgrades</t>
  </si>
  <si>
    <t>Replace boiler with new steam oil-fired boiler. Replace breeching, combustion air dampers and ductwork.  Include heating zone and radiators in basement area.•Replace condensate pump with duplex condensate pump.•Provide new insulated piping with new boiler system.•Provide condensate pump for dehumidifers with new PVC piping. Repipe condensate through window in boiler room.•Provide new insulation for supply ductwork. Provide grille or screen for return ductwork.  Provide wire mesh screen at inlets to ductwork.  Provide covers for transfer grilles on basement side.</t>
  </si>
  <si>
    <t>Upper Falls Fieldhouse-Building Upgrades</t>
  </si>
  <si>
    <t>Horace Mann School - Restore/Replace Modular</t>
  </si>
  <si>
    <t>Existing modular is nearing the end of its useful life and will need to be reconditioned or replaced with permanent construction</t>
  </si>
  <si>
    <t>Crystal Lake Bathhouse - Renovate/Replace</t>
  </si>
  <si>
    <t>Police Annex - Roof Restoration/ Replacement</t>
  </si>
  <si>
    <t>Remove slates and replace with new slate roofing, gutters and downspouts (6600sf).•Install new EPDM Roof(500sf).  Reattach pvc downspout(1ea).</t>
  </si>
  <si>
    <t>Auburndale Cove Fieldhouse - Building Upgrades</t>
  </si>
  <si>
    <t>Replace Cabot Park Tennis Courts</t>
  </si>
  <si>
    <t>Replace two existing tennis courts at Cabot Park.</t>
  </si>
  <si>
    <t>Jeanette Curtis West Rec Ctr (The Hut) Renovation</t>
  </si>
  <si>
    <t>Rehabilitation of building envelope, mechanical, electrical, plumbing systems, life-safety, and accessibility of this historically significant structure. Houses many programs.</t>
  </si>
  <si>
    <t xml:space="preserve">Replacement of vehicle that is used daily for maintenance operations that exceeded its useful life span.  </t>
  </si>
  <si>
    <t>Police Garage - Mechanical Upgrades</t>
  </si>
  <si>
    <t>Replace ceiling hung unit heaters. Provide bathroom exhaust fan and split air conditioning system. Remove abandoned steam piping to prevent possibility of freezing.</t>
  </si>
  <si>
    <t>Replace Fire Dept Pumper Truck (Engine 3)</t>
  </si>
  <si>
    <t>Senior Center - Building Envelope</t>
  </si>
  <si>
    <t>Replace Fire Dept Aerial Ladder (Ladder 2)</t>
  </si>
  <si>
    <t>Fire Station #1, Newton Corner - Renovation</t>
  </si>
  <si>
    <t>Nonantum Library-Mechanical</t>
  </si>
  <si>
    <t>Remove and replace slate roof. Install new gutters and downspouts. Remove and replace existing flat roof.</t>
  </si>
  <si>
    <t>Develop plans to expand archival storage to accommodate and preserve archival collections and to comply with MGL mandated record storage requiremts.</t>
  </si>
  <si>
    <t>Public Buildings Department-Mechanical</t>
  </si>
  <si>
    <r>
      <t xml:space="preserve">Replace (2) duct mounted steam coils and baseboard heaters.•Replace fan coil ductwork with new insulated ductwork.  Provide make up air dampers and control for emergency generator.•Replace boiler induced-draft fan and replace corroded section of breeching.  Provide 75 CFM exhaust fans in mens and womens toilet rooms.•Replace air handler with new fan coil unit. Provide pad for unit to prevent water damage to unit or return ductwork.•Insulate steam and condensate piping in boiler room.•Provide damper and controls for combustion air opening for boiler.  </t>
    </r>
    <r>
      <rPr>
        <sz val="8"/>
        <color rgb="FFFF0000"/>
        <rFont val="Calibri"/>
        <family val="2"/>
        <scheme val="minor"/>
      </rPr>
      <t>No baseboard heating.</t>
    </r>
  </si>
  <si>
    <t>Elliot St. Operations Building - Roof Repair/ Replacement</t>
  </si>
  <si>
    <t xml:space="preserve">Remove and replace corrugated fiberglass roof.  Repair/ replace existing slate roof and add ice shield to prevent ice damming and icicle build-up. Repair/replace gutters. </t>
  </si>
  <si>
    <t>Auburndale Library -Exterior Windows &amp; Doors</t>
  </si>
  <si>
    <t>Pelligrini Park Field House - Electrical Upgrades</t>
  </si>
  <si>
    <t>Ed Center - Accessibility Upgrades</t>
  </si>
  <si>
    <t>Upgrade elevator, door hardware, and signage for accessibility.</t>
  </si>
  <si>
    <t>FA Day School - Accessibility Upgrades / Replace Elevator</t>
  </si>
  <si>
    <t>Nonantum Library-Electrical</t>
  </si>
  <si>
    <t>Police Garage - Electrical Upgrades</t>
  </si>
  <si>
    <t xml:space="preserve">Connect Garage to generator. Upgrade interior and exterior lighting for energy efficiency. Replace conduit, wiring. and distribution panel.  Upgrade smoke/fire detection system. </t>
  </si>
  <si>
    <t>City Hall - Plumbing Upgrades</t>
  </si>
  <si>
    <t>Crafts Street Garage - Replace Overhead Garage Doors</t>
  </si>
  <si>
    <t>Replace ten 25-year old overhead doors and tracks.  Replace exterior entrance doors and vestibule doors.</t>
  </si>
  <si>
    <t>Fire Station #2, West Newton - Renovation</t>
  </si>
  <si>
    <t>Replace second boiler and steam trap work.</t>
  </si>
  <si>
    <t>Police Garage - Roof Replacement</t>
  </si>
  <si>
    <t>Replace Newton South High School Tennis Courts</t>
  </si>
  <si>
    <t>Replace Fire  Pumper Truck (Engine 7)</t>
  </si>
  <si>
    <t>Elliot St. Operations Building - Accessibility/Site</t>
  </si>
  <si>
    <t>Restripe pavement and provide parking signage to create accessible parking spaces; construct an accessible entrance to the building.</t>
  </si>
  <si>
    <t>Jackson Homestead - Object Collection Storage</t>
  </si>
  <si>
    <t>Senior Center - Exterior Windows &amp; Doors</t>
  </si>
  <si>
    <t>Restore/Replace wood windows and aluminum storm windows as historically appropriate.</t>
  </si>
  <si>
    <t>Burr School - Accessibility Upgrades</t>
  </si>
  <si>
    <t>Pellegrini Park Drain Replacement</t>
  </si>
  <si>
    <t xml:space="preserve">Underwood School - Electrical Upgrades </t>
  </si>
  <si>
    <t>Waban Library-Exterior Windows &amp; Doors</t>
  </si>
  <si>
    <t>Elliot St. Operations Building - Mechanical/ Plumbing Upgrades</t>
  </si>
  <si>
    <t>Pump station is used for flood and mosquito control of Flowed Meadow and needs upgrades and repair work to function properly.</t>
  </si>
  <si>
    <t>Bigelow School - Accessibility Upgrades</t>
  </si>
  <si>
    <t>Install accessible ramp at entrance. Provide accessible toilet rooms. Resurface and re-grade pavement to comply with ADA requirements; Provide accessible parking space.</t>
  </si>
  <si>
    <t>Waban Library-Electrical</t>
  </si>
  <si>
    <t>City Hall - Rehabilitate Board of Alderman Chamber</t>
  </si>
  <si>
    <t>Senior Center - Roof Restoration/ Replacement</t>
  </si>
  <si>
    <t>Replace/restore slate roof as historically appropriate.</t>
  </si>
  <si>
    <t>Elliot St. Operations Building - Replace Windows &amp; Doors</t>
  </si>
  <si>
    <t>Remove and replace windows.  Replace overhead doors. Replace exterior and interior doors.</t>
  </si>
  <si>
    <t>Auburndale Library - Electrical Upgrades</t>
  </si>
  <si>
    <t>Restoration of Historic West Burying Grounds</t>
  </si>
  <si>
    <r>
      <t>Preservation of Remaining 24 Tombs in two of the three buring grounds.</t>
    </r>
    <r>
      <rPr>
        <sz val="8"/>
        <color rgb="FFFF0000"/>
        <rFont val="Calibri"/>
        <family val="2"/>
        <scheme val="minor"/>
      </rPr>
      <t xml:space="preserve"> </t>
    </r>
  </si>
  <si>
    <t>DPW-Water/Utilities Department - Accessibility Upgrades</t>
  </si>
  <si>
    <t xml:space="preserve">Entrance ramp, toilet room and water fountain upgrades, door hardware, lift, etc to improve accessibility. </t>
  </si>
  <si>
    <t>Countryside School - Replace Windows and Doors</t>
  </si>
  <si>
    <t>Replace single pane storefront system in connector and annex windows and exterior doors.</t>
  </si>
  <si>
    <t>Franklin School - Mechanical Upgrades</t>
  </si>
  <si>
    <t>Repair/Replace Fencing at Historic Burying Grounds</t>
  </si>
  <si>
    <t>Restoration of Fences at all 3 burying grounds</t>
  </si>
  <si>
    <t>Underwood School - Accessibility Upgrades</t>
  </si>
  <si>
    <t>Accessibility upgrades including compliant  door hardware, Toilets, and Elevator</t>
  </si>
  <si>
    <t>Franklin School - Accessibility and Plumbing Upgrades</t>
  </si>
  <si>
    <t xml:space="preserve">Farlow &amp; Chaffin Parks Historic Landscape Preservation Plan </t>
  </si>
  <si>
    <r>
      <t>Restoration and preservation of Farlow and Chaffin Park.  Could b</t>
    </r>
    <r>
      <rPr>
        <sz val="8"/>
        <rFont val="Calibri"/>
        <family val="2"/>
        <scheme val="minor"/>
      </rPr>
      <t>reak out into design vs construction- 2 yrs</t>
    </r>
  </si>
  <si>
    <t>Waban Library-Roofs</t>
  </si>
  <si>
    <t xml:space="preserve">Remove slate and install new slate roof, gutters and downspouts. </t>
  </si>
  <si>
    <t>Zervas School - Plumbing Upgrades</t>
  </si>
  <si>
    <t>Mason Rice School - Accessibility Upgrades</t>
  </si>
  <si>
    <t>Mason Rice School - Electrical Upgrades</t>
  </si>
  <si>
    <t>Lincoln Eliot School - Electrical Upgrades</t>
  </si>
  <si>
    <t>City Hall and War Memorial Historic Landscape Preservation Project</t>
  </si>
  <si>
    <t>Restoration and preservation of City Hall grounds Historic Landscape</t>
  </si>
  <si>
    <t>Public Buildings Department-Roofs</t>
  </si>
  <si>
    <t>Scrape, prepare surface, paint corrugated metal shed roof (2000sf).•Remove tree limbs from brushing on roof shingles. Install new roof shingles (4200sf). Scrape, prepare surfaces, paint rafter ends and plywood (270lf).•Remove skylights and replace with solar light tubes (7ea). Refinish interior skylight shaft (7ea).</t>
  </si>
  <si>
    <t>Cheesecake Brook Drainage Basin: Repair and Rebuild Retaining Wall</t>
  </si>
  <si>
    <t>Nonantum Library-Accessibility/Site</t>
  </si>
  <si>
    <t>New DPW Equipment Shelter - Elliot St</t>
  </si>
  <si>
    <t>Williams School - Accessibility Upgrades</t>
  </si>
  <si>
    <t>Horace Mann School - Mechanical Upgrades</t>
  </si>
  <si>
    <t>Countryside School  - Plumbing Upgrades</t>
  </si>
  <si>
    <t>Replace Fire Dept Pumper Truck (Engine 4)</t>
  </si>
  <si>
    <t>Laundry Brook Culvert Repairs</t>
  </si>
  <si>
    <t>Bowen School - Accessibility  Upgrades</t>
  </si>
  <si>
    <t>Elliot St. Garage - Roof Repair/Replacement</t>
  </si>
  <si>
    <t>Replace Fire Dept Aerial Ladder (Ladder 3)</t>
  </si>
  <si>
    <t>Elliot St. Operations Building - Interior and Finish Upgrades</t>
  </si>
  <si>
    <t xml:space="preserve">Lincoln Eliot School - Accessibility Upgrades </t>
  </si>
  <si>
    <t>Fire Dept Equipment Replacement</t>
  </si>
  <si>
    <t>Replace firefighters personal turnout gear. NFPA Standard is to replace every 10 yrs; now 3 yrs old. Best to replace incrementally instead of all at once.</t>
  </si>
  <si>
    <t>Burr School - Electrical Upgrades</t>
  </si>
  <si>
    <t>Brown School - Accessibility Upgrades</t>
  </si>
  <si>
    <t>Williams School - Mechanical Upgrades</t>
  </si>
  <si>
    <t>New DPW Equipment Shelter - Crafts St</t>
  </si>
  <si>
    <t>Countryside School - Accessibility Upgrades</t>
  </si>
  <si>
    <t>% Life Left</t>
  </si>
  <si>
    <t>Overall Condition</t>
  </si>
  <si>
    <t>Description</t>
  </si>
  <si>
    <t>Consequence</t>
  </si>
  <si>
    <t>Funding Source</t>
  </si>
  <si>
    <t>Deplorable</t>
  </si>
  <si>
    <t>No Impact</t>
  </si>
  <si>
    <t>Bonding</t>
  </si>
  <si>
    <t>Very bad</t>
  </si>
  <si>
    <t>Bad</t>
  </si>
  <si>
    <t>Small Impact</t>
  </si>
  <si>
    <t>Bonding/MSBA</t>
  </si>
  <si>
    <t>Poor</t>
  </si>
  <si>
    <t>Slightly below average</t>
  </si>
  <si>
    <t>Average</t>
  </si>
  <si>
    <t>Moderate Impact</t>
  </si>
  <si>
    <t>CPA Eligible</t>
  </si>
  <si>
    <t>Slightly above average</t>
  </si>
  <si>
    <t>Energy Stab. Fund</t>
  </si>
  <si>
    <t>Fair</t>
  </si>
  <si>
    <t>Enterprise Funds</t>
  </si>
  <si>
    <t>Good</t>
  </si>
  <si>
    <t>High Impact</t>
  </si>
  <si>
    <t>Grant</t>
  </si>
  <si>
    <t>Very good</t>
  </si>
  <si>
    <t>Other</t>
  </si>
  <si>
    <t>Excellent</t>
  </si>
  <si>
    <t>Very High Impact</t>
  </si>
  <si>
    <t>Overall Condition input</t>
  </si>
  <si>
    <t>Weight</t>
  </si>
  <si>
    <t>% Life Left as input</t>
  </si>
  <si>
    <t>Overall Condition   0: Worse to 10: Best</t>
  </si>
  <si>
    <t>% Life Left      0: Expired to 100: New</t>
  </si>
  <si>
    <t>CONSEQUENCES OF FAILURE (IF NOT IMPLEMENTING PROGRAM) RATINGS  AND WEIGHTS --0 (No Impact) to 10 (High Impact)</t>
  </si>
  <si>
    <t>City Operations</t>
  </si>
  <si>
    <t>Programs/Services</t>
  </si>
  <si>
    <t>Costs/Savings Ratio</t>
  </si>
  <si>
    <t>Health &amp; Safety</t>
  </si>
  <si>
    <t>Property Damage</t>
  </si>
  <si>
    <t>Quality of Life</t>
  </si>
  <si>
    <t>Dept. Mission or Vision</t>
  </si>
  <si>
    <t>Programs / Services</t>
  </si>
  <si>
    <t>Sum of Weights</t>
  </si>
  <si>
    <t>% Life Left (Dynamic)</t>
  </si>
  <si>
    <t xml:space="preserve"> % Life Left </t>
  </si>
  <si>
    <t>Condition Likelihood Failure</t>
  </si>
  <si>
    <t>% Life Left Likelihood failure</t>
  </si>
  <si>
    <t>Threshold</t>
  </si>
  <si>
    <t>Likelihood of Failure</t>
  </si>
  <si>
    <t>Conseq. Factor</t>
  </si>
  <si>
    <t>Risk Factor</t>
  </si>
  <si>
    <t>BUDGET DISTRIBUTION</t>
  </si>
  <si>
    <t>Total</t>
  </si>
  <si>
    <t>Bonding /MSBA</t>
  </si>
  <si>
    <t xml:space="preserve">Bonding </t>
  </si>
  <si>
    <t>Energy Stabilztn Fund</t>
  </si>
  <si>
    <t>Energy</t>
  </si>
  <si>
    <t>Parks / Open Space</t>
  </si>
  <si>
    <t>Roads/ Paving</t>
  </si>
  <si>
    <t>Large Vehicle/ Equipment</t>
  </si>
  <si>
    <t>Angier School - Renovation or Replacement</t>
  </si>
  <si>
    <t>Ward School - Replace Roof</t>
  </si>
  <si>
    <t>Ward School - Replace Windows and Doors</t>
  </si>
  <si>
    <t>Lincoln Eliot School - Replace Emergency Generator</t>
  </si>
  <si>
    <t>Lincoln Eliot School - Add Four Modular Classrooms</t>
  </si>
  <si>
    <t>Bigelow School - Roof Replacement</t>
  </si>
  <si>
    <t>Brown School - Replace Underground Storage Tank</t>
  </si>
  <si>
    <t>Replace Air handlers. Direct Digital Controls conversion for HVAC system.</t>
  </si>
  <si>
    <t>Franklin School - Building Envelope</t>
  </si>
  <si>
    <t>Newton South High School - Mechanical Upgrades</t>
  </si>
  <si>
    <t>Newton South High School - Fire Alarm Upgrades</t>
  </si>
  <si>
    <t>Newton South High School - Electrical Upgrades</t>
  </si>
  <si>
    <t>Mason Rice School - Replace Roof</t>
  </si>
  <si>
    <t>Burr School - Replace Roof</t>
  </si>
  <si>
    <t>Underwood School - Mechanical Upgrades</t>
  </si>
  <si>
    <t>Horace Mann School - Exterior Masonry</t>
  </si>
  <si>
    <t>Prior Year Funding</t>
  </si>
  <si>
    <t>Fire Station #1, Newton Corner - Replace Windows &amp; Doors &amp; Repair Masonry</t>
  </si>
  <si>
    <t>Replace windows and doors and repair/restore masonry.</t>
  </si>
  <si>
    <t>Horace Mann School - Accessibility Upgrades</t>
  </si>
  <si>
    <t>Horace Mann School - Electrical/ Emergency Generator</t>
  </si>
  <si>
    <t>Energy Efficiency / Water Conservation Upgrades to City and School Buildings</t>
  </si>
  <si>
    <t xml:space="preserve">Rebuild accessible ramp. Repair and repoint stone cornice.  Rebuild/reset main entry  stairs and install code-compliant railings.  </t>
  </si>
  <si>
    <t>City Hall - Electrical Upgrades</t>
  </si>
  <si>
    <t>Storm System Assessment</t>
  </si>
  <si>
    <t>Repair Bulloughs Pond Sluice Gate</t>
  </si>
  <si>
    <t>Tree Crew Bucket Truck</t>
  </si>
  <si>
    <t>Tree Crew Log Loader</t>
  </si>
  <si>
    <t>Replace Fire Dept Bucket Truck</t>
  </si>
  <si>
    <t>Hillside Ave - Otis to Austin</t>
  </si>
  <si>
    <t>Midland Ave</t>
  </si>
  <si>
    <t>Melrose Ave</t>
  </si>
  <si>
    <t>Trowbridge Ave</t>
  </si>
  <si>
    <t>Morseland Ave</t>
  </si>
  <si>
    <t>Crystal Lake - Water Filtration System</t>
  </si>
  <si>
    <t xml:space="preserve">Newton Highlands Playground - Phase II Design &amp; Construction </t>
  </si>
  <si>
    <t>Replace Weeks Playground Tennis Courts</t>
  </si>
  <si>
    <t>Replace McGrath Playgound (Warren) Tennis Courts</t>
  </si>
  <si>
    <t>Costs/ Savings Ratio</t>
  </si>
  <si>
    <t>Replace emergency generator, electrical panels and sub-panels.</t>
  </si>
  <si>
    <t>Auburndale Library -Building Envelope and Roof</t>
  </si>
  <si>
    <t>FY14</t>
  </si>
  <si>
    <t>FY15</t>
  </si>
  <si>
    <t>FY16</t>
  </si>
  <si>
    <t>FY17</t>
  </si>
  <si>
    <t>FY18</t>
  </si>
  <si>
    <t>FY14-FY18 CIP</t>
  </si>
  <si>
    <t>FY19-FY23 CIP</t>
  </si>
  <si>
    <t>FY24-FY28 CIP</t>
  </si>
  <si>
    <t>FY29-FY33 CIP</t>
  </si>
  <si>
    <t>20 YEAR TOTAL</t>
  </si>
  <si>
    <t>BUILDINGS</t>
  </si>
  <si>
    <t>SCHOOLS</t>
  </si>
  <si>
    <t>Carr Elementary</t>
  </si>
  <si>
    <t>Carr Mechanical</t>
  </si>
  <si>
    <t>Generation - Boiler, Chiller</t>
  </si>
  <si>
    <t>Generation - Air handlers</t>
  </si>
  <si>
    <t>Distribution</t>
  </si>
  <si>
    <t>Controls / EMS</t>
  </si>
  <si>
    <t>Underground Tanks</t>
  </si>
  <si>
    <t>Carr Electrical/Alt Energy</t>
  </si>
  <si>
    <t>Emergency Generator</t>
  </si>
  <si>
    <t>Switch Gear / Panels</t>
  </si>
  <si>
    <t>Lighting and Controls</t>
  </si>
  <si>
    <t>Carr Plumbing + Fire Protection</t>
  </si>
  <si>
    <t>Pumps</t>
  </si>
  <si>
    <t>Fixtures</t>
  </si>
  <si>
    <t>Sprinklers/Fire Alarm</t>
  </si>
  <si>
    <t>Carr Building Envelope</t>
  </si>
  <si>
    <t>Masonry/Walls</t>
  </si>
  <si>
    <t>Windows &amp; Doors</t>
  </si>
  <si>
    <t>Roof</t>
  </si>
  <si>
    <t>Entrance Stairs/Ramps</t>
  </si>
  <si>
    <t>Carr Building Interior</t>
  </si>
  <si>
    <t>Stairs / Elevators</t>
  </si>
  <si>
    <t>Finishes (Flrs, Walls, Ceilgs)</t>
  </si>
  <si>
    <t>Equipment/Furnishing</t>
  </si>
  <si>
    <t>Other-Renovation Project</t>
  </si>
  <si>
    <t>Angier Elementary</t>
  </si>
  <si>
    <t>Mechanical</t>
  </si>
  <si>
    <t>Electrical/Alt Energy</t>
  </si>
  <si>
    <t>Plumbing + Fire Protection</t>
  </si>
  <si>
    <t>Building Envelope</t>
  </si>
  <si>
    <t>Building Interior</t>
  </si>
  <si>
    <t>Other-Renovation/New Project</t>
  </si>
  <si>
    <t>Cabot Elementary</t>
  </si>
  <si>
    <t xml:space="preserve">Generation - Boilers </t>
  </si>
  <si>
    <t>Underground Tank &amp; Paving</t>
  </si>
  <si>
    <t>Plumbing</t>
  </si>
  <si>
    <t xml:space="preserve"> </t>
  </si>
  <si>
    <t>Modular (4 units)</t>
  </si>
  <si>
    <t>Zervas Elementary</t>
  </si>
  <si>
    <t xml:space="preserve">  </t>
  </si>
  <si>
    <t>Modular (5)</t>
  </si>
  <si>
    <t>Ward Elementary</t>
  </si>
  <si>
    <t>Generation - Boilers</t>
  </si>
  <si>
    <t>Lincoln-Eliot Elementary</t>
  </si>
  <si>
    <t xml:space="preserve">Generation - Boilers,  </t>
  </si>
  <si>
    <t>Underground Tank</t>
  </si>
  <si>
    <t>Other (accessibility)</t>
  </si>
  <si>
    <t>Bigelow Middle School</t>
  </si>
  <si>
    <t>Generation - Boilers, Chiller</t>
  </si>
  <si>
    <t>New Addition</t>
  </si>
  <si>
    <t>Modulars (2)</t>
  </si>
  <si>
    <t>Brown Middle School</t>
  </si>
  <si>
    <t>Undrground Tank Replace</t>
  </si>
  <si>
    <t>Williams Elementary</t>
  </si>
  <si>
    <t>Oak Hill Middle School</t>
  </si>
  <si>
    <t>Underground Tank Replace</t>
  </si>
  <si>
    <t>Modulars (4)</t>
  </si>
  <si>
    <t>Countryside Elementary</t>
  </si>
  <si>
    <t>Replace Modulars (4)/Addition</t>
  </si>
  <si>
    <t>Day Middle School</t>
  </si>
  <si>
    <t>Franklin Elementary</t>
  </si>
  <si>
    <t>Newton South High School</t>
  </si>
  <si>
    <t>Other (Science Labs)</t>
  </si>
  <si>
    <t>Mason-Rice Elementary</t>
  </si>
  <si>
    <t>Education Center</t>
  </si>
  <si>
    <t>Interior Finishes</t>
  </si>
  <si>
    <t>Feasibility Study</t>
  </si>
  <si>
    <t>Modular Classrooms</t>
  </si>
  <si>
    <t>Burr Elementary</t>
  </si>
  <si>
    <t>Modulars</t>
  </si>
  <si>
    <t>Underwood Elementary</t>
  </si>
  <si>
    <t>Horace Mann Elementary</t>
  </si>
  <si>
    <t>Bowen Elementary</t>
  </si>
  <si>
    <t>Memorial Spaulding Elementary</t>
  </si>
  <si>
    <t xml:space="preserve">Generation - Boilers  </t>
  </si>
  <si>
    <t>Newton North High School</t>
  </si>
  <si>
    <t>Other (Pool)</t>
  </si>
  <si>
    <t>SCHOOLS TOTAL</t>
  </si>
  <si>
    <t>MUNICIPAL BUILDINGS</t>
  </si>
  <si>
    <t>PARKS and RECREATION</t>
  </si>
  <si>
    <t>Parks HQs/Newton Corner</t>
  </si>
  <si>
    <t>Parks and Rec/Crecent Street</t>
  </si>
  <si>
    <t>Parks and Recreation Garage</t>
  </si>
  <si>
    <t>Crystal Lake Bathhouse</t>
  </si>
  <si>
    <t>New/Renovated Building</t>
  </si>
  <si>
    <t>Gath Pool Building</t>
  </si>
  <si>
    <t>New Pool Facility</t>
  </si>
  <si>
    <t>Albemarle Fieldhouse</t>
  </si>
  <si>
    <t>Emerson Community Center</t>
  </si>
  <si>
    <t>Lower Falls CC</t>
  </si>
  <si>
    <t>Pelligrini Park Fieldhouse</t>
  </si>
  <si>
    <t>JCW Recreation Center - The Hut</t>
  </si>
  <si>
    <t>Burr Park Field House</t>
  </si>
  <si>
    <t>Nahanton Park Fieldhouse</t>
  </si>
  <si>
    <t>Auburndale Cove Fieldhouse</t>
  </si>
  <si>
    <t>Cabot Park Fieldhouse</t>
  </si>
  <si>
    <t>Bulloughs Pond Shelter</t>
  </si>
  <si>
    <t>Highlands Fieldhouse</t>
  </si>
  <si>
    <t>Upper Falls Fieldhouse</t>
  </si>
  <si>
    <t>Newton Center Metal Storage</t>
  </si>
  <si>
    <t>Forte Park</t>
  </si>
  <si>
    <t>PARKS and REC TOTAL</t>
  </si>
  <si>
    <t>PUBLIC SAFETY</t>
  </si>
  <si>
    <t>Police Headquarters</t>
  </si>
  <si>
    <t>Addition/Consolidation</t>
  </si>
  <si>
    <t>Police Garage</t>
  </si>
  <si>
    <t>Bulk Storage</t>
  </si>
  <si>
    <t>Police Annex</t>
  </si>
  <si>
    <t>Fire Station #1</t>
  </si>
  <si>
    <t>Renovation Replacement</t>
  </si>
  <si>
    <t>Fire Station #2</t>
  </si>
  <si>
    <t>Fire Station #4</t>
  </si>
  <si>
    <t>Fire Station #7</t>
  </si>
  <si>
    <t>Fire Station #10</t>
  </si>
  <si>
    <t>New Fire Station</t>
  </si>
  <si>
    <t>Waban Hill Radio Tower/Building</t>
  </si>
  <si>
    <t>New Comm Tower Bldg</t>
  </si>
  <si>
    <t>PUBLIC SAFETY TOTAL</t>
  </si>
  <si>
    <t>PUBLIC WORKS</t>
  </si>
  <si>
    <t>Crafts Street Ops Center/Garage</t>
  </si>
  <si>
    <t>Crafts Street Salt Storage Shed</t>
  </si>
  <si>
    <t>Replace</t>
  </si>
  <si>
    <t>DPW Water Utilities</t>
  </si>
  <si>
    <t>Crafts Street Stable</t>
  </si>
  <si>
    <t>Elliot Street Ops Center</t>
  </si>
  <si>
    <t>Elliot Street Garage</t>
  </si>
  <si>
    <t>Elliot Street Sand Salt Shed</t>
  </si>
  <si>
    <t>Crafts Street Quonset Hut</t>
  </si>
  <si>
    <t>Rumford Ave Facility</t>
  </si>
  <si>
    <t>PUBLIC WORKS TOTAL</t>
  </si>
  <si>
    <t>ADMINISTRATION / OTHER</t>
  </si>
  <si>
    <t>City Hall</t>
  </si>
  <si>
    <t>Kitchen/Café Upgrades</t>
  </si>
  <si>
    <t>Public Buildings Department</t>
  </si>
  <si>
    <t>Winchester Street Garage</t>
  </si>
  <si>
    <t>Main Library</t>
  </si>
  <si>
    <t>Generation - Boilers/chillers</t>
  </si>
  <si>
    <t>Auburndale Library</t>
  </si>
  <si>
    <t>Nonantum Library</t>
  </si>
  <si>
    <t>Waban library</t>
  </si>
  <si>
    <t>Health Department</t>
  </si>
  <si>
    <t>ADMIN / OTHER TOTAL</t>
  </si>
  <si>
    <t>MUNICIPAL BLDGS TOTAL</t>
  </si>
  <si>
    <t>BUILDINGS TOTAL</t>
  </si>
  <si>
    <t>ROADS / PAVING</t>
  </si>
  <si>
    <t>ROADS and BRIDGES</t>
  </si>
  <si>
    <t>Cold Plane/Pave Streets</t>
  </si>
  <si>
    <t>Lowell Ave (Comm to Austin)</t>
  </si>
  <si>
    <t>Homer St (Comm to Walnut)</t>
  </si>
  <si>
    <t>Wolcott St</t>
  </si>
  <si>
    <t>Webster St</t>
  </si>
  <si>
    <t>Hawthorn St</t>
  </si>
  <si>
    <t>Weldon Road</t>
  </si>
  <si>
    <t>Regent St</t>
  </si>
  <si>
    <t>Lenox St</t>
  </si>
  <si>
    <t>Summit St</t>
  </si>
  <si>
    <t>Bellevue St</t>
  </si>
  <si>
    <t>Washington (Elm to Pike)</t>
  </si>
  <si>
    <t>Washington (East  Walnut to Court)</t>
  </si>
  <si>
    <t>Morton St</t>
  </si>
  <si>
    <t>Waban Ave</t>
  </si>
  <si>
    <t>Hunnewell Ave</t>
  </si>
  <si>
    <t>Country Club Rd (Rosalie to Cross Hill)</t>
  </si>
  <si>
    <t>Cross Hill Rd</t>
  </si>
  <si>
    <t>Saw Mill Brook Parkway</t>
  </si>
  <si>
    <t>Hillside Ave</t>
  </si>
  <si>
    <t>Carver Rd</t>
  </si>
  <si>
    <t>Randolph St</t>
  </si>
  <si>
    <t>Lowell Ave (Hull to Austin)</t>
  </si>
  <si>
    <t>Melrose St</t>
  </si>
  <si>
    <t xml:space="preserve">Staniford </t>
  </si>
  <si>
    <t xml:space="preserve">Freeman </t>
  </si>
  <si>
    <t>Lake Av</t>
  </si>
  <si>
    <t>Crystal St</t>
  </si>
  <si>
    <t>Berwick Rd</t>
  </si>
  <si>
    <t>Oak St</t>
  </si>
  <si>
    <t>Grove St (Auburn to Woodland)</t>
  </si>
  <si>
    <t>Central St (Grove to Leighton)</t>
  </si>
  <si>
    <t>Bridge St</t>
  </si>
  <si>
    <t>Temple St</t>
  </si>
  <si>
    <t>Walnut St (Comm to Newtonville)</t>
  </si>
  <si>
    <t>Linwood Ave</t>
  </si>
  <si>
    <t>Walnut Place (N)</t>
  </si>
  <si>
    <t>Newtonville Ave (Harvard to Walnut)</t>
  </si>
  <si>
    <t>Daniel St</t>
  </si>
  <si>
    <t>Ridge Ave</t>
  </si>
  <si>
    <t>Collins Rd</t>
  </si>
  <si>
    <t>Crafts St</t>
  </si>
  <si>
    <t>Ward St</t>
  </si>
  <si>
    <t>Parker St (Cypress to Boylston)</t>
  </si>
  <si>
    <t>Varick Road</t>
  </si>
  <si>
    <t>Annawan Rd</t>
  </si>
  <si>
    <t>Bennington St</t>
  </si>
  <si>
    <t>Bound Brook Rd</t>
  </si>
  <si>
    <t>Tower Rd</t>
  </si>
  <si>
    <t>Henshaw St</t>
  </si>
  <si>
    <t>Henshaw Terrace</t>
  </si>
  <si>
    <t>Kilburn Rd</t>
  </si>
  <si>
    <t>Vine St (Wayne to LaGrange)</t>
  </si>
  <si>
    <t>Fuller (Chestnut to Comm W)</t>
  </si>
  <si>
    <t>Town House Dr</t>
  </si>
  <si>
    <t>Mill St</t>
  </si>
  <si>
    <t>Glen Road</t>
  </si>
  <si>
    <t>Stiles Terrace</t>
  </si>
  <si>
    <t>Westminster Rd</t>
  </si>
  <si>
    <t>Deforest Rd</t>
  </si>
  <si>
    <t>Pine Grove Ave</t>
  </si>
  <si>
    <t>Clearwater Rd</t>
  </si>
  <si>
    <t>Vernon St</t>
  </si>
  <si>
    <t>Eldredge St</t>
  </si>
  <si>
    <t>Elmwood St</t>
  </si>
  <si>
    <t>Beacon St (Chestnut to Centre)</t>
  </si>
  <si>
    <t>Pembroke St</t>
  </si>
  <si>
    <t>Durant St</t>
  </si>
  <si>
    <t>Hanson Rd</t>
  </si>
  <si>
    <t>Bishopsgate Rd</t>
  </si>
  <si>
    <t>Hammondswood Rd</t>
  </si>
  <si>
    <t>Monadnock Rd</t>
  </si>
  <si>
    <t>Otis Street</t>
  </si>
  <si>
    <t xml:space="preserve">Adams Street </t>
  </si>
  <si>
    <t>Circuit Ave</t>
  </si>
  <si>
    <t>Converse Ave</t>
  </si>
  <si>
    <t>Ruthven Rd</t>
  </si>
  <si>
    <t>Albemarle</t>
  </si>
  <si>
    <t>Cottage St</t>
  </si>
  <si>
    <t>Prince St</t>
  </si>
  <si>
    <t>Berkeley St</t>
  </si>
  <si>
    <t>Cherry St</t>
  </si>
  <si>
    <t>Highland Ave (Lowell to Chestnut)</t>
  </si>
  <si>
    <t>Grafton St</t>
  </si>
  <si>
    <t>Bald Pate Hill</t>
  </si>
  <si>
    <t>Waban St</t>
  </si>
  <si>
    <t>Lyman St</t>
  </si>
  <si>
    <t>Lee Rd</t>
  </si>
  <si>
    <t>Colbert Rd</t>
  </si>
  <si>
    <t>East Colbert Rd</t>
  </si>
  <si>
    <t>Oak Cliff Rd</t>
  </si>
  <si>
    <t>Whittier Rd</t>
  </si>
  <si>
    <t>Paul St</t>
  </si>
  <si>
    <t>Allerton Rd (Hereward to Centre)</t>
  </si>
  <si>
    <t>Locksley Rd</t>
  </si>
  <si>
    <t>Rotherwood Rd</t>
  </si>
  <si>
    <t>Woodcliff Rd</t>
  </si>
  <si>
    <t>Rockledge Rd</t>
  </si>
  <si>
    <t>Miller Rd</t>
  </si>
  <si>
    <t>Cloverdale Rd (Clark to Miller)</t>
  </si>
  <si>
    <t>Payne Rd</t>
  </si>
  <si>
    <t>Landgdon Rd</t>
  </si>
  <si>
    <t>Highland St (Wash. to Chestnut)</t>
  </si>
  <si>
    <t>Wales Street Bridge</t>
  </si>
  <si>
    <t>ROADS / BRIDGES TOTAL</t>
  </si>
  <si>
    <t>PARKING LOTS and METERS</t>
  </si>
  <si>
    <t>Metered Lots</t>
  </si>
  <si>
    <t>Municipal Lots</t>
  </si>
  <si>
    <t>Parking Meters</t>
  </si>
  <si>
    <t>PRKG LOTS / METERS TOTAL</t>
  </si>
  <si>
    <t>SIDEWALKS/BRIDGES</t>
  </si>
  <si>
    <t>Sidewalks</t>
  </si>
  <si>
    <t>SIDEWALKS TOTAL</t>
  </si>
  <si>
    <t>STREET/TRAFFIC LIGHTS</t>
  </si>
  <si>
    <t>ST/TRAFFIC LIGHTS TOTAL</t>
  </si>
  <si>
    <t>ROADS TOTAL</t>
  </si>
  <si>
    <t>WATER</t>
  </si>
  <si>
    <t>WATER PIPES</t>
  </si>
  <si>
    <t>WATER PIPES TOTAL</t>
  </si>
  <si>
    <t>PUMP STATIONS</t>
  </si>
  <si>
    <t>Manet Road</t>
  </si>
  <si>
    <t>Station 10 - Dedham Street</t>
  </si>
  <si>
    <t>Herrick Road</t>
  </si>
  <si>
    <t>PUMP STATIONS TOTAL</t>
  </si>
  <si>
    <t>ELEVATED WATER TANKS</t>
  </si>
  <si>
    <t>Water Tank 1 - Stanton Ave</t>
  </si>
  <si>
    <t>Water Tank 2 - Winchester</t>
  </si>
  <si>
    <t>Water Tank 3 - Oak Hill</t>
  </si>
  <si>
    <t>WATER TANKS TOTAL</t>
  </si>
  <si>
    <t>RESERVOIR</t>
  </si>
  <si>
    <t>Waban Hill Underground Reservoir</t>
  </si>
  <si>
    <t>Central Core</t>
  </si>
  <si>
    <t>RESEVOIR TOTAL</t>
  </si>
  <si>
    <t>WATER TOTAL</t>
  </si>
  <si>
    <t>SEWER</t>
  </si>
  <si>
    <t>SEWER PIPES</t>
  </si>
  <si>
    <t>Inflow/Infiltration - W. Newton</t>
  </si>
  <si>
    <t>Inflow/Infiltration - Lower Falls</t>
  </si>
  <si>
    <t>Inflow/Infiltration - Chestnut Hill</t>
  </si>
  <si>
    <t>Inflow/Infiltration - Newton Ctr</t>
  </si>
  <si>
    <t>Inflow/Infiltration - Nonantum</t>
  </si>
  <si>
    <t>SEWER PIPES TOTAL</t>
  </si>
  <si>
    <t>Quinobequin Road PS</t>
  </si>
  <si>
    <t>Edgewater Park PS</t>
  </si>
  <si>
    <t>Islington Road PS</t>
  </si>
  <si>
    <t>Prairie Avenue PS</t>
  </si>
  <si>
    <t>Longfellow Road PS</t>
  </si>
  <si>
    <t>Waban Avenue PS</t>
  </si>
  <si>
    <t>Oldham Road PS</t>
  </si>
  <si>
    <t>Hamlet Street PS</t>
  </si>
  <si>
    <t>Grayson Lane PS</t>
  </si>
  <si>
    <t>SEWER TOTAL</t>
  </si>
  <si>
    <t>STORM PIPES</t>
  </si>
  <si>
    <t>Storm Pipes</t>
  </si>
  <si>
    <t>STORM PIPES TOTAL</t>
  </si>
  <si>
    <t>Dresser Pond Pump Station</t>
  </si>
  <si>
    <t>PONDS</t>
  </si>
  <si>
    <t>Bulloughs Pond ( sluice gate)</t>
  </si>
  <si>
    <t>City Hall Ponds</t>
  </si>
  <si>
    <t>PONDS TOTAL</t>
  </si>
  <si>
    <t>BROOK WALLS/CULVERTS</t>
  </si>
  <si>
    <t>Cheescake Brook Walls</t>
  </si>
  <si>
    <t>Laundry Brook Culverts</t>
  </si>
  <si>
    <t>BRK WALLS/CULVERTS TOTAL</t>
  </si>
  <si>
    <t>PARKS / OPEN SPACE</t>
  </si>
  <si>
    <t>PARKS/PLAYGROUNDS</t>
  </si>
  <si>
    <t>Newton Highlands Playground</t>
  </si>
  <si>
    <t>Access Drive/Parking</t>
  </si>
  <si>
    <t>Storm Drainage</t>
  </si>
  <si>
    <t>Athletic Fields/Courts/Track</t>
  </si>
  <si>
    <t>Benches / Bleachers</t>
  </si>
  <si>
    <t>Play Structures</t>
  </si>
  <si>
    <t>Sidewalks/Pathways/Trails</t>
  </si>
  <si>
    <t>Lighting/Security</t>
  </si>
  <si>
    <t>Signage/ Fencing</t>
  </si>
  <si>
    <t>Water Fountains/Irrigation</t>
  </si>
  <si>
    <t>Concession Stands/Toilets</t>
  </si>
  <si>
    <t>Other - Design/Engineering</t>
  </si>
  <si>
    <t>Upper Falls/Braceland Playground</t>
  </si>
  <si>
    <t>Crystal Lake</t>
  </si>
  <si>
    <t>Halloran Sports Complex</t>
  </si>
  <si>
    <t>Cabot Park</t>
  </si>
  <si>
    <t>Other (master plan)</t>
  </si>
  <si>
    <r>
      <t xml:space="preserve">McGrath Playground </t>
    </r>
    <r>
      <rPr>
        <sz val="11"/>
        <color theme="1"/>
        <rFont val="Calibri"/>
        <family val="2"/>
        <scheme val="minor"/>
      </rPr>
      <t>(aka Warren)</t>
    </r>
  </si>
  <si>
    <t>McGrath Playground</t>
  </si>
  <si>
    <t>Weeks Playground</t>
  </si>
  <si>
    <t>Newton Center</t>
  </si>
  <si>
    <t>Cold Spring Park</t>
  </si>
  <si>
    <t>PARKS/PLAYGDS TOTAL</t>
  </si>
  <si>
    <t>SCHOOL GROUNDS</t>
  </si>
  <si>
    <t>SCHOOL GROUNDS TOTAL</t>
  </si>
  <si>
    <t>CEMETERIES/HISTORIC SITES</t>
  </si>
  <si>
    <t>East Burying Grounds</t>
  </si>
  <si>
    <t>West Burying Grounds</t>
  </si>
  <si>
    <t>Burying Grounds Fencing</t>
  </si>
  <si>
    <t>City Hall Historic Landscape</t>
  </si>
  <si>
    <t>Farlow and Chaffin Parks</t>
  </si>
  <si>
    <t>HISTORIC SITES TOTAL</t>
  </si>
  <si>
    <t>PARKS TOTAL</t>
  </si>
  <si>
    <t>LARGE VEHICLES / EQUIPMENT</t>
  </si>
  <si>
    <t>FIRE DEPARTMENT</t>
  </si>
  <si>
    <t>Replace Ladder 1</t>
  </si>
  <si>
    <t>Replace Ladder 2</t>
  </si>
  <si>
    <t>Replace Ladder 3</t>
  </si>
  <si>
    <t>Replace Engine 1</t>
  </si>
  <si>
    <t>Replace Engine 2</t>
  </si>
  <si>
    <t>Replace Engine 3</t>
  </si>
  <si>
    <t>Replace Engine 4</t>
  </si>
  <si>
    <t>Replace Engine 7</t>
  </si>
  <si>
    <t>Replace Engine 10</t>
  </si>
  <si>
    <t>Heavy Duty Rescue Truck</t>
  </si>
  <si>
    <t>Replace Bucket Truck</t>
  </si>
  <si>
    <t>Replace Wires Communication Truck</t>
  </si>
  <si>
    <t>Cascade/Lighting Truck</t>
  </si>
  <si>
    <t>Replace SCBA</t>
  </si>
  <si>
    <t>Replace Firefighter Turnout Gear</t>
  </si>
  <si>
    <t>FIRE DEPARTMENT TOTAL</t>
  </si>
  <si>
    <t xml:space="preserve">DPW </t>
  </si>
  <si>
    <t>Street Sweepers ($172K each)</t>
  </si>
  <si>
    <t>2 Ton Dump Trucks ($150K)</t>
  </si>
  <si>
    <t>Excavator ($270K)</t>
  </si>
  <si>
    <t>Packer</t>
  </si>
  <si>
    <t>Do All</t>
  </si>
  <si>
    <t>Backhoe Loader ($110K)</t>
  </si>
  <si>
    <t>Bombadier ($125K)</t>
  </si>
  <si>
    <t>Loader ($160K)</t>
  </si>
  <si>
    <t>Backhoe</t>
  </si>
  <si>
    <t>Jet Truck</t>
  </si>
  <si>
    <t>10 Wheeler Truck</t>
  </si>
  <si>
    <t>Multi-Purpose Chip Truck</t>
  </si>
  <si>
    <t>Large Chipper</t>
  </si>
  <si>
    <t>PARKS / REC TOTAL</t>
  </si>
  <si>
    <t>INFORMATION TECHNOLOGY</t>
  </si>
  <si>
    <t>Citywide IT Data Network</t>
  </si>
  <si>
    <t>VEHICLES/EQUIPMT TOTAL</t>
  </si>
  <si>
    <t>LONG RANGE PLAN TOTAL</t>
  </si>
  <si>
    <t>Assessment of Storm System</t>
  </si>
  <si>
    <t>Water Pump - Rebuild and Repair Dedham Street Water Pump</t>
  </si>
  <si>
    <t>Wolcott St - Replace Water Main at Wolcott St - Webster to Ionia (FY14)</t>
  </si>
  <si>
    <t>Needham Street - Clean and Line Water Main - Oak to Charlemont (FY15)</t>
  </si>
  <si>
    <t xml:space="preserve">Webster St. - Clean and Line Water Main on Webster St </t>
  </si>
  <si>
    <t xml:space="preserve">Escalation factor: </t>
  </si>
  <si>
    <t>FY2014 Road Work</t>
  </si>
  <si>
    <t>FY2015 Road Work</t>
  </si>
  <si>
    <t>FY2016 Road Work</t>
  </si>
  <si>
    <t>Dedham St (Brookline to W.R.line)</t>
  </si>
  <si>
    <t>Chapter 90 Total</t>
  </si>
  <si>
    <t>FY2017 Road Work</t>
  </si>
  <si>
    <t>FY2018 Road Work</t>
  </si>
  <si>
    <t>Lake Ave</t>
  </si>
  <si>
    <t>Berwick Road</t>
  </si>
  <si>
    <t>Crystal Street</t>
  </si>
  <si>
    <t>Walnut Place</t>
  </si>
  <si>
    <t>Tower Road</t>
  </si>
  <si>
    <t>Charles St./Auburn St</t>
  </si>
  <si>
    <t>Broadway</t>
  </si>
  <si>
    <t>Adams Street</t>
  </si>
  <si>
    <t>Linwood Ave (Crafts to Adam)</t>
  </si>
  <si>
    <t>Linwood Ave (Crafts to Watertown)</t>
  </si>
  <si>
    <t>Nevada Street</t>
  </si>
  <si>
    <t>Crafts St - Waltham to Washington</t>
  </si>
  <si>
    <t>Ward (Elsmore to Morseland)</t>
  </si>
  <si>
    <t>Chestnut Street</t>
  </si>
  <si>
    <t>California Street</t>
  </si>
  <si>
    <t>Pleaseant St. (Cherry to Waltham)</t>
  </si>
  <si>
    <t>Walnut St (Crafts to Washington)</t>
  </si>
  <si>
    <t>Cherry St (Derby to Washington)</t>
  </si>
  <si>
    <t>Walnut St - Homer to Boylston</t>
  </si>
  <si>
    <t>Parker St - Cypress to Boylston</t>
  </si>
  <si>
    <t>Otis - Forest to Walnut</t>
  </si>
  <si>
    <t>Waban Ave - Nehoiden to Collins</t>
  </si>
  <si>
    <t>Beacon St - Chestnut to Centre</t>
  </si>
  <si>
    <t>Centre St - Washington to Carlton</t>
  </si>
  <si>
    <t>Waban St - Waban Pk to Hovey</t>
  </si>
  <si>
    <t xml:space="preserve">Vernon St </t>
  </si>
  <si>
    <t>Hillside road - Walnut to Bowdin</t>
  </si>
  <si>
    <t>Highland St - Washington to Chestnut</t>
  </si>
  <si>
    <t>Dedham St - Brookline to W Roxbury line</t>
  </si>
  <si>
    <t>Langdon Ave - Surry to Cabot</t>
  </si>
  <si>
    <t>Woodcliffe Rd- Centre to Boylston</t>
  </si>
  <si>
    <t>Berkeley St - Sterling to Chestnut</t>
  </si>
  <si>
    <t>Mayflower Terr</t>
  </si>
  <si>
    <t>Proctor St</t>
  </si>
  <si>
    <t>Southgate Pk</t>
  </si>
  <si>
    <t>Solon St</t>
  </si>
  <si>
    <t xml:space="preserve">Stony Brae Rd </t>
  </si>
  <si>
    <t>Aberdeen St</t>
  </si>
  <si>
    <t>Fayette St/Pl</t>
  </si>
  <si>
    <t>Albion St/Pl</t>
  </si>
  <si>
    <t>Alden St</t>
  </si>
  <si>
    <t>Butts St</t>
  </si>
  <si>
    <t>Boyd St</t>
  </si>
  <si>
    <t>Mountfort Rd</t>
  </si>
  <si>
    <t>Henshaw St/Pl/Tr</t>
  </si>
  <si>
    <t>Greenough St</t>
  </si>
  <si>
    <t>Clyde St</t>
  </si>
  <si>
    <t>Algonquin Rd</t>
  </si>
  <si>
    <t>Allen Pl</t>
  </si>
  <si>
    <t>Allerton Rd</t>
  </si>
  <si>
    <t>Allison St</t>
  </si>
  <si>
    <t>Allston St</t>
  </si>
  <si>
    <t>Arlington St</t>
  </si>
  <si>
    <t>DPW Total</t>
  </si>
  <si>
    <t>Water Total</t>
  </si>
  <si>
    <t>Sewer Total</t>
  </si>
  <si>
    <t>Elliot Street PS - grinder</t>
  </si>
  <si>
    <t>Street Lights - LEDs</t>
  </si>
  <si>
    <t>Fire Flow Pipe Replacemt / Upgrades</t>
  </si>
  <si>
    <t>FY14 Fire Flow Upgrades</t>
  </si>
  <si>
    <t>FY15 Fire Flow Upgrades</t>
  </si>
  <si>
    <t>Water Quality Upgrades - Cleaning &amp; Lining</t>
  </si>
  <si>
    <t>Aspen Ave</t>
  </si>
  <si>
    <t>Auburn St</t>
  </si>
  <si>
    <t xml:space="preserve">FY14 Water Quality Upgrades </t>
  </si>
  <si>
    <t xml:space="preserve">FY16 Water Quality Upgrades </t>
  </si>
  <si>
    <t xml:space="preserve">FY17 Water Quality Upgrades </t>
  </si>
  <si>
    <t xml:space="preserve">FY18 Water Quality Upgrades </t>
  </si>
  <si>
    <t>Pearl Street</t>
  </si>
  <si>
    <t>Tank is beyond useful life and needed to ensure safe fuel supply to the building.</t>
  </si>
  <si>
    <t xml:space="preserve">Replace emergency generator with smaller unit and install battery back-up emergency egress lighting system. </t>
  </si>
  <si>
    <t>Upgrade fire alarm system to be fully addressable.</t>
  </si>
  <si>
    <t>Codes/ Health &amp; Safety</t>
  </si>
  <si>
    <t>Ed Center - Pre-K Building Upgrades</t>
  </si>
  <si>
    <t>Horace Mann - Add Classroom</t>
  </si>
  <si>
    <t>Peirce Elementary</t>
  </si>
  <si>
    <t>Peirce School - Mechanical Upgrades</t>
  </si>
  <si>
    <t>Peirce School - Electrical Upgrades</t>
  </si>
  <si>
    <t>Peirce School - Plumbing Upgrades</t>
  </si>
  <si>
    <t xml:space="preserve">Peirce School - Accessibility Upgrades </t>
  </si>
  <si>
    <t>Replace 2nd boiler and associated equipment, distribution and univents. Boilers are 54 years old.  Replace one boiler in the first year.</t>
  </si>
  <si>
    <t>Phased project.  Current maps are deteriorating rapidly. A new storage system would allow DPW to store maps after scanning. Proposed to be a phased project to preserve asset.</t>
  </si>
  <si>
    <t>Engineering Map Scanning Project Phase I</t>
  </si>
  <si>
    <t>Engineering Map Scanning Project Phase II</t>
  </si>
  <si>
    <t>Carr School - Building Renovation</t>
  </si>
  <si>
    <t>Future building renovation will address hardware, toilets, elevator, etc. (stage access, railings signage, water fountains).</t>
  </si>
  <si>
    <t>Ward School - Accessible Entrance</t>
  </si>
  <si>
    <t>Toilet rooms &amp; upgrades for pre-k</t>
  </si>
  <si>
    <t>Clam Truck</t>
  </si>
  <si>
    <t>ADA Curb Cuts - CDBG</t>
  </si>
  <si>
    <t>Fire Station #3, HQs, and Wires - Renovate/Replace Newton Centre Station</t>
  </si>
  <si>
    <t>Replace air handlers and roof top equipment and remove underground storage tanks.</t>
  </si>
  <si>
    <t>Replace emergency generator and electrical upgrades.</t>
  </si>
  <si>
    <t>Crafts Street Garage - Building Envelope &amp; Roof Repair/ Replacemt</t>
  </si>
  <si>
    <t>Zervas and Bigelow School Electrical Upgrades</t>
  </si>
  <si>
    <t>Remove Underground Storage Tanks at City Buildings</t>
  </si>
  <si>
    <t>Fire Station #1, Newton Corner - Replace Tanks</t>
  </si>
  <si>
    <t>Replace Underground Tank &amp; Paving</t>
  </si>
  <si>
    <t>Bowen School - Roof Replacement</t>
  </si>
  <si>
    <t>Chapt 90/ Alt Funds</t>
  </si>
  <si>
    <t>Footbridge is in poor condition and is not wheelchair accessible. Footbridge is part of evacuation route for Day MS.</t>
  </si>
  <si>
    <t>Sidewalk Improvements -Provide ADA Access Curb Cuts </t>
  </si>
  <si>
    <t>Replace Gath/Albemarle Foot Bridge</t>
  </si>
  <si>
    <t>Replace Water Pipes to Improve Fire Flows</t>
  </si>
  <si>
    <t>Clean and Line Water Pipes to Improve Water Quality</t>
  </si>
  <si>
    <t>Senior Center - Sprinklers and Fire Alarm Upgrades</t>
  </si>
  <si>
    <t>City Hall - Sprinklers and Fire Alarm Upgrades</t>
  </si>
  <si>
    <t>Police Annex - Emergency Generator</t>
  </si>
  <si>
    <t>Crafts Street Garage - Site Upgrades</t>
  </si>
  <si>
    <t>Upgrade water filtration system to mitigate algea.</t>
  </si>
  <si>
    <t>Sidewalk Improvements</t>
  </si>
  <si>
    <t>Water Tanks - Remove Stanton Ave. &amp; Winchester St. Water Tanks</t>
  </si>
  <si>
    <t>Based on hydraulic studies, tanks are no longer needed to maintain water pressure.  Structural assessment may be needed.</t>
  </si>
  <si>
    <t>Alternate Funding</t>
  </si>
  <si>
    <t>Alt Funding Total</t>
  </si>
  <si>
    <t>City Hall - War Memorial Auditorium Improvements</t>
  </si>
  <si>
    <t>Improve pedestrian safety.  Repair/replacement of sidewalks in poor condition and new sidewalks in village centers, school zones, on major roads.</t>
  </si>
  <si>
    <t>Parking Improvements</t>
  </si>
  <si>
    <r>
      <t xml:space="preserve">Newton Centre Playground </t>
    </r>
    <r>
      <rPr>
        <b/>
        <sz val="8"/>
        <color theme="1"/>
        <rFont val="Calibri"/>
        <family val="2"/>
        <scheme val="minor"/>
      </rPr>
      <t>Phase V</t>
    </r>
    <r>
      <rPr>
        <b/>
        <sz val="8"/>
        <color indexed="8"/>
        <rFont val="Calibri"/>
        <family val="2"/>
        <scheme val="minor"/>
      </rPr>
      <t xml:space="preserve"> &amp; Vi -Accessibility</t>
    </r>
  </si>
  <si>
    <t xml:space="preserve">Additional Classroom </t>
  </si>
  <si>
    <t>Fire Station #3/HQ/Wires</t>
  </si>
  <si>
    <t>Renovation / Replacement</t>
  </si>
  <si>
    <t>Fire Station #10 (Dedham Street) Renovation</t>
  </si>
  <si>
    <t>Evelyn Road</t>
  </si>
  <si>
    <t>Traffic Signals (Chap 90)</t>
  </si>
  <si>
    <t>Remove underground storage tank and replace or convert to gas if enough gas pressure.  Leak detection system has failed.</t>
  </si>
  <si>
    <t>Remove Underground Tanks at Various Schools</t>
  </si>
  <si>
    <t>School Fuel Tank Removal</t>
  </si>
  <si>
    <t xml:space="preserve">Replace boiler, second boiler and hot water conversion in out years.  Boilers are 35 years old. </t>
  </si>
  <si>
    <t>Replace Underground Storage Tanks at City Buildings</t>
  </si>
  <si>
    <t>DPW - Replace Large Construction Trucks</t>
  </si>
  <si>
    <t>Walnut Street Design (Chap 90)</t>
  </si>
  <si>
    <t>Streetlights - Convert to Energy Efficient Fixtures (LED)</t>
  </si>
  <si>
    <t>Repair / Improve Wales St. Bridge (Wellesley MOU)</t>
  </si>
  <si>
    <t>ASSET TYPES</t>
  </si>
  <si>
    <t>Cabot School - Renovation and Addition/Replacement</t>
  </si>
  <si>
    <t>Zervas School - Renovation and Addition/ Replacement</t>
  </si>
  <si>
    <t>Code required project to provide accessible entrance, toilet, and water fountain.</t>
  </si>
  <si>
    <t>Repairs required in response to Mass DOT bridge inspection findings.  Include new guardrails and bridge railings for height and impact safety requirements. Wellesley will bond their $400,000 share of cost.  Approach sidewalks will be reconstructed.  The approach roadway and bridge will also be cold-planed and paved.</t>
  </si>
  <si>
    <t xml:space="preserve">Install CO/NOx detection system for garage so that the detection of gas energizes the existing exhaust fans.  Install backdraft damper on fans. </t>
  </si>
  <si>
    <t>Wall integrity is jeopardized.  Project to minimize property damage due to flooding from heavy rains and compromised conveyance systems and minimize street flooding.  First phase is survey.</t>
  </si>
  <si>
    <t>Provide appropriate curb cuts to comply with federal ADA requirements and to provide safe, accessible means to and from City sidewalks.</t>
  </si>
  <si>
    <t>Convert 140 existing high pressure sodium Rte 9 streetlights to LED lights to reduce City's carbon footprint and annual electricity budget.</t>
  </si>
  <si>
    <r>
      <t>Complete roof top unit work begun in stimulus project. Replace fans, duct work, unit heaters.  Provide gas detection system.</t>
    </r>
    <r>
      <rPr>
        <sz val="8"/>
        <rFont val="Calibri"/>
        <family val="2"/>
        <scheme val="minor"/>
      </rPr>
      <t xml:space="preserve"> </t>
    </r>
  </si>
  <si>
    <t>Provide covered storage for vehicles and equipment.  Covered storage extends life of vehicles and equipment</t>
  </si>
  <si>
    <t>Replace/repair EPDM roof.  Replace damaged roof panels.</t>
  </si>
  <si>
    <t>Replace Quonset Hut at Crafts St. with new facility.  Covered storage extends life of vehicles and equipment</t>
  </si>
  <si>
    <t>Phased project.  Current maps are deteriorating rapidly. A new storage system would allow DPW to store maps after scanning.</t>
  </si>
  <si>
    <t>Eliminate deteriorated roadway condition and improve public safety.  Arterial minor.  Federal funds for constr only.  Design funded by City.</t>
  </si>
  <si>
    <t>Eliminate deteriorated roadway condition, improve public safety and restore Comm Ave to previous boulevard status. Arterial minor.</t>
  </si>
  <si>
    <t>Salt storage sheds at Crafts St. are in state of disrepair; more cost effective to replace rather than repair.  Consolidate to one new shed. Replace- uneconmical to repair ($287K). Include new foundations. Most urgent issue is replacement of approx. 50 wood trusses for $98K.</t>
  </si>
  <si>
    <t>Replace wood truss members.  Add brace supports at ends to prevent walls from buckling. Repair wood buttresses and extend push wall 10' higher to keep weight of salt off exterior wall.</t>
  </si>
  <si>
    <t>Eliminate deteriorated roadway condition and enhance public safety. Arterial minor. Federal funds for constr only.  Design funded by City.</t>
  </si>
  <si>
    <t>Remove diesel and heating oil tanks, replace with tanks from Countryside Schl. Abate room.  Gas conversion and and other mech. work in future renovation work.</t>
  </si>
  <si>
    <r>
      <t>Replace emergency generator</t>
    </r>
    <r>
      <rPr>
        <sz val="8"/>
        <color rgb="FFFF0000"/>
        <rFont val="Calibri"/>
        <family val="2"/>
        <scheme val="minor"/>
      </rPr>
      <t xml:space="preserve"> </t>
    </r>
    <r>
      <rPr>
        <sz val="8"/>
        <color theme="1"/>
        <rFont val="Calibri"/>
        <family val="2"/>
        <scheme val="minor"/>
      </rPr>
      <t>which is at the end of it useful life.  Install life/safety equipment stored in Wires Division.</t>
    </r>
  </si>
  <si>
    <t>Remove existing windows and replace w/energy efficient insulated units(64ea). Repair and repoint exterior masonry to preserve building envelope.</t>
  </si>
  <si>
    <t>Remove fuel storage tanks and convert to gas.  Other mechanical work to be done as part of future building renovation.</t>
  </si>
  <si>
    <t>5th station of 7 buildings to be renovated.  Work includes building envelope, interior finishes, mechanical, electrical, plumbing, life/safety, ADA upgrades.</t>
  </si>
  <si>
    <t>6th station of 7 buildings to be renovated. Work includes mechanical, electrical, plumbing, code compliance and accessibility upgrades.</t>
  </si>
  <si>
    <t>Remove tanks at Fire Station 10, City Hall,  Police HQ, and Senior Center.   Tanks are no longer needed.</t>
  </si>
  <si>
    <t>Address active roof leaks and masonry gap.  Repair flashing; replace roof with new EPDM Roof.  FY13 design &amp; ph 1 constr.  FY14  phase 2 construction.</t>
  </si>
  <si>
    <t>FY14 feasibility study.  Project will address aging systems, access, sprinklers, and space needs.  Include cost to move to Carr and back to Cabot.  Anticipate high maintenance costs on mechanical system until building is renovated.</t>
  </si>
  <si>
    <t>Upgrades to electrical system and replace panels at Bigelow Middle School and Zervas Elemenatry School.</t>
  </si>
  <si>
    <t>FY14 feasibility study.  Project to address space needs due to growing enrollment, bldg systems, access.  Include cost to move to Carr and back to Zervas  Anticipate high maintenance costs on mechanical system until building is renovated.</t>
  </si>
  <si>
    <t>Boilers are 54 years old and beyond their useful life.  Replace one boiler now and one in future year.</t>
  </si>
  <si>
    <t>Interior air handler replacement, pneumatic DDC controls conversion, replace chiller controls, repair/restore ice tank system.</t>
  </si>
  <si>
    <t>All Health Dept Building Recommended work.  Envelope is highest need.  Building is in re-use process.</t>
  </si>
  <si>
    <t>Replace Roof Top Mechanical equipment that is beyond its useful life.  Currently requires a lot of maintenance and service calls.</t>
  </si>
  <si>
    <t>Replace emergency generator with smaller unit and install battery back-up emergency egress lighting system. Upgrade elec service/ panels.</t>
  </si>
  <si>
    <t>Concrete around building has settled and cracked in various places creating a tripping hazard.  Repair to prevent further deterioration.</t>
  </si>
  <si>
    <t>Replace deteriorated sanitary pipe, distribution, risers and vents, toilet rooms.  Assess issues in FY15 to determine scope of additional work.</t>
  </si>
  <si>
    <t>Repair EPDM roof leaks. Repair copper cornice roof.  Replace firing range roof.</t>
  </si>
  <si>
    <t>Repair, repoint and clean exterior masonry.  This is Phase II of work begun in FY13.</t>
  </si>
  <si>
    <t>On-going program to repair and repoint exterior masonry to preserve building envelope. Address worst areas first.</t>
  </si>
  <si>
    <t>Replace two 60 year old boilers and variable air volume (VAV) coil work.</t>
  </si>
  <si>
    <t>Restore/replace historic exterior doors and windows.  Weatherstrip and seal for energy efficiency.  Window bay foundation repairs.</t>
  </si>
  <si>
    <t>Study options for repair /replacement. Steam system has failed.  $50K/yr to address steam leaks.  Hot water conversion in the next ten years ($2M). Periodically causes a mold problem.</t>
  </si>
  <si>
    <t xml:space="preserve">Renovate Archives area for compact, environmentally controlled archives storage; add accessible entrance ramp, and code compliance upgrades </t>
  </si>
  <si>
    <t xml:space="preserve">Repair broken roof slates. Reflash where leaks are occurring.  Repair/replace gutters and downspouts. Pitch rain leaders away from bldg foundations. Repair concrete ramp. Grout railing bases.  Repair foundation walls. Replace concrete stairs.   </t>
  </si>
  <si>
    <t>Replace generator with emergency battery back-up system. Update system for ADA compliance. Upgrade exterior lighting &amp; occupancy sensors.</t>
  </si>
  <si>
    <t>Replace outdated / failing City Pool Facility.  Existing bldg naturally vented to outside putting pipes and interior surfaces at risk of failure.       Not well designed for NE.</t>
  </si>
  <si>
    <t>Library used as cooling station for residents.  Existing energy agreement mandates peak usage on auxillary power when regional demand is high extreme.</t>
  </si>
  <si>
    <t>Upgrade entrance ramp, elevator, toilet rooms, and door hardware for accessibility.</t>
  </si>
  <si>
    <t>Replace interior air handlers in first year. Direct Digital Controls conversion.</t>
  </si>
  <si>
    <t>Replace Roof top air handling units and distribution system</t>
  </si>
  <si>
    <t>Replace RTUs at Annex, Direct Digital Control  conversion</t>
  </si>
  <si>
    <t>Hot water conversion w/renovation, 2nd boiler and distribution system.</t>
  </si>
  <si>
    <t>Replace boilers, hot water conversion, and Direct Digital Control conversion.</t>
  </si>
  <si>
    <t>Upgrade hardware, toilet rooms, and water fountains for accessibility.</t>
  </si>
  <si>
    <t>Upgrade toilet rooms, door hardware, water fountains, and signage for accessibility.</t>
  </si>
  <si>
    <t>Upgrades to electrical panels and sub-panelsn and  emergency generator</t>
  </si>
  <si>
    <t>Upgrade door hardware, openings, toilet rooms, railings, and signage for accessibility.</t>
  </si>
  <si>
    <t>Replace electric panels and sub-panels.</t>
  </si>
  <si>
    <t>Upgrades toilet rooms and water fountains.</t>
  </si>
  <si>
    <t>Replace electric panels and sub-panels</t>
  </si>
  <si>
    <t>Replace 2nd boiler and  replace modular roof top air handling units</t>
  </si>
  <si>
    <t>Replace windows in gym wing and storefront system.</t>
  </si>
  <si>
    <t>Upgrade existing elevator for code compliance, signage, hardware, and reconfigure locker rooms for accessibility.</t>
  </si>
  <si>
    <t xml:space="preserve">Create offsite climate controlled space with fire protection to house museum collections.  Currently no space to manage add'l materials. </t>
  </si>
  <si>
    <t xml:space="preserve">Restore existing windows and doors as historically appropriate.   </t>
  </si>
  <si>
    <t>Install code-compliant sprinkler system in building in conjunction with any major building upgrade or addition.</t>
  </si>
  <si>
    <t xml:space="preserve">Repoint exterior masonry walls as required. Repair, reset and regrout main granite front stairs. Repair stone veneer at main entry.     Rebuild rear right side areaway and stairs. </t>
  </si>
  <si>
    <t>Restore/replace existing slate roof, gutters, and downspouts.  Replace existing flat roof with new membrane roof and provide proper roof drains.</t>
  </si>
  <si>
    <t>Replace Fire Department SCBA Gear</t>
  </si>
  <si>
    <t>Replace Special Ops. 1994 Ford (174K miles) Rescue truck needed for specialized rescue, with specialized tools and equipment. Special Ops gets taken out of service.</t>
  </si>
  <si>
    <t xml:space="preserve">Replace Engine 3, a 2004 Pumper Truck; to be used as spare to replace spare Engine 14, a 1992 pumper that should no longer be used.  </t>
  </si>
  <si>
    <t>Replace 1996 F800 with 165K miles on it.  Not cost effective to keep it on the road. Safety components are failing, putting personnel at risk.</t>
  </si>
  <si>
    <t>Truck lights up area during night time operations with a cascade system allowing refill of air tanks at the incident;  carries Haz Mat supplies.</t>
  </si>
  <si>
    <t>New Fire Dept Combo Lighting / Cascade Truck/ Emergency Rescue Unit.</t>
  </si>
  <si>
    <t>Replace the department Self-contained breathing apparatus (SCBA), purchased in FY 2007.</t>
  </si>
  <si>
    <t>Replace Ladder 2. 15 years old. Maxed out on life expectancy; to be used as spare to replace Spare Ladder 5 a 1985 ladder to be taken out of service.</t>
  </si>
  <si>
    <t>Replace Engine 4.  A 2010 pumper. Engine 4 will become a spare.</t>
  </si>
  <si>
    <t>Replace Ladder 3. 15 years old. Ladder 3 becomes a spare, replacing spare Ladder 4.</t>
  </si>
  <si>
    <t>Current truck has been in service since 2004.  Over 90% of Tree Work requires this truck.  Without it most work could not be done.</t>
  </si>
  <si>
    <t>Current equipment has been in service since 2006. Essential for emergency response and hazardous tree removal.</t>
  </si>
  <si>
    <t>Sewer Inflow /Infiltration Project - West Newton Area</t>
  </si>
  <si>
    <t>Sewer Inflow /Infiltration Project - Lower Falls Area</t>
  </si>
  <si>
    <t>Sewer Inflow /Infiltration Project - Chestnut Hill Area</t>
  </si>
  <si>
    <t>Sewer Inflow /Infiltration Project - Newton Centre</t>
  </si>
  <si>
    <t>Sewer Inflow /Infiltration Project - Nonantum Area</t>
  </si>
  <si>
    <t>Part of 12 yr $49.1 M program to remove excess inflow and infiltration into sewer system.  Design (FY13) and constr (FY14) for West Newton area.</t>
  </si>
  <si>
    <t>Part of 12 yr $49.1 M program to remove excess inflow and infiltration into sewer system.  Design (FY14) and constr (FY15) for Lower Falls area.</t>
  </si>
  <si>
    <t>Part of 12 yr $49.1 M program to remove excess inflow and infiltration into sewer system.  Design (FY15) and constr (FY16) for Chestnut Hill area.</t>
  </si>
  <si>
    <t>Part of 12 yr $49.1 M program to remove excess inflow and infiltration into sewer system.  Design (FY16) and constr (FY17) for Newton Centre area.</t>
  </si>
  <si>
    <t>Part of 12 yr $49.1 M program to remove excess inflow and infiltration into sewer system.  Design (FY17) and constr (FY18) for Nonantum area.</t>
  </si>
  <si>
    <t>DPW - Replace 1995 Backhoe</t>
  </si>
  <si>
    <t>DPW - Replace 1985 Excavator</t>
  </si>
  <si>
    <t>DPW - Replace 1997 Backhoe</t>
  </si>
  <si>
    <t>Replacement of existing city vehicle/ equipment used for collecting trash/recycling in Parks &amp; Village Centers. (#52)</t>
  </si>
  <si>
    <t xml:space="preserve">Replace 2003 Backhoe </t>
  </si>
  <si>
    <t>Replace 2005 Large Construction Vehicles</t>
  </si>
  <si>
    <t xml:space="preserve">Replace 2008 Backhoe  </t>
  </si>
  <si>
    <t>Year three of 3 year program to replace and repair water pipes in order to meet ISO fire flow standards which are currently defficient.</t>
  </si>
  <si>
    <t>Year two of 3 year program to replace and repair water pipes in order to meet ISO fire flow standards which are currently defficient.</t>
  </si>
  <si>
    <t xml:space="preserve">Replace Total Building 1986 Built up roof area.  Roof has reached its life expectancy. </t>
  </si>
  <si>
    <t xml:space="preserve">Replace of 1950's portion of the building's roofing system as it has reached its life expectancy. </t>
  </si>
  <si>
    <t>Replace the 1990's Sarnifil roofing system on the main portion of the building. Existing roof has reached its life expectancy.</t>
  </si>
  <si>
    <t>Replace Flat Gym 1980's built up roofing system.  It has reached its life expectancy.</t>
  </si>
  <si>
    <t xml:space="preserve">Replace 1980's Built up roof area.  It has reached its life expectancy. </t>
  </si>
  <si>
    <t>Replace PVC roof installed in the 1990's as required.  It has reached life expectancy. Repair water divertor above support service door.</t>
  </si>
  <si>
    <t>Replace whole building roof in 2 phases.</t>
  </si>
  <si>
    <t>Repair poorly functioning gate valve used to regulate water storage capacity in City Hall ponds for stormwater.</t>
  </si>
  <si>
    <t>Dedham, Prince, Berkeley, Cherry, Highland Ave, Grafton, Bald Pate, Waban, Lyman, Lee, Colbert, East Colbert, Oak Cliff, Whittier, Paul, Allerton, Locksley, Rotherwood, Woodcliff, Rockledge, Miller, Cloverdale, Payne, Langdon, Highland Street (Washington to Chestnut)</t>
  </si>
  <si>
    <t>Street Paving - Cold Plane and Pave 21 Streets</t>
  </si>
  <si>
    <t>Street Paving - Cold Plane and Pave 20 Streets</t>
  </si>
  <si>
    <t>Street Paving - Cold Plane and Pave 18 Streets</t>
  </si>
  <si>
    <t>Street Paving - Cold Plane and Pave 26 Streets</t>
  </si>
  <si>
    <t>Cleaning and lining of water pipes to improve water quality, ensure pipe integrity and capacity. Precedes scheduled roadway paving.</t>
  </si>
  <si>
    <t>Add ADA compliant access route to a portion of Newton Centre Playground.  Approved for CDBG funding by City Commission on Disability.</t>
  </si>
  <si>
    <t xml:space="preserve">Replace 4 existing tennis courts at Weeks Playground. </t>
  </si>
  <si>
    <t>Replace 4 existing tennis courts at McGrath Playground (Warren).</t>
  </si>
  <si>
    <t>Replace 3 existing tennis courts at this location.  Courts have deteriorated.</t>
  </si>
  <si>
    <t>2008 Master Plan for park renovation in 2 phases.  Ph I to address drainage problems &amp; build new ball fields and courts. Highly used park.</t>
  </si>
  <si>
    <t>2008 Master Plan for park renovation in 2 phases. Ph II will complete the fields to provide tennis courts and football field.</t>
  </si>
  <si>
    <t>Master Plan for park renovation - Construction will include new athletic fields, new play structure and sitework and improvements.</t>
  </si>
  <si>
    <t>WATER METERS</t>
  </si>
  <si>
    <t>Remove underground tanks which are no longer needed at Memorial-Spaulding, Zervas, and Underwood Elementary Schools.</t>
  </si>
  <si>
    <t>Remove underground tanks which are no longer needed at Bigelow Middle School, NSHS, and the Ed Center.</t>
  </si>
  <si>
    <t xml:space="preserve">Remove underground tanks which are no longer needed at Lincoln-Eliot, Pierce, and Franklin Elementary Schools. </t>
  </si>
  <si>
    <t>Remove/Replace Underground Tanks at Various Schools</t>
  </si>
  <si>
    <t>Replace fuel tanks at Park bldgs and Fire Department Headquarters.  Tanks are beyond their useful life expectancy.</t>
  </si>
  <si>
    <t>Replace fuel tanks at DPW Crafts Street Operations Center, Cabot Pk Fieldhouse, and DPW Elliot Street Operations Center. Tanks are beyond useful life.</t>
  </si>
  <si>
    <t>Replace fuel tanks at the Public Buildings Department, Auburndale and Nonantum Libraries.  Tanks are beyond useful life.</t>
  </si>
  <si>
    <t>Replace fuel tanks at Fire Station #1 and Fire Station #2.  Tanks are beyond useful life.</t>
  </si>
  <si>
    <r>
      <t>Streetlights - Gaslight Conversion for Energy Efficiency</t>
    </r>
    <r>
      <rPr>
        <b/>
        <sz val="8"/>
        <color rgb="FFFF0000"/>
        <rFont val="Calibri"/>
        <family val="2"/>
        <scheme val="minor"/>
      </rPr>
      <t xml:space="preserve"> </t>
    </r>
  </si>
  <si>
    <t>Phased project to upgrade parking meters/install kiosks to take credit cards as well as cash.  Repave city parking lot in poor condition (Pearl Street lot).</t>
  </si>
  <si>
    <t>Repave Pearl Street Parking Lot</t>
  </si>
  <si>
    <t>Repave Pearl Street municipal parking lot which is in poor condition.</t>
  </si>
  <si>
    <t>Repaint steel framing in attic.  Repair deteriorated concrete and CMU. Upgrade lighting and install new acoustical ceilings.</t>
  </si>
  <si>
    <r>
      <t xml:space="preserve">ESCALATED COSTS                                                                              </t>
    </r>
    <r>
      <rPr>
        <b/>
        <sz val="12"/>
        <color indexed="8"/>
        <rFont val="Calibri"/>
        <family val="2"/>
        <scheme val="minor"/>
      </rPr>
      <t>(Costs in FY2015-2018 are escalated 3.5% a year)</t>
    </r>
  </si>
  <si>
    <t>Cost estimates include 3.5% escalation.</t>
  </si>
  <si>
    <t>Gath Pool - New Swim Facility Design and Construction</t>
  </si>
  <si>
    <t>Memorial Spaulding School - Replace Roof</t>
  </si>
  <si>
    <t>Memorial Spaulding School - Accessibility Upgrades</t>
  </si>
  <si>
    <t>Memorial Spaulding School - Mechanical Upgrades</t>
  </si>
  <si>
    <t>Upgrade traffic signal and intersection at Beacon St. and Langley Rd  to improve safety and visibility, and for ADA compliance.</t>
  </si>
  <si>
    <t>Traffic Light Improvements at Beacon Street and Langley Road Intersection</t>
  </si>
  <si>
    <t>Upgrade traffic signal and intersection on Washington St at Cheery St and Highland  to improve safety, visibility, and for ADA compliance.</t>
  </si>
  <si>
    <t>Traffic Light Improvements at Washingston Street Intersection (Waltham/Watertown Streets)</t>
  </si>
  <si>
    <t>Traffic Light Improvements at Washingston Street Intersection (Cherry/Highland Streets)</t>
  </si>
  <si>
    <t>Traffic Light Improvements at Washingston Street and Perkins Intersection</t>
  </si>
  <si>
    <t>Upgrade traffic signal and intersection on Washington St at Perkins Street  to improve safety, visibility, and for ADA compliance.</t>
  </si>
  <si>
    <t>Flowed Meadow Pump Station Bldg</t>
  </si>
  <si>
    <t>Emergency Resp Unit Haz Mat Truck</t>
  </si>
  <si>
    <t>Large Construction Trucks ($150K ea)</t>
  </si>
  <si>
    <t>Large Construction Trucks  ($150K ea)</t>
  </si>
  <si>
    <t>Library Bk Autocheckin/Sort'g System</t>
  </si>
  <si>
    <t>Create swing space for on-going Elem. school bldg projects. Includes system and accessibility upgrades, sprinklers, sitework, windows, and roof.</t>
  </si>
  <si>
    <t xml:space="preserve">Station #3 needs major repairs/upgrades. Co-located w/ Fire HQs.  Upgrade 60 yo systems for code compliance, access &amp; female firefighters.  </t>
  </si>
  <si>
    <t>Add modular classrooms for growing enrollment. Project includes sprinklers for the entire building as required by building code.</t>
  </si>
  <si>
    <t xml:space="preserve">Project will address aging building systems, code upgrades, access and accommodations for female firefighters.  </t>
  </si>
  <si>
    <t>Streets include Lowell, Webster, Homer, Wolcott, Hawthone, Weldon, Bellevue, Summit, Lenox, Regent, Waban, Washington (2 sections), Morton, Hillside, Hunnewell, Country Club, Cross Hill, Saw Mill Brk, Carver, Randolph</t>
  </si>
  <si>
    <t>Replace fans and air handling units. Change boiler burner to gas-fired. Replace basement fan coil unit. Improve operation &amp; efficiency for consistent temp heating/cooling.</t>
  </si>
  <si>
    <t>Additional classroom needed to address immediate space needs.  Create new classroom within existing building footprint.</t>
  </si>
  <si>
    <t>Renovate toilet rooms for Pre-school and other improvements to correct water infiltration issues and address HVAC and space needs.</t>
  </si>
  <si>
    <t>Roads include Lowell, Melrose, Staniford, Freeman, Lake, Crystal, Berwick, Oak, Grove, Central, Bridge, Temple, Walnut, Linwood, Walnut Pl, Newtonville, Daniel, Ridge, Collins</t>
  </si>
  <si>
    <t>Streets include Vernon, Eldredge, Elmwood, Beacon, Pembroke, Durant, Hanson, Bishopsgate, Hammondswood, Monadnock, Otis, Adams, Circuit, Converse, Ruthven, Albemarle, Cottage Street</t>
  </si>
  <si>
    <t>Replace Engine 1.1999 Pumper Truck which will exceed life expectancy in 2014, and replace spare engine (1992) that should no longer be used</t>
  </si>
  <si>
    <t>Station built 1950, rehabbed in 1992.  Contains 2 (5 hp) pumps. Replace wet well.</t>
  </si>
  <si>
    <t>Streets include Crafts, Ward, Morton, Parker, Varick, Annawan, Bennington, Bound Brook, Tower, Henshaw St, Henshaw Ter, Kilburn, Vine, Fuller, Town House Dr, Mill, Glen, Stiles, Westminster, Deforest, Pine Grove, Clearwater</t>
  </si>
  <si>
    <t>Replace entire building roof system.  Roof is beyond its useful life.</t>
  </si>
  <si>
    <t>Direct Digital Controls conversion and upgrade distribution system.</t>
  </si>
  <si>
    <t>Upgrade electric service, panels and sub-panels to support IT server room and other building functions.</t>
  </si>
  <si>
    <t>Information Technology</t>
  </si>
  <si>
    <t>Replace one 60 yo boiler and associated systems. 2nd boiler and DDC conversion in future project.  Remove underground tank.</t>
  </si>
  <si>
    <t>Project includes energy conservation measures at Library, Lincoln Eliot, Franklin, Underwood, Cabot Schools thru NSTAR preferred vendor program.</t>
  </si>
  <si>
    <t>Project includes energy conservation measures at Ward, Mason Rice, Zervas, and Williams Schools thru NSTAR preferred vendor program.</t>
  </si>
  <si>
    <t>Project includes energy conservation measures at Countryside, Mem-Spauld and Peirce Schools and  Ed Center  thru NSTAR preferred vendor program.</t>
  </si>
  <si>
    <t>Project includes energy conservation measures at Horace Mann, Brown, Oak Hill and NSHS  thru NSTAR preferred vendor program.</t>
  </si>
  <si>
    <t>Install accessible toilet room. Repair uneven concrete path;  Enlarge landing area at side entrance and rebuild concrete path;  Replace door knobs at side and basement entrances with hardware that is operable without tight grasping, pinching or twisting (lever type);  Replace handrails at basement entrance with ADA-compliant rails;  Modify basement door to provide 18" wide clear maneuvering space on the latch pull side of the door or install an automatic door opener.•Install a lowered transaction counter at circulation desk;  Replace door hardware with hardware that is operable without tight grasping, pinching or twisting (lever type);  Replace stairwell railings with ADA-compliant rails;  Install a ramp in the basement to provide an accessible route to all book store stacks.•Install an elevator to provide vertical access to all floors.</t>
  </si>
  <si>
    <t>Auburndale Library -Accessibility and Site Upgrades</t>
  </si>
  <si>
    <t>Electrical and lighting upgrades for code compliance and to improve energy efficiency.  Replace electric panel.</t>
  </si>
  <si>
    <t>Remove existing exterior wood doors and frames and replace with new doors and hardware.  Repair/replace building windows.</t>
  </si>
  <si>
    <t>Project to fully upgrade existing building or replace with new structure.</t>
  </si>
  <si>
    <t>Upgrade toilet rooms, elevator, door hardware and signage for accessibility</t>
  </si>
  <si>
    <t>Upgrades to toilet rooms, signage, hardware, railings and assembly spaces for accessibility.</t>
  </si>
  <si>
    <t>Replace the total building roofing system installed in the 1980's.</t>
  </si>
  <si>
    <t xml:space="preserve">Restore/Replace windows in phases to improve energy efficiency, functionality and comfort, and to preserve exterior wall.   </t>
  </si>
  <si>
    <t>City Hall - Kitchen Mechanical Upgrades</t>
  </si>
  <si>
    <t>Upgrade toilet rooms and water fountains,and  add fixtures per code requirements.</t>
  </si>
  <si>
    <t>Upgrade toilets, signage, door hardware, and accessible entrance.</t>
  </si>
  <si>
    <t>Crafts St DPW Operations (Stable) - Restore Building Envelope, Windows &amp; Roof</t>
  </si>
  <si>
    <t xml:space="preserve">Preserve historic building envelope. Repoint/repair lintels, sills and brick veneer.  Restore/replace windows, doors and roof and cupola as historically appropriate. </t>
  </si>
  <si>
    <t>Existing bathhouse is in poor condition and is not accessible.  Renovate/Replace bathhouse and improve site.</t>
  </si>
  <si>
    <t>Boiler upgrades per code reqts. Replace unit heaters and finned tube heaters. Upgrade bathrooms. Replace water heater.</t>
  </si>
  <si>
    <t>Upgrade toilet rooms, install accessible door hardware and drinking fountains; Resurface main entrance ramp and install handrails.</t>
  </si>
  <si>
    <t xml:space="preserve">Upgrades for ADA Compliant elevator, toilet rooms, door hardware, and signage </t>
  </si>
  <si>
    <t>Upgrade Toilet rooms, Water fountains, Door hardware and signage for accessibility.</t>
  </si>
  <si>
    <t>Gath Pool - Electrical and Mechanical Upgrades</t>
  </si>
  <si>
    <t>Upgrade fire alarm and egress lighting. Replace electrical panels. Install exhaust fans. Replace Heater Pump, piping and fittings.</t>
  </si>
  <si>
    <t>Upgrade toilet rooms, water fountains and door hardware for accessibility.</t>
  </si>
  <si>
    <t>Replace Septic System by connecting to City Sewer Infrastructure.</t>
  </si>
  <si>
    <t>Kennard Estate-Building Envelope, Windows and Doors</t>
  </si>
  <si>
    <t>Replace shingles and flashings. Repair foundation walls. Replace wood windows and shutters with historic, appropriate units.</t>
  </si>
  <si>
    <t xml:space="preserve">Provide accessible parking spaces and install accessible entrance ramp. </t>
  </si>
  <si>
    <t>Upgrade toilet rooms, door hardware, elevator, entrance ramp, and signage for accessibility.</t>
  </si>
  <si>
    <t>Lower Falls Community Center - Replace Gym Floor</t>
  </si>
  <si>
    <t>Upgrade lighting and power distribution.  Update fire alarm horn strobes and beacons.</t>
  </si>
  <si>
    <t>Replace controls, air handlers.  Replace 2nd boiler, hot water conversion, and Direct Digital Controls conversion.</t>
  </si>
  <si>
    <t>Newton Corner Parks &amp; Rec Headquarters - Exterior Windows &amp; Doors</t>
  </si>
  <si>
    <t>Newton Corner Parks &amp; Rec Headquarters - Building Envelope</t>
  </si>
  <si>
    <t>Newton Corner Parks &amp; Rec Headquarters - Site/ Accessibility Upgrades</t>
  </si>
  <si>
    <t>Newton Corner Parks &amp; Rec Headquarters - Roof Restoration/ Replacement</t>
  </si>
  <si>
    <t>Upgrades to  Lighting and controls</t>
  </si>
  <si>
    <t>Replace baseboard heating on first floor. Provide pipe insulation. Replace air handling unit in basement with new controls.     Provide exhaust fan, 150 CFM in basement mens room. Interlock controls with light.•Provided new attic exhaust fan to match outside air flow of new supply unit in mechanical room.•Provide exhaust fan, 75 CFM in first floor womens room. Interlock controls with light.•Provide exhaust fan, 75 CFM in first floor mens room. Interlock controls with light.•Provide combustion air system for boiler. Replace venting.</t>
  </si>
  <si>
    <t>Upgrade interior lighting and power distribution. Replace electrical panel and main electrical service.</t>
  </si>
  <si>
    <t>Reconfigure entry vestibules and reconstruct ADA compliant ramp;  Upgrades for toilet rooms and drinking fountain.</t>
  </si>
  <si>
    <t>Nonantum Library-Roofs and Building Envelope</t>
  </si>
  <si>
    <t>Sanitary piping is deteriorating. Upgrades to toilet rooms and water fountains</t>
  </si>
  <si>
    <t>Upgrades to door hardware, toilet rooms, railings, and signage for accessibility.</t>
  </si>
  <si>
    <t>Replace boiler, remove underground storage tank.   Convert to gas, provide new heating controls, fans and heaters in future.</t>
  </si>
  <si>
    <t>Provide accessible toilet rooms, door hardware, signage and a hi-low drinking fountain. Resurface and re-grade path         to play area.</t>
  </si>
  <si>
    <t>Replace lower roofing membrane,  gutters and downspouts. Replace upper Gym membrane roof with a new EPDM roof.</t>
  </si>
  <si>
    <t>Replace windows and security screens with new insulated windows and new security screens.  Repair and repoint masonry walls and restore murals.</t>
  </si>
  <si>
    <t>Upgrade lighting and power distribution for energy efficiency.  Provide protective cages over gym fixtures.  Replace electric panels.</t>
  </si>
  <si>
    <t>Police Annex - Accessibility Upgrades</t>
  </si>
  <si>
    <t>Provide accessible toilet rooms, door hardware, signage and drinking fountain.  Provide a lower transaction counter.</t>
  </si>
  <si>
    <t>Police Annex - Exterior Windows &amp; Doors &amp; Building Envelope</t>
  </si>
  <si>
    <r>
      <rPr>
        <sz val="8"/>
        <rFont val="Calibri"/>
        <family val="2"/>
        <scheme val="minor"/>
      </rPr>
      <t>Restore/replace</t>
    </r>
    <r>
      <rPr>
        <sz val="8"/>
        <color theme="1"/>
        <rFont val="Calibri"/>
        <family val="2"/>
        <scheme val="minor"/>
      </rPr>
      <t xml:space="preserve"> windows and doors with historically appropriate energy efficient units. Repoint exterior brick and entry ramp.  Repair stone lintels.</t>
    </r>
  </si>
  <si>
    <t>Police Headquarters - Repair Concrete</t>
  </si>
  <si>
    <t xml:space="preserve">Replace electrical distribution panels and main electrical service. Upgrade Telcom and Electrical infrastructure to BICSI and Electrical code.Replace interior lights to improve light levels and energy efficiency. </t>
  </si>
  <si>
    <t>Upgrade Distribution system, controls, and remove underground tank.</t>
  </si>
  <si>
    <t>Upgrade or replace building.  Work includes lighting, toilet rooms, roofing and envelope repairs.</t>
  </si>
  <si>
    <t>Upgrade toilet rooms, Replace door hardware;  Modify door at stairwell or install automatic door opener.</t>
  </si>
  <si>
    <t>Restore exterior wood door and install panic hardware. Replace areaway and rear door.  Restore windows.</t>
  </si>
  <si>
    <t xml:space="preserve">Replace electrical panel. Replace exterior lighting to improve safety. Replace main electric service and wiring.Upgrade lighting to improve energy efficiency. </t>
  </si>
  <si>
    <t>Replace main entry walk and foundation walls and install railing.  Rebuild side stairs at main entry. Rebuild stairs at rear entry.   Install hand rail on one side of rear entry wall.•Repair flashing of parapet walls.</t>
  </si>
  <si>
    <t>Waban Library-Accessibility Upgrades</t>
  </si>
  <si>
    <t>Waban Library-Building Envelope and Entrance</t>
  </si>
  <si>
    <t>Hot water conversion and distribution as part of future major renovation.  (Could also keep the steam system for approx $500K).     Include in major renovation.</t>
  </si>
  <si>
    <t>Replace existing courts at this location and lighting. Consider Private-Public Partnership.</t>
  </si>
  <si>
    <t>Deferred due to paving. Replace 1,150 LF of 6" water main with 8", 1905.  This precedes scheduled roadway paving.</t>
  </si>
  <si>
    <t>Deferred.  Replace 1048 LF of 6" water main with 8", 1877.  This precedes scheduled roadway paving.</t>
  </si>
  <si>
    <t>Burr School - Sitework Sidewalk Ramp Repairs</t>
  </si>
  <si>
    <t>City Hall - Increase City Clerk Archive Storage</t>
  </si>
  <si>
    <t>Deferred due to paving. Waltham to Wolcott (FY14). Cleaning and lining 3,150 LF of 8" water main, 1932.  This precedes scheduled roadway paving.</t>
  </si>
  <si>
    <t>Schools - Repave Parking Areas</t>
  </si>
  <si>
    <t>Upgrade traffic signal and intersection on Washington St at Waltham/Watertown Sts  to improve safety, visibility, and for ADA compliance.</t>
  </si>
  <si>
    <t>DPW - Replace 1998 Front End Loader</t>
  </si>
  <si>
    <t>DPW - Replace 1984 Do All Large Construction Truck</t>
  </si>
  <si>
    <t>Replacement of vehicle taken out of service: Vehicle #148.  Dept will not have minimum (6 ea) needed for 4 sweeps/yr efficiently. Contracting out services is alternative at great expense.</t>
  </si>
  <si>
    <t xml:space="preserve">Replacement of existing city vehicle/ equipment that is beyond useful life, used for street &amp; sidewalk repairs.  (#130).  </t>
  </si>
  <si>
    <t>Replace 2 vehicles taken out of service: Vehicle #73 and #40.  Required for sanding fleet for snow and for construction work.</t>
  </si>
  <si>
    <t>Replacement of existing city vehicle/ equipment used for street &amp; sidewalk repairs.  (#110)  Beyond usefull life expectancy.</t>
  </si>
  <si>
    <t>Replace vehicles out of service: Vehicle #101 (1993) and #69 (1983)  Required for sanding for snow and for construction work.</t>
  </si>
  <si>
    <t>Replacement of existing city vehicle/ equipment used for street &amp; sidewalk repairs. (#120) at useful life expectancy.</t>
  </si>
  <si>
    <t>DPW - Replace 1994 Packer Trash Collection Vehicle</t>
  </si>
  <si>
    <t>Replacement of existing city vehicle/ equipment used to load materials for street &amp; sidewalk repairs. (#104)</t>
  </si>
  <si>
    <t>Replacement of vehicle taken out of service: Vehicle #148.  Dept will not have minimum (6 ea) needed for 4 sweeps/yr efficiently.</t>
  </si>
  <si>
    <t>Replacement of existing city vehicle/ equipment used for street &amp; sidewalk construction and snow removal operations. (#87)</t>
  </si>
  <si>
    <t>DPW - Replace 1993 Bombadier Sidewalk Plow</t>
  </si>
  <si>
    <t>Replacement of existing city vehicle/ equipment used to maintain clear sidewalks throughout the City during snow events. (#173)</t>
  </si>
  <si>
    <t>Replacement of existing city vehicle/ equipment used in sewer line repairs and maintenance (#327).</t>
  </si>
  <si>
    <t>Replacement of damaged city vehicle/ equipment used to clean sewer catch basins and brook grates. (#330)</t>
  </si>
  <si>
    <t>Replace 2001 10-Wheeler Large Capacity Construction Truck</t>
  </si>
  <si>
    <t>Replace 1995 Sewer Jet Truck</t>
  </si>
  <si>
    <t>Replacement of vehicle/ equipment used to clear out blockages in the sewer system to prevent sewer backups. (#369).</t>
  </si>
  <si>
    <t xml:space="preserve">Replace vehicle/ equipmt used to haul materials for  treching / backfilling for sewer line repairs. Also used for snow removal. (#365) </t>
  </si>
  <si>
    <t xml:space="preserve">Replace vehicles/equipment used to haul materials for trenching/ backfilling for sewer line repairs.  Also used for snow plowing (#366 and #367) </t>
  </si>
  <si>
    <t>Replace 2004 Sewer Clam Truck</t>
  </si>
  <si>
    <t>Replace 2002 Construction Truck</t>
  </si>
  <si>
    <t>Replace 2004 Construction Truck</t>
  </si>
  <si>
    <t>Replace Construction Truck</t>
  </si>
  <si>
    <t>Replacement of existing city vehicle used for construction work on City water mains and for snow removal/sanding operations.         Life span of vehicles is 15 yrs. (#309)</t>
  </si>
  <si>
    <t>Replacement of existing city vehicle used for construction work on City water mains and for snow removal/sanding operations.         Life span of vehicles is 15 yrs (#311).</t>
  </si>
  <si>
    <t>Replacement of existing city vehicle used for construction work on City water mains and for snow removal/sanding operations.         Life span of vehicles is 15 yrs (#316).</t>
  </si>
  <si>
    <t>Replacement of existing city vehicle used for construction work on City water mains and for snow removal/sanding operations.         Life span of vehicles is 15 yrs (#310).</t>
  </si>
  <si>
    <t>Replacement of existing city vehicle used for construction work on City water mains and for snow removal/sanding operations.         Life span of vehicles is 15 yrs</t>
  </si>
  <si>
    <t>Replacement of existing city vehicle/ equipment used in water line repairs and maintenance  (#328)</t>
  </si>
  <si>
    <t>Prairie Avenue Sewer Pump Station</t>
  </si>
  <si>
    <t>Islington Road Sewer Pump Station - Replace Pumps</t>
  </si>
  <si>
    <t>Elliot Street Sewer  Pump Station - Repair Pumps</t>
  </si>
  <si>
    <t>Quinobequin Road Sewer Pump Station - Replace Pump</t>
  </si>
  <si>
    <t>Hamlet Street Sewer Pump Station - Replace Pumps</t>
  </si>
  <si>
    <t>Sewerage is pumped to higher point and gravity fed to MWRA pipes for treatment. Replace pumps, motors and flow recorder which are at life expectancy.</t>
  </si>
  <si>
    <t>Sewerage is pumped to higher point and gravity fed to MWRA pipes for treatment. Replace pumps and flow recorder which are at life expectancy.</t>
  </si>
  <si>
    <t>Sewerage pumped to higher point and gravity fed to MWRA pipes for treatment. Replace pump 1 and motors at life expectancy.</t>
  </si>
  <si>
    <t>Sewerage is pumped to a higher point and gravity fed to MWRA pipes for treatment. Replace pumps and motors.</t>
  </si>
  <si>
    <t>Replace 60 hp pump in Fire Station #10; boosts water pressure in high areas of City.   Pumps fill Oak Hill Tank. Coord w/construct.</t>
  </si>
  <si>
    <t>Deferred.  Cleaning and lining 760 LF of 8" water main, 1880.  This precedes upcoming TIP funded road reconstruction project.</t>
  </si>
  <si>
    <t>Storm drain pipe has partially collapsed and requires repair to prevent flooding.</t>
  </si>
  <si>
    <t>Rehabilitation of Forest Grove Storm System Pump Station </t>
  </si>
  <si>
    <t>Assess storm system to determine prioritized list of needed investments for next 10-20 years.</t>
  </si>
  <si>
    <t>Repair of culverts along Laundry Brook to prevent flooding.</t>
  </si>
  <si>
    <t>Replace existing pipe which has settled and is causing flooding.</t>
  </si>
  <si>
    <t>Repair, upgrade kitchen equipment and stove ventilation in cafeteria kitchen to comply with current code requirements.</t>
  </si>
  <si>
    <t>City Hall - Plumbing and Accessiblity Improvements</t>
  </si>
  <si>
    <t xml:space="preserve">Upgrade toilet rooms for improved accessibility as required by code. </t>
  </si>
  <si>
    <t>Renovate toilet rooms and replace cold and hot water piping as required.  Provide insulation for all piping.</t>
  </si>
  <si>
    <t xml:space="preserve">Upgrade historic hall to improve mech, elect systems and acoustics.  Space under-utilized due to poor acoustics and A/V deficiencies.  </t>
  </si>
  <si>
    <t xml:space="preserve">Upgrade Historic Board Chamber to improve mechanical, electrical, audio/visual systems and lighting and interior finishes. </t>
  </si>
  <si>
    <t>Plan installation of sprinkler system and addressable fire alarm upgrades  in City Hall in conjunction with other building upgrades.</t>
  </si>
  <si>
    <t>Repave parking areas and sidewalks in poor condition at Ward, Brown, Underwood, Mason Rice, Oak Hill, Williams, Zervas and Peirce.</t>
  </si>
  <si>
    <t>Upgrade electrical panels and distribution system.</t>
  </si>
  <si>
    <t>Construction Trucks ($130K each)</t>
  </si>
  <si>
    <t xml:space="preserve">Newton Highlands Playgrnd - Ph I Design &amp; Construction </t>
  </si>
  <si>
    <t xml:space="preserve">Newton Upper Falls/ Braceland Playground - Design &amp; Construction </t>
  </si>
  <si>
    <t>Replace Engine 7 pumper truck.  Engine 7 will become a spare.</t>
  </si>
  <si>
    <t>Replace Parks Dump Truck (replace 1998 truck #430)</t>
  </si>
  <si>
    <t>Provide curb cuts to comply with federal ADA requirements and to provide safe, accessible means to and from City sidewalks.</t>
  </si>
  <si>
    <t>Clerk's Archive Storage</t>
  </si>
  <si>
    <t>Remove/Replace Underground Tanks at Oak Hill Middle School</t>
  </si>
  <si>
    <t>Replace underground tanks that are beyond useful life at Oak Hill Middle School.  If possible, convert to gas and remove tanks.</t>
  </si>
  <si>
    <t xml:space="preserve">Remove underground tanks which are no longer needed at Williams, Mason-Rice, and Ward Schools. </t>
  </si>
  <si>
    <t>TECHNOLOGY</t>
  </si>
  <si>
    <t>TECHNOLOGY TOTAL</t>
  </si>
  <si>
    <t>Remove/Replace Fuel Tanks</t>
  </si>
  <si>
    <t>Energy Improvements</t>
  </si>
  <si>
    <t>STORM WATER</t>
  </si>
  <si>
    <t>STORM WATER TOTAL</t>
  </si>
  <si>
    <t>5-YEAR TOTAL NEED</t>
  </si>
  <si>
    <t>CDBG Eligible</t>
  </si>
  <si>
    <t>$222,702,041  -  Total projected to be funded over 5years</t>
  </si>
  <si>
    <t xml:space="preserve">Footbridges </t>
  </si>
  <si>
    <t>Health Department (Re-Use)</t>
  </si>
  <si>
    <t>Police Station HQ</t>
  </si>
  <si>
    <t>Pelham Street</t>
  </si>
  <si>
    <t>Pleasant Street</t>
  </si>
  <si>
    <t>Parks and Rec/Crecent Street (Re-Use)</t>
  </si>
  <si>
    <t>Parks and Recreation Garage (Re-Use)</t>
  </si>
  <si>
    <t>City of Newton 20 Year Long Range Capital Projection</t>
  </si>
  <si>
    <t xml:space="preserve">$7.5M anticipated from MSBA. Renovate/ replace 92 yr old school due to poor condition, aging bldg systems and inadequate space per State Ed.  MSBA required feasibility study. </t>
  </si>
  <si>
    <t>Code required project to provide accessible toilet rooms, an accessible drinking fountain, and lift for access to the lower gym level.</t>
  </si>
  <si>
    <t xml:space="preserve">IT Advisory Cmte recommends implementation of City-wide network as high priority imperative to improve speed, reliability, and security to build the framework for major improvements and expansion of the City's IT capabilities in areas such
as electronic storage and retrieval, disaster recovery, integrated
&gt; data warehouse and electronic workflow systems resulting in improved
&gt; work efficiencies and expansion of services network connections. </t>
  </si>
  <si>
    <t xml:space="preserve">Convert 19 gas lights to electric lights on existing utility poles.  Convert 56 gaslights to electric lights where no streetlight pole exists.  Requires installation of conduit, electric meters, new foundations, new poles, and new light fixtures.  </t>
  </si>
  <si>
    <t>Short Term Space needs/Modulars</t>
  </si>
  <si>
    <t>Kennard Estate</t>
  </si>
  <si>
    <t>Other (Renovate/Replace))</t>
  </si>
  <si>
    <t>Renovate/Replace</t>
  </si>
  <si>
    <t>10.9.12</t>
  </si>
  <si>
    <t>NOTES</t>
  </si>
  <si>
    <t>Gym Floor</t>
  </si>
  <si>
    <t>Carr Reno Total $12.7M</t>
  </si>
  <si>
    <t>75,000 sf x $350/sf x 1.33</t>
  </si>
  <si>
    <t>est. $7.5M from MSBA</t>
  </si>
  <si>
    <t>hot water conversion</t>
  </si>
  <si>
    <t>Feas. in FY14, incls MEP</t>
  </si>
  <si>
    <t>in fuel tank program</t>
  </si>
  <si>
    <t>in cip - first priority</t>
  </si>
  <si>
    <t>preferred vendor</t>
  </si>
  <si>
    <t>on-going issues</t>
  </si>
  <si>
    <t>w/reno</t>
  </si>
  <si>
    <t>Feas. In FY23</t>
  </si>
  <si>
    <t>Pre-K?</t>
  </si>
  <si>
    <t>part of stair project</t>
  </si>
  <si>
    <t>master control panel</t>
  </si>
  <si>
    <t>wood floor</t>
  </si>
  <si>
    <t>lockers</t>
  </si>
  <si>
    <t>DDC Conversion</t>
  </si>
  <si>
    <t>part of fuel tank program</t>
  </si>
  <si>
    <t>preferred vendor program</t>
  </si>
  <si>
    <t>Design in FY23</t>
  </si>
  <si>
    <t>Study options in FY17</t>
  </si>
  <si>
    <t>new condensing boilers</t>
  </si>
  <si>
    <t>part of tank program</t>
  </si>
  <si>
    <t>include sprinklers &amp; ADA</t>
  </si>
  <si>
    <t>old building</t>
  </si>
  <si>
    <t>include cupola</t>
  </si>
  <si>
    <t>roof leaks, sheathing</t>
  </si>
  <si>
    <t>condensing boiler</t>
  </si>
  <si>
    <t>Part of tank program</t>
  </si>
  <si>
    <t>ext. stair water infiltration</t>
  </si>
  <si>
    <t>inspect slate</t>
  </si>
  <si>
    <t>w/renovation</t>
  </si>
  <si>
    <t>with renovation</t>
  </si>
  <si>
    <t>univents</t>
  </si>
  <si>
    <t>soil, part of tank program</t>
  </si>
  <si>
    <t>addressable fire alarm</t>
  </si>
  <si>
    <t>SOA, wood floor</t>
  </si>
  <si>
    <t>DDC</t>
  </si>
  <si>
    <t>Long term plan?</t>
  </si>
  <si>
    <t>maybe w/reno /addition</t>
  </si>
  <si>
    <t>include relining chimney</t>
  </si>
  <si>
    <t>ashphalt subfloor</t>
  </si>
  <si>
    <t>efficient condensing boiler</t>
  </si>
  <si>
    <t>concrete platforms</t>
  </si>
  <si>
    <t xml:space="preserve">toilet rooms </t>
  </si>
  <si>
    <t>replace w/perm constr.</t>
  </si>
  <si>
    <t>tank and gas conversion</t>
  </si>
  <si>
    <t>hot water conversion?</t>
  </si>
  <si>
    <t>preferred vendor?</t>
  </si>
  <si>
    <t>none</t>
  </si>
  <si>
    <t>$425,000 in 25 years</t>
  </si>
  <si>
    <t>SOA and Gym</t>
  </si>
  <si>
    <t>accessible toilet rms</t>
  </si>
  <si>
    <t>lift in FY13 &amp; elevator</t>
  </si>
  <si>
    <t>Vets Aud. BOA chamber</t>
  </si>
  <si>
    <t>CPA Eligible?</t>
  </si>
  <si>
    <t>boilers &amp; chillers</t>
  </si>
  <si>
    <t>carpet-library O&amp;M $300K</t>
  </si>
  <si>
    <t>mech, elec, envelope</t>
  </si>
  <si>
    <t>replace?</t>
  </si>
  <si>
    <t>Re-Use?</t>
  </si>
  <si>
    <t>replace oil tank too</t>
  </si>
  <si>
    <t>water infiltration</t>
  </si>
  <si>
    <t>no accessible toilet</t>
  </si>
  <si>
    <t>Long term use?  Re-use?</t>
  </si>
  <si>
    <t>gas conversion</t>
  </si>
  <si>
    <t>repairs in 2012 to extend life</t>
  </si>
  <si>
    <t>Re-Use, long term use?</t>
  </si>
  <si>
    <t>Public Buildings?</t>
  </si>
  <si>
    <t>septic system</t>
  </si>
  <si>
    <t>incl roof</t>
  </si>
  <si>
    <t>Long term use?</t>
  </si>
  <si>
    <t>Re-Use</t>
  </si>
  <si>
    <t>addition / consolidate?</t>
  </si>
  <si>
    <t>evidence storage</t>
  </si>
  <si>
    <t>long term plan for site?</t>
  </si>
  <si>
    <t>repl w/countryside tanks</t>
  </si>
  <si>
    <t>includes masonry work</t>
  </si>
  <si>
    <t>New 2007</t>
  </si>
  <si>
    <t>New 2011</t>
  </si>
  <si>
    <t>replace</t>
  </si>
  <si>
    <t>bldg envel restoration</t>
  </si>
  <si>
    <t>interior renovation</t>
  </si>
  <si>
    <t>structural and envelope</t>
  </si>
  <si>
    <t>CPA</t>
  </si>
  <si>
    <t>Re-Use, $572K needed.</t>
  </si>
  <si>
    <t>Re-Use, $480K needed.</t>
  </si>
  <si>
    <t>envelope, columns</t>
  </si>
  <si>
    <t>Renovate/repl bathhouse</t>
  </si>
  <si>
    <t>pool heater</t>
  </si>
  <si>
    <t>pool filtration system, piping</t>
  </si>
  <si>
    <t>New Pool facility</t>
  </si>
  <si>
    <t>mech, elec, roof, access</t>
  </si>
  <si>
    <t>Incl in new pool facility</t>
  </si>
  <si>
    <t>abatement?</t>
  </si>
  <si>
    <t>envelope issues by others</t>
  </si>
  <si>
    <t>envel/strct issues</t>
  </si>
  <si>
    <t>gym floor, carpet to vct</t>
  </si>
  <si>
    <t>includes masonry</t>
  </si>
  <si>
    <t xml:space="preserve">poor cond., repl? $975K </t>
  </si>
  <si>
    <t>built in 1996</t>
  </si>
  <si>
    <t>elec, toilets, envelope</t>
  </si>
  <si>
    <t>Use? access. toilets?</t>
  </si>
  <si>
    <t>Not Needed, Demolish, replace?</t>
  </si>
  <si>
    <t>Not Needed, Demolish</t>
  </si>
  <si>
    <t>Relatively new</t>
  </si>
  <si>
    <t xml:space="preserve">NSTAR Preferred Vendor </t>
  </si>
  <si>
    <t>w/Wellesley, to meet safety req'ts</t>
  </si>
  <si>
    <t>Access &amp; Evac Rte for Day MS</t>
  </si>
  <si>
    <t>Rebld pumps/update inst</t>
  </si>
  <si>
    <t>Rebld pump/update inst,</t>
  </si>
  <si>
    <t>Removal</t>
  </si>
  <si>
    <t>Paint (painted in 2006)</t>
  </si>
  <si>
    <t>Replace roof</t>
  </si>
  <si>
    <t>Inspect/line central core</t>
  </si>
  <si>
    <t>Replace Water Meters</t>
  </si>
  <si>
    <t>I/I removal</t>
  </si>
  <si>
    <t>Pump replacemt/maint.</t>
  </si>
  <si>
    <t xml:space="preserve">Hammond Pd, Pell Prk </t>
  </si>
  <si>
    <t>Bldg repair/pump replc</t>
  </si>
  <si>
    <t>Building repairs</t>
  </si>
  <si>
    <t>Repair sluice gate</t>
  </si>
  <si>
    <t>Sediment removal</t>
  </si>
  <si>
    <t>baseball, courts, football</t>
  </si>
  <si>
    <t>private funding?</t>
  </si>
  <si>
    <t>CPC, land Water Resources</t>
  </si>
  <si>
    <t>water filtration system</t>
  </si>
  <si>
    <t>see above</t>
  </si>
  <si>
    <t>1 bball, 2 tennis, fencing</t>
  </si>
  <si>
    <t>4 tennis courts</t>
  </si>
  <si>
    <t>cdbg access</t>
  </si>
  <si>
    <t>cdbg funding</t>
  </si>
  <si>
    <t>3 tennis cts, 2 bball cts</t>
  </si>
  <si>
    <t>CPA eligible</t>
  </si>
  <si>
    <t>turf fld (FY24), tennis (FY22)</t>
  </si>
  <si>
    <t xml:space="preserve">turf flds(2@$500K), courts </t>
  </si>
  <si>
    <t>incl. roof &amp; windows</t>
  </si>
  <si>
    <t>incl $50K @ Bigelow</t>
  </si>
  <si>
    <t>Feas. Study in FY14.</t>
  </si>
  <si>
    <t>req'd ADA rear entrance</t>
  </si>
  <si>
    <t>incl feasibility study</t>
  </si>
  <si>
    <t>school tank program</t>
  </si>
  <si>
    <t>4 mods+sprinkls FY14, pre-k</t>
  </si>
  <si>
    <t>School fuel tank program</t>
  </si>
  <si>
    <t>hot water</t>
  </si>
  <si>
    <t>mods</t>
  </si>
  <si>
    <t>refinish/replace floor</t>
  </si>
  <si>
    <t>elevator wall leak</t>
  </si>
  <si>
    <t>Slate</t>
  </si>
  <si>
    <t>3-D Object Storage</t>
  </si>
  <si>
    <t>long term use?</t>
  </si>
  <si>
    <t>New construction FY14</t>
  </si>
  <si>
    <t>New in 2012-13</t>
  </si>
  <si>
    <t>toilet rooms</t>
  </si>
  <si>
    <t>mech/elec, ventilation</t>
  </si>
  <si>
    <t>if use is federally funded</t>
  </si>
  <si>
    <t>Everything in assessment</t>
  </si>
  <si>
    <t>day care</t>
  </si>
  <si>
    <t>CPC Funding?</t>
  </si>
  <si>
    <t>Shelter/Toilets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</si>
</sst>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5" formatCode="&quot;$&quot;#,##0_);\(&quot;$&quot;#,##0\)"/>
    <numFmt numFmtId="6" formatCode="&quot;$&quot;#,##0_);[Red]\(&quot;$&quot;#,##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
    <numFmt numFmtId="168" formatCode="0.0%"/>
  </numFmts>
  <fonts count="40">
    <font>
      <sz val="11"/>
      <color theme="1"/>
      <name val="Calibri"/>
      <family val="2"/>
      <scheme val="minor"/>
    </font>
    <font>
      <sz val="11"/>
      <color theme="1"/>
      <name val="Calibri"/>
      <family val="2"/>
      <scheme val="minor"/>
    </font>
    <font>
      <b/>
      <sz val="11"/>
      <color theme="1"/>
      <name val="Calibri"/>
      <family val="2"/>
      <scheme val="minor"/>
    </font>
    <font>
      <b/>
      <sz val="10"/>
      <color indexed="8"/>
      <name val="Calibri"/>
      <family val="2"/>
      <scheme val="minor"/>
    </font>
    <font>
      <b/>
      <sz val="10"/>
      <color theme="1"/>
      <name val="Calibri"/>
      <family val="2"/>
      <scheme val="minor"/>
    </font>
    <font>
      <sz val="8"/>
      <color theme="1"/>
      <name val="Calibri"/>
      <family val="2"/>
      <scheme val="minor"/>
    </font>
    <font>
      <b/>
      <sz val="8"/>
      <color theme="1"/>
      <name val="Calibri"/>
      <family val="2"/>
      <scheme val="minor"/>
    </font>
    <font>
      <b/>
      <sz val="8"/>
      <name val="Calibri"/>
      <family val="2"/>
      <scheme val="minor"/>
    </font>
    <font>
      <sz val="8"/>
      <name val="Calibri"/>
      <family val="2"/>
      <scheme val="minor"/>
    </font>
    <font>
      <sz val="8"/>
      <color indexed="8"/>
      <name val="Calibri"/>
      <family val="2"/>
      <scheme val="minor"/>
    </font>
    <font>
      <b/>
      <sz val="8"/>
      <color indexed="8"/>
      <name val="Calibri"/>
      <family val="2"/>
      <scheme val="minor"/>
    </font>
    <font>
      <sz val="8"/>
      <color rgb="FFFF0000"/>
      <name val="Calibri"/>
      <family val="2"/>
      <scheme val="minor"/>
    </font>
    <font>
      <sz val="11"/>
      <color theme="1"/>
      <name val="Times New Roman"/>
      <family val="2"/>
    </font>
    <font>
      <b/>
      <sz val="8"/>
      <color rgb="FFFF0000"/>
      <name val="Calibri"/>
      <family val="2"/>
      <scheme val="minor"/>
    </font>
    <font>
      <sz val="11"/>
      <color indexed="8"/>
      <name val="Times New Roman"/>
      <family val="2"/>
    </font>
    <font>
      <sz val="10"/>
      <name val="Arial"/>
      <family val="2"/>
    </font>
    <font>
      <sz val="10"/>
      <color theme="1"/>
      <name val="Arial1"/>
    </font>
    <font>
      <sz val="10"/>
      <color theme="1"/>
      <name val="Calibri"/>
      <family val="2"/>
      <scheme val="minor"/>
    </font>
    <font>
      <b/>
      <sz val="12"/>
      <color indexed="8"/>
      <name val="Calibri"/>
      <family val="2"/>
      <scheme val="minor"/>
    </font>
    <font>
      <b/>
      <sz val="12"/>
      <color theme="0"/>
      <name val="Calibri"/>
      <family val="2"/>
      <scheme val="minor"/>
    </font>
    <font>
      <sz val="11"/>
      <name val="Calibri"/>
      <family val="2"/>
      <scheme val="minor"/>
    </font>
    <font>
      <b/>
      <sz val="12"/>
      <color theme="1"/>
      <name val="Calibri"/>
      <family val="2"/>
      <scheme val="minor"/>
    </font>
    <font>
      <b/>
      <sz val="12"/>
      <color indexed="8"/>
      <name val="Arial"/>
      <family val="2"/>
    </font>
    <font>
      <sz val="12"/>
      <color indexed="8"/>
      <name val="Arial"/>
      <family val="2"/>
    </font>
    <font>
      <sz val="10"/>
      <color indexed="8"/>
      <name val="Arial"/>
      <family val="2"/>
    </font>
    <font>
      <b/>
      <sz val="11"/>
      <color indexed="8"/>
      <name val="Calibri"/>
      <family val="2"/>
      <scheme val="minor"/>
    </font>
    <font>
      <b/>
      <sz val="14"/>
      <color indexed="8"/>
      <name val="Calibri"/>
      <family val="2"/>
      <scheme val="minor"/>
    </font>
    <font>
      <b/>
      <sz val="14"/>
      <color theme="1"/>
      <name val="Calibri"/>
      <family val="2"/>
      <scheme val="minor"/>
    </font>
    <font>
      <sz val="10"/>
      <name val="Calibri"/>
      <family val="2"/>
      <scheme val="minor"/>
    </font>
    <font>
      <b/>
      <sz val="11"/>
      <name val="Calibri"/>
      <family val="2"/>
      <scheme val="minor"/>
    </font>
    <font>
      <sz val="12"/>
      <color theme="1"/>
      <name val="Calibri"/>
      <family val="2"/>
      <scheme val="minor"/>
    </font>
    <font>
      <sz val="11"/>
      <color rgb="FFFF0000"/>
      <name val="Calibri"/>
      <family val="2"/>
      <scheme val="minor"/>
    </font>
    <font>
      <sz val="11"/>
      <color rgb="FFFF3300"/>
      <name val="Calibri"/>
      <family val="2"/>
      <scheme val="minor"/>
    </font>
    <font>
      <b/>
      <sz val="30"/>
      <color indexed="8"/>
      <name val="Calibri"/>
      <family val="2"/>
      <scheme val="minor"/>
    </font>
    <font>
      <b/>
      <sz val="16"/>
      <color theme="1"/>
      <name val="Calibri"/>
      <family val="2"/>
      <scheme val="minor"/>
    </font>
    <font>
      <sz val="12"/>
      <name val="Calibri"/>
      <family val="2"/>
      <scheme val="minor"/>
    </font>
    <font>
      <b/>
      <sz val="10"/>
      <name val="Calibri"/>
      <family val="2"/>
      <scheme val="minor"/>
    </font>
    <font>
      <sz val="10"/>
      <color rgb="FFFF3300"/>
      <name val="Calibri"/>
      <family val="2"/>
      <scheme val="minor"/>
    </font>
    <font>
      <sz val="10"/>
      <color rgb="FFFF0000"/>
      <name val="Calibri"/>
      <family val="2"/>
      <scheme val="minor"/>
    </font>
    <font>
      <sz val="9"/>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rgb="FFE5E0EF"/>
        <bgColor indexed="64"/>
      </patternFill>
    </fill>
  </fills>
  <borders count="63">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hair">
        <color auto="1"/>
      </left>
      <right style="hair">
        <color auto="1"/>
      </right>
      <top style="thin">
        <color indexed="64"/>
      </top>
      <bottom style="thin">
        <color indexed="64"/>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auto="1"/>
      </right>
      <top style="hair">
        <color auto="1"/>
      </top>
      <bottom style="hair">
        <color auto="1"/>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hair">
        <color indexed="64"/>
      </left>
      <right/>
      <top style="thin">
        <color indexed="64"/>
      </top>
      <bottom style="hair">
        <color indexed="64"/>
      </bottom>
      <diagonal/>
    </border>
    <border>
      <left style="hair">
        <color auto="1"/>
      </left>
      <right/>
      <top style="hair">
        <color auto="1"/>
      </top>
      <bottom style="hair">
        <color auto="1"/>
      </bottom>
      <diagonal/>
    </border>
    <border>
      <left style="thin">
        <color indexed="64"/>
      </left>
      <right style="hair">
        <color auto="1"/>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auto="1"/>
      </right>
      <top/>
      <bottom style="hair">
        <color auto="1"/>
      </bottom>
      <diagonal/>
    </border>
    <border>
      <left style="hair">
        <color auto="1"/>
      </left>
      <right style="thin">
        <color indexed="64"/>
      </right>
      <top/>
      <bottom style="hair">
        <color auto="1"/>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hair">
        <color auto="1"/>
      </left>
      <right style="hair">
        <color auto="1"/>
      </right>
      <top/>
      <bottom style="thin">
        <color indexed="64"/>
      </bottom>
      <diagonal/>
    </border>
    <border>
      <left style="thin">
        <color indexed="64"/>
      </left>
      <right style="thin">
        <color indexed="64"/>
      </right>
      <top/>
      <bottom style="hair">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hair">
        <color auto="1"/>
      </right>
      <top style="hair">
        <color auto="1"/>
      </top>
      <bottom style="hair">
        <color auto="1"/>
      </bottom>
      <diagonal/>
    </border>
    <border>
      <left/>
      <right style="hair">
        <color auto="1"/>
      </right>
      <top style="thin">
        <color indexed="64"/>
      </top>
      <bottom style="thin">
        <color indexed="64"/>
      </bottom>
      <diagonal/>
    </border>
    <border>
      <left style="hair">
        <color auto="1"/>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style="hair">
        <color auto="1"/>
      </bottom>
      <diagonal/>
    </border>
    <border>
      <left style="hair">
        <color auto="1"/>
      </left>
      <right style="thin">
        <color indexed="64"/>
      </right>
      <top style="hair">
        <color auto="1"/>
      </top>
      <bottom style="hair">
        <color auto="1"/>
      </bottom>
      <diagonal/>
    </border>
    <border>
      <left style="thin">
        <color indexed="64"/>
      </left>
      <right/>
      <top/>
      <bottom/>
      <diagonal/>
    </border>
    <border>
      <left style="thin">
        <color indexed="64"/>
      </left>
      <right/>
      <top/>
      <bottom style="thin">
        <color indexed="64"/>
      </bottom>
      <diagonal/>
    </border>
    <border>
      <left/>
      <right/>
      <top/>
      <bottom style="hair">
        <color auto="1"/>
      </bottom>
      <diagonal/>
    </border>
    <border>
      <left style="hair">
        <color auto="1"/>
      </left>
      <right/>
      <top/>
      <bottom style="hair">
        <color auto="1"/>
      </bottom>
      <diagonal/>
    </border>
    <border>
      <left/>
      <right/>
      <top style="hair">
        <color auto="1"/>
      </top>
      <bottom style="hair">
        <color auto="1"/>
      </bottom>
      <diagonal/>
    </border>
    <border>
      <left style="thin">
        <color indexed="64"/>
      </left>
      <right/>
      <top style="hair">
        <color auto="1"/>
      </top>
      <bottom style="hair">
        <color auto="1"/>
      </bottom>
      <diagonal/>
    </border>
    <border>
      <left style="hair">
        <color auto="1"/>
      </left>
      <right/>
      <top style="hair">
        <color auto="1"/>
      </top>
      <bottom/>
      <diagonal/>
    </border>
    <border>
      <left/>
      <right/>
      <top style="hair">
        <color auto="1"/>
      </top>
      <bottom/>
      <diagonal/>
    </border>
    <border>
      <left style="hair">
        <color auto="1"/>
      </left>
      <right style="hair">
        <color auto="1"/>
      </right>
      <top style="hair">
        <color auto="1"/>
      </top>
      <bottom/>
      <diagonal/>
    </border>
    <border>
      <left style="thin">
        <color indexed="64"/>
      </left>
      <right style="hair">
        <color auto="1"/>
      </right>
      <top style="hair">
        <color auto="1"/>
      </top>
      <bottom/>
      <diagonal/>
    </border>
    <border>
      <left style="thin">
        <color auto="1"/>
      </left>
      <right style="thin">
        <color auto="1"/>
      </right>
      <top style="hair">
        <color auto="1"/>
      </top>
      <bottom/>
      <diagonal/>
    </border>
    <border>
      <left style="thin">
        <color indexed="64"/>
      </left>
      <right/>
      <top/>
      <bottom style="hair">
        <color auto="1"/>
      </bottom>
      <diagonal/>
    </border>
    <border>
      <left/>
      <right style="thin">
        <color auto="1"/>
      </right>
      <top style="hair">
        <color auto="1"/>
      </top>
      <bottom style="hair">
        <color auto="1"/>
      </bottom>
      <diagonal/>
    </border>
    <border>
      <left style="hair">
        <color auto="1"/>
      </left>
      <right style="thin">
        <color auto="1"/>
      </right>
      <top style="hair">
        <color auto="1"/>
      </top>
      <bottom/>
      <diagonal/>
    </border>
    <border>
      <left style="thin">
        <color indexed="64"/>
      </left>
      <right/>
      <top style="hair">
        <color auto="1"/>
      </top>
      <bottom/>
      <diagonal/>
    </border>
    <border>
      <left style="thin">
        <color indexed="64"/>
      </left>
      <right style="hair">
        <color indexed="64"/>
      </right>
      <top style="hair">
        <color auto="1"/>
      </top>
      <bottom style="thin">
        <color indexed="64"/>
      </bottom>
      <diagonal/>
    </border>
    <border>
      <left style="hair">
        <color indexed="64"/>
      </left>
      <right style="hair">
        <color indexed="64"/>
      </right>
      <top style="hair">
        <color auto="1"/>
      </top>
      <bottom style="thin">
        <color indexed="64"/>
      </bottom>
      <diagonal/>
    </border>
    <border>
      <left style="hair">
        <color indexed="64"/>
      </left>
      <right style="thin">
        <color auto="1"/>
      </right>
      <top style="hair">
        <color auto="1"/>
      </top>
      <bottom style="thin">
        <color indexed="64"/>
      </bottom>
      <diagonal/>
    </border>
    <border>
      <left/>
      <right style="hair">
        <color auto="1"/>
      </right>
      <top style="hair">
        <color auto="1"/>
      </top>
      <bottom style="thin">
        <color indexed="64"/>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12" fillId="0" borderId="0"/>
    <xf numFmtId="44" fontId="14" fillId="0" borderId="0" applyFont="0" applyFill="0" applyBorder="0" applyAlignment="0" applyProtection="0"/>
    <xf numFmtId="0" fontId="15" fillId="0" borderId="0"/>
    <xf numFmtId="0" fontId="16" fillId="0" borderId="0"/>
  </cellStyleXfs>
  <cellXfs count="610">
    <xf numFmtId="0" fontId="0" fillId="0" borderId="0" xfId="0"/>
    <xf numFmtId="0" fontId="5" fillId="0" borderId="5" xfId="0" applyFont="1" applyBorder="1" applyAlignment="1">
      <alignment horizontal="center" vertical="center" wrapText="1"/>
    </xf>
    <xf numFmtId="0" fontId="6" fillId="0" borderId="5" xfId="0" applyFont="1" applyFill="1" applyBorder="1" applyAlignment="1">
      <alignment horizontal="left" vertical="center" wrapText="1"/>
    </xf>
    <xf numFmtId="0" fontId="5" fillId="0" borderId="5" xfId="0" applyFont="1" applyFill="1" applyBorder="1" applyAlignment="1">
      <alignment horizontal="left" vertical="top" wrapText="1"/>
    </xf>
    <xf numFmtId="0" fontId="5" fillId="0" borderId="6" xfId="0" applyFont="1" applyBorder="1" applyAlignment="1">
      <alignment horizontal="center" vertical="center" wrapText="1"/>
    </xf>
    <xf numFmtId="0" fontId="6" fillId="0" borderId="6" xfId="0" applyFont="1" applyFill="1" applyBorder="1" applyAlignment="1">
      <alignment horizontal="left" vertical="center" wrapText="1"/>
    </xf>
    <xf numFmtId="0" fontId="5" fillId="0" borderId="6" xfId="0" applyFont="1" applyFill="1" applyBorder="1" applyAlignment="1">
      <alignment horizontal="left" vertical="top" wrapText="1"/>
    </xf>
    <xf numFmtId="0" fontId="5" fillId="0" borderId="6" xfId="0" applyFont="1" applyFill="1" applyBorder="1" applyAlignment="1">
      <alignment horizontal="left" vertical="center" wrapText="1"/>
    </xf>
    <xf numFmtId="0" fontId="7" fillId="0" borderId="6" xfId="0" applyFont="1" applyFill="1" applyBorder="1" applyAlignment="1">
      <alignment horizontal="left" vertical="center" wrapText="1"/>
    </xf>
    <xf numFmtId="0" fontId="8" fillId="0" borderId="6" xfId="0" applyFont="1" applyFill="1" applyBorder="1" applyAlignment="1">
      <alignment horizontal="left" vertical="center" wrapText="1"/>
    </xf>
    <xf numFmtId="0" fontId="10" fillId="0" borderId="6" xfId="0" applyFont="1" applyFill="1" applyBorder="1" applyAlignment="1">
      <alignment horizontal="left" vertical="center" wrapText="1"/>
    </xf>
    <xf numFmtId="0" fontId="9" fillId="0" borderId="6" xfId="0" applyFont="1" applyFill="1" applyBorder="1" applyAlignment="1">
      <alignment horizontal="left" vertical="top" wrapText="1"/>
    </xf>
    <xf numFmtId="0" fontId="5" fillId="0" borderId="6" xfId="0" applyFont="1" applyFill="1" applyBorder="1" applyAlignment="1">
      <alignment horizontal="center" vertical="center" wrapText="1"/>
    </xf>
    <xf numFmtId="0" fontId="7" fillId="0" borderId="6" xfId="0" applyFont="1" applyBorder="1" applyAlignment="1">
      <alignment horizontal="left" vertical="center" wrapText="1"/>
    </xf>
    <xf numFmtId="0" fontId="8" fillId="0" borderId="6" xfId="3" applyFont="1" applyBorder="1" applyAlignment="1">
      <alignment horizontal="left" vertical="top" wrapText="1"/>
    </xf>
    <xf numFmtId="0" fontId="8" fillId="0" borderId="6" xfId="0" applyFont="1" applyFill="1" applyBorder="1" applyAlignment="1">
      <alignment horizontal="left" vertical="top" wrapText="1"/>
    </xf>
    <xf numFmtId="0" fontId="6" fillId="0" borderId="6" xfId="0" applyFont="1" applyBorder="1" applyAlignment="1">
      <alignment horizontal="left" vertical="center" wrapText="1"/>
    </xf>
    <xf numFmtId="0" fontId="5" fillId="0" borderId="6" xfId="0" applyFont="1" applyBorder="1" applyAlignment="1">
      <alignment horizontal="left" vertical="center" wrapText="1"/>
    </xf>
    <xf numFmtId="0" fontId="5" fillId="0" borderId="6" xfId="0" applyFont="1" applyBorder="1" applyAlignment="1">
      <alignment horizontal="left" vertical="top" wrapText="1"/>
    </xf>
    <xf numFmtId="0" fontId="10" fillId="0" borderId="6" xfId="0" applyFont="1" applyBorder="1" applyAlignment="1">
      <alignment horizontal="left" vertical="center" wrapText="1"/>
    </xf>
    <xf numFmtId="0" fontId="9" fillId="0" borderId="6" xfId="0" applyFont="1" applyFill="1" applyBorder="1" applyAlignment="1">
      <alignment horizontal="left" vertical="center" wrapText="1"/>
    </xf>
    <xf numFmtId="0" fontId="8" fillId="0" borderId="6" xfId="3" applyFont="1" applyFill="1" applyBorder="1" applyAlignment="1">
      <alignment horizontal="left" vertical="top" wrapText="1"/>
    </xf>
    <xf numFmtId="0" fontId="8" fillId="0" borderId="6" xfId="0" applyFont="1" applyBorder="1" applyAlignment="1">
      <alignment horizontal="left" vertical="top" wrapText="1"/>
    </xf>
    <xf numFmtId="0" fontId="8" fillId="0" borderId="6" xfId="0" applyFont="1" applyBorder="1" applyAlignment="1">
      <alignment horizontal="left" vertical="center" wrapText="1"/>
    </xf>
    <xf numFmtId="0" fontId="7" fillId="0" borderId="6" xfId="0" applyNumberFormat="1" applyFont="1" applyFill="1" applyBorder="1" applyAlignment="1">
      <alignment horizontal="left" vertical="center" wrapText="1"/>
    </xf>
    <xf numFmtId="0" fontId="8" fillId="0" borderId="6" xfId="0" applyNumberFormat="1" applyFont="1" applyFill="1" applyBorder="1" applyAlignment="1">
      <alignment horizontal="left" vertical="top" wrapText="1"/>
    </xf>
    <xf numFmtId="0" fontId="8" fillId="0" borderId="6" xfId="3" applyFont="1" applyFill="1" applyBorder="1" applyAlignment="1">
      <alignment horizontal="left" vertical="center" wrapText="1"/>
    </xf>
    <xf numFmtId="0" fontId="7" fillId="0" borderId="6" xfId="0" applyFont="1" applyFill="1" applyBorder="1" applyAlignment="1">
      <alignment horizontal="left" vertical="top" wrapText="1"/>
    </xf>
    <xf numFmtId="0" fontId="9" fillId="0" borderId="6" xfId="3" applyFont="1" applyBorder="1" applyAlignment="1">
      <alignment vertical="top" wrapText="1"/>
    </xf>
    <xf numFmtId="0" fontId="8" fillId="0" borderId="6" xfId="5" applyFont="1" applyFill="1" applyBorder="1" applyAlignment="1">
      <alignment horizontal="left" vertical="top" wrapText="1"/>
    </xf>
    <xf numFmtId="0" fontId="7" fillId="0" borderId="6" xfId="3" applyFont="1" applyFill="1" applyBorder="1" applyAlignment="1">
      <alignment horizontal="left" vertical="center" wrapText="1"/>
    </xf>
    <xf numFmtId="0" fontId="3" fillId="4" borderId="7" xfId="0" applyFont="1" applyFill="1" applyBorder="1" applyAlignment="1">
      <alignment horizontal="centerContinuous" vertical="center" wrapText="1"/>
    </xf>
    <xf numFmtId="0" fontId="3" fillId="7" borderId="7" xfId="0" applyFont="1" applyFill="1" applyBorder="1" applyAlignment="1">
      <alignment horizontal="center"/>
    </xf>
    <xf numFmtId="0" fontId="4" fillId="5" borderId="8" xfId="0" applyFont="1" applyFill="1" applyBorder="1" applyAlignment="1">
      <alignment horizontal="center"/>
    </xf>
    <xf numFmtId="0" fontId="4" fillId="5" borderId="9" xfId="0" applyFont="1" applyFill="1" applyBorder="1" applyAlignment="1">
      <alignment horizontal="center"/>
    </xf>
    <xf numFmtId="0" fontId="4" fillId="6" borderId="8" xfId="0" applyFont="1" applyFill="1" applyBorder="1" applyAlignment="1">
      <alignment horizontal="center"/>
    </xf>
    <xf numFmtId="0" fontId="4" fillId="6" borderId="9" xfId="0" applyFont="1" applyFill="1" applyBorder="1" applyAlignment="1">
      <alignment horizontal="center"/>
    </xf>
    <xf numFmtId="9" fontId="17" fillId="0" borderId="10" xfId="2" applyFont="1" applyBorder="1" applyAlignment="1">
      <alignment horizontal="center"/>
    </xf>
    <xf numFmtId="0" fontId="17" fillId="0" borderId="11" xfId="0" applyFont="1" applyBorder="1" applyAlignment="1">
      <alignment horizontal="center"/>
    </xf>
    <xf numFmtId="0" fontId="17" fillId="0" borderId="12" xfId="0" applyFont="1" applyBorder="1" applyAlignment="1">
      <alignment horizontal="center"/>
    </xf>
    <xf numFmtId="0" fontId="17" fillId="0" borderId="10" xfId="0" applyFont="1" applyBorder="1" applyAlignment="1">
      <alignment horizontal="center"/>
    </xf>
    <xf numFmtId="0" fontId="17" fillId="0" borderId="13" xfId="0" applyFont="1" applyBorder="1" applyAlignment="1">
      <alignment horizontal="center"/>
    </xf>
    <xf numFmtId="9" fontId="17" fillId="0" borderId="13" xfId="2" applyFont="1" applyBorder="1" applyAlignment="1">
      <alignment horizontal="center"/>
    </xf>
    <xf numFmtId="0" fontId="17" fillId="0" borderId="14" xfId="0" applyFont="1" applyBorder="1" applyAlignment="1">
      <alignment horizontal="center"/>
    </xf>
    <xf numFmtId="0" fontId="17" fillId="0" borderId="15" xfId="0" applyFont="1" applyBorder="1" applyAlignment="1">
      <alignment horizontal="center"/>
    </xf>
    <xf numFmtId="0" fontId="17" fillId="0" borderId="0" xfId="0" applyFont="1" applyAlignment="1">
      <alignment horizontal="center"/>
    </xf>
    <xf numFmtId="0" fontId="18" fillId="8" borderId="16"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0" fillId="0" borderId="18" xfId="0" applyFont="1" applyFill="1" applyBorder="1" applyAlignment="1">
      <alignment horizontal="center" vertical="center" wrapText="1"/>
    </xf>
    <xf numFmtId="0" fontId="0" fillId="0" borderId="19" xfId="0" applyFont="1" applyFill="1" applyBorder="1" applyAlignment="1">
      <alignment horizontal="center" vertical="center" wrapText="1"/>
    </xf>
    <xf numFmtId="0" fontId="0" fillId="0" borderId="19" xfId="0" applyFont="1" applyBorder="1" applyAlignment="1">
      <alignment horizontal="center" vertical="center" wrapText="1"/>
    </xf>
    <xf numFmtId="0" fontId="20" fillId="0" borderId="19" xfId="0" applyFont="1" applyBorder="1" applyAlignment="1">
      <alignment horizontal="center" vertical="center" wrapText="1"/>
    </xf>
    <xf numFmtId="0" fontId="18" fillId="10" borderId="20" xfId="0" applyFont="1" applyFill="1" applyBorder="1" applyAlignment="1">
      <alignment horizontal="center" vertical="center" wrapText="1"/>
    </xf>
    <xf numFmtId="0" fontId="3" fillId="10" borderId="20" xfId="0" applyFont="1" applyFill="1" applyBorder="1" applyAlignment="1">
      <alignment horizontal="center" vertical="center" wrapText="1"/>
    </xf>
    <xf numFmtId="9" fontId="0" fillId="0" borderId="24" xfId="2" applyFont="1" applyBorder="1" applyAlignment="1">
      <alignment horizontal="center" vertical="center"/>
    </xf>
    <xf numFmtId="9" fontId="0" fillId="0" borderId="25" xfId="2" applyFont="1" applyBorder="1" applyAlignment="1">
      <alignment horizontal="center" vertical="center"/>
    </xf>
    <xf numFmtId="0" fontId="18" fillId="11" borderId="16" xfId="0" applyFont="1" applyFill="1" applyBorder="1" applyAlignment="1">
      <alignment horizontal="center"/>
    </xf>
    <xf numFmtId="165" fontId="18" fillId="2" borderId="16" xfId="0" applyNumberFormat="1" applyFont="1" applyFill="1" applyBorder="1" applyAlignment="1">
      <alignment horizontal="center"/>
    </xf>
    <xf numFmtId="0" fontId="3" fillId="11" borderId="26" xfId="0" applyFont="1" applyFill="1" applyBorder="1" applyAlignment="1">
      <alignment horizontal="center" vertical="center" wrapText="1"/>
    </xf>
    <xf numFmtId="0" fontId="3" fillId="11" borderId="16" xfId="0" applyFont="1" applyFill="1" applyBorder="1" applyAlignment="1">
      <alignment horizontal="center" vertical="center" wrapText="1"/>
    </xf>
    <xf numFmtId="0" fontId="0" fillId="2" borderId="18" xfId="0" applyNumberFormat="1" applyFont="1" applyFill="1" applyBorder="1" applyAlignment="1">
      <alignment horizontal="center" vertical="center"/>
    </xf>
    <xf numFmtId="0" fontId="0" fillId="2" borderId="27" xfId="0" applyNumberFormat="1" applyFont="1" applyFill="1" applyBorder="1" applyAlignment="1">
      <alignment horizontal="center" vertical="center"/>
    </xf>
    <xf numFmtId="0" fontId="0" fillId="2" borderId="28" xfId="0" applyNumberFormat="1" applyFont="1" applyFill="1" applyBorder="1" applyAlignment="1">
      <alignment horizontal="center" vertical="center"/>
    </xf>
    <xf numFmtId="0" fontId="0" fillId="2" borderId="29" xfId="0" applyNumberFormat="1" applyFont="1" applyFill="1" applyBorder="1" applyAlignment="1">
      <alignment horizontal="center" vertical="center"/>
    </xf>
    <xf numFmtId="0" fontId="0" fillId="2" borderId="5" xfId="0" applyNumberFormat="1" applyFont="1" applyFill="1" applyBorder="1" applyAlignment="1">
      <alignment horizontal="center" vertical="center"/>
    </xf>
    <xf numFmtId="0" fontId="0" fillId="2" borderId="30" xfId="0" applyNumberFormat="1" applyFont="1" applyFill="1" applyBorder="1" applyAlignment="1">
      <alignment horizontal="center" vertical="center"/>
    </xf>
    <xf numFmtId="0" fontId="10" fillId="11" borderId="16" xfId="0" applyFont="1" applyFill="1" applyBorder="1" applyAlignment="1">
      <alignment horizontal="center"/>
    </xf>
    <xf numFmtId="165" fontId="23" fillId="11" borderId="17" xfId="0" applyNumberFormat="1" applyFont="1" applyFill="1" applyBorder="1" applyAlignment="1">
      <alignment horizontal="center"/>
    </xf>
    <xf numFmtId="9" fontId="5" fillId="12" borderId="32" xfId="2" applyFont="1" applyFill="1" applyBorder="1" applyAlignment="1">
      <alignment horizontal="center" vertical="center"/>
    </xf>
    <xf numFmtId="0" fontId="22" fillId="0"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9" fontId="5" fillId="12" borderId="33" xfId="2" applyFont="1" applyFill="1" applyBorder="1" applyAlignment="1">
      <alignment horizontal="center" vertical="center"/>
    </xf>
    <xf numFmtId="2" fontId="5" fillId="12" borderId="5" xfId="0" applyNumberFormat="1" applyFont="1" applyFill="1" applyBorder="1" applyAlignment="1">
      <alignment horizontal="center" vertical="center"/>
    </xf>
    <xf numFmtId="2" fontId="5" fillId="12" borderId="30" xfId="0" applyNumberFormat="1" applyFont="1" applyFill="1" applyBorder="1" applyAlignment="1">
      <alignment horizontal="center" vertical="center"/>
    </xf>
    <xf numFmtId="2" fontId="5" fillId="12" borderId="35" xfId="0" applyNumberFormat="1" applyFont="1" applyFill="1" applyBorder="1" applyAlignment="1">
      <alignment horizontal="center" vertical="center"/>
    </xf>
    <xf numFmtId="166" fontId="21" fillId="10" borderId="35" xfId="0" applyNumberFormat="1" applyFont="1" applyFill="1" applyBorder="1" applyAlignment="1">
      <alignment horizontal="center" vertical="center"/>
    </xf>
    <xf numFmtId="0" fontId="0" fillId="0" borderId="0" xfId="0" applyAlignment="1">
      <alignment textRotation="90"/>
    </xf>
    <xf numFmtId="0" fontId="3" fillId="13" borderId="26" xfId="0" applyFont="1" applyFill="1" applyBorder="1" applyAlignment="1">
      <alignment horizontal="center" vertical="center" wrapText="1"/>
    </xf>
    <xf numFmtId="0" fontId="3" fillId="13" borderId="16" xfId="0" applyFont="1" applyFill="1" applyBorder="1" applyAlignment="1">
      <alignment horizontal="center" vertical="center" wrapText="1"/>
    </xf>
    <xf numFmtId="0" fontId="0" fillId="2" borderId="3" xfId="0" applyFill="1" applyBorder="1"/>
    <xf numFmtId="0" fontId="0" fillId="2" borderId="17" xfId="0" applyFill="1" applyBorder="1"/>
    <xf numFmtId="0" fontId="2" fillId="2" borderId="36" xfId="0" applyFont="1" applyFill="1" applyBorder="1" applyAlignment="1">
      <alignment horizontal="center"/>
    </xf>
    <xf numFmtId="0" fontId="2" fillId="2" borderId="23" xfId="0" applyFont="1" applyFill="1" applyBorder="1" applyAlignment="1">
      <alignment horizontal="center"/>
    </xf>
    <xf numFmtId="0" fontId="0" fillId="0" borderId="0" xfId="0" applyBorder="1" applyAlignment="1">
      <alignment vertical="center"/>
    </xf>
    <xf numFmtId="0" fontId="3" fillId="14" borderId="26" xfId="0" applyNumberFormat="1" applyFont="1" applyFill="1" applyBorder="1" applyAlignment="1">
      <alignment horizontal="center"/>
    </xf>
    <xf numFmtId="0" fontId="3" fillId="14" borderId="16" xfId="0" applyNumberFormat="1" applyFont="1" applyFill="1" applyBorder="1" applyAlignment="1">
      <alignment horizontal="center"/>
    </xf>
    <xf numFmtId="0" fontId="0" fillId="0" borderId="2" xfId="0" applyBorder="1" applyAlignment="1">
      <alignment vertical="center"/>
    </xf>
    <xf numFmtId="42" fontId="3" fillId="0" borderId="26" xfId="0" applyNumberFormat="1" applyFont="1" applyFill="1" applyBorder="1" applyAlignment="1">
      <alignment horizontal="center" vertical="center" wrapText="1"/>
    </xf>
    <xf numFmtId="42" fontId="3" fillId="0" borderId="4" xfId="0" applyNumberFormat="1" applyFont="1" applyFill="1" applyBorder="1" applyAlignment="1">
      <alignment horizontal="center" vertical="center" wrapText="1"/>
    </xf>
    <xf numFmtId="42" fontId="3" fillId="0" borderId="40" xfId="0" applyNumberFormat="1" applyFont="1" applyFill="1" applyBorder="1" applyAlignment="1">
      <alignment horizontal="center" vertical="center" wrapText="1"/>
    </xf>
    <xf numFmtId="42" fontId="3" fillId="14" borderId="34" xfId="0" applyNumberFormat="1" applyFont="1" applyFill="1" applyBorder="1" applyAlignment="1">
      <alignment horizontal="center"/>
    </xf>
    <xf numFmtId="42" fontId="3" fillId="14" borderId="40" xfId="0" applyNumberFormat="1" applyFont="1" applyFill="1" applyBorder="1" applyAlignment="1">
      <alignment horizontal="center"/>
    </xf>
    <xf numFmtId="0" fontId="5" fillId="0" borderId="30" xfId="0" applyFont="1" applyFill="1" applyBorder="1" applyAlignment="1">
      <alignment horizontal="center" vertical="center" wrapText="1"/>
    </xf>
    <xf numFmtId="0" fontId="5" fillId="0" borderId="43" xfId="0" applyFont="1" applyFill="1" applyBorder="1" applyAlignment="1">
      <alignment horizontal="center" vertical="center" wrapText="1"/>
    </xf>
    <xf numFmtId="0" fontId="5" fillId="0" borderId="43" xfId="0" applyFont="1" applyBorder="1" applyAlignment="1">
      <alignment horizontal="center" vertical="center" wrapText="1"/>
    </xf>
    <xf numFmtId="0" fontId="8" fillId="0" borderId="43" xfId="0" applyFont="1" applyBorder="1" applyAlignment="1">
      <alignment horizontal="center" vertical="center" wrapText="1"/>
    </xf>
    <xf numFmtId="0" fontId="2" fillId="0" borderId="0" xfId="0" applyFont="1" applyAlignment="1">
      <alignment horizontal="right"/>
    </xf>
    <xf numFmtId="0" fontId="0" fillId="2" borderId="22" xfId="0" applyFill="1" applyBorder="1" applyAlignment="1">
      <alignment vertical="center"/>
    </xf>
    <xf numFmtId="0" fontId="0" fillId="2" borderId="23" xfId="0" applyFill="1" applyBorder="1" applyAlignment="1">
      <alignment vertical="center"/>
    </xf>
    <xf numFmtId="0" fontId="0" fillId="2" borderId="0" xfId="0" applyFill="1" applyBorder="1" applyAlignment="1">
      <alignment vertical="center"/>
    </xf>
    <xf numFmtId="0" fontId="0" fillId="2" borderId="1" xfId="0" applyFill="1" applyBorder="1" applyAlignment="1">
      <alignment vertical="center"/>
    </xf>
    <xf numFmtId="0" fontId="0" fillId="2" borderId="45" xfId="0" applyFill="1" applyBorder="1" applyAlignment="1">
      <alignment vertical="center"/>
    </xf>
    <xf numFmtId="0" fontId="0" fillId="2" borderId="2" xfId="0" applyFill="1" applyBorder="1" applyAlignment="1">
      <alignment vertical="center"/>
    </xf>
    <xf numFmtId="0" fontId="0" fillId="2" borderId="3" xfId="0" applyFill="1" applyBorder="1" applyAlignment="1">
      <alignment vertical="center"/>
    </xf>
    <xf numFmtId="167" fontId="0" fillId="0" borderId="0" xfId="0" applyNumberFormat="1"/>
    <xf numFmtId="167" fontId="3" fillId="14" borderId="26" xfId="0" applyNumberFormat="1" applyFont="1" applyFill="1" applyBorder="1" applyAlignment="1">
      <alignment horizontal="center"/>
    </xf>
    <xf numFmtId="42" fontId="17" fillId="0" borderId="5" xfId="0" applyNumberFormat="1" applyFont="1" applyBorder="1" applyAlignment="1">
      <alignment horizontal="center" vertical="center"/>
    </xf>
    <xf numFmtId="42" fontId="0" fillId="0" borderId="0" xfId="0" applyNumberFormat="1"/>
    <xf numFmtId="42" fontId="17" fillId="0" borderId="29" xfId="0" applyNumberFormat="1" applyFont="1" applyBorder="1" applyAlignment="1">
      <alignment horizontal="center" vertical="center"/>
    </xf>
    <xf numFmtId="42" fontId="0" fillId="0" borderId="0" xfId="0" applyNumberFormat="1" applyBorder="1" applyAlignment="1">
      <alignment vertical="center"/>
    </xf>
    <xf numFmtId="42" fontId="0" fillId="0" borderId="2" xfId="0" applyNumberFormat="1" applyBorder="1" applyAlignment="1">
      <alignment vertical="center"/>
    </xf>
    <xf numFmtId="42" fontId="5" fillId="0" borderId="46" xfId="0" applyNumberFormat="1" applyFont="1" applyFill="1" applyBorder="1" applyAlignment="1" applyProtection="1">
      <alignment horizontal="center" vertical="center" wrapText="1"/>
      <protection locked="0"/>
    </xf>
    <xf numFmtId="42" fontId="5" fillId="0" borderId="46" xfId="0" applyNumberFormat="1" applyFont="1" applyBorder="1" applyAlignment="1" applyProtection="1">
      <alignment horizontal="center" vertical="center" wrapText="1"/>
      <protection locked="0"/>
    </xf>
    <xf numFmtId="42" fontId="17" fillId="0" borderId="5" xfId="0" applyNumberFormat="1" applyFont="1" applyFill="1" applyBorder="1" applyAlignment="1">
      <alignment horizontal="center" vertical="center"/>
    </xf>
    <xf numFmtId="0" fontId="6" fillId="0" borderId="6" xfId="0" applyFont="1" applyBorder="1" applyAlignment="1">
      <alignment vertical="center" wrapText="1"/>
    </xf>
    <xf numFmtId="0" fontId="3" fillId="3" borderId="4" xfId="0" applyFont="1" applyFill="1" applyBorder="1" applyAlignment="1">
      <alignment horizontal="center" vertical="center" wrapText="1"/>
    </xf>
    <xf numFmtId="42" fontId="17" fillId="0" borderId="29" xfId="0" applyNumberFormat="1" applyFont="1" applyFill="1" applyBorder="1" applyAlignment="1">
      <alignment horizontal="center" vertical="center"/>
    </xf>
    <xf numFmtId="42" fontId="17" fillId="0" borderId="19" xfId="0" applyNumberFormat="1" applyFont="1" applyFill="1" applyBorder="1" applyAlignment="1">
      <alignment horizontal="center" vertical="center"/>
    </xf>
    <xf numFmtId="42" fontId="17" fillId="0" borderId="6" xfId="0" applyNumberFormat="1" applyFont="1" applyFill="1" applyBorder="1" applyAlignment="1">
      <alignment horizontal="center" vertical="center"/>
    </xf>
    <xf numFmtId="167" fontId="17" fillId="0" borderId="29" xfId="0" applyNumberFormat="1" applyFont="1" applyFill="1" applyBorder="1" applyAlignment="1">
      <alignment vertical="center"/>
    </xf>
    <xf numFmtId="42" fontId="17" fillId="0" borderId="47" xfId="0" applyNumberFormat="1" applyFont="1" applyFill="1" applyBorder="1" applyAlignment="1">
      <alignment horizontal="center" vertical="center"/>
    </xf>
    <xf numFmtId="42" fontId="17" fillId="0" borderId="49" xfId="0" applyNumberFormat="1" applyFont="1" applyFill="1" applyBorder="1" applyAlignment="1">
      <alignment horizontal="center" vertical="center"/>
    </xf>
    <xf numFmtId="42" fontId="17" fillId="0" borderId="38" xfId="0" applyNumberFormat="1" applyFont="1" applyFill="1" applyBorder="1" applyAlignment="1">
      <alignment horizontal="center" vertical="center"/>
    </xf>
    <xf numFmtId="0" fontId="0" fillId="2" borderId="22" xfId="0" applyFill="1" applyBorder="1" applyAlignment="1">
      <alignment vertical="top"/>
    </xf>
    <xf numFmtId="0" fontId="0" fillId="2" borderId="0" xfId="0" applyFill="1" applyBorder="1" applyAlignment="1">
      <alignment vertical="top"/>
    </xf>
    <xf numFmtId="0" fontId="0" fillId="2" borderId="2" xfId="0" applyFill="1" applyBorder="1" applyAlignment="1">
      <alignment vertical="top"/>
    </xf>
    <xf numFmtId="0" fontId="9" fillId="0" borderId="6" xfId="3" applyFont="1" applyFill="1" applyBorder="1" applyAlignment="1">
      <alignment horizontal="left" vertical="top" wrapText="1"/>
    </xf>
    <xf numFmtId="0" fontId="0" fillId="0" borderId="0" xfId="0" applyAlignment="1">
      <alignment vertical="top"/>
    </xf>
    <xf numFmtId="0" fontId="2" fillId="0" borderId="0" xfId="0" applyFont="1"/>
    <xf numFmtId="0" fontId="2" fillId="0" borderId="0" xfId="0" applyFont="1" applyAlignment="1">
      <alignment horizontal="center"/>
    </xf>
    <xf numFmtId="0" fontId="21" fillId="4" borderId="48" xfId="0" applyFont="1" applyFill="1" applyBorder="1"/>
    <xf numFmtId="0" fontId="30" fillId="4" borderId="48" xfId="0" applyFont="1" applyFill="1" applyBorder="1"/>
    <xf numFmtId="0" fontId="30" fillId="4" borderId="6" xfId="0" applyFont="1" applyFill="1" applyBorder="1"/>
    <xf numFmtId="0" fontId="30" fillId="4" borderId="25" xfId="0" applyFont="1" applyFill="1" applyBorder="1"/>
    <xf numFmtId="0" fontId="30" fillId="4" borderId="19" xfId="0" applyFont="1" applyFill="1" applyBorder="1"/>
    <xf numFmtId="0" fontId="30" fillId="4" borderId="32" xfId="0" applyFont="1" applyFill="1" applyBorder="1"/>
    <xf numFmtId="0" fontId="30" fillId="4" borderId="38" xfId="0" applyFont="1" applyFill="1" applyBorder="1"/>
    <xf numFmtId="0" fontId="21" fillId="4" borderId="32" xfId="0" applyFont="1" applyFill="1" applyBorder="1"/>
    <xf numFmtId="0" fontId="30" fillId="0" borderId="0" xfId="0" applyFont="1"/>
    <xf numFmtId="0" fontId="30" fillId="0" borderId="25" xfId="0" applyFont="1" applyBorder="1"/>
    <xf numFmtId="0" fontId="2" fillId="0" borderId="48" xfId="0" applyFont="1" applyBorder="1"/>
    <xf numFmtId="0" fontId="30" fillId="0" borderId="48" xfId="0" applyFont="1" applyBorder="1"/>
    <xf numFmtId="0" fontId="30" fillId="0" borderId="6" xfId="0" applyFont="1" applyBorder="1"/>
    <xf numFmtId="0" fontId="30" fillId="0" borderId="19" xfId="0" applyFont="1" applyBorder="1"/>
    <xf numFmtId="167" fontId="0" fillId="0" borderId="32" xfId="0" applyNumberFormat="1" applyFont="1" applyBorder="1"/>
    <xf numFmtId="167" fontId="0" fillId="0" borderId="38" xfId="0" applyNumberFormat="1" applyFont="1" applyBorder="1"/>
    <xf numFmtId="167" fontId="0" fillId="0" borderId="6" xfId="0" applyNumberFormat="1" applyFont="1" applyBorder="1"/>
    <xf numFmtId="167" fontId="0" fillId="0" borderId="25" xfId="0" applyNumberFormat="1" applyFont="1" applyBorder="1"/>
    <xf numFmtId="167" fontId="2" fillId="0" borderId="32" xfId="0" applyNumberFormat="1" applyFont="1" applyBorder="1"/>
    <xf numFmtId="0" fontId="0" fillId="0" borderId="25" xfId="0" applyBorder="1"/>
    <xf numFmtId="0" fontId="0" fillId="0" borderId="48" xfId="0" applyBorder="1"/>
    <xf numFmtId="167" fontId="0" fillId="0" borderId="6" xfId="0" applyNumberFormat="1" applyBorder="1"/>
    <xf numFmtId="167" fontId="0" fillId="0" borderId="25" xfId="0" applyNumberFormat="1" applyBorder="1"/>
    <xf numFmtId="0" fontId="0" fillId="0" borderId="19" xfId="0" applyBorder="1"/>
    <xf numFmtId="167" fontId="0" fillId="0" borderId="32" xfId="0" applyNumberFormat="1" applyFont="1" applyFill="1" applyBorder="1"/>
    <xf numFmtId="167" fontId="0" fillId="0" borderId="38" xfId="0" applyNumberFormat="1" applyBorder="1"/>
    <xf numFmtId="0" fontId="0" fillId="0" borderId="6" xfId="0" applyBorder="1"/>
    <xf numFmtId="0" fontId="0" fillId="0" borderId="48" xfId="0" applyFont="1" applyBorder="1"/>
    <xf numFmtId="167" fontId="0" fillId="0" borderId="19" xfId="0" applyNumberFormat="1" applyBorder="1"/>
    <xf numFmtId="0" fontId="0" fillId="0" borderId="32" xfId="0" applyBorder="1"/>
    <xf numFmtId="0" fontId="0" fillId="0" borderId="48" xfId="0" applyFont="1" applyBorder="1" applyAlignment="1">
      <alignment horizontal="right"/>
    </xf>
    <xf numFmtId="167" fontId="0" fillId="0" borderId="32" xfId="0" applyNumberFormat="1" applyBorder="1"/>
    <xf numFmtId="0" fontId="2" fillId="0" borderId="46" xfId="0" applyFont="1" applyBorder="1"/>
    <xf numFmtId="0" fontId="0" fillId="0" borderId="46" xfId="0" applyFont="1" applyBorder="1"/>
    <xf numFmtId="167" fontId="0" fillId="0" borderId="47" xfId="0" applyNumberFormat="1" applyBorder="1"/>
    <xf numFmtId="167" fontId="0" fillId="0" borderId="29" xfId="0" applyNumberFormat="1" applyBorder="1"/>
    <xf numFmtId="167" fontId="0" fillId="0" borderId="5" xfId="0" applyNumberFormat="1" applyBorder="1"/>
    <xf numFmtId="167" fontId="0" fillId="0" borderId="35" xfId="0" applyNumberFormat="1" applyFont="1" applyFill="1" applyBorder="1"/>
    <xf numFmtId="167" fontId="0" fillId="0" borderId="42" xfId="0" applyNumberFormat="1" applyFont="1" applyBorder="1"/>
    <xf numFmtId="167" fontId="0" fillId="0" borderId="47" xfId="0" applyNumberFormat="1" applyFont="1" applyBorder="1"/>
    <xf numFmtId="167" fontId="2" fillId="0" borderId="35" xfId="0" applyNumberFormat="1" applyFont="1" applyBorder="1"/>
    <xf numFmtId="0" fontId="0" fillId="0" borderId="51" xfId="0" applyFont="1" applyBorder="1"/>
    <xf numFmtId="167" fontId="0" fillId="0" borderId="52" xfId="0" applyNumberFormat="1" applyBorder="1"/>
    <xf numFmtId="167" fontId="0" fillId="0" borderId="53" xfId="0" applyNumberFormat="1" applyBorder="1"/>
    <xf numFmtId="167" fontId="0" fillId="0" borderId="54" xfId="0" applyNumberFormat="1" applyBorder="1"/>
    <xf numFmtId="167" fontId="0" fillId="0" borderId="41" xfId="0" applyNumberFormat="1" applyBorder="1"/>
    <xf numFmtId="167" fontId="2" fillId="0" borderId="54" xfId="0" applyNumberFormat="1" applyFont="1" applyBorder="1"/>
    <xf numFmtId="167" fontId="20" fillId="0" borderId="32" xfId="0" applyNumberFormat="1" applyFont="1" applyBorder="1"/>
    <xf numFmtId="167" fontId="0" fillId="0" borderId="19" xfId="0" applyNumberFormat="1" applyFont="1" applyBorder="1"/>
    <xf numFmtId="0" fontId="2" fillId="0" borderId="48" xfId="0" applyFont="1" applyBorder="1" applyAlignment="1">
      <alignment horizontal="left"/>
    </xf>
    <xf numFmtId="167" fontId="20" fillId="0" borderId="38" xfId="0" applyNumberFormat="1" applyFont="1" applyBorder="1"/>
    <xf numFmtId="167" fontId="0" fillId="0" borderId="25" xfId="0" applyNumberFormat="1" applyFont="1" applyFill="1" applyBorder="1"/>
    <xf numFmtId="167" fontId="0" fillId="0" borderId="38" xfId="0" applyNumberFormat="1" applyFont="1" applyFill="1" applyBorder="1"/>
    <xf numFmtId="167" fontId="0" fillId="0" borderId="6" xfId="0" applyNumberFormat="1" applyFont="1" applyFill="1" applyBorder="1"/>
    <xf numFmtId="167" fontId="20" fillId="0" borderId="38" xfId="0" applyNumberFormat="1" applyFont="1" applyFill="1" applyBorder="1"/>
    <xf numFmtId="167" fontId="0" fillId="0" borderId="19" xfId="0" applyNumberFormat="1" applyFont="1" applyFill="1" applyBorder="1"/>
    <xf numFmtId="167" fontId="0" fillId="0" borderId="49" xfId="0" applyNumberFormat="1" applyFont="1" applyFill="1" applyBorder="1"/>
    <xf numFmtId="0" fontId="32" fillId="0" borderId="48" xfId="0" applyFont="1" applyBorder="1"/>
    <xf numFmtId="167" fontId="20" fillId="0" borderId="19" xfId="0" applyNumberFormat="1" applyFont="1" applyFill="1" applyBorder="1"/>
    <xf numFmtId="0" fontId="32" fillId="0" borderId="0" xfId="0" applyFont="1"/>
    <xf numFmtId="167" fontId="0" fillId="0" borderId="48" xfId="0" applyNumberFormat="1" applyBorder="1"/>
    <xf numFmtId="167" fontId="0" fillId="0" borderId="41" xfId="0" applyNumberFormat="1" applyFont="1" applyBorder="1"/>
    <xf numFmtId="167" fontId="0" fillId="0" borderId="50" xfId="0" applyNumberFormat="1" applyFont="1" applyBorder="1"/>
    <xf numFmtId="167" fontId="0" fillId="0" borderId="49" xfId="0" applyNumberFormat="1" applyBorder="1"/>
    <xf numFmtId="167" fontId="31" fillId="0" borderId="32" xfId="0" applyNumberFormat="1" applyFont="1" applyBorder="1"/>
    <xf numFmtId="167" fontId="31" fillId="0" borderId="38" xfId="0" applyNumberFormat="1" applyFont="1" applyBorder="1"/>
    <xf numFmtId="167" fontId="0" fillId="0" borderId="43" xfId="0" applyNumberFormat="1" applyFont="1" applyBorder="1"/>
    <xf numFmtId="0" fontId="29" fillId="0" borderId="0" xfId="0" applyFont="1"/>
    <xf numFmtId="167" fontId="0" fillId="0" borderId="25" xfId="0" applyNumberFormat="1" applyFill="1" applyBorder="1"/>
    <xf numFmtId="167" fontId="0" fillId="0" borderId="43" xfId="0" applyNumberFormat="1" applyFill="1" applyBorder="1"/>
    <xf numFmtId="167" fontId="0" fillId="0" borderId="6" xfId="0" applyNumberFormat="1" applyFill="1" applyBorder="1"/>
    <xf numFmtId="167" fontId="20" fillId="0" borderId="32" xfId="0" applyNumberFormat="1" applyFont="1" applyFill="1" applyBorder="1"/>
    <xf numFmtId="167" fontId="0" fillId="0" borderId="48" xfId="0" applyNumberFormat="1" applyFill="1" applyBorder="1"/>
    <xf numFmtId="167" fontId="0" fillId="0" borderId="43" xfId="0" applyNumberFormat="1" applyFont="1" applyFill="1" applyBorder="1"/>
    <xf numFmtId="167" fontId="0" fillId="0" borderId="43" xfId="0" applyNumberFormat="1" applyBorder="1"/>
    <xf numFmtId="167" fontId="2" fillId="0" borderId="32" xfId="0" applyNumberFormat="1" applyFont="1" applyFill="1" applyBorder="1"/>
    <xf numFmtId="167" fontId="0" fillId="0" borderId="42" xfId="0" applyNumberFormat="1" applyBorder="1"/>
    <xf numFmtId="0" fontId="0" fillId="0" borderId="46" xfId="0" applyBorder="1"/>
    <xf numFmtId="0" fontId="0" fillId="0" borderId="38" xfId="0" applyFont="1" applyBorder="1"/>
    <xf numFmtId="0" fontId="0" fillId="0" borderId="0" xfId="0" applyFont="1"/>
    <xf numFmtId="167" fontId="0" fillId="0" borderId="32" xfId="0" applyNumberFormat="1" applyFill="1" applyBorder="1"/>
    <xf numFmtId="0" fontId="0" fillId="0" borderId="48" xfId="0" applyBorder="1" applyAlignment="1">
      <alignment horizontal="right"/>
    </xf>
    <xf numFmtId="0" fontId="0" fillId="0" borderId="6" xfId="0" applyFill="1" applyBorder="1"/>
    <xf numFmtId="167" fontId="0" fillId="0" borderId="48" xfId="0" applyNumberFormat="1" applyFont="1" applyFill="1" applyBorder="1"/>
    <xf numFmtId="167" fontId="20" fillId="0" borderId="6" xfId="0" applyNumberFormat="1" applyFont="1" applyFill="1" applyBorder="1"/>
    <xf numFmtId="167" fontId="2" fillId="0" borderId="6" xfId="0" applyNumberFormat="1" applyFont="1" applyBorder="1"/>
    <xf numFmtId="0" fontId="2" fillId="0" borderId="32" xfId="0" applyFont="1" applyBorder="1"/>
    <xf numFmtId="167" fontId="2" fillId="0" borderId="25" xfId="0" applyNumberFormat="1" applyFont="1" applyBorder="1"/>
    <xf numFmtId="167" fontId="2" fillId="0" borderId="19" xfId="0" applyNumberFormat="1" applyFont="1" applyBorder="1"/>
    <xf numFmtId="167" fontId="2" fillId="0" borderId="38" xfId="0" applyNumberFormat="1" applyFont="1" applyBorder="1"/>
    <xf numFmtId="167" fontId="2" fillId="0" borderId="6" xfId="0" applyNumberFormat="1" applyFont="1" applyFill="1" applyBorder="1"/>
    <xf numFmtId="167" fontId="2" fillId="0" borderId="25" xfId="0" applyNumberFormat="1" applyFont="1" applyFill="1" applyBorder="1"/>
    <xf numFmtId="0" fontId="0" fillId="0" borderId="38" xfId="0" applyBorder="1"/>
    <xf numFmtId="167" fontId="0" fillId="0" borderId="19" xfId="0" applyNumberFormat="1" applyFill="1" applyBorder="1"/>
    <xf numFmtId="167" fontId="2" fillId="0" borderId="43" xfId="0" applyNumberFormat="1" applyFont="1" applyBorder="1"/>
    <xf numFmtId="0" fontId="0" fillId="0" borderId="6" xfId="0" applyFont="1" applyBorder="1"/>
    <xf numFmtId="167" fontId="2" fillId="0" borderId="0" xfId="0" applyNumberFormat="1" applyFont="1"/>
    <xf numFmtId="167" fontId="0" fillId="0" borderId="57" xfId="0" applyNumberFormat="1" applyBorder="1"/>
    <xf numFmtId="167" fontId="20" fillId="0" borderId="56" xfId="0" applyNumberFormat="1" applyFont="1" applyFill="1" applyBorder="1"/>
    <xf numFmtId="167" fontId="0" fillId="0" borderId="48" xfId="0" applyNumberFormat="1" applyFont="1" applyBorder="1"/>
    <xf numFmtId="167" fontId="0" fillId="0" borderId="49" xfId="0" applyNumberFormat="1" applyFill="1" applyBorder="1"/>
    <xf numFmtId="167" fontId="30" fillId="0" borderId="25" xfId="0" applyNumberFormat="1" applyFont="1" applyBorder="1"/>
    <xf numFmtId="0" fontId="0" fillId="4" borderId="6" xfId="0" applyFill="1" applyBorder="1"/>
    <xf numFmtId="167" fontId="0" fillId="4" borderId="6" xfId="0" applyNumberFormat="1" applyFill="1" applyBorder="1"/>
    <xf numFmtId="167" fontId="0" fillId="4" borderId="25" xfId="0" applyNumberFormat="1" applyFill="1" applyBorder="1"/>
    <xf numFmtId="167" fontId="0" fillId="4" borderId="19" xfId="0" applyNumberFormat="1" applyFill="1" applyBorder="1"/>
    <xf numFmtId="0" fontId="0" fillId="4" borderId="32" xfId="0" applyFill="1" applyBorder="1"/>
    <xf numFmtId="0" fontId="0" fillId="4" borderId="38" xfId="0" applyFill="1" applyBorder="1"/>
    <xf numFmtId="0" fontId="0" fillId="4" borderId="25" xfId="0" applyFill="1" applyBorder="1"/>
    <xf numFmtId="0" fontId="2" fillId="4" borderId="32" xfId="0" applyFont="1" applyFill="1" applyBorder="1"/>
    <xf numFmtId="6" fontId="0" fillId="0" borderId="32" xfId="0" applyNumberFormat="1" applyBorder="1"/>
    <xf numFmtId="6" fontId="0" fillId="0" borderId="38" xfId="0" applyNumberFormat="1" applyBorder="1"/>
    <xf numFmtId="6" fontId="0" fillId="0" borderId="25" xfId="0" applyNumberFormat="1" applyBorder="1"/>
    <xf numFmtId="6" fontId="2" fillId="0" borderId="32" xfId="0" applyNumberFormat="1" applyFont="1" applyBorder="1"/>
    <xf numFmtId="0" fontId="0" fillId="0" borderId="25" xfId="0" applyFill="1" applyBorder="1"/>
    <xf numFmtId="0" fontId="0" fillId="0" borderId="32" xfId="0" applyFill="1" applyBorder="1"/>
    <xf numFmtId="0" fontId="0" fillId="0" borderId="38" xfId="0" applyFill="1" applyBorder="1"/>
    <xf numFmtId="0" fontId="0" fillId="0" borderId="0" xfId="0" applyFill="1"/>
    <xf numFmtId="0" fontId="21" fillId="0" borderId="48" xfId="0" applyFont="1" applyBorder="1"/>
    <xf numFmtId="0" fontId="0" fillId="4" borderId="48" xfId="0" applyFill="1" applyBorder="1"/>
    <xf numFmtId="0" fontId="27" fillId="0" borderId="48" xfId="0" applyFont="1" applyBorder="1" applyAlignment="1">
      <alignment horizontal="right"/>
    </xf>
    <xf numFmtId="0" fontId="27" fillId="4" borderId="48" xfId="0" applyFont="1" applyFill="1" applyBorder="1"/>
    <xf numFmtId="167" fontId="2" fillId="0" borderId="49" xfId="0" applyNumberFormat="1" applyFont="1" applyBorder="1"/>
    <xf numFmtId="167" fontId="0" fillId="0" borderId="0" xfId="0" applyNumberFormat="1" applyFont="1" applyBorder="1"/>
    <xf numFmtId="167" fontId="20" fillId="0" borderId="19" xfId="0" applyNumberFormat="1" applyFont="1" applyBorder="1"/>
    <xf numFmtId="167" fontId="20" fillId="0" borderId="6" xfId="0" applyNumberFormat="1" applyFont="1" applyBorder="1"/>
    <xf numFmtId="167" fontId="20" fillId="0" borderId="25" xfId="0" applyNumberFormat="1" applyFont="1" applyBorder="1"/>
    <xf numFmtId="167" fontId="29" fillId="0" borderId="32" xfId="0" applyNumberFormat="1" applyFont="1" applyBorder="1"/>
    <xf numFmtId="0" fontId="0" fillId="0" borderId="0" xfId="0" applyBorder="1"/>
    <xf numFmtId="167" fontId="0" fillId="0" borderId="49" xfId="0" applyNumberFormat="1" applyFont="1" applyBorder="1"/>
    <xf numFmtId="0" fontId="2" fillId="0" borderId="48" xfId="0" applyFont="1" applyFill="1" applyBorder="1"/>
    <xf numFmtId="167" fontId="31" fillId="0" borderId="25" xfId="0" applyNumberFormat="1" applyFont="1" applyBorder="1"/>
    <xf numFmtId="0" fontId="0" fillId="0" borderId="51" xfId="0" applyBorder="1"/>
    <xf numFmtId="0" fontId="2" fillId="15" borderId="20" xfId="0" applyFont="1" applyFill="1" applyBorder="1" applyAlignment="1">
      <alignment horizontal="center" vertical="center"/>
    </xf>
    <xf numFmtId="0" fontId="0" fillId="15" borderId="37" xfId="0" applyFill="1" applyBorder="1" applyAlignment="1">
      <alignment vertical="center"/>
    </xf>
    <xf numFmtId="167" fontId="21" fillId="15" borderId="16" xfId="0" applyNumberFormat="1" applyFont="1" applyFill="1" applyBorder="1" applyAlignment="1">
      <alignment vertical="center"/>
    </xf>
    <xf numFmtId="0" fontId="0" fillId="0" borderId="0" xfId="0" applyAlignment="1">
      <alignment vertical="center"/>
    </xf>
    <xf numFmtId="0" fontId="2" fillId="0" borderId="48" xfId="0" applyFont="1" applyFill="1" applyBorder="1" applyAlignment="1">
      <alignment horizontal="left"/>
    </xf>
    <xf numFmtId="0" fontId="0" fillId="0" borderId="48" xfId="0" applyBorder="1" applyAlignment="1">
      <alignment horizontal="left"/>
    </xf>
    <xf numFmtId="0" fontId="21" fillId="0" borderId="48" xfId="0" applyFont="1" applyBorder="1" applyAlignment="1">
      <alignment horizontal="left"/>
    </xf>
    <xf numFmtId="0" fontId="21" fillId="0" borderId="25" xfId="0" applyFont="1" applyBorder="1"/>
    <xf numFmtId="0" fontId="30" fillId="0" borderId="49" xfId="0" applyFont="1" applyBorder="1"/>
    <xf numFmtId="0" fontId="0" fillId="0" borderId="49" xfId="0" applyBorder="1"/>
    <xf numFmtId="0" fontId="2" fillId="0" borderId="49" xfId="0" applyFont="1" applyBorder="1"/>
    <xf numFmtId="0" fontId="2" fillId="0" borderId="49" xfId="0" applyFont="1" applyBorder="1" applyAlignment="1">
      <alignment horizontal="left"/>
    </xf>
    <xf numFmtId="0" fontId="0" fillId="0" borderId="19" xfId="0" applyFill="1" applyBorder="1"/>
    <xf numFmtId="0" fontId="2" fillId="0" borderId="19" xfId="0" applyFont="1" applyBorder="1"/>
    <xf numFmtId="0" fontId="2" fillId="0" borderId="49" xfId="0" applyFont="1" applyFill="1" applyBorder="1"/>
    <xf numFmtId="0" fontId="20" fillId="0" borderId="48" xfId="0" applyFont="1" applyBorder="1"/>
    <xf numFmtId="0" fontId="20" fillId="0" borderId="48" xfId="0" applyFont="1" applyBorder="1" applyAlignment="1">
      <alignment horizontal="right"/>
    </xf>
    <xf numFmtId="0" fontId="2" fillId="2" borderId="22" xfId="0" applyFont="1" applyFill="1" applyBorder="1" applyAlignment="1">
      <alignment vertical="center"/>
    </xf>
    <xf numFmtId="0" fontId="2" fillId="2" borderId="0" xfId="0" applyFont="1" applyFill="1" applyBorder="1" applyAlignment="1">
      <alignment vertical="center"/>
    </xf>
    <xf numFmtId="0" fontId="2" fillId="2" borderId="2" xfId="0" applyFont="1" applyFill="1" applyBorder="1" applyAlignment="1">
      <alignment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6" xfId="0" applyFont="1" applyBorder="1" applyAlignment="1">
      <alignment horizontal="center" vertical="center" wrapText="1"/>
    </xf>
    <xf numFmtId="0" fontId="5" fillId="0" borderId="30" xfId="0" applyFont="1" applyBorder="1" applyAlignment="1">
      <alignment horizontal="center" vertical="center" wrapText="1"/>
    </xf>
    <xf numFmtId="0" fontId="6" fillId="0" borderId="5" xfId="0" applyFont="1" applyBorder="1" applyAlignment="1">
      <alignment horizontal="left" vertical="center" wrapText="1"/>
    </xf>
    <xf numFmtId="0" fontId="5" fillId="0" borderId="5" xfId="0" applyFont="1" applyBorder="1" applyAlignment="1">
      <alignment horizontal="left" vertical="top" wrapText="1"/>
    </xf>
    <xf numFmtId="42" fontId="17" fillId="0" borderId="42" xfId="1" applyNumberFormat="1" applyFont="1" applyBorder="1" applyAlignment="1">
      <alignment horizontal="left" vertical="center"/>
    </xf>
    <xf numFmtId="0" fontId="0" fillId="0" borderId="29" xfId="0" applyFont="1" applyFill="1" applyBorder="1" applyAlignment="1">
      <alignment horizontal="center" vertical="center" wrapText="1"/>
    </xf>
    <xf numFmtId="9" fontId="0" fillId="0" borderId="47" xfId="2" applyFont="1" applyBorder="1" applyAlignment="1">
      <alignment horizontal="center" vertical="center"/>
    </xf>
    <xf numFmtId="9" fontId="5" fillId="12" borderId="35" xfId="2" applyFont="1" applyFill="1" applyBorder="1" applyAlignment="1">
      <alignment horizontal="center" vertical="center"/>
    </xf>
    <xf numFmtId="0" fontId="0" fillId="0" borderId="29" xfId="0" applyFont="1" applyBorder="1" applyAlignment="1">
      <alignment horizontal="center" vertical="center" wrapText="1"/>
    </xf>
    <xf numFmtId="167" fontId="2" fillId="0" borderId="19" xfId="0" applyNumberFormat="1" applyFont="1" applyFill="1" applyBorder="1"/>
    <xf numFmtId="6" fontId="2" fillId="0" borderId="38" xfId="0" applyNumberFormat="1" applyFont="1" applyBorder="1"/>
    <xf numFmtId="6" fontId="2" fillId="0" borderId="25" xfId="0" applyNumberFormat="1" applyFont="1" applyBorder="1"/>
    <xf numFmtId="0" fontId="2" fillId="0" borderId="32" xfId="0" applyFont="1" applyFill="1" applyBorder="1"/>
    <xf numFmtId="0" fontId="8" fillId="0" borderId="6" xfId="0" applyFont="1" applyBorder="1" applyAlignment="1">
      <alignment horizontal="center" vertical="center" wrapText="1"/>
    </xf>
    <xf numFmtId="42" fontId="5" fillId="0" borderId="46" xfId="1" applyNumberFormat="1" applyFont="1" applyBorder="1" applyAlignment="1" applyProtection="1">
      <alignment horizontal="center" vertical="center" wrapText="1"/>
      <protection locked="0"/>
    </xf>
    <xf numFmtId="0" fontId="0" fillId="0" borderId="51" xfId="0" applyBorder="1" applyAlignment="1">
      <alignment horizontal="left"/>
    </xf>
    <xf numFmtId="0" fontId="0" fillId="0" borderId="51" xfId="0" applyBorder="1" applyAlignment="1"/>
    <xf numFmtId="0" fontId="20" fillId="0" borderId="25" xfId="0" applyFont="1" applyBorder="1" applyAlignment="1"/>
    <xf numFmtId="0" fontId="20" fillId="0" borderId="25" xfId="0" applyFont="1" applyBorder="1" applyAlignment="1">
      <alignment horizontal="left"/>
    </xf>
    <xf numFmtId="0" fontId="0" fillId="0" borderId="25" xfId="0" applyFont="1" applyBorder="1" applyAlignment="1">
      <alignment horizontal="left"/>
    </xf>
    <xf numFmtId="167" fontId="2" fillId="0" borderId="48" xfId="0" applyNumberFormat="1" applyFont="1" applyBorder="1"/>
    <xf numFmtId="0" fontId="29" fillId="0" borderId="48" xfId="0" applyFont="1" applyBorder="1"/>
    <xf numFmtId="167" fontId="29" fillId="0" borderId="38" xfId="0" applyNumberFormat="1" applyFont="1" applyBorder="1"/>
    <xf numFmtId="167" fontId="29" fillId="0" borderId="6" xfId="0" applyNumberFormat="1" applyFont="1" applyBorder="1"/>
    <xf numFmtId="167" fontId="29" fillId="0" borderId="25" xfId="0" applyNumberFormat="1" applyFont="1" applyBorder="1"/>
    <xf numFmtId="0" fontId="0" fillId="2" borderId="19" xfId="0" applyNumberFormat="1" applyFont="1" applyFill="1" applyBorder="1" applyAlignment="1">
      <alignment horizontal="center" vertical="center"/>
    </xf>
    <xf numFmtId="0" fontId="0" fillId="2" borderId="6" xfId="0" applyNumberFormat="1" applyFont="1" applyFill="1" applyBorder="1" applyAlignment="1">
      <alignment horizontal="center" vertical="center"/>
    </xf>
    <xf numFmtId="0" fontId="0" fillId="2" borderId="43" xfId="0" applyNumberFormat="1" applyFont="1" applyFill="1" applyBorder="1" applyAlignment="1">
      <alignment horizontal="center" vertical="center"/>
    </xf>
    <xf numFmtId="2" fontId="5" fillId="12" borderId="6" xfId="0" applyNumberFormat="1" applyFont="1" applyFill="1" applyBorder="1" applyAlignment="1">
      <alignment horizontal="center" vertical="center"/>
    </xf>
    <xf numFmtId="2" fontId="5" fillId="12" borderId="43" xfId="0" applyNumberFormat="1" applyFont="1" applyFill="1" applyBorder="1" applyAlignment="1">
      <alignment horizontal="center" vertical="center"/>
    </xf>
    <xf numFmtId="2" fontId="5" fillId="12" borderId="32" xfId="0" applyNumberFormat="1" applyFont="1" applyFill="1" applyBorder="1" applyAlignment="1">
      <alignment horizontal="center" vertical="center"/>
    </xf>
    <xf numFmtId="166" fontId="21" fillId="10" borderId="32" xfId="0" applyNumberFormat="1" applyFont="1" applyFill="1" applyBorder="1" applyAlignment="1">
      <alignment horizontal="center" vertical="center"/>
    </xf>
    <xf numFmtId="0" fontId="33" fillId="2" borderId="21" xfId="0" applyFont="1" applyFill="1" applyBorder="1" applyAlignment="1">
      <alignment horizontal="left" vertical="center"/>
    </xf>
    <xf numFmtId="0" fontId="2" fillId="0" borderId="51" xfId="0" applyFont="1" applyBorder="1" applyAlignment="1">
      <alignment horizontal="left"/>
    </xf>
    <xf numFmtId="0" fontId="21" fillId="0" borderId="48" xfId="0" applyFont="1" applyBorder="1" applyAlignment="1">
      <alignment horizontal="right"/>
    </xf>
    <xf numFmtId="0" fontId="0" fillId="0" borderId="51" xfId="0" applyFont="1" applyBorder="1" applyAlignment="1">
      <alignment horizontal="left"/>
    </xf>
    <xf numFmtId="42" fontId="17" fillId="0" borderId="55" xfId="0" applyNumberFormat="1" applyFont="1" applyFill="1" applyBorder="1" applyAlignment="1">
      <alignment horizontal="center" vertical="center"/>
    </xf>
    <xf numFmtId="0" fontId="5" fillId="0" borderId="5" xfId="0" applyFont="1" applyBorder="1" applyAlignment="1">
      <alignment horizontal="left" vertical="center" wrapText="1"/>
    </xf>
    <xf numFmtId="42" fontId="17" fillId="0" borderId="19" xfId="0" applyNumberFormat="1" applyFont="1" applyBorder="1" applyAlignment="1">
      <alignment horizontal="center" vertical="center"/>
    </xf>
    <xf numFmtId="167" fontId="29" fillId="0" borderId="19" xfId="0" applyNumberFormat="1" applyFont="1" applyBorder="1"/>
    <xf numFmtId="0" fontId="5" fillId="0" borderId="5" xfId="0" applyFont="1" applyFill="1" applyBorder="1" applyAlignment="1">
      <alignment horizontal="center" vertical="center" wrapText="1"/>
    </xf>
    <xf numFmtId="0" fontId="6" fillId="0" borderId="5" xfId="0" applyFont="1" applyFill="1" applyBorder="1" applyAlignment="1">
      <alignment horizontal="center" vertical="center" wrapText="1"/>
    </xf>
    <xf numFmtId="9" fontId="0" fillId="0" borderId="25" xfId="2" applyFont="1" applyFill="1" applyBorder="1" applyAlignment="1">
      <alignment horizontal="center" vertical="center"/>
    </xf>
    <xf numFmtId="0" fontId="0" fillId="0" borderId="29" xfId="0" applyNumberFormat="1" applyFont="1" applyFill="1" applyBorder="1" applyAlignment="1">
      <alignment horizontal="center" vertical="center"/>
    </xf>
    <xf numFmtId="0" fontId="0" fillId="0" borderId="5" xfId="0" applyNumberFormat="1" applyFont="1" applyFill="1" applyBorder="1" applyAlignment="1">
      <alignment horizontal="center" vertical="center"/>
    </xf>
    <xf numFmtId="0" fontId="0" fillId="0" borderId="30" xfId="0" applyNumberFormat="1" applyFont="1" applyFill="1" applyBorder="1" applyAlignment="1">
      <alignment horizontal="center" vertical="center"/>
    </xf>
    <xf numFmtId="0" fontId="25" fillId="14" borderId="40" xfId="0" applyFont="1" applyFill="1" applyBorder="1" applyAlignment="1">
      <alignment horizontal="center" vertical="center" wrapText="1"/>
    </xf>
    <xf numFmtId="0" fontId="3" fillId="14" borderId="26" xfId="0" applyNumberFormat="1" applyFont="1" applyFill="1" applyBorder="1" applyAlignment="1">
      <alignment horizontal="center" vertical="center"/>
    </xf>
    <xf numFmtId="42" fontId="3" fillId="14" borderId="4" xfId="0" applyNumberFormat="1" applyFont="1" applyFill="1" applyBorder="1" applyAlignment="1">
      <alignment horizontal="center" vertical="center"/>
    </xf>
    <xf numFmtId="42" fontId="3" fillId="14" borderId="40" xfId="0" applyNumberFormat="1" applyFont="1" applyFill="1" applyBorder="1" applyAlignment="1">
      <alignment horizontal="center" vertical="center"/>
    </xf>
    <xf numFmtId="42" fontId="17" fillId="0" borderId="29" xfId="0" applyNumberFormat="1" applyFont="1" applyFill="1" applyBorder="1" applyAlignment="1">
      <alignment horizontal="left" vertical="center"/>
    </xf>
    <xf numFmtId="42" fontId="17" fillId="0" borderId="5" xfId="0" applyNumberFormat="1" applyFont="1" applyFill="1" applyBorder="1" applyAlignment="1">
      <alignment horizontal="left" vertical="center"/>
    </xf>
    <xf numFmtId="42" fontId="17" fillId="0" borderId="30" xfId="0" applyNumberFormat="1" applyFont="1" applyFill="1" applyBorder="1" applyAlignment="1">
      <alignment horizontal="left" vertical="center"/>
    </xf>
    <xf numFmtId="42" fontId="17" fillId="0" borderId="19" xfId="0" applyNumberFormat="1" applyFont="1" applyFill="1" applyBorder="1" applyAlignment="1">
      <alignment horizontal="left" vertical="center"/>
    </xf>
    <xf numFmtId="42" fontId="17" fillId="0" borderId="6" xfId="0" applyNumberFormat="1" applyFont="1" applyFill="1" applyBorder="1" applyAlignment="1">
      <alignment horizontal="left" vertical="center"/>
    </xf>
    <xf numFmtId="42" fontId="17" fillId="0" borderId="43" xfId="0" applyNumberFormat="1" applyFont="1" applyFill="1" applyBorder="1" applyAlignment="1">
      <alignment horizontal="left" vertical="center"/>
    </xf>
    <xf numFmtId="0" fontId="7" fillId="0" borderId="5" xfId="0" applyFont="1" applyFill="1" applyBorder="1" applyAlignment="1">
      <alignment horizontal="left" vertical="center" wrapText="1"/>
    </xf>
    <xf numFmtId="0" fontId="6" fillId="0" borderId="6" xfId="0" applyFont="1" applyFill="1" applyBorder="1" applyAlignment="1">
      <alignment horizontal="center" vertical="center" wrapText="1"/>
    </xf>
    <xf numFmtId="42" fontId="17" fillId="0" borderId="5" xfId="1" applyNumberFormat="1" applyFont="1" applyBorder="1" applyAlignment="1">
      <alignment horizontal="left" vertical="center"/>
    </xf>
    <xf numFmtId="42" fontId="17" fillId="0" borderId="5" xfId="1" applyNumberFormat="1" applyFont="1" applyBorder="1" applyAlignment="1">
      <alignment vertical="center"/>
    </xf>
    <xf numFmtId="0" fontId="23" fillId="0" borderId="22" xfId="0" applyFont="1" applyFill="1" applyBorder="1" applyAlignment="1">
      <alignment horizontal="left" indent="1"/>
    </xf>
    <xf numFmtId="0" fontId="0" fillId="0" borderId="22" xfId="0" applyBorder="1" applyAlignment="1">
      <alignment textRotation="90"/>
    </xf>
    <xf numFmtId="0" fontId="0" fillId="0" borderId="22" xfId="0" applyBorder="1"/>
    <xf numFmtId="0" fontId="0" fillId="0" borderId="22" xfId="0" applyBorder="1" applyAlignment="1">
      <alignment vertical="center"/>
    </xf>
    <xf numFmtId="42" fontId="0" fillId="0" borderId="22" xfId="0" applyNumberFormat="1" applyBorder="1" applyAlignment="1">
      <alignment vertical="center"/>
    </xf>
    <xf numFmtId="167" fontId="23" fillId="0" borderId="22" xfId="0" applyNumberFormat="1" applyFont="1" applyFill="1" applyBorder="1"/>
    <xf numFmtId="42" fontId="23" fillId="0" borderId="22" xfId="0" applyNumberFormat="1" applyFont="1" applyFill="1" applyBorder="1"/>
    <xf numFmtId="42" fontId="25" fillId="14" borderId="16" xfId="0" applyNumberFormat="1" applyFont="1" applyFill="1" applyBorder="1" applyAlignment="1">
      <alignment horizontal="center" vertical="center" wrapText="1"/>
    </xf>
    <xf numFmtId="0" fontId="0" fillId="0" borderId="5" xfId="0" applyBorder="1" applyAlignment="1">
      <alignment horizontal="center" vertical="center"/>
    </xf>
    <xf numFmtId="0" fontId="0" fillId="3" borderId="4" xfId="0" applyFill="1" applyBorder="1" applyAlignment="1">
      <alignment horizontal="center" vertical="center" wrapText="1"/>
    </xf>
    <xf numFmtId="0" fontId="3" fillId="11" borderId="20" xfId="0" applyFont="1" applyFill="1" applyBorder="1" applyAlignment="1">
      <alignment horizontal="center" vertical="center" wrapText="1"/>
    </xf>
    <xf numFmtId="2" fontId="21" fillId="6" borderId="55" xfId="0" applyNumberFormat="1" applyFont="1" applyFill="1" applyBorder="1" applyAlignment="1">
      <alignment horizontal="center" vertical="center"/>
    </xf>
    <xf numFmtId="2" fontId="21" fillId="6" borderId="49" xfId="0" applyNumberFormat="1" applyFont="1" applyFill="1" applyBorder="1" applyAlignment="1">
      <alignment horizontal="center" vertical="center"/>
    </xf>
    <xf numFmtId="42" fontId="2" fillId="0" borderId="0" xfId="0" applyNumberFormat="1" applyFont="1"/>
    <xf numFmtId="0" fontId="8" fillId="0" borderId="5" xfId="0" applyNumberFormat="1" applyFont="1" applyFill="1" applyBorder="1" applyAlignment="1">
      <alignment horizontal="left" vertical="top" wrapText="1"/>
    </xf>
    <xf numFmtId="0" fontId="7" fillId="0" borderId="5" xfId="0" applyNumberFormat="1" applyFont="1" applyFill="1" applyBorder="1" applyAlignment="1">
      <alignment horizontal="left" vertical="center" wrapText="1"/>
    </xf>
    <xf numFmtId="0" fontId="10" fillId="0" borderId="5" xfId="0" applyFont="1" applyFill="1" applyBorder="1" applyAlignment="1">
      <alignment horizontal="left" vertical="center" wrapText="1"/>
    </xf>
    <xf numFmtId="0" fontId="9" fillId="0" borderId="5" xfId="0" applyFont="1" applyFill="1" applyBorder="1" applyAlignment="1">
      <alignment horizontal="left" vertical="top" wrapText="1"/>
    </xf>
    <xf numFmtId="42" fontId="17" fillId="0" borderId="42" xfId="0" applyNumberFormat="1" applyFont="1" applyFill="1" applyBorder="1" applyAlignment="1">
      <alignment horizontal="center" vertical="center"/>
    </xf>
    <xf numFmtId="0" fontId="0" fillId="0" borderId="43" xfId="0" applyFont="1" applyFill="1" applyBorder="1" applyAlignment="1">
      <alignment horizontal="right"/>
    </xf>
    <xf numFmtId="167" fontId="20" fillId="0" borderId="49" xfId="0" applyNumberFormat="1" applyFont="1" applyBorder="1"/>
    <xf numFmtId="165" fontId="21" fillId="0" borderId="5" xfId="0" applyNumberFormat="1" applyFont="1" applyFill="1" applyBorder="1" applyAlignment="1">
      <alignment horizontal="center" vertical="center"/>
    </xf>
    <xf numFmtId="165" fontId="21" fillId="0" borderId="6" xfId="0" applyNumberFormat="1" applyFont="1" applyFill="1" applyBorder="1" applyAlignment="1">
      <alignment horizontal="center" vertical="center"/>
    </xf>
    <xf numFmtId="0" fontId="0" fillId="0" borderId="48" xfId="0" applyFill="1" applyBorder="1"/>
    <xf numFmtId="42" fontId="28" fillId="0" borderId="30" xfId="0" applyNumberFormat="1" applyFont="1" applyFill="1" applyBorder="1" applyAlignment="1">
      <alignment horizontal="left" vertical="center"/>
    </xf>
    <xf numFmtId="6" fontId="2" fillId="0" borderId="48" xfId="0" applyNumberFormat="1" applyFont="1" applyBorder="1"/>
    <xf numFmtId="167" fontId="29" fillId="0" borderId="0" xfId="0" applyNumberFormat="1" applyFont="1"/>
    <xf numFmtId="0" fontId="34" fillId="0" borderId="0" xfId="0" applyFont="1"/>
    <xf numFmtId="167" fontId="21" fillId="15" borderId="26" xfId="0" applyNumberFormat="1" applyFont="1" applyFill="1" applyBorder="1" applyAlignment="1">
      <alignment vertical="center"/>
    </xf>
    <xf numFmtId="167" fontId="0" fillId="0" borderId="56" xfId="0" applyNumberFormat="1" applyFont="1" applyFill="1" applyBorder="1"/>
    <xf numFmtId="0" fontId="30" fillId="12" borderId="48" xfId="0" applyFont="1" applyFill="1" applyBorder="1"/>
    <xf numFmtId="0" fontId="21" fillId="12" borderId="6" xfId="0" applyFont="1" applyFill="1" applyBorder="1" applyAlignment="1">
      <alignment horizontal="center" vertical="center" wrapText="1"/>
    </xf>
    <xf numFmtId="0" fontId="21" fillId="12" borderId="25" xfId="0" applyFont="1" applyFill="1" applyBorder="1" applyAlignment="1">
      <alignment horizontal="center" vertical="center" wrapText="1"/>
    </xf>
    <xf numFmtId="0" fontId="21" fillId="12" borderId="19" xfId="0" applyFont="1" applyFill="1" applyBorder="1" applyAlignment="1">
      <alignment horizontal="center" vertical="center" wrapText="1"/>
    </xf>
    <xf numFmtId="0" fontId="21" fillId="12" borderId="32" xfId="0" applyFont="1" applyFill="1" applyBorder="1" applyAlignment="1">
      <alignment horizontal="center" vertical="center" wrapText="1"/>
    </xf>
    <xf numFmtId="0" fontId="21" fillId="12" borderId="38" xfId="0" applyFont="1" applyFill="1" applyBorder="1" applyAlignment="1">
      <alignment horizontal="center" vertical="center" wrapText="1"/>
    </xf>
    <xf numFmtId="0" fontId="0" fillId="0" borderId="0" xfId="0" applyFont="1" applyBorder="1"/>
    <xf numFmtId="42" fontId="17" fillId="0" borderId="29" xfId="1" applyNumberFormat="1" applyFont="1" applyBorder="1" applyAlignment="1">
      <alignment vertical="center"/>
    </xf>
    <xf numFmtId="0" fontId="0" fillId="0" borderId="19" xfId="1" applyNumberFormat="1" applyFont="1" applyBorder="1" applyAlignment="1">
      <alignment horizontal="center" vertical="center" wrapText="1"/>
    </xf>
    <xf numFmtId="42" fontId="5" fillId="0" borderId="43" xfId="1" applyNumberFormat="1" applyFont="1" applyBorder="1" applyAlignment="1">
      <alignment horizontal="center" vertical="center" wrapText="1"/>
    </xf>
    <xf numFmtId="9" fontId="0" fillId="0" borderId="47" xfId="2" applyFont="1" applyFill="1" applyBorder="1" applyAlignment="1">
      <alignment horizontal="center" vertical="center"/>
    </xf>
    <xf numFmtId="42" fontId="17" fillId="0" borderId="29" xfId="1" applyNumberFormat="1" applyFont="1" applyBorder="1" applyAlignment="1">
      <alignment horizontal="left" vertical="center"/>
    </xf>
    <xf numFmtId="42" fontId="17" fillId="0" borderId="47" xfId="0" applyNumberFormat="1" applyFont="1" applyBorder="1" applyAlignment="1">
      <alignment horizontal="center" vertical="center"/>
    </xf>
    <xf numFmtId="0" fontId="7" fillId="0" borderId="5" xfId="0" applyFont="1" applyBorder="1" applyAlignment="1">
      <alignment horizontal="left" vertical="center" wrapText="1"/>
    </xf>
    <xf numFmtId="42" fontId="17" fillId="0" borderId="47" xfId="1" applyNumberFormat="1" applyFont="1" applyBorder="1" applyAlignment="1">
      <alignment vertical="center"/>
    </xf>
    <xf numFmtId="164" fontId="28" fillId="0" borderId="47" xfId="4" applyNumberFormat="1" applyFont="1" applyBorder="1" applyAlignment="1">
      <alignment horizontal="left" vertical="center"/>
    </xf>
    <xf numFmtId="0" fontId="0" fillId="0" borderId="25" xfId="0" applyFont="1" applyFill="1" applyBorder="1"/>
    <xf numFmtId="0" fontId="30" fillId="12" borderId="6" xfId="0" applyFont="1" applyFill="1" applyBorder="1" applyAlignment="1">
      <alignment horizontal="center" vertical="center" wrapText="1"/>
    </xf>
    <xf numFmtId="0" fontId="30" fillId="12" borderId="38" xfId="0" applyFont="1" applyFill="1" applyBorder="1" applyAlignment="1">
      <alignment horizontal="center" vertical="center" wrapText="1"/>
    </xf>
    <xf numFmtId="167" fontId="0" fillId="0" borderId="52" xfId="0" applyNumberFormat="1" applyFont="1" applyBorder="1"/>
    <xf numFmtId="167" fontId="2" fillId="0" borderId="56" xfId="0" applyNumberFormat="1" applyFont="1" applyBorder="1"/>
    <xf numFmtId="0" fontId="30" fillId="4" borderId="43" xfId="0" applyFont="1" applyFill="1" applyBorder="1"/>
    <xf numFmtId="167" fontId="0" fillId="0" borderId="30" xfId="0" applyNumberFormat="1" applyFont="1" applyBorder="1"/>
    <xf numFmtId="167" fontId="0" fillId="0" borderId="30" xfId="0" applyNumberFormat="1" applyBorder="1"/>
    <xf numFmtId="0" fontId="30" fillId="12" borderId="25" xfId="0" applyFont="1" applyFill="1" applyBorder="1" applyAlignment="1">
      <alignment horizontal="center" vertical="center" wrapText="1"/>
    </xf>
    <xf numFmtId="0" fontId="0" fillId="0" borderId="25" xfId="0" applyFont="1" applyBorder="1"/>
    <xf numFmtId="0" fontId="0" fillId="4" borderId="38" xfId="0" applyFont="1" applyFill="1" applyBorder="1"/>
    <xf numFmtId="6" fontId="0" fillId="0" borderId="38" xfId="0" applyNumberFormat="1" applyFont="1" applyBorder="1"/>
    <xf numFmtId="0" fontId="0" fillId="0" borderId="38" xfId="0" applyFont="1" applyFill="1" applyBorder="1"/>
    <xf numFmtId="0" fontId="0" fillId="4" borderId="25" xfId="0" applyFont="1" applyFill="1" applyBorder="1"/>
    <xf numFmtId="6" fontId="0" fillId="0" borderId="25" xfId="0" applyNumberFormat="1" applyFont="1" applyBorder="1"/>
    <xf numFmtId="6" fontId="0" fillId="0" borderId="48" xfId="0" applyNumberFormat="1" applyFont="1" applyBorder="1"/>
    <xf numFmtId="0" fontId="0" fillId="0" borderId="43" xfId="0" applyBorder="1"/>
    <xf numFmtId="0" fontId="0" fillId="4" borderId="43" xfId="0" applyFill="1" applyBorder="1"/>
    <xf numFmtId="6" fontId="0" fillId="0" borderId="43" xfId="0" applyNumberFormat="1" applyBorder="1"/>
    <xf numFmtId="0" fontId="0" fillId="0" borderId="43" xfId="0" applyFill="1" applyBorder="1"/>
    <xf numFmtId="6" fontId="2" fillId="0" borderId="43" xfId="0" applyNumberFormat="1" applyFont="1" applyBorder="1"/>
    <xf numFmtId="167" fontId="20" fillId="0" borderId="43" xfId="0" applyNumberFormat="1" applyFont="1" applyBorder="1"/>
    <xf numFmtId="0" fontId="8" fillId="0" borderId="5" xfId="0" applyFont="1" applyFill="1" applyBorder="1" applyAlignment="1">
      <alignment horizontal="left" vertical="top" wrapText="1"/>
    </xf>
    <xf numFmtId="168" fontId="18" fillId="0" borderId="40" xfId="2" applyNumberFormat="1" applyFont="1" applyBorder="1" applyAlignment="1">
      <alignment horizontal="center"/>
    </xf>
    <xf numFmtId="167" fontId="2" fillId="0" borderId="43" xfId="0" applyNumberFormat="1" applyFont="1" applyFill="1" applyBorder="1"/>
    <xf numFmtId="167" fontId="20" fillId="0" borderId="25" xfId="0" applyNumberFormat="1" applyFont="1" applyFill="1" applyBorder="1"/>
    <xf numFmtId="167" fontId="2" fillId="0" borderId="38" xfId="0" applyNumberFormat="1" applyFont="1" applyFill="1" applyBorder="1"/>
    <xf numFmtId="167" fontId="31" fillId="0" borderId="32" xfId="0" applyNumberFormat="1" applyFont="1" applyFill="1" applyBorder="1"/>
    <xf numFmtId="167" fontId="2" fillId="0" borderId="56" xfId="0" applyNumberFormat="1" applyFont="1" applyFill="1" applyBorder="1"/>
    <xf numFmtId="0" fontId="0" fillId="0" borderId="48" xfId="0" applyFont="1" applyFill="1" applyBorder="1"/>
    <xf numFmtId="0" fontId="30" fillId="0" borderId="48" xfId="0" applyFont="1" applyFill="1" applyBorder="1"/>
    <xf numFmtId="0" fontId="0" fillId="0" borderId="48" xfId="0" applyFill="1" applyBorder="1" applyAlignment="1">
      <alignment horizontal="right"/>
    </xf>
    <xf numFmtId="0" fontId="0" fillId="0" borderId="48" xfId="0" applyFont="1" applyFill="1" applyBorder="1" applyAlignment="1">
      <alignment horizontal="right"/>
    </xf>
    <xf numFmtId="0" fontId="2" fillId="0" borderId="38" xfId="0" applyFont="1" applyBorder="1"/>
    <xf numFmtId="167" fontId="29" fillId="0" borderId="19" xfId="0" applyNumberFormat="1" applyFont="1" applyFill="1" applyBorder="1"/>
    <xf numFmtId="167" fontId="29" fillId="0" borderId="6" xfId="0" applyNumberFormat="1" applyFont="1" applyFill="1" applyBorder="1"/>
    <xf numFmtId="167" fontId="29" fillId="0" borderId="25" xfId="0" applyNumberFormat="1" applyFont="1" applyFill="1" applyBorder="1"/>
    <xf numFmtId="167" fontId="29" fillId="0" borderId="32" xfId="0" applyNumberFormat="1" applyFont="1" applyFill="1" applyBorder="1"/>
    <xf numFmtId="167" fontId="2" fillId="0" borderId="48" xfId="0" applyNumberFormat="1" applyFont="1" applyFill="1" applyBorder="1"/>
    <xf numFmtId="0" fontId="2" fillId="0" borderId="48" xfId="0" applyFont="1" applyBorder="1" applyAlignment="1">
      <alignment horizontal="right"/>
    </xf>
    <xf numFmtId="0" fontId="2" fillId="0" borderId="48" xfId="0" applyFont="1" applyFill="1" applyBorder="1" applyAlignment="1">
      <alignment horizontal="right"/>
    </xf>
    <xf numFmtId="0" fontId="0" fillId="0" borderId="32" xfId="0" applyFont="1" applyBorder="1"/>
    <xf numFmtId="167" fontId="20" fillId="0" borderId="43" xfId="0" applyNumberFormat="1" applyFont="1" applyFill="1" applyBorder="1"/>
    <xf numFmtId="167" fontId="29" fillId="0" borderId="43" xfId="0" applyNumberFormat="1" applyFont="1" applyBorder="1"/>
    <xf numFmtId="0" fontId="0" fillId="0" borderId="59" xfId="0" applyBorder="1"/>
    <xf numFmtId="0" fontId="0" fillId="0" borderId="60" xfId="0" applyBorder="1"/>
    <xf numFmtId="0" fontId="0" fillId="0" borderId="61" xfId="0" applyBorder="1"/>
    <xf numFmtId="42" fontId="5" fillId="0" borderId="32" xfId="0" applyNumberFormat="1" applyFont="1" applyFill="1" applyBorder="1" applyAlignment="1" applyProtection="1">
      <alignment horizontal="center" vertical="center" wrapText="1"/>
      <protection locked="0"/>
    </xf>
    <xf numFmtId="42" fontId="5" fillId="0" borderId="35" xfId="0" applyNumberFormat="1" applyFont="1" applyFill="1" applyBorder="1" applyAlignment="1" applyProtection="1">
      <alignment horizontal="center" vertical="center" wrapText="1"/>
      <protection locked="0"/>
    </xf>
    <xf numFmtId="42" fontId="5" fillId="0" borderId="35" xfId="0" applyNumberFormat="1" applyFont="1" applyBorder="1" applyAlignment="1" applyProtection="1">
      <alignment horizontal="center" vertical="center" wrapText="1"/>
      <protection locked="0"/>
    </xf>
    <xf numFmtId="42" fontId="5" fillId="0" borderId="32" xfId="0" applyNumberFormat="1" applyFont="1" applyBorder="1" applyAlignment="1" applyProtection="1">
      <alignment horizontal="center" vertical="center" wrapText="1"/>
      <protection locked="0"/>
    </xf>
    <xf numFmtId="0" fontId="21" fillId="4" borderId="6" xfId="0" applyFont="1" applyFill="1" applyBorder="1" applyAlignment="1">
      <alignment horizontal="center" vertical="center" wrapText="1"/>
    </xf>
    <xf numFmtId="0" fontId="21" fillId="4" borderId="25" xfId="0" applyFont="1" applyFill="1" applyBorder="1" applyAlignment="1">
      <alignment horizontal="center" vertical="center" wrapText="1"/>
    </xf>
    <xf numFmtId="0" fontId="21" fillId="4" borderId="19" xfId="0" applyFont="1" applyFill="1" applyBorder="1" applyAlignment="1">
      <alignment horizontal="center" vertical="center" wrapText="1"/>
    </xf>
    <xf numFmtId="0" fontId="21" fillId="4" borderId="32" xfId="0" applyFont="1" applyFill="1" applyBorder="1" applyAlignment="1">
      <alignment horizontal="center" vertical="center" wrapText="1"/>
    </xf>
    <xf numFmtId="0" fontId="30" fillId="4" borderId="38" xfId="0" applyFont="1" applyFill="1" applyBorder="1" applyAlignment="1">
      <alignment horizontal="center" vertical="center" wrapText="1"/>
    </xf>
    <xf numFmtId="0" fontId="21" fillId="4" borderId="38"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2" borderId="44" xfId="0" applyFont="1" applyFill="1" applyBorder="1" applyAlignment="1">
      <alignment vertical="center"/>
    </xf>
    <xf numFmtId="0" fontId="2" fillId="0" borderId="0" xfId="0" applyFont="1" applyAlignment="1">
      <alignment horizontal="right" vertical="top"/>
    </xf>
    <xf numFmtId="0" fontId="0" fillId="0" borderId="0" xfId="0" applyAlignment="1">
      <alignment horizontal="right" vertical="top"/>
    </xf>
    <xf numFmtId="42" fontId="17" fillId="0" borderId="25" xfId="0" applyNumberFormat="1" applyFont="1" applyFill="1" applyBorder="1" applyAlignment="1">
      <alignment horizontal="center" vertical="center"/>
    </xf>
    <xf numFmtId="42" fontId="28" fillId="0" borderId="47" xfId="0" applyNumberFormat="1" applyFont="1" applyFill="1" applyBorder="1" applyAlignment="1">
      <alignment horizontal="center" vertical="center"/>
    </xf>
    <xf numFmtId="42" fontId="17" fillId="0" borderId="47" xfId="1" applyNumberFormat="1" applyFont="1" applyBorder="1" applyAlignment="1">
      <alignment horizontal="left" vertical="center"/>
    </xf>
    <xf numFmtId="42" fontId="17" fillId="0" borderId="18" xfId="0" applyNumberFormat="1" applyFont="1" applyFill="1" applyBorder="1" applyAlignment="1">
      <alignment horizontal="left" vertical="center"/>
    </xf>
    <xf numFmtId="166" fontId="21" fillId="0" borderId="35"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6" xfId="3" applyFont="1" applyFill="1" applyBorder="1" applyAlignment="1">
      <alignment vertical="top" wrapText="1"/>
    </xf>
    <xf numFmtId="0" fontId="5" fillId="0" borderId="5" xfId="0" applyFont="1" applyFill="1" applyBorder="1" applyAlignment="1">
      <alignment horizontal="left" vertical="center" wrapText="1"/>
    </xf>
    <xf numFmtId="164" fontId="28" fillId="0" borderId="5" xfId="4" applyNumberFormat="1" applyFont="1" applyBorder="1" applyAlignment="1">
      <alignment horizontal="left" vertical="center"/>
    </xf>
    <xf numFmtId="42" fontId="17" fillId="0" borderId="25" xfId="1" applyNumberFormat="1" applyFont="1" applyBorder="1" applyAlignment="1">
      <alignment vertical="center"/>
    </xf>
    <xf numFmtId="0" fontId="20"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10" fillId="0" borderId="5" xfId="0" applyFont="1" applyFill="1" applyBorder="1" applyAlignment="1">
      <alignment horizontal="left" vertical="top" wrapText="1"/>
    </xf>
    <xf numFmtId="0" fontId="7" fillId="0" borderId="5" xfId="0" applyFont="1" applyFill="1" applyBorder="1" applyAlignment="1">
      <alignment horizontal="left" vertical="top" wrapText="1"/>
    </xf>
    <xf numFmtId="42" fontId="8" fillId="0" borderId="35" xfId="0" applyNumberFormat="1" applyFont="1" applyBorder="1" applyAlignment="1" applyProtection="1">
      <alignment horizontal="center" vertical="center" wrapText="1"/>
      <protection locked="0"/>
    </xf>
    <xf numFmtId="0" fontId="6" fillId="0" borderId="48" xfId="0" applyFont="1" applyBorder="1" applyAlignment="1">
      <alignment horizontal="left" vertical="center" wrapText="1"/>
    </xf>
    <xf numFmtId="42" fontId="17" fillId="0" borderId="25" xfId="1" applyNumberFormat="1" applyFont="1" applyFill="1" applyBorder="1" applyAlignment="1">
      <alignment horizontal="left" vertical="center"/>
    </xf>
    <xf numFmtId="0" fontId="7" fillId="0" borderId="6" xfId="5" applyFont="1" applyFill="1" applyBorder="1" applyAlignment="1">
      <alignment horizontal="left" vertical="center" wrapText="1"/>
    </xf>
    <xf numFmtId="42" fontId="17" fillId="0" borderId="46" xfId="1" applyNumberFormat="1" applyFont="1" applyFill="1" applyBorder="1" applyAlignment="1">
      <alignment horizontal="left" vertical="center"/>
    </xf>
    <xf numFmtId="42" fontId="17" fillId="0" borderId="48" xfId="1" applyNumberFormat="1" applyFont="1" applyFill="1" applyBorder="1" applyAlignment="1">
      <alignment horizontal="left" vertical="center"/>
    </xf>
    <xf numFmtId="42" fontId="17" fillId="0" borderId="46" xfId="1" applyNumberFormat="1" applyFont="1" applyBorder="1" applyAlignment="1">
      <alignment horizontal="left" vertical="center"/>
    </xf>
    <xf numFmtId="42" fontId="17" fillId="0" borderId="46" xfId="1" applyNumberFormat="1" applyFont="1" applyFill="1" applyBorder="1" applyAlignment="1">
      <alignment horizontal="left" vertical="center" wrapText="1"/>
    </xf>
    <xf numFmtId="42" fontId="17" fillId="0" borderId="48" xfId="1" applyNumberFormat="1" applyFont="1" applyBorder="1" applyAlignment="1">
      <alignment horizontal="left" vertical="center"/>
    </xf>
    <xf numFmtId="42" fontId="28" fillId="0" borderId="48" xfId="1" applyNumberFormat="1" applyFont="1" applyBorder="1" applyAlignment="1">
      <alignment horizontal="left" vertical="center"/>
    </xf>
    <xf numFmtId="42" fontId="28" fillId="0" borderId="46" xfId="1" applyNumberFormat="1" applyFont="1" applyBorder="1" applyAlignment="1">
      <alignment horizontal="left" vertical="center"/>
    </xf>
    <xf numFmtId="42" fontId="17" fillId="0" borderId="48" xfId="1" applyNumberFormat="1" applyFont="1" applyBorder="1" applyAlignment="1">
      <alignment vertical="center"/>
    </xf>
    <xf numFmtId="42" fontId="17" fillId="0" borderId="47" xfId="1" applyNumberFormat="1" applyFont="1" applyFill="1" applyBorder="1" applyAlignment="1">
      <alignment horizontal="left" vertical="center"/>
    </xf>
    <xf numFmtId="42" fontId="28" fillId="0" borderId="48" xfId="1" applyNumberFormat="1" applyFont="1" applyFill="1" applyBorder="1" applyAlignment="1">
      <alignment horizontal="left" vertical="center"/>
    </xf>
    <xf numFmtId="164" fontId="28" fillId="0" borderId="48" xfId="4" applyNumberFormat="1" applyFont="1" applyBorder="1" applyAlignment="1">
      <alignment horizontal="left" vertical="center"/>
    </xf>
    <xf numFmtId="42" fontId="17" fillId="0" borderId="48" xfId="1" applyNumberFormat="1" applyFont="1" applyFill="1" applyBorder="1" applyAlignment="1">
      <alignment horizontal="left" vertical="center" wrapText="1"/>
    </xf>
    <xf numFmtId="0" fontId="10" fillId="0" borderId="48" xfId="0" applyFont="1" applyFill="1" applyBorder="1" applyAlignment="1">
      <alignment horizontal="left" vertical="top" wrapText="1"/>
    </xf>
    <xf numFmtId="42" fontId="17" fillId="0" borderId="25" xfId="1" applyNumberFormat="1" applyFont="1" applyBorder="1" applyAlignment="1">
      <alignment horizontal="left" vertical="center"/>
    </xf>
    <xf numFmtId="42" fontId="28" fillId="0" borderId="46" xfId="1" applyNumberFormat="1" applyFont="1" applyFill="1" applyBorder="1" applyAlignment="1">
      <alignment horizontal="left" vertical="center"/>
    </xf>
    <xf numFmtId="42" fontId="8" fillId="0" borderId="46" xfId="0" applyNumberFormat="1" applyFont="1" applyBorder="1" applyAlignment="1" applyProtection="1">
      <alignment horizontal="center" vertical="center" wrapText="1"/>
      <protection locked="0"/>
    </xf>
    <xf numFmtId="164" fontId="28" fillId="0" borderId="48" xfId="4" applyNumberFormat="1" applyFont="1" applyFill="1" applyBorder="1" applyAlignment="1">
      <alignment horizontal="left" vertical="center"/>
    </xf>
    <xf numFmtId="164" fontId="8" fillId="0" borderId="6" xfId="4" applyNumberFormat="1" applyFont="1" applyFill="1" applyBorder="1" applyAlignment="1">
      <alignment horizontal="left" vertical="center" wrapText="1"/>
    </xf>
    <xf numFmtId="0" fontId="8" fillId="0" borderId="5" xfId="0" applyFont="1" applyBorder="1" applyAlignment="1">
      <alignment horizontal="center" vertical="center" wrapText="1"/>
    </xf>
    <xf numFmtId="0" fontId="10" fillId="0" borderId="48" xfId="0" applyFont="1" applyBorder="1" applyAlignment="1">
      <alignment horizontal="left" vertical="center" wrapText="1"/>
    </xf>
    <xf numFmtId="0" fontId="8" fillId="0" borderId="5" xfId="0" applyFont="1" applyBorder="1" applyAlignment="1">
      <alignment horizontal="left" vertical="top" wrapText="1"/>
    </xf>
    <xf numFmtId="42" fontId="28" fillId="0" borderId="46" xfId="0" applyNumberFormat="1" applyFont="1" applyBorder="1" applyAlignment="1">
      <alignment horizontal="left" vertical="center"/>
    </xf>
    <xf numFmtId="42" fontId="17" fillId="0" borderId="48" xfId="0" applyNumberFormat="1" applyFont="1" applyFill="1" applyBorder="1" applyAlignment="1">
      <alignment horizontal="center" vertical="center"/>
    </xf>
    <xf numFmtId="5" fontId="17" fillId="0" borderId="6" xfId="0" applyNumberFormat="1" applyFont="1" applyFill="1" applyBorder="1" applyAlignment="1">
      <alignment horizontal="right" vertical="center"/>
    </xf>
    <xf numFmtId="167" fontId="31" fillId="0" borderId="6" xfId="0" applyNumberFormat="1" applyFont="1" applyBorder="1"/>
    <xf numFmtId="167" fontId="31" fillId="0" borderId="43" xfId="0" applyNumberFormat="1" applyFont="1" applyBorder="1"/>
    <xf numFmtId="167" fontId="0" fillId="0" borderId="62" xfId="0" applyNumberFormat="1" applyBorder="1"/>
    <xf numFmtId="167" fontId="0" fillId="0" borderId="60" xfId="0" applyNumberFormat="1" applyBorder="1"/>
    <xf numFmtId="167" fontId="0" fillId="0" borderId="61" xfId="0" applyNumberFormat="1" applyBorder="1"/>
    <xf numFmtId="167" fontId="21" fillId="15" borderId="37" xfId="0" applyNumberFormat="1" applyFont="1" applyFill="1" applyBorder="1" applyAlignment="1">
      <alignment vertical="center"/>
    </xf>
    <xf numFmtId="0" fontId="0" fillId="0" borderId="5" xfId="0" applyFill="1" applyBorder="1" applyAlignment="1">
      <alignment horizontal="center" vertical="center"/>
    </xf>
    <xf numFmtId="0" fontId="21" fillId="0" borderId="51" xfId="0" applyFont="1" applyBorder="1" applyAlignment="1">
      <alignment horizontal="right"/>
    </xf>
    <xf numFmtId="167" fontId="2" fillId="0" borderId="53" xfId="0" applyNumberFormat="1" applyFont="1" applyBorder="1"/>
    <xf numFmtId="167" fontId="2" fillId="0" borderId="52" xfId="0" applyNumberFormat="1" applyFont="1" applyBorder="1"/>
    <xf numFmtId="167" fontId="2" fillId="0" borderId="57" xfId="0" applyNumberFormat="1" applyFont="1" applyBorder="1"/>
    <xf numFmtId="167" fontId="2" fillId="0" borderId="41" xfId="0" applyNumberFormat="1" applyFont="1" applyBorder="1"/>
    <xf numFmtId="0" fontId="18" fillId="16" borderId="4" xfId="0" applyFont="1" applyFill="1" applyBorder="1" applyAlignment="1">
      <alignment horizontal="center" vertical="center" wrapText="1"/>
    </xf>
    <xf numFmtId="0" fontId="30" fillId="0" borderId="0" xfId="0" applyFont="1" applyAlignment="1">
      <alignment vertical="top"/>
    </xf>
    <xf numFmtId="167" fontId="21" fillId="0" borderId="19" xfId="0" applyNumberFormat="1" applyFont="1" applyBorder="1"/>
    <xf numFmtId="167" fontId="0" fillId="0" borderId="53" xfId="0" applyNumberFormat="1" applyFont="1" applyBorder="1"/>
    <xf numFmtId="167" fontId="2" fillId="0" borderId="50" xfId="0" applyNumberFormat="1" applyFont="1" applyBorder="1"/>
    <xf numFmtId="0" fontId="21" fillId="0" borderId="51" xfId="0" applyFont="1" applyBorder="1"/>
    <xf numFmtId="167" fontId="21" fillId="0" borderId="6" xfId="0" applyNumberFormat="1" applyFont="1" applyBorder="1"/>
    <xf numFmtId="167" fontId="21" fillId="0" borderId="43" xfId="0" applyNumberFormat="1" applyFont="1" applyBorder="1"/>
    <xf numFmtId="167" fontId="21" fillId="0" borderId="32" xfId="0" applyNumberFormat="1" applyFont="1" applyBorder="1"/>
    <xf numFmtId="167" fontId="30" fillId="0" borderId="38" xfId="0" applyNumberFormat="1" applyFont="1" applyBorder="1"/>
    <xf numFmtId="167" fontId="21" fillId="0" borderId="38" xfId="0" applyNumberFormat="1" applyFont="1" applyBorder="1"/>
    <xf numFmtId="167" fontId="21" fillId="0" borderId="25" xfId="0" applyNumberFormat="1" applyFont="1" applyBorder="1"/>
    <xf numFmtId="0" fontId="2" fillId="0" borderId="51" xfId="0" applyFont="1" applyBorder="1"/>
    <xf numFmtId="0" fontId="30" fillId="0" borderId="51" xfId="0" applyFont="1" applyBorder="1"/>
    <xf numFmtId="0" fontId="34" fillId="15" borderId="37" xfId="0" applyFont="1" applyFill="1" applyBorder="1" applyAlignment="1">
      <alignment horizontal="right" vertical="center"/>
    </xf>
    <xf numFmtId="167" fontId="0" fillId="0" borderId="57" xfId="0" applyNumberFormat="1" applyFont="1" applyBorder="1"/>
    <xf numFmtId="167" fontId="0" fillId="0" borderId="54" xfId="0" applyNumberFormat="1" applyFont="1" applyBorder="1"/>
    <xf numFmtId="167" fontId="30" fillId="0" borderId="49" xfId="0" applyNumberFormat="1" applyFont="1" applyBorder="1"/>
    <xf numFmtId="0" fontId="21" fillId="0" borderId="51" xfId="0" applyFont="1" applyFill="1" applyBorder="1" applyAlignment="1">
      <alignment horizontal="left"/>
    </xf>
    <xf numFmtId="167" fontId="30" fillId="0" borderId="52" xfId="0" applyNumberFormat="1" applyFont="1" applyBorder="1"/>
    <xf numFmtId="167" fontId="21" fillId="0" borderId="53" xfId="0" applyNumberFormat="1" applyFont="1" applyBorder="1"/>
    <xf numFmtId="167" fontId="21" fillId="0" borderId="54" xfId="0" applyNumberFormat="1" applyFont="1" applyBorder="1"/>
    <xf numFmtId="167" fontId="30" fillId="0" borderId="53" xfId="0" applyNumberFormat="1" applyFont="1" applyBorder="1"/>
    <xf numFmtId="167" fontId="21" fillId="0" borderId="41" xfId="0" applyNumberFormat="1" applyFont="1" applyBorder="1"/>
    <xf numFmtId="167" fontId="21" fillId="0" borderId="50" xfId="0" applyNumberFormat="1" applyFont="1" applyBorder="1"/>
    <xf numFmtId="167" fontId="21" fillId="0" borderId="57" xfId="0" applyNumberFormat="1" applyFont="1" applyBorder="1"/>
    <xf numFmtId="167" fontId="30" fillId="0" borderId="48" xfId="0" applyNumberFormat="1" applyFont="1" applyBorder="1"/>
    <xf numFmtId="0" fontId="21" fillId="0" borderId="51" xfId="0" applyFont="1" applyBorder="1" applyAlignment="1">
      <alignment horizontal="left"/>
    </xf>
    <xf numFmtId="167" fontId="21" fillId="0" borderId="52" xfId="0" applyNumberFormat="1" applyFont="1" applyBorder="1"/>
    <xf numFmtId="167" fontId="30" fillId="0" borderId="41" xfId="0" applyNumberFormat="1" applyFont="1" applyBorder="1"/>
    <xf numFmtId="0" fontId="20" fillId="0" borderId="48" xfId="0" applyFont="1" applyFill="1" applyBorder="1"/>
    <xf numFmtId="0" fontId="19" fillId="9" borderId="21" xfId="0" applyFont="1" applyFill="1" applyBorder="1" applyAlignment="1">
      <alignment horizontal="center" vertical="center" wrapText="1"/>
    </xf>
    <xf numFmtId="0" fontId="18" fillId="2" borderId="21" xfId="0" applyFont="1" applyFill="1" applyBorder="1" applyAlignment="1">
      <alignment horizontal="center" vertical="center" wrapText="1"/>
    </xf>
    <xf numFmtId="167" fontId="30" fillId="0" borderId="19" xfId="0" applyNumberFormat="1" applyFont="1" applyBorder="1"/>
    <xf numFmtId="167" fontId="35" fillId="0" borderId="38" xfId="0" applyNumberFormat="1" applyFont="1" applyBorder="1"/>
    <xf numFmtId="167" fontId="35" fillId="0" borderId="6" xfId="0" applyNumberFormat="1" applyFont="1" applyBorder="1"/>
    <xf numFmtId="0" fontId="21" fillId="12" borderId="49" xfId="0" applyFont="1" applyFill="1" applyBorder="1" applyAlignment="1">
      <alignment vertical="center"/>
    </xf>
    <xf numFmtId="0" fontId="21" fillId="4" borderId="49" xfId="0" applyFont="1" applyFill="1" applyBorder="1"/>
    <xf numFmtId="0" fontId="0" fillId="0" borderId="55" xfId="0" applyBorder="1"/>
    <xf numFmtId="0" fontId="32" fillId="0" borderId="49" xfId="0" applyFont="1" applyBorder="1"/>
    <xf numFmtId="0" fontId="29" fillId="0" borderId="49" xfId="0" applyFont="1" applyBorder="1"/>
    <xf numFmtId="0" fontId="21" fillId="0" borderId="49" xfId="0" applyFont="1" applyBorder="1" applyAlignment="1">
      <alignment horizontal="center"/>
    </xf>
    <xf numFmtId="0" fontId="2" fillId="0" borderId="49" xfId="0" applyFont="1" applyBorder="1" applyAlignment="1">
      <alignment horizontal="center"/>
    </xf>
    <xf numFmtId="0" fontId="0" fillId="0" borderId="49" xfId="0" applyFont="1" applyBorder="1" applyAlignment="1">
      <alignment horizontal="center"/>
    </xf>
    <xf numFmtId="0" fontId="21" fillId="0" borderId="58" xfId="0" applyFont="1" applyBorder="1" applyAlignment="1">
      <alignment horizontal="center"/>
    </xf>
    <xf numFmtId="0" fontId="21" fillId="4" borderId="19" xfId="0" applyFont="1" applyFill="1" applyBorder="1" applyAlignment="1">
      <alignment horizontal="left"/>
    </xf>
    <xf numFmtId="0" fontId="27" fillId="0" borderId="49" xfId="0" applyFont="1" applyBorder="1" applyAlignment="1">
      <alignment horizontal="left"/>
    </xf>
    <xf numFmtId="0" fontId="2" fillId="0" borderId="49" xfId="0" applyFont="1" applyFill="1" applyBorder="1" applyAlignment="1">
      <alignment horizontal="center"/>
    </xf>
    <xf numFmtId="0" fontId="21" fillId="0" borderId="49" xfId="0" applyFont="1" applyBorder="1" applyAlignment="1">
      <alignment horizontal="left"/>
    </xf>
    <xf numFmtId="0" fontId="21" fillId="4" borderId="49" xfId="0" applyFont="1" applyFill="1" applyBorder="1" applyAlignment="1">
      <alignment horizontal="left"/>
    </xf>
    <xf numFmtId="0" fontId="27" fillId="0" borderId="58" xfId="0" applyFont="1" applyBorder="1" applyAlignment="1">
      <alignment horizontal="left"/>
    </xf>
    <xf numFmtId="0" fontId="2" fillId="0" borderId="58" xfId="0" applyFont="1" applyBorder="1"/>
    <xf numFmtId="0" fontId="17" fillId="0" borderId="49" xfId="0" applyFont="1" applyBorder="1" applyAlignment="1">
      <alignment horizontal="center"/>
    </xf>
    <xf numFmtId="0" fontId="2" fillId="0" borderId="58" xfId="0" applyFont="1" applyBorder="1" applyAlignment="1">
      <alignment horizontal="center"/>
    </xf>
    <xf numFmtId="0" fontId="2" fillId="0" borderId="58" xfId="0" applyFont="1" applyBorder="1" applyAlignment="1">
      <alignment horizontal="left"/>
    </xf>
    <xf numFmtId="0" fontId="21" fillId="0" borderId="48" xfId="0" applyFont="1" applyBorder="1" applyAlignment="1">
      <alignment horizontal="right"/>
    </xf>
    <xf numFmtId="0" fontId="0" fillId="0" borderId="49" xfId="0" applyFont="1" applyFill="1" applyBorder="1" applyAlignment="1">
      <alignment horizontal="center"/>
    </xf>
    <xf numFmtId="0" fontId="0" fillId="0" borderId="0" xfId="0" applyFont="1" applyFill="1"/>
    <xf numFmtId="0" fontId="0" fillId="0" borderId="0" xfId="0" applyFont="1" applyAlignment="1">
      <alignment horizontal="right"/>
    </xf>
    <xf numFmtId="167" fontId="17" fillId="4" borderId="38" xfId="0" applyNumberFormat="1" applyFont="1" applyFill="1" applyBorder="1"/>
    <xf numFmtId="167" fontId="17" fillId="0" borderId="38" xfId="0" applyNumberFormat="1" applyFont="1" applyBorder="1"/>
    <xf numFmtId="0" fontId="17" fillId="0" borderId="38" xfId="0" applyFont="1" applyBorder="1"/>
    <xf numFmtId="6" fontId="17" fillId="0" borderId="38" xfId="0" applyNumberFormat="1" applyFont="1" applyBorder="1"/>
    <xf numFmtId="0" fontId="17" fillId="0" borderId="42" xfId="0" applyFont="1" applyBorder="1"/>
    <xf numFmtId="0" fontId="28" fillId="0" borderId="38" xfId="0" applyFont="1" applyBorder="1"/>
    <xf numFmtId="0" fontId="17" fillId="0" borderId="19" xfId="0" applyFont="1" applyBorder="1"/>
    <xf numFmtId="0" fontId="36" fillId="0" borderId="38" xfId="0" applyFont="1" applyBorder="1"/>
    <xf numFmtId="0" fontId="4" fillId="0" borderId="38" xfId="0" applyFont="1" applyBorder="1"/>
    <xf numFmtId="167" fontId="4" fillId="0" borderId="38" xfId="0" applyNumberFormat="1" applyFont="1" applyBorder="1"/>
    <xf numFmtId="0" fontId="37" fillId="0" borderId="38" xfId="0" applyFont="1" applyBorder="1"/>
    <xf numFmtId="0" fontId="38" fillId="0" borderId="38" xfId="0" applyFont="1" applyBorder="1"/>
    <xf numFmtId="167" fontId="28" fillId="0" borderId="38" xfId="0" applyNumberFormat="1" applyFont="1" applyBorder="1"/>
    <xf numFmtId="0" fontId="28" fillId="0" borderId="48" xfId="0" applyFont="1" applyBorder="1"/>
    <xf numFmtId="0" fontId="17" fillId="0" borderId="38" xfId="0" applyFont="1" applyFill="1" applyBorder="1"/>
    <xf numFmtId="167" fontId="38" fillId="0" borderId="38" xfId="0" applyNumberFormat="1" applyFont="1" applyBorder="1"/>
    <xf numFmtId="0" fontId="30" fillId="0" borderId="38" xfId="0" applyFont="1" applyBorder="1"/>
    <xf numFmtId="0" fontId="17" fillId="4" borderId="38" xfId="0" applyFont="1" applyFill="1" applyBorder="1"/>
    <xf numFmtId="6" fontId="4" fillId="0" borderId="38" xfId="0" applyNumberFormat="1" applyFont="1" applyBorder="1" applyAlignment="1">
      <alignment horizontal="right"/>
    </xf>
    <xf numFmtId="6" fontId="5" fillId="0" borderId="38" xfId="0" applyNumberFormat="1" applyFont="1" applyBorder="1" applyAlignment="1">
      <alignment horizontal="right"/>
    </xf>
    <xf numFmtId="6" fontId="21" fillId="0" borderId="38" xfId="0" applyNumberFormat="1" applyFont="1" applyBorder="1" applyAlignment="1">
      <alignment horizontal="right"/>
    </xf>
    <xf numFmtId="167" fontId="39" fillId="0" borderId="38" xfId="0" applyNumberFormat="1" applyFont="1" applyBorder="1"/>
    <xf numFmtId="6" fontId="4" fillId="0" borderId="38" xfId="0" applyNumberFormat="1" applyFont="1" applyBorder="1"/>
    <xf numFmtId="167" fontId="17" fillId="0" borderId="48" xfId="0" applyNumberFormat="1" applyFont="1" applyBorder="1"/>
    <xf numFmtId="0" fontId="17" fillId="0" borderId="48" xfId="0" applyFont="1" applyBorder="1"/>
    <xf numFmtId="167" fontId="17" fillId="0" borderId="41" xfId="0" applyNumberFormat="1" applyFont="1" applyBorder="1"/>
    <xf numFmtId="0" fontId="17" fillId="0" borderId="41" xfId="0" applyFont="1" applyBorder="1"/>
    <xf numFmtId="167" fontId="4" fillId="15" borderId="31" xfId="0" applyNumberFormat="1" applyFont="1" applyFill="1" applyBorder="1" applyAlignment="1">
      <alignment vertical="center"/>
    </xf>
    <xf numFmtId="0" fontId="17" fillId="0" borderId="0" xfId="0" applyFont="1"/>
    <xf numFmtId="42" fontId="2" fillId="0" borderId="0" xfId="0" applyNumberFormat="1" applyFont="1" applyAlignment="1">
      <alignment horizontal="center"/>
    </xf>
    <xf numFmtId="0" fontId="26" fillId="14" borderId="20" xfId="0" applyFont="1" applyFill="1" applyBorder="1" applyAlignment="1">
      <alignment horizontal="center" vertical="center" wrapText="1"/>
    </xf>
    <xf numFmtId="0" fontId="27" fillId="14" borderId="37" xfId="0" applyFont="1" applyFill="1" applyBorder="1" applyAlignment="1">
      <alignment horizontal="center" vertical="center" wrapText="1"/>
    </xf>
    <xf numFmtId="0" fontId="27" fillId="14" borderId="31" xfId="0" applyFont="1" applyFill="1" applyBorder="1" applyAlignment="1">
      <alignment horizontal="center" vertical="center" wrapText="1"/>
    </xf>
    <xf numFmtId="0" fontId="18" fillId="2" borderId="20" xfId="0" applyFont="1" applyFill="1" applyBorder="1" applyAlignment="1">
      <alignment horizontal="center"/>
    </xf>
    <xf numFmtId="0" fontId="2" fillId="2" borderId="37" xfId="0" applyFont="1" applyFill="1" applyBorder="1" applyAlignment="1">
      <alignment horizontal="center"/>
    </xf>
    <xf numFmtId="0" fontId="2" fillId="2" borderId="39" xfId="0" applyFont="1" applyFill="1" applyBorder="1" applyAlignment="1">
      <alignment horizontal="center"/>
    </xf>
    <xf numFmtId="0" fontId="22" fillId="6" borderId="16" xfId="0" applyFont="1" applyFill="1" applyBorder="1" applyAlignment="1">
      <alignment horizontal="center" vertical="center" wrapText="1"/>
    </xf>
    <xf numFmtId="0" fontId="21" fillId="0" borderId="0" xfId="0" applyFont="1" applyAlignment="1">
      <alignment horizontal="center"/>
    </xf>
    <xf numFmtId="0" fontId="21" fillId="0" borderId="38" xfId="0" applyFont="1" applyBorder="1" applyAlignment="1">
      <alignment horizontal="right"/>
    </xf>
    <xf numFmtId="0" fontId="21" fillId="0" borderId="6" xfId="0" applyFont="1" applyBorder="1" applyAlignment="1">
      <alignment horizontal="right"/>
    </xf>
    <xf numFmtId="0" fontId="21" fillId="0" borderId="48" xfId="0" applyFont="1" applyBorder="1" applyAlignment="1">
      <alignment horizontal="right"/>
    </xf>
    <xf numFmtId="0" fontId="21" fillId="0" borderId="48" xfId="0" applyFont="1" applyBorder="1" applyAlignment="1">
      <alignment horizontal="right" vertical="center"/>
    </xf>
    <xf numFmtId="0" fontId="21" fillId="0" borderId="38" xfId="0" applyFont="1" applyBorder="1" applyAlignment="1">
      <alignment horizontal="right" vertical="center"/>
    </xf>
  </cellXfs>
  <cellStyles count="7">
    <cellStyle name="Currency" xfId="1" builtinId="4"/>
    <cellStyle name="Currency 2" xfId="4"/>
    <cellStyle name="Normal" xfId="0" builtinId="0"/>
    <cellStyle name="Normal 2" xfId="5"/>
    <cellStyle name="Normal 3" xfId="6"/>
    <cellStyle name="Normal 4" xfId="3"/>
    <cellStyle name="Percent" xfId="2" builtinId="5"/>
  </cellStyles>
  <dxfs count="118">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
      <font>
        <b/>
        <i val="0"/>
        <color rgb="FFFF0000"/>
      </font>
    </dxf>
    <dxf>
      <fill>
        <patternFill>
          <bgColor theme="6" tint="-0.24994659260841701"/>
        </patternFill>
      </fill>
    </dxf>
    <dxf>
      <fill>
        <patternFill>
          <bgColor theme="8" tint="0.79998168889431442"/>
        </patternFill>
      </fill>
    </dxf>
    <dxf>
      <fill>
        <patternFill>
          <bgColor theme="3" tint="0.39994506668294322"/>
        </patternFill>
      </fill>
    </dxf>
    <dxf>
      <font>
        <b/>
        <i val="0"/>
        <color rgb="FFFF0000"/>
      </font>
    </dxf>
  </dxfs>
  <tableStyles count="0" defaultTableStyle="TableStyleMedium2" defaultPivotStyle="PivotStyleLight16"/>
  <colors>
    <mruColors>
      <color rgb="FFE5E0EF"/>
      <color rgb="FFE5E0EC"/>
      <color rgb="FFFFFFCC"/>
      <color rgb="FFFF3300"/>
      <color rgb="FFFF7C5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334"/>
  <sheetViews>
    <sheetView zoomScaleNormal="100" workbookViewId="0">
      <pane ySplit="4" topLeftCell="A143" activePane="bottomLeft" state="frozen"/>
      <selection pane="bottomLeft" activeCell="F331" sqref="F331"/>
    </sheetView>
  </sheetViews>
  <sheetFormatPr defaultRowHeight="15" outlineLevelCol="1"/>
  <cols>
    <col min="1" max="1" width="7.7109375" customWidth="1"/>
    <col min="2" max="2" width="9.140625" customWidth="1"/>
    <col min="3" max="3" width="11.85546875" style="130" customWidth="1"/>
    <col min="4" max="4" width="24.7109375" style="268" customWidth="1"/>
    <col min="5" max="5" width="34.85546875" style="129" customWidth="1"/>
    <col min="6" max="6" width="14.140625" customWidth="1"/>
    <col min="7" max="7" width="9.7109375" customWidth="1" outlineLevel="1"/>
    <col min="8" max="8" width="9.5703125" customWidth="1" outlineLevel="1"/>
    <col min="9" max="9" width="9.140625" customWidth="1" outlineLevel="1"/>
    <col min="10" max="12" width="8.85546875" customWidth="1" outlineLevel="1"/>
    <col min="13" max="16" width="8.7109375" customWidth="1" outlineLevel="1"/>
    <col min="17" max="17" width="11.140625" customWidth="1"/>
    <col min="18" max="28" width="8.85546875" customWidth="1" outlineLevel="1"/>
    <col min="29" max="30" width="9.140625" customWidth="1"/>
    <col min="31" max="31" width="7.5703125" customWidth="1"/>
    <col min="32" max="32" width="8.42578125" customWidth="1"/>
    <col min="33" max="33" width="11.7109375" style="109" customWidth="1"/>
    <col min="34" max="34" width="11.7109375" style="106" customWidth="1" outlineLevel="1"/>
    <col min="35" max="38" width="11.7109375" style="109" customWidth="1" outlineLevel="1"/>
    <col min="39" max="39" width="12.140625" customWidth="1"/>
    <col min="40" max="43" width="11.7109375" customWidth="1"/>
  </cols>
  <sheetData>
    <row r="1" spans="1:43" ht="51.75" customHeight="1">
      <c r="A1" s="319" t="str">
        <f ca="1">"FY"&amp; (YEAR(TODAY())+2)&amp;"-" &amp; (YEAR(TODAY())+6)&amp;" CIP by Priority"</f>
        <v>FY2014-2018 CIP by Priority</v>
      </c>
      <c r="B1" s="99"/>
      <c r="C1" s="282"/>
      <c r="D1" s="99"/>
      <c r="E1" s="125"/>
      <c r="F1" s="100"/>
      <c r="G1" s="46" t="s">
        <v>269</v>
      </c>
      <c r="H1" s="54" t="s">
        <v>271</v>
      </c>
      <c r="I1" s="603" t="s">
        <v>274</v>
      </c>
      <c r="J1" s="603"/>
      <c r="K1" s="603"/>
      <c r="L1" s="603"/>
      <c r="M1" s="603"/>
      <c r="N1" s="603"/>
      <c r="O1" s="603"/>
      <c r="P1" s="603"/>
      <c r="Q1" s="347"/>
      <c r="R1" s="347"/>
      <c r="S1" s="348"/>
      <c r="T1" s="348"/>
      <c r="U1" s="348"/>
      <c r="V1" s="348"/>
      <c r="W1" s="348"/>
      <c r="X1" s="348"/>
      <c r="Y1" s="348"/>
      <c r="Z1" s="348"/>
      <c r="AA1" s="348"/>
      <c r="AB1" s="348"/>
      <c r="AC1" s="49" t="s">
        <v>288</v>
      </c>
      <c r="AD1" s="61" t="s">
        <v>288</v>
      </c>
      <c r="AE1" s="349"/>
      <c r="AF1" s="350"/>
      <c r="AG1" s="351" t="s">
        <v>390</v>
      </c>
      <c r="AH1" s="352"/>
      <c r="AI1" s="353"/>
      <c r="AJ1" s="353"/>
      <c r="AK1" s="353"/>
      <c r="AL1" s="353"/>
      <c r="AM1" s="597" t="s">
        <v>1018</v>
      </c>
      <c r="AN1" s="598"/>
      <c r="AO1" s="598"/>
      <c r="AP1" s="598"/>
      <c r="AQ1" s="599"/>
    </row>
    <row r="2" spans="1:43" ht="16.5" customHeight="1">
      <c r="A2" s="451"/>
      <c r="B2" s="101"/>
      <c r="C2" s="283"/>
      <c r="D2" s="101"/>
      <c r="E2" s="126"/>
      <c r="F2" s="102"/>
      <c r="G2" s="47" t="s">
        <v>270</v>
      </c>
      <c r="H2" s="539" t="s">
        <v>270</v>
      </c>
      <c r="I2" s="58" t="s">
        <v>270</v>
      </c>
      <c r="J2" s="58" t="s">
        <v>270</v>
      </c>
      <c r="K2" s="58" t="s">
        <v>270</v>
      </c>
      <c r="L2" s="58" t="s">
        <v>270</v>
      </c>
      <c r="M2" s="58" t="s">
        <v>270</v>
      </c>
      <c r="N2" s="58" t="s">
        <v>270</v>
      </c>
      <c r="O2" s="58" t="s">
        <v>270</v>
      </c>
      <c r="P2" s="58" t="s">
        <v>270</v>
      </c>
      <c r="Q2" s="68" t="s">
        <v>283</v>
      </c>
      <c r="R2" s="71"/>
      <c r="S2" s="78"/>
      <c r="T2" s="78"/>
      <c r="U2" s="78"/>
      <c r="V2" s="78"/>
      <c r="W2" s="78"/>
      <c r="X2" s="78"/>
      <c r="Y2" s="78"/>
      <c r="Z2" s="78"/>
      <c r="AA2" s="78"/>
      <c r="AB2" s="78"/>
      <c r="AC2" s="83">
        <v>0.75</v>
      </c>
      <c r="AD2" s="84">
        <v>6</v>
      </c>
      <c r="AF2" s="85"/>
      <c r="AG2" s="111"/>
      <c r="AH2" s="597" t="s">
        <v>292</v>
      </c>
      <c r="AI2" s="598"/>
      <c r="AJ2" s="598"/>
      <c r="AK2" s="598"/>
      <c r="AL2" s="599"/>
      <c r="AM2" s="86" t="s">
        <v>293</v>
      </c>
      <c r="AN2" s="86" t="s">
        <v>293</v>
      </c>
      <c r="AO2" s="86" t="s">
        <v>293</v>
      </c>
      <c r="AP2" s="86" t="s">
        <v>293</v>
      </c>
      <c r="AQ2" s="87" t="s">
        <v>293</v>
      </c>
    </row>
    <row r="3" spans="1:43" ht="19.5" customHeight="1">
      <c r="A3" s="103"/>
      <c r="B3" s="104"/>
      <c r="C3" s="284"/>
      <c r="D3" s="104"/>
      <c r="E3" s="127"/>
      <c r="F3" s="105"/>
      <c r="G3" s="48">
        <v>2</v>
      </c>
      <c r="H3" s="540">
        <v>1</v>
      </c>
      <c r="I3" s="59">
        <v>9</v>
      </c>
      <c r="J3" s="59">
        <v>6</v>
      </c>
      <c r="K3" s="59">
        <v>8</v>
      </c>
      <c r="L3" s="59">
        <v>10</v>
      </c>
      <c r="M3" s="59">
        <v>5</v>
      </c>
      <c r="N3" s="59">
        <v>7</v>
      </c>
      <c r="O3" s="59">
        <v>6</v>
      </c>
      <c r="P3" s="59">
        <v>6</v>
      </c>
      <c r="Q3" s="69">
        <f>SUM(I3:P3)</f>
        <v>57</v>
      </c>
      <c r="R3" s="72"/>
      <c r="S3" s="78"/>
      <c r="T3" s="78"/>
      <c r="U3" s="78"/>
      <c r="V3" s="78"/>
      <c r="W3" s="78"/>
      <c r="X3" s="78"/>
      <c r="Y3" s="78"/>
      <c r="Z3" s="78"/>
      <c r="AA3" s="78"/>
      <c r="AB3" s="78"/>
      <c r="AC3" s="82"/>
      <c r="AD3" s="81"/>
      <c r="AF3" s="88"/>
      <c r="AG3" s="112"/>
      <c r="AH3" s="600" t="s">
        <v>741</v>
      </c>
      <c r="AI3" s="601"/>
      <c r="AJ3" s="601"/>
      <c r="AK3" s="602"/>
      <c r="AL3" s="416">
        <v>3.5000000000000003E-2</v>
      </c>
      <c r="AM3" s="89">
        <f>SUM(AM5:AM329)</f>
        <v>46641575</v>
      </c>
      <c r="AN3" s="90">
        <f>SUM(AN5:AN329)</f>
        <v>40233912.462499999</v>
      </c>
      <c r="AO3" s="90">
        <f>SUM(AO5:AO329)</f>
        <v>55880080.945537485</v>
      </c>
      <c r="AP3" s="90">
        <f>SUM(AP5:AP329)</f>
        <v>41272841.13066674</v>
      </c>
      <c r="AQ3" s="91">
        <f>SUM(AQ5:AQ329)</f>
        <v>37477693.829747289</v>
      </c>
    </row>
    <row r="4" spans="1:43" ht="39" customHeight="1">
      <c r="A4" s="356" t="s">
        <v>0</v>
      </c>
      <c r="B4" s="117" t="s">
        <v>1</v>
      </c>
      <c r="C4" s="117" t="s">
        <v>2</v>
      </c>
      <c r="D4" s="117" t="s">
        <v>3</v>
      </c>
      <c r="E4" s="117" t="s">
        <v>4</v>
      </c>
      <c r="F4" s="117" t="str">
        <f ca="1">"Est Cost in FY"&amp;YEAR(TODAY())+2</f>
        <v>Est Cost in FY2014</v>
      </c>
      <c r="G4" s="49" t="s">
        <v>272</v>
      </c>
      <c r="H4" s="55" t="s">
        <v>273</v>
      </c>
      <c r="I4" s="60" t="s">
        <v>275</v>
      </c>
      <c r="J4" s="60" t="s">
        <v>282</v>
      </c>
      <c r="K4" s="60" t="s">
        <v>339</v>
      </c>
      <c r="L4" s="60" t="s">
        <v>821</v>
      </c>
      <c r="M4" s="60" t="s">
        <v>279</v>
      </c>
      <c r="N4" s="60" t="s">
        <v>280</v>
      </c>
      <c r="O4" s="60" t="s">
        <v>297</v>
      </c>
      <c r="P4" s="61" t="s">
        <v>281</v>
      </c>
      <c r="Q4" s="79" t="s">
        <v>284</v>
      </c>
      <c r="R4" s="79" t="s">
        <v>285</v>
      </c>
      <c r="S4" s="79" t="s">
        <v>275</v>
      </c>
      <c r="T4" s="79" t="s">
        <v>276</v>
      </c>
      <c r="U4" s="79" t="s">
        <v>277</v>
      </c>
      <c r="V4" s="79" t="s">
        <v>278</v>
      </c>
      <c r="W4" s="79" t="s">
        <v>279</v>
      </c>
      <c r="X4" s="79" t="s">
        <v>280</v>
      </c>
      <c r="Y4" s="79" t="s">
        <v>297</v>
      </c>
      <c r="Z4" s="80" t="s">
        <v>281</v>
      </c>
      <c r="AA4" s="80" t="s">
        <v>286</v>
      </c>
      <c r="AB4" s="80" t="s">
        <v>287</v>
      </c>
      <c r="AC4" s="49" t="s">
        <v>289</v>
      </c>
      <c r="AD4" s="357" t="s">
        <v>290</v>
      </c>
      <c r="AE4" s="508" t="s">
        <v>291</v>
      </c>
      <c r="AF4" s="333" t="s">
        <v>245</v>
      </c>
      <c r="AG4" s="354" t="s">
        <v>317</v>
      </c>
      <c r="AH4" s="107" t="str">
        <f ca="1">"FY "&amp;YEAR(TODAY())+2</f>
        <v>FY 2014</v>
      </c>
      <c r="AI4" s="92" t="str">
        <f ca="1">"FY"&amp;YEAR(TODAY())+3</f>
        <v>FY2015</v>
      </c>
      <c r="AJ4" s="92" t="str">
        <f ca="1">"FY"&amp;YEAR(TODAY())+4</f>
        <v>FY2016</v>
      </c>
      <c r="AK4" s="92" t="str">
        <f ca="1">"FY"&amp;YEAR(TODAY())+5</f>
        <v>FY2017</v>
      </c>
      <c r="AL4" s="93" t="str">
        <f ca="1">"FY"&amp;YEAR(TODAY())+6</f>
        <v>FY2018</v>
      </c>
      <c r="AM4" s="334" t="str">
        <f ca="1">AH4</f>
        <v>FY 2014</v>
      </c>
      <c r="AN4" s="335" t="str">
        <f ca="1">AI4</f>
        <v>FY2015</v>
      </c>
      <c r="AO4" s="335" t="str">
        <f ca="1">AJ4</f>
        <v>FY2016</v>
      </c>
      <c r="AP4" s="335" t="str">
        <f ca="1">AK4</f>
        <v>FY2017</v>
      </c>
      <c r="AQ4" s="336" t="str">
        <f ca="1">AL4</f>
        <v>FY2018</v>
      </c>
    </row>
    <row r="5" spans="1:43" ht="36" customHeight="1">
      <c r="A5" s="355">
        <v>1</v>
      </c>
      <c r="B5" s="1" t="s">
        <v>5</v>
      </c>
      <c r="C5" s="285" t="s">
        <v>6</v>
      </c>
      <c r="D5" s="343" t="s">
        <v>301</v>
      </c>
      <c r="E5" s="3" t="s">
        <v>1210</v>
      </c>
      <c r="F5" s="472">
        <v>35000000</v>
      </c>
      <c r="G5" s="50">
        <v>2</v>
      </c>
      <c r="H5" s="56">
        <v>0</v>
      </c>
      <c r="I5" s="62">
        <v>10</v>
      </c>
      <c r="J5" s="63">
        <v>10</v>
      </c>
      <c r="K5" s="63">
        <v>4.0000000000000027</v>
      </c>
      <c r="L5" s="63">
        <v>6.0000000000000036</v>
      </c>
      <c r="M5" s="63">
        <v>4.0000000000000027</v>
      </c>
      <c r="N5" s="63">
        <v>9</v>
      </c>
      <c r="O5" s="63">
        <v>5</v>
      </c>
      <c r="P5" s="64">
        <v>9.9999999999999982</v>
      </c>
      <c r="Q5" s="70" t="e">
        <f ca="1">(#REF!-(YEAR(TODAY())-#REF!))/#REF!</f>
        <v>#REF!</v>
      </c>
      <c r="R5" s="73">
        <f t="shared" ref="R5:R68" ca="1" si="0">IFERROR(Q5,H5)</f>
        <v>0</v>
      </c>
      <c r="S5" s="74">
        <f t="shared" ref="S5:S68" si="1">I5*Weight1/(WSum)</f>
        <v>1.5789473684210527</v>
      </c>
      <c r="T5" s="74">
        <f t="shared" ref="T5:T68" si="2">J5*Weight2/(WSum)</f>
        <v>1.0526315789473684</v>
      </c>
      <c r="U5" s="74">
        <f t="shared" ref="U5:U68" si="3">K5*Weight3/(WSum)</f>
        <v>0.56140350877193024</v>
      </c>
      <c r="V5" s="74">
        <f t="shared" ref="V5:V68" si="4">L5*Weight4/(WSum)</f>
        <v>1.052631578947369</v>
      </c>
      <c r="W5" s="74">
        <f t="shared" ref="W5:W68" si="5">M5*Weight5/(WSum)</f>
        <v>0.3508771929824564</v>
      </c>
      <c r="X5" s="74">
        <f t="shared" ref="X5:X68" si="6">N5*Weight6/(WSum)</f>
        <v>1.1052631578947369</v>
      </c>
      <c r="Y5" s="74">
        <f t="shared" ref="Y5:Y68" si="7">O5*Weight7/(WSum)</f>
        <v>0.52631578947368418</v>
      </c>
      <c r="Z5" s="75">
        <f t="shared" ref="Z5:Z68" si="8">P5*Weight8/(WSum)</f>
        <v>1.0526315789473681</v>
      </c>
      <c r="AA5" s="76">
        <f t="shared" ref="AA5:AA68" si="9">-1/10*G5+1</f>
        <v>0.8</v>
      </c>
      <c r="AB5" s="76">
        <f t="shared" ref="AB5:AB68" ca="1" si="10">IF(R5&lt;0,0,-R5+1)</f>
        <v>1</v>
      </c>
      <c r="AC5" s="77">
        <f t="shared" ref="AC5:AC68" ca="1" si="11">(AA5*CondWeight+AB5*PLifeWeight)/(CondWeight+PLifeWeight)</f>
        <v>0.8666666666666667</v>
      </c>
      <c r="AD5" s="358">
        <f t="shared" ref="AD5:AD68" si="12">SUM(S5:Z5)</f>
        <v>7.2807017543859667</v>
      </c>
      <c r="AE5" s="368">
        <f t="shared" ref="AE5:AE68" ca="1" si="13">AD5*AC5*10</f>
        <v>63.09941520467838</v>
      </c>
      <c r="AF5" s="94" t="s">
        <v>294</v>
      </c>
      <c r="AG5" s="113">
        <v>750000</v>
      </c>
      <c r="AH5" s="110">
        <v>5000000</v>
      </c>
      <c r="AI5" s="108">
        <v>16908212.5</v>
      </c>
      <c r="AJ5" s="108">
        <v>11668884</v>
      </c>
      <c r="AK5" s="108"/>
      <c r="AL5" s="389"/>
      <c r="AM5" s="457">
        <f t="shared" ref="AM5:AM36" si="14">AH5</f>
        <v>5000000</v>
      </c>
      <c r="AN5" s="338">
        <f>AI5*(1+Efactor)</f>
        <v>17499999.9375</v>
      </c>
      <c r="AO5" s="338">
        <f t="shared" ref="AO5:AO29" si="15">AJ5*(1+Efactor)^2</f>
        <v>12500000.262899999</v>
      </c>
      <c r="AP5" s="338"/>
      <c r="AQ5" s="339"/>
    </row>
    <row r="6" spans="1:43" ht="36" customHeight="1">
      <c r="A6" s="355">
        <v>2</v>
      </c>
      <c r="B6" s="1" t="s">
        <v>5</v>
      </c>
      <c r="C6" s="285" t="s">
        <v>6</v>
      </c>
      <c r="D6" s="2" t="s">
        <v>833</v>
      </c>
      <c r="E6" s="3" t="s">
        <v>1036</v>
      </c>
      <c r="F6" s="472">
        <v>12700000</v>
      </c>
      <c r="G6" s="292">
        <v>3</v>
      </c>
      <c r="H6" s="293">
        <v>0.1</v>
      </c>
      <c r="I6" s="65">
        <v>6</v>
      </c>
      <c r="J6" s="66">
        <v>10</v>
      </c>
      <c r="K6" s="66">
        <v>8</v>
      </c>
      <c r="L6" s="66">
        <v>4</v>
      </c>
      <c r="M6" s="66">
        <v>8</v>
      </c>
      <c r="N6" s="66">
        <v>8</v>
      </c>
      <c r="O6" s="66">
        <v>6</v>
      </c>
      <c r="P6" s="67">
        <v>9.9999999999999982</v>
      </c>
      <c r="Q6" s="70" t="e">
        <f ca="1">(#REF!-(YEAR(TODAY())-#REF!))/#REF!</f>
        <v>#REF!</v>
      </c>
      <c r="R6" s="73">
        <f t="shared" ca="1" si="0"/>
        <v>0.1</v>
      </c>
      <c r="S6" s="74">
        <f t="shared" si="1"/>
        <v>0.94736842105263153</v>
      </c>
      <c r="T6" s="74">
        <f t="shared" si="2"/>
        <v>1.0526315789473684</v>
      </c>
      <c r="U6" s="74">
        <f t="shared" si="3"/>
        <v>1.1228070175438596</v>
      </c>
      <c r="V6" s="74">
        <f t="shared" si="4"/>
        <v>0.70175438596491224</v>
      </c>
      <c r="W6" s="74">
        <f t="shared" si="5"/>
        <v>0.70175438596491224</v>
      </c>
      <c r="X6" s="74">
        <f t="shared" si="6"/>
        <v>0.98245614035087714</v>
      </c>
      <c r="Y6" s="74">
        <f t="shared" si="7"/>
        <v>0.63157894736842102</v>
      </c>
      <c r="Z6" s="75">
        <f t="shared" si="8"/>
        <v>1.0526315789473681</v>
      </c>
      <c r="AA6" s="76">
        <f t="shared" si="9"/>
        <v>0.7</v>
      </c>
      <c r="AB6" s="76">
        <f t="shared" ca="1" si="10"/>
        <v>0.9</v>
      </c>
      <c r="AC6" s="77">
        <f t="shared" ca="1" si="11"/>
        <v>0.76666666666666661</v>
      </c>
      <c r="AD6" s="358">
        <f t="shared" si="12"/>
        <v>7.192982456140351</v>
      </c>
      <c r="AE6" s="368">
        <f t="shared" ca="1" si="13"/>
        <v>55.146198830409354</v>
      </c>
      <c r="AF6" s="94" t="s">
        <v>248</v>
      </c>
      <c r="AG6" s="113">
        <v>1000000</v>
      </c>
      <c r="AH6" s="325">
        <v>11700000</v>
      </c>
      <c r="AI6" s="108"/>
      <c r="AJ6" s="108"/>
      <c r="AK6" s="108"/>
      <c r="AL6" s="389"/>
      <c r="AM6" s="337">
        <f t="shared" si="14"/>
        <v>11700000</v>
      </c>
      <c r="AN6" s="338"/>
      <c r="AO6" s="338"/>
      <c r="AP6" s="338"/>
      <c r="AQ6" s="339"/>
    </row>
    <row r="7" spans="1:43" ht="36" customHeight="1">
      <c r="A7" s="355">
        <v>3</v>
      </c>
      <c r="B7" s="327" t="s">
        <v>10</v>
      </c>
      <c r="C7" s="328" t="s">
        <v>6</v>
      </c>
      <c r="D7" s="10" t="s">
        <v>839</v>
      </c>
      <c r="E7" s="11" t="s">
        <v>1037</v>
      </c>
      <c r="F7" s="473">
        <v>17500000</v>
      </c>
      <c r="G7" s="51">
        <v>3</v>
      </c>
      <c r="H7" s="329">
        <v>0.1</v>
      </c>
      <c r="I7" s="330">
        <v>8</v>
      </c>
      <c r="J7" s="331">
        <v>8</v>
      </c>
      <c r="K7" s="331">
        <v>5</v>
      </c>
      <c r="L7" s="331">
        <v>8</v>
      </c>
      <c r="M7" s="331">
        <v>7</v>
      </c>
      <c r="N7" s="331">
        <v>9</v>
      </c>
      <c r="O7" s="331">
        <v>3</v>
      </c>
      <c r="P7" s="332">
        <v>9</v>
      </c>
      <c r="Q7" s="70" t="e">
        <f ca="1">(#REF!-(YEAR(TODAY())-#REF!))/#REF!</f>
        <v>#REF!</v>
      </c>
      <c r="R7" s="70">
        <f t="shared" ca="1" si="0"/>
        <v>0.1</v>
      </c>
      <c r="S7" s="74">
        <f t="shared" si="1"/>
        <v>1.263157894736842</v>
      </c>
      <c r="T7" s="74">
        <f t="shared" si="2"/>
        <v>0.84210526315789469</v>
      </c>
      <c r="U7" s="74">
        <f t="shared" si="3"/>
        <v>0.70175438596491224</v>
      </c>
      <c r="V7" s="74">
        <f t="shared" si="4"/>
        <v>1.4035087719298245</v>
      </c>
      <c r="W7" s="74">
        <f t="shared" si="5"/>
        <v>0.61403508771929827</v>
      </c>
      <c r="X7" s="74">
        <f t="shared" si="6"/>
        <v>1.1052631578947369</v>
      </c>
      <c r="Y7" s="74">
        <f t="shared" si="7"/>
        <v>0.31578947368421051</v>
      </c>
      <c r="Z7" s="75">
        <f t="shared" si="8"/>
        <v>0.94736842105263153</v>
      </c>
      <c r="AA7" s="76">
        <f t="shared" si="9"/>
        <v>0.7</v>
      </c>
      <c r="AB7" s="76">
        <f t="shared" ca="1" si="10"/>
        <v>0.9</v>
      </c>
      <c r="AC7" s="77">
        <f t="shared" ca="1" si="11"/>
        <v>0.76666666666666661</v>
      </c>
      <c r="AD7" s="359">
        <f t="shared" si="12"/>
        <v>7.192982456140351</v>
      </c>
      <c r="AE7" s="369">
        <f t="shared" ca="1" si="13"/>
        <v>55.146198830409354</v>
      </c>
      <c r="AF7" s="96" t="s">
        <v>248</v>
      </c>
      <c r="AG7" s="114"/>
      <c r="AH7" s="110">
        <v>4000000</v>
      </c>
      <c r="AI7" s="115">
        <v>2898551</v>
      </c>
      <c r="AJ7" s="115">
        <v>7934841</v>
      </c>
      <c r="AK7" s="108"/>
      <c r="AL7" s="389"/>
      <c r="AM7" s="337">
        <f t="shared" si="14"/>
        <v>4000000</v>
      </c>
      <c r="AN7" s="338">
        <v>5000000</v>
      </c>
      <c r="AO7" s="338">
        <f t="shared" si="15"/>
        <v>8500000.050224999</v>
      </c>
      <c r="AP7" s="338"/>
      <c r="AQ7" s="339"/>
    </row>
    <row r="8" spans="1:43" ht="36" customHeight="1">
      <c r="A8" s="355">
        <v>4</v>
      </c>
      <c r="B8" s="1" t="s">
        <v>13</v>
      </c>
      <c r="C8" s="285" t="s">
        <v>15</v>
      </c>
      <c r="D8" s="362" t="s">
        <v>964</v>
      </c>
      <c r="E8" s="361" t="s">
        <v>969</v>
      </c>
      <c r="F8" s="474">
        <v>5643625</v>
      </c>
      <c r="G8" s="295">
        <v>3</v>
      </c>
      <c r="H8" s="293">
        <v>0.2</v>
      </c>
      <c r="I8" s="65">
        <v>8.0000000000000053</v>
      </c>
      <c r="J8" s="66">
        <v>8.0000000000000053</v>
      </c>
      <c r="K8" s="66">
        <v>8.0000000000000053</v>
      </c>
      <c r="L8" s="66">
        <v>8.0000000000000053</v>
      </c>
      <c r="M8" s="66">
        <v>6.0000000000000036</v>
      </c>
      <c r="N8" s="66">
        <v>8.0000000000000053</v>
      </c>
      <c r="O8" s="66">
        <v>0</v>
      </c>
      <c r="P8" s="67">
        <v>9</v>
      </c>
      <c r="Q8" s="294" t="e">
        <f ca="1">(#REF!-(YEAR(TODAY())-#REF!))/#REF!</f>
        <v>#REF!</v>
      </c>
      <c r="R8" s="294">
        <f t="shared" ca="1" si="0"/>
        <v>0.2</v>
      </c>
      <c r="S8" s="74">
        <f t="shared" si="1"/>
        <v>1.2631578947368429</v>
      </c>
      <c r="T8" s="74">
        <f t="shared" si="2"/>
        <v>0.84210526315789525</v>
      </c>
      <c r="U8" s="74">
        <f t="shared" si="3"/>
        <v>1.1228070175438605</v>
      </c>
      <c r="V8" s="74">
        <f t="shared" si="4"/>
        <v>1.4035087719298256</v>
      </c>
      <c r="W8" s="74">
        <f t="shared" si="5"/>
        <v>0.52631578947368451</v>
      </c>
      <c r="X8" s="74">
        <f t="shared" si="6"/>
        <v>0.9824561403508778</v>
      </c>
      <c r="Y8" s="74">
        <f t="shared" si="7"/>
        <v>0</v>
      </c>
      <c r="Z8" s="75">
        <f t="shared" si="8"/>
        <v>0.94736842105263153</v>
      </c>
      <c r="AA8" s="76">
        <f t="shared" si="9"/>
        <v>0.7</v>
      </c>
      <c r="AB8" s="76">
        <f t="shared" ca="1" si="10"/>
        <v>0.8</v>
      </c>
      <c r="AC8" s="77">
        <f t="shared" ca="1" si="11"/>
        <v>0.73333333333333339</v>
      </c>
      <c r="AD8" s="358">
        <f t="shared" si="12"/>
        <v>7.0877192982456174</v>
      </c>
      <c r="AE8" s="368">
        <f t="shared" ca="1" si="13"/>
        <v>51.976608187134531</v>
      </c>
      <c r="AF8" s="288" t="s">
        <v>261</v>
      </c>
      <c r="AG8" s="114">
        <v>902000</v>
      </c>
      <c r="AH8" s="121">
        <v>4741625</v>
      </c>
      <c r="AI8" s="115"/>
      <c r="AJ8" s="115"/>
      <c r="AK8" s="115"/>
      <c r="AL8" s="122"/>
      <c r="AM8" s="337">
        <f t="shared" si="14"/>
        <v>4741625</v>
      </c>
      <c r="AN8" s="338"/>
      <c r="AO8" s="338"/>
      <c r="AP8" s="338"/>
      <c r="AQ8" s="339"/>
    </row>
    <row r="9" spans="1:43" ht="36" customHeight="1">
      <c r="A9" s="355">
        <v>5</v>
      </c>
      <c r="B9" s="1" t="s">
        <v>11</v>
      </c>
      <c r="C9" s="285" t="s">
        <v>12</v>
      </c>
      <c r="D9" s="362" t="s">
        <v>852</v>
      </c>
      <c r="E9" s="361" t="s">
        <v>982</v>
      </c>
      <c r="F9" s="474">
        <v>3851000</v>
      </c>
      <c r="G9" s="295">
        <v>1</v>
      </c>
      <c r="H9" s="293">
        <v>0.4</v>
      </c>
      <c r="I9" s="65">
        <v>6.0000000000000036</v>
      </c>
      <c r="J9" s="66">
        <v>6.0000000000000036</v>
      </c>
      <c r="K9" s="66">
        <v>8.0000000000000053</v>
      </c>
      <c r="L9" s="66">
        <v>8.0000000000000053</v>
      </c>
      <c r="M9" s="66">
        <v>8.0000000000000053</v>
      </c>
      <c r="N9" s="66">
        <v>6.0000000000000036</v>
      </c>
      <c r="O9" s="66">
        <v>0</v>
      </c>
      <c r="P9" s="67">
        <v>8</v>
      </c>
      <c r="Q9" s="294" t="e">
        <f ca="1">(#REF!-(YEAR(TODAY())-#REF!))/#REF!</f>
        <v>#REF!</v>
      </c>
      <c r="R9" s="294">
        <f t="shared" ca="1" si="0"/>
        <v>0.4</v>
      </c>
      <c r="S9" s="74">
        <f t="shared" si="1"/>
        <v>0.94736842105263208</v>
      </c>
      <c r="T9" s="74">
        <f t="shared" si="2"/>
        <v>0.63157894736842146</v>
      </c>
      <c r="U9" s="74">
        <f t="shared" si="3"/>
        <v>1.1228070175438605</v>
      </c>
      <c r="V9" s="74">
        <f t="shared" si="4"/>
        <v>1.4035087719298256</v>
      </c>
      <c r="W9" s="74">
        <f t="shared" si="5"/>
        <v>0.7017543859649128</v>
      </c>
      <c r="X9" s="74">
        <f t="shared" si="6"/>
        <v>0.73684210526315841</v>
      </c>
      <c r="Y9" s="74">
        <f t="shared" si="7"/>
        <v>0</v>
      </c>
      <c r="Z9" s="75">
        <f t="shared" si="8"/>
        <v>0.84210526315789469</v>
      </c>
      <c r="AA9" s="76">
        <f t="shared" si="9"/>
        <v>0.9</v>
      </c>
      <c r="AB9" s="76">
        <f t="shared" ca="1" si="10"/>
        <v>0.6</v>
      </c>
      <c r="AC9" s="77">
        <f t="shared" ca="1" si="11"/>
        <v>0.79999999999999993</v>
      </c>
      <c r="AD9" s="358">
        <f t="shared" si="12"/>
        <v>6.3859649122807056</v>
      </c>
      <c r="AE9" s="368">
        <f t="shared" ca="1" si="13"/>
        <v>51.087719298245638</v>
      </c>
      <c r="AF9" s="288" t="s">
        <v>261</v>
      </c>
      <c r="AG9" s="114"/>
      <c r="AH9" s="118">
        <v>3851000</v>
      </c>
      <c r="AI9" s="115"/>
      <c r="AJ9" s="115"/>
      <c r="AK9" s="115"/>
      <c r="AL9" s="122"/>
      <c r="AM9" s="337">
        <f t="shared" si="14"/>
        <v>3851000</v>
      </c>
      <c r="AN9" s="338"/>
      <c r="AO9" s="338"/>
      <c r="AP9" s="338"/>
      <c r="AQ9" s="339"/>
    </row>
    <row r="10" spans="1:43" ht="36" customHeight="1">
      <c r="A10" s="355">
        <v>6</v>
      </c>
      <c r="B10" s="1" t="s">
        <v>5</v>
      </c>
      <c r="C10" s="285" t="s">
        <v>6</v>
      </c>
      <c r="D10" s="2" t="s">
        <v>875</v>
      </c>
      <c r="E10" s="3" t="s">
        <v>1005</v>
      </c>
      <c r="F10" s="472">
        <v>250000</v>
      </c>
      <c r="G10" s="292">
        <v>1</v>
      </c>
      <c r="H10" s="293">
        <v>0</v>
      </c>
      <c r="I10" s="65">
        <v>5</v>
      </c>
      <c r="J10" s="66">
        <v>6</v>
      </c>
      <c r="K10" s="66">
        <v>5</v>
      </c>
      <c r="L10" s="66">
        <v>10</v>
      </c>
      <c r="M10" s="66">
        <v>4</v>
      </c>
      <c r="N10" s="66">
        <v>2</v>
      </c>
      <c r="O10" s="66">
        <v>1</v>
      </c>
      <c r="P10" s="67">
        <v>8</v>
      </c>
      <c r="Q10" s="294" t="e">
        <f ca="1">(#REF!-(YEAR(TODAY())-#REF!))/#REF!</f>
        <v>#REF!</v>
      </c>
      <c r="R10" s="294">
        <f t="shared" ca="1" si="0"/>
        <v>0</v>
      </c>
      <c r="S10" s="74">
        <f t="shared" si="1"/>
        <v>0.78947368421052633</v>
      </c>
      <c r="T10" s="74">
        <f t="shared" si="2"/>
        <v>0.63157894736842102</v>
      </c>
      <c r="U10" s="74">
        <f t="shared" si="3"/>
        <v>0.70175438596491224</v>
      </c>
      <c r="V10" s="74">
        <f t="shared" si="4"/>
        <v>1.7543859649122806</v>
      </c>
      <c r="W10" s="74">
        <f t="shared" si="5"/>
        <v>0.35087719298245612</v>
      </c>
      <c r="X10" s="74">
        <f t="shared" si="6"/>
        <v>0.24561403508771928</v>
      </c>
      <c r="Y10" s="74">
        <f t="shared" si="7"/>
        <v>0.10526315789473684</v>
      </c>
      <c r="Z10" s="75">
        <f t="shared" si="8"/>
        <v>0.84210526315789469</v>
      </c>
      <c r="AA10" s="76">
        <f t="shared" si="9"/>
        <v>0.9</v>
      </c>
      <c r="AB10" s="76">
        <f t="shared" ca="1" si="10"/>
        <v>1</v>
      </c>
      <c r="AC10" s="77">
        <f t="shared" ca="1" si="11"/>
        <v>0.93333333333333324</v>
      </c>
      <c r="AD10" s="358">
        <f t="shared" si="12"/>
        <v>5.4210526315789478</v>
      </c>
      <c r="AE10" s="368">
        <f t="shared" ca="1" si="13"/>
        <v>50.596491228070171</v>
      </c>
      <c r="AF10" s="94" t="s">
        <v>266</v>
      </c>
      <c r="AG10" s="113"/>
      <c r="AH10" s="110">
        <v>250000</v>
      </c>
      <c r="AI10" s="108"/>
      <c r="AJ10" s="108"/>
      <c r="AK10" s="108"/>
      <c r="AL10" s="389"/>
      <c r="AM10" s="337">
        <f t="shared" si="14"/>
        <v>250000</v>
      </c>
      <c r="AN10" s="338"/>
      <c r="AO10" s="338"/>
      <c r="AP10" s="338"/>
      <c r="AQ10" s="339"/>
    </row>
    <row r="11" spans="1:43" ht="35.25" customHeight="1">
      <c r="A11" s="355">
        <v>7</v>
      </c>
      <c r="B11" s="1" t="s">
        <v>5</v>
      </c>
      <c r="C11" s="285" t="s">
        <v>6</v>
      </c>
      <c r="D11" s="2" t="s">
        <v>305</v>
      </c>
      <c r="E11" s="290" t="s">
        <v>1038</v>
      </c>
      <c r="F11" s="474">
        <v>3000000</v>
      </c>
      <c r="G11" s="295">
        <v>2</v>
      </c>
      <c r="H11" s="293">
        <v>0</v>
      </c>
      <c r="I11" s="65">
        <v>6</v>
      </c>
      <c r="J11" s="66">
        <v>8</v>
      </c>
      <c r="K11" s="66">
        <v>6</v>
      </c>
      <c r="L11" s="66">
        <v>8</v>
      </c>
      <c r="M11" s="66">
        <v>0</v>
      </c>
      <c r="N11" s="66">
        <v>6</v>
      </c>
      <c r="O11" s="66">
        <v>0</v>
      </c>
      <c r="P11" s="67">
        <v>10</v>
      </c>
      <c r="Q11" s="294" t="e">
        <f ca="1">(#REF!-(YEAR(TODAY())-#REF!))/#REF!</f>
        <v>#REF!</v>
      </c>
      <c r="R11" s="294">
        <f t="shared" ca="1" si="0"/>
        <v>0</v>
      </c>
      <c r="S11" s="74">
        <f t="shared" si="1"/>
        <v>0.94736842105263153</v>
      </c>
      <c r="T11" s="74">
        <f t="shared" si="2"/>
        <v>0.84210526315789469</v>
      </c>
      <c r="U11" s="74">
        <f t="shared" si="3"/>
        <v>0.84210526315789469</v>
      </c>
      <c r="V11" s="74">
        <f t="shared" si="4"/>
        <v>1.4035087719298245</v>
      </c>
      <c r="W11" s="74">
        <f t="shared" si="5"/>
        <v>0</v>
      </c>
      <c r="X11" s="74">
        <f t="shared" si="6"/>
        <v>0.73684210526315785</v>
      </c>
      <c r="Y11" s="74">
        <f t="shared" si="7"/>
        <v>0</v>
      </c>
      <c r="Z11" s="75">
        <f t="shared" si="8"/>
        <v>1.0526315789473684</v>
      </c>
      <c r="AA11" s="76">
        <f t="shared" si="9"/>
        <v>0.8</v>
      </c>
      <c r="AB11" s="76">
        <f t="shared" ca="1" si="10"/>
        <v>1</v>
      </c>
      <c r="AC11" s="77">
        <f t="shared" ca="1" si="11"/>
        <v>0.8666666666666667</v>
      </c>
      <c r="AD11" s="358">
        <f t="shared" si="12"/>
        <v>5.8245614035087705</v>
      </c>
      <c r="AE11" s="368">
        <f t="shared" ca="1" si="13"/>
        <v>50.479532163742675</v>
      </c>
      <c r="AF11" s="94" t="s">
        <v>248</v>
      </c>
      <c r="AG11" s="440"/>
      <c r="AH11" s="118">
        <v>3000000</v>
      </c>
      <c r="AI11" s="115"/>
      <c r="AJ11" s="115"/>
      <c r="AK11" s="115"/>
      <c r="AL11" s="122"/>
      <c r="AM11" s="337">
        <f t="shared" si="14"/>
        <v>3000000</v>
      </c>
      <c r="AN11" s="338"/>
      <c r="AO11" s="338"/>
      <c r="AP11" s="338"/>
      <c r="AQ11" s="339"/>
    </row>
    <row r="12" spans="1:43" ht="35.25" customHeight="1">
      <c r="A12" s="355">
        <v>8</v>
      </c>
      <c r="B12" s="1" t="s">
        <v>7</v>
      </c>
      <c r="C12" s="285" t="s">
        <v>6</v>
      </c>
      <c r="D12" s="2" t="s">
        <v>844</v>
      </c>
      <c r="E12" s="3" t="s">
        <v>908</v>
      </c>
      <c r="F12" s="472">
        <v>125000</v>
      </c>
      <c r="G12" s="292">
        <v>1</v>
      </c>
      <c r="H12" s="293">
        <v>0</v>
      </c>
      <c r="I12" s="65">
        <v>5</v>
      </c>
      <c r="J12" s="66">
        <v>4</v>
      </c>
      <c r="K12" s="66">
        <v>5</v>
      </c>
      <c r="L12" s="66">
        <v>10</v>
      </c>
      <c r="M12" s="66">
        <v>5</v>
      </c>
      <c r="N12" s="66">
        <v>2</v>
      </c>
      <c r="O12" s="66">
        <v>2</v>
      </c>
      <c r="P12" s="67">
        <v>8</v>
      </c>
      <c r="Q12" s="294" t="e">
        <f ca="1">(#REF!-(YEAR(TODAY())-#REF!))/#REF!</f>
        <v>#REF!</v>
      </c>
      <c r="R12" s="294">
        <f t="shared" ca="1" si="0"/>
        <v>0</v>
      </c>
      <c r="S12" s="74">
        <f t="shared" si="1"/>
        <v>0.78947368421052633</v>
      </c>
      <c r="T12" s="74">
        <f t="shared" si="2"/>
        <v>0.42105263157894735</v>
      </c>
      <c r="U12" s="74">
        <f t="shared" si="3"/>
        <v>0.70175438596491224</v>
      </c>
      <c r="V12" s="74">
        <f t="shared" si="4"/>
        <v>1.7543859649122806</v>
      </c>
      <c r="W12" s="74">
        <f t="shared" si="5"/>
        <v>0.43859649122807015</v>
      </c>
      <c r="X12" s="74">
        <f t="shared" si="6"/>
        <v>0.24561403508771928</v>
      </c>
      <c r="Y12" s="74">
        <f t="shared" si="7"/>
        <v>0.21052631578947367</v>
      </c>
      <c r="Z12" s="75">
        <f t="shared" si="8"/>
        <v>0.84210526315789469</v>
      </c>
      <c r="AA12" s="76">
        <f t="shared" si="9"/>
        <v>0.9</v>
      </c>
      <c r="AB12" s="76">
        <f t="shared" ca="1" si="10"/>
        <v>1</v>
      </c>
      <c r="AC12" s="77">
        <f t="shared" ca="1" si="11"/>
        <v>0.93333333333333324</v>
      </c>
      <c r="AD12" s="358">
        <f t="shared" si="12"/>
        <v>5.4035087719298236</v>
      </c>
      <c r="AE12" s="368">
        <f t="shared" ca="1" si="13"/>
        <v>50.43274853801168</v>
      </c>
      <c r="AF12" s="94" t="s">
        <v>266</v>
      </c>
      <c r="AG12" s="441"/>
      <c r="AH12" s="110">
        <v>125000</v>
      </c>
      <c r="AI12" s="108"/>
      <c r="AJ12" s="108"/>
      <c r="AK12" s="108"/>
      <c r="AL12" s="389"/>
      <c r="AM12" s="337">
        <f t="shared" si="14"/>
        <v>125000</v>
      </c>
      <c r="AN12" s="338"/>
      <c r="AO12" s="338"/>
      <c r="AP12" s="338"/>
      <c r="AQ12" s="339"/>
    </row>
    <row r="13" spans="1:43" ht="35.25" customHeight="1">
      <c r="A13" s="355">
        <v>9</v>
      </c>
      <c r="B13" s="327" t="s">
        <v>10</v>
      </c>
      <c r="C13" s="328" t="s">
        <v>6</v>
      </c>
      <c r="D13" s="363" t="s">
        <v>871</v>
      </c>
      <c r="E13" s="364" t="s">
        <v>1039</v>
      </c>
      <c r="F13" s="475">
        <v>4252000</v>
      </c>
      <c r="G13" s="292">
        <v>3</v>
      </c>
      <c r="H13" s="387">
        <v>0.2</v>
      </c>
      <c r="I13" s="330">
        <v>8.0000000000000053</v>
      </c>
      <c r="J13" s="331">
        <v>8</v>
      </c>
      <c r="K13" s="331">
        <v>5.0000000000000027</v>
      </c>
      <c r="L13" s="331">
        <v>8</v>
      </c>
      <c r="M13" s="331">
        <v>6.0000000000000036</v>
      </c>
      <c r="N13" s="66">
        <v>7</v>
      </c>
      <c r="O13" s="66">
        <v>4</v>
      </c>
      <c r="P13" s="67">
        <v>8.0000000000000053</v>
      </c>
      <c r="Q13" s="294" t="e">
        <f ca="1">(#REF!-(YEAR(TODAY())-#REF!))/#REF!</f>
        <v>#REF!</v>
      </c>
      <c r="R13" s="294">
        <f t="shared" ca="1" si="0"/>
        <v>0.2</v>
      </c>
      <c r="S13" s="74">
        <f t="shared" si="1"/>
        <v>1.2631578947368429</v>
      </c>
      <c r="T13" s="74">
        <f t="shared" si="2"/>
        <v>0.84210526315789469</v>
      </c>
      <c r="U13" s="74">
        <f t="shared" si="3"/>
        <v>0.70175438596491269</v>
      </c>
      <c r="V13" s="74">
        <f t="shared" si="4"/>
        <v>1.4035087719298245</v>
      </c>
      <c r="W13" s="74">
        <f t="shared" si="5"/>
        <v>0.52631578947368451</v>
      </c>
      <c r="X13" s="74">
        <f t="shared" si="6"/>
        <v>0.85964912280701755</v>
      </c>
      <c r="Y13" s="74">
        <f t="shared" si="7"/>
        <v>0.42105263157894735</v>
      </c>
      <c r="Z13" s="75">
        <f t="shared" si="8"/>
        <v>0.84210526315789525</v>
      </c>
      <c r="AA13" s="76">
        <f t="shared" si="9"/>
        <v>0.7</v>
      </c>
      <c r="AB13" s="76">
        <f t="shared" ca="1" si="10"/>
        <v>0.8</v>
      </c>
      <c r="AC13" s="77">
        <f t="shared" ca="1" si="11"/>
        <v>0.73333333333333339</v>
      </c>
      <c r="AD13" s="358">
        <f t="shared" si="12"/>
        <v>6.8596491228070189</v>
      </c>
      <c r="AE13" s="368">
        <f t="shared" ca="1" si="13"/>
        <v>50.304093567251478</v>
      </c>
      <c r="AF13" s="288" t="s">
        <v>248</v>
      </c>
      <c r="AG13" s="442">
        <v>780000</v>
      </c>
      <c r="AH13" s="118">
        <v>3472000</v>
      </c>
      <c r="AI13" s="115"/>
      <c r="AJ13" s="115"/>
      <c r="AK13" s="115"/>
      <c r="AL13" s="122"/>
      <c r="AM13" s="337">
        <f t="shared" si="14"/>
        <v>3472000</v>
      </c>
      <c r="AN13" s="338"/>
      <c r="AO13" s="338"/>
      <c r="AP13" s="338"/>
      <c r="AQ13" s="339"/>
    </row>
    <row r="14" spans="1:43" ht="35.25" customHeight="1">
      <c r="A14" s="355">
        <v>10</v>
      </c>
      <c r="B14" s="1" t="s">
        <v>16</v>
      </c>
      <c r="C14" s="285" t="s">
        <v>6</v>
      </c>
      <c r="D14" s="289" t="s">
        <v>842</v>
      </c>
      <c r="E14" s="290" t="s">
        <v>909</v>
      </c>
      <c r="F14" s="474">
        <v>870000</v>
      </c>
      <c r="G14" s="295">
        <v>1</v>
      </c>
      <c r="H14" s="293">
        <v>0</v>
      </c>
      <c r="I14" s="65">
        <v>6</v>
      </c>
      <c r="J14" s="66">
        <v>4</v>
      </c>
      <c r="K14" s="66">
        <v>6</v>
      </c>
      <c r="L14" s="66">
        <v>7</v>
      </c>
      <c r="M14" s="66">
        <v>9.9999999999999982</v>
      </c>
      <c r="N14" s="66">
        <v>1</v>
      </c>
      <c r="O14" s="66">
        <v>2</v>
      </c>
      <c r="P14" s="67">
        <v>7</v>
      </c>
      <c r="Q14" s="294" t="e">
        <f ca="1">(#REF!-(YEAR(TODAY())-#REF!))/#REF!</f>
        <v>#REF!</v>
      </c>
      <c r="R14" s="294">
        <f t="shared" ca="1" si="0"/>
        <v>0</v>
      </c>
      <c r="S14" s="74">
        <f t="shared" si="1"/>
        <v>0.94736842105263153</v>
      </c>
      <c r="T14" s="74">
        <f t="shared" si="2"/>
        <v>0.42105263157894735</v>
      </c>
      <c r="U14" s="74">
        <f t="shared" si="3"/>
        <v>0.84210526315789469</v>
      </c>
      <c r="V14" s="74">
        <f t="shared" si="4"/>
        <v>1.2280701754385965</v>
      </c>
      <c r="W14" s="74">
        <f t="shared" si="5"/>
        <v>0.87719298245614019</v>
      </c>
      <c r="X14" s="74">
        <f t="shared" si="6"/>
        <v>0.12280701754385964</v>
      </c>
      <c r="Y14" s="74">
        <f t="shared" si="7"/>
        <v>0.21052631578947367</v>
      </c>
      <c r="Z14" s="75">
        <f t="shared" si="8"/>
        <v>0.73684210526315785</v>
      </c>
      <c r="AA14" s="76">
        <f t="shared" si="9"/>
        <v>0.9</v>
      </c>
      <c r="AB14" s="76">
        <f t="shared" ca="1" si="10"/>
        <v>1</v>
      </c>
      <c r="AC14" s="77">
        <f t="shared" ca="1" si="11"/>
        <v>0.93333333333333324</v>
      </c>
      <c r="AD14" s="358">
        <f t="shared" si="12"/>
        <v>5.3859649122807012</v>
      </c>
      <c r="AE14" s="368">
        <f t="shared" ca="1" si="13"/>
        <v>50.26900584795321</v>
      </c>
      <c r="AF14" s="288" t="s">
        <v>248</v>
      </c>
      <c r="AG14" s="442">
        <v>260000</v>
      </c>
      <c r="AH14" s="118">
        <v>610000</v>
      </c>
      <c r="AI14" s="115"/>
      <c r="AJ14" s="115"/>
      <c r="AK14" s="115"/>
      <c r="AL14" s="122"/>
      <c r="AM14" s="337">
        <f t="shared" si="14"/>
        <v>610000</v>
      </c>
      <c r="AN14" s="338"/>
      <c r="AO14" s="338"/>
      <c r="AP14" s="338"/>
      <c r="AQ14" s="339"/>
    </row>
    <row r="15" spans="1:43" ht="35.25" customHeight="1">
      <c r="A15" s="355">
        <v>11</v>
      </c>
      <c r="B15" s="1" t="s">
        <v>5</v>
      </c>
      <c r="C15" s="285" t="s">
        <v>6</v>
      </c>
      <c r="D15" s="2" t="s">
        <v>884</v>
      </c>
      <c r="E15" s="3" t="s">
        <v>910</v>
      </c>
      <c r="F15" s="472">
        <v>37500000</v>
      </c>
      <c r="G15" s="292">
        <v>2</v>
      </c>
      <c r="H15" s="293">
        <v>0.1</v>
      </c>
      <c r="I15" s="65">
        <v>7.0000000000000044</v>
      </c>
      <c r="J15" s="66">
        <v>8.0000000000000053</v>
      </c>
      <c r="K15" s="66">
        <v>4.0000000000000027</v>
      </c>
      <c r="L15" s="66">
        <v>6.0000000000000036</v>
      </c>
      <c r="M15" s="66">
        <v>1</v>
      </c>
      <c r="N15" s="66">
        <v>8</v>
      </c>
      <c r="O15" s="66">
        <v>5</v>
      </c>
      <c r="P15" s="67">
        <v>8.0000000000000053</v>
      </c>
      <c r="Q15" s="294" t="e">
        <f ca="1">(#REF!-(YEAR(TODAY())-#REF!))/#REF!</f>
        <v>#REF!</v>
      </c>
      <c r="R15" s="294">
        <f t="shared" ca="1" si="0"/>
        <v>0.1</v>
      </c>
      <c r="S15" s="74">
        <f t="shared" si="1"/>
        <v>1.1052631578947376</v>
      </c>
      <c r="T15" s="74">
        <f t="shared" si="2"/>
        <v>0.84210526315789525</v>
      </c>
      <c r="U15" s="74">
        <f t="shared" si="3"/>
        <v>0.56140350877193024</v>
      </c>
      <c r="V15" s="74">
        <f t="shared" si="4"/>
        <v>1.052631578947369</v>
      </c>
      <c r="W15" s="74">
        <f t="shared" si="5"/>
        <v>8.771929824561403E-2</v>
      </c>
      <c r="X15" s="74">
        <f t="shared" si="6"/>
        <v>0.98245614035087714</v>
      </c>
      <c r="Y15" s="74">
        <f t="shared" si="7"/>
        <v>0.52631578947368418</v>
      </c>
      <c r="Z15" s="75">
        <f t="shared" si="8"/>
        <v>0.84210526315789525</v>
      </c>
      <c r="AA15" s="76">
        <f t="shared" si="9"/>
        <v>0.8</v>
      </c>
      <c r="AB15" s="76">
        <f t="shared" ca="1" si="10"/>
        <v>0.9</v>
      </c>
      <c r="AC15" s="77">
        <f t="shared" ca="1" si="11"/>
        <v>0.83333333333333337</v>
      </c>
      <c r="AD15" s="358">
        <f t="shared" si="12"/>
        <v>6.0000000000000027</v>
      </c>
      <c r="AE15" s="368">
        <f t="shared" ca="1" si="13"/>
        <v>50.000000000000028</v>
      </c>
      <c r="AF15" s="94" t="s">
        <v>294</v>
      </c>
      <c r="AG15" s="441"/>
      <c r="AH15" s="118">
        <v>750000</v>
      </c>
      <c r="AI15" s="115"/>
      <c r="AJ15" s="115">
        <v>14002660.5</v>
      </c>
      <c r="AK15" s="115">
        <v>20293711</v>
      </c>
      <c r="AL15" s="122"/>
      <c r="AM15" s="337">
        <f t="shared" si="14"/>
        <v>750000</v>
      </c>
      <c r="AN15" s="338"/>
      <c r="AO15" s="338">
        <f t="shared" si="15"/>
        <v>14999999.994112499</v>
      </c>
      <c r="AP15" s="338">
        <f t="shared" ref="AP15:AP55" si="16">AK15*(1+Efactor)^3</f>
        <v>22500000.135784119</v>
      </c>
      <c r="AQ15" s="339"/>
    </row>
    <row r="16" spans="1:43" ht="36" customHeight="1">
      <c r="A16" s="355">
        <v>12</v>
      </c>
      <c r="B16" s="327" t="s">
        <v>10</v>
      </c>
      <c r="C16" s="328" t="s">
        <v>300</v>
      </c>
      <c r="D16" s="363" t="s">
        <v>26</v>
      </c>
      <c r="E16" s="364" t="s">
        <v>953</v>
      </c>
      <c r="F16" s="472">
        <v>600000</v>
      </c>
      <c r="G16" s="295">
        <v>3</v>
      </c>
      <c r="H16" s="293">
        <v>0.1</v>
      </c>
      <c r="I16" s="65">
        <v>7</v>
      </c>
      <c r="J16" s="66">
        <v>7</v>
      </c>
      <c r="K16" s="66">
        <v>3</v>
      </c>
      <c r="L16" s="66">
        <v>9.9999999999999982</v>
      </c>
      <c r="M16" s="66">
        <v>5</v>
      </c>
      <c r="N16" s="66">
        <v>8.0000000000000053</v>
      </c>
      <c r="O16" s="66">
        <v>0</v>
      </c>
      <c r="P16" s="67">
        <v>9.9999999999999982</v>
      </c>
      <c r="Q16" s="294" t="e">
        <f ca="1">(#REF!-(YEAR(TODAY())-#REF!))/#REF!</f>
        <v>#REF!</v>
      </c>
      <c r="R16" s="294">
        <f t="shared" ca="1" si="0"/>
        <v>0.1</v>
      </c>
      <c r="S16" s="74">
        <f t="shared" si="1"/>
        <v>1.1052631578947369</v>
      </c>
      <c r="T16" s="74">
        <f t="shared" si="2"/>
        <v>0.73684210526315785</v>
      </c>
      <c r="U16" s="74">
        <f t="shared" si="3"/>
        <v>0.42105263157894735</v>
      </c>
      <c r="V16" s="74">
        <f t="shared" si="4"/>
        <v>1.7543859649122804</v>
      </c>
      <c r="W16" s="74">
        <f t="shared" si="5"/>
        <v>0.43859649122807015</v>
      </c>
      <c r="X16" s="74">
        <f t="shared" si="6"/>
        <v>0.9824561403508778</v>
      </c>
      <c r="Y16" s="74">
        <f t="shared" si="7"/>
        <v>0</v>
      </c>
      <c r="Z16" s="75">
        <f t="shared" si="8"/>
        <v>1.0526315789473681</v>
      </c>
      <c r="AA16" s="76">
        <f t="shared" si="9"/>
        <v>0.7</v>
      </c>
      <c r="AB16" s="76">
        <f t="shared" ca="1" si="10"/>
        <v>0.9</v>
      </c>
      <c r="AC16" s="77">
        <f t="shared" ca="1" si="11"/>
        <v>0.76666666666666661</v>
      </c>
      <c r="AD16" s="358">
        <f t="shared" si="12"/>
        <v>6.4912280701754383</v>
      </c>
      <c r="AE16" s="368">
        <f t="shared" ca="1" si="13"/>
        <v>49.766081871345023</v>
      </c>
      <c r="AF16" s="288" t="s">
        <v>266</v>
      </c>
      <c r="AG16" s="114"/>
      <c r="AH16" s="118"/>
      <c r="AI16" s="115"/>
      <c r="AJ16" s="115"/>
      <c r="AK16" s="115"/>
      <c r="AL16" s="122"/>
      <c r="AM16" s="337"/>
      <c r="AN16" s="338"/>
      <c r="AO16" s="338"/>
      <c r="AP16" s="338"/>
      <c r="AQ16" s="339"/>
    </row>
    <row r="17" spans="1:43" ht="35.25" customHeight="1">
      <c r="A17" s="355">
        <v>13</v>
      </c>
      <c r="B17" s="1" t="s">
        <v>16</v>
      </c>
      <c r="C17" s="285" t="s">
        <v>299</v>
      </c>
      <c r="D17" s="390" t="s">
        <v>992</v>
      </c>
      <c r="E17" s="28" t="s">
        <v>1040</v>
      </c>
      <c r="F17" s="463">
        <v>2627240</v>
      </c>
      <c r="G17" s="295">
        <v>2</v>
      </c>
      <c r="H17" s="293">
        <v>0.1</v>
      </c>
      <c r="I17" s="65">
        <v>8</v>
      </c>
      <c r="J17" s="66">
        <v>8</v>
      </c>
      <c r="K17" s="66">
        <v>2</v>
      </c>
      <c r="L17" s="66">
        <v>6.0000000000000036</v>
      </c>
      <c r="M17" s="66">
        <v>4</v>
      </c>
      <c r="N17" s="66">
        <v>9</v>
      </c>
      <c r="O17" s="66">
        <v>0</v>
      </c>
      <c r="P17" s="67">
        <v>10</v>
      </c>
      <c r="Q17" s="294" t="e">
        <f ca="1">(#REF!-(YEAR(TODAY())-#REF!))/#REF!</f>
        <v>#REF!</v>
      </c>
      <c r="R17" s="294">
        <f t="shared" ca="1" si="0"/>
        <v>0.1</v>
      </c>
      <c r="S17" s="74">
        <f t="shared" si="1"/>
        <v>1.263157894736842</v>
      </c>
      <c r="T17" s="74">
        <f t="shared" si="2"/>
        <v>0.84210526315789469</v>
      </c>
      <c r="U17" s="74">
        <f t="shared" si="3"/>
        <v>0.2807017543859649</v>
      </c>
      <c r="V17" s="74">
        <f t="shared" si="4"/>
        <v>1.052631578947369</v>
      </c>
      <c r="W17" s="74">
        <f t="shared" si="5"/>
        <v>0.35087719298245612</v>
      </c>
      <c r="X17" s="74">
        <f t="shared" si="6"/>
        <v>1.1052631578947369</v>
      </c>
      <c r="Y17" s="74">
        <f t="shared" si="7"/>
        <v>0</v>
      </c>
      <c r="Z17" s="75">
        <f t="shared" si="8"/>
        <v>1.0526315789473684</v>
      </c>
      <c r="AA17" s="76">
        <f t="shared" si="9"/>
        <v>0.8</v>
      </c>
      <c r="AB17" s="76">
        <f t="shared" ca="1" si="10"/>
        <v>0.9</v>
      </c>
      <c r="AC17" s="77">
        <f t="shared" ca="1" si="11"/>
        <v>0.83333333333333337</v>
      </c>
      <c r="AD17" s="358">
        <f t="shared" si="12"/>
        <v>5.9473684210526319</v>
      </c>
      <c r="AE17" s="368">
        <f t="shared" ca="1" si="13"/>
        <v>49.561403508771932</v>
      </c>
      <c r="AF17" s="288" t="s">
        <v>848</v>
      </c>
      <c r="AG17" s="114"/>
      <c r="AH17" s="384">
        <v>2627240</v>
      </c>
      <c r="AI17" s="346"/>
      <c r="AJ17" s="346"/>
      <c r="AK17" s="346"/>
      <c r="AL17" s="391"/>
      <c r="AM17" s="337">
        <f t="shared" si="14"/>
        <v>2627240</v>
      </c>
      <c r="AN17" s="338"/>
      <c r="AO17" s="338"/>
      <c r="AP17" s="338"/>
      <c r="AQ17" s="339"/>
    </row>
    <row r="18" spans="1:43" ht="36" customHeight="1">
      <c r="A18" s="355">
        <v>14</v>
      </c>
      <c r="B18" s="1" t="s">
        <v>5</v>
      </c>
      <c r="C18" s="285" t="s">
        <v>6</v>
      </c>
      <c r="D18" s="2" t="s">
        <v>843</v>
      </c>
      <c r="E18" s="3" t="s">
        <v>911</v>
      </c>
      <c r="F18" s="472">
        <v>80000</v>
      </c>
      <c r="G18" s="292">
        <v>1</v>
      </c>
      <c r="H18" s="293">
        <v>0</v>
      </c>
      <c r="I18" s="65">
        <v>5</v>
      </c>
      <c r="J18" s="66">
        <v>8</v>
      </c>
      <c r="K18" s="66">
        <v>4.0000000000000027</v>
      </c>
      <c r="L18" s="66">
        <v>7</v>
      </c>
      <c r="M18" s="66">
        <v>6</v>
      </c>
      <c r="N18" s="66">
        <v>5</v>
      </c>
      <c r="O18" s="66">
        <v>1</v>
      </c>
      <c r="P18" s="67">
        <v>6.0000000000000036</v>
      </c>
      <c r="Q18" s="294" t="e">
        <f ca="1">(#REF!-(YEAR(TODAY())-#REF!))/#REF!</f>
        <v>#REF!</v>
      </c>
      <c r="R18" s="294">
        <f t="shared" ca="1" si="0"/>
        <v>0</v>
      </c>
      <c r="S18" s="74">
        <f t="shared" si="1"/>
        <v>0.78947368421052633</v>
      </c>
      <c r="T18" s="74">
        <f t="shared" si="2"/>
        <v>0.84210526315789469</v>
      </c>
      <c r="U18" s="74">
        <f t="shared" si="3"/>
        <v>0.56140350877193024</v>
      </c>
      <c r="V18" s="74">
        <f t="shared" si="4"/>
        <v>1.2280701754385965</v>
      </c>
      <c r="W18" s="74">
        <f t="shared" si="5"/>
        <v>0.52631578947368418</v>
      </c>
      <c r="X18" s="74">
        <f t="shared" si="6"/>
        <v>0.61403508771929827</v>
      </c>
      <c r="Y18" s="74">
        <f t="shared" si="7"/>
        <v>0.10526315789473684</v>
      </c>
      <c r="Z18" s="75">
        <f t="shared" si="8"/>
        <v>0.63157894736842146</v>
      </c>
      <c r="AA18" s="76">
        <f t="shared" si="9"/>
        <v>0.9</v>
      </c>
      <c r="AB18" s="76">
        <f t="shared" ca="1" si="10"/>
        <v>1</v>
      </c>
      <c r="AC18" s="77">
        <f t="shared" ca="1" si="11"/>
        <v>0.93333333333333324</v>
      </c>
      <c r="AD18" s="358">
        <f t="shared" si="12"/>
        <v>5.2982456140350882</v>
      </c>
      <c r="AE18" s="368">
        <f t="shared" ca="1" si="13"/>
        <v>49.450292397660817</v>
      </c>
      <c r="AF18" s="94" t="s">
        <v>248</v>
      </c>
      <c r="AG18" s="440"/>
      <c r="AH18" s="118">
        <v>80000</v>
      </c>
      <c r="AI18" s="115"/>
      <c r="AJ18" s="115"/>
      <c r="AK18" s="115"/>
      <c r="AL18" s="122"/>
      <c r="AM18" s="337">
        <f t="shared" si="14"/>
        <v>80000</v>
      </c>
      <c r="AN18" s="338"/>
      <c r="AO18" s="338"/>
      <c r="AP18" s="338"/>
      <c r="AQ18" s="339"/>
    </row>
    <row r="19" spans="1:43" ht="36" customHeight="1">
      <c r="A19" s="355">
        <v>15</v>
      </c>
      <c r="B19" s="4" t="s">
        <v>5</v>
      </c>
      <c r="C19" s="286" t="s">
        <v>6</v>
      </c>
      <c r="D19" s="5" t="s">
        <v>79</v>
      </c>
      <c r="E19" s="6" t="s">
        <v>874</v>
      </c>
      <c r="F19" s="473">
        <v>100000</v>
      </c>
      <c r="G19" s="51">
        <v>1</v>
      </c>
      <c r="H19" s="57">
        <v>0</v>
      </c>
      <c r="I19" s="65">
        <v>5</v>
      </c>
      <c r="J19" s="66">
        <v>6</v>
      </c>
      <c r="K19" s="66">
        <v>4</v>
      </c>
      <c r="L19" s="66">
        <v>7</v>
      </c>
      <c r="M19" s="66">
        <v>6</v>
      </c>
      <c r="N19" s="66">
        <v>5</v>
      </c>
      <c r="O19" s="66">
        <v>2</v>
      </c>
      <c r="P19" s="67">
        <v>7</v>
      </c>
      <c r="Q19" s="70" t="e">
        <f ca="1">(#REF!-(YEAR(TODAY())-#REF!))/#REF!</f>
        <v>#REF!</v>
      </c>
      <c r="R19" s="70">
        <f t="shared" ca="1" si="0"/>
        <v>0</v>
      </c>
      <c r="S19" s="74">
        <f t="shared" si="1"/>
        <v>0.78947368421052633</v>
      </c>
      <c r="T19" s="74">
        <f t="shared" si="2"/>
        <v>0.63157894736842102</v>
      </c>
      <c r="U19" s="74">
        <f t="shared" si="3"/>
        <v>0.56140350877192979</v>
      </c>
      <c r="V19" s="74">
        <f t="shared" si="4"/>
        <v>1.2280701754385965</v>
      </c>
      <c r="W19" s="74">
        <f t="shared" si="5"/>
        <v>0.52631578947368418</v>
      </c>
      <c r="X19" s="74">
        <f t="shared" si="6"/>
        <v>0.61403508771929827</v>
      </c>
      <c r="Y19" s="74">
        <f t="shared" si="7"/>
        <v>0.21052631578947367</v>
      </c>
      <c r="Z19" s="75">
        <f t="shared" si="8"/>
        <v>0.73684210526315785</v>
      </c>
      <c r="AA19" s="76">
        <f t="shared" si="9"/>
        <v>0.9</v>
      </c>
      <c r="AB19" s="76">
        <f t="shared" ca="1" si="10"/>
        <v>1</v>
      </c>
      <c r="AC19" s="77">
        <f t="shared" ca="1" si="11"/>
        <v>0.93333333333333324</v>
      </c>
      <c r="AD19" s="359">
        <f t="shared" si="12"/>
        <v>5.2982456140350864</v>
      </c>
      <c r="AE19" s="369">
        <f t="shared" ca="1" si="13"/>
        <v>49.450292397660796</v>
      </c>
      <c r="AF19" s="95" t="s">
        <v>248</v>
      </c>
      <c r="AG19" s="441"/>
      <c r="AH19" s="119">
        <v>100000</v>
      </c>
      <c r="AI19" s="115"/>
      <c r="AJ19" s="115"/>
      <c r="AK19" s="115"/>
      <c r="AL19" s="122"/>
      <c r="AM19" s="337">
        <f t="shared" si="14"/>
        <v>100000</v>
      </c>
      <c r="AN19" s="338"/>
      <c r="AO19" s="338"/>
      <c r="AP19" s="338"/>
      <c r="AQ19" s="339"/>
    </row>
    <row r="20" spans="1:43" ht="38.25" customHeight="1">
      <c r="A20" s="355">
        <v>16</v>
      </c>
      <c r="B20" s="4" t="s">
        <v>11</v>
      </c>
      <c r="C20" s="286" t="s">
        <v>12</v>
      </c>
      <c r="D20" s="8" t="s">
        <v>853</v>
      </c>
      <c r="E20" s="14" t="s">
        <v>996</v>
      </c>
      <c r="F20" s="454">
        <v>164000</v>
      </c>
      <c r="G20" s="52">
        <v>3</v>
      </c>
      <c r="H20" s="57">
        <v>0.1</v>
      </c>
      <c r="I20" s="65">
        <v>6</v>
      </c>
      <c r="J20" s="66">
        <v>6</v>
      </c>
      <c r="K20" s="66">
        <v>7</v>
      </c>
      <c r="L20" s="66">
        <v>8</v>
      </c>
      <c r="M20" s="66">
        <v>5</v>
      </c>
      <c r="N20" s="66">
        <v>8</v>
      </c>
      <c r="O20" s="66">
        <v>0</v>
      </c>
      <c r="P20" s="67">
        <v>10</v>
      </c>
      <c r="Q20" s="70" t="e">
        <f ca="1">(#REF!-(YEAR(TODAY())-#REF!))/#REF!</f>
        <v>#REF!</v>
      </c>
      <c r="R20" s="70">
        <f t="shared" ca="1" si="0"/>
        <v>0.1</v>
      </c>
      <c r="S20" s="74">
        <f t="shared" si="1"/>
        <v>0.94736842105263153</v>
      </c>
      <c r="T20" s="74">
        <f t="shared" si="2"/>
        <v>0.63157894736842102</v>
      </c>
      <c r="U20" s="74">
        <f t="shared" si="3"/>
        <v>0.98245614035087714</v>
      </c>
      <c r="V20" s="74">
        <f t="shared" si="4"/>
        <v>1.4035087719298245</v>
      </c>
      <c r="W20" s="74">
        <f t="shared" si="5"/>
        <v>0.43859649122807015</v>
      </c>
      <c r="X20" s="74">
        <f t="shared" si="6"/>
        <v>0.98245614035087714</v>
      </c>
      <c r="Y20" s="74">
        <f t="shared" si="7"/>
        <v>0</v>
      </c>
      <c r="Z20" s="75">
        <f t="shared" si="8"/>
        <v>1.0526315789473684</v>
      </c>
      <c r="AA20" s="76">
        <f t="shared" si="9"/>
        <v>0.7</v>
      </c>
      <c r="AB20" s="76">
        <f t="shared" ca="1" si="10"/>
        <v>0.9</v>
      </c>
      <c r="AC20" s="77">
        <f t="shared" ca="1" si="11"/>
        <v>0.76666666666666661</v>
      </c>
      <c r="AD20" s="359">
        <f t="shared" si="12"/>
        <v>6.4385964912280702</v>
      </c>
      <c r="AE20" s="369">
        <f t="shared" ca="1" si="13"/>
        <v>49.362573099415201</v>
      </c>
      <c r="AF20" s="96" t="s">
        <v>261</v>
      </c>
      <c r="AG20" s="114"/>
      <c r="AH20" s="118">
        <v>164000</v>
      </c>
      <c r="AI20" s="115"/>
      <c r="AJ20" s="115"/>
      <c r="AK20" s="392"/>
      <c r="AL20" s="122"/>
      <c r="AM20" s="337">
        <f t="shared" si="14"/>
        <v>164000</v>
      </c>
      <c r="AN20" s="338"/>
      <c r="AO20" s="338"/>
      <c r="AP20" s="338"/>
      <c r="AQ20" s="339"/>
    </row>
    <row r="21" spans="1:43" ht="37.5" customHeight="1">
      <c r="A21" s="355">
        <v>17</v>
      </c>
      <c r="B21" s="12" t="s">
        <v>7</v>
      </c>
      <c r="C21" s="344" t="s">
        <v>6</v>
      </c>
      <c r="D21" s="5" t="s">
        <v>322</v>
      </c>
      <c r="E21" s="6" t="s">
        <v>1054</v>
      </c>
      <c r="F21" s="473">
        <v>2000000</v>
      </c>
      <c r="G21" s="51">
        <v>3</v>
      </c>
      <c r="H21" s="57">
        <v>0.2</v>
      </c>
      <c r="I21" s="65">
        <v>6</v>
      </c>
      <c r="J21" s="66">
        <v>8</v>
      </c>
      <c r="K21" s="66">
        <v>8</v>
      </c>
      <c r="L21" s="66">
        <v>4.0000000000000027</v>
      </c>
      <c r="M21" s="66">
        <v>0</v>
      </c>
      <c r="N21" s="66">
        <v>8.0000000000000053</v>
      </c>
      <c r="O21" s="66">
        <v>10</v>
      </c>
      <c r="P21" s="67">
        <v>9.9999999999999982</v>
      </c>
      <c r="Q21" s="70" t="e">
        <f ca="1">(#REF!-(YEAR(TODAY())-#REF!))/#REF!</f>
        <v>#REF!</v>
      </c>
      <c r="R21" s="70">
        <f t="shared" ca="1" si="0"/>
        <v>0.2</v>
      </c>
      <c r="S21" s="74">
        <f t="shared" si="1"/>
        <v>0.94736842105263153</v>
      </c>
      <c r="T21" s="74">
        <f t="shared" si="2"/>
        <v>0.84210526315789469</v>
      </c>
      <c r="U21" s="74">
        <f t="shared" si="3"/>
        <v>1.1228070175438596</v>
      </c>
      <c r="V21" s="74">
        <f t="shared" si="4"/>
        <v>0.7017543859649128</v>
      </c>
      <c r="W21" s="74">
        <f t="shared" si="5"/>
        <v>0</v>
      </c>
      <c r="X21" s="74">
        <f t="shared" si="6"/>
        <v>0.9824561403508778</v>
      </c>
      <c r="Y21" s="74">
        <f t="shared" si="7"/>
        <v>1.0526315789473684</v>
      </c>
      <c r="Z21" s="75">
        <f t="shared" si="8"/>
        <v>1.0526315789473681</v>
      </c>
      <c r="AA21" s="76">
        <f t="shared" si="9"/>
        <v>0.7</v>
      </c>
      <c r="AB21" s="76">
        <f t="shared" ca="1" si="10"/>
        <v>0.8</v>
      </c>
      <c r="AC21" s="77">
        <f t="shared" ca="1" si="11"/>
        <v>0.73333333333333339</v>
      </c>
      <c r="AD21" s="359">
        <f t="shared" si="12"/>
        <v>6.7017543859649127</v>
      </c>
      <c r="AE21" s="369">
        <f t="shared" ca="1" si="13"/>
        <v>49.146198830409361</v>
      </c>
      <c r="AF21" s="95" t="s">
        <v>296</v>
      </c>
      <c r="AG21" s="440">
        <v>1000000</v>
      </c>
      <c r="AH21" s="118">
        <v>1000000</v>
      </c>
      <c r="AI21" s="115"/>
      <c r="AJ21" s="115"/>
      <c r="AK21" s="115"/>
      <c r="AL21" s="122"/>
      <c r="AM21" s="337">
        <f t="shared" si="14"/>
        <v>1000000</v>
      </c>
      <c r="AN21" s="338"/>
      <c r="AO21" s="338"/>
      <c r="AP21" s="338"/>
      <c r="AQ21" s="339"/>
    </row>
    <row r="22" spans="1:43" ht="36" customHeight="1">
      <c r="A22" s="355">
        <v>18</v>
      </c>
      <c r="B22" s="4" t="s">
        <v>24</v>
      </c>
      <c r="C22" s="286" t="s">
        <v>6</v>
      </c>
      <c r="D22" s="16" t="s">
        <v>25</v>
      </c>
      <c r="E22" s="18" t="s">
        <v>1041</v>
      </c>
      <c r="F22" s="476">
        <v>188000</v>
      </c>
      <c r="G22" s="52">
        <v>2</v>
      </c>
      <c r="H22" s="57">
        <v>0.1</v>
      </c>
      <c r="I22" s="65">
        <v>6.0000000000000036</v>
      </c>
      <c r="J22" s="66">
        <v>8.0000000000000053</v>
      </c>
      <c r="K22" s="66">
        <v>4</v>
      </c>
      <c r="L22" s="66">
        <v>6</v>
      </c>
      <c r="M22" s="66">
        <v>3</v>
      </c>
      <c r="N22" s="66">
        <v>7.0000000000000044</v>
      </c>
      <c r="O22" s="66">
        <v>5</v>
      </c>
      <c r="P22" s="67">
        <v>8</v>
      </c>
      <c r="Q22" s="70" t="e">
        <f ca="1">(#REF!-(YEAR(TODAY())-#REF!))/#REF!</f>
        <v>#REF!</v>
      </c>
      <c r="R22" s="70">
        <f t="shared" ca="1" si="0"/>
        <v>0.1</v>
      </c>
      <c r="S22" s="74">
        <f t="shared" si="1"/>
        <v>0.94736842105263208</v>
      </c>
      <c r="T22" s="74">
        <f t="shared" si="2"/>
        <v>0.84210526315789525</v>
      </c>
      <c r="U22" s="74">
        <f t="shared" si="3"/>
        <v>0.56140350877192979</v>
      </c>
      <c r="V22" s="74">
        <f t="shared" si="4"/>
        <v>1.0526315789473684</v>
      </c>
      <c r="W22" s="74">
        <f t="shared" si="5"/>
        <v>0.26315789473684209</v>
      </c>
      <c r="X22" s="74">
        <f t="shared" si="6"/>
        <v>0.859649122807018</v>
      </c>
      <c r="Y22" s="74">
        <f t="shared" si="7"/>
        <v>0.52631578947368418</v>
      </c>
      <c r="Z22" s="75">
        <f t="shared" si="8"/>
        <v>0.84210526315789469</v>
      </c>
      <c r="AA22" s="76">
        <f t="shared" si="9"/>
        <v>0.8</v>
      </c>
      <c r="AB22" s="76">
        <f t="shared" ca="1" si="10"/>
        <v>0.9</v>
      </c>
      <c r="AC22" s="77">
        <f t="shared" ca="1" si="11"/>
        <v>0.83333333333333337</v>
      </c>
      <c r="AD22" s="359">
        <f t="shared" si="12"/>
        <v>5.8947368421052637</v>
      </c>
      <c r="AE22" s="369">
        <f t="shared" ca="1" si="13"/>
        <v>49.12280701754387</v>
      </c>
      <c r="AF22" s="96" t="s">
        <v>248</v>
      </c>
      <c r="AG22" s="442"/>
      <c r="AH22" s="118">
        <v>188000</v>
      </c>
      <c r="AI22" s="115"/>
      <c r="AJ22" s="115"/>
      <c r="AK22" s="115"/>
      <c r="AL22" s="122"/>
      <c r="AM22" s="337">
        <f t="shared" si="14"/>
        <v>188000</v>
      </c>
      <c r="AN22" s="338"/>
      <c r="AO22" s="338"/>
      <c r="AP22" s="338"/>
      <c r="AQ22" s="339"/>
    </row>
    <row r="23" spans="1:43" ht="36" customHeight="1">
      <c r="A23" s="355">
        <v>19</v>
      </c>
      <c r="B23" s="4" t="s">
        <v>5</v>
      </c>
      <c r="C23" s="286" t="s">
        <v>6</v>
      </c>
      <c r="D23" s="5" t="s">
        <v>823</v>
      </c>
      <c r="E23" s="6" t="s">
        <v>1042</v>
      </c>
      <c r="F23" s="473">
        <v>75000</v>
      </c>
      <c r="G23" s="51">
        <v>1</v>
      </c>
      <c r="H23" s="57">
        <v>0</v>
      </c>
      <c r="I23" s="65">
        <v>6</v>
      </c>
      <c r="J23" s="66">
        <v>8</v>
      </c>
      <c r="K23" s="66">
        <v>8</v>
      </c>
      <c r="L23" s="66">
        <v>3</v>
      </c>
      <c r="M23" s="66">
        <v>0</v>
      </c>
      <c r="N23" s="66">
        <v>8</v>
      </c>
      <c r="O23" s="66">
        <v>0</v>
      </c>
      <c r="P23" s="67">
        <v>8</v>
      </c>
      <c r="Q23" s="70" t="e">
        <f ca="1">(#REF!-(YEAR(TODAY())-#REF!))/#REF!</f>
        <v>#REF!</v>
      </c>
      <c r="R23" s="70">
        <f t="shared" ca="1" si="0"/>
        <v>0</v>
      </c>
      <c r="S23" s="74">
        <f t="shared" si="1"/>
        <v>0.94736842105263153</v>
      </c>
      <c r="T23" s="74">
        <f t="shared" si="2"/>
        <v>0.84210526315789469</v>
      </c>
      <c r="U23" s="74">
        <f t="shared" si="3"/>
        <v>1.1228070175438596</v>
      </c>
      <c r="V23" s="74">
        <f t="shared" si="4"/>
        <v>0.52631578947368418</v>
      </c>
      <c r="W23" s="74">
        <f t="shared" si="5"/>
        <v>0</v>
      </c>
      <c r="X23" s="74">
        <f t="shared" si="6"/>
        <v>0.98245614035087714</v>
      </c>
      <c r="Y23" s="74">
        <f t="shared" si="7"/>
        <v>0</v>
      </c>
      <c r="Z23" s="75">
        <f t="shared" si="8"/>
        <v>0.84210526315789469</v>
      </c>
      <c r="AA23" s="76">
        <f t="shared" si="9"/>
        <v>0.9</v>
      </c>
      <c r="AB23" s="76">
        <f t="shared" ca="1" si="10"/>
        <v>1</v>
      </c>
      <c r="AC23" s="77">
        <f t="shared" ca="1" si="11"/>
        <v>0.93333333333333324</v>
      </c>
      <c r="AD23" s="359">
        <f t="shared" si="12"/>
        <v>5.2631578947368416</v>
      </c>
      <c r="AE23" s="369">
        <f t="shared" ca="1" si="13"/>
        <v>49.122807017543849</v>
      </c>
      <c r="AF23" s="95" t="s">
        <v>266</v>
      </c>
      <c r="AG23" s="441"/>
      <c r="AH23" s="325">
        <v>75000</v>
      </c>
      <c r="AI23" s="108"/>
      <c r="AJ23" s="108"/>
      <c r="AK23" s="108"/>
      <c r="AL23" s="389"/>
      <c r="AM23" s="337">
        <f t="shared" si="14"/>
        <v>75000</v>
      </c>
      <c r="AN23" s="338"/>
      <c r="AO23" s="338"/>
      <c r="AP23" s="338"/>
      <c r="AQ23" s="339"/>
    </row>
    <row r="24" spans="1:43" ht="36" customHeight="1">
      <c r="A24" s="355">
        <v>20</v>
      </c>
      <c r="B24" s="12" t="s">
        <v>16</v>
      </c>
      <c r="C24" s="344" t="s">
        <v>299</v>
      </c>
      <c r="D24" s="8" t="s">
        <v>882</v>
      </c>
      <c r="E24" s="21" t="s">
        <v>887</v>
      </c>
      <c r="F24" s="473">
        <v>400000</v>
      </c>
      <c r="G24" s="52">
        <v>2</v>
      </c>
      <c r="H24" s="57">
        <v>0</v>
      </c>
      <c r="I24" s="65">
        <v>5</v>
      </c>
      <c r="J24" s="66">
        <v>8</v>
      </c>
      <c r="K24" s="66">
        <v>4</v>
      </c>
      <c r="L24" s="66">
        <v>8</v>
      </c>
      <c r="M24" s="66">
        <v>7</v>
      </c>
      <c r="N24" s="66">
        <v>5</v>
      </c>
      <c r="O24" s="66">
        <v>0</v>
      </c>
      <c r="P24" s="67">
        <v>8</v>
      </c>
      <c r="Q24" s="70" t="e">
        <f ca="1">(#REF!-(YEAR(TODAY())-#REF!))/#REF!</f>
        <v>#REF!</v>
      </c>
      <c r="R24" s="70">
        <f t="shared" ca="1" si="0"/>
        <v>0</v>
      </c>
      <c r="S24" s="74">
        <f t="shared" si="1"/>
        <v>0.78947368421052633</v>
      </c>
      <c r="T24" s="74">
        <f t="shared" si="2"/>
        <v>0.84210526315789469</v>
      </c>
      <c r="U24" s="74">
        <f t="shared" si="3"/>
        <v>0.56140350877192979</v>
      </c>
      <c r="V24" s="74">
        <f t="shared" si="4"/>
        <v>1.4035087719298245</v>
      </c>
      <c r="W24" s="74">
        <f t="shared" si="5"/>
        <v>0.61403508771929827</v>
      </c>
      <c r="X24" s="74">
        <f t="shared" si="6"/>
        <v>0.61403508771929827</v>
      </c>
      <c r="Y24" s="74">
        <f t="shared" si="7"/>
        <v>0</v>
      </c>
      <c r="Z24" s="75">
        <f t="shared" si="8"/>
        <v>0.84210526315789469</v>
      </c>
      <c r="AA24" s="76">
        <f t="shared" si="9"/>
        <v>0.8</v>
      </c>
      <c r="AB24" s="76">
        <f t="shared" ca="1" si="10"/>
        <v>1</v>
      </c>
      <c r="AC24" s="77">
        <f t="shared" ca="1" si="11"/>
        <v>0.8666666666666667</v>
      </c>
      <c r="AD24" s="359">
        <f t="shared" si="12"/>
        <v>5.6666666666666661</v>
      </c>
      <c r="AE24" s="369">
        <f t="shared" ca="1" si="13"/>
        <v>49.111111111111107</v>
      </c>
      <c r="AF24" s="96" t="s">
        <v>848</v>
      </c>
      <c r="AG24" s="113"/>
      <c r="AH24" s="119">
        <v>400000</v>
      </c>
      <c r="AI24" s="115"/>
      <c r="AJ24" s="115"/>
      <c r="AK24" s="115"/>
      <c r="AL24" s="122"/>
      <c r="AM24" s="337">
        <f t="shared" si="14"/>
        <v>400000</v>
      </c>
      <c r="AN24" s="338"/>
      <c r="AO24" s="338"/>
      <c r="AP24" s="338"/>
      <c r="AQ24" s="339"/>
    </row>
    <row r="25" spans="1:43" ht="35.25" customHeight="1">
      <c r="A25" s="355">
        <v>21</v>
      </c>
      <c r="B25" s="4" t="s">
        <v>13</v>
      </c>
      <c r="C25" s="286" t="s">
        <v>15</v>
      </c>
      <c r="D25" s="116" t="s">
        <v>1159</v>
      </c>
      <c r="E25" s="22" t="s">
        <v>1163</v>
      </c>
      <c r="F25" s="476">
        <v>100000</v>
      </c>
      <c r="G25" s="52">
        <v>3</v>
      </c>
      <c r="H25" s="57">
        <v>0.1</v>
      </c>
      <c r="I25" s="65">
        <v>6.0000000000000036</v>
      </c>
      <c r="J25" s="66">
        <v>8.0000000000000053</v>
      </c>
      <c r="K25" s="66">
        <v>6.0000000000000036</v>
      </c>
      <c r="L25" s="66">
        <v>8.0000000000000053</v>
      </c>
      <c r="M25" s="66">
        <v>4.0000000000000027</v>
      </c>
      <c r="N25" s="66">
        <v>6.0000000000000036</v>
      </c>
      <c r="O25" s="66">
        <v>2</v>
      </c>
      <c r="P25" s="67">
        <v>10</v>
      </c>
      <c r="Q25" s="70" t="e">
        <f ca="1">(#REF!-(YEAR(TODAY())-#REF!))/#REF!</f>
        <v>#REF!</v>
      </c>
      <c r="R25" s="70">
        <f t="shared" ca="1" si="0"/>
        <v>0.1</v>
      </c>
      <c r="S25" s="74">
        <f t="shared" si="1"/>
        <v>0.94736842105263208</v>
      </c>
      <c r="T25" s="74">
        <f t="shared" si="2"/>
        <v>0.84210526315789525</v>
      </c>
      <c r="U25" s="74">
        <f t="shared" si="3"/>
        <v>0.84210526315789525</v>
      </c>
      <c r="V25" s="74">
        <f t="shared" si="4"/>
        <v>1.4035087719298256</v>
      </c>
      <c r="W25" s="74">
        <f t="shared" si="5"/>
        <v>0.3508771929824564</v>
      </c>
      <c r="X25" s="74">
        <f t="shared" si="6"/>
        <v>0.73684210526315841</v>
      </c>
      <c r="Y25" s="74">
        <f t="shared" si="7"/>
        <v>0.21052631578947367</v>
      </c>
      <c r="Z25" s="75">
        <f t="shared" si="8"/>
        <v>1.0526315789473684</v>
      </c>
      <c r="AA25" s="76">
        <f t="shared" si="9"/>
        <v>0.7</v>
      </c>
      <c r="AB25" s="76">
        <f t="shared" ca="1" si="10"/>
        <v>0.9</v>
      </c>
      <c r="AC25" s="77">
        <f t="shared" ca="1" si="11"/>
        <v>0.76666666666666661</v>
      </c>
      <c r="AD25" s="359">
        <f t="shared" si="12"/>
        <v>6.3859649122807047</v>
      </c>
      <c r="AE25" s="369">
        <f t="shared" ca="1" si="13"/>
        <v>48.9590643274854</v>
      </c>
      <c r="AF25" s="96" t="s">
        <v>261</v>
      </c>
      <c r="AG25" s="114"/>
      <c r="AH25" s="118">
        <v>100000</v>
      </c>
      <c r="AI25" s="115"/>
      <c r="AJ25" s="115"/>
      <c r="AK25" s="115"/>
      <c r="AL25" s="454"/>
      <c r="AM25" s="337">
        <f t="shared" si="14"/>
        <v>100000</v>
      </c>
      <c r="AN25" s="338"/>
      <c r="AO25" s="338"/>
      <c r="AP25" s="338"/>
      <c r="AQ25" s="339"/>
    </row>
    <row r="26" spans="1:43" ht="35.25" customHeight="1">
      <c r="A26" s="355">
        <v>22</v>
      </c>
      <c r="B26" s="4" t="s">
        <v>5</v>
      </c>
      <c r="C26" s="286" t="s">
        <v>6</v>
      </c>
      <c r="D26" s="5" t="s">
        <v>822</v>
      </c>
      <c r="E26" s="6" t="s">
        <v>1043</v>
      </c>
      <c r="F26" s="473">
        <v>1000000</v>
      </c>
      <c r="G26" s="51">
        <v>2</v>
      </c>
      <c r="H26" s="57">
        <v>0</v>
      </c>
      <c r="I26" s="65">
        <v>6</v>
      </c>
      <c r="J26" s="66">
        <v>8</v>
      </c>
      <c r="K26" s="66">
        <v>4</v>
      </c>
      <c r="L26" s="66">
        <v>6</v>
      </c>
      <c r="M26" s="66">
        <v>4</v>
      </c>
      <c r="N26" s="66">
        <v>6.0000000000000036</v>
      </c>
      <c r="O26" s="66">
        <v>1</v>
      </c>
      <c r="P26" s="67">
        <v>10</v>
      </c>
      <c r="Q26" s="70" t="e">
        <f ca="1">(#REF!-(YEAR(TODAY())-#REF!))/#REF!</f>
        <v>#REF!</v>
      </c>
      <c r="R26" s="70">
        <f t="shared" ca="1" si="0"/>
        <v>0</v>
      </c>
      <c r="S26" s="74">
        <f t="shared" si="1"/>
        <v>0.94736842105263153</v>
      </c>
      <c r="T26" s="74">
        <f t="shared" si="2"/>
        <v>0.84210526315789469</v>
      </c>
      <c r="U26" s="74">
        <f t="shared" si="3"/>
        <v>0.56140350877192979</v>
      </c>
      <c r="V26" s="74">
        <f t="shared" si="4"/>
        <v>1.0526315789473684</v>
      </c>
      <c r="W26" s="74">
        <f t="shared" si="5"/>
        <v>0.35087719298245612</v>
      </c>
      <c r="X26" s="74">
        <f t="shared" si="6"/>
        <v>0.73684210526315841</v>
      </c>
      <c r="Y26" s="74">
        <f t="shared" si="7"/>
        <v>0.10526315789473684</v>
      </c>
      <c r="Z26" s="75">
        <f t="shared" si="8"/>
        <v>1.0526315789473684</v>
      </c>
      <c r="AA26" s="76">
        <f t="shared" si="9"/>
        <v>0.8</v>
      </c>
      <c r="AB26" s="76">
        <f t="shared" ca="1" si="10"/>
        <v>1</v>
      </c>
      <c r="AC26" s="77">
        <f t="shared" ca="1" si="11"/>
        <v>0.8666666666666667</v>
      </c>
      <c r="AD26" s="359">
        <f t="shared" si="12"/>
        <v>5.6491228070175445</v>
      </c>
      <c r="AE26" s="369">
        <f t="shared" ca="1" si="13"/>
        <v>48.959064327485386</v>
      </c>
      <c r="AF26" s="95" t="s">
        <v>248</v>
      </c>
      <c r="AG26" s="440"/>
      <c r="AH26" s="118">
        <v>1000000</v>
      </c>
      <c r="AI26" s="115"/>
      <c r="AJ26" s="115"/>
      <c r="AK26" s="115"/>
      <c r="AL26" s="122"/>
      <c r="AM26" s="337">
        <f t="shared" si="14"/>
        <v>1000000</v>
      </c>
      <c r="AN26" s="338"/>
      <c r="AO26" s="338"/>
      <c r="AP26" s="338"/>
      <c r="AQ26" s="339"/>
    </row>
    <row r="27" spans="1:43" ht="35.25" customHeight="1">
      <c r="A27" s="355">
        <v>23</v>
      </c>
      <c r="B27" s="4" t="s">
        <v>14</v>
      </c>
      <c r="C27" s="286" t="s">
        <v>6</v>
      </c>
      <c r="D27" s="16" t="s">
        <v>62</v>
      </c>
      <c r="E27" s="18" t="s">
        <v>1211</v>
      </c>
      <c r="F27" s="476">
        <v>300000</v>
      </c>
      <c r="G27" s="52">
        <v>1</v>
      </c>
      <c r="H27" s="57">
        <v>0.1</v>
      </c>
      <c r="I27" s="65">
        <v>4</v>
      </c>
      <c r="J27" s="66">
        <v>8.0000000000000053</v>
      </c>
      <c r="K27" s="66">
        <v>2</v>
      </c>
      <c r="L27" s="66">
        <v>10</v>
      </c>
      <c r="M27" s="66">
        <v>0</v>
      </c>
      <c r="N27" s="66">
        <v>8.0000000000000053</v>
      </c>
      <c r="O27" s="66">
        <v>0</v>
      </c>
      <c r="P27" s="67">
        <v>9</v>
      </c>
      <c r="Q27" s="70" t="e">
        <f ca="1">(#REF!-(YEAR(TODAY())-#REF!))/#REF!</f>
        <v>#REF!</v>
      </c>
      <c r="R27" s="70">
        <f t="shared" ca="1" si="0"/>
        <v>0.1</v>
      </c>
      <c r="S27" s="74">
        <f t="shared" si="1"/>
        <v>0.63157894736842102</v>
      </c>
      <c r="T27" s="74">
        <f t="shared" si="2"/>
        <v>0.84210526315789525</v>
      </c>
      <c r="U27" s="74">
        <f t="shared" si="3"/>
        <v>0.2807017543859649</v>
      </c>
      <c r="V27" s="74">
        <f t="shared" si="4"/>
        <v>1.7543859649122806</v>
      </c>
      <c r="W27" s="74">
        <f t="shared" si="5"/>
        <v>0</v>
      </c>
      <c r="X27" s="74">
        <f t="shared" si="6"/>
        <v>0.9824561403508778</v>
      </c>
      <c r="Y27" s="74">
        <f t="shared" si="7"/>
        <v>0</v>
      </c>
      <c r="Z27" s="75">
        <f t="shared" si="8"/>
        <v>0.94736842105263153</v>
      </c>
      <c r="AA27" s="76">
        <f t="shared" si="9"/>
        <v>0.9</v>
      </c>
      <c r="AB27" s="76">
        <f t="shared" ca="1" si="10"/>
        <v>0.9</v>
      </c>
      <c r="AC27" s="77">
        <f t="shared" ca="1" si="11"/>
        <v>0.9</v>
      </c>
      <c r="AD27" s="359">
        <f t="shared" si="12"/>
        <v>5.4385964912280711</v>
      </c>
      <c r="AE27" s="369">
        <f t="shared" ca="1" si="13"/>
        <v>48.947368421052637</v>
      </c>
      <c r="AF27" s="96" t="s">
        <v>248</v>
      </c>
      <c r="AG27" s="442">
        <v>25000</v>
      </c>
      <c r="AH27" s="118">
        <v>275000</v>
      </c>
      <c r="AI27" s="115"/>
      <c r="AJ27" s="115"/>
      <c r="AK27" s="115"/>
      <c r="AL27" s="122"/>
      <c r="AM27" s="337">
        <f t="shared" si="14"/>
        <v>275000</v>
      </c>
      <c r="AN27" s="338"/>
      <c r="AO27" s="338"/>
      <c r="AP27" s="338"/>
      <c r="AQ27" s="339"/>
    </row>
    <row r="28" spans="1:43" ht="35.25" customHeight="1">
      <c r="A28" s="355">
        <v>24</v>
      </c>
      <c r="B28" s="4" t="s">
        <v>5</v>
      </c>
      <c r="C28" s="286" t="s">
        <v>6</v>
      </c>
      <c r="D28" s="5" t="s">
        <v>835</v>
      </c>
      <c r="E28" s="7" t="s">
        <v>886</v>
      </c>
      <c r="F28" s="473">
        <v>200000</v>
      </c>
      <c r="G28" s="51">
        <v>1</v>
      </c>
      <c r="H28" s="57">
        <v>0.1</v>
      </c>
      <c r="I28" s="65">
        <v>4</v>
      </c>
      <c r="J28" s="66">
        <v>8</v>
      </c>
      <c r="K28" s="66">
        <v>2</v>
      </c>
      <c r="L28" s="66">
        <v>10</v>
      </c>
      <c r="M28" s="66">
        <v>0</v>
      </c>
      <c r="N28" s="66">
        <v>8</v>
      </c>
      <c r="O28" s="66">
        <v>0</v>
      </c>
      <c r="P28" s="67">
        <v>9</v>
      </c>
      <c r="Q28" s="70" t="e">
        <f ca="1">(#REF!-(YEAR(TODAY())-#REF!))/#REF!</f>
        <v>#REF!</v>
      </c>
      <c r="R28" s="70">
        <f t="shared" ca="1" si="0"/>
        <v>0.1</v>
      </c>
      <c r="S28" s="74">
        <f t="shared" si="1"/>
        <v>0.63157894736842102</v>
      </c>
      <c r="T28" s="74">
        <f t="shared" si="2"/>
        <v>0.84210526315789469</v>
      </c>
      <c r="U28" s="74">
        <f t="shared" si="3"/>
        <v>0.2807017543859649</v>
      </c>
      <c r="V28" s="74">
        <f t="shared" si="4"/>
        <v>1.7543859649122806</v>
      </c>
      <c r="W28" s="74">
        <f t="shared" si="5"/>
        <v>0</v>
      </c>
      <c r="X28" s="74">
        <f t="shared" si="6"/>
        <v>0.98245614035087714</v>
      </c>
      <c r="Y28" s="74">
        <f t="shared" si="7"/>
        <v>0</v>
      </c>
      <c r="Z28" s="75">
        <f t="shared" si="8"/>
        <v>0.94736842105263153</v>
      </c>
      <c r="AA28" s="76">
        <f t="shared" si="9"/>
        <v>0.9</v>
      </c>
      <c r="AB28" s="76">
        <f t="shared" ca="1" si="10"/>
        <v>0.9</v>
      </c>
      <c r="AC28" s="77">
        <f t="shared" ca="1" si="11"/>
        <v>0.9</v>
      </c>
      <c r="AD28" s="359">
        <f t="shared" si="12"/>
        <v>5.4385964912280702</v>
      </c>
      <c r="AE28" s="369">
        <f t="shared" ca="1" si="13"/>
        <v>48.947368421052637</v>
      </c>
      <c r="AF28" s="95" t="s">
        <v>248</v>
      </c>
      <c r="AG28" s="441"/>
      <c r="AH28" s="118">
        <v>200000</v>
      </c>
      <c r="AI28" s="115"/>
      <c r="AJ28" s="115"/>
      <c r="AK28" s="115"/>
      <c r="AL28" s="122"/>
      <c r="AM28" s="337">
        <f t="shared" si="14"/>
        <v>200000</v>
      </c>
      <c r="AN28" s="338"/>
      <c r="AO28" s="338"/>
      <c r="AP28" s="338"/>
      <c r="AQ28" s="339"/>
    </row>
    <row r="29" spans="1:43" ht="37.5" customHeight="1">
      <c r="A29" s="355">
        <v>25</v>
      </c>
      <c r="B29" s="4" t="s">
        <v>20</v>
      </c>
      <c r="C29" s="286" t="s">
        <v>1052</v>
      </c>
      <c r="D29" s="8" t="s">
        <v>21</v>
      </c>
      <c r="E29" s="22" t="s">
        <v>1212</v>
      </c>
      <c r="F29" s="476">
        <v>1750000</v>
      </c>
      <c r="G29" s="385">
        <v>3</v>
      </c>
      <c r="H29" s="57">
        <v>0.2</v>
      </c>
      <c r="I29" s="65">
        <v>10</v>
      </c>
      <c r="J29" s="66">
        <v>10</v>
      </c>
      <c r="K29" s="66">
        <v>6</v>
      </c>
      <c r="L29" s="66">
        <v>6</v>
      </c>
      <c r="M29" s="66">
        <v>0</v>
      </c>
      <c r="N29" s="66">
        <v>8.0000000000000053</v>
      </c>
      <c r="O29" s="66">
        <v>1</v>
      </c>
      <c r="P29" s="67">
        <v>9.9999999999999982</v>
      </c>
      <c r="Q29" s="70" t="e">
        <f ca="1">(#REF!-(YEAR(TODAY())-#REF!))/#REF!</f>
        <v>#REF!</v>
      </c>
      <c r="R29" s="70">
        <f t="shared" ca="1" si="0"/>
        <v>0.2</v>
      </c>
      <c r="S29" s="74">
        <f t="shared" si="1"/>
        <v>1.5789473684210527</v>
      </c>
      <c r="T29" s="74">
        <f t="shared" si="2"/>
        <v>1.0526315789473684</v>
      </c>
      <c r="U29" s="74">
        <f t="shared" si="3"/>
        <v>0.84210526315789469</v>
      </c>
      <c r="V29" s="74">
        <f t="shared" si="4"/>
        <v>1.0526315789473684</v>
      </c>
      <c r="W29" s="74">
        <f t="shared" si="5"/>
        <v>0</v>
      </c>
      <c r="X29" s="74">
        <f t="shared" si="6"/>
        <v>0.9824561403508778</v>
      </c>
      <c r="Y29" s="74">
        <f t="shared" si="7"/>
        <v>0.10526315789473684</v>
      </c>
      <c r="Z29" s="75">
        <f t="shared" si="8"/>
        <v>1.0526315789473681</v>
      </c>
      <c r="AA29" s="76">
        <f t="shared" si="9"/>
        <v>0.7</v>
      </c>
      <c r="AB29" s="76">
        <f t="shared" ca="1" si="10"/>
        <v>0.8</v>
      </c>
      <c r="AC29" s="77">
        <f t="shared" ca="1" si="11"/>
        <v>0.73333333333333339</v>
      </c>
      <c r="AD29" s="359">
        <f t="shared" si="12"/>
        <v>6.666666666666667</v>
      </c>
      <c r="AE29" s="369">
        <f t="shared" ca="1" si="13"/>
        <v>48.888888888888893</v>
      </c>
      <c r="AF29" s="386" t="s">
        <v>266</v>
      </c>
      <c r="AG29" s="301">
        <v>500000</v>
      </c>
      <c r="AH29" s="118">
        <v>250000</v>
      </c>
      <c r="AI29" s="115">
        <v>250000</v>
      </c>
      <c r="AJ29" s="115">
        <v>250000</v>
      </c>
      <c r="AK29" s="115">
        <v>250000</v>
      </c>
      <c r="AL29" s="122">
        <v>250000</v>
      </c>
      <c r="AM29" s="337">
        <f t="shared" si="14"/>
        <v>250000</v>
      </c>
      <c r="AN29" s="338">
        <f t="shared" ref="AN29:AN39" si="17">AI29*(1+Efactor)</f>
        <v>258749.99999999997</v>
      </c>
      <c r="AO29" s="338">
        <f t="shared" si="15"/>
        <v>267806.24999999994</v>
      </c>
      <c r="AP29" s="338">
        <f t="shared" si="16"/>
        <v>277179.46874999994</v>
      </c>
      <c r="AQ29" s="339">
        <f t="shared" ref="AQ29:AQ36" si="18">AL29*(1+Efactor)^4</f>
        <v>286880.75015624991</v>
      </c>
    </row>
    <row r="30" spans="1:43" ht="36" customHeight="1">
      <c r="A30" s="355">
        <v>26</v>
      </c>
      <c r="B30" s="4" t="s">
        <v>14</v>
      </c>
      <c r="C30" s="286" t="s">
        <v>298</v>
      </c>
      <c r="D30" s="16" t="s">
        <v>335</v>
      </c>
      <c r="E30" s="17" t="s">
        <v>858</v>
      </c>
      <c r="F30" s="476">
        <v>100000</v>
      </c>
      <c r="G30" s="52">
        <v>2</v>
      </c>
      <c r="H30" s="57">
        <v>0</v>
      </c>
      <c r="I30" s="65">
        <v>5</v>
      </c>
      <c r="J30" s="66">
        <v>8</v>
      </c>
      <c r="K30" s="66">
        <v>3</v>
      </c>
      <c r="L30" s="66">
        <v>8</v>
      </c>
      <c r="M30" s="66">
        <v>0</v>
      </c>
      <c r="N30" s="66">
        <v>9</v>
      </c>
      <c r="O30" s="66">
        <v>0</v>
      </c>
      <c r="P30" s="67">
        <v>10</v>
      </c>
      <c r="Q30" s="70" t="e">
        <f ca="1">(#REF!-(YEAR(TODAY())-#REF!))/#REF!</f>
        <v>#REF!</v>
      </c>
      <c r="R30" s="70">
        <f t="shared" ca="1" si="0"/>
        <v>0</v>
      </c>
      <c r="S30" s="74">
        <f t="shared" si="1"/>
        <v>0.78947368421052633</v>
      </c>
      <c r="T30" s="74">
        <f t="shared" si="2"/>
        <v>0.84210526315789469</v>
      </c>
      <c r="U30" s="74">
        <f t="shared" si="3"/>
        <v>0.42105263157894735</v>
      </c>
      <c r="V30" s="74">
        <f t="shared" si="4"/>
        <v>1.4035087719298245</v>
      </c>
      <c r="W30" s="74">
        <f t="shared" si="5"/>
        <v>0</v>
      </c>
      <c r="X30" s="74">
        <f t="shared" si="6"/>
        <v>1.1052631578947369</v>
      </c>
      <c r="Y30" s="74">
        <f t="shared" si="7"/>
        <v>0</v>
      </c>
      <c r="Z30" s="75">
        <f t="shared" si="8"/>
        <v>1.0526315789473684</v>
      </c>
      <c r="AA30" s="76">
        <f t="shared" si="9"/>
        <v>0.8</v>
      </c>
      <c r="AB30" s="76">
        <f t="shared" ca="1" si="10"/>
        <v>1</v>
      </c>
      <c r="AC30" s="77">
        <f t="shared" ca="1" si="11"/>
        <v>0.8666666666666667</v>
      </c>
      <c r="AD30" s="359">
        <f t="shared" si="12"/>
        <v>5.6140350877192979</v>
      </c>
      <c r="AE30" s="369">
        <f t="shared" ca="1" si="13"/>
        <v>48.654970760233915</v>
      </c>
      <c r="AF30" s="96" t="s">
        <v>248</v>
      </c>
      <c r="AG30" s="114"/>
      <c r="AH30" s="118">
        <v>100000</v>
      </c>
      <c r="AI30" s="115"/>
      <c r="AJ30" s="115"/>
      <c r="AK30" s="115"/>
      <c r="AL30" s="122"/>
      <c r="AM30" s="337">
        <f t="shared" si="14"/>
        <v>100000</v>
      </c>
      <c r="AN30" s="338"/>
      <c r="AO30" s="338"/>
      <c r="AP30" s="338"/>
      <c r="AQ30" s="339"/>
    </row>
    <row r="31" spans="1:43" ht="36" customHeight="1">
      <c r="A31" s="355">
        <v>27</v>
      </c>
      <c r="B31" s="4" t="s">
        <v>16</v>
      </c>
      <c r="C31" s="286" t="s">
        <v>300</v>
      </c>
      <c r="D31" s="19" t="s">
        <v>17</v>
      </c>
      <c r="E31" s="11" t="s">
        <v>1129</v>
      </c>
      <c r="F31" s="476">
        <v>172000</v>
      </c>
      <c r="G31" s="52">
        <v>1</v>
      </c>
      <c r="H31" s="57">
        <v>0</v>
      </c>
      <c r="I31" s="65">
        <v>6</v>
      </c>
      <c r="J31" s="66">
        <v>8</v>
      </c>
      <c r="K31" s="66">
        <v>6.0000000000000036</v>
      </c>
      <c r="L31" s="66">
        <v>5</v>
      </c>
      <c r="M31" s="66">
        <v>0</v>
      </c>
      <c r="N31" s="66">
        <v>7</v>
      </c>
      <c r="O31" s="66">
        <v>0</v>
      </c>
      <c r="P31" s="67">
        <v>8.0000000000000053</v>
      </c>
      <c r="Q31" s="70" t="e">
        <f ca="1">(#REF!-(YEAR(TODAY())-#REF!))/#REF!</f>
        <v>#REF!</v>
      </c>
      <c r="R31" s="70">
        <f t="shared" ca="1" si="0"/>
        <v>0</v>
      </c>
      <c r="S31" s="74">
        <f t="shared" si="1"/>
        <v>0.94736842105263153</v>
      </c>
      <c r="T31" s="74">
        <f t="shared" si="2"/>
        <v>0.84210526315789469</v>
      </c>
      <c r="U31" s="74">
        <f t="shared" si="3"/>
        <v>0.84210526315789525</v>
      </c>
      <c r="V31" s="74">
        <f t="shared" si="4"/>
        <v>0.8771929824561403</v>
      </c>
      <c r="W31" s="74">
        <f t="shared" si="5"/>
        <v>0</v>
      </c>
      <c r="X31" s="74">
        <f t="shared" si="6"/>
        <v>0.85964912280701755</v>
      </c>
      <c r="Y31" s="74">
        <f t="shared" si="7"/>
        <v>0</v>
      </c>
      <c r="Z31" s="75">
        <f t="shared" si="8"/>
        <v>0.84210526315789525</v>
      </c>
      <c r="AA31" s="76">
        <f t="shared" si="9"/>
        <v>0.9</v>
      </c>
      <c r="AB31" s="76">
        <f t="shared" ca="1" si="10"/>
        <v>1</v>
      </c>
      <c r="AC31" s="77">
        <f t="shared" ca="1" si="11"/>
        <v>0.93333333333333324</v>
      </c>
      <c r="AD31" s="359">
        <f t="shared" si="12"/>
        <v>5.2105263157894743</v>
      </c>
      <c r="AE31" s="369">
        <f t="shared" ca="1" si="13"/>
        <v>48.631578947368425</v>
      </c>
      <c r="AF31" s="96" t="s">
        <v>248</v>
      </c>
      <c r="AG31" s="114"/>
      <c r="AH31" s="119">
        <v>172000</v>
      </c>
      <c r="AI31" s="115"/>
      <c r="AJ31" s="115"/>
      <c r="AK31" s="115"/>
      <c r="AL31" s="122"/>
      <c r="AM31" s="337">
        <f t="shared" si="14"/>
        <v>172000</v>
      </c>
      <c r="AN31" s="338"/>
      <c r="AO31" s="338"/>
      <c r="AP31" s="338"/>
      <c r="AQ31" s="339"/>
    </row>
    <row r="32" spans="1:43" ht="36" customHeight="1">
      <c r="A32" s="355">
        <v>28</v>
      </c>
      <c r="B32" s="4" t="s">
        <v>11</v>
      </c>
      <c r="C32" s="286" t="s">
        <v>300</v>
      </c>
      <c r="D32" s="8" t="s">
        <v>1149</v>
      </c>
      <c r="E32" s="21" t="s">
        <v>1152</v>
      </c>
      <c r="F32" s="476">
        <v>130000</v>
      </c>
      <c r="G32" s="52">
        <v>1</v>
      </c>
      <c r="H32" s="57">
        <v>0</v>
      </c>
      <c r="I32" s="65">
        <v>6.0000000000000036</v>
      </c>
      <c r="J32" s="66">
        <v>6</v>
      </c>
      <c r="K32" s="66">
        <v>5</v>
      </c>
      <c r="L32" s="66">
        <v>7</v>
      </c>
      <c r="M32" s="66">
        <v>4.0000000000000027</v>
      </c>
      <c r="N32" s="66">
        <v>5</v>
      </c>
      <c r="O32" s="66">
        <v>1</v>
      </c>
      <c r="P32" s="67">
        <v>6.0000000000000036</v>
      </c>
      <c r="Q32" s="70" t="e">
        <f ca="1">(#REF!-(YEAR(TODAY())-#REF!))/#REF!</f>
        <v>#REF!</v>
      </c>
      <c r="R32" s="70">
        <f t="shared" ca="1" si="0"/>
        <v>0</v>
      </c>
      <c r="S32" s="74">
        <f t="shared" si="1"/>
        <v>0.94736842105263208</v>
      </c>
      <c r="T32" s="74">
        <f t="shared" si="2"/>
        <v>0.63157894736842102</v>
      </c>
      <c r="U32" s="74">
        <f t="shared" si="3"/>
        <v>0.70175438596491224</v>
      </c>
      <c r="V32" s="74">
        <f t="shared" si="4"/>
        <v>1.2280701754385965</v>
      </c>
      <c r="W32" s="74">
        <f t="shared" si="5"/>
        <v>0.3508771929824564</v>
      </c>
      <c r="X32" s="74">
        <f t="shared" si="6"/>
        <v>0.61403508771929827</v>
      </c>
      <c r="Y32" s="74">
        <f t="shared" si="7"/>
        <v>0.10526315789473684</v>
      </c>
      <c r="Z32" s="75">
        <f t="shared" si="8"/>
        <v>0.63157894736842146</v>
      </c>
      <c r="AA32" s="76">
        <f t="shared" si="9"/>
        <v>0.9</v>
      </c>
      <c r="AB32" s="76">
        <f t="shared" ca="1" si="10"/>
        <v>1</v>
      </c>
      <c r="AC32" s="77">
        <f t="shared" ca="1" si="11"/>
        <v>0.93333333333333324</v>
      </c>
      <c r="AD32" s="359">
        <f t="shared" si="12"/>
        <v>5.2105263157894743</v>
      </c>
      <c r="AE32" s="369">
        <f t="shared" ca="1" si="13"/>
        <v>48.631578947368425</v>
      </c>
      <c r="AF32" s="96" t="s">
        <v>261</v>
      </c>
      <c r="AG32" s="114"/>
      <c r="AH32" s="388">
        <v>130000</v>
      </c>
      <c r="AI32" s="115"/>
      <c r="AJ32" s="115"/>
      <c r="AK32" s="115"/>
      <c r="AL32" s="122"/>
      <c r="AM32" s="337">
        <f t="shared" si="14"/>
        <v>130000</v>
      </c>
      <c r="AN32" s="338"/>
      <c r="AO32" s="338"/>
      <c r="AP32" s="338"/>
      <c r="AQ32" s="339"/>
    </row>
    <row r="33" spans="1:43" ht="36.75" customHeight="1">
      <c r="A33" s="355">
        <v>29</v>
      </c>
      <c r="B33" s="4" t="s">
        <v>13</v>
      </c>
      <c r="C33" s="286" t="s">
        <v>15</v>
      </c>
      <c r="D33" s="116" t="s">
        <v>1160</v>
      </c>
      <c r="E33" s="22" t="s">
        <v>1164</v>
      </c>
      <c r="F33" s="476">
        <v>100000</v>
      </c>
      <c r="G33" s="52">
        <v>2</v>
      </c>
      <c r="H33" s="57">
        <v>0.2</v>
      </c>
      <c r="I33" s="65">
        <v>6.0000000000000036</v>
      </c>
      <c r="J33" s="66">
        <v>8.0000000000000053</v>
      </c>
      <c r="K33" s="66">
        <v>6.0000000000000036</v>
      </c>
      <c r="L33" s="66">
        <v>8.0000000000000053</v>
      </c>
      <c r="M33" s="66">
        <v>4.0000000000000027</v>
      </c>
      <c r="N33" s="66">
        <v>6.0000000000000036</v>
      </c>
      <c r="O33" s="66">
        <v>1</v>
      </c>
      <c r="P33" s="67">
        <v>8</v>
      </c>
      <c r="Q33" s="70" t="e">
        <f ca="1">(#REF!-(YEAR(TODAY())-#REF!))/#REF!</f>
        <v>#REF!</v>
      </c>
      <c r="R33" s="70">
        <f t="shared" ca="1" si="0"/>
        <v>0.2</v>
      </c>
      <c r="S33" s="74">
        <f t="shared" si="1"/>
        <v>0.94736842105263208</v>
      </c>
      <c r="T33" s="74">
        <f t="shared" si="2"/>
        <v>0.84210526315789525</v>
      </c>
      <c r="U33" s="74">
        <f t="shared" si="3"/>
        <v>0.84210526315789525</v>
      </c>
      <c r="V33" s="74">
        <f t="shared" si="4"/>
        <v>1.4035087719298256</v>
      </c>
      <c r="W33" s="74">
        <f t="shared" si="5"/>
        <v>0.3508771929824564</v>
      </c>
      <c r="X33" s="74">
        <f t="shared" si="6"/>
        <v>0.73684210526315841</v>
      </c>
      <c r="Y33" s="74">
        <f t="shared" si="7"/>
        <v>0.10526315789473684</v>
      </c>
      <c r="Z33" s="75">
        <f t="shared" si="8"/>
        <v>0.84210526315789469</v>
      </c>
      <c r="AA33" s="76">
        <f t="shared" si="9"/>
        <v>0.8</v>
      </c>
      <c r="AB33" s="76">
        <f t="shared" ca="1" si="10"/>
        <v>0.8</v>
      </c>
      <c r="AC33" s="77">
        <f t="shared" ca="1" si="11"/>
        <v>0.80000000000000016</v>
      </c>
      <c r="AD33" s="359">
        <f t="shared" si="12"/>
        <v>6.070175438596495</v>
      </c>
      <c r="AE33" s="369">
        <f t="shared" ca="1" si="13"/>
        <v>48.561403508771967</v>
      </c>
      <c r="AF33" s="96" t="s">
        <v>261</v>
      </c>
      <c r="AG33" s="114"/>
      <c r="AH33" s="118">
        <v>100000</v>
      </c>
      <c r="AI33" s="115"/>
      <c r="AJ33" s="122"/>
      <c r="AK33" s="115"/>
      <c r="AL33" s="122"/>
      <c r="AM33" s="337">
        <f t="shared" si="14"/>
        <v>100000</v>
      </c>
      <c r="AN33" s="338"/>
      <c r="AO33" s="338"/>
      <c r="AP33" s="338"/>
      <c r="AQ33" s="339"/>
    </row>
    <row r="34" spans="1:43" ht="36" customHeight="1">
      <c r="A34" s="355">
        <v>30</v>
      </c>
      <c r="B34" s="4" t="s">
        <v>13</v>
      </c>
      <c r="C34" s="286" t="s">
        <v>300</v>
      </c>
      <c r="D34" s="8" t="s">
        <v>978</v>
      </c>
      <c r="E34" s="15" t="s">
        <v>1141</v>
      </c>
      <c r="F34" s="476">
        <v>120000</v>
      </c>
      <c r="G34" s="52">
        <v>3</v>
      </c>
      <c r="H34" s="57">
        <v>0</v>
      </c>
      <c r="I34" s="65">
        <v>6.0000000000000036</v>
      </c>
      <c r="J34" s="66">
        <v>8.0000000000000053</v>
      </c>
      <c r="K34" s="66">
        <v>6.0000000000000036</v>
      </c>
      <c r="L34" s="66">
        <v>8.0000000000000053</v>
      </c>
      <c r="M34" s="66">
        <v>4.0000000000000027</v>
      </c>
      <c r="N34" s="66">
        <v>6.0000000000000036</v>
      </c>
      <c r="O34" s="66">
        <v>1</v>
      </c>
      <c r="P34" s="67">
        <v>8</v>
      </c>
      <c r="Q34" s="70" t="e">
        <f ca="1">(#REF!-(YEAR(TODAY())-#REF!))/#REF!</f>
        <v>#REF!</v>
      </c>
      <c r="R34" s="70">
        <f t="shared" ca="1" si="0"/>
        <v>0</v>
      </c>
      <c r="S34" s="74">
        <f t="shared" si="1"/>
        <v>0.94736842105263208</v>
      </c>
      <c r="T34" s="74">
        <f t="shared" si="2"/>
        <v>0.84210526315789525</v>
      </c>
      <c r="U34" s="74">
        <f t="shared" si="3"/>
        <v>0.84210526315789525</v>
      </c>
      <c r="V34" s="74">
        <f t="shared" si="4"/>
        <v>1.4035087719298256</v>
      </c>
      <c r="W34" s="74">
        <f t="shared" si="5"/>
        <v>0.3508771929824564</v>
      </c>
      <c r="X34" s="74">
        <f t="shared" si="6"/>
        <v>0.73684210526315841</v>
      </c>
      <c r="Y34" s="74">
        <f t="shared" si="7"/>
        <v>0.10526315789473684</v>
      </c>
      <c r="Z34" s="75">
        <f t="shared" si="8"/>
        <v>0.84210526315789469</v>
      </c>
      <c r="AA34" s="76">
        <f t="shared" si="9"/>
        <v>0.7</v>
      </c>
      <c r="AB34" s="76">
        <f t="shared" ca="1" si="10"/>
        <v>1</v>
      </c>
      <c r="AC34" s="77">
        <f t="shared" ca="1" si="11"/>
        <v>0.79999999999999993</v>
      </c>
      <c r="AD34" s="359">
        <f t="shared" si="12"/>
        <v>6.070175438596495</v>
      </c>
      <c r="AE34" s="369">
        <f t="shared" ca="1" si="13"/>
        <v>48.56140350877196</v>
      </c>
      <c r="AF34" s="96" t="s">
        <v>261</v>
      </c>
      <c r="AG34" s="114"/>
      <c r="AH34" s="118">
        <v>120000</v>
      </c>
      <c r="AI34" s="115"/>
      <c r="AJ34" s="122"/>
      <c r="AK34" s="115"/>
      <c r="AL34" s="122"/>
      <c r="AM34" s="337">
        <f t="shared" si="14"/>
        <v>120000</v>
      </c>
      <c r="AN34" s="338"/>
      <c r="AO34" s="338"/>
      <c r="AP34" s="338"/>
      <c r="AQ34" s="339"/>
    </row>
    <row r="35" spans="1:43" ht="36" customHeight="1">
      <c r="A35" s="355">
        <v>31</v>
      </c>
      <c r="B35" s="300" t="s">
        <v>13</v>
      </c>
      <c r="C35" s="287" t="s">
        <v>300</v>
      </c>
      <c r="D35" s="8" t="s">
        <v>1148</v>
      </c>
      <c r="E35" s="15" t="s">
        <v>1142</v>
      </c>
      <c r="F35" s="477">
        <v>200000</v>
      </c>
      <c r="G35" s="52">
        <v>3</v>
      </c>
      <c r="H35" s="57">
        <v>0</v>
      </c>
      <c r="I35" s="65">
        <v>6.0000000000000036</v>
      </c>
      <c r="J35" s="66">
        <v>8.0000000000000053</v>
      </c>
      <c r="K35" s="66">
        <v>6.0000000000000036</v>
      </c>
      <c r="L35" s="66">
        <v>8.0000000000000053</v>
      </c>
      <c r="M35" s="66">
        <v>4.0000000000000027</v>
      </c>
      <c r="N35" s="66">
        <v>6.0000000000000036</v>
      </c>
      <c r="O35" s="66">
        <v>1</v>
      </c>
      <c r="P35" s="67">
        <v>8</v>
      </c>
      <c r="Q35" s="70" t="e">
        <f ca="1">(#REF!-(YEAR(TODAY())-#REF!))/#REF!</f>
        <v>#REF!</v>
      </c>
      <c r="R35" s="70">
        <f t="shared" ca="1" si="0"/>
        <v>0</v>
      </c>
      <c r="S35" s="74">
        <f t="shared" si="1"/>
        <v>0.94736842105263208</v>
      </c>
      <c r="T35" s="74">
        <f t="shared" si="2"/>
        <v>0.84210526315789525</v>
      </c>
      <c r="U35" s="74">
        <f t="shared" si="3"/>
        <v>0.84210526315789525</v>
      </c>
      <c r="V35" s="74">
        <f t="shared" si="4"/>
        <v>1.4035087719298256</v>
      </c>
      <c r="W35" s="74">
        <f t="shared" si="5"/>
        <v>0.3508771929824564</v>
      </c>
      <c r="X35" s="74">
        <f t="shared" si="6"/>
        <v>0.73684210526315841</v>
      </c>
      <c r="Y35" s="74">
        <f t="shared" si="7"/>
        <v>0.10526315789473684</v>
      </c>
      <c r="Z35" s="75">
        <f t="shared" si="8"/>
        <v>0.84210526315789469</v>
      </c>
      <c r="AA35" s="76">
        <f t="shared" si="9"/>
        <v>0.7</v>
      </c>
      <c r="AB35" s="76">
        <f t="shared" ca="1" si="10"/>
        <v>1</v>
      </c>
      <c r="AC35" s="77">
        <f t="shared" ca="1" si="11"/>
        <v>0.79999999999999993</v>
      </c>
      <c r="AD35" s="359">
        <f t="shared" si="12"/>
        <v>6.070175438596495</v>
      </c>
      <c r="AE35" s="369">
        <f t="shared" ca="1" si="13"/>
        <v>48.56140350877196</v>
      </c>
      <c r="AF35" s="96" t="s">
        <v>261</v>
      </c>
      <c r="AG35" s="113"/>
      <c r="AH35" s="118">
        <v>200000</v>
      </c>
      <c r="AI35" s="115"/>
      <c r="AJ35" s="115"/>
      <c r="AK35" s="115"/>
      <c r="AL35" s="122"/>
      <c r="AM35" s="337">
        <f t="shared" si="14"/>
        <v>200000</v>
      </c>
      <c r="AN35" s="338"/>
      <c r="AO35" s="338"/>
      <c r="AP35" s="338"/>
      <c r="AQ35" s="339"/>
    </row>
    <row r="36" spans="1:43" ht="36" customHeight="1">
      <c r="A36" s="355">
        <v>32</v>
      </c>
      <c r="B36" s="4" t="s">
        <v>5</v>
      </c>
      <c r="C36" s="286" t="s">
        <v>6</v>
      </c>
      <c r="D36" s="5" t="s">
        <v>885</v>
      </c>
      <c r="E36" s="6" t="s">
        <v>912</v>
      </c>
      <c r="F36" s="473">
        <v>42500000</v>
      </c>
      <c r="G36" s="51">
        <v>3</v>
      </c>
      <c r="H36" s="57">
        <v>0</v>
      </c>
      <c r="I36" s="65">
        <v>8</v>
      </c>
      <c r="J36" s="66">
        <v>10</v>
      </c>
      <c r="K36" s="66">
        <v>4</v>
      </c>
      <c r="L36" s="66">
        <v>4</v>
      </c>
      <c r="M36" s="66">
        <v>0</v>
      </c>
      <c r="N36" s="66">
        <v>10</v>
      </c>
      <c r="O36" s="66">
        <v>2</v>
      </c>
      <c r="P36" s="67">
        <v>10</v>
      </c>
      <c r="Q36" s="70" t="e">
        <f ca="1">(#REF!-(YEAR(TODAY())-#REF!))/#REF!</f>
        <v>#REF!</v>
      </c>
      <c r="R36" s="70">
        <f t="shared" ca="1" si="0"/>
        <v>0</v>
      </c>
      <c r="S36" s="74">
        <f t="shared" si="1"/>
        <v>1.263157894736842</v>
      </c>
      <c r="T36" s="74">
        <f t="shared" si="2"/>
        <v>1.0526315789473684</v>
      </c>
      <c r="U36" s="74">
        <f t="shared" si="3"/>
        <v>0.56140350877192979</v>
      </c>
      <c r="V36" s="74">
        <f t="shared" si="4"/>
        <v>0.70175438596491224</v>
      </c>
      <c r="W36" s="74">
        <f t="shared" si="5"/>
        <v>0</v>
      </c>
      <c r="X36" s="74">
        <f t="shared" si="6"/>
        <v>1.2280701754385965</v>
      </c>
      <c r="Y36" s="74">
        <f t="shared" si="7"/>
        <v>0.21052631578947367</v>
      </c>
      <c r="Z36" s="75">
        <f t="shared" si="8"/>
        <v>1.0526315789473684</v>
      </c>
      <c r="AA36" s="76">
        <f t="shared" si="9"/>
        <v>0.7</v>
      </c>
      <c r="AB36" s="76">
        <f t="shared" ca="1" si="10"/>
        <v>1</v>
      </c>
      <c r="AC36" s="77">
        <f t="shared" ca="1" si="11"/>
        <v>0.79999999999999993</v>
      </c>
      <c r="AD36" s="359">
        <f t="shared" si="12"/>
        <v>6.0701754385964906</v>
      </c>
      <c r="AE36" s="369">
        <f t="shared" ca="1" si="13"/>
        <v>48.561403508771917</v>
      </c>
      <c r="AF36" s="95" t="s">
        <v>294</v>
      </c>
      <c r="AG36" s="440"/>
      <c r="AH36" s="118">
        <v>750000</v>
      </c>
      <c r="AI36" s="115"/>
      <c r="AJ36" s="122"/>
      <c r="AK36" s="115"/>
      <c r="AL36" s="122">
        <v>15250239</v>
      </c>
      <c r="AM36" s="337">
        <f t="shared" si="14"/>
        <v>750000</v>
      </c>
      <c r="AN36" s="338"/>
      <c r="AO36" s="338"/>
      <c r="AP36" s="338"/>
      <c r="AQ36" s="339">
        <f t="shared" si="18"/>
        <v>17500000.017528396</v>
      </c>
    </row>
    <row r="37" spans="1:43" ht="36" customHeight="1">
      <c r="A37" s="355">
        <v>33</v>
      </c>
      <c r="B37" s="4" t="s">
        <v>16</v>
      </c>
      <c r="C37" s="286" t="s">
        <v>300</v>
      </c>
      <c r="D37" s="19" t="s">
        <v>974</v>
      </c>
      <c r="E37" s="15" t="s">
        <v>1130</v>
      </c>
      <c r="F37" s="476">
        <v>110000</v>
      </c>
      <c r="G37" s="52">
        <v>2</v>
      </c>
      <c r="H37" s="57">
        <v>0.1</v>
      </c>
      <c r="I37" s="65">
        <v>7</v>
      </c>
      <c r="J37" s="66">
        <v>8</v>
      </c>
      <c r="K37" s="66">
        <v>6</v>
      </c>
      <c r="L37" s="66">
        <v>6</v>
      </c>
      <c r="M37" s="66">
        <v>2</v>
      </c>
      <c r="N37" s="66">
        <v>6</v>
      </c>
      <c r="O37" s="66">
        <v>0</v>
      </c>
      <c r="P37" s="67">
        <v>10</v>
      </c>
      <c r="Q37" s="70" t="e">
        <f ca="1">(#REF!-(YEAR(TODAY())-#REF!))/#REF!</f>
        <v>#REF!</v>
      </c>
      <c r="R37" s="70">
        <f t="shared" ca="1" si="0"/>
        <v>0.1</v>
      </c>
      <c r="S37" s="74">
        <f t="shared" si="1"/>
        <v>1.1052631578947369</v>
      </c>
      <c r="T37" s="74">
        <f t="shared" si="2"/>
        <v>0.84210526315789469</v>
      </c>
      <c r="U37" s="74">
        <f t="shared" si="3"/>
        <v>0.84210526315789469</v>
      </c>
      <c r="V37" s="74">
        <f t="shared" si="4"/>
        <v>1.0526315789473684</v>
      </c>
      <c r="W37" s="74">
        <f t="shared" si="5"/>
        <v>0.17543859649122806</v>
      </c>
      <c r="X37" s="74">
        <f t="shared" si="6"/>
        <v>0.73684210526315785</v>
      </c>
      <c r="Y37" s="74">
        <f t="shared" si="7"/>
        <v>0</v>
      </c>
      <c r="Z37" s="75">
        <f t="shared" si="8"/>
        <v>1.0526315789473684</v>
      </c>
      <c r="AA37" s="76">
        <f t="shared" si="9"/>
        <v>0.8</v>
      </c>
      <c r="AB37" s="76">
        <f t="shared" ca="1" si="10"/>
        <v>0.9</v>
      </c>
      <c r="AC37" s="77">
        <f t="shared" ca="1" si="11"/>
        <v>0.83333333333333337</v>
      </c>
      <c r="AD37" s="359">
        <f t="shared" si="12"/>
        <v>5.8070175438596481</v>
      </c>
      <c r="AE37" s="369">
        <f t="shared" ca="1" si="13"/>
        <v>48.391812865497066</v>
      </c>
      <c r="AF37" s="96" t="s">
        <v>248</v>
      </c>
      <c r="AG37" s="114"/>
      <c r="AH37" s="118">
        <v>110000</v>
      </c>
      <c r="AI37" s="115"/>
      <c r="AJ37" s="122"/>
      <c r="AK37" s="115"/>
      <c r="AL37" s="122"/>
      <c r="AM37" s="337">
        <f t="shared" ref="AM37:AM59" si="19">AH37</f>
        <v>110000</v>
      </c>
      <c r="AN37" s="338"/>
      <c r="AO37" s="338"/>
      <c r="AP37" s="338"/>
      <c r="AQ37" s="339"/>
    </row>
    <row r="38" spans="1:43" ht="36" customHeight="1">
      <c r="A38" s="355">
        <v>34</v>
      </c>
      <c r="B38" s="4" t="s">
        <v>13</v>
      </c>
      <c r="C38" s="286" t="s">
        <v>15</v>
      </c>
      <c r="D38" s="24" t="s">
        <v>965</v>
      </c>
      <c r="E38" s="25" t="s">
        <v>970</v>
      </c>
      <c r="F38" s="473">
        <v>3861585</v>
      </c>
      <c r="G38" s="52">
        <v>3</v>
      </c>
      <c r="H38" s="57">
        <v>0.3</v>
      </c>
      <c r="I38" s="65">
        <v>8</v>
      </c>
      <c r="J38" s="66">
        <v>8</v>
      </c>
      <c r="K38" s="66">
        <v>8</v>
      </c>
      <c r="L38" s="66">
        <v>8</v>
      </c>
      <c r="M38" s="66">
        <v>4</v>
      </c>
      <c r="N38" s="66">
        <v>8</v>
      </c>
      <c r="O38" s="66">
        <v>0</v>
      </c>
      <c r="P38" s="67">
        <v>9</v>
      </c>
      <c r="Q38" s="70" t="e">
        <f ca="1">(#REF!-(YEAR(TODAY())-#REF!))/#REF!</f>
        <v>#REF!</v>
      </c>
      <c r="R38" s="70">
        <f t="shared" ca="1" si="0"/>
        <v>0.3</v>
      </c>
      <c r="S38" s="74">
        <f t="shared" si="1"/>
        <v>1.263157894736842</v>
      </c>
      <c r="T38" s="74">
        <f t="shared" si="2"/>
        <v>0.84210526315789469</v>
      </c>
      <c r="U38" s="74">
        <f t="shared" si="3"/>
        <v>1.1228070175438596</v>
      </c>
      <c r="V38" s="74">
        <f t="shared" si="4"/>
        <v>1.4035087719298245</v>
      </c>
      <c r="W38" s="74">
        <f t="shared" si="5"/>
        <v>0.35087719298245612</v>
      </c>
      <c r="X38" s="74">
        <f t="shared" si="6"/>
        <v>0.98245614035087714</v>
      </c>
      <c r="Y38" s="74">
        <f t="shared" si="7"/>
        <v>0</v>
      </c>
      <c r="Z38" s="75">
        <f t="shared" si="8"/>
        <v>0.94736842105263153</v>
      </c>
      <c r="AA38" s="76">
        <f t="shared" si="9"/>
        <v>0.7</v>
      </c>
      <c r="AB38" s="76">
        <f t="shared" ca="1" si="10"/>
        <v>0.7</v>
      </c>
      <c r="AC38" s="77">
        <f t="shared" ca="1" si="11"/>
        <v>0.69999999999999984</v>
      </c>
      <c r="AD38" s="359">
        <f t="shared" si="12"/>
        <v>6.912280701754387</v>
      </c>
      <c r="AE38" s="369">
        <f t="shared" ca="1" si="13"/>
        <v>48.385964912280699</v>
      </c>
      <c r="AF38" s="96" t="s">
        <v>261</v>
      </c>
      <c r="AG38" s="114"/>
      <c r="AH38" s="118">
        <v>523710</v>
      </c>
      <c r="AI38" s="115">
        <v>3337875</v>
      </c>
      <c r="AJ38" s="122"/>
      <c r="AK38" s="120"/>
      <c r="AL38" s="122"/>
      <c r="AM38" s="337">
        <f t="shared" si="19"/>
        <v>523710</v>
      </c>
      <c r="AN38" s="338">
        <f t="shared" si="17"/>
        <v>3454700.6249999995</v>
      </c>
      <c r="AO38" s="338"/>
      <c r="AP38" s="338"/>
      <c r="AQ38" s="339"/>
    </row>
    <row r="39" spans="1:43" s="209" customFormat="1" ht="36" customHeight="1">
      <c r="A39" s="355">
        <v>35</v>
      </c>
      <c r="B39" s="4" t="s">
        <v>11</v>
      </c>
      <c r="C39" s="286" t="s">
        <v>12</v>
      </c>
      <c r="D39" s="24" t="s">
        <v>852</v>
      </c>
      <c r="E39" s="25" t="s">
        <v>981</v>
      </c>
      <c r="F39" s="476">
        <v>4209000</v>
      </c>
      <c r="G39" s="52">
        <v>2</v>
      </c>
      <c r="H39" s="57">
        <v>0.3</v>
      </c>
      <c r="I39" s="65">
        <v>6.0000000000000036</v>
      </c>
      <c r="J39" s="66">
        <v>6.0000000000000036</v>
      </c>
      <c r="K39" s="66">
        <v>8.0000000000000053</v>
      </c>
      <c r="L39" s="66">
        <v>8.0000000000000053</v>
      </c>
      <c r="M39" s="66">
        <v>7</v>
      </c>
      <c r="N39" s="66">
        <v>6.0000000000000036</v>
      </c>
      <c r="O39" s="66">
        <v>0</v>
      </c>
      <c r="P39" s="67">
        <v>8</v>
      </c>
      <c r="Q39" s="70" t="e">
        <f ca="1">(#REF!-(YEAR(TODAY())-#REF!))/#REF!</f>
        <v>#REF!</v>
      </c>
      <c r="R39" s="70">
        <f t="shared" ca="1" si="0"/>
        <v>0.3</v>
      </c>
      <c r="S39" s="74">
        <f t="shared" si="1"/>
        <v>0.94736842105263208</v>
      </c>
      <c r="T39" s="74">
        <f t="shared" si="2"/>
        <v>0.63157894736842146</v>
      </c>
      <c r="U39" s="74">
        <f t="shared" si="3"/>
        <v>1.1228070175438605</v>
      </c>
      <c r="V39" s="74">
        <f t="shared" si="4"/>
        <v>1.4035087719298256</v>
      </c>
      <c r="W39" s="74">
        <f t="shared" si="5"/>
        <v>0.61403508771929827</v>
      </c>
      <c r="X39" s="74">
        <f t="shared" si="6"/>
        <v>0.73684210526315841</v>
      </c>
      <c r="Y39" s="74">
        <f t="shared" si="7"/>
        <v>0</v>
      </c>
      <c r="Z39" s="75">
        <f t="shared" si="8"/>
        <v>0.84210526315789469</v>
      </c>
      <c r="AA39" s="76">
        <f t="shared" si="9"/>
        <v>0.8</v>
      </c>
      <c r="AB39" s="76">
        <f t="shared" ca="1" si="10"/>
        <v>0.7</v>
      </c>
      <c r="AC39" s="77">
        <f t="shared" ca="1" si="11"/>
        <v>0.76666666666666661</v>
      </c>
      <c r="AD39" s="359">
        <f t="shared" si="12"/>
        <v>6.2982456140350909</v>
      </c>
      <c r="AE39" s="369">
        <f t="shared" ca="1" si="13"/>
        <v>48.286549707602362</v>
      </c>
      <c r="AF39" s="96" t="s">
        <v>261</v>
      </c>
      <c r="AG39" s="114"/>
      <c r="AH39" s="118"/>
      <c r="AI39" s="115">
        <v>4209000</v>
      </c>
      <c r="AJ39" s="115"/>
      <c r="AK39" s="115"/>
      <c r="AL39" s="122"/>
      <c r="AM39" s="340"/>
      <c r="AN39" s="338">
        <f t="shared" si="17"/>
        <v>4356315</v>
      </c>
      <c r="AO39" s="338"/>
      <c r="AP39" s="338"/>
      <c r="AQ39" s="339"/>
    </row>
    <row r="40" spans="1:43" s="260" customFormat="1" ht="36" customHeight="1">
      <c r="A40" s="355">
        <v>36</v>
      </c>
      <c r="B40" s="1" t="s">
        <v>5</v>
      </c>
      <c r="C40" s="285" t="s">
        <v>6</v>
      </c>
      <c r="D40" s="2" t="s">
        <v>825</v>
      </c>
      <c r="E40" s="3" t="s">
        <v>1053</v>
      </c>
      <c r="F40" s="472">
        <v>240000</v>
      </c>
      <c r="G40" s="292">
        <v>3</v>
      </c>
      <c r="H40" s="293">
        <v>0</v>
      </c>
      <c r="I40" s="65">
        <v>6.0000000000000036</v>
      </c>
      <c r="J40" s="66">
        <v>8.0000000000000053</v>
      </c>
      <c r="K40" s="66">
        <v>6</v>
      </c>
      <c r="L40" s="66">
        <v>4.0000000000000027</v>
      </c>
      <c r="M40" s="66">
        <v>3</v>
      </c>
      <c r="N40" s="66">
        <v>7</v>
      </c>
      <c r="O40" s="66">
        <v>7</v>
      </c>
      <c r="P40" s="67">
        <v>8.0000000000000053</v>
      </c>
      <c r="Q40" s="70" t="e">
        <f ca="1">(#REF!-(YEAR(TODAY())-#REF!))/#REF!</f>
        <v>#REF!</v>
      </c>
      <c r="R40" s="70">
        <f t="shared" ca="1" si="0"/>
        <v>0</v>
      </c>
      <c r="S40" s="74">
        <f t="shared" si="1"/>
        <v>0.94736842105263208</v>
      </c>
      <c r="T40" s="74">
        <f t="shared" si="2"/>
        <v>0.84210526315789525</v>
      </c>
      <c r="U40" s="74">
        <f t="shared" si="3"/>
        <v>0.84210526315789469</v>
      </c>
      <c r="V40" s="74">
        <f t="shared" si="4"/>
        <v>0.7017543859649128</v>
      </c>
      <c r="W40" s="74">
        <f t="shared" si="5"/>
        <v>0.26315789473684209</v>
      </c>
      <c r="X40" s="74">
        <f t="shared" si="6"/>
        <v>0.85964912280701755</v>
      </c>
      <c r="Y40" s="74">
        <f t="shared" si="7"/>
        <v>0.73684210526315785</v>
      </c>
      <c r="Z40" s="75">
        <f t="shared" si="8"/>
        <v>0.84210526315789525</v>
      </c>
      <c r="AA40" s="76">
        <f t="shared" si="9"/>
        <v>0.7</v>
      </c>
      <c r="AB40" s="76">
        <f t="shared" ca="1" si="10"/>
        <v>1</v>
      </c>
      <c r="AC40" s="77">
        <f t="shared" ca="1" si="11"/>
        <v>0.79999999999999993</v>
      </c>
      <c r="AD40" s="359">
        <f t="shared" si="12"/>
        <v>6.0350877192982475</v>
      </c>
      <c r="AE40" s="369">
        <f t="shared" ca="1" si="13"/>
        <v>48.280701754385973</v>
      </c>
      <c r="AF40" s="94" t="s">
        <v>248</v>
      </c>
      <c r="AG40" s="440"/>
      <c r="AH40" s="118"/>
      <c r="AI40" s="115">
        <v>240000</v>
      </c>
      <c r="AJ40" s="115"/>
      <c r="AK40" s="115"/>
      <c r="AL40" s="122"/>
      <c r="AM40" s="340"/>
      <c r="AN40" s="338">
        <f t="shared" ref="AN40:AN69" si="20">AI40*(1+Efactor)</f>
        <v>248399.99999999997</v>
      </c>
      <c r="AO40" s="338"/>
      <c r="AP40" s="338"/>
      <c r="AQ40" s="339"/>
    </row>
    <row r="41" spans="1:43" ht="36" customHeight="1">
      <c r="A41" s="355">
        <v>37</v>
      </c>
      <c r="B41" s="1" t="s">
        <v>16</v>
      </c>
      <c r="C41" s="285" t="s">
        <v>299</v>
      </c>
      <c r="D41" s="289" t="s">
        <v>859</v>
      </c>
      <c r="E41" s="290" t="s">
        <v>865</v>
      </c>
      <c r="F41" s="478">
        <v>150000</v>
      </c>
      <c r="G41" s="295">
        <v>2</v>
      </c>
      <c r="H41" s="293">
        <v>0</v>
      </c>
      <c r="I41" s="65">
        <v>5</v>
      </c>
      <c r="J41" s="66">
        <v>6</v>
      </c>
      <c r="K41" s="66">
        <v>2</v>
      </c>
      <c r="L41" s="66">
        <v>8</v>
      </c>
      <c r="M41" s="66">
        <v>2</v>
      </c>
      <c r="N41" s="66">
        <v>10</v>
      </c>
      <c r="O41" s="66">
        <v>0</v>
      </c>
      <c r="P41" s="67">
        <v>10</v>
      </c>
      <c r="Q41" s="294" t="e">
        <f ca="1">(#REF!-(YEAR(TODAY())-#REF!))/#REF!</f>
        <v>#REF!</v>
      </c>
      <c r="R41" s="294">
        <f t="shared" ca="1" si="0"/>
        <v>0</v>
      </c>
      <c r="S41" s="74">
        <f t="shared" si="1"/>
        <v>0.78947368421052633</v>
      </c>
      <c r="T41" s="74">
        <f t="shared" si="2"/>
        <v>0.63157894736842102</v>
      </c>
      <c r="U41" s="74">
        <f t="shared" si="3"/>
        <v>0.2807017543859649</v>
      </c>
      <c r="V41" s="74">
        <f t="shared" si="4"/>
        <v>1.4035087719298245</v>
      </c>
      <c r="W41" s="74">
        <f t="shared" si="5"/>
        <v>0.17543859649122806</v>
      </c>
      <c r="X41" s="74">
        <f t="shared" si="6"/>
        <v>1.2280701754385965</v>
      </c>
      <c r="Y41" s="74">
        <f t="shared" si="7"/>
        <v>0</v>
      </c>
      <c r="Z41" s="75">
        <f t="shared" si="8"/>
        <v>1.0526315789473684</v>
      </c>
      <c r="AA41" s="76">
        <f t="shared" si="9"/>
        <v>0.8</v>
      </c>
      <c r="AB41" s="76">
        <f t="shared" ca="1" si="10"/>
        <v>1</v>
      </c>
      <c r="AC41" s="77">
        <f t="shared" ca="1" si="11"/>
        <v>0.8666666666666667</v>
      </c>
      <c r="AD41" s="358">
        <f t="shared" si="12"/>
        <v>5.5614035087719298</v>
      </c>
      <c r="AE41" s="368">
        <f t="shared" ca="1" si="13"/>
        <v>48.198830409356724</v>
      </c>
      <c r="AF41" s="288" t="s">
        <v>862</v>
      </c>
      <c r="AG41" s="114"/>
      <c r="AH41" s="118">
        <v>150000</v>
      </c>
      <c r="AI41" s="115"/>
      <c r="AJ41" s="115"/>
      <c r="AK41" s="115"/>
      <c r="AL41" s="122"/>
      <c r="AM41" s="337">
        <f t="shared" si="19"/>
        <v>150000</v>
      </c>
      <c r="AN41" s="338"/>
      <c r="AO41" s="338"/>
      <c r="AP41" s="338"/>
      <c r="AQ41" s="339"/>
    </row>
    <row r="42" spans="1:43" ht="36" customHeight="1">
      <c r="A42" s="355">
        <v>38</v>
      </c>
      <c r="B42" s="1" t="s">
        <v>22</v>
      </c>
      <c r="C42" s="285" t="s">
        <v>6</v>
      </c>
      <c r="D42" s="289" t="s">
        <v>33</v>
      </c>
      <c r="E42" s="290" t="s">
        <v>914</v>
      </c>
      <c r="F42" s="474">
        <v>1100000</v>
      </c>
      <c r="G42" s="295">
        <v>3</v>
      </c>
      <c r="H42" s="293">
        <v>0.1</v>
      </c>
      <c r="I42" s="65">
        <v>8.0000000000000053</v>
      </c>
      <c r="J42" s="66">
        <v>8.0000000000000053</v>
      </c>
      <c r="K42" s="66">
        <v>6</v>
      </c>
      <c r="L42" s="66">
        <v>4.0000000000000027</v>
      </c>
      <c r="M42" s="66">
        <v>2</v>
      </c>
      <c r="N42" s="66">
        <v>8.0000000000000053</v>
      </c>
      <c r="O42" s="66">
        <v>6</v>
      </c>
      <c r="P42" s="67">
        <v>8.0000000000000053</v>
      </c>
      <c r="Q42" s="294" t="e">
        <f ca="1">(#REF!-(YEAR(TODAY())-#REF!))/#REF!</f>
        <v>#REF!</v>
      </c>
      <c r="R42" s="294">
        <f t="shared" ca="1" si="0"/>
        <v>0.1</v>
      </c>
      <c r="S42" s="74">
        <f t="shared" si="1"/>
        <v>1.2631578947368429</v>
      </c>
      <c r="T42" s="74">
        <f t="shared" si="2"/>
        <v>0.84210526315789525</v>
      </c>
      <c r="U42" s="74">
        <f t="shared" si="3"/>
        <v>0.84210526315789469</v>
      </c>
      <c r="V42" s="74">
        <f t="shared" si="4"/>
        <v>0.7017543859649128</v>
      </c>
      <c r="W42" s="74">
        <f t="shared" si="5"/>
        <v>0.17543859649122806</v>
      </c>
      <c r="X42" s="74">
        <f t="shared" si="6"/>
        <v>0.9824561403508778</v>
      </c>
      <c r="Y42" s="74">
        <f t="shared" si="7"/>
        <v>0.63157894736842102</v>
      </c>
      <c r="Z42" s="75">
        <f t="shared" si="8"/>
        <v>0.84210526315789525</v>
      </c>
      <c r="AA42" s="76">
        <f t="shared" si="9"/>
        <v>0.7</v>
      </c>
      <c r="AB42" s="76">
        <f t="shared" ca="1" si="10"/>
        <v>0.9</v>
      </c>
      <c r="AC42" s="77">
        <f t="shared" ca="1" si="11"/>
        <v>0.76666666666666661</v>
      </c>
      <c r="AD42" s="358">
        <f t="shared" si="12"/>
        <v>6.2807017543859684</v>
      </c>
      <c r="AE42" s="368">
        <f t="shared" ca="1" si="13"/>
        <v>48.152046783625757</v>
      </c>
      <c r="AF42" s="288" t="s">
        <v>248</v>
      </c>
      <c r="AG42" s="443"/>
      <c r="AH42" s="118"/>
      <c r="AI42" s="115">
        <v>500000</v>
      </c>
      <c r="AJ42" s="115">
        <v>300000</v>
      </c>
      <c r="AK42" s="115">
        <v>300000</v>
      </c>
      <c r="AL42" s="122"/>
      <c r="AM42" s="337"/>
      <c r="AN42" s="338">
        <f t="shared" si="20"/>
        <v>517499.99999999994</v>
      </c>
      <c r="AO42" s="338">
        <f t="shared" ref="AO42:AO68" si="21">AJ42*(1+Efactor)^2</f>
        <v>321367.49999999994</v>
      </c>
      <c r="AP42" s="338">
        <f t="shared" si="16"/>
        <v>332615.36249999993</v>
      </c>
      <c r="AQ42" s="339"/>
    </row>
    <row r="43" spans="1:43" ht="36" customHeight="1">
      <c r="A43" s="355">
        <v>39</v>
      </c>
      <c r="B43" s="4" t="s">
        <v>35</v>
      </c>
      <c r="C43" s="286" t="s">
        <v>6</v>
      </c>
      <c r="D43" s="16" t="s">
        <v>36</v>
      </c>
      <c r="E43" s="18" t="s">
        <v>916</v>
      </c>
      <c r="F43" s="476">
        <v>300000</v>
      </c>
      <c r="G43" s="52">
        <v>1</v>
      </c>
      <c r="H43" s="57">
        <v>0.1</v>
      </c>
      <c r="I43" s="65">
        <v>8.0000000000000053</v>
      </c>
      <c r="J43" s="66">
        <v>4.0000000000000027</v>
      </c>
      <c r="K43" s="66">
        <v>6.0000000000000036</v>
      </c>
      <c r="L43" s="66">
        <v>6.0000000000000036</v>
      </c>
      <c r="M43" s="66">
        <v>0</v>
      </c>
      <c r="N43" s="66">
        <v>4.0000000000000027</v>
      </c>
      <c r="O43" s="66">
        <v>4</v>
      </c>
      <c r="P43" s="67">
        <v>8.0000000000000053</v>
      </c>
      <c r="Q43" s="70" t="e">
        <f ca="1">(#REF!-(YEAR(TODAY())-#REF!))/#REF!</f>
        <v>#REF!</v>
      </c>
      <c r="R43" s="70">
        <f t="shared" ca="1" si="0"/>
        <v>0.1</v>
      </c>
      <c r="S43" s="74">
        <f t="shared" si="1"/>
        <v>1.2631578947368429</v>
      </c>
      <c r="T43" s="74">
        <f t="shared" si="2"/>
        <v>0.42105263157894762</v>
      </c>
      <c r="U43" s="74">
        <f t="shared" si="3"/>
        <v>0.84210526315789525</v>
      </c>
      <c r="V43" s="74">
        <f t="shared" si="4"/>
        <v>1.052631578947369</v>
      </c>
      <c r="W43" s="74">
        <f t="shared" si="5"/>
        <v>0</v>
      </c>
      <c r="X43" s="74">
        <f t="shared" si="6"/>
        <v>0.4912280701754389</v>
      </c>
      <c r="Y43" s="74">
        <f t="shared" si="7"/>
        <v>0.42105263157894735</v>
      </c>
      <c r="Z43" s="75">
        <f t="shared" si="8"/>
        <v>0.84210526315789525</v>
      </c>
      <c r="AA43" s="76">
        <f t="shared" si="9"/>
        <v>0.9</v>
      </c>
      <c r="AB43" s="76">
        <f t="shared" ca="1" si="10"/>
        <v>0.9</v>
      </c>
      <c r="AC43" s="77">
        <f t="shared" ca="1" si="11"/>
        <v>0.9</v>
      </c>
      <c r="AD43" s="359">
        <f t="shared" si="12"/>
        <v>5.3333333333333375</v>
      </c>
      <c r="AE43" s="369">
        <f t="shared" ca="1" si="13"/>
        <v>48.000000000000043</v>
      </c>
      <c r="AF43" s="96" t="s">
        <v>248</v>
      </c>
      <c r="AG43" s="442"/>
      <c r="AH43" s="118"/>
      <c r="AI43" s="115">
        <v>300000</v>
      </c>
      <c r="AJ43" s="115"/>
      <c r="AK43" s="115"/>
      <c r="AL43" s="122"/>
      <c r="AM43" s="337"/>
      <c r="AN43" s="338">
        <f t="shared" si="20"/>
        <v>310500</v>
      </c>
      <c r="AO43" s="338"/>
      <c r="AP43" s="338"/>
      <c r="AQ43" s="339"/>
    </row>
    <row r="44" spans="1:43" ht="36" customHeight="1">
      <c r="A44" s="355">
        <v>40</v>
      </c>
      <c r="B44" s="4" t="s">
        <v>5</v>
      </c>
      <c r="C44" s="286" t="s">
        <v>6</v>
      </c>
      <c r="D44" s="5" t="s">
        <v>316</v>
      </c>
      <c r="E44" s="6" t="s">
        <v>918</v>
      </c>
      <c r="F44" s="473">
        <v>100000</v>
      </c>
      <c r="G44" s="51">
        <v>1</v>
      </c>
      <c r="H44" s="57">
        <v>0</v>
      </c>
      <c r="I44" s="65">
        <v>4</v>
      </c>
      <c r="J44" s="66">
        <v>7</v>
      </c>
      <c r="K44" s="66">
        <v>4</v>
      </c>
      <c r="L44" s="66">
        <v>8</v>
      </c>
      <c r="M44" s="66">
        <v>5</v>
      </c>
      <c r="N44" s="66">
        <v>4</v>
      </c>
      <c r="O44" s="66">
        <v>0</v>
      </c>
      <c r="P44" s="67">
        <v>8</v>
      </c>
      <c r="Q44" s="70" t="e">
        <f ca="1">(#REF!-(YEAR(TODAY())-#REF!))/#REF!</f>
        <v>#REF!</v>
      </c>
      <c r="R44" s="70">
        <f t="shared" ca="1" si="0"/>
        <v>0</v>
      </c>
      <c r="S44" s="74">
        <f t="shared" si="1"/>
        <v>0.63157894736842102</v>
      </c>
      <c r="T44" s="74">
        <f t="shared" si="2"/>
        <v>0.73684210526315785</v>
      </c>
      <c r="U44" s="74">
        <f t="shared" si="3"/>
        <v>0.56140350877192979</v>
      </c>
      <c r="V44" s="74">
        <f t="shared" si="4"/>
        <v>1.4035087719298245</v>
      </c>
      <c r="W44" s="74">
        <f t="shared" si="5"/>
        <v>0.43859649122807015</v>
      </c>
      <c r="X44" s="74">
        <f t="shared" si="6"/>
        <v>0.49122807017543857</v>
      </c>
      <c r="Y44" s="74">
        <f t="shared" si="7"/>
        <v>0</v>
      </c>
      <c r="Z44" s="75">
        <f t="shared" si="8"/>
        <v>0.84210526315789469</v>
      </c>
      <c r="AA44" s="76">
        <f t="shared" si="9"/>
        <v>0.9</v>
      </c>
      <c r="AB44" s="76">
        <f t="shared" ca="1" si="10"/>
        <v>1</v>
      </c>
      <c r="AC44" s="77">
        <f t="shared" ca="1" si="11"/>
        <v>0.93333333333333324</v>
      </c>
      <c r="AD44" s="359">
        <f t="shared" si="12"/>
        <v>5.1052631578947363</v>
      </c>
      <c r="AE44" s="369">
        <f t="shared" ca="1" si="13"/>
        <v>47.649122807017534</v>
      </c>
      <c r="AF44" s="95" t="s">
        <v>248</v>
      </c>
      <c r="AG44" s="441"/>
      <c r="AH44" s="123"/>
      <c r="AI44" s="120">
        <v>100000</v>
      </c>
      <c r="AJ44" s="115"/>
      <c r="AK44" s="115"/>
      <c r="AL44" s="122"/>
      <c r="AM44" s="337"/>
      <c r="AN44" s="338">
        <f t="shared" si="20"/>
        <v>103499.99999999999</v>
      </c>
      <c r="AO44" s="338"/>
      <c r="AP44" s="338"/>
      <c r="AQ44" s="339"/>
    </row>
    <row r="45" spans="1:43" ht="37.5" customHeight="1">
      <c r="A45" s="355">
        <v>41</v>
      </c>
      <c r="B45" s="12" t="s">
        <v>16</v>
      </c>
      <c r="C45" s="344" t="s">
        <v>299</v>
      </c>
      <c r="D45" s="13" t="s">
        <v>993</v>
      </c>
      <c r="E45" s="28" t="s">
        <v>1044</v>
      </c>
      <c r="F45" s="479">
        <v>3032150</v>
      </c>
      <c r="G45" s="51">
        <v>2</v>
      </c>
      <c r="H45" s="57">
        <v>0.2</v>
      </c>
      <c r="I45" s="65">
        <v>8</v>
      </c>
      <c r="J45" s="66">
        <v>8</v>
      </c>
      <c r="K45" s="66">
        <v>2</v>
      </c>
      <c r="L45" s="66">
        <v>6.0000000000000036</v>
      </c>
      <c r="M45" s="66">
        <v>4</v>
      </c>
      <c r="N45" s="66">
        <v>9</v>
      </c>
      <c r="O45" s="66">
        <v>0</v>
      </c>
      <c r="P45" s="67">
        <v>10</v>
      </c>
      <c r="Q45" s="70" t="e">
        <f ca="1">(#REF!-(YEAR(TODAY())-#REF!))/#REF!</f>
        <v>#REF!</v>
      </c>
      <c r="R45" s="70">
        <f t="shared" ca="1" si="0"/>
        <v>0.2</v>
      </c>
      <c r="S45" s="74">
        <f t="shared" si="1"/>
        <v>1.263157894736842</v>
      </c>
      <c r="T45" s="74">
        <f t="shared" si="2"/>
        <v>0.84210526315789469</v>
      </c>
      <c r="U45" s="74">
        <f t="shared" si="3"/>
        <v>0.2807017543859649</v>
      </c>
      <c r="V45" s="74">
        <f t="shared" si="4"/>
        <v>1.052631578947369</v>
      </c>
      <c r="W45" s="74">
        <f t="shared" si="5"/>
        <v>0.35087719298245612</v>
      </c>
      <c r="X45" s="74">
        <f t="shared" si="6"/>
        <v>1.1052631578947369</v>
      </c>
      <c r="Y45" s="74">
        <f t="shared" si="7"/>
        <v>0</v>
      </c>
      <c r="Z45" s="75">
        <f t="shared" si="8"/>
        <v>1.0526315789473684</v>
      </c>
      <c r="AA45" s="76">
        <f t="shared" si="9"/>
        <v>0.8</v>
      </c>
      <c r="AB45" s="76">
        <f t="shared" ca="1" si="10"/>
        <v>0.8</v>
      </c>
      <c r="AC45" s="77">
        <f t="shared" ca="1" si="11"/>
        <v>0.80000000000000016</v>
      </c>
      <c r="AD45" s="359">
        <f t="shared" si="12"/>
        <v>5.9473684210526319</v>
      </c>
      <c r="AE45" s="369">
        <f t="shared" ca="1" si="13"/>
        <v>47.578947368421069</v>
      </c>
      <c r="AF45" s="96" t="s">
        <v>848</v>
      </c>
      <c r="AG45" s="440"/>
      <c r="AH45" s="110"/>
      <c r="AI45" s="346">
        <v>2929614</v>
      </c>
      <c r="AJ45" s="108"/>
      <c r="AK45" s="108"/>
      <c r="AL45" s="389"/>
      <c r="AM45" s="337"/>
      <c r="AN45" s="338">
        <f t="shared" si="20"/>
        <v>3032150.4899999998</v>
      </c>
      <c r="AO45" s="338"/>
      <c r="AP45" s="338"/>
      <c r="AQ45" s="339"/>
    </row>
    <row r="46" spans="1:43" ht="37.5" customHeight="1">
      <c r="A46" s="355">
        <v>42</v>
      </c>
      <c r="B46" s="4" t="s">
        <v>16</v>
      </c>
      <c r="C46" s="286" t="s">
        <v>299</v>
      </c>
      <c r="D46" s="8" t="s">
        <v>850</v>
      </c>
      <c r="E46" s="21" t="s">
        <v>890</v>
      </c>
      <c r="F46" s="476">
        <v>62000</v>
      </c>
      <c r="G46" s="52">
        <v>2</v>
      </c>
      <c r="H46" s="57">
        <v>0.2</v>
      </c>
      <c r="I46" s="65">
        <v>6.0000000000000036</v>
      </c>
      <c r="J46" s="66">
        <v>8</v>
      </c>
      <c r="K46" s="66">
        <v>4.0000000000000027</v>
      </c>
      <c r="L46" s="66">
        <v>8.0000000000000053</v>
      </c>
      <c r="M46" s="66">
        <v>4.0000000000000027</v>
      </c>
      <c r="N46" s="66">
        <v>8.0000000000000053</v>
      </c>
      <c r="O46" s="66">
        <v>0</v>
      </c>
      <c r="P46" s="67">
        <v>8</v>
      </c>
      <c r="Q46" s="70" t="e">
        <f ca="1">(#REF!-(YEAR(TODAY())-#REF!))/#REF!</f>
        <v>#REF!</v>
      </c>
      <c r="R46" s="70">
        <f t="shared" ca="1" si="0"/>
        <v>0.2</v>
      </c>
      <c r="S46" s="74">
        <f t="shared" si="1"/>
        <v>0.94736842105263208</v>
      </c>
      <c r="T46" s="74">
        <f t="shared" si="2"/>
        <v>0.84210526315789469</v>
      </c>
      <c r="U46" s="74">
        <f t="shared" si="3"/>
        <v>0.56140350877193024</v>
      </c>
      <c r="V46" s="74">
        <f t="shared" si="4"/>
        <v>1.4035087719298256</v>
      </c>
      <c r="W46" s="74">
        <f t="shared" si="5"/>
        <v>0.3508771929824564</v>
      </c>
      <c r="X46" s="74">
        <f t="shared" si="6"/>
        <v>0.9824561403508778</v>
      </c>
      <c r="Y46" s="74">
        <f t="shared" si="7"/>
        <v>0</v>
      </c>
      <c r="Z46" s="75">
        <f t="shared" si="8"/>
        <v>0.84210526315789469</v>
      </c>
      <c r="AA46" s="76">
        <f t="shared" si="9"/>
        <v>0.8</v>
      </c>
      <c r="AB46" s="76">
        <f t="shared" ca="1" si="10"/>
        <v>0.8</v>
      </c>
      <c r="AC46" s="77">
        <f t="shared" ca="1" si="11"/>
        <v>0.80000000000000016</v>
      </c>
      <c r="AD46" s="359">
        <f t="shared" si="12"/>
        <v>5.9298245614035112</v>
      </c>
      <c r="AE46" s="369">
        <f t="shared" ca="1" si="13"/>
        <v>47.438596491228104</v>
      </c>
      <c r="AF46" s="96" t="s">
        <v>1200</v>
      </c>
      <c r="AG46" s="443"/>
      <c r="AH46" s="118">
        <v>62000</v>
      </c>
      <c r="AI46" s="115"/>
      <c r="AJ46" s="115"/>
      <c r="AK46" s="115"/>
      <c r="AL46" s="122"/>
      <c r="AM46" s="337">
        <f t="shared" si="19"/>
        <v>62000</v>
      </c>
      <c r="AN46" s="338"/>
      <c r="AO46" s="338"/>
      <c r="AP46" s="338"/>
      <c r="AQ46" s="339"/>
    </row>
    <row r="47" spans="1:43" ht="37.5" customHeight="1">
      <c r="A47" s="355">
        <v>43</v>
      </c>
      <c r="B47" s="12" t="s">
        <v>7</v>
      </c>
      <c r="C47" s="344" t="s">
        <v>6</v>
      </c>
      <c r="D47" s="5" t="s">
        <v>322</v>
      </c>
      <c r="E47" s="6" t="s">
        <v>1055</v>
      </c>
      <c r="F47" s="473">
        <v>1000000</v>
      </c>
      <c r="G47" s="51">
        <v>3</v>
      </c>
      <c r="H47" s="57">
        <v>0.2</v>
      </c>
      <c r="I47" s="65">
        <v>6</v>
      </c>
      <c r="J47" s="66">
        <v>8</v>
      </c>
      <c r="K47" s="66">
        <v>7</v>
      </c>
      <c r="L47" s="66">
        <v>4.0000000000000027</v>
      </c>
      <c r="M47" s="66">
        <v>0</v>
      </c>
      <c r="N47" s="66">
        <v>8.0000000000000053</v>
      </c>
      <c r="O47" s="66">
        <v>9</v>
      </c>
      <c r="P47" s="67">
        <v>9.9999999999999982</v>
      </c>
      <c r="Q47" s="70" t="e">
        <f ca="1">(#REF!-(YEAR(TODAY())-#REF!))/#REF!</f>
        <v>#REF!</v>
      </c>
      <c r="R47" s="70">
        <f t="shared" ca="1" si="0"/>
        <v>0.2</v>
      </c>
      <c r="S47" s="74">
        <f t="shared" si="1"/>
        <v>0.94736842105263153</v>
      </c>
      <c r="T47" s="74">
        <f t="shared" si="2"/>
        <v>0.84210526315789469</v>
      </c>
      <c r="U47" s="74">
        <f t="shared" si="3"/>
        <v>0.98245614035087714</v>
      </c>
      <c r="V47" s="74">
        <f t="shared" si="4"/>
        <v>0.7017543859649128</v>
      </c>
      <c r="W47" s="74">
        <f t="shared" si="5"/>
        <v>0</v>
      </c>
      <c r="X47" s="74">
        <f t="shared" si="6"/>
        <v>0.9824561403508778</v>
      </c>
      <c r="Y47" s="74">
        <f t="shared" si="7"/>
        <v>0.94736842105263153</v>
      </c>
      <c r="Z47" s="75">
        <f t="shared" si="8"/>
        <v>1.0526315789473681</v>
      </c>
      <c r="AA47" s="76">
        <f t="shared" si="9"/>
        <v>0.7</v>
      </c>
      <c r="AB47" s="76">
        <f t="shared" ca="1" si="10"/>
        <v>0.8</v>
      </c>
      <c r="AC47" s="77">
        <f t="shared" ca="1" si="11"/>
        <v>0.73333333333333339</v>
      </c>
      <c r="AD47" s="359">
        <f t="shared" si="12"/>
        <v>6.4561403508771935</v>
      </c>
      <c r="AE47" s="369">
        <f t="shared" ca="1" si="13"/>
        <v>47.345029239766092</v>
      </c>
      <c r="AF47" s="95" t="s">
        <v>296</v>
      </c>
      <c r="AG47" s="440"/>
      <c r="AH47" s="118"/>
      <c r="AI47" s="115">
        <v>1000000</v>
      </c>
      <c r="AJ47" s="115"/>
      <c r="AK47" s="115"/>
      <c r="AL47" s="122"/>
      <c r="AM47" s="337"/>
      <c r="AN47" s="338">
        <f t="shared" si="20"/>
        <v>1034999.9999999999</v>
      </c>
      <c r="AO47" s="338"/>
      <c r="AP47" s="338"/>
      <c r="AQ47" s="339"/>
    </row>
    <row r="48" spans="1:43" ht="36" customHeight="1">
      <c r="A48" s="355">
        <v>44</v>
      </c>
      <c r="B48" s="4" t="s">
        <v>13</v>
      </c>
      <c r="C48" s="286" t="s">
        <v>15</v>
      </c>
      <c r="D48" s="24" t="s">
        <v>966</v>
      </c>
      <c r="E48" s="25" t="s">
        <v>971</v>
      </c>
      <c r="F48" s="473">
        <v>6510150</v>
      </c>
      <c r="G48" s="52">
        <v>4</v>
      </c>
      <c r="H48" s="57">
        <v>0.2</v>
      </c>
      <c r="I48" s="65">
        <v>8</v>
      </c>
      <c r="J48" s="66">
        <v>8</v>
      </c>
      <c r="K48" s="66">
        <v>8</v>
      </c>
      <c r="L48" s="66">
        <v>8</v>
      </c>
      <c r="M48" s="66">
        <v>6</v>
      </c>
      <c r="N48" s="66">
        <v>8</v>
      </c>
      <c r="O48" s="66">
        <v>0</v>
      </c>
      <c r="P48" s="67">
        <v>9</v>
      </c>
      <c r="Q48" s="70" t="e">
        <f ca="1">(#REF!-(YEAR(TODAY())-#REF!))/#REF!</f>
        <v>#REF!</v>
      </c>
      <c r="R48" s="70">
        <f t="shared" ca="1" si="0"/>
        <v>0.2</v>
      </c>
      <c r="S48" s="74">
        <f t="shared" si="1"/>
        <v>1.263157894736842</v>
      </c>
      <c r="T48" s="74">
        <f t="shared" si="2"/>
        <v>0.84210526315789469</v>
      </c>
      <c r="U48" s="74">
        <f t="shared" si="3"/>
        <v>1.1228070175438596</v>
      </c>
      <c r="V48" s="74">
        <f t="shared" si="4"/>
        <v>1.4035087719298245</v>
      </c>
      <c r="W48" s="74">
        <f t="shared" si="5"/>
        <v>0.52631578947368418</v>
      </c>
      <c r="X48" s="74">
        <f t="shared" si="6"/>
        <v>0.98245614035087714</v>
      </c>
      <c r="Y48" s="74">
        <f t="shared" si="7"/>
        <v>0</v>
      </c>
      <c r="Z48" s="75">
        <f t="shared" si="8"/>
        <v>0.94736842105263153</v>
      </c>
      <c r="AA48" s="76">
        <f t="shared" si="9"/>
        <v>0.6</v>
      </c>
      <c r="AB48" s="76">
        <f t="shared" ca="1" si="10"/>
        <v>0.8</v>
      </c>
      <c r="AC48" s="77">
        <f t="shared" ca="1" si="11"/>
        <v>0.66666666666666663</v>
      </c>
      <c r="AD48" s="359">
        <f t="shared" si="12"/>
        <v>7.0877192982456148</v>
      </c>
      <c r="AE48" s="369">
        <f t="shared" ca="1" si="13"/>
        <v>47.251461988304094</v>
      </c>
      <c r="AF48" s="96" t="s">
        <v>261</v>
      </c>
      <c r="AG48" s="442"/>
      <c r="AH48" s="118"/>
      <c r="AI48" s="115">
        <v>1257525</v>
      </c>
      <c r="AJ48" s="115">
        <v>5252625</v>
      </c>
      <c r="AK48" s="115"/>
      <c r="AL48" s="122"/>
      <c r="AM48" s="337"/>
      <c r="AN48" s="338">
        <f t="shared" si="20"/>
        <v>1301538.375</v>
      </c>
      <c r="AO48" s="338">
        <f t="shared" si="21"/>
        <v>5626743.2156249993</v>
      </c>
      <c r="AP48" s="338"/>
      <c r="AQ48" s="339"/>
    </row>
    <row r="49" spans="1:43" ht="36" customHeight="1">
      <c r="A49" s="355">
        <v>45</v>
      </c>
      <c r="B49" s="4" t="s">
        <v>5</v>
      </c>
      <c r="C49" s="286" t="s">
        <v>6</v>
      </c>
      <c r="D49" s="5" t="s">
        <v>67</v>
      </c>
      <c r="E49" s="6" t="s">
        <v>919</v>
      </c>
      <c r="F49" s="473">
        <v>650000</v>
      </c>
      <c r="G49" s="51">
        <v>2</v>
      </c>
      <c r="H49" s="57">
        <v>0</v>
      </c>
      <c r="I49" s="65">
        <v>6.0000000000000036</v>
      </c>
      <c r="J49" s="66">
        <v>8.0000000000000053</v>
      </c>
      <c r="K49" s="66">
        <v>4.0000000000000027</v>
      </c>
      <c r="L49" s="66">
        <v>6.0000000000000036</v>
      </c>
      <c r="M49" s="66">
        <v>4.0000000000000027</v>
      </c>
      <c r="N49" s="66">
        <v>6.0000000000000036</v>
      </c>
      <c r="O49" s="66">
        <v>1</v>
      </c>
      <c r="P49" s="67">
        <v>8</v>
      </c>
      <c r="Q49" s="70" t="e">
        <f ca="1">(#REF!-(YEAR(TODAY())-#REF!))/#REF!</f>
        <v>#REF!</v>
      </c>
      <c r="R49" s="70">
        <f t="shared" ca="1" si="0"/>
        <v>0</v>
      </c>
      <c r="S49" s="74">
        <f t="shared" si="1"/>
        <v>0.94736842105263208</v>
      </c>
      <c r="T49" s="74">
        <f t="shared" si="2"/>
        <v>0.84210526315789525</v>
      </c>
      <c r="U49" s="74">
        <f t="shared" si="3"/>
        <v>0.56140350877193024</v>
      </c>
      <c r="V49" s="74">
        <f t="shared" si="4"/>
        <v>1.052631578947369</v>
      </c>
      <c r="W49" s="74">
        <f t="shared" si="5"/>
        <v>0.3508771929824564</v>
      </c>
      <c r="X49" s="74">
        <f t="shared" si="6"/>
        <v>0.73684210526315841</v>
      </c>
      <c r="Y49" s="74">
        <f t="shared" si="7"/>
        <v>0.10526315789473684</v>
      </c>
      <c r="Z49" s="75">
        <f t="shared" si="8"/>
        <v>0.84210526315789469</v>
      </c>
      <c r="AA49" s="76">
        <f t="shared" si="9"/>
        <v>0.8</v>
      </c>
      <c r="AB49" s="76">
        <f t="shared" ca="1" si="10"/>
        <v>1</v>
      </c>
      <c r="AC49" s="77">
        <f t="shared" ca="1" si="11"/>
        <v>0.8666666666666667</v>
      </c>
      <c r="AD49" s="359">
        <f t="shared" si="12"/>
        <v>5.4385964912280738</v>
      </c>
      <c r="AE49" s="369">
        <f t="shared" ca="1" si="13"/>
        <v>47.13450292397664</v>
      </c>
      <c r="AF49" s="95" t="s">
        <v>248</v>
      </c>
      <c r="AG49" s="441"/>
      <c r="AH49" s="118"/>
      <c r="AI49" s="115">
        <v>200000</v>
      </c>
      <c r="AJ49" s="115"/>
      <c r="AK49" s="115">
        <v>450000</v>
      </c>
      <c r="AL49" s="122"/>
      <c r="AM49" s="340"/>
      <c r="AN49" s="338">
        <f t="shared" si="20"/>
        <v>206999.99999999997</v>
      </c>
      <c r="AO49" s="338"/>
      <c r="AP49" s="338">
        <f t="shared" si="16"/>
        <v>498923.0437499999</v>
      </c>
      <c r="AQ49" s="339"/>
    </row>
    <row r="50" spans="1:43" ht="36" customHeight="1">
      <c r="A50" s="355">
        <v>46</v>
      </c>
      <c r="B50" s="12" t="s">
        <v>7</v>
      </c>
      <c r="C50" s="344" t="s">
        <v>6</v>
      </c>
      <c r="D50" s="5" t="s">
        <v>878</v>
      </c>
      <c r="E50" s="6" t="s">
        <v>1009</v>
      </c>
      <c r="F50" s="480">
        <v>100000</v>
      </c>
      <c r="G50" s="51">
        <v>2</v>
      </c>
      <c r="H50" s="57">
        <v>0</v>
      </c>
      <c r="I50" s="65">
        <v>5</v>
      </c>
      <c r="J50" s="66">
        <v>6</v>
      </c>
      <c r="K50" s="66">
        <v>5</v>
      </c>
      <c r="L50" s="66">
        <v>9</v>
      </c>
      <c r="M50" s="66">
        <v>5</v>
      </c>
      <c r="N50" s="66">
        <v>2</v>
      </c>
      <c r="O50" s="66">
        <v>2</v>
      </c>
      <c r="P50" s="67">
        <v>8</v>
      </c>
      <c r="Q50" s="70" t="e">
        <f ca="1">(#REF!-(YEAR(TODAY())-#REF!))/#REF!</f>
        <v>#REF!</v>
      </c>
      <c r="R50" s="70">
        <f t="shared" ca="1" si="0"/>
        <v>0</v>
      </c>
      <c r="S50" s="74">
        <f t="shared" si="1"/>
        <v>0.78947368421052633</v>
      </c>
      <c r="T50" s="74">
        <f t="shared" si="2"/>
        <v>0.63157894736842102</v>
      </c>
      <c r="U50" s="74">
        <f t="shared" si="3"/>
        <v>0.70175438596491224</v>
      </c>
      <c r="V50" s="74">
        <f t="shared" si="4"/>
        <v>1.5789473684210527</v>
      </c>
      <c r="W50" s="74">
        <f t="shared" si="5"/>
        <v>0.43859649122807015</v>
      </c>
      <c r="X50" s="74">
        <f t="shared" si="6"/>
        <v>0.24561403508771928</v>
      </c>
      <c r="Y50" s="74">
        <f t="shared" si="7"/>
        <v>0.21052631578947367</v>
      </c>
      <c r="Z50" s="75">
        <f t="shared" si="8"/>
        <v>0.84210526315789469</v>
      </c>
      <c r="AA50" s="76">
        <f t="shared" si="9"/>
        <v>0.8</v>
      </c>
      <c r="AB50" s="76">
        <f t="shared" ca="1" si="10"/>
        <v>1</v>
      </c>
      <c r="AC50" s="77">
        <f t="shared" ca="1" si="11"/>
        <v>0.8666666666666667</v>
      </c>
      <c r="AD50" s="359">
        <f t="shared" si="12"/>
        <v>5.4385964912280693</v>
      </c>
      <c r="AE50" s="369">
        <f t="shared" ca="1" si="13"/>
        <v>47.134502923976605</v>
      </c>
      <c r="AF50" s="95" t="s">
        <v>248</v>
      </c>
      <c r="AG50" s="113"/>
      <c r="AH50" s="325"/>
      <c r="AI50" s="108">
        <v>100000</v>
      </c>
      <c r="AJ50" s="108"/>
      <c r="AK50" s="108"/>
      <c r="AL50" s="389"/>
      <c r="AM50" s="337"/>
      <c r="AN50" s="338">
        <f t="shared" si="20"/>
        <v>103499.99999999999</v>
      </c>
      <c r="AO50" s="338"/>
      <c r="AP50" s="338"/>
      <c r="AQ50" s="339"/>
    </row>
    <row r="51" spans="1:43" ht="36" customHeight="1">
      <c r="A51" s="355">
        <v>47</v>
      </c>
      <c r="B51" s="4" t="s">
        <v>5</v>
      </c>
      <c r="C51" s="286" t="s">
        <v>6</v>
      </c>
      <c r="D51" s="5" t="s">
        <v>321</v>
      </c>
      <c r="E51" s="15" t="s">
        <v>917</v>
      </c>
      <c r="F51" s="473">
        <v>350000</v>
      </c>
      <c r="G51" s="51">
        <v>3</v>
      </c>
      <c r="H51" s="57">
        <v>0.1</v>
      </c>
      <c r="I51" s="65">
        <v>6</v>
      </c>
      <c r="J51" s="66">
        <v>8.0000000000000053</v>
      </c>
      <c r="K51" s="66">
        <v>4.0000000000000027</v>
      </c>
      <c r="L51" s="66">
        <v>8</v>
      </c>
      <c r="M51" s="66">
        <v>4.0000000000000027</v>
      </c>
      <c r="N51" s="66">
        <v>8.0000000000000053</v>
      </c>
      <c r="O51" s="66">
        <v>2</v>
      </c>
      <c r="P51" s="67">
        <v>8.0000000000000053</v>
      </c>
      <c r="Q51" s="70" t="e">
        <f ca="1">(#REF!-(YEAR(TODAY())-#REF!))/#REF!</f>
        <v>#REF!</v>
      </c>
      <c r="R51" s="70">
        <f t="shared" ca="1" si="0"/>
        <v>0.1</v>
      </c>
      <c r="S51" s="74">
        <f t="shared" si="1"/>
        <v>0.94736842105263153</v>
      </c>
      <c r="T51" s="74">
        <f t="shared" si="2"/>
        <v>0.84210526315789525</v>
      </c>
      <c r="U51" s="74">
        <f t="shared" si="3"/>
        <v>0.56140350877193024</v>
      </c>
      <c r="V51" s="74">
        <f t="shared" si="4"/>
        <v>1.4035087719298245</v>
      </c>
      <c r="W51" s="74">
        <f t="shared" si="5"/>
        <v>0.3508771929824564</v>
      </c>
      <c r="X51" s="74">
        <f t="shared" si="6"/>
        <v>0.9824561403508778</v>
      </c>
      <c r="Y51" s="74">
        <f t="shared" si="7"/>
        <v>0.21052631578947367</v>
      </c>
      <c r="Z51" s="75">
        <f t="shared" si="8"/>
        <v>0.84210526315789525</v>
      </c>
      <c r="AA51" s="76">
        <f t="shared" si="9"/>
        <v>0.7</v>
      </c>
      <c r="AB51" s="76">
        <f t="shared" ca="1" si="10"/>
        <v>0.9</v>
      </c>
      <c r="AC51" s="77">
        <f t="shared" ca="1" si="11"/>
        <v>0.76666666666666661</v>
      </c>
      <c r="AD51" s="359">
        <f t="shared" si="12"/>
        <v>6.1403508771929847</v>
      </c>
      <c r="AE51" s="369">
        <f t="shared" ca="1" si="13"/>
        <v>47.076023391812882</v>
      </c>
      <c r="AF51" s="95" t="s">
        <v>248</v>
      </c>
      <c r="AG51" s="113"/>
      <c r="AH51" s="119"/>
      <c r="AI51" s="115">
        <v>125000</v>
      </c>
      <c r="AJ51" s="115"/>
      <c r="AK51" s="115"/>
      <c r="AL51" s="122"/>
      <c r="AM51" s="337"/>
      <c r="AN51" s="338">
        <f t="shared" si="20"/>
        <v>129374.99999999999</v>
      </c>
      <c r="AO51" s="338"/>
      <c r="AP51" s="338"/>
      <c r="AQ51" s="339"/>
    </row>
    <row r="52" spans="1:43" ht="36" customHeight="1">
      <c r="A52" s="355">
        <v>48</v>
      </c>
      <c r="B52" s="4" t="s">
        <v>11</v>
      </c>
      <c r="C52" s="286" t="s">
        <v>6</v>
      </c>
      <c r="D52" s="16" t="s">
        <v>80</v>
      </c>
      <c r="E52" s="18" t="s">
        <v>888</v>
      </c>
      <c r="F52" s="476">
        <v>75000</v>
      </c>
      <c r="G52" s="52">
        <v>3</v>
      </c>
      <c r="H52" s="57">
        <v>0</v>
      </c>
      <c r="I52" s="65">
        <v>8.0000000000000053</v>
      </c>
      <c r="J52" s="66">
        <v>4</v>
      </c>
      <c r="K52" s="66">
        <v>6.0000000000000036</v>
      </c>
      <c r="L52" s="66">
        <v>8.0000000000000053</v>
      </c>
      <c r="M52" s="66">
        <v>6</v>
      </c>
      <c r="N52" s="66">
        <v>3</v>
      </c>
      <c r="O52" s="66">
        <v>2</v>
      </c>
      <c r="P52" s="67">
        <v>8.0000000000000053</v>
      </c>
      <c r="Q52" s="70" t="e">
        <f ca="1">(#REF!-(YEAR(TODAY())-#REF!))/#REF!</f>
        <v>#REF!</v>
      </c>
      <c r="R52" s="70">
        <f t="shared" ca="1" si="0"/>
        <v>0</v>
      </c>
      <c r="S52" s="74">
        <f t="shared" si="1"/>
        <v>1.2631578947368429</v>
      </c>
      <c r="T52" s="74">
        <f t="shared" si="2"/>
        <v>0.42105263157894735</v>
      </c>
      <c r="U52" s="74">
        <f t="shared" si="3"/>
        <v>0.84210526315789525</v>
      </c>
      <c r="V52" s="74">
        <f t="shared" si="4"/>
        <v>1.4035087719298256</v>
      </c>
      <c r="W52" s="74">
        <f t="shared" si="5"/>
        <v>0.52631578947368418</v>
      </c>
      <c r="X52" s="74">
        <f t="shared" si="6"/>
        <v>0.36842105263157893</v>
      </c>
      <c r="Y52" s="74">
        <f t="shared" si="7"/>
        <v>0.21052631578947367</v>
      </c>
      <c r="Z52" s="75">
        <f t="shared" si="8"/>
        <v>0.84210526315789525</v>
      </c>
      <c r="AA52" s="76">
        <f t="shared" si="9"/>
        <v>0.7</v>
      </c>
      <c r="AB52" s="76">
        <f t="shared" ca="1" si="10"/>
        <v>1</v>
      </c>
      <c r="AC52" s="77">
        <f t="shared" ca="1" si="11"/>
        <v>0.79999999999999993</v>
      </c>
      <c r="AD52" s="359">
        <f t="shared" si="12"/>
        <v>5.8771929824561431</v>
      </c>
      <c r="AE52" s="369">
        <f t="shared" ca="1" si="13"/>
        <v>47.017543859649145</v>
      </c>
      <c r="AF52" s="96" t="s">
        <v>261</v>
      </c>
      <c r="AG52" s="114"/>
      <c r="AH52" s="118"/>
      <c r="AI52" s="115">
        <v>75000</v>
      </c>
      <c r="AJ52" s="115"/>
      <c r="AK52" s="115"/>
      <c r="AL52" s="122"/>
      <c r="AM52" s="337"/>
      <c r="AN52" s="338">
        <f t="shared" si="20"/>
        <v>77625</v>
      </c>
      <c r="AO52" s="338"/>
      <c r="AP52" s="338"/>
      <c r="AQ52" s="339"/>
    </row>
    <row r="53" spans="1:43" ht="36" customHeight="1">
      <c r="A53" s="355">
        <v>49</v>
      </c>
      <c r="B53" s="4" t="s">
        <v>5</v>
      </c>
      <c r="C53" s="286" t="s">
        <v>6</v>
      </c>
      <c r="D53" s="5" t="s">
        <v>875</v>
      </c>
      <c r="E53" s="6" t="s">
        <v>1006</v>
      </c>
      <c r="F53" s="473">
        <v>260000</v>
      </c>
      <c r="G53" s="51">
        <v>2</v>
      </c>
      <c r="H53" s="57">
        <v>0</v>
      </c>
      <c r="I53" s="65">
        <v>5</v>
      </c>
      <c r="J53" s="66">
        <v>6</v>
      </c>
      <c r="K53" s="66">
        <v>5</v>
      </c>
      <c r="L53" s="66">
        <v>10</v>
      </c>
      <c r="M53" s="66">
        <v>4</v>
      </c>
      <c r="N53" s="66">
        <v>2</v>
      </c>
      <c r="O53" s="66">
        <v>1</v>
      </c>
      <c r="P53" s="67">
        <v>8</v>
      </c>
      <c r="Q53" s="70" t="e">
        <f ca="1">(#REF!-(YEAR(TODAY())-#REF!))/#REF!</f>
        <v>#REF!</v>
      </c>
      <c r="R53" s="70">
        <f t="shared" ca="1" si="0"/>
        <v>0</v>
      </c>
      <c r="S53" s="74">
        <f t="shared" si="1"/>
        <v>0.78947368421052633</v>
      </c>
      <c r="T53" s="74">
        <f t="shared" si="2"/>
        <v>0.63157894736842102</v>
      </c>
      <c r="U53" s="74">
        <f t="shared" si="3"/>
        <v>0.70175438596491224</v>
      </c>
      <c r="V53" s="74">
        <f t="shared" si="4"/>
        <v>1.7543859649122806</v>
      </c>
      <c r="W53" s="74">
        <f t="shared" si="5"/>
        <v>0.35087719298245612</v>
      </c>
      <c r="X53" s="74">
        <f t="shared" si="6"/>
        <v>0.24561403508771928</v>
      </c>
      <c r="Y53" s="74">
        <f t="shared" si="7"/>
        <v>0.10526315789473684</v>
      </c>
      <c r="Z53" s="75">
        <f t="shared" si="8"/>
        <v>0.84210526315789469</v>
      </c>
      <c r="AA53" s="76">
        <f t="shared" si="9"/>
        <v>0.8</v>
      </c>
      <c r="AB53" s="76">
        <f t="shared" ca="1" si="10"/>
        <v>1</v>
      </c>
      <c r="AC53" s="77">
        <f t="shared" ca="1" si="11"/>
        <v>0.8666666666666667</v>
      </c>
      <c r="AD53" s="359">
        <f t="shared" si="12"/>
        <v>5.4210526315789478</v>
      </c>
      <c r="AE53" s="369">
        <f t="shared" ca="1" si="13"/>
        <v>46.982456140350884</v>
      </c>
      <c r="AF53" s="95" t="s">
        <v>266</v>
      </c>
      <c r="AG53" s="440"/>
      <c r="AH53" s="110"/>
      <c r="AI53" s="108">
        <v>260000</v>
      </c>
      <c r="AJ53" s="108"/>
      <c r="AK53" s="108"/>
      <c r="AL53" s="389"/>
      <c r="AM53" s="337"/>
      <c r="AN53" s="338">
        <f t="shared" si="20"/>
        <v>269100</v>
      </c>
      <c r="AO53" s="338"/>
      <c r="AP53" s="338"/>
      <c r="AQ53" s="339"/>
    </row>
    <row r="54" spans="1:43" ht="36" customHeight="1">
      <c r="A54" s="355">
        <v>50</v>
      </c>
      <c r="B54" s="4" t="s">
        <v>10</v>
      </c>
      <c r="C54" s="286" t="s">
        <v>6</v>
      </c>
      <c r="D54" s="16" t="s">
        <v>31</v>
      </c>
      <c r="E54" s="18" t="s">
        <v>32</v>
      </c>
      <c r="F54" s="473">
        <v>123000</v>
      </c>
      <c r="G54" s="52">
        <v>3</v>
      </c>
      <c r="H54" s="57">
        <v>0.1</v>
      </c>
      <c r="I54" s="65">
        <v>8.0000000000000053</v>
      </c>
      <c r="J54" s="66">
        <v>4.0000000000000027</v>
      </c>
      <c r="K54" s="66">
        <v>4.0000000000000027</v>
      </c>
      <c r="L54" s="66">
        <v>9</v>
      </c>
      <c r="M54" s="66">
        <v>7.0000000000000044</v>
      </c>
      <c r="N54" s="66">
        <v>6.0000000000000036</v>
      </c>
      <c r="O54" s="66">
        <v>1</v>
      </c>
      <c r="P54" s="67">
        <v>8.0000000000000053</v>
      </c>
      <c r="Q54" s="70" t="e">
        <f ca="1">(#REF!-(YEAR(TODAY())-#REF!))/#REF!</f>
        <v>#REF!</v>
      </c>
      <c r="R54" s="70">
        <f t="shared" ca="1" si="0"/>
        <v>0.1</v>
      </c>
      <c r="S54" s="74">
        <f t="shared" si="1"/>
        <v>1.2631578947368429</v>
      </c>
      <c r="T54" s="74">
        <f t="shared" si="2"/>
        <v>0.42105263157894762</v>
      </c>
      <c r="U54" s="74">
        <f t="shared" si="3"/>
        <v>0.56140350877193024</v>
      </c>
      <c r="V54" s="74">
        <f t="shared" si="4"/>
        <v>1.5789473684210527</v>
      </c>
      <c r="W54" s="74">
        <f t="shared" si="5"/>
        <v>0.6140350877192986</v>
      </c>
      <c r="X54" s="74">
        <f t="shared" si="6"/>
        <v>0.73684210526315841</v>
      </c>
      <c r="Y54" s="74">
        <f t="shared" si="7"/>
        <v>0.10526315789473684</v>
      </c>
      <c r="Z54" s="75">
        <f t="shared" si="8"/>
        <v>0.84210526315789525</v>
      </c>
      <c r="AA54" s="76">
        <f t="shared" si="9"/>
        <v>0.7</v>
      </c>
      <c r="AB54" s="76">
        <f t="shared" ca="1" si="10"/>
        <v>0.9</v>
      </c>
      <c r="AC54" s="77">
        <f t="shared" ca="1" si="11"/>
        <v>0.76666666666666661</v>
      </c>
      <c r="AD54" s="359">
        <f t="shared" si="12"/>
        <v>6.1228070175438631</v>
      </c>
      <c r="AE54" s="369">
        <f t="shared" ca="1" si="13"/>
        <v>46.941520467836284</v>
      </c>
      <c r="AF54" s="96" t="s">
        <v>248</v>
      </c>
      <c r="AG54" s="442"/>
      <c r="AH54" s="118"/>
      <c r="AI54" s="115">
        <v>123000</v>
      </c>
      <c r="AJ54" s="115"/>
      <c r="AK54" s="115"/>
      <c r="AL54" s="122"/>
      <c r="AM54" s="337"/>
      <c r="AN54" s="338">
        <f t="shared" si="20"/>
        <v>127304.99999999999</v>
      </c>
      <c r="AO54" s="338"/>
      <c r="AP54" s="338"/>
      <c r="AQ54" s="339"/>
    </row>
    <row r="55" spans="1:43" ht="36" customHeight="1">
      <c r="A55" s="355">
        <v>51</v>
      </c>
      <c r="B55" s="4" t="s">
        <v>13</v>
      </c>
      <c r="C55" s="286" t="s">
        <v>15</v>
      </c>
      <c r="D55" s="116" t="s">
        <v>1161</v>
      </c>
      <c r="E55" s="22" t="s">
        <v>1165</v>
      </c>
      <c r="F55" s="476">
        <v>380000</v>
      </c>
      <c r="G55" s="52">
        <v>3</v>
      </c>
      <c r="H55" s="57">
        <v>0.2</v>
      </c>
      <c r="I55" s="65">
        <v>6.0000000000000036</v>
      </c>
      <c r="J55" s="66">
        <v>8.0000000000000053</v>
      </c>
      <c r="K55" s="66">
        <v>6.0000000000000036</v>
      </c>
      <c r="L55" s="66">
        <v>8.0000000000000053</v>
      </c>
      <c r="M55" s="66">
        <v>4.0000000000000027</v>
      </c>
      <c r="N55" s="66">
        <v>6.0000000000000036</v>
      </c>
      <c r="O55" s="66">
        <v>2</v>
      </c>
      <c r="P55" s="67">
        <v>10</v>
      </c>
      <c r="Q55" s="70" t="e">
        <f ca="1">(#REF!-(YEAR(TODAY())-#REF!))/#REF!</f>
        <v>#REF!</v>
      </c>
      <c r="R55" s="70">
        <f t="shared" ca="1" si="0"/>
        <v>0.2</v>
      </c>
      <c r="S55" s="74">
        <f t="shared" si="1"/>
        <v>0.94736842105263208</v>
      </c>
      <c r="T55" s="74">
        <f t="shared" si="2"/>
        <v>0.84210526315789525</v>
      </c>
      <c r="U55" s="74">
        <f t="shared" si="3"/>
        <v>0.84210526315789525</v>
      </c>
      <c r="V55" s="74">
        <f t="shared" si="4"/>
        <v>1.4035087719298256</v>
      </c>
      <c r="W55" s="74">
        <f t="shared" si="5"/>
        <v>0.3508771929824564</v>
      </c>
      <c r="X55" s="74">
        <f t="shared" si="6"/>
        <v>0.73684210526315841</v>
      </c>
      <c r="Y55" s="74">
        <f t="shared" si="7"/>
        <v>0.21052631578947367</v>
      </c>
      <c r="Z55" s="75">
        <f t="shared" si="8"/>
        <v>1.0526315789473684</v>
      </c>
      <c r="AA55" s="76">
        <f t="shared" si="9"/>
        <v>0.7</v>
      </c>
      <c r="AB55" s="76">
        <f t="shared" ca="1" si="10"/>
        <v>0.8</v>
      </c>
      <c r="AC55" s="77">
        <f t="shared" ca="1" si="11"/>
        <v>0.73333333333333339</v>
      </c>
      <c r="AD55" s="359">
        <f t="shared" si="12"/>
        <v>6.3859649122807047</v>
      </c>
      <c r="AE55" s="369">
        <f t="shared" ca="1" si="13"/>
        <v>46.83040935672517</v>
      </c>
      <c r="AF55" s="96" t="s">
        <v>261</v>
      </c>
      <c r="AG55" s="442"/>
      <c r="AH55" s="118">
        <v>120000</v>
      </c>
      <c r="AI55" s="115"/>
      <c r="AJ55" s="115"/>
      <c r="AK55" s="115">
        <v>130000</v>
      </c>
      <c r="AL55" s="122">
        <v>130000</v>
      </c>
      <c r="AM55" s="337">
        <f t="shared" si="19"/>
        <v>120000</v>
      </c>
      <c r="AN55" s="338"/>
      <c r="AO55" s="338"/>
      <c r="AP55" s="338">
        <f t="shared" si="16"/>
        <v>144133.32374999995</v>
      </c>
      <c r="AQ55" s="339">
        <f t="shared" ref="AQ55" si="22">AL55*(1+Efactor)^4</f>
        <v>149177.99008124997</v>
      </c>
    </row>
    <row r="56" spans="1:43" ht="36" customHeight="1">
      <c r="A56" s="355">
        <v>52</v>
      </c>
      <c r="B56" s="4" t="s">
        <v>11</v>
      </c>
      <c r="C56" s="286" t="s">
        <v>300</v>
      </c>
      <c r="D56" s="8" t="s">
        <v>1149</v>
      </c>
      <c r="E56" s="21" t="s">
        <v>1153</v>
      </c>
      <c r="F56" s="476">
        <v>130000</v>
      </c>
      <c r="G56" s="52">
        <v>3</v>
      </c>
      <c r="H56" s="57">
        <v>0.1</v>
      </c>
      <c r="I56" s="65">
        <v>6.0000000000000036</v>
      </c>
      <c r="J56" s="66">
        <v>8</v>
      </c>
      <c r="K56" s="66">
        <v>6.0000000000000036</v>
      </c>
      <c r="L56" s="66">
        <v>8.0000000000000053</v>
      </c>
      <c r="M56" s="66">
        <v>4.0000000000000027</v>
      </c>
      <c r="N56" s="66">
        <v>6.0000000000000036</v>
      </c>
      <c r="O56" s="66">
        <v>1</v>
      </c>
      <c r="P56" s="67">
        <v>8</v>
      </c>
      <c r="Q56" s="70" t="e">
        <f ca="1">(#REF!-(YEAR(TODAY())-#REF!))/#REF!</f>
        <v>#REF!</v>
      </c>
      <c r="R56" s="70">
        <f t="shared" ca="1" si="0"/>
        <v>0.1</v>
      </c>
      <c r="S56" s="74">
        <f t="shared" si="1"/>
        <v>0.94736842105263208</v>
      </c>
      <c r="T56" s="74">
        <f t="shared" si="2"/>
        <v>0.84210526315789469</v>
      </c>
      <c r="U56" s="74">
        <f t="shared" si="3"/>
        <v>0.84210526315789525</v>
      </c>
      <c r="V56" s="74">
        <f t="shared" si="4"/>
        <v>1.4035087719298256</v>
      </c>
      <c r="W56" s="74">
        <f t="shared" si="5"/>
        <v>0.3508771929824564</v>
      </c>
      <c r="X56" s="74">
        <f t="shared" si="6"/>
        <v>0.73684210526315841</v>
      </c>
      <c r="Y56" s="74">
        <f t="shared" si="7"/>
        <v>0.10526315789473684</v>
      </c>
      <c r="Z56" s="75">
        <f t="shared" si="8"/>
        <v>0.84210526315789469</v>
      </c>
      <c r="AA56" s="76">
        <f t="shared" si="9"/>
        <v>0.7</v>
      </c>
      <c r="AB56" s="76">
        <f t="shared" ca="1" si="10"/>
        <v>0.9</v>
      </c>
      <c r="AC56" s="77">
        <f t="shared" ca="1" si="11"/>
        <v>0.76666666666666661</v>
      </c>
      <c r="AD56" s="359">
        <f t="shared" si="12"/>
        <v>6.0701754385964941</v>
      </c>
      <c r="AE56" s="369">
        <f t="shared" ca="1" si="13"/>
        <v>46.538011695906448</v>
      </c>
      <c r="AF56" s="96" t="s">
        <v>261</v>
      </c>
      <c r="AG56" s="442"/>
      <c r="AH56" s="118"/>
      <c r="AI56" s="345">
        <v>130000</v>
      </c>
      <c r="AJ56" s="115"/>
      <c r="AK56" s="115"/>
      <c r="AL56" s="122"/>
      <c r="AM56" s="337"/>
      <c r="AN56" s="338">
        <f t="shared" si="20"/>
        <v>134550</v>
      </c>
      <c r="AO56" s="338"/>
      <c r="AP56" s="338"/>
      <c r="AQ56" s="339"/>
    </row>
    <row r="57" spans="1:43" ht="36" customHeight="1">
      <c r="A57" s="355">
        <v>53</v>
      </c>
      <c r="B57" s="4" t="s">
        <v>8</v>
      </c>
      <c r="C57" s="286" t="s">
        <v>9</v>
      </c>
      <c r="D57" s="8" t="s">
        <v>221</v>
      </c>
      <c r="E57" s="15" t="s">
        <v>889</v>
      </c>
      <c r="F57" s="476">
        <v>300000</v>
      </c>
      <c r="G57" s="52">
        <v>2</v>
      </c>
      <c r="H57" s="57">
        <v>0</v>
      </c>
      <c r="I57" s="65">
        <v>4.0000000000000027</v>
      </c>
      <c r="J57" s="66">
        <v>6.0000000000000036</v>
      </c>
      <c r="K57" s="66">
        <v>4.0000000000000027</v>
      </c>
      <c r="L57" s="66">
        <v>6.0000000000000036</v>
      </c>
      <c r="M57" s="66">
        <v>8.0000000000000053</v>
      </c>
      <c r="N57" s="66">
        <v>6.0000000000000036</v>
      </c>
      <c r="O57" s="66">
        <v>0</v>
      </c>
      <c r="P57" s="67">
        <v>10</v>
      </c>
      <c r="Q57" s="70" t="e">
        <f ca="1">(#REF!-(YEAR(TODAY())-#REF!))/#REF!</f>
        <v>#REF!</v>
      </c>
      <c r="R57" s="70">
        <f t="shared" ca="1" si="0"/>
        <v>0</v>
      </c>
      <c r="S57" s="74">
        <f t="shared" si="1"/>
        <v>0.63157894736842146</v>
      </c>
      <c r="T57" s="74">
        <f t="shared" si="2"/>
        <v>0.63157894736842146</v>
      </c>
      <c r="U57" s="74">
        <f t="shared" si="3"/>
        <v>0.56140350877193024</v>
      </c>
      <c r="V57" s="74">
        <f t="shared" si="4"/>
        <v>1.052631578947369</v>
      </c>
      <c r="W57" s="74">
        <f t="shared" si="5"/>
        <v>0.7017543859649128</v>
      </c>
      <c r="X57" s="74">
        <f t="shared" si="6"/>
        <v>0.73684210526315841</v>
      </c>
      <c r="Y57" s="74">
        <f t="shared" si="7"/>
        <v>0</v>
      </c>
      <c r="Z57" s="75">
        <f t="shared" si="8"/>
        <v>1.0526315789473684</v>
      </c>
      <c r="AA57" s="76">
        <f t="shared" si="9"/>
        <v>0.8</v>
      </c>
      <c r="AB57" s="76">
        <f t="shared" ca="1" si="10"/>
        <v>1</v>
      </c>
      <c r="AC57" s="77">
        <f t="shared" ca="1" si="11"/>
        <v>0.8666666666666667</v>
      </c>
      <c r="AD57" s="359">
        <f t="shared" si="12"/>
        <v>5.3684210526315814</v>
      </c>
      <c r="AE57" s="369">
        <f t="shared" ca="1" si="13"/>
        <v>46.526315789473706</v>
      </c>
      <c r="AF57" s="96" t="s">
        <v>261</v>
      </c>
      <c r="AG57" s="442"/>
      <c r="AH57" s="118"/>
      <c r="AI57" s="115">
        <v>100000</v>
      </c>
      <c r="AJ57" s="115"/>
      <c r="AK57" s="115"/>
      <c r="AL57" s="122"/>
      <c r="AM57" s="337"/>
      <c r="AN57" s="338">
        <f t="shared" si="20"/>
        <v>103499.99999999999</v>
      </c>
      <c r="AO57" s="338"/>
      <c r="AP57" s="338"/>
      <c r="AQ57" s="339"/>
    </row>
    <row r="58" spans="1:43" ht="36" customHeight="1">
      <c r="A58" s="355">
        <v>54</v>
      </c>
      <c r="B58" s="4" t="s">
        <v>16</v>
      </c>
      <c r="C58" s="286" t="s">
        <v>300</v>
      </c>
      <c r="D58" s="19" t="s">
        <v>879</v>
      </c>
      <c r="E58" s="11" t="s">
        <v>1131</v>
      </c>
      <c r="F58" s="476">
        <v>300000</v>
      </c>
      <c r="G58" s="52">
        <v>2</v>
      </c>
      <c r="H58" s="57">
        <v>0.2</v>
      </c>
      <c r="I58" s="65">
        <v>8.0000000000000053</v>
      </c>
      <c r="J58" s="66">
        <v>8</v>
      </c>
      <c r="K58" s="66">
        <v>4</v>
      </c>
      <c r="L58" s="66">
        <v>8.0000000000000053</v>
      </c>
      <c r="M58" s="66">
        <v>4</v>
      </c>
      <c r="N58" s="66">
        <v>6</v>
      </c>
      <c r="O58" s="66">
        <v>0</v>
      </c>
      <c r="P58" s="67">
        <v>6.0000000000000036</v>
      </c>
      <c r="Q58" s="70" t="e">
        <f ca="1">(#REF!-(YEAR(TODAY())-#REF!))/#REF!</f>
        <v>#REF!</v>
      </c>
      <c r="R58" s="70">
        <f t="shared" ca="1" si="0"/>
        <v>0.2</v>
      </c>
      <c r="S58" s="74">
        <f t="shared" si="1"/>
        <v>1.2631578947368429</v>
      </c>
      <c r="T58" s="74">
        <f t="shared" si="2"/>
        <v>0.84210526315789469</v>
      </c>
      <c r="U58" s="74">
        <f t="shared" si="3"/>
        <v>0.56140350877192979</v>
      </c>
      <c r="V58" s="74">
        <f t="shared" si="4"/>
        <v>1.4035087719298256</v>
      </c>
      <c r="W58" s="74">
        <f t="shared" si="5"/>
        <v>0.35087719298245612</v>
      </c>
      <c r="X58" s="74">
        <f t="shared" si="6"/>
        <v>0.73684210526315785</v>
      </c>
      <c r="Y58" s="74">
        <f t="shared" si="7"/>
        <v>0</v>
      </c>
      <c r="Z58" s="75">
        <f t="shared" si="8"/>
        <v>0.63157894736842146</v>
      </c>
      <c r="AA58" s="76">
        <f t="shared" si="9"/>
        <v>0.8</v>
      </c>
      <c r="AB58" s="76">
        <f t="shared" ca="1" si="10"/>
        <v>0.8</v>
      </c>
      <c r="AC58" s="77">
        <f t="shared" ca="1" si="11"/>
        <v>0.80000000000000016</v>
      </c>
      <c r="AD58" s="359">
        <f t="shared" si="12"/>
        <v>5.7894736842105283</v>
      </c>
      <c r="AE58" s="369">
        <f t="shared" ca="1" si="13"/>
        <v>46.315789473684241</v>
      </c>
      <c r="AF58" s="96" t="s">
        <v>248</v>
      </c>
      <c r="AG58" s="442"/>
      <c r="AH58" s="118"/>
      <c r="AI58" s="115">
        <v>300000</v>
      </c>
      <c r="AJ58" s="115"/>
      <c r="AK58" s="115"/>
      <c r="AL58" s="122"/>
      <c r="AM58" s="337"/>
      <c r="AN58" s="338">
        <f t="shared" si="20"/>
        <v>310500</v>
      </c>
      <c r="AO58" s="338"/>
      <c r="AP58" s="338"/>
      <c r="AQ58" s="339"/>
    </row>
    <row r="59" spans="1:43" ht="36" customHeight="1">
      <c r="A59" s="355">
        <v>55</v>
      </c>
      <c r="B59" s="1" t="s">
        <v>14</v>
      </c>
      <c r="C59" s="285" t="s">
        <v>298</v>
      </c>
      <c r="D59" s="10" t="s">
        <v>867</v>
      </c>
      <c r="E59" s="364" t="s">
        <v>997</v>
      </c>
      <c r="F59" s="472">
        <v>90000</v>
      </c>
      <c r="G59" s="292">
        <v>1</v>
      </c>
      <c r="H59" s="293">
        <v>0.1</v>
      </c>
      <c r="I59" s="65">
        <v>4.0000000000000027</v>
      </c>
      <c r="J59" s="66">
        <v>9.0000000000000018</v>
      </c>
      <c r="K59" s="66">
        <v>1</v>
      </c>
      <c r="L59" s="66">
        <v>8.0000000000000053</v>
      </c>
      <c r="M59" s="66">
        <v>1</v>
      </c>
      <c r="N59" s="66">
        <v>8.0000000000000053</v>
      </c>
      <c r="O59" s="66">
        <v>0</v>
      </c>
      <c r="P59" s="67">
        <v>9.0000000000000018</v>
      </c>
      <c r="Q59" s="294" t="e">
        <f ca="1">(#REF!-(YEAR(TODAY())-#REF!))/#REF!</f>
        <v>#REF!</v>
      </c>
      <c r="R59" s="294">
        <f t="shared" ca="1" si="0"/>
        <v>0.1</v>
      </c>
      <c r="S59" s="74">
        <f t="shared" si="1"/>
        <v>0.63157894736842146</v>
      </c>
      <c r="T59" s="74">
        <f t="shared" si="2"/>
        <v>0.94736842105263186</v>
      </c>
      <c r="U59" s="74">
        <f t="shared" si="3"/>
        <v>0.14035087719298245</v>
      </c>
      <c r="V59" s="74">
        <f t="shared" si="4"/>
        <v>1.4035087719298256</v>
      </c>
      <c r="W59" s="74">
        <f t="shared" si="5"/>
        <v>8.771929824561403E-2</v>
      </c>
      <c r="X59" s="74">
        <f t="shared" si="6"/>
        <v>0.9824561403508778</v>
      </c>
      <c r="Y59" s="74">
        <f t="shared" si="7"/>
        <v>0</v>
      </c>
      <c r="Z59" s="75">
        <f t="shared" si="8"/>
        <v>0.94736842105263186</v>
      </c>
      <c r="AA59" s="76">
        <f t="shared" si="9"/>
        <v>0.9</v>
      </c>
      <c r="AB59" s="76">
        <f t="shared" ca="1" si="10"/>
        <v>0.9</v>
      </c>
      <c r="AC59" s="77">
        <f t="shared" ca="1" si="11"/>
        <v>0.9</v>
      </c>
      <c r="AD59" s="358">
        <f t="shared" si="12"/>
        <v>5.1403508771929847</v>
      </c>
      <c r="AE59" s="368">
        <f t="shared" ca="1" si="13"/>
        <v>46.263157894736864</v>
      </c>
      <c r="AF59" s="94" t="s">
        <v>1200</v>
      </c>
      <c r="AG59" s="113"/>
      <c r="AH59" s="118">
        <v>45000</v>
      </c>
      <c r="AI59" s="115">
        <v>45000</v>
      </c>
      <c r="AJ59" s="115"/>
      <c r="AK59" s="115"/>
      <c r="AL59" s="122"/>
      <c r="AM59" s="337">
        <f t="shared" si="19"/>
        <v>45000</v>
      </c>
      <c r="AN59" s="338">
        <f t="shared" si="20"/>
        <v>46575</v>
      </c>
      <c r="AO59" s="338"/>
      <c r="AP59" s="338"/>
      <c r="AQ59" s="339"/>
    </row>
    <row r="60" spans="1:43" ht="36" customHeight="1">
      <c r="A60" s="355">
        <v>56</v>
      </c>
      <c r="B60" s="12" t="s">
        <v>7</v>
      </c>
      <c r="C60" s="344" t="s">
        <v>6</v>
      </c>
      <c r="D60" s="5" t="s">
        <v>1175</v>
      </c>
      <c r="E60" s="9" t="s">
        <v>1176</v>
      </c>
      <c r="F60" s="473">
        <v>100000</v>
      </c>
      <c r="G60" s="52">
        <v>2</v>
      </c>
      <c r="H60" s="57">
        <v>0.1</v>
      </c>
      <c r="I60" s="65">
        <v>6</v>
      </c>
      <c r="J60" s="66">
        <v>8.0000000000000053</v>
      </c>
      <c r="K60" s="66">
        <v>4</v>
      </c>
      <c r="L60" s="66">
        <v>7</v>
      </c>
      <c r="M60" s="66">
        <v>0</v>
      </c>
      <c r="N60" s="66">
        <v>8.0000000000000053</v>
      </c>
      <c r="O60" s="66">
        <v>1</v>
      </c>
      <c r="P60" s="67">
        <v>8</v>
      </c>
      <c r="Q60" s="70" t="e">
        <f ca="1">(#REF!-(YEAR(TODAY())-#REF!))/#REF!</f>
        <v>#REF!</v>
      </c>
      <c r="R60" s="70">
        <f t="shared" ca="1" si="0"/>
        <v>0.1</v>
      </c>
      <c r="S60" s="74">
        <f t="shared" si="1"/>
        <v>0.94736842105263153</v>
      </c>
      <c r="T60" s="74">
        <f t="shared" si="2"/>
        <v>0.84210526315789525</v>
      </c>
      <c r="U60" s="74">
        <f t="shared" si="3"/>
        <v>0.56140350877192979</v>
      </c>
      <c r="V60" s="74">
        <f t="shared" si="4"/>
        <v>1.2280701754385965</v>
      </c>
      <c r="W60" s="74">
        <f t="shared" si="5"/>
        <v>0</v>
      </c>
      <c r="X60" s="74">
        <f t="shared" si="6"/>
        <v>0.9824561403508778</v>
      </c>
      <c r="Y60" s="74">
        <f t="shared" si="7"/>
        <v>0.10526315789473684</v>
      </c>
      <c r="Z60" s="75">
        <f t="shared" si="8"/>
        <v>0.84210526315789469</v>
      </c>
      <c r="AA60" s="76">
        <f t="shared" si="9"/>
        <v>0.8</v>
      </c>
      <c r="AB60" s="76">
        <f t="shared" ca="1" si="10"/>
        <v>0.9</v>
      </c>
      <c r="AC60" s="77">
        <f t="shared" ca="1" si="11"/>
        <v>0.83333333333333337</v>
      </c>
      <c r="AD60" s="359">
        <f t="shared" si="12"/>
        <v>5.5087719298245625</v>
      </c>
      <c r="AE60" s="369">
        <f t="shared" ca="1" si="13"/>
        <v>45.906432748538023</v>
      </c>
      <c r="AF60" s="96" t="s">
        <v>295</v>
      </c>
      <c r="AG60" s="114"/>
      <c r="AH60" s="118"/>
      <c r="AI60" s="115">
        <v>100000</v>
      </c>
      <c r="AJ60" s="115"/>
      <c r="AK60" s="115"/>
      <c r="AL60" s="122"/>
      <c r="AM60" s="337"/>
      <c r="AN60" s="338">
        <f t="shared" si="20"/>
        <v>103499.99999999999</v>
      </c>
      <c r="AO60" s="338"/>
      <c r="AP60" s="338"/>
      <c r="AQ60" s="339"/>
    </row>
    <row r="61" spans="1:43" s="209" customFormat="1" ht="36" customHeight="1">
      <c r="A61" s="355">
        <v>57</v>
      </c>
      <c r="B61" s="4" t="s">
        <v>16</v>
      </c>
      <c r="C61" s="286" t="s">
        <v>299</v>
      </c>
      <c r="D61" s="16" t="s">
        <v>859</v>
      </c>
      <c r="E61" s="18" t="s">
        <v>865</v>
      </c>
      <c r="F61" s="477">
        <v>150000</v>
      </c>
      <c r="G61" s="52">
        <v>2</v>
      </c>
      <c r="H61" s="57">
        <v>0.1</v>
      </c>
      <c r="I61" s="65">
        <v>4</v>
      </c>
      <c r="J61" s="66">
        <v>6</v>
      </c>
      <c r="K61" s="66">
        <v>2</v>
      </c>
      <c r="L61" s="66">
        <v>8</v>
      </c>
      <c r="M61" s="66">
        <v>3</v>
      </c>
      <c r="N61" s="66">
        <v>10</v>
      </c>
      <c r="O61" s="66">
        <v>0</v>
      </c>
      <c r="P61" s="67">
        <v>10</v>
      </c>
      <c r="Q61" s="70" t="e">
        <f ca="1">(#REF!-(YEAR(TODAY())-#REF!))/#REF!</f>
        <v>#REF!</v>
      </c>
      <c r="R61" s="70">
        <f t="shared" ca="1" si="0"/>
        <v>0.1</v>
      </c>
      <c r="S61" s="74">
        <f t="shared" si="1"/>
        <v>0.63157894736842102</v>
      </c>
      <c r="T61" s="74">
        <f t="shared" si="2"/>
        <v>0.63157894736842102</v>
      </c>
      <c r="U61" s="74">
        <f t="shared" si="3"/>
        <v>0.2807017543859649</v>
      </c>
      <c r="V61" s="74">
        <f t="shared" si="4"/>
        <v>1.4035087719298245</v>
      </c>
      <c r="W61" s="74">
        <f t="shared" si="5"/>
        <v>0.26315789473684209</v>
      </c>
      <c r="X61" s="74">
        <f t="shared" si="6"/>
        <v>1.2280701754385965</v>
      </c>
      <c r="Y61" s="74">
        <f t="shared" si="7"/>
        <v>0</v>
      </c>
      <c r="Z61" s="75">
        <f t="shared" si="8"/>
        <v>1.0526315789473684</v>
      </c>
      <c r="AA61" s="76">
        <f t="shared" si="9"/>
        <v>0.8</v>
      </c>
      <c r="AB61" s="76">
        <f t="shared" ca="1" si="10"/>
        <v>0.9</v>
      </c>
      <c r="AC61" s="77">
        <f t="shared" ca="1" si="11"/>
        <v>0.83333333333333337</v>
      </c>
      <c r="AD61" s="359">
        <f t="shared" si="12"/>
        <v>5.4912280701754383</v>
      </c>
      <c r="AE61" s="369">
        <f t="shared" ca="1" si="13"/>
        <v>45.760233918128662</v>
      </c>
      <c r="AF61" s="96" t="s">
        <v>862</v>
      </c>
      <c r="AG61" s="114"/>
      <c r="AH61" s="118"/>
      <c r="AI61" s="115">
        <v>144928</v>
      </c>
      <c r="AJ61" s="115"/>
      <c r="AK61" s="115"/>
      <c r="AL61" s="122"/>
      <c r="AM61" s="337"/>
      <c r="AN61" s="338">
        <f t="shared" si="20"/>
        <v>150000.47999999998</v>
      </c>
      <c r="AO61" s="338"/>
      <c r="AP61" s="338"/>
      <c r="AQ61" s="339"/>
    </row>
    <row r="62" spans="1:43" ht="36" customHeight="1">
      <c r="A62" s="355">
        <v>58</v>
      </c>
      <c r="B62" s="1" t="s">
        <v>13</v>
      </c>
      <c r="C62" s="285" t="s">
        <v>300</v>
      </c>
      <c r="D62" s="343" t="s">
        <v>1144</v>
      </c>
      <c r="E62" s="415" t="s">
        <v>1145</v>
      </c>
      <c r="F62" s="474">
        <v>240000</v>
      </c>
      <c r="G62" s="295">
        <v>3</v>
      </c>
      <c r="H62" s="293">
        <v>0</v>
      </c>
      <c r="I62" s="65">
        <v>6.0000000000000036</v>
      </c>
      <c r="J62" s="66">
        <v>8.0000000000000053</v>
      </c>
      <c r="K62" s="66">
        <v>5</v>
      </c>
      <c r="L62" s="66">
        <v>8.0000000000000053</v>
      </c>
      <c r="M62" s="66">
        <v>4.0000000000000027</v>
      </c>
      <c r="N62" s="66">
        <v>6.0000000000000036</v>
      </c>
      <c r="O62" s="66">
        <v>0</v>
      </c>
      <c r="P62" s="67">
        <v>7</v>
      </c>
      <c r="Q62" s="294" t="e">
        <f ca="1">(#REF!-(YEAR(TODAY())-#REF!))/#REF!</f>
        <v>#REF!</v>
      </c>
      <c r="R62" s="294">
        <f t="shared" ca="1" si="0"/>
        <v>0</v>
      </c>
      <c r="S62" s="74">
        <f t="shared" si="1"/>
        <v>0.94736842105263208</v>
      </c>
      <c r="T62" s="74">
        <f t="shared" si="2"/>
        <v>0.84210526315789525</v>
      </c>
      <c r="U62" s="74">
        <f t="shared" si="3"/>
        <v>0.70175438596491224</v>
      </c>
      <c r="V62" s="74">
        <f t="shared" si="4"/>
        <v>1.4035087719298256</v>
      </c>
      <c r="W62" s="74">
        <f t="shared" si="5"/>
        <v>0.3508771929824564</v>
      </c>
      <c r="X62" s="74">
        <f t="shared" si="6"/>
        <v>0.73684210526315841</v>
      </c>
      <c r="Y62" s="74">
        <f t="shared" si="7"/>
        <v>0</v>
      </c>
      <c r="Z62" s="75">
        <f t="shared" si="8"/>
        <v>0.73684210526315785</v>
      </c>
      <c r="AA62" s="76">
        <f t="shared" si="9"/>
        <v>0.7</v>
      </c>
      <c r="AB62" s="76">
        <f t="shared" ca="1" si="10"/>
        <v>1</v>
      </c>
      <c r="AC62" s="77">
        <f t="shared" ca="1" si="11"/>
        <v>0.79999999999999993</v>
      </c>
      <c r="AD62" s="358">
        <f t="shared" si="12"/>
        <v>5.7192982456140378</v>
      </c>
      <c r="AE62" s="368">
        <f t="shared" ca="1" si="13"/>
        <v>45.754385964912302</v>
      </c>
      <c r="AF62" s="288" t="s">
        <v>261</v>
      </c>
      <c r="AG62" s="114"/>
      <c r="AH62" s="118"/>
      <c r="AI62" s="115">
        <v>240000</v>
      </c>
      <c r="AJ62" s="115"/>
      <c r="AK62" s="115"/>
      <c r="AL62" s="122"/>
      <c r="AM62" s="337"/>
      <c r="AN62" s="338">
        <f t="shared" si="20"/>
        <v>248399.99999999997</v>
      </c>
      <c r="AO62" s="338"/>
      <c r="AP62" s="338"/>
      <c r="AQ62" s="339"/>
    </row>
    <row r="63" spans="1:43" s="209" customFormat="1" ht="36" customHeight="1">
      <c r="A63" s="355">
        <v>59</v>
      </c>
      <c r="B63" s="4" t="s">
        <v>16</v>
      </c>
      <c r="C63" s="286" t="s">
        <v>299</v>
      </c>
      <c r="D63" s="460" t="s">
        <v>1027</v>
      </c>
      <c r="E63" s="21" t="s">
        <v>1126</v>
      </c>
      <c r="F63" s="476">
        <v>75000</v>
      </c>
      <c r="G63" s="52">
        <v>3</v>
      </c>
      <c r="H63" s="57">
        <v>0.1</v>
      </c>
      <c r="I63" s="65">
        <v>8</v>
      </c>
      <c r="J63" s="66">
        <v>6</v>
      </c>
      <c r="K63" s="66">
        <v>2</v>
      </c>
      <c r="L63" s="66">
        <v>9</v>
      </c>
      <c r="M63" s="66">
        <v>5</v>
      </c>
      <c r="N63" s="66">
        <v>5</v>
      </c>
      <c r="O63" s="66">
        <v>1</v>
      </c>
      <c r="P63" s="67">
        <v>10</v>
      </c>
      <c r="Q63" s="70" t="e">
        <f ca="1">(#REF!-(YEAR(TODAY())-#REF!))/#REF!</f>
        <v>#REF!</v>
      </c>
      <c r="R63" s="70">
        <f t="shared" ca="1" si="0"/>
        <v>0.1</v>
      </c>
      <c r="S63" s="74">
        <f t="shared" si="1"/>
        <v>1.263157894736842</v>
      </c>
      <c r="T63" s="74">
        <f t="shared" si="2"/>
        <v>0.63157894736842102</v>
      </c>
      <c r="U63" s="74">
        <f t="shared" si="3"/>
        <v>0.2807017543859649</v>
      </c>
      <c r="V63" s="74">
        <f t="shared" si="4"/>
        <v>1.5789473684210527</v>
      </c>
      <c r="W63" s="74">
        <f t="shared" si="5"/>
        <v>0.43859649122807015</v>
      </c>
      <c r="X63" s="74">
        <f t="shared" si="6"/>
        <v>0.61403508771929827</v>
      </c>
      <c r="Y63" s="74">
        <f t="shared" si="7"/>
        <v>0.10526315789473684</v>
      </c>
      <c r="Z63" s="75">
        <f t="shared" si="8"/>
        <v>1.0526315789473684</v>
      </c>
      <c r="AA63" s="76">
        <f t="shared" si="9"/>
        <v>0.7</v>
      </c>
      <c r="AB63" s="76">
        <f t="shared" ca="1" si="10"/>
        <v>0.9</v>
      </c>
      <c r="AC63" s="77">
        <f t="shared" ca="1" si="11"/>
        <v>0.76666666666666661</v>
      </c>
      <c r="AD63" s="359">
        <f t="shared" si="12"/>
        <v>5.9649122807017534</v>
      </c>
      <c r="AE63" s="369">
        <f t="shared" ca="1" si="13"/>
        <v>45.730994152046769</v>
      </c>
      <c r="AF63" s="96" t="s">
        <v>848</v>
      </c>
      <c r="AG63" s="114"/>
      <c r="AH63" s="119"/>
      <c r="AI63" s="120">
        <v>72464</v>
      </c>
      <c r="AJ63" s="115"/>
      <c r="AK63" s="115"/>
      <c r="AL63" s="122"/>
      <c r="AM63" s="337"/>
      <c r="AN63" s="338">
        <f t="shared" si="20"/>
        <v>75000.239999999991</v>
      </c>
      <c r="AO63" s="338"/>
      <c r="AP63" s="338"/>
      <c r="AQ63" s="339"/>
    </row>
    <row r="64" spans="1:43" ht="36" customHeight="1">
      <c r="A64" s="355">
        <v>60</v>
      </c>
      <c r="B64" s="1" t="s">
        <v>35</v>
      </c>
      <c r="C64" s="285" t="s">
        <v>6</v>
      </c>
      <c r="D64" s="289" t="s">
        <v>38</v>
      </c>
      <c r="E64" s="324" t="s">
        <v>920</v>
      </c>
      <c r="F64" s="474">
        <v>83000</v>
      </c>
      <c r="G64" s="295">
        <v>2</v>
      </c>
      <c r="H64" s="293">
        <v>0.1</v>
      </c>
      <c r="I64" s="65">
        <v>8.0000000000000053</v>
      </c>
      <c r="J64" s="66">
        <v>3</v>
      </c>
      <c r="K64" s="66">
        <v>6.0000000000000036</v>
      </c>
      <c r="L64" s="66">
        <v>6</v>
      </c>
      <c r="M64" s="66">
        <v>8.0000000000000053</v>
      </c>
      <c r="N64" s="66">
        <v>2</v>
      </c>
      <c r="O64" s="66">
        <v>2</v>
      </c>
      <c r="P64" s="67">
        <v>8.0000000000000053</v>
      </c>
      <c r="Q64" s="294" t="e">
        <f ca="1">(#REF!-(YEAR(TODAY())-#REF!))/#REF!</f>
        <v>#REF!</v>
      </c>
      <c r="R64" s="294">
        <f t="shared" ca="1" si="0"/>
        <v>0.1</v>
      </c>
      <c r="S64" s="74">
        <f t="shared" si="1"/>
        <v>1.2631578947368429</v>
      </c>
      <c r="T64" s="74">
        <f t="shared" si="2"/>
        <v>0.31578947368421051</v>
      </c>
      <c r="U64" s="74">
        <f t="shared" si="3"/>
        <v>0.84210526315789525</v>
      </c>
      <c r="V64" s="74">
        <f t="shared" si="4"/>
        <v>1.0526315789473684</v>
      </c>
      <c r="W64" s="74">
        <f t="shared" si="5"/>
        <v>0.7017543859649128</v>
      </c>
      <c r="X64" s="74">
        <f t="shared" si="6"/>
        <v>0.24561403508771928</v>
      </c>
      <c r="Y64" s="74">
        <f t="shared" si="7"/>
        <v>0.21052631578947367</v>
      </c>
      <c r="Z64" s="75">
        <f t="shared" si="8"/>
        <v>0.84210526315789525</v>
      </c>
      <c r="AA64" s="76">
        <f t="shared" si="9"/>
        <v>0.8</v>
      </c>
      <c r="AB64" s="76">
        <f t="shared" ca="1" si="10"/>
        <v>0.9</v>
      </c>
      <c r="AC64" s="77">
        <f t="shared" ca="1" si="11"/>
        <v>0.83333333333333337</v>
      </c>
      <c r="AD64" s="358">
        <f t="shared" si="12"/>
        <v>5.4736842105263177</v>
      </c>
      <c r="AE64" s="368">
        <f t="shared" ca="1" si="13"/>
        <v>45.614035087719316</v>
      </c>
      <c r="AF64" s="288" t="s">
        <v>248</v>
      </c>
      <c r="AG64" s="443"/>
      <c r="AH64" s="118"/>
      <c r="AI64" s="115">
        <v>83000</v>
      </c>
      <c r="AJ64" s="115"/>
      <c r="AK64" s="115"/>
      <c r="AL64" s="122"/>
      <c r="AM64" s="337"/>
      <c r="AN64" s="338">
        <f t="shared" si="20"/>
        <v>85905</v>
      </c>
      <c r="AO64" s="338"/>
      <c r="AP64" s="338"/>
      <c r="AQ64" s="339"/>
    </row>
    <row r="65" spans="1:43" ht="36" customHeight="1">
      <c r="A65" s="355">
        <v>61</v>
      </c>
      <c r="B65" s="4" t="s">
        <v>8</v>
      </c>
      <c r="C65" s="286" t="s">
        <v>9</v>
      </c>
      <c r="D65" s="8" t="s">
        <v>123</v>
      </c>
      <c r="E65" s="26" t="s">
        <v>1169</v>
      </c>
      <c r="F65" s="476">
        <v>200000</v>
      </c>
      <c r="G65" s="52">
        <v>2</v>
      </c>
      <c r="H65" s="57">
        <v>0</v>
      </c>
      <c r="I65" s="65">
        <v>6</v>
      </c>
      <c r="J65" s="66">
        <v>6.0000000000000036</v>
      </c>
      <c r="K65" s="66">
        <v>5</v>
      </c>
      <c r="L65" s="66">
        <v>6.0000000000000036</v>
      </c>
      <c r="M65" s="66">
        <v>4.0000000000000027</v>
      </c>
      <c r="N65" s="66">
        <v>6.0000000000000036</v>
      </c>
      <c r="O65" s="66">
        <v>0</v>
      </c>
      <c r="P65" s="67">
        <v>8</v>
      </c>
      <c r="Q65" s="70" t="e">
        <f ca="1">(#REF!-(YEAR(TODAY())-#REF!))/#REF!</f>
        <v>#REF!</v>
      </c>
      <c r="R65" s="70">
        <f t="shared" ca="1" si="0"/>
        <v>0</v>
      </c>
      <c r="S65" s="74">
        <f t="shared" si="1"/>
        <v>0.94736842105263153</v>
      </c>
      <c r="T65" s="74">
        <f t="shared" si="2"/>
        <v>0.63157894736842146</v>
      </c>
      <c r="U65" s="74">
        <f t="shared" si="3"/>
        <v>0.70175438596491224</v>
      </c>
      <c r="V65" s="74">
        <f t="shared" si="4"/>
        <v>1.052631578947369</v>
      </c>
      <c r="W65" s="74">
        <f t="shared" si="5"/>
        <v>0.3508771929824564</v>
      </c>
      <c r="X65" s="74">
        <f t="shared" si="6"/>
        <v>0.73684210526315841</v>
      </c>
      <c r="Y65" s="74">
        <f t="shared" si="7"/>
        <v>0</v>
      </c>
      <c r="Z65" s="75">
        <f t="shared" si="8"/>
        <v>0.84210526315789469</v>
      </c>
      <c r="AA65" s="76">
        <f t="shared" si="9"/>
        <v>0.8</v>
      </c>
      <c r="AB65" s="76">
        <f t="shared" ca="1" si="10"/>
        <v>1</v>
      </c>
      <c r="AC65" s="77">
        <f t="shared" ca="1" si="11"/>
        <v>0.8666666666666667</v>
      </c>
      <c r="AD65" s="359">
        <f t="shared" si="12"/>
        <v>5.2631578947368434</v>
      </c>
      <c r="AE65" s="369">
        <f t="shared" ca="1" si="13"/>
        <v>45.614035087719309</v>
      </c>
      <c r="AF65" s="96" t="s">
        <v>261</v>
      </c>
      <c r="AG65" s="114"/>
      <c r="AH65" s="118"/>
      <c r="AI65" s="115">
        <v>200000</v>
      </c>
      <c r="AJ65" s="115"/>
      <c r="AK65" s="115"/>
      <c r="AL65" s="122"/>
      <c r="AM65" s="337"/>
      <c r="AN65" s="338">
        <f t="shared" si="20"/>
        <v>206999.99999999997</v>
      </c>
      <c r="AO65" s="338"/>
      <c r="AP65" s="338"/>
      <c r="AQ65" s="339"/>
    </row>
    <row r="66" spans="1:43" ht="36" customHeight="1">
      <c r="A66" s="355">
        <v>62</v>
      </c>
      <c r="B66" s="4" t="s">
        <v>11</v>
      </c>
      <c r="C66" s="286" t="s">
        <v>12</v>
      </c>
      <c r="D66" s="5" t="s">
        <v>737</v>
      </c>
      <c r="E66" s="6" t="s">
        <v>1167</v>
      </c>
      <c r="F66" s="473">
        <v>100000</v>
      </c>
      <c r="G66" s="51">
        <v>2</v>
      </c>
      <c r="H66" s="57">
        <v>0.1</v>
      </c>
      <c r="I66" s="65">
        <v>6</v>
      </c>
      <c r="J66" s="66">
        <v>7</v>
      </c>
      <c r="K66" s="66">
        <v>3</v>
      </c>
      <c r="L66" s="66">
        <v>8</v>
      </c>
      <c r="M66" s="66">
        <v>2</v>
      </c>
      <c r="N66" s="66">
        <v>6</v>
      </c>
      <c r="O66" s="66">
        <v>0</v>
      </c>
      <c r="P66" s="67">
        <v>10</v>
      </c>
      <c r="Q66" s="70" t="e">
        <f ca="1">(#REF!-(YEAR(TODAY())-#REF!))/#REF!</f>
        <v>#REF!</v>
      </c>
      <c r="R66" s="70">
        <f t="shared" ca="1" si="0"/>
        <v>0.1</v>
      </c>
      <c r="S66" s="74">
        <f t="shared" si="1"/>
        <v>0.94736842105263153</v>
      </c>
      <c r="T66" s="74">
        <f t="shared" si="2"/>
        <v>0.73684210526315785</v>
      </c>
      <c r="U66" s="74">
        <f t="shared" si="3"/>
        <v>0.42105263157894735</v>
      </c>
      <c r="V66" s="74">
        <f t="shared" si="4"/>
        <v>1.4035087719298245</v>
      </c>
      <c r="W66" s="74">
        <f t="shared" si="5"/>
        <v>0.17543859649122806</v>
      </c>
      <c r="X66" s="74">
        <f t="shared" si="6"/>
        <v>0.73684210526315785</v>
      </c>
      <c r="Y66" s="74">
        <f t="shared" si="7"/>
        <v>0</v>
      </c>
      <c r="Z66" s="75">
        <f t="shared" si="8"/>
        <v>1.0526315789473684</v>
      </c>
      <c r="AA66" s="76">
        <f t="shared" si="9"/>
        <v>0.8</v>
      </c>
      <c r="AB66" s="76">
        <f t="shared" ca="1" si="10"/>
        <v>0.9</v>
      </c>
      <c r="AC66" s="77">
        <f t="shared" ca="1" si="11"/>
        <v>0.83333333333333337</v>
      </c>
      <c r="AD66" s="359">
        <f t="shared" si="12"/>
        <v>5.473684210526315</v>
      </c>
      <c r="AE66" s="369">
        <f t="shared" ca="1" si="13"/>
        <v>45.614035087719301</v>
      </c>
      <c r="AF66" s="96" t="s">
        <v>261</v>
      </c>
      <c r="AG66" s="113"/>
      <c r="AH66" s="323"/>
      <c r="AI66" s="115">
        <v>100000</v>
      </c>
      <c r="AJ66" s="120"/>
      <c r="AK66" s="120"/>
      <c r="AL66" s="122"/>
      <c r="AM66" s="337"/>
      <c r="AN66" s="338">
        <f t="shared" si="20"/>
        <v>103499.99999999999</v>
      </c>
      <c r="AO66" s="338"/>
      <c r="AP66" s="338"/>
      <c r="AQ66" s="339"/>
    </row>
    <row r="67" spans="1:43" ht="36" customHeight="1">
      <c r="A67" s="355">
        <v>63</v>
      </c>
      <c r="B67" s="12" t="s">
        <v>16</v>
      </c>
      <c r="C67" s="344" t="s">
        <v>299</v>
      </c>
      <c r="D67" s="13" t="s">
        <v>992</v>
      </c>
      <c r="E67" s="28" t="s">
        <v>1045</v>
      </c>
      <c r="F67" s="479">
        <v>2796372</v>
      </c>
      <c r="G67" s="51">
        <v>3</v>
      </c>
      <c r="H67" s="57">
        <v>0.1</v>
      </c>
      <c r="I67" s="65">
        <v>8</v>
      </c>
      <c r="J67" s="66">
        <v>8</v>
      </c>
      <c r="K67" s="66">
        <v>2</v>
      </c>
      <c r="L67" s="66">
        <v>6.0000000000000036</v>
      </c>
      <c r="M67" s="66">
        <v>4</v>
      </c>
      <c r="N67" s="66">
        <v>9</v>
      </c>
      <c r="O67" s="66">
        <v>0</v>
      </c>
      <c r="P67" s="67">
        <v>10</v>
      </c>
      <c r="Q67" s="70" t="e">
        <f ca="1">(#REF!-(YEAR(TODAY())-#REF!))/#REF!</f>
        <v>#REF!</v>
      </c>
      <c r="R67" s="70">
        <f t="shared" ca="1" si="0"/>
        <v>0.1</v>
      </c>
      <c r="S67" s="74">
        <f t="shared" si="1"/>
        <v>1.263157894736842</v>
      </c>
      <c r="T67" s="74">
        <f t="shared" si="2"/>
        <v>0.84210526315789469</v>
      </c>
      <c r="U67" s="74">
        <f t="shared" si="3"/>
        <v>0.2807017543859649</v>
      </c>
      <c r="V67" s="74">
        <f t="shared" si="4"/>
        <v>1.052631578947369</v>
      </c>
      <c r="W67" s="74">
        <f t="shared" si="5"/>
        <v>0.35087719298245612</v>
      </c>
      <c r="X67" s="74">
        <f t="shared" si="6"/>
        <v>1.1052631578947369</v>
      </c>
      <c r="Y67" s="74">
        <f t="shared" si="7"/>
        <v>0</v>
      </c>
      <c r="Z67" s="75">
        <f t="shared" si="8"/>
        <v>1.0526315789473684</v>
      </c>
      <c r="AA67" s="76">
        <f t="shared" si="9"/>
        <v>0.7</v>
      </c>
      <c r="AB67" s="76">
        <f t="shared" ca="1" si="10"/>
        <v>0.9</v>
      </c>
      <c r="AC67" s="77">
        <f t="shared" ca="1" si="11"/>
        <v>0.76666666666666661</v>
      </c>
      <c r="AD67" s="359">
        <f t="shared" si="12"/>
        <v>5.9473684210526319</v>
      </c>
      <c r="AE67" s="369">
        <f t="shared" ca="1" si="13"/>
        <v>45.596491228070171</v>
      </c>
      <c r="AF67" s="96" t="s">
        <v>848</v>
      </c>
      <c r="AG67" s="113"/>
      <c r="AH67" s="110"/>
      <c r="AI67" s="108"/>
      <c r="AJ67" s="346">
        <v>2610443</v>
      </c>
      <c r="AK67" s="108"/>
      <c r="AL67" s="389"/>
      <c r="AM67" s="337"/>
      <c r="AN67" s="338"/>
      <c r="AO67" s="338">
        <f t="shared" si="21"/>
        <v>2796371.8026749995</v>
      </c>
      <c r="AP67" s="338"/>
      <c r="AQ67" s="339"/>
    </row>
    <row r="68" spans="1:43" ht="36" customHeight="1">
      <c r="A68" s="355">
        <v>64</v>
      </c>
      <c r="B68" s="12" t="s">
        <v>7</v>
      </c>
      <c r="C68" s="344" t="s">
        <v>6</v>
      </c>
      <c r="D68" s="5" t="s">
        <v>322</v>
      </c>
      <c r="E68" s="6" t="s">
        <v>1056</v>
      </c>
      <c r="F68" s="480">
        <v>1000000</v>
      </c>
      <c r="G68" s="51">
        <v>3</v>
      </c>
      <c r="H68" s="57">
        <v>0.2</v>
      </c>
      <c r="I68" s="65">
        <v>6</v>
      </c>
      <c r="J68" s="66">
        <v>8</v>
      </c>
      <c r="K68" s="66">
        <v>6</v>
      </c>
      <c r="L68" s="66">
        <v>4.0000000000000027</v>
      </c>
      <c r="M68" s="66">
        <v>0</v>
      </c>
      <c r="N68" s="66">
        <v>8.0000000000000053</v>
      </c>
      <c r="O68" s="66">
        <v>8</v>
      </c>
      <c r="P68" s="67">
        <v>9.9999999999999982</v>
      </c>
      <c r="Q68" s="70" t="e">
        <f ca="1">(#REF!-(YEAR(TODAY())-#REF!))/#REF!</f>
        <v>#REF!</v>
      </c>
      <c r="R68" s="70">
        <f t="shared" ca="1" si="0"/>
        <v>0.2</v>
      </c>
      <c r="S68" s="74">
        <f t="shared" si="1"/>
        <v>0.94736842105263153</v>
      </c>
      <c r="T68" s="74">
        <f t="shared" si="2"/>
        <v>0.84210526315789469</v>
      </c>
      <c r="U68" s="74">
        <f t="shared" si="3"/>
        <v>0.84210526315789469</v>
      </c>
      <c r="V68" s="74">
        <f t="shared" si="4"/>
        <v>0.7017543859649128</v>
      </c>
      <c r="W68" s="74">
        <f t="shared" si="5"/>
        <v>0</v>
      </c>
      <c r="X68" s="74">
        <f t="shared" si="6"/>
        <v>0.9824561403508778</v>
      </c>
      <c r="Y68" s="74">
        <f t="shared" si="7"/>
        <v>0.84210526315789469</v>
      </c>
      <c r="Z68" s="75">
        <f t="shared" si="8"/>
        <v>1.0526315789473681</v>
      </c>
      <c r="AA68" s="76">
        <f t="shared" si="9"/>
        <v>0.7</v>
      </c>
      <c r="AB68" s="76">
        <f t="shared" ca="1" si="10"/>
        <v>0.8</v>
      </c>
      <c r="AC68" s="77">
        <f t="shared" ca="1" si="11"/>
        <v>0.73333333333333339</v>
      </c>
      <c r="AD68" s="359">
        <f t="shared" si="12"/>
        <v>6.2105263157894743</v>
      </c>
      <c r="AE68" s="369">
        <f t="shared" ca="1" si="13"/>
        <v>45.543859649122815</v>
      </c>
      <c r="AF68" s="95" t="s">
        <v>296</v>
      </c>
      <c r="AG68" s="440"/>
      <c r="AH68" s="118"/>
      <c r="AI68" s="115"/>
      <c r="AJ68" s="115">
        <v>1000000</v>
      </c>
      <c r="AK68" s="115"/>
      <c r="AL68" s="122"/>
      <c r="AM68" s="337"/>
      <c r="AN68" s="338"/>
      <c r="AO68" s="338">
        <f t="shared" si="21"/>
        <v>1071224.9999999998</v>
      </c>
      <c r="AP68" s="338"/>
      <c r="AQ68" s="339"/>
    </row>
    <row r="69" spans="1:43" ht="36" customHeight="1">
      <c r="A69" s="355">
        <v>65</v>
      </c>
      <c r="B69" s="4" t="s">
        <v>16</v>
      </c>
      <c r="C69" s="286" t="s">
        <v>299</v>
      </c>
      <c r="D69" s="8" t="s">
        <v>850</v>
      </c>
      <c r="E69" s="21" t="s">
        <v>890</v>
      </c>
      <c r="F69" s="476">
        <v>63500</v>
      </c>
      <c r="G69" s="52">
        <v>3</v>
      </c>
      <c r="H69" s="57">
        <v>0.1</v>
      </c>
      <c r="I69" s="65">
        <v>6.0000000000000036</v>
      </c>
      <c r="J69" s="66">
        <v>8</v>
      </c>
      <c r="K69" s="66">
        <v>4.0000000000000027</v>
      </c>
      <c r="L69" s="66">
        <v>8.0000000000000053</v>
      </c>
      <c r="M69" s="66">
        <v>4.0000000000000027</v>
      </c>
      <c r="N69" s="66">
        <v>8.0000000000000053</v>
      </c>
      <c r="O69" s="66">
        <v>0</v>
      </c>
      <c r="P69" s="67">
        <v>8</v>
      </c>
      <c r="Q69" s="70" t="e">
        <f ca="1">(#REF!-(YEAR(TODAY())-#REF!))/#REF!</f>
        <v>#REF!</v>
      </c>
      <c r="R69" s="70">
        <f t="shared" ref="R69:R132" ca="1" si="23">IFERROR(Q69,H69)</f>
        <v>0.1</v>
      </c>
      <c r="S69" s="74">
        <f t="shared" ref="S69:S132" si="24">I69*Weight1/(WSum)</f>
        <v>0.94736842105263208</v>
      </c>
      <c r="T69" s="74">
        <f t="shared" ref="T69:T132" si="25">J69*Weight2/(WSum)</f>
        <v>0.84210526315789469</v>
      </c>
      <c r="U69" s="74">
        <f t="shared" ref="U69:U132" si="26">K69*Weight3/(WSum)</f>
        <v>0.56140350877193024</v>
      </c>
      <c r="V69" s="74">
        <f t="shared" ref="V69:V132" si="27">L69*Weight4/(WSum)</f>
        <v>1.4035087719298256</v>
      </c>
      <c r="W69" s="74">
        <f t="shared" ref="W69:W132" si="28">M69*Weight5/(WSum)</f>
        <v>0.3508771929824564</v>
      </c>
      <c r="X69" s="74">
        <f t="shared" ref="X69:X132" si="29">N69*Weight6/(WSum)</f>
        <v>0.9824561403508778</v>
      </c>
      <c r="Y69" s="74">
        <f t="shared" ref="Y69:Y132" si="30">O69*Weight7/(WSum)</f>
        <v>0</v>
      </c>
      <c r="Z69" s="75">
        <f t="shared" ref="Z69:Z132" si="31">P69*Weight8/(WSum)</f>
        <v>0.84210526315789469</v>
      </c>
      <c r="AA69" s="76">
        <f t="shared" ref="AA69:AA132" si="32">-1/10*G69+1</f>
        <v>0.7</v>
      </c>
      <c r="AB69" s="76">
        <f t="shared" ref="AB69:AB132" ca="1" si="33">IF(R69&lt;0,0,-R69+1)</f>
        <v>0.9</v>
      </c>
      <c r="AC69" s="77">
        <f t="shared" ref="AC69:AC132" ca="1" si="34">(AA69*CondWeight+AB69*PLifeWeight)/(CondWeight+PLifeWeight)</f>
        <v>0.76666666666666661</v>
      </c>
      <c r="AD69" s="359">
        <f t="shared" ref="AD69:AD132" si="35">SUM(S69:Z69)</f>
        <v>5.9298245614035112</v>
      </c>
      <c r="AE69" s="369">
        <f t="shared" ref="AE69:AE132" ca="1" si="36">AD69*AC69*10</f>
        <v>45.461988304093587</v>
      </c>
      <c r="AF69" s="96" t="s">
        <v>1200</v>
      </c>
      <c r="AG69" s="114"/>
      <c r="AH69" s="118"/>
      <c r="AI69" s="115">
        <v>63500</v>
      </c>
      <c r="AJ69" s="115"/>
      <c r="AK69" s="115"/>
      <c r="AL69" s="122"/>
      <c r="AM69" s="337"/>
      <c r="AN69" s="338">
        <f t="shared" si="20"/>
        <v>65722.5</v>
      </c>
      <c r="AO69" s="338"/>
      <c r="AP69" s="338"/>
      <c r="AQ69" s="339"/>
    </row>
    <row r="70" spans="1:43" ht="36" customHeight="1">
      <c r="A70" s="355">
        <v>66</v>
      </c>
      <c r="B70" s="12" t="s">
        <v>10</v>
      </c>
      <c r="C70" s="344" t="s">
        <v>300</v>
      </c>
      <c r="D70" s="10" t="s">
        <v>47</v>
      </c>
      <c r="E70" s="11" t="s">
        <v>1046</v>
      </c>
      <c r="F70" s="473">
        <v>600000</v>
      </c>
      <c r="G70" s="52">
        <v>3</v>
      </c>
      <c r="H70" s="57">
        <v>0.3</v>
      </c>
      <c r="I70" s="65">
        <v>7</v>
      </c>
      <c r="J70" s="66">
        <v>7</v>
      </c>
      <c r="K70" s="66">
        <v>3</v>
      </c>
      <c r="L70" s="66">
        <v>9.9999999999999982</v>
      </c>
      <c r="M70" s="66">
        <v>5</v>
      </c>
      <c r="N70" s="66">
        <v>8.0000000000000053</v>
      </c>
      <c r="O70" s="66">
        <v>0</v>
      </c>
      <c r="P70" s="67">
        <v>9.9999999999999982</v>
      </c>
      <c r="Q70" s="70" t="e">
        <f ca="1">(#REF!-(YEAR(TODAY())-#REF!))/#REF!</f>
        <v>#REF!</v>
      </c>
      <c r="R70" s="70">
        <f t="shared" ca="1" si="23"/>
        <v>0.3</v>
      </c>
      <c r="S70" s="74">
        <f t="shared" si="24"/>
        <v>1.1052631578947369</v>
      </c>
      <c r="T70" s="74">
        <f t="shared" si="25"/>
        <v>0.73684210526315785</v>
      </c>
      <c r="U70" s="74">
        <f t="shared" si="26"/>
        <v>0.42105263157894735</v>
      </c>
      <c r="V70" s="74">
        <f t="shared" si="27"/>
        <v>1.7543859649122804</v>
      </c>
      <c r="W70" s="74">
        <f t="shared" si="28"/>
        <v>0.43859649122807015</v>
      </c>
      <c r="X70" s="74">
        <f t="shared" si="29"/>
        <v>0.9824561403508778</v>
      </c>
      <c r="Y70" s="74">
        <f t="shared" si="30"/>
        <v>0</v>
      </c>
      <c r="Z70" s="75">
        <f t="shared" si="31"/>
        <v>1.0526315789473681</v>
      </c>
      <c r="AA70" s="76">
        <f t="shared" si="32"/>
        <v>0.7</v>
      </c>
      <c r="AB70" s="76">
        <f t="shared" ca="1" si="33"/>
        <v>0.7</v>
      </c>
      <c r="AC70" s="77">
        <f t="shared" ca="1" si="34"/>
        <v>0.69999999999999984</v>
      </c>
      <c r="AD70" s="359">
        <f t="shared" si="35"/>
        <v>6.4912280701754383</v>
      </c>
      <c r="AE70" s="369">
        <f t="shared" ca="1" si="36"/>
        <v>45.438596491228054</v>
      </c>
      <c r="AF70" s="96" t="s">
        <v>248</v>
      </c>
      <c r="AG70" s="114"/>
      <c r="AH70" s="118"/>
      <c r="AI70" s="115"/>
      <c r="AJ70" s="115">
        <v>600000</v>
      </c>
      <c r="AK70" s="115"/>
      <c r="AL70" s="122"/>
      <c r="AM70" s="337"/>
      <c r="AN70" s="338"/>
      <c r="AO70" s="338">
        <f t="shared" ref="AO70:AO81" si="37">AJ70*(1+Efactor)^2</f>
        <v>642734.99999999988</v>
      </c>
      <c r="AP70" s="338"/>
      <c r="AQ70" s="339"/>
    </row>
    <row r="71" spans="1:43" ht="36" customHeight="1">
      <c r="A71" s="355">
        <v>67</v>
      </c>
      <c r="B71" s="12" t="s">
        <v>7</v>
      </c>
      <c r="C71" s="344" t="s">
        <v>6</v>
      </c>
      <c r="D71" s="5" t="s">
        <v>878</v>
      </c>
      <c r="E71" s="6" t="s">
        <v>1010</v>
      </c>
      <c r="F71" s="473">
        <v>100000</v>
      </c>
      <c r="G71" s="51">
        <v>2</v>
      </c>
      <c r="H71" s="57">
        <v>0.1</v>
      </c>
      <c r="I71" s="65">
        <v>5</v>
      </c>
      <c r="J71" s="66">
        <v>6</v>
      </c>
      <c r="K71" s="66">
        <v>5</v>
      </c>
      <c r="L71" s="66">
        <v>9</v>
      </c>
      <c r="M71" s="66">
        <v>5</v>
      </c>
      <c r="N71" s="66">
        <v>2</v>
      </c>
      <c r="O71" s="66">
        <v>2</v>
      </c>
      <c r="P71" s="67">
        <v>8</v>
      </c>
      <c r="Q71" s="70" t="e">
        <f ca="1">(#REF!-(YEAR(TODAY())-#REF!))/#REF!</f>
        <v>#REF!</v>
      </c>
      <c r="R71" s="70">
        <f t="shared" ca="1" si="23"/>
        <v>0.1</v>
      </c>
      <c r="S71" s="74">
        <f t="shared" si="24"/>
        <v>0.78947368421052633</v>
      </c>
      <c r="T71" s="74">
        <f t="shared" si="25"/>
        <v>0.63157894736842102</v>
      </c>
      <c r="U71" s="74">
        <f t="shared" si="26"/>
        <v>0.70175438596491224</v>
      </c>
      <c r="V71" s="74">
        <f t="shared" si="27"/>
        <v>1.5789473684210527</v>
      </c>
      <c r="W71" s="74">
        <f t="shared" si="28"/>
        <v>0.43859649122807015</v>
      </c>
      <c r="X71" s="74">
        <f t="shared" si="29"/>
        <v>0.24561403508771928</v>
      </c>
      <c r="Y71" s="74">
        <f t="shared" si="30"/>
        <v>0.21052631578947367</v>
      </c>
      <c r="Z71" s="75">
        <f t="shared" si="31"/>
        <v>0.84210526315789469</v>
      </c>
      <c r="AA71" s="76">
        <f t="shared" si="32"/>
        <v>0.8</v>
      </c>
      <c r="AB71" s="76">
        <f t="shared" ca="1" si="33"/>
        <v>0.9</v>
      </c>
      <c r="AC71" s="77">
        <f t="shared" ca="1" si="34"/>
        <v>0.83333333333333337</v>
      </c>
      <c r="AD71" s="359">
        <f t="shared" si="35"/>
        <v>5.4385964912280693</v>
      </c>
      <c r="AE71" s="369">
        <f t="shared" ca="1" si="36"/>
        <v>45.32163742690058</v>
      </c>
      <c r="AF71" s="95" t="s">
        <v>248</v>
      </c>
      <c r="AG71" s="113"/>
      <c r="AH71" s="110"/>
      <c r="AI71" s="108"/>
      <c r="AJ71" s="108">
        <v>100000</v>
      </c>
      <c r="AK71" s="108"/>
      <c r="AL71" s="389"/>
      <c r="AM71" s="337"/>
      <c r="AN71" s="338"/>
      <c r="AO71" s="338">
        <f t="shared" si="37"/>
        <v>107122.49999999999</v>
      </c>
      <c r="AP71" s="338"/>
      <c r="AQ71" s="339"/>
    </row>
    <row r="72" spans="1:43" ht="36" customHeight="1">
      <c r="A72" s="355">
        <v>68</v>
      </c>
      <c r="B72" s="4" t="s">
        <v>11</v>
      </c>
      <c r="C72" s="286" t="s">
        <v>12</v>
      </c>
      <c r="D72" s="8" t="s">
        <v>853</v>
      </c>
      <c r="E72" s="14" t="s">
        <v>996</v>
      </c>
      <c r="F72" s="122">
        <v>4034180</v>
      </c>
      <c r="G72" s="52">
        <v>3</v>
      </c>
      <c r="H72" s="57">
        <v>0.3</v>
      </c>
      <c r="I72" s="65">
        <v>6</v>
      </c>
      <c r="J72" s="66">
        <v>6</v>
      </c>
      <c r="K72" s="66">
        <v>7</v>
      </c>
      <c r="L72" s="66">
        <v>8</v>
      </c>
      <c r="M72" s="66">
        <v>5</v>
      </c>
      <c r="N72" s="66">
        <v>8</v>
      </c>
      <c r="O72" s="66">
        <v>0</v>
      </c>
      <c r="P72" s="67">
        <v>10</v>
      </c>
      <c r="Q72" s="70" t="e">
        <f ca="1">(#REF!-(YEAR(TODAY())-#REF!))/#REF!</f>
        <v>#REF!</v>
      </c>
      <c r="R72" s="70">
        <f t="shared" ca="1" si="23"/>
        <v>0.3</v>
      </c>
      <c r="S72" s="74">
        <f t="shared" si="24"/>
        <v>0.94736842105263153</v>
      </c>
      <c r="T72" s="74">
        <f t="shared" si="25"/>
        <v>0.63157894736842102</v>
      </c>
      <c r="U72" s="74">
        <f t="shared" si="26"/>
        <v>0.98245614035087714</v>
      </c>
      <c r="V72" s="74">
        <f t="shared" si="27"/>
        <v>1.4035087719298245</v>
      </c>
      <c r="W72" s="74">
        <f t="shared" si="28"/>
        <v>0.43859649122807015</v>
      </c>
      <c r="X72" s="74">
        <f t="shared" si="29"/>
        <v>0.98245614035087714</v>
      </c>
      <c r="Y72" s="74">
        <f t="shared" si="30"/>
        <v>0</v>
      </c>
      <c r="Z72" s="75">
        <f t="shared" si="31"/>
        <v>1.0526315789473684</v>
      </c>
      <c r="AA72" s="76">
        <f t="shared" si="32"/>
        <v>0.7</v>
      </c>
      <c r="AB72" s="76">
        <f t="shared" ca="1" si="33"/>
        <v>0.7</v>
      </c>
      <c r="AC72" s="77">
        <f t="shared" ca="1" si="34"/>
        <v>0.69999999999999984</v>
      </c>
      <c r="AD72" s="359">
        <f t="shared" si="35"/>
        <v>6.4385964912280702</v>
      </c>
      <c r="AE72" s="369">
        <f t="shared" ca="1" si="36"/>
        <v>45.070175438596479</v>
      </c>
      <c r="AF72" s="96" t="s">
        <v>261</v>
      </c>
      <c r="AG72" s="113"/>
      <c r="AH72" s="110"/>
      <c r="AI72" s="108"/>
      <c r="AJ72" s="115">
        <v>4034180</v>
      </c>
      <c r="AK72" s="108"/>
      <c r="AL72" s="389"/>
      <c r="AM72" s="337"/>
      <c r="AN72" s="338"/>
      <c r="AO72" s="338">
        <f t="shared" si="37"/>
        <v>4321514.4704999998</v>
      </c>
      <c r="AP72" s="338"/>
      <c r="AQ72" s="339"/>
    </row>
    <row r="73" spans="1:43" ht="36" customHeight="1">
      <c r="A73" s="355">
        <v>69</v>
      </c>
      <c r="B73" s="4" t="s">
        <v>5</v>
      </c>
      <c r="C73" s="286" t="s">
        <v>6</v>
      </c>
      <c r="D73" s="5" t="s">
        <v>34</v>
      </c>
      <c r="E73" s="7" t="s">
        <v>1051</v>
      </c>
      <c r="F73" s="473">
        <v>225000</v>
      </c>
      <c r="G73" s="51">
        <v>2</v>
      </c>
      <c r="H73" s="57">
        <v>0.1</v>
      </c>
      <c r="I73" s="65">
        <v>8.0000000000000053</v>
      </c>
      <c r="J73" s="66">
        <v>8.0000000000000053</v>
      </c>
      <c r="K73" s="66">
        <v>2</v>
      </c>
      <c r="L73" s="66">
        <v>8.0000000000000053</v>
      </c>
      <c r="M73" s="66">
        <v>5</v>
      </c>
      <c r="N73" s="66">
        <v>4</v>
      </c>
      <c r="O73" s="66">
        <v>0</v>
      </c>
      <c r="P73" s="67">
        <v>6.0000000000000036</v>
      </c>
      <c r="Q73" s="70" t="e">
        <f ca="1">(#REF!-(YEAR(TODAY())-#REF!))/#REF!</f>
        <v>#REF!</v>
      </c>
      <c r="R73" s="70">
        <f t="shared" ca="1" si="23"/>
        <v>0.1</v>
      </c>
      <c r="S73" s="74">
        <f t="shared" si="24"/>
        <v>1.2631578947368429</v>
      </c>
      <c r="T73" s="74">
        <f t="shared" si="25"/>
        <v>0.84210526315789525</v>
      </c>
      <c r="U73" s="74">
        <f t="shared" si="26"/>
        <v>0.2807017543859649</v>
      </c>
      <c r="V73" s="74">
        <f t="shared" si="27"/>
        <v>1.4035087719298256</v>
      </c>
      <c r="W73" s="74">
        <f t="shared" si="28"/>
        <v>0.43859649122807015</v>
      </c>
      <c r="X73" s="74">
        <f t="shared" si="29"/>
        <v>0.49122807017543857</v>
      </c>
      <c r="Y73" s="74">
        <f t="shared" si="30"/>
        <v>0</v>
      </c>
      <c r="Z73" s="75">
        <f t="shared" si="31"/>
        <v>0.63157894736842146</v>
      </c>
      <c r="AA73" s="76">
        <f t="shared" si="32"/>
        <v>0.8</v>
      </c>
      <c r="AB73" s="76">
        <f t="shared" ca="1" si="33"/>
        <v>0.9</v>
      </c>
      <c r="AC73" s="77">
        <f t="shared" ca="1" si="34"/>
        <v>0.83333333333333337</v>
      </c>
      <c r="AD73" s="359">
        <f t="shared" si="35"/>
        <v>5.3508771929824581</v>
      </c>
      <c r="AE73" s="369">
        <f t="shared" ca="1" si="36"/>
        <v>44.590643274853818</v>
      </c>
      <c r="AF73" s="95" t="s">
        <v>248</v>
      </c>
      <c r="AG73" s="113"/>
      <c r="AH73" s="118"/>
      <c r="AI73" s="115"/>
      <c r="AJ73" s="115">
        <v>225000</v>
      </c>
      <c r="AK73" s="115"/>
      <c r="AL73" s="122"/>
      <c r="AM73" s="337"/>
      <c r="AN73" s="338"/>
      <c r="AO73" s="338">
        <f t="shared" si="37"/>
        <v>241025.62499999997</v>
      </c>
      <c r="AP73" s="338"/>
      <c r="AQ73" s="339"/>
    </row>
    <row r="74" spans="1:43" ht="36" customHeight="1">
      <c r="A74" s="355">
        <v>70</v>
      </c>
      <c r="B74" s="4" t="s">
        <v>16</v>
      </c>
      <c r="C74" s="286" t="s">
        <v>299</v>
      </c>
      <c r="D74" s="30" t="s">
        <v>881</v>
      </c>
      <c r="E74" s="21" t="s">
        <v>891</v>
      </c>
      <c r="F74" s="476">
        <v>100000</v>
      </c>
      <c r="G74" s="52">
        <v>3</v>
      </c>
      <c r="H74" s="57">
        <v>0</v>
      </c>
      <c r="I74" s="65">
        <v>5</v>
      </c>
      <c r="J74" s="66">
        <v>4.0000000000000027</v>
      </c>
      <c r="K74" s="66">
        <v>8.0000000000000053</v>
      </c>
      <c r="L74" s="66">
        <v>4.0000000000000027</v>
      </c>
      <c r="M74" s="66">
        <v>0</v>
      </c>
      <c r="N74" s="66">
        <v>5</v>
      </c>
      <c r="O74" s="66">
        <v>8</v>
      </c>
      <c r="P74" s="67">
        <v>10</v>
      </c>
      <c r="Q74" s="70" t="e">
        <f ca="1">(#REF!-(YEAR(TODAY())-#REF!))/#REF!</f>
        <v>#REF!</v>
      </c>
      <c r="R74" s="70">
        <f t="shared" ca="1" si="23"/>
        <v>0</v>
      </c>
      <c r="S74" s="74">
        <f t="shared" si="24"/>
        <v>0.78947368421052633</v>
      </c>
      <c r="T74" s="74">
        <f t="shared" si="25"/>
        <v>0.42105263157894762</v>
      </c>
      <c r="U74" s="74">
        <f t="shared" si="26"/>
        <v>1.1228070175438605</v>
      </c>
      <c r="V74" s="74">
        <f t="shared" si="27"/>
        <v>0.7017543859649128</v>
      </c>
      <c r="W74" s="74">
        <f t="shared" si="28"/>
        <v>0</v>
      </c>
      <c r="X74" s="74">
        <f t="shared" si="29"/>
        <v>0.61403508771929827</v>
      </c>
      <c r="Y74" s="74">
        <f t="shared" si="30"/>
        <v>0.84210526315789469</v>
      </c>
      <c r="Z74" s="75">
        <f t="shared" si="31"/>
        <v>1.0526315789473684</v>
      </c>
      <c r="AA74" s="76">
        <f t="shared" si="32"/>
        <v>0.7</v>
      </c>
      <c r="AB74" s="76">
        <f t="shared" ca="1" si="33"/>
        <v>1</v>
      </c>
      <c r="AC74" s="77">
        <f t="shared" ca="1" si="34"/>
        <v>0.79999999999999993</v>
      </c>
      <c r="AD74" s="359">
        <f t="shared" si="35"/>
        <v>5.5438596491228083</v>
      </c>
      <c r="AE74" s="369">
        <f t="shared" ca="1" si="36"/>
        <v>44.350877192982459</v>
      </c>
      <c r="AF74" s="96" t="s">
        <v>848</v>
      </c>
      <c r="AG74" s="443"/>
      <c r="AH74" s="118">
        <v>50000</v>
      </c>
      <c r="AI74" s="115"/>
      <c r="AJ74" s="115">
        <v>46676</v>
      </c>
      <c r="AK74" s="115"/>
      <c r="AL74" s="122"/>
      <c r="AM74" s="337">
        <f t="shared" ref="AM74" si="38">AH74</f>
        <v>50000</v>
      </c>
      <c r="AN74" s="338"/>
      <c r="AO74" s="338">
        <f t="shared" si="37"/>
        <v>50000.498099999997</v>
      </c>
      <c r="AP74" s="338"/>
      <c r="AQ74" s="339"/>
    </row>
    <row r="75" spans="1:43" ht="36" customHeight="1">
      <c r="A75" s="355">
        <v>71</v>
      </c>
      <c r="B75" s="4" t="s">
        <v>13</v>
      </c>
      <c r="C75" s="286" t="s">
        <v>15</v>
      </c>
      <c r="D75" s="24" t="s">
        <v>967</v>
      </c>
      <c r="E75" s="25" t="s">
        <v>972</v>
      </c>
      <c r="F75" s="473">
        <v>3958875</v>
      </c>
      <c r="G75" s="52">
        <v>4</v>
      </c>
      <c r="H75" s="57">
        <v>0.3</v>
      </c>
      <c r="I75" s="65">
        <v>8</v>
      </c>
      <c r="J75" s="66">
        <v>8</v>
      </c>
      <c r="K75" s="66">
        <v>8</v>
      </c>
      <c r="L75" s="66">
        <v>8</v>
      </c>
      <c r="M75" s="66">
        <v>5</v>
      </c>
      <c r="N75" s="66">
        <v>8</v>
      </c>
      <c r="O75" s="66">
        <v>0</v>
      </c>
      <c r="P75" s="67">
        <v>9</v>
      </c>
      <c r="Q75" s="70" t="e">
        <f ca="1">(#REF!-(YEAR(TODAY())-#REF!))/#REF!</f>
        <v>#REF!</v>
      </c>
      <c r="R75" s="70">
        <f t="shared" ca="1" si="23"/>
        <v>0.3</v>
      </c>
      <c r="S75" s="74">
        <f t="shared" si="24"/>
        <v>1.263157894736842</v>
      </c>
      <c r="T75" s="74">
        <f t="shared" si="25"/>
        <v>0.84210526315789469</v>
      </c>
      <c r="U75" s="74">
        <f t="shared" si="26"/>
        <v>1.1228070175438596</v>
      </c>
      <c r="V75" s="74">
        <f t="shared" si="27"/>
        <v>1.4035087719298245</v>
      </c>
      <c r="W75" s="74">
        <f t="shared" si="28"/>
        <v>0.43859649122807015</v>
      </c>
      <c r="X75" s="74">
        <f t="shared" si="29"/>
        <v>0.98245614035087714</v>
      </c>
      <c r="Y75" s="74">
        <f t="shared" si="30"/>
        <v>0</v>
      </c>
      <c r="Z75" s="75">
        <f t="shared" si="31"/>
        <v>0.94736842105263153</v>
      </c>
      <c r="AA75" s="76">
        <f t="shared" si="32"/>
        <v>0.6</v>
      </c>
      <c r="AB75" s="76">
        <f t="shared" ca="1" si="33"/>
        <v>0.7</v>
      </c>
      <c r="AC75" s="77">
        <f t="shared" ca="1" si="34"/>
        <v>0.6333333333333333</v>
      </c>
      <c r="AD75" s="359">
        <f t="shared" si="35"/>
        <v>7</v>
      </c>
      <c r="AE75" s="369">
        <f t="shared" ca="1" si="36"/>
        <v>44.333333333333336</v>
      </c>
      <c r="AF75" s="96" t="s">
        <v>261</v>
      </c>
      <c r="AG75" s="442"/>
      <c r="AH75" s="119"/>
      <c r="AI75" s="120"/>
      <c r="AJ75" s="120">
        <v>569250</v>
      </c>
      <c r="AK75" s="120">
        <v>3389625</v>
      </c>
      <c r="AL75" s="454"/>
      <c r="AM75" s="337"/>
      <c r="AN75" s="338"/>
      <c r="AO75" s="338">
        <f t="shared" si="37"/>
        <v>609794.83124999993</v>
      </c>
      <c r="AP75" s="338">
        <f t="shared" ref="AP75:AP131" si="39">AK75*(1+Efactor)^3</f>
        <v>3758137.827046874</v>
      </c>
      <c r="AQ75" s="339"/>
    </row>
    <row r="76" spans="1:43" ht="36" customHeight="1">
      <c r="A76" s="355">
        <v>72</v>
      </c>
      <c r="B76" s="4" t="s">
        <v>5</v>
      </c>
      <c r="C76" s="286" t="s">
        <v>6</v>
      </c>
      <c r="D76" s="5" t="s">
        <v>51</v>
      </c>
      <c r="E76" s="7" t="s">
        <v>921</v>
      </c>
      <c r="F76" s="473">
        <v>400000</v>
      </c>
      <c r="G76" s="51">
        <v>2</v>
      </c>
      <c r="H76" s="57">
        <v>0</v>
      </c>
      <c r="I76" s="65">
        <v>6.0000000000000036</v>
      </c>
      <c r="J76" s="66">
        <v>8</v>
      </c>
      <c r="K76" s="66">
        <v>5.0000000000000027</v>
      </c>
      <c r="L76" s="66">
        <v>4.0000000000000027</v>
      </c>
      <c r="M76" s="66">
        <v>6.0000000000000036</v>
      </c>
      <c r="N76" s="66">
        <v>6.0000000000000036</v>
      </c>
      <c r="O76" s="66">
        <v>0</v>
      </c>
      <c r="P76" s="67">
        <v>6</v>
      </c>
      <c r="Q76" s="70" t="e">
        <f ca="1">(#REF!-(YEAR(TODAY())-#REF!))/#REF!</f>
        <v>#REF!</v>
      </c>
      <c r="R76" s="70">
        <f t="shared" ca="1" si="23"/>
        <v>0</v>
      </c>
      <c r="S76" s="74">
        <f t="shared" si="24"/>
        <v>0.94736842105263208</v>
      </c>
      <c r="T76" s="74">
        <f t="shared" si="25"/>
        <v>0.84210526315789469</v>
      </c>
      <c r="U76" s="74">
        <f t="shared" si="26"/>
        <v>0.70175438596491269</v>
      </c>
      <c r="V76" s="74">
        <f t="shared" si="27"/>
        <v>0.7017543859649128</v>
      </c>
      <c r="W76" s="74">
        <f t="shared" si="28"/>
        <v>0.52631578947368451</v>
      </c>
      <c r="X76" s="74">
        <f t="shared" si="29"/>
        <v>0.73684210526315841</v>
      </c>
      <c r="Y76" s="74">
        <f t="shared" si="30"/>
        <v>0</v>
      </c>
      <c r="Z76" s="75">
        <f t="shared" si="31"/>
        <v>0.63157894736842102</v>
      </c>
      <c r="AA76" s="76">
        <f t="shared" si="32"/>
        <v>0.8</v>
      </c>
      <c r="AB76" s="76">
        <f t="shared" ca="1" si="33"/>
        <v>1</v>
      </c>
      <c r="AC76" s="77">
        <f t="shared" ca="1" si="34"/>
        <v>0.8666666666666667</v>
      </c>
      <c r="AD76" s="359">
        <f t="shared" si="35"/>
        <v>5.0877192982456165</v>
      </c>
      <c r="AE76" s="369">
        <f t="shared" ca="1" si="36"/>
        <v>44.093567251462019</v>
      </c>
      <c r="AF76" s="95" t="s">
        <v>248</v>
      </c>
      <c r="AG76" s="113"/>
      <c r="AH76" s="118"/>
      <c r="AI76" s="115"/>
      <c r="AJ76" s="115">
        <v>100000</v>
      </c>
      <c r="AK76" s="120"/>
      <c r="AL76" s="122"/>
      <c r="AM76" s="337"/>
      <c r="AN76" s="338"/>
      <c r="AO76" s="338">
        <f t="shared" si="37"/>
        <v>107122.49999999999</v>
      </c>
      <c r="AP76" s="338"/>
      <c r="AQ76" s="339"/>
    </row>
    <row r="77" spans="1:43" ht="36" customHeight="1">
      <c r="A77" s="355">
        <v>73</v>
      </c>
      <c r="B77" s="12" t="s">
        <v>7</v>
      </c>
      <c r="C77" s="344" t="s">
        <v>6</v>
      </c>
      <c r="D77" s="8" t="s">
        <v>37</v>
      </c>
      <c r="E77" s="6" t="s">
        <v>922</v>
      </c>
      <c r="F77" s="481">
        <v>425000</v>
      </c>
      <c r="G77" s="51">
        <v>3</v>
      </c>
      <c r="H77" s="57">
        <v>0.3</v>
      </c>
      <c r="I77" s="65">
        <v>8</v>
      </c>
      <c r="J77" s="66">
        <v>6</v>
      </c>
      <c r="K77" s="66">
        <v>6.0000000000000036</v>
      </c>
      <c r="L77" s="66">
        <v>6.0000000000000036</v>
      </c>
      <c r="M77" s="66">
        <v>8.0000000000000053</v>
      </c>
      <c r="N77" s="66">
        <v>6.0000000000000036</v>
      </c>
      <c r="O77" s="66">
        <v>2</v>
      </c>
      <c r="P77" s="67">
        <v>8.0000000000000053</v>
      </c>
      <c r="Q77" s="70" t="e">
        <f ca="1">(#REF!-(YEAR(TODAY())-#REF!))/#REF!</f>
        <v>#REF!</v>
      </c>
      <c r="R77" s="70">
        <f t="shared" ca="1" si="23"/>
        <v>0.3</v>
      </c>
      <c r="S77" s="74">
        <f t="shared" si="24"/>
        <v>1.263157894736842</v>
      </c>
      <c r="T77" s="74">
        <f t="shared" si="25"/>
        <v>0.63157894736842102</v>
      </c>
      <c r="U77" s="74">
        <f t="shared" si="26"/>
        <v>0.84210526315789525</v>
      </c>
      <c r="V77" s="74">
        <f t="shared" si="27"/>
        <v>1.052631578947369</v>
      </c>
      <c r="W77" s="74">
        <f t="shared" si="28"/>
        <v>0.7017543859649128</v>
      </c>
      <c r="X77" s="74">
        <f t="shared" si="29"/>
        <v>0.73684210526315841</v>
      </c>
      <c r="Y77" s="74">
        <f t="shared" si="30"/>
        <v>0.21052631578947367</v>
      </c>
      <c r="Z77" s="75">
        <f t="shared" si="31"/>
        <v>0.84210526315789525</v>
      </c>
      <c r="AA77" s="76">
        <f t="shared" si="32"/>
        <v>0.7</v>
      </c>
      <c r="AB77" s="76">
        <f t="shared" ca="1" si="33"/>
        <v>0.7</v>
      </c>
      <c r="AC77" s="77">
        <f t="shared" ca="1" si="34"/>
        <v>0.69999999999999984</v>
      </c>
      <c r="AD77" s="359">
        <f t="shared" si="35"/>
        <v>6.2807017543859676</v>
      </c>
      <c r="AE77" s="369">
        <f t="shared" ca="1" si="36"/>
        <v>43.96491228070176</v>
      </c>
      <c r="AF77" s="95" t="s">
        <v>248</v>
      </c>
      <c r="AG77" s="440"/>
      <c r="AH77" s="118"/>
      <c r="AI77" s="115"/>
      <c r="AJ77" s="115">
        <v>125000</v>
      </c>
      <c r="AK77" s="115"/>
      <c r="AL77" s="122"/>
      <c r="AM77" s="337"/>
      <c r="AN77" s="338"/>
      <c r="AO77" s="338">
        <f t="shared" si="37"/>
        <v>133903.12499999997</v>
      </c>
      <c r="AP77" s="338"/>
      <c r="AQ77" s="339"/>
    </row>
    <row r="78" spans="1:43" ht="36" customHeight="1">
      <c r="A78" s="355">
        <v>74</v>
      </c>
      <c r="B78" s="4" t="s">
        <v>10</v>
      </c>
      <c r="C78" s="286" t="s">
        <v>6</v>
      </c>
      <c r="D78" s="5" t="s">
        <v>845</v>
      </c>
      <c r="E78" s="6" t="s">
        <v>902</v>
      </c>
      <c r="F78" s="473">
        <v>75000</v>
      </c>
      <c r="G78" s="51">
        <v>3</v>
      </c>
      <c r="H78" s="57">
        <v>0.1</v>
      </c>
      <c r="I78" s="65">
        <v>5</v>
      </c>
      <c r="J78" s="66">
        <v>5.0000000000000027</v>
      </c>
      <c r="K78" s="66">
        <v>9.0000000000000018</v>
      </c>
      <c r="L78" s="66">
        <v>4.0000000000000027</v>
      </c>
      <c r="M78" s="66">
        <v>5</v>
      </c>
      <c r="N78" s="66">
        <v>6.0000000000000036</v>
      </c>
      <c r="O78" s="66">
        <v>6</v>
      </c>
      <c r="P78" s="67">
        <v>6.0000000000000036</v>
      </c>
      <c r="Q78" s="70" t="e">
        <f ca="1">(#REF!-(YEAR(TODAY())-#REF!))/#REF!</f>
        <v>#REF!</v>
      </c>
      <c r="R78" s="70">
        <f t="shared" ca="1" si="23"/>
        <v>0.1</v>
      </c>
      <c r="S78" s="74">
        <f t="shared" si="24"/>
        <v>0.78947368421052633</v>
      </c>
      <c r="T78" s="74">
        <f t="shared" si="25"/>
        <v>0.52631578947368451</v>
      </c>
      <c r="U78" s="74">
        <f t="shared" si="26"/>
        <v>1.2631578947368423</v>
      </c>
      <c r="V78" s="74">
        <f t="shared" si="27"/>
        <v>0.7017543859649128</v>
      </c>
      <c r="W78" s="74">
        <f t="shared" si="28"/>
        <v>0.43859649122807015</v>
      </c>
      <c r="X78" s="74">
        <f t="shared" si="29"/>
        <v>0.73684210526315841</v>
      </c>
      <c r="Y78" s="74">
        <f t="shared" si="30"/>
        <v>0.63157894736842102</v>
      </c>
      <c r="Z78" s="75">
        <f t="shared" si="31"/>
        <v>0.63157894736842146</v>
      </c>
      <c r="AA78" s="76">
        <f t="shared" si="32"/>
        <v>0.7</v>
      </c>
      <c r="AB78" s="76">
        <f t="shared" ca="1" si="33"/>
        <v>0.9</v>
      </c>
      <c r="AC78" s="77">
        <f t="shared" ca="1" si="34"/>
        <v>0.76666666666666661</v>
      </c>
      <c r="AD78" s="359">
        <f t="shared" si="35"/>
        <v>5.7192982456140369</v>
      </c>
      <c r="AE78" s="369">
        <f t="shared" ca="1" si="36"/>
        <v>43.847953216374279</v>
      </c>
      <c r="AF78" s="95" t="s">
        <v>248</v>
      </c>
      <c r="AG78" s="113"/>
      <c r="AH78" s="118"/>
      <c r="AI78" s="115"/>
      <c r="AJ78" s="115">
        <v>75000</v>
      </c>
      <c r="AK78" s="115"/>
      <c r="AL78" s="122"/>
      <c r="AM78" s="337"/>
      <c r="AN78" s="338"/>
      <c r="AO78" s="338">
        <f t="shared" si="37"/>
        <v>80341.874999999985</v>
      </c>
      <c r="AP78" s="338"/>
      <c r="AQ78" s="339"/>
    </row>
    <row r="79" spans="1:43" ht="36" customHeight="1">
      <c r="A79" s="355">
        <v>75</v>
      </c>
      <c r="B79" s="4" t="s">
        <v>5</v>
      </c>
      <c r="C79" s="286" t="s">
        <v>6</v>
      </c>
      <c r="D79" s="5" t="s">
        <v>45</v>
      </c>
      <c r="E79" s="7" t="s">
        <v>923</v>
      </c>
      <c r="F79" s="473">
        <v>450000</v>
      </c>
      <c r="G79" s="51">
        <v>3</v>
      </c>
      <c r="H79" s="57">
        <v>0</v>
      </c>
      <c r="I79" s="65">
        <v>6.0000000000000036</v>
      </c>
      <c r="J79" s="66">
        <v>8.0000000000000053</v>
      </c>
      <c r="K79" s="66">
        <v>5.0000000000000027</v>
      </c>
      <c r="L79" s="66">
        <v>4</v>
      </c>
      <c r="M79" s="66">
        <v>2</v>
      </c>
      <c r="N79" s="66">
        <v>6.0000000000000036</v>
      </c>
      <c r="O79" s="66">
        <v>5</v>
      </c>
      <c r="P79" s="67">
        <v>8.0000000000000053</v>
      </c>
      <c r="Q79" s="70" t="e">
        <f ca="1">(#REF!-(YEAR(TODAY())-#REF!))/#REF!</f>
        <v>#REF!</v>
      </c>
      <c r="R79" s="70">
        <f t="shared" ca="1" si="23"/>
        <v>0</v>
      </c>
      <c r="S79" s="74">
        <f t="shared" si="24"/>
        <v>0.94736842105263208</v>
      </c>
      <c r="T79" s="74">
        <f t="shared" si="25"/>
        <v>0.84210526315789525</v>
      </c>
      <c r="U79" s="74">
        <f t="shared" si="26"/>
        <v>0.70175438596491269</v>
      </c>
      <c r="V79" s="74">
        <f t="shared" si="27"/>
        <v>0.70175438596491224</v>
      </c>
      <c r="W79" s="74">
        <f t="shared" si="28"/>
        <v>0.17543859649122806</v>
      </c>
      <c r="X79" s="74">
        <f t="shared" si="29"/>
        <v>0.73684210526315841</v>
      </c>
      <c r="Y79" s="74">
        <f t="shared" si="30"/>
        <v>0.52631578947368418</v>
      </c>
      <c r="Z79" s="75">
        <f t="shared" si="31"/>
        <v>0.84210526315789525</v>
      </c>
      <c r="AA79" s="76">
        <f t="shared" si="32"/>
        <v>0.7</v>
      </c>
      <c r="AB79" s="76">
        <f t="shared" ca="1" si="33"/>
        <v>1</v>
      </c>
      <c r="AC79" s="77">
        <f t="shared" ca="1" si="34"/>
        <v>0.79999999999999993</v>
      </c>
      <c r="AD79" s="359">
        <f t="shared" si="35"/>
        <v>5.4736842105263186</v>
      </c>
      <c r="AE79" s="369">
        <f t="shared" ca="1" si="36"/>
        <v>43.789473684210549</v>
      </c>
      <c r="AF79" s="95" t="s">
        <v>248</v>
      </c>
      <c r="AG79" s="113"/>
      <c r="AH79" s="118"/>
      <c r="AI79" s="115"/>
      <c r="AJ79" s="115">
        <v>100000</v>
      </c>
      <c r="AK79" s="115">
        <v>350000</v>
      </c>
      <c r="AL79" s="122"/>
      <c r="AM79" s="337"/>
      <c r="AN79" s="338"/>
      <c r="AO79" s="338">
        <f t="shared" si="37"/>
        <v>107122.49999999999</v>
      </c>
      <c r="AP79" s="338">
        <f t="shared" si="39"/>
        <v>388051.25624999992</v>
      </c>
      <c r="AQ79" s="339"/>
    </row>
    <row r="80" spans="1:43" ht="36" customHeight="1">
      <c r="A80" s="355">
        <v>76</v>
      </c>
      <c r="B80" s="4" t="s">
        <v>16</v>
      </c>
      <c r="C80" s="286" t="s">
        <v>300</v>
      </c>
      <c r="D80" s="19" t="s">
        <v>975</v>
      </c>
      <c r="E80" s="15" t="s">
        <v>1132</v>
      </c>
      <c r="F80" s="476">
        <v>270000</v>
      </c>
      <c r="G80" s="52">
        <v>2</v>
      </c>
      <c r="H80" s="57">
        <v>0.2</v>
      </c>
      <c r="I80" s="65">
        <v>6</v>
      </c>
      <c r="J80" s="66">
        <v>7</v>
      </c>
      <c r="K80" s="66">
        <v>6</v>
      </c>
      <c r="L80" s="66">
        <v>7</v>
      </c>
      <c r="M80" s="66">
        <v>3</v>
      </c>
      <c r="N80" s="66">
        <v>5</v>
      </c>
      <c r="O80" s="66">
        <v>0</v>
      </c>
      <c r="P80" s="67">
        <v>8</v>
      </c>
      <c r="Q80" s="70" t="e">
        <f ca="1">(#REF!-(YEAR(TODAY())-#REF!))/#REF!</f>
        <v>#REF!</v>
      </c>
      <c r="R80" s="70">
        <f t="shared" ca="1" si="23"/>
        <v>0.2</v>
      </c>
      <c r="S80" s="74">
        <f t="shared" si="24"/>
        <v>0.94736842105263153</v>
      </c>
      <c r="T80" s="74">
        <f t="shared" si="25"/>
        <v>0.73684210526315785</v>
      </c>
      <c r="U80" s="74">
        <f t="shared" si="26"/>
        <v>0.84210526315789469</v>
      </c>
      <c r="V80" s="74">
        <f t="shared" si="27"/>
        <v>1.2280701754385965</v>
      </c>
      <c r="W80" s="74">
        <f t="shared" si="28"/>
        <v>0.26315789473684209</v>
      </c>
      <c r="X80" s="74">
        <f t="shared" si="29"/>
        <v>0.61403508771929827</v>
      </c>
      <c r="Y80" s="74">
        <f t="shared" si="30"/>
        <v>0</v>
      </c>
      <c r="Z80" s="75">
        <f t="shared" si="31"/>
        <v>0.84210526315789469</v>
      </c>
      <c r="AA80" s="76">
        <f t="shared" si="32"/>
        <v>0.8</v>
      </c>
      <c r="AB80" s="76">
        <f t="shared" ca="1" si="33"/>
        <v>0.8</v>
      </c>
      <c r="AC80" s="77">
        <f t="shared" ca="1" si="34"/>
        <v>0.80000000000000016</v>
      </c>
      <c r="AD80" s="359">
        <f t="shared" si="35"/>
        <v>5.4736842105263159</v>
      </c>
      <c r="AE80" s="369">
        <f t="shared" ca="1" si="36"/>
        <v>43.789473684210535</v>
      </c>
      <c r="AF80" s="96" t="s">
        <v>248</v>
      </c>
      <c r="AG80" s="443"/>
      <c r="AH80" s="118"/>
      <c r="AI80" s="115"/>
      <c r="AJ80" s="115">
        <v>270000</v>
      </c>
      <c r="AK80" s="115"/>
      <c r="AL80" s="122"/>
      <c r="AM80" s="340"/>
      <c r="AN80" s="338"/>
      <c r="AO80" s="338">
        <f t="shared" si="37"/>
        <v>289230.74999999994</v>
      </c>
      <c r="AP80" s="338"/>
      <c r="AQ80" s="339"/>
    </row>
    <row r="81" spans="1:43" ht="36" customHeight="1">
      <c r="A81" s="355">
        <v>77</v>
      </c>
      <c r="B81" s="4" t="s">
        <v>16</v>
      </c>
      <c r="C81" s="286" t="s">
        <v>299</v>
      </c>
      <c r="D81" s="16" t="s">
        <v>851</v>
      </c>
      <c r="E81" s="18" t="s">
        <v>849</v>
      </c>
      <c r="F81" s="477">
        <v>150000</v>
      </c>
      <c r="G81" s="52">
        <v>1</v>
      </c>
      <c r="H81" s="57">
        <v>0.1</v>
      </c>
      <c r="I81" s="65">
        <v>5</v>
      </c>
      <c r="J81" s="66">
        <v>6</v>
      </c>
      <c r="K81" s="66">
        <v>0</v>
      </c>
      <c r="L81" s="66">
        <v>8</v>
      </c>
      <c r="M81" s="66">
        <v>0</v>
      </c>
      <c r="N81" s="66">
        <v>8</v>
      </c>
      <c r="O81" s="66">
        <v>0</v>
      </c>
      <c r="P81" s="67">
        <v>10</v>
      </c>
      <c r="Q81" s="70" t="e">
        <f ca="1">(#REF!-(YEAR(TODAY())-#REF!))/#REF!</f>
        <v>#REF!</v>
      </c>
      <c r="R81" s="70">
        <f t="shared" ca="1" si="23"/>
        <v>0.1</v>
      </c>
      <c r="S81" s="74">
        <f t="shared" si="24"/>
        <v>0.78947368421052633</v>
      </c>
      <c r="T81" s="74">
        <f t="shared" si="25"/>
        <v>0.63157894736842102</v>
      </c>
      <c r="U81" s="74">
        <f t="shared" si="26"/>
        <v>0</v>
      </c>
      <c r="V81" s="74">
        <f t="shared" si="27"/>
        <v>1.4035087719298245</v>
      </c>
      <c r="W81" s="74">
        <f t="shared" si="28"/>
        <v>0</v>
      </c>
      <c r="X81" s="74">
        <f t="shared" si="29"/>
        <v>0.98245614035087714</v>
      </c>
      <c r="Y81" s="74">
        <f t="shared" si="30"/>
        <v>0</v>
      </c>
      <c r="Z81" s="75">
        <f t="shared" si="31"/>
        <v>1.0526315789473684</v>
      </c>
      <c r="AA81" s="76">
        <f t="shared" si="32"/>
        <v>0.9</v>
      </c>
      <c r="AB81" s="76">
        <f t="shared" ca="1" si="33"/>
        <v>0.9</v>
      </c>
      <c r="AC81" s="77">
        <f t="shared" ca="1" si="34"/>
        <v>0.9</v>
      </c>
      <c r="AD81" s="359">
        <f t="shared" si="35"/>
        <v>4.8596491228070171</v>
      </c>
      <c r="AE81" s="369">
        <f t="shared" ca="1" si="36"/>
        <v>43.73684210526315</v>
      </c>
      <c r="AF81" s="96" t="s">
        <v>1200</v>
      </c>
      <c r="AG81" s="442"/>
      <c r="AH81" s="118"/>
      <c r="AI81" s="115"/>
      <c r="AJ81" s="115">
        <v>150000</v>
      </c>
      <c r="AK81" s="115"/>
      <c r="AL81" s="454"/>
      <c r="AM81" s="337"/>
      <c r="AN81" s="338"/>
      <c r="AO81" s="338">
        <f t="shared" si="37"/>
        <v>160683.74999999997</v>
      </c>
      <c r="AP81" s="338"/>
      <c r="AQ81" s="339"/>
    </row>
    <row r="82" spans="1:43" ht="36" customHeight="1">
      <c r="A82" s="355">
        <v>78</v>
      </c>
      <c r="B82" s="4" t="s">
        <v>13</v>
      </c>
      <c r="C82" s="286" t="s">
        <v>15</v>
      </c>
      <c r="D82" s="116" t="s">
        <v>1158</v>
      </c>
      <c r="E82" s="23" t="s">
        <v>1047</v>
      </c>
      <c r="F82" s="476">
        <v>100000</v>
      </c>
      <c r="G82" s="52">
        <v>3</v>
      </c>
      <c r="H82" s="57">
        <v>0.1</v>
      </c>
      <c r="I82" s="65">
        <v>6.0000000000000036</v>
      </c>
      <c r="J82" s="66">
        <v>8.0000000000000053</v>
      </c>
      <c r="K82" s="66">
        <v>6.0000000000000036</v>
      </c>
      <c r="L82" s="66">
        <v>8.0000000000000053</v>
      </c>
      <c r="M82" s="66">
        <v>1</v>
      </c>
      <c r="N82" s="66">
        <v>6.0000000000000036</v>
      </c>
      <c r="O82" s="66">
        <v>0</v>
      </c>
      <c r="P82" s="67">
        <v>8</v>
      </c>
      <c r="Q82" s="70" t="e">
        <f ca="1">(#REF!-(YEAR(TODAY())-#REF!))/#REF!</f>
        <v>#REF!</v>
      </c>
      <c r="R82" s="70">
        <f t="shared" ca="1" si="23"/>
        <v>0.1</v>
      </c>
      <c r="S82" s="74">
        <f t="shared" si="24"/>
        <v>0.94736842105263208</v>
      </c>
      <c r="T82" s="74">
        <f t="shared" si="25"/>
        <v>0.84210526315789525</v>
      </c>
      <c r="U82" s="74">
        <f t="shared" si="26"/>
        <v>0.84210526315789525</v>
      </c>
      <c r="V82" s="74">
        <f t="shared" si="27"/>
        <v>1.4035087719298256</v>
      </c>
      <c r="W82" s="74">
        <f t="shared" si="28"/>
        <v>8.771929824561403E-2</v>
      </c>
      <c r="X82" s="74">
        <f t="shared" si="29"/>
        <v>0.73684210526315841</v>
      </c>
      <c r="Y82" s="74">
        <f t="shared" si="30"/>
        <v>0</v>
      </c>
      <c r="Z82" s="75">
        <f t="shared" si="31"/>
        <v>0.84210526315789469</v>
      </c>
      <c r="AA82" s="76">
        <f t="shared" si="32"/>
        <v>0.7</v>
      </c>
      <c r="AB82" s="76">
        <f t="shared" ca="1" si="33"/>
        <v>0.9</v>
      </c>
      <c r="AC82" s="77">
        <f t="shared" ca="1" si="34"/>
        <v>0.76666666666666661</v>
      </c>
      <c r="AD82" s="359">
        <f t="shared" si="35"/>
        <v>5.7017543859649154</v>
      </c>
      <c r="AE82" s="369">
        <f t="shared" ca="1" si="36"/>
        <v>43.713450292397681</v>
      </c>
      <c r="AF82" s="96" t="s">
        <v>261</v>
      </c>
      <c r="AG82" s="442"/>
      <c r="AH82" s="118"/>
      <c r="AI82" s="124"/>
      <c r="AJ82" s="115">
        <v>100000</v>
      </c>
      <c r="AK82" s="115"/>
      <c r="AL82" s="122"/>
      <c r="AM82" s="337"/>
      <c r="AN82" s="338"/>
      <c r="AO82" s="338">
        <f t="shared" ref="AO82:AO95" si="40">AJ82*(1+Efactor)^2</f>
        <v>107122.49999999999</v>
      </c>
      <c r="AP82" s="338"/>
      <c r="AQ82" s="339"/>
    </row>
    <row r="83" spans="1:43" ht="36" customHeight="1">
      <c r="A83" s="355">
        <v>79</v>
      </c>
      <c r="B83" s="12" t="s">
        <v>7</v>
      </c>
      <c r="C83" s="344" t="s">
        <v>6</v>
      </c>
      <c r="D83" s="5" t="s">
        <v>63</v>
      </c>
      <c r="E83" s="6" t="s">
        <v>64</v>
      </c>
      <c r="F83" s="477">
        <v>425000</v>
      </c>
      <c r="G83" s="52">
        <v>3</v>
      </c>
      <c r="H83" s="57">
        <v>0.1</v>
      </c>
      <c r="I83" s="65">
        <v>7</v>
      </c>
      <c r="J83" s="66">
        <v>6.0000000000000036</v>
      </c>
      <c r="K83" s="66">
        <v>6.0000000000000036</v>
      </c>
      <c r="L83" s="66">
        <v>5</v>
      </c>
      <c r="M83" s="66">
        <v>4.0000000000000027</v>
      </c>
      <c r="N83" s="66">
        <v>6.0000000000000036</v>
      </c>
      <c r="O83" s="66">
        <v>4</v>
      </c>
      <c r="P83" s="67">
        <v>7</v>
      </c>
      <c r="Q83" s="70" t="e">
        <f ca="1">(#REF!-(YEAR(TODAY())-#REF!))/#REF!</f>
        <v>#REF!</v>
      </c>
      <c r="R83" s="70">
        <f t="shared" ca="1" si="23"/>
        <v>0.1</v>
      </c>
      <c r="S83" s="74">
        <f t="shared" si="24"/>
        <v>1.1052631578947369</v>
      </c>
      <c r="T83" s="74">
        <f t="shared" si="25"/>
        <v>0.63157894736842146</v>
      </c>
      <c r="U83" s="74">
        <f t="shared" si="26"/>
        <v>0.84210526315789525</v>
      </c>
      <c r="V83" s="74">
        <f t="shared" si="27"/>
        <v>0.8771929824561403</v>
      </c>
      <c r="W83" s="74">
        <f t="shared" si="28"/>
        <v>0.3508771929824564</v>
      </c>
      <c r="X83" s="74">
        <f t="shared" si="29"/>
        <v>0.73684210526315841</v>
      </c>
      <c r="Y83" s="74">
        <f t="shared" si="30"/>
        <v>0.42105263157894735</v>
      </c>
      <c r="Z83" s="75">
        <f t="shared" si="31"/>
        <v>0.73684210526315785</v>
      </c>
      <c r="AA83" s="76">
        <f t="shared" si="32"/>
        <v>0.7</v>
      </c>
      <c r="AB83" s="76">
        <f t="shared" ca="1" si="33"/>
        <v>0.9</v>
      </c>
      <c r="AC83" s="77">
        <f t="shared" ca="1" si="34"/>
        <v>0.76666666666666661</v>
      </c>
      <c r="AD83" s="359">
        <f t="shared" si="35"/>
        <v>5.7017543859649127</v>
      </c>
      <c r="AE83" s="369">
        <f t="shared" ca="1" si="36"/>
        <v>43.71345029239766</v>
      </c>
      <c r="AF83" s="96" t="s">
        <v>248</v>
      </c>
      <c r="AG83" s="442">
        <v>50000</v>
      </c>
      <c r="AH83" s="118"/>
      <c r="AI83" s="115"/>
      <c r="AJ83" s="115">
        <v>250000</v>
      </c>
      <c r="AK83" s="115">
        <v>125000</v>
      </c>
      <c r="AL83" s="122"/>
      <c r="AM83" s="337"/>
      <c r="AN83" s="338"/>
      <c r="AO83" s="338">
        <f t="shared" si="40"/>
        <v>267806.24999999994</v>
      </c>
      <c r="AP83" s="338">
        <f t="shared" si="39"/>
        <v>138589.73437499997</v>
      </c>
      <c r="AQ83" s="339"/>
    </row>
    <row r="84" spans="1:43" ht="36" customHeight="1">
      <c r="A84" s="355">
        <v>80</v>
      </c>
      <c r="B84" s="4" t="s">
        <v>14</v>
      </c>
      <c r="C84" s="286" t="s">
        <v>6</v>
      </c>
      <c r="D84" s="24" t="s">
        <v>48</v>
      </c>
      <c r="E84" s="25" t="s">
        <v>1099</v>
      </c>
      <c r="F84" s="476">
        <v>250000</v>
      </c>
      <c r="G84" s="52">
        <v>2</v>
      </c>
      <c r="H84" s="57">
        <v>0.1</v>
      </c>
      <c r="I84" s="65">
        <v>6.0000000000000036</v>
      </c>
      <c r="J84" s="66">
        <v>8</v>
      </c>
      <c r="K84" s="66">
        <v>4</v>
      </c>
      <c r="L84" s="66">
        <v>4.0000000000000027</v>
      </c>
      <c r="M84" s="66">
        <v>2</v>
      </c>
      <c r="N84" s="66">
        <v>6.0000000000000036</v>
      </c>
      <c r="O84" s="66">
        <v>4</v>
      </c>
      <c r="P84" s="67">
        <v>8.0000000000000053</v>
      </c>
      <c r="Q84" s="70" t="e">
        <f ca="1">(#REF!-(YEAR(TODAY())-#REF!))/#REF!</f>
        <v>#REF!</v>
      </c>
      <c r="R84" s="70">
        <f t="shared" ca="1" si="23"/>
        <v>0.1</v>
      </c>
      <c r="S84" s="74">
        <f t="shared" si="24"/>
        <v>0.94736842105263208</v>
      </c>
      <c r="T84" s="74">
        <f t="shared" si="25"/>
        <v>0.84210526315789469</v>
      </c>
      <c r="U84" s="74">
        <f t="shared" si="26"/>
        <v>0.56140350877192979</v>
      </c>
      <c r="V84" s="74">
        <f t="shared" si="27"/>
        <v>0.7017543859649128</v>
      </c>
      <c r="W84" s="74">
        <f t="shared" si="28"/>
        <v>0.17543859649122806</v>
      </c>
      <c r="X84" s="74">
        <f t="shared" si="29"/>
        <v>0.73684210526315841</v>
      </c>
      <c r="Y84" s="74">
        <f t="shared" si="30"/>
        <v>0.42105263157894735</v>
      </c>
      <c r="Z84" s="75">
        <f t="shared" si="31"/>
        <v>0.84210526315789525</v>
      </c>
      <c r="AA84" s="76">
        <f t="shared" si="32"/>
        <v>0.8</v>
      </c>
      <c r="AB84" s="76">
        <f t="shared" ca="1" si="33"/>
        <v>0.9</v>
      </c>
      <c r="AC84" s="77">
        <f t="shared" ca="1" si="34"/>
        <v>0.83333333333333337</v>
      </c>
      <c r="AD84" s="359">
        <f t="shared" si="35"/>
        <v>5.2280701754385985</v>
      </c>
      <c r="AE84" s="369">
        <f t="shared" ca="1" si="36"/>
        <v>43.567251461988327</v>
      </c>
      <c r="AF84" s="96" t="s">
        <v>248</v>
      </c>
      <c r="AG84" s="442"/>
      <c r="AH84" s="119"/>
      <c r="AI84" s="115"/>
      <c r="AJ84" s="115">
        <v>150000</v>
      </c>
      <c r="AK84" s="115"/>
      <c r="AL84" s="122"/>
      <c r="AM84" s="337"/>
      <c r="AN84" s="338"/>
      <c r="AO84" s="338">
        <f t="shared" si="40"/>
        <v>160683.74999999997</v>
      </c>
      <c r="AP84" s="338"/>
      <c r="AQ84" s="339"/>
    </row>
    <row r="85" spans="1:43" ht="36" customHeight="1">
      <c r="A85" s="355">
        <v>81</v>
      </c>
      <c r="B85" s="4" t="s">
        <v>5</v>
      </c>
      <c r="C85" s="286" t="s">
        <v>6</v>
      </c>
      <c r="D85" s="5" t="s">
        <v>53</v>
      </c>
      <c r="E85" s="7" t="s">
        <v>983</v>
      </c>
      <c r="F85" s="473">
        <v>375000</v>
      </c>
      <c r="G85" s="51">
        <v>3</v>
      </c>
      <c r="H85" s="57">
        <v>0</v>
      </c>
      <c r="I85" s="65">
        <v>6.0000000000000036</v>
      </c>
      <c r="J85" s="66">
        <v>8.0000000000000053</v>
      </c>
      <c r="K85" s="66">
        <v>4</v>
      </c>
      <c r="L85" s="66">
        <v>4.0000000000000027</v>
      </c>
      <c r="M85" s="66">
        <v>6.0000000000000036</v>
      </c>
      <c r="N85" s="66">
        <v>4</v>
      </c>
      <c r="O85" s="66">
        <v>5</v>
      </c>
      <c r="P85" s="67">
        <v>8</v>
      </c>
      <c r="Q85" s="70" t="e">
        <f ca="1">(#REF!-(YEAR(TODAY())-#REF!))/#REF!</f>
        <v>#REF!</v>
      </c>
      <c r="R85" s="70">
        <f t="shared" ca="1" si="23"/>
        <v>0</v>
      </c>
      <c r="S85" s="74">
        <f t="shared" si="24"/>
        <v>0.94736842105263208</v>
      </c>
      <c r="T85" s="74">
        <f t="shared" si="25"/>
        <v>0.84210526315789525</v>
      </c>
      <c r="U85" s="74">
        <f t="shared" si="26"/>
        <v>0.56140350877192979</v>
      </c>
      <c r="V85" s="74">
        <f t="shared" si="27"/>
        <v>0.7017543859649128</v>
      </c>
      <c r="W85" s="74">
        <f t="shared" si="28"/>
        <v>0.52631578947368451</v>
      </c>
      <c r="X85" s="74">
        <f t="shared" si="29"/>
        <v>0.49122807017543857</v>
      </c>
      <c r="Y85" s="74">
        <f t="shared" si="30"/>
        <v>0.52631578947368418</v>
      </c>
      <c r="Z85" s="75">
        <f t="shared" si="31"/>
        <v>0.84210526315789469</v>
      </c>
      <c r="AA85" s="76">
        <f t="shared" si="32"/>
        <v>0.7</v>
      </c>
      <c r="AB85" s="76">
        <f t="shared" ca="1" si="33"/>
        <v>1</v>
      </c>
      <c r="AC85" s="77">
        <f t="shared" ca="1" si="34"/>
        <v>0.79999999999999993</v>
      </c>
      <c r="AD85" s="359">
        <f t="shared" si="35"/>
        <v>5.438596491228072</v>
      </c>
      <c r="AE85" s="369">
        <f t="shared" ca="1" si="36"/>
        <v>43.508771929824576</v>
      </c>
      <c r="AF85" s="95" t="s">
        <v>248</v>
      </c>
      <c r="AG85" s="113"/>
      <c r="AH85" s="118"/>
      <c r="AI85" s="115"/>
      <c r="AJ85" s="115">
        <v>375000</v>
      </c>
      <c r="AK85" s="115"/>
      <c r="AL85" s="122"/>
      <c r="AM85" s="337"/>
      <c r="AN85" s="338"/>
      <c r="AO85" s="338">
        <f t="shared" si="40"/>
        <v>401709.37499999994</v>
      </c>
      <c r="AP85" s="338"/>
      <c r="AQ85" s="339"/>
    </row>
    <row r="86" spans="1:43" ht="36" customHeight="1">
      <c r="A86" s="355">
        <v>82</v>
      </c>
      <c r="B86" s="4" t="s">
        <v>16</v>
      </c>
      <c r="C86" s="286" t="s">
        <v>299</v>
      </c>
      <c r="D86" s="8" t="s">
        <v>850</v>
      </c>
      <c r="E86" s="21" t="s">
        <v>890</v>
      </c>
      <c r="F86" s="476">
        <v>63500</v>
      </c>
      <c r="G86" s="52">
        <v>3</v>
      </c>
      <c r="H86" s="57">
        <v>0.2</v>
      </c>
      <c r="I86" s="65">
        <v>6.0000000000000036</v>
      </c>
      <c r="J86" s="66">
        <v>8</v>
      </c>
      <c r="K86" s="66">
        <v>4.0000000000000027</v>
      </c>
      <c r="L86" s="66">
        <v>8.0000000000000053</v>
      </c>
      <c r="M86" s="66">
        <v>4.0000000000000027</v>
      </c>
      <c r="N86" s="66">
        <v>8.0000000000000053</v>
      </c>
      <c r="O86" s="66">
        <v>0</v>
      </c>
      <c r="P86" s="67">
        <v>8</v>
      </c>
      <c r="Q86" s="70" t="e">
        <f ca="1">(#REF!-(YEAR(TODAY())-#REF!))/#REF!</f>
        <v>#REF!</v>
      </c>
      <c r="R86" s="70">
        <f t="shared" ca="1" si="23"/>
        <v>0.2</v>
      </c>
      <c r="S86" s="74">
        <f t="shared" si="24"/>
        <v>0.94736842105263208</v>
      </c>
      <c r="T86" s="74">
        <f t="shared" si="25"/>
        <v>0.84210526315789469</v>
      </c>
      <c r="U86" s="74">
        <f t="shared" si="26"/>
        <v>0.56140350877193024</v>
      </c>
      <c r="V86" s="74">
        <f t="shared" si="27"/>
        <v>1.4035087719298256</v>
      </c>
      <c r="W86" s="74">
        <f t="shared" si="28"/>
        <v>0.3508771929824564</v>
      </c>
      <c r="X86" s="74">
        <f t="shared" si="29"/>
        <v>0.9824561403508778</v>
      </c>
      <c r="Y86" s="74">
        <f t="shared" si="30"/>
        <v>0</v>
      </c>
      <c r="Z86" s="75">
        <f t="shared" si="31"/>
        <v>0.84210526315789469</v>
      </c>
      <c r="AA86" s="76">
        <f t="shared" si="32"/>
        <v>0.7</v>
      </c>
      <c r="AB86" s="76">
        <f t="shared" ca="1" si="33"/>
        <v>0.8</v>
      </c>
      <c r="AC86" s="77">
        <f t="shared" ca="1" si="34"/>
        <v>0.73333333333333339</v>
      </c>
      <c r="AD86" s="359">
        <f t="shared" si="35"/>
        <v>5.9298245614035112</v>
      </c>
      <c r="AE86" s="369">
        <f t="shared" ca="1" si="36"/>
        <v>43.485380116959085</v>
      </c>
      <c r="AF86" s="96" t="s">
        <v>1200</v>
      </c>
      <c r="AG86" s="114"/>
      <c r="AH86" s="118"/>
      <c r="AI86" s="115"/>
      <c r="AJ86" s="115"/>
      <c r="AK86" s="115">
        <v>63500</v>
      </c>
      <c r="AL86" s="122"/>
      <c r="AM86" s="337"/>
      <c r="AN86" s="338"/>
      <c r="AO86" s="338"/>
      <c r="AP86" s="338">
        <f t="shared" ref="AP86" si="41">AK86*(1+Efactor)^3</f>
        <v>70403.585062499988</v>
      </c>
      <c r="AQ86" s="339"/>
    </row>
    <row r="87" spans="1:43" ht="36" customHeight="1">
      <c r="A87" s="355">
        <v>83</v>
      </c>
      <c r="B87" s="4" t="s">
        <v>5</v>
      </c>
      <c r="C87" s="286" t="s">
        <v>6</v>
      </c>
      <c r="D87" s="5" t="s">
        <v>875</v>
      </c>
      <c r="E87" s="6" t="s">
        <v>1007</v>
      </c>
      <c r="F87" s="473">
        <v>280000</v>
      </c>
      <c r="G87" s="51">
        <v>2</v>
      </c>
      <c r="H87" s="57">
        <v>0.2</v>
      </c>
      <c r="I87" s="65">
        <v>5</v>
      </c>
      <c r="J87" s="66">
        <v>6</v>
      </c>
      <c r="K87" s="66">
        <v>5</v>
      </c>
      <c r="L87" s="66">
        <v>10</v>
      </c>
      <c r="M87" s="66">
        <v>4</v>
      </c>
      <c r="N87" s="66">
        <v>2</v>
      </c>
      <c r="O87" s="66">
        <v>1</v>
      </c>
      <c r="P87" s="67">
        <v>8</v>
      </c>
      <c r="Q87" s="70" t="e">
        <f ca="1">(#REF!-(YEAR(TODAY())-#REF!))/#REF!</f>
        <v>#REF!</v>
      </c>
      <c r="R87" s="70">
        <f t="shared" ca="1" si="23"/>
        <v>0.2</v>
      </c>
      <c r="S87" s="74">
        <f t="shared" si="24"/>
        <v>0.78947368421052633</v>
      </c>
      <c r="T87" s="74">
        <f t="shared" si="25"/>
        <v>0.63157894736842102</v>
      </c>
      <c r="U87" s="74">
        <f t="shared" si="26"/>
        <v>0.70175438596491224</v>
      </c>
      <c r="V87" s="74">
        <f t="shared" si="27"/>
        <v>1.7543859649122806</v>
      </c>
      <c r="W87" s="74">
        <f t="shared" si="28"/>
        <v>0.35087719298245612</v>
      </c>
      <c r="X87" s="74">
        <f t="shared" si="29"/>
        <v>0.24561403508771928</v>
      </c>
      <c r="Y87" s="74">
        <f t="shared" si="30"/>
        <v>0.10526315789473684</v>
      </c>
      <c r="Z87" s="75">
        <f t="shared" si="31"/>
        <v>0.84210526315789469</v>
      </c>
      <c r="AA87" s="76">
        <f t="shared" si="32"/>
        <v>0.8</v>
      </c>
      <c r="AB87" s="76">
        <f t="shared" ca="1" si="33"/>
        <v>0.8</v>
      </c>
      <c r="AC87" s="77">
        <f t="shared" ca="1" si="34"/>
        <v>0.80000000000000016</v>
      </c>
      <c r="AD87" s="359">
        <f t="shared" si="35"/>
        <v>5.4210526315789478</v>
      </c>
      <c r="AE87" s="369">
        <f t="shared" ca="1" si="36"/>
        <v>43.368421052631589</v>
      </c>
      <c r="AF87" s="95" t="s">
        <v>266</v>
      </c>
      <c r="AG87" s="113"/>
      <c r="AH87" s="110"/>
      <c r="AI87" s="108"/>
      <c r="AJ87" s="108">
        <v>280000</v>
      </c>
      <c r="AK87" s="108"/>
      <c r="AL87" s="389"/>
      <c r="AM87" s="337"/>
      <c r="AN87" s="338"/>
      <c r="AO87" s="338">
        <f t="shared" si="40"/>
        <v>299942.99999999994</v>
      </c>
      <c r="AP87" s="338"/>
      <c r="AQ87" s="339"/>
    </row>
    <row r="88" spans="1:43" s="209" customFormat="1" ht="36" customHeight="1">
      <c r="A88" s="355">
        <v>84</v>
      </c>
      <c r="B88" s="12" t="s">
        <v>7</v>
      </c>
      <c r="C88" s="344" t="s">
        <v>6</v>
      </c>
      <c r="D88" s="5" t="s">
        <v>27</v>
      </c>
      <c r="E88" s="15" t="s">
        <v>1066</v>
      </c>
      <c r="F88" s="476">
        <v>1000000</v>
      </c>
      <c r="G88" s="52">
        <v>3</v>
      </c>
      <c r="H88" s="57">
        <v>0.1</v>
      </c>
      <c r="I88" s="65">
        <v>6</v>
      </c>
      <c r="J88" s="66">
        <v>5</v>
      </c>
      <c r="K88" s="66">
        <v>4</v>
      </c>
      <c r="L88" s="66">
        <v>4</v>
      </c>
      <c r="M88" s="66">
        <v>8</v>
      </c>
      <c r="N88" s="66">
        <v>5</v>
      </c>
      <c r="O88" s="66">
        <v>6</v>
      </c>
      <c r="P88" s="67">
        <v>8</v>
      </c>
      <c r="Q88" s="70" t="e">
        <f ca="1">(#REF!-(YEAR(TODAY())-#REF!))/#REF!</f>
        <v>#REF!</v>
      </c>
      <c r="R88" s="70">
        <f t="shared" ca="1" si="23"/>
        <v>0.1</v>
      </c>
      <c r="S88" s="74">
        <f t="shared" si="24"/>
        <v>0.94736842105263153</v>
      </c>
      <c r="T88" s="74">
        <f t="shared" si="25"/>
        <v>0.52631578947368418</v>
      </c>
      <c r="U88" s="74">
        <f t="shared" si="26"/>
        <v>0.56140350877192979</v>
      </c>
      <c r="V88" s="74">
        <f t="shared" si="27"/>
        <v>0.70175438596491224</v>
      </c>
      <c r="W88" s="74">
        <f t="shared" si="28"/>
        <v>0.70175438596491224</v>
      </c>
      <c r="X88" s="74">
        <f t="shared" si="29"/>
        <v>0.61403508771929827</v>
      </c>
      <c r="Y88" s="74">
        <f t="shared" si="30"/>
        <v>0.63157894736842102</v>
      </c>
      <c r="Z88" s="75">
        <f t="shared" si="31"/>
        <v>0.84210526315789469</v>
      </c>
      <c r="AA88" s="76">
        <f t="shared" si="32"/>
        <v>0.7</v>
      </c>
      <c r="AB88" s="76">
        <f t="shared" ca="1" si="33"/>
        <v>0.9</v>
      </c>
      <c r="AC88" s="77">
        <f t="shared" ca="1" si="34"/>
        <v>0.76666666666666661</v>
      </c>
      <c r="AD88" s="359">
        <f t="shared" si="35"/>
        <v>5.5263157894736841</v>
      </c>
      <c r="AE88" s="369">
        <f t="shared" ca="1" si="36"/>
        <v>42.368421052631575</v>
      </c>
      <c r="AF88" s="96" t="s">
        <v>257</v>
      </c>
      <c r="AG88" s="443"/>
      <c r="AH88" s="118"/>
      <c r="AI88" s="115">
        <v>500000</v>
      </c>
      <c r="AJ88" s="115">
        <v>500000</v>
      </c>
      <c r="AK88" s="115"/>
      <c r="AL88" s="122"/>
      <c r="AM88" s="337"/>
      <c r="AN88" s="338">
        <f t="shared" ref="AN88" si="42">AI88*(1+Efactor)</f>
        <v>517499.99999999994</v>
      </c>
      <c r="AO88" s="338">
        <f t="shared" si="40"/>
        <v>535612.49999999988</v>
      </c>
      <c r="AP88" s="338"/>
      <c r="AQ88" s="339"/>
    </row>
    <row r="89" spans="1:43" ht="36" customHeight="1">
      <c r="A89" s="355">
        <v>85</v>
      </c>
      <c r="B89" s="4" t="s">
        <v>16</v>
      </c>
      <c r="C89" s="286" t="s">
        <v>299</v>
      </c>
      <c r="D89" s="30" t="s">
        <v>1025</v>
      </c>
      <c r="E89" s="21" t="s">
        <v>1024</v>
      </c>
      <c r="F89" s="476">
        <v>75000</v>
      </c>
      <c r="G89" s="52">
        <v>3</v>
      </c>
      <c r="H89" s="57">
        <v>0.3</v>
      </c>
      <c r="I89" s="65">
        <v>8</v>
      </c>
      <c r="J89" s="66">
        <v>5</v>
      </c>
      <c r="K89" s="66">
        <v>3</v>
      </c>
      <c r="L89" s="66">
        <v>9</v>
      </c>
      <c r="M89" s="66">
        <v>5</v>
      </c>
      <c r="N89" s="66">
        <v>5</v>
      </c>
      <c r="O89" s="66">
        <v>1</v>
      </c>
      <c r="P89" s="67">
        <v>10</v>
      </c>
      <c r="Q89" s="70" t="e">
        <f ca="1">(#REF!-(YEAR(TODAY())-#REF!))/#REF!</f>
        <v>#REF!</v>
      </c>
      <c r="R89" s="70">
        <f t="shared" ca="1" si="23"/>
        <v>0.3</v>
      </c>
      <c r="S89" s="74">
        <f t="shared" si="24"/>
        <v>1.263157894736842</v>
      </c>
      <c r="T89" s="74">
        <f t="shared" si="25"/>
        <v>0.52631578947368418</v>
      </c>
      <c r="U89" s="74">
        <f t="shared" si="26"/>
        <v>0.42105263157894735</v>
      </c>
      <c r="V89" s="74">
        <f t="shared" si="27"/>
        <v>1.5789473684210527</v>
      </c>
      <c r="W89" s="74">
        <f t="shared" si="28"/>
        <v>0.43859649122807015</v>
      </c>
      <c r="X89" s="74">
        <f t="shared" si="29"/>
        <v>0.61403508771929827</v>
      </c>
      <c r="Y89" s="74">
        <f t="shared" si="30"/>
        <v>0.10526315789473684</v>
      </c>
      <c r="Z89" s="75">
        <f t="shared" si="31"/>
        <v>1.0526315789473684</v>
      </c>
      <c r="AA89" s="76">
        <f t="shared" si="32"/>
        <v>0.7</v>
      </c>
      <c r="AB89" s="76">
        <f t="shared" ca="1" si="33"/>
        <v>0.7</v>
      </c>
      <c r="AC89" s="77">
        <f t="shared" ca="1" si="34"/>
        <v>0.69999999999999984</v>
      </c>
      <c r="AD89" s="359">
        <f t="shared" si="35"/>
        <v>5.9999999999999991</v>
      </c>
      <c r="AE89" s="369">
        <f t="shared" ca="1" si="36"/>
        <v>41.999999999999986</v>
      </c>
      <c r="AF89" s="96" t="s">
        <v>848</v>
      </c>
      <c r="AG89" s="442"/>
      <c r="AH89" s="118"/>
      <c r="AI89" s="115"/>
      <c r="AJ89" s="115">
        <v>70013</v>
      </c>
      <c r="AK89" s="115"/>
      <c r="AL89" s="122"/>
      <c r="AM89" s="337"/>
      <c r="AN89" s="338"/>
      <c r="AO89" s="338">
        <f t="shared" si="40"/>
        <v>74999.675924999989</v>
      </c>
      <c r="AP89" s="338"/>
      <c r="AQ89" s="339"/>
    </row>
    <row r="90" spans="1:43" ht="36" customHeight="1">
      <c r="A90" s="355">
        <v>86</v>
      </c>
      <c r="B90" s="4" t="s">
        <v>16</v>
      </c>
      <c r="C90" s="286" t="s">
        <v>299</v>
      </c>
      <c r="D90" s="16" t="s">
        <v>859</v>
      </c>
      <c r="E90" s="18" t="s">
        <v>865</v>
      </c>
      <c r="F90" s="477">
        <v>150000</v>
      </c>
      <c r="G90" s="52">
        <v>3</v>
      </c>
      <c r="H90" s="57">
        <v>0.1</v>
      </c>
      <c r="I90" s="65">
        <v>4</v>
      </c>
      <c r="J90" s="66">
        <v>6</v>
      </c>
      <c r="K90" s="66">
        <v>2</v>
      </c>
      <c r="L90" s="66">
        <v>8</v>
      </c>
      <c r="M90" s="66">
        <v>2</v>
      </c>
      <c r="N90" s="66">
        <v>10</v>
      </c>
      <c r="O90" s="66">
        <v>0</v>
      </c>
      <c r="P90" s="67">
        <v>10</v>
      </c>
      <c r="Q90" s="70" t="e">
        <f ca="1">(#REF!-(YEAR(TODAY())-#REF!))/#REF!</f>
        <v>#REF!</v>
      </c>
      <c r="R90" s="70">
        <f t="shared" ca="1" si="23"/>
        <v>0.1</v>
      </c>
      <c r="S90" s="74">
        <f t="shared" si="24"/>
        <v>0.63157894736842102</v>
      </c>
      <c r="T90" s="74">
        <f t="shared" si="25"/>
        <v>0.63157894736842102</v>
      </c>
      <c r="U90" s="74">
        <f t="shared" si="26"/>
        <v>0.2807017543859649</v>
      </c>
      <c r="V90" s="74">
        <f t="shared" si="27"/>
        <v>1.4035087719298245</v>
      </c>
      <c r="W90" s="74">
        <f t="shared" si="28"/>
        <v>0.17543859649122806</v>
      </c>
      <c r="X90" s="74">
        <f t="shared" si="29"/>
        <v>1.2280701754385965</v>
      </c>
      <c r="Y90" s="74">
        <f t="shared" si="30"/>
        <v>0</v>
      </c>
      <c r="Z90" s="75">
        <f t="shared" si="31"/>
        <v>1.0526315789473684</v>
      </c>
      <c r="AA90" s="76">
        <f t="shared" si="32"/>
        <v>0.7</v>
      </c>
      <c r="AB90" s="76">
        <f t="shared" ca="1" si="33"/>
        <v>0.9</v>
      </c>
      <c r="AC90" s="77">
        <f t="shared" ca="1" si="34"/>
        <v>0.76666666666666661</v>
      </c>
      <c r="AD90" s="359">
        <f t="shared" si="35"/>
        <v>5.4035087719298245</v>
      </c>
      <c r="AE90" s="369">
        <f t="shared" ca="1" si="36"/>
        <v>41.426900584795312</v>
      </c>
      <c r="AF90" s="96" t="s">
        <v>862</v>
      </c>
      <c r="AG90" s="442"/>
      <c r="AH90" s="118"/>
      <c r="AI90" s="115"/>
      <c r="AJ90" s="115">
        <v>140027</v>
      </c>
      <c r="AK90" s="115"/>
      <c r="AL90" s="122"/>
      <c r="AM90" s="337"/>
      <c r="AN90" s="338"/>
      <c r="AO90" s="338">
        <f t="shared" si="40"/>
        <v>150000.42307499997</v>
      </c>
      <c r="AP90" s="338"/>
      <c r="AQ90" s="339"/>
    </row>
    <row r="91" spans="1:43" ht="36" customHeight="1">
      <c r="A91" s="355">
        <v>87</v>
      </c>
      <c r="B91" s="4" t="s">
        <v>14</v>
      </c>
      <c r="C91" s="286" t="s">
        <v>300</v>
      </c>
      <c r="D91" s="10" t="s">
        <v>327</v>
      </c>
      <c r="E91" s="6" t="s">
        <v>962</v>
      </c>
      <c r="F91" s="473">
        <v>165000</v>
      </c>
      <c r="G91" s="52">
        <v>3</v>
      </c>
      <c r="H91" s="57">
        <v>0.2</v>
      </c>
      <c r="I91" s="65">
        <v>5</v>
      </c>
      <c r="J91" s="66">
        <v>6</v>
      </c>
      <c r="K91" s="66">
        <v>6</v>
      </c>
      <c r="L91" s="66">
        <v>6</v>
      </c>
      <c r="M91" s="66">
        <v>8</v>
      </c>
      <c r="N91" s="66">
        <v>6</v>
      </c>
      <c r="O91" s="66">
        <v>0</v>
      </c>
      <c r="P91" s="67">
        <v>8</v>
      </c>
      <c r="Q91" s="70" t="e">
        <f ca="1">(#REF!-(YEAR(TODAY())-#REF!))/#REF!</f>
        <v>#REF!</v>
      </c>
      <c r="R91" s="70">
        <f t="shared" ca="1" si="23"/>
        <v>0.2</v>
      </c>
      <c r="S91" s="74">
        <f t="shared" si="24"/>
        <v>0.78947368421052633</v>
      </c>
      <c r="T91" s="74">
        <f t="shared" si="25"/>
        <v>0.63157894736842102</v>
      </c>
      <c r="U91" s="74">
        <f t="shared" si="26"/>
        <v>0.84210526315789469</v>
      </c>
      <c r="V91" s="74">
        <f t="shared" si="27"/>
        <v>1.0526315789473684</v>
      </c>
      <c r="W91" s="74">
        <f t="shared" si="28"/>
        <v>0.70175438596491224</v>
      </c>
      <c r="X91" s="74">
        <f t="shared" si="29"/>
        <v>0.73684210526315785</v>
      </c>
      <c r="Y91" s="74">
        <f t="shared" si="30"/>
        <v>0</v>
      </c>
      <c r="Z91" s="75">
        <f t="shared" si="31"/>
        <v>0.84210526315789469</v>
      </c>
      <c r="AA91" s="76">
        <f t="shared" si="32"/>
        <v>0.7</v>
      </c>
      <c r="AB91" s="76">
        <f t="shared" ca="1" si="33"/>
        <v>0.8</v>
      </c>
      <c r="AC91" s="77">
        <f t="shared" ca="1" si="34"/>
        <v>0.73333333333333339</v>
      </c>
      <c r="AD91" s="359">
        <f t="shared" si="35"/>
        <v>5.5964912280701755</v>
      </c>
      <c r="AE91" s="369">
        <f t="shared" ca="1" si="36"/>
        <v>41.040935672514621</v>
      </c>
      <c r="AF91" s="96" t="s">
        <v>266</v>
      </c>
      <c r="AG91" s="114"/>
      <c r="AH91" s="118"/>
      <c r="AI91" s="115"/>
      <c r="AJ91" s="115">
        <v>165000</v>
      </c>
      <c r="AK91" s="115"/>
      <c r="AL91" s="122"/>
      <c r="AM91" s="337"/>
      <c r="AN91" s="338"/>
      <c r="AO91" s="338">
        <f t="shared" si="40"/>
        <v>176752.12499999997</v>
      </c>
      <c r="AP91" s="338"/>
      <c r="AQ91" s="339"/>
    </row>
    <row r="92" spans="1:43" ht="36" customHeight="1">
      <c r="A92" s="355">
        <v>88</v>
      </c>
      <c r="B92" s="4" t="s">
        <v>13</v>
      </c>
      <c r="C92" s="286" t="s">
        <v>300</v>
      </c>
      <c r="D92" s="8" t="s">
        <v>1143</v>
      </c>
      <c r="E92" s="15" t="s">
        <v>1146</v>
      </c>
      <c r="F92" s="476">
        <v>160000</v>
      </c>
      <c r="G92" s="52">
        <v>4</v>
      </c>
      <c r="H92" s="57">
        <v>0.1</v>
      </c>
      <c r="I92" s="65">
        <v>6.0000000000000036</v>
      </c>
      <c r="J92" s="66">
        <v>8.0000000000000053</v>
      </c>
      <c r="K92" s="66">
        <v>6.0000000000000036</v>
      </c>
      <c r="L92" s="66">
        <v>8.0000000000000053</v>
      </c>
      <c r="M92" s="66">
        <v>4.0000000000000027</v>
      </c>
      <c r="N92" s="66">
        <v>6.0000000000000036</v>
      </c>
      <c r="O92" s="66">
        <v>0</v>
      </c>
      <c r="P92" s="67">
        <v>7</v>
      </c>
      <c r="Q92" s="70" t="e">
        <f ca="1">(#REF!-(YEAR(TODAY())-#REF!))/#REF!</f>
        <v>#REF!</v>
      </c>
      <c r="R92" s="70">
        <f t="shared" ca="1" si="23"/>
        <v>0.1</v>
      </c>
      <c r="S92" s="74">
        <f t="shared" si="24"/>
        <v>0.94736842105263208</v>
      </c>
      <c r="T92" s="74">
        <f t="shared" si="25"/>
        <v>0.84210526315789525</v>
      </c>
      <c r="U92" s="74">
        <f t="shared" si="26"/>
        <v>0.84210526315789525</v>
      </c>
      <c r="V92" s="74">
        <f t="shared" si="27"/>
        <v>1.4035087719298256</v>
      </c>
      <c r="W92" s="74">
        <f t="shared" si="28"/>
        <v>0.3508771929824564</v>
      </c>
      <c r="X92" s="74">
        <f t="shared" si="29"/>
        <v>0.73684210526315841</v>
      </c>
      <c r="Y92" s="74">
        <f t="shared" si="30"/>
        <v>0</v>
      </c>
      <c r="Z92" s="75">
        <f t="shared" si="31"/>
        <v>0.73684210526315785</v>
      </c>
      <c r="AA92" s="76">
        <f t="shared" si="32"/>
        <v>0.6</v>
      </c>
      <c r="AB92" s="76">
        <f t="shared" ca="1" si="33"/>
        <v>0.9</v>
      </c>
      <c r="AC92" s="77">
        <f t="shared" ca="1" si="34"/>
        <v>0.70000000000000007</v>
      </c>
      <c r="AD92" s="359">
        <f t="shared" si="35"/>
        <v>5.8596491228070207</v>
      </c>
      <c r="AE92" s="369">
        <f t="shared" ca="1" si="36"/>
        <v>41.017543859649152</v>
      </c>
      <c r="AF92" s="96" t="s">
        <v>261</v>
      </c>
      <c r="AG92" s="443"/>
      <c r="AH92" s="118"/>
      <c r="AI92" s="115"/>
      <c r="AJ92" s="115">
        <v>160000</v>
      </c>
      <c r="AK92" s="115"/>
      <c r="AL92" s="122"/>
      <c r="AM92" s="337"/>
      <c r="AN92" s="338"/>
      <c r="AO92" s="338">
        <f t="shared" si="40"/>
        <v>171395.99999999997</v>
      </c>
      <c r="AP92" s="338"/>
      <c r="AQ92" s="339"/>
    </row>
    <row r="93" spans="1:43" ht="36" customHeight="1">
      <c r="A93" s="355">
        <v>89</v>
      </c>
      <c r="B93" s="4" t="s">
        <v>11</v>
      </c>
      <c r="C93" s="286" t="s">
        <v>300</v>
      </c>
      <c r="D93" s="8" t="s">
        <v>1150</v>
      </c>
      <c r="E93" s="21" t="s">
        <v>1154</v>
      </c>
      <c r="F93" s="476">
        <v>130000</v>
      </c>
      <c r="G93" s="52">
        <v>3</v>
      </c>
      <c r="H93" s="57">
        <v>0.3</v>
      </c>
      <c r="I93" s="65">
        <v>6.0000000000000036</v>
      </c>
      <c r="J93" s="66">
        <v>8.0000000000000053</v>
      </c>
      <c r="K93" s="66">
        <v>6.0000000000000036</v>
      </c>
      <c r="L93" s="66">
        <v>8.0000000000000053</v>
      </c>
      <c r="M93" s="66">
        <v>4.0000000000000027</v>
      </c>
      <c r="N93" s="66">
        <v>6.0000000000000036</v>
      </c>
      <c r="O93" s="66">
        <v>1</v>
      </c>
      <c r="P93" s="67">
        <v>6.0000000000000036</v>
      </c>
      <c r="Q93" s="70" t="e">
        <f ca="1">(#REF!-(YEAR(TODAY())-#REF!))/#REF!</f>
        <v>#REF!</v>
      </c>
      <c r="R93" s="70">
        <f t="shared" ca="1" si="23"/>
        <v>0.3</v>
      </c>
      <c r="S93" s="74">
        <f t="shared" si="24"/>
        <v>0.94736842105263208</v>
      </c>
      <c r="T93" s="74">
        <f t="shared" si="25"/>
        <v>0.84210526315789525</v>
      </c>
      <c r="U93" s="74">
        <f t="shared" si="26"/>
        <v>0.84210526315789525</v>
      </c>
      <c r="V93" s="74">
        <f t="shared" si="27"/>
        <v>1.4035087719298256</v>
      </c>
      <c r="W93" s="74">
        <f t="shared" si="28"/>
        <v>0.3508771929824564</v>
      </c>
      <c r="X93" s="74">
        <f t="shared" si="29"/>
        <v>0.73684210526315841</v>
      </c>
      <c r="Y93" s="74">
        <f t="shared" si="30"/>
        <v>0.10526315789473684</v>
      </c>
      <c r="Z93" s="75">
        <f t="shared" si="31"/>
        <v>0.63157894736842146</v>
      </c>
      <c r="AA93" s="76">
        <f t="shared" si="32"/>
        <v>0.7</v>
      </c>
      <c r="AB93" s="76">
        <f t="shared" ca="1" si="33"/>
        <v>0.7</v>
      </c>
      <c r="AC93" s="77">
        <f t="shared" ca="1" si="34"/>
        <v>0.69999999999999984</v>
      </c>
      <c r="AD93" s="359">
        <f t="shared" si="35"/>
        <v>5.8596491228070215</v>
      </c>
      <c r="AE93" s="369">
        <f t="shared" ca="1" si="36"/>
        <v>41.017543859649138</v>
      </c>
      <c r="AF93" s="96" t="s">
        <v>261</v>
      </c>
      <c r="AG93" s="442"/>
      <c r="AH93" s="118"/>
      <c r="AI93" s="115"/>
      <c r="AJ93" s="345">
        <v>130000</v>
      </c>
      <c r="AK93" s="115"/>
      <c r="AL93" s="122"/>
      <c r="AM93" s="337"/>
      <c r="AN93" s="338"/>
      <c r="AO93" s="338">
        <f t="shared" si="40"/>
        <v>139259.24999999997</v>
      </c>
      <c r="AP93" s="338"/>
      <c r="AQ93" s="339"/>
    </row>
    <row r="94" spans="1:43" ht="36" customHeight="1">
      <c r="A94" s="355">
        <v>90</v>
      </c>
      <c r="B94" s="327" t="s">
        <v>16</v>
      </c>
      <c r="C94" s="328" t="s">
        <v>299</v>
      </c>
      <c r="D94" s="343" t="s">
        <v>39</v>
      </c>
      <c r="E94" s="21" t="s">
        <v>901</v>
      </c>
      <c r="F94" s="472">
        <v>250000</v>
      </c>
      <c r="G94" s="295">
        <v>3</v>
      </c>
      <c r="H94" s="293">
        <v>0.2</v>
      </c>
      <c r="I94" s="65">
        <v>7</v>
      </c>
      <c r="J94" s="66">
        <v>6.0000000000000036</v>
      </c>
      <c r="K94" s="66">
        <v>6.0000000000000036</v>
      </c>
      <c r="L94" s="66">
        <v>6.0000000000000036</v>
      </c>
      <c r="M94" s="66">
        <v>3</v>
      </c>
      <c r="N94" s="66">
        <v>6</v>
      </c>
      <c r="O94" s="66">
        <v>0</v>
      </c>
      <c r="P94" s="67">
        <v>9</v>
      </c>
      <c r="Q94" s="294" t="e">
        <f ca="1">(#REF!-(YEAR(TODAY())-#REF!))/#REF!</f>
        <v>#REF!</v>
      </c>
      <c r="R94" s="294">
        <f t="shared" ca="1" si="23"/>
        <v>0.2</v>
      </c>
      <c r="S94" s="74">
        <f t="shared" si="24"/>
        <v>1.1052631578947369</v>
      </c>
      <c r="T94" s="74">
        <f t="shared" si="25"/>
        <v>0.63157894736842146</v>
      </c>
      <c r="U94" s="74">
        <f t="shared" si="26"/>
        <v>0.84210526315789525</v>
      </c>
      <c r="V94" s="74">
        <f t="shared" si="27"/>
        <v>1.052631578947369</v>
      </c>
      <c r="W94" s="74">
        <f t="shared" si="28"/>
        <v>0.26315789473684209</v>
      </c>
      <c r="X94" s="74">
        <f t="shared" si="29"/>
        <v>0.73684210526315785</v>
      </c>
      <c r="Y94" s="74">
        <f t="shared" si="30"/>
        <v>0</v>
      </c>
      <c r="Z94" s="75">
        <f t="shared" si="31"/>
        <v>0.94736842105263153</v>
      </c>
      <c r="AA94" s="76">
        <f t="shared" si="32"/>
        <v>0.7</v>
      </c>
      <c r="AB94" s="76">
        <f t="shared" ca="1" si="33"/>
        <v>0.8</v>
      </c>
      <c r="AC94" s="77">
        <f t="shared" ca="1" si="34"/>
        <v>0.73333333333333339</v>
      </c>
      <c r="AD94" s="358">
        <f t="shared" si="35"/>
        <v>5.578947368421054</v>
      </c>
      <c r="AE94" s="368">
        <f t="shared" ca="1" si="36"/>
        <v>40.912280701754398</v>
      </c>
      <c r="AF94" s="288" t="s">
        <v>848</v>
      </c>
      <c r="AG94" s="113"/>
      <c r="AH94" s="118"/>
      <c r="AI94" s="115"/>
      <c r="AJ94" s="115">
        <v>233378</v>
      </c>
      <c r="AK94" s="115"/>
      <c r="AL94" s="122"/>
      <c r="AM94" s="337"/>
      <c r="AN94" s="338"/>
      <c r="AO94" s="338">
        <f t="shared" si="40"/>
        <v>250000.34804999997</v>
      </c>
      <c r="AP94" s="338"/>
      <c r="AQ94" s="339"/>
    </row>
    <row r="95" spans="1:43" ht="36" customHeight="1">
      <c r="A95" s="355">
        <v>91</v>
      </c>
      <c r="B95" s="4" t="s">
        <v>8</v>
      </c>
      <c r="C95" s="286" t="s">
        <v>9</v>
      </c>
      <c r="D95" s="8" t="s">
        <v>1170</v>
      </c>
      <c r="E95" s="15" t="s">
        <v>187</v>
      </c>
      <c r="F95" s="476">
        <v>150000</v>
      </c>
      <c r="G95" s="52">
        <v>4</v>
      </c>
      <c r="H95" s="57">
        <v>0.2</v>
      </c>
      <c r="I95" s="65">
        <v>6.0000000000000036</v>
      </c>
      <c r="J95" s="66">
        <v>8.0000000000000053</v>
      </c>
      <c r="K95" s="66">
        <v>5</v>
      </c>
      <c r="L95" s="66">
        <v>8.0000000000000053</v>
      </c>
      <c r="M95" s="66">
        <v>5</v>
      </c>
      <c r="N95" s="66">
        <v>6.0000000000000036</v>
      </c>
      <c r="O95" s="66">
        <v>0</v>
      </c>
      <c r="P95" s="67">
        <v>10</v>
      </c>
      <c r="Q95" s="70" t="e">
        <f ca="1">(#REF!-(YEAR(TODAY())-#REF!))/#REF!</f>
        <v>#REF!</v>
      </c>
      <c r="R95" s="70">
        <f t="shared" ca="1" si="23"/>
        <v>0.2</v>
      </c>
      <c r="S95" s="74">
        <f t="shared" si="24"/>
        <v>0.94736842105263208</v>
      </c>
      <c r="T95" s="74">
        <f t="shared" si="25"/>
        <v>0.84210526315789525</v>
      </c>
      <c r="U95" s="74">
        <f t="shared" si="26"/>
        <v>0.70175438596491224</v>
      </c>
      <c r="V95" s="74">
        <f t="shared" si="27"/>
        <v>1.4035087719298256</v>
      </c>
      <c r="W95" s="74">
        <f t="shared" si="28"/>
        <v>0.43859649122807015</v>
      </c>
      <c r="X95" s="74">
        <f t="shared" si="29"/>
        <v>0.73684210526315841</v>
      </c>
      <c r="Y95" s="74">
        <f t="shared" si="30"/>
        <v>0</v>
      </c>
      <c r="Z95" s="75">
        <f t="shared" si="31"/>
        <v>1.0526315789473684</v>
      </c>
      <c r="AA95" s="76">
        <f t="shared" si="32"/>
        <v>0.6</v>
      </c>
      <c r="AB95" s="76">
        <f t="shared" ca="1" si="33"/>
        <v>0.8</v>
      </c>
      <c r="AC95" s="77">
        <f t="shared" ca="1" si="34"/>
        <v>0.66666666666666663</v>
      </c>
      <c r="AD95" s="359">
        <f t="shared" si="35"/>
        <v>6.1228070175438623</v>
      </c>
      <c r="AE95" s="369">
        <f t="shared" ca="1" si="36"/>
        <v>40.818713450292414</v>
      </c>
      <c r="AF95" s="96" t="s">
        <v>261</v>
      </c>
      <c r="AG95" s="114"/>
      <c r="AH95" s="118"/>
      <c r="AI95" s="115"/>
      <c r="AJ95" s="115">
        <v>150000</v>
      </c>
      <c r="AK95" s="115"/>
      <c r="AL95" s="122"/>
      <c r="AM95" s="337"/>
      <c r="AN95" s="338"/>
      <c r="AO95" s="338">
        <f t="shared" si="40"/>
        <v>160683.74999999997</v>
      </c>
      <c r="AP95" s="338"/>
      <c r="AQ95" s="339"/>
    </row>
    <row r="96" spans="1:43" ht="36" customHeight="1">
      <c r="A96" s="355">
        <v>92</v>
      </c>
      <c r="B96" s="12" t="s">
        <v>5</v>
      </c>
      <c r="C96" s="344" t="s">
        <v>6</v>
      </c>
      <c r="D96" s="5" t="s">
        <v>40</v>
      </c>
      <c r="E96" s="7" t="s">
        <v>913</v>
      </c>
      <c r="F96" s="473">
        <v>250000</v>
      </c>
      <c r="G96" s="51">
        <v>3</v>
      </c>
      <c r="H96" s="57">
        <v>0.1</v>
      </c>
      <c r="I96" s="65">
        <v>6.0000000000000036</v>
      </c>
      <c r="J96" s="66">
        <v>8</v>
      </c>
      <c r="K96" s="66">
        <v>3</v>
      </c>
      <c r="L96" s="66">
        <v>4</v>
      </c>
      <c r="M96" s="66">
        <v>1</v>
      </c>
      <c r="N96" s="66">
        <v>6</v>
      </c>
      <c r="O96" s="66">
        <v>6</v>
      </c>
      <c r="P96" s="67">
        <v>9</v>
      </c>
      <c r="Q96" s="70" t="e">
        <f ca="1">(#REF!-(YEAR(TODAY())-#REF!))/#REF!</f>
        <v>#REF!</v>
      </c>
      <c r="R96" s="70">
        <f t="shared" ca="1" si="23"/>
        <v>0.1</v>
      </c>
      <c r="S96" s="74">
        <f t="shared" si="24"/>
        <v>0.94736842105263208</v>
      </c>
      <c r="T96" s="74">
        <f t="shared" si="25"/>
        <v>0.84210526315789469</v>
      </c>
      <c r="U96" s="74">
        <f t="shared" si="26"/>
        <v>0.42105263157894735</v>
      </c>
      <c r="V96" s="74">
        <f t="shared" si="27"/>
        <v>0.70175438596491224</v>
      </c>
      <c r="W96" s="74">
        <f t="shared" si="28"/>
        <v>8.771929824561403E-2</v>
      </c>
      <c r="X96" s="74">
        <f t="shared" si="29"/>
        <v>0.73684210526315785</v>
      </c>
      <c r="Y96" s="74">
        <f t="shared" si="30"/>
        <v>0.63157894736842102</v>
      </c>
      <c r="Z96" s="75">
        <f t="shared" si="31"/>
        <v>0.94736842105263153</v>
      </c>
      <c r="AA96" s="76">
        <f t="shared" si="32"/>
        <v>0.7</v>
      </c>
      <c r="AB96" s="76">
        <f t="shared" ca="1" si="33"/>
        <v>0.9</v>
      </c>
      <c r="AC96" s="77">
        <f t="shared" ca="1" si="34"/>
        <v>0.76666666666666661</v>
      </c>
      <c r="AD96" s="359">
        <f t="shared" si="35"/>
        <v>5.3157894736842115</v>
      </c>
      <c r="AE96" s="369">
        <f t="shared" ca="1" si="36"/>
        <v>40.754385964912281</v>
      </c>
      <c r="AF96" s="95" t="s">
        <v>248</v>
      </c>
      <c r="AG96" s="113"/>
      <c r="AH96" s="118"/>
      <c r="AI96" s="115"/>
      <c r="AJ96" s="115"/>
      <c r="AK96" s="115">
        <v>250000</v>
      </c>
      <c r="AL96" s="122"/>
      <c r="AM96" s="337"/>
      <c r="AN96" s="338"/>
      <c r="AO96" s="338"/>
      <c r="AP96" s="338">
        <f t="shared" si="39"/>
        <v>277179.46874999994</v>
      </c>
      <c r="AQ96" s="339"/>
    </row>
    <row r="97" spans="1:43" ht="36" customHeight="1">
      <c r="A97" s="355">
        <v>93</v>
      </c>
      <c r="B97" s="12" t="s">
        <v>5</v>
      </c>
      <c r="C97" s="344" t="s">
        <v>6</v>
      </c>
      <c r="D97" s="5" t="s">
        <v>52</v>
      </c>
      <c r="E97" s="6" t="s">
        <v>925</v>
      </c>
      <c r="F97" s="473">
        <v>2000000</v>
      </c>
      <c r="G97" s="51">
        <v>3</v>
      </c>
      <c r="H97" s="57">
        <v>0.3</v>
      </c>
      <c r="I97" s="65">
        <v>6.0000000000000036</v>
      </c>
      <c r="J97" s="66">
        <v>8</v>
      </c>
      <c r="K97" s="66">
        <v>2</v>
      </c>
      <c r="L97" s="66">
        <v>6.0000000000000036</v>
      </c>
      <c r="M97" s="66">
        <v>4</v>
      </c>
      <c r="N97" s="66">
        <v>6.0000000000000036</v>
      </c>
      <c r="O97" s="66">
        <v>6</v>
      </c>
      <c r="P97" s="67">
        <v>9</v>
      </c>
      <c r="Q97" s="70" t="e">
        <f ca="1">(#REF!-(YEAR(TODAY())-#REF!))/#REF!</f>
        <v>#REF!</v>
      </c>
      <c r="R97" s="70">
        <f t="shared" ca="1" si="23"/>
        <v>0.3</v>
      </c>
      <c r="S97" s="74">
        <f t="shared" si="24"/>
        <v>0.94736842105263208</v>
      </c>
      <c r="T97" s="74">
        <f t="shared" si="25"/>
        <v>0.84210526315789469</v>
      </c>
      <c r="U97" s="74">
        <f t="shared" si="26"/>
        <v>0.2807017543859649</v>
      </c>
      <c r="V97" s="74">
        <f t="shared" si="27"/>
        <v>1.052631578947369</v>
      </c>
      <c r="W97" s="74">
        <f t="shared" si="28"/>
        <v>0.35087719298245612</v>
      </c>
      <c r="X97" s="74">
        <f t="shared" si="29"/>
        <v>0.73684210526315841</v>
      </c>
      <c r="Y97" s="74">
        <f t="shared" si="30"/>
        <v>0.63157894736842102</v>
      </c>
      <c r="Z97" s="75">
        <f t="shared" si="31"/>
        <v>0.94736842105263153</v>
      </c>
      <c r="AA97" s="76">
        <f t="shared" si="32"/>
        <v>0.7</v>
      </c>
      <c r="AB97" s="76">
        <f t="shared" ca="1" si="33"/>
        <v>0.7</v>
      </c>
      <c r="AC97" s="77">
        <f t="shared" ca="1" si="34"/>
        <v>0.69999999999999984</v>
      </c>
      <c r="AD97" s="359">
        <f t="shared" si="35"/>
        <v>5.7894736842105283</v>
      </c>
      <c r="AE97" s="369">
        <f t="shared" ca="1" si="36"/>
        <v>40.526315789473692</v>
      </c>
      <c r="AF97" s="95" t="s">
        <v>266</v>
      </c>
      <c r="AG97" s="113"/>
      <c r="AH97" s="118"/>
      <c r="AI97" s="115"/>
      <c r="AJ97" s="115"/>
      <c r="AK97" s="115">
        <v>50000</v>
      </c>
      <c r="AL97" s="122"/>
      <c r="AM97" s="337"/>
      <c r="AN97" s="338"/>
      <c r="AO97" s="338"/>
      <c r="AP97" s="338">
        <f t="shared" si="39"/>
        <v>55435.893749999988</v>
      </c>
      <c r="AQ97" s="339"/>
    </row>
    <row r="98" spans="1:43" s="209" customFormat="1" ht="36" customHeight="1">
      <c r="A98" s="355">
        <v>94</v>
      </c>
      <c r="B98" s="4" t="s">
        <v>16</v>
      </c>
      <c r="C98" s="286" t="s">
        <v>299</v>
      </c>
      <c r="D98" s="30" t="s">
        <v>1013</v>
      </c>
      <c r="E98" s="21" t="s">
        <v>1213</v>
      </c>
      <c r="F98" s="473">
        <v>234000</v>
      </c>
      <c r="G98" s="52">
        <v>4</v>
      </c>
      <c r="H98" s="57">
        <v>0.2</v>
      </c>
      <c r="I98" s="65">
        <v>6.0000000000000036</v>
      </c>
      <c r="J98" s="66">
        <v>6.0000000000000036</v>
      </c>
      <c r="K98" s="66">
        <v>9.9999999999999982</v>
      </c>
      <c r="L98" s="66">
        <v>2</v>
      </c>
      <c r="M98" s="66">
        <v>0</v>
      </c>
      <c r="N98" s="66">
        <v>6</v>
      </c>
      <c r="O98" s="66">
        <v>10</v>
      </c>
      <c r="P98" s="67">
        <v>9</v>
      </c>
      <c r="Q98" s="70" t="e">
        <f ca="1">(#REF!-(YEAR(TODAY())-#REF!))/#REF!</f>
        <v>#REF!</v>
      </c>
      <c r="R98" s="70">
        <f t="shared" ca="1" si="23"/>
        <v>0.2</v>
      </c>
      <c r="S98" s="74">
        <f t="shared" si="24"/>
        <v>0.94736842105263208</v>
      </c>
      <c r="T98" s="74">
        <f t="shared" si="25"/>
        <v>0.63157894736842146</v>
      </c>
      <c r="U98" s="74">
        <f t="shared" si="26"/>
        <v>1.4035087719298243</v>
      </c>
      <c r="V98" s="74">
        <f t="shared" si="27"/>
        <v>0.35087719298245612</v>
      </c>
      <c r="W98" s="74">
        <f t="shared" si="28"/>
        <v>0</v>
      </c>
      <c r="X98" s="74">
        <f t="shared" si="29"/>
        <v>0.73684210526315785</v>
      </c>
      <c r="Y98" s="74">
        <f t="shared" si="30"/>
        <v>1.0526315789473684</v>
      </c>
      <c r="Z98" s="75">
        <f t="shared" si="31"/>
        <v>0.94736842105263153</v>
      </c>
      <c r="AA98" s="76">
        <f t="shared" si="32"/>
        <v>0.6</v>
      </c>
      <c r="AB98" s="76">
        <f t="shared" ca="1" si="33"/>
        <v>0.8</v>
      </c>
      <c r="AC98" s="77">
        <f t="shared" ca="1" si="34"/>
        <v>0.66666666666666663</v>
      </c>
      <c r="AD98" s="359">
        <f t="shared" si="35"/>
        <v>6.0701754385964914</v>
      </c>
      <c r="AE98" s="369">
        <f t="shared" ca="1" si="36"/>
        <v>40.467836257309941</v>
      </c>
      <c r="AF98" s="96" t="s">
        <v>266</v>
      </c>
      <c r="AG98" s="114"/>
      <c r="AH98" s="118"/>
      <c r="AI98" s="115"/>
      <c r="AJ98" s="115"/>
      <c r="AK98" s="115"/>
      <c r="AL98" s="122"/>
      <c r="AM98" s="340"/>
      <c r="AN98" s="338"/>
      <c r="AO98" s="338"/>
      <c r="AP98" s="338"/>
      <c r="AQ98" s="339"/>
    </row>
    <row r="99" spans="1:43" ht="36" customHeight="1">
      <c r="A99" s="355">
        <v>95</v>
      </c>
      <c r="B99" s="12" t="s">
        <v>7</v>
      </c>
      <c r="C99" s="344" t="s">
        <v>6</v>
      </c>
      <c r="D99" s="5" t="s">
        <v>322</v>
      </c>
      <c r="E99" s="6" t="s">
        <v>1057</v>
      </c>
      <c r="F99" s="473">
        <v>500000</v>
      </c>
      <c r="G99" s="51">
        <v>3</v>
      </c>
      <c r="H99" s="57">
        <v>0.2</v>
      </c>
      <c r="I99" s="65">
        <v>6</v>
      </c>
      <c r="J99" s="66">
        <v>8</v>
      </c>
      <c r="K99" s="66">
        <v>5</v>
      </c>
      <c r="L99" s="66">
        <v>2</v>
      </c>
      <c r="M99" s="66">
        <v>0</v>
      </c>
      <c r="N99" s="66">
        <v>8.0000000000000053</v>
      </c>
      <c r="O99" s="66">
        <v>6</v>
      </c>
      <c r="P99" s="67">
        <v>9.9999999999999982</v>
      </c>
      <c r="Q99" s="70" t="e">
        <f ca="1">(#REF!-(YEAR(TODAY())-#REF!))/#REF!</f>
        <v>#REF!</v>
      </c>
      <c r="R99" s="70">
        <f t="shared" ca="1" si="23"/>
        <v>0.2</v>
      </c>
      <c r="S99" s="74">
        <f t="shared" si="24"/>
        <v>0.94736842105263153</v>
      </c>
      <c r="T99" s="74">
        <f t="shared" si="25"/>
        <v>0.84210526315789469</v>
      </c>
      <c r="U99" s="74">
        <f t="shared" si="26"/>
        <v>0.70175438596491224</v>
      </c>
      <c r="V99" s="74">
        <f t="shared" si="27"/>
        <v>0.35087719298245612</v>
      </c>
      <c r="W99" s="74">
        <f t="shared" si="28"/>
        <v>0</v>
      </c>
      <c r="X99" s="74">
        <f t="shared" si="29"/>
        <v>0.9824561403508778</v>
      </c>
      <c r="Y99" s="74">
        <f t="shared" si="30"/>
        <v>0.63157894736842102</v>
      </c>
      <c r="Z99" s="75">
        <f t="shared" si="31"/>
        <v>1.0526315789473681</v>
      </c>
      <c r="AA99" s="76">
        <f t="shared" si="32"/>
        <v>0.7</v>
      </c>
      <c r="AB99" s="76">
        <f t="shared" ca="1" si="33"/>
        <v>0.8</v>
      </c>
      <c r="AC99" s="77">
        <f t="shared" ca="1" si="34"/>
        <v>0.73333333333333339</v>
      </c>
      <c r="AD99" s="359">
        <f t="shared" si="35"/>
        <v>5.5087719298245617</v>
      </c>
      <c r="AE99" s="369">
        <f t="shared" ca="1" si="36"/>
        <v>40.397660818713454</v>
      </c>
      <c r="AF99" s="95" t="s">
        <v>296</v>
      </c>
      <c r="AG99" s="113"/>
      <c r="AH99" s="118"/>
      <c r="AI99" s="115"/>
      <c r="AJ99" s="115"/>
      <c r="AK99" s="115">
        <v>500000</v>
      </c>
      <c r="AL99" s="122"/>
      <c r="AM99" s="337"/>
      <c r="AN99" s="338"/>
      <c r="AO99" s="338"/>
      <c r="AP99" s="338">
        <f t="shared" si="39"/>
        <v>554358.93749999988</v>
      </c>
      <c r="AQ99" s="339"/>
    </row>
    <row r="100" spans="1:43" ht="36" customHeight="1">
      <c r="A100" s="355">
        <v>96</v>
      </c>
      <c r="B100" s="4" t="s">
        <v>16</v>
      </c>
      <c r="C100" s="286" t="s">
        <v>6</v>
      </c>
      <c r="D100" s="16" t="s">
        <v>57</v>
      </c>
      <c r="E100" s="18" t="s">
        <v>892</v>
      </c>
      <c r="F100" s="477">
        <v>400000</v>
      </c>
      <c r="G100" s="52">
        <v>2</v>
      </c>
      <c r="H100" s="57">
        <v>0.1</v>
      </c>
      <c r="I100" s="65">
        <v>8.0000000000000053</v>
      </c>
      <c r="J100" s="66">
        <v>4</v>
      </c>
      <c r="K100" s="66">
        <v>2</v>
      </c>
      <c r="L100" s="66">
        <v>8.0000000000000053</v>
      </c>
      <c r="M100" s="66">
        <v>2</v>
      </c>
      <c r="N100" s="66">
        <v>2</v>
      </c>
      <c r="O100" s="66">
        <v>2</v>
      </c>
      <c r="P100" s="67">
        <v>8.0000000000000053</v>
      </c>
      <c r="Q100" s="70" t="e">
        <f ca="1">(#REF!-(YEAR(TODAY())-#REF!))/#REF!</f>
        <v>#REF!</v>
      </c>
      <c r="R100" s="70">
        <f t="shared" ca="1" si="23"/>
        <v>0.1</v>
      </c>
      <c r="S100" s="74">
        <f t="shared" si="24"/>
        <v>1.2631578947368429</v>
      </c>
      <c r="T100" s="74">
        <f t="shared" si="25"/>
        <v>0.42105263157894735</v>
      </c>
      <c r="U100" s="74">
        <f t="shared" si="26"/>
        <v>0.2807017543859649</v>
      </c>
      <c r="V100" s="74">
        <f t="shared" si="27"/>
        <v>1.4035087719298256</v>
      </c>
      <c r="W100" s="74">
        <f t="shared" si="28"/>
        <v>0.17543859649122806</v>
      </c>
      <c r="X100" s="74">
        <f t="shared" si="29"/>
        <v>0.24561403508771928</v>
      </c>
      <c r="Y100" s="74">
        <f t="shared" si="30"/>
        <v>0.21052631578947367</v>
      </c>
      <c r="Z100" s="75">
        <f t="shared" si="31"/>
        <v>0.84210526315789525</v>
      </c>
      <c r="AA100" s="76">
        <f t="shared" si="32"/>
        <v>0.8</v>
      </c>
      <c r="AB100" s="76">
        <f t="shared" ca="1" si="33"/>
        <v>0.9</v>
      </c>
      <c r="AC100" s="77">
        <f t="shared" ca="1" si="34"/>
        <v>0.83333333333333337</v>
      </c>
      <c r="AD100" s="359">
        <f t="shared" si="35"/>
        <v>4.8421052631578974</v>
      </c>
      <c r="AE100" s="369">
        <f t="shared" ca="1" si="36"/>
        <v>40.35087719298248</v>
      </c>
      <c r="AF100" s="96" t="s">
        <v>248</v>
      </c>
      <c r="AG100" s="443"/>
      <c r="AH100" s="118"/>
      <c r="AI100" s="115"/>
      <c r="AJ100" s="115"/>
      <c r="AK100" s="115">
        <v>400000</v>
      </c>
      <c r="AL100" s="122"/>
      <c r="AM100" s="337"/>
      <c r="AN100" s="338"/>
      <c r="AO100" s="338"/>
      <c r="AP100" s="338">
        <f t="shared" si="39"/>
        <v>443487.14999999991</v>
      </c>
      <c r="AQ100" s="339"/>
    </row>
    <row r="101" spans="1:43" ht="36" customHeight="1">
      <c r="A101" s="355">
        <v>97</v>
      </c>
      <c r="B101" s="4" t="s">
        <v>16</v>
      </c>
      <c r="C101" s="286" t="s">
        <v>299</v>
      </c>
      <c r="D101" s="8" t="s">
        <v>850</v>
      </c>
      <c r="E101" s="21" t="s">
        <v>890</v>
      </c>
      <c r="F101" s="476">
        <v>63500</v>
      </c>
      <c r="G101" s="52">
        <v>3</v>
      </c>
      <c r="H101" s="57">
        <v>0.3</v>
      </c>
      <c r="I101" s="65">
        <v>6.0000000000000036</v>
      </c>
      <c r="J101" s="66">
        <v>8</v>
      </c>
      <c r="K101" s="66">
        <v>4.0000000000000027</v>
      </c>
      <c r="L101" s="66">
        <v>8.0000000000000053</v>
      </c>
      <c r="M101" s="66">
        <v>2</v>
      </c>
      <c r="N101" s="66">
        <v>8.0000000000000053</v>
      </c>
      <c r="O101" s="66">
        <v>0</v>
      </c>
      <c r="P101" s="67">
        <v>8</v>
      </c>
      <c r="Q101" s="70" t="e">
        <f ca="1">(#REF!-(YEAR(TODAY())-#REF!))/#REF!</f>
        <v>#REF!</v>
      </c>
      <c r="R101" s="70">
        <f t="shared" ca="1" si="23"/>
        <v>0.3</v>
      </c>
      <c r="S101" s="74">
        <f t="shared" si="24"/>
        <v>0.94736842105263208</v>
      </c>
      <c r="T101" s="74">
        <f t="shared" si="25"/>
        <v>0.84210526315789469</v>
      </c>
      <c r="U101" s="74">
        <f t="shared" si="26"/>
        <v>0.56140350877193024</v>
      </c>
      <c r="V101" s="74">
        <f t="shared" si="27"/>
        <v>1.4035087719298256</v>
      </c>
      <c r="W101" s="74">
        <f t="shared" si="28"/>
        <v>0.17543859649122806</v>
      </c>
      <c r="X101" s="74">
        <f t="shared" si="29"/>
        <v>0.9824561403508778</v>
      </c>
      <c r="Y101" s="74">
        <f t="shared" si="30"/>
        <v>0</v>
      </c>
      <c r="Z101" s="75">
        <f t="shared" si="31"/>
        <v>0.84210526315789469</v>
      </c>
      <c r="AA101" s="76">
        <f t="shared" si="32"/>
        <v>0.7</v>
      </c>
      <c r="AB101" s="76">
        <f t="shared" ca="1" si="33"/>
        <v>0.7</v>
      </c>
      <c r="AC101" s="77">
        <f t="shared" ca="1" si="34"/>
        <v>0.69999999999999984</v>
      </c>
      <c r="AD101" s="359">
        <f t="shared" si="35"/>
        <v>5.7543859649122835</v>
      </c>
      <c r="AE101" s="369">
        <f t="shared" ca="1" si="36"/>
        <v>40.280701754385973</v>
      </c>
      <c r="AF101" s="96" t="s">
        <v>1200</v>
      </c>
      <c r="AG101" s="442"/>
      <c r="AH101" s="118"/>
      <c r="AI101" s="115"/>
      <c r="AJ101" s="115"/>
      <c r="AK101" s="115"/>
      <c r="AL101" s="122">
        <v>63500</v>
      </c>
      <c r="AM101" s="337"/>
      <c r="AN101" s="338"/>
      <c r="AO101" s="338"/>
      <c r="AP101" s="338"/>
      <c r="AQ101" s="339">
        <f t="shared" ref="AQ101" si="43">AL101*(1+Efactor)^4</f>
        <v>72867.710539687483</v>
      </c>
    </row>
    <row r="102" spans="1:43" ht="36" customHeight="1">
      <c r="A102" s="355">
        <v>98</v>
      </c>
      <c r="B102" s="4" t="s">
        <v>10</v>
      </c>
      <c r="C102" s="286" t="s">
        <v>6</v>
      </c>
      <c r="D102" s="16" t="s">
        <v>61</v>
      </c>
      <c r="E102" s="18" t="s">
        <v>903</v>
      </c>
      <c r="F102" s="476">
        <v>163000</v>
      </c>
      <c r="G102" s="52">
        <v>3</v>
      </c>
      <c r="H102" s="57">
        <v>0.3</v>
      </c>
      <c r="I102" s="65">
        <v>8.0000000000000053</v>
      </c>
      <c r="J102" s="66">
        <v>6.0000000000000036</v>
      </c>
      <c r="K102" s="66">
        <v>4.0000000000000027</v>
      </c>
      <c r="L102" s="66">
        <v>8.0000000000000053</v>
      </c>
      <c r="M102" s="66">
        <v>4</v>
      </c>
      <c r="N102" s="66">
        <v>4.0000000000000027</v>
      </c>
      <c r="O102" s="66">
        <v>0</v>
      </c>
      <c r="P102" s="67">
        <v>9.9999999999999982</v>
      </c>
      <c r="Q102" s="70" t="e">
        <f ca="1">(#REF!-(YEAR(TODAY())-#REF!))/#REF!</f>
        <v>#REF!</v>
      </c>
      <c r="R102" s="70">
        <f t="shared" ca="1" si="23"/>
        <v>0.3</v>
      </c>
      <c r="S102" s="74">
        <f t="shared" si="24"/>
        <v>1.2631578947368429</v>
      </c>
      <c r="T102" s="74">
        <f t="shared" si="25"/>
        <v>0.63157894736842146</v>
      </c>
      <c r="U102" s="74">
        <f t="shared" si="26"/>
        <v>0.56140350877193024</v>
      </c>
      <c r="V102" s="74">
        <f t="shared" si="27"/>
        <v>1.4035087719298256</v>
      </c>
      <c r="W102" s="74">
        <f t="shared" si="28"/>
        <v>0.35087719298245612</v>
      </c>
      <c r="X102" s="74">
        <f t="shared" si="29"/>
        <v>0.4912280701754389</v>
      </c>
      <c r="Y102" s="74">
        <f t="shared" si="30"/>
        <v>0</v>
      </c>
      <c r="Z102" s="75">
        <f t="shared" si="31"/>
        <v>1.0526315789473681</v>
      </c>
      <c r="AA102" s="76">
        <f t="shared" si="32"/>
        <v>0.7</v>
      </c>
      <c r="AB102" s="76">
        <f t="shared" ca="1" si="33"/>
        <v>0.7</v>
      </c>
      <c r="AC102" s="77">
        <f t="shared" ca="1" si="34"/>
        <v>0.69999999999999984</v>
      </c>
      <c r="AD102" s="359">
        <f t="shared" si="35"/>
        <v>5.7543859649122835</v>
      </c>
      <c r="AE102" s="369">
        <f t="shared" ca="1" si="36"/>
        <v>40.280701754385973</v>
      </c>
      <c r="AF102" s="96" t="s">
        <v>248</v>
      </c>
      <c r="AG102" s="114"/>
      <c r="AH102" s="118"/>
      <c r="AI102" s="115"/>
      <c r="AJ102" s="115"/>
      <c r="AK102" s="115">
        <v>163000</v>
      </c>
      <c r="AL102" s="122"/>
      <c r="AM102" s="337"/>
      <c r="AN102" s="338"/>
      <c r="AO102" s="338"/>
      <c r="AP102" s="338">
        <f t="shared" si="39"/>
        <v>180721.01362499996</v>
      </c>
      <c r="AQ102" s="339"/>
    </row>
    <row r="103" spans="1:43" ht="36" customHeight="1">
      <c r="A103" s="355">
        <v>99</v>
      </c>
      <c r="B103" s="4" t="s">
        <v>11</v>
      </c>
      <c r="C103" s="286" t="s">
        <v>12</v>
      </c>
      <c r="D103" s="8" t="s">
        <v>853</v>
      </c>
      <c r="E103" s="14" t="s">
        <v>996</v>
      </c>
      <c r="F103" s="482">
        <v>4018200</v>
      </c>
      <c r="G103" s="52">
        <v>3</v>
      </c>
      <c r="H103" s="57">
        <v>0.4</v>
      </c>
      <c r="I103" s="65">
        <v>6</v>
      </c>
      <c r="J103" s="66">
        <v>6</v>
      </c>
      <c r="K103" s="66">
        <v>6</v>
      </c>
      <c r="L103" s="66">
        <v>8</v>
      </c>
      <c r="M103" s="66">
        <v>2</v>
      </c>
      <c r="N103" s="66">
        <v>8</v>
      </c>
      <c r="O103" s="66">
        <v>0</v>
      </c>
      <c r="P103" s="67">
        <v>10</v>
      </c>
      <c r="Q103" s="70" t="e">
        <f ca="1">(#REF!-(YEAR(TODAY())-#REF!))/#REF!</f>
        <v>#REF!</v>
      </c>
      <c r="R103" s="70">
        <f t="shared" ca="1" si="23"/>
        <v>0.4</v>
      </c>
      <c r="S103" s="74">
        <f t="shared" si="24"/>
        <v>0.94736842105263153</v>
      </c>
      <c r="T103" s="74">
        <f t="shared" si="25"/>
        <v>0.63157894736842102</v>
      </c>
      <c r="U103" s="74">
        <f t="shared" si="26"/>
        <v>0.84210526315789469</v>
      </c>
      <c r="V103" s="74">
        <f t="shared" si="27"/>
        <v>1.4035087719298245</v>
      </c>
      <c r="W103" s="74">
        <f t="shared" si="28"/>
        <v>0.17543859649122806</v>
      </c>
      <c r="X103" s="74">
        <f t="shared" si="29"/>
        <v>0.98245614035087714</v>
      </c>
      <c r="Y103" s="74">
        <f t="shared" si="30"/>
        <v>0</v>
      </c>
      <c r="Z103" s="75">
        <f t="shared" si="31"/>
        <v>1.0526315789473684</v>
      </c>
      <c r="AA103" s="76">
        <f t="shared" si="32"/>
        <v>0.7</v>
      </c>
      <c r="AB103" s="76">
        <f t="shared" ca="1" si="33"/>
        <v>0.6</v>
      </c>
      <c r="AC103" s="77">
        <f t="shared" ca="1" si="34"/>
        <v>0.66666666666666663</v>
      </c>
      <c r="AD103" s="359">
        <f t="shared" si="35"/>
        <v>6.0350877192982448</v>
      </c>
      <c r="AE103" s="369">
        <f t="shared" ca="1" si="36"/>
        <v>40.233918128654963</v>
      </c>
      <c r="AF103" s="96" t="s">
        <v>261</v>
      </c>
      <c r="AG103" s="440"/>
      <c r="AH103" s="110"/>
      <c r="AI103" s="108"/>
      <c r="AJ103" s="108"/>
      <c r="AK103" s="462">
        <v>4018200</v>
      </c>
      <c r="AL103" s="389"/>
      <c r="AM103" s="337"/>
      <c r="AN103" s="338"/>
      <c r="AO103" s="338"/>
      <c r="AP103" s="338">
        <f t="shared" si="39"/>
        <v>4455050.165324999</v>
      </c>
      <c r="AQ103" s="339"/>
    </row>
    <row r="104" spans="1:43" ht="36" customHeight="1">
      <c r="A104" s="355">
        <v>100</v>
      </c>
      <c r="B104" s="4" t="s">
        <v>13</v>
      </c>
      <c r="C104" s="286" t="s">
        <v>15</v>
      </c>
      <c r="D104" s="24" t="s">
        <v>968</v>
      </c>
      <c r="E104" s="25" t="s">
        <v>973</v>
      </c>
      <c r="F104" s="473">
        <v>4505355</v>
      </c>
      <c r="G104" s="52">
        <v>4</v>
      </c>
      <c r="H104" s="57">
        <v>0.5</v>
      </c>
      <c r="I104" s="65">
        <v>8</v>
      </c>
      <c r="J104" s="66">
        <v>8</v>
      </c>
      <c r="K104" s="66">
        <v>8</v>
      </c>
      <c r="L104" s="66">
        <v>8</v>
      </c>
      <c r="M104" s="66">
        <v>6</v>
      </c>
      <c r="N104" s="66">
        <v>8</v>
      </c>
      <c r="O104" s="66">
        <v>0</v>
      </c>
      <c r="P104" s="67">
        <v>9</v>
      </c>
      <c r="Q104" s="70" t="e">
        <f ca="1">(#REF!-(YEAR(TODAY())-#REF!))/#REF!</f>
        <v>#REF!</v>
      </c>
      <c r="R104" s="70">
        <f t="shared" ca="1" si="23"/>
        <v>0.5</v>
      </c>
      <c r="S104" s="74">
        <f t="shared" si="24"/>
        <v>1.263157894736842</v>
      </c>
      <c r="T104" s="74">
        <f t="shared" si="25"/>
        <v>0.84210526315789469</v>
      </c>
      <c r="U104" s="74">
        <f t="shared" si="26"/>
        <v>1.1228070175438596</v>
      </c>
      <c r="V104" s="74">
        <f t="shared" si="27"/>
        <v>1.4035087719298245</v>
      </c>
      <c r="W104" s="74">
        <f t="shared" si="28"/>
        <v>0.52631578947368418</v>
      </c>
      <c r="X104" s="74">
        <f t="shared" si="29"/>
        <v>0.98245614035087714</v>
      </c>
      <c r="Y104" s="74">
        <f t="shared" si="30"/>
        <v>0</v>
      </c>
      <c r="Z104" s="75">
        <f t="shared" si="31"/>
        <v>0.94736842105263153</v>
      </c>
      <c r="AA104" s="76">
        <f t="shared" si="32"/>
        <v>0.6</v>
      </c>
      <c r="AB104" s="76">
        <f t="shared" ca="1" si="33"/>
        <v>0.5</v>
      </c>
      <c r="AC104" s="77">
        <f t="shared" ca="1" si="34"/>
        <v>0.56666666666666665</v>
      </c>
      <c r="AD104" s="359">
        <f t="shared" si="35"/>
        <v>7.0877192982456148</v>
      </c>
      <c r="AE104" s="369">
        <f t="shared" ca="1" si="36"/>
        <v>40.163742690058484</v>
      </c>
      <c r="AF104" s="96" t="s">
        <v>261</v>
      </c>
      <c r="AG104" s="114"/>
      <c r="AH104" s="118"/>
      <c r="AI104" s="115"/>
      <c r="AJ104" s="115"/>
      <c r="AK104" s="115">
        <v>569250</v>
      </c>
      <c r="AL104" s="122">
        <v>3936105</v>
      </c>
      <c r="AM104" s="340"/>
      <c r="AN104" s="338"/>
      <c r="AO104" s="338"/>
      <c r="AP104" s="338">
        <f t="shared" si="39"/>
        <v>631137.65034374991</v>
      </c>
      <c r="AQ104" s="339">
        <f t="shared" ref="AQ104" si="44">AL104*(1+Efactor)^4</f>
        <v>4516771.0203750646</v>
      </c>
    </row>
    <row r="105" spans="1:43" ht="36" customHeight="1">
      <c r="A105" s="355">
        <v>101</v>
      </c>
      <c r="B105" s="4" t="s">
        <v>5</v>
      </c>
      <c r="C105" s="286" t="s">
        <v>6</v>
      </c>
      <c r="D105" s="5" t="s">
        <v>304</v>
      </c>
      <c r="E105" s="18" t="s">
        <v>819</v>
      </c>
      <c r="F105" s="456">
        <v>150000</v>
      </c>
      <c r="G105" s="52">
        <v>2</v>
      </c>
      <c r="H105" s="57">
        <v>0.2</v>
      </c>
      <c r="I105" s="65">
        <v>6</v>
      </c>
      <c r="J105" s="66">
        <v>8</v>
      </c>
      <c r="K105" s="66">
        <v>1</v>
      </c>
      <c r="L105" s="66">
        <v>8</v>
      </c>
      <c r="M105" s="66">
        <v>4</v>
      </c>
      <c r="N105" s="66">
        <v>4</v>
      </c>
      <c r="O105" s="66">
        <v>0</v>
      </c>
      <c r="P105" s="67">
        <v>8</v>
      </c>
      <c r="Q105" s="70" t="e">
        <f ca="1">(#REF!-(YEAR(TODAY())-#REF!))/#REF!</f>
        <v>#REF!</v>
      </c>
      <c r="R105" s="70">
        <f t="shared" ca="1" si="23"/>
        <v>0.2</v>
      </c>
      <c r="S105" s="74">
        <f t="shared" si="24"/>
        <v>0.94736842105263153</v>
      </c>
      <c r="T105" s="74">
        <f t="shared" si="25"/>
        <v>0.84210526315789469</v>
      </c>
      <c r="U105" s="74">
        <f t="shared" si="26"/>
        <v>0.14035087719298245</v>
      </c>
      <c r="V105" s="74">
        <f t="shared" si="27"/>
        <v>1.4035087719298245</v>
      </c>
      <c r="W105" s="74">
        <f t="shared" si="28"/>
        <v>0.35087719298245612</v>
      </c>
      <c r="X105" s="74">
        <f t="shared" si="29"/>
        <v>0.49122807017543857</v>
      </c>
      <c r="Y105" s="74">
        <f t="shared" si="30"/>
        <v>0</v>
      </c>
      <c r="Z105" s="75">
        <f t="shared" si="31"/>
        <v>0.84210526315789469</v>
      </c>
      <c r="AA105" s="76">
        <f t="shared" si="32"/>
        <v>0.8</v>
      </c>
      <c r="AB105" s="76">
        <f t="shared" ca="1" si="33"/>
        <v>0.8</v>
      </c>
      <c r="AC105" s="77">
        <f t="shared" ca="1" si="34"/>
        <v>0.80000000000000016</v>
      </c>
      <c r="AD105" s="359">
        <f t="shared" si="35"/>
        <v>5.0175438596491224</v>
      </c>
      <c r="AE105" s="369">
        <f t="shared" ca="1" si="36"/>
        <v>40.140350877192986</v>
      </c>
      <c r="AF105" s="95" t="s">
        <v>248</v>
      </c>
      <c r="AG105" s="113"/>
      <c r="AH105" s="118"/>
      <c r="AI105" s="115"/>
      <c r="AJ105" s="115"/>
      <c r="AK105" s="115">
        <v>150000</v>
      </c>
      <c r="AL105" s="122"/>
      <c r="AM105" s="337"/>
      <c r="AN105" s="338"/>
      <c r="AO105" s="338"/>
      <c r="AP105" s="338">
        <f t="shared" si="39"/>
        <v>166307.68124999997</v>
      </c>
      <c r="AQ105" s="339"/>
    </row>
    <row r="106" spans="1:43" ht="36" customHeight="1">
      <c r="A106" s="355">
        <v>102</v>
      </c>
      <c r="B106" s="4" t="s">
        <v>14</v>
      </c>
      <c r="C106" s="286" t="s">
        <v>6</v>
      </c>
      <c r="D106" s="16" t="s">
        <v>1088</v>
      </c>
      <c r="E106" s="18" t="s">
        <v>924</v>
      </c>
      <c r="F106" s="476">
        <v>217000</v>
      </c>
      <c r="G106" s="52">
        <v>3</v>
      </c>
      <c r="H106" s="57">
        <v>0</v>
      </c>
      <c r="I106" s="65">
        <v>6</v>
      </c>
      <c r="J106" s="66">
        <v>6.0000000000000036</v>
      </c>
      <c r="K106" s="66">
        <v>4</v>
      </c>
      <c r="L106" s="66">
        <v>2</v>
      </c>
      <c r="M106" s="66">
        <v>6.0000000000000036</v>
      </c>
      <c r="N106" s="66">
        <v>5</v>
      </c>
      <c r="O106" s="66">
        <v>5</v>
      </c>
      <c r="P106" s="67">
        <v>8</v>
      </c>
      <c r="Q106" s="70" t="e">
        <f ca="1">(#REF!-(YEAR(TODAY())-#REF!))/#REF!</f>
        <v>#REF!</v>
      </c>
      <c r="R106" s="70">
        <f t="shared" ca="1" si="23"/>
        <v>0</v>
      </c>
      <c r="S106" s="74">
        <f t="shared" si="24"/>
        <v>0.94736842105263153</v>
      </c>
      <c r="T106" s="74">
        <f t="shared" si="25"/>
        <v>0.63157894736842146</v>
      </c>
      <c r="U106" s="74">
        <f t="shared" si="26"/>
        <v>0.56140350877192979</v>
      </c>
      <c r="V106" s="74">
        <f t="shared" si="27"/>
        <v>0.35087719298245612</v>
      </c>
      <c r="W106" s="74">
        <f t="shared" si="28"/>
        <v>0.52631578947368451</v>
      </c>
      <c r="X106" s="74">
        <f t="shared" si="29"/>
        <v>0.61403508771929827</v>
      </c>
      <c r="Y106" s="74">
        <f t="shared" si="30"/>
        <v>0.52631578947368418</v>
      </c>
      <c r="Z106" s="75">
        <f t="shared" si="31"/>
        <v>0.84210526315789469</v>
      </c>
      <c r="AA106" s="76">
        <f t="shared" si="32"/>
        <v>0.7</v>
      </c>
      <c r="AB106" s="76">
        <f t="shared" ca="1" si="33"/>
        <v>1</v>
      </c>
      <c r="AC106" s="77">
        <f t="shared" ca="1" si="34"/>
        <v>0.79999999999999993</v>
      </c>
      <c r="AD106" s="359">
        <f t="shared" si="35"/>
        <v>5.0000000000000009</v>
      </c>
      <c r="AE106" s="369">
        <f t="shared" ca="1" si="36"/>
        <v>40</v>
      </c>
      <c r="AF106" s="96" t="s">
        <v>257</v>
      </c>
      <c r="AG106" s="443"/>
      <c r="AH106" s="118"/>
      <c r="AI106" s="124"/>
      <c r="AJ106" s="115"/>
      <c r="AK106" s="120">
        <v>217000</v>
      </c>
      <c r="AL106" s="122"/>
      <c r="AM106" s="337"/>
      <c r="AN106" s="338"/>
      <c r="AO106" s="338"/>
      <c r="AP106" s="338">
        <f t="shared" si="39"/>
        <v>240591.77887499993</v>
      </c>
      <c r="AQ106" s="339"/>
    </row>
    <row r="107" spans="1:43" ht="36" customHeight="1">
      <c r="A107" s="355">
        <v>103</v>
      </c>
      <c r="B107" s="12" t="s">
        <v>7</v>
      </c>
      <c r="C107" s="344" t="s">
        <v>6</v>
      </c>
      <c r="D107" s="5" t="s">
        <v>878</v>
      </c>
      <c r="E107" s="6" t="s">
        <v>1011</v>
      </c>
      <c r="F107" s="473">
        <v>100000</v>
      </c>
      <c r="G107" s="51">
        <v>3</v>
      </c>
      <c r="H107" s="57">
        <v>0.2</v>
      </c>
      <c r="I107" s="65">
        <v>5</v>
      </c>
      <c r="J107" s="66">
        <v>6</v>
      </c>
      <c r="K107" s="66">
        <v>5</v>
      </c>
      <c r="L107" s="66">
        <v>9</v>
      </c>
      <c r="M107" s="66">
        <v>5</v>
      </c>
      <c r="N107" s="66">
        <v>2</v>
      </c>
      <c r="O107" s="66">
        <v>2</v>
      </c>
      <c r="P107" s="67">
        <v>8</v>
      </c>
      <c r="Q107" s="70" t="e">
        <f ca="1">(#REF!-(YEAR(TODAY())-#REF!))/#REF!</f>
        <v>#REF!</v>
      </c>
      <c r="R107" s="70">
        <f t="shared" ca="1" si="23"/>
        <v>0.2</v>
      </c>
      <c r="S107" s="74">
        <f t="shared" si="24"/>
        <v>0.78947368421052633</v>
      </c>
      <c r="T107" s="74">
        <f t="shared" si="25"/>
        <v>0.63157894736842102</v>
      </c>
      <c r="U107" s="74">
        <f t="shared" si="26"/>
        <v>0.70175438596491224</v>
      </c>
      <c r="V107" s="74">
        <f t="shared" si="27"/>
        <v>1.5789473684210527</v>
      </c>
      <c r="W107" s="74">
        <f t="shared" si="28"/>
        <v>0.43859649122807015</v>
      </c>
      <c r="X107" s="74">
        <f t="shared" si="29"/>
        <v>0.24561403508771928</v>
      </c>
      <c r="Y107" s="74">
        <f t="shared" si="30"/>
        <v>0.21052631578947367</v>
      </c>
      <c r="Z107" s="75">
        <f t="shared" si="31"/>
        <v>0.84210526315789469</v>
      </c>
      <c r="AA107" s="76">
        <f t="shared" si="32"/>
        <v>0.7</v>
      </c>
      <c r="AB107" s="76">
        <f t="shared" ca="1" si="33"/>
        <v>0.8</v>
      </c>
      <c r="AC107" s="77">
        <f t="shared" ca="1" si="34"/>
        <v>0.73333333333333339</v>
      </c>
      <c r="AD107" s="359">
        <f t="shared" si="35"/>
        <v>5.4385964912280693</v>
      </c>
      <c r="AE107" s="369">
        <f t="shared" ca="1" si="36"/>
        <v>39.883040935672511</v>
      </c>
      <c r="AF107" s="95" t="s">
        <v>248</v>
      </c>
      <c r="AG107" s="441"/>
      <c r="AH107" s="110"/>
      <c r="AI107" s="108"/>
      <c r="AJ107" s="108"/>
      <c r="AK107" s="108">
        <v>100000</v>
      </c>
      <c r="AL107" s="389"/>
      <c r="AM107" s="337"/>
      <c r="AN107" s="338"/>
      <c r="AO107" s="338"/>
      <c r="AP107" s="338">
        <f t="shared" si="39"/>
        <v>110871.78749999998</v>
      </c>
      <c r="AQ107" s="339"/>
    </row>
    <row r="108" spans="1:43" ht="36" customHeight="1">
      <c r="A108" s="355">
        <v>104</v>
      </c>
      <c r="B108" s="4" t="s">
        <v>5</v>
      </c>
      <c r="C108" s="286" t="s">
        <v>6</v>
      </c>
      <c r="D108" s="5" t="s">
        <v>1008</v>
      </c>
      <c r="E108" s="7" t="s">
        <v>1192</v>
      </c>
      <c r="F108" s="473">
        <v>260000</v>
      </c>
      <c r="G108" s="51">
        <v>3</v>
      </c>
      <c r="H108" s="57">
        <v>0.2</v>
      </c>
      <c r="I108" s="65">
        <v>5</v>
      </c>
      <c r="J108" s="66">
        <v>6</v>
      </c>
      <c r="K108" s="66">
        <v>5</v>
      </c>
      <c r="L108" s="66">
        <v>10</v>
      </c>
      <c r="M108" s="66">
        <v>4</v>
      </c>
      <c r="N108" s="66">
        <v>2</v>
      </c>
      <c r="O108" s="66">
        <v>1</v>
      </c>
      <c r="P108" s="67">
        <v>8</v>
      </c>
      <c r="Q108" s="70" t="e">
        <f ca="1">(#REF!-(YEAR(TODAY())-#REF!))/#REF!</f>
        <v>#REF!</v>
      </c>
      <c r="R108" s="70">
        <f t="shared" ca="1" si="23"/>
        <v>0.2</v>
      </c>
      <c r="S108" s="74">
        <f t="shared" si="24"/>
        <v>0.78947368421052633</v>
      </c>
      <c r="T108" s="74">
        <f t="shared" si="25"/>
        <v>0.63157894736842102</v>
      </c>
      <c r="U108" s="74">
        <f t="shared" si="26"/>
        <v>0.70175438596491224</v>
      </c>
      <c r="V108" s="74">
        <f t="shared" si="27"/>
        <v>1.7543859649122806</v>
      </c>
      <c r="W108" s="74">
        <f t="shared" si="28"/>
        <v>0.35087719298245612</v>
      </c>
      <c r="X108" s="74">
        <f t="shared" si="29"/>
        <v>0.24561403508771928</v>
      </c>
      <c r="Y108" s="74">
        <f t="shared" si="30"/>
        <v>0.10526315789473684</v>
      </c>
      <c r="Z108" s="75">
        <f t="shared" si="31"/>
        <v>0.84210526315789469</v>
      </c>
      <c r="AA108" s="76">
        <f t="shared" si="32"/>
        <v>0.7</v>
      </c>
      <c r="AB108" s="76">
        <f t="shared" ca="1" si="33"/>
        <v>0.8</v>
      </c>
      <c r="AC108" s="77">
        <f t="shared" ca="1" si="34"/>
        <v>0.73333333333333339</v>
      </c>
      <c r="AD108" s="359">
        <f t="shared" si="35"/>
        <v>5.4210526315789478</v>
      </c>
      <c r="AE108" s="369">
        <f t="shared" ca="1" si="36"/>
        <v>39.754385964912288</v>
      </c>
      <c r="AF108" s="95" t="s">
        <v>266</v>
      </c>
      <c r="AG108" s="441"/>
      <c r="AH108" s="325"/>
      <c r="AI108" s="108"/>
      <c r="AJ108" s="108"/>
      <c r="AK108" s="108">
        <v>260000</v>
      </c>
      <c r="AL108" s="389"/>
      <c r="AM108" s="337"/>
      <c r="AN108" s="338"/>
      <c r="AO108" s="338"/>
      <c r="AP108" s="338">
        <f t="shared" si="39"/>
        <v>288266.6474999999</v>
      </c>
      <c r="AQ108" s="339"/>
    </row>
    <row r="109" spans="1:43" ht="36" customHeight="1">
      <c r="A109" s="355">
        <v>105</v>
      </c>
      <c r="B109" s="12" t="s">
        <v>16</v>
      </c>
      <c r="C109" s="344" t="s">
        <v>299</v>
      </c>
      <c r="D109" s="13" t="s">
        <v>994</v>
      </c>
      <c r="E109" s="28" t="s">
        <v>1048</v>
      </c>
      <c r="F109" s="479">
        <v>2904480</v>
      </c>
      <c r="G109" s="51">
        <v>3</v>
      </c>
      <c r="H109" s="57">
        <v>0.4</v>
      </c>
      <c r="I109" s="65">
        <v>8</v>
      </c>
      <c r="J109" s="66">
        <v>8</v>
      </c>
      <c r="K109" s="66">
        <v>2</v>
      </c>
      <c r="L109" s="66">
        <v>6.0000000000000036</v>
      </c>
      <c r="M109" s="66">
        <v>4</v>
      </c>
      <c r="N109" s="66">
        <v>9</v>
      </c>
      <c r="O109" s="66">
        <v>0</v>
      </c>
      <c r="P109" s="67">
        <v>10</v>
      </c>
      <c r="Q109" s="70" t="e">
        <f ca="1">(#REF!-(YEAR(TODAY())-#REF!))/#REF!</f>
        <v>#REF!</v>
      </c>
      <c r="R109" s="70">
        <f t="shared" ca="1" si="23"/>
        <v>0.4</v>
      </c>
      <c r="S109" s="74">
        <f t="shared" si="24"/>
        <v>1.263157894736842</v>
      </c>
      <c r="T109" s="74">
        <f t="shared" si="25"/>
        <v>0.84210526315789469</v>
      </c>
      <c r="U109" s="74">
        <f t="shared" si="26"/>
        <v>0.2807017543859649</v>
      </c>
      <c r="V109" s="74">
        <f t="shared" si="27"/>
        <v>1.052631578947369</v>
      </c>
      <c r="W109" s="74">
        <f t="shared" si="28"/>
        <v>0.35087719298245612</v>
      </c>
      <c r="X109" s="74">
        <f t="shared" si="29"/>
        <v>1.1052631578947369</v>
      </c>
      <c r="Y109" s="74">
        <f t="shared" si="30"/>
        <v>0</v>
      </c>
      <c r="Z109" s="75">
        <f t="shared" si="31"/>
        <v>1.0526315789473684</v>
      </c>
      <c r="AA109" s="76">
        <f t="shared" si="32"/>
        <v>0.7</v>
      </c>
      <c r="AB109" s="76">
        <f t="shared" ca="1" si="33"/>
        <v>0.6</v>
      </c>
      <c r="AC109" s="77">
        <f t="shared" ca="1" si="34"/>
        <v>0.66666666666666663</v>
      </c>
      <c r="AD109" s="359">
        <f t="shared" si="35"/>
        <v>5.9473684210526319</v>
      </c>
      <c r="AE109" s="369">
        <f t="shared" ca="1" si="36"/>
        <v>39.649122807017541</v>
      </c>
      <c r="AF109" s="96" t="s">
        <v>848</v>
      </c>
      <c r="AG109" s="441"/>
      <c r="AH109" s="110"/>
      <c r="AI109" s="108"/>
      <c r="AJ109" s="108"/>
      <c r="AK109" s="346">
        <v>2619675</v>
      </c>
      <c r="AL109" s="389"/>
      <c r="AM109" s="337"/>
      <c r="AN109" s="338"/>
      <c r="AO109" s="338"/>
      <c r="AP109" s="338">
        <f t="shared" si="39"/>
        <v>2904480.4991906243</v>
      </c>
      <c r="AQ109" s="339"/>
    </row>
    <row r="110" spans="1:43" ht="36" customHeight="1">
      <c r="A110" s="355">
        <v>106</v>
      </c>
      <c r="B110" s="490" t="s">
        <v>29</v>
      </c>
      <c r="C110" s="459" t="s">
        <v>6</v>
      </c>
      <c r="D110" s="390" t="s">
        <v>30</v>
      </c>
      <c r="E110" s="492" t="s">
        <v>926</v>
      </c>
      <c r="F110" s="493">
        <v>463421</v>
      </c>
      <c r="G110" s="464">
        <v>2</v>
      </c>
      <c r="H110" s="293">
        <v>0</v>
      </c>
      <c r="I110" s="65">
        <v>2</v>
      </c>
      <c r="J110" s="66">
        <v>6</v>
      </c>
      <c r="K110" s="66">
        <v>2</v>
      </c>
      <c r="L110" s="66">
        <v>6</v>
      </c>
      <c r="M110" s="66">
        <v>8.0000000000000053</v>
      </c>
      <c r="N110" s="66">
        <v>4</v>
      </c>
      <c r="O110" s="66">
        <v>2</v>
      </c>
      <c r="P110" s="67">
        <v>8.0000000000000053</v>
      </c>
      <c r="Q110" s="294" t="e">
        <f ca="1">(#REF!-(YEAR(TODAY())-#REF!))/#REF!</f>
        <v>#REF!</v>
      </c>
      <c r="R110" s="294">
        <f t="shared" ca="1" si="23"/>
        <v>0</v>
      </c>
      <c r="S110" s="74">
        <f t="shared" si="24"/>
        <v>0.31578947368421051</v>
      </c>
      <c r="T110" s="74">
        <f t="shared" si="25"/>
        <v>0.63157894736842102</v>
      </c>
      <c r="U110" s="74">
        <f t="shared" si="26"/>
        <v>0.2807017543859649</v>
      </c>
      <c r="V110" s="74">
        <f t="shared" si="27"/>
        <v>1.0526315789473684</v>
      </c>
      <c r="W110" s="74">
        <f t="shared" si="28"/>
        <v>0.7017543859649128</v>
      </c>
      <c r="X110" s="74">
        <f t="shared" si="29"/>
        <v>0.49122807017543857</v>
      </c>
      <c r="Y110" s="74">
        <f t="shared" si="30"/>
        <v>0.21052631578947367</v>
      </c>
      <c r="Z110" s="75">
        <f t="shared" si="31"/>
        <v>0.84210526315789525</v>
      </c>
      <c r="AA110" s="76">
        <f t="shared" si="32"/>
        <v>0.8</v>
      </c>
      <c r="AB110" s="76">
        <f t="shared" ca="1" si="33"/>
        <v>1</v>
      </c>
      <c r="AC110" s="77">
        <f t="shared" ca="1" si="34"/>
        <v>0.8666666666666667</v>
      </c>
      <c r="AD110" s="358">
        <f t="shared" si="35"/>
        <v>4.526315789473685</v>
      </c>
      <c r="AE110" s="368">
        <f t="shared" ca="1" si="36"/>
        <v>39.228070175438603</v>
      </c>
      <c r="AF110" s="465" t="s">
        <v>257</v>
      </c>
      <c r="AG110" s="468">
        <v>463421</v>
      </c>
      <c r="AH110" s="118"/>
      <c r="AI110" s="115"/>
      <c r="AJ110" s="115"/>
      <c r="AK110" s="115"/>
      <c r="AL110" s="122"/>
      <c r="AM110" s="337"/>
      <c r="AN110" s="338"/>
      <c r="AO110" s="338"/>
      <c r="AP110" s="338"/>
      <c r="AQ110" s="339"/>
    </row>
    <row r="111" spans="1:43" ht="36" customHeight="1">
      <c r="A111" s="355">
        <v>107</v>
      </c>
      <c r="B111" s="4" t="s">
        <v>16</v>
      </c>
      <c r="C111" s="286" t="s">
        <v>1052</v>
      </c>
      <c r="D111" s="8" t="s">
        <v>831</v>
      </c>
      <c r="E111" s="21" t="s">
        <v>830</v>
      </c>
      <c r="F111" s="476">
        <v>100000</v>
      </c>
      <c r="G111" s="52">
        <v>3</v>
      </c>
      <c r="H111" s="57">
        <v>0.2</v>
      </c>
      <c r="I111" s="65">
        <v>8.0000000000000053</v>
      </c>
      <c r="J111" s="66">
        <v>8.0000000000000053</v>
      </c>
      <c r="K111" s="66">
        <v>4.0000000000000027</v>
      </c>
      <c r="L111" s="66">
        <v>2</v>
      </c>
      <c r="M111" s="66">
        <v>6</v>
      </c>
      <c r="N111" s="66">
        <v>6.0000000000000036</v>
      </c>
      <c r="O111" s="66">
        <v>0</v>
      </c>
      <c r="P111" s="67">
        <v>9.9999999999999982</v>
      </c>
      <c r="Q111" s="70" t="e">
        <f ca="1">(#REF!-(YEAR(TODAY())-#REF!))/#REF!</f>
        <v>#REF!</v>
      </c>
      <c r="R111" s="70">
        <f t="shared" ca="1" si="23"/>
        <v>0.2</v>
      </c>
      <c r="S111" s="74">
        <f t="shared" si="24"/>
        <v>1.2631578947368429</v>
      </c>
      <c r="T111" s="74">
        <f t="shared" si="25"/>
        <v>0.84210526315789525</v>
      </c>
      <c r="U111" s="74">
        <f t="shared" si="26"/>
        <v>0.56140350877193024</v>
      </c>
      <c r="V111" s="74">
        <f t="shared" si="27"/>
        <v>0.35087719298245612</v>
      </c>
      <c r="W111" s="74">
        <f t="shared" si="28"/>
        <v>0.52631578947368418</v>
      </c>
      <c r="X111" s="74">
        <f t="shared" si="29"/>
        <v>0.73684210526315841</v>
      </c>
      <c r="Y111" s="74">
        <f t="shared" si="30"/>
        <v>0</v>
      </c>
      <c r="Z111" s="75">
        <f t="shared" si="31"/>
        <v>1.0526315789473681</v>
      </c>
      <c r="AA111" s="76">
        <f t="shared" si="32"/>
        <v>0.7</v>
      </c>
      <c r="AB111" s="76">
        <f t="shared" ca="1" si="33"/>
        <v>0.8</v>
      </c>
      <c r="AC111" s="77">
        <f t="shared" ca="1" si="34"/>
        <v>0.73333333333333339</v>
      </c>
      <c r="AD111" s="359">
        <f t="shared" si="35"/>
        <v>5.3333333333333348</v>
      </c>
      <c r="AE111" s="369">
        <f t="shared" ca="1" si="36"/>
        <v>39.111111111111121</v>
      </c>
      <c r="AF111" s="96" t="s">
        <v>257</v>
      </c>
      <c r="AG111" s="114"/>
      <c r="AH111" s="119"/>
      <c r="AI111" s="124"/>
      <c r="AJ111" s="115"/>
      <c r="AK111" s="115"/>
      <c r="AL111" s="122"/>
      <c r="AM111" s="337"/>
      <c r="AN111" s="338"/>
      <c r="AO111" s="338"/>
      <c r="AP111" s="338"/>
      <c r="AQ111" s="339"/>
    </row>
    <row r="112" spans="1:43" ht="36" customHeight="1">
      <c r="A112" s="355">
        <v>108</v>
      </c>
      <c r="B112" s="4" t="s">
        <v>16</v>
      </c>
      <c r="C112" s="286" t="s">
        <v>299</v>
      </c>
      <c r="D112" s="30" t="s">
        <v>1028</v>
      </c>
      <c r="E112" s="21" t="s">
        <v>1026</v>
      </c>
      <c r="F112" s="485">
        <v>75000</v>
      </c>
      <c r="G112" s="52">
        <v>4</v>
      </c>
      <c r="H112" s="57">
        <v>0.2</v>
      </c>
      <c r="I112" s="65">
        <v>8</v>
      </c>
      <c r="J112" s="66">
        <v>5</v>
      </c>
      <c r="K112" s="66">
        <v>2</v>
      </c>
      <c r="L112" s="66">
        <v>9</v>
      </c>
      <c r="M112" s="66">
        <v>5</v>
      </c>
      <c r="N112" s="66">
        <v>5</v>
      </c>
      <c r="O112" s="66">
        <v>1</v>
      </c>
      <c r="P112" s="67">
        <v>10</v>
      </c>
      <c r="Q112" s="70" t="e">
        <f ca="1">(#REF!-(YEAR(TODAY())-#REF!))/#REF!</f>
        <v>#REF!</v>
      </c>
      <c r="R112" s="70">
        <f t="shared" ca="1" si="23"/>
        <v>0.2</v>
      </c>
      <c r="S112" s="74">
        <f t="shared" si="24"/>
        <v>1.263157894736842</v>
      </c>
      <c r="T112" s="74">
        <f t="shared" si="25"/>
        <v>0.52631578947368418</v>
      </c>
      <c r="U112" s="74">
        <f t="shared" si="26"/>
        <v>0.2807017543859649</v>
      </c>
      <c r="V112" s="74">
        <f t="shared" si="27"/>
        <v>1.5789473684210527</v>
      </c>
      <c r="W112" s="74">
        <f t="shared" si="28"/>
        <v>0.43859649122807015</v>
      </c>
      <c r="X112" s="74">
        <f t="shared" si="29"/>
        <v>0.61403508771929827</v>
      </c>
      <c r="Y112" s="74">
        <f t="shared" si="30"/>
        <v>0.10526315789473684</v>
      </c>
      <c r="Z112" s="75">
        <f t="shared" si="31"/>
        <v>1.0526315789473684</v>
      </c>
      <c r="AA112" s="76">
        <f t="shared" si="32"/>
        <v>0.6</v>
      </c>
      <c r="AB112" s="76">
        <f t="shared" ca="1" si="33"/>
        <v>0.8</v>
      </c>
      <c r="AC112" s="77">
        <f t="shared" ca="1" si="34"/>
        <v>0.66666666666666663</v>
      </c>
      <c r="AD112" s="359">
        <f t="shared" si="35"/>
        <v>5.8596491228070171</v>
      </c>
      <c r="AE112" s="369">
        <f t="shared" ca="1" si="36"/>
        <v>39.064327485380112</v>
      </c>
      <c r="AF112" s="96" t="s">
        <v>848</v>
      </c>
      <c r="AG112" s="443"/>
      <c r="AH112" s="119"/>
      <c r="AI112" s="120"/>
      <c r="AJ112" s="120"/>
      <c r="AK112" s="120">
        <v>67646</v>
      </c>
      <c r="AL112" s="454"/>
      <c r="AM112" s="337"/>
      <c r="AN112" s="338"/>
      <c r="AO112" s="338"/>
      <c r="AP112" s="338">
        <f t="shared" si="39"/>
        <v>75000.32937224998</v>
      </c>
      <c r="AQ112" s="339"/>
    </row>
    <row r="113" spans="1:43" ht="36" customHeight="1">
      <c r="A113" s="355">
        <v>109</v>
      </c>
      <c r="B113" s="4" t="s">
        <v>16</v>
      </c>
      <c r="C113" s="286" t="s">
        <v>6</v>
      </c>
      <c r="D113" s="16" t="s">
        <v>1070</v>
      </c>
      <c r="E113" s="18" t="s">
        <v>1071</v>
      </c>
      <c r="F113" s="477">
        <v>943000</v>
      </c>
      <c r="G113" s="52">
        <v>2</v>
      </c>
      <c r="H113" s="57">
        <v>0.1</v>
      </c>
      <c r="I113" s="65">
        <v>5</v>
      </c>
      <c r="J113" s="66">
        <v>4</v>
      </c>
      <c r="K113" s="66">
        <v>4</v>
      </c>
      <c r="L113" s="66">
        <v>4.0000000000000027</v>
      </c>
      <c r="M113" s="66">
        <v>5</v>
      </c>
      <c r="N113" s="66">
        <v>4.0000000000000027</v>
      </c>
      <c r="O113" s="66">
        <v>6</v>
      </c>
      <c r="P113" s="67">
        <v>6.0000000000000036</v>
      </c>
      <c r="Q113" s="70" t="e">
        <f ca="1">(#REF!-(YEAR(TODAY())-#REF!))/#REF!</f>
        <v>#REF!</v>
      </c>
      <c r="R113" s="70">
        <f t="shared" ca="1" si="23"/>
        <v>0.1</v>
      </c>
      <c r="S113" s="74">
        <f t="shared" si="24"/>
        <v>0.78947368421052633</v>
      </c>
      <c r="T113" s="74">
        <f t="shared" si="25"/>
        <v>0.42105263157894735</v>
      </c>
      <c r="U113" s="74">
        <f t="shared" si="26"/>
        <v>0.56140350877192979</v>
      </c>
      <c r="V113" s="74">
        <f t="shared" si="27"/>
        <v>0.7017543859649128</v>
      </c>
      <c r="W113" s="74">
        <f t="shared" si="28"/>
        <v>0.43859649122807015</v>
      </c>
      <c r="X113" s="74">
        <f t="shared" si="29"/>
        <v>0.4912280701754389</v>
      </c>
      <c r="Y113" s="74">
        <f t="shared" si="30"/>
        <v>0.63157894736842102</v>
      </c>
      <c r="Z113" s="75">
        <f t="shared" si="31"/>
        <v>0.63157894736842146</v>
      </c>
      <c r="AA113" s="76">
        <f t="shared" si="32"/>
        <v>0.8</v>
      </c>
      <c r="AB113" s="76">
        <f t="shared" ca="1" si="33"/>
        <v>0.9</v>
      </c>
      <c r="AC113" s="77">
        <f t="shared" ca="1" si="34"/>
        <v>0.83333333333333337</v>
      </c>
      <c r="AD113" s="359">
        <f t="shared" si="35"/>
        <v>4.6666666666666679</v>
      </c>
      <c r="AE113" s="369">
        <f t="shared" ca="1" si="36"/>
        <v>38.8888888888889</v>
      </c>
      <c r="AF113" s="96" t="s">
        <v>257</v>
      </c>
      <c r="AG113" s="114"/>
      <c r="AH113" s="118"/>
      <c r="AI113" s="115"/>
      <c r="AJ113" s="115"/>
      <c r="AK113" s="115"/>
      <c r="AL113" s="122"/>
      <c r="AM113" s="337"/>
      <c r="AN113" s="338"/>
      <c r="AO113" s="338"/>
      <c r="AP113" s="338"/>
      <c r="AQ113" s="339"/>
    </row>
    <row r="114" spans="1:43" s="209" customFormat="1" ht="36" customHeight="1">
      <c r="A114" s="355">
        <v>110</v>
      </c>
      <c r="B114" s="12" t="s">
        <v>10</v>
      </c>
      <c r="C114" s="344" t="s">
        <v>300</v>
      </c>
      <c r="D114" s="8" t="s">
        <v>952</v>
      </c>
      <c r="E114" s="15" t="s">
        <v>958</v>
      </c>
      <c r="F114" s="473">
        <v>350000</v>
      </c>
      <c r="G114" s="52">
        <v>3</v>
      </c>
      <c r="H114" s="57">
        <v>0.2</v>
      </c>
      <c r="I114" s="65">
        <v>5</v>
      </c>
      <c r="J114" s="66">
        <v>6</v>
      </c>
      <c r="K114" s="66">
        <v>4</v>
      </c>
      <c r="L114" s="66">
        <v>8</v>
      </c>
      <c r="M114" s="66">
        <v>2</v>
      </c>
      <c r="N114" s="66">
        <v>5</v>
      </c>
      <c r="O114" s="66">
        <v>0</v>
      </c>
      <c r="P114" s="67">
        <v>10</v>
      </c>
      <c r="Q114" s="70" t="e">
        <f ca="1">(#REF!-(YEAR(TODAY())-#REF!))/#REF!</f>
        <v>#REF!</v>
      </c>
      <c r="R114" s="70">
        <f t="shared" ca="1" si="23"/>
        <v>0.2</v>
      </c>
      <c r="S114" s="74">
        <f t="shared" si="24"/>
        <v>0.78947368421052633</v>
      </c>
      <c r="T114" s="74">
        <f t="shared" si="25"/>
        <v>0.63157894736842102</v>
      </c>
      <c r="U114" s="74">
        <f t="shared" si="26"/>
        <v>0.56140350877192979</v>
      </c>
      <c r="V114" s="74">
        <f t="shared" si="27"/>
        <v>1.4035087719298245</v>
      </c>
      <c r="W114" s="74">
        <f t="shared" si="28"/>
        <v>0.17543859649122806</v>
      </c>
      <c r="X114" s="74">
        <f t="shared" si="29"/>
        <v>0.61403508771929827</v>
      </c>
      <c r="Y114" s="74">
        <f t="shared" si="30"/>
        <v>0</v>
      </c>
      <c r="Z114" s="75">
        <f t="shared" si="31"/>
        <v>1.0526315789473684</v>
      </c>
      <c r="AA114" s="76">
        <f t="shared" si="32"/>
        <v>0.7</v>
      </c>
      <c r="AB114" s="76">
        <f t="shared" ca="1" si="33"/>
        <v>0.8</v>
      </c>
      <c r="AC114" s="77">
        <f t="shared" ca="1" si="34"/>
        <v>0.73333333333333339</v>
      </c>
      <c r="AD114" s="359">
        <f t="shared" si="35"/>
        <v>5.2280701754385959</v>
      </c>
      <c r="AE114" s="369">
        <f t="shared" ca="1" si="36"/>
        <v>38.339181286549703</v>
      </c>
      <c r="AF114" s="95" t="s">
        <v>266</v>
      </c>
      <c r="AG114" s="443"/>
      <c r="AH114" s="118"/>
      <c r="AI114" s="115"/>
      <c r="AJ114" s="115"/>
      <c r="AK114" s="115"/>
      <c r="AL114" s="122"/>
      <c r="AM114" s="337"/>
      <c r="AN114" s="338"/>
      <c r="AO114" s="338"/>
      <c r="AP114" s="338"/>
      <c r="AQ114" s="339"/>
    </row>
    <row r="115" spans="1:43" s="260" customFormat="1" ht="36" customHeight="1">
      <c r="A115" s="355">
        <v>111</v>
      </c>
      <c r="B115" s="4" t="s">
        <v>10</v>
      </c>
      <c r="C115" s="286" t="s">
        <v>6</v>
      </c>
      <c r="D115" s="16" t="s">
        <v>318</v>
      </c>
      <c r="E115" s="18" t="s">
        <v>904</v>
      </c>
      <c r="F115" s="477">
        <v>386000</v>
      </c>
      <c r="G115" s="52">
        <v>3</v>
      </c>
      <c r="H115" s="57">
        <v>0.3</v>
      </c>
      <c r="I115" s="65">
        <v>6</v>
      </c>
      <c r="J115" s="66">
        <v>1</v>
      </c>
      <c r="K115" s="66">
        <v>6.0000000000000036</v>
      </c>
      <c r="L115" s="66">
        <v>6.0000000000000036</v>
      </c>
      <c r="M115" s="66">
        <v>6.0000000000000036</v>
      </c>
      <c r="N115" s="66">
        <v>6.0000000000000036</v>
      </c>
      <c r="O115" s="66">
        <v>4</v>
      </c>
      <c r="P115" s="67">
        <v>8.0000000000000053</v>
      </c>
      <c r="Q115" s="70" t="e">
        <f ca="1">(#REF!-(YEAR(TODAY())-#REF!))/#REF!</f>
        <v>#REF!</v>
      </c>
      <c r="R115" s="70">
        <f t="shared" ca="1" si="23"/>
        <v>0.3</v>
      </c>
      <c r="S115" s="74">
        <f t="shared" si="24"/>
        <v>0.94736842105263153</v>
      </c>
      <c r="T115" s="74">
        <f t="shared" si="25"/>
        <v>0.10526315789473684</v>
      </c>
      <c r="U115" s="74">
        <f t="shared" si="26"/>
        <v>0.84210526315789525</v>
      </c>
      <c r="V115" s="74">
        <f t="shared" si="27"/>
        <v>1.052631578947369</v>
      </c>
      <c r="W115" s="74">
        <f t="shared" si="28"/>
        <v>0.52631578947368451</v>
      </c>
      <c r="X115" s="74">
        <f t="shared" si="29"/>
        <v>0.73684210526315841</v>
      </c>
      <c r="Y115" s="74">
        <f t="shared" si="30"/>
        <v>0.42105263157894735</v>
      </c>
      <c r="Z115" s="75">
        <f t="shared" si="31"/>
        <v>0.84210526315789525</v>
      </c>
      <c r="AA115" s="76">
        <f t="shared" si="32"/>
        <v>0.7</v>
      </c>
      <c r="AB115" s="76">
        <f t="shared" ca="1" si="33"/>
        <v>0.7</v>
      </c>
      <c r="AC115" s="77">
        <f t="shared" ca="1" si="34"/>
        <v>0.69999999999999984</v>
      </c>
      <c r="AD115" s="359">
        <f t="shared" si="35"/>
        <v>5.4736842105263186</v>
      </c>
      <c r="AE115" s="369">
        <f t="shared" ca="1" si="36"/>
        <v>38.31578947368422</v>
      </c>
      <c r="AF115" s="96" t="s">
        <v>248</v>
      </c>
      <c r="AG115" s="114"/>
      <c r="AH115" s="118"/>
      <c r="AI115" s="115"/>
      <c r="AJ115" s="365"/>
      <c r="AK115" s="115">
        <v>386000</v>
      </c>
      <c r="AL115" s="122"/>
      <c r="AM115" s="337"/>
      <c r="AN115" s="338"/>
      <c r="AO115" s="338"/>
      <c r="AP115" s="338">
        <f t="shared" si="39"/>
        <v>427965.09974999988</v>
      </c>
      <c r="AQ115" s="339"/>
    </row>
    <row r="116" spans="1:43" s="260" customFormat="1" ht="36" customHeight="1">
      <c r="A116" s="355">
        <v>112</v>
      </c>
      <c r="B116" s="4" t="s">
        <v>10</v>
      </c>
      <c r="C116" s="286" t="s">
        <v>6</v>
      </c>
      <c r="D116" s="16" t="s">
        <v>41</v>
      </c>
      <c r="E116" s="18" t="s">
        <v>42</v>
      </c>
      <c r="F116" s="476">
        <v>87000</v>
      </c>
      <c r="G116" s="52">
        <v>3</v>
      </c>
      <c r="H116" s="57">
        <v>0.3</v>
      </c>
      <c r="I116" s="65">
        <v>6</v>
      </c>
      <c r="J116" s="66">
        <v>1</v>
      </c>
      <c r="K116" s="66">
        <v>6.0000000000000036</v>
      </c>
      <c r="L116" s="66">
        <v>6.0000000000000036</v>
      </c>
      <c r="M116" s="66">
        <v>6.0000000000000036</v>
      </c>
      <c r="N116" s="66">
        <v>6.0000000000000036</v>
      </c>
      <c r="O116" s="66">
        <v>4</v>
      </c>
      <c r="P116" s="67">
        <v>8.0000000000000053</v>
      </c>
      <c r="Q116" s="70" t="e">
        <f ca="1">(#REF!-(YEAR(TODAY())-#REF!))/#REF!</f>
        <v>#REF!</v>
      </c>
      <c r="R116" s="70">
        <f t="shared" ca="1" si="23"/>
        <v>0.3</v>
      </c>
      <c r="S116" s="74">
        <f t="shared" si="24"/>
        <v>0.94736842105263153</v>
      </c>
      <c r="T116" s="74">
        <f t="shared" si="25"/>
        <v>0.10526315789473684</v>
      </c>
      <c r="U116" s="74">
        <f t="shared" si="26"/>
        <v>0.84210526315789525</v>
      </c>
      <c r="V116" s="74">
        <f t="shared" si="27"/>
        <v>1.052631578947369</v>
      </c>
      <c r="W116" s="74">
        <f t="shared" si="28"/>
        <v>0.52631578947368451</v>
      </c>
      <c r="X116" s="74">
        <f t="shared" si="29"/>
        <v>0.73684210526315841</v>
      </c>
      <c r="Y116" s="74">
        <f t="shared" si="30"/>
        <v>0.42105263157894735</v>
      </c>
      <c r="Z116" s="75">
        <f t="shared" si="31"/>
        <v>0.84210526315789525</v>
      </c>
      <c r="AA116" s="76">
        <f t="shared" si="32"/>
        <v>0.7</v>
      </c>
      <c r="AB116" s="76">
        <f t="shared" ca="1" si="33"/>
        <v>0.7</v>
      </c>
      <c r="AC116" s="77">
        <f t="shared" ca="1" si="34"/>
        <v>0.69999999999999984</v>
      </c>
      <c r="AD116" s="359">
        <f t="shared" si="35"/>
        <v>5.4736842105263186</v>
      </c>
      <c r="AE116" s="369">
        <f t="shared" ca="1" si="36"/>
        <v>38.31578947368422</v>
      </c>
      <c r="AF116" s="96" t="s">
        <v>248</v>
      </c>
      <c r="AG116" s="114"/>
      <c r="AH116" s="118"/>
      <c r="AI116" s="115"/>
      <c r="AJ116" s="365"/>
      <c r="AK116" s="115">
        <v>87000</v>
      </c>
      <c r="AL116" s="122"/>
      <c r="AM116" s="337"/>
      <c r="AN116" s="338"/>
      <c r="AO116" s="338"/>
      <c r="AP116" s="338">
        <f t="shared" si="39"/>
        <v>96458.455124999979</v>
      </c>
      <c r="AQ116" s="339"/>
    </row>
    <row r="117" spans="1:43" ht="36" customHeight="1">
      <c r="A117" s="502">
        <v>113</v>
      </c>
      <c r="B117" s="12" t="s">
        <v>5</v>
      </c>
      <c r="C117" s="344" t="s">
        <v>6</v>
      </c>
      <c r="D117" s="5" t="s">
        <v>307</v>
      </c>
      <c r="E117" s="20" t="s">
        <v>818</v>
      </c>
      <c r="F117" s="473">
        <v>200000</v>
      </c>
      <c r="G117" s="52">
        <v>3</v>
      </c>
      <c r="H117" s="57">
        <v>0.2</v>
      </c>
      <c r="I117" s="65">
        <v>6</v>
      </c>
      <c r="J117" s="66">
        <v>6</v>
      </c>
      <c r="K117" s="66">
        <v>2</v>
      </c>
      <c r="L117" s="66">
        <v>10</v>
      </c>
      <c r="M117" s="66">
        <v>4</v>
      </c>
      <c r="N117" s="66">
        <v>4</v>
      </c>
      <c r="O117" s="66">
        <v>0</v>
      </c>
      <c r="P117" s="67">
        <v>7</v>
      </c>
      <c r="Q117" s="70" t="e">
        <f ca="1">(#REF!-(YEAR(TODAY())-#REF!))/#REF!</f>
        <v>#REF!</v>
      </c>
      <c r="R117" s="70">
        <f t="shared" ca="1" si="23"/>
        <v>0.2</v>
      </c>
      <c r="S117" s="74">
        <f t="shared" si="24"/>
        <v>0.94736842105263153</v>
      </c>
      <c r="T117" s="74">
        <f t="shared" si="25"/>
        <v>0.63157894736842102</v>
      </c>
      <c r="U117" s="74">
        <f t="shared" si="26"/>
        <v>0.2807017543859649</v>
      </c>
      <c r="V117" s="74">
        <f t="shared" si="27"/>
        <v>1.7543859649122806</v>
      </c>
      <c r="W117" s="74">
        <f t="shared" si="28"/>
        <v>0.35087719298245612</v>
      </c>
      <c r="X117" s="74">
        <f t="shared" si="29"/>
        <v>0.49122807017543857</v>
      </c>
      <c r="Y117" s="74">
        <f t="shared" si="30"/>
        <v>0</v>
      </c>
      <c r="Z117" s="75">
        <f t="shared" si="31"/>
        <v>0.73684210526315785</v>
      </c>
      <c r="AA117" s="76">
        <f t="shared" si="32"/>
        <v>0.7</v>
      </c>
      <c r="AB117" s="76">
        <f t="shared" ca="1" si="33"/>
        <v>0.8</v>
      </c>
      <c r="AC117" s="77">
        <f t="shared" ca="1" si="34"/>
        <v>0.73333333333333339</v>
      </c>
      <c r="AD117" s="359">
        <f t="shared" si="35"/>
        <v>5.1929824561403501</v>
      </c>
      <c r="AE117" s="369">
        <f t="shared" ca="1" si="36"/>
        <v>38.081871345029235</v>
      </c>
      <c r="AF117" s="96" t="s">
        <v>248</v>
      </c>
      <c r="AG117" s="443"/>
      <c r="AH117" s="118"/>
      <c r="AI117" s="115"/>
      <c r="AJ117" s="124"/>
      <c r="AK117" s="115">
        <v>200000</v>
      </c>
      <c r="AL117" s="122"/>
      <c r="AM117" s="337"/>
      <c r="AN117" s="338"/>
      <c r="AO117" s="338"/>
      <c r="AP117" s="338">
        <f t="shared" si="39"/>
        <v>221743.57499999995</v>
      </c>
      <c r="AQ117" s="339"/>
    </row>
    <row r="118" spans="1:43" ht="36" customHeight="1">
      <c r="A118" s="355">
        <v>114</v>
      </c>
      <c r="B118" s="4" t="s">
        <v>8</v>
      </c>
      <c r="C118" s="286" t="s">
        <v>9</v>
      </c>
      <c r="D118" s="8" t="s">
        <v>736</v>
      </c>
      <c r="E118" s="7" t="s">
        <v>1171</v>
      </c>
      <c r="F118" s="481">
        <v>350000</v>
      </c>
      <c r="G118" s="51">
        <v>3</v>
      </c>
      <c r="H118" s="57">
        <v>0.3</v>
      </c>
      <c r="I118" s="65">
        <v>4</v>
      </c>
      <c r="J118" s="66">
        <v>4</v>
      </c>
      <c r="K118" s="66">
        <v>6</v>
      </c>
      <c r="L118" s="66">
        <v>6</v>
      </c>
      <c r="M118" s="66">
        <v>8</v>
      </c>
      <c r="N118" s="66">
        <v>6</v>
      </c>
      <c r="O118" s="66">
        <v>0</v>
      </c>
      <c r="P118" s="67">
        <v>10</v>
      </c>
      <c r="Q118" s="70" t="e">
        <f ca="1">(#REF!-(YEAR(TODAY())-#REF!))/#REF!</f>
        <v>#REF!</v>
      </c>
      <c r="R118" s="70">
        <f t="shared" ca="1" si="23"/>
        <v>0.3</v>
      </c>
      <c r="S118" s="74">
        <f t="shared" si="24"/>
        <v>0.63157894736842102</v>
      </c>
      <c r="T118" s="74">
        <f t="shared" si="25"/>
        <v>0.42105263157894735</v>
      </c>
      <c r="U118" s="74">
        <f t="shared" si="26"/>
        <v>0.84210526315789469</v>
      </c>
      <c r="V118" s="74">
        <f t="shared" si="27"/>
        <v>1.0526315789473684</v>
      </c>
      <c r="W118" s="74">
        <f t="shared" si="28"/>
        <v>0.70175438596491224</v>
      </c>
      <c r="X118" s="74">
        <f t="shared" si="29"/>
        <v>0.73684210526315785</v>
      </c>
      <c r="Y118" s="74">
        <f t="shared" si="30"/>
        <v>0</v>
      </c>
      <c r="Z118" s="75">
        <f t="shared" si="31"/>
        <v>1.0526315789473684</v>
      </c>
      <c r="AA118" s="76">
        <f t="shared" si="32"/>
        <v>0.7</v>
      </c>
      <c r="AB118" s="76">
        <f t="shared" ca="1" si="33"/>
        <v>0.7</v>
      </c>
      <c r="AC118" s="77">
        <f t="shared" ca="1" si="34"/>
        <v>0.69999999999999984</v>
      </c>
      <c r="AD118" s="359">
        <f t="shared" si="35"/>
        <v>5.4385964912280693</v>
      </c>
      <c r="AE118" s="369">
        <f t="shared" ca="1" si="36"/>
        <v>38.070175438596479</v>
      </c>
      <c r="AF118" s="96" t="s">
        <v>261</v>
      </c>
      <c r="AG118" s="441"/>
      <c r="AH118" s="118"/>
      <c r="AI118" s="115"/>
      <c r="AJ118" s="115"/>
      <c r="AK118" s="124">
        <v>350000</v>
      </c>
      <c r="AL118" s="122"/>
      <c r="AM118" s="337"/>
      <c r="AN118" s="338"/>
      <c r="AO118" s="338"/>
      <c r="AP118" s="338">
        <f t="shared" si="39"/>
        <v>388051.25624999992</v>
      </c>
      <c r="AQ118" s="339"/>
    </row>
    <row r="119" spans="1:43" ht="36" customHeight="1">
      <c r="A119" s="355">
        <v>115</v>
      </c>
      <c r="B119" s="4" t="s">
        <v>16</v>
      </c>
      <c r="C119" s="286" t="s">
        <v>299</v>
      </c>
      <c r="D119" s="16" t="s">
        <v>1015</v>
      </c>
      <c r="E119" s="17" t="s">
        <v>1016</v>
      </c>
      <c r="F119" s="476">
        <v>125000</v>
      </c>
      <c r="G119" s="52">
        <v>1</v>
      </c>
      <c r="H119" s="57">
        <v>0</v>
      </c>
      <c r="I119" s="65">
        <v>4</v>
      </c>
      <c r="J119" s="66">
        <v>5</v>
      </c>
      <c r="K119" s="66">
        <v>2</v>
      </c>
      <c r="L119" s="66">
        <v>5</v>
      </c>
      <c r="M119" s="66">
        <v>6</v>
      </c>
      <c r="N119" s="66">
        <v>4</v>
      </c>
      <c r="O119" s="66">
        <v>0</v>
      </c>
      <c r="P119" s="67">
        <v>7</v>
      </c>
      <c r="Q119" s="70" t="e">
        <f ca="1">(#REF!-(YEAR(TODAY())-#REF!))/#REF!</f>
        <v>#REF!</v>
      </c>
      <c r="R119" s="70">
        <f t="shared" ca="1" si="23"/>
        <v>0</v>
      </c>
      <c r="S119" s="74">
        <f t="shared" si="24"/>
        <v>0.63157894736842102</v>
      </c>
      <c r="T119" s="74">
        <f t="shared" si="25"/>
        <v>0.52631578947368418</v>
      </c>
      <c r="U119" s="74">
        <f t="shared" si="26"/>
        <v>0.2807017543859649</v>
      </c>
      <c r="V119" s="74">
        <f t="shared" si="27"/>
        <v>0.8771929824561403</v>
      </c>
      <c r="W119" s="74">
        <f t="shared" si="28"/>
        <v>0.52631578947368418</v>
      </c>
      <c r="X119" s="74">
        <f t="shared" si="29"/>
        <v>0.49122807017543857</v>
      </c>
      <c r="Y119" s="74">
        <f t="shared" si="30"/>
        <v>0</v>
      </c>
      <c r="Z119" s="75">
        <f t="shared" si="31"/>
        <v>0.73684210526315785</v>
      </c>
      <c r="AA119" s="76">
        <f t="shared" si="32"/>
        <v>0.9</v>
      </c>
      <c r="AB119" s="76">
        <f t="shared" ca="1" si="33"/>
        <v>1</v>
      </c>
      <c r="AC119" s="77">
        <f t="shared" ca="1" si="34"/>
        <v>0.93333333333333324</v>
      </c>
      <c r="AD119" s="359">
        <f t="shared" si="35"/>
        <v>4.0701754385964906</v>
      </c>
      <c r="AE119" s="369">
        <f t="shared" ca="1" si="36"/>
        <v>37.988304093567244</v>
      </c>
      <c r="AF119" s="96" t="s">
        <v>848</v>
      </c>
      <c r="AG119" s="442"/>
      <c r="AH119" s="118"/>
      <c r="AI119" s="115"/>
      <c r="AJ119" s="115"/>
      <c r="AK119" s="115">
        <v>112743</v>
      </c>
      <c r="AL119" s="122"/>
      <c r="AM119" s="340"/>
      <c r="AN119" s="338"/>
      <c r="AO119" s="338"/>
      <c r="AP119" s="338">
        <f t="shared" si="39"/>
        <v>125000.17938112497</v>
      </c>
      <c r="AQ119" s="339"/>
    </row>
    <row r="120" spans="1:43" ht="36" customHeight="1">
      <c r="A120" s="355">
        <v>116</v>
      </c>
      <c r="B120" s="4" t="s">
        <v>8</v>
      </c>
      <c r="C120" s="286" t="s">
        <v>9</v>
      </c>
      <c r="D120" s="30" t="s">
        <v>228</v>
      </c>
      <c r="E120" s="26" t="s">
        <v>1172</v>
      </c>
      <c r="F120" s="477">
        <v>643000</v>
      </c>
      <c r="G120" s="52">
        <v>3</v>
      </c>
      <c r="H120" s="57">
        <v>0.2</v>
      </c>
      <c r="I120" s="65">
        <v>4.0000000000000027</v>
      </c>
      <c r="J120" s="66">
        <v>6.0000000000000036</v>
      </c>
      <c r="K120" s="66">
        <v>4.0000000000000027</v>
      </c>
      <c r="L120" s="66">
        <v>6.0000000000000036</v>
      </c>
      <c r="M120" s="66">
        <v>7</v>
      </c>
      <c r="N120" s="66">
        <v>6.0000000000000036</v>
      </c>
      <c r="O120" s="66">
        <v>0</v>
      </c>
      <c r="P120" s="67">
        <v>9</v>
      </c>
      <c r="Q120" s="70" t="e">
        <f ca="1">(#REF!-(YEAR(TODAY())-#REF!))/#REF!</f>
        <v>#REF!</v>
      </c>
      <c r="R120" s="70">
        <f t="shared" ca="1" si="23"/>
        <v>0.2</v>
      </c>
      <c r="S120" s="74">
        <f t="shared" si="24"/>
        <v>0.63157894736842146</v>
      </c>
      <c r="T120" s="74">
        <f t="shared" si="25"/>
        <v>0.63157894736842146</v>
      </c>
      <c r="U120" s="74">
        <f t="shared" si="26"/>
        <v>0.56140350877193024</v>
      </c>
      <c r="V120" s="74">
        <f t="shared" si="27"/>
        <v>1.052631578947369</v>
      </c>
      <c r="W120" s="74">
        <f t="shared" si="28"/>
        <v>0.61403508771929827</v>
      </c>
      <c r="X120" s="74">
        <f t="shared" si="29"/>
        <v>0.73684210526315841</v>
      </c>
      <c r="Y120" s="74">
        <f t="shared" si="30"/>
        <v>0</v>
      </c>
      <c r="Z120" s="75">
        <f t="shared" si="31"/>
        <v>0.94736842105263153</v>
      </c>
      <c r="AA120" s="76">
        <f t="shared" si="32"/>
        <v>0.7</v>
      </c>
      <c r="AB120" s="76">
        <f t="shared" ca="1" si="33"/>
        <v>0.8</v>
      </c>
      <c r="AC120" s="77">
        <f t="shared" ca="1" si="34"/>
        <v>0.73333333333333339</v>
      </c>
      <c r="AD120" s="359">
        <f t="shared" si="35"/>
        <v>5.1754385964912313</v>
      </c>
      <c r="AE120" s="369">
        <f t="shared" ca="1" si="36"/>
        <v>37.953216374269033</v>
      </c>
      <c r="AF120" s="96" t="s">
        <v>261</v>
      </c>
      <c r="AG120" s="114"/>
      <c r="AH120" s="118"/>
      <c r="AI120" s="115"/>
      <c r="AJ120" s="115"/>
      <c r="AK120" s="115">
        <v>643000</v>
      </c>
      <c r="AL120" s="122"/>
      <c r="AM120" s="337"/>
      <c r="AN120" s="338"/>
      <c r="AO120" s="338"/>
      <c r="AP120" s="338">
        <f t="shared" si="39"/>
        <v>712905.59362499986</v>
      </c>
      <c r="AQ120" s="339"/>
    </row>
    <row r="121" spans="1:43" ht="36" customHeight="1">
      <c r="A121" s="355">
        <v>117</v>
      </c>
      <c r="B121" s="4" t="s">
        <v>16</v>
      </c>
      <c r="C121" s="286" t="s">
        <v>299</v>
      </c>
      <c r="D121" s="16" t="s">
        <v>859</v>
      </c>
      <c r="E121" s="18" t="s">
        <v>865</v>
      </c>
      <c r="F121" s="477">
        <v>150000</v>
      </c>
      <c r="G121" s="52">
        <v>3</v>
      </c>
      <c r="H121" s="57">
        <v>0.3</v>
      </c>
      <c r="I121" s="65">
        <v>4</v>
      </c>
      <c r="J121" s="66">
        <v>6</v>
      </c>
      <c r="K121" s="66">
        <v>2</v>
      </c>
      <c r="L121" s="66">
        <v>8</v>
      </c>
      <c r="M121" s="66">
        <v>2</v>
      </c>
      <c r="N121" s="66">
        <v>10</v>
      </c>
      <c r="O121" s="66">
        <v>0</v>
      </c>
      <c r="P121" s="67">
        <v>10</v>
      </c>
      <c r="Q121" s="70" t="e">
        <f ca="1">(#REF!-(YEAR(TODAY())-#REF!))/#REF!</f>
        <v>#REF!</v>
      </c>
      <c r="R121" s="70">
        <f t="shared" ca="1" si="23"/>
        <v>0.3</v>
      </c>
      <c r="S121" s="74">
        <f t="shared" si="24"/>
        <v>0.63157894736842102</v>
      </c>
      <c r="T121" s="74">
        <f t="shared" si="25"/>
        <v>0.63157894736842102</v>
      </c>
      <c r="U121" s="74">
        <f t="shared" si="26"/>
        <v>0.2807017543859649</v>
      </c>
      <c r="V121" s="74">
        <f t="shared" si="27"/>
        <v>1.4035087719298245</v>
      </c>
      <c r="W121" s="74">
        <f t="shared" si="28"/>
        <v>0.17543859649122806</v>
      </c>
      <c r="X121" s="74">
        <f t="shared" si="29"/>
        <v>1.2280701754385965</v>
      </c>
      <c r="Y121" s="74">
        <f t="shared" si="30"/>
        <v>0</v>
      </c>
      <c r="Z121" s="75">
        <f t="shared" si="31"/>
        <v>1.0526315789473684</v>
      </c>
      <c r="AA121" s="76">
        <f t="shared" si="32"/>
        <v>0.7</v>
      </c>
      <c r="AB121" s="76">
        <f t="shared" ca="1" si="33"/>
        <v>0.7</v>
      </c>
      <c r="AC121" s="77">
        <f t="shared" ca="1" si="34"/>
        <v>0.69999999999999984</v>
      </c>
      <c r="AD121" s="359">
        <f t="shared" si="35"/>
        <v>5.4035087719298245</v>
      </c>
      <c r="AE121" s="369">
        <f t="shared" ca="1" si="36"/>
        <v>37.824561403508767</v>
      </c>
      <c r="AF121" s="96" t="s">
        <v>862</v>
      </c>
      <c r="AG121" s="114"/>
      <c r="AH121" s="118"/>
      <c r="AI121" s="115"/>
      <c r="AJ121" s="124"/>
      <c r="AK121" s="115">
        <v>135291</v>
      </c>
      <c r="AL121" s="122"/>
      <c r="AM121" s="337"/>
      <c r="AN121" s="338"/>
      <c r="AO121" s="338"/>
      <c r="AP121" s="338">
        <f t="shared" si="39"/>
        <v>149999.55002662496</v>
      </c>
      <c r="AQ121" s="339"/>
    </row>
    <row r="122" spans="1:43" ht="36" customHeight="1">
      <c r="A122" s="355">
        <v>118</v>
      </c>
      <c r="B122" s="4" t="s">
        <v>16</v>
      </c>
      <c r="C122" s="286" t="s">
        <v>300</v>
      </c>
      <c r="D122" s="19" t="s">
        <v>879</v>
      </c>
      <c r="E122" s="11" t="s">
        <v>1133</v>
      </c>
      <c r="F122" s="476">
        <v>300000</v>
      </c>
      <c r="G122" s="52">
        <v>3</v>
      </c>
      <c r="H122" s="57">
        <v>0.3</v>
      </c>
      <c r="I122" s="65">
        <v>8.0000000000000053</v>
      </c>
      <c r="J122" s="66">
        <v>8.0000000000000053</v>
      </c>
      <c r="K122" s="66">
        <v>4</v>
      </c>
      <c r="L122" s="66">
        <v>4</v>
      </c>
      <c r="M122" s="66">
        <v>4</v>
      </c>
      <c r="N122" s="66">
        <v>6</v>
      </c>
      <c r="O122" s="66">
        <v>1</v>
      </c>
      <c r="P122" s="67">
        <v>8</v>
      </c>
      <c r="Q122" s="70" t="e">
        <f ca="1">(#REF!-(YEAR(TODAY())-#REF!))/#REF!</f>
        <v>#REF!</v>
      </c>
      <c r="R122" s="70">
        <f t="shared" ca="1" si="23"/>
        <v>0.3</v>
      </c>
      <c r="S122" s="74">
        <f t="shared" si="24"/>
        <v>1.2631578947368429</v>
      </c>
      <c r="T122" s="74">
        <f t="shared" si="25"/>
        <v>0.84210526315789525</v>
      </c>
      <c r="U122" s="74">
        <f t="shared" si="26"/>
        <v>0.56140350877192979</v>
      </c>
      <c r="V122" s="74">
        <f t="shared" si="27"/>
        <v>0.70175438596491224</v>
      </c>
      <c r="W122" s="74">
        <f t="shared" si="28"/>
        <v>0.35087719298245612</v>
      </c>
      <c r="X122" s="74">
        <f t="shared" si="29"/>
        <v>0.73684210526315785</v>
      </c>
      <c r="Y122" s="74">
        <f t="shared" si="30"/>
        <v>0.10526315789473684</v>
      </c>
      <c r="Z122" s="75">
        <f t="shared" si="31"/>
        <v>0.84210526315789469</v>
      </c>
      <c r="AA122" s="76">
        <f t="shared" si="32"/>
        <v>0.7</v>
      </c>
      <c r="AB122" s="76">
        <f t="shared" ca="1" si="33"/>
        <v>0.7</v>
      </c>
      <c r="AC122" s="77">
        <f t="shared" ca="1" si="34"/>
        <v>0.69999999999999984</v>
      </c>
      <c r="AD122" s="359">
        <f t="shared" si="35"/>
        <v>5.4035087719298254</v>
      </c>
      <c r="AE122" s="369">
        <f t="shared" ca="1" si="36"/>
        <v>37.824561403508767</v>
      </c>
      <c r="AF122" s="96" t="s">
        <v>248</v>
      </c>
      <c r="AG122" s="114"/>
      <c r="AH122" s="118"/>
      <c r="AI122" s="115"/>
      <c r="AJ122" s="115"/>
      <c r="AK122" s="115">
        <v>300000</v>
      </c>
      <c r="AL122" s="122"/>
      <c r="AM122" s="337"/>
      <c r="AN122" s="338"/>
      <c r="AO122" s="338"/>
      <c r="AP122" s="338">
        <f t="shared" si="39"/>
        <v>332615.36249999993</v>
      </c>
      <c r="AQ122" s="339"/>
    </row>
    <row r="123" spans="1:43" ht="36" customHeight="1">
      <c r="A123" s="355">
        <v>119</v>
      </c>
      <c r="B123" s="4" t="s">
        <v>11</v>
      </c>
      <c r="C123" s="286" t="s">
        <v>300</v>
      </c>
      <c r="D123" s="8" t="s">
        <v>1150</v>
      </c>
      <c r="E123" s="15" t="s">
        <v>1155</v>
      </c>
      <c r="F123" s="476">
        <v>130000</v>
      </c>
      <c r="G123" s="52">
        <v>4</v>
      </c>
      <c r="H123" s="57">
        <v>0.3</v>
      </c>
      <c r="I123" s="65">
        <v>6.0000000000000036</v>
      </c>
      <c r="J123" s="66">
        <v>8.0000000000000053</v>
      </c>
      <c r="K123" s="66">
        <v>6.0000000000000036</v>
      </c>
      <c r="L123" s="66">
        <v>8.0000000000000053</v>
      </c>
      <c r="M123" s="66">
        <v>4.0000000000000027</v>
      </c>
      <c r="N123" s="66">
        <v>6.0000000000000036</v>
      </c>
      <c r="O123" s="66">
        <v>2</v>
      </c>
      <c r="P123" s="67">
        <v>6.0000000000000036</v>
      </c>
      <c r="Q123" s="70" t="e">
        <f ca="1">(#REF!-(YEAR(TODAY())-#REF!))/#REF!</f>
        <v>#REF!</v>
      </c>
      <c r="R123" s="70">
        <f t="shared" ca="1" si="23"/>
        <v>0.3</v>
      </c>
      <c r="S123" s="74">
        <f t="shared" si="24"/>
        <v>0.94736842105263208</v>
      </c>
      <c r="T123" s="74">
        <f t="shared" si="25"/>
        <v>0.84210526315789525</v>
      </c>
      <c r="U123" s="74">
        <f t="shared" si="26"/>
        <v>0.84210526315789525</v>
      </c>
      <c r="V123" s="74">
        <f t="shared" si="27"/>
        <v>1.4035087719298256</v>
      </c>
      <c r="W123" s="74">
        <f t="shared" si="28"/>
        <v>0.3508771929824564</v>
      </c>
      <c r="X123" s="74">
        <f t="shared" si="29"/>
        <v>0.73684210526315841</v>
      </c>
      <c r="Y123" s="74">
        <f t="shared" si="30"/>
        <v>0.21052631578947367</v>
      </c>
      <c r="Z123" s="75">
        <f t="shared" si="31"/>
        <v>0.63157894736842146</v>
      </c>
      <c r="AA123" s="76">
        <f t="shared" si="32"/>
        <v>0.6</v>
      </c>
      <c r="AB123" s="76">
        <f t="shared" ca="1" si="33"/>
        <v>0.7</v>
      </c>
      <c r="AC123" s="77">
        <f t="shared" ca="1" si="34"/>
        <v>0.6333333333333333</v>
      </c>
      <c r="AD123" s="359">
        <f t="shared" si="35"/>
        <v>5.9649122807017578</v>
      </c>
      <c r="AE123" s="369">
        <f t="shared" ca="1" si="36"/>
        <v>37.7777777777778</v>
      </c>
      <c r="AF123" s="96" t="s">
        <v>261</v>
      </c>
      <c r="AG123" s="114"/>
      <c r="AH123" s="118"/>
      <c r="AI123" s="115"/>
      <c r="AJ123" s="115"/>
      <c r="AK123" s="345">
        <v>130000</v>
      </c>
      <c r="AL123" s="122"/>
      <c r="AM123" s="337"/>
      <c r="AN123" s="338"/>
      <c r="AO123" s="338"/>
      <c r="AP123" s="338">
        <f t="shared" si="39"/>
        <v>144133.32374999995</v>
      </c>
      <c r="AQ123" s="339"/>
    </row>
    <row r="124" spans="1:43" ht="36" customHeight="1">
      <c r="A124" s="355">
        <v>120</v>
      </c>
      <c r="B124" s="4" t="s">
        <v>11</v>
      </c>
      <c r="C124" s="286" t="s">
        <v>300</v>
      </c>
      <c r="D124" s="8" t="s">
        <v>980</v>
      </c>
      <c r="E124" s="9" t="s">
        <v>1157</v>
      </c>
      <c r="F124" s="476">
        <v>120000</v>
      </c>
      <c r="G124" s="52">
        <v>4</v>
      </c>
      <c r="H124" s="57">
        <v>0.3</v>
      </c>
      <c r="I124" s="65">
        <v>6.0000000000000036</v>
      </c>
      <c r="J124" s="66">
        <v>8.0000000000000053</v>
      </c>
      <c r="K124" s="66">
        <v>6.0000000000000036</v>
      </c>
      <c r="L124" s="66">
        <v>8.0000000000000053</v>
      </c>
      <c r="M124" s="66">
        <v>4.0000000000000027</v>
      </c>
      <c r="N124" s="66">
        <v>6.0000000000000036</v>
      </c>
      <c r="O124" s="66">
        <v>2</v>
      </c>
      <c r="P124" s="67">
        <v>6.0000000000000036</v>
      </c>
      <c r="Q124" s="70" t="e">
        <f ca="1">(#REF!-(YEAR(TODAY())-#REF!))/#REF!</f>
        <v>#REF!</v>
      </c>
      <c r="R124" s="70">
        <f t="shared" ca="1" si="23"/>
        <v>0.3</v>
      </c>
      <c r="S124" s="74">
        <f t="shared" si="24"/>
        <v>0.94736842105263208</v>
      </c>
      <c r="T124" s="74">
        <f t="shared" si="25"/>
        <v>0.84210526315789525</v>
      </c>
      <c r="U124" s="74">
        <f t="shared" si="26"/>
        <v>0.84210526315789525</v>
      </c>
      <c r="V124" s="74">
        <f t="shared" si="27"/>
        <v>1.4035087719298256</v>
      </c>
      <c r="W124" s="74">
        <f t="shared" si="28"/>
        <v>0.3508771929824564</v>
      </c>
      <c r="X124" s="74">
        <f t="shared" si="29"/>
        <v>0.73684210526315841</v>
      </c>
      <c r="Y124" s="74">
        <f t="shared" si="30"/>
        <v>0.21052631578947367</v>
      </c>
      <c r="Z124" s="75">
        <f t="shared" si="31"/>
        <v>0.63157894736842146</v>
      </c>
      <c r="AA124" s="76">
        <f t="shared" si="32"/>
        <v>0.6</v>
      </c>
      <c r="AB124" s="76">
        <f t="shared" ca="1" si="33"/>
        <v>0.7</v>
      </c>
      <c r="AC124" s="77">
        <f t="shared" ca="1" si="34"/>
        <v>0.6333333333333333</v>
      </c>
      <c r="AD124" s="359">
        <f t="shared" si="35"/>
        <v>5.9649122807017578</v>
      </c>
      <c r="AE124" s="369">
        <f t="shared" ca="1" si="36"/>
        <v>37.7777777777778</v>
      </c>
      <c r="AF124" s="96" t="s">
        <v>261</v>
      </c>
      <c r="AG124" s="114"/>
      <c r="AH124" s="118"/>
      <c r="AI124" s="115"/>
      <c r="AJ124" s="115"/>
      <c r="AK124" s="115">
        <v>120000</v>
      </c>
      <c r="AL124" s="122"/>
      <c r="AM124" s="337"/>
      <c r="AN124" s="338"/>
      <c r="AO124" s="338"/>
      <c r="AP124" s="338">
        <f t="shared" si="39"/>
        <v>133046.14499999996</v>
      </c>
      <c r="AQ124" s="339"/>
    </row>
    <row r="125" spans="1:43" ht="36" customHeight="1">
      <c r="A125" s="355">
        <v>121</v>
      </c>
      <c r="B125" s="4" t="s">
        <v>7</v>
      </c>
      <c r="C125" s="286" t="s">
        <v>6</v>
      </c>
      <c r="D125" s="16" t="s">
        <v>341</v>
      </c>
      <c r="E125" s="18" t="s">
        <v>927</v>
      </c>
      <c r="F125" s="477">
        <v>128000</v>
      </c>
      <c r="G125" s="52">
        <v>2</v>
      </c>
      <c r="H125" s="57">
        <v>0</v>
      </c>
      <c r="I125" s="65">
        <v>3</v>
      </c>
      <c r="J125" s="66">
        <v>5</v>
      </c>
      <c r="K125" s="66">
        <v>5</v>
      </c>
      <c r="L125" s="66">
        <v>4.0000000000000027</v>
      </c>
      <c r="M125" s="66">
        <v>8.0000000000000053</v>
      </c>
      <c r="N125" s="66">
        <v>5</v>
      </c>
      <c r="O125" s="66">
        <v>2</v>
      </c>
      <c r="P125" s="67">
        <v>4.0000000000000027</v>
      </c>
      <c r="Q125" s="70" t="e">
        <f ca="1">(#REF!-(YEAR(TODAY())-#REF!))/#REF!</f>
        <v>#REF!</v>
      </c>
      <c r="R125" s="70">
        <f t="shared" ca="1" si="23"/>
        <v>0</v>
      </c>
      <c r="S125" s="74">
        <f t="shared" si="24"/>
        <v>0.47368421052631576</v>
      </c>
      <c r="T125" s="74">
        <f t="shared" si="25"/>
        <v>0.52631578947368418</v>
      </c>
      <c r="U125" s="74">
        <f t="shared" si="26"/>
        <v>0.70175438596491224</v>
      </c>
      <c r="V125" s="74">
        <f t="shared" si="27"/>
        <v>0.7017543859649128</v>
      </c>
      <c r="W125" s="74">
        <f t="shared" si="28"/>
        <v>0.7017543859649128</v>
      </c>
      <c r="X125" s="74">
        <f t="shared" si="29"/>
        <v>0.61403508771929827</v>
      </c>
      <c r="Y125" s="74">
        <f t="shared" si="30"/>
        <v>0.21052631578947367</v>
      </c>
      <c r="Z125" s="75">
        <f t="shared" si="31"/>
        <v>0.42105263157894762</v>
      </c>
      <c r="AA125" s="76">
        <f t="shared" si="32"/>
        <v>0.8</v>
      </c>
      <c r="AB125" s="76">
        <f t="shared" ca="1" si="33"/>
        <v>1</v>
      </c>
      <c r="AC125" s="77">
        <f t="shared" ca="1" si="34"/>
        <v>0.8666666666666667</v>
      </c>
      <c r="AD125" s="359">
        <f t="shared" si="35"/>
        <v>4.3508771929824572</v>
      </c>
      <c r="AE125" s="369">
        <f t="shared" ca="1" si="36"/>
        <v>37.7076023391813</v>
      </c>
      <c r="AF125" s="96" t="s">
        <v>257</v>
      </c>
      <c r="AG125" s="114"/>
      <c r="AH125" s="118"/>
      <c r="AI125" s="115"/>
      <c r="AJ125" s="115"/>
      <c r="AK125" s="115"/>
      <c r="AL125" s="122"/>
      <c r="AM125" s="337"/>
      <c r="AN125" s="338"/>
      <c r="AO125" s="338"/>
      <c r="AP125" s="338"/>
      <c r="AQ125" s="339"/>
    </row>
    <row r="126" spans="1:43" ht="36" customHeight="1">
      <c r="A126" s="355">
        <v>122</v>
      </c>
      <c r="B126" s="12" t="s">
        <v>16</v>
      </c>
      <c r="C126" s="344" t="s">
        <v>299</v>
      </c>
      <c r="D126" s="13" t="s">
        <v>995</v>
      </c>
      <c r="E126" s="28" t="s">
        <v>991</v>
      </c>
      <c r="F126" s="479">
        <v>2984197</v>
      </c>
      <c r="G126" s="51">
        <v>4</v>
      </c>
      <c r="H126" s="57">
        <v>0.3</v>
      </c>
      <c r="I126" s="65">
        <v>8</v>
      </c>
      <c r="J126" s="66">
        <v>8</v>
      </c>
      <c r="K126" s="66">
        <v>2</v>
      </c>
      <c r="L126" s="66">
        <v>6.0000000000000036</v>
      </c>
      <c r="M126" s="66">
        <v>4</v>
      </c>
      <c r="N126" s="66">
        <v>9</v>
      </c>
      <c r="O126" s="66">
        <v>0</v>
      </c>
      <c r="P126" s="67">
        <v>10</v>
      </c>
      <c r="Q126" s="70" t="e">
        <f ca="1">(#REF!-(YEAR(TODAY())-#REF!))/#REF!</f>
        <v>#REF!</v>
      </c>
      <c r="R126" s="70">
        <f t="shared" ca="1" si="23"/>
        <v>0.3</v>
      </c>
      <c r="S126" s="74">
        <f t="shared" si="24"/>
        <v>1.263157894736842</v>
      </c>
      <c r="T126" s="74">
        <f t="shared" si="25"/>
        <v>0.84210526315789469</v>
      </c>
      <c r="U126" s="74">
        <f t="shared" si="26"/>
        <v>0.2807017543859649</v>
      </c>
      <c r="V126" s="74">
        <f t="shared" si="27"/>
        <v>1.052631578947369</v>
      </c>
      <c r="W126" s="74">
        <f t="shared" si="28"/>
        <v>0.35087719298245612</v>
      </c>
      <c r="X126" s="74">
        <f t="shared" si="29"/>
        <v>1.1052631578947369</v>
      </c>
      <c r="Y126" s="74">
        <f t="shared" si="30"/>
        <v>0</v>
      </c>
      <c r="Z126" s="75">
        <f t="shared" si="31"/>
        <v>1.0526315789473684</v>
      </c>
      <c r="AA126" s="76">
        <f t="shared" si="32"/>
        <v>0.6</v>
      </c>
      <c r="AB126" s="76">
        <f t="shared" ca="1" si="33"/>
        <v>0.7</v>
      </c>
      <c r="AC126" s="77">
        <f t="shared" ca="1" si="34"/>
        <v>0.6333333333333333</v>
      </c>
      <c r="AD126" s="359">
        <f t="shared" si="35"/>
        <v>5.9473684210526319</v>
      </c>
      <c r="AE126" s="369">
        <f t="shared" ca="1" si="36"/>
        <v>37.666666666666664</v>
      </c>
      <c r="AF126" s="96" t="s">
        <v>848</v>
      </c>
      <c r="AG126" s="113"/>
      <c r="AH126" s="110"/>
      <c r="AI126" s="108"/>
      <c r="AJ126" s="108"/>
      <c r="AK126" s="108"/>
      <c r="AL126" s="391">
        <v>2600555</v>
      </c>
      <c r="AM126" s="337"/>
      <c r="AN126" s="338"/>
      <c r="AO126" s="338"/>
      <c r="AP126" s="338"/>
      <c r="AQ126" s="339">
        <f t="shared" ref="AQ126:AQ143" si="45">AL126*(1+Efactor)^4</f>
        <v>2984196.6768903462</v>
      </c>
    </row>
    <row r="127" spans="1:43" ht="36" customHeight="1">
      <c r="A127" s="355">
        <v>123</v>
      </c>
      <c r="B127" s="4" t="s">
        <v>5</v>
      </c>
      <c r="C127" s="286" t="s">
        <v>6</v>
      </c>
      <c r="D127" s="5" t="s">
        <v>108</v>
      </c>
      <c r="E127" s="7" t="s">
        <v>877</v>
      </c>
      <c r="F127" s="473">
        <v>1000000</v>
      </c>
      <c r="G127" s="51">
        <v>3</v>
      </c>
      <c r="H127" s="57">
        <v>0.2</v>
      </c>
      <c r="I127" s="65">
        <v>6.0000000000000036</v>
      </c>
      <c r="J127" s="66">
        <v>8.0000000000000053</v>
      </c>
      <c r="K127" s="66">
        <v>5</v>
      </c>
      <c r="L127" s="66">
        <v>3</v>
      </c>
      <c r="M127" s="66">
        <v>0</v>
      </c>
      <c r="N127" s="66">
        <v>6</v>
      </c>
      <c r="O127" s="66">
        <v>5</v>
      </c>
      <c r="P127" s="67">
        <v>8.0000000000000053</v>
      </c>
      <c r="Q127" s="70" t="e">
        <f ca="1">(#REF!-(YEAR(TODAY())-#REF!))/#REF!</f>
        <v>#REF!</v>
      </c>
      <c r="R127" s="70">
        <f t="shared" ca="1" si="23"/>
        <v>0.2</v>
      </c>
      <c r="S127" s="74">
        <f t="shared" si="24"/>
        <v>0.94736842105263208</v>
      </c>
      <c r="T127" s="74">
        <f t="shared" si="25"/>
        <v>0.84210526315789525</v>
      </c>
      <c r="U127" s="74">
        <f t="shared" si="26"/>
        <v>0.70175438596491224</v>
      </c>
      <c r="V127" s="74">
        <f t="shared" si="27"/>
        <v>0.52631578947368418</v>
      </c>
      <c r="W127" s="74">
        <f t="shared" si="28"/>
        <v>0</v>
      </c>
      <c r="X127" s="74">
        <f t="shared" si="29"/>
        <v>0.73684210526315785</v>
      </c>
      <c r="Y127" s="74">
        <f t="shared" si="30"/>
        <v>0.52631578947368418</v>
      </c>
      <c r="Z127" s="75">
        <f t="shared" si="31"/>
        <v>0.84210526315789525</v>
      </c>
      <c r="AA127" s="76">
        <f t="shared" si="32"/>
        <v>0.7</v>
      </c>
      <c r="AB127" s="76">
        <f t="shared" ca="1" si="33"/>
        <v>0.8</v>
      </c>
      <c r="AC127" s="77">
        <f t="shared" ca="1" si="34"/>
        <v>0.73333333333333339</v>
      </c>
      <c r="AD127" s="359">
        <f t="shared" si="35"/>
        <v>5.1228070175438614</v>
      </c>
      <c r="AE127" s="369">
        <f t="shared" ca="1" si="36"/>
        <v>37.56725146198832</v>
      </c>
      <c r="AF127" s="95" t="s">
        <v>248</v>
      </c>
      <c r="AG127" s="440"/>
      <c r="AH127" s="118"/>
      <c r="AI127" s="115"/>
      <c r="AJ127" s="115"/>
      <c r="AK127" s="115"/>
      <c r="AL127" s="455">
        <v>250000</v>
      </c>
      <c r="AM127" s="337"/>
      <c r="AN127" s="338"/>
      <c r="AO127" s="338"/>
      <c r="AP127" s="338"/>
      <c r="AQ127" s="371">
        <f t="shared" si="45"/>
        <v>286880.75015624991</v>
      </c>
    </row>
    <row r="128" spans="1:43" ht="36" customHeight="1">
      <c r="A128" s="355">
        <v>124</v>
      </c>
      <c r="B128" s="4" t="s">
        <v>13</v>
      </c>
      <c r="C128" s="286" t="s">
        <v>15</v>
      </c>
      <c r="D128" s="116" t="s">
        <v>1162</v>
      </c>
      <c r="E128" s="22" t="s">
        <v>1166</v>
      </c>
      <c r="F128" s="485">
        <v>100000</v>
      </c>
      <c r="G128" s="52">
        <v>4</v>
      </c>
      <c r="H128" s="57">
        <v>0.3</v>
      </c>
      <c r="I128" s="65">
        <v>6.0000000000000036</v>
      </c>
      <c r="J128" s="66">
        <v>8.0000000000000053</v>
      </c>
      <c r="K128" s="66">
        <v>5</v>
      </c>
      <c r="L128" s="66">
        <v>8.0000000000000053</v>
      </c>
      <c r="M128" s="66">
        <v>4.0000000000000027</v>
      </c>
      <c r="N128" s="66">
        <v>6.0000000000000036</v>
      </c>
      <c r="O128" s="66">
        <v>1</v>
      </c>
      <c r="P128" s="67">
        <v>8</v>
      </c>
      <c r="Q128" s="70" t="e">
        <f ca="1">(#REF!-(YEAR(TODAY())-#REF!))/#REF!</f>
        <v>#REF!</v>
      </c>
      <c r="R128" s="70">
        <f t="shared" ca="1" si="23"/>
        <v>0.3</v>
      </c>
      <c r="S128" s="74">
        <f t="shared" si="24"/>
        <v>0.94736842105263208</v>
      </c>
      <c r="T128" s="74">
        <f t="shared" si="25"/>
        <v>0.84210526315789525</v>
      </c>
      <c r="U128" s="74">
        <f t="shared" si="26"/>
        <v>0.70175438596491224</v>
      </c>
      <c r="V128" s="74">
        <f t="shared" si="27"/>
        <v>1.4035087719298256</v>
      </c>
      <c r="W128" s="74">
        <f t="shared" si="28"/>
        <v>0.3508771929824564</v>
      </c>
      <c r="X128" s="74">
        <f t="shared" si="29"/>
        <v>0.73684210526315841</v>
      </c>
      <c r="Y128" s="74">
        <f t="shared" si="30"/>
        <v>0.10526315789473684</v>
      </c>
      <c r="Z128" s="75">
        <f t="shared" si="31"/>
        <v>0.84210526315789469</v>
      </c>
      <c r="AA128" s="76">
        <f t="shared" si="32"/>
        <v>0.6</v>
      </c>
      <c r="AB128" s="76">
        <f t="shared" ca="1" si="33"/>
        <v>0.7</v>
      </c>
      <c r="AC128" s="77">
        <f t="shared" ca="1" si="34"/>
        <v>0.6333333333333333</v>
      </c>
      <c r="AD128" s="359">
        <f t="shared" si="35"/>
        <v>5.9298245614035121</v>
      </c>
      <c r="AE128" s="369">
        <f t="shared" ca="1" si="36"/>
        <v>37.555555555555571</v>
      </c>
      <c r="AF128" s="96" t="s">
        <v>261</v>
      </c>
      <c r="AG128" s="114"/>
      <c r="AH128" s="118"/>
      <c r="AI128" s="115"/>
      <c r="AJ128" s="115"/>
      <c r="AK128" s="120"/>
      <c r="AL128" s="122">
        <v>100000</v>
      </c>
      <c r="AM128" s="337"/>
      <c r="AN128" s="338"/>
      <c r="AO128" s="338"/>
      <c r="AP128" s="338"/>
      <c r="AQ128" s="339">
        <f t="shared" si="45"/>
        <v>114752.30006249997</v>
      </c>
    </row>
    <row r="129" spans="1:43" ht="36" customHeight="1">
      <c r="A129" s="355">
        <v>125</v>
      </c>
      <c r="B129" s="4" t="s">
        <v>7</v>
      </c>
      <c r="C129" s="286" t="s">
        <v>6</v>
      </c>
      <c r="D129" s="5" t="s">
        <v>878</v>
      </c>
      <c r="E129" s="7" t="s">
        <v>1012</v>
      </c>
      <c r="F129" s="473">
        <v>100000</v>
      </c>
      <c r="G129" s="51">
        <v>3</v>
      </c>
      <c r="H129" s="57">
        <v>0.3</v>
      </c>
      <c r="I129" s="65">
        <v>5</v>
      </c>
      <c r="J129" s="66">
        <v>6</v>
      </c>
      <c r="K129" s="66">
        <v>5</v>
      </c>
      <c r="L129" s="66">
        <v>9</v>
      </c>
      <c r="M129" s="66">
        <v>4</v>
      </c>
      <c r="N129" s="66">
        <v>2</v>
      </c>
      <c r="O129" s="66">
        <v>2</v>
      </c>
      <c r="P129" s="67">
        <v>8</v>
      </c>
      <c r="Q129" s="70" t="e">
        <f ca="1">(#REF!-(YEAR(TODAY())-#REF!))/#REF!</f>
        <v>#REF!</v>
      </c>
      <c r="R129" s="70">
        <f t="shared" ca="1" si="23"/>
        <v>0.3</v>
      </c>
      <c r="S129" s="74">
        <f t="shared" si="24"/>
        <v>0.78947368421052633</v>
      </c>
      <c r="T129" s="74">
        <f t="shared" si="25"/>
        <v>0.63157894736842102</v>
      </c>
      <c r="U129" s="74">
        <f t="shared" si="26"/>
        <v>0.70175438596491224</v>
      </c>
      <c r="V129" s="74">
        <f t="shared" si="27"/>
        <v>1.5789473684210527</v>
      </c>
      <c r="W129" s="74">
        <f t="shared" si="28"/>
        <v>0.35087719298245612</v>
      </c>
      <c r="X129" s="74">
        <f t="shared" si="29"/>
        <v>0.24561403508771928</v>
      </c>
      <c r="Y129" s="74">
        <f t="shared" si="30"/>
        <v>0.21052631578947367</v>
      </c>
      <c r="Z129" s="75">
        <f t="shared" si="31"/>
        <v>0.84210526315789469</v>
      </c>
      <c r="AA129" s="76">
        <f t="shared" si="32"/>
        <v>0.7</v>
      </c>
      <c r="AB129" s="76">
        <f t="shared" ca="1" si="33"/>
        <v>0.7</v>
      </c>
      <c r="AC129" s="77">
        <f t="shared" ca="1" si="34"/>
        <v>0.69999999999999984</v>
      </c>
      <c r="AD129" s="359">
        <f t="shared" si="35"/>
        <v>5.3508771929824555</v>
      </c>
      <c r="AE129" s="369">
        <f t="shared" ca="1" si="36"/>
        <v>37.456140350877178</v>
      </c>
      <c r="AF129" s="95" t="s">
        <v>248</v>
      </c>
      <c r="AG129" s="440"/>
      <c r="AH129" s="110"/>
      <c r="AI129" s="108"/>
      <c r="AJ129" s="108"/>
      <c r="AK129" s="108"/>
      <c r="AL129" s="389">
        <v>100000</v>
      </c>
      <c r="AM129" s="337"/>
      <c r="AN129" s="338"/>
      <c r="AO129" s="338"/>
      <c r="AP129" s="338"/>
      <c r="AQ129" s="339">
        <f t="shared" si="45"/>
        <v>114752.30006249997</v>
      </c>
    </row>
    <row r="130" spans="1:43" ht="36" customHeight="1">
      <c r="A130" s="355">
        <v>126</v>
      </c>
      <c r="B130" s="4" t="s">
        <v>16</v>
      </c>
      <c r="C130" s="286" t="s">
        <v>300</v>
      </c>
      <c r="D130" s="19" t="s">
        <v>976</v>
      </c>
      <c r="E130" s="15" t="s">
        <v>1134</v>
      </c>
      <c r="F130" s="476">
        <v>110000</v>
      </c>
      <c r="G130" s="52">
        <v>3</v>
      </c>
      <c r="H130" s="57">
        <v>0.3</v>
      </c>
      <c r="I130" s="65">
        <v>7</v>
      </c>
      <c r="J130" s="66">
        <v>7</v>
      </c>
      <c r="K130" s="66">
        <v>4</v>
      </c>
      <c r="L130" s="66">
        <v>6</v>
      </c>
      <c r="M130" s="66">
        <v>4</v>
      </c>
      <c r="N130" s="66">
        <v>4</v>
      </c>
      <c r="O130" s="66">
        <v>0</v>
      </c>
      <c r="P130" s="67">
        <v>10</v>
      </c>
      <c r="Q130" s="70" t="e">
        <f ca="1">(#REF!-(YEAR(TODAY())-#REF!))/#REF!</f>
        <v>#REF!</v>
      </c>
      <c r="R130" s="70">
        <f t="shared" ca="1" si="23"/>
        <v>0.3</v>
      </c>
      <c r="S130" s="74">
        <f t="shared" si="24"/>
        <v>1.1052631578947369</v>
      </c>
      <c r="T130" s="74">
        <f t="shared" si="25"/>
        <v>0.73684210526315785</v>
      </c>
      <c r="U130" s="74">
        <f t="shared" si="26"/>
        <v>0.56140350877192979</v>
      </c>
      <c r="V130" s="74">
        <f t="shared" si="27"/>
        <v>1.0526315789473684</v>
      </c>
      <c r="W130" s="74">
        <f t="shared" si="28"/>
        <v>0.35087719298245612</v>
      </c>
      <c r="X130" s="74">
        <f t="shared" si="29"/>
        <v>0.49122807017543857</v>
      </c>
      <c r="Y130" s="74">
        <f t="shared" si="30"/>
        <v>0</v>
      </c>
      <c r="Z130" s="75">
        <f t="shared" si="31"/>
        <v>1.0526315789473684</v>
      </c>
      <c r="AA130" s="76">
        <f t="shared" si="32"/>
        <v>0.7</v>
      </c>
      <c r="AB130" s="76">
        <f t="shared" ca="1" si="33"/>
        <v>0.7</v>
      </c>
      <c r="AC130" s="77">
        <f t="shared" ca="1" si="34"/>
        <v>0.69999999999999984</v>
      </c>
      <c r="AD130" s="359">
        <f t="shared" si="35"/>
        <v>5.3508771929824555</v>
      </c>
      <c r="AE130" s="369">
        <f t="shared" ca="1" si="36"/>
        <v>37.456140350877178</v>
      </c>
      <c r="AF130" s="96" t="s">
        <v>248</v>
      </c>
      <c r="AG130" s="114"/>
      <c r="AH130" s="118"/>
      <c r="AI130" s="115"/>
      <c r="AJ130" s="115"/>
      <c r="AK130" s="115"/>
      <c r="AL130" s="122">
        <v>110000</v>
      </c>
      <c r="AM130" s="340"/>
      <c r="AN130" s="338"/>
      <c r="AO130" s="338"/>
      <c r="AP130" s="338"/>
      <c r="AQ130" s="339">
        <f t="shared" si="45"/>
        <v>126227.53006874997</v>
      </c>
    </row>
    <row r="131" spans="1:43" ht="36" customHeight="1">
      <c r="A131" s="355">
        <v>127</v>
      </c>
      <c r="B131" s="4" t="s">
        <v>16</v>
      </c>
      <c r="C131" s="286" t="s">
        <v>299</v>
      </c>
      <c r="D131" s="19" t="s">
        <v>866</v>
      </c>
      <c r="E131" s="18" t="s">
        <v>1014</v>
      </c>
      <c r="F131" s="476">
        <v>250000</v>
      </c>
      <c r="G131" s="52">
        <v>2</v>
      </c>
      <c r="H131" s="57">
        <v>0.1</v>
      </c>
      <c r="I131" s="65">
        <v>6</v>
      </c>
      <c r="J131" s="66">
        <v>8</v>
      </c>
      <c r="K131" s="66">
        <v>4</v>
      </c>
      <c r="L131" s="66">
        <v>0</v>
      </c>
      <c r="M131" s="66">
        <v>0</v>
      </c>
      <c r="N131" s="66">
        <v>8</v>
      </c>
      <c r="O131" s="66">
        <v>1</v>
      </c>
      <c r="P131" s="67">
        <v>10</v>
      </c>
      <c r="Q131" s="70" t="e">
        <f ca="1">(#REF!-(YEAR(TODAY())-#REF!))/#REF!</f>
        <v>#REF!</v>
      </c>
      <c r="R131" s="70">
        <f t="shared" ca="1" si="23"/>
        <v>0.1</v>
      </c>
      <c r="S131" s="74">
        <f t="shared" si="24"/>
        <v>0.94736842105263153</v>
      </c>
      <c r="T131" s="74">
        <f t="shared" si="25"/>
        <v>0.84210526315789469</v>
      </c>
      <c r="U131" s="74">
        <f t="shared" si="26"/>
        <v>0.56140350877192979</v>
      </c>
      <c r="V131" s="74">
        <f t="shared" si="27"/>
        <v>0</v>
      </c>
      <c r="W131" s="74">
        <f t="shared" si="28"/>
        <v>0</v>
      </c>
      <c r="X131" s="74">
        <f t="shared" si="29"/>
        <v>0.98245614035087714</v>
      </c>
      <c r="Y131" s="74">
        <f t="shared" si="30"/>
        <v>0.10526315789473684</v>
      </c>
      <c r="Z131" s="75">
        <f t="shared" si="31"/>
        <v>1.0526315789473684</v>
      </c>
      <c r="AA131" s="76">
        <f t="shared" si="32"/>
        <v>0.8</v>
      </c>
      <c r="AB131" s="76">
        <f t="shared" ca="1" si="33"/>
        <v>0.9</v>
      </c>
      <c r="AC131" s="77">
        <f t="shared" ca="1" si="34"/>
        <v>0.83333333333333337</v>
      </c>
      <c r="AD131" s="359">
        <f t="shared" si="35"/>
        <v>4.4912280701754383</v>
      </c>
      <c r="AE131" s="369">
        <f t="shared" ca="1" si="36"/>
        <v>37.42690058479532</v>
      </c>
      <c r="AF131" s="96" t="s">
        <v>848</v>
      </c>
      <c r="AG131" s="443"/>
      <c r="AH131" s="118">
        <v>50000</v>
      </c>
      <c r="AI131" s="115">
        <v>48309</v>
      </c>
      <c r="AJ131" s="115">
        <v>46676</v>
      </c>
      <c r="AK131" s="115">
        <v>45097</v>
      </c>
      <c r="AL131" s="122">
        <v>43572</v>
      </c>
      <c r="AM131" s="337">
        <f t="shared" ref="AM131" si="46">AH131</f>
        <v>50000</v>
      </c>
      <c r="AN131" s="338">
        <f t="shared" ref="AN131" si="47">AI131*(1+Efactor)</f>
        <v>49999.814999999995</v>
      </c>
      <c r="AO131" s="338">
        <f t="shared" ref="AO131" si="48">AJ131*(1+Efactor)^2</f>
        <v>50000.498099999997</v>
      </c>
      <c r="AP131" s="338">
        <f t="shared" si="39"/>
        <v>49999.850008874986</v>
      </c>
      <c r="AQ131" s="339">
        <f t="shared" si="45"/>
        <v>49999.872183232488</v>
      </c>
    </row>
    <row r="132" spans="1:43" ht="36" customHeight="1">
      <c r="A132" s="355">
        <v>128</v>
      </c>
      <c r="B132" s="4" t="s">
        <v>7</v>
      </c>
      <c r="C132" s="286" t="s">
        <v>6</v>
      </c>
      <c r="D132" s="16" t="s">
        <v>211</v>
      </c>
      <c r="E132" s="17" t="s">
        <v>212</v>
      </c>
      <c r="F132" s="476">
        <v>252000</v>
      </c>
      <c r="G132" s="52">
        <v>2</v>
      </c>
      <c r="H132" s="57">
        <v>0</v>
      </c>
      <c r="I132" s="65">
        <v>3</v>
      </c>
      <c r="J132" s="66">
        <v>5</v>
      </c>
      <c r="K132" s="66">
        <v>4.0000000000000027</v>
      </c>
      <c r="L132" s="66">
        <v>4.0000000000000027</v>
      </c>
      <c r="M132" s="66">
        <v>8.0000000000000053</v>
      </c>
      <c r="N132" s="66">
        <v>5</v>
      </c>
      <c r="O132" s="66">
        <v>3</v>
      </c>
      <c r="P132" s="67">
        <v>4</v>
      </c>
      <c r="Q132" s="70" t="e">
        <f ca="1">(#REF!-(YEAR(TODAY())-#REF!))/#REF!</f>
        <v>#REF!</v>
      </c>
      <c r="R132" s="70">
        <f t="shared" ca="1" si="23"/>
        <v>0</v>
      </c>
      <c r="S132" s="74">
        <f t="shared" si="24"/>
        <v>0.47368421052631576</v>
      </c>
      <c r="T132" s="74">
        <f t="shared" si="25"/>
        <v>0.52631578947368418</v>
      </c>
      <c r="U132" s="74">
        <f t="shared" si="26"/>
        <v>0.56140350877193024</v>
      </c>
      <c r="V132" s="74">
        <f t="shared" si="27"/>
        <v>0.7017543859649128</v>
      </c>
      <c r="W132" s="74">
        <f t="shared" si="28"/>
        <v>0.7017543859649128</v>
      </c>
      <c r="X132" s="74">
        <f t="shared" si="29"/>
        <v>0.61403508771929827</v>
      </c>
      <c r="Y132" s="74">
        <f t="shared" si="30"/>
        <v>0.31578947368421051</v>
      </c>
      <c r="Z132" s="75">
        <f t="shared" si="31"/>
        <v>0.42105263157894735</v>
      </c>
      <c r="AA132" s="76">
        <f t="shared" si="32"/>
        <v>0.8</v>
      </c>
      <c r="AB132" s="76">
        <f t="shared" ca="1" si="33"/>
        <v>1</v>
      </c>
      <c r="AC132" s="77">
        <f t="shared" ca="1" si="34"/>
        <v>0.8666666666666667</v>
      </c>
      <c r="AD132" s="359">
        <f t="shared" si="35"/>
        <v>4.3157894736842124</v>
      </c>
      <c r="AE132" s="369">
        <f t="shared" ca="1" si="36"/>
        <v>37.403508771929843</v>
      </c>
      <c r="AF132" s="96" t="s">
        <v>257</v>
      </c>
      <c r="AG132" s="114"/>
      <c r="AH132" s="118"/>
      <c r="AI132" s="115"/>
      <c r="AJ132" s="115"/>
      <c r="AK132" s="115"/>
      <c r="AL132" s="122"/>
      <c r="AM132" s="337"/>
      <c r="AN132" s="338"/>
      <c r="AO132" s="338"/>
      <c r="AP132" s="338"/>
      <c r="AQ132" s="339"/>
    </row>
    <row r="133" spans="1:43" ht="36" customHeight="1">
      <c r="A133" s="355">
        <v>129</v>
      </c>
      <c r="B133" s="4" t="s">
        <v>16</v>
      </c>
      <c r="C133" s="286" t="s">
        <v>6</v>
      </c>
      <c r="D133" s="10" t="s">
        <v>77</v>
      </c>
      <c r="E133" s="11" t="s">
        <v>899</v>
      </c>
      <c r="F133" s="473">
        <v>400000</v>
      </c>
      <c r="G133" s="51">
        <v>2</v>
      </c>
      <c r="H133" s="57">
        <v>0</v>
      </c>
      <c r="I133" s="65">
        <v>6</v>
      </c>
      <c r="J133" s="66">
        <v>5</v>
      </c>
      <c r="K133" s="66">
        <v>2</v>
      </c>
      <c r="L133" s="66">
        <v>6</v>
      </c>
      <c r="M133" s="66">
        <v>2</v>
      </c>
      <c r="N133" s="66">
        <v>4.0000000000000027</v>
      </c>
      <c r="O133" s="66">
        <v>0</v>
      </c>
      <c r="P133" s="67">
        <v>8</v>
      </c>
      <c r="Q133" s="70" t="e">
        <f ca="1">(#REF!-(YEAR(TODAY())-#REF!))/#REF!</f>
        <v>#REF!</v>
      </c>
      <c r="R133" s="70">
        <f t="shared" ref="R133:R196" ca="1" si="49">IFERROR(Q133,H133)</f>
        <v>0</v>
      </c>
      <c r="S133" s="74">
        <f t="shared" ref="S133:S196" si="50">I133*Weight1/(WSum)</f>
        <v>0.94736842105263153</v>
      </c>
      <c r="T133" s="74">
        <f t="shared" ref="T133:T196" si="51">J133*Weight2/(WSum)</f>
        <v>0.52631578947368418</v>
      </c>
      <c r="U133" s="74">
        <f t="shared" ref="U133:U196" si="52">K133*Weight3/(WSum)</f>
        <v>0.2807017543859649</v>
      </c>
      <c r="V133" s="74">
        <f t="shared" ref="V133:V196" si="53">L133*Weight4/(WSum)</f>
        <v>1.0526315789473684</v>
      </c>
      <c r="W133" s="74">
        <f t="shared" ref="W133:W196" si="54">M133*Weight5/(WSum)</f>
        <v>0.17543859649122806</v>
      </c>
      <c r="X133" s="74">
        <f t="shared" ref="X133:X196" si="55">N133*Weight6/(WSum)</f>
        <v>0.4912280701754389</v>
      </c>
      <c r="Y133" s="74">
        <f t="shared" ref="Y133:Y196" si="56">O133*Weight7/(WSum)</f>
        <v>0</v>
      </c>
      <c r="Z133" s="75">
        <f t="shared" ref="Z133:Z196" si="57">P133*Weight8/(WSum)</f>
        <v>0.84210526315789469</v>
      </c>
      <c r="AA133" s="76">
        <f t="shared" ref="AA133:AA196" si="58">-1/10*G133+1</f>
        <v>0.8</v>
      </c>
      <c r="AB133" s="76">
        <f t="shared" ref="AB133:AB196" ca="1" si="59">IF(R133&lt;0,0,-R133+1)</f>
        <v>1</v>
      </c>
      <c r="AC133" s="77">
        <f t="shared" ref="AC133:AC196" ca="1" si="60">(AA133*CondWeight+AB133*PLifeWeight)/(CondWeight+PLifeWeight)</f>
        <v>0.8666666666666667</v>
      </c>
      <c r="AD133" s="359">
        <f t="shared" ref="AD133:AD196" si="61">SUM(S133:Z133)</f>
        <v>4.3157894736842106</v>
      </c>
      <c r="AE133" s="369">
        <f t="shared" ref="AE133:AE196" ca="1" si="62">AD133*AC133*10</f>
        <v>37.403508771929822</v>
      </c>
      <c r="AF133" s="95" t="s">
        <v>248</v>
      </c>
      <c r="AG133" s="440"/>
      <c r="AH133" s="118"/>
      <c r="AI133" s="115"/>
      <c r="AJ133" s="124"/>
      <c r="AK133" s="115"/>
      <c r="AL133" s="122">
        <v>400000</v>
      </c>
      <c r="AM133" s="337"/>
      <c r="AN133" s="338"/>
      <c r="AO133" s="338"/>
      <c r="AP133" s="338"/>
      <c r="AQ133" s="339">
        <f t="shared" si="45"/>
        <v>459009.20024999988</v>
      </c>
    </row>
    <row r="134" spans="1:43" ht="36" customHeight="1">
      <c r="A134" s="355">
        <v>130</v>
      </c>
      <c r="B134" s="4" t="s">
        <v>10</v>
      </c>
      <c r="C134" s="286" t="s">
        <v>300</v>
      </c>
      <c r="D134" s="10" t="s">
        <v>150</v>
      </c>
      <c r="E134" s="11" t="s">
        <v>954</v>
      </c>
      <c r="F134" s="476">
        <v>600000</v>
      </c>
      <c r="G134" s="52">
        <v>4</v>
      </c>
      <c r="H134" s="57">
        <v>0.4</v>
      </c>
      <c r="I134" s="65">
        <v>7</v>
      </c>
      <c r="J134" s="66">
        <v>7</v>
      </c>
      <c r="K134" s="66">
        <v>3</v>
      </c>
      <c r="L134" s="66">
        <v>8</v>
      </c>
      <c r="M134" s="66">
        <v>6</v>
      </c>
      <c r="N134" s="66">
        <v>8</v>
      </c>
      <c r="O134" s="66">
        <v>0</v>
      </c>
      <c r="P134" s="67">
        <v>10</v>
      </c>
      <c r="Q134" s="70" t="e">
        <f ca="1">(#REF!-(YEAR(TODAY())-#REF!))/#REF!</f>
        <v>#REF!</v>
      </c>
      <c r="R134" s="70">
        <f t="shared" ca="1" si="49"/>
        <v>0.4</v>
      </c>
      <c r="S134" s="74">
        <f t="shared" si="50"/>
        <v>1.1052631578947369</v>
      </c>
      <c r="T134" s="74">
        <f t="shared" si="51"/>
        <v>0.73684210526315785</v>
      </c>
      <c r="U134" s="74">
        <f t="shared" si="52"/>
        <v>0.42105263157894735</v>
      </c>
      <c r="V134" s="74">
        <f t="shared" si="53"/>
        <v>1.4035087719298245</v>
      </c>
      <c r="W134" s="74">
        <f t="shared" si="54"/>
        <v>0.52631578947368418</v>
      </c>
      <c r="X134" s="74">
        <f t="shared" si="55"/>
        <v>0.98245614035087714</v>
      </c>
      <c r="Y134" s="74">
        <f t="shared" si="56"/>
        <v>0</v>
      </c>
      <c r="Z134" s="75">
        <f t="shared" si="57"/>
        <v>1.0526315789473684</v>
      </c>
      <c r="AA134" s="76">
        <f t="shared" si="58"/>
        <v>0.6</v>
      </c>
      <c r="AB134" s="76">
        <f t="shared" ca="1" si="59"/>
        <v>0.6</v>
      </c>
      <c r="AC134" s="77">
        <f t="shared" ca="1" si="60"/>
        <v>0.6</v>
      </c>
      <c r="AD134" s="359">
        <f t="shared" si="61"/>
        <v>6.2280701754385959</v>
      </c>
      <c r="AE134" s="369">
        <f t="shared" ca="1" si="62"/>
        <v>37.368421052631575</v>
      </c>
      <c r="AF134" s="96" t="s">
        <v>248</v>
      </c>
      <c r="AG134" s="442"/>
      <c r="AH134" s="118"/>
      <c r="AI134" s="115"/>
      <c r="AJ134" s="115"/>
      <c r="AK134" s="124"/>
      <c r="AL134" s="122">
        <v>600000</v>
      </c>
      <c r="AM134" s="337"/>
      <c r="AN134" s="338"/>
      <c r="AO134" s="338"/>
      <c r="AP134" s="338"/>
      <c r="AQ134" s="339">
        <f t="shared" si="45"/>
        <v>688513.80037499976</v>
      </c>
    </row>
    <row r="135" spans="1:43" ht="36" customHeight="1">
      <c r="A135" s="355">
        <v>131</v>
      </c>
      <c r="B135" s="4" t="s">
        <v>11</v>
      </c>
      <c r="C135" s="286" t="s">
        <v>12</v>
      </c>
      <c r="D135" s="8" t="s">
        <v>853</v>
      </c>
      <c r="E135" s="14" t="s">
        <v>996</v>
      </c>
      <c r="F135" s="494">
        <v>4074600</v>
      </c>
      <c r="G135" s="52">
        <v>4</v>
      </c>
      <c r="H135" s="57">
        <v>0.3</v>
      </c>
      <c r="I135" s="65">
        <v>6</v>
      </c>
      <c r="J135" s="66">
        <v>6</v>
      </c>
      <c r="K135" s="66">
        <v>5</v>
      </c>
      <c r="L135" s="66">
        <v>8</v>
      </c>
      <c r="M135" s="66">
        <v>2</v>
      </c>
      <c r="N135" s="66">
        <v>8</v>
      </c>
      <c r="O135" s="66">
        <v>0</v>
      </c>
      <c r="P135" s="67">
        <v>10</v>
      </c>
      <c r="Q135" s="70" t="e">
        <f ca="1">(#REF!-(YEAR(TODAY())-#REF!))/#REF!</f>
        <v>#REF!</v>
      </c>
      <c r="R135" s="70">
        <f t="shared" ca="1" si="49"/>
        <v>0.3</v>
      </c>
      <c r="S135" s="74">
        <f t="shared" si="50"/>
        <v>0.94736842105263153</v>
      </c>
      <c r="T135" s="74">
        <f t="shared" si="51"/>
        <v>0.63157894736842102</v>
      </c>
      <c r="U135" s="74">
        <f t="shared" si="52"/>
        <v>0.70175438596491224</v>
      </c>
      <c r="V135" s="74">
        <f t="shared" si="53"/>
        <v>1.4035087719298245</v>
      </c>
      <c r="W135" s="74">
        <f t="shared" si="54"/>
        <v>0.17543859649122806</v>
      </c>
      <c r="X135" s="74">
        <f t="shared" si="55"/>
        <v>0.98245614035087714</v>
      </c>
      <c r="Y135" s="74">
        <f t="shared" si="56"/>
        <v>0</v>
      </c>
      <c r="Z135" s="75">
        <f t="shared" si="57"/>
        <v>1.0526315789473684</v>
      </c>
      <c r="AA135" s="76">
        <f t="shared" si="58"/>
        <v>0.6</v>
      </c>
      <c r="AB135" s="76">
        <f t="shared" ca="1" si="59"/>
        <v>0.7</v>
      </c>
      <c r="AC135" s="77">
        <f t="shared" ca="1" si="60"/>
        <v>0.6333333333333333</v>
      </c>
      <c r="AD135" s="359">
        <f t="shared" si="61"/>
        <v>5.8947368421052628</v>
      </c>
      <c r="AE135" s="369">
        <f t="shared" ca="1" si="62"/>
        <v>37.333333333333329</v>
      </c>
      <c r="AF135" s="96" t="s">
        <v>261</v>
      </c>
      <c r="AG135" s="113"/>
      <c r="AH135" s="110"/>
      <c r="AI135" s="108"/>
      <c r="AJ135" s="108"/>
      <c r="AK135" s="108"/>
      <c r="AL135" s="122">
        <v>4074600</v>
      </c>
      <c r="AM135" s="337"/>
      <c r="AN135" s="338"/>
      <c r="AO135" s="338"/>
      <c r="AP135" s="338"/>
      <c r="AQ135" s="339">
        <f t="shared" si="45"/>
        <v>4675697.2183466237</v>
      </c>
    </row>
    <row r="136" spans="1:43" ht="36" customHeight="1">
      <c r="A136" s="355">
        <v>132</v>
      </c>
      <c r="B136" s="4" t="s">
        <v>5</v>
      </c>
      <c r="C136" s="286" t="s">
        <v>6</v>
      </c>
      <c r="D136" s="16" t="s">
        <v>311</v>
      </c>
      <c r="E136" s="17" t="s">
        <v>820</v>
      </c>
      <c r="F136" s="485">
        <v>150000</v>
      </c>
      <c r="G136" s="52">
        <v>3</v>
      </c>
      <c r="H136" s="57">
        <v>0.3</v>
      </c>
      <c r="I136" s="65">
        <v>6</v>
      </c>
      <c r="J136" s="66">
        <v>6.0000000000000036</v>
      </c>
      <c r="K136" s="66">
        <v>3</v>
      </c>
      <c r="L136" s="66">
        <v>8</v>
      </c>
      <c r="M136" s="66">
        <v>4</v>
      </c>
      <c r="N136" s="66">
        <v>6</v>
      </c>
      <c r="O136" s="66">
        <v>0</v>
      </c>
      <c r="P136" s="67">
        <v>8</v>
      </c>
      <c r="Q136" s="70" t="e">
        <f ca="1">(#REF!-(YEAR(TODAY())-#REF!))/#REF!</f>
        <v>#REF!</v>
      </c>
      <c r="R136" s="70">
        <f t="shared" ca="1" si="49"/>
        <v>0.3</v>
      </c>
      <c r="S136" s="74">
        <f t="shared" si="50"/>
        <v>0.94736842105263153</v>
      </c>
      <c r="T136" s="74">
        <f t="shared" si="51"/>
        <v>0.63157894736842146</v>
      </c>
      <c r="U136" s="74">
        <f t="shared" si="52"/>
        <v>0.42105263157894735</v>
      </c>
      <c r="V136" s="74">
        <f t="shared" si="53"/>
        <v>1.4035087719298245</v>
      </c>
      <c r="W136" s="74">
        <f t="shared" si="54"/>
        <v>0.35087719298245612</v>
      </c>
      <c r="X136" s="74">
        <f t="shared" si="55"/>
        <v>0.73684210526315785</v>
      </c>
      <c r="Y136" s="74">
        <f t="shared" si="56"/>
        <v>0</v>
      </c>
      <c r="Z136" s="75">
        <f t="shared" si="57"/>
        <v>0.84210526315789469</v>
      </c>
      <c r="AA136" s="76">
        <f t="shared" si="58"/>
        <v>0.7</v>
      </c>
      <c r="AB136" s="76">
        <f t="shared" ca="1" si="59"/>
        <v>0.7</v>
      </c>
      <c r="AC136" s="77">
        <f t="shared" ca="1" si="60"/>
        <v>0.69999999999999984</v>
      </c>
      <c r="AD136" s="359">
        <f t="shared" si="61"/>
        <v>5.333333333333333</v>
      </c>
      <c r="AE136" s="369">
        <f t="shared" ca="1" si="62"/>
        <v>37.333333333333329</v>
      </c>
      <c r="AF136" s="95" t="s">
        <v>248</v>
      </c>
      <c r="AG136" s="113"/>
      <c r="AH136" s="118"/>
      <c r="AI136" s="115"/>
      <c r="AJ136" s="115"/>
      <c r="AK136" s="115"/>
      <c r="AL136" s="122">
        <v>150000</v>
      </c>
      <c r="AM136" s="340"/>
      <c r="AN136" s="338"/>
      <c r="AO136" s="338"/>
      <c r="AP136" s="338"/>
      <c r="AQ136" s="339">
        <f t="shared" si="45"/>
        <v>172128.45009374994</v>
      </c>
    </row>
    <row r="137" spans="1:43" s="209" customFormat="1" ht="36" customHeight="1">
      <c r="A137" s="502">
        <v>133</v>
      </c>
      <c r="B137" s="12" t="s">
        <v>5</v>
      </c>
      <c r="C137" s="344" t="s">
        <v>6</v>
      </c>
      <c r="D137" s="5" t="s">
        <v>1190</v>
      </c>
      <c r="E137" s="6" t="s">
        <v>1191</v>
      </c>
      <c r="F137" s="473">
        <v>230000</v>
      </c>
      <c r="G137" s="51">
        <v>3</v>
      </c>
      <c r="H137" s="57">
        <v>0.3</v>
      </c>
      <c r="I137" s="65">
        <v>5</v>
      </c>
      <c r="J137" s="66">
        <v>6</v>
      </c>
      <c r="K137" s="66">
        <v>5</v>
      </c>
      <c r="L137" s="66">
        <v>10</v>
      </c>
      <c r="M137" s="66">
        <v>4</v>
      </c>
      <c r="N137" s="66">
        <v>2</v>
      </c>
      <c r="O137" s="66">
        <v>0</v>
      </c>
      <c r="P137" s="67">
        <v>8</v>
      </c>
      <c r="Q137" s="70" t="e">
        <f ca="1">(#REF!-(YEAR(TODAY())-#REF!))/#REF!</f>
        <v>#REF!</v>
      </c>
      <c r="R137" s="70">
        <f t="shared" ca="1" si="49"/>
        <v>0.3</v>
      </c>
      <c r="S137" s="74">
        <f t="shared" si="50"/>
        <v>0.78947368421052633</v>
      </c>
      <c r="T137" s="74">
        <f t="shared" si="51"/>
        <v>0.63157894736842102</v>
      </c>
      <c r="U137" s="74">
        <f t="shared" si="52"/>
        <v>0.70175438596491224</v>
      </c>
      <c r="V137" s="74">
        <f t="shared" si="53"/>
        <v>1.7543859649122806</v>
      </c>
      <c r="W137" s="74">
        <f t="shared" si="54"/>
        <v>0.35087719298245612</v>
      </c>
      <c r="X137" s="74">
        <f t="shared" si="55"/>
        <v>0.24561403508771928</v>
      </c>
      <c r="Y137" s="74">
        <f t="shared" si="56"/>
        <v>0</v>
      </c>
      <c r="Z137" s="75">
        <f t="shared" si="57"/>
        <v>0.84210526315789469</v>
      </c>
      <c r="AA137" s="76">
        <f t="shared" si="58"/>
        <v>0.7</v>
      </c>
      <c r="AB137" s="76">
        <f t="shared" ca="1" si="59"/>
        <v>0.7</v>
      </c>
      <c r="AC137" s="77">
        <f t="shared" ca="1" si="60"/>
        <v>0.69999999999999984</v>
      </c>
      <c r="AD137" s="359">
        <f t="shared" si="61"/>
        <v>5.3157894736842106</v>
      </c>
      <c r="AE137" s="369">
        <f t="shared" ca="1" si="62"/>
        <v>37.210526315789465</v>
      </c>
      <c r="AF137" s="95" t="s">
        <v>266</v>
      </c>
      <c r="AG137" s="440"/>
      <c r="AH137" s="110"/>
      <c r="AI137" s="108"/>
      <c r="AJ137" s="108"/>
      <c r="AK137" s="108"/>
      <c r="AL137" s="389">
        <v>230000</v>
      </c>
      <c r="AM137" s="337"/>
      <c r="AN137" s="338"/>
      <c r="AO137" s="338"/>
      <c r="AP137" s="338"/>
      <c r="AQ137" s="339">
        <f t="shared" si="45"/>
        <v>263930.29014374991</v>
      </c>
    </row>
    <row r="138" spans="1:43" ht="36" customHeight="1">
      <c r="A138" s="355">
        <v>134</v>
      </c>
      <c r="B138" s="1" t="s">
        <v>11</v>
      </c>
      <c r="C138" s="285" t="s">
        <v>12</v>
      </c>
      <c r="D138" s="2" t="s">
        <v>860</v>
      </c>
      <c r="E138" s="3" t="s">
        <v>861</v>
      </c>
      <c r="F138" s="472">
        <v>600000</v>
      </c>
      <c r="G138" s="292">
        <v>2</v>
      </c>
      <c r="H138" s="293">
        <v>0.2</v>
      </c>
      <c r="I138" s="65">
        <v>5</v>
      </c>
      <c r="J138" s="66">
        <v>4.0000000000000027</v>
      </c>
      <c r="K138" s="66">
        <v>4.0000000000000027</v>
      </c>
      <c r="L138" s="66">
        <v>6.0000000000000036</v>
      </c>
      <c r="M138" s="66">
        <v>4.0000000000000027</v>
      </c>
      <c r="N138" s="66">
        <v>6</v>
      </c>
      <c r="O138" s="66">
        <v>0</v>
      </c>
      <c r="P138" s="67">
        <v>7</v>
      </c>
      <c r="Q138" s="294" t="e">
        <f ca="1">(#REF!-(YEAR(TODAY())-#REF!))/#REF!</f>
        <v>#REF!</v>
      </c>
      <c r="R138" s="294">
        <f t="shared" ca="1" si="49"/>
        <v>0.2</v>
      </c>
      <c r="S138" s="74">
        <f t="shared" si="50"/>
        <v>0.78947368421052633</v>
      </c>
      <c r="T138" s="74">
        <f t="shared" si="51"/>
        <v>0.42105263157894762</v>
      </c>
      <c r="U138" s="74">
        <f t="shared" si="52"/>
        <v>0.56140350877193024</v>
      </c>
      <c r="V138" s="74">
        <f t="shared" si="53"/>
        <v>1.052631578947369</v>
      </c>
      <c r="W138" s="74">
        <f t="shared" si="54"/>
        <v>0.3508771929824564</v>
      </c>
      <c r="X138" s="74">
        <f t="shared" si="55"/>
        <v>0.73684210526315785</v>
      </c>
      <c r="Y138" s="74">
        <f t="shared" si="56"/>
        <v>0</v>
      </c>
      <c r="Z138" s="75">
        <f t="shared" si="57"/>
        <v>0.73684210526315785</v>
      </c>
      <c r="AA138" s="76">
        <f t="shared" si="58"/>
        <v>0.8</v>
      </c>
      <c r="AB138" s="76">
        <f t="shared" ca="1" si="59"/>
        <v>0.8</v>
      </c>
      <c r="AC138" s="77">
        <f t="shared" ca="1" si="60"/>
        <v>0.80000000000000016</v>
      </c>
      <c r="AD138" s="358">
        <f t="shared" si="61"/>
        <v>4.6491228070175454</v>
      </c>
      <c r="AE138" s="368">
        <f t="shared" ca="1" si="62"/>
        <v>37.192982456140371</v>
      </c>
      <c r="AF138" s="288" t="s">
        <v>261</v>
      </c>
      <c r="AG138" s="441"/>
      <c r="AH138" s="118"/>
      <c r="AI138" s="115"/>
      <c r="AJ138" s="115"/>
      <c r="AK138" s="115"/>
      <c r="AL138" s="122">
        <v>600000</v>
      </c>
      <c r="AM138" s="337"/>
      <c r="AN138" s="338"/>
      <c r="AO138" s="338"/>
      <c r="AP138" s="338"/>
      <c r="AQ138" s="339">
        <f t="shared" si="45"/>
        <v>688513.80037499976</v>
      </c>
    </row>
    <row r="139" spans="1:43" ht="36" customHeight="1">
      <c r="A139" s="355">
        <v>135</v>
      </c>
      <c r="B139" s="4" t="s">
        <v>35</v>
      </c>
      <c r="C139" s="286" t="s">
        <v>6</v>
      </c>
      <c r="D139" s="16" t="s">
        <v>856</v>
      </c>
      <c r="E139" s="18" t="s">
        <v>928</v>
      </c>
      <c r="F139" s="477">
        <v>140000</v>
      </c>
      <c r="G139" s="52">
        <v>3</v>
      </c>
      <c r="H139" s="57">
        <v>0.1</v>
      </c>
      <c r="I139" s="65">
        <v>6</v>
      </c>
      <c r="J139" s="66">
        <v>6</v>
      </c>
      <c r="K139" s="66">
        <v>2</v>
      </c>
      <c r="L139" s="66">
        <v>8</v>
      </c>
      <c r="M139" s="66">
        <v>4.0000000000000027</v>
      </c>
      <c r="N139" s="66">
        <v>4.0000000000000027</v>
      </c>
      <c r="O139" s="66">
        <v>0</v>
      </c>
      <c r="P139" s="67">
        <v>7</v>
      </c>
      <c r="Q139" s="70" t="e">
        <f ca="1">(#REF!-(YEAR(TODAY())-#REF!))/#REF!</f>
        <v>#REF!</v>
      </c>
      <c r="R139" s="70">
        <f t="shared" ca="1" si="49"/>
        <v>0.1</v>
      </c>
      <c r="S139" s="74">
        <f t="shared" si="50"/>
        <v>0.94736842105263153</v>
      </c>
      <c r="T139" s="74">
        <f t="shared" si="51"/>
        <v>0.63157894736842102</v>
      </c>
      <c r="U139" s="74">
        <f t="shared" si="52"/>
        <v>0.2807017543859649</v>
      </c>
      <c r="V139" s="74">
        <f t="shared" si="53"/>
        <v>1.4035087719298245</v>
      </c>
      <c r="W139" s="74">
        <f t="shared" si="54"/>
        <v>0.3508771929824564</v>
      </c>
      <c r="X139" s="74">
        <f t="shared" si="55"/>
        <v>0.4912280701754389</v>
      </c>
      <c r="Y139" s="74">
        <f t="shared" si="56"/>
        <v>0</v>
      </c>
      <c r="Z139" s="75">
        <f t="shared" si="57"/>
        <v>0.73684210526315785</v>
      </c>
      <c r="AA139" s="76">
        <f t="shared" si="58"/>
        <v>0.7</v>
      </c>
      <c r="AB139" s="76">
        <f t="shared" ca="1" si="59"/>
        <v>0.9</v>
      </c>
      <c r="AC139" s="77">
        <f t="shared" ca="1" si="60"/>
        <v>0.76666666666666661</v>
      </c>
      <c r="AD139" s="359">
        <f t="shared" si="61"/>
        <v>4.8421052631578947</v>
      </c>
      <c r="AE139" s="369">
        <f t="shared" ca="1" si="62"/>
        <v>37.122807017543856</v>
      </c>
      <c r="AF139" s="96" t="s">
        <v>248</v>
      </c>
      <c r="AG139" s="114"/>
      <c r="AH139" s="118"/>
      <c r="AI139" s="115"/>
      <c r="AJ139" s="115"/>
      <c r="AK139" s="115"/>
      <c r="AL139" s="122">
        <v>140000</v>
      </c>
      <c r="AM139" s="337"/>
      <c r="AN139" s="338"/>
      <c r="AO139" s="338"/>
      <c r="AP139" s="338"/>
      <c r="AQ139" s="339">
        <f t="shared" si="45"/>
        <v>160653.22008749997</v>
      </c>
    </row>
    <row r="140" spans="1:43" ht="36" customHeight="1">
      <c r="A140" s="355">
        <v>136</v>
      </c>
      <c r="B140" s="4" t="s">
        <v>11</v>
      </c>
      <c r="C140" s="286" t="s">
        <v>300</v>
      </c>
      <c r="D140" s="8" t="s">
        <v>1151</v>
      </c>
      <c r="E140" s="15" t="s">
        <v>1156</v>
      </c>
      <c r="F140" s="476">
        <v>130000</v>
      </c>
      <c r="G140" s="52">
        <v>4</v>
      </c>
      <c r="H140" s="57">
        <v>0.3</v>
      </c>
      <c r="I140" s="65">
        <v>6</v>
      </c>
      <c r="J140" s="66">
        <v>8</v>
      </c>
      <c r="K140" s="66">
        <v>6</v>
      </c>
      <c r="L140" s="66">
        <v>8</v>
      </c>
      <c r="M140" s="66">
        <v>4</v>
      </c>
      <c r="N140" s="66">
        <v>6</v>
      </c>
      <c r="O140" s="66">
        <v>1</v>
      </c>
      <c r="P140" s="67">
        <v>6</v>
      </c>
      <c r="Q140" s="70" t="e">
        <f ca="1">(#REF!-(YEAR(TODAY())-#REF!))/#REF!</f>
        <v>#REF!</v>
      </c>
      <c r="R140" s="70">
        <f t="shared" ca="1" si="49"/>
        <v>0.3</v>
      </c>
      <c r="S140" s="74">
        <f t="shared" si="50"/>
        <v>0.94736842105263153</v>
      </c>
      <c r="T140" s="74">
        <f t="shared" si="51"/>
        <v>0.84210526315789469</v>
      </c>
      <c r="U140" s="74">
        <f t="shared" si="52"/>
        <v>0.84210526315789469</v>
      </c>
      <c r="V140" s="74">
        <f t="shared" si="53"/>
        <v>1.4035087719298245</v>
      </c>
      <c r="W140" s="74">
        <f t="shared" si="54"/>
        <v>0.35087719298245612</v>
      </c>
      <c r="X140" s="74">
        <f t="shared" si="55"/>
        <v>0.73684210526315785</v>
      </c>
      <c r="Y140" s="74">
        <f t="shared" si="56"/>
        <v>0.10526315789473684</v>
      </c>
      <c r="Z140" s="75">
        <f t="shared" si="57"/>
        <v>0.63157894736842102</v>
      </c>
      <c r="AA140" s="76">
        <f t="shared" si="58"/>
        <v>0.6</v>
      </c>
      <c r="AB140" s="76">
        <f t="shared" ca="1" si="59"/>
        <v>0.7</v>
      </c>
      <c r="AC140" s="77">
        <f t="shared" ca="1" si="60"/>
        <v>0.6333333333333333</v>
      </c>
      <c r="AD140" s="359">
        <f t="shared" si="61"/>
        <v>5.8596491228070171</v>
      </c>
      <c r="AE140" s="369">
        <f t="shared" ca="1" si="62"/>
        <v>37.111111111111107</v>
      </c>
      <c r="AF140" s="96" t="s">
        <v>261</v>
      </c>
      <c r="AG140" s="443"/>
      <c r="AH140" s="118"/>
      <c r="AI140" s="115"/>
      <c r="AJ140" s="115"/>
      <c r="AK140" s="291"/>
      <c r="AL140" s="456">
        <v>130000</v>
      </c>
      <c r="AM140" s="337"/>
      <c r="AN140" s="338"/>
      <c r="AO140" s="338"/>
      <c r="AP140" s="338"/>
      <c r="AQ140" s="339">
        <f t="shared" si="45"/>
        <v>149177.99008124997</v>
      </c>
    </row>
    <row r="141" spans="1:43" ht="36" customHeight="1">
      <c r="A141" s="355">
        <v>137</v>
      </c>
      <c r="B141" s="4" t="s">
        <v>16</v>
      </c>
      <c r="C141" s="286" t="s">
        <v>299</v>
      </c>
      <c r="D141" s="30" t="s">
        <v>1029</v>
      </c>
      <c r="E141" s="21" t="s">
        <v>1030</v>
      </c>
      <c r="F141" s="476">
        <v>75000</v>
      </c>
      <c r="G141" s="52">
        <v>4</v>
      </c>
      <c r="H141" s="57">
        <v>0.3</v>
      </c>
      <c r="I141" s="65">
        <v>8</v>
      </c>
      <c r="J141" s="66">
        <v>5</v>
      </c>
      <c r="K141" s="66">
        <v>2</v>
      </c>
      <c r="L141" s="66">
        <v>9</v>
      </c>
      <c r="M141" s="66">
        <v>5</v>
      </c>
      <c r="N141" s="66">
        <v>5</v>
      </c>
      <c r="O141" s="66">
        <v>1</v>
      </c>
      <c r="P141" s="67">
        <v>10</v>
      </c>
      <c r="Q141" s="70" t="e">
        <f ca="1">(#REF!-(YEAR(TODAY())-#REF!))/#REF!</f>
        <v>#REF!</v>
      </c>
      <c r="R141" s="70">
        <f t="shared" ca="1" si="49"/>
        <v>0.3</v>
      </c>
      <c r="S141" s="74">
        <f t="shared" si="50"/>
        <v>1.263157894736842</v>
      </c>
      <c r="T141" s="74">
        <f t="shared" si="51"/>
        <v>0.52631578947368418</v>
      </c>
      <c r="U141" s="74">
        <f t="shared" si="52"/>
        <v>0.2807017543859649</v>
      </c>
      <c r="V141" s="74">
        <f t="shared" si="53"/>
        <v>1.5789473684210527</v>
      </c>
      <c r="W141" s="74">
        <f t="shared" si="54"/>
        <v>0.43859649122807015</v>
      </c>
      <c r="X141" s="74">
        <f t="shared" si="55"/>
        <v>0.61403508771929827</v>
      </c>
      <c r="Y141" s="74">
        <f t="shared" si="56"/>
        <v>0.10526315789473684</v>
      </c>
      <c r="Z141" s="75">
        <f t="shared" si="57"/>
        <v>1.0526315789473684</v>
      </c>
      <c r="AA141" s="76">
        <f t="shared" si="58"/>
        <v>0.6</v>
      </c>
      <c r="AB141" s="76">
        <f t="shared" ca="1" si="59"/>
        <v>0.7</v>
      </c>
      <c r="AC141" s="77">
        <f t="shared" ca="1" si="60"/>
        <v>0.6333333333333333</v>
      </c>
      <c r="AD141" s="359">
        <f t="shared" si="61"/>
        <v>5.8596491228070171</v>
      </c>
      <c r="AE141" s="369">
        <f t="shared" ca="1" si="62"/>
        <v>37.111111111111107</v>
      </c>
      <c r="AF141" s="96" t="s">
        <v>848</v>
      </c>
      <c r="AG141" s="114"/>
      <c r="AH141" s="118"/>
      <c r="AI141" s="115"/>
      <c r="AJ141" s="115"/>
      <c r="AK141" s="124"/>
      <c r="AL141" s="122">
        <v>65358</v>
      </c>
      <c r="AM141" s="337"/>
      <c r="AN141" s="338"/>
      <c r="AO141" s="338"/>
      <c r="AP141" s="338"/>
      <c r="AQ141" s="339">
        <f t="shared" si="45"/>
        <v>74999.808274848736</v>
      </c>
    </row>
    <row r="142" spans="1:43" ht="36" customHeight="1">
      <c r="A142" s="355">
        <v>138</v>
      </c>
      <c r="B142" s="4" t="s">
        <v>16</v>
      </c>
      <c r="C142" s="286" t="s">
        <v>299</v>
      </c>
      <c r="D142" s="8" t="s">
        <v>850</v>
      </c>
      <c r="E142" s="21" t="s">
        <v>1188</v>
      </c>
      <c r="F142" s="476">
        <v>63500</v>
      </c>
      <c r="G142" s="52">
        <v>3</v>
      </c>
      <c r="H142" s="57">
        <v>0.3</v>
      </c>
      <c r="I142" s="65">
        <v>6.0000000000000036</v>
      </c>
      <c r="J142" s="66">
        <v>8</v>
      </c>
      <c r="K142" s="66">
        <v>2</v>
      </c>
      <c r="L142" s="66">
        <v>8.0000000000000053</v>
      </c>
      <c r="M142" s="66">
        <v>0</v>
      </c>
      <c r="N142" s="66">
        <v>8.0000000000000053</v>
      </c>
      <c r="O142" s="66">
        <v>0</v>
      </c>
      <c r="P142" s="67">
        <v>8</v>
      </c>
      <c r="Q142" s="70" t="e">
        <f ca="1">(#REF!-(YEAR(TODAY())-#REF!))/#REF!</f>
        <v>#REF!</v>
      </c>
      <c r="R142" s="70">
        <f t="shared" ca="1" si="49"/>
        <v>0.3</v>
      </c>
      <c r="S142" s="74">
        <f t="shared" si="50"/>
        <v>0.94736842105263208</v>
      </c>
      <c r="T142" s="74">
        <f t="shared" si="51"/>
        <v>0.84210526315789469</v>
      </c>
      <c r="U142" s="74">
        <f t="shared" si="52"/>
        <v>0.2807017543859649</v>
      </c>
      <c r="V142" s="74">
        <f t="shared" si="53"/>
        <v>1.4035087719298256</v>
      </c>
      <c r="W142" s="74">
        <f t="shared" si="54"/>
        <v>0</v>
      </c>
      <c r="X142" s="74">
        <f t="shared" si="55"/>
        <v>0.9824561403508778</v>
      </c>
      <c r="Y142" s="74">
        <f t="shared" si="56"/>
        <v>0</v>
      </c>
      <c r="Z142" s="75">
        <f t="shared" si="57"/>
        <v>0.84210526315789469</v>
      </c>
      <c r="AA142" s="76">
        <f t="shared" si="58"/>
        <v>0.7</v>
      </c>
      <c r="AB142" s="76">
        <f t="shared" ca="1" si="59"/>
        <v>0.7</v>
      </c>
      <c r="AC142" s="77">
        <f t="shared" ca="1" si="60"/>
        <v>0.69999999999999984</v>
      </c>
      <c r="AD142" s="359">
        <f t="shared" si="61"/>
        <v>5.2982456140350891</v>
      </c>
      <c r="AE142" s="369">
        <f t="shared" ca="1" si="62"/>
        <v>37.087719298245617</v>
      </c>
      <c r="AF142" s="96" t="s">
        <v>1200</v>
      </c>
      <c r="AG142" s="114"/>
      <c r="AH142" s="118"/>
      <c r="AI142" s="115"/>
      <c r="AJ142" s="115"/>
      <c r="AK142" s="115"/>
      <c r="AL142" s="122"/>
      <c r="AM142" s="337"/>
      <c r="AN142" s="338"/>
      <c r="AO142" s="338"/>
      <c r="AP142" s="338"/>
      <c r="AQ142" s="339"/>
    </row>
    <row r="143" spans="1:43" ht="36" customHeight="1">
      <c r="A143" s="355">
        <v>139</v>
      </c>
      <c r="B143" s="1" t="s">
        <v>5</v>
      </c>
      <c r="C143" s="285" t="s">
        <v>6</v>
      </c>
      <c r="D143" s="2" t="s">
        <v>163</v>
      </c>
      <c r="E143" s="461" t="s">
        <v>164</v>
      </c>
      <c r="F143" s="472">
        <v>400000</v>
      </c>
      <c r="G143" s="292">
        <v>3</v>
      </c>
      <c r="H143" s="293">
        <v>0.3</v>
      </c>
      <c r="I143" s="65">
        <v>6.0000000000000036</v>
      </c>
      <c r="J143" s="66">
        <v>8.0000000000000053</v>
      </c>
      <c r="K143" s="66">
        <v>2</v>
      </c>
      <c r="L143" s="66">
        <v>8</v>
      </c>
      <c r="M143" s="66">
        <v>0</v>
      </c>
      <c r="N143" s="66">
        <v>8</v>
      </c>
      <c r="O143" s="66">
        <v>0</v>
      </c>
      <c r="P143" s="67">
        <v>8</v>
      </c>
      <c r="Q143" s="294" t="e">
        <f ca="1">(#REF!-(YEAR(TODAY())-#REF!))/#REF!</f>
        <v>#REF!</v>
      </c>
      <c r="R143" s="294">
        <f t="shared" ca="1" si="49"/>
        <v>0.3</v>
      </c>
      <c r="S143" s="74">
        <f t="shared" si="50"/>
        <v>0.94736842105263208</v>
      </c>
      <c r="T143" s="74">
        <f t="shared" si="51"/>
        <v>0.84210526315789525</v>
      </c>
      <c r="U143" s="74">
        <f t="shared" si="52"/>
        <v>0.2807017543859649</v>
      </c>
      <c r="V143" s="74">
        <f t="shared" si="53"/>
        <v>1.4035087719298245</v>
      </c>
      <c r="W143" s="74">
        <f t="shared" si="54"/>
        <v>0</v>
      </c>
      <c r="X143" s="74">
        <f t="shared" si="55"/>
        <v>0.98245614035087714</v>
      </c>
      <c r="Y143" s="74">
        <f t="shared" si="56"/>
        <v>0</v>
      </c>
      <c r="Z143" s="75">
        <f t="shared" si="57"/>
        <v>0.84210526315789469</v>
      </c>
      <c r="AA143" s="76">
        <f t="shared" si="58"/>
        <v>0.7</v>
      </c>
      <c r="AB143" s="76">
        <f t="shared" ca="1" si="59"/>
        <v>0.7</v>
      </c>
      <c r="AC143" s="77">
        <f t="shared" ca="1" si="60"/>
        <v>0.69999999999999984</v>
      </c>
      <c r="AD143" s="358">
        <f t="shared" si="61"/>
        <v>5.2982456140350882</v>
      </c>
      <c r="AE143" s="368">
        <f t="shared" ca="1" si="62"/>
        <v>37.087719298245609</v>
      </c>
      <c r="AF143" s="94" t="s">
        <v>248</v>
      </c>
      <c r="AG143" s="113"/>
      <c r="AH143" s="118"/>
      <c r="AI143" s="115"/>
      <c r="AJ143" s="115"/>
      <c r="AK143" s="115"/>
      <c r="AL143" s="122">
        <v>100000</v>
      </c>
      <c r="AM143" s="337"/>
      <c r="AN143" s="338"/>
      <c r="AO143" s="338"/>
      <c r="AP143" s="338"/>
      <c r="AQ143" s="339">
        <f t="shared" si="45"/>
        <v>114752.30006249997</v>
      </c>
    </row>
    <row r="144" spans="1:43" ht="36" customHeight="1">
      <c r="A144" s="355">
        <v>140</v>
      </c>
      <c r="B144" s="4" t="s">
        <v>5</v>
      </c>
      <c r="C144" s="286" t="s">
        <v>6</v>
      </c>
      <c r="D144" s="5" t="s">
        <v>182</v>
      </c>
      <c r="E144" s="7" t="s">
        <v>931</v>
      </c>
      <c r="F144" s="473">
        <v>300000</v>
      </c>
      <c r="G144" s="51">
        <v>3</v>
      </c>
      <c r="H144" s="57">
        <v>0.2</v>
      </c>
      <c r="I144" s="65">
        <v>6.0000000000000036</v>
      </c>
      <c r="J144" s="66">
        <v>8.0000000000000053</v>
      </c>
      <c r="K144" s="66">
        <v>2</v>
      </c>
      <c r="L144" s="66">
        <v>6</v>
      </c>
      <c r="M144" s="66">
        <v>0</v>
      </c>
      <c r="N144" s="66">
        <v>8</v>
      </c>
      <c r="O144" s="66">
        <v>0</v>
      </c>
      <c r="P144" s="67">
        <v>9</v>
      </c>
      <c r="Q144" s="70" t="e">
        <f ca="1">(#REF!-(YEAR(TODAY())-#REF!))/#REF!</f>
        <v>#REF!</v>
      </c>
      <c r="R144" s="70">
        <f t="shared" ca="1" si="49"/>
        <v>0.2</v>
      </c>
      <c r="S144" s="74">
        <f t="shared" si="50"/>
        <v>0.94736842105263208</v>
      </c>
      <c r="T144" s="74">
        <f t="shared" si="51"/>
        <v>0.84210526315789525</v>
      </c>
      <c r="U144" s="74">
        <f t="shared" si="52"/>
        <v>0.2807017543859649</v>
      </c>
      <c r="V144" s="74">
        <f t="shared" si="53"/>
        <v>1.0526315789473684</v>
      </c>
      <c r="W144" s="74">
        <f t="shared" si="54"/>
        <v>0</v>
      </c>
      <c r="X144" s="74">
        <f t="shared" si="55"/>
        <v>0.98245614035087714</v>
      </c>
      <c r="Y144" s="74">
        <f t="shared" si="56"/>
        <v>0</v>
      </c>
      <c r="Z144" s="75">
        <f t="shared" si="57"/>
        <v>0.94736842105263153</v>
      </c>
      <c r="AA144" s="76">
        <f t="shared" si="58"/>
        <v>0.7</v>
      </c>
      <c r="AB144" s="76">
        <f t="shared" ca="1" si="59"/>
        <v>0.8</v>
      </c>
      <c r="AC144" s="77">
        <f t="shared" ca="1" si="60"/>
        <v>0.73333333333333339</v>
      </c>
      <c r="AD144" s="359">
        <f t="shared" si="61"/>
        <v>5.0526315789473699</v>
      </c>
      <c r="AE144" s="369">
        <f t="shared" ca="1" si="62"/>
        <v>37.052631578947384</v>
      </c>
      <c r="AF144" s="95" t="s">
        <v>248</v>
      </c>
      <c r="AG144" s="440"/>
      <c r="AH144" s="118"/>
      <c r="AI144" s="115"/>
      <c r="AJ144" s="115"/>
      <c r="AK144" s="115"/>
      <c r="AL144" s="122">
        <v>100000</v>
      </c>
      <c r="AM144" s="340"/>
      <c r="AN144" s="338"/>
      <c r="AO144" s="338"/>
      <c r="AP144" s="338"/>
      <c r="AQ144" s="339">
        <f t="shared" ref="AQ144:AQ152" si="63">AL144*(1+Efactor)^4</f>
        <v>114752.30006249997</v>
      </c>
    </row>
    <row r="145" spans="1:43" ht="36" customHeight="1">
      <c r="A145" s="355">
        <v>141</v>
      </c>
      <c r="B145" s="4" t="s">
        <v>5</v>
      </c>
      <c r="C145" s="286" t="s">
        <v>6</v>
      </c>
      <c r="D145" s="469" t="s">
        <v>310</v>
      </c>
      <c r="E145" s="18" t="s">
        <v>840</v>
      </c>
      <c r="F145" s="476">
        <v>375000</v>
      </c>
      <c r="G145" s="52">
        <v>3</v>
      </c>
      <c r="H145" s="57">
        <v>0.2</v>
      </c>
      <c r="I145" s="65">
        <v>6</v>
      </c>
      <c r="J145" s="66">
        <v>8</v>
      </c>
      <c r="K145" s="66">
        <v>2</v>
      </c>
      <c r="L145" s="66">
        <v>6</v>
      </c>
      <c r="M145" s="66">
        <v>2</v>
      </c>
      <c r="N145" s="66">
        <v>4</v>
      </c>
      <c r="O145" s="66">
        <v>4</v>
      </c>
      <c r="P145" s="67">
        <v>8</v>
      </c>
      <c r="Q145" s="70" t="e">
        <f ca="1">(#REF!-(YEAR(TODAY())-#REF!))/#REF!</f>
        <v>#REF!</v>
      </c>
      <c r="R145" s="70">
        <f t="shared" ca="1" si="49"/>
        <v>0.2</v>
      </c>
      <c r="S145" s="74">
        <f t="shared" si="50"/>
        <v>0.94736842105263153</v>
      </c>
      <c r="T145" s="74">
        <f t="shared" si="51"/>
        <v>0.84210526315789469</v>
      </c>
      <c r="U145" s="74">
        <f t="shared" si="52"/>
        <v>0.2807017543859649</v>
      </c>
      <c r="V145" s="74">
        <f t="shared" si="53"/>
        <v>1.0526315789473684</v>
      </c>
      <c r="W145" s="74">
        <f t="shared" si="54"/>
        <v>0.17543859649122806</v>
      </c>
      <c r="X145" s="74">
        <f t="shared" si="55"/>
        <v>0.49122807017543857</v>
      </c>
      <c r="Y145" s="74">
        <f t="shared" si="56"/>
        <v>0.42105263157894735</v>
      </c>
      <c r="Z145" s="75">
        <f t="shared" si="57"/>
        <v>0.84210526315789469</v>
      </c>
      <c r="AA145" s="76">
        <f t="shared" si="58"/>
        <v>0.7</v>
      </c>
      <c r="AB145" s="76">
        <f t="shared" ca="1" si="59"/>
        <v>0.8</v>
      </c>
      <c r="AC145" s="77">
        <f t="shared" ca="1" si="60"/>
        <v>0.73333333333333339</v>
      </c>
      <c r="AD145" s="359">
        <f t="shared" si="61"/>
        <v>5.052631578947369</v>
      </c>
      <c r="AE145" s="369">
        <f t="shared" ca="1" si="62"/>
        <v>37.052631578947377</v>
      </c>
      <c r="AF145" s="95" t="s">
        <v>248</v>
      </c>
      <c r="AG145" s="441"/>
      <c r="AH145" s="118"/>
      <c r="AI145" s="115"/>
      <c r="AJ145" s="115"/>
      <c r="AK145" s="115"/>
      <c r="AL145" s="122">
        <v>375000</v>
      </c>
      <c r="AM145" s="337"/>
      <c r="AN145" s="338"/>
      <c r="AO145" s="338"/>
      <c r="AP145" s="338"/>
      <c r="AQ145" s="339">
        <f t="shared" si="63"/>
        <v>430321.12523437489</v>
      </c>
    </row>
    <row r="146" spans="1:43" ht="36" customHeight="1">
      <c r="A146" s="355">
        <v>142</v>
      </c>
      <c r="B146" s="4" t="s">
        <v>14</v>
      </c>
      <c r="C146" s="286" t="s">
        <v>298</v>
      </c>
      <c r="D146" s="484" t="s">
        <v>1184</v>
      </c>
      <c r="E146" s="11" t="s">
        <v>1001</v>
      </c>
      <c r="F146" s="473">
        <v>1650000</v>
      </c>
      <c r="G146" s="51">
        <v>3</v>
      </c>
      <c r="H146" s="57">
        <v>0</v>
      </c>
      <c r="I146" s="65">
        <v>6</v>
      </c>
      <c r="J146" s="66">
        <v>8.0000000000000053</v>
      </c>
      <c r="K146" s="66">
        <v>2</v>
      </c>
      <c r="L146" s="66">
        <v>3</v>
      </c>
      <c r="M146" s="66">
        <v>0</v>
      </c>
      <c r="N146" s="66">
        <v>8.0000000000000053</v>
      </c>
      <c r="O146" s="66">
        <v>0</v>
      </c>
      <c r="P146" s="67">
        <v>10</v>
      </c>
      <c r="Q146" s="70" t="e">
        <f ca="1">(#REF!-(YEAR(TODAY())-#REF!))/#REF!</f>
        <v>#REF!</v>
      </c>
      <c r="R146" s="70">
        <f t="shared" ca="1" si="49"/>
        <v>0</v>
      </c>
      <c r="S146" s="74">
        <f t="shared" si="50"/>
        <v>0.94736842105263153</v>
      </c>
      <c r="T146" s="74">
        <f t="shared" si="51"/>
        <v>0.84210526315789525</v>
      </c>
      <c r="U146" s="74">
        <f t="shared" si="52"/>
        <v>0.2807017543859649</v>
      </c>
      <c r="V146" s="74">
        <f t="shared" si="53"/>
        <v>0.52631578947368418</v>
      </c>
      <c r="W146" s="74">
        <f t="shared" si="54"/>
        <v>0</v>
      </c>
      <c r="X146" s="74">
        <f t="shared" si="55"/>
        <v>0.9824561403508778</v>
      </c>
      <c r="Y146" s="74">
        <f t="shared" si="56"/>
        <v>0</v>
      </c>
      <c r="Z146" s="75">
        <f t="shared" si="57"/>
        <v>1.0526315789473684</v>
      </c>
      <c r="AA146" s="76">
        <f t="shared" si="58"/>
        <v>0.7</v>
      </c>
      <c r="AB146" s="76">
        <f t="shared" ca="1" si="59"/>
        <v>1</v>
      </c>
      <c r="AC146" s="77">
        <f t="shared" ca="1" si="60"/>
        <v>0.79999999999999993</v>
      </c>
      <c r="AD146" s="359">
        <f t="shared" si="61"/>
        <v>4.6315789473684212</v>
      </c>
      <c r="AE146" s="369">
        <f t="shared" ca="1" si="62"/>
        <v>37.05263157894737</v>
      </c>
      <c r="AF146" s="95" t="s">
        <v>248</v>
      </c>
      <c r="AG146" s="441"/>
      <c r="AH146" s="118"/>
      <c r="AI146" s="115"/>
      <c r="AJ146" s="115"/>
      <c r="AK146" s="115"/>
      <c r="AL146" s="122">
        <v>1650000</v>
      </c>
      <c r="AM146" s="337"/>
      <c r="AN146" s="338"/>
      <c r="AO146" s="338"/>
      <c r="AP146" s="338"/>
      <c r="AQ146" s="339">
        <f t="shared" si="63"/>
        <v>1893412.9510312495</v>
      </c>
    </row>
    <row r="147" spans="1:43" ht="36" customHeight="1">
      <c r="A147" s="355">
        <v>143</v>
      </c>
      <c r="B147" s="4" t="s">
        <v>16</v>
      </c>
      <c r="C147" s="286" t="s">
        <v>300</v>
      </c>
      <c r="D147" s="491" t="s">
        <v>1135</v>
      </c>
      <c r="E147" s="15" t="s">
        <v>977</v>
      </c>
      <c r="F147" s="476">
        <v>150000</v>
      </c>
      <c r="G147" s="52">
        <v>3</v>
      </c>
      <c r="H147" s="57">
        <v>0.2</v>
      </c>
      <c r="I147" s="65">
        <v>4</v>
      </c>
      <c r="J147" s="66">
        <v>6</v>
      </c>
      <c r="K147" s="66">
        <v>6</v>
      </c>
      <c r="L147" s="66">
        <v>7</v>
      </c>
      <c r="M147" s="66">
        <v>4</v>
      </c>
      <c r="N147" s="66">
        <v>6</v>
      </c>
      <c r="O147" s="66">
        <v>0</v>
      </c>
      <c r="P147" s="67">
        <v>6</v>
      </c>
      <c r="Q147" s="70" t="e">
        <f ca="1">(#REF!-(YEAR(TODAY())-#REF!))/#REF!</f>
        <v>#REF!</v>
      </c>
      <c r="R147" s="70">
        <f t="shared" ca="1" si="49"/>
        <v>0.2</v>
      </c>
      <c r="S147" s="74">
        <f t="shared" si="50"/>
        <v>0.63157894736842102</v>
      </c>
      <c r="T147" s="74">
        <f t="shared" si="51"/>
        <v>0.63157894736842102</v>
      </c>
      <c r="U147" s="74">
        <f t="shared" si="52"/>
        <v>0.84210526315789469</v>
      </c>
      <c r="V147" s="74">
        <f t="shared" si="53"/>
        <v>1.2280701754385965</v>
      </c>
      <c r="W147" s="74">
        <f t="shared" si="54"/>
        <v>0.35087719298245612</v>
      </c>
      <c r="X147" s="74">
        <f t="shared" si="55"/>
        <v>0.73684210526315785</v>
      </c>
      <c r="Y147" s="74">
        <f t="shared" si="56"/>
        <v>0</v>
      </c>
      <c r="Z147" s="75">
        <f t="shared" si="57"/>
        <v>0.63157894736842102</v>
      </c>
      <c r="AA147" s="76">
        <f t="shared" si="58"/>
        <v>0.7</v>
      </c>
      <c r="AB147" s="76">
        <f t="shared" ca="1" si="59"/>
        <v>0.8</v>
      </c>
      <c r="AC147" s="77">
        <f t="shared" ca="1" si="60"/>
        <v>0.73333333333333339</v>
      </c>
      <c r="AD147" s="359">
        <f t="shared" si="61"/>
        <v>5.0526315789473681</v>
      </c>
      <c r="AE147" s="369">
        <f t="shared" ca="1" si="62"/>
        <v>37.05263157894737</v>
      </c>
      <c r="AF147" s="96" t="s">
        <v>248</v>
      </c>
      <c r="AG147" s="114"/>
      <c r="AH147" s="118"/>
      <c r="AI147" s="115"/>
      <c r="AJ147" s="115"/>
      <c r="AK147" s="115"/>
      <c r="AL147" s="122">
        <v>150000</v>
      </c>
      <c r="AM147" s="337"/>
      <c r="AN147" s="338"/>
      <c r="AO147" s="338"/>
      <c r="AP147" s="338"/>
      <c r="AQ147" s="339">
        <f t="shared" si="63"/>
        <v>172128.45009374994</v>
      </c>
    </row>
    <row r="148" spans="1:43" ht="36" customHeight="1">
      <c r="A148" s="355">
        <v>144</v>
      </c>
      <c r="B148" s="12" t="s">
        <v>14</v>
      </c>
      <c r="C148" s="286" t="s">
        <v>6</v>
      </c>
      <c r="D148" s="10" t="s">
        <v>1020</v>
      </c>
      <c r="E148" s="11" t="s">
        <v>929</v>
      </c>
      <c r="F148" s="473">
        <v>7500000</v>
      </c>
      <c r="G148" s="51">
        <v>4</v>
      </c>
      <c r="H148" s="329">
        <v>0.1</v>
      </c>
      <c r="I148" s="330">
        <v>6.0000000000000036</v>
      </c>
      <c r="J148" s="331">
        <v>8</v>
      </c>
      <c r="K148" s="331">
        <v>2</v>
      </c>
      <c r="L148" s="331">
        <v>5</v>
      </c>
      <c r="M148" s="331">
        <v>2</v>
      </c>
      <c r="N148" s="331">
        <v>9</v>
      </c>
      <c r="O148" s="66">
        <v>0</v>
      </c>
      <c r="P148" s="67">
        <v>10</v>
      </c>
      <c r="Q148" s="70" t="e">
        <f ca="1">(#REF!-(YEAR(TODAY())-#REF!))/#REF!</f>
        <v>#REF!</v>
      </c>
      <c r="R148" s="70">
        <f t="shared" ca="1" si="49"/>
        <v>0.1</v>
      </c>
      <c r="S148" s="74">
        <f t="shared" si="50"/>
        <v>0.94736842105263208</v>
      </c>
      <c r="T148" s="74">
        <f t="shared" si="51"/>
        <v>0.84210526315789469</v>
      </c>
      <c r="U148" s="74">
        <f t="shared" si="52"/>
        <v>0.2807017543859649</v>
      </c>
      <c r="V148" s="74">
        <f t="shared" si="53"/>
        <v>0.8771929824561403</v>
      </c>
      <c r="W148" s="74">
        <f t="shared" si="54"/>
        <v>0.17543859649122806</v>
      </c>
      <c r="X148" s="74">
        <f t="shared" si="55"/>
        <v>1.1052631578947369</v>
      </c>
      <c r="Y148" s="74">
        <f t="shared" si="56"/>
        <v>0</v>
      </c>
      <c r="Z148" s="75">
        <f t="shared" si="57"/>
        <v>1.0526315789473684</v>
      </c>
      <c r="AA148" s="76">
        <f t="shared" si="58"/>
        <v>0.6</v>
      </c>
      <c r="AB148" s="76">
        <f t="shared" ca="1" si="59"/>
        <v>0.9</v>
      </c>
      <c r="AC148" s="77">
        <f t="shared" ca="1" si="60"/>
        <v>0.70000000000000007</v>
      </c>
      <c r="AD148" s="359">
        <f t="shared" si="61"/>
        <v>5.2807017543859649</v>
      </c>
      <c r="AE148" s="369">
        <f t="shared" ca="1" si="62"/>
        <v>36.964912280701753</v>
      </c>
      <c r="AF148" s="96" t="s">
        <v>248</v>
      </c>
      <c r="AG148" s="114"/>
      <c r="AH148" s="118"/>
      <c r="AI148" s="120"/>
      <c r="AJ148" s="120"/>
      <c r="AK148" s="115"/>
      <c r="AL148" s="122">
        <v>500000</v>
      </c>
      <c r="AM148" s="337"/>
      <c r="AN148" s="338"/>
      <c r="AO148" s="338"/>
      <c r="AP148" s="338"/>
      <c r="AQ148" s="339">
        <f t="shared" si="63"/>
        <v>573761.50031249982</v>
      </c>
    </row>
    <row r="149" spans="1:43" ht="36" customHeight="1">
      <c r="A149" s="355">
        <v>145</v>
      </c>
      <c r="B149" s="12" t="s">
        <v>7</v>
      </c>
      <c r="C149" s="344" t="s">
        <v>6</v>
      </c>
      <c r="D149" s="5" t="s">
        <v>855</v>
      </c>
      <c r="E149" s="6" t="s">
        <v>1180</v>
      </c>
      <c r="F149" s="473">
        <v>1215000</v>
      </c>
      <c r="G149" s="51">
        <v>4</v>
      </c>
      <c r="H149" s="329">
        <v>0.4</v>
      </c>
      <c r="I149" s="330">
        <v>8</v>
      </c>
      <c r="J149" s="331">
        <v>8</v>
      </c>
      <c r="K149" s="331">
        <v>5</v>
      </c>
      <c r="L149" s="331">
        <v>8</v>
      </c>
      <c r="M149" s="331">
        <v>7</v>
      </c>
      <c r="N149" s="331">
        <v>4</v>
      </c>
      <c r="O149" s="331">
        <v>0</v>
      </c>
      <c r="P149" s="67">
        <v>8</v>
      </c>
      <c r="Q149" s="70" t="e">
        <f ca="1">(#REF!-(YEAR(TODAY())-#REF!))/#REF!</f>
        <v>#REF!</v>
      </c>
      <c r="R149" s="70">
        <f t="shared" ca="1" si="49"/>
        <v>0.4</v>
      </c>
      <c r="S149" s="74">
        <f t="shared" si="50"/>
        <v>1.263157894736842</v>
      </c>
      <c r="T149" s="74">
        <f t="shared" si="51"/>
        <v>0.84210526315789469</v>
      </c>
      <c r="U149" s="74">
        <f t="shared" si="52"/>
        <v>0.70175438596491224</v>
      </c>
      <c r="V149" s="74">
        <f t="shared" si="53"/>
        <v>1.4035087719298245</v>
      </c>
      <c r="W149" s="74">
        <f t="shared" si="54"/>
        <v>0.61403508771929827</v>
      </c>
      <c r="X149" s="74">
        <f t="shared" si="55"/>
        <v>0.49122807017543857</v>
      </c>
      <c r="Y149" s="74">
        <f t="shared" si="56"/>
        <v>0</v>
      </c>
      <c r="Z149" s="75">
        <f t="shared" si="57"/>
        <v>0.84210526315789469</v>
      </c>
      <c r="AA149" s="76">
        <f t="shared" si="58"/>
        <v>0.6</v>
      </c>
      <c r="AB149" s="76">
        <f t="shared" ca="1" si="59"/>
        <v>0.6</v>
      </c>
      <c r="AC149" s="77">
        <f t="shared" ca="1" si="60"/>
        <v>0.6</v>
      </c>
      <c r="AD149" s="359">
        <f t="shared" si="61"/>
        <v>6.1578947368421044</v>
      </c>
      <c r="AE149" s="369">
        <f t="shared" ca="1" si="62"/>
        <v>36.94736842105263</v>
      </c>
      <c r="AF149" s="96" t="s">
        <v>248</v>
      </c>
      <c r="AG149" s="114"/>
      <c r="AH149" s="118"/>
      <c r="AI149" s="115"/>
      <c r="AJ149" s="115"/>
      <c r="AK149" s="115"/>
      <c r="AL149" s="122"/>
      <c r="AM149" s="337"/>
      <c r="AN149" s="338"/>
      <c r="AO149" s="338"/>
      <c r="AP149" s="338"/>
      <c r="AQ149" s="339"/>
    </row>
    <row r="150" spans="1:43" ht="36" customHeight="1">
      <c r="A150" s="355">
        <v>146</v>
      </c>
      <c r="B150" s="4" t="s">
        <v>8</v>
      </c>
      <c r="C150" s="286" t="s">
        <v>9</v>
      </c>
      <c r="D150" s="8" t="s">
        <v>183</v>
      </c>
      <c r="E150" s="9" t="s">
        <v>1173</v>
      </c>
      <c r="F150" s="476">
        <v>130000</v>
      </c>
      <c r="G150" s="52">
        <v>3</v>
      </c>
      <c r="H150" s="57">
        <v>0.1</v>
      </c>
      <c r="I150" s="65">
        <v>4.0000000000000027</v>
      </c>
      <c r="J150" s="66">
        <v>6.0000000000000036</v>
      </c>
      <c r="K150" s="66">
        <v>6.0000000000000036</v>
      </c>
      <c r="L150" s="66">
        <v>4.0000000000000027</v>
      </c>
      <c r="M150" s="66">
        <v>6</v>
      </c>
      <c r="N150" s="66">
        <v>6.0000000000000036</v>
      </c>
      <c r="O150" s="66">
        <v>0</v>
      </c>
      <c r="P150" s="67">
        <v>7</v>
      </c>
      <c r="Q150" s="70" t="e">
        <f ca="1">(#REF!-(YEAR(TODAY())-#REF!))/#REF!</f>
        <v>#REF!</v>
      </c>
      <c r="R150" s="70">
        <f t="shared" ca="1" si="49"/>
        <v>0.1</v>
      </c>
      <c r="S150" s="74">
        <f t="shared" si="50"/>
        <v>0.63157894736842146</v>
      </c>
      <c r="T150" s="74">
        <f t="shared" si="51"/>
        <v>0.63157894736842146</v>
      </c>
      <c r="U150" s="74">
        <f t="shared" si="52"/>
        <v>0.84210526315789525</v>
      </c>
      <c r="V150" s="74">
        <f t="shared" si="53"/>
        <v>0.7017543859649128</v>
      </c>
      <c r="W150" s="74">
        <f t="shared" si="54"/>
        <v>0.52631578947368418</v>
      </c>
      <c r="X150" s="74">
        <f t="shared" si="55"/>
        <v>0.73684210526315841</v>
      </c>
      <c r="Y150" s="74">
        <f t="shared" si="56"/>
        <v>0</v>
      </c>
      <c r="Z150" s="75">
        <f t="shared" si="57"/>
        <v>0.73684210526315785</v>
      </c>
      <c r="AA150" s="76">
        <f t="shared" si="58"/>
        <v>0.7</v>
      </c>
      <c r="AB150" s="76">
        <f t="shared" ca="1" si="59"/>
        <v>0.9</v>
      </c>
      <c r="AC150" s="77">
        <f t="shared" ca="1" si="60"/>
        <v>0.76666666666666661</v>
      </c>
      <c r="AD150" s="359">
        <f t="shared" si="61"/>
        <v>4.8070175438596507</v>
      </c>
      <c r="AE150" s="369">
        <f t="shared" ca="1" si="62"/>
        <v>36.853801169590653</v>
      </c>
      <c r="AF150" s="96" t="s">
        <v>261</v>
      </c>
      <c r="AG150" s="114"/>
      <c r="AH150" s="118"/>
      <c r="AI150" s="115"/>
      <c r="AJ150" s="115"/>
      <c r="AK150" s="115"/>
      <c r="AL150" s="122">
        <v>130000</v>
      </c>
      <c r="AM150" s="340"/>
      <c r="AN150" s="338"/>
      <c r="AO150" s="338"/>
      <c r="AP150" s="338"/>
      <c r="AQ150" s="339">
        <f t="shared" si="63"/>
        <v>149177.99008124997</v>
      </c>
    </row>
    <row r="151" spans="1:43" ht="36" customHeight="1">
      <c r="A151" s="355">
        <v>147</v>
      </c>
      <c r="B151" s="4" t="s">
        <v>16</v>
      </c>
      <c r="C151" s="286" t="s">
        <v>299</v>
      </c>
      <c r="D151" s="16" t="s">
        <v>859</v>
      </c>
      <c r="E151" s="18" t="s">
        <v>865</v>
      </c>
      <c r="F151" s="477">
        <v>150000</v>
      </c>
      <c r="G151" s="52">
        <v>3</v>
      </c>
      <c r="H151" s="57">
        <v>0.3</v>
      </c>
      <c r="I151" s="65">
        <v>4</v>
      </c>
      <c r="J151" s="66">
        <v>6</v>
      </c>
      <c r="K151" s="66">
        <v>1</v>
      </c>
      <c r="L151" s="66">
        <v>8</v>
      </c>
      <c r="M151" s="66">
        <v>2</v>
      </c>
      <c r="N151" s="66">
        <v>10</v>
      </c>
      <c r="O151" s="66">
        <v>0</v>
      </c>
      <c r="P151" s="67">
        <v>10</v>
      </c>
      <c r="Q151" s="70" t="e">
        <f ca="1">(#REF!-(YEAR(TODAY())-#REF!))/#REF!</f>
        <v>#REF!</v>
      </c>
      <c r="R151" s="70">
        <f t="shared" ca="1" si="49"/>
        <v>0.3</v>
      </c>
      <c r="S151" s="74">
        <f t="shared" si="50"/>
        <v>0.63157894736842102</v>
      </c>
      <c r="T151" s="74">
        <f t="shared" si="51"/>
        <v>0.63157894736842102</v>
      </c>
      <c r="U151" s="74">
        <f t="shared" si="52"/>
        <v>0.14035087719298245</v>
      </c>
      <c r="V151" s="74">
        <f t="shared" si="53"/>
        <v>1.4035087719298245</v>
      </c>
      <c r="W151" s="74">
        <f t="shared" si="54"/>
        <v>0.17543859649122806</v>
      </c>
      <c r="X151" s="74">
        <f t="shared" si="55"/>
        <v>1.2280701754385965</v>
      </c>
      <c r="Y151" s="74">
        <f t="shared" si="56"/>
        <v>0</v>
      </c>
      <c r="Z151" s="75">
        <f t="shared" si="57"/>
        <v>1.0526315789473684</v>
      </c>
      <c r="AA151" s="76">
        <f t="shared" si="58"/>
        <v>0.7</v>
      </c>
      <c r="AB151" s="76">
        <f t="shared" ca="1" si="59"/>
        <v>0.7</v>
      </c>
      <c r="AC151" s="77">
        <f t="shared" ca="1" si="60"/>
        <v>0.69999999999999984</v>
      </c>
      <c r="AD151" s="359">
        <f t="shared" si="61"/>
        <v>5.2631578947368416</v>
      </c>
      <c r="AE151" s="369">
        <f t="shared" ca="1" si="62"/>
        <v>36.842105263157883</v>
      </c>
      <c r="AF151" s="96" t="s">
        <v>862</v>
      </c>
      <c r="AG151" s="443"/>
      <c r="AH151" s="118"/>
      <c r="AI151" s="115"/>
      <c r="AJ151" s="115"/>
      <c r="AK151" s="115"/>
      <c r="AL151" s="122">
        <v>130716</v>
      </c>
      <c r="AM151" s="337"/>
      <c r="AN151" s="338"/>
      <c r="AO151" s="338"/>
      <c r="AP151" s="338"/>
      <c r="AQ151" s="339">
        <f t="shared" si="63"/>
        <v>149999.61654969747</v>
      </c>
    </row>
    <row r="152" spans="1:43" ht="36" customHeight="1">
      <c r="A152" s="355">
        <v>148</v>
      </c>
      <c r="B152" s="4" t="s">
        <v>13</v>
      </c>
      <c r="C152" s="286" t="s">
        <v>300</v>
      </c>
      <c r="D152" s="8" t="s">
        <v>979</v>
      </c>
      <c r="E152" s="15" t="s">
        <v>1147</v>
      </c>
      <c r="F152" s="476">
        <v>300000</v>
      </c>
      <c r="G152" s="52">
        <v>3</v>
      </c>
      <c r="H152" s="57">
        <v>0.2</v>
      </c>
      <c r="I152" s="65">
        <v>6.0000000000000036</v>
      </c>
      <c r="J152" s="66">
        <v>8</v>
      </c>
      <c r="K152" s="66">
        <v>5</v>
      </c>
      <c r="L152" s="66">
        <v>4</v>
      </c>
      <c r="M152" s="66">
        <v>4.0000000000000027</v>
      </c>
      <c r="N152" s="66">
        <v>5</v>
      </c>
      <c r="O152" s="66">
        <v>0</v>
      </c>
      <c r="P152" s="67">
        <v>8</v>
      </c>
      <c r="Q152" s="70" t="e">
        <f ca="1">(#REF!-(YEAR(TODAY())-#REF!))/#REF!</f>
        <v>#REF!</v>
      </c>
      <c r="R152" s="70">
        <f t="shared" ca="1" si="49"/>
        <v>0.2</v>
      </c>
      <c r="S152" s="74">
        <f t="shared" si="50"/>
        <v>0.94736842105263208</v>
      </c>
      <c r="T152" s="74">
        <f t="shared" si="51"/>
        <v>0.84210526315789469</v>
      </c>
      <c r="U152" s="74">
        <f t="shared" si="52"/>
        <v>0.70175438596491224</v>
      </c>
      <c r="V152" s="74">
        <f t="shared" si="53"/>
        <v>0.70175438596491224</v>
      </c>
      <c r="W152" s="74">
        <f t="shared" si="54"/>
        <v>0.3508771929824564</v>
      </c>
      <c r="X152" s="74">
        <f t="shared" si="55"/>
        <v>0.61403508771929827</v>
      </c>
      <c r="Y152" s="74">
        <f t="shared" si="56"/>
        <v>0</v>
      </c>
      <c r="Z152" s="75">
        <f t="shared" si="57"/>
        <v>0.84210526315789469</v>
      </c>
      <c r="AA152" s="76">
        <f t="shared" si="58"/>
        <v>0.7</v>
      </c>
      <c r="AB152" s="76">
        <f t="shared" ca="1" si="59"/>
        <v>0.8</v>
      </c>
      <c r="AC152" s="77">
        <f t="shared" ca="1" si="60"/>
        <v>0.73333333333333339</v>
      </c>
      <c r="AD152" s="359">
        <f t="shared" si="61"/>
        <v>5.0000000000000009</v>
      </c>
      <c r="AE152" s="369">
        <f t="shared" ca="1" si="62"/>
        <v>36.666666666666671</v>
      </c>
      <c r="AF152" s="96" t="s">
        <v>261</v>
      </c>
      <c r="AG152" s="114"/>
      <c r="AH152" s="118"/>
      <c r="AI152" s="115"/>
      <c r="AJ152" s="115"/>
      <c r="AK152" s="115"/>
      <c r="AL152" s="122">
        <v>300000</v>
      </c>
      <c r="AM152" s="337"/>
      <c r="AN152" s="338"/>
      <c r="AO152" s="338"/>
      <c r="AP152" s="338"/>
      <c r="AQ152" s="339">
        <f t="shared" si="63"/>
        <v>344256.90018749988</v>
      </c>
    </row>
    <row r="153" spans="1:43" ht="36" customHeight="1">
      <c r="A153" s="355">
        <v>149</v>
      </c>
      <c r="B153" s="4" t="s">
        <v>35</v>
      </c>
      <c r="C153" s="286" t="s">
        <v>6</v>
      </c>
      <c r="D153" s="16" t="s">
        <v>1106</v>
      </c>
      <c r="E153" s="18" t="s">
        <v>1107</v>
      </c>
      <c r="F153" s="476">
        <v>200000</v>
      </c>
      <c r="G153" s="52">
        <v>3</v>
      </c>
      <c r="H153" s="57">
        <v>0.1</v>
      </c>
      <c r="I153" s="65">
        <v>6.0000000000000036</v>
      </c>
      <c r="J153" s="66">
        <v>4.0000000000000027</v>
      </c>
      <c r="K153" s="66">
        <v>4</v>
      </c>
      <c r="L153" s="66">
        <v>4.0000000000000027</v>
      </c>
      <c r="M153" s="66">
        <v>4</v>
      </c>
      <c r="N153" s="66">
        <v>6.0000000000000036</v>
      </c>
      <c r="O153" s="66">
        <v>4</v>
      </c>
      <c r="P153" s="67">
        <v>6.0000000000000036</v>
      </c>
      <c r="Q153" s="70" t="e">
        <f ca="1">(#REF!-(YEAR(TODAY())-#REF!))/#REF!</f>
        <v>#REF!</v>
      </c>
      <c r="R153" s="70">
        <f t="shared" ca="1" si="49"/>
        <v>0.1</v>
      </c>
      <c r="S153" s="74">
        <f t="shared" si="50"/>
        <v>0.94736842105263208</v>
      </c>
      <c r="T153" s="74">
        <f t="shared" si="51"/>
        <v>0.42105263157894762</v>
      </c>
      <c r="U153" s="74">
        <f t="shared" si="52"/>
        <v>0.56140350877192979</v>
      </c>
      <c r="V153" s="74">
        <f t="shared" si="53"/>
        <v>0.7017543859649128</v>
      </c>
      <c r="W153" s="74">
        <f t="shared" si="54"/>
        <v>0.35087719298245612</v>
      </c>
      <c r="X153" s="74">
        <f t="shared" si="55"/>
        <v>0.73684210526315841</v>
      </c>
      <c r="Y153" s="74">
        <f t="shared" si="56"/>
        <v>0.42105263157894735</v>
      </c>
      <c r="Z153" s="75">
        <f t="shared" si="57"/>
        <v>0.63157894736842146</v>
      </c>
      <c r="AA153" s="76">
        <f t="shared" si="58"/>
        <v>0.7</v>
      </c>
      <c r="AB153" s="76">
        <f t="shared" ca="1" si="59"/>
        <v>0.9</v>
      </c>
      <c r="AC153" s="77">
        <f t="shared" ca="1" si="60"/>
        <v>0.76666666666666661</v>
      </c>
      <c r="AD153" s="359">
        <f t="shared" si="61"/>
        <v>4.7719298245614059</v>
      </c>
      <c r="AE153" s="369">
        <f t="shared" ca="1" si="62"/>
        <v>36.584795321637444</v>
      </c>
      <c r="AF153" s="96" t="s">
        <v>257</v>
      </c>
      <c r="AG153" s="443"/>
      <c r="AH153" s="118"/>
      <c r="AI153" s="115"/>
      <c r="AJ153" s="115"/>
      <c r="AK153" s="115"/>
      <c r="AL153" s="122"/>
      <c r="AM153" s="337"/>
      <c r="AN153" s="338"/>
      <c r="AO153" s="338"/>
      <c r="AP153" s="338"/>
      <c r="AQ153" s="339"/>
    </row>
    <row r="154" spans="1:43" ht="36" customHeight="1">
      <c r="A154" s="355">
        <v>150</v>
      </c>
      <c r="B154" s="4" t="s">
        <v>22</v>
      </c>
      <c r="C154" s="286" t="s">
        <v>6</v>
      </c>
      <c r="D154" s="16" t="s">
        <v>23</v>
      </c>
      <c r="E154" s="290" t="s">
        <v>930</v>
      </c>
      <c r="F154" s="476">
        <v>250000</v>
      </c>
      <c r="G154" s="52">
        <v>4</v>
      </c>
      <c r="H154" s="57">
        <v>0.3</v>
      </c>
      <c r="I154" s="65">
        <v>6</v>
      </c>
      <c r="J154" s="66">
        <v>8</v>
      </c>
      <c r="K154" s="66">
        <v>3</v>
      </c>
      <c r="L154" s="66">
        <v>9.9999999999999982</v>
      </c>
      <c r="M154" s="66">
        <v>0</v>
      </c>
      <c r="N154" s="66">
        <v>6.0000000000000036</v>
      </c>
      <c r="O154" s="66">
        <v>4</v>
      </c>
      <c r="P154" s="67">
        <v>6.0000000000000036</v>
      </c>
      <c r="Q154" s="70" t="e">
        <f ca="1">(#REF!-(YEAR(TODAY())-#REF!))/#REF!</f>
        <v>#REF!</v>
      </c>
      <c r="R154" s="70">
        <f t="shared" ca="1" si="49"/>
        <v>0.3</v>
      </c>
      <c r="S154" s="74">
        <f t="shared" si="50"/>
        <v>0.94736842105263153</v>
      </c>
      <c r="T154" s="74">
        <f t="shared" si="51"/>
        <v>0.84210526315789469</v>
      </c>
      <c r="U154" s="74">
        <f t="shared" si="52"/>
        <v>0.42105263157894735</v>
      </c>
      <c r="V154" s="74">
        <f t="shared" si="53"/>
        <v>1.7543859649122804</v>
      </c>
      <c r="W154" s="74">
        <f t="shared" si="54"/>
        <v>0</v>
      </c>
      <c r="X154" s="74">
        <f t="shared" si="55"/>
        <v>0.73684210526315841</v>
      </c>
      <c r="Y154" s="74">
        <f t="shared" si="56"/>
        <v>0.42105263157894735</v>
      </c>
      <c r="Z154" s="75">
        <f t="shared" si="57"/>
        <v>0.63157894736842146</v>
      </c>
      <c r="AA154" s="76">
        <f t="shared" si="58"/>
        <v>0.6</v>
      </c>
      <c r="AB154" s="76">
        <f t="shared" ca="1" si="59"/>
        <v>0.7</v>
      </c>
      <c r="AC154" s="77">
        <f t="shared" ca="1" si="60"/>
        <v>0.6333333333333333</v>
      </c>
      <c r="AD154" s="359">
        <f t="shared" si="61"/>
        <v>5.7543859649122808</v>
      </c>
      <c r="AE154" s="369">
        <f t="shared" ca="1" si="62"/>
        <v>36.444444444444443</v>
      </c>
      <c r="AF154" s="96" t="s">
        <v>248</v>
      </c>
      <c r="AG154" s="442"/>
      <c r="AH154" s="118"/>
      <c r="AI154" s="115"/>
      <c r="AJ154" s="115"/>
      <c r="AK154" s="115"/>
      <c r="AL154" s="122"/>
      <c r="AM154" s="337"/>
      <c r="AN154" s="338"/>
      <c r="AO154" s="338"/>
      <c r="AP154" s="338"/>
      <c r="AQ154" s="339"/>
    </row>
    <row r="155" spans="1:43" ht="36" customHeight="1">
      <c r="A155" s="355">
        <v>151</v>
      </c>
      <c r="B155" s="4" t="s">
        <v>10</v>
      </c>
      <c r="C155" s="286" t="s">
        <v>300</v>
      </c>
      <c r="D155" s="10" t="s">
        <v>957</v>
      </c>
      <c r="E155" s="11" t="s">
        <v>956</v>
      </c>
      <c r="F155" s="476">
        <v>100000</v>
      </c>
      <c r="G155" s="52">
        <v>4</v>
      </c>
      <c r="H155" s="57">
        <v>0.4</v>
      </c>
      <c r="I155" s="65">
        <v>7</v>
      </c>
      <c r="J155" s="66">
        <v>7</v>
      </c>
      <c r="K155" s="66">
        <v>4.0000000000000027</v>
      </c>
      <c r="L155" s="66">
        <v>8.0000000000000053</v>
      </c>
      <c r="M155" s="66">
        <v>5</v>
      </c>
      <c r="N155" s="66">
        <v>8.0000000000000053</v>
      </c>
      <c r="O155" s="66">
        <v>0</v>
      </c>
      <c r="P155" s="67">
        <v>8</v>
      </c>
      <c r="Q155" s="70" t="e">
        <f ca="1">(#REF!-(YEAR(TODAY())-#REF!))/#REF!</f>
        <v>#REF!</v>
      </c>
      <c r="R155" s="70">
        <f t="shared" ca="1" si="49"/>
        <v>0.4</v>
      </c>
      <c r="S155" s="74">
        <f t="shared" si="50"/>
        <v>1.1052631578947369</v>
      </c>
      <c r="T155" s="74">
        <f t="shared" si="51"/>
        <v>0.73684210526315785</v>
      </c>
      <c r="U155" s="74">
        <f t="shared" si="52"/>
        <v>0.56140350877193024</v>
      </c>
      <c r="V155" s="74">
        <f t="shared" si="53"/>
        <v>1.4035087719298256</v>
      </c>
      <c r="W155" s="74">
        <f t="shared" si="54"/>
        <v>0.43859649122807015</v>
      </c>
      <c r="X155" s="74">
        <f t="shared" si="55"/>
        <v>0.9824561403508778</v>
      </c>
      <c r="Y155" s="74">
        <f t="shared" si="56"/>
        <v>0</v>
      </c>
      <c r="Z155" s="75">
        <f t="shared" si="57"/>
        <v>0.84210526315789469</v>
      </c>
      <c r="AA155" s="76">
        <f t="shared" si="58"/>
        <v>0.6</v>
      </c>
      <c r="AB155" s="76">
        <f t="shared" ca="1" si="59"/>
        <v>0.6</v>
      </c>
      <c r="AC155" s="77">
        <f t="shared" ca="1" si="60"/>
        <v>0.6</v>
      </c>
      <c r="AD155" s="359">
        <f t="shared" si="61"/>
        <v>6.0701754385964932</v>
      </c>
      <c r="AE155" s="369">
        <f t="shared" ca="1" si="62"/>
        <v>36.421052631578959</v>
      </c>
      <c r="AF155" s="96" t="s">
        <v>248</v>
      </c>
      <c r="AG155" s="442"/>
      <c r="AH155" s="118"/>
      <c r="AI155" s="115"/>
      <c r="AJ155" s="115"/>
      <c r="AK155" s="115"/>
      <c r="AL155" s="122"/>
      <c r="AM155" s="337"/>
      <c r="AN155" s="338"/>
      <c r="AO155" s="338"/>
      <c r="AP155" s="338"/>
      <c r="AQ155" s="339"/>
    </row>
    <row r="156" spans="1:43" ht="36" customHeight="1">
      <c r="A156" s="355">
        <v>152</v>
      </c>
      <c r="B156" s="12" t="s">
        <v>7</v>
      </c>
      <c r="C156" s="344" t="s">
        <v>6</v>
      </c>
      <c r="D156" s="5" t="s">
        <v>97</v>
      </c>
      <c r="E156" s="6" t="s">
        <v>98</v>
      </c>
      <c r="F156" s="473">
        <v>1226000</v>
      </c>
      <c r="G156" s="52">
        <v>4</v>
      </c>
      <c r="H156" s="57">
        <v>0.1</v>
      </c>
      <c r="I156" s="65">
        <v>8.0000000000000053</v>
      </c>
      <c r="J156" s="66">
        <v>6.0000000000000036</v>
      </c>
      <c r="K156" s="66">
        <v>2</v>
      </c>
      <c r="L156" s="66">
        <v>3</v>
      </c>
      <c r="M156" s="66">
        <v>8.0000000000000053</v>
      </c>
      <c r="N156" s="66">
        <v>6.0000000000000036</v>
      </c>
      <c r="O156" s="66">
        <v>2</v>
      </c>
      <c r="P156" s="67">
        <v>8.0000000000000053</v>
      </c>
      <c r="Q156" s="70" t="e">
        <f ca="1">(#REF!-(YEAR(TODAY())-#REF!))/#REF!</f>
        <v>#REF!</v>
      </c>
      <c r="R156" s="70">
        <f t="shared" ca="1" si="49"/>
        <v>0.1</v>
      </c>
      <c r="S156" s="74">
        <f t="shared" si="50"/>
        <v>1.2631578947368429</v>
      </c>
      <c r="T156" s="74">
        <f t="shared" si="51"/>
        <v>0.63157894736842146</v>
      </c>
      <c r="U156" s="74">
        <f t="shared" si="52"/>
        <v>0.2807017543859649</v>
      </c>
      <c r="V156" s="74">
        <f t="shared" si="53"/>
        <v>0.52631578947368418</v>
      </c>
      <c r="W156" s="74">
        <f t="shared" si="54"/>
        <v>0.7017543859649128</v>
      </c>
      <c r="X156" s="74">
        <f t="shared" si="55"/>
        <v>0.73684210526315841</v>
      </c>
      <c r="Y156" s="74">
        <f t="shared" si="56"/>
        <v>0.21052631578947367</v>
      </c>
      <c r="Z156" s="75">
        <f t="shared" si="57"/>
        <v>0.84210526315789525</v>
      </c>
      <c r="AA156" s="76">
        <f t="shared" si="58"/>
        <v>0.6</v>
      </c>
      <c r="AB156" s="76">
        <f t="shared" ca="1" si="59"/>
        <v>0.9</v>
      </c>
      <c r="AC156" s="77">
        <f t="shared" ca="1" si="60"/>
        <v>0.70000000000000007</v>
      </c>
      <c r="AD156" s="359">
        <f t="shared" si="61"/>
        <v>5.1929824561403537</v>
      </c>
      <c r="AE156" s="369">
        <f t="shared" ca="1" si="62"/>
        <v>36.35087719298248</v>
      </c>
      <c r="AF156" s="96" t="s">
        <v>248</v>
      </c>
      <c r="AG156" s="114"/>
      <c r="AH156" s="118"/>
      <c r="AI156" s="115"/>
      <c r="AJ156" s="115"/>
      <c r="AK156" s="115"/>
      <c r="AL156" s="122"/>
      <c r="AM156" s="337"/>
      <c r="AN156" s="338"/>
      <c r="AO156" s="338"/>
      <c r="AP156" s="338"/>
      <c r="AQ156" s="339"/>
    </row>
    <row r="157" spans="1:43" ht="36" customHeight="1">
      <c r="A157" s="355">
        <v>153</v>
      </c>
      <c r="B157" s="12" t="s">
        <v>7</v>
      </c>
      <c r="C157" s="344" t="s">
        <v>6</v>
      </c>
      <c r="D157" s="5" t="s">
        <v>324</v>
      </c>
      <c r="E157" s="489" t="s">
        <v>841</v>
      </c>
      <c r="F157" s="473">
        <v>225000</v>
      </c>
      <c r="G157" s="52">
        <v>3</v>
      </c>
      <c r="H157" s="57">
        <v>0.1</v>
      </c>
      <c r="I157" s="65">
        <v>8</v>
      </c>
      <c r="J157" s="66">
        <v>6</v>
      </c>
      <c r="K157" s="66">
        <v>2</v>
      </c>
      <c r="L157" s="66">
        <v>5</v>
      </c>
      <c r="M157" s="66">
        <v>2</v>
      </c>
      <c r="N157" s="66">
        <v>2</v>
      </c>
      <c r="O157" s="66">
        <v>4</v>
      </c>
      <c r="P157" s="67">
        <v>8</v>
      </c>
      <c r="Q157" s="70" t="e">
        <f ca="1">(#REF!-(YEAR(TODAY())-#REF!))/#REF!</f>
        <v>#REF!</v>
      </c>
      <c r="R157" s="70">
        <f t="shared" ca="1" si="49"/>
        <v>0.1</v>
      </c>
      <c r="S157" s="74">
        <f t="shared" si="50"/>
        <v>1.263157894736842</v>
      </c>
      <c r="T157" s="74">
        <f t="shared" si="51"/>
        <v>0.63157894736842102</v>
      </c>
      <c r="U157" s="74">
        <f t="shared" si="52"/>
        <v>0.2807017543859649</v>
      </c>
      <c r="V157" s="74">
        <f t="shared" si="53"/>
        <v>0.8771929824561403</v>
      </c>
      <c r="W157" s="74">
        <f t="shared" si="54"/>
        <v>0.17543859649122806</v>
      </c>
      <c r="X157" s="74">
        <f t="shared" si="55"/>
        <v>0.24561403508771928</v>
      </c>
      <c r="Y157" s="74">
        <f t="shared" si="56"/>
        <v>0.42105263157894735</v>
      </c>
      <c r="Z157" s="75">
        <f t="shared" si="57"/>
        <v>0.84210526315789469</v>
      </c>
      <c r="AA157" s="76">
        <f t="shared" si="58"/>
        <v>0.7</v>
      </c>
      <c r="AB157" s="76">
        <f t="shared" ca="1" si="59"/>
        <v>0.9</v>
      </c>
      <c r="AC157" s="77">
        <f t="shared" ca="1" si="60"/>
        <v>0.76666666666666661</v>
      </c>
      <c r="AD157" s="359">
        <f t="shared" si="61"/>
        <v>4.7368421052631575</v>
      </c>
      <c r="AE157" s="369">
        <f t="shared" ca="1" si="62"/>
        <v>36.315789473684205</v>
      </c>
      <c r="AF157" s="96" t="s">
        <v>248</v>
      </c>
      <c r="AG157" s="443"/>
      <c r="AH157" s="118"/>
      <c r="AI157" s="115"/>
      <c r="AJ157" s="115"/>
      <c r="AK157" s="115"/>
      <c r="AL157" s="122"/>
      <c r="AM157" s="337"/>
      <c r="AN157" s="338"/>
      <c r="AO157" s="338"/>
      <c r="AP157" s="338"/>
      <c r="AQ157" s="339"/>
    </row>
    <row r="158" spans="1:43" ht="36" customHeight="1">
      <c r="A158" s="355">
        <v>154</v>
      </c>
      <c r="B158" s="12" t="s">
        <v>7</v>
      </c>
      <c r="C158" s="344" t="s">
        <v>6</v>
      </c>
      <c r="D158" s="8" t="s">
        <v>121</v>
      </c>
      <c r="E158" s="7" t="s">
        <v>122</v>
      </c>
      <c r="F158" s="481">
        <v>300000</v>
      </c>
      <c r="G158" s="51">
        <v>3</v>
      </c>
      <c r="H158" s="57">
        <v>0.2</v>
      </c>
      <c r="I158" s="65">
        <v>6.0000000000000036</v>
      </c>
      <c r="J158" s="66">
        <v>8.0000000000000053</v>
      </c>
      <c r="K158" s="66">
        <v>2</v>
      </c>
      <c r="L158" s="66">
        <v>6.0000000000000036</v>
      </c>
      <c r="M158" s="66">
        <v>0</v>
      </c>
      <c r="N158" s="66">
        <v>8.0000000000000053</v>
      </c>
      <c r="O158" s="66">
        <v>0</v>
      </c>
      <c r="P158" s="67">
        <v>8.0000000000000053</v>
      </c>
      <c r="Q158" s="70" t="e">
        <f ca="1">(#REF!-(YEAR(TODAY())-#REF!))/#REF!</f>
        <v>#REF!</v>
      </c>
      <c r="R158" s="70">
        <f t="shared" ca="1" si="49"/>
        <v>0.2</v>
      </c>
      <c r="S158" s="74">
        <f t="shared" si="50"/>
        <v>0.94736842105263208</v>
      </c>
      <c r="T158" s="74">
        <f t="shared" si="51"/>
        <v>0.84210526315789525</v>
      </c>
      <c r="U158" s="74">
        <f t="shared" si="52"/>
        <v>0.2807017543859649</v>
      </c>
      <c r="V158" s="74">
        <f t="shared" si="53"/>
        <v>1.052631578947369</v>
      </c>
      <c r="W158" s="74">
        <f t="shared" si="54"/>
        <v>0</v>
      </c>
      <c r="X158" s="74">
        <f t="shared" si="55"/>
        <v>0.9824561403508778</v>
      </c>
      <c r="Y158" s="74">
        <f t="shared" si="56"/>
        <v>0</v>
      </c>
      <c r="Z158" s="75">
        <f t="shared" si="57"/>
        <v>0.84210526315789525</v>
      </c>
      <c r="AA158" s="76">
        <f t="shared" si="58"/>
        <v>0.7</v>
      </c>
      <c r="AB158" s="76">
        <f t="shared" ca="1" si="59"/>
        <v>0.8</v>
      </c>
      <c r="AC158" s="77">
        <f t="shared" ca="1" si="60"/>
        <v>0.73333333333333339</v>
      </c>
      <c r="AD158" s="359">
        <f t="shared" si="61"/>
        <v>4.9473684210526345</v>
      </c>
      <c r="AE158" s="369">
        <f t="shared" ca="1" si="62"/>
        <v>36.280701754385987</v>
      </c>
      <c r="AF158" s="95" t="s">
        <v>248</v>
      </c>
      <c r="AG158" s="441"/>
      <c r="AH158" s="118"/>
      <c r="AI158" s="115"/>
      <c r="AJ158" s="115"/>
      <c r="AK158" s="115"/>
      <c r="AL158" s="122"/>
      <c r="AM158" s="337"/>
      <c r="AN158" s="338"/>
      <c r="AO158" s="338"/>
      <c r="AP158" s="338"/>
      <c r="AQ158" s="339"/>
    </row>
    <row r="159" spans="1:43" ht="36" customHeight="1">
      <c r="A159" s="355">
        <v>155</v>
      </c>
      <c r="B159" s="12" t="s">
        <v>5</v>
      </c>
      <c r="C159" s="344" t="s">
        <v>6</v>
      </c>
      <c r="D159" s="5" t="s">
        <v>81</v>
      </c>
      <c r="E159" s="6" t="s">
        <v>1118</v>
      </c>
      <c r="F159" s="473">
        <v>2000000</v>
      </c>
      <c r="G159" s="51">
        <v>4</v>
      </c>
      <c r="H159" s="57">
        <v>0.1</v>
      </c>
      <c r="I159" s="65">
        <v>6.0000000000000036</v>
      </c>
      <c r="J159" s="66">
        <v>6.0000000000000036</v>
      </c>
      <c r="K159" s="66">
        <v>4</v>
      </c>
      <c r="L159" s="66">
        <v>6.0000000000000036</v>
      </c>
      <c r="M159" s="66">
        <v>1</v>
      </c>
      <c r="N159" s="66">
        <v>6.0000000000000036</v>
      </c>
      <c r="O159" s="66">
        <v>5</v>
      </c>
      <c r="P159" s="67">
        <v>6.0000000000000036</v>
      </c>
      <c r="Q159" s="70" t="e">
        <f ca="1">(#REF!-(YEAR(TODAY())-#REF!))/#REF!</f>
        <v>#REF!</v>
      </c>
      <c r="R159" s="70">
        <f t="shared" ca="1" si="49"/>
        <v>0.1</v>
      </c>
      <c r="S159" s="74">
        <f t="shared" si="50"/>
        <v>0.94736842105263208</v>
      </c>
      <c r="T159" s="74">
        <f t="shared" si="51"/>
        <v>0.63157894736842146</v>
      </c>
      <c r="U159" s="74">
        <f t="shared" si="52"/>
        <v>0.56140350877192979</v>
      </c>
      <c r="V159" s="74">
        <f t="shared" si="53"/>
        <v>1.052631578947369</v>
      </c>
      <c r="W159" s="74">
        <f t="shared" si="54"/>
        <v>8.771929824561403E-2</v>
      </c>
      <c r="X159" s="74">
        <f t="shared" si="55"/>
        <v>0.73684210526315841</v>
      </c>
      <c r="Y159" s="74">
        <f t="shared" si="56"/>
        <v>0.52631578947368418</v>
      </c>
      <c r="Z159" s="75">
        <f t="shared" si="57"/>
        <v>0.63157894736842146</v>
      </c>
      <c r="AA159" s="76">
        <f t="shared" si="58"/>
        <v>0.6</v>
      </c>
      <c r="AB159" s="76">
        <f t="shared" ca="1" si="59"/>
        <v>0.9</v>
      </c>
      <c r="AC159" s="77">
        <f t="shared" ca="1" si="60"/>
        <v>0.70000000000000007</v>
      </c>
      <c r="AD159" s="359">
        <f t="shared" si="61"/>
        <v>5.1754385964912304</v>
      </c>
      <c r="AE159" s="369">
        <f t="shared" ca="1" si="62"/>
        <v>36.228070175438617</v>
      </c>
      <c r="AF159" s="95" t="s">
        <v>248</v>
      </c>
      <c r="AG159" s="441"/>
      <c r="AH159" s="118"/>
      <c r="AI159" s="115"/>
      <c r="AJ159" s="115"/>
      <c r="AK159" s="115"/>
      <c r="AL159" s="122"/>
      <c r="AM159" s="337"/>
      <c r="AN159" s="338"/>
      <c r="AO159" s="338"/>
      <c r="AP159" s="338"/>
      <c r="AQ159" s="339"/>
    </row>
    <row r="160" spans="1:43" ht="36" customHeight="1">
      <c r="A160" s="355">
        <v>156</v>
      </c>
      <c r="B160" s="12" t="s">
        <v>5</v>
      </c>
      <c r="C160" s="344" t="s">
        <v>6</v>
      </c>
      <c r="D160" s="5" t="s">
        <v>74</v>
      </c>
      <c r="E160" s="6" t="s">
        <v>834</v>
      </c>
      <c r="F160" s="470">
        <v>1480000</v>
      </c>
      <c r="G160" s="51">
        <v>3</v>
      </c>
      <c r="H160" s="57">
        <v>0.3</v>
      </c>
      <c r="I160" s="65">
        <v>5</v>
      </c>
      <c r="J160" s="66">
        <v>7</v>
      </c>
      <c r="K160" s="66">
        <v>3</v>
      </c>
      <c r="L160" s="66">
        <v>8</v>
      </c>
      <c r="M160" s="66">
        <v>0</v>
      </c>
      <c r="N160" s="66">
        <v>8</v>
      </c>
      <c r="O160" s="66">
        <v>0</v>
      </c>
      <c r="P160" s="67">
        <v>8</v>
      </c>
      <c r="Q160" s="70" t="e">
        <f ca="1">(#REF!-(YEAR(TODAY())-#REF!))/#REF!</f>
        <v>#REF!</v>
      </c>
      <c r="R160" s="70">
        <f t="shared" ca="1" si="49"/>
        <v>0.3</v>
      </c>
      <c r="S160" s="74">
        <f t="shared" si="50"/>
        <v>0.78947368421052633</v>
      </c>
      <c r="T160" s="74">
        <f t="shared" si="51"/>
        <v>0.73684210526315785</v>
      </c>
      <c r="U160" s="74">
        <f t="shared" si="52"/>
        <v>0.42105263157894735</v>
      </c>
      <c r="V160" s="74">
        <f t="shared" si="53"/>
        <v>1.4035087719298245</v>
      </c>
      <c r="W160" s="74">
        <f t="shared" si="54"/>
        <v>0</v>
      </c>
      <c r="X160" s="74">
        <f t="shared" si="55"/>
        <v>0.98245614035087714</v>
      </c>
      <c r="Y160" s="74">
        <f t="shared" si="56"/>
        <v>0</v>
      </c>
      <c r="Z160" s="75">
        <f t="shared" si="57"/>
        <v>0.84210526315789469</v>
      </c>
      <c r="AA160" s="76">
        <f t="shared" si="58"/>
        <v>0.7</v>
      </c>
      <c r="AB160" s="76">
        <f t="shared" ca="1" si="59"/>
        <v>0.7</v>
      </c>
      <c r="AC160" s="77">
        <f t="shared" ca="1" si="60"/>
        <v>0.69999999999999984</v>
      </c>
      <c r="AD160" s="359">
        <f t="shared" si="61"/>
        <v>5.1754385964912277</v>
      </c>
      <c r="AE160" s="369">
        <f t="shared" ca="1" si="62"/>
        <v>36.228070175438589</v>
      </c>
      <c r="AF160" s="95" t="s">
        <v>248</v>
      </c>
      <c r="AG160" s="441"/>
      <c r="AH160" s="118"/>
      <c r="AI160" s="115"/>
      <c r="AJ160" s="115"/>
      <c r="AK160" s="115"/>
      <c r="AL160" s="122"/>
      <c r="AM160" s="337"/>
      <c r="AN160" s="338"/>
      <c r="AO160" s="338"/>
      <c r="AP160" s="338"/>
      <c r="AQ160" s="339"/>
    </row>
    <row r="161" spans="1:43" ht="36" customHeight="1">
      <c r="A161" s="355">
        <v>157</v>
      </c>
      <c r="B161" s="4" t="s">
        <v>10</v>
      </c>
      <c r="C161" s="286" t="s">
        <v>6</v>
      </c>
      <c r="D161" s="16" t="s">
        <v>120</v>
      </c>
      <c r="E161" s="18" t="s">
        <v>905</v>
      </c>
      <c r="F161" s="477">
        <v>140000</v>
      </c>
      <c r="G161" s="52">
        <v>3</v>
      </c>
      <c r="H161" s="57">
        <v>0.2</v>
      </c>
      <c r="I161" s="65">
        <v>6</v>
      </c>
      <c r="J161" s="66">
        <v>1</v>
      </c>
      <c r="K161" s="66">
        <v>6.0000000000000036</v>
      </c>
      <c r="L161" s="66">
        <v>8.0000000000000053</v>
      </c>
      <c r="M161" s="66">
        <v>4.0000000000000027</v>
      </c>
      <c r="N161" s="66">
        <v>1</v>
      </c>
      <c r="O161" s="66">
        <v>4</v>
      </c>
      <c r="P161" s="67">
        <v>7.0000000000000044</v>
      </c>
      <c r="Q161" s="70" t="e">
        <f ca="1">(#REF!-(YEAR(TODAY())-#REF!))/#REF!</f>
        <v>#REF!</v>
      </c>
      <c r="R161" s="70">
        <f t="shared" ca="1" si="49"/>
        <v>0.2</v>
      </c>
      <c r="S161" s="74">
        <f t="shared" si="50"/>
        <v>0.94736842105263153</v>
      </c>
      <c r="T161" s="74">
        <f t="shared" si="51"/>
        <v>0.10526315789473684</v>
      </c>
      <c r="U161" s="74">
        <f t="shared" si="52"/>
        <v>0.84210526315789525</v>
      </c>
      <c r="V161" s="74">
        <f t="shared" si="53"/>
        <v>1.4035087719298256</v>
      </c>
      <c r="W161" s="74">
        <f t="shared" si="54"/>
        <v>0.3508771929824564</v>
      </c>
      <c r="X161" s="74">
        <f t="shared" si="55"/>
        <v>0.12280701754385964</v>
      </c>
      <c r="Y161" s="74">
        <f t="shared" si="56"/>
        <v>0.42105263157894735</v>
      </c>
      <c r="Z161" s="75">
        <f t="shared" si="57"/>
        <v>0.73684210526315841</v>
      </c>
      <c r="AA161" s="76">
        <f t="shared" si="58"/>
        <v>0.7</v>
      </c>
      <c r="AB161" s="76">
        <f t="shared" ca="1" si="59"/>
        <v>0.8</v>
      </c>
      <c r="AC161" s="77">
        <f t="shared" ca="1" si="60"/>
        <v>0.73333333333333339</v>
      </c>
      <c r="AD161" s="359">
        <f t="shared" si="61"/>
        <v>4.9298245614035112</v>
      </c>
      <c r="AE161" s="369">
        <f t="shared" ca="1" si="62"/>
        <v>36.15204678362575</v>
      </c>
      <c r="AF161" s="96" t="s">
        <v>248</v>
      </c>
      <c r="AG161" s="442"/>
      <c r="AH161" s="118"/>
      <c r="AI161" s="115"/>
      <c r="AJ161" s="115"/>
      <c r="AK161" s="115"/>
      <c r="AL161" s="122"/>
      <c r="AM161" s="337"/>
      <c r="AN161" s="338"/>
      <c r="AO161" s="338"/>
      <c r="AP161" s="338"/>
      <c r="AQ161" s="339"/>
    </row>
    <row r="162" spans="1:43" ht="36" customHeight="1">
      <c r="A162" s="355">
        <v>158</v>
      </c>
      <c r="B162" s="4" t="s">
        <v>5</v>
      </c>
      <c r="C162" s="286" t="s">
        <v>6</v>
      </c>
      <c r="D162" s="5" t="s">
        <v>847</v>
      </c>
      <c r="E162" s="6" t="s">
        <v>984</v>
      </c>
      <c r="F162" s="473">
        <v>180000</v>
      </c>
      <c r="G162" s="51">
        <v>3</v>
      </c>
      <c r="H162" s="57">
        <v>0.2</v>
      </c>
      <c r="I162" s="65">
        <v>5</v>
      </c>
      <c r="J162" s="66">
        <v>8</v>
      </c>
      <c r="K162" s="66">
        <v>3</v>
      </c>
      <c r="L162" s="66">
        <v>4</v>
      </c>
      <c r="M162" s="66">
        <v>6</v>
      </c>
      <c r="N162" s="66">
        <v>4</v>
      </c>
      <c r="O162" s="66">
        <v>4</v>
      </c>
      <c r="P162" s="67">
        <v>7</v>
      </c>
      <c r="Q162" s="70" t="e">
        <f ca="1">(#REF!-(YEAR(TODAY())-#REF!))/#REF!</f>
        <v>#REF!</v>
      </c>
      <c r="R162" s="70">
        <f t="shared" ca="1" si="49"/>
        <v>0.2</v>
      </c>
      <c r="S162" s="74">
        <f t="shared" si="50"/>
        <v>0.78947368421052633</v>
      </c>
      <c r="T162" s="74">
        <f t="shared" si="51"/>
        <v>0.84210526315789469</v>
      </c>
      <c r="U162" s="74">
        <f t="shared" si="52"/>
        <v>0.42105263157894735</v>
      </c>
      <c r="V162" s="74">
        <f t="shared" si="53"/>
        <v>0.70175438596491224</v>
      </c>
      <c r="W162" s="74">
        <f t="shared" si="54"/>
        <v>0.52631578947368418</v>
      </c>
      <c r="X162" s="74">
        <f t="shared" si="55"/>
        <v>0.49122807017543857</v>
      </c>
      <c r="Y162" s="74">
        <f t="shared" si="56"/>
        <v>0.42105263157894735</v>
      </c>
      <c r="Z162" s="75">
        <f t="shared" si="57"/>
        <v>0.73684210526315785</v>
      </c>
      <c r="AA162" s="76">
        <f t="shared" si="58"/>
        <v>0.7</v>
      </c>
      <c r="AB162" s="76">
        <f t="shared" ca="1" si="59"/>
        <v>0.8</v>
      </c>
      <c r="AC162" s="77">
        <f t="shared" ca="1" si="60"/>
        <v>0.73333333333333339</v>
      </c>
      <c r="AD162" s="359">
        <f t="shared" si="61"/>
        <v>4.9298245614035086</v>
      </c>
      <c r="AE162" s="369">
        <f t="shared" ca="1" si="62"/>
        <v>36.152046783625728</v>
      </c>
      <c r="AF162" s="96" t="s">
        <v>248</v>
      </c>
      <c r="AG162" s="442"/>
      <c r="AH162" s="123"/>
      <c r="AI162" s="120"/>
      <c r="AJ162" s="115"/>
      <c r="AK162" s="115"/>
      <c r="AL162" s="122"/>
      <c r="AM162" s="337"/>
      <c r="AN162" s="338"/>
      <c r="AO162" s="338"/>
      <c r="AP162" s="338"/>
      <c r="AQ162" s="339"/>
    </row>
    <row r="163" spans="1:43" ht="36" customHeight="1">
      <c r="A163" s="355">
        <v>159</v>
      </c>
      <c r="B163" s="4" t="s">
        <v>5</v>
      </c>
      <c r="C163" s="286" t="s">
        <v>6</v>
      </c>
      <c r="D163" s="5" t="s">
        <v>215</v>
      </c>
      <c r="E163" s="7" t="s">
        <v>340</v>
      </c>
      <c r="F163" s="473">
        <v>325000</v>
      </c>
      <c r="G163" s="52">
        <v>3</v>
      </c>
      <c r="H163" s="57">
        <v>0.3</v>
      </c>
      <c r="I163" s="65">
        <v>6.0000000000000036</v>
      </c>
      <c r="J163" s="66">
        <v>8.0000000000000053</v>
      </c>
      <c r="K163" s="66">
        <v>3</v>
      </c>
      <c r="L163" s="66">
        <v>8</v>
      </c>
      <c r="M163" s="66">
        <v>2</v>
      </c>
      <c r="N163" s="66">
        <v>6.0000000000000036</v>
      </c>
      <c r="O163" s="66">
        <v>0</v>
      </c>
      <c r="P163" s="67">
        <v>6.0000000000000036</v>
      </c>
      <c r="Q163" s="70" t="e">
        <f ca="1">(#REF!-(YEAR(TODAY())-#REF!))/#REF!</f>
        <v>#REF!</v>
      </c>
      <c r="R163" s="70">
        <f t="shared" ca="1" si="49"/>
        <v>0.3</v>
      </c>
      <c r="S163" s="74">
        <f t="shared" si="50"/>
        <v>0.94736842105263208</v>
      </c>
      <c r="T163" s="74">
        <f t="shared" si="51"/>
        <v>0.84210526315789525</v>
      </c>
      <c r="U163" s="74">
        <f t="shared" si="52"/>
        <v>0.42105263157894735</v>
      </c>
      <c r="V163" s="74">
        <f t="shared" si="53"/>
        <v>1.4035087719298245</v>
      </c>
      <c r="W163" s="74">
        <f t="shared" si="54"/>
        <v>0.17543859649122806</v>
      </c>
      <c r="X163" s="74">
        <f t="shared" si="55"/>
        <v>0.73684210526315841</v>
      </c>
      <c r="Y163" s="74">
        <f t="shared" si="56"/>
        <v>0</v>
      </c>
      <c r="Z163" s="75">
        <f t="shared" si="57"/>
        <v>0.63157894736842146</v>
      </c>
      <c r="AA163" s="76">
        <f t="shared" si="58"/>
        <v>0.7</v>
      </c>
      <c r="AB163" s="76">
        <f t="shared" ca="1" si="59"/>
        <v>0.7</v>
      </c>
      <c r="AC163" s="77">
        <f t="shared" ca="1" si="60"/>
        <v>0.69999999999999984</v>
      </c>
      <c r="AD163" s="359">
        <f t="shared" si="61"/>
        <v>5.1578947368421071</v>
      </c>
      <c r="AE163" s="369">
        <f t="shared" ca="1" si="62"/>
        <v>36.10526315789474</v>
      </c>
      <c r="AF163" s="96" t="s">
        <v>248</v>
      </c>
      <c r="AG163" s="442"/>
      <c r="AH163" s="118"/>
      <c r="AI163" s="115"/>
      <c r="AJ163" s="115"/>
      <c r="AK163" s="115"/>
      <c r="AL163" s="122"/>
      <c r="AM163" s="340"/>
      <c r="AN163" s="338"/>
      <c r="AO163" s="338"/>
      <c r="AP163" s="338"/>
      <c r="AQ163" s="339"/>
    </row>
    <row r="164" spans="1:43" ht="36" customHeight="1">
      <c r="A164" s="355">
        <v>160</v>
      </c>
      <c r="B164" s="12" t="s">
        <v>5</v>
      </c>
      <c r="C164" s="344" t="s">
        <v>6</v>
      </c>
      <c r="D164" s="5" t="s">
        <v>827</v>
      </c>
      <c r="E164" s="7" t="s">
        <v>1097</v>
      </c>
      <c r="F164" s="473">
        <v>225000</v>
      </c>
      <c r="G164" s="52">
        <v>3</v>
      </c>
      <c r="H164" s="57">
        <v>0.2</v>
      </c>
      <c r="I164" s="65">
        <v>6.0000000000000036</v>
      </c>
      <c r="J164" s="66">
        <v>8.0000000000000053</v>
      </c>
      <c r="K164" s="66">
        <v>4.0000000000000027</v>
      </c>
      <c r="L164" s="66">
        <v>6.0000000000000036</v>
      </c>
      <c r="M164" s="66">
        <v>3</v>
      </c>
      <c r="N164" s="66">
        <v>5</v>
      </c>
      <c r="O164" s="66">
        <v>0</v>
      </c>
      <c r="P164" s="67">
        <v>6.0000000000000036</v>
      </c>
      <c r="Q164" s="70" t="e">
        <f ca="1">(#REF!-(YEAR(TODAY())-#REF!))/#REF!</f>
        <v>#REF!</v>
      </c>
      <c r="R164" s="70">
        <f t="shared" ca="1" si="49"/>
        <v>0.2</v>
      </c>
      <c r="S164" s="74">
        <f t="shared" si="50"/>
        <v>0.94736842105263208</v>
      </c>
      <c r="T164" s="74">
        <f t="shared" si="51"/>
        <v>0.84210526315789525</v>
      </c>
      <c r="U164" s="74">
        <f t="shared" si="52"/>
        <v>0.56140350877193024</v>
      </c>
      <c r="V164" s="74">
        <f t="shared" si="53"/>
        <v>1.052631578947369</v>
      </c>
      <c r="W164" s="74">
        <f t="shared" si="54"/>
        <v>0.26315789473684209</v>
      </c>
      <c r="X164" s="74">
        <f t="shared" si="55"/>
        <v>0.61403508771929827</v>
      </c>
      <c r="Y164" s="74">
        <f t="shared" si="56"/>
        <v>0</v>
      </c>
      <c r="Z164" s="75">
        <f t="shared" si="57"/>
        <v>0.63157894736842146</v>
      </c>
      <c r="AA164" s="76">
        <f t="shared" si="58"/>
        <v>0.7</v>
      </c>
      <c r="AB164" s="76">
        <f t="shared" ca="1" si="59"/>
        <v>0.8</v>
      </c>
      <c r="AC164" s="77">
        <f t="shared" ca="1" si="60"/>
        <v>0.73333333333333339</v>
      </c>
      <c r="AD164" s="359">
        <f t="shared" si="61"/>
        <v>4.9122807017543879</v>
      </c>
      <c r="AE164" s="369">
        <f t="shared" ca="1" si="62"/>
        <v>36.023391812865512</v>
      </c>
      <c r="AF164" s="96" t="s">
        <v>248</v>
      </c>
      <c r="AG164" s="442"/>
      <c r="AH164" s="118"/>
      <c r="AI164" s="115"/>
      <c r="AJ164" s="115"/>
      <c r="AK164" s="115"/>
      <c r="AL164" s="122"/>
      <c r="AM164" s="337"/>
      <c r="AN164" s="338"/>
      <c r="AO164" s="338"/>
      <c r="AP164" s="338"/>
      <c r="AQ164" s="339"/>
    </row>
    <row r="165" spans="1:43" ht="36" customHeight="1">
      <c r="A165" s="355">
        <v>161</v>
      </c>
      <c r="B165" s="12" t="s">
        <v>5</v>
      </c>
      <c r="C165" s="344" t="s">
        <v>6</v>
      </c>
      <c r="D165" s="5" t="s">
        <v>313</v>
      </c>
      <c r="E165" s="6" t="s">
        <v>985</v>
      </c>
      <c r="F165" s="473">
        <v>580000</v>
      </c>
      <c r="G165" s="52">
        <v>3</v>
      </c>
      <c r="H165" s="57">
        <v>0.3</v>
      </c>
      <c r="I165" s="65">
        <v>6</v>
      </c>
      <c r="J165" s="66">
        <v>8</v>
      </c>
      <c r="K165" s="66">
        <v>4</v>
      </c>
      <c r="L165" s="66">
        <v>4</v>
      </c>
      <c r="M165" s="66">
        <v>6</v>
      </c>
      <c r="N165" s="66">
        <v>4</v>
      </c>
      <c r="O165" s="66">
        <v>4</v>
      </c>
      <c r="P165" s="67">
        <v>6</v>
      </c>
      <c r="Q165" s="70" t="e">
        <f ca="1">(#REF!-(YEAR(TODAY())-#REF!))/#REF!</f>
        <v>#REF!</v>
      </c>
      <c r="R165" s="70">
        <f t="shared" ca="1" si="49"/>
        <v>0.3</v>
      </c>
      <c r="S165" s="74">
        <f t="shared" si="50"/>
        <v>0.94736842105263153</v>
      </c>
      <c r="T165" s="74">
        <f t="shared" si="51"/>
        <v>0.84210526315789469</v>
      </c>
      <c r="U165" s="74">
        <f t="shared" si="52"/>
        <v>0.56140350877192979</v>
      </c>
      <c r="V165" s="74">
        <f t="shared" si="53"/>
        <v>0.70175438596491224</v>
      </c>
      <c r="W165" s="74">
        <f t="shared" si="54"/>
        <v>0.52631578947368418</v>
      </c>
      <c r="X165" s="74">
        <f t="shared" si="55"/>
        <v>0.49122807017543857</v>
      </c>
      <c r="Y165" s="74">
        <f t="shared" si="56"/>
        <v>0.42105263157894735</v>
      </c>
      <c r="Z165" s="75">
        <f t="shared" si="57"/>
        <v>0.63157894736842102</v>
      </c>
      <c r="AA165" s="76">
        <f t="shared" si="58"/>
        <v>0.7</v>
      </c>
      <c r="AB165" s="76">
        <f t="shared" ca="1" si="59"/>
        <v>0.7</v>
      </c>
      <c r="AC165" s="77">
        <f t="shared" ca="1" si="60"/>
        <v>0.69999999999999984</v>
      </c>
      <c r="AD165" s="359">
        <f t="shared" si="61"/>
        <v>5.1228070175438596</v>
      </c>
      <c r="AE165" s="369">
        <f t="shared" ca="1" si="62"/>
        <v>35.859649122807006</v>
      </c>
      <c r="AF165" s="96" t="s">
        <v>248</v>
      </c>
      <c r="AG165" s="442"/>
      <c r="AH165" s="118"/>
      <c r="AI165" s="115"/>
      <c r="AJ165" s="115"/>
      <c r="AK165" s="115"/>
      <c r="AL165" s="122"/>
      <c r="AM165" s="337"/>
      <c r="AN165" s="338"/>
      <c r="AO165" s="338"/>
      <c r="AP165" s="338"/>
      <c r="AQ165" s="339"/>
    </row>
    <row r="166" spans="1:43" ht="36" customHeight="1">
      <c r="A166" s="355">
        <v>162</v>
      </c>
      <c r="B166" s="12" t="s">
        <v>5</v>
      </c>
      <c r="C166" s="344" t="s">
        <v>6</v>
      </c>
      <c r="D166" s="8" t="s">
        <v>306</v>
      </c>
      <c r="E166" s="9" t="s">
        <v>1049</v>
      </c>
      <c r="F166" s="488">
        <v>750000</v>
      </c>
      <c r="G166" s="52">
        <v>3</v>
      </c>
      <c r="H166" s="57">
        <v>0.3</v>
      </c>
      <c r="I166" s="65">
        <v>6</v>
      </c>
      <c r="J166" s="66">
        <v>8</v>
      </c>
      <c r="K166" s="66">
        <v>4</v>
      </c>
      <c r="L166" s="66">
        <v>4</v>
      </c>
      <c r="M166" s="66">
        <v>6</v>
      </c>
      <c r="N166" s="66">
        <v>4</v>
      </c>
      <c r="O166" s="66">
        <v>4</v>
      </c>
      <c r="P166" s="67">
        <v>6</v>
      </c>
      <c r="Q166" s="70" t="e">
        <f ca="1">(#REF!-(YEAR(TODAY())-#REF!))/#REF!</f>
        <v>#REF!</v>
      </c>
      <c r="R166" s="70">
        <f t="shared" ca="1" si="49"/>
        <v>0.3</v>
      </c>
      <c r="S166" s="74">
        <f t="shared" si="50"/>
        <v>0.94736842105263153</v>
      </c>
      <c r="T166" s="74">
        <f t="shared" si="51"/>
        <v>0.84210526315789469</v>
      </c>
      <c r="U166" s="74">
        <f t="shared" si="52"/>
        <v>0.56140350877192979</v>
      </c>
      <c r="V166" s="74">
        <f t="shared" si="53"/>
        <v>0.70175438596491224</v>
      </c>
      <c r="W166" s="74">
        <f t="shared" si="54"/>
        <v>0.52631578947368418</v>
      </c>
      <c r="X166" s="74">
        <f t="shared" si="55"/>
        <v>0.49122807017543857</v>
      </c>
      <c r="Y166" s="74">
        <f t="shared" si="56"/>
        <v>0.42105263157894735</v>
      </c>
      <c r="Z166" s="75">
        <f t="shared" si="57"/>
        <v>0.63157894736842102</v>
      </c>
      <c r="AA166" s="76">
        <f t="shared" si="58"/>
        <v>0.7</v>
      </c>
      <c r="AB166" s="76">
        <f t="shared" ca="1" si="59"/>
        <v>0.7</v>
      </c>
      <c r="AC166" s="77">
        <f t="shared" ca="1" si="60"/>
        <v>0.69999999999999984</v>
      </c>
      <c r="AD166" s="359">
        <f t="shared" si="61"/>
        <v>5.1228070175438596</v>
      </c>
      <c r="AE166" s="369">
        <f t="shared" ca="1" si="62"/>
        <v>35.859649122807006</v>
      </c>
      <c r="AF166" s="95" t="s">
        <v>248</v>
      </c>
      <c r="AG166" s="441"/>
      <c r="AH166" s="118"/>
      <c r="AI166" s="115"/>
      <c r="AJ166" s="115"/>
      <c r="AK166" s="124"/>
      <c r="AL166" s="122"/>
      <c r="AM166" s="337"/>
      <c r="AN166" s="338"/>
      <c r="AO166" s="338"/>
      <c r="AP166" s="338"/>
      <c r="AQ166" s="339"/>
    </row>
    <row r="167" spans="1:43" ht="36" customHeight="1">
      <c r="A167" s="355">
        <v>163</v>
      </c>
      <c r="B167" s="12" t="s">
        <v>5</v>
      </c>
      <c r="C167" s="344" t="s">
        <v>6</v>
      </c>
      <c r="D167" s="5" t="s">
        <v>314</v>
      </c>
      <c r="E167" s="7" t="s">
        <v>1065</v>
      </c>
      <c r="F167" s="473">
        <v>450000</v>
      </c>
      <c r="G167" s="52">
        <v>3</v>
      </c>
      <c r="H167" s="57">
        <v>0.3</v>
      </c>
      <c r="I167" s="65">
        <v>6</v>
      </c>
      <c r="J167" s="66">
        <v>8</v>
      </c>
      <c r="K167" s="66">
        <v>4</v>
      </c>
      <c r="L167" s="66">
        <v>4</v>
      </c>
      <c r="M167" s="66">
        <v>6</v>
      </c>
      <c r="N167" s="66">
        <v>4</v>
      </c>
      <c r="O167" s="66">
        <v>4</v>
      </c>
      <c r="P167" s="67">
        <v>6</v>
      </c>
      <c r="Q167" s="70" t="e">
        <f ca="1">(#REF!-(YEAR(TODAY())-#REF!))/#REF!</f>
        <v>#REF!</v>
      </c>
      <c r="R167" s="70">
        <f t="shared" ca="1" si="49"/>
        <v>0.3</v>
      </c>
      <c r="S167" s="74">
        <f t="shared" si="50"/>
        <v>0.94736842105263153</v>
      </c>
      <c r="T167" s="74">
        <f t="shared" si="51"/>
        <v>0.84210526315789469</v>
      </c>
      <c r="U167" s="74">
        <f t="shared" si="52"/>
        <v>0.56140350877192979</v>
      </c>
      <c r="V167" s="74">
        <f t="shared" si="53"/>
        <v>0.70175438596491224</v>
      </c>
      <c r="W167" s="74">
        <f t="shared" si="54"/>
        <v>0.52631578947368418</v>
      </c>
      <c r="X167" s="74">
        <f t="shared" si="55"/>
        <v>0.49122807017543857</v>
      </c>
      <c r="Y167" s="74">
        <f t="shared" si="56"/>
        <v>0.42105263157894735</v>
      </c>
      <c r="Z167" s="75">
        <f t="shared" si="57"/>
        <v>0.63157894736842102</v>
      </c>
      <c r="AA167" s="76">
        <f t="shared" si="58"/>
        <v>0.7</v>
      </c>
      <c r="AB167" s="76">
        <f t="shared" ca="1" si="59"/>
        <v>0.7</v>
      </c>
      <c r="AC167" s="77">
        <f t="shared" ca="1" si="60"/>
        <v>0.69999999999999984</v>
      </c>
      <c r="AD167" s="359">
        <f t="shared" si="61"/>
        <v>5.1228070175438596</v>
      </c>
      <c r="AE167" s="369">
        <f t="shared" ca="1" si="62"/>
        <v>35.859649122807006</v>
      </c>
      <c r="AF167" s="95" t="s">
        <v>248</v>
      </c>
      <c r="AG167" s="441"/>
      <c r="AH167" s="118"/>
      <c r="AI167" s="115"/>
      <c r="AJ167" s="115"/>
      <c r="AK167" s="365"/>
      <c r="AL167" s="454"/>
      <c r="AM167" s="337"/>
      <c r="AN167" s="338"/>
      <c r="AO167" s="338"/>
      <c r="AP167" s="338"/>
      <c r="AQ167" s="339"/>
    </row>
    <row r="168" spans="1:43" ht="36" customHeight="1">
      <c r="A168" s="355">
        <v>164</v>
      </c>
      <c r="B168" s="12" t="s">
        <v>7</v>
      </c>
      <c r="C168" s="344" t="s">
        <v>6</v>
      </c>
      <c r="D168" s="5" t="s">
        <v>191</v>
      </c>
      <c r="E168" s="29" t="s">
        <v>1179</v>
      </c>
      <c r="F168" s="473">
        <v>250000</v>
      </c>
      <c r="G168" s="52">
        <v>2</v>
      </c>
      <c r="H168" s="57">
        <v>0.2</v>
      </c>
      <c r="I168" s="65">
        <v>8.0000000000000053</v>
      </c>
      <c r="J168" s="66">
        <v>6.0000000000000036</v>
      </c>
      <c r="K168" s="66">
        <v>0</v>
      </c>
      <c r="L168" s="66">
        <v>4</v>
      </c>
      <c r="M168" s="66">
        <v>1</v>
      </c>
      <c r="N168" s="66">
        <v>6.0000000000000036</v>
      </c>
      <c r="O168" s="66">
        <v>0</v>
      </c>
      <c r="P168" s="67">
        <v>10</v>
      </c>
      <c r="Q168" s="70" t="e">
        <f ca="1">(#REF!-(YEAR(TODAY())-#REF!))/#REF!</f>
        <v>#REF!</v>
      </c>
      <c r="R168" s="70">
        <f t="shared" ca="1" si="49"/>
        <v>0.2</v>
      </c>
      <c r="S168" s="74">
        <f t="shared" si="50"/>
        <v>1.2631578947368429</v>
      </c>
      <c r="T168" s="74">
        <f t="shared" si="51"/>
        <v>0.63157894736842146</v>
      </c>
      <c r="U168" s="74">
        <f t="shared" si="52"/>
        <v>0</v>
      </c>
      <c r="V168" s="74">
        <f t="shared" si="53"/>
        <v>0.70175438596491224</v>
      </c>
      <c r="W168" s="74">
        <f t="shared" si="54"/>
        <v>8.771929824561403E-2</v>
      </c>
      <c r="X168" s="74">
        <f t="shared" si="55"/>
        <v>0.73684210526315841</v>
      </c>
      <c r="Y168" s="74">
        <f t="shared" si="56"/>
        <v>0</v>
      </c>
      <c r="Z168" s="75">
        <f t="shared" si="57"/>
        <v>1.0526315789473684</v>
      </c>
      <c r="AA168" s="76">
        <f t="shared" si="58"/>
        <v>0.8</v>
      </c>
      <c r="AB168" s="76">
        <f t="shared" ca="1" si="59"/>
        <v>0.8</v>
      </c>
      <c r="AC168" s="77">
        <f t="shared" ca="1" si="60"/>
        <v>0.80000000000000016</v>
      </c>
      <c r="AD168" s="359">
        <f t="shared" si="61"/>
        <v>4.4736842105263168</v>
      </c>
      <c r="AE168" s="369">
        <f t="shared" ca="1" si="62"/>
        <v>35.789473684210542</v>
      </c>
      <c r="AF168" s="96" t="s">
        <v>257</v>
      </c>
      <c r="AG168" s="114"/>
      <c r="AH168" s="118"/>
      <c r="AI168" s="115"/>
      <c r="AJ168" s="115"/>
      <c r="AK168" s="115"/>
      <c r="AL168" s="122"/>
      <c r="AM168" s="337"/>
      <c r="AN168" s="338"/>
      <c r="AO168" s="338"/>
      <c r="AP168" s="338"/>
      <c r="AQ168" s="339"/>
    </row>
    <row r="169" spans="1:43" ht="36" customHeight="1">
      <c r="A169" s="355">
        <v>165</v>
      </c>
      <c r="B169" s="12" t="s">
        <v>11</v>
      </c>
      <c r="C169" s="344" t="s">
        <v>12</v>
      </c>
      <c r="D169" s="8" t="s">
        <v>739</v>
      </c>
      <c r="E169" s="21" t="s">
        <v>1168</v>
      </c>
      <c r="F169" s="473">
        <v>136800</v>
      </c>
      <c r="G169" s="52">
        <v>4</v>
      </c>
      <c r="H169" s="57">
        <v>0.4</v>
      </c>
      <c r="I169" s="65">
        <v>5</v>
      </c>
      <c r="J169" s="66">
        <v>8.0000000000000053</v>
      </c>
      <c r="K169" s="66">
        <v>6</v>
      </c>
      <c r="L169" s="66">
        <v>7</v>
      </c>
      <c r="M169" s="66">
        <v>6.0000000000000036</v>
      </c>
      <c r="N169" s="66">
        <v>8</v>
      </c>
      <c r="O169" s="66">
        <v>0</v>
      </c>
      <c r="P169" s="67">
        <v>7</v>
      </c>
      <c r="Q169" s="70" t="e">
        <f ca="1">(#REF!-(YEAR(TODAY())-#REF!))/#REF!</f>
        <v>#REF!</v>
      </c>
      <c r="R169" s="70">
        <f t="shared" ca="1" si="49"/>
        <v>0.4</v>
      </c>
      <c r="S169" s="74">
        <f t="shared" si="50"/>
        <v>0.78947368421052633</v>
      </c>
      <c r="T169" s="74">
        <f t="shared" si="51"/>
        <v>0.84210526315789525</v>
      </c>
      <c r="U169" s="74">
        <f t="shared" si="52"/>
        <v>0.84210526315789469</v>
      </c>
      <c r="V169" s="74">
        <f t="shared" si="53"/>
        <v>1.2280701754385965</v>
      </c>
      <c r="W169" s="74">
        <f t="shared" si="54"/>
        <v>0.52631578947368451</v>
      </c>
      <c r="X169" s="74">
        <f t="shared" si="55"/>
        <v>0.98245614035087714</v>
      </c>
      <c r="Y169" s="74">
        <f t="shared" si="56"/>
        <v>0</v>
      </c>
      <c r="Z169" s="75">
        <f t="shared" si="57"/>
        <v>0.73684210526315785</v>
      </c>
      <c r="AA169" s="76">
        <f t="shared" si="58"/>
        <v>0.6</v>
      </c>
      <c r="AB169" s="76">
        <f t="shared" ca="1" si="59"/>
        <v>0.6</v>
      </c>
      <c r="AC169" s="77">
        <f t="shared" ca="1" si="60"/>
        <v>0.6</v>
      </c>
      <c r="AD169" s="359">
        <f t="shared" si="61"/>
        <v>5.9473684210526319</v>
      </c>
      <c r="AE169" s="369">
        <f t="shared" ca="1" si="62"/>
        <v>35.684210526315788</v>
      </c>
      <c r="AF169" s="96" t="s">
        <v>261</v>
      </c>
      <c r="AG169" s="443"/>
      <c r="AH169" s="118"/>
      <c r="AI169" s="115"/>
      <c r="AJ169" s="115"/>
      <c r="AK169" s="115"/>
      <c r="AL169" s="122"/>
      <c r="AM169" s="340"/>
      <c r="AN169" s="338"/>
      <c r="AO169" s="338"/>
      <c r="AP169" s="338"/>
      <c r="AQ169" s="339"/>
    </row>
    <row r="170" spans="1:43" ht="36" customHeight="1">
      <c r="A170" s="355">
        <v>166</v>
      </c>
      <c r="B170" s="4" t="s">
        <v>7</v>
      </c>
      <c r="C170" s="286" t="s">
        <v>6</v>
      </c>
      <c r="D170" s="5" t="s">
        <v>43</v>
      </c>
      <c r="E170" s="9" t="s">
        <v>44</v>
      </c>
      <c r="F170" s="481">
        <v>135000</v>
      </c>
      <c r="G170" s="52">
        <v>2</v>
      </c>
      <c r="H170" s="57">
        <v>0.1</v>
      </c>
      <c r="I170" s="65">
        <v>6</v>
      </c>
      <c r="J170" s="66">
        <v>6.0000000000000036</v>
      </c>
      <c r="K170" s="66">
        <v>0</v>
      </c>
      <c r="L170" s="66">
        <v>6.0000000000000036</v>
      </c>
      <c r="M170" s="66">
        <v>6</v>
      </c>
      <c r="N170" s="66">
        <v>4.0000000000000027</v>
      </c>
      <c r="O170" s="66">
        <v>0</v>
      </c>
      <c r="P170" s="67">
        <v>6.0000000000000036</v>
      </c>
      <c r="Q170" s="70" t="e">
        <f ca="1">(#REF!-(YEAR(TODAY())-#REF!))/#REF!</f>
        <v>#REF!</v>
      </c>
      <c r="R170" s="70">
        <f t="shared" ca="1" si="49"/>
        <v>0.1</v>
      </c>
      <c r="S170" s="74">
        <f t="shared" si="50"/>
        <v>0.94736842105263153</v>
      </c>
      <c r="T170" s="74">
        <f t="shared" si="51"/>
        <v>0.63157894736842146</v>
      </c>
      <c r="U170" s="74">
        <f t="shared" si="52"/>
        <v>0</v>
      </c>
      <c r="V170" s="74">
        <f t="shared" si="53"/>
        <v>1.052631578947369</v>
      </c>
      <c r="W170" s="74">
        <f t="shared" si="54"/>
        <v>0.52631578947368418</v>
      </c>
      <c r="X170" s="74">
        <f t="shared" si="55"/>
        <v>0.4912280701754389</v>
      </c>
      <c r="Y170" s="74">
        <f t="shared" si="56"/>
        <v>0</v>
      </c>
      <c r="Z170" s="75">
        <f t="shared" si="57"/>
        <v>0.63157894736842146</v>
      </c>
      <c r="AA170" s="76">
        <f t="shared" si="58"/>
        <v>0.8</v>
      </c>
      <c r="AB170" s="76">
        <f t="shared" ca="1" si="59"/>
        <v>0.9</v>
      </c>
      <c r="AC170" s="77">
        <f t="shared" ca="1" si="60"/>
        <v>0.83333333333333337</v>
      </c>
      <c r="AD170" s="359">
        <f t="shared" si="61"/>
        <v>4.2807017543859667</v>
      </c>
      <c r="AE170" s="369">
        <f t="shared" ca="1" si="62"/>
        <v>35.672514619883053</v>
      </c>
      <c r="AF170" s="96" t="s">
        <v>257</v>
      </c>
      <c r="AG170" s="114"/>
      <c r="AH170" s="118"/>
      <c r="AI170" s="115"/>
      <c r="AJ170" s="115"/>
      <c r="AK170" s="115"/>
      <c r="AL170" s="122"/>
      <c r="AM170" s="337"/>
      <c r="AN170" s="338"/>
      <c r="AO170" s="338"/>
      <c r="AP170" s="338"/>
      <c r="AQ170" s="339"/>
    </row>
    <row r="171" spans="1:43" ht="36" customHeight="1">
      <c r="A171" s="355">
        <v>167</v>
      </c>
      <c r="B171" s="4" t="s">
        <v>11</v>
      </c>
      <c r="C171" s="286" t="s">
        <v>12</v>
      </c>
      <c r="D171" s="8" t="s">
        <v>738</v>
      </c>
      <c r="E171" s="14" t="s">
        <v>1120</v>
      </c>
      <c r="F171" s="476">
        <v>230000</v>
      </c>
      <c r="G171" s="52">
        <v>4</v>
      </c>
      <c r="H171" s="57">
        <v>0.5</v>
      </c>
      <c r="I171" s="65">
        <v>6</v>
      </c>
      <c r="J171" s="66">
        <v>7</v>
      </c>
      <c r="K171" s="66">
        <v>6</v>
      </c>
      <c r="L171" s="66">
        <v>8.0000000000000053</v>
      </c>
      <c r="M171" s="66">
        <v>6.0000000000000036</v>
      </c>
      <c r="N171" s="66">
        <v>8.0000000000000053</v>
      </c>
      <c r="O171" s="66">
        <v>0</v>
      </c>
      <c r="P171" s="67">
        <v>8</v>
      </c>
      <c r="Q171" s="70" t="e">
        <f ca="1">(#REF!-(YEAR(TODAY())-#REF!))/#REF!</f>
        <v>#REF!</v>
      </c>
      <c r="R171" s="70">
        <f t="shared" ca="1" si="49"/>
        <v>0.5</v>
      </c>
      <c r="S171" s="74">
        <f t="shared" si="50"/>
        <v>0.94736842105263153</v>
      </c>
      <c r="T171" s="74">
        <f t="shared" si="51"/>
        <v>0.73684210526315785</v>
      </c>
      <c r="U171" s="74">
        <f t="shared" si="52"/>
        <v>0.84210526315789469</v>
      </c>
      <c r="V171" s="74">
        <f t="shared" si="53"/>
        <v>1.4035087719298256</v>
      </c>
      <c r="W171" s="74">
        <f t="shared" si="54"/>
        <v>0.52631578947368451</v>
      </c>
      <c r="X171" s="74">
        <f t="shared" si="55"/>
        <v>0.9824561403508778</v>
      </c>
      <c r="Y171" s="74">
        <f t="shared" si="56"/>
        <v>0</v>
      </c>
      <c r="Z171" s="75">
        <f t="shared" si="57"/>
        <v>0.84210526315789469</v>
      </c>
      <c r="AA171" s="76">
        <f t="shared" si="58"/>
        <v>0.6</v>
      </c>
      <c r="AB171" s="76">
        <f t="shared" ca="1" si="59"/>
        <v>0.5</v>
      </c>
      <c r="AC171" s="77">
        <f t="shared" ca="1" si="60"/>
        <v>0.56666666666666665</v>
      </c>
      <c r="AD171" s="359">
        <f t="shared" si="61"/>
        <v>6.2807017543859658</v>
      </c>
      <c r="AE171" s="369">
        <f t="shared" ca="1" si="62"/>
        <v>35.590643274853804</v>
      </c>
      <c r="AF171" s="96" t="s">
        <v>261</v>
      </c>
      <c r="AG171" s="442"/>
      <c r="AH171" s="118"/>
      <c r="AI171" s="115"/>
      <c r="AJ171" s="115"/>
      <c r="AK171" s="115"/>
      <c r="AL171" s="122"/>
      <c r="AM171" s="337"/>
      <c r="AN171" s="338"/>
      <c r="AO171" s="338"/>
      <c r="AP171" s="338"/>
      <c r="AQ171" s="339"/>
    </row>
    <row r="172" spans="1:43" ht="36" customHeight="1">
      <c r="A172" s="355">
        <v>168</v>
      </c>
      <c r="B172" s="4" t="s">
        <v>5</v>
      </c>
      <c r="C172" s="286" t="s">
        <v>6</v>
      </c>
      <c r="D172" s="5" t="s">
        <v>46</v>
      </c>
      <c r="E172" s="7" t="s">
        <v>1050</v>
      </c>
      <c r="F172" s="473">
        <v>450000</v>
      </c>
      <c r="G172" s="51">
        <v>4</v>
      </c>
      <c r="H172" s="57">
        <v>0.4</v>
      </c>
      <c r="I172" s="65">
        <v>6.0000000000000036</v>
      </c>
      <c r="J172" s="66">
        <v>7</v>
      </c>
      <c r="K172" s="66">
        <v>5</v>
      </c>
      <c r="L172" s="66">
        <v>5</v>
      </c>
      <c r="M172" s="66">
        <v>4</v>
      </c>
      <c r="N172" s="66">
        <v>6</v>
      </c>
      <c r="O172" s="66">
        <v>7</v>
      </c>
      <c r="P172" s="67">
        <v>8.0000000000000053</v>
      </c>
      <c r="Q172" s="70" t="e">
        <f ca="1">(#REF!-(YEAR(TODAY())-#REF!))/#REF!</f>
        <v>#REF!</v>
      </c>
      <c r="R172" s="70">
        <f t="shared" ca="1" si="49"/>
        <v>0.4</v>
      </c>
      <c r="S172" s="74">
        <f t="shared" si="50"/>
        <v>0.94736842105263208</v>
      </c>
      <c r="T172" s="74">
        <f t="shared" si="51"/>
        <v>0.73684210526315785</v>
      </c>
      <c r="U172" s="74">
        <f t="shared" si="52"/>
        <v>0.70175438596491224</v>
      </c>
      <c r="V172" s="74">
        <f t="shared" si="53"/>
        <v>0.8771929824561403</v>
      </c>
      <c r="W172" s="74">
        <f t="shared" si="54"/>
        <v>0.35087719298245612</v>
      </c>
      <c r="X172" s="74">
        <f t="shared" si="55"/>
        <v>0.73684210526315785</v>
      </c>
      <c r="Y172" s="74">
        <f t="shared" si="56"/>
        <v>0.73684210526315785</v>
      </c>
      <c r="Z172" s="75">
        <f t="shared" si="57"/>
        <v>0.84210526315789525</v>
      </c>
      <c r="AA172" s="76">
        <f t="shared" si="58"/>
        <v>0.6</v>
      </c>
      <c r="AB172" s="76">
        <f t="shared" ca="1" si="59"/>
        <v>0.6</v>
      </c>
      <c r="AC172" s="77">
        <f t="shared" ca="1" si="60"/>
        <v>0.6</v>
      </c>
      <c r="AD172" s="359">
        <f t="shared" si="61"/>
        <v>5.9298245614035094</v>
      </c>
      <c r="AE172" s="369">
        <f t="shared" ca="1" si="62"/>
        <v>35.578947368421055</v>
      </c>
      <c r="AF172" s="95" t="s">
        <v>248</v>
      </c>
      <c r="AG172" s="441" t="s">
        <v>390</v>
      </c>
      <c r="AH172" s="118"/>
      <c r="AI172" s="115"/>
      <c r="AJ172" s="115"/>
      <c r="AK172" s="115"/>
      <c r="AL172" s="122"/>
      <c r="AM172" s="337"/>
      <c r="AN172" s="338"/>
      <c r="AO172" s="338"/>
      <c r="AP172" s="338"/>
      <c r="AQ172" s="339"/>
    </row>
    <row r="173" spans="1:43" ht="36" customHeight="1">
      <c r="A173" s="355">
        <v>169</v>
      </c>
      <c r="B173" s="4" t="s">
        <v>16</v>
      </c>
      <c r="C173" s="286" t="s">
        <v>6</v>
      </c>
      <c r="D173" s="16" t="s">
        <v>101</v>
      </c>
      <c r="E173" s="18" t="s">
        <v>102</v>
      </c>
      <c r="F173" s="476">
        <v>192000</v>
      </c>
      <c r="G173" s="52">
        <v>3</v>
      </c>
      <c r="H173" s="57">
        <v>0.3</v>
      </c>
      <c r="I173" s="65">
        <v>5</v>
      </c>
      <c r="J173" s="66">
        <v>1</v>
      </c>
      <c r="K173" s="66">
        <v>6.0000000000000036</v>
      </c>
      <c r="L173" s="66">
        <v>7.0000000000000044</v>
      </c>
      <c r="M173" s="66">
        <v>6.0000000000000036</v>
      </c>
      <c r="N173" s="66">
        <v>6.0000000000000036</v>
      </c>
      <c r="O173" s="66">
        <v>1</v>
      </c>
      <c r="P173" s="67">
        <v>7.0000000000000044</v>
      </c>
      <c r="Q173" s="70" t="e">
        <f ca="1">(#REF!-(YEAR(TODAY())-#REF!))/#REF!</f>
        <v>#REF!</v>
      </c>
      <c r="R173" s="70">
        <f t="shared" ca="1" si="49"/>
        <v>0.3</v>
      </c>
      <c r="S173" s="74">
        <f t="shared" si="50"/>
        <v>0.78947368421052633</v>
      </c>
      <c r="T173" s="74">
        <f t="shared" si="51"/>
        <v>0.10526315789473684</v>
      </c>
      <c r="U173" s="74">
        <f t="shared" si="52"/>
        <v>0.84210526315789525</v>
      </c>
      <c r="V173" s="74">
        <f t="shared" si="53"/>
        <v>1.2280701754385972</v>
      </c>
      <c r="W173" s="74">
        <f t="shared" si="54"/>
        <v>0.52631578947368451</v>
      </c>
      <c r="X173" s="74">
        <f t="shared" si="55"/>
        <v>0.73684210526315841</v>
      </c>
      <c r="Y173" s="74">
        <f t="shared" si="56"/>
        <v>0.10526315789473684</v>
      </c>
      <c r="Z173" s="75">
        <f t="shared" si="57"/>
        <v>0.73684210526315841</v>
      </c>
      <c r="AA173" s="76">
        <f t="shared" si="58"/>
        <v>0.7</v>
      </c>
      <c r="AB173" s="76">
        <f t="shared" ca="1" si="59"/>
        <v>0.7</v>
      </c>
      <c r="AC173" s="77">
        <f t="shared" ca="1" si="60"/>
        <v>0.69999999999999984</v>
      </c>
      <c r="AD173" s="359">
        <f t="shared" si="61"/>
        <v>5.0701754385964941</v>
      </c>
      <c r="AE173" s="369">
        <f t="shared" ca="1" si="62"/>
        <v>35.491228070175453</v>
      </c>
      <c r="AF173" s="96" t="s">
        <v>248</v>
      </c>
      <c r="AG173" s="442"/>
      <c r="AH173" s="118"/>
      <c r="AI173" s="115"/>
      <c r="AJ173" s="115"/>
      <c r="AK173" s="115"/>
      <c r="AL173" s="122"/>
      <c r="AM173" s="337"/>
      <c r="AN173" s="338"/>
      <c r="AO173" s="338"/>
      <c r="AP173" s="338"/>
      <c r="AQ173" s="339"/>
    </row>
    <row r="174" spans="1:43" ht="36" customHeight="1">
      <c r="A174" s="355">
        <v>170</v>
      </c>
      <c r="B174" s="4" t="s">
        <v>5</v>
      </c>
      <c r="C174" s="286" t="s">
        <v>6</v>
      </c>
      <c r="D174" s="5" t="s">
        <v>79</v>
      </c>
      <c r="E174" s="7" t="s">
        <v>932</v>
      </c>
      <c r="F174" s="477">
        <v>325000</v>
      </c>
      <c r="G174" s="52">
        <v>3</v>
      </c>
      <c r="H174" s="57">
        <v>0.3</v>
      </c>
      <c r="I174" s="65">
        <v>6</v>
      </c>
      <c r="J174" s="66">
        <v>8</v>
      </c>
      <c r="K174" s="66">
        <v>4</v>
      </c>
      <c r="L174" s="66">
        <v>4</v>
      </c>
      <c r="M174" s="66">
        <v>4</v>
      </c>
      <c r="N174" s="66">
        <v>5</v>
      </c>
      <c r="O174" s="66">
        <v>4</v>
      </c>
      <c r="P174" s="67">
        <v>6</v>
      </c>
      <c r="Q174" s="70" t="e">
        <f ca="1">(#REF!-(YEAR(TODAY())-#REF!))/#REF!</f>
        <v>#REF!</v>
      </c>
      <c r="R174" s="70">
        <f t="shared" ca="1" si="49"/>
        <v>0.3</v>
      </c>
      <c r="S174" s="74">
        <f t="shared" si="50"/>
        <v>0.94736842105263153</v>
      </c>
      <c r="T174" s="74">
        <f t="shared" si="51"/>
        <v>0.84210526315789469</v>
      </c>
      <c r="U174" s="74">
        <f t="shared" si="52"/>
        <v>0.56140350877192979</v>
      </c>
      <c r="V174" s="74">
        <f t="shared" si="53"/>
        <v>0.70175438596491224</v>
      </c>
      <c r="W174" s="74">
        <f t="shared" si="54"/>
        <v>0.35087719298245612</v>
      </c>
      <c r="X174" s="74">
        <f t="shared" si="55"/>
        <v>0.61403508771929827</v>
      </c>
      <c r="Y174" s="74">
        <f t="shared" si="56"/>
        <v>0.42105263157894735</v>
      </c>
      <c r="Z174" s="75">
        <f t="shared" si="57"/>
        <v>0.63157894736842102</v>
      </c>
      <c r="AA174" s="76">
        <f t="shared" si="58"/>
        <v>0.7</v>
      </c>
      <c r="AB174" s="76">
        <f t="shared" ca="1" si="59"/>
        <v>0.7</v>
      </c>
      <c r="AC174" s="77">
        <f t="shared" ca="1" si="60"/>
        <v>0.69999999999999984</v>
      </c>
      <c r="AD174" s="359">
        <f t="shared" si="61"/>
        <v>5.0701754385964914</v>
      </c>
      <c r="AE174" s="369">
        <f t="shared" ca="1" si="62"/>
        <v>35.491228070175431</v>
      </c>
      <c r="AF174" s="96" t="s">
        <v>248</v>
      </c>
      <c r="AG174" s="114"/>
      <c r="AH174" s="118"/>
      <c r="AI174" s="115"/>
      <c r="AJ174" s="115"/>
      <c r="AK174" s="115"/>
      <c r="AL174" s="122"/>
      <c r="AM174" s="337"/>
      <c r="AN174" s="338"/>
      <c r="AO174" s="338"/>
      <c r="AP174" s="338"/>
      <c r="AQ174" s="339"/>
    </row>
    <row r="175" spans="1:43" ht="36" customHeight="1">
      <c r="A175" s="355">
        <v>171</v>
      </c>
      <c r="B175" s="12" t="s">
        <v>10</v>
      </c>
      <c r="C175" s="344" t="s">
        <v>300</v>
      </c>
      <c r="D175" s="10" t="s">
        <v>329</v>
      </c>
      <c r="E175" s="6" t="s">
        <v>955</v>
      </c>
      <c r="F175" s="473">
        <v>200000</v>
      </c>
      <c r="G175" s="52">
        <v>3</v>
      </c>
      <c r="H175" s="57">
        <v>0.2</v>
      </c>
      <c r="I175" s="65">
        <v>6</v>
      </c>
      <c r="J175" s="66">
        <v>8</v>
      </c>
      <c r="K175" s="66">
        <v>0</v>
      </c>
      <c r="L175" s="66">
        <v>6</v>
      </c>
      <c r="M175" s="66">
        <v>6</v>
      </c>
      <c r="N175" s="66">
        <v>5</v>
      </c>
      <c r="O175" s="66">
        <v>0</v>
      </c>
      <c r="P175" s="67">
        <v>8</v>
      </c>
      <c r="Q175" s="70" t="e">
        <f ca="1">(#REF!-(YEAR(TODAY())-#REF!))/#REF!</f>
        <v>#REF!</v>
      </c>
      <c r="R175" s="70">
        <f t="shared" ca="1" si="49"/>
        <v>0.2</v>
      </c>
      <c r="S175" s="74">
        <f t="shared" si="50"/>
        <v>0.94736842105263153</v>
      </c>
      <c r="T175" s="74">
        <f t="shared" si="51"/>
        <v>0.84210526315789469</v>
      </c>
      <c r="U175" s="74">
        <f t="shared" si="52"/>
        <v>0</v>
      </c>
      <c r="V175" s="74">
        <f t="shared" si="53"/>
        <v>1.0526315789473684</v>
      </c>
      <c r="W175" s="74">
        <f t="shared" si="54"/>
        <v>0.52631578947368418</v>
      </c>
      <c r="X175" s="74">
        <f t="shared" si="55"/>
        <v>0.61403508771929827</v>
      </c>
      <c r="Y175" s="74">
        <f t="shared" si="56"/>
        <v>0</v>
      </c>
      <c r="Z175" s="75">
        <f t="shared" si="57"/>
        <v>0.84210526315789469</v>
      </c>
      <c r="AA175" s="76">
        <f t="shared" si="58"/>
        <v>0.7</v>
      </c>
      <c r="AB175" s="76">
        <f t="shared" ca="1" si="59"/>
        <v>0.8</v>
      </c>
      <c r="AC175" s="77">
        <f t="shared" ca="1" si="60"/>
        <v>0.73333333333333339</v>
      </c>
      <c r="AD175" s="359">
        <f t="shared" si="61"/>
        <v>4.8245614035087723</v>
      </c>
      <c r="AE175" s="369">
        <f t="shared" ca="1" si="62"/>
        <v>35.380116959064331</v>
      </c>
      <c r="AF175" s="96" t="s">
        <v>248</v>
      </c>
      <c r="AG175" s="443"/>
      <c r="AH175" s="118"/>
      <c r="AI175" s="115"/>
      <c r="AJ175" s="115"/>
      <c r="AK175" s="115"/>
      <c r="AL175" s="122"/>
      <c r="AM175" s="337"/>
      <c r="AN175" s="338"/>
      <c r="AO175" s="338"/>
      <c r="AP175" s="338"/>
      <c r="AQ175" s="339"/>
    </row>
    <row r="176" spans="1:43" ht="36" customHeight="1">
      <c r="A176" s="355">
        <v>172</v>
      </c>
      <c r="B176" s="4" t="s">
        <v>7</v>
      </c>
      <c r="C176" s="286" t="s">
        <v>6</v>
      </c>
      <c r="D176" s="16" t="s">
        <v>1116</v>
      </c>
      <c r="E176" s="18" t="s">
        <v>1112</v>
      </c>
      <c r="F176" s="476">
        <v>110000</v>
      </c>
      <c r="G176" s="52">
        <v>2</v>
      </c>
      <c r="H176" s="57">
        <v>0.3</v>
      </c>
      <c r="I176" s="65">
        <v>4</v>
      </c>
      <c r="J176" s="66">
        <v>7</v>
      </c>
      <c r="K176" s="66">
        <v>1</v>
      </c>
      <c r="L176" s="66">
        <v>8.0000000000000053</v>
      </c>
      <c r="M176" s="66">
        <v>1</v>
      </c>
      <c r="N176" s="66">
        <v>8.0000000000000053</v>
      </c>
      <c r="O176" s="66">
        <v>0</v>
      </c>
      <c r="P176" s="67">
        <v>6</v>
      </c>
      <c r="Q176" s="70" t="e">
        <f ca="1">(#REF!-(YEAR(TODAY())-#REF!))/#REF!</f>
        <v>#REF!</v>
      </c>
      <c r="R176" s="70">
        <f t="shared" ca="1" si="49"/>
        <v>0.3</v>
      </c>
      <c r="S176" s="74">
        <f t="shared" si="50"/>
        <v>0.63157894736842102</v>
      </c>
      <c r="T176" s="74">
        <f t="shared" si="51"/>
        <v>0.73684210526315785</v>
      </c>
      <c r="U176" s="74">
        <f t="shared" si="52"/>
        <v>0.14035087719298245</v>
      </c>
      <c r="V176" s="74">
        <f t="shared" si="53"/>
        <v>1.4035087719298256</v>
      </c>
      <c r="W176" s="74">
        <f t="shared" si="54"/>
        <v>8.771929824561403E-2</v>
      </c>
      <c r="X176" s="74">
        <f t="shared" si="55"/>
        <v>0.9824561403508778</v>
      </c>
      <c r="Y176" s="74">
        <f t="shared" si="56"/>
        <v>0</v>
      </c>
      <c r="Z176" s="75">
        <f t="shared" si="57"/>
        <v>0.63157894736842102</v>
      </c>
      <c r="AA176" s="76">
        <f t="shared" si="58"/>
        <v>0.8</v>
      </c>
      <c r="AB176" s="76">
        <f t="shared" ca="1" si="59"/>
        <v>0.7</v>
      </c>
      <c r="AC176" s="77">
        <f t="shared" ca="1" si="60"/>
        <v>0.76666666666666661</v>
      </c>
      <c r="AD176" s="359">
        <f t="shared" si="61"/>
        <v>4.6140350877192997</v>
      </c>
      <c r="AE176" s="369">
        <f t="shared" ca="1" si="62"/>
        <v>35.374269005847964</v>
      </c>
      <c r="AF176" s="96" t="s">
        <v>1200</v>
      </c>
      <c r="AG176" s="114"/>
      <c r="AH176" s="118"/>
      <c r="AI176" s="115"/>
      <c r="AJ176" s="115"/>
      <c r="AK176" s="115"/>
      <c r="AL176" s="122"/>
      <c r="AM176" s="337"/>
      <c r="AN176" s="338"/>
      <c r="AO176" s="338"/>
      <c r="AP176" s="338"/>
      <c r="AQ176" s="339"/>
    </row>
    <row r="177" spans="1:43" ht="36" customHeight="1">
      <c r="A177" s="355">
        <v>173</v>
      </c>
      <c r="B177" s="4" t="s">
        <v>5</v>
      </c>
      <c r="C177" s="286" t="s">
        <v>299</v>
      </c>
      <c r="D177" s="5" t="s">
        <v>1122</v>
      </c>
      <c r="E177" s="6" t="s">
        <v>106</v>
      </c>
      <c r="F177" s="473">
        <v>280000</v>
      </c>
      <c r="G177" s="51">
        <v>3</v>
      </c>
      <c r="H177" s="57">
        <v>0.3</v>
      </c>
      <c r="I177" s="65">
        <v>6.0000000000000036</v>
      </c>
      <c r="J177" s="66">
        <v>8.0000000000000053</v>
      </c>
      <c r="K177" s="66">
        <v>1</v>
      </c>
      <c r="L177" s="66">
        <v>8.0000000000000053</v>
      </c>
      <c r="M177" s="66">
        <v>4.0000000000000027</v>
      </c>
      <c r="N177" s="66">
        <v>6.0000000000000036</v>
      </c>
      <c r="O177" s="66">
        <v>0</v>
      </c>
      <c r="P177" s="67">
        <v>6.0000000000000036</v>
      </c>
      <c r="Q177" s="70" t="e">
        <f ca="1">(#REF!-(YEAR(TODAY())-#REF!))/#REF!</f>
        <v>#REF!</v>
      </c>
      <c r="R177" s="70">
        <f t="shared" ca="1" si="49"/>
        <v>0.3</v>
      </c>
      <c r="S177" s="74">
        <f t="shared" si="50"/>
        <v>0.94736842105263208</v>
      </c>
      <c r="T177" s="74">
        <f t="shared" si="51"/>
        <v>0.84210526315789525</v>
      </c>
      <c r="U177" s="74">
        <f t="shared" si="52"/>
        <v>0.14035087719298245</v>
      </c>
      <c r="V177" s="74">
        <f t="shared" si="53"/>
        <v>1.4035087719298256</v>
      </c>
      <c r="W177" s="74">
        <f t="shared" si="54"/>
        <v>0.3508771929824564</v>
      </c>
      <c r="X177" s="74">
        <f t="shared" si="55"/>
        <v>0.73684210526315841</v>
      </c>
      <c r="Y177" s="74">
        <f t="shared" si="56"/>
        <v>0</v>
      </c>
      <c r="Z177" s="75">
        <f t="shared" si="57"/>
        <v>0.63157894736842146</v>
      </c>
      <c r="AA177" s="76">
        <f t="shared" si="58"/>
        <v>0.7</v>
      </c>
      <c r="AB177" s="76">
        <f t="shared" ca="1" si="59"/>
        <v>0.7</v>
      </c>
      <c r="AC177" s="77">
        <f t="shared" ca="1" si="60"/>
        <v>0.69999999999999984</v>
      </c>
      <c r="AD177" s="359">
        <f t="shared" si="61"/>
        <v>5.0526315789473717</v>
      </c>
      <c r="AE177" s="369">
        <f t="shared" ca="1" si="62"/>
        <v>35.368421052631597</v>
      </c>
      <c r="AF177" s="95" t="s">
        <v>248</v>
      </c>
      <c r="AG177" s="440"/>
      <c r="AH177" s="118"/>
      <c r="AI177" s="115"/>
      <c r="AJ177" s="115"/>
      <c r="AK177" s="115"/>
      <c r="AL177" s="122"/>
      <c r="AM177" s="340"/>
      <c r="AN177" s="338"/>
      <c r="AO177" s="338"/>
      <c r="AP177" s="338"/>
      <c r="AQ177" s="339"/>
    </row>
    <row r="178" spans="1:43" ht="36" customHeight="1">
      <c r="A178" s="355">
        <v>174</v>
      </c>
      <c r="B178" s="4" t="s">
        <v>5</v>
      </c>
      <c r="C178" s="286" t="s">
        <v>6</v>
      </c>
      <c r="D178" s="5" t="s">
        <v>130</v>
      </c>
      <c r="E178" s="6" t="s">
        <v>131</v>
      </c>
      <c r="F178" s="473">
        <v>400000</v>
      </c>
      <c r="G178" s="51">
        <v>3</v>
      </c>
      <c r="H178" s="57">
        <v>0.3</v>
      </c>
      <c r="I178" s="65">
        <v>4</v>
      </c>
      <c r="J178" s="66">
        <v>6.0000000000000036</v>
      </c>
      <c r="K178" s="66">
        <v>6.0000000000000036</v>
      </c>
      <c r="L178" s="66">
        <v>4.0000000000000027</v>
      </c>
      <c r="M178" s="66">
        <v>4</v>
      </c>
      <c r="N178" s="66">
        <v>6.0000000000000036</v>
      </c>
      <c r="O178" s="66">
        <v>5</v>
      </c>
      <c r="P178" s="67">
        <v>6.0000000000000036</v>
      </c>
      <c r="Q178" s="70" t="e">
        <f ca="1">(#REF!-(YEAR(TODAY())-#REF!))/#REF!</f>
        <v>#REF!</v>
      </c>
      <c r="R178" s="70">
        <f t="shared" ca="1" si="49"/>
        <v>0.3</v>
      </c>
      <c r="S178" s="74">
        <f t="shared" si="50"/>
        <v>0.63157894736842102</v>
      </c>
      <c r="T178" s="74">
        <f t="shared" si="51"/>
        <v>0.63157894736842146</v>
      </c>
      <c r="U178" s="74">
        <f t="shared" si="52"/>
        <v>0.84210526315789525</v>
      </c>
      <c r="V178" s="74">
        <f t="shared" si="53"/>
        <v>0.7017543859649128</v>
      </c>
      <c r="W178" s="74">
        <f t="shared" si="54"/>
        <v>0.35087719298245612</v>
      </c>
      <c r="X178" s="74">
        <f t="shared" si="55"/>
        <v>0.73684210526315841</v>
      </c>
      <c r="Y178" s="74">
        <f t="shared" si="56"/>
        <v>0.52631578947368418</v>
      </c>
      <c r="Z178" s="75">
        <f t="shared" si="57"/>
        <v>0.63157894736842146</v>
      </c>
      <c r="AA178" s="76">
        <f t="shared" si="58"/>
        <v>0.7</v>
      </c>
      <c r="AB178" s="76">
        <f t="shared" ca="1" si="59"/>
        <v>0.7</v>
      </c>
      <c r="AC178" s="77">
        <f t="shared" ca="1" si="60"/>
        <v>0.69999999999999984</v>
      </c>
      <c r="AD178" s="359">
        <f t="shared" si="61"/>
        <v>5.0526315789473699</v>
      </c>
      <c r="AE178" s="369">
        <f t="shared" ca="1" si="62"/>
        <v>35.368421052631582</v>
      </c>
      <c r="AF178" s="95" t="s">
        <v>248</v>
      </c>
      <c r="AG178" s="441"/>
      <c r="AH178" s="118"/>
      <c r="AI178" s="115"/>
      <c r="AJ178" s="115"/>
      <c r="AK178" s="115"/>
      <c r="AL178" s="122"/>
      <c r="AM178" s="337"/>
      <c r="AN178" s="338"/>
      <c r="AO178" s="338"/>
      <c r="AP178" s="338"/>
      <c r="AQ178" s="339"/>
    </row>
    <row r="179" spans="1:43" ht="36" customHeight="1">
      <c r="A179" s="355">
        <v>175</v>
      </c>
      <c r="B179" s="4" t="s">
        <v>5</v>
      </c>
      <c r="C179" s="286" t="s">
        <v>6</v>
      </c>
      <c r="D179" s="5" t="s">
        <v>206</v>
      </c>
      <c r="E179" s="7" t="s">
        <v>207</v>
      </c>
      <c r="F179" s="473">
        <v>415000</v>
      </c>
      <c r="G179" s="52">
        <v>3</v>
      </c>
      <c r="H179" s="57">
        <v>0.3</v>
      </c>
      <c r="I179" s="65">
        <v>5</v>
      </c>
      <c r="J179" s="66">
        <v>8</v>
      </c>
      <c r="K179" s="66">
        <v>4.0000000000000027</v>
      </c>
      <c r="L179" s="66">
        <v>6.0000000000000036</v>
      </c>
      <c r="M179" s="66">
        <v>1</v>
      </c>
      <c r="N179" s="66">
        <v>8</v>
      </c>
      <c r="O179" s="66">
        <v>0</v>
      </c>
      <c r="P179" s="67">
        <v>7</v>
      </c>
      <c r="Q179" s="70" t="e">
        <f ca="1">(#REF!-(YEAR(TODAY())-#REF!))/#REF!</f>
        <v>#REF!</v>
      </c>
      <c r="R179" s="70">
        <f t="shared" ca="1" si="49"/>
        <v>0.3</v>
      </c>
      <c r="S179" s="74">
        <f t="shared" si="50"/>
        <v>0.78947368421052633</v>
      </c>
      <c r="T179" s="74">
        <f t="shared" si="51"/>
        <v>0.84210526315789469</v>
      </c>
      <c r="U179" s="74">
        <f t="shared" si="52"/>
        <v>0.56140350877193024</v>
      </c>
      <c r="V179" s="74">
        <f t="shared" si="53"/>
        <v>1.052631578947369</v>
      </c>
      <c r="W179" s="74">
        <f t="shared" si="54"/>
        <v>8.771929824561403E-2</v>
      </c>
      <c r="X179" s="74">
        <f t="shared" si="55"/>
        <v>0.98245614035087714</v>
      </c>
      <c r="Y179" s="74">
        <f t="shared" si="56"/>
        <v>0</v>
      </c>
      <c r="Z179" s="75">
        <f t="shared" si="57"/>
        <v>0.73684210526315785</v>
      </c>
      <c r="AA179" s="76">
        <f t="shared" si="58"/>
        <v>0.7</v>
      </c>
      <c r="AB179" s="76">
        <f t="shared" ca="1" si="59"/>
        <v>0.7</v>
      </c>
      <c r="AC179" s="77">
        <f t="shared" ca="1" si="60"/>
        <v>0.69999999999999984</v>
      </c>
      <c r="AD179" s="359">
        <f t="shared" si="61"/>
        <v>5.0526315789473681</v>
      </c>
      <c r="AE179" s="369">
        <f t="shared" ca="1" si="62"/>
        <v>35.368421052631568</v>
      </c>
      <c r="AF179" s="96" t="s">
        <v>248</v>
      </c>
      <c r="AG179" s="442"/>
      <c r="AH179" s="323"/>
      <c r="AI179" s="120"/>
      <c r="AJ179" s="115"/>
      <c r="AK179" s="115"/>
      <c r="AL179" s="122"/>
      <c r="AM179" s="340"/>
      <c r="AN179" s="338"/>
      <c r="AO179" s="338"/>
      <c r="AP179" s="338"/>
      <c r="AQ179" s="339"/>
    </row>
    <row r="180" spans="1:43" ht="36" customHeight="1">
      <c r="A180" s="355">
        <v>176</v>
      </c>
      <c r="B180" s="12" t="s">
        <v>16</v>
      </c>
      <c r="C180" s="344" t="s">
        <v>6</v>
      </c>
      <c r="D180" s="5" t="s">
        <v>54</v>
      </c>
      <c r="E180" s="6" t="s">
        <v>55</v>
      </c>
      <c r="F180" s="481">
        <v>500000</v>
      </c>
      <c r="G180" s="52">
        <v>3</v>
      </c>
      <c r="H180" s="57">
        <v>0.1</v>
      </c>
      <c r="I180" s="65">
        <v>6.0000000000000036</v>
      </c>
      <c r="J180" s="66">
        <v>4.0000000000000027</v>
      </c>
      <c r="K180" s="66">
        <v>4.0000000000000027</v>
      </c>
      <c r="L180" s="66">
        <v>6</v>
      </c>
      <c r="M180" s="66">
        <v>6.0000000000000036</v>
      </c>
      <c r="N180" s="66">
        <v>2</v>
      </c>
      <c r="O180" s="66">
        <v>2</v>
      </c>
      <c r="P180" s="67">
        <v>6.0000000000000036</v>
      </c>
      <c r="Q180" s="70" t="e">
        <f ca="1">(#REF!-(YEAR(TODAY())-#REF!))/#REF!</f>
        <v>#REF!</v>
      </c>
      <c r="R180" s="70">
        <f t="shared" ca="1" si="49"/>
        <v>0.1</v>
      </c>
      <c r="S180" s="74">
        <f t="shared" si="50"/>
        <v>0.94736842105263208</v>
      </c>
      <c r="T180" s="74">
        <f t="shared" si="51"/>
        <v>0.42105263157894762</v>
      </c>
      <c r="U180" s="74">
        <f t="shared" si="52"/>
        <v>0.56140350877193024</v>
      </c>
      <c r="V180" s="74">
        <f t="shared" si="53"/>
        <v>1.0526315789473684</v>
      </c>
      <c r="W180" s="74">
        <f t="shared" si="54"/>
        <v>0.52631578947368451</v>
      </c>
      <c r="X180" s="74">
        <f t="shared" si="55"/>
        <v>0.24561403508771928</v>
      </c>
      <c r="Y180" s="74">
        <f t="shared" si="56"/>
        <v>0.21052631578947367</v>
      </c>
      <c r="Z180" s="75">
        <f t="shared" si="57"/>
        <v>0.63157894736842146</v>
      </c>
      <c r="AA180" s="76">
        <f t="shared" si="58"/>
        <v>0.7</v>
      </c>
      <c r="AB180" s="76">
        <f t="shared" ca="1" si="59"/>
        <v>0.9</v>
      </c>
      <c r="AC180" s="77">
        <f t="shared" ca="1" si="60"/>
        <v>0.76666666666666661</v>
      </c>
      <c r="AD180" s="359">
        <f t="shared" si="61"/>
        <v>4.5964912280701773</v>
      </c>
      <c r="AE180" s="369">
        <f t="shared" ca="1" si="62"/>
        <v>35.239766081871352</v>
      </c>
      <c r="AF180" s="96" t="s">
        <v>257</v>
      </c>
      <c r="AG180" s="442"/>
      <c r="AH180" s="118"/>
      <c r="AI180" s="115"/>
      <c r="AJ180" s="115"/>
      <c r="AK180" s="115"/>
      <c r="AL180" s="122"/>
      <c r="AM180" s="337"/>
      <c r="AN180" s="338"/>
      <c r="AO180" s="338"/>
      <c r="AP180" s="338"/>
      <c r="AQ180" s="339"/>
    </row>
    <row r="181" spans="1:43" ht="36" customHeight="1">
      <c r="A181" s="355">
        <v>177</v>
      </c>
      <c r="B181" s="4" t="s">
        <v>16</v>
      </c>
      <c r="C181" s="286" t="s">
        <v>6</v>
      </c>
      <c r="D181" s="16" t="s">
        <v>72</v>
      </c>
      <c r="E181" s="18" t="s">
        <v>73</v>
      </c>
      <c r="F181" s="476">
        <v>123000</v>
      </c>
      <c r="G181" s="52">
        <v>2</v>
      </c>
      <c r="H181" s="57">
        <v>0.2</v>
      </c>
      <c r="I181" s="65">
        <v>6.0000000000000036</v>
      </c>
      <c r="J181" s="66">
        <v>1</v>
      </c>
      <c r="K181" s="66">
        <v>6.0000000000000036</v>
      </c>
      <c r="L181" s="66">
        <v>6.0000000000000036</v>
      </c>
      <c r="M181" s="66">
        <v>8.0000000000000053</v>
      </c>
      <c r="N181" s="66">
        <v>1</v>
      </c>
      <c r="O181" s="66">
        <v>0</v>
      </c>
      <c r="P181" s="67">
        <v>6.0000000000000036</v>
      </c>
      <c r="Q181" s="70" t="e">
        <f ca="1">(#REF!-(YEAR(TODAY())-#REF!))/#REF!</f>
        <v>#REF!</v>
      </c>
      <c r="R181" s="70">
        <f t="shared" ca="1" si="49"/>
        <v>0.2</v>
      </c>
      <c r="S181" s="74">
        <f t="shared" si="50"/>
        <v>0.94736842105263208</v>
      </c>
      <c r="T181" s="74">
        <f t="shared" si="51"/>
        <v>0.10526315789473684</v>
      </c>
      <c r="U181" s="74">
        <f t="shared" si="52"/>
        <v>0.84210526315789525</v>
      </c>
      <c r="V181" s="74">
        <f t="shared" si="53"/>
        <v>1.052631578947369</v>
      </c>
      <c r="W181" s="74">
        <f t="shared" si="54"/>
        <v>0.7017543859649128</v>
      </c>
      <c r="X181" s="74">
        <f t="shared" si="55"/>
        <v>0.12280701754385964</v>
      </c>
      <c r="Y181" s="74">
        <f t="shared" si="56"/>
        <v>0</v>
      </c>
      <c r="Z181" s="75">
        <f t="shared" si="57"/>
        <v>0.63157894736842146</v>
      </c>
      <c r="AA181" s="76">
        <f t="shared" si="58"/>
        <v>0.8</v>
      </c>
      <c r="AB181" s="76">
        <f t="shared" ca="1" si="59"/>
        <v>0.8</v>
      </c>
      <c r="AC181" s="77">
        <f t="shared" ca="1" si="60"/>
        <v>0.80000000000000016</v>
      </c>
      <c r="AD181" s="359">
        <f t="shared" si="61"/>
        <v>4.4035087719298271</v>
      </c>
      <c r="AE181" s="369">
        <f t="shared" ca="1" si="62"/>
        <v>35.228070175438624</v>
      </c>
      <c r="AF181" s="96" t="s">
        <v>248</v>
      </c>
      <c r="AG181" s="442"/>
      <c r="AH181" s="118"/>
      <c r="AI181" s="115"/>
      <c r="AJ181" s="115"/>
      <c r="AK181" s="115"/>
      <c r="AL181" s="122"/>
      <c r="AM181" s="340"/>
      <c r="AN181" s="338"/>
      <c r="AO181" s="338"/>
      <c r="AP181" s="338"/>
      <c r="AQ181" s="339"/>
    </row>
    <row r="182" spans="1:43" ht="36" customHeight="1">
      <c r="A182" s="355">
        <v>178</v>
      </c>
      <c r="B182" s="4" t="s">
        <v>16</v>
      </c>
      <c r="C182" s="286" t="s">
        <v>300</v>
      </c>
      <c r="D182" s="19" t="s">
        <v>1127</v>
      </c>
      <c r="E182" s="15" t="s">
        <v>1136</v>
      </c>
      <c r="F182" s="476">
        <v>160000</v>
      </c>
      <c r="G182" s="52">
        <v>4</v>
      </c>
      <c r="H182" s="57">
        <v>0.3</v>
      </c>
      <c r="I182" s="65">
        <v>6</v>
      </c>
      <c r="J182" s="66">
        <v>7</v>
      </c>
      <c r="K182" s="66">
        <v>6</v>
      </c>
      <c r="L182" s="66">
        <v>6</v>
      </c>
      <c r="M182" s="66">
        <v>6</v>
      </c>
      <c r="N182" s="66">
        <v>5</v>
      </c>
      <c r="O182" s="66">
        <v>1</v>
      </c>
      <c r="P182" s="67">
        <v>7</v>
      </c>
      <c r="Q182" s="70" t="e">
        <f ca="1">(#REF!-(YEAR(TODAY())-#REF!))/#REF!</f>
        <v>#REF!</v>
      </c>
      <c r="R182" s="70">
        <f t="shared" ca="1" si="49"/>
        <v>0.3</v>
      </c>
      <c r="S182" s="74">
        <f t="shared" si="50"/>
        <v>0.94736842105263153</v>
      </c>
      <c r="T182" s="74">
        <f t="shared" si="51"/>
        <v>0.73684210526315785</v>
      </c>
      <c r="U182" s="74">
        <f t="shared" si="52"/>
        <v>0.84210526315789469</v>
      </c>
      <c r="V182" s="74">
        <f t="shared" si="53"/>
        <v>1.0526315789473684</v>
      </c>
      <c r="W182" s="74">
        <f t="shared" si="54"/>
        <v>0.52631578947368418</v>
      </c>
      <c r="X182" s="74">
        <f t="shared" si="55"/>
        <v>0.61403508771929827</v>
      </c>
      <c r="Y182" s="74">
        <f t="shared" si="56"/>
        <v>0.10526315789473684</v>
      </c>
      <c r="Z182" s="75">
        <f t="shared" si="57"/>
        <v>0.73684210526315785</v>
      </c>
      <c r="AA182" s="76">
        <f t="shared" si="58"/>
        <v>0.6</v>
      </c>
      <c r="AB182" s="76">
        <f t="shared" ca="1" si="59"/>
        <v>0.7</v>
      </c>
      <c r="AC182" s="77">
        <f t="shared" ca="1" si="60"/>
        <v>0.6333333333333333</v>
      </c>
      <c r="AD182" s="359">
        <f t="shared" si="61"/>
        <v>5.5614035087719289</v>
      </c>
      <c r="AE182" s="369">
        <f t="shared" ca="1" si="62"/>
        <v>35.222222222222214</v>
      </c>
      <c r="AF182" s="96" t="s">
        <v>248</v>
      </c>
      <c r="AG182" s="442"/>
      <c r="AH182" s="118"/>
      <c r="AI182" s="115"/>
      <c r="AJ182" s="115"/>
      <c r="AK182" s="115"/>
      <c r="AL182" s="122"/>
      <c r="AM182" s="340"/>
      <c r="AN182" s="338"/>
      <c r="AO182" s="338"/>
      <c r="AP182" s="338"/>
      <c r="AQ182" s="339"/>
    </row>
    <row r="183" spans="1:43" ht="36" customHeight="1">
      <c r="A183" s="355">
        <v>179</v>
      </c>
      <c r="B183" s="4" t="s">
        <v>14</v>
      </c>
      <c r="C183" s="286" t="s">
        <v>6</v>
      </c>
      <c r="D183" s="10" t="s">
        <v>139</v>
      </c>
      <c r="E183" s="11" t="s">
        <v>1072</v>
      </c>
      <c r="F183" s="476">
        <v>5000000</v>
      </c>
      <c r="G183" s="52">
        <v>1</v>
      </c>
      <c r="H183" s="57">
        <v>0.1</v>
      </c>
      <c r="I183" s="65">
        <v>4.0000000000000027</v>
      </c>
      <c r="J183" s="66">
        <v>6.0000000000000036</v>
      </c>
      <c r="K183" s="66">
        <v>1</v>
      </c>
      <c r="L183" s="66">
        <v>6.0000000000000036</v>
      </c>
      <c r="M183" s="66">
        <v>1</v>
      </c>
      <c r="N183" s="66">
        <v>6.0000000000000036</v>
      </c>
      <c r="O183" s="66">
        <v>0</v>
      </c>
      <c r="P183" s="67">
        <v>6.0000000000000036</v>
      </c>
      <c r="Q183" s="70" t="e">
        <f ca="1">(#REF!-(YEAR(TODAY())-#REF!))/#REF!</f>
        <v>#REF!</v>
      </c>
      <c r="R183" s="70">
        <f t="shared" ca="1" si="49"/>
        <v>0.1</v>
      </c>
      <c r="S183" s="74">
        <f t="shared" si="50"/>
        <v>0.63157894736842146</v>
      </c>
      <c r="T183" s="74">
        <f t="shared" si="51"/>
        <v>0.63157894736842146</v>
      </c>
      <c r="U183" s="74">
        <f t="shared" si="52"/>
        <v>0.14035087719298245</v>
      </c>
      <c r="V183" s="74">
        <f t="shared" si="53"/>
        <v>1.052631578947369</v>
      </c>
      <c r="W183" s="74">
        <f t="shared" si="54"/>
        <v>8.771929824561403E-2</v>
      </c>
      <c r="X183" s="74">
        <f t="shared" si="55"/>
        <v>0.73684210526315841</v>
      </c>
      <c r="Y183" s="74">
        <f t="shared" si="56"/>
        <v>0</v>
      </c>
      <c r="Z183" s="75">
        <f t="shared" si="57"/>
        <v>0.63157894736842146</v>
      </c>
      <c r="AA183" s="76">
        <f t="shared" si="58"/>
        <v>0.9</v>
      </c>
      <c r="AB183" s="76">
        <f t="shared" ca="1" si="59"/>
        <v>0.9</v>
      </c>
      <c r="AC183" s="77">
        <f t="shared" ca="1" si="60"/>
        <v>0.9</v>
      </c>
      <c r="AD183" s="359">
        <f t="shared" si="61"/>
        <v>3.9122807017543879</v>
      </c>
      <c r="AE183" s="369">
        <f t="shared" ca="1" si="62"/>
        <v>35.210526315789494</v>
      </c>
      <c r="AF183" s="96" t="s">
        <v>257</v>
      </c>
      <c r="AG183" s="114"/>
      <c r="AH183" s="118"/>
      <c r="AI183" s="115"/>
      <c r="AJ183" s="115"/>
      <c r="AK183" s="115"/>
      <c r="AL183" s="122"/>
      <c r="AM183" s="337"/>
      <c r="AN183" s="338"/>
      <c r="AO183" s="338"/>
      <c r="AP183" s="338"/>
      <c r="AQ183" s="339"/>
    </row>
    <row r="184" spans="1:43" ht="36" customHeight="1">
      <c r="A184" s="355">
        <v>180</v>
      </c>
      <c r="B184" s="4" t="s">
        <v>5</v>
      </c>
      <c r="C184" s="286" t="s">
        <v>6</v>
      </c>
      <c r="D184" s="5" t="s">
        <v>1023</v>
      </c>
      <c r="E184" s="6" t="s">
        <v>1087</v>
      </c>
      <c r="F184" s="473">
        <v>750000</v>
      </c>
      <c r="G184" s="51">
        <v>4</v>
      </c>
      <c r="H184" s="57">
        <v>0.4</v>
      </c>
      <c r="I184" s="65">
        <v>6.0000000000000036</v>
      </c>
      <c r="J184" s="66">
        <v>8.0000000000000053</v>
      </c>
      <c r="K184" s="66">
        <v>6.0000000000000036</v>
      </c>
      <c r="L184" s="66">
        <v>6.0000000000000036</v>
      </c>
      <c r="M184" s="66">
        <v>2</v>
      </c>
      <c r="N184" s="66">
        <v>6.0000000000000036</v>
      </c>
      <c r="O184" s="66">
        <v>6</v>
      </c>
      <c r="P184" s="67">
        <v>6.0000000000000036</v>
      </c>
      <c r="Q184" s="70" t="e">
        <f ca="1">(#REF!-(YEAR(TODAY())-#REF!))/#REF!</f>
        <v>#REF!</v>
      </c>
      <c r="R184" s="70">
        <f t="shared" ca="1" si="49"/>
        <v>0.4</v>
      </c>
      <c r="S184" s="74">
        <f t="shared" si="50"/>
        <v>0.94736842105263208</v>
      </c>
      <c r="T184" s="74">
        <f t="shared" si="51"/>
        <v>0.84210526315789525</v>
      </c>
      <c r="U184" s="74">
        <f t="shared" si="52"/>
        <v>0.84210526315789525</v>
      </c>
      <c r="V184" s="74">
        <f t="shared" si="53"/>
        <v>1.052631578947369</v>
      </c>
      <c r="W184" s="74">
        <f t="shared" si="54"/>
        <v>0.17543859649122806</v>
      </c>
      <c r="X184" s="74">
        <f t="shared" si="55"/>
        <v>0.73684210526315841</v>
      </c>
      <c r="Y184" s="74">
        <f t="shared" si="56"/>
        <v>0.63157894736842102</v>
      </c>
      <c r="Z184" s="75">
        <f t="shared" si="57"/>
        <v>0.63157894736842146</v>
      </c>
      <c r="AA184" s="76">
        <f t="shared" si="58"/>
        <v>0.6</v>
      </c>
      <c r="AB184" s="76">
        <f t="shared" ca="1" si="59"/>
        <v>0.6</v>
      </c>
      <c r="AC184" s="77">
        <f t="shared" ca="1" si="60"/>
        <v>0.6</v>
      </c>
      <c r="AD184" s="359">
        <f t="shared" si="61"/>
        <v>5.8596491228070207</v>
      </c>
      <c r="AE184" s="369">
        <f t="shared" ca="1" si="62"/>
        <v>35.157894736842124</v>
      </c>
      <c r="AF184" s="95" t="s">
        <v>248</v>
      </c>
      <c r="AG184" s="440"/>
      <c r="AH184" s="118"/>
      <c r="AI184" s="115"/>
      <c r="AJ184" s="115"/>
      <c r="AK184" s="115"/>
      <c r="AL184" s="122"/>
      <c r="AM184" s="337"/>
      <c r="AN184" s="338"/>
      <c r="AO184" s="338"/>
      <c r="AP184" s="338"/>
      <c r="AQ184" s="339"/>
    </row>
    <row r="185" spans="1:43" ht="36" customHeight="1">
      <c r="A185" s="355">
        <v>181</v>
      </c>
      <c r="B185" s="4" t="s">
        <v>5</v>
      </c>
      <c r="C185" s="286" t="s">
        <v>6</v>
      </c>
      <c r="D185" s="5" t="s">
        <v>107</v>
      </c>
      <c r="E185" s="7" t="s">
        <v>989</v>
      </c>
      <c r="F185" s="473">
        <v>450000</v>
      </c>
      <c r="G185" s="51">
        <v>3</v>
      </c>
      <c r="H185" s="57">
        <v>0.3</v>
      </c>
      <c r="I185" s="65">
        <v>6.0000000000000036</v>
      </c>
      <c r="J185" s="66">
        <v>8</v>
      </c>
      <c r="K185" s="66">
        <v>4</v>
      </c>
      <c r="L185" s="66">
        <v>4.0000000000000027</v>
      </c>
      <c r="M185" s="66">
        <v>6.0000000000000036</v>
      </c>
      <c r="N185" s="66">
        <v>4.0000000000000027</v>
      </c>
      <c r="O185" s="66">
        <v>3</v>
      </c>
      <c r="P185" s="67">
        <v>6.0000000000000036</v>
      </c>
      <c r="Q185" s="70" t="e">
        <f ca="1">(#REF!-(YEAR(TODAY())-#REF!))/#REF!</f>
        <v>#REF!</v>
      </c>
      <c r="R185" s="70">
        <f t="shared" ca="1" si="49"/>
        <v>0.3</v>
      </c>
      <c r="S185" s="74">
        <f t="shared" si="50"/>
        <v>0.94736842105263208</v>
      </c>
      <c r="T185" s="74">
        <f t="shared" si="51"/>
        <v>0.84210526315789469</v>
      </c>
      <c r="U185" s="74">
        <f t="shared" si="52"/>
        <v>0.56140350877192979</v>
      </c>
      <c r="V185" s="74">
        <f t="shared" si="53"/>
        <v>0.7017543859649128</v>
      </c>
      <c r="W185" s="74">
        <f t="shared" si="54"/>
        <v>0.52631578947368451</v>
      </c>
      <c r="X185" s="74">
        <f t="shared" si="55"/>
        <v>0.4912280701754389</v>
      </c>
      <c r="Y185" s="74">
        <f t="shared" si="56"/>
        <v>0.31578947368421051</v>
      </c>
      <c r="Z185" s="75">
        <f t="shared" si="57"/>
        <v>0.63157894736842146</v>
      </c>
      <c r="AA185" s="76">
        <f t="shared" si="58"/>
        <v>0.7</v>
      </c>
      <c r="AB185" s="76">
        <f t="shared" ca="1" si="59"/>
        <v>0.7</v>
      </c>
      <c r="AC185" s="77">
        <f t="shared" ca="1" si="60"/>
        <v>0.69999999999999984</v>
      </c>
      <c r="AD185" s="359">
        <f t="shared" si="61"/>
        <v>5.0175438596491242</v>
      </c>
      <c r="AE185" s="369">
        <f t="shared" ca="1" si="62"/>
        <v>35.122807017543863</v>
      </c>
      <c r="AF185" s="95" t="s">
        <v>248</v>
      </c>
      <c r="AG185" s="441"/>
      <c r="AH185" s="118"/>
      <c r="AI185" s="115"/>
      <c r="AJ185" s="115"/>
      <c r="AK185" s="115"/>
      <c r="AL185" s="122"/>
      <c r="AM185" s="337"/>
      <c r="AN185" s="338"/>
      <c r="AO185" s="338"/>
      <c r="AP185" s="338"/>
      <c r="AQ185" s="339"/>
    </row>
    <row r="186" spans="1:43" ht="36" customHeight="1">
      <c r="A186" s="355">
        <v>182</v>
      </c>
      <c r="B186" s="4" t="s">
        <v>5</v>
      </c>
      <c r="C186" s="286" t="s">
        <v>6</v>
      </c>
      <c r="D186" s="5" t="s">
        <v>68</v>
      </c>
      <c r="E186" s="7" t="s">
        <v>933</v>
      </c>
      <c r="F186" s="473">
        <v>250000</v>
      </c>
      <c r="G186" s="51">
        <v>3</v>
      </c>
      <c r="H186" s="57">
        <v>0.3</v>
      </c>
      <c r="I186" s="65">
        <v>6.0000000000000036</v>
      </c>
      <c r="J186" s="66">
        <v>8.0000000000000053</v>
      </c>
      <c r="K186" s="66">
        <v>4</v>
      </c>
      <c r="L186" s="66">
        <v>4</v>
      </c>
      <c r="M186" s="66">
        <v>2</v>
      </c>
      <c r="N186" s="66">
        <v>6.0000000000000036</v>
      </c>
      <c r="O186" s="66">
        <v>4</v>
      </c>
      <c r="P186" s="67">
        <v>6.0000000000000036</v>
      </c>
      <c r="Q186" s="70" t="e">
        <f ca="1">(#REF!-(YEAR(TODAY())-#REF!))/#REF!</f>
        <v>#REF!</v>
      </c>
      <c r="R186" s="70">
        <f t="shared" ca="1" si="49"/>
        <v>0.3</v>
      </c>
      <c r="S186" s="74">
        <f t="shared" si="50"/>
        <v>0.94736842105263208</v>
      </c>
      <c r="T186" s="74">
        <f t="shared" si="51"/>
        <v>0.84210526315789525</v>
      </c>
      <c r="U186" s="74">
        <f t="shared" si="52"/>
        <v>0.56140350877192979</v>
      </c>
      <c r="V186" s="74">
        <f t="shared" si="53"/>
        <v>0.70175438596491224</v>
      </c>
      <c r="W186" s="74">
        <f t="shared" si="54"/>
        <v>0.17543859649122806</v>
      </c>
      <c r="X186" s="74">
        <f t="shared" si="55"/>
        <v>0.73684210526315841</v>
      </c>
      <c r="Y186" s="74">
        <f t="shared" si="56"/>
        <v>0.42105263157894735</v>
      </c>
      <c r="Z186" s="75">
        <f t="shared" si="57"/>
        <v>0.63157894736842146</v>
      </c>
      <c r="AA186" s="76">
        <f t="shared" si="58"/>
        <v>0.7</v>
      </c>
      <c r="AB186" s="76">
        <f t="shared" ca="1" si="59"/>
        <v>0.7</v>
      </c>
      <c r="AC186" s="77">
        <f t="shared" ca="1" si="60"/>
        <v>0.69999999999999984</v>
      </c>
      <c r="AD186" s="359">
        <f t="shared" si="61"/>
        <v>5.0175438596491251</v>
      </c>
      <c r="AE186" s="369">
        <f t="shared" ca="1" si="62"/>
        <v>35.122807017543863</v>
      </c>
      <c r="AF186" s="95" t="s">
        <v>248</v>
      </c>
      <c r="AG186" s="441"/>
      <c r="AH186" s="118"/>
      <c r="AI186" s="115"/>
      <c r="AJ186" s="115"/>
      <c r="AK186" s="115"/>
      <c r="AL186" s="122"/>
      <c r="AM186" s="337"/>
      <c r="AN186" s="338"/>
      <c r="AO186" s="338"/>
      <c r="AP186" s="338"/>
      <c r="AQ186" s="339"/>
    </row>
    <row r="187" spans="1:43" ht="36" customHeight="1">
      <c r="A187" s="355">
        <v>183</v>
      </c>
      <c r="B187" s="4" t="s">
        <v>5</v>
      </c>
      <c r="C187" s="286" t="s">
        <v>6</v>
      </c>
      <c r="D187" s="16" t="s">
        <v>312</v>
      </c>
      <c r="E187" s="17" t="s">
        <v>1092</v>
      </c>
      <c r="F187" s="476">
        <v>150000</v>
      </c>
      <c r="G187" s="52">
        <v>3</v>
      </c>
      <c r="H187" s="57">
        <v>0.3</v>
      </c>
      <c r="I187" s="65">
        <v>3</v>
      </c>
      <c r="J187" s="66">
        <v>5</v>
      </c>
      <c r="K187" s="66">
        <v>10</v>
      </c>
      <c r="L187" s="66">
        <v>2</v>
      </c>
      <c r="M187" s="66">
        <v>0</v>
      </c>
      <c r="N187" s="66">
        <v>3</v>
      </c>
      <c r="O187" s="66">
        <v>8</v>
      </c>
      <c r="P187" s="67">
        <v>10</v>
      </c>
      <c r="Q187" s="70" t="e">
        <f ca="1">(#REF!-(YEAR(TODAY())-#REF!))/#REF!</f>
        <v>#REF!</v>
      </c>
      <c r="R187" s="70">
        <f t="shared" ca="1" si="49"/>
        <v>0.3</v>
      </c>
      <c r="S187" s="74">
        <f t="shared" si="50"/>
        <v>0.47368421052631576</v>
      </c>
      <c r="T187" s="74">
        <f t="shared" si="51"/>
        <v>0.52631578947368418</v>
      </c>
      <c r="U187" s="74">
        <f t="shared" si="52"/>
        <v>1.4035087719298245</v>
      </c>
      <c r="V187" s="74">
        <f t="shared" si="53"/>
        <v>0.35087719298245612</v>
      </c>
      <c r="W187" s="74">
        <f t="shared" si="54"/>
        <v>0</v>
      </c>
      <c r="X187" s="74">
        <f t="shared" si="55"/>
        <v>0.36842105263157893</v>
      </c>
      <c r="Y187" s="74">
        <f t="shared" si="56"/>
        <v>0.84210526315789469</v>
      </c>
      <c r="Z187" s="75">
        <f t="shared" si="57"/>
        <v>1.0526315789473684</v>
      </c>
      <c r="AA187" s="76">
        <f t="shared" si="58"/>
        <v>0.7</v>
      </c>
      <c r="AB187" s="76">
        <f t="shared" ca="1" si="59"/>
        <v>0.7</v>
      </c>
      <c r="AC187" s="77">
        <f t="shared" ca="1" si="60"/>
        <v>0.69999999999999984</v>
      </c>
      <c r="AD187" s="359">
        <f t="shared" si="61"/>
        <v>5.0175438596491224</v>
      </c>
      <c r="AE187" s="369">
        <f t="shared" ca="1" si="62"/>
        <v>35.122807017543849</v>
      </c>
      <c r="AF187" s="95" t="s">
        <v>248</v>
      </c>
      <c r="AG187" s="441"/>
      <c r="AH187" s="118"/>
      <c r="AI187" s="115"/>
      <c r="AJ187" s="115"/>
      <c r="AK187" s="115"/>
      <c r="AL187" s="122"/>
      <c r="AM187" s="337"/>
      <c r="AN187" s="338"/>
      <c r="AO187" s="338"/>
      <c r="AP187" s="338"/>
      <c r="AQ187" s="339"/>
    </row>
    <row r="188" spans="1:43" ht="36" customHeight="1">
      <c r="A188" s="355">
        <v>184</v>
      </c>
      <c r="B188" s="4" t="s">
        <v>14</v>
      </c>
      <c r="C188" s="286" t="s">
        <v>6</v>
      </c>
      <c r="D188" s="16" t="s">
        <v>132</v>
      </c>
      <c r="E188" s="18" t="s">
        <v>133</v>
      </c>
      <c r="F188" s="477">
        <v>313500</v>
      </c>
      <c r="G188" s="52">
        <v>3</v>
      </c>
      <c r="H188" s="57">
        <v>0.1</v>
      </c>
      <c r="I188" s="65">
        <v>3</v>
      </c>
      <c r="J188" s="66">
        <v>6.0000000000000036</v>
      </c>
      <c r="K188" s="66">
        <v>4.0000000000000027</v>
      </c>
      <c r="L188" s="66">
        <v>6.0000000000000036</v>
      </c>
      <c r="M188" s="66">
        <v>6.0000000000000036</v>
      </c>
      <c r="N188" s="66">
        <v>4.0000000000000027</v>
      </c>
      <c r="O188" s="66">
        <v>4</v>
      </c>
      <c r="P188" s="67">
        <v>4.0000000000000027</v>
      </c>
      <c r="Q188" s="70" t="e">
        <f ca="1">(#REF!-(YEAR(TODAY())-#REF!))/#REF!</f>
        <v>#REF!</v>
      </c>
      <c r="R188" s="70">
        <f t="shared" ca="1" si="49"/>
        <v>0.1</v>
      </c>
      <c r="S188" s="74">
        <f t="shared" si="50"/>
        <v>0.47368421052631576</v>
      </c>
      <c r="T188" s="74">
        <f t="shared" si="51"/>
        <v>0.63157894736842146</v>
      </c>
      <c r="U188" s="74">
        <f t="shared" si="52"/>
        <v>0.56140350877193024</v>
      </c>
      <c r="V188" s="74">
        <f t="shared" si="53"/>
        <v>1.052631578947369</v>
      </c>
      <c r="W188" s="74">
        <f t="shared" si="54"/>
        <v>0.52631578947368451</v>
      </c>
      <c r="X188" s="74">
        <f t="shared" si="55"/>
        <v>0.4912280701754389</v>
      </c>
      <c r="Y188" s="74">
        <f t="shared" si="56"/>
        <v>0.42105263157894735</v>
      </c>
      <c r="Z188" s="75">
        <f t="shared" si="57"/>
        <v>0.42105263157894762</v>
      </c>
      <c r="AA188" s="76">
        <f t="shared" si="58"/>
        <v>0.7</v>
      </c>
      <c r="AB188" s="76">
        <f t="shared" ca="1" si="59"/>
        <v>0.9</v>
      </c>
      <c r="AC188" s="77">
        <f t="shared" ca="1" si="60"/>
        <v>0.76666666666666661</v>
      </c>
      <c r="AD188" s="359">
        <f t="shared" si="61"/>
        <v>4.5789473684210549</v>
      </c>
      <c r="AE188" s="369">
        <f t="shared" ca="1" si="62"/>
        <v>35.105263157894754</v>
      </c>
      <c r="AF188" s="96" t="s">
        <v>257</v>
      </c>
      <c r="AG188" s="442"/>
      <c r="AH188" s="118"/>
      <c r="AI188" s="115"/>
      <c r="AJ188" s="115"/>
      <c r="AK188" s="115"/>
      <c r="AL188" s="122"/>
      <c r="AM188" s="337"/>
      <c r="AN188" s="338"/>
      <c r="AO188" s="338"/>
      <c r="AP188" s="338"/>
      <c r="AQ188" s="339"/>
    </row>
    <row r="189" spans="1:43" ht="36" customHeight="1">
      <c r="A189" s="355">
        <v>185</v>
      </c>
      <c r="B189" s="4" t="s">
        <v>14</v>
      </c>
      <c r="C189" s="286" t="s">
        <v>298</v>
      </c>
      <c r="D189" s="10" t="s">
        <v>337</v>
      </c>
      <c r="E189" s="20" t="s">
        <v>998</v>
      </c>
      <c r="F189" s="473">
        <v>220000</v>
      </c>
      <c r="G189" s="51">
        <v>3</v>
      </c>
      <c r="H189" s="57">
        <v>0.1</v>
      </c>
      <c r="I189" s="65">
        <v>4.0000000000000027</v>
      </c>
      <c r="J189" s="66">
        <v>8.0000000000000053</v>
      </c>
      <c r="K189" s="66">
        <v>2</v>
      </c>
      <c r="L189" s="66">
        <v>4</v>
      </c>
      <c r="M189" s="66">
        <v>1</v>
      </c>
      <c r="N189" s="66">
        <v>8</v>
      </c>
      <c r="O189" s="66">
        <v>0</v>
      </c>
      <c r="P189" s="67">
        <v>10</v>
      </c>
      <c r="Q189" s="70" t="e">
        <f ca="1">(#REF!-(YEAR(TODAY())-#REF!))/#REF!</f>
        <v>#REF!</v>
      </c>
      <c r="R189" s="70">
        <f t="shared" ca="1" si="49"/>
        <v>0.1</v>
      </c>
      <c r="S189" s="74">
        <f t="shared" si="50"/>
        <v>0.63157894736842146</v>
      </c>
      <c r="T189" s="74">
        <f t="shared" si="51"/>
        <v>0.84210526315789525</v>
      </c>
      <c r="U189" s="74">
        <f t="shared" si="52"/>
        <v>0.2807017543859649</v>
      </c>
      <c r="V189" s="74">
        <f t="shared" si="53"/>
        <v>0.70175438596491224</v>
      </c>
      <c r="W189" s="74">
        <f t="shared" si="54"/>
        <v>8.771929824561403E-2</v>
      </c>
      <c r="X189" s="74">
        <f t="shared" si="55"/>
        <v>0.98245614035087714</v>
      </c>
      <c r="Y189" s="74">
        <f t="shared" si="56"/>
        <v>0</v>
      </c>
      <c r="Z189" s="75">
        <f t="shared" si="57"/>
        <v>1.0526315789473684</v>
      </c>
      <c r="AA189" s="76">
        <f t="shared" si="58"/>
        <v>0.7</v>
      </c>
      <c r="AB189" s="76">
        <f t="shared" ca="1" si="59"/>
        <v>0.9</v>
      </c>
      <c r="AC189" s="77">
        <f t="shared" ca="1" si="60"/>
        <v>0.76666666666666661</v>
      </c>
      <c r="AD189" s="359">
        <f t="shared" si="61"/>
        <v>4.5789473684210531</v>
      </c>
      <c r="AE189" s="369">
        <f t="shared" ca="1" si="62"/>
        <v>35.10526315789474</v>
      </c>
      <c r="AF189" s="95" t="s">
        <v>248</v>
      </c>
      <c r="AG189" s="113"/>
      <c r="AH189" s="118"/>
      <c r="AI189" s="115"/>
      <c r="AJ189" s="115"/>
      <c r="AK189" s="115"/>
      <c r="AL189" s="122"/>
      <c r="AM189" s="337"/>
      <c r="AN189" s="338"/>
      <c r="AO189" s="338"/>
      <c r="AP189" s="338"/>
      <c r="AQ189" s="339"/>
    </row>
    <row r="190" spans="1:43" ht="36" customHeight="1">
      <c r="A190" s="355">
        <v>186</v>
      </c>
      <c r="B190" s="4" t="s">
        <v>14</v>
      </c>
      <c r="C190" s="286" t="s">
        <v>298</v>
      </c>
      <c r="D190" s="10" t="s">
        <v>338</v>
      </c>
      <c r="E190" s="20" t="s">
        <v>999</v>
      </c>
      <c r="F190" s="473">
        <v>220000</v>
      </c>
      <c r="G190" s="51">
        <v>3</v>
      </c>
      <c r="H190" s="57">
        <v>0.1</v>
      </c>
      <c r="I190" s="65">
        <v>4</v>
      </c>
      <c r="J190" s="66">
        <v>8</v>
      </c>
      <c r="K190" s="66">
        <v>2</v>
      </c>
      <c r="L190" s="66">
        <v>4</v>
      </c>
      <c r="M190" s="66">
        <v>1</v>
      </c>
      <c r="N190" s="66">
        <v>8</v>
      </c>
      <c r="O190" s="66">
        <v>0</v>
      </c>
      <c r="P190" s="67">
        <v>10</v>
      </c>
      <c r="Q190" s="70" t="e">
        <f ca="1">(#REF!-(YEAR(TODAY())-#REF!))/#REF!</f>
        <v>#REF!</v>
      </c>
      <c r="R190" s="70">
        <f t="shared" ca="1" si="49"/>
        <v>0.1</v>
      </c>
      <c r="S190" s="74">
        <f t="shared" si="50"/>
        <v>0.63157894736842102</v>
      </c>
      <c r="T190" s="74">
        <f t="shared" si="51"/>
        <v>0.84210526315789469</v>
      </c>
      <c r="U190" s="74">
        <f t="shared" si="52"/>
        <v>0.2807017543859649</v>
      </c>
      <c r="V190" s="74">
        <f t="shared" si="53"/>
        <v>0.70175438596491224</v>
      </c>
      <c r="W190" s="74">
        <f t="shared" si="54"/>
        <v>8.771929824561403E-2</v>
      </c>
      <c r="X190" s="74">
        <f t="shared" si="55"/>
        <v>0.98245614035087714</v>
      </c>
      <c r="Y190" s="74">
        <f t="shared" si="56"/>
        <v>0</v>
      </c>
      <c r="Z190" s="75">
        <f t="shared" si="57"/>
        <v>1.0526315789473684</v>
      </c>
      <c r="AA190" s="76">
        <f t="shared" si="58"/>
        <v>0.7</v>
      </c>
      <c r="AB190" s="76">
        <f t="shared" ca="1" si="59"/>
        <v>0.9</v>
      </c>
      <c r="AC190" s="77">
        <f t="shared" ca="1" si="60"/>
        <v>0.76666666666666661</v>
      </c>
      <c r="AD190" s="359">
        <f t="shared" si="61"/>
        <v>4.5789473684210522</v>
      </c>
      <c r="AE190" s="369">
        <f t="shared" ca="1" si="62"/>
        <v>35.105263157894733</v>
      </c>
      <c r="AF190" s="95" t="s">
        <v>248</v>
      </c>
      <c r="AG190" s="113"/>
      <c r="AH190" s="118"/>
      <c r="AI190" s="115"/>
      <c r="AJ190" s="115"/>
      <c r="AK190" s="115"/>
      <c r="AL190" s="122"/>
      <c r="AM190" s="337"/>
      <c r="AN190" s="338"/>
      <c r="AO190" s="338"/>
      <c r="AP190" s="338"/>
      <c r="AQ190" s="339"/>
    </row>
    <row r="191" spans="1:43" s="209" customFormat="1" ht="36" customHeight="1">
      <c r="A191" s="355">
        <v>187</v>
      </c>
      <c r="B191" s="4" t="s">
        <v>11</v>
      </c>
      <c r="C191" s="287" t="s">
        <v>12</v>
      </c>
      <c r="D191" s="8" t="s">
        <v>740</v>
      </c>
      <c r="E191" s="14" t="s">
        <v>1124</v>
      </c>
      <c r="F191" s="477">
        <v>759000</v>
      </c>
      <c r="G191" s="53">
        <v>4</v>
      </c>
      <c r="H191" s="57">
        <v>0.6</v>
      </c>
      <c r="I191" s="65">
        <v>7</v>
      </c>
      <c r="J191" s="66">
        <v>7</v>
      </c>
      <c r="K191" s="66">
        <v>7</v>
      </c>
      <c r="L191" s="66">
        <v>8</v>
      </c>
      <c r="M191" s="66">
        <v>6.0000000000000036</v>
      </c>
      <c r="N191" s="66">
        <v>8</v>
      </c>
      <c r="O191" s="66">
        <v>0</v>
      </c>
      <c r="P191" s="67">
        <v>8</v>
      </c>
      <c r="Q191" s="70" t="e">
        <f ca="1">(#REF!-(YEAR(TODAY())-#REF!))/#REF!</f>
        <v>#REF!</v>
      </c>
      <c r="R191" s="70">
        <f t="shared" ca="1" si="49"/>
        <v>0.6</v>
      </c>
      <c r="S191" s="74">
        <f t="shared" si="50"/>
        <v>1.1052631578947369</v>
      </c>
      <c r="T191" s="74">
        <f t="shared" si="51"/>
        <v>0.73684210526315785</v>
      </c>
      <c r="U191" s="74">
        <f t="shared" si="52"/>
        <v>0.98245614035087714</v>
      </c>
      <c r="V191" s="74">
        <f t="shared" si="53"/>
        <v>1.4035087719298245</v>
      </c>
      <c r="W191" s="74">
        <f t="shared" si="54"/>
        <v>0.52631578947368451</v>
      </c>
      <c r="X191" s="74">
        <f t="shared" si="55"/>
        <v>0.98245614035087714</v>
      </c>
      <c r="Y191" s="74">
        <f t="shared" si="56"/>
        <v>0</v>
      </c>
      <c r="Z191" s="75">
        <f t="shared" si="57"/>
        <v>0.84210526315789469</v>
      </c>
      <c r="AA191" s="76">
        <f t="shared" si="58"/>
        <v>0.6</v>
      </c>
      <c r="AB191" s="76">
        <f t="shared" ca="1" si="59"/>
        <v>0.4</v>
      </c>
      <c r="AC191" s="77">
        <f t="shared" ca="1" si="60"/>
        <v>0.53333333333333333</v>
      </c>
      <c r="AD191" s="359">
        <f t="shared" si="61"/>
        <v>6.5789473684210522</v>
      </c>
      <c r="AE191" s="369">
        <f t="shared" ca="1" si="62"/>
        <v>35.087719298245609</v>
      </c>
      <c r="AF191" s="97" t="s">
        <v>261</v>
      </c>
      <c r="AG191" s="487"/>
      <c r="AH191" s="118"/>
      <c r="AI191" s="115"/>
      <c r="AJ191" s="115"/>
      <c r="AK191" s="115"/>
      <c r="AL191" s="122"/>
      <c r="AM191" s="337"/>
      <c r="AN191" s="338"/>
      <c r="AO191" s="338"/>
      <c r="AP191" s="338"/>
      <c r="AQ191" s="339"/>
    </row>
    <row r="192" spans="1:43" ht="36" customHeight="1">
      <c r="A192" s="355">
        <v>188</v>
      </c>
      <c r="B192" s="1" t="s">
        <v>14</v>
      </c>
      <c r="C192" s="285" t="s">
        <v>6</v>
      </c>
      <c r="D192" s="289" t="s">
        <v>58</v>
      </c>
      <c r="E192" s="290" t="s">
        <v>1100</v>
      </c>
      <c r="F192" s="474">
        <v>183500</v>
      </c>
      <c r="G192" s="295">
        <v>3</v>
      </c>
      <c r="H192" s="293">
        <v>0.3</v>
      </c>
      <c r="I192" s="65">
        <v>4.0000000000000027</v>
      </c>
      <c r="J192" s="66">
        <v>8.0000000000000053</v>
      </c>
      <c r="K192" s="66">
        <v>4</v>
      </c>
      <c r="L192" s="66">
        <v>6.0000000000000036</v>
      </c>
      <c r="M192" s="66">
        <v>1</v>
      </c>
      <c r="N192" s="66">
        <v>8.0000000000000053</v>
      </c>
      <c r="O192" s="66">
        <v>0</v>
      </c>
      <c r="P192" s="67">
        <v>8.0000000000000053</v>
      </c>
      <c r="Q192" s="294" t="e">
        <f ca="1">(#REF!-(YEAR(TODAY())-#REF!))/#REF!</f>
        <v>#REF!</v>
      </c>
      <c r="R192" s="294">
        <f t="shared" ca="1" si="49"/>
        <v>0.3</v>
      </c>
      <c r="S192" s="74">
        <f t="shared" si="50"/>
        <v>0.63157894736842146</v>
      </c>
      <c r="T192" s="74">
        <f t="shared" si="51"/>
        <v>0.84210526315789525</v>
      </c>
      <c r="U192" s="74">
        <f t="shared" si="52"/>
        <v>0.56140350877192979</v>
      </c>
      <c r="V192" s="74">
        <f t="shared" si="53"/>
        <v>1.052631578947369</v>
      </c>
      <c r="W192" s="74">
        <f t="shared" si="54"/>
        <v>8.771929824561403E-2</v>
      </c>
      <c r="X192" s="74">
        <f t="shared" si="55"/>
        <v>0.9824561403508778</v>
      </c>
      <c r="Y192" s="74">
        <f t="shared" si="56"/>
        <v>0</v>
      </c>
      <c r="Z192" s="75">
        <f t="shared" si="57"/>
        <v>0.84210526315789525</v>
      </c>
      <c r="AA192" s="76">
        <f t="shared" si="58"/>
        <v>0.7</v>
      </c>
      <c r="AB192" s="76">
        <f t="shared" ca="1" si="59"/>
        <v>0.7</v>
      </c>
      <c r="AC192" s="77">
        <f t="shared" ca="1" si="60"/>
        <v>0.69999999999999984</v>
      </c>
      <c r="AD192" s="358">
        <f t="shared" si="61"/>
        <v>5.0000000000000027</v>
      </c>
      <c r="AE192" s="368">
        <f t="shared" ca="1" si="62"/>
        <v>35.000000000000007</v>
      </c>
      <c r="AF192" s="288" t="s">
        <v>1200</v>
      </c>
      <c r="AG192" s="443"/>
      <c r="AH192" s="118"/>
      <c r="AI192" s="115"/>
      <c r="AJ192" s="115"/>
      <c r="AK192" s="115"/>
      <c r="AL192" s="122"/>
      <c r="AM192" s="337"/>
      <c r="AN192" s="338"/>
      <c r="AO192" s="338"/>
      <c r="AP192" s="338"/>
      <c r="AQ192" s="339"/>
    </row>
    <row r="193" spans="1:43" ht="36" customHeight="1">
      <c r="A193" s="355">
        <v>189</v>
      </c>
      <c r="B193" s="4" t="s">
        <v>14</v>
      </c>
      <c r="C193" s="286" t="s">
        <v>6</v>
      </c>
      <c r="D193" s="16" t="s">
        <v>118</v>
      </c>
      <c r="E193" s="18" t="s">
        <v>1074</v>
      </c>
      <c r="F193" s="476">
        <v>209000</v>
      </c>
      <c r="G193" s="52">
        <v>3</v>
      </c>
      <c r="H193" s="57">
        <v>0.3</v>
      </c>
      <c r="I193" s="65">
        <v>4.0000000000000027</v>
      </c>
      <c r="J193" s="66">
        <v>8.0000000000000053</v>
      </c>
      <c r="K193" s="66">
        <v>4</v>
      </c>
      <c r="L193" s="66">
        <v>6.0000000000000036</v>
      </c>
      <c r="M193" s="66">
        <v>1</v>
      </c>
      <c r="N193" s="66">
        <v>8.0000000000000053</v>
      </c>
      <c r="O193" s="66">
        <v>0</v>
      </c>
      <c r="P193" s="67">
        <v>8.0000000000000053</v>
      </c>
      <c r="Q193" s="70" t="e">
        <f ca="1">(#REF!-(YEAR(TODAY())-#REF!))/#REF!</f>
        <v>#REF!</v>
      </c>
      <c r="R193" s="70">
        <f t="shared" ca="1" si="49"/>
        <v>0.3</v>
      </c>
      <c r="S193" s="74">
        <f t="shared" si="50"/>
        <v>0.63157894736842146</v>
      </c>
      <c r="T193" s="74">
        <f t="shared" si="51"/>
        <v>0.84210526315789525</v>
      </c>
      <c r="U193" s="74">
        <f t="shared" si="52"/>
        <v>0.56140350877192979</v>
      </c>
      <c r="V193" s="74">
        <f t="shared" si="53"/>
        <v>1.052631578947369</v>
      </c>
      <c r="W193" s="74">
        <f t="shared" si="54"/>
        <v>8.771929824561403E-2</v>
      </c>
      <c r="X193" s="74">
        <f t="shared" si="55"/>
        <v>0.9824561403508778</v>
      </c>
      <c r="Y193" s="74">
        <f t="shared" si="56"/>
        <v>0</v>
      </c>
      <c r="Z193" s="75">
        <f t="shared" si="57"/>
        <v>0.84210526315789525</v>
      </c>
      <c r="AA193" s="76">
        <f t="shared" si="58"/>
        <v>0.7</v>
      </c>
      <c r="AB193" s="76">
        <f t="shared" ca="1" si="59"/>
        <v>0.7</v>
      </c>
      <c r="AC193" s="77">
        <f t="shared" ca="1" si="60"/>
        <v>0.69999999999999984</v>
      </c>
      <c r="AD193" s="359">
        <f t="shared" si="61"/>
        <v>5.0000000000000027</v>
      </c>
      <c r="AE193" s="369">
        <f t="shared" ca="1" si="62"/>
        <v>35.000000000000007</v>
      </c>
      <c r="AF193" s="96" t="s">
        <v>248</v>
      </c>
      <c r="AG193" s="442"/>
      <c r="AH193" s="118"/>
      <c r="AI193" s="115"/>
      <c r="AJ193" s="115"/>
      <c r="AK193" s="115"/>
      <c r="AL193" s="122"/>
      <c r="AM193" s="337"/>
      <c r="AN193" s="338"/>
      <c r="AO193" s="338"/>
      <c r="AP193" s="338"/>
      <c r="AQ193" s="339"/>
    </row>
    <row r="194" spans="1:43" ht="36" customHeight="1">
      <c r="A194" s="355">
        <v>190</v>
      </c>
      <c r="B194" s="4" t="s">
        <v>5</v>
      </c>
      <c r="C194" s="286" t="s">
        <v>6</v>
      </c>
      <c r="D194" s="5" t="s">
        <v>238</v>
      </c>
      <c r="E194" s="7" t="s">
        <v>308</v>
      </c>
      <c r="F194" s="473">
        <v>200000</v>
      </c>
      <c r="G194" s="51">
        <v>4</v>
      </c>
      <c r="H194" s="57">
        <v>0.3</v>
      </c>
      <c r="I194" s="65">
        <v>6.0000000000000036</v>
      </c>
      <c r="J194" s="66">
        <v>8.0000000000000053</v>
      </c>
      <c r="K194" s="66">
        <v>4.0000000000000027</v>
      </c>
      <c r="L194" s="66">
        <v>4.0000000000000027</v>
      </c>
      <c r="M194" s="66">
        <v>4.0000000000000027</v>
      </c>
      <c r="N194" s="66">
        <v>6.0000000000000036</v>
      </c>
      <c r="O194" s="66">
        <v>5</v>
      </c>
      <c r="P194" s="67">
        <v>8</v>
      </c>
      <c r="Q194" s="70" t="e">
        <f ca="1">(#REF!-(YEAR(TODAY())-#REF!))/#REF!</f>
        <v>#REF!</v>
      </c>
      <c r="R194" s="70">
        <f t="shared" ca="1" si="49"/>
        <v>0.3</v>
      </c>
      <c r="S194" s="74">
        <f t="shared" si="50"/>
        <v>0.94736842105263208</v>
      </c>
      <c r="T194" s="74">
        <f t="shared" si="51"/>
        <v>0.84210526315789525</v>
      </c>
      <c r="U194" s="74">
        <f t="shared" si="52"/>
        <v>0.56140350877193024</v>
      </c>
      <c r="V194" s="74">
        <f t="shared" si="53"/>
        <v>0.7017543859649128</v>
      </c>
      <c r="W194" s="74">
        <f t="shared" si="54"/>
        <v>0.3508771929824564</v>
      </c>
      <c r="X194" s="74">
        <f t="shared" si="55"/>
        <v>0.73684210526315841</v>
      </c>
      <c r="Y194" s="74">
        <f t="shared" si="56"/>
        <v>0.52631578947368418</v>
      </c>
      <c r="Z194" s="75">
        <f t="shared" si="57"/>
        <v>0.84210526315789469</v>
      </c>
      <c r="AA194" s="76">
        <f t="shared" si="58"/>
        <v>0.6</v>
      </c>
      <c r="AB194" s="76">
        <f t="shared" ca="1" si="59"/>
        <v>0.7</v>
      </c>
      <c r="AC194" s="77">
        <f t="shared" ca="1" si="60"/>
        <v>0.6333333333333333</v>
      </c>
      <c r="AD194" s="359">
        <f t="shared" si="61"/>
        <v>5.5087719298245634</v>
      </c>
      <c r="AE194" s="369">
        <f t="shared" ca="1" si="62"/>
        <v>34.8888888888889</v>
      </c>
      <c r="AF194" s="95" t="s">
        <v>248</v>
      </c>
      <c r="AG194" s="442"/>
      <c r="AH194" s="118"/>
      <c r="AI194" s="115"/>
      <c r="AJ194" s="115"/>
      <c r="AK194" s="115"/>
      <c r="AL194" s="122"/>
      <c r="AM194" s="337"/>
      <c r="AN194" s="338"/>
      <c r="AO194" s="338"/>
      <c r="AP194" s="338"/>
      <c r="AQ194" s="339"/>
    </row>
    <row r="195" spans="1:43" ht="36" customHeight="1">
      <c r="A195" s="355">
        <v>191</v>
      </c>
      <c r="B195" s="4" t="s">
        <v>5</v>
      </c>
      <c r="C195" s="286" t="s">
        <v>6</v>
      </c>
      <c r="D195" s="5" t="s">
        <v>315</v>
      </c>
      <c r="E195" s="17" t="s">
        <v>1110</v>
      </c>
      <c r="F195" s="473">
        <v>525000</v>
      </c>
      <c r="G195" s="52">
        <v>4</v>
      </c>
      <c r="H195" s="57">
        <v>0.3</v>
      </c>
      <c r="I195" s="65">
        <v>6</v>
      </c>
      <c r="J195" s="66">
        <v>8</v>
      </c>
      <c r="K195" s="66">
        <v>4</v>
      </c>
      <c r="L195" s="66">
        <v>4</v>
      </c>
      <c r="M195" s="66">
        <v>4</v>
      </c>
      <c r="N195" s="66">
        <v>6</v>
      </c>
      <c r="O195" s="66">
        <v>7</v>
      </c>
      <c r="P195" s="67">
        <v>6</v>
      </c>
      <c r="Q195" s="70" t="e">
        <f ca="1">(#REF!-(YEAR(TODAY())-#REF!))/#REF!</f>
        <v>#REF!</v>
      </c>
      <c r="R195" s="70">
        <f t="shared" ca="1" si="49"/>
        <v>0.3</v>
      </c>
      <c r="S195" s="74">
        <f t="shared" si="50"/>
        <v>0.94736842105263153</v>
      </c>
      <c r="T195" s="74">
        <f t="shared" si="51"/>
        <v>0.84210526315789469</v>
      </c>
      <c r="U195" s="74">
        <f t="shared" si="52"/>
        <v>0.56140350877192979</v>
      </c>
      <c r="V195" s="74">
        <f t="shared" si="53"/>
        <v>0.70175438596491224</v>
      </c>
      <c r="W195" s="74">
        <f t="shared" si="54"/>
        <v>0.35087719298245612</v>
      </c>
      <c r="X195" s="74">
        <f t="shared" si="55"/>
        <v>0.73684210526315785</v>
      </c>
      <c r="Y195" s="74">
        <f t="shared" si="56"/>
        <v>0.73684210526315785</v>
      </c>
      <c r="Z195" s="75">
        <f t="shared" si="57"/>
        <v>0.63157894736842102</v>
      </c>
      <c r="AA195" s="76">
        <f t="shared" si="58"/>
        <v>0.6</v>
      </c>
      <c r="AB195" s="76">
        <f t="shared" ca="1" si="59"/>
        <v>0.7</v>
      </c>
      <c r="AC195" s="77">
        <f t="shared" ca="1" si="60"/>
        <v>0.6333333333333333</v>
      </c>
      <c r="AD195" s="359">
        <f t="shared" si="61"/>
        <v>5.5087719298245608</v>
      </c>
      <c r="AE195" s="369">
        <f t="shared" ca="1" si="62"/>
        <v>34.888888888888886</v>
      </c>
      <c r="AF195" s="95" t="s">
        <v>248</v>
      </c>
      <c r="AG195" s="441"/>
      <c r="AH195" s="118"/>
      <c r="AI195" s="115"/>
      <c r="AJ195" s="115"/>
      <c r="AK195" s="115"/>
      <c r="AL195" s="122"/>
      <c r="AM195" s="337"/>
      <c r="AN195" s="338"/>
      <c r="AO195" s="338"/>
      <c r="AP195" s="338"/>
      <c r="AQ195" s="339"/>
    </row>
    <row r="196" spans="1:43" s="209" customFormat="1" ht="36" customHeight="1">
      <c r="A196" s="355">
        <v>192</v>
      </c>
      <c r="B196" s="4" t="s">
        <v>7</v>
      </c>
      <c r="C196" s="286" t="s">
        <v>6</v>
      </c>
      <c r="D196" s="16" t="s">
        <v>111</v>
      </c>
      <c r="E196" s="18" t="s">
        <v>323</v>
      </c>
      <c r="F196" s="476">
        <v>324000</v>
      </c>
      <c r="G196" s="52">
        <v>3</v>
      </c>
      <c r="H196" s="57">
        <v>0.3</v>
      </c>
      <c r="I196" s="65">
        <v>6.0000000000000036</v>
      </c>
      <c r="J196" s="66">
        <v>6.0000000000000036</v>
      </c>
      <c r="K196" s="66">
        <v>4.0000000000000027</v>
      </c>
      <c r="L196" s="66">
        <v>8.0000000000000053</v>
      </c>
      <c r="M196" s="66">
        <v>6.0000000000000036</v>
      </c>
      <c r="N196" s="66">
        <v>4.0000000000000027</v>
      </c>
      <c r="O196" s="66">
        <v>0</v>
      </c>
      <c r="P196" s="67">
        <v>4.0000000000000027</v>
      </c>
      <c r="Q196" s="70" t="e">
        <f ca="1">(#REF!-(YEAR(TODAY())-#REF!))/#REF!</f>
        <v>#REF!</v>
      </c>
      <c r="R196" s="70">
        <f t="shared" ca="1" si="49"/>
        <v>0.3</v>
      </c>
      <c r="S196" s="74">
        <f t="shared" si="50"/>
        <v>0.94736842105263208</v>
      </c>
      <c r="T196" s="74">
        <f t="shared" si="51"/>
        <v>0.63157894736842146</v>
      </c>
      <c r="U196" s="74">
        <f t="shared" si="52"/>
        <v>0.56140350877193024</v>
      </c>
      <c r="V196" s="74">
        <f t="shared" si="53"/>
        <v>1.4035087719298256</v>
      </c>
      <c r="W196" s="74">
        <f t="shared" si="54"/>
        <v>0.52631578947368451</v>
      </c>
      <c r="X196" s="74">
        <f t="shared" si="55"/>
        <v>0.4912280701754389</v>
      </c>
      <c r="Y196" s="74">
        <f t="shared" si="56"/>
        <v>0</v>
      </c>
      <c r="Z196" s="75">
        <f t="shared" si="57"/>
        <v>0.42105263157894762</v>
      </c>
      <c r="AA196" s="76">
        <f t="shared" si="58"/>
        <v>0.7</v>
      </c>
      <c r="AB196" s="76">
        <f t="shared" ca="1" si="59"/>
        <v>0.7</v>
      </c>
      <c r="AC196" s="77">
        <f t="shared" ca="1" si="60"/>
        <v>0.69999999999999984</v>
      </c>
      <c r="AD196" s="359">
        <f t="shared" si="61"/>
        <v>4.9824561403508802</v>
      </c>
      <c r="AE196" s="369">
        <f t="shared" ca="1" si="62"/>
        <v>34.877192982456158</v>
      </c>
      <c r="AF196" s="96" t="s">
        <v>248</v>
      </c>
      <c r="AG196" s="442"/>
      <c r="AH196" s="118"/>
      <c r="AI196" s="115"/>
      <c r="AJ196" s="115"/>
      <c r="AK196" s="115"/>
      <c r="AL196" s="122"/>
      <c r="AM196" s="337"/>
      <c r="AN196" s="338"/>
      <c r="AO196" s="338"/>
      <c r="AP196" s="338"/>
      <c r="AQ196" s="339"/>
    </row>
    <row r="197" spans="1:43" ht="36" customHeight="1">
      <c r="A197" s="355">
        <v>193</v>
      </c>
      <c r="B197" s="1" t="s">
        <v>5</v>
      </c>
      <c r="C197" s="285" t="s">
        <v>6</v>
      </c>
      <c r="D197" s="2" t="s">
        <v>119</v>
      </c>
      <c r="E197" s="461" t="s">
        <v>934</v>
      </c>
      <c r="F197" s="472">
        <v>250000</v>
      </c>
      <c r="G197" s="292">
        <v>3</v>
      </c>
      <c r="H197" s="293">
        <v>0.3</v>
      </c>
      <c r="I197" s="65">
        <v>5</v>
      </c>
      <c r="J197" s="66">
        <v>6.0000000000000036</v>
      </c>
      <c r="K197" s="66">
        <v>6.0000000000000036</v>
      </c>
      <c r="L197" s="66">
        <v>6.0000000000000036</v>
      </c>
      <c r="M197" s="66">
        <v>0</v>
      </c>
      <c r="N197" s="66">
        <v>5</v>
      </c>
      <c r="O197" s="66">
        <v>4</v>
      </c>
      <c r="P197" s="67">
        <v>6.0000000000000036</v>
      </c>
      <c r="Q197" s="294" t="e">
        <f ca="1">(#REF!-(YEAR(TODAY())-#REF!))/#REF!</f>
        <v>#REF!</v>
      </c>
      <c r="R197" s="294">
        <f t="shared" ref="R197:R260" ca="1" si="64">IFERROR(Q197,H197)</f>
        <v>0.3</v>
      </c>
      <c r="S197" s="74">
        <f t="shared" ref="S197:S260" si="65">I197*Weight1/(WSum)</f>
        <v>0.78947368421052633</v>
      </c>
      <c r="T197" s="74">
        <f t="shared" ref="T197:T260" si="66">J197*Weight2/(WSum)</f>
        <v>0.63157894736842146</v>
      </c>
      <c r="U197" s="74">
        <f t="shared" ref="U197:U260" si="67">K197*Weight3/(WSum)</f>
        <v>0.84210526315789525</v>
      </c>
      <c r="V197" s="74">
        <f t="shared" ref="V197:V260" si="68">L197*Weight4/(WSum)</f>
        <v>1.052631578947369</v>
      </c>
      <c r="W197" s="74">
        <f t="shared" ref="W197:W260" si="69">M197*Weight5/(WSum)</f>
        <v>0</v>
      </c>
      <c r="X197" s="74">
        <f t="shared" ref="X197:X260" si="70">N197*Weight6/(WSum)</f>
        <v>0.61403508771929827</v>
      </c>
      <c r="Y197" s="74">
        <f t="shared" ref="Y197:Y260" si="71">O197*Weight7/(WSum)</f>
        <v>0.42105263157894735</v>
      </c>
      <c r="Z197" s="75">
        <f t="shared" ref="Z197:Z260" si="72">P197*Weight8/(WSum)</f>
        <v>0.63157894736842146</v>
      </c>
      <c r="AA197" s="76">
        <f t="shared" ref="AA197:AA260" si="73">-1/10*G197+1</f>
        <v>0.7</v>
      </c>
      <c r="AB197" s="76">
        <f t="shared" ref="AB197:AB260" ca="1" si="74">IF(R197&lt;0,0,-R197+1)</f>
        <v>0.7</v>
      </c>
      <c r="AC197" s="77">
        <f t="shared" ref="AC197:AC260" ca="1" si="75">(AA197*CondWeight+AB197*PLifeWeight)/(CondWeight+PLifeWeight)</f>
        <v>0.69999999999999984</v>
      </c>
      <c r="AD197" s="358">
        <f t="shared" ref="AD197:AD260" si="76">SUM(S197:Z197)</f>
        <v>4.9824561403508785</v>
      </c>
      <c r="AE197" s="368">
        <f t="shared" ref="AE197:AE260" ca="1" si="77">AD197*AC197*10</f>
        <v>34.877192982456144</v>
      </c>
      <c r="AF197" s="94" t="s">
        <v>248</v>
      </c>
      <c r="AG197" s="441"/>
      <c r="AH197" s="118"/>
      <c r="AI197" s="115"/>
      <c r="AJ197" s="115"/>
      <c r="AK197" s="115"/>
      <c r="AL197" s="122"/>
      <c r="AM197" s="337"/>
      <c r="AN197" s="338"/>
      <c r="AO197" s="338"/>
      <c r="AP197" s="338"/>
      <c r="AQ197" s="339"/>
    </row>
    <row r="198" spans="1:43" ht="36" customHeight="1">
      <c r="A198" s="355">
        <v>194</v>
      </c>
      <c r="B198" s="4" t="s">
        <v>5</v>
      </c>
      <c r="C198" s="286" t="s">
        <v>6</v>
      </c>
      <c r="D198" s="5" t="s">
        <v>81</v>
      </c>
      <c r="E198" s="17" t="s">
        <v>173</v>
      </c>
      <c r="F198" s="476">
        <v>300000</v>
      </c>
      <c r="G198" s="51">
        <v>3</v>
      </c>
      <c r="H198" s="57">
        <v>0.3</v>
      </c>
      <c r="I198" s="65">
        <v>4.0000000000000027</v>
      </c>
      <c r="J198" s="66">
        <v>6.0000000000000036</v>
      </c>
      <c r="K198" s="66">
        <v>4.0000000000000027</v>
      </c>
      <c r="L198" s="66">
        <v>4.0000000000000027</v>
      </c>
      <c r="M198" s="66">
        <v>4.0000000000000027</v>
      </c>
      <c r="N198" s="66">
        <v>6.0000000000000036</v>
      </c>
      <c r="O198" s="66">
        <v>7</v>
      </c>
      <c r="P198" s="67">
        <v>6.0000000000000036</v>
      </c>
      <c r="Q198" s="70" t="e">
        <f ca="1">(#REF!-(YEAR(TODAY())-#REF!))/#REF!</f>
        <v>#REF!</v>
      </c>
      <c r="R198" s="70">
        <f t="shared" ca="1" si="64"/>
        <v>0.3</v>
      </c>
      <c r="S198" s="74">
        <f t="shared" si="65"/>
        <v>0.63157894736842146</v>
      </c>
      <c r="T198" s="74">
        <f t="shared" si="66"/>
        <v>0.63157894736842146</v>
      </c>
      <c r="U198" s="74">
        <f t="shared" si="67"/>
        <v>0.56140350877193024</v>
      </c>
      <c r="V198" s="74">
        <f t="shared" si="68"/>
        <v>0.7017543859649128</v>
      </c>
      <c r="W198" s="74">
        <f t="shared" si="69"/>
        <v>0.3508771929824564</v>
      </c>
      <c r="X198" s="74">
        <f t="shared" si="70"/>
        <v>0.73684210526315841</v>
      </c>
      <c r="Y198" s="74">
        <f t="shared" si="71"/>
        <v>0.73684210526315785</v>
      </c>
      <c r="Z198" s="75">
        <f t="shared" si="72"/>
        <v>0.63157894736842146</v>
      </c>
      <c r="AA198" s="76">
        <f t="shared" si="73"/>
        <v>0.7</v>
      </c>
      <c r="AB198" s="76">
        <f t="shared" ca="1" si="74"/>
        <v>0.7</v>
      </c>
      <c r="AC198" s="77">
        <f t="shared" ca="1" si="75"/>
        <v>0.69999999999999984</v>
      </c>
      <c r="AD198" s="359">
        <f t="shared" si="76"/>
        <v>4.9824561403508794</v>
      </c>
      <c r="AE198" s="369">
        <f t="shared" ca="1" si="77"/>
        <v>34.877192982456144</v>
      </c>
      <c r="AF198" s="95" t="s">
        <v>248</v>
      </c>
      <c r="AG198" s="441"/>
      <c r="AH198" s="118"/>
      <c r="AI198" s="115"/>
      <c r="AJ198" s="115"/>
      <c r="AK198" s="115"/>
      <c r="AL198" s="122"/>
      <c r="AM198" s="337"/>
      <c r="AN198" s="338"/>
      <c r="AO198" s="338"/>
      <c r="AP198" s="338"/>
      <c r="AQ198" s="339"/>
    </row>
    <row r="199" spans="1:43" ht="36" customHeight="1">
      <c r="A199" s="355">
        <v>195</v>
      </c>
      <c r="B199" s="4" t="s">
        <v>5</v>
      </c>
      <c r="C199" s="286" t="s">
        <v>6</v>
      </c>
      <c r="D199" s="5" t="s">
        <v>40</v>
      </c>
      <c r="E199" s="6" t="s">
        <v>829</v>
      </c>
      <c r="F199" s="476">
        <v>960000</v>
      </c>
      <c r="G199" s="52">
        <v>3</v>
      </c>
      <c r="H199" s="57">
        <v>0.3</v>
      </c>
      <c r="I199" s="65">
        <v>6</v>
      </c>
      <c r="J199" s="66">
        <v>8</v>
      </c>
      <c r="K199" s="66">
        <v>4</v>
      </c>
      <c r="L199" s="66">
        <v>4</v>
      </c>
      <c r="M199" s="66">
        <v>4</v>
      </c>
      <c r="N199" s="66">
        <v>6</v>
      </c>
      <c r="O199" s="66">
        <v>1</v>
      </c>
      <c r="P199" s="67">
        <v>7</v>
      </c>
      <c r="Q199" s="70" t="e">
        <f ca="1">(#REF!-(YEAR(TODAY())-#REF!))/#REF!</f>
        <v>#REF!</v>
      </c>
      <c r="R199" s="70">
        <f t="shared" ca="1" si="64"/>
        <v>0.3</v>
      </c>
      <c r="S199" s="74">
        <f t="shared" si="65"/>
        <v>0.94736842105263153</v>
      </c>
      <c r="T199" s="74">
        <f t="shared" si="66"/>
        <v>0.84210526315789469</v>
      </c>
      <c r="U199" s="74">
        <f t="shared" si="67"/>
        <v>0.56140350877192979</v>
      </c>
      <c r="V199" s="74">
        <f t="shared" si="68"/>
        <v>0.70175438596491224</v>
      </c>
      <c r="W199" s="74">
        <f t="shared" si="69"/>
        <v>0.35087719298245612</v>
      </c>
      <c r="X199" s="74">
        <f t="shared" si="70"/>
        <v>0.73684210526315785</v>
      </c>
      <c r="Y199" s="74">
        <f t="shared" si="71"/>
        <v>0.10526315789473684</v>
      </c>
      <c r="Z199" s="75">
        <f t="shared" si="72"/>
        <v>0.73684210526315785</v>
      </c>
      <c r="AA199" s="76">
        <f t="shared" si="73"/>
        <v>0.7</v>
      </c>
      <c r="AB199" s="76">
        <f t="shared" ca="1" si="74"/>
        <v>0.7</v>
      </c>
      <c r="AC199" s="77">
        <f t="shared" ca="1" si="75"/>
        <v>0.69999999999999984</v>
      </c>
      <c r="AD199" s="359">
        <f t="shared" si="76"/>
        <v>4.9824561403508767</v>
      </c>
      <c r="AE199" s="369">
        <f t="shared" ca="1" si="77"/>
        <v>34.87719298245613</v>
      </c>
      <c r="AF199" s="96" t="s">
        <v>248</v>
      </c>
      <c r="AG199" s="442"/>
      <c r="AH199" s="118"/>
      <c r="AI199" s="115"/>
      <c r="AJ199" s="115"/>
      <c r="AK199" s="115"/>
      <c r="AL199" s="122"/>
      <c r="AM199" s="337"/>
      <c r="AN199" s="338"/>
      <c r="AO199" s="338"/>
      <c r="AP199" s="338"/>
      <c r="AQ199" s="339"/>
    </row>
    <row r="200" spans="1:43" ht="36" customHeight="1">
      <c r="A200" s="355">
        <v>196</v>
      </c>
      <c r="B200" s="4" t="s">
        <v>35</v>
      </c>
      <c r="C200" s="286" t="s">
        <v>6</v>
      </c>
      <c r="D200" s="16" t="s">
        <v>65</v>
      </c>
      <c r="E200" s="18" t="s">
        <v>66</v>
      </c>
      <c r="F200" s="477">
        <v>170000</v>
      </c>
      <c r="G200" s="52">
        <v>3</v>
      </c>
      <c r="H200" s="57">
        <v>0.2</v>
      </c>
      <c r="I200" s="65">
        <v>5.0000000000000027</v>
      </c>
      <c r="J200" s="66">
        <v>5.0000000000000027</v>
      </c>
      <c r="K200" s="66">
        <v>5.0000000000000027</v>
      </c>
      <c r="L200" s="66">
        <v>4.0000000000000027</v>
      </c>
      <c r="M200" s="66">
        <v>4.0000000000000027</v>
      </c>
      <c r="N200" s="66">
        <v>6.0000000000000036</v>
      </c>
      <c r="O200" s="66">
        <v>3</v>
      </c>
      <c r="P200" s="67">
        <v>6.0000000000000036</v>
      </c>
      <c r="Q200" s="70" t="e">
        <f ca="1">(#REF!-(YEAR(TODAY())-#REF!))/#REF!</f>
        <v>#REF!</v>
      </c>
      <c r="R200" s="70">
        <f t="shared" ca="1" si="64"/>
        <v>0.2</v>
      </c>
      <c r="S200" s="74">
        <f t="shared" si="65"/>
        <v>0.78947368421052666</v>
      </c>
      <c r="T200" s="74">
        <f t="shared" si="66"/>
        <v>0.52631578947368451</v>
      </c>
      <c r="U200" s="74">
        <f t="shared" si="67"/>
        <v>0.70175438596491269</v>
      </c>
      <c r="V200" s="74">
        <f t="shared" si="68"/>
        <v>0.7017543859649128</v>
      </c>
      <c r="W200" s="74">
        <f t="shared" si="69"/>
        <v>0.3508771929824564</v>
      </c>
      <c r="X200" s="74">
        <f t="shared" si="70"/>
        <v>0.73684210526315841</v>
      </c>
      <c r="Y200" s="74">
        <f t="shared" si="71"/>
        <v>0.31578947368421051</v>
      </c>
      <c r="Z200" s="75">
        <f t="shared" si="72"/>
        <v>0.63157894736842146</v>
      </c>
      <c r="AA200" s="76">
        <f t="shared" si="73"/>
        <v>0.7</v>
      </c>
      <c r="AB200" s="76">
        <f t="shared" ca="1" si="74"/>
        <v>0.8</v>
      </c>
      <c r="AC200" s="77">
        <f t="shared" ca="1" si="75"/>
        <v>0.73333333333333339</v>
      </c>
      <c r="AD200" s="359">
        <f t="shared" si="76"/>
        <v>4.7543859649122826</v>
      </c>
      <c r="AE200" s="369">
        <f t="shared" ca="1" si="77"/>
        <v>34.865497076023409</v>
      </c>
      <c r="AF200" s="96" t="s">
        <v>248</v>
      </c>
      <c r="AG200" s="442"/>
      <c r="AH200" s="118"/>
      <c r="AI200" s="115"/>
      <c r="AJ200" s="115"/>
      <c r="AK200" s="115"/>
      <c r="AL200" s="122"/>
      <c r="AM200" s="337"/>
      <c r="AN200" s="338"/>
      <c r="AO200" s="338"/>
      <c r="AP200" s="338"/>
      <c r="AQ200" s="339"/>
    </row>
    <row r="201" spans="1:43" ht="36" customHeight="1">
      <c r="A201" s="355">
        <v>197</v>
      </c>
      <c r="B201" s="4" t="s">
        <v>16</v>
      </c>
      <c r="C201" s="286" t="s">
        <v>300</v>
      </c>
      <c r="D201" s="19" t="s">
        <v>17</v>
      </c>
      <c r="E201" s="11" t="s">
        <v>1137</v>
      </c>
      <c r="F201" s="476">
        <v>172000</v>
      </c>
      <c r="G201" s="52">
        <v>4</v>
      </c>
      <c r="H201" s="57">
        <v>0.4</v>
      </c>
      <c r="I201" s="65">
        <v>7.0000000000000044</v>
      </c>
      <c r="J201" s="66">
        <v>7.0000000000000044</v>
      </c>
      <c r="K201" s="66">
        <v>6.0000000000000036</v>
      </c>
      <c r="L201" s="66">
        <v>5</v>
      </c>
      <c r="M201" s="66">
        <v>5</v>
      </c>
      <c r="N201" s="66">
        <v>7</v>
      </c>
      <c r="O201" s="66">
        <v>1</v>
      </c>
      <c r="P201" s="67">
        <v>8.0000000000000053</v>
      </c>
      <c r="Q201" s="70" t="e">
        <f ca="1">(#REF!-(YEAR(TODAY())-#REF!))/#REF!</f>
        <v>#REF!</v>
      </c>
      <c r="R201" s="70">
        <f t="shared" ca="1" si="64"/>
        <v>0.4</v>
      </c>
      <c r="S201" s="74">
        <f t="shared" si="65"/>
        <v>1.1052631578947376</v>
      </c>
      <c r="T201" s="74">
        <f t="shared" si="66"/>
        <v>0.73684210526315841</v>
      </c>
      <c r="U201" s="74">
        <f t="shared" si="67"/>
        <v>0.84210526315789525</v>
      </c>
      <c r="V201" s="74">
        <f t="shared" si="68"/>
        <v>0.8771929824561403</v>
      </c>
      <c r="W201" s="74">
        <f t="shared" si="69"/>
        <v>0.43859649122807015</v>
      </c>
      <c r="X201" s="74">
        <f t="shared" si="70"/>
        <v>0.85964912280701755</v>
      </c>
      <c r="Y201" s="74">
        <f t="shared" si="71"/>
        <v>0.10526315789473684</v>
      </c>
      <c r="Z201" s="75">
        <f t="shared" si="72"/>
        <v>0.84210526315789525</v>
      </c>
      <c r="AA201" s="76">
        <f t="shared" si="73"/>
        <v>0.6</v>
      </c>
      <c r="AB201" s="76">
        <f t="shared" ca="1" si="74"/>
        <v>0.6</v>
      </c>
      <c r="AC201" s="77">
        <f t="shared" ca="1" si="75"/>
        <v>0.6</v>
      </c>
      <c r="AD201" s="359">
        <f t="shared" si="76"/>
        <v>5.8070175438596516</v>
      </c>
      <c r="AE201" s="369">
        <f t="shared" ca="1" si="77"/>
        <v>34.842105263157912</v>
      </c>
      <c r="AF201" s="96" t="s">
        <v>248</v>
      </c>
      <c r="AG201" s="114"/>
      <c r="AH201" s="118"/>
      <c r="AI201" s="115"/>
      <c r="AJ201" s="115"/>
      <c r="AK201" s="115"/>
      <c r="AL201" s="122"/>
      <c r="AM201" s="337"/>
      <c r="AN201" s="338"/>
      <c r="AO201" s="338"/>
      <c r="AP201" s="338"/>
      <c r="AQ201" s="339"/>
    </row>
    <row r="202" spans="1:43" ht="36" customHeight="1">
      <c r="A202" s="355">
        <v>198</v>
      </c>
      <c r="B202" s="4" t="s">
        <v>16</v>
      </c>
      <c r="C202" s="286" t="s">
        <v>6</v>
      </c>
      <c r="D202" s="16" t="s">
        <v>70</v>
      </c>
      <c r="E202" s="18" t="s">
        <v>900</v>
      </c>
      <c r="F202" s="476">
        <v>142000</v>
      </c>
      <c r="G202" s="52">
        <v>4</v>
      </c>
      <c r="H202" s="57">
        <v>0.4</v>
      </c>
      <c r="I202" s="65">
        <v>6</v>
      </c>
      <c r="J202" s="66">
        <v>6.0000000000000036</v>
      </c>
      <c r="K202" s="66">
        <v>6</v>
      </c>
      <c r="L202" s="66">
        <v>7</v>
      </c>
      <c r="M202" s="66">
        <v>8.0000000000000053</v>
      </c>
      <c r="N202" s="66">
        <v>5.0000000000000027</v>
      </c>
      <c r="O202" s="66">
        <v>0</v>
      </c>
      <c r="P202" s="67">
        <v>8.0000000000000053</v>
      </c>
      <c r="Q202" s="70" t="e">
        <f ca="1">(#REF!-(YEAR(TODAY())-#REF!))/#REF!</f>
        <v>#REF!</v>
      </c>
      <c r="R202" s="70">
        <f t="shared" ca="1" si="64"/>
        <v>0.4</v>
      </c>
      <c r="S202" s="74">
        <f t="shared" si="65"/>
        <v>0.94736842105263153</v>
      </c>
      <c r="T202" s="74">
        <f t="shared" si="66"/>
        <v>0.63157894736842146</v>
      </c>
      <c r="U202" s="74">
        <f t="shared" si="67"/>
        <v>0.84210526315789469</v>
      </c>
      <c r="V202" s="74">
        <f t="shared" si="68"/>
        <v>1.2280701754385965</v>
      </c>
      <c r="W202" s="74">
        <f t="shared" si="69"/>
        <v>0.7017543859649128</v>
      </c>
      <c r="X202" s="74">
        <f t="shared" si="70"/>
        <v>0.6140350877192986</v>
      </c>
      <c r="Y202" s="74">
        <f t="shared" si="71"/>
        <v>0</v>
      </c>
      <c r="Z202" s="75">
        <f t="shared" si="72"/>
        <v>0.84210526315789525</v>
      </c>
      <c r="AA202" s="76">
        <f t="shared" si="73"/>
        <v>0.6</v>
      </c>
      <c r="AB202" s="76">
        <f t="shared" ca="1" si="74"/>
        <v>0.6</v>
      </c>
      <c r="AC202" s="77">
        <f t="shared" ca="1" si="75"/>
        <v>0.6</v>
      </c>
      <c r="AD202" s="359">
        <f t="shared" si="76"/>
        <v>5.8070175438596516</v>
      </c>
      <c r="AE202" s="369">
        <f t="shared" ca="1" si="77"/>
        <v>34.842105263157912</v>
      </c>
      <c r="AF202" s="96" t="s">
        <v>248</v>
      </c>
      <c r="AG202" s="443"/>
      <c r="AH202" s="118"/>
      <c r="AI202" s="115"/>
      <c r="AJ202" s="115"/>
      <c r="AK202" s="115"/>
      <c r="AL202" s="122"/>
      <c r="AM202" s="337"/>
      <c r="AN202" s="338"/>
      <c r="AO202" s="338"/>
      <c r="AP202" s="338"/>
      <c r="AQ202" s="339"/>
    </row>
    <row r="203" spans="1:43" ht="36" customHeight="1">
      <c r="A203" s="355">
        <v>199</v>
      </c>
      <c r="B203" s="4" t="s">
        <v>7</v>
      </c>
      <c r="C203" s="286" t="s">
        <v>6</v>
      </c>
      <c r="D203" s="16" t="s">
        <v>154</v>
      </c>
      <c r="E203" s="18" t="s">
        <v>1093</v>
      </c>
      <c r="F203" s="476">
        <v>205000</v>
      </c>
      <c r="G203" s="52">
        <v>3</v>
      </c>
      <c r="H203" s="57">
        <v>0</v>
      </c>
      <c r="I203" s="65">
        <v>3</v>
      </c>
      <c r="J203" s="66">
        <v>4.0000000000000027</v>
      </c>
      <c r="K203" s="66">
        <v>5</v>
      </c>
      <c r="L203" s="66">
        <v>6.0000000000000036</v>
      </c>
      <c r="M203" s="66">
        <v>4</v>
      </c>
      <c r="N203" s="66">
        <v>4.0000000000000027</v>
      </c>
      <c r="O203" s="66">
        <v>4</v>
      </c>
      <c r="P203" s="67">
        <v>4.0000000000000027</v>
      </c>
      <c r="Q203" s="70" t="e">
        <f ca="1">(#REF!-(YEAR(TODAY())-#REF!))/#REF!</f>
        <v>#REF!</v>
      </c>
      <c r="R203" s="70">
        <f t="shared" ca="1" si="64"/>
        <v>0</v>
      </c>
      <c r="S203" s="74">
        <f t="shared" si="65"/>
        <v>0.47368421052631576</v>
      </c>
      <c r="T203" s="74">
        <f t="shared" si="66"/>
        <v>0.42105263157894762</v>
      </c>
      <c r="U203" s="74">
        <f t="shared" si="67"/>
        <v>0.70175438596491224</v>
      </c>
      <c r="V203" s="74">
        <f t="shared" si="68"/>
        <v>1.052631578947369</v>
      </c>
      <c r="W203" s="74">
        <f t="shared" si="69"/>
        <v>0.35087719298245612</v>
      </c>
      <c r="X203" s="74">
        <f t="shared" si="70"/>
        <v>0.4912280701754389</v>
      </c>
      <c r="Y203" s="74">
        <f t="shared" si="71"/>
        <v>0.42105263157894735</v>
      </c>
      <c r="Z203" s="75">
        <f t="shared" si="72"/>
        <v>0.42105263157894762</v>
      </c>
      <c r="AA203" s="76">
        <f t="shared" si="73"/>
        <v>0.7</v>
      </c>
      <c r="AB203" s="76">
        <f t="shared" ca="1" si="74"/>
        <v>1</v>
      </c>
      <c r="AC203" s="77">
        <f t="shared" ca="1" si="75"/>
        <v>0.79999999999999993</v>
      </c>
      <c r="AD203" s="359">
        <f t="shared" si="76"/>
        <v>4.3333333333333348</v>
      </c>
      <c r="AE203" s="369">
        <f t="shared" ca="1" si="77"/>
        <v>34.666666666666679</v>
      </c>
      <c r="AF203" s="96" t="s">
        <v>248</v>
      </c>
      <c r="AG203" s="442"/>
      <c r="AH203" s="118"/>
      <c r="AI203" s="115"/>
      <c r="AJ203" s="115"/>
      <c r="AK203" s="115"/>
      <c r="AL203" s="122"/>
      <c r="AM203" s="337"/>
      <c r="AN203" s="338"/>
      <c r="AO203" s="338"/>
      <c r="AP203" s="338"/>
      <c r="AQ203" s="339"/>
    </row>
    <row r="204" spans="1:43" ht="36" customHeight="1">
      <c r="A204" s="355">
        <v>200</v>
      </c>
      <c r="B204" s="4" t="s">
        <v>10</v>
      </c>
      <c r="C204" s="286" t="s">
        <v>6</v>
      </c>
      <c r="D204" s="10" t="s">
        <v>153</v>
      </c>
      <c r="E204" s="11" t="s">
        <v>906</v>
      </c>
      <c r="F204" s="483">
        <v>7230000</v>
      </c>
      <c r="G204" s="52">
        <v>5</v>
      </c>
      <c r="H204" s="57">
        <v>0.5</v>
      </c>
      <c r="I204" s="65">
        <v>8.0000000000000053</v>
      </c>
      <c r="J204" s="66">
        <v>8.0000000000000053</v>
      </c>
      <c r="K204" s="66">
        <v>4</v>
      </c>
      <c r="L204" s="66">
        <v>9.9999999999999982</v>
      </c>
      <c r="M204" s="66">
        <v>3</v>
      </c>
      <c r="N204" s="66">
        <v>8.0000000000000053</v>
      </c>
      <c r="O204" s="66">
        <v>4</v>
      </c>
      <c r="P204" s="67">
        <v>8.0000000000000053</v>
      </c>
      <c r="Q204" s="70" t="e">
        <f ca="1">(#REF!-(YEAR(TODAY())-#REF!))/#REF!</f>
        <v>#REF!</v>
      </c>
      <c r="R204" s="70">
        <f t="shared" ca="1" si="64"/>
        <v>0.5</v>
      </c>
      <c r="S204" s="74">
        <f t="shared" si="65"/>
        <v>1.2631578947368429</v>
      </c>
      <c r="T204" s="74">
        <f t="shared" si="66"/>
        <v>0.84210526315789525</v>
      </c>
      <c r="U204" s="74">
        <f t="shared" si="67"/>
        <v>0.56140350877192979</v>
      </c>
      <c r="V204" s="74">
        <f t="shared" si="68"/>
        <v>1.7543859649122804</v>
      </c>
      <c r="W204" s="74">
        <f t="shared" si="69"/>
        <v>0.26315789473684209</v>
      </c>
      <c r="X204" s="74">
        <f t="shared" si="70"/>
        <v>0.9824561403508778</v>
      </c>
      <c r="Y204" s="74">
        <f t="shared" si="71"/>
        <v>0.42105263157894735</v>
      </c>
      <c r="Z204" s="75">
        <f t="shared" si="72"/>
        <v>0.84210526315789525</v>
      </c>
      <c r="AA204" s="76">
        <f t="shared" si="73"/>
        <v>0.5</v>
      </c>
      <c r="AB204" s="76">
        <f t="shared" ca="1" si="74"/>
        <v>0.5</v>
      </c>
      <c r="AC204" s="77">
        <f t="shared" ca="1" si="75"/>
        <v>0.5</v>
      </c>
      <c r="AD204" s="359">
        <f t="shared" si="76"/>
        <v>6.9298245614035121</v>
      </c>
      <c r="AE204" s="369">
        <f t="shared" ca="1" si="77"/>
        <v>34.649122807017562</v>
      </c>
      <c r="AF204" s="96" t="s">
        <v>248</v>
      </c>
      <c r="AG204" s="442"/>
      <c r="AH204" s="118"/>
      <c r="AI204" s="115"/>
      <c r="AJ204" s="115"/>
      <c r="AK204" s="115"/>
      <c r="AL204" s="122"/>
      <c r="AM204" s="337"/>
      <c r="AN204" s="338"/>
      <c r="AO204" s="338"/>
      <c r="AP204" s="338"/>
      <c r="AQ204" s="339"/>
    </row>
    <row r="205" spans="1:43" ht="36" customHeight="1">
      <c r="A205" s="355">
        <v>201</v>
      </c>
      <c r="B205" s="4" t="s">
        <v>5</v>
      </c>
      <c r="C205" s="286" t="s">
        <v>6</v>
      </c>
      <c r="D205" s="5" t="s">
        <v>28</v>
      </c>
      <c r="E205" s="9" t="s">
        <v>935</v>
      </c>
      <c r="F205" s="473">
        <v>525000</v>
      </c>
      <c r="G205" s="51">
        <v>4</v>
      </c>
      <c r="H205" s="57">
        <v>0.2</v>
      </c>
      <c r="I205" s="65">
        <v>6.0000000000000036</v>
      </c>
      <c r="J205" s="66">
        <v>8.0000000000000053</v>
      </c>
      <c r="K205" s="66">
        <v>3</v>
      </c>
      <c r="L205" s="66">
        <v>4</v>
      </c>
      <c r="M205" s="66">
        <v>2</v>
      </c>
      <c r="N205" s="66">
        <v>6.0000000000000036</v>
      </c>
      <c r="O205" s="66">
        <v>5</v>
      </c>
      <c r="P205" s="67">
        <v>8.0000000000000053</v>
      </c>
      <c r="Q205" s="70" t="e">
        <f ca="1">(#REF!-(YEAR(TODAY())-#REF!))/#REF!</f>
        <v>#REF!</v>
      </c>
      <c r="R205" s="70">
        <f t="shared" ca="1" si="64"/>
        <v>0.2</v>
      </c>
      <c r="S205" s="74">
        <f t="shared" si="65"/>
        <v>0.94736842105263208</v>
      </c>
      <c r="T205" s="74">
        <f t="shared" si="66"/>
        <v>0.84210526315789525</v>
      </c>
      <c r="U205" s="74">
        <f t="shared" si="67"/>
        <v>0.42105263157894735</v>
      </c>
      <c r="V205" s="74">
        <f t="shared" si="68"/>
        <v>0.70175438596491224</v>
      </c>
      <c r="W205" s="74">
        <f t="shared" si="69"/>
        <v>0.17543859649122806</v>
      </c>
      <c r="X205" s="74">
        <f t="shared" si="70"/>
        <v>0.73684210526315841</v>
      </c>
      <c r="Y205" s="74">
        <f t="shared" si="71"/>
        <v>0.52631578947368418</v>
      </c>
      <c r="Z205" s="75">
        <f t="shared" si="72"/>
        <v>0.84210526315789525</v>
      </c>
      <c r="AA205" s="76">
        <f t="shared" si="73"/>
        <v>0.6</v>
      </c>
      <c r="AB205" s="76">
        <f t="shared" ca="1" si="74"/>
        <v>0.8</v>
      </c>
      <c r="AC205" s="77">
        <f t="shared" ca="1" si="75"/>
        <v>0.66666666666666663</v>
      </c>
      <c r="AD205" s="359">
        <f t="shared" si="76"/>
        <v>5.1929824561403537</v>
      </c>
      <c r="AE205" s="369">
        <f t="shared" ca="1" si="77"/>
        <v>34.61988304093569</v>
      </c>
      <c r="AF205" s="95" t="s">
        <v>248</v>
      </c>
      <c r="AG205" s="441"/>
      <c r="AH205" s="118"/>
      <c r="AI205" s="115"/>
      <c r="AJ205" s="115"/>
      <c r="AK205" s="115"/>
      <c r="AL205" s="122"/>
      <c r="AM205" s="337"/>
      <c r="AN205" s="338"/>
      <c r="AO205" s="338"/>
      <c r="AP205" s="338"/>
      <c r="AQ205" s="339"/>
    </row>
    <row r="206" spans="1:43" ht="36" customHeight="1">
      <c r="A206" s="355">
        <v>202</v>
      </c>
      <c r="B206" s="4" t="s">
        <v>14</v>
      </c>
      <c r="C206" s="286" t="s">
        <v>6</v>
      </c>
      <c r="D206" s="16" t="s">
        <v>124</v>
      </c>
      <c r="E206" s="18" t="s">
        <v>125</v>
      </c>
      <c r="F206" s="476">
        <v>75000</v>
      </c>
      <c r="G206" s="52">
        <v>3</v>
      </c>
      <c r="H206" s="57">
        <v>0.4</v>
      </c>
      <c r="I206" s="65">
        <v>4.0000000000000027</v>
      </c>
      <c r="J206" s="66">
        <v>6.0000000000000036</v>
      </c>
      <c r="K206" s="66">
        <v>6.0000000000000036</v>
      </c>
      <c r="L206" s="66">
        <v>6.0000000000000036</v>
      </c>
      <c r="M206" s="66">
        <v>4.0000000000000027</v>
      </c>
      <c r="N206" s="66">
        <v>6.0000000000000036</v>
      </c>
      <c r="O206" s="66">
        <v>3</v>
      </c>
      <c r="P206" s="67">
        <v>6.0000000000000036</v>
      </c>
      <c r="Q206" s="70" t="e">
        <f ca="1">(#REF!-(YEAR(TODAY())-#REF!))/#REF!</f>
        <v>#REF!</v>
      </c>
      <c r="R206" s="70">
        <f t="shared" ca="1" si="64"/>
        <v>0.4</v>
      </c>
      <c r="S206" s="74">
        <f t="shared" si="65"/>
        <v>0.63157894736842146</v>
      </c>
      <c r="T206" s="74">
        <f t="shared" si="66"/>
        <v>0.63157894736842146</v>
      </c>
      <c r="U206" s="74">
        <f t="shared" si="67"/>
        <v>0.84210526315789525</v>
      </c>
      <c r="V206" s="74">
        <f t="shared" si="68"/>
        <v>1.052631578947369</v>
      </c>
      <c r="W206" s="74">
        <f t="shared" si="69"/>
        <v>0.3508771929824564</v>
      </c>
      <c r="X206" s="74">
        <f t="shared" si="70"/>
        <v>0.73684210526315841</v>
      </c>
      <c r="Y206" s="74">
        <f t="shared" si="71"/>
        <v>0.31578947368421051</v>
      </c>
      <c r="Z206" s="75">
        <f t="shared" si="72"/>
        <v>0.63157894736842146</v>
      </c>
      <c r="AA206" s="76">
        <f t="shared" si="73"/>
        <v>0.7</v>
      </c>
      <c r="AB206" s="76">
        <f t="shared" ca="1" si="74"/>
        <v>0.6</v>
      </c>
      <c r="AC206" s="77">
        <f t="shared" ca="1" si="75"/>
        <v>0.66666666666666663</v>
      </c>
      <c r="AD206" s="359">
        <f t="shared" si="76"/>
        <v>5.1929824561403537</v>
      </c>
      <c r="AE206" s="369">
        <f t="shared" ca="1" si="77"/>
        <v>34.61988304093569</v>
      </c>
      <c r="AF206" s="96" t="s">
        <v>248</v>
      </c>
      <c r="AG206" s="442"/>
      <c r="AH206" s="118"/>
      <c r="AI206" s="115"/>
      <c r="AJ206" s="115"/>
      <c r="AK206" s="115"/>
      <c r="AL206" s="122"/>
      <c r="AM206" s="337"/>
      <c r="AN206" s="338"/>
      <c r="AO206" s="338"/>
      <c r="AP206" s="338"/>
      <c r="AQ206" s="339"/>
    </row>
    <row r="207" spans="1:43" s="209" customFormat="1" ht="36" customHeight="1">
      <c r="A207" s="355">
        <v>203</v>
      </c>
      <c r="B207" s="12" t="s">
        <v>14</v>
      </c>
      <c r="C207" s="344" t="s">
        <v>6</v>
      </c>
      <c r="D207" s="5" t="s">
        <v>145</v>
      </c>
      <c r="E207" s="11" t="s">
        <v>146</v>
      </c>
      <c r="F207" s="473">
        <v>1500000</v>
      </c>
      <c r="G207" s="52">
        <v>3</v>
      </c>
      <c r="H207" s="57">
        <v>0</v>
      </c>
      <c r="I207" s="65">
        <v>6.0000000000000036</v>
      </c>
      <c r="J207" s="66">
        <v>6.0000000000000036</v>
      </c>
      <c r="K207" s="66">
        <v>1</v>
      </c>
      <c r="L207" s="66">
        <v>6.0000000000000036</v>
      </c>
      <c r="M207" s="66">
        <v>1</v>
      </c>
      <c r="N207" s="66">
        <v>5</v>
      </c>
      <c r="O207" s="66">
        <v>2</v>
      </c>
      <c r="P207" s="67">
        <v>6.0000000000000036</v>
      </c>
      <c r="Q207" s="70" t="e">
        <f ca="1">(#REF!-(YEAR(TODAY())-#REF!))/#REF!</f>
        <v>#REF!</v>
      </c>
      <c r="R207" s="70">
        <f t="shared" ca="1" si="64"/>
        <v>0</v>
      </c>
      <c r="S207" s="74">
        <f t="shared" si="65"/>
        <v>0.94736842105263208</v>
      </c>
      <c r="T207" s="74">
        <f t="shared" si="66"/>
        <v>0.63157894736842146</v>
      </c>
      <c r="U207" s="74">
        <f t="shared" si="67"/>
        <v>0.14035087719298245</v>
      </c>
      <c r="V207" s="74">
        <f t="shared" si="68"/>
        <v>1.052631578947369</v>
      </c>
      <c r="W207" s="74">
        <f t="shared" si="69"/>
        <v>8.771929824561403E-2</v>
      </c>
      <c r="X207" s="74">
        <f t="shared" si="70"/>
        <v>0.61403508771929827</v>
      </c>
      <c r="Y207" s="74">
        <f t="shared" si="71"/>
        <v>0.21052631578947367</v>
      </c>
      <c r="Z207" s="75">
        <f t="shared" si="72"/>
        <v>0.63157894736842146</v>
      </c>
      <c r="AA207" s="76">
        <f t="shared" si="73"/>
        <v>0.7</v>
      </c>
      <c r="AB207" s="76">
        <f t="shared" ca="1" si="74"/>
        <v>1</v>
      </c>
      <c r="AC207" s="77">
        <f t="shared" ca="1" si="75"/>
        <v>0.79999999999999993</v>
      </c>
      <c r="AD207" s="359">
        <f t="shared" si="76"/>
        <v>4.3157894736842124</v>
      </c>
      <c r="AE207" s="369">
        <f t="shared" ca="1" si="77"/>
        <v>34.526315789473699</v>
      </c>
      <c r="AF207" s="96" t="s">
        <v>257</v>
      </c>
      <c r="AG207" s="442"/>
      <c r="AH207" s="118"/>
      <c r="AI207" s="115"/>
      <c r="AJ207" s="115"/>
      <c r="AK207" s="115"/>
      <c r="AL207" s="122"/>
      <c r="AM207" s="337"/>
      <c r="AN207" s="338"/>
      <c r="AO207" s="338"/>
      <c r="AP207" s="338"/>
      <c r="AQ207" s="339"/>
    </row>
    <row r="208" spans="1:43" ht="36" customHeight="1">
      <c r="A208" s="355">
        <v>204</v>
      </c>
      <c r="B208" s="1" t="s">
        <v>7</v>
      </c>
      <c r="C208" s="285" t="s">
        <v>6</v>
      </c>
      <c r="D208" s="289" t="s">
        <v>190</v>
      </c>
      <c r="E208" s="290" t="s">
        <v>1114</v>
      </c>
      <c r="F208" s="474">
        <v>108000</v>
      </c>
      <c r="G208" s="295">
        <v>2</v>
      </c>
      <c r="H208" s="293">
        <v>0.1</v>
      </c>
      <c r="I208" s="65">
        <v>2</v>
      </c>
      <c r="J208" s="66">
        <v>4</v>
      </c>
      <c r="K208" s="66">
        <v>2</v>
      </c>
      <c r="L208" s="66">
        <v>8.0000000000000053</v>
      </c>
      <c r="M208" s="66">
        <v>8.0000000000000053</v>
      </c>
      <c r="N208" s="66">
        <v>4</v>
      </c>
      <c r="O208" s="66">
        <v>1</v>
      </c>
      <c r="P208" s="67">
        <v>4.0000000000000027</v>
      </c>
      <c r="Q208" s="294" t="e">
        <f ca="1">(#REF!-(YEAR(TODAY())-#REF!))/#REF!</f>
        <v>#REF!</v>
      </c>
      <c r="R208" s="294">
        <f t="shared" ca="1" si="64"/>
        <v>0.1</v>
      </c>
      <c r="S208" s="74">
        <f t="shared" si="65"/>
        <v>0.31578947368421051</v>
      </c>
      <c r="T208" s="74">
        <f t="shared" si="66"/>
        <v>0.42105263157894735</v>
      </c>
      <c r="U208" s="74">
        <f t="shared" si="67"/>
        <v>0.2807017543859649</v>
      </c>
      <c r="V208" s="74">
        <f t="shared" si="68"/>
        <v>1.4035087719298256</v>
      </c>
      <c r="W208" s="74">
        <f t="shared" si="69"/>
        <v>0.7017543859649128</v>
      </c>
      <c r="X208" s="74">
        <f t="shared" si="70"/>
        <v>0.49122807017543857</v>
      </c>
      <c r="Y208" s="74">
        <f t="shared" si="71"/>
        <v>0.10526315789473684</v>
      </c>
      <c r="Z208" s="75">
        <f t="shared" si="72"/>
        <v>0.42105263157894762</v>
      </c>
      <c r="AA208" s="76">
        <f t="shared" si="73"/>
        <v>0.8</v>
      </c>
      <c r="AB208" s="76">
        <f t="shared" ca="1" si="74"/>
        <v>0.9</v>
      </c>
      <c r="AC208" s="77">
        <f t="shared" ca="1" si="75"/>
        <v>0.83333333333333337</v>
      </c>
      <c r="AD208" s="358">
        <f t="shared" si="76"/>
        <v>4.1403508771929838</v>
      </c>
      <c r="AE208" s="368">
        <f t="shared" ca="1" si="77"/>
        <v>34.502923976608201</v>
      </c>
      <c r="AF208" s="288" t="s">
        <v>248</v>
      </c>
      <c r="AG208" s="442"/>
      <c r="AH208" s="118"/>
      <c r="AI208" s="115"/>
      <c r="AJ208" s="115"/>
      <c r="AK208" s="115"/>
      <c r="AL208" s="122"/>
      <c r="AM208" s="337"/>
      <c r="AN208" s="338"/>
      <c r="AO208" s="338"/>
      <c r="AP208" s="338"/>
      <c r="AQ208" s="339"/>
    </row>
    <row r="209" spans="1:43" ht="36" customHeight="1">
      <c r="A209" s="355">
        <v>205</v>
      </c>
      <c r="B209" s="4" t="s">
        <v>10</v>
      </c>
      <c r="C209" s="286" t="s">
        <v>300</v>
      </c>
      <c r="D209" s="10" t="s">
        <v>152</v>
      </c>
      <c r="E209" s="11" t="s">
        <v>959</v>
      </c>
      <c r="F209" s="476">
        <v>1000000</v>
      </c>
      <c r="G209" s="52">
        <v>5</v>
      </c>
      <c r="H209" s="57">
        <v>0.5</v>
      </c>
      <c r="I209" s="65">
        <v>8.0000000000000053</v>
      </c>
      <c r="J209" s="66">
        <v>8.0000000000000053</v>
      </c>
      <c r="K209" s="66">
        <v>6.0000000000000036</v>
      </c>
      <c r="L209" s="66">
        <v>9.9999999999999982</v>
      </c>
      <c r="M209" s="66">
        <v>4.0000000000000027</v>
      </c>
      <c r="N209" s="66">
        <v>8.0000000000000053</v>
      </c>
      <c r="O209" s="66">
        <v>0</v>
      </c>
      <c r="P209" s="67">
        <v>8.0000000000000053</v>
      </c>
      <c r="Q209" s="70" t="e">
        <f ca="1">(#REF!-(YEAR(TODAY())-#REF!))/#REF!</f>
        <v>#REF!</v>
      </c>
      <c r="R209" s="70">
        <f t="shared" ca="1" si="64"/>
        <v>0.5</v>
      </c>
      <c r="S209" s="74">
        <f t="shared" si="65"/>
        <v>1.2631578947368429</v>
      </c>
      <c r="T209" s="74">
        <f t="shared" si="66"/>
        <v>0.84210526315789525</v>
      </c>
      <c r="U209" s="74">
        <f t="shared" si="67"/>
        <v>0.84210526315789525</v>
      </c>
      <c r="V209" s="74">
        <f t="shared" si="68"/>
        <v>1.7543859649122804</v>
      </c>
      <c r="W209" s="74">
        <f t="shared" si="69"/>
        <v>0.3508771929824564</v>
      </c>
      <c r="X209" s="74">
        <f t="shared" si="70"/>
        <v>0.9824561403508778</v>
      </c>
      <c r="Y209" s="74">
        <f t="shared" si="71"/>
        <v>0</v>
      </c>
      <c r="Z209" s="75">
        <f t="shared" si="72"/>
        <v>0.84210526315789525</v>
      </c>
      <c r="AA209" s="76">
        <f t="shared" si="73"/>
        <v>0.5</v>
      </c>
      <c r="AB209" s="76">
        <f t="shared" ca="1" si="74"/>
        <v>0.5</v>
      </c>
      <c r="AC209" s="77">
        <f t="shared" ca="1" si="75"/>
        <v>0.5</v>
      </c>
      <c r="AD209" s="359">
        <f t="shared" si="76"/>
        <v>6.8771929824561431</v>
      </c>
      <c r="AE209" s="369">
        <f t="shared" ca="1" si="77"/>
        <v>34.385964912280713</v>
      </c>
      <c r="AF209" s="96" t="s">
        <v>248</v>
      </c>
      <c r="AG209" s="114"/>
      <c r="AH209" s="118"/>
      <c r="AI209" s="115"/>
      <c r="AJ209" s="115"/>
      <c r="AK209" s="115"/>
      <c r="AL209" s="122"/>
      <c r="AM209" s="337"/>
      <c r="AN209" s="338"/>
      <c r="AO209" s="338"/>
      <c r="AP209" s="338"/>
      <c r="AQ209" s="339"/>
    </row>
    <row r="210" spans="1:43" ht="36" customHeight="1">
      <c r="A210" s="355">
        <v>206</v>
      </c>
      <c r="B210" s="4" t="s">
        <v>35</v>
      </c>
      <c r="C210" s="286" t="s">
        <v>6</v>
      </c>
      <c r="D210" s="16" t="s">
        <v>140</v>
      </c>
      <c r="E210" s="18" t="s">
        <v>141</v>
      </c>
      <c r="F210" s="476">
        <v>250500</v>
      </c>
      <c r="G210" s="52">
        <v>3</v>
      </c>
      <c r="H210" s="57">
        <v>0.3</v>
      </c>
      <c r="I210" s="65">
        <v>6.0000000000000036</v>
      </c>
      <c r="J210" s="66">
        <v>4.0000000000000027</v>
      </c>
      <c r="K210" s="66">
        <v>5</v>
      </c>
      <c r="L210" s="66">
        <v>4.0000000000000027</v>
      </c>
      <c r="M210" s="66">
        <v>8.0000000000000053</v>
      </c>
      <c r="N210" s="66">
        <v>4.0000000000000027</v>
      </c>
      <c r="O210" s="66">
        <v>3</v>
      </c>
      <c r="P210" s="67">
        <v>6.0000000000000036</v>
      </c>
      <c r="Q210" s="70" t="e">
        <f ca="1">(#REF!-(YEAR(TODAY())-#REF!))/#REF!</f>
        <v>#REF!</v>
      </c>
      <c r="R210" s="70">
        <f t="shared" ca="1" si="64"/>
        <v>0.3</v>
      </c>
      <c r="S210" s="74">
        <f t="shared" si="65"/>
        <v>0.94736842105263208</v>
      </c>
      <c r="T210" s="74">
        <f t="shared" si="66"/>
        <v>0.42105263157894762</v>
      </c>
      <c r="U210" s="74">
        <f t="shared" si="67"/>
        <v>0.70175438596491224</v>
      </c>
      <c r="V210" s="74">
        <f t="shared" si="68"/>
        <v>0.7017543859649128</v>
      </c>
      <c r="W210" s="74">
        <f t="shared" si="69"/>
        <v>0.7017543859649128</v>
      </c>
      <c r="X210" s="74">
        <f t="shared" si="70"/>
        <v>0.4912280701754389</v>
      </c>
      <c r="Y210" s="74">
        <f t="shared" si="71"/>
        <v>0.31578947368421051</v>
      </c>
      <c r="Z210" s="75">
        <f t="shared" si="72"/>
        <v>0.63157894736842146</v>
      </c>
      <c r="AA210" s="76">
        <f t="shared" si="73"/>
        <v>0.7</v>
      </c>
      <c r="AB210" s="76">
        <f t="shared" ca="1" si="74"/>
        <v>0.7</v>
      </c>
      <c r="AC210" s="77">
        <f t="shared" ca="1" si="75"/>
        <v>0.69999999999999984</v>
      </c>
      <c r="AD210" s="359">
        <f t="shared" si="76"/>
        <v>4.9122807017543879</v>
      </c>
      <c r="AE210" s="369">
        <f t="shared" ca="1" si="77"/>
        <v>34.385964912280706</v>
      </c>
      <c r="AF210" s="96" t="s">
        <v>257</v>
      </c>
      <c r="AG210" s="443"/>
      <c r="AH210" s="118"/>
      <c r="AI210" s="115"/>
      <c r="AJ210" s="115"/>
      <c r="AK210" s="115"/>
      <c r="AL210" s="122"/>
      <c r="AM210" s="337"/>
      <c r="AN210" s="338"/>
      <c r="AO210" s="338"/>
      <c r="AP210" s="338"/>
      <c r="AQ210" s="339"/>
    </row>
    <row r="211" spans="1:43" ht="36" customHeight="1">
      <c r="A211" s="355">
        <v>207</v>
      </c>
      <c r="B211" s="4" t="s">
        <v>10</v>
      </c>
      <c r="C211" s="286" t="s">
        <v>6</v>
      </c>
      <c r="D211" s="16" t="s">
        <v>49</v>
      </c>
      <c r="E211" s="17" t="s">
        <v>50</v>
      </c>
      <c r="F211" s="476">
        <v>166000</v>
      </c>
      <c r="G211" s="52">
        <v>3</v>
      </c>
      <c r="H211" s="57">
        <v>0.2</v>
      </c>
      <c r="I211" s="65">
        <v>7</v>
      </c>
      <c r="J211" s="66">
        <v>1</v>
      </c>
      <c r="K211" s="66">
        <v>4.0000000000000027</v>
      </c>
      <c r="L211" s="66">
        <v>4.0000000000000027</v>
      </c>
      <c r="M211" s="66">
        <v>6.0000000000000036</v>
      </c>
      <c r="N211" s="66">
        <v>6.0000000000000036</v>
      </c>
      <c r="O211" s="66">
        <v>1</v>
      </c>
      <c r="P211" s="67">
        <v>8.0000000000000053</v>
      </c>
      <c r="Q211" s="70" t="e">
        <f ca="1">(#REF!-(YEAR(TODAY())-#REF!))/#REF!</f>
        <v>#REF!</v>
      </c>
      <c r="R211" s="70">
        <f t="shared" ca="1" si="64"/>
        <v>0.2</v>
      </c>
      <c r="S211" s="74">
        <f t="shared" si="65"/>
        <v>1.1052631578947369</v>
      </c>
      <c r="T211" s="74">
        <f t="shared" si="66"/>
        <v>0.10526315789473684</v>
      </c>
      <c r="U211" s="74">
        <f t="shared" si="67"/>
        <v>0.56140350877193024</v>
      </c>
      <c r="V211" s="74">
        <f t="shared" si="68"/>
        <v>0.7017543859649128</v>
      </c>
      <c r="W211" s="74">
        <f t="shared" si="69"/>
        <v>0.52631578947368451</v>
      </c>
      <c r="X211" s="74">
        <f t="shared" si="70"/>
        <v>0.73684210526315841</v>
      </c>
      <c r="Y211" s="74">
        <f t="shared" si="71"/>
        <v>0.10526315789473684</v>
      </c>
      <c r="Z211" s="75">
        <f t="shared" si="72"/>
        <v>0.84210526315789525</v>
      </c>
      <c r="AA211" s="76">
        <f t="shared" si="73"/>
        <v>0.7</v>
      </c>
      <c r="AB211" s="76">
        <f t="shared" ca="1" si="74"/>
        <v>0.8</v>
      </c>
      <c r="AC211" s="77">
        <f t="shared" ca="1" si="75"/>
        <v>0.73333333333333339</v>
      </c>
      <c r="AD211" s="359">
        <f t="shared" si="76"/>
        <v>4.684210526315792</v>
      </c>
      <c r="AE211" s="369">
        <f t="shared" ca="1" si="77"/>
        <v>34.35087719298248</v>
      </c>
      <c r="AF211" s="96" t="s">
        <v>248</v>
      </c>
      <c r="AG211" s="442"/>
      <c r="AH211" s="118"/>
      <c r="AI211" s="115"/>
      <c r="AJ211" s="115"/>
      <c r="AK211" s="115"/>
      <c r="AL211" s="122"/>
      <c r="AM211" s="337"/>
      <c r="AN211" s="338"/>
      <c r="AO211" s="338"/>
      <c r="AP211" s="338"/>
      <c r="AQ211" s="339"/>
    </row>
    <row r="212" spans="1:43" s="209" customFormat="1" ht="36" customHeight="1">
      <c r="A212" s="355">
        <v>208</v>
      </c>
      <c r="B212" s="4" t="s">
        <v>14</v>
      </c>
      <c r="C212" s="286" t="s">
        <v>6</v>
      </c>
      <c r="D212" s="16" t="s">
        <v>87</v>
      </c>
      <c r="E212" s="18" t="s">
        <v>1101</v>
      </c>
      <c r="F212" s="476">
        <v>225000</v>
      </c>
      <c r="G212" s="52">
        <v>3</v>
      </c>
      <c r="H212" s="57">
        <v>0.2</v>
      </c>
      <c r="I212" s="65">
        <v>4.0000000000000027</v>
      </c>
      <c r="J212" s="66">
        <v>5</v>
      </c>
      <c r="K212" s="66">
        <v>5</v>
      </c>
      <c r="L212" s="66">
        <v>4.0000000000000027</v>
      </c>
      <c r="M212" s="66">
        <v>5</v>
      </c>
      <c r="N212" s="66">
        <v>6.0000000000000036</v>
      </c>
      <c r="O212" s="66">
        <v>3</v>
      </c>
      <c r="P212" s="67">
        <v>6.0000000000000036</v>
      </c>
      <c r="Q212" s="70" t="e">
        <f ca="1">(#REF!-(YEAR(TODAY())-#REF!))/#REF!</f>
        <v>#REF!</v>
      </c>
      <c r="R212" s="70">
        <f t="shared" ca="1" si="64"/>
        <v>0.2</v>
      </c>
      <c r="S212" s="74">
        <f t="shared" si="65"/>
        <v>0.63157894736842146</v>
      </c>
      <c r="T212" s="74">
        <f t="shared" si="66"/>
        <v>0.52631578947368418</v>
      </c>
      <c r="U212" s="74">
        <f t="shared" si="67"/>
        <v>0.70175438596491224</v>
      </c>
      <c r="V212" s="74">
        <f t="shared" si="68"/>
        <v>0.7017543859649128</v>
      </c>
      <c r="W212" s="74">
        <f t="shared" si="69"/>
        <v>0.43859649122807015</v>
      </c>
      <c r="X212" s="74">
        <f t="shared" si="70"/>
        <v>0.73684210526315841</v>
      </c>
      <c r="Y212" s="74">
        <f t="shared" si="71"/>
        <v>0.31578947368421051</v>
      </c>
      <c r="Z212" s="75">
        <f t="shared" si="72"/>
        <v>0.63157894736842146</v>
      </c>
      <c r="AA212" s="76">
        <f t="shared" si="73"/>
        <v>0.7</v>
      </c>
      <c r="AB212" s="76">
        <f t="shared" ca="1" si="74"/>
        <v>0.8</v>
      </c>
      <c r="AC212" s="77">
        <f t="shared" ca="1" si="75"/>
        <v>0.73333333333333339</v>
      </c>
      <c r="AD212" s="359">
        <f t="shared" si="76"/>
        <v>4.6842105263157912</v>
      </c>
      <c r="AE212" s="369">
        <f t="shared" ca="1" si="77"/>
        <v>34.350877192982466</v>
      </c>
      <c r="AF212" s="96" t="s">
        <v>248</v>
      </c>
      <c r="AG212" s="442"/>
      <c r="AH212" s="118"/>
      <c r="AI212" s="115"/>
      <c r="AJ212" s="115"/>
      <c r="AK212" s="115"/>
      <c r="AL212" s="122"/>
      <c r="AM212" s="337"/>
      <c r="AN212" s="338"/>
      <c r="AO212" s="338"/>
      <c r="AP212" s="338"/>
      <c r="AQ212" s="339"/>
    </row>
    <row r="213" spans="1:43" ht="36" customHeight="1">
      <c r="A213" s="355">
        <v>209</v>
      </c>
      <c r="B213" s="327" t="s">
        <v>18</v>
      </c>
      <c r="C213" s="328" t="s">
        <v>6</v>
      </c>
      <c r="D213" s="2" t="s">
        <v>19</v>
      </c>
      <c r="E213" s="3" t="s">
        <v>915</v>
      </c>
      <c r="F213" s="486">
        <v>1500000</v>
      </c>
      <c r="G213" s="295">
        <v>2</v>
      </c>
      <c r="H213" s="293">
        <v>0.2</v>
      </c>
      <c r="I213" s="65">
        <v>4</v>
      </c>
      <c r="J213" s="66">
        <v>4</v>
      </c>
      <c r="K213" s="66">
        <v>2</v>
      </c>
      <c r="L213" s="66">
        <v>6.0000000000000036</v>
      </c>
      <c r="M213" s="66">
        <v>6</v>
      </c>
      <c r="N213" s="66">
        <v>6</v>
      </c>
      <c r="O213" s="66">
        <v>4</v>
      </c>
      <c r="P213" s="67">
        <v>2</v>
      </c>
      <c r="Q213" s="294" t="e">
        <f ca="1">(#REF!-(YEAR(TODAY())-#REF!))/#REF!</f>
        <v>#REF!</v>
      </c>
      <c r="R213" s="294">
        <f t="shared" ca="1" si="64"/>
        <v>0.2</v>
      </c>
      <c r="S213" s="74">
        <f t="shared" si="65"/>
        <v>0.63157894736842102</v>
      </c>
      <c r="T213" s="74">
        <f t="shared" si="66"/>
        <v>0.42105263157894735</v>
      </c>
      <c r="U213" s="74">
        <f t="shared" si="67"/>
        <v>0.2807017543859649</v>
      </c>
      <c r="V213" s="74">
        <f t="shared" si="68"/>
        <v>1.052631578947369</v>
      </c>
      <c r="W213" s="74">
        <f t="shared" si="69"/>
        <v>0.52631578947368418</v>
      </c>
      <c r="X213" s="74">
        <f t="shared" si="70"/>
        <v>0.73684210526315785</v>
      </c>
      <c r="Y213" s="74">
        <f t="shared" si="71"/>
        <v>0.42105263157894735</v>
      </c>
      <c r="Z213" s="75">
        <f t="shared" si="72"/>
        <v>0.21052631578947367</v>
      </c>
      <c r="AA213" s="76">
        <f t="shared" si="73"/>
        <v>0.8</v>
      </c>
      <c r="AB213" s="76">
        <f t="shared" ca="1" si="74"/>
        <v>0.8</v>
      </c>
      <c r="AC213" s="77">
        <f t="shared" ca="1" si="75"/>
        <v>0.80000000000000016</v>
      </c>
      <c r="AD213" s="358">
        <f t="shared" si="76"/>
        <v>4.2807017543859649</v>
      </c>
      <c r="AE213" s="368">
        <f t="shared" ca="1" si="77"/>
        <v>34.245614035087726</v>
      </c>
      <c r="AF213" s="288" t="s">
        <v>257</v>
      </c>
      <c r="AG213" s="114"/>
      <c r="AH213" s="118"/>
      <c r="AI213" s="115"/>
      <c r="AJ213" s="115"/>
      <c r="AK213" s="115"/>
      <c r="AL213" s="122"/>
      <c r="AM213" s="337"/>
      <c r="AN213" s="338"/>
      <c r="AO213" s="338"/>
      <c r="AP213" s="338"/>
      <c r="AQ213" s="339"/>
    </row>
    <row r="214" spans="1:43" ht="36" customHeight="1">
      <c r="A214" s="355">
        <v>210</v>
      </c>
      <c r="B214" s="4" t="s">
        <v>5</v>
      </c>
      <c r="C214" s="286" t="s">
        <v>6</v>
      </c>
      <c r="D214" s="5" t="s">
        <v>92</v>
      </c>
      <c r="E214" s="7" t="s">
        <v>93</v>
      </c>
      <c r="F214" s="473">
        <v>75000</v>
      </c>
      <c r="G214" s="51">
        <v>4</v>
      </c>
      <c r="H214" s="57">
        <v>0.3</v>
      </c>
      <c r="I214" s="65">
        <v>6.0000000000000036</v>
      </c>
      <c r="J214" s="66">
        <v>7.0000000000000044</v>
      </c>
      <c r="K214" s="66">
        <v>4.0000000000000027</v>
      </c>
      <c r="L214" s="66">
        <v>6.0000000000000036</v>
      </c>
      <c r="M214" s="66">
        <v>6.0000000000000036</v>
      </c>
      <c r="N214" s="66">
        <v>6.0000000000000036</v>
      </c>
      <c r="O214" s="66">
        <v>2</v>
      </c>
      <c r="P214" s="67">
        <v>6.0000000000000036</v>
      </c>
      <c r="Q214" s="70" t="e">
        <f ca="1">(#REF!-(YEAR(TODAY())-#REF!))/#REF!</f>
        <v>#REF!</v>
      </c>
      <c r="R214" s="70">
        <f t="shared" ca="1" si="64"/>
        <v>0.3</v>
      </c>
      <c r="S214" s="74">
        <f t="shared" si="65"/>
        <v>0.94736842105263208</v>
      </c>
      <c r="T214" s="74">
        <f t="shared" si="66"/>
        <v>0.73684210526315841</v>
      </c>
      <c r="U214" s="74">
        <f t="shared" si="67"/>
        <v>0.56140350877193024</v>
      </c>
      <c r="V214" s="74">
        <f t="shared" si="68"/>
        <v>1.052631578947369</v>
      </c>
      <c r="W214" s="74">
        <f t="shared" si="69"/>
        <v>0.52631578947368451</v>
      </c>
      <c r="X214" s="74">
        <f t="shared" si="70"/>
        <v>0.73684210526315841</v>
      </c>
      <c r="Y214" s="74">
        <f t="shared" si="71"/>
        <v>0.21052631578947367</v>
      </c>
      <c r="Z214" s="75">
        <f t="shared" si="72"/>
        <v>0.63157894736842146</v>
      </c>
      <c r="AA214" s="76">
        <f t="shared" si="73"/>
        <v>0.6</v>
      </c>
      <c r="AB214" s="76">
        <f t="shared" ca="1" si="74"/>
        <v>0.7</v>
      </c>
      <c r="AC214" s="77">
        <f t="shared" ca="1" si="75"/>
        <v>0.6333333333333333</v>
      </c>
      <c r="AD214" s="359">
        <f t="shared" si="76"/>
        <v>5.403508771929828</v>
      </c>
      <c r="AE214" s="369">
        <f t="shared" ca="1" si="77"/>
        <v>34.222222222222243</v>
      </c>
      <c r="AF214" s="95" t="s">
        <v>248</v>
      </c>
      <c r="AG214" s="440"/>
      <c r="AH214" s="118"/>
      <c r="AI214" s="115"/>
      <c r="AJ214" s="115"/>
      <c r="AK214" s="115"/>
      <c r="AL214" s="122"/>
      <c r="AM214" s="340"/>
      <c r="AN214" s="338"/>
      <c r="AO214" s="338"/>
      <c r="AP214" s="338"/>
      <c r="AQ214" s="339"/>
    </row>
    <row r="215" spans="1:43" ht="36" customHeight="1">
      <c r="A215" s="355">
        <v>211</v>
      </c>
      <c r="B215" s="4" t="s">
        <v>7</v>
      </c>
      <c r="C215" s="286" t="s">
        <v>6</v>
      </c>
      <c r="D215" s="16" t="s">
        <v>166</v>
      </c>
      <c r="E215" s="18" t="s">
        <v>1094</v>
      </c>
      <c r="F215" s="476">
        <v>101637</v>
      </c>
      <c r="G215" s="52">
        <v>2</v>
      </c>
      <c r="H215" s="57">
        <v>0</v>
      </c>
      <c r="I215" s="65">
        <v>2</v>
      </c>
      <c r="J215" s="66">
        <v>4</v>
      </c>
      <c r="K215" s="66">
        <v>4.0000000000000027</v>
      </c>
      <c r="L215" s="66">
        <v>8.0000000000000053</v>
      </c>
      <c r="M215" s="66">
        <v>8.0000000000000053</v>
      </c>
      <c r="N215" s="66">
        <v>1</v>
      </c>
      <c r="O215" s="66">
        <v>0</v>
      </c>
      <c r="P215" s="67">
        <v>4.0000000000000027</v>
      </c>
      <c r="Q215" s="70" t="e">
        <f ca="1">(#REF!-(YEAR(TODAY())-#REF!))/#REF!</f>
        <v>#REF!</v>
      </c>
      <c r="R215" s="70">
        <f t="shared" ca="1" si="64"/>
        <v>0</v>
      </c>
      <c r="S215" s="74">
        <f t="shared" si="65"/>
        <v>0.31578947368421051</v>
      </c>
      <c r="T215" s="74">
        <f t="shared" si="66"/>
        <v>0.42105263157894735</v>
      </c>
      <c r="U215" s="74">
        <f t="shared" si="67"/>
        <v>0.56140350877193024</v>
      </c>
      <c r="V215" s="74">
        <f t="shared" si="68"/>
        <v>1.4035087719298256</v>
      </c>
      <c r="W215" s="74">
        <f t="shared" si="69"/>
        <v>0.7017543859649128</v>
      </c>
      <c r="X215" s="74">
        <f t="shared" si="70"/>
        <v>0.12280701754385964</v>
      </c>
      <c r="Y215" s="74">
        <f t="shared" si="71"/>
        <v>0</v>
      </c>
      <c r="Z215" s="75">
        <f t="shared" si="72"/>
        <v>0.42105263157894762</v>
      </c>
      <c r="AA215" s="76">
        <f t="shared" si="73"/>
        <v>0.8</v>
      </c>
      <c r="AB215" s="76">
        <f t="shared" ca="1" si="74"/>
        <v>1</v>
      </c>
      <c r="AC215" s="77">
        <f t="shared" ca="1" si="75"/>
        <v>0.8666666666666667</v>
      </c>
      <c r="AD215" s="359">
        <f t="shared" si="76"/>
        <v>3.9473684210526336</v>
      </c>
      <c r="AE215" s="369">
        <f t="shared" ca="1" si="77"/>
        <v>34.210526315789494</v>
      </c>
      <c r="AF215" s="96" t="s">
        <v>248</v>
      </c>
      <c r="AG215" s="442"/>
      <c r="AH215" s="118"/>
      <c r="AI215" s="115"/>
      <c r="AJ215" s="120"/>
      <c r="AK215" s="120"/>
      <c r="AL215" s="122"/>
      <c r="AM215" s="337"/>
      <c r="AN215" s="338"/>
      <c r="AO215" s="338"/>
      <c r="AP215" s="338"/>
      <c r="AQ215" s="339"/>
    </row>
    <row r="216" spans="1:43" ht="36" customHeight="1">
      <c r="A216" s="355">
        <v>212</v>
      </c>
      <c r="B216" s="4" t="s">
        <v>14</v>
      </c>
      <c r="C216" s="286" t="s">
        <v>300</v>
      </c>
      <c r="D216" s="10" t="s">
        <v>328</v>
      </c>
      <c r="E216" s="6" t="s">
        <v>963</v>
      </c>
      <c r="F216" s="473">
        <v>240000</v>
      </c>
      <c r="G216" s="52">
        <v>4</v>
      </c>
      <c r="H216" s="57">
        <v>0.4</v>
      </c>
      <c r="I216" s="65">
        <v>6</v>
      </c>
      <c r="J216" s="66">
        <v>7</v>
      </c>
      <c r="K216" s="66">
        <v>6</v>
      </c>
      <c r="L216" s="66">
        <v>5</v>
      </c>
      <c r="M216" s="66">
        <v>8</v>
      </c>
      <c r="N216" s="66">
        <v>6</v>
      </c>
      <c r="O216" s="66">
        <v>0</v>
      </c>
      <c r="P216" s="67">
        <v>8</v>
      </c>
      <c r="Q216" s="70" t="e">
        <f ca="1">(#REF!-(YEAR(TODAY())-#REF!))/#REF!</f>
        <v>#REF!</v>
      </c>
      <c r="R216" s="70">
        <f t="shared" ca="1" si="64"/>
        <v>0.4</v>
      </c>
      <c r="S216" s="74">
        <f t="shared" si="65"/>
        <v>0.94736842105263153</v>
      </c>
      <c r="T216" s="74">
        <f t="shared" si="66"/>
        <v>0.73684210526315785</v>
      </c>
      <c r="U216" s="74">
        <f t="shared" si="67"/>
        <v>0.84210526315789469</v>
      </c>
      <c r="V216" s="74">
        <f t="shared" si="68"/>
        <v>0.8771929824561403</v>
      </c>
      <c r="W216" s="74">
        <f t="shared" si="69"/>
        <v>0.70175438596491224</v>
      </c>
      <c r="X216" s="74">
        <f t="shared" si="70"/>
        <v>0.73684210526315785</v>
      </c>
      <c r="Y216" s="74">
        <f t="shared" si="71"/>
        <v>0</v>
      </c>
      <c r="Z216" s="75">
        <f t="shared" si="72"/>
        <v>0.84210526315789469</v>
      </c>
      <c r="AA216" s="76">
        <f t="shared" si="73"/>
        <v>0.6</v>
      </c>
      <c r="AB216" s="76">
        <f t="shared" ca="1" si="74"/>
        <v>0.6</v>
      </c>
      <c r="AC216" s="77">
        <f t="shared" ca="1" si="75"/>
        <v>0.6</v>
      </c>
      <c r="AD216" s="359">
        <f t="shared" si="76"/>
        <v>5.6842105263157885</v>
      </c>
      <c r="AE216" s="369">
        <f t="shared" ca="1" si="77"/>
        <v>34.105263157894733</v>
      </c>
      <c r="AF216" s="96" t="s">
        <v>266</v>
      </c>
      <c r="AG216" s="442"/>
      <c r="AH216" s="118"/>
      <c r="AI216" s="115"/>
      <c r="AJ216" s="115"/>
      <c r="AK216" s="115"/>
      <c r="AL216" s="122"/>
      <c r="AM216" s="337"/>
      <c r="AN216" s="338"/>
      <c r="AO216" s="338"/>
      <c r="AP216" s="338"/>
      <c r="AQ216" s="339"/>
    </row>
    <row r="217" spans="1:43" ht="36" customHeight="1">
      <c r="A217" s="355">
        <v>213</v>
      </c>
      <c r="B217" s="4" t="s">
        <v>14</v>
      </c>
      <c r="C217" s="286" t="s">
        <v>6</v>
      </c>
      <c r="D217" s="16" t="s">
        <v>1077</v>
      </c>
      <c r="E217" s="18" t="s">
        <v>1078</v>
      </c>
      <c r="F217" s="476">
        <v>142000</v>
      </c>
      <c r="G217" s="52">
        <v>3</v>
      </c>
      <c r="H217" s="57">
        <v>0.3</v>
      </c>
      <c r="I217" s="65">
        <v>4</v>
      </c>
      <c r="J217" s="66">
        <v>6.0000000000000036</v>
      </c>
      <c r="K217" s="66">
        <v>1</v>
      </c>
      <c r="L217" s="66">
        <v>9.0000000000000018</v>
      </c>
      <c r="M217" s="66">
        <v>6.0000000000000036</v>
      </c>
      <c r="N217" s="66">
        <v>5.0000000000000027</v>
      </c>
      <c r="O217" s="66">
        <v>0</v>
      </c>
      <c r="P217" s="67">
        <v>7.0000000000000044</v>
      </c>
      <c r="Q217" s="70" t="e">
        <f ca="1">(#REF!-(YEAR(TODAY())-#REF!))/#REF!</f>
        <v>#REF!</v>
      </c>
      <c r="R217" s="70">
        <f t="shared" ca="1" si="64"/>
        <v>0.3</v>
      </c>
      <c r="S217" s="74">
        <f t="shared" si="65"/>
        <v>0.63157894736842102</v>
      </c>
      <c r="T217" s="74">
        <f t="shared" si="66"/>
        <v>0.63157894736842146</v>
      </c>
      <c r="U217" s="74">
        <f t="shared" si="67"/>
        <v>0.14035087719298245</v>
      </c>
      <c r="V217" s="74">
        <f t="shared" si="68"/>
        <v>1.5789473684210529</v>
      </c>
      <c r="W217" s="74">
        <f t="shared" si="69"/>
        <v>0.52631578947368451</v>
      </c>
      <c r="X217" s="74">
        <f t="shared" si="70"/>
        <v>0.6140350877192986</v>
      </c>
      <c r="Y217" s="74">
        <f t="shared" si="71"/>
        <v>0</v>
      </c>
      <c r="Z217" s="75">
        <f t="shared" si="72"/>
        <v>0.73684210526315841</v>
      </c>
      <c r="AA217" s="76">
        <f t="shared" si="73"/>
        <v>0.7</v>
      </c>
      <c r="AB217" s="76">
        <f t="shared" ca="1" si="74"/>
        <v>0.7</v>
      </c>
      <c r="AC217" s="77">
        <f t="shared" ca="1" si="75"/>
        <v>0.69999999999999984</v>
      </c>
      <c r="AD217" s="359">
        <f t="shared" si="76"/>
        <v>4.8596491228070189</v>
      </c>
      <c r="AE217" s="369">
        <f t="shared" ca="1" si="77"/>
        <v>34.017543859649123</v>
      </c>
      <c r="AF217" s="96" t="s">
        <v>248</v>
      </c>
      <c r="AG217" s="443"/>
      <c r="AH217" s="118"/>
      <c r="AI217" s="115"/>
      <c r="AJ217" s="115"/>
      <c r="AK217" s="115"/>
      <c r="AL217" s="122"/>
      <c r="AM217" s="337"/>
      <c r="AN217" s="338"/>
      <c r="AO217" s="338"/>
      <c r="AP217" s="338"/>
      <c r="AQ217" s="339"/>
    </row>
    <row r="218" spans="1:43" ht="36" customHeight="1">
      <c r="A218" s="355">
        <v>214</v>
      </c>
      <c r="B218" s="4" t="s">
        <v>7</v>
      </c>
      <c r="C218" s="286" t="s">
        <v>6</v>
      </c>
      <c r="D218" s="5" t="s">
        <v>129</v>
      </c>
      <c r="E218" s="7" t="s">
        <v>1080</v>
      </c>
      <c r="F218" s="481">
        <v>100000</v>
      </c>
      <c r="G218" s="51">
        <v>2</v>
      </c>
      <c r="H218" s="57">
        <v>0.2</v>
      </c>
      <c r="I218" s="65">
        <v>2</v>
      </c>
      <c r="J218" s="66">
        <v>5</v>
      </c>
      <c r="K218" s="66">
        <v>4</v>
      </c>
      <c r="L218" s="66">
        <v>8</v>
      </c>
      <c r="M218" s="66">
        <v>6</v>
      </c>
      <c r="N218" s="66">
        <v>4.0000000000000027</v>
      </c>
      <c r="O218" s="66">
        <v>0</v>
      </c>
      <c r="P218" s="67">
        <v>4.0000000000000027</v>
      </c>
      <c r="Q218" s="70" t="e">
        <f ca="1">(#REF!-(YEAR(TODAY())-#REF!))/#REF!</f>
        <v>#REF!</v>
      </c>
      <c r="R218" s="70">
        <f t="shared" ca="1" si="64"/>
        <v>0.2</v>
      </c>
      <c r="S218" s="74">
        <f t="shared" si="65"/>
        <v>0.31578947368421051</v>
      </c>
      <c r="T218" s="74">
        <f t="shared" si="66"/>
        <v>0.52631578947368418</v>
      </c>
      <c r="U218" s="74">
        <f t="shared" si="67"/>
        <v>0.56140350877192979</v>
      </c>
      <c r="V218" s="74">
        <f t="shared" si="68"/>
        <v>1.4035087719298245</v>
      </c>
      <c r="W218" s="74">
        <f t="shared" si="69"/>
        <v>0.52631578947368418</v>
      </c>
      <c r="X218" s="74">
        <f t="shared" si="70"/>
        <v>0.4912280701754389</v>
      </c>
      <c r="Y218" s="74">
        <f t="shared" si="71"/>
        <v>0</v>
      </c>
      <c r="Z218" s="75">
        <f t="shared" si="72"/>
        <v>0.42105263157894762</v>
      </c>
      <c r="AA218" s="76">
        <f t="shared" si="73"/>
        <v>0.8</v>
      </c>
      <c r="AB218" s="76">
        <f t="shared" ca="1" si="74"/>
        <v>0.8</v>
      </c>
      <c r="AC218" s="77">
        <f t="shared" ca="1" si="75"/>
        <v>0.80000000000000016</v>
      </c>
      <c r="AD218" s="359">
        <f t="shared" si="76"/>
        <v>4.2456140350877192</v>
      </c>
      <c r="AE218" s="369">
        <f t="shared" ca="1" si="77"/>
        <v>33.96491228070176</v>
      </c>
      <c r="AF218" s="95" t="s">
        <v>248</v>
      </c>
      <c r="AG218" s="441"/>
      <c r="AH218" s="118"/>
      <c r="AI218" s="115"/>
      <c r="AJ218" s="115"/>
      <c r="AK218" s="115"/>
      <c r="AL218" s="122"/>
      <c r="AM218" s="340"/>
      <c r="AN218" s="338"/>
      <c r="AO218" s="338"/>
      <c r="AP218" s="338"/>
      <c r="AQ218" s="339"/>
    </row>
    <row r="219" spans="1:43" ht="36" customHeight="1">
      <c r="A219" s="355">
        <v>215</v>
      </c>
      <c r="B219" s="4" t="s">
        <v>5</v>
      </c>
      <c r="C219" s="286" t="s">
        <v>6</v>
      </c>
      <c r="D219" s="5" t="s">
        <v>320</v>
      </c>
      <c r="E219" s="7" t="s">
        <v>1079</v>
      </c>
      <c r="F219" s="473">
        <v>220000</v>
      </c>
      <c r="G219" s="51">
        <v>4</v>
      </c>
      <c r="H219" s="57">
        <v>0.2</v>
      </c>
      <c r="I219" s="65">
        <v>6</v>
      </c>
      <c r="J219" s="66">
        <v>8.0000000000000053</v>
      </c>
      <c r="K219" s="66">
        <v>3</v>
      </c>
      <c r="L219" s="66">
        <v>6.0000000000000036</v>
      </c>
      <c r="M219" s="66">
        <v>0</v>
      </c>
      <c r="N219" s="66">
        <v>8</v>
      </c>
      <c r="O219" s="66">
        <v>0</v>
      </c>
      <c r="P219" s="67">
        <v>8</v>
      </c>
      <c r="Q219" s="70" t="e">
        <f ca="1">(#REF!-(YEAR(TODAY())-#REF!))/#REF!</f>
        <v>#REF!</v>
      </c>
      <c r="R219" s="70">
        <f t="shared" ca="1" si="64"/>
        <v>0.2</v>
      </c>
      <c r="S219" s="74">
        <f t="shared" si="65"/>
        <v>0.94736842105263153</v>
      </c>
      <c r="T219" s="74">
        <f t="shared" si="66"/>
        <v>0.84210526315789525</v>
      </c>
      <c r="U219" s="74">
        <f t="shared" si="67"/>
        <v>0.42105263157894735</v>
      </c>
      <c r="V219" s="74">
        <f t="shared" si="68"/>
        <v>1.052631578947369</v>
      </c>
      <c r="W219" s="74">
        <f t="shared" si="69"/>
        <v>0</v>
      </c>
      <c r="X219" s="74">
        <f t="shared" si="70"/>
        <v>0.98245614035087714</v>
      </c>
      <c r="Y219" s="74">
        <f t="shared" si="71"/>
        <v>0</v>
      </c>
      <c r="Z219" s="75">
        <f t="shared" si="72"/>
        <v>0.84210526315789469</v>
      </c>
      <c r="AA219" s="76">
        <f t="shared" si="73"/>
        <v>0.6</v>
      </c>
      <c r="AB219" s="76">
        <f t="shared" ca="1" si="74"/>
        <v>0.8</v>
      </c>
      <c r="AC219" s="77">
        <f t="shared" ca="1" si="75"/>
        <v>0.66666666666666663</v>
      </c>
      <c r="AD219" s="359">
        <f t="shared" si="76"/>
        <v>5.0877192982456156</v>
      </c>
      <c r="AE219" s="369">
        <f t="shared" ca="1" si="77"/>
        <v>33.918128654970772</v>
      </c>
      <c r="AF219" s="95" t="s">
        <v>248</v>
      </c>
      <c r="AG219" s="441"/>
      <c r="AH219" s="118"/>
      <c r="AI219" s="115"/>
      <c r="AJ219" s="115"/>
      <c r="AK219" s="115"/>
      <c r="AL219" s="122"/>
      <c r="AM219" s="337"/>
      <c r="AN219" s="338"/>
      <c r="AO219" s="338"/>
      <c r="AP219" s="338"/>
      <c r="AQ219" s="339"/>
    </row>
    <row r="220" spans="1:43" ht="36" customHeight="1">
      <c r="A220" s="355">
        <v>216</v>
      </c>
      <c r="B220" s="4" t="s">
        <v>16</v>
      </c>
      <c r="C220" s="286" t="s">
        <v>300</v>
      </c>
      <c r="D220" s="19" t="s">
        <v>17</v>
      </c>
      <c r="E220" s="11" t="s">
        <v>1137</v>
      </c>
      <c r="F220" s="476">
        <v>172000</v>
      </c>
      <c r="G220" s="52">
        <v>5</v>
      </c>
      <c r="H220" s="57">
        <v>0.25</v>
      </c>
      <c r="I220" s="65">
        <v>7.0000000000000044</v>
      </c>
      <c r="J220" s="66">
        <v>7.0000000000000044</v>
      </c>
      <c r="K220" s="66">
        <v>6.0000000000000036</v>
      </c>
      <c r="L220" s="66">
        <v>5</v>
      </c>
      <c r="M220" s="66">
        <v>5</v>
      </c>
      <c r="N220" s="66">
        <v>7</v>
      </c>
      <c r="O220" s="66">
        <v>1</v>
      </c>
      <c r="P220" s="67">
        <v>8.0000000000000053</v>
      </c>
      <c r="Q220" s="70" t="e">
        <f ca="1">(#REF!-(YEAR(TODAY())-#REF!))/#REF!</f>
        <v>#REF!</v>
      </c>
      <c r="R220" s="70">
        <f t="shared" ca="1" si="64"/>
        <v>0.25</v>
      </c>
      <c r="S220" s="74">
        <f t="shared" si="65"/>
        <v>1.1052631578947376</v>
      </c>
      <c r="T220" s="74">
        <f t="shared" si="66"/>
        <v>0.73684210526315841</v>
      </c>
      <c r="U220" s="74">
        <f t="shared" si="67"/>
        <v>0.84210526315789525</v>
      </c>
      <c r="V220" s="74">
        <f t="shared" si="68"/>
        <v>0.8771929824561403</v>
      </c>
      <c r="W220" s="74">
        <f t="shared" si="69"/>
        <v>0.43859649122807015</v>
      </c>
      <c r="X220" s="74">
        <f t="shared" si="70"/>
        <v>0.85964912280701755</v>
      </c>
      <c r="Y220" s="74">
        <f t="shared" si="71"/>
        <v>0.10526315789473684</v>
      </c>
      <c r="Z220" s="75">
        <f t="shared" si="72"/>
        <v>0.84210526315789525</v>
      </c>
      <c r="AA220" s="76">
        <f t="shared" si="73"/>
        <v>0.5</v>
      </c>
      <c r="AB220" s="76">
        <f t="shared" ca="1" si="74"/>
        <v>0.75</v>
      </c>
      <c r="AC220" s="77">
        <f t="shared" ca="1" si="75"/>
        <v>0.58333333333333337</v>
      </c>
      <c r="AD220" s="359">
        <f t="shared" si="76"/>
        <v>5.8070175438596516</v>
      </c>
      <c r="AE220" s="369">
        <f t="shared" ca="1" si="77"/>
        <v>33.874269005847971</v>
      </c>
      <c r="AF220" s="96" t="s">
        <v>248</v>
      </c>
      <c r="AG220" s="442"/>
      <c r="AH220" s="118"/>
      <c r="AI220" s="115"/>
      <c r="AJ220" s="115"/>
      <c r="AK220" s="115"/>
      <c r="AL220" s="122"/>
      <c r="AM220" s="337"/>
      <c r="AN220" s="338"/>
      <c r="AO220" s="338"/>
      <c r="AP220" s="338"/>
      <c r="AQ220" s="339"/>
    </row>
    <row r="221" spans="1:43" ht="36" customHeight="1">
      <c r="A221" s="355">
        <v>217</v>
      </c>
      <c r="B221" s="4" t="s">
        <v>7</v>
      </c>
      <c r="C221" s="286" t="s">
        <v>6</v>
      </c>
      <c r="D221" s="471" t="s">
        <v>1123</v>
      </c>
      <c r="E221" s="29" t="s">
        <v>156</v>
      </c>
      <c r="F221" s="473">
        <v>100000</v>
      </c>
      <c r="G221" s="52">
        <v>3</v>
      </c>
      <c r="H221" s="57">
        <v>0.3</v>
      </c>
      <c r="I221" s="65">
        <v>7</v>
      </c>
      <c r="J221" s="66">
        <v>8</v>
      </c>
      <c r="K221" s="66">
        <v>4</v>
      </c>
      <c r="L221" s="66">
        <v>0</v>
      </c>
      <c r="M221" s="66">
        <v>6.0000000000000036</v>
      </c>
      <c r="N221" s="66">
        <v>6.0000000000000036</v>
      </c>
      <c r="O221" s="66">
        <v>0</v>
      </c>
      <c r="P221" s="67">
        <v>9.9999999999999982</v>
      </c>
      <c r="Q221" s="70" t="e">
        <f ca="1">(#REF!-(YEAR(TODAY())-#REF!))/#REF!</f>
        <v>#REF!</v>
      </c>
      <c r="R221" s="70">
        <f t="shared" ca="1" si="64"/>
        <v>0.3</v>
      </c>
      <c r="S221" s="74">
        <f t="shared" si="65"/>
        <v>1.1052631578947369</v>
      </c>
      <c r="T221" s="74">
        <f t="shared" si="66"/>
        <v>0.84210526315789469</v>
      </c>
      <c r="U221" s="74">
        <f t="shared" si="67"/>
        <v>0.56140350877192979</v>
      </c>
      <c r="V221" s="74">
        <f t="shared" si="68"/>
        <v>0</v>
      </c>
      <c r="W221" s="74">
        <f t="shared" si="69"/>
        <v>0.52631578947368451</v>
      </c>
      <c r="X221" s="74">
        <f t="shared" si="70"/>
        <v>0.73684210526315841</v>
      </c>
      <c r="Y221" s="74">
        <f t="shared" si="71"/>
        <v>0</v>
      </c>
      <c r="Z221" s="75">
        <f t="shared" si="72"/>
        <v>1.0526315789473681</v>
      </c>
      <c r="AA221" s="76">
        <f t="shared" si="73"/>
        <v>0.7</v>
      </c>
      <c r="AB221" s="76">
        <f t="shared" ca="1" si="74"/>
        <v>0.7</v>
      </c>
      <c r="AC221" s="77">
        <f t="shared" ca="1" si="75"/>
        <v>0.69999999999999984</v>
      </c>
      <c r="AD221" s="359">
        <f t="shared" si="76"/>
        <v>4.8245614035087723</v>
      </c>
      <c r="AE221" s="369">
        <f t="shared" ca="1" si="77"/>
        <v>33.771929824561397</v>
      </c>
      <c r="AF221" s="96" t="s">
        <v>257</v>
      </c>
      <c r="AG221" s="442"/>
      <c r="AH221" s="118"/>
      <c r="AI221" s="115"/>
      <c r="AJ221" s="115"/>
      <c r="AK221" s="115"/>
      <c r="AL221" s="122"/>
      <c r="AM221" s="337"/>
      <c r="AN221" s="338"/>
      <c r="AO221" s="338"/>
      <c r="AP221" s="338"/>
      <c r="AQ221" s="339"/>
    </row>
    <row r="222" spans="1:43" s="152" customFormat="1" ht="36" customHeight="1">
      <c r="A222" s="355">
        <v>218</v>
      </c>
      <c r="B222" s="4" t="s">
        <v>7</v>
      </c>
      <c r="C222" s="286" t="s">
        <v>6</v>
      </c>
      <c r="D222" s="16" t="s">
        <v>161</v>
      </c>
      <c r="E222" s="18" t="s">
        <v>1061</v>
      </c>
      <c r="F222" s="476">
        <v>127000</v>
      </c>
      <c r="G222" s="52">
        <v>2</v>
      </c>
      <c r="H222" s="57">
        <v>0</v>
      </c>
      <c r="I222" s="312">
        <v>2</v>
      </c>
      <c r="J222" s="313">
        <v>4.0000000000000027</v>
      </c>
      <c r="K222" s="313">
        <v>5</v>
      </c>
      <c r="L222" s="313">
        <v>4.0000000000000027</v>
      </c>
      <c r="M222" s="313">
        <v>6.0000000000000036</v>
      </c>
      <c r="N222" s="313">
        <v>4.0000000000000027</v>
      </c>
      <c r="O222" s="313">
        <v>3</v>
      </c>
      <c r="P222" s="314">
        <v>4.0000000000000027</v>
      </c>
      <c r="Q222" s="70" t="e">
        <f ca="1">(#REF!-(YEAR(TODAY())-#REF!))/#REF!</f>
        <v>#REF!</v>
      </c>
      <c r="R222" s="70">
        <f t="shared" ca="1" si="64"/>
        <v>0</v>
      </c>
      <c r="S222" s="315">
        <f t="shared" si="65"/>
        <v>0.31578947368421051</v>
      </c>
      <c r="T222" s="315">
        <f t="shared" si="66"/>
        <v>0.42105263157894762</v>
      </c>
      <c r="U222" s="315">
        <f t="shared" si="67"/>
        <v>0.70175438596491224</v>
      </c>
      <c r="V222" s="315">
        <f t="shared" si="68"/>
        <v>0.7017543859649128</v>
      </c>
      <c r="W222" s="315">
        <f t="shared" si="69"/>
        <v>0.52631578947368451</v>
      </c>
      <c r="X222" s="315">
        <f t="shared" si="70"/>
        <v>0.4912280701754389</v>
      </c>
      <c r="Y222" s="315">
        <f t="shared" si="71"/>
        <v>0.31578947368421051</v>
      </c>
      <c r="Z222" s="316">
        <f t="shared" si="72"/>
        <v>0.42105263157894762</v>
      </c>
      <c r="AA222" s="317">
        <f t="shared" si="73"/>
        <v>0.8</v>
      </c>
      <c r="AB222" s="317">
        <f t="shared" ca="1" si="74"/>
        <v>1</v>
      </c>
      <c r="AC222" s="318">
        <f t="shared" ca="1" si="75"/>
        <v>0.8666666666666667</v>
      </c>
      <c r="AD222" s="359">
        <f t="shared" si="76"/>
        <v>3.8947368421052651</v>
      </c>
      <c r="AE222" s="369">
        <f t="shared" ca="1" si="77"/>
        <v>33.754385964912295</v>
      </c>
      <c r="AF222" s="96" t="s">
        <v>257</v>
      </c>
      <c r="AG222" s="443"/>
      <c r="AH222" s="119"/>
      <c r="AI222" s="120"/>
      <c r="AJ222" s="120"/>
      <c r="AK222" s="120"/>
      <c r="AL222" s="454"/>
      <c r="AM222" s="340"/>
      <c r="AN222" s="341"/>
      <c r="AO222" s="341"/>
      <c r="AP222" s="341"/>
      <c r="AQ222" s="342"/>
    </row>
    <row r="223" spans="1:43" s="152" customFormat="1" ht="36" customHeight="1">
      <c r="A223" s="355">
        <v>219</v>
      </c>
      <c r="B223" s="4" t="s">
        <v>7</v>
      </c>
      <c r="C223" s="286" t="s">
        <v>6</v>
      </c>
      <c r="D223" s="16" t="s">
        <v>185</v>
      </c>
      <c r="E223" s="18" t="s">
        <v>1113</v>
      </c>
      <c r="F223" s="476">
        <v>118500</v>
      </c>
      <c r="G223" s="52">
        <v>4</v>
      </c>
      <c r="H223" s="57">
        <v>0.1</v>
      </c>
      <c r="I223" s="312">
        <v>4.0000000000000027</v>
      </c>
      <c r="J223" s="313">
        <v>6.0000000000000036</v>
      </c>
      <c r="K223" s="313">
        <v>4.0000000000000027</v>
      </c>
      <c r="L223" s="313">
        <v>8.0000000000000053</v>
      </c>
      <c r="M223" s="313">
        <v>4.0000000000000027</v>
      </c>
      <c r="N223" s="313">
        <v>4.0000000000000027</v>
      </c>
      <c r="O223" s="313">
        <v>3</v>
      </c>
      <c r="P223" s="314">
        <v>4.0000000000000027</v>
      </c>
      <c r="Q223" s="70" t="e">
        <f ca="1">(#REF!-(YEAR(TODAY())-#REF!))/#REF!</f>
        <v>#REF!</v>
      </c>
      <c r="R223" s="70">
        <f t="shared" ca="1" si="64"/>
        <v>0.1</v>
      </c>
      <c r="S223" s="315">
        <f t="shared" si="65"/>
        <v>0.63157894736842146</v>
      </c>
      <c r="T223" s="315">
        <f t="shared" si="66"/>
        <v>0.63157894736842146</v>
      </c>
      <c r="U223" s="315">
        <f t="shared" si="67"/>
        <v>0.56140350877193024</v>
      </c>
      <c r="V223" s="315">
        <f t="shared" si="68"/>
        <v>1.4035087719298256</v>
      </c>
      <c r="W223" s="315">
        <f t="shared" si="69"/>
        <v>0.3508771929824564</v>
      </c>
      <c r="X223" s="315">
        <f t="shared" si="70"/>
        <v>0.4912280701754389</v>
      </c>
      <c r="Y223" s="315">
        <f t="shared" si="71"/>
        <v>0.31578947368421051</v>
      </c>
      <c r="Z223" s="316">
        <f t="shared" si="72"/>
        <v>0.42105263157894762</v>
      </c>
      <c r="AA223" s="317">
        <f t="shared" si="73"/>
        <v>0.6</v>
      </c>
      <c r="AB223" s="317">
        <f t="shared" ca="1" si="74"/>
        <v>0.9</v>
      </c>
      <c r="AC223" s="318">
        <f t="shared" ca="1" si="75"/>
        <v>0.70000000000000007</v>
      </c>
      <c r="AD223" s="359">
        <f t="shared" si="76"/>
        <v>4.8070175438596525</v>
      </c>
      <c r="AE223" s="369">
        <f t="shared" ca="1" si="77"/>
        <v>33.649122807017577</v>
      </c>
      <c r="AF223" s="96" t="s">
        <v>257</v>
      </c>
      <c r="AG223" s="443"/>
      <c r="AH223" s="119"/>
      <c r="AI223" s="120"/>
      <c r="AJ223" s="120"/>
      <c r="AK223" s="120"/>
      <c r="AL223" s="454"/>
      <c r="AM223" s="340"/>
      <c r="AN223" s="341"/>
      <c r="AO223" s="341"/>
      <c r="AP223" s="341"/>
      <c r="AQ223" s="342"/>
    </row>
    <row r="224" spans="1:43" ht="36" customHeight="1">
      <c r="A224" s="355">
        <v>220</v>
      </c>
      <c r="B224" s="4" t="s">
        <v>14</v>
      </c>
      <c r="C224" s="286" t="s">
        <v>298</v>
      </c>
      <c r="D224" s="10" t="s">
        <v>336</v>
      </c>
      <c r="E224" s="11" t="s">
        <v>1002</v>
      </c>
      <c r="F224" s="476">
        <v>1925000</v>
      </c>
      <c r="G224" s="52">
        <v>3</v>
      </c>
      <c r="H224" s="57">
        <v>0.3</v>
      </c>
      <c r="I224" s="65">
        <v>6</v>
      </c>
      <c r="J224" s="66">
        <v>8</v>
      </c>
      <c r="K224" s="66">
        <v>2</v>
      </c>
      <c r="L224" s="66">
        <v>4</v>
      </c>
      <c r="M224" s="66">
        <v>0</v>
      </c>
      <c r="N224" s="66">
        <v>8</v>
      </c>
      <c r="O224" s="66">
        <v>0</v>
      </c>
      <c r="P224" s="67">
        <v>10</v>
      </c>
      <c r="Q224" s="70" t="e">
        <f ca="1">(#REF!-(YEAR(TODAY())-#REF!))/#REF!</f>
        <v>#REF!</v>
      </c>
      <c r="R224" s="70">
        <f t="shared" ca="1" si="64"/>
        <v>0.3</v>
      </c>
      <c r="S224" s="74">
        <f t="shared" si="65"/>
        <v>0.94736842105263153</v>
      </c>
      <c r="T224" s="74">
        <f t="shared" si="66"/>
        <v>0.84210526315789469</v>
      </c>
      <c r="U224" s="74">
        <f t="shared" si="67"/>
        <v>0.2807017543859649</v>
      </c>
      <c r="V224" s="74">
        <f t="shared" si="68"/>
        <v>0.70175438596491224</v>
      </c>
      <c r="W224" s="74">
        <f t="shared" si="69"/>
        <v>0</v>
      </c>
      <c r="X224" s="74">
        <f t="shared" si="70"/>
        <v>0.98245614035087714</v>
      </c>
      <c r="Y224" s="74">
        <f t="shared" si="71"/>
        <v>0</v>
      </c>
      <c r="Z224" s="75">
        <f t="shared" si="72"/>
        <v>1.0526315789473684</v>
      </c>
      <c r="AA224" s="76">
        <f t="shared" si="73"/>
        <v>0.7</v>
      </c>
      <c r="AB224" s="76">
        <f t="shared" ca="1" si="74"/>
        <v>0.7</v>
      </c>
      <c r="AC224" s="77">
        <f t="shared" ca="1" si="75"/>
        <v>0.69999999999999984</v>
      </c>
      <c r="AD224" s="359">
        <f t="shared" si="76"/>
        <v>4.807017543859649</v>
      </c>
      <c r="AE224" s="369">
        <f t="shared" ca="1" si="77"/>
        <v>33.649122807017534</v>
      </c>
      <c r="AF224" s="96" t="s">
        <v>248</v>
      </c>
      <c r="AG224" s="443"/>
      <c r="AH224" s="118"/>
      <c r="AI224" s="115"/>
      <c r="AJ224" s="115"/>
      <c r="AK224" s="115"/>
      <c r="AL224" s="122"/>
      <c r="AM224" s="337"/>
      <c r="AN224" s="338"/>
      <c r="AO224" s="338"/>
      <c r="AP224" s="338"/>
      <c r="AQ224" s="339"/>
    </row>
    <row r="225" spans="1:43" ht="36" customHeight="1">
      <c r="A225" s="355">
        <v>221</v>
      </c>
      <c r="B225" s="4" t="s">
        <v>14</v>
      </c>
      <c r="C225" s="286" t="s">
        <v>6</v>
      </c>
      <c r="D225" s="16" t="s">
        <v>105</v>
      </c>
      <c r="E225" s="17" t="s">
        <v>1086</v>
      </c>
      <c r="F225" s="476">
        <v>84000</v>
      </c>
      <c r="G225" s="52">
        <v>4</v>
      </c>
      <c r="H225" s="57">
        <v>0.5</v>
      </c>
      <c r="I225" s="65">
        <v>8.0000000000000053</v>
      </c>
      <c r="J225" s="66">
        <v>6.0000000000000036</v>
      </c>
      <c r="K225" s="66">
        <v>4.0000000000000027</v>
      </c>
      <c r="L225" s="66">
        <v>8.0000000000000053</v>
      </c>
      <c r="M225" s="66">
        <v>6.0000000000000036</v>
      </c>
      <c r="N225" s="66">
        <v>4.0000000000000027</v>
      </c>
      <c r="O225" s="66">
        <v>2</v>
      </c>
      <c r="P225" s="67">
        <v>8.0000000000000053</v>
      </c>
      <c r="Q225" s="70" t="e">
        <f ca="1">(#REF!-(YEAR(TODAY())-#REF!))/#REF!</f>
        <v>#REF!</v>
      </c>
      <c r="R225" s="70">
        <f t="shared" ca="1" si="64"/>
        <v>0.5</v>
      </c>
      <c r="S225" s="74">
        <f t="shared" si="65"/>
        <v>1.2631578947368429</v>
      </c>
      <c r="T225" s="74">
        <f t="shared" si="66"/>
        <v>0.63157894736842146</v>
      </c>
      <c r="U225" s="74">
        <f t="shared" si="67"/>
        <v>0.56140350877193024</v>
      </c>
      <c r="V225" s="74">
        <f t="shared" si="68"/>
        <v>1.4035087719298256</v>
      </c>
      <c r="W225" s="74">
        <f t="shared" si="69"/>
        <v>0.52631578947368451</v>
      </c>
      <c r="X225" s="74">
        <f t="shared" si="70"/>
        <v>0.4912280701754389</v>
      </c>
      <c r="Y225" s="74">
        <f t="shared" si="71"/>
        <v>0.21052631578947367</v>
      </c>
      <c r="Z225" s="75">
        <f t="shared" si="72"/>
        <v>0.84210526315789525</v>
      </c>
      <c r="AA225" s="76">
        <f t="shared" si="73"/>
        <v>0.6</v>
      </c>
      <c r="AB225" s="76">
        <f t="shared" ca="1" si="74"/>
        <v>0.5</v>
      </c>
      <c r="AC225" s="77">
        <f t="shared" ca="1" si="75"/>
        <v>0.56666666666666665</v>
      </c>
      <c r="AD225" s="359">
        <f t="shared" si="76"/>
        <v>5.9298245614035121</v>
      </c>
      <c r="AE225" s="369">
        <f t="shared" ca="1" si="77"/>
        <v>33.602339181286567</v>
      </c>
      <c r="AF225" s="96" t="s">
        <v>248</v>
      </c>
      <c r="AG225" s="442"/>
      <c r="AH225" s="118"/>
      <c r="AI225" s="115"/>
      <c r="AJ225" s="115"/>
      <c r="AK225" s="115"/>
      <c r="AL225" s="122"/>
      <c r="AM225" s="337"/>
      <c r="AN225" s="338"/>
      <c r="AO225" s="338"/>
      <c r="AP225" s="338"/>
      <c r="AQ225" s="339"/>
    </row>
    <row r="226" spans="1:43" ht="36" customHeight="1">
      <c r="A226" s="355">
        <v>222</v>
      </c>
      <c r="B226" s="4" t="s">
        <v>16</v>
      </c>
      <c r="C226" s="286" t="s">
        <v>6</v>
      </c>
      <c r="D226" s="16" t="s">
        <v>84</v>
      </c>
      <c r="E226" s="18" t="s">
        <v>85</v>
      </c>
      <c r="F226" s="476">
        <v>103000</v>
      </c>
      <c r="G226" s="52">
        <v>4</v>
      </c>
      <c r="H226" s="57">
        <v>0.2</v>
      </c>
      <c r="I226" s="65">
        <v>8.0000000000000053</v>
      </c>
      <c r="J226" s="66">
        <v>1</v>
      </c>
      <c r="K226" s="66">
        <v>7.0000000000000044</v>
      </c>
      <c r="L226" s="66">
        <v>4.0000000000000027</v>
      </c>
      <c r="M226" s="66">
        <v>8.0000000000000053</v>
      </c>
      <c r="N226" s="66">
        <v>1</v>
      </c>
      <c r="O226" s="66">
        <v>3</v>
      </c>
      <c r="P226" s="67">
        <v>8.0000000000000053</v>
      </c>
      <c r="Q226" s="70" t="e">
        <f ca="1">(#REF!-(YEAR(TODAY())-#REF!))/#REF!</f>
        <v>#REF!</v>
      </c>
      <c r="R226" s="70">
        <f t="shared" ca="1" si="64"/>
        <v>0.2</v>
      </c>
      <c r="S226" s="74">
        <f t="shared" si="65"/>
        <v>1.2631578947368429</v>
      </c>
      <c r="T226" s="74">
        <f t="shared" si="66"/>
        <v>0.10526315789473684</v>
      </c>
      <c r="U226" s="74">
        <f t="shared" si="67"/>
        <v>0.9824561403508778</v>
      </c>
      <c r="V226" s="74">
        <f t="shared" si="68"/>
        <v>0.7017543859649128</v>
      </c>
      <c r="W226" s="74">
        <f t="shared" si="69"/>
        <v>0.7017543859649128</v>
      </c>
      <c r="X226" s="74">
        <f t="shared" si="70"/>
        <v>0.12280701754385964</v>
      </c>
      <c r="Y226" s="74">
        <f t="shared" si="71"/>
        <v>0.31578947368421051</v>
      </c>
      <c r="Z226" s="75">
        <f t="shared" si="72"/>
        <v>0.84210526315789525</v>
      </c>
      <c r="AA226" s="76">
        <f t="shared" si="73"/>
        <v>0.6</v>
      </c>
      <c r="AB226" s="76">
        <f t="shared" ca="1" si="74"/>
        <v>0.8</v>
      </c>
      <c r="AC226" s="77">
        <f t="shared" ca="1" si="75"/>
        <v>0.66666666666666663</v>
      </c>
      <c r="AD226" s="359">
        <f t="shared" si="76"/>
        <v>5.0350877192982484</v>
      </c>
      <c r="AE226" s="369">
        <f t="shared" ca="1" si="77"/>
        <v>33.56725146198832</v>
      </c>
      <c r="AF226" s="96" t="s">
        <v>248</v>
      </c>
      <c r="AG226" s="442"/>
      <c r="AH226" s="118"/>
      <c r="AI226" s="115"/>
      <c r="AJ226" s="115"/>
      <c r="AK226" s="115"/>
      <c r="AL226" s="122"/>
      <c r="AM226" s="337"/>
      <c r="AN226" s="338"/>
      <c r="AO226" s="338"/>
      <c r="AP226" s="338"/>
      <c r="AQ226" s="339"/>
    </row>
    <row r="227" spans="1:43" ht="36" customHeight="1">
      <c r="A227" s="355">
        <v>223</v>
      </c>
      <c r="B227" s="4" t="s">
        <v>5</v>
      </c>
      <c r="C227" s="286" t="s">
        <v>6</v>
      </c>
      <c r="D227" s="5" t="s">
        <v>96</v>
      </c>
      <c r="E227" s="7" t="s">
        <v>1182</v>
      </c>
      <c r="F227" s="473">
        <v>210000</v>
      </c>
      <c r="G227" s="51">
        <v>4</v>
      </c>
      <c r="H227" s="57">
        <v>0.3</v>
      </c>
      <c r="I227" s="65">
        <v>6.0000000000000036</v>
      </c>
      <c r="J227" s="66">
        <v>7.0000000000000044</v>
      </c>
      <c r="K227" s="66">
        <v>4.0000000000000027</v>
      </c>
      <c r="L227" s="66">
        <v>6.0000000000000036</v>
      </c>
      <c r="M227" s="66">
        <v>6.0000000000000036</v>
      </c>
      <c r="N227" s="66">
        <v>6.0000000000000036</v>
      </c>
      <c r="O227" s="66">
        <v>1</v>
      </c>
      <c r="P227" s="67">
        <v>6.0000000000000036</v>
      </c>
      <c r="Q227" s="70" t="e">
        <f ca="1">(#REF!-(YEAR(TODAY())-#REF!))/#REF!</f>
        <v>#REF!</v>
      </c>
      <c r="R227" s="70">
        <f t="shared" ca="1" si="64"/>
        <v>0.3</v>
      </c>
      <c r="S227" s="74">
        <f t="shared" si="65"/>
        <v>0.94736842105263208</v>
      </c>
      <c r="T227" s="74">
        <f t="shared" si="66"/>
        <v>0.73684210526315841</v>
      </c>
      <c r="U227" s="74">
        <f t="shared" si="67"/>
        <v>0.56140350877193024</v>
      </c>
      <c r="V227" s="74">
        <f t="shared" si="68"/>
        <v>1.052631578947369</v>
      </c>
      <c r="W227" s="74">
        <f t="shared" si="69"/>
        <v>0.52631578947368451</v>
      </c>
      <c r="X227" s="74">
        <f t="shared" si="70"/>
        <v>0.73684210526315841</v>
      </c>
      <c r="Y227" s="74">
        <f t="shared" si="71"/>
        <v>0.10526315789473684</v>
      </c>
      <c r="Z227" s="75">
        <f t="shared" si="72"/>
        <v>0.63157894736842146</v>
      </c>
      <c r="AA227" s="76">
        <f t="shared" si="73"/>
        <v>0.6</v>
      </c>
      <c r="AB227" s="76">
        <f t="shared" ca="1" si="74"/>
        <v>0.7</v>
      </c>
      <c r="AC227" s="77">
        <f t="shared" ca="1" si="75"/>
        <v>0.6333333333333333</v>
      </c>
      <c r="AD227" s="359">
        <f t="shared" si="76"/>
        <v>5.2982456140350918</v>
      </c>
      <c r="AE227" s="369">
        <f t="shared" ca="1" si="77"/>
        <v>33.555555555555578</v>
      </c>
      <c r="AF227" s="95" t="s">
        <v>248</v>
      </c>
      <c r="AG227" s="441"/>
      <c r="AH227" s="118"/>
      <c r="AI227" s="115"/>
      <c r="AJ227" s="115"/>
      <c r="AK227" s="115"/>
      <c r="AL227" s="122"/>
      <c r="AM227" s="337"/>
      <c r="AN227" s="338"/>
      <c r="AO227" s="338"/>
      <c r="AP227" s="338"/>
      <c r="AQ227" s="339"/>
    </row>
    <row r="228" spans="1:43" ht="36" customHeight="1">
      <c r="A228" s="355">
        <v>224</v>
      </c>
      <c r="B228" s="4" t="s">
        <v>14</v>
      </c>
      <c r="C228" s="286" t="s">
        <v>6</v>
      </c>
      <c r="D228" s="16" t="s">
        <v>94</v>
      </c>
      <c r="E228" s="18" t="s">
        <v>95</v>
      </c>
      <c r="F228" s="476">
        <v>108000</v>
      </c>
      <c r="G228" s="52">
        <v>4</v>
      </c>
      <c r="H228" s="57">
        <v>0.3</v>
      </c>
      <c r="I228" s="65">
        <v>6.0000000000000036</v>
      </c>
      <c r="J228" s="66">
        <v>6.0000000000000036</v>
      </c>
      <c r="K228" s="66">
        <v>4.0000000000000027</v>
      </c>
      <c r="L228" s="66">
        <v>8.0000000000000053</v>
      </c>
      <c r="M228" s="66">
        <v>6.0000000000000036</v>
      </c>
      <c r="N228" s="66">
        <v>4.0000000000000027</v>
      </c>
      <c r="O228" s="66">
        <v>1</v>
      </c>
      <c r="P228" s="67">
        <v>6.0000000000000036</v>
      </c>
      <c r="Q228" s="70" t="e">
        <f ca="1">(#REF!-(YEAR(TODAY())-#REF!))/#REF!</f>
        <v>#REF!</v>
      </c>
      <c r="R228" s="70">
        <f t="shared" ca="1" si="64"/>
        <v>0.3</v>
      </c>
      <c r="S228" s="74">
        <f t="shared" si="65"/>
        <v>0.94736842105263208</v>
      </c>
      <c r="T228" s="74">
        <f t="shared" si="66"/>
        <v>0.63157894736842146</v>
      </c>
      <c r="U228" s="74">
        <f t="shared" si="67"/>
        <v>0.56140350877193024</v>
      </c>
      <c r="V228" s="74">
        <f t="shared" si="68"/>
        <v>1.4035087719298256</v>
      </c>
      <c r="W228" s="74">
        <f t="shared" si="69"/>
        <v>0.52631578947368451</v>
      </c>
      <c r="X228" s="74">
        <f t="shared" si="70"/>
        <v>0.4912280701754389</v>
      </c>
      <c r="Y228" s="74">
        <f t="shared" si="71"/>
        <v>0.10526315789473684</v>
      </c>
      <c r="Z228" s="75">
        <f t="shared" si="72"/>
        <v>0.63157894736842146</v>
      </c>
      <c r="AA228" s="76">
        <f t="shared" si="73"/>
        <v>0.6</v>
      </c>
      <c r="AB228" s="76">
        <f t="shared" ca="1" si="74"/>
        <v>0.7</v>
      </c>
      <c r="AC228" s="77">
        <f t="shared" ca="1" si="75"/>
        <v>0.6333333333333333</v>
      </c>
      <c r="AD228" s="359">
        <f t="shared" si="76"/>
        <v>5.2982456140350909</v>
      </c>
      <c r="AE228" s="369">
        <f t="shared" ca="1" si="77"/>
        <v>33.555555555555571</v>
      </c>
      <c r="AF228" s="96" t="s">
        <v>248</v>
      </c>
      <c r="AG228" s="114"/>
      <c r="AH228" s="118"/>
      <c r="AI228" s="115"/>
      <c r="AJ228" s="115"/>
      <c r="AK228" s="115"/>
      <c r="AL228" s="122"/>
      <c r="AM228" s="337"/>
      <c r="AN228" s="338"/>
      <c r="AO228" s="338"/>
      <c r="AP228" s="338"/>
      <c r="AQ228" s="339"/>
    </row>
    <row r="229" spans="1:43" s="209" customFormat="1" ht="36" customHeight="1">
      <c r="A229" s="355">
        <v>225</v>
      </c>
      <c r="B229" s="4" t="s">
        <v>16</v>
      </c>
      <c r="C229" s="286" t="s">
        <v>299</v>
      </c>
      <c r="D229" s="27" t="s">
        <v>90</v>
      </c>
      <c r="E229" s="21" t="s">
        <v>898</v>
      </c>
      <c r="F229" s="473">
        <v>500000</v>
      </c>
      <c r="G229" s="52">
        <v>4</v>
      </c>
      <c r="H229" s="57">
        <v>0.3</v>
      </c>
      <c r="I229" s="65">
        <v>6.0000000000000036</v>
      </c>
      <c r="J229" s="66">
        <v>6.0000000000000036</v>
      </c>
      <c r="K229" s="66">
        <v>6.0000000000000036</v>
      </c>
      <c r="L229" s="66">
        <v>6.0000000000000036</v>
      </c>
      <c r="M229" s="66">
        <v>4.0000000000000027</v>
      </c>
      <c r="N229" s="66">
        <v>6.0000000000000036</v>
      </c>
      <c r="O229" s="66">
        <v>0</v>
      </c>
      <c r="P229" s="67">
        <v>7</v>
      </c>
      <c r="Q229" s="70" t="e">
        <f ca="1">(#REF!-(YEAR(TODAY())-#REF!))/#REF!</f>
        <v>#REF!</v>
      </c>
      <c r="R229" s="70">
        <f t="shared" ca="1" si="64"/>
        <v>0.3</v>
      </c>
      <c r="S229" s="74">
        <f t="shared" si="65"/>
        <v>0.94736842105263208</v>
      </c>
      <c r="T229" s="74">
        <f t="shared" si="66"/>
        <v>0.63157894736842146</v>
      </c>
      <c r="U229" s="74">
        <f t="shared" si="67"/>
        <v>0.84210526315789525</v>
      </c>
      <c r="V229" s="74">
        <f t="shared" si="68"/>
        <v>1.052631578947369</v>
      </c>
      <c r="W229" s="74">
        <f t="shared" si="69"/>
        <v>0.3508771929824564</v>
      </c>
      <c r="X229" s="74">
        <f t="shared" si="70"/>
        <v>0.73684210526315841</v>
      </c>
      <c r="Y229" s="74">
        <f t="shared" si="71"/>
        <v>0</v>
      </c>
      <c r="Z229" s="75">
        <f t="shared" si="72"/>
        <v>0.73684210526315785</v>
      </c>
      <c r="AA229" s="76">
        <f t="shared" si="73"/>
        <v>0.6</v>
      </c>
      <c r="AB229" s="76">
        <f t="shared" ca="1" si="74"/>
        <v>0.7</v>
      </c>
      <c r="AC229" s="77">
        <f t="shared" ca="1" si="75"/>
        <v>0.6333333333333333</v>
      </c>
      <c r="AD229" s="359">
        <f t="shared" si="76"/>
        <v>5.29824561403509</v>
      </c>
      <c r="AE229" s="369">
        <f t="shared" ca="1" si="77"/>
        <v>33.555555555555571</v>
      </c>
      <c r="AF229" s="96" t="s">
        <v>848</v>
      </c>
      <c r="AG229" s="114"/>
      <c r="AH229" s="118"/>
      <c r="AI229" s="115"/>
      <c r="AJ229" s="115"/>
      <c r="AK229" s="115"/>
      <c r="AL229" s="122"/>
      <c r="AM229" s="337"/>
      <c r="AN229" s="338"/>
      <c r="AO229" s="338"/>
      <c r="AP229" s="338"/>
      <c r="AQ229" s="339"/>
    </row>
    <row r="230" spans="1:43" ht="36" customHeight="1">
      <c r="A230" s="355">
        <v>226</v>
      </c>
      <c r="B230" s="1" t="s">
        <v>16</v>
      </c>
      <c r="C230" s="285" t="s">
        <v>299</v>
      </c>
      <c r="D230" s="467" t="s">
        <v>91</v>
      </c>
      <c r="E230" s="21" t="s">
        <v>897</v>
      </c>
      <c r="F230" s="472">
        <v>500000</v>
      </c>
      <c r="G230" s="295">
        <v>4</v>
      </c>
      <c r="H230" s="293">
        <v>0.3</v>
      </c>
      <c r="I230" s="65">
        <v>6.0000000000000036</v>
      </c>
      <c r="J230" s="66">
        <v>6.0000000000000036</v>
      </c>
      <c r="K230" s="66">
        <v>6.0000000000000036</v>
      </c>
      <c r="L230" s="66">
        <v>6.0000000000000036</v>
      </c>
      <c r="M230" s="66">
        <v>4.0000000000000027</v>
      </c>
      <c r="N230" s="66">
        <v>6.0000000000000036</v>
      </c>
      <c r="O230" s="66">
        <v>0</v>
      </c>
      <c r="P230" s="67">
        <v>7</v>
      </c>
      <c r="Q230" s="294" t="e">
        <f ca="1">(#REF!-(YEAR(TODAY())-#REF!))/#REF!</f>
        <v>#REF!</v>
      </c>
      <c r="R230" s="294">
        <f t="shared" ca="1" si="64"/>
        <v>0.3</v>
      </c>
      <c r="S230" s="74">
        <f t="shared" si="65"/>
        <v>0.94736842105263208</v>
      </c>
      <c r="T230" s="74">
        <f t="shared" si="66"/>
        <v>0.63157894736842146</v>
      </c>
      <c r="U230" s="74">
        <f t="shared" si="67"/>
        <v>0.84210526315789525</v>
      </c>
      <c r="V230" s="74">
        <f t="shared" si="68"/>
        <v>1.052631578947369</v>
      </c>
      <c r="W230" s="74">
        <f t="shared" si="69"/>
        <v>0.3508771929824564</v>
      </c>
      <c r="X230" s="74">
        <f t="shared" si="70"/>
        <v>0.73684210526315841</v>
      </c>
      <c r="Y230" s="74">
        <f t="shared" si="71"/>
        <v>0</v>
      </c>
      <c r="Z230" s="75">
        <f t="shared" si="72"/>
        <v>0.73684210526315785</v>
      </c>
      <c r="AA230" s="76">
        <f t="shared" si="73"/>
        <v>0.6</v>
      </c>
      <c r="AB230" s="76">
        <f t="shared" ca="1" si="74"/>
        <v>0.7</v>
      </c>
      <c r="AC230" s="77">
        <f t="shared" ca="1" si="75"/>
        <v>0.6333333333333333</v>
      </c>
      <c r="AD230" s="358">
        <f t="shared" si="76"/>
        <v>5.29824561403509</v>
      </c>
      <c r="AE230" s="368">
        <f t="shared" ca="1" si="77"/>
        <v>33.555555555555571</v>
      </c>
      <c r="AF230" s="288" t="s">
        <v>848</v>
      </c>
      <c r="AG230" s="114"/>
      <c r="AH230" s="118"/>
      <c r="AI230" s="115"/>
      <c r="AJ230" s="115"/>
      <c r="AK230" s="115"/>
      <c r="AL230" s="122"/>
      <c r="AM230" s="337"/>
      <c r="AN230" s="338"/>
      <c r="AO230" s="338"/>
      <c r="AP230" s="338"/>
      <c r="AQ230" s="339"/>
    </row>
    <row r="231" spans="1:43" ht="36" customHeight="1">
      <c r="A231" s="355">
        <v>227</v>
      </c>
      <c r="B231" s="4" t="s">
        <v>22</v>
      </c>
      <c r="C231" s="286" t="s">
        <v>1052</v>
      </c>
      <c r="D231" s="8" t="s">
        <v>59</v>
      </c>
      <c r="E231" s="9" t="s">
        <v>60</v>
      </c>
      <c r="F231" s="473">
        <v>210000</v>
      </c>
      <c r="G231" s="51">
        <v>3</v>
      </c>
      <c r="H231" s="57">
        <v>0.3</v>
      </c>
      <c r="I231" s="65">
        <v>5</v>
      </c>
      <c r="J231" s="66">
        <v>7</v>
      </c>
      <c r="K231" s="66">
        <v>6</v>
      </c>
      <c r="L231" s="66">
        <v>4</v>
      </c>
      <c r="M231" s="66">
        <v>3</v>
      </c>
      <c r="N231" s="66">
        <v>5</v>
      </c>
      <c r="O231" s="66">
        <v>0</v>
      </c>
      <c r="P231" s="67">
        <v>8.0000000000000053</v>
      </c>
      <c r="Q231" s="70" t="e">
        <f ca="1">(#REF!-(YEAR(TODAY())-#REF!))/#REF!</f>
        <v>#REF!</v>
      </c>
      <c r="R231" s="70">
        <f t="shared" ca="1" si="64"/>
        <v>0.3</v>
      </c>
      <c r="S231" s="74">
        <f t="shared" si="65"/>
        <v>0.78947368421052633</v>
      </c>
      <c r="T231" s="74">
        <f t="shared" si="66"/>
        <v>0.73684210526315785</v>
      </c>
      <c r="U231" s="74">
        <f t="shared" si="67"/>
        <v>0.84210526315789469</v>
      </c>
      <c r="V231" s="74">
        <f t="shared" si="68"/>
        <v>0.70175438596491224</v>
      </c>
      <c r="W231" s="74">
        <f t="shared" si="69"/>
        <v>0.26315789473684209</v>
      </c>
      <c r="X231" s="74">
        <f t="shared" si="70"/>
        <v>0.61403508771929827</v>
      </c>
      <c r="Y231" s="74">
        <f t="shared" si="71"/>
        <v>0</v>
      </c>
      <c r="Z231" s="75">
        <f t="shared" si="72"/>
        <v>0.84210526315789525</v>
      </c>
      <c r="AA231" s="76">
        <f t="shared" si="73"/>
        <v>0.7</v>
      </c>
      <c r="AB231" s="76">
        <f t="shared" ca="1" si="74"/>
        <v>0.7</v>
      </c>
      <c r="AC231" s="77">
        <f t="shared" ca="1" si="75"/>
        <v>0.69999999999999984</v>
      </c>
      <c r="AD231" s="359">
        <f t="shared" si="76"/>
        <v>4.7894736842105265</v>
      </c>
      <c r="AE231" s="369">
        <f t="shared" ca="1" si="77"/>
        <v>33.526315789473678</v>
      </c>
      <c r="AF231" s="95" t="s">
        <v>248</v>
      </c>
      <c r="AG231" s="113"/>
      <c r="AH231" s="118"/>
      <c r="AI231" s="115"/>
      <c r="AJ231" s="115"/>
      <c r="AK231" s="122"/>
      <c r="AL231" s="454"/>
      <c r="AM231" s="337"/>
      <c r="AN231" s="338"/>
      <c r="AO231" s="338"/>
      <c r="AP231" s="338"/>
      <c r="AQ231" s="339"/>
    </row>
    <row r="232" spans="1:43" ht="36" customHeight="1">
      <c r="A232" s="355">
        <v>228</v>
      </c>
      <c r="B232" s="4" t="s">
        <v>16</v>
      </c>
      <c r="C232" s="286" t="s">
        <v>300</v>
      </c>
      <c r="D232" s="19" t="s">
        <v>1128</v>
      </c>
      <c r="E232" s="15" t="s">
        <v>1138</v>
      </c>
      <c r="F232" s="476">
        <v>150000</v>
      </c>
      <c r="G232" s="52">
        <v>3</v>
      </c>
      <c r="H232" s="57">
        <v>0.3</v>
      </c>
      <c r="I232" s="65">
        <v>4</v>
      </c>
      <c r="J232" s="66">
        <v>6</v>
      </c>
      <c r="K232" s="66">
        <v>5</v>
      </c>
      <c r="L232" s="66">
        <v>6</v>
      </c>
      <c r="M232" s="66">
        <v>6</v>
      </c>
      <c r="N232" s="66">
        <v>5</v>
      </c>
      <c r="O232" s="66">
        <v>1</v>
      </c>
      <c r="P232" s="67">
        <v>5</v>
      </c>
      <c r="Q232" s="70" t="e">
        <f ca="1">(#REF!-(YEAR(TODAY())-#REF!))/#REF!</f>
        <v>#REF!</v>
      </c>
      <c r="R232" s="70">
        <f t="shared" ca="1" si="64"/>
        <v>0.3</v>
      </c>
      <c r="S232" s="74">
        <f t="shared" si="65"/>
        <v>0.63157894736842102</v>
      </c>
      <c r="T232" s="74">
        <f t="shared" si="66"/>
        <v>0.63157894736842102</v>
      </c>
      <c r="U232" s="74">
        <f t="shared" si="67"/>
        <v>0.70175438596491224</v>
      </c>
      <c r="V232" s="74">
        <f t="shared" si="68"/>
        <v>1.0526315789473684</v>
      </c>
      <c r="W232" s="74">
        <f t="shared" si="69"/>
        <v>0.52631578947368418</v>
      </c>
      <c r="X232" s="74">
        <f t="shared" si="70"/>
        <v>0.61403508771929827</v>
      </c>
      <c r="Y232" s="74">
        <f t="shared" si="71"/>
        <v>0.10526315789473684</v>
      </c>
      <c r="Z232" s="75">
        <f t="shared" si="72"/>
        <v>0.52631578947368418</v>
      </c>
      <c r="AA232" s="76">
        <f t="shared" si="73"/>
        <v>0.7</v>
      </c>
      <c r="AB232" s="76">
        <f t="shared" ca="1" si="74"/>
        <v>0.7</v>
      </c>
      <c r="AC232" s="77">
        <f t="shared" ca="1" si="75"/>
        <v>0.69999999999999984</v>
      </c>
      <c r="AD232" s="359">
        <f t="shared" si="76"/>
        <v>4.7894736842105257</v>
      </c>
      <c r="AE232" s="369">
        <f t="shared" ca="1" si="77"/>
        <v>33.526315789473671</v>
      </c>
      <c r="AF232" s="96" t="s">
        <v>248</v>
      </c>
      <c r="AG232" s="443"/>
      <c r="AH232" s="118"/>
      <c r="AI232" s="115"/>
      <c r="AJ232" s="115"/>
      <c r="AK232" s="115"/>
      <c r="AL232" s="122"/>
      <c r="AM232" s="337"/>
      <c r="AN232" s="338"/>
      <c r="AO232" s="338"/>
      <c r="AP232" s="338"/>
      <c r="AQ232" s="339"/>
    </row>
    <row r="233" spans="1:43" s="209" customFormat="1" ht="36" customHeight="1">
      <c r="A233" s="355">
        <v>229</v>
      </c>
      <c r="B233" s="4" t="s">
        <v>10</v>
      </c>
      <c r="C233" s="286" t="s">
        <v>6</v>
      </c>
      <c r="D233" s="10" t="s">
        <v>172</v>
      </c>
      <c r="E233" s="11" t="s">
        <v>907</v>
      </c>
      <c r="F233" s="473">
        <v>7700000</v>
      </c>
      <c r="G233" s="52">
        <v>5</v>
      </c>
      <c r="H233" s="57">
        <v>0.5</v>
      </c>
      <c r="I233" s="65">
        <v>8.0000000000000053</v>
      </c>
      <c r="J233" s="66">
        <v>8.0000000000000053</v>
      </c>
      <c r="K233" s="66">
        <v>6</v>
      </c>
      <c r="L233" s="66">
        <v>8</v>
      </c>
      <c r="M233" s="66">
        <v>4.0000000000000027</v>
      </c>
      <c r="N233" s="66">
        <v>6.0000000000000036</v>
      </c>
      <c r="O233" s="66">
        <v>5</v>
      </c>
      <c r="P233" s="67">
        <v>7</v>
      </c>
      <c r="Q233" s="70" t="e">
        <f ca="1">(#REF!-(YEAR(TODAY())-#REF!))/#REF!</f>
        <v>#REF!</v>
      </c>
      <c r="R233" s="70">
        <f t="shared" ca="1" si="64"/>
        <v>0.5</v>
      </c>
      <c r="S233" s="74">
        <f t="shared" si="65"/>
        <v>1.2631578947368429</v>
      </c>
      <c r="T233" s="74">
        <f t="shared" si="66"/>
        <v>0.84210526315789525</v>
      </c>
      <c r="U233" s="74">
        <f t="shared" si="67"/>
        <v>0.84210526315789469</v>
      </c>
      <c r="V233" s="74">
        <f t="shared" si="68"/>
        <v>1.4035087719298245</v>
      </c>
      <c r="W233" s="74">
        <f t="shared" si="69"/>
        <v>0.3508771929824564</v>
      </c>
      <c r="X233" s="74">
        <f t="shared" si="70"/>
        <v>0.73684210526315841</v>
      </c>
      <c r="Y233" s="74">
        <f t="shared" si="71"/>
        <v>0.52631578947368418</v>
      </c>
      <c r="Z233" s="75">
        <f t="shared" si="72"/>
        <v>0.73684210526315785</v>
      </c>
      <c r="AA233" s="76">
        <f t="shared" si="73"/>
        <v>0.5</v>
      </c>
      <c r="AB233" s="76">
        <f t="shared" ca="1" si="74"/>
        <v>0.5</v>
      </c>
      <c r="AC233" s="77">
        <f t="shared" ca="1" si="75"/>
        <v>0.5</v>
      </c>
      <c r="AD233" s="359">
        <f t="shared" si="76"/>
        <v>6.7017543859649136</v>
      </c>
      <c r="AE233" s="369">
        <f t="shared" ca="1" si="77"/>
        <v>33.508771929824569</v>
      </c>
      <c r="AF233" s="96" t="s">
        <v>248</v>
      </c>
      <c r="AG233" s="442"/>
      <c r="AH233" s="118"/>
      <c r="AI233" s="115"/>
      <c r="AJ233" s="115"/>
      <c r="AK233" s="115"/>
      <c r="AL233" s="122"/>
      <c r="AM233" s="337"/>
      <c r="AN233" s="338"/>
      <c r="AO233" s="338"/>
      <c r="AP233" s="338"/>
      <c r="AQ233" s="339"/>
    </row>
    <row r="234" spans="1:43" ht="36" customHeight="1">
      <c r="A234" s="355">
        <v>230</v>
      </c>
      <c r="B234" s="1" t="s">
        <v>16</v>
      </c>
      <c r="C234" s="285" t="s">
        <v>6</v>
      </c>
      <c r="D234" s="289" t="s">
        <v>159</v>
      </c>
      <c r="E234" s="18" t="s">
        <v>160</v>
      </c>
      <c r="F234" s="474">
        <v>235000</v>
      </c>
      <c r="G234" s="295">
        <v>3</v>
      </c>
      <c r="H234" s="293">
        <v>0.1</v>
      </c>
      <c r="I234" s="65">
        <v>6.0000000000000036</v>
      </c>
      <c r="J234" s="66">
        <v>1</v>
      </c>
      <c r="K234" s="66">
        <v>6.0000000000000036</v>
      </c>
      <c r="L234" s="66">
        <v>4.0000000000000027</v>
      </c>
      <c r="M234" s="66">
        <v>8.0000000000000053</v>
      </c>
      <c r="N234" s="66">
        <v>1</v>
      </c>
      <c r="O234" s="66">
        <v>3</v>
      </c>
      <c r="P234" s="67">
        <v>6.0000000000000036</v>
      </c>
      <c r="Q234" s="294" t="e">
        <f ca="1">(#REF!-(YEAR(TODAY())-#REF!))/#REF!</f>
        <v>#REF!</v>
      </c>
      <c r="R234" s="294">
        <f t="shared" ca="1" si="64"/>
        <v>0.1</v>
      </c>
      <c r="S234" s="74">
        <f t="shared" si="65"/>
        <v>0.94736842105263208</v>
      </c>
      <c r="T234" s="74">
        <f t="shared" si="66"/>
        <v>0.10526315789473684</v>
      </c>
      <c r="U234" s="74">
        <f t="shared" si="67"/>
        <v>0.84210526315789525</v>
      </c>
      <c r="V234" s="74">
        <f t="shared" si="68"/>
        <v>0.7017543859649128</v>
      </c>
      <c r="W234" s="74">
        <f t="shared" si="69"/>
        <v>0.7017543859649128</v>
      </c>
      <c r="X234" s="74">
        <f t="shared" si="70"/>
        <v>0.12280701754385964</v>
      </c>
      <c r="Y234" s="74">
        <f t="shared" si="71"/>
        <v>0.31578947368421051</v>
      </c>
      <c r="Z234" s="75">
        <f t="shared" si="72"/>
        <v>0.63157894736842146</v>
      </c>
      <c r="AA234" s="76">
        <f t="shared" si="73"/>
        <v>0.7</v>
      </c>
      <c r="AB234" s="76">
        <f t="shared" ca="1" si="74"/>
        <v>0.9</v>
      </c>
      <c r="AC234" s="77">
        <f t="shared" ca="1" si="75"/>
        <v>0.76666666666666661</v>
      </c>
      <c r="AD234" s="358">
        <f t="shared" si="76"/>
        <v>4.3684210526315814</v>
      </c>
      <c r="AE234" s="368">
        <f t="shared" ca="1" si="77"/>
        <v>33.491228070175453</v>
      </c>
      <c r="AF234" s="288" t="s">
        <v>248</v>
      </c>
      <c r="AG234" s="442"/>
      <c r="AH234" s="118"/>
      <c r="AI234" s="115"/>
      <c r="AJ234" s="115"/>
      <c r="AK234" s="115"/>
      <c r="AL234" s="122"/>
      <c r="AM234" s="337"/>
      <c r="AN234" s="338"/>
      <c r="AO234" s="338"/>
      <c r="AP234" s="338"/>
      <c r="AQ234" s="339"/>
    </row>
    <row r="235" spans="1:43" ht="36" customHeight="1">
      <c r="A235" s="355">
        <v>231</v>
      </c>
      <c r="B235" s="4" t="s">
        <v>35</v>
      </c>
      <c r="C235" s="286" t="s">
        <v>6</v>
      </c>
      <c r="D235" s="16" t="s">
        <v>148</v>
      </c>
      <c r="E235" s="18" t="s">
        <v>149</v>
      </c>
      <c r="F235" s="476">
        <v>164000</v>
      </c>
      <c r="G235" s="52">
        <v>2</v>
      </c>
      <c r="H235" s="57">
        <v>0.1</v>
      </c>
      <c r="I235" s="65">
        <v>6.0000000000000036</v>
      </c>
      <c r="J235" s="66">
        <v>1</v>
      </c>
      <c r="K235" s="66">
        <v>1</v>
      </c>
      <c r="L235" s="66">
        <v>8.0000000000000053</v>
      </c>
      <c r="M235" s="66">
        <v>1</v>
      </c>
      <c r="N235" s="66">
        <v>4.0000000000000027</v>
      </c>
      <c r="O235" s="66">
        <v>2</v>
      </c>
      <c r="P235" s="67">
        <v>6.0000000000000036</v>
      </c>
      <c r="Q235" s="70" t="e">
        <f ca="1">(#REF!-(YEAR(TODAY())-#REF!))/#REF!</f>
        <v>#REF!</v>
      </c>
      <c r="R235" s="70">
        <f t="shared" ca="1" si="64"/>
        <v>0.1</v>
      </c>
      <c r="S235" s="74">
        <f t="shared" si="65"/>
        <v>0.94736842105263208</v>
      </c>
      <c r="T235" s="74">
        <f t="shared" si="66"/>
        <v>0.10526315789473684</v>
      </c>
      <c r="U235" s="74">
        <f t="shared" si="67"/>
        <v>0.14035087719298245</v>
      </c>
      <c r="V235" s="74">
        <f t="shared" si="68"/>
        <v>1.4035087719298256</v>
      </c>
      <c r="W235" s="74">
        <f t="shared" si="69"/>
        <v>8.771929824561403E-2</v>
      </c>
      <c r="X235" s="74">
        <f t="shared" si="70"/>
        <v>0.4912280701754389</v>
      </c>
      <c r="Y235" s="74">
        <f t="shared" si="71"/>
        <v>0.21052631578947367</v>
      </c>
      <c r="Z235" s="75">
        <f t="shared" si="72"/>
        <v>0.63157894736842146</v>
      </c>
      <c r="AA235" s="76">
        <f t="shared" si="73"/>
        <v>0.8</v>
      </c>
      <c r="AB235" s="76">
        <f t="shared" ca="1" si="74"/>
        <v>0.9</v>
      </c>
      <c r="AC235" s="77">
        <f t="shared" ca="1" si="75"/>
        <v>0.83333333333333337</v>
      </c>
      <c r="AD235" s="359">
        <f t="shared" si="76"/>
        <v>4.0175438596491251</v>
      </c>
      <c r="AE235" s="369">
        <f t="shared" ca="1" si="77"/>
        <v>33.479532163742711</v>
      </c>
      <c r="AF235" s="96" t="s">
        <v>248</v>
      </c>
      <c r="AG235" s="114"/>
      <c r="AH235" s="118"/>
      <c r="AI235" s="115"/>
      <c r="AJ235" s="115"/>
      <c r="AK235" s="115"/>
      <c r="AL235" s="122"/>
      <c r="AM235" s="337"/>
      <c r="AN235" s="338"/>
      <c r="AO235" s="338"/>
      <c r="AP235" s="338"/>
      <c r="AQ235" s="339"/>
    </row>
    <row r="236" spans="1:43" ht="36" customHeight="1">
      <c r="A236" s="355">
        <v>232</v>
      </c>
      <c r="B236" s="4" t="s">
        <v>16</v>
      </c>
      <c r="C236" s="286" t="s">
        <v>300</v>
      </c>
      <c r="D236" s="19" t="s">
        <v>1139</v>
      </c>
      <c r="E236" s="15" t="s">
        <v>1140</v>
      </c>
      <c r="F236" s="476">
        <v>125000</v>
      </c>
      <c r="G236" s="52">
        <v>2</v>
      </c>
      <c r="H236" s="57">
        <v>0.1</v>
      </c>
      <c r="I236" s="65">
        <v>4</v>
      </c>
      <c r="J236" s="66">
        <v>5</v>
      </c>
      <c r="K236" s="66">
        <v>4</v>
      </c>
      <c r="L236" s="66">
        <v>4</v>
      </c>
      <c r="M236" s="66">
        <v>4</v>
      </c>
      <c r="N236" s="66">
        <v>5</v>
      </c>
      <c r="O236" s="66">
        <v>1</v>
      </c>
      <c r="P236" s="67">
        <v>5</v>
      </c>
      <c r="Q236" s="70" t="e">
        <f ca="1">(#REF!-(YEAR(TODAY())-#REF!))/#REF!</f>
        <v>#REF!</v>
      </c>
      <c r="R236" s="70">
        <f t="shared" ca="1" si="64"/>
        <v>0.1</v>
      </c>
      <c r="S236" s="74">
        <f t="shared" si="65"/>
        <v>0.63157894736842102</v>
      </c>
      <c r="T236" s="74">
        <f t="shared" si="66"/>
        <v>0.52631578947368418</v>
      </c>
      <c r="U236" s="74">
        <f t="shared" si="67"/>
        <v>0.56140350877192979</v>
      </c>
      <c r="V236" s="74">
        <f t="shared" si="68"/>
        <v>0.70175438596491224</v>
      </c>
      <c r="W236" s="74">
        <f t="shared" si="69"/>
        <v>0.35087719298245612</v>
      </c>
      <c r="X236" s="74">
        <f t="shared" si="70"/>
        <v>0.61403508771929827</v>
      </c>
      <c r="Y236" s="74">
        <f t="shared" si="71"/>
        <v>0.10526315789473684</v>
      </c>
      <c r="Z236" s="75">
        <f t="shared" si="72"/>
        <v>0.52631578947368418</v>
      </c>
      <c r="AA236" s="76">
        <f t="shared" si="73"/>
        <v>0.8</v>
      </c>
      <c r="AB236" s="76">
        <f t="shared" ca="1" si="74"/>
        <v>0.9</v>
      </c>
      <c r="AC236" s="77">
        <f t="shared" ca="1" si="75"/>
        <v>0.83333333333333337</v>
      </c>
      <c r="AD236" s="359">
        <f t="shared" si="76"/>
        <v>4.0175438596491224</v>
      </c>
      <c r="AE236" s="369">
        <f t="shared" ca="1" si="77"/>
        <v>33.479532163742689</v>
      </c>
      <c r="AF236" s="96" t="s">
        <v>248</v>
      </c>
      <c r="AG236" s="443"/>
      <c r="AH236" s="118"/>
      <c r="AI236" s="115"/>
      <c r="AJ236" s="115"/>
      <c r="AK236" s="115"/>
      <c r="AL236" s="122"/>
      <c r="AM236" s="337"/>
      <c r="AN236" s="338"/>
      <c r="AO236" s="338"/>
      <c r="AP236" s="338"/>
      <c r="AQ236" s="339"/>
    </row>
    <row r="237" spans="1:43" s="249" customFormat="1" ht="36" customHeight="1">
      <c r="A237" s="355">
        <v>233</v>
      </c>
      <c r="B237" s="4" t="s">
        <v>24</v>
      </c>
      <c r="C237" s="344" t="s">
        <v>6</v>
      </c>
      <c r="D237" s="5" t="s">
        <v>854</v>
      </c>
      <c r="E237" s="6" t="s">
        <v>949</v>
      </c>
      <c r="F237" s="473">
        <v>170000</v>
      </c>
      <c r="G237" s="51">
        <v>3</v>
      </c>
      <c r="H237" s="329">
        <v>0.1</v>
      </c>
      <c r="I237" s="330">
        <v>2</v>
      </c>
      <c r="J237" s="331">
        <v>4</v>
      </c>
      <c r="K237" s="331">
        <v>2</v>
      </c>
      <c r="L237" s="331">
        <v>10</v>
      </c>
      <c r="M237" s="331">
        <v>8.0000000000000053</v>
      </c>
      <c r="N237" s="331">
        <v>2</v>
      </c>
      <c r="O237" s="331">
        <v>0</v>
      </c>
      <c r="P237" s="332">
        <v>6</v>
      </c>
      <c r="Q237" s="70" t="e">
        <f ca="1">(#REF!-(YEAR(TODAY())-#REF!))/#REF!</f>
        <v>#REF!</v>
      </c>
      <c r="R237" s="70">
        <f t="shared" ca="1" si="64"/>
        <v>0.1</v>
      </c>
      <c r="S237" s="74">
        <f t="shared" si="65"/>
        <v>0.31578947368421051</v>
      </c>
      <c r="T237" s="74">
        <f t="shared" si="66"/>
        <v>0.42105263157894735</v>
      </c>
      <c r="U237" s="74">
        <f t="shared" si="67"/>
        <v>0.2807017543859649</v>
      </c>
      <c r="V237" s="74">
        <f t="shared" si="68"/>
        <v>1.7543859649122806</v>
      </c>
      <c r="W237" s="74">
        <f t="shared" si="69"/>
        <v>0.7017543859649128</v>
      </c>
      <c r="X237" s="74">
        <f t="shared" si="70"/>
        <v>0.24561403508771928</v>
      </c>
      <c r="Y237" s="74">
        <f t="shared" si="71"/>
        <v>0</v>
      </c>
      <c r="Z237" s="75">
        <f t="shared" si="72"/>
        <v>0.63157894736842102</v>
      </c>
      <c r="AA237" s="76">
        <f t="shared" si="73"/>
        <v>0.7</v>
      </c>
      <c r="AB237" s="76">
        <f t="shared" ca="1" si="74"/>
        <v>0.9</v>
      </c>
      <c r="AC237" s="458">
        <f t="shared" ca="1" si="75"/>
        <v>0.76666666666666661</v>
      </c>
      <c r="AD237" s="359">
        <f t="shared" si="76"/>
        <v>4.3508771929824563</v>
      </c>
      <c r="AE237" s="369">
        <f t="shared" ca="1" si="77"/>
        <v>33.356725146198826</v>
      </c>
      <c r="AF237" s="95" t="s">
        <v>248</v>
      </c>
      <c r="AG237" s="441"/>
      <c r="AH237" s="118"/>
      <c r="AI237" s="115"/>
      <c r="AJ237" s="115"/>
      <c r="AK237" s="115"/>
      <c r="AL237" s="122"/>
      <c r="AM237" s="337"/>
      <c r="AN237" s="338"/>
      <c r="AO237" s="338"/>
      <c r="AP237" s="338"/>
      <c r="AQ237" s="339"/>
    </row>
    <row r="238" spans="1:43" ht="36" customHeight="1">
      <c r="A238" s="355">
        <v>234</v>
      </c>
      <c r="B238" s="4" t="s">
        <v>7</v>
      </c>
      <c r="C238" s="286" t="s">
        <v>6</v>
      </c>
      <c r="D238" s="16" t="s">
        <v>169</v>
      </c>
      <c r="E238" s="17" t="s">
        <v>1177</v>
      </c>
      <c r="F238" s="476">
        <v>137000</v>
      </c>
      <c r="G238" s="52">
        <v>4</v>
      </c>
      <c r="H238" s="57">
        <v>0.2</v>
      </c>
      <c r="I238" s="65">
        <v>8.0000000000000053</v>
      </c>
      <c r="J238" s="66">
        <v>7.0000000000000044</v>
      </c>
      <c r="K238" s="66">
        <v>4.0000000000000027</v>
      </c>
      <c r="L238" s="66">
        <v>5.0000000000000027</v>
      </c>
      <c r="M238" s="66">
        <v>1</v>
      </c>
      <c r="N238" s="66">
        <v>5.0000000000000027</v>
      </c>
      <c r="O238" s="66">
        <v>1</v>
      </c>
      <c r="P238" s="67">
        <v>7.0000000000000044</v>
      </c>
      <c r="Q238" s="70" t="e">
        <f ca="1">(#REF!-(YEAR(TODAY())-#REF!))/#REF!</f>
        <v>#REF!</v>
      </c>
      <c r="R238" s="70">
        <f t="shared" ca="1" si="64"/>
        <v>0.2</v>
      </c>
      <c r="S238" s="74">
        <f t="shared" si="65"/>
        <v>1.2631578947368429</v>
      </c>
      <c r="T238" s="74">
        <f t="shared" si="66"/>
        <v>0.73684210526315841</v>
      </c>
      <c r="U238" s="74">
        <f t="shared" si="67"/>
        <v>0.56140350877193024</v>
      </c>
      <c r="V238" s="74">
        <f t="shared" si="68"/>
        <v>0.87719298245614086</v>
      </c>
      <c r="W238" s="74">
        <f t="shared" si="69"/>
        <v>8.771929824561403E-2</v>
      </c>
      <c r="X238" s="74">
        <f t="shared" si="70"/>
        <v>0.6140350877192986</v>
      </c>
      <c r="Y238" s="74">
        <f t="shared" si="71"/>
        <v>0.10526315789473684</v>
      </c>
      <c r="Z238" s="75">
        <f t="shared" si="72"/>
        <v>0.73684210526315841</v>
      </c>
      <c r="AA238" s="76">
        <f t="shared" si="73"/>
        <v>0.6</v>
      </c>
      <c r="AB238" s="76">
        <f t="shared" ca="1" si="74"/>
        <v>0.8</v>
      </c>
      <c r="AC238" s="77">
        <f t="shared" ca="1" si="75"/>
        <v>0.66666666666666663</v>
      </c>
      <c r="AD238" s="359">
        <f t="shared" si="76"/>
        <v>4.9824561403508802</v>
      </c>
      <c r="AE238" s="369">
        <f t="shared" ca="1" si="77"/>
        <v>33.216374269005868</v>
      </c>
      <c r="AF238" s="96" t="s">
        <v>248</v>
      </c>
      <c r="AG238" s="114"/>
      <c r="AH238" s="118"/>
      <c r="AI238" s="115"/>
      <c r="AJ238" s="115"/>
      <c r="AK238" s="115"/>
      <c r="AL238" s="122"/>
      <c r="AM238" s="337"/>
      <c r="AN238" s="338"/>
      <c r="AO238" s="338"/>
      <c r="AP238" s="338"/>
      <c r="AQ238" s="339"/>
    </row>
    <row r="239" spans="1:43" ht="36" customHeight="1">
      <c r="A239" s="355">
        <v>235</v>
      </c>
      <c r="B239" s="4" t="s">
        <v>5</v>
      </c>
      <c r="C239" s="286" t="s">
        <v>6</v>
      </c>
      <c r="D239" s="5" t="s">
        <v>302</v>
      </c>
      <c r="E239" s="7" t="s">
        <v>986</v>
      </c>
      <c r="F239" s="473">
        <v>160000</v>
      </c>
      <c r="G239" s="51">
        <v>4</v>
      </c>
      <c r="H239" s="57">
        <v>0.3</v>
      </c>
      <c r="I239" s="65">
        <v>6.0000000000000036</v>
      </c>
      <c r="J239" s="66">
        <v>8.0000000000000053</v>
      </c>
      <c r="K239" s="66">
        <v>4.0000000000000027</v>
      </c>
      <c r="L239" s="66">
        <v>4.0000000000000027</v>
      </c>
      <c r="M239" s="66">
        <v>6.0000000000000036</v>
      </c>
      <c r="N239" s="66">
        <v>4</v>
      </c>
      <c r="O239" s="66">
        <v>5</v>
      </c>
      <c r="P239" s="67">
        <v>6.0000000000000036</v>
      </c>
      <c r="Q239" s="70" t="e">
        <f ca="1">(#REF!-(YEAR(TODAY())-#REF!))/#REF!</f>
        <v>#REF!</v>
      </c>
      <c r="R239" s="70">
        <f t="shared" ca="1" si="64"/>
        <v>0.3</v>
      </c>
      <c r="S239" s="74">
        <f t="shared" si="65"/>
        <v>0.94736842105263208</v>
      </c>
      <c r="T239" s="74">
        <f t="shared" si="66"/>
        <v>0.84210526315789525</v>
      </c>
      <c r="U239" s="74">
        <f t="shared" si="67"/>
        <v>0.56140350877193024</v>
      </c>
      <c r="V239" s="74">
        <f t="shared" si="68"/>
        <v>0.7017543859649128</v>
      </c>
      <c r="W239" s="74">
        <f t="shared" si="69"/>
        <v>0.52631578947368451</v>
      </c>
      <c r="X239" s="74">
        <f t="shared" si="70"/>
        <v>0.49122807017543857</v>
      </c>
      <c r="Y239" s="74">
        <f t="shared" si="71"/>
        <v>0.52631578947368418</v>
      </c>
      <c r="Z239" s="75">
        <f t="shared" si="72"/>
        <v>0.63157894736842146</v>
      </c>
      <c r="AA239" s="76">
        <f t="shared" si="73"/>
        <v>0.6</v>
      </c>
      <c r="AB239" s="76">
        <f t="shared" ca="1" si="74"/>
        <v>0.7</v>
      </c>
      <c r="AC239" s="77">
        <f t="shared" ca="1" si="75"/>
        <v>0.6333333333333333</v>
      </c>
      <c r="AD239" s="359">
        <f t="shared" si="76"/>
        <v>5.2280701754385985</v>
      </c>
      <c r="AE239" s="369">
        <f t="shared" ca="1" si="77"/>
        <v>33.111111111111121</v>
      </c>
      <c r="AF239" s="95" t="s">
        <v>248</v>
      </c>
      <c r="AG239" s="440"/>
      <c r="AH239" s="118"/>
      <c r="AI239" s="115"/>
      <c r="AJ239" s="115"/>
      <c r="AK239" s="115"/>
      <c r="AL239" s="122"/>
      <c r="AM239" s="337"/>
      <c r="AN239" s="338"/>
      <c r="AO239" s="338"/>
      <c r="AP239" s="338"/>
      <c r="AQ239" s="339"/>
    </row>
    <row r="240" spans="1:43" ht="36" customHeight="1">
      <c r="A240" s="355">
        <v>236</v>
      </c>
      <c r="B240" s="4" t="s">
        <v>5</v>
      </c>
      <c r="C240" s="286" t="s">
        <v>6</v>
      </c>
      <c r="D240" s="5" t="s">
        <v>1021</v>
      </c>
      <c r="E240" s="7" t="s">
        <v>987</v>
      </c>
      <c r="F240" s="476">
        <v>350000</v>
      </c>
      <c r="G240" s="52">
        <v>4</v>
      </c>
      <c r="H240" s="57">
        <v>0.3</v>
      </c>
      <c r="I240" s="65">
        <v>6</v>
      </c>
      <c r="J240" s="66">
        <v>8</v>
      </c>
      <c r="K240" s="66">
        <v>4</v>
      </c>
      <c r="L240" s="66">
        <v>4</v>
      </c>
      <c r="M240" s="66">
        <v>6</v>
      </c>
      <c r="N240" s="66">
        <v>4</v>
      </c>
      <c r="O240" s="66">
        <v>5</v>
      </c>
      <c r="P240" s="67">
        <v>6</v>
      </c>
      <c r="Q240" s="70" t="e">
        <f ca="1">(#REF!-(YEAR(TODAY())-#REF!))/#REF!</f>
        <v>#REF!</v>
      </c>
      <c r="R240" s="70">
        <f t="shared" ca="1" si="64"/>
        <v>0.3</v>
      </c>
      <c r="S240" s="74">
        <f t="shared" si="65"/>
        <v>0.94736842105263153</v>
      </c>
      <c r="T240" s="74">
        <f t="shared" si="66"/>
        <v>0.84210526315789469</v>
      </c>
      <c r="U240" s="74">
        <f t="shared" si="67"/>
        <v>0.56140350877192979</v>
      </c>
      <c r="V240" s="74">
        <f t="shared" si="68"/>
        <v>0.70175438596491224</v>
      </c>
      <c r="W240" s="74">
        <f t="shared" si="69"/>
        <v>0.52631578947368418</v>
      </c>
      <c r="X240" s="74">
        <f t="shared" si="70"/>
        <v>0.49122807017543857</v>
      </c>
      <c r="Y240" s="74">
        <f t="shared" si="71"/>
        <v>0.52631578947368418</v>
      </c>
      <c r="Z240" s="75">
        <f t="shared" si="72"/>
        <v>0.63157894736842102</v>
      </c>
      <c r="AA240" s="76">
        <f t="shared" si="73"/>
        <v>0.6</v>
      </c>
      <c r="AB240" s="76">
        <f t="shared" ca="1" si="74"/>
        <v>0.7</v>
      </c>
      <c r="AC240" s="77">
        <f t="shared" ca="1" si="75"/>
        <v>0.6333333333333333</v>
      </c>
      <c r="AD240" s="359">
        <f t="shared" si="76"/>
        <v>5.2280701754385959</v>
      </c>
      <c r="AE240" s="369">
        <f t="shared" ca="1" si="77"/>
        <v>33.111111111111107</v>
      </c>
      <c r="AF240" s="95" t="s">
        <v>248</v>
      </c>
      <c r="AG240" s="442"/>
      <c r="AH240" s="118"/>
      <c r="AI240" s="115"/>
      <c r="AJ240" s="115"/>
      <c r="AK240" s="115"/>
      <c r="AL240" s="122"/>
      <c r="AM240" s="340"/>
      <c r="AN240" s="338"/>
      <c r="AO240" s="338"/>
      <c r="AP240" s="338"/>
      <c r="AQ240" s="339"/>
    </row>
    <row r="241" spans="1:43" ht="36" customHeight="1">
      <c r="A241" s="355">
        <v>237</v>
      </c>
      <c r="B241" s="4" t="s">
        <v>14</v>
      </c>
      <c r="C241" s="286" t="s">
        <v>6</v>
      </c>
      <c r="D241" s="16" t="s">
        <v>75</v>
      </c>
      <c r="E241" s="18" t="s">
        <v>76</v>
      </c>
      <c r="F241" s="476">
        <v>100000</v>
      </c>
      <c r="G241" s="52">
        <v>3</v>
      </c>
      <c r="H241" s="57">
        <v>0.1</v>
      </c>
      <c r="I241" s="65">
        <v>4.0000000000000027</v>
      </c>
      <c r="J241" s="66">
        <v>6.0000000000000036</v>
      </c>
      <c r="K241" s="66">
        <v>2</v>
      </c>
      <c r="L241" s="66">
        <v>6.0000000000000036</v>
      </c>
      <c r="M241" s="66">
        <v>2</v>
      </c>
      <c r="N241" s="66">
        <v>4</v>
      </c>
      <c r="O241" s="66">
        <v>4</v>
      </c>
      <c r="P241" s="67">
        <v>6</v>
      </c>
      <c r="Q241" s="70" t="e">
        <f ca="1">(#REF!-(YEAR(TODAY())-#REF!))/#REF!</f>
        <v>#REF!</v>
      </c>
      <c r="R241" s="70">
        <f t="shared" ca="1" si="64"/>
        <v>0.1</v>
      </c>
      <c r="S241" s="74">
        <f t="shared" si="65"/>
        <v>0.63157894736842146</v>
      </c>
      <c r="T241" s="74">
        <f t="shared" si="66"/>
        <v>0.63157894736842146</v>
      </c>
      <c r="U241" s="74">
        <f t="shared" si="67"/>
        <v>0.2807017543859649</v>
      </c>
      <c r="V241" s="74">
        <f t="shared" si="68"/>
        <v>1.052631578947369</v>
      </c>
      <c r="W241" s="74">
        <f t="shared" si="69"/>
        <v>0.17543859649122806</v>
      </c>
      <c r="X241" s="74">
        <f t="shared" si="70"/>
        <v>0.49122807017543857</v>
      </c>
      <c r="Y241" s="74">
        <f t="shared" si="71"/>
        <v>0.42105263157894735</v>
      </c>
      <c r="Z241" s="75">
        <f t="shared" si="72"/>
        <v>0.63157894736842102</v>
      </c>
      <c r="AA241" s="76">
        <f t="shared" si="73"/>
        <v>0.7</v>
      </c>
      <c r="AB241" s="76">
        <f t="shared" ca="1" si="74"/>
        <v>0.9</v>
      </c>
      <c r="AC241" s="77">
        <f t="shared" ca="1" si="75"/>
        <v>0.76666666666666661</v>
      </c>
      <c r="AD241" s="359">
        <f t="shared" si="76"/>
        <v>4.3157894736842115</v>
      </c>
      <c r="AE241" s="369">
        <f t="shared" ca="1" si="77"/>
        <v>33.087719298245617</v>
      </c>
      <c r="AF241" s="96" t="s">
        <v>248</v>
      </c>
      <c r="AG241" s="442"/>
      <c r="AH241" s="118"/>
      <c r="AI241" s="115"/>
      <c r="AJ241" s="115"/>
      <c r="AK241" s="115"/>
      <c r="AL241" s="122"/>
      <c r="AM241" s="340"/>
      <c r="AN241" s="338"/>
      <c r="AO241" s="338"/>
      <c r="AP241" s="338"/>
      <c r="AQ241" s="339"/>
    </row>
    <row r="242" spans="1:43" ht="36" customHeight="1">
      <c r="A242" s="355">
        <v>238</v>
      </c>
      <c r="B242" s="4" t="s">
        <v>7</v>
      </c>
      <c r="C242" s="286" t="s">
        <v>6</v>
      </c>
      <c r="D242" s="16" t="s">
        <v>109</v>
      </c>
      <c r="E242" s="18" t="s">
        <v>1109</v>
      </c>
      <c r="F242" s="476">
        <v>118000</v>
      </c>
      <c r="G242" s="52">
        <v>4</v>
      </c>
      <c r="H242" s="57">
        <v>0</v>
      </c>
      <c r="I242" s="65">
        <v>6.0000000000000036</v>
      </c>
      <c r="J242" s="66">
        <v>1</v>
      </c>
      <c r="K242" s="66">
        <v>4.0000000000000027</v>
      </c>
      <c r="L242" s="66">
        <v>8.0000000000000053</v>
      </c>
      <c r="M242" s="66">
        <v>6.0000000000000036</v>
      </c>
      <c r="N242" s="66">
        <v>1</v>
      </c>
      <c r="O242" s="66">
        <v>0</v>
      </c>
      <c r="P242" s="67">
        <v>8.0000000000000053</v>
      </c>
      <c r="Q242" s="70" t="e">
        <f ca="1">(#REF!-(YEAR(TODAY())-#REF!))/#REF!</f>
        <v>#REF!</v>
      </c>
      <c r="R242" s="70">
        <f t="shared" ca="1" si="64"/>
        <v>0</v>
      </c>
      <c r="S242" s="74">
        <f t="shared" si="65"/>
        <v>0.94736842105263208</v>
      </c>
      <c r="T242" s="74">
        <f t="shared" si="66"/>
        <v>0.10526315789473684</v>
      </c>
      <c r="U242" s="74">
        <f t="shared" si="67"/>
        <v>0.56140350877193024</v>
      </c>
      <c r="V242" s="74">
        <f t="shared" si="68"/>
        <v>1.4035087719298256</v>
      </c>
      <c r="W242" s="74">
        <f t="shared" si="69"/>
        <v>0.52631578947368451</v>
      </c>
      <c r="X242" s="74">
        <f t="shared" si="70"/>
        <v>0.12280701754385964</v>
      </c>
      <c r="Y242" s="74">
        <f t="shared" si="71"/>
        <v>0</v>
      </c>
      <c r="Z242" s="75">
        <f t="shared" si="72"/>
        <v>0.84210526315789525</v>
      </c>
      <c r="AA242" s="76">
        <f t="shared" si="73"/>
        <v>0.6</v>
      </c>
      <c r="AB242" s="76">
        <f t="shared" ca="1" si="74"/>
        <v>1</v>
      </c>
      <c r="AC242" s="77">
        <f t="shared" ca="1" si="75"/>
        <v>0.73333333333333339</v>
      </c>
      <c r="AD242" s="359">
        <f t="shared" si="76"/>
        <v>4.5087719298245643</v>
      </c>
      <c r="AE242" s="369">
        <f t="shared" ca="1" si="77"/>
        <v>33.06432748538014</v>
      </c>
      <c r="AF242" s="96" t="s">
        <v>248</v>
      </c>
      <c r="AG242" s="442"/>
      <c r="AH242" s="118"/>
      <c r="AI242" s="115"/>
      <c r="AJ242" s="115"/>
      <c r="AK242" s="115"/>
      <c r="AL242" s="122"/>
      <c r="AM242" s="337"/>
      <c r="AN242" s="338"/>
      <c r="AO242" s="338"/>
      <c r="AP242" s="338"/>
      <c r="AQ242" s="339"/>
    </row>
    <row r="243" spans="1:43" ht="36" customHeight="1">
      <c r="A243" s="355">
        <v>239</v>
      </c>
      <c r="B243" s="4" t="s">
        <v>5</v>
      </c>
      <c r="C243" s="286" t="s">
        <v>6</v>
      </c>
      <c r="D243" s="5" t="s">
        <v>188</v>
      </c>
      <c r="E243" s="7" t="s">
        <v>1063</v>
      </c>
      <c r="F243" s="473">
        <v>400000</v>
      </c>
      <c r="G243" s="51">
        <v>3</v>
      </c>
      <c r="H243" s="57">
        <v>0.2</v>
      </c>
      <c r="I243" s="65">
        <v>6.0000000000000036</v>
      </c>
      <c r="J243" s="66">
        <v>6</v>
      </c>
      <c r="K243" s="66">
        <v>3</v>
      </c>
      <c r="L243" s="66">
        <v>4.0000000000000027</v>
      </c>
      <c r="M243" s="66">
        <v>1</v>
      </c>
      <c r="N243" s="66">
        <v>8.0000000000000053</v>
      </c>
      <c r="O243" s="66">
        <v>1</v>
      </c>
      <c r="P243" s="67">
        <v>6.0000000000000036</v>
      </c>
      <c r="Q243" s="70" t="e">
        <f ca="1">(#REF!-(YEAR(TODAY())-#REF!))/#REF!</f>
        <v>#REF!</v>
      </c>
      <c r="R243" s="70">
        <f t="shared" ca="1" si="64"/>
        <v>0.2</v>
      </c>
      <c r="S243" s="74">
        <f t="shared" si="65"/>
        <v>0.94736842105263208</v>
      </c>
      <c r="T243" s="74">
        <f t="shared" si="66"/>
        <v>0.63157894736842102</v>
      </c>
      <c r="U243" s="74">
        <f t="shared" si="67"/>
        <v>0.42105263157894735</v>
      </c>
      <c r="V243" s="74">
        <f t="shared" si="68"/>
        <v>0.7017543859649128</v>
      </c>
      <c r="W243" s="74">
        <f t="shared" si="69"/>
        <v>8.771929824561403E-2</v>
      </c>
      <c r="X243" s="74">
        <f t="shared" si="70"/>
        <v>0.9824561403508778</v>
      </c>
      <c r="Y243" s="74">
        <f t="shared" si="71"/>
        <v>0.10526315789473684</v>
      </c>
      <c r="Z243" s="75">
        <f t="shared" si="72"/>
        <v>0.63157894736842146</v>
      </c>
      <c r="AA243" s="76">
        <f t="shared" si="73"/>
        <v>0.7</v>
      </c>
      <c r="AB243" s="76">
        <f t="shared" ca="1" si="74"/>
        <v>0.8</v>
      </c>
      <c r="AC243" s="77">
        <f t="shared" ca="1" si="75"/>
        <v>0.73333333333333339</v>
      </c>
      <c r="AD243" s="359">
        <f t="shared" si="76"/>
        <v>4.5087719298245634</v>
      </c>
      <c r="AE243" s="369">
        <f t="shared" ca="1" si="77"/>
        <v>33.064327485380133</v>
      </c>
      <c r="AF243" s="95" t="s">
        <v>248</v>
      </c>
      <c r="AG243" s="441"/>
      <c r="AH243" s="118"/>
      <c r="AI243" s="115"/>
      <c r="AJ243" s="115"/>
      <c r="AK243" s="115"/>
      <c r="AL243" s="122"/>
      <c r="AM243" s="337"/>
      <c r="AN243" s="338"/>
      <c r="AO243" s="338"/>
      <c r="AP243" s="338"/>
      <c r="AQ243" s="339"/>
    </row>
    <row r="244" spans="1:43" ht="36" customHeight="1">
      <c r="A244" s="355">
        <v>240</v>
      </c>
      <c r="B244" s="4" t="s">
        <v>7</v>
      </c>
      <c r="C244" s="286" t="s">
        <v>6</v>
      </c>
      <c r="D244" s="16" t="s">
        <v>157</v>
      </c>
      <c r="E244" s="18" t="s">
        <v>158</v>
      </c>
      <c r="F244" s="476">
        <v>115000</v>
      </c>
      <c r="G244" s="52">
        <v>3</v>
      </c>
      <c r="H244" s="57">
        <v>0.2</v>
      </c>
      <c r="I244" s="65">
        <v>6.0000000000000036</v>
      </c>
      <c r="J244" s="66">
        <v>1</v>
      </c>
      <c r="K244" s="66">
        <v>6.0000000000000036</v>
      </c>
      <c r="L244" s="66">
        <v>4.0000000000000027</v>
      </c>
      <c r="M244" s="66">
        <v>4.0000000000000027</v>
      </c>
      <c r="N244" s="66">
        <v>4.0000000000000027</v>
      </c>
      <c r="O244" s="66">
        <v>4</v>
      </c>
      <c r="P244" s="67">
        <v>6.0000000000000036</v>
      </c>
      <c r="Q244" s="70" t="e">
        <f ca="1">(#REF!-(YEAR(TODAY())-#REF!))/#REF!</f>
        <v>#REF!</v>
      </c>
      <c r="R244" s="70">
        <f t="shared" ca="1" si="64"/>
        <v>0.2</v>
      </c>
      <c r="S244" s="74">
        <f t="shared" si="65"/>
        <v>0.94736842105263208</v>
      </c>
      <c r="T244" s="74">
        <f t="shared" si="66"/>
        <v>0.10526315789473684</v>
      </c>
      <c r="U244" s="74">
        <f t="shared" si="67"/>
        <v>0.84210526315789525</v>
      </c>
      <c r="V244" s="74">
        <f t="shared" si="68"/>
        <v>0.7017543859649128</v>
      </c>
      <c r="W244" s="74">
        <f t="shared" si="69"/>
        <v>0.3508771929824564</v>
      </c>
      <c r="X244" s="74">
        <f t="shared" si="70"/>
        <v>0.4912280701754389</v>
      </c>
      <c r="Y244" s="74">
        <f t="shared" si="71"/>
        <v>0.42105263157894735</v>
      </c>
      <c r="Z244" s="75">
        <f t="shared" si="72"/>
        <v>0.63157894736842146</v>
      </c>
      <c r="AA244" s="76">
        <f t="shared" si="73"/>
        <v>0.7</v>
      </c>
      <c r="AB244" s="76">
        <f t="shared" ca="1" si="74"/>
        <v>0.8</v>
      </c>
      <c r="AC244" s="77">
        <f t="shared" ca="1" si="75"/>
        <v>0.73333333333333339</v>
      </c>
      <c r="AD244" s="359">
        <f t="shared" si="76"/>
        <v>4.491228070175441</v>
      </c>
      <c r="AE244" s="369">
        <f t="shared" ca="1" si="77"/>
        <v>32.935672514619903</v>
      </c>
      <c r="AF244" s="96" t="s">
        <v>248</v>
      </c>
      <c r="AG244" s="442"/>
      <c r="AH244" s="118"/>
      <c r="AI244" s="115"/>
      <c r="AJ244" s="115"/>
      <c r="AK244" s="115"/>
      <c r="AL244" s="122"/>
      <c r="AM244" s="337"/>
      <c r="AN244" s="338"/>
      <c r="AO244" s="338"/>
      <c r="AP244" s="338"/>
      <c r="AQ244" s="339"/>
    </row>
    <row r="245" spans="1:43" ht="36" customHeight="1">
      <c r="A245" s="355">
        <v>241</v>
      </c>
      <c r="B245" s="4" t="s">
        <v>14</v>
      </c>
      <c r="C245" s="285" t="s">
        <v>298</v>
      </c>
      <c r="D245" s="466" t="s">
        <v>1185</v>
      </c>
      <c r="E245" s="364" t="s">
        <v>1003</v>
      </c>
      <c r="F245" s="474">
        <v>1675000</v>
      </c>
      <c r="G245" s="295">
        <v>3</v>
      </c>
      <c r="H245" s="293">
        <v>0.3</v>
      </c>
      <c r="I245" s="65">
        <v>5</v>
      </c>
      <c r="J245" s="66">
        <v>8</v>
      </c>
      <c r="K245" s="66">
        <v>3</v>
      </c>
      <c r="L245" s="66">
        <v>4</v>
      </c>
      <c r="M245" s="66">
        <v>0</v>
      </c>
      <c r="N245" s="66">
        <v>8</v>
      </c>
      <c r="O245" s="66">
        <v>0</v>
      </c>
      <c r="P245" s="67">
        <v>9</v>
      </c>
      <c r="Q245" s="294" t="e">
        <f ca="1">(#REF!-(YEAR(TODAY())-#REF!))/#REF!</f>
        <v>#REF!</v>
      </c>
      <c r="R245" s="294">
        <f t="shared" ca="1" si="64"/>
        <v>0.3</v>
      </c>
      <c r="S245" s="74">
        <f t="shared" si="65"/>
        <v>0.78947368421052633</v>
      </c>
      <c r="T245" s="74">
        <f t="shared" si="66"/>
        <v>0.84210526315789469</v>
      </c>
      <c r="U245" s="74">
        <f t="shared" si="67"/>
        <v>0.42105263157894735</v>
      </c>
      <c r="V245" s="74">
        <f t="shared" si="68"/>
        <v>0.70175438596491224</v>
      </c>
      <c r="W245" s="74">
        <f t="shared" si="69"/>
        <v>0</v>
      </c>
      <c r="X245" s="74">
        <f t="shared" si="70"/>
        <v>0.98245614035087714</v>
      </c>
      <c r="Y245" s="74">
        <f t="shared" si="71"/>
        <v>0</v>
      </c>
      <c r="Z245" s="75">
        <f t="shared" si="72"/>
        <v>0.94736842105263153</v>
      </c>
      <c r="AA245" s="76">
        <f t="shared" si="73"/>
        <v>0.7</v>
      </c>
      <c r="AB245" s="76">
        <f t="shared" ca="1" si="74"/>
        <v>0.7</v>
      </c>
      <c r="AC245" s="77">
        <f t="shared" ca="1" si="75"/>
        <v>0.69999999999999984</v>
      </c>
      <c r="AD245" s="358">
        <f t="shared" si="76"/>
        <v>4.6842105263157894</v>
      </c>
      <c r="AE245" s="368">
        <f t="shared" ca="1" si="77"/>
        <v>32.78947368421052</v>
      </c>
      <c r="AF245" s="288" t="s">
        <v>248</v>
      </c>
      <c r="AG245" s="114"/>
      <c r="AH245" s="118"/>
      <c r="AI245" s="115"/>
      <c r="AJ245" s="115"/>
      <c r="AK245" s="115"/>
      <c r="AL245" s="122"/>
      <c r="AM245" s="337"/>
      <c r="AN245" s="338"/>
      <c r="AO245" s="338"/>
      <c r="AP245" s="338"/>
      <c r="AQ245" s="339"/>
    </row>
    <row r="246" spans="1:43" ht="36" customHeight="1">
      <c r="A246" s="355">
        <v>242</v>
      </c>
      <c r="B246" s="4" t="s">
        <v>24</v>
      </c>
      <c r="C246" s="286" t="s">
        <v>6</v>
      </c>
      <c r="D246" s="16" t="s">
        <v>180</v>
      </c>
      <c r="E246" s="18" t="s">
        <v>181</v>
      </c>
      <c r="F246" s="476">
        <v>125000</v>
      </c>
      <c r="G246" s="52">
        <v>4</v>
      </c>
      <c r="H246" s="57">
        <v>0.2</v>
      </c>
      <c r="I246" s="65">
        <v>8.0000000000000053</v>
      </c>
      <c r="J246" s="66">
        <v>4.0000000000000027</v>
      </c>
      <c r="K246" s="66">
        <v>4.0000000000000027</v>
      </c>
      <c r="L246" s="66">
        <v>4.0000000000000027</v>
      </c>
      <c r="M246" s="66">
        <v>6.0000000000000036</v>
      </c>
      <c r="N246" s="66">
        <v>4.0000000000000027</v>
      </c>
      <c r="O246" s="66">
        <v>3</v>
      </c>
      <c r="P246" s="67">
        <v>6.0000000000000036</v>
      </c>
      <c r="Q246" s="70" t="e">
        <f ca="1">(#REF!-(YEAR(TODAY())-#REF!))/#REF!</f>
        <v>#REF!</v>
      </c>
      <c r="R246" s="70">
        <f t="shared" ca="1" si="64"/>
        <v>0.2</v>
      </c>
      <c r="S246" s="74">
        <f t="shared" si="65"/>
        <v>1.2631578947368429</v>
      </c>
      <c r="T246" s="74">
        <f t="shared" si="66"/>
        <v>0.42105263157894762</v>
      </c>
      <c r="U246" s="74">
        <f t="shared" si="67"/>
        <v>0.56140350877193024</v>
      </c>
      <c r="V246" s="74">
        <f t="shared" si="68"/>
        <v>0.7017543859649128</v>
      </c>
      <c r="W246" s="74">
        <f t="shared" si="69"/>
        <v>0.52631578947368451</v>
      </c>
      <c r="X246" s="74">
        <f t="shared" si="70"/>
        <v>0.4912280701754389</v>
      </c>
      <c r="Y246" s="74">
        <f t="shared" si="71"/>
        <v>0.31578947368421051</v>
      </c>
      <c r="Z246" s="75">
        <f t="shared" si="72"/>
        <v>0.63157894736842146</v>
      </c>
      <c r="AA246" s="76">
        <f t="shared" si="73"/>
        <v>0.6</v>
      </c>
      <c r="AB246" s="76">
        <f t="shared" ca="1" si="74"/>
        <v>0.8</v>
      </c>
      <c r="AC246" s="77">
        <f t="shared" ca="1" si="75"/>
        <v>0.66666666666666663</v>
      </c>
      <c r="AD246" s="359">
        <f t="shared" si="76"/>
        <v>4.9122807017543888</v>
      </c>
      <c r="AE246" s="369">
        <f t="shared" ca="1" si="77"/>
        <v>32.748538011695921</v>
      </c>
      <c r="AF246" s="96" t="s">
        <v>257</v>
      </c>
      <c r="AG246" s="443"/>
      <c r="AH246" s="118"/>
      <c r="AI246" s="115"/>
      <c r="AJ246" s="115"/>
      <c r="AK246" s="115"/>
      <c r="AL246" s="122"/>
      <c r="AM246" s="337"/>
      <c r="AN246" s="338"/>
      <c r="AO246" s="338"/>
      <c r="AP246" s="338"/>
      <c r="AQ246" s="339"/>
    </row>
    <row r="247" spans="1:43" ht="36" customHeight="1">
      <c r="A247" s="355">
        <v>243</v>
      </c>
      <c r="B247" s="4" t="s">
        <v>14</v>
      </c>
      <c r="C247" s="286" t="s">
        <v>6</v>
      </c>
      <c r="D247" s="16" t="s">
        <v>86</v>
      </c>
      <c r="E247" s="18" t="s">
        <v>1102</v>
      </c>
      <c r="F247" s="476">
        <v>130500</v>
      </c>
      <c r="G247" s="52">
        <v>4</v>
      </c>
      <c r="H247" s="57">
        <v>0.1</v>
      </c>
      <c r="I247" s="65">
        <v>4.0000000000000027</v>
      </c>
      <c r="J247" s="66">
        <v>6.0000000000000036</v>
      </c>
      <c r="K247" s="66">
        <v>4</v>
      </c>
      <c r="L247" s="66">
        <v>4.0000000000000027</v>
      </c>
      <c r="M247" s="66">
        <v>5</v>
      </c>
      <c r="N247" s="66">
        <v>6.0000000000000036</v>
      </c>
      <c r="O247" s="66">
        <v>3</v>
      </c>
      <c r="P247" s="67">
        <v>6.0000000000000036</v>
      </c>
      <c r="Q247" s="70" t="e">
        <f ca="1">(#REF!-(YEAR(TODAY())-#REF!))/#REF!</f>
        <v>#REF!</v>
      </c>
      <c r="R247" s="70">
        <f t="shared" ca="1" si="64"/>
        <v>0.1</v>
      </c>
      <c r="S247" s="74">
        <f t="shared" si="65"/>
        <v>0.63157894736842146</v>
      </c>
      <c r="T247" s="74">
        <f t="shared" si="66"/>
        <v>0.63157894736842146</v>
      </c>
      <c r="U247" s="74">
        <f t="shared" si="67"/>
        <v>0.56140350877192979</v>
      </c>
      <c r="V247" s="74">
        <f t="shared" si="68"/>
        <v>0.7017543859649128</v>
      </c>
      <c r="W247" s="74">
        <f t="shared" si="69"/>
        <v>0.43859649122807015</v>
      </c>
      <c r="X247" s="74">
        <f t="shared" si="70"/>
        <v>0.73684210526315841</v>
      </c>
      <c r="Y247" s="74">
        <f t="shared" si="71"/>
        <v>0.31578947368421051</v>
      </c>
      <c r="Z247" s="75">
        <f t="shared" si="72"/>
        <v>0.63157894736842146</v>
      </c>
      <c r="AA247" s="76">
        <f t="shared" si="73"/>
        <v>0.6</v>
      </c>
      <c r="AB247" s="76">
        <f t="shared" ca="1" si="74"/>
        <v>0.9</v>
      </c>
      <c r="AC247" s="77">
        <f t="shared" ca="1" si="75"/>
        <v>0.70000000000000007</v>
      </c>
      <c r="AD247" s="359">
        <f t="shared" si="76"/>
        <v>4.6491228070175454</v>
      </c>
      <c r="AE247" s="369">
        <f t="shared" ca="1" si="77"/>
        <v>32.543859649122822</v>
      </c>
      <c r="AF247" s="96" t="s">
        <v>248</v>
      </c>
      <c r="AG247" s="442"/>
      <c r="AH247" s="118"/>
      <c r="AI247" s="115"/>
      <c r="AJ247" s="115"/>
      <c r="AK247" s="120"/>
      <c r="AL247" s="454"/>
      <c r="AM247" s="337"/>
      <c r="AN247" s="338"/>
      <c r="AO247" s="338"/>
      <c r="AP247" s="338"/>
      <c r="AQ247" s="339"/>
    </row>
    <row r="248" spans="1:43" ht="36" customHeight="1">
      <c r="A248" s="355">
        <v>244</v>
      </c>
      <c r="B248" s="4" t="s">
        <v>24</v>
      </c>
      <c r="C248" s="286" t="s">
        <v>6</v>
      </c>
      <c r="D248" s="16" t="s">
        <v>151</v>
      </c>
      <c r="E248" s="18" t="s">
        <v>950</v>
      </c>
      <c r="F248" s="477">
        <v>150000</v>
      </c>
      <c r="G248" s="52">
        <v>3</v>
      </c>
      <c r="H248" s="57">
        <v>0.3</v>
      </c>
      <c r="I248" s="65">
        <v>4.0000000000000027</v>
      </c>
      <c r="J248" s="66">
        <v>4.0000000000000027</v>
      </c>
      <c r="K248" s="66">
        <v>4.0000000000000027</v>
      </c>
      <c r="L248" s="66">
        <v>8.0000000000000053</v>
      </c>
      <c r="M248" s="66">
        <v>8.0000000000000053</v>
      </c>
      <c r="N248" s="66">
        <v>4.0000000000000027</v>
      </c>
      <c r="O248" s="66">
        <v>0</v>
      </c>
      <c r="P248" s="67">
        <v>4.0000000000000027</v>
      </c>
      <c r="Q248" s="70" t="e">
        <f ca="1">(#REF!-(YEAR(TODAY())-#REF!))/#REF!</f>
        <v>#REF!</v>
      </c>
      <c r="R248" s="70">
        <f t="shared" ca="1" si="64"/>
        <v>0.3</v>
      </c>
      <c r="S248" s="74">
        <f t="shared" si="65"/>
        <v>0.63157894736842146</v>
      </c>
      <c r="T248" s="74">
        <f t="shared" si="66"/>
        <v>0.42105263157894762</v>
      </c>
      <c r="U248" s="74">
        <f t="shared" si="67"/>
        <v>0.56140350877193024</v>
      </c>
      <c r="V248" s="74">
        <f t="shared" si="68"/>
        <v>1.4035087719298256</v>
      </c>
      <c r="W248" s="74">
        <f t="shared" si="69"/>
        <v>0.7017543859649128</v>
      </c>
      <c r="X248" s="74">
        <f t="shared" si="70"/>
        <v>0.4912280701754389</v>
      </c>
      <c r="Y248" s="74">
        <f t="shared" si="71"/>
        <v>0</v>
      </c>
      <c r="Z248" s="75">
        <f t="shared" si="72"/>
        <v>0.42105263157894762</v>
      </c>
      <c r="AA248" s="76">
        <f t="shared" si="73"/>
        <v>0.7</v>
      </c>
      <c r="AB248" s="76">
        <f t="shared" ca="1" si="74"/>
        <v>0.7</v>
      </c>
      <c r="AC248" s="77">
        <f t="shared" ca="1" si="75"/>
        <v>0.69999999999999984</v>
      </c>
      <c r="AD248" s="359">
        <f t="shared" si="76"/>
        <v>4.6315789473684248</v>
      </c>
      <c r="AE248" s="369">
        <f t="shared" ca="1" si="77"/>
        <v>32.421052631578966</v>
      </c>
      <c r="AF248" s="96" t="s">
        <v>257</v>
      </c>
      <c r="AG248" s="442"/>
      <c r="AH248" s="118"/>
      <c r="AI248" s="115"/>
      <c r="AJ248" s="115"/>
      <c r="AK248" s="115"/>
      <c r="AL248" s="122"/>
      <c r="AM248" s="337"/>
      <c r="AN248" s="338"/>
      <c r="AO248" s="338"/>
      <c r="AP248" s="338"/>
      <c r="AQ248" s="339"/>
    </row>
    <row r="249" spans="1:43" ht="36" customHeight="1">
      <c r="A249" s="355">
        <v>245</v>
      </c>
      <c r="B249" s="4" t="s">
        <v>14</v>
      </c>
      <c r="C249" s="286" t="s">
        <v>6</v>
      </c>
      <c r="D249" s="16" t="s">
        <v>116</v>
      </c>
      <c r="E249" s="18" t="s">
        <v>117</v>
      </c>
      <c r="F249" s="476">
        <v>160500</v>
      </c>
      <c r="G249" s="52">
        <v>3</v>
      </c>
      <c r="H249" s="57">
        <v>0.1</v>
      </c>
      <c r="I249" s="65">
        <v>2</v>
      </c>
      <c r="J249" s="66">
        <v>6</v>
      </c>
      <c r="K249" s="66">
        <v>4</v>
      </c>
      <c r="L249" s="66">
        <v>6.0000000000000036</v>
      </c>
      <c r="M249" s="66">
        <v>1</v>
      </c>
      <c r="N249" s="66">
        <v>6</v>
      </c>
      <c r="O249" s="66">
        <v>0</v>
      </c>
      <c r="P249" s="67">
        <v>8.0000000000000053</v>
      </c>
      <c r="Q249" s="70" t="e">
        <f ca="1">(#REF!-(YEAR(TODAY())-#REF!))/#REF!</f>
        <v>#REF!</v>
      </c>
      <c r="R249" s="70">
        <f t="shared" ca="1" si="64"/>
        <v>0.1</v>
      </c>
      <c r="S249" s="74">
        <f t="shared" si="65"/>
        <v>0.31578947368421051</v>
      </c>
      <c r="T249" s="74">
        <f t="shared" si="66"/>
        <v>0.63157894736842102</v>
      </c>
      <c r="U249" s="74">
        <f t="shared" si="67"/>
        <v>0.56140350877192979</v>
      </c>
      <c r="V249" s="74">
        <f t="shared" si="68"/>
        <v>1.052631578947369</v>
      </c>
      <c r="W249" s="74">
        <f t="shared" si="69"/>
        <v>8.771929824561403E-2</v>
      </c>
      <c r="X249" s="74">
        <f t="shared" si="70"/>
        <v>0.73684210526315785</v>
      </c>
      <c r="Y249" s="74">
        <f t="shared" si="71"/>
        <v>0</v>
      </c>
      <c r="Z249" s="75">
        <f t="shared" si="72"/>
        <v>0.84210526315789525</v>
      </c>
      <c r="AA249" s="76">
        <f t="shared" si="73"/>
        <v>0.7</v>
      </c>
      <c r="AB249" s="76">
        <f t="shared" ca="1" si="74"/>
        <v>0.9</v>
      </c>
      <c r="AC249" s="77">
        <f t="shared" ca="1" si="75"/>
        <v>0.76666666666666661</v>
      </c>
      <c r="AD249" s="359">
        <f t="shared" si="76"/>
        <v>4.2280701754385976</v>
      </c>
      <c r="AE249" s="369">
        <f t="shared" ca="1" si="77"/>
        <v>32.415204678362585</v>
      </c>
      <c r="AF249" s="96" t="s">
        <v>248</v>
      </c>
      <c r="AG249" s="442"/>
      <c r="AH249" s="118"/>
      <c r="AI249" s="115"/>
      <c r="AJ249" s="115"/>
      <c r="AK249" s="115"/>
      <c r="AL249" s="122"/>
      <c r="AM249" s="337"/>
      <c r="AN249" s="338"/>
      <c r="AO249" s="338"/>
      <c r="AP249" s="338"/>
      <c r="AQ249" s="339"/>
    </row>
    <row r="250" spans="1:43" ht="36" customHeight="1">
      <c r="A250" s="355">
        <v>246</v>
      </c>
      <c r="B250" s="4" t="s">
        <v>7</v>
      </c>
      <c r="C250" s="286" t="s">
        <v>6</v>
      </c>
      <c r="D250" s="16" t="s">
        <v>1081</v>
      </c>
      <c r="E250" s="18" t="s">
        <v>1082</v>
      </c>
      <c r="F250" s="476">
        <v>240000</v>
      </c>
      <c r="G250" s="52">
        <v>3</v>
      </c>
      <c r="H250" s="57">
        <v>0.2</v>
      </c>
      <c r="I250" s="65">
        <v>3</v>
      </c>
      <c r="J250" s="66">
        <v>6.0000000000000036</v>
      </c>
      <c r="K250" s="66">
        <v>4.0000000000000027</v>
      </c>
      <c r="L250" s="66">
        <v>4.0000000000000027</v>
      </c>
      <c r="M250" s="66">
        <v>8.0000000000000053</v>
      </c>
      <c r="N250" s="66">
        <v>4.0000000000000027</v>
      </c>
      <c r="O250" s="66">
        <v>4</v>
      </c>
      <c r="P250" s="67">
        <v>4.0000000000000027</v>
      </c>
      <c r="Q250" s="70" t="e">
        <f ca="1">(#REF!-(YEAR(TODAY())-#REF!))/#REF!</f>
        <v>#REF!</v>
      </c>
      <c r="R250" s="70">
        <f t="shared" ca="1" si="64"/>
        <v>0.2</v>
      </c>
      <c r="S250" s="74">
        <f t="shared" si="65"/>
        <v>0.47368421052631576</v>
      </c>
      <c r="T250" s="74">
        <f t="shared" si="66"/>
        <v>0.63157894736842146</v>
      </c>
      <c r="U250" s="74">
        <f t="shared" si="67"/>
        <v>0.56140350877193024</v>
      </c>
      <c r="V250" s="74">
        <f t="shared" si="68"/>
        <v>0.7017543859649128</v>
      </c>
      <c r="W250" s="74">
        <f t="shared" si="69"/>
        <v>0.7017543859649128</v>
      </c>
      <c r="X250" s="74">
        <f t="shared" si="70"/>
        <v>0.4912280701754389</v>
      </c>
      <c r="Y250" s="74">
        <f t="shared" si="71"/>
        <v>0.42105263157894735</v>
      </c>
      <c r="Z250" s="75">
        <f t="shared" si="72"/>
        <v>0.42105263157894762</v>
      </c>
      <c r="AA250" s="76">
        <f t="shared" si="73"/>
        <v>0.7</v>
      </c>
      <c r="AB250" s="76">
        <f t="shared" ca="1" si="74"/>
        <v>0.8</v>
      </c>
      <c r="AC250" s="77">
        <f t="shared" ca="1" si="75"/>
        <v>0.73333333333333339</v>
      </c>
      <c r="AD250" s="359">
        <f t="shared" si="76"/>
        <v>4.4035087719298263</v>
      </c>
      <c r="AE250" s="369">
        <f t="shared" ca="1" si="77"/>
        <v>32.292397660818729</v>
      </c>
      <c r="AF250" s="96" t="s">
        <v>248</v>
      </c>
      <c r="AG250" s="442"/>
      <c r="AH250" s="118"/>
      <c r="AI250" s="115"/>
      <c r="AJ250" s="115"/>
      <c r="AK250" s="115"/>
      <c r="AL250" s="122"/>
      <c r="AM250" s="337"/>
      <c r="AN250" s="338"/>
      <c r="AO250" s="338"/>
      <c r="AP250" s="338"/>
      <c r="AQ250" s="339"/>
    </row>
    <row r="251" spans="1:43" ht="36" customHeight="1">
      <c r="A251" s="355">
        <v>247</v>
      </c>
      <c r="B251" s="4" t="s">
        <v>7</v>
      </c>
      <c r="C251" s="286" t="s">
        <v>6</v>
      </c>
      <c r="D251" s="16" t="s">
        <v>134</v>
      </c>
      <c r="E251" s="18" t="s">
        <v>135</v>
      </c>
      <c r="F251" s="477">
        <v>125000</v>
      </c>
      <c r="G251" s="52">
        <v>3</v>
      </c>
      <c r="H251" s="57">
        <v>0</v>
      </c>
      <c r="I251" s="65">
        <v>2</v>
      </c>
      <c r="J251" s="66">
        <v>4.0000000000000027</v>
      </c>
      <c r="K251" s="66">
        <v>6.0000000000000036</v>
      </c>
      <c r="L251" s="66">
        <v>4.0000000000000027</v>
      </c>
      <c r="M251" s="66">
        <v>2</v>
      </c>
      <c r="N251" s="66">
        <v>6.0000000000000036</v>
      </c>
      <c r="O251" s="66">
        <v>4</v>
      </c>
      <c r="P251" s="67">
        <v>4</v>
      </c>
      <c r="Q251" s="70" t="e">
        <f ca="1">(#REF!-(YEAR(TODAY())-#REF!))/#REF!</f>
        <v>#REF!</v>
      </c>
      <c r="R251" s="70">
        <f t="shared" ca="1" si="64"/>
        <v>0</v>
      </c>
      <c r="S251" s="74">
        <f t="shared" si="65"/>
        <v>0.31578947368421051</v>
      </c>
      <c r="T251" s="74">
        <f t="shared" si="66"/>
        <v>0.42105263157894762</v>
      </c>
      <c r="U251" s="74">
        <f t="shared" si="67"/>
        <v>0.84210526315789525</v>
      </c>
      <c r="V251" s="74">
        <f t="shared" si="68"/>
        <v>0.7017543859649128</v>
      </c>
      <c r="W251" s="74">
        <f t="shared" si="69"/>
        <v>0.17543859649122806</v>
      </c>
      <c r="X251" s="74">
        <f t="shared" si="70"/>
        <v>0.73684210526315841</v>
      </c>
      <c r="Y251" s="74">
        <f t="shared" si="71"/>
        <v>0.42105263157894735</v>
      </c>
      <c r="Z251" s="75">
        <f t="shared" si="72"/>
        <v>0.42105263157894735</v>
      </c>
      <c r="AA251" s="76">
        <f t="shared" si="73"/>
        <v>0.7</v>
      </c>
      <c r="AB251" s="76">
        <f t="shared" ca="1" si="74"/>
        <v>1</v>
      </c>
      <c r="AC251" s="77">
        <f t="shared" ca="1" si="75"/>
        <v>0.79999999999999993</v>
      </c>
      <c r="AD251" s="359">
        <f t="shared" si="76"/>
        <v>4.0350877192982475</v>
      </c>
      <c r="AE251" s="369">
        <f t="shared" ca="1" si="77"/>
        <v>32.280701754385973</v>
      </c>
      <c r="AF251" s="96" t="s">
        <v>248</v>
      </c>
      <c r="AG251" s="442"/>
      <c r="AH251" s="118"/>
      <c r="AI251" s="115"/>
      <c r="AJ251" s="115"/>
      <c r="AK251" s="115"/>
      <c r="AL251" s="122"/>
      <c r="AM251" s="337"/>
      <c r="AN251" s="338"/>
      <c r="AO251" s="338"/>
      <c r="AP251" s="338"/>
      <c r="AQ251" s="339"/>
    </row>
    <row r="252" spans="1:43" ht="36" customHeight="1">
      <c r="A252" s="355">
        <v>248</v>
      </c>
      <c r="B252" s="4" t="s">
        <v>14</v>
      </c>
      <c r="C252" s="286" t="s">
        <v>6</v>
      </c>
      <c r="D252" s="16" t="s">
        <v>162</v>
      </c>
      <c r="E252" s="18" t="s">
        <v>1103</v>
      </c>
      <c r="F252" s="476">
        <v>176000</v>
      </c>
      <c r="G252" s="52">
        <v>3</v>
      </c>
      <c r="H252" s="57">
        <v>0.3</v>
      </c>
      <c r="I252" s="65">
        <v>6.0000000000000036</v>
      </c>
      <c r="J252" s="66">
        <v>1</v>
      </c>
      <c r="K252" s="66">
        <v>4.0000000000000027</v>
      </c>
      <c r="L252" s="66">
        <v>8.0000000000000053</v>
      </c>
      <c r="M252" s="66">
        <v>8.0000000000000053</v>
      </c>
      <c r="N252" s="66">
        <v>1</v>
      </c>
      <c r="O252" s="66">
        <v>1</v>
      </c>
      <c r="P252" s="67">
        <v>6.0000000000000036</v>
      </c>
      <c r="Q252" s="70" t="e">
        <f ca="1">(#REF!-(YEAR(TODAY())-#REF!))/#REF!</f>
        <v>#REF!</v>
      </c>
      <c r="R252" s="70">
        <f t="shared" ca="1" si="64"/>
        <v>0.3</v>
      </c>
      <c r="S252" s="74">
        <f t="shared" si="65"/>
        <v>0.94736842105263208</v>
      </c>
      <c r="T252" s="74">
        <f t="shared" si="66"/>
        <v>0.10526315789473684</v>
      </c>
      <c r="U252" s="74">
        <f t="shared" si="67"/>
        <v>0.56140350877193024</v>
      </c>
      <c r="V252" s="74">
        <f t="shared" si="68"/>
        <v>1.4035087719298256</v>
      </c>
      <c r="W252" s="74">
        <f t="shared" si="69"/>
        <v>0.7017543859649128</v>
      </c>
      <c r="X252" s="74">
        <f t="shared" si="70"/>
        <v>0.12280701754385964</v>
      </c>
      <c r="Y252" s="74">
        <f t="shared" si="71"/>
        <v>0.10526315789473684</v>
      </c>
      <c r="Z252" s="75">
        <f t="shared" si="72"/>
        <v>0.63157894736842146</v>
      </c>
      <c r="AA252" s="76">
        <f t="shared" si="73"/>
        <v>0.7</v>
      </c>
      <c r="AB252" s="76">
        <f t="shared" ca="1" si="74"/>
        <v>0.7</v>
      </c>
      <c r="AC252" s="77">
        <f t="shared" ca="1" si="75"/>
        <v>0.69999999999999984</v>
      </c>
      <c r="AD252" s="359">
        <f t="shared" si="76"/>
        <v>4.5789473684210558</v>
      </c>
      <c r="AE252" s="369">
        <f t="shared" ca="1" si="77"/>
        <v>32.052631578947384</v>
      </c>
      <c r="AF252" s="96" t="s">
        <v>248</v>
      </c>
      <c r="AG252" s="442"/>
      <c r="AH252" s="118"/>
      <c r="AI252" s="115"/>
      <c r="AJ252" s="115"/>
      <c r="AK252" s="115"/>
      <c r="AL252" s="122"/>
      <c r="AM252" s="337"/>
      <c r="AN252" s="338"/>
      <c r="AO252" s="338"/>
      <c r="AP252" s="338"/>
      <c r="AQ252" s="339"/>
    </row>
    <row r="253" spans="1:43" ht="36" customHeight="1">
      <c r="A253" s="355">
        <v>249</v>
      </c>
      <c r="B253" s="4" t="s">
        <v>5</v>
      </c>
      <c r="C253" s="286" t="s">
        <v>6</v>
      </c>
      <c r="D253" s="5" t="s">
        <v>103</v>
      </c>
      <c r="E253" s="7" t="s">
        <v>104</v>
      </c>
      <c r="F253" s="473">
        <v>280000</v>
      </c>
      <c r="G253" s="51">
        <v>4</v>
      </c>
      <c r="H253" s="57">
        <v>0.2</v>
      </c>
      <c r="I253" s="65">
        <v>4</v>
      </c>
      <c r="J253" s="66">
        <v>6</v>
      </c>
      <c r="K253" s="66">
        <v>6</v>
      </c>
      <c r="L253" s="66">
        <v>4.0000000000000027</v>
      </c>
      <c r="M253" s="66">
        <v>4</v>
      </c>
      <c r="N253" s="66">
        <v>4.0000000000000027</v>
      </c>
      <c r="O253" s="66">
        <v>5</v>
      </c>
      <c r="P253" s="67">
        <v>6.0000000000000036</v>
      </c>
      <c r="Q253" s="70" t="e">
        <f ca="1">(#REF!-(YEAR(TODAY())-#REF!))/#REF!</f>
        <v>#REF!</v>
      </c>
      <c r="R253" s="70">
        <f t="shared" ca="1" si="64"/>
        <v>0.2</v>
      </c>
      <c r="S253" s="74">
        <f t="shared" si="65"/>
        <v>0.63157894736842102</v>
      </c>
      <c r="T253" s="74">
        <f t="shared" si="66"/>
        <v>0.63157894736842102</v>
      </c>
      <c r="U253" s="74">
        <f t="shared" si="67"/>
        <v>0.84210526315789469</v>
      </c>
      <c r="V253" s="74">
        <f t="shared" si="68"/>
        <v>0.7017543859649128</v>
      </c>
      <c r="W253" s="74">
        <f t="shared" si="69"/>
        <v>0.35087719298245612</v>
      </c>
      <c r="X253" s="74">
        <f t="shared" si="70"/>
        <v>0.4912280701754389</v>
      </c>
      <c r="Y253" s="74">
        <f t="shared" si="71"/>
        <v>0.52631578947368418</v>
      </c>
      <c r="Z253" s="75">
        <f t="shared" si="72"/>
        <v>0.63157894736842146</v>
      </c>
      <c r="AA253" s="76">
        <f t="shared" si="73"/>
        <v>0.6</v>
      </c>
      <c r="AB253" s="76">
        <f t="shared" ca="1" si="74"/>
        <v>0.8</v>
      </c>
      <c r="AC253" s="77">
        <f t="shared" ca="1" si="75"/>
        <v>0.66666666666666663</v>
      </c>
      <c r="AD253" s="359">
        <f t="shared" si="76"/>
        <v>4.8070175438596499</v>
      </c>
      <c r="AE253" s="369">
        <f t="shared" ca="1" si="77"/>
        <v>32.046783625730995</v>
      </c>
      <c r="AF253" s="95" t="s">
        <v>248</v>
      </c>
      <c r="AG253" s="441"/>
      <c r="AH253" s="118"/>
      <c r="AI253" s="115"/>
      <c r="AJ253" s="115"/>
      <c r="AK253" s="115"/>
      <c r="AL253" s="122"/>
      <c r="AM253" s="337"/>
      <c r="AN253" s="338"/>
      <c r="AO253" s="338"/>
      <c r="AP253" s="338"/>
      <c r="AQ253" s="339"/>
    </row>
    <row r="254" spans="1:43" ht="36" customHeight="1">
      <c r="A254" s="355">
        <v>250</v>
      </c>
      <c r="B254" s="4" t="s">
        <v>10</v>
      </c>
      <c r="C254" s="286" t="s">
        <v>300</v>
      </c>
      <c r="D254" s="10" t="s">
        <v>176</v>
      </c>
      <c r="E254" s="20" t="s">
        <v>1186</v>
      </c>
      <c r="F254" s="476">
        <v>600000</v>
      </c>
      <c r="G254" s="52">
        <v>5</v>
      </c>
      <c r="H254" s="57">
        <v>0.7</v>
      </c>
      <c r="I254" s="65">
        <v>9.9999999999999982</v>
      </c>
      <c r="J254" s="66">
        <v>9.9999999999999982</v>
      </c>
      <c r="K254" s="66">
        <v>6.0000000000000036</v>
      </c>
      <c r="L254" s="66">
        <v>9.9999999999999982</v>
      </c>
      <c r="M254" s="66">
        <v>1</v>
      </c>
      <c r="N254" s="66">
        <v>9.9999999999999982</v>
      </c>
      <c r="O254" s="66">
        <v>0</v>
      </c>
      <c r="P254" s="67">
        <v>8.0000000000000053</v>
      </c>
      <c r="Q254" s="70" t="e">
        <f ca="1">(#REF!-(YEAR(TODAY())-#REF!))/#REF!</f>
        <v>#REF!</v>
      </c>
      <c r="R254" s="70">
        <f t="shared" ca="1" si="64"/>
        <v>0.7</v>
      </c>
      <c r="S254" s="74">
        <f t="shared" si="65"/>
        <v>1.5789473684210524</v>
      </c>
      <c r="T254" s="74">
        <f t="shared" si="66"/>
        <v>1.0526315789473681</v>
      </c>
      <c r="U254" s="74">
        <f t="shared" si="67"/>
        <v>0.84210526315789525</v>
      </c>
      <c r="V254" s="74">
        <f t="shared" si="68"/>
        <v>1.7543859649122804</v>
      </c>
      <c r="W254" s="74">
        <f t="shared" si="69"/>
        <v>8.771929824561403E-2</v>
      </c>
      <c r="X254" s="74">
        <f t="shared" si="70"/>
        <v>1.2280701754385963</v>
      </c>
      <c r="Y254" s="74">
        <f t="shared" si="71"/>
        <v>0</v>
      </c>
      <c r="Z254" s="75">
        <f t="shared" si="72"/>
        <v>0.84210526315789525</v>
      </c>
      <c r="AA254" s="76">
        <f t="shared" si="73"/>
        <v>0.5</v>
      </c>
      <c r="AB254" s="76">
        <f t="shared" ca="1" si="74"/>
        <v>0.30000000000000004</v>
      </c>
      <c r="AC254" s="77">
        <f t="shared" ca="1" si="75"/>
        <v>0.43333333333333335</v>
      </c>
      <c r="AD254" s="359">
        <f t="shared" si="76"/>
        <v>7.3859649122807021</v>
      </c>
      <c r="AE254" s="369">
        <f t="shared" ca="1" si="77"/>
        <v>32.005847953216374</v>
      </c>
      <c r="AF254" s="96" t="s">
        <v>248</v>
      </c>
      <c r="AG254" s="114"/>
      <c r="AH254" s="118"/>
      <c r="AI254" s="115"/>
      <c r="AJ254" s="115"/>
      <c r="AK254" s="122"/>
      <c r="AL254" s="454"/>
      <c r="AM254" s="337"/>
      <c r="AN254" s="338"/>
      <c r="AO254" s="338"/>
      <c r="AP254" s="338"/>
      <c r="AQ254" s="339"/>
    </row>
    <row r="255" spans="1:43" ht="36" customHeight="1">
      <c r="A255" s="355">
        <v>251</v>
      </c>
      <c r="B255" s="4" t="s">
        <v>5</v>
      </c>
      <c r="C255" s="286" t="s">
        <v>6</v>
      </c>
      <c r="D255" s="5" t="s">
        <v>165</v>
      </c>
      <c r="E255" s="7" t="s">
        <v>1075</v>
      </c>
      <c r="F255" s="473">
        <v>350000</v>
      </c>
      <c r="G255" s="51">
        <v>4</v>
      </c>
      <c r="H255" s="57">
        <v>0.3</v>
      </c>
      <c r="I255" s="65">
        <v>5</v>
      </c>
      <c r="J255" s="66">
        <v>8.0000000000000053</v>
      </c>
      <c r="K255" s="66">
        <v>4.0000000000000027</v>
      </c>
      <c r="L255" s="66">
        <v>6.0000000000000036</v>
      </c>
      <c r="M255" s="66">
        <v>1</v>
      </c>
      <c r="N255" s="66">
        <v>8</v>
      </c>
      <c r="O255" s="66">
        <v>0</v>
      </c>
      <c r="P255" s="67">
        <v>7</v>
      </c>
      <c r="Q255" s="70" t="e">
        <f ca="1">(#REF!-(YEAR(TODAY())-#REF!))/#REF!</f>
        <v>#REF!</v>
      </c>
      <c r="R255" s="70">
        <f t="shared" ca="1" si="64"/>
        <v>0.3</v>
      </c>
      <c r="S255" s="74">
        <f t="shared" si="65"/>
        <v>0.78947368421052633</v>
      </c>
      <c r="T255" s="74">
        <f t="shared" si="66"/>
        <v>0.84210526315789525</v>
      </c>
      <c r="U255" s="74">
        <f t="shared" si="67"/>
        <v>0.56140350877193024</v>
      </c>
      <c r="V255" s="74">
        <f t="shared" si="68"/>
        <v>1.052631578947369</v>
      </c>
      <c r="W255" s="74">
        <f t="shared" si="69"/>
        <v>8.771929824561403E-2</v>
      </c>
      <c r="X255" s="74">
        <f t="shared" si="70"/>
        <v>0.98245614035087714</v>
      </c>
      <c r="Y255" s="74">
        <f t="shared" si="71"/>
        <v>0</v>
      </c>
      <c r="Z255" s="75">
        <f t="shared" si="72"/>
        <v>0.73684210526315785</v>
      </c>
      <c r="AA255" s="76">
        <f t="shared" si="73"/>
        <v>0.6</v>
      </c>
      <c r="AB255" s="76">
        <f t="shared" ca="1" si="74"/>
        <v>0.7</v>
      </c>
      <c r="AC255" s="77">
        <f t="shared" ca="1" si="75"/>
        <v>0.6333333333333333</v>
      </c>
      <c r="AD255" s="359">
        <f t="shared" si="76"/>
        <v>5.0526315789473699</v>
      </c>
      <c r="AE255" s="369">
        <f t="shared" ca="1" si="77"/>
        <v>32.000000000000007</v>
      </c>
      <c r="AF255" s="95" t="s">
        <v>248</v>
      </c>
      <c r="AG255" s="440"/>
      <c r="AH255" s="118"/>
      <c r="AI255" s="115"/>
      <c r="AJ255" s="115"/>
      <c r="AK255" s="122"/>
      <c r="AL255" s="454"/>
      <c r="AM255" s="337"/>
      <c r="AN255" s="338"/>
      <c r="AO255" s="338"/>
      <c r="AP255" s="338"/>
      <c r="AQ255" s="339"/>
    </row>
    <row r="256" spans="1:43" ht="36" customHeight="1">
      <c r="A256" s="355">
        <v>252</v>
      </c>
      <c r="B256" s="4" t="s">
        <v>35</v>
      </c>
      <c r="C256" s="286" t="s">
        <v>6</v>
      </c>
      <c r="D256" s="16" t="s">
        <v>174</v>
      </c>
      <c r="E256" s="6" t="s">
        <v>988</v>
      </c>
      <c r="F256" s="476">
        <v>193000</v>
      </c>
      <c r="G256" s="52">
        <v>5</v>
      </c>
      <c r="H256" s="57">
        <v>0.2</v>
      </c>
      <c r="I256" s="65">
        <v>8.0000000000000053</v>
      </c>
      <c r="J256" s="66">
        <v>1</v>
      </c>
      <c r="K256" s="66">
        <v>8.0000000000000053</v>
      </c>
      <c r="L256" s="66">
        <v>6.0000000000000036</v>
      </c>
      <c r="M256" s="66">
        <v>8.0000000000000053</v>
      </c>
      <c r="N256" s="66">
        <v>1</v>
      </c>
      <c r="O256" s="66">
        <v>3</v>
      </c>
      <c r="P256" s="67">
        <v>6.0000000000000036</v>
      </c>
      <c r="Q256" s="70" t="e">
        <f ca="1">(#REF!-(YEAR(TODAY())-#REF!))/#REF!</f>
        <v>#REF!</v>
      </c>
      <c r="R256" s="70">
        <f t="shared" ca="1" si="64"/>
        <v>0.2</v>
      </c>
      <c r="S256" s="74">
        <f t="shared" si="65"/>
        <v>1.2631578947368429</v>
      </c>
      <c r="T256" s="74">
        <f t="shared" si="66"/>
        <v>0.10526315789473684</v>
      </c>
      <c r="U256" s="74">
        <f t="shared" si="67"/>
        <v>1.1228070175438605</v>
      </c>
      <c r="V256" s="74">
        <f t="shared" si="68"/>
        <v>1.052631578947369</v>
      </c>
      <c r="W256" s="74">
        <f t="shared" si="69"/>
        <v>0.7017543859649128</v>
      </c>
      <c r="X256" s="74">
        <f t="shared" si="70"/>
        <v>0.12280701754385964</v>
      </c>
      <c r="Y256" s="74">
        <f t="shared" si="71"/>
        <v>0.31578947368421051</v>
      </c>
      <c r="Z256" s="75">
        <f t="shared" si="72"/>
        <v>0.63157894736842146</v>
      </c>
      <c r="AA256" s="76">
        <f t="shared" si="73"/>
        <v>0.5</v>
      </c>
      <c r="AB256" s="76">
        <f t="shared" ca="1" si="74"/>
        <v>0.8</v>
      </c>
      <c r="AC256" s="77">
        <f t="shared" ca="1" si="75"/>
        <v>0.6</v>
      </c>
      <c r="AD256" s="359">
        <f t="shared" si="76"/>
        <v>5.3157894736842133</v>
      </c>
      <c r="AE256" s="369">
        <f t="shared" ca="1" si="77"/>
        <v>31.894736842105278</v>
      </c>
      <c r="AF256" s="96" t="s">
        <v>248</v>
      </c>
      <c r="AG256" s="442"/>
      <c r="AH256" s="118"/>
      <c r="AI256" s="115"/>
      <c r="AJ256" s="122"/>
      <c r="AK256" s="120"/>
      <c r="AL256" s="122"/>
      <c r="AM256" s="337"/>
      <c r="AN256" s="338"/>
      <c r="AO256" s="338"/>
      <c r="AP256" s="338"/>
      <c r="AQ256" s="339"/>
    </row>
    <row r="257" spans="1:43" ht="36" customHeight="1">
      <c r="A257" s="355">
        <v>253</v>
      </c>
      <c r="B257" s="4" t="s">
        <v>16</v>
      </c>
      <c r="C257" s="286" t="s">
        <v>6</v>
      </c>
      <c r="D257" s="16" t="s">
        <v>170</v>
      </c>
      <c r="E257" s="18" t="s">
        <v>171</v>
      </c>
      <c r="F257" s="476">
        <v>80000</v>
      </c>
      <c r="G257" s="52">
        <v>3</v>
      </c>
      <c r="H257" s="57">
        <v>0</v>
      </c>
      <c r="I257" s="65">
        <v>6.0000000000000036</v>
      </c>
      <c r="J257" s="66">
        <v>1</v>
      </c>
      <c r="K257" s="66">
        <v>6.0000000000000036</v>
      </c>
      <c r="L257" s="66">
        <v>4.0000000000000027</v>
      </c>
      <c r="M257" s="66">
        <v>6.0000000000000036</v>
      </c>
      <c r="N257" s="66">
        <v>1</v>
      </c>
      <c r="O257" s="66">
        <v>1</v>
      </c>
      <c r="P257" s="67">
        <v>6.0000000000000036</v>
      </c>
      <c r="Q257" s="70" t="e">
        <f ca="1">(#REF!-(YEAR(TODAY())-#REF!))/#REF!</f>
        <v>#REF!</v>
      </c>
      <c r="R257" s="70">
        <f t="shared" ca="1" si="64"/>
        <v>0</v>
      </c>
      <c r="S257" s="74">
        <f t="shared" si="65"/>
        <v>0.94736842105263208</v>
      </c>
      <c r="T257" s="74">
        <f t="shared" si="66"/>
        <v>0.10526315789473684</v>
      </c>
      <c r="U257" s="74">
        <f t="shared" si="67"/>
        <v>0.84210526315789525</v>
      </c>
      <c r="V257" s="74">
        <f t="shared" si="68"/>
        <v>0.7017543859649128</v>
      </c>
      <c r="W257" s="74">
        <f t="shared" si="69"/>
        <v>0.52631578947368451</v>
      </c>
      <c r="X257" s="74">
        <f t="shared" si="70"/>
        <v>0.12280701754385964</v>
      </c>
      <c r="Y257" s="74">
        <f t="shared" si="71"/>
        <v>0.10526315789473684</v>
      </c>
      <c r="Z257" s="75">
        <f t="shared" si="72"/>
        <v>0.63157894736842146</v>
      </c>
      <c r="AA257" s="76">
        <f t="shared" si="73"/>
        <v>0.7</v>
      </c>
      <c r="AB257" s="76">
        <f t="shared" ca="1" si="74"/>
        <v>1</v>
      </c>
      <c r="AC257" s="77">
        <f t="shared" ca="1" si="75"/>
        <v>0.79999999999999993</v>
      </c>
      <c r="AD257" s="359">
        <f t="shared" si="76"/>
        <v>3.9824561403508794</v>
      </c>
      <c r="AE257" s="369">
        <f t="shared" ca="1" si="77"/>
        <v>31.859649122807031</v>
      </c>
      <c r="AF257" s="96" t="s">
        <v>248</v>
      </c>
      <c r="AG257" s="442"/>
      <c r="AH257" s="118"/>
      <c r="AI257" s="115"/>
      <c r="AJ257" s="115"/>
      <c r="AK257" s="115"/>
      <c r="AL257" s="122"/>
      <c r="AM257" s="337"/>
      <c r="AN257" s="338"/>
      <c r="AO257" s="338"/>
      <c r="AP257" s="338"/>
      <c r="AQ257" s="339"/>
    </row>
    <row r="258" spans="1:43" ht="36" customHeight="1">
      <c r="A258" s="355">
        <v>254</v>
      </c>
      <c r="B258" s="4" t="s">
        <v>14</v>
      </c>
      <c r="C258" s="286" t="s">
        <v>300</v>
      </c>
      <c r="D258" s="10" t="s">
        <v>1187</v>
      </c>
      <c r="E258" s="11" t="s">
        <v>147</v>
      </c>
      <c r="F258" s="473">
        <v>75000</v>
      </c>
      <c r="G258" s="52">
        <v>3</v>
      </c>
      <c r="H258" s="57">
        <v>0.4</v>
      </c>
      <c r="I258" s="65">
        <v>6.0000000000000036</v>
      </c>
      <c r="J258" s="66">
        <v>6.0000000000000036</v>
      </c>
      <c r="K258" s="66">
        <v>4.0000000000000027</v>
      </c>
      <c r="L258" s="66">
        <v>6.0000000000000036</v>
      </c>
      <c r="M258" s="66">
        <v>4.0000000000000027</v>
      </c>
      <c r="N258" s="66">
        <v>4.0000000000000027</v>
      </c>
      <c r="O258" s="66">
        <v>1</v>
      </c>
      <c r="P258" s="67">
        <v>6.0000000000000036</v>
      </c>
      <c r="Q258" s="70" t="e">
        <f ca="1">(#REF!-(YEAR(TODAY())-#REF!))/#REF!</f>
        <v>#REF!</v>
      </c>
      <c r="R258" s="70">
        <f t="shared" ca="1" si="64"/>
        <v>0.4</v>
      </c>
      <c r="S258" s="74">
        <f t="shared" si="65"/>
        <v>0.94736842105263208</v>
      </c>
      <c r="T258" s="74">
        <f t="shared" si="66"/>
        <v>0.63157894736842146</v>
      </c>
      <c r="U258" s="74">
        <f t="shared" si="67"/>
        <v>0.56140350877193024</v>
      </c>
      <c r="V258" s="74">
        <f t="shared" si="68"/>
        <v>1.052631578947369</v>
      </c>
      <c r="W258" s="74">
        <f t="shared" si="69"/>
        <v>0.3508771929824564</v>
      </c>
      <c r="X258" s="74">
        <f t="shared" si="70"/>
        <v>0.4912280701754389</v>
      </c>
      <c r="Y258" s="74">
        <f t="shared" si="71"/>
        <v>0.10526315789473684</v>
      </c>
      <c r="Z258" s="75">
        <f t="shared" si="72"/>
        <v>0.63157894736842146</v>
      </c>
      <c r="AA258" s="76">
        <f t="shared" si="73"/>
        <v>0.7</v>
      </c>
      <c r="AB258" s="76">
        <f t="shared" ca="1" si="74"/>
        <v>0.6</v>
      </c>
      <c r="AC258" s="77">
        <f t="shared" ca="1" si="75"/>
        <v>0.66666666666666663</v>
      </c>
      <c r="AD258" s="359">
        <f t="shared" si="76"/>
        <v>4.7719298245614068</v>
      </c>
      <c r="AE258" s="369">
        <f t="shared" ca="1" si="77"/>
        <v>31.812865497076043</v>
      </c>
      <c r="AF258" s="96" t="s">
        <v>248</v>
      </c>
      <c r="AG258" s="442"/>
      <c r="AH258" s="118"/>
      <c r="AI258" s="115"/>
      <c r="AJ258" s="115"/>
      <c r="AK258" s="115"/>
      <c r="AL258" s="122"/>
      <c r="AM258" s="337"/>
      <c r="AN258" s="338"/>
      <c r="AO258" s="338"/>
      <c r="AP258" s="338"/>
      <c r="AQ258" s="339"/>
    </row>
    <row r="259" spans="1:43" ht="36" customHeight="1">
      <c r="A259" s="355">
        <v>255</v>
      </c>
      <c r="B259" s="4" t="s">
        <v>5</v>
      </c>
      <c r="C259" s="286" t="s">
        <v>6</v>
      </c>
      <c r="D259" s="5" t="s">
        <v>309</v>
      </c>
      <c r="E259" s="7" t="s">
        <v>319</v>
      </c>
      <c r="F259" s="473">
        <v>700000</v>
      </c>
      <c r="G259" s="52">
        <v>4</v>
      </c>
      <c r="H259" s="57">
        <v>0.2</v>
      </c>
      <c r="I259" s="65">
        <v>4</v>
      </c>
      <c r="J259" s="66">
        <v>6</v>
      </c>
      <c r="K259" s="66">
        <v>4</v>
      </c>
      <c r="L259" s="66">
        <v>4</v>
      </c>
      <c r="M259" s="66">
        <v>4</v>
      </c>
      <c r="N259" s="66">
        <v>5</v>
      </c>
      <c r="O259" s="66">
        <v>4</v>
      </c>
      <c r="P259" s="67">
        <v>8</v>
      </c>
      <c r="Q259" s="70" t="e">
        <f ca="1">(#REF!-(YEAR(TODAY())-#REF!))/#REF!</f>
        <v>#REF!</v>
      </c>
      <c r="R259" s="70">
        <f t="shared" ca="1" si="64"/>
        <v>0.2</v>
      </c>
      <c r="S259" s="74">
        <f t="shared" si="65"/>
        <v>0.63157894736842102</v>
      </c>
      <c r="T259" s="74">
        <f t="shared" si="66"/>
        <v>0.63157894736842102</v>
      </c>
      <c r="U259" s="74">
        <f t="shared" si="67"/>
        <v>0.56140350877192979</v>
      </c>
      <c r="V259" s="74">
        <f t="shared" si="68"/>
        <v>0.70175438596491224</v>
      </c>
      <c r="W259" s="74">
        <f t="shared" si="69"/>
        <v>0.35087719298245612</v>
      </c>
      <c r="X259" s="74">
        <f t="shared" si="70"/>
        <v>0.61403508771929827</v>
      </c>
      <c r="Y259" s="74">
        <f t="shared" si="71"/>
        <v>0.42105263157894735</v>
      </c>
      <c r="Z259" s="75">
        <f t="shared" si="72"/>
        <v>0.84210526315789469</v>
      </c>
      <c r="AA259" s="76">
        <f t="shared" si="73"/>
        <v>0.6</v>
      </c>
      <c r="AB259" s="76">
        <f t="shared" ca="1" si="74"/>
        <v>0.8</v>
      </c>
      <c r="AC259" s="77">
        <f t="shared" ca="1" si="75"/>
        <v>0.66666666666666663</v>
      </c>
      <c r="AD259" s="359">
        <f t="shared" si="76"/>
        <v>4.7543859649122808</v>
      </c>
      <c r="AE259" s="369">
        <f t="shared" ca="1" si="77"/>
        <v>31.695906432748536</v>
      </c>
      <c r="AF259" s="95" t="s">
        <v>248</v>
      </c>
      <c r="AG259" s="113"/>
      <c r="AH259" s="118"/>
      <c r="AI259" s="115"/>
      <c r="AJ259" s="115"/>
      <c r="AK259" s="115"/>
      <c r="AL259" s="122"/>
      <c r="AM259" s="337"/>
      <c r="AN259" s="338"/>
      <c r="AO259" s="338"/>
      <c r="AP259" s="338"/>
      <c r="AQ259" s="339"/>
    </row>
    <row r="260" spans="1:43" ht="36" customHeight="1">
      <c r="A260" s="355">
        <v>256</v>
      </c>
      <c r="B260" s="4" t="s">
        <v>14</v>
      </c>
      <c r="C260" s="286" t="s">
        <v>6</v>
      </c>
      <c r="D260" s="16" t="s">
        <v>1089</v>
      </c>
      <c r="E260" s="18" t="s">
        <v>112</v>
      </c>
      <c r="F260" s="476">
        <v>114500</v>
      </c>
      <c r="G260" s="52">
        <v>4</v>
      </c>
      <c r="H260" s="57">
        <v>0.3</v>
      </c>
      <c r="I260" s="65">
        <v>4.0000000000000027</v>
      </c>
      <c r="J260" s="66">
        <v>6.0000000000000036</v>
      </c>
      <c r="K260" s="66">
        <v>4.0000000000000027</v>
      </c>
      <c r="L260" s="66">
        <v>8.0000000000000053</v>
      </c>
      <c r="M260" s="66">
        <v>4.0000000000000027</v>
      </c>
      <c r="N260" s="66">
        <v>6.0000000000000036</v>
      </c>
      <c r="O260" s="66">
        <v>0</v>
      </c>
      <c r="P260" s="67">
        <v>6.0000000000000036</v>
      </c>
      <c r="Q260" s="70" t="e">
        <f ca="1">(#REF!-(YEAR(TODAY())-#REF!))/#REF!</f>
        <v>#REF!</v>
      </c>
      <c r="R260" s="70">
        <f t="shared" ca="1" si="64"/>
        <v>0.3</v>
      </c>
      <c r="S260" s="74">
        <f t="shared" si="65"/>
        <v>0.63157894736842146</v>
      </c>
      <c r="T260" s="74">
        <f t="shared" si="66"/>
        <v>0.63157894736842146</v>
      </c>
      <c r="U260" s="74">
        <f t="shared" si="67"/>
        <v>0.56140350877193024</v>
      </c>
      <c r="V260" s="74">
        <f t="shared" si="68"/>
        <v>1.4035087719298256</v>
      </c>
      <c r="W260" s="74">
        <f t="shared" si="69"/>
        <v>0.3508771929824564</v>
      </c>
      <c r="X260" s="74">
        <f t="shared" si="70"/>
        <v>0.73684210526315841</v>
      </c>
      <c r="Y260" s="74">
        <f t="shared" si="71"/>
        <v>0</v>
      </c>
      <c r="Z260" s="75">
        <f t="shared" si="72"/>
        <v>0.63157894736842146</v>
      </c>
      <c r="AA260" s="76">
        <f t="shared" si="73"/>
        <v>0.6</v>
      </c>
      <c r="AB260" s="76">
        <f t="shared" ca="1" si="74"/>
        <v>0.7</v>
      </c>
      <c r="AC260" s="77">
        <f t="shared" ca="1" si="75"/>
        <v>0.6333333333333333</v>
      </c>
      <c r="AD260" s="359">
        <f t="shared" si="76"/>
        <v>4.9473684210526345</v>
      </c>
      <c r="AE260" s="369">
        <f t="shared" ca="1" si="77"/>
        <v>31.33333333333335</v>
      </c>
      <c r="AF260" s="96" t="s">
        <v>248</v>
      </c>
      <c r="AG260" s="442"/>
      <c r="AH260" s="118"/>
      <c r="AI260" s="115"/>
      <c r="AJ260" s="115"/>
      <c r="AK260" s="115"/>
      <c r="AL260" s="122"/>
      <c r="AM260" s="337"/>
      <c r="AN260" s="338"/>
      <c r="AO260" s="338"/>
      <c r="AP260" s="338"/>
      <c r="AQ260" s="339"/>
    </row>
    <row r="261" spans="1:43" s="209" customFormat="1" ht="36" customHeight="1">
      <c r="A261" s="355">
        <v>257</v>
      </c>
      <c r="B261" s="4" t="s">
        <v>35</v>
      </c>
      <c r="C261" s="286" t="s">
        <v>6</v>
      </c>
      <c r="D261" s="16" t="s">
        <v>1108</v>
      </c>
      <c r="E261" s="18" t="s">
        <v>56</v>
      </c>
      <c r="F261" s="476">
        <v>100000</v>
      </c>
      <c r="G261" s="52">
        <v>3</v>
      </c>
      <c r="H261" s="57">
        <v>0.3</v>
      </c>
      <c r="I261" s="65">
        <v>5</v>
      </c>
      <c r="J261" s="66">
        <v>4.0000000000000027</v>
      </c>
      <c r="K261" s="66">
        <v>4.0000000000000027</v>
      </c>
      <c r="L261" s="66">
        <v>6.0000000000000036</v>
      </c>
      <c r="M261" s="66">
        <v>6.0000000000000036</v>
      </c>
      <c r="N261" s="66">
        <v>4.0000000000000027</v>
      </c>
      <c r="O261" s="66">
        <v>0</v>
      </c>
      <c r="P261" s="67">
        <v>6.0000000000000036</v>
      </c>
      <c r="Q261" s="70" t="e">
        <f ca="1">(#REF!-(YEAR(TODAY())-#REF!))/#REF!</f>
        <v>#REF!</v>
      </c>
      <c r="R261" s="70">
        <f t="shared" ref="R261:R324" ca="1" si="78">IFERROR(Q261,H261)</f>
        <v>0.3</v>
      </c>
      <c r="S261" s="74">
        <f t="shared" ref="S261:S329" si="79">I261*Weight1/(WSum)</f>
        <v>0.78947368421052633</v>
      </c>
      <c r="T261" s="74">
        <f t="shared" ref="T261:T329" si="80">J261*Weight2/(WSum)</f>
        <v>0.42105263157894762</v>
      </c>
      <c r="U261" s="74">
        <f t="shared" ref="U261:U329" si="81">K261*Weight3/(WSum)</f>
        <v>0.56140350877193024</v>
      </c>
      <c r="V261" s="74">
        <f t="shared" ref="V261:V329" si="82">L261*Weight4/(WSum)</f>
        <v>1.052631578947369</v>
      </c>
      <c r="W261" s="74">
        <f t="shared" ref="W261:W329" si="83">M261*Weight5/(WSum)</f>
        <v>0.52631578947368451</v>
      </c>
      <c r="X261" s="74">
        <f t="shared" ref="X261:X329" si="84">N261*Weight6/(WSum)</f>
        <v>0.4912280701754389</v>
      </c>
      <c r="Y261" s="74">
        <f t="shared" ref="Y261:Y329" si="85">O261*Weight7/(WSum)</f>
        <v>0</v>
      </c>
      <c r="Z261" s="75">
        <f t="shared" ref="Z261:Z329" si="86">P261*Weight8/(WSum)</f>
        <v>0.63157894736842146</v>
      </c>
      <c r="AA261" s="76">
        <f t="shared" ref="AA261:AA329" si="87">-1/10*G261+1</f>
        <v>0.7</v>
      </c>
      <c r="AB261" s="76">
        <f t="shared" ref="AB261:AB329" ca="1" si="88">IF(R261&lt;0,0,-R261+1)</f>
        <v>0.7</v>
      </c>
      <c r="AC261" s="77">
        <f t="shared" ref="AC261:AC324" ca="1" si="89">(AA261*CondWeight+AB261*PLifeWeight)/(CondWeight+PLifeWeight)</f>
        <v>0.69999999999999984</v>
      </c>
      <c r="AD261" s="359">
        <f t="shared" ref="AD261:AD329" si="90">SUM(S261:Z261)</f>
        <v>4.4736842105263177</v>
      </c>
      <c r="AE261" s="369">
        <f t="shared" ref="AE261:AE324" ca="1" si="91">AD261*AC261*10</f>
        <v>31.315789473684216</v>
      </c>
      <c r="AF261" s="96" t="s">
        <v>248</v>
      </c>
      <c r="AG261" s="442"/>
      <c r="AH261" s="118"/>
      <c r="AI261" s="115"/>
      <c r="AJ261" s="115"/>
      <c r="AK261" s="115"/>
      <c r="AL261" s="122"/>
      <c r="AM261" s="337"/>
      <c r="AN261" s="338"/>
      <c r="AO261" s="338"/>
      <c r="AP261" s="338"/>
      <c r="AQ261" s="339"/>
    </row>
    <row r="262" spans="1:43" ht="36" customHeight="1">
      <c r="A262" s="355">
        <v>258</v>
      </c>
      <c r="B262" s="1" t="s">
        <v>16</v>
      </c>
      <c r="C262" s="285" t="s">
        <v>6</v>
      </c>
      <c r="D262" s="289" t="s">
        <v>186</v>
      </c>
      <c r="E262" s="290" t="s">
        <v>1073</v>
      </c>
      <c r="F262" s="476">
        <v>169000</v>
      </c>
      <c r="G262" s="295">
        <v>3</v>
      </c>
      <c r="H262" s="293">
        <v>0</v>
      </c>
      <c r="I262" s="65">
        <v>4.0000000000000027</v>
      </c>
      <c r="J262" s="66">
        <v>1</v>
      </c>
      <c r="K262" s="66">
        <v>4.0000000000000027</v>
      </c>
      <c r="L262" s="66">
        <v>8.0000000000000053</v>
      </c>
      <c r="M262" s="66">
        <v>4.0000000000000027</v>
      </c>
      <c r="N262" s="66">
        <v>1</v>
      </c>
      <c r="O262" s="66">
        <v>3</v>
      </c>
      <c r="P262" s="67">
        <v>4.0000000000000027</v>
      </c>
      <c r="Q262" s="294" t="e">
        <f ca="1">(#REF!-(YEAR(TODAY())-#REF!))/#REF!</f>
        <v>#REF!</v>
      </c>
      <c r="R262" s="294">
        <f t="shared" ca="1" si="78"/>
        <v>0</v>
      </c>
      <c r="S262" s="74">
        <f t="shared" si="79"/>
        <v>0.63157894736842146</v>
      </c>
      <c r="T262" s="74">
        <f t="shared" si="80"/>
        <v>0.10526315789473684</v>
      </c>
      <c r="U262" s="74">
        <f t="shared" si="81"/>
        <v>0.56140350877193024</v>
      </c>
      <c r="V262" s="74">
        <f t="shared" si="82"/>
        <v>1.4035087719298256</v>
      </c>
      <c r="W262" s="74">
        <f t="shared" si="83"/>
        <v>0.3508771929824564</v>
      </c>
      <c r="X262" s="74">
        <f t="shared" si="84"/>
        <v>0.12280701754385964</v>
      </c>
      <c r="Y262" s="74">
        <f t="shared" si="85"/>
        <v>0.31578947368421051</v>
      </c>
      <c r="Z262" s="75">
        <f t="shared" si="86"/>
        <v>0.42105263157894762</v>
      </c>
      <c r="AA262" s="76">
        <f t="shared" si="87"/>
        <v>0.7</v>
      </c>
      <c r="AB262" s="76">
        <f t="shared" ca="1" si="88"/>
        <v>1</v>
      </c>
      <c r="AC262" s="77">
        <f t="shared" ca="1" si="89"/>
        <v>0.79999999999999993</v>
      </c>
      <c r="AD262" s="358">
        <f t="shared" si="90"/>
        <v>3.9122807017543888</v>
      </c>
      <c r="AE262" s="368">
        <f t="shared" ca="1" si="91"/>
        <v>31.29824561403511</v>
      </c>
      <c r="AF262" s="288" t="s">
        <v>248</v>
      </c>
      <c r="AG262" s="442"/>
      <c r="AH262" s="118"/>
      <c r="AI262" s="115"/>
      <c r="AJ262" s="115"/>
      <c r="AK262" s="115"/>
      <c r="AL262" s="122"/>
      <c r="AM262" s="337"/>
      <c r="AN262" s="338"/>
      <c r="AO262" s="338"/>
      <c r="AP262" s="338"/>
      <c r="AQ262" s="339"/>
    </row>
    <row r="263" spans="1:43" ht="36" customHeight="1">
      <c r="A263" s="355">
        <v>259</v>
      </c>
      <c r="B263" s="12" t="s">
        <v>5</v>
      </c>
      <c r="C263" s="344" t="s">
        <v>6</v>
      </c>
      <c r="D263" s="5" t="s">
        <v>137</v>
      </c>
      <c r="E263" s="6" t="s">
        <v>138</v>
      </c>
      <c r="F263" s="473">
        <v>1000000</v>
      </c>
      <c r="G263" s="51">
        <v>3</v>
      </c>
      <c r="H263" s="57">
        <v>0.3</v>
      </c>
      <c r="I263" s="65">
        <v>4.0000000000000027</v>
      </c>
      <c r="J263" s="66">
        <v>6.0000000000000036</v>
      </c>
      <c r="K263" s="66">
        <v>3</v>
      </c>
      <c r="L263" s="66">
        <v>5</v>
      </c>
      <c r="M263" s="66">
        <v>5</v>
      </c>
      <c r="N263" s="66">
        <v>5</v>
      </c>
      <c r="O263" s="66">
        <v>2</v>
      </c>
      <c r="P263" s="67">
        <v>6.0000000000000036</v>
      </c>
      <c r="Q263" s="70" t="e">
        <f ca="1">(#REF!-(YEAR(TODAY())-#REF!))/#REF!</f>
        <v>#REF!</v>
      </c>
      <c r="R263" s="70">
        <f t="shared" ca="1" si="78"/>
        <v>0.3</v>
      </c>
      <c r="S263" s="74">
        <f t="shared" si="79"/>
        <v>0.63157894736842146</v>
      </c>
      <c r="T263" s="74">
        <f t="shared" si="80"/>
        <v>0.63157894736842146</v>
      </c>
      <c r="U263" s="74">
        <f t="shared" si="81"/>
        <v>0.42105263157894735</v>
      </c>
      <c r="V263" s="74">
        <f t="shared" si="82"/>
        <v>0.8771929824561403</v>
      </c>
      <c r="W263" s="74">
        <f t="shared" si="83"/>
        <v>0.43859649122807015</v>
      </c>
      <c r="X263" s="74">
        <f t="shared" si="84"/>
        <v>0.61403508771929827</v>
      </c>
      <c r="Y263" s="74">
        <f t="shared" si="85"/>
        <v>0.21052631578947367</v>
      </c>
      <c r="Z263" s="75">
        <f t="shared" si="86"/>
        <v>0.63157894736842146</v>
      </c>
      <c r="AA263" s="76">
        <f t="shared" si="87"/>
        <v>0.7</v>
      </c>
      <c r="AB263" s="76">
        <f t="shared" ca="1" si="88"/>
        <v>0.7</v>
      </c>
      <c r="AC263" s="77">
        <f t="shared" ca="1" si="89"/>
        <v>0.69999999999999984</v>
      </c>
      <c r="AD263" s="359">
        <f t="shared" si="90"/>
        <v>4.4561403508771944</v>
      </c>
      <c r="AE263" s="369">
        <f t="shared" ca="1" si="91"/>
        <v>31.192982456140356</v>
      </c>
      <c r="AF263" s="95" t="s">
        <v>248</v>
      </c>
      <c r="AG263" s="441"/>
      <c r="AH263" s="118"/>
      <c r="AI263" s="115"/>
      <c r="AJ263" s="115"/>
      <c r="AK263" s="115"/>
      <c r="AL263" s="122"/>
      <c r="AM263" s="337"/>
      <c r="AN263" s="338"/>
      <c r="AO263" s="338"/>
      <c r="AP263" s="338"/>
      <c r="AQ263" s="339"/>
    </row>
    <row r="264" spans="1:43" ht="36" customHeight="1">
      <c r="A264" s="355">
        <v>260</v>
      </c>
      <c r="B264" s="12" t="s">
        <v>7</v>
      </c>
      <c r="C264" s="344" t="s">
        <v>6</v>
      </c>
      <c r="D264" s="10" t="s">
        <v>864</v>
      </c>
      <c r="E264" s="11" t="s">
        <v>1178</v>
      </c>
      <c r="F264" s="476">
        <v>150000</v>
      </c>
      <c r="G264" s="52">
        <v>3</v>
      </c>
      <c r="H264" s="57">
        <v>0.1</v>
      </c>
      <c r="I264" s="65">
        <v>6</v>
      </c>
      <c r="J264" s="66">
        <v>8</v>
      </c>
      <c r="K264" s="66">
        <v>0</v>
      </c>
      <c r="L264" s="66">
        <v>2</v>
      </c>
      <c r="M264" s="66">
        <v>0</v>
      </c>
      <c r="N264" s="66">
        <v>7</v>
      </c>
      <c r="O264" s="66">
        <v>0</v>
      </c>
      <c r="P264" s="67">
        <v>10</v>
      </c>
      <c r="Q264" s="70" t="e">
        <f ca="1">(#REF!-(YEAR(TODAY())-#REF!))/#REF!</f>
        <v>#REF!</v>
      </c>
      <c r="R264" s="70">
        <f t="shared" ca="1" si="78"/>
        <v>0.1</v>
      </c>
      <c r="S264" s="74">
        <f t="shared" si="79"/>
        <v>0.94736842105263153</v>
      </c>
      <c r="T264" s="74">
        <f t="shared" si="80"/>
        <v>0.84210526315789469</v>
      </c>
      <c r="U264" s="74">
        <f t="shared" si="81"/>
        <v>0</v>
      </c>
      <c r="V264" s="74">
        <f t="shared" si="82"/>
        <v>0.35087719298245612</v>
      </c>
      <c r="W264" s="74">
        <f t="shared" si="83"/>
        <v>0</v>
      </c>
      <c r="X264" s="74">
        <f t="shared" si="84"/>
        <v>0.85964912280701755</v>
      </c>
      <c r="Y264" s="74">
        <f t="shared" si="85"/>
        <v>0</v>
      </c>
      <c r="Z264" s="75">
        <f t="shared" si="86"/>
        <v>1.0526315789473684</v>
      </c>
      <c r="AA264" s="76">
        <f t="shared" si="87"/>
        <v>0.7</v>
      </c>
      <c r="AB264" s="76">
        <f t="shared" ca="1" si="88"/>
        <v>0.9</v>
      </c>
      <c r="AC264" s="77">
        <f t="shared" ca="1" si="89"/>
        <v>0.76666666666666661</v>
      </c>
      <c r="AD264" s="359">
        <f t="shared" si="90"/>
        <v>4.0526315789473681</v>
      </c>
      <c r="AE264" s="369">
        <f t="shared" ca="1" si="91"/>
        <v>31.070175438596486</v>
      </c>
      <c r="AF264" s="96" t="s">
        <v>257</v>
      </c>
      <c r="AG264" s="442"/>
      <c r="AH264" s="118"/>
      <c r="AI264" s="115"/>
      <c r="AJ264" s="115"/>
      <c r="AK264" s="115"/>
      <c r="AL264" s="122"/>
      <c r="AM264" s="337"/>
      <c r="AN264" s="338"/>
      <c r="AO264" s="338"/>
      <c r="AP264" s="338"/>
      <c r="AQ264" s="339"/>
    </row>
    <row r="265" spans="1:43" ht="36" customHeight="1">
      <c r="A265" s="355">
        <v>261</v>
      </c>
      <c r="B265" s="4" t="s">
        <v>10</v>
      </c>
      <c r="C265" s="286" t="s">
        <v>300</v>
      </c>
      <c r="D265" s="10" t="s">
        <v>99</v>
      </c>
      <c r="E265" s="11" t="s">
        <v>100</v>
      </c>
      <c r="F265" s="476">
        <v>60000</v>
      </c>
      <c r="G265" s="52">
        <v>4</v>
      </c>
      <c r="H265" s="57">
        <v>0.3</v>
      </c>
      <c r="I265" s="65">
        <v>8.0000000000000053</v>
      </c>
      <c r="J265" s="66">
        <v>8.0000000000000053</v>
      </c>
      <c r="K265" s="66">
        <v>4.0000000000000027</v>
      </c>
      <c r="L265" s="66">
        <v>4</v>
      </c>
      <c r="M265" s="66">
        <v>2</v>
      </c>
      <c r="N265" s="66">
        <v>4.0000000000000027</v>
      </c>
      <c r="O265" s="66">
        <v>0</v>
      </c>
      <c r="P265" s="67">
        <v>8</v>
      </c>
      <c r="Q265" s="70" t="e">
        <f ca="1">(#REF!-(YEAR(TODAY())-#REF!))/#REF!</f>
        <v>#REF!</v>
      </c>
      <c r="R265" s="70">
        <f t="shared" ca="1" si="78"/>
        <v>0.3</v>
      </c>
      <c r="S265" s="74">
        <f t="shared" si="79"/>
        <v>1.2631578947368429</v>
      </c>
      <c r="T265" s="74">
        <f t="shared" si="80"/>
        <v>0.84210526315789525</v>
      </c>
      <c r="U265" s="74">
        <f t="shared" si="81"/>
        <v>0.56140350877193024</v>
      </c>
      <c r="V265" s="74">
        <f t="shared" si="82"/>
        <v>0.70175438596491224</v>
      </c>
      <c r="W265" s="74">
        <f t="shared" si="83"/>
        <v>0.17543859649122806</v>
      </c>
      <c r="X265" s="74">
        <f t="shared" si="84"/>
        <v>0.4912280701754389</v>
      </c>
      <c r="Y265" s="74">
        <f t="shared" si="85"/>
        <v>0</v>
      </c>
      <c r="Z265" s="75">
        <f t="shared" si="86"/>
        <v>0.84210526315789469</v>
      </c>
      <c r="AA265" s="76">
        <f t="shared" si="87"/>
        <v>0.6</v>
      </c>
      <c r="AB265" s="76">
        <f t="shared" ca="1" si="88"/>
        <v>0.7</v>
      </c>
      <c r="AC265" s="77">
        <f t="shared" ca="1" si="89"/>
        <v>0.6333333333333333</v>
      </c>
      <c r="AD265" s="359">
        <f t="shared" si="90"/>
        <v>4.8771929824561422</v>
      </c>
      <c r="AE265" s="369">
        <f t="shared" ca="1" si="91"/>
        <v>30.8888888888889</v>
      </c>
      <c r="AF265" s="96" t="s">
        <v>248</v>
      </c>
      <c r="AG265" s="442"/>
      <c r="AH265" s="118"/>
      <c r="AI265" s="115"/>
      <c r="AJ265" s="115"/>
      <c r="AK265" s="115"/>
      <c r="AL265" s="122"/>
      <c r="AM265" s="337"/>
      <c r="AN265" s="338"/>
      <c r="AO265" s="338"/>
      <c r="AP265" s="338"/>
      <c r="AQ265" s="339"/>
    </row>
    <row r="266" spans="1:43" ht="36" customHeight="1">
      <c r="A266" s="355">
        <v>262</v>
      </c>
      <c r="B266" s="12" t="s">
        <v>14</v>
      </c>
      <c r="C266" s="344" t="s">
        <v>6</v>
      </c>
      <c r="D266" s="5" t="s">
        <v>142</v>
      </c>
      <c r="E266" s="7" t="s">
        <v>1062</v>
      </c>
      <c r="F266" s="473">
        <v>206000</v>
      </c>
      <c r="G266" s="52">
        <v>3</v>
      </c>
      <c r="H266" s="57">
        <v>0.1</v>
      </c>
      <c r="I266" s="65">
        <v>5</v>
      </c>
      <c r="J266" s="66">
        <v>5</v>
      </c>
      <c r="K266" s="66">
        <v>4.0000000000000027</v>
      </c>
      <c r="L266" s="66">
        <v>4</v>
      </c>
      <c r="M266" s="66">
        <v>2</v>
      </c>
      <c r="N266" s="66">
        <v>5</v>
      </c>
      <c r="O266" s="66">
        <v>0</v>
      </c>
      <c r="P266" s="67">
        <v>6</v>
      </c>
      <c r="Q266" s="70" t="e">
        <f ca="1">(#REF!-(YEAR(TODAY())-#REF!))/#REF!</f>
        <v>#REF!</v>
      </c>
      <c r="R266" s="70">
        <f t="shared" ca="1" si="78"/>
        <v>0.1</v>
      </c>
      <c r="S266" s="74">
        <f t="shared" si="79"/>
        <v>0.78947368421052633</v>
      </c>
      <c r="T266" s="74">
        <f t="shared" si="80"/>
        <v>0.52631578947368418</v>
      </c>
      <c r="U266" s="74">
        <f t="shared" si="81"/>
        <v>0.56140350877193024</v>
      </c>
      <c r="V266" s="74">
        <f t="shared" si="82"/>
        <v>0.70175438596491224</v>
      </c>
      <c r="W266" s="74">
        <f t="shared" si="83"/>
        <v>0.17543859649122806</v>
      </c>
      <c r="X266" s="74">
        <f t="shared" si="84"/>
        <v>0.61403508771929827</v>
      </c>
      <c r="Y266" s="74">
        <f t="shared" si="85"/>
        <v>0</v>
      </c>
      <c r="Z266" s="75">
        <f t="shared" si="86"/>
        <v>0.63157894736842102</v>
      </c>
      <c r="AA266" s="76">
        <f t="shared" si="87"/>
        <v>0.7</v>
      </c>
      <c r="AB266" s="76">
        <f t="shared" ca="1" si="88"/>
        <v>0.9</v>
      </c>
      <c r="AC266" s="77">
        <f t="shared" ca="1" si="89"/>
        <v>0.76666666666666661</v>
      </c>
      <c r="AD266" s="359">
        <f t="shared" si="90"/>
        <v>4.0000000000000009</v>
      </c>
      <c r="AE266" s="369">
        <f t="shared" ca="1" si="91"/>
        <v>30.666666666666671</v>
      </c>
      <c r="AF266" s="96" t="s">
        <v>248</v>
      </c>
      <c r="AG266" s="442"/>
      <c r="AH266" s="118"/>
      <c r="AI266" s="115"/>
      <c r="AJ266" s="115"/>
      <c r="AK266" s="115"/>
      <c r="AL266" s="122"/>
      <c r="AM266" s="337"/>
      <c r="AN266" s="338"/>
      <c r="AO266" s="338"/>
      <c r="AP266" s="338"/>
      <c r="AQ266" s="339"/>
    </row>
    <row r="267" spans="1:43" ht="36" customHeight="1">
      <c r="A267" s="355">
        <v>263</v>
      </c>
      <c r="B267" s="12" t="s">
        <v>7</v>
      </c>
      <c r="C267" s="286" t="s">
        <v>6</v>
      </c>
      <c r="D267" s="5" t="s">
        <v>1067</v>
      </c>
      <c r="E267" s="6" t="s">
        <v>1174</v>
      </c>
      <c r="F267" s="473">
        <v>168000</v>
      </c>
      <c r="G267" s="52">
        <v>3</v>
      </c>
      <c r="H267" s="57">
        <v>0.3</v>
      </c>
      <c r="I267" s="65">
        <v>6.0000000000000036</v>
      </c>
      <c r="J267" s="66">
        <v>6.0000000000000036</v>
      </c>
      <c r="K267" s="66">
        <v>1</v>
      </c>
      <c r="L267" s="66">
        <v>4.0000000000000027</v>
      </c>
      <c r="M267" s="66">
        <v>4.0000000000000027</v>
      </c>
      <c r="N267" s="66">
        <v>6.0000000000000036</v>
      </c>
      <c r="O267" s="66">
        <v>2</v>
      </c>
      <c r="P267" s="67">
        <v>6.0000000000000036</v>
      </c>
      <c r="Q267" s="70" t="e">
        <f ca="1">(#REF!-(YEAR(TODAY())-#REF!))/#REF!</f>
        <v>#REF!</v>
      </c>
      <c r="R267" s="70">
        <f t="shared" ca="1" si="78"/>
        <v>0.3</v>
      </c>
      <c r="S267" s="74">
        <f t="shared" si="79"/>
        <v>0.94736842105263208</v>
      </c>
      <c r="T267" s="74">
        <f t="shared" si="80"/>
        <v>0.63157894736842146</v>
      </c>
      <c r="U267" s="74">
        <f t="shared" si="81"/>
        <v>0.14035087719298245</v>
      </c>
      <c r="V267" s="74">
        <f t="shared" si="82"/>
        <v>0.7017543859649128</v>
      </c>
      <c r="W267" s="74">
        <f t="shared" si="83"/>
        <v>0.3508771929824564</v>
      </c>
      <c r="X267" s="74">
        <f t="shared" si="84"/>
        <v>0.73684210526315841</v>
      </c>
      <c r="Y267" s="74">
        <f t="shared" si="85"/>
        <v>0.21052631578947367</v>
      </c>
      <c r="Z267" s="75">
        <f t="shared" si="86"/>
        <v>0.63157894736842146</v>
      </c>
      <c r="AA267" s="76">
        <f t="shared" si="87"/>
        <v>0.7</v>
      </c>
      <c r="AB267" s="76">
        <f t="shared" ca="1" si="88"/>
        <v>0.7</v>
      </c>
      <c r="AC267" s="77">
        <f t="shared" ca="1" si="89"/>
        <v>0.69999999999999984</v>
      </c>
      <c r="AD267" s="359">
        <f t="shared" si="90"/>
        <v>4.3508771929824581</v>
      </c>
      <c r="AE267" s="369">
        <f t="shared" ca="1" si="91"/>
        <v>30.456140350877199</v>
      </c>
      <c r="AF267" s="96" t="s">
        <v>248</v>
      </c>
      <c r="AG267" s="442"/>
      <c r="AH267" s="118"/>
      <c r="AI267" s="115"/>
      <c r="AJ267" s="115"/>
      <c r="AK267" s="115"/>
      <c r="AL267" s="122"/>
      <c r="AM267" s="340"/>
      <c r="AN267" s="338"/>
      <c r="AO267" s="338"/>
      <c r="AP267" s="338"/>
      <c r="AQ267" s="339"/>
    </row>
    <row r="268" spans="1:43" ht="36" customHeight="1">
      <c r="A268" s="355">
        <v>264</v>
      </c>
      <c r="B268" s="4" t="s">
        <v>14</v>
      </c>
      <c r="C268" s="286" t="s">
        <v>6</v>
      </c>
      <c r="D268" s="16" t="s">
        <v>136</v>
      </c>
      <c r="E268" s="18" t="s">
        <v>1111</v>
      </c>
      <c r="F268" s="476">
        <v>123000</v>
      </c>
      <c r="G268" s="52">
        <v>3</v>
      </c>
      <c r="H268" s="57">
        <v>0.1</v>
      </c>
      <c r="I268" s="65">
        <v>4.0000000000000027</v>
      </c>
      <c r="J268" s="66">
        <v>6.0000000000000036</v>
      </c>
      <c r="K268" s="66">
        <v>4</v>
      </c>
      <c r="L268" s="66">
        <v>4.0000000000000027</v>
      </c>
      <c r="M268" s="66">
        <v>3</v>
      </c>
      <c r="N268" s="66">
        <v>6.0000000000000036</v>
      </c>
      <c r="O268" s="66">
        <v>0</v>
      </c>
      <c r="P268" s="67">
        <v>4.0000000000000027</v>
      </c>
      <c r="Q268" s="70" t="e">
        <f ca="1">(#REF!-(YEAR(TODAY())-#REF!))/#REF!</f>
        <v>#REF!</v>
      </c>
      <c r="R268" s="70">
        <f t="shared" ca="1" si="78"/>
        <v>0.1</v>
      </c>
      <c r="S268" s="74">
        <f t="shared" si="79"/>
        <v>0.63157894736842146</v>
      </c>
      <c r="T268" s="74">
        <f t="shared" si="80"/>
        <v>0.63157894736842146</v>
      </c>
      <c r="U268" s="74">
        <f t="shared" si="81"/>
        <v>0.56140350877192979</v>
      </c>
      <c r="V268" s="74">
        <f t="shared" si="82"/>
        <v>0.7017543859649128</v>
      </c>
      <c r="W268" s="74">
        <f t="shared" si="83"/>
        <v>0.26315789473684209</v>
      </c>
      <c r="X268" s="74">
        <f t="shared" si="84"/>
        <v>0.73684210526315841</v>
      </c>
      <c r="Y268" s="74">
        <f t="shared" si="85"/>
        <v>0</v>
      </c>
      <c r="Z268" s="75">
        <f t="shared" si="86"/>
        <v>0.42105263157894762</v>
      </c>
      <c r="AA268" s="76">
        <f t="shared" si="87"/>
        <v>0.7</v>
      </c>
      <c r="AB268" s="76">
        <f t="shared" ca="1" si="88"/>
        <v>0.9</v>
      </c>
      <c r="AC268" s="77">
        <f t="shared" ca="1" si="89"/>
        <v>0.76666666666666661</v>
      </c>
      <c r="AD268" s="359">
        <f t="shared" si="90"/>
        <v>3.9473684210526336</v>
      </c>
      <c r="AE268" s="369">
        <f t="shared" ca="1" si="91"/>
        <v>30.263157894736853</v>
      </c>
      <c r="AF268" s="96" t="s">
        <v>248</v>
      </c>
      <c r="AG268" s="114"/>
      <c r="AH268" s="118"/>
      <c r="AI268" s="115"/>
      <c r="AJ268" s="115"/>
      <c r="AK268" s="115"/>
      <c r="AL268" s="122"/>
      <c r="AM268" s="337"/>
      <c r="AN268" s="338"/>
      <c r="AO268" s="338"/>
      <c r="AP268" s="338"/>
      <c r="AQ268" s="339"/>
    </row>
    <row r="269" spans="1:43" ht="36" customHeight="1">
      <c r="A269" s="355">
        <v>265</v>
      </c>
      <c r="B269" s="4" t="s">
        <v>11</v>
      </c>
      <c r="C269" s="286" t="s">
        <v>12</v>
      </c>
      <c r="D269" s="13" t="s">
        <v>330</v>
      </c>
      <c r="E269" s="22" t="s">
        <v>1121</v>
      </c>
      <c r="F269" s="479">
        <v>209600</v>
      </c>
      <c r="G269" s="52">
        <v>4</v>
      </c>
      <c r="H269" s="57">
        <v>0.4</v>
      </c>
      <c r="I269" s="65">
        <v>7</v>
      </c>
      <c r="J269" s="66">
        <v>6</v>
      </c>
      <c r="K269" s="66">
        <v>4.0000000000000027</v>
      </c>
      <c r="L269" s="66">
        <v>6.0000000000000036</v>
      </c>
      <c r="M269" s="66">
        <v>4.0000000000000027</v>
      </c>
      <c r="N269" s="66">
        <v>4.0000000000000027</v>
      </c>
      <c r="O269" s="66">
        <v>0</v>
      </c>
      <c r="P269" s="67">
        <v>8</v>
      </c>
      <c r="Q269" s="70" t="e">
        <f ca="1">(#REF!-(YEAR(TODAY())-#REF!))/#REF!</f>
        <v>#REF!</v>
      </c>
      <c r="R269" s="70">
        <f t="shared" ca="1" si="78"/>
        <v>0.4</v>
      </c>
      <c r="S269" s="74">
        <f t="shared" si="79"/>
        <v>1.1052631578947369</v>
      </c>
      <c r="T269" s="74">
        <f t="shared" si="80"/>
        <v>0.63157894736842102</v>
      </c>
      <c r="U269" s="74">
        <f t="shared" si="81"/>
        <v>0.56140350877193024</v>
      </c>
      <c r="V269" s="74">
        <f t="shared" si="82"/>
        <v>1.052631578947369</v>
      </c>
      <c r="W269" s="74">
        <f t="shared" si="83"/>
        <v>0.3508771929824564</v>
      </c>
      <c r="X269" s="74">
        <f t="shared" si="84"/>
        <v>0.4912280701754389</v>
      </c>
      <c r="Y269" s="74">
        <f t="shared" si="85"/>
        <v>0</v>
      </c>
      <c r="Z269" s="75">
        <f t="shared" si="86"/>
        <v>0.84210526315789469</v>
      </c>
      <c r="AA269" s="76">
        <f t="shared" si="87"/>
        <v>0.6</v>
      </c>
      <c r="AB269" s="76">
        <f t="shared" ca="1" si="88"/>
        <v>0.6</v>
      </c>
      <c r="AC269" s="77">
        <f t="shared" ca="1" si="89"/>
        <v>0.6</v>
      </c>
      <c r="AD269" s="359">
        <f t="shared" si="90"/>
        <v>5.0350877192982475</v>
      </c>
      <c r="AE269" s="369">
        <f t="shared" ca="1" si="91"/>
        <v>30.210526315789483</v>
      </c>
      <c r="AF269" s="96" t="s">
        <v>261</v>
      </c>
      <c r="AG269" s="442"/>
      <c r="AH269" s="118"/>
      <c r="AI269" s="115"/>
      <c r="AJ269" s="115"/>
      <c r="AK269" s="115"/>
      <c r="AL269" s="122"/>
      <c r="AM269" s="337"/>
      <c r="AN269" s="338"/>
      <c r="AO269" s="338"/>
      <c r="AP269" s="338"/>
      <c r="AQ269" s="339"/>
    </row>
    <row r="270" spans="1:43" ht="36" customHeight="1">
      <c r="A270" s="355">
        <v>266</v>
      </c>
      <c r="B270" s="4" t="s">
        <v>5</v>
      </c>
      <c r="C270" s="286" t="s">
        <v>6</v>
      </c>
      <c r="D270" s="5" t="s">
        <v>203</v>
      </c>
      <c r="E270" s="7" t="s">
        <v>936</v>
      </c>
      <c r="F270" s="473">
        <v>825000</v>
      </c>
      <c r="G270" s="51">
        <v>5</v>
      </c>
      <c r="H270" s="57">
        <v>0.5</v>
      </c>
      <c r="I270" s="65">
        <v>6.0000000000000036</v>
      </c>
      <c r="J270" s="66">
        <v>8.0000000000000053</v>
      </c>
      <c r="K270" s="66">
        <v>6.0000000000000036</v>
      </c>
      <c r="L270" s="66">
        <v>6.0000000000000036</v>
      </c>
      <c r="M270" s="66">
        <v>4.0000000000000027</v>
      </c>
      <c r="N270" s="66">
        <v>6.0000000000000036</v>
      </c>
      <c r="O270" s="66">
        <v>6</v>
      </c>
      <c r="P270" s="67">
        <v>6.0000000000000036</v>
      </c>
      <c r="Q270" s="70" t="e">
        <f ca="1">(#REF!-(YEAR(TODAY())-#REF!))/#REF!</f>
        <v>#REF!</v>
      </c>
      <c r="R270" s="70">
        <f t="shared" ca="1" si="78"/>
        <v>0.5</v>
      </c>
      <c r="S270" s="74">
        <f t="shared" si="79"/>
        <v>0.94736842105263208</v>
      </c>
      <c r="T270" s="74">
        <f t="shared" si="80"/>
        <v>0.84210526315789525</v>
      </c>
      <c r="U270" s="74">
        <f t="shared" si="81"/>
        <v>0.84210526315789525</v>
      </c>
      <c r="V270" s="74">
        <f t="shared" si="82"/>
        <v>1.052631578947369</v>
      </c>
      <c r="W270" s="74">
        <f t="shared" si="83"/>
        <v>0.3508771929824564</v>
      </c>
      <c r="X270" s="74">
        <f t="shared" si="84"/>
        <v>0.73684210526315841</v>
      </c>
      <c r="Y270" s="74">
        <f t="shared" si="85"/>
        <v>0.63157894736842102</v>
      </c>
      <c r="Z270" s="75">
        <f t="shared" si="86"/>
        <v>0.63157894736842146</v>
      </c>
      <c r="AA270" s="76">
        <f t="shared" si="87"/>
        <v>0.5</v>
      </c>
      <c r="AB270" s="76">
        <f t="shared" ca="1" si="88"/>
        <v>0.5</v>
      </c>
      <c r="AC270" s="77">
        <f t="shared" ca="1" si="89"/>
        <v>0.5</v>
      </c>
      <c r="AD270" s="359">
        <f t="shared" si="90"/>
        <v>6.0350877192982493</v>
      </c>
      <c r="AE270" s="369">
        <f t="shared" ca="1" si="91"/>
        <v>30.175438596491247</v>
      </c>
      <c r="AF270" s="95" t="s">
        <v>248</v>
      </c>
      <c r="AG270" s="113"/>
      <c r="AH270" s="118"/>
      <c r="AI270" s="115"/>
      <c r="AJ270" s="115"/>
      <c r="AK270" s="115"/>
      <c r="AL270" s="122"/>
      <c r="AM270" s="337"/>
      <c r="AN270" s="338"/>
      <c r="AO270" s="338"/>
      <c r="AP270" s="338"/>
      <c r="AQ270" s="339"/>
    </row>
    <row r="271" spans="1:43" ht="36" customHeight="1">
      <c r="A271" s="355">
        <v>267</v>
      </c>
      <c r="B271" s="4" t="s">
        <v>5</v>
      </c>
      <c r="C271" s="286" t="s">
        <v>6</v>
      </c>
      <c r="D271" s="5" t="s">
        <v>229</v>
      </c>
      <c r="E271" s="7" t="s">
        <v>1064</v>
      </c>
      <c r="F271" s="473">
        <v>200000</v>
      </c>
      <c r="G271" s="51">
        <v>4</v>
      </c>
      <c r="H271" s="57">
        <v>0.5</v>
      </c>
      <c r="I271" s="65">
        <v>6.0000000000000036</v>
      </c>
      <c r="J271" s="66">
        <v>8.0000000000000053</v>
      </c>
      <c r="K271" s="66">
        <v>4.0000000000000027</v>
      </c>
      <c r="L271" s="66">
        <v>6.0000000000000036</v>
      </c>
      <c r="M271" s="66">
        <v>1</v>
      </c>
      <c r="N271" s="66">
        <v>8</v>
      </c>
      <c r="O271" s="66">
        <v>0</v>
      </c>
      <c r="P271" s="67">
        <v>8</v>
      </c>
      <c r="Q271" s="70" t="e">
        <f ca="1">(#REF!-(YEAR(TODAY())-#REF!))/#REF!</f>
        <v>#REF!</v>
      </c>
      <c r="R271" s="70">
        <f t="shared" ca="1" si="78"/>
        <v>0.5</v>
      </c>
      <c r="S271" s="74">
        <f t="shared" si="79"/>
        <v>0.94736842105263208</v>
      </c>
      <c r="T271" s="74">
        <f t="shared" si="80"/>
        <v>0.84210526315789525</v>
      </c>
      <c r="U271" s="74">
        <f t="shared" si="81"/>
        <v>0.56140350877193024</v>
      </c>
      <c r="V271" s="74">
        <f t="shared" si="82"/>
        <v>1.052631578947369</v>
      </c>
      <c r="W271" s="74">
        <f t="shared" si="83"/>
        <v>8.771929824561403E-2</v>
      </c>
      <c r="X271" s="74">
        <f t="shared" si="84"/>
        <v>0.98245614035087714</v>
      </c>
      <c r="Y271" s="74">
        <f t="shared" si="85"/>
        <v>0</v>
      </c>
      <c r="Z271" s="75">
        <f t="shared" si="86"/>
        <v>0.84210526315789469</v>
      </c>
      <c r="AA271" s="76">
        <f t="shared" si="87"/>
        <v>0.6</v>
      </c>
      <c r="AB271" s="76">
        <f t="shared" ca="1" si="88"/>
        <v>0.5</v>
      </c>
      <c r="AC271" s="77">
        <f t="shared" ca="1" si="89"/>
        <v>0.56666666666666665</v>
      </c>
      <c r="AD271" s="359">
        <f t="shared" si="90"/>
        <v>5.3157894736842124</v>
      </c>
      <c r="AE271" s="369">
        <f t="shared" ca="1" si="91"/>
        <v>30.12280701754387</v>
      </c>
      <c r="AF271" s="95" t="s">
        <v>248</v>
      </c>
      <c r="AG271" s="440"/>
      <c r="AH271" s="118"/>
      <c r="AI271" s="115"/>
      <c r="AJ271" s="115"/>
      <c r="AK271" s="115"/>
      <c r="AL271" s="122"/>
      <c r="AM271" s="337"/>
      <c r="AN271" s="338"/>
      <c r="AO271" s="338"/>
      <c r="AP271" s="338"/>
      <c r="AQ271" s="339"/>
    </row>
    <row r="272" spans="1:43" ht="36" customHeight="1">
      <c r="A272" s="355">
        <v>268</v>
      </c>
      <c r="B272" s="4" t="s">
        <v>5</v>
      </c>
      <c r="C272" s="286" t="s">
        <v>6</v>
      </c>
      <c r="D272" s="5" t="s">
        <v>208</v>
      </c>
      <c r="E272" s="6" t="s">
        <v>1076</v>
      </c>
      <c r="F272" s="473">
        <v>365000</v>
      </c>
      <c r="G272" s="52">
        <v>4</v>
      </c>
      <c r="H272" s="57">
        <v>0.5</v>
      </c>
      <c r="I272" s="65">
        <v>6.0000000000000036</v>
      </c>
      <c r="J272" s="66">
        <v>8.0000000000000053</v>
      </c>
      <c r="K272" s="66">
        <v>4.0000000000000027</v>
      </c>
      <c r="L272" s="66">
        <v>6.0000000000000036</v>
      </c>
      <c r="M272" s="66">
        <v>1</v>
      </c>
      <c r="N272" s="66">
        <v>8</v>
      </c>
      <c r="O272" s="66">
        <v>0</v>
      </c>
      <c r="P272" s="67">
        <v>8</v>
      </c>
      <c r="Q272" s="70" t="e">
        <f ca="1">(#REF!-(YEAR(TODAY())-#REF!))/#REF!</f>
        <v>#REF!</v>
      </c>
      <c r="R272" s="70">
        <f t="shared" ca="1" si="78"/>
        <v>0.5</v>
      </c>
      <c r="S272" s="74">
        <f t="shared" si="79"/>
        <v>0.94736842105263208</v>
      </c>
      <c r="T272" s="74">
        <f t="shared" si="80"/>
        <v>0.84210526315789525</v>
      </c>
      <c r="U272" s="74">
        <f t="shared" si="81"/>
        <v>0.56140350877193024</v>
      </c>
      <c r="V272" s="74">
        <f t="shared" si="82"/>
        <v>1.052631578947369</v>
      </c>
      <c r="W272" s="74">
        <f t="shared" si="83"/>
        <v>8.771929824561403E-2</v>
      </c>
      <c r="X272" s="74">
        <f t="shared" si="84"/>
        <v>0.98245614035087714</v>
      </c>
      <c r="Y272" s="74">
        <f t="shared" si="85"/>
        <v>0</v>
      </c>
      <c r="Z272" s="75">
        <f t="shared" si="86"/>
        <v>0.84210526315789469</v>
      </c>
      <c r="AA272" s="76">
        <f t="shared" si="87"/>
        <v>0.6</v>
      </c>
      <c r="AB272" s="76">
        <f t="shared" ca="1" si="88"/>
        <v>0.5</v>
      </c>
      <c r="AC272" s="77">
        <f t="shared" ca="1" si="89"/>
        <v>0.56666666666666665</v>
      </c>
      <c r="AD272" s="359">
        <f t="shared" si="90"/>
        <v>5.3157894736842124</v>
      </c>
      <c r="AE272" s="369">
        <f t="shared" ca="1" si="91"/>
        <v>30.12280701754387</v>
      </c>
      <c r="AF272" s="96" t="s">
        <v>248</v>
      </c>
      <c r="AG272" s="442"/>
      <c r="AH272" s="118"/>
      <c r="AI272" s="115"/>
      <c r="AJ272" s="115"/>
      <c r="AK272" s="115"/>
      <c r="AL272" s="122"/>
      <c r="AM272" s="337"/>
      <c r="AN272" s="338"/>
      <c r="AO272" s="338"/>
      <c r="AP272" s="338"/>
      <c r="AQ272" s="339"/>
    </row>
    <row r="273" spans="1:43" ht="36" customHeight="1">
      <c r="A273" s="355">
        <v>269</v>
      </c>
      <c r="B273" s="4" t="s">
        <v>5</v>
      </c>
      <c r="C273" s="286" t="s">
        <v>6</v>
      </c>
      <c r="D273" s="5" t="s">
        <v>214</v>
      </c>
      <c r="E273" s="7" t="s">
        <v>937</v>
      </c>
      <c r="F273" s="473">
        <v>185000</v>
      </c>
      <c r="G273" s="52">
        <v>4</v>
      </c>
      <c r="H273" s="57">
        <v>0.5</v>
      </c>
      <c r="I273" s="65">
        <v>6.0000000000000036</v>
      </c>
      <c r="J273" s="66">
        <v>8.0000000000000053</v>
      </c>
      <c r="K273" s="66">
        <v>4.0000000000000027</v>
      </c>
      <c r="L273" s="66">
        <v>6.0000000000000036</v>
      </c>
      <c r="M273" s="66">
        <v>1</v>
      </c>
      <c r="N273" s="66">
        <v>8</v>
      </c>
      <c r="O273" s="66">
        <v>0</v>
      </c>
      <c r="P273" s="67">
        <v>8</v>
      </c>
      <c r="Q273" s="70" t="e">
        <f ca="1">(#REF!-(YEAR(TODAY())-#REF!))/#REF!</f>
        <v>#REF!</v>
      </c>
      <c r="R273" s="70">
        <f t="shared" ca="1" si="78"/>
        <v>0.5</v>
      </c>
      <c r="S273" s="74">
        <f t="shared" si="79"/>
        <v>0.94736842105263208</v>
      </c>
      <c r="T273" s="74">
        <f t="shared" si="80"/>
        <v>0.84210526315789525</v>
      </c>
      <c r="U273" s="74">
        <f t="shared" si="81"/>
        <v>0.56140350877193024</v>
      </c>
      <c r="V273" s="74">
        <f t="shared" si="82"/>
        <v>1.052631578947369</v>
      </c>
      <c r="W273" s="74">
        <f t="shared" si="83"/>
        <v>8.771929824561403E-2</v>
      </c>
      <c r="X273" s="74">
        <f t="shared" si="84"/>
        <v>0.98245614035087714</v>
      </c>
      <c r="Y273" s="74">
        <f t="shared" si="85"/>
        <v>0</v>
      </c>
      <c r="Z273" s="75">
        <f t="shared" si="86"/>
        <v>0.84210526315789469</v>
      </c>
      <c r="AA273" s="76">
        <f t="shared" si="87"/>
        <v>0.6</v>
      </c>
      <c r="AB273" s="76">
        <f t="shared" ca="1" si="88"/>
        <v>0.5</v>
      </c>
      <c r="AC273" s="77">
        <f t="shared" ca="1" si="89"/>
        <v>0.56666666666666665</v>
      </c>
      <c r="AD273" s="359">
        <f t="shared" si="90"/>
        <v>5.3157894736842124</v>
      </c>
      <c r="AE273" s="369">
        <f t="shared" ca="1" si="91"/>
        <v>30.12280701754387</v>
      </c>
      <c r="AF273" s="96" t="s">
        <v>248</v>
      </c>
      <c r="AG273" s="442"/>
      <c r="AH273" s="118"/>
      <c r="AI273" s="115"/>
      <c r="AJ273" s="115"/>
      <c r="AK273" s="115"/>
      <c r="AL273" s="122"/>
      <c r="AM273" s="337"/>
      <c r="AN273" s="338"/>
      <c r="AO273" s="338"/>
      <c r="AP273" s="338"/>
      <c r="AQ273" s="339"/>
    </row>
    <row r="274" spans="1:43" ht="36" customHeight="1">
      <c r="A274" s="355">
        <v>270</v>
      </c>
      <c r="B274" s="4" t="s">
        <v>5</v>
      </c>
      <c r="C274" s="286" t="s">
        <v>6</v>
      </c>
      <c r="D274" s="5" t="s">
        <v>1022</v>
      </c>
      <c r="E274" s="7" t="s">
        <v>938</v>
      </c>
      <c r="F274" s="473">
        <v>300000</v>
      </c>
      <c r="G274" s="52">
        <v>4</v>
      </c>
      <c r="H274" s="57">
        <v>0.5</v>
      </c>
      <c r="I274" s="65">
        <v>6.0000000000000036</v>
      </c>
      <c r="J274" s="66">
        <v>8.0000000000000053</v>
      </c>
      <c r="K274" s="66">
        <v>4.0000000000000027</v>
      </c>
      <c r="L274" s="66">
        <v>6.0000000000000036</v>
      </c>
      <c r="M274" s="66">
        <v>1</v>
      </c>
      <c r="N274" s="66">
        <v>8</v>
      </c>
      <c r="O274" s="66">
        <v>0</v>
      </c>
      <c r="P274" s="67">
        <v>8</v>
      </c>
      <c r="Q274" s="70" t="e">
        <f ca="1">(#REF!-(YEAR(TODAY())-#REF!))/#REF!</f>
        <v>#REF!</v>
      </c>
      <c r="R274" s="70">
        <f t="shared" ca="1" si="78"/>
        <v>0.5</v>
      </c>
      <c r="S274" s="74">
        <f t="shared" si="79"/>
        <v>0.94736842105263208</v>
      </c>
      <c r="T274" s="74">
        <f t="shared" si="80"/>
        <v>0.84210526315789525</v>
      </c>
      <c r="U274" s="74">
        <f t="shared" si="81"/>
        <v>0.56140350877193024</v>
      </c>
      <c r="V274" s="74">
        <f t="shared" si="82"/>
        <v>1.052631578947369</v>
      </c>
      <c r="W274" s="74">
        <f t="shared" si="83"/>
        <v>8.771929824561403E-2</v>
      </c>
      <c r="X274" s="74">
        <f t="shared" si="84"/>
        <v>0.98245614035087714</v>
      </c>
      <c r="Y274" s="74">
        <f t="shared" si="85"/>
        <v>0</v>
      </c>
      <c r="Z274" s="75">
        <f t="shared" si="86"/>
        <v>0.84210526315789469</v>
      </c>
      <c r="AA274" s="76">
        <f t="shared" si="87"/>
        <v>0.6</v>
      </c>
      <c r="AB274" s="76">
        <f t="shared" ca="1" si="88"/>
        <v>0.5</v>
      </c>
      <c r="AC274" s="77">
        <f t="shared" ca="1" si="89"/>
        <v>0.56666666666666665</v>
      </c>
      <c r="AD274" s="359">
        <f t="shared" si="90"/>
        <v>5.3157894736842124</v>
      </c>
      <c r="AE274" s="369">
        <f t="shared" ca="1" si="91"/>
        <v>30.12280701754387</v>
      </c>
      <c r="AF274" s="96" t="s">
        <v>248</v>
      </c>
      <c r="AG274" s="442"/>
      <c r="AH274" s="118"/>
      <c r="AI274" s="115"/>
      <c r="AJ274" s="115"/>
      <c r="AK274" s="115"/>
      <c r="AL274" s="122"/>
      <c r="AM274" s="337"/>
      <c r="AN274" s="338"/>
      <c r="AO274" s="338"/>
      <c r="AP274" s="338"/>
      <c r="AQ274" s="339"/>
    </row>
    <row r="275" spans="1:43" ht="36" customHeight="1">
      <c r="A275" s="355">
        <v>271</v>
      </c>
      <c r="B275" s="4" t="s">
        <v>5</v>
      </c>
      <c r="C275" s="286" t="s">
        <v>6</v>
      </c>
      <c r="D275" s="5" t="s">
        <v>233</v>
      </c>
      <c r="E275" s="6" t="s">
        <v>1084</v>
      </c>
      <c r="F275" s="473">
        <v>940000</v>
      </c>
      <c r="G275" s="52">
        <v>4</v>
      </c>
      <c r="H275" s="57">
        <v>0.5</v>
      </c>
      <c r="I275" s="65">
        <v>6.0000000000000036</v>
      </c>
      <c r="J275" s="66">
        <v>8</v>
      </c>
      <c r="K275" s="66">
        <v>4.0000000000000027</v>
      </c>
      <c r="L275" s="66">
        <v>6.0000000000000036</v>
      </c>
      <c r="M275" s="66">
        <v>1</v>
      </c>
      <c r="N275" s="66">
        <v>8</v>
      </c>
      <c r="O275" s="66">
        <v>0</v>
      </c>
      <c r="P275" s="67">
        <v>8</v>
      </c>
      <c r="Q275" s="70" t="e">
        <f ca="1">(#REF!-(YEAR(TODAY())-#REF!))/#REF!</f>
        <v>#REF!</v>
      </c>
      <c r="R275" s="70">
        <f t="shared" ca="1" si="78"/>
        <v>0.5</v>
      </c>
      <c r="S275" s="74">
        <f t="shared" si="79"/>
        <v>0.94736842105263208</v>
      </c>
      <c r="T275" s="74">
        <f t="shared" si="80"/>
        <v>0.84210526315789469</v>
      </c>
      <c r="U275" s="74">
        <f t="shared" si="81"/>
        <v>0.56140350877193024</v>
      </c>
      <c r="V275" s="74">
        <f t="shared" si="82"/>
        <v>1.052631578947369</v>
      </c>
      <c r="W275" s="74">
        <f t="shared" si="83"/>
        <v>8.771929824561403E-2</v>
      </c>
      <c r="X275" s="74">
        <f t="shared" si="84"/>
        <v>0.98245614035087714</v>
      </c>
      <c r="Y275" s="74">
        <f t="shared" si="85"/>
        <v>0</v>
      </c>
      <c r="Z275" s="75">
        <f t="shared" si="86"/>
        <v>0.84210526315789469</v>
      </c>
      <c r="AA275" s="76">
        <f t="shared" si="87"/>
        <v>0.6</v>
      </c>
      <c r="AB275" s="76">
        <f t="shared" ca="1" si="88"/>
        <v>0.5</v>
      </c>
      <c r="AC275" s="77">
        <f t="shared" ca="1" si="89"/>
        <v>0.56666666666666665</v>
      </c>
      <c r="AD275" s="359">
        <f t="shared" si="90"/>
        <v>5.3157894736842115</v>
      </c>
      <c r="AE275" s="369">
        <f t="shared" ca="1" si="91"/>
        <v>30.122807017543863</v>
      </c>
      <c r="AF275" s="96" t="s">
        <v>248</v>
      </c>
      <c r="AG275" s="442"/>
      <c r="AH275" s="118"/>
      <c r="AI275" s="115"/>
      <c r="AJ275" s="115"/>
      <c r="AK275" s="115"/>
      <c r="AL275" s="122"/>
      <c r="AM275" s="337"/>
      <c r="AN275" s="338"/>
      <c r="AO275" s="338"/>
      <c r="AP275" s="338"/>
      <c r="AQ275" s="339"/>
    </row>
    <row r="276" spans="1:43" ht="36" customHeight="1">
      <c r="A276" s="355">
        <v>272</v>
      </c>
      <c r="B276" s="4" t="s">
        <v>16</v>
      </c>
      <c r="C276" s="286" t="s">
        <v>1052</v>
      </c>
      <c r="D276" s="8" t="s">
        <v>832</v>
      </c>
      <c r="E276" s="21" t="s">
        <v>896</v>
      </c>
      <c r="F276" s="476">
        <v>900000</v>
      </c>
      <c r="G276" s="52">
        <v>4</v>
      </c>
      <c r="H276" s="57">
        <v>0.4</v>
      </c>
      <c r="I276" s="65">
        <v>6</v>
      </c>
      <c r="J276" s="66">
        <v>8.0000000000000053</v>
      </c>
      <c r="K276" s="66">
        <v>4.0000000000000027</v>
      </c>
      <c r="L276" s="66">
        <v>2</v>
      </c>
      <c r="M276" s="66">
        <v>6</v>
      </c>
      <c r="N276" s="66">
        <v>6.0000000000000036</v>
      </c>
      <c r="O276" s="66">
        <v>0</v>
      </c>
      <c r="P276" s="67">
        <v>9.9999999999999982</v>
      </c>
      <c r="Q276" s="70" t="e">
        <f ca="1">(#REF!-(YEAR(TODAY())-#REF!))/#REF!</f>
        <v>#REF!</v>
      </c>
      <c r="R276" s="70">
        <f t="shared" ca="1" si="78"/>
        <v>0.4</v>
      </c>
      <c r="S276" s="74">
        <f t="shared" si="79"/>
        <v>0.94736842105263153</v>
      </c>
      <c r="T276" s="74">
        <f t="shared" si="80"/>
        <v>0.84210526315789525</v>
      </c>
      <c r="U276" s="74">
        <f t="shared" si="81"/>
        <v>0.56140350877193024</v>
      </c>
      <c r="V276" s="74">
        <f t="shared" si="82"/>
        <v>0.35087719298245612</v>
      </c>
      <c r="W276" s="74">
        <f t="shared" si="83"/>
        <v>0.52631578947368418</v>
      </c>
      <c r="X276" s="74">
        <f t="shared" si="84"/>
        <v>0.73684210526315841</v>
      </c>
      <c r="Y276" s="74">
        <f t="shared" si="85"/>
        <v>0</v>
      </c>
      <c r="Z276" s="75">
        <f t="shared" si="86"/>
        <v>1.0526315789473681</v>
      </c>
      <c r="AA276" s="76">
        <f t="shared" si="87"/>
        <v>0.6</v>
      </c>
      <c r="AB276" s="76">
        <f t="shared" ca="1" si="88"/>
        <v>0.6</v>
      </c>
      <c r="AC276" s="77">
        <f t="shared" ca="1" si="89"/>
        <v>0.6</v>
      </c>
      <c r="AD276" s="359">
        <f t="shared" si="90"/>
        <v>5.0175438596491242</v>
      </c>
      <c r="AE276" s="369">
        <f t="shared" ca="1" si="91"/>
        <v>30.105263157894747</v>
      </c>
      <c r="AF276" s="96" t="s">
        <v>257</v>
      </c>
      <c r="AG276" s="442"/>
      <c r="AH276" s="118"/>
      <c r="AI276" s="115"/>
      <c r="AJ276" s="115"/>
      <c r="AK276" s="115"/>
      <c r="AL276" s="122"/>
      <c r="AM276" s="337"/>
      <c r="AN276" s="338"/>
      <c r="AO276" s="338"/>
      <c r="AP276" s="338"/>
      <c r="AQ276" s="339"/>
    </row>
    <row r="277" spans="1:43" s="209" customFormat="1" ht="36" customHeight="1">
      <c r="A277" s="355">
        <v>273</v>
      </c>
      <c r="B277" s="4" t="s">
        <v>14</v>
      </c>
      <c r="C277" s="286" t="s">
        <v>6</v>
      </c>
      <c r="D277" s="16" t="s">
        <v>1090</v>
      </c>
      <c r="E277" s="18" t="s">
        <v>113</v>
      </c>
      <c r="F277" s="476">
        <v>86000</v>
      </c>
      <c r="G277" s="52">
        <v>4</v>
      </c>
      <c r="H277" s="57">
        <v>0.4</v>
      </c>
      <c r="I277" s="65">
        <v>4</v>
      </c>
      <c r="J277" s="66">
        <v>8.0000000000000053</v>
      </c>
      <c r="K277" s="66">
        <v>4</v>
      </c>
      <c r="L277" s="66">
        <v>6.0000000000000036</v>
      </c>
      <c r="M277" s="66">
        <v>1</v>
      </c>
      <c r="N277" s="66">
        <v>8.0000000000000053</v>
      </c>
      <c r="O277" s="66">
        <v>0</v>
      </c>
      <c r="P277" s="67">
        <v>8.0000000000000053</v>
      </c>
      <c r="Q277" s="70" t="e">
        <f ca="1">(#REF!-(YEAR(TODAY())-#REF!))/#REF!</f>
        <v>#REF!</v>
      </c>
      <c r="R277" s="70">
        <f t="shared" ca="1" si="78"/>
        <v>0.4</v>
      </c>
      <c r="S277" s="74">
        <f t="shared" si="79"/>
        <v>0.63157894736842102</v>
      </c>
      <c r="T277" s="74">
        <f t="shared" si="80"/>
        <v>0.84210526315789525</v>
      </c>
      <c r="U277" s="74">
        <f t="shared" si="81"/>
        <v>0.56140350877192979</v>
      </c>
      <c r="V277" s="74">
        <f t="shared" si="82"/>
        <v>1.052631578947369</v>
      </c>
      <c r="W277" s="74">
        <f t="shared" si="83"/>
        <v>8.771929824561403E-2</v>
      </c>
      <c r="X277" s="74">
        <f t="shared" si="84"/>
        <v>0.9824561403508778</v>
      </c>
      <c r="Y277" s="74">
        <f t="shared" si="85"/>
        <v>0</v>
      </c>
      <c r="Z277" s="75">
        <f t="shared" si="86"/>
        <v>0.84210526315789525</v>
      </c>
      <c r="AA277" s="76">
        <f t="shared" si="87"/>
        <v>0.6</v>
      </c>
      <c r="AB277" s="76">
        <f t="shared" ca="1" si="88"/>
        <v>0.6</v>
      </c>
      <c r="AC277" s="77">
        <f t="shared" ca="1" si="89"/>
        <v>0.6</v>
      </c>
      <c r="AD277" s="359">
        <f t="shared" si="90"/>
        <v>5.0000000000000027</v>
      </c>
      <c r="AE277" s="369">
        <f t="shared" ca="1" si="91"/>
        <v>30.000000000000014</v>
      </c>
      <c r="AF277" s="96" t="s">
        <v>1200</v>
      </c>
      <c r="AG277" s="114"/>
      <c r="AH277" s="118"/>
      <c r="AI277" s="115"/>
      <c r="AJ277" s="115"/>
      <c r="AK277" s="115"/>
      <c r="AL277" s="122"/>
      <c r="AM277" s="337"/>
      <c r="AN277" s="338"/>
      <c r="AO277" s="338"/>
      <c r="AP277" s="338"/>
      <c r="AQ277" s="339"/>
    </row>
    <row r="278" spans="1:43" ht="36" customHeight="1">
      <c r="A278" s="355">
        <v>274</v>
      </c>
      <c r="B278" s="1" t="s">
        <v>35</v>
      </c>
      <c r="C278" s="285" t="s">
        <v>6</v>
      </c>
      <c r="D278" s="289" t="s">
        <v>1104</v>
      </c>
      <c r="E278" s="290" t="s">
        <v>1105</v>
      </c>
      <c r="F278" s="474">
        <v>83500</v>
      </c>
      <c r="G278" s="295">
        <v>3</v>
      </c>
      <c r="H278" s="293">
        <v>0.3</v>
      </c>
      <c r="I278" s="65">
        <v>2</v>
      </c>
      <c r="J278" s="66">
        <v>8</v>
      </c>
      <c r="K278" s="66">
        <v>1</v>
      </c>
      <c r="L278" s="66">
        <v>8.0000000000000053</v>
      </c>
      <c r="M278" s="66">
        <v>0</v>
      </c>
      <c r="N278" s="66">
        <v>6</v>
      </c>
      <c r="O278" s="66">
        <v>0</v>
      </c>
      <c r="P278" s="67">
        <v>8.0000000000000053</v>
      </c>
      <c r="Q278" s="294" t="e">
        <f ca="1">(#REF!-(YEAR(TODAY())-#REF!))/#REF!</f>
        <v>#REF!</v>
      </c>
      <c r="R278" s="294">
        <f t="shared" ca="1" si="78"/>
        <v>0.3</v>
      </c>
      <c r="S278" s="74">
        <f t="shared" si="79"/>
        <v>0.31578947368421051</v>
      </c>
      <c r="T278" s="74">
        <f t="shared" si="80"/>
        <v>0.84210526315789469</v>
      </c>
      <c r="U278" s="74">
        <f t="shared" si="81"/>
        <v>0.14035087719298245</v>
      </c>
      <c r="V278" s="74">
        <f t="shared" si="82"/>
        <v>1.4035087719298256</v>
      </c>
      <c r="W278" s="74">
        <f t="shared" si="83"/>
        <v>0</v>
      </c>
      <c r="X278" s="74">
        <f t="shared" si="84"/>
        <v>0.73684210526315785</v>
      </c>
      <c r="Y278" s="74">
        <f t="shared" si="85"/>
        <v>0</v>
      </c>
      <c r="Z278" s="75">
        <f t="shared" si="86"/>
        <v>0.84210526315789525</v>
      </c>
      <c r="AA278" s="76">
        <f t="shared" si="87"/>
        <v>0.7</v>
      </c>
      <c r="AB278" s="76">
        <f t="shared" ca="1" si="88"/>
        <v>0.7</v>
      </c>
      <c r="AC278" s="77">
        <f t="shared" ca="1" si="89"/>
        <v>0.69999999999999984</v>
      </c>
      <c r="AD278" s="358">
        <f t="shared" si="90"/>
        <v>4.2807017543859667</v>
      </c>
      <c r="AE278" s="368">
        <f t="shared" ca="1" si="91"/>
        <v>29.96491228070176</v>
      </c>
      <c r="AF278" s="288" t="s">
        <v>1200</v>
      </c>
      <c r="AG278" s="443"/>
      <c r="AH278" s="118"/>
      <c r="AI278" s="115"/>
      <c r="AJ278" s="115"/>
      <c r="AK278" s="115"/>
      <c r="AL278" s="122"/>
      <c r="AM278" s="337"/>
      <c r="AN278" s="338"/>
      <c r="AO278" s="338"/>
      <c r="AP278" s="338"/>
      <c r="AQ278" s="339"/>
    </row>
    <row r="279" spans="1:43" ht="36" customHeight="1">
      <c r="A279" s="355">
        <v>275</v>
      </c>
      <c r="B279" s="4" t="s">
        <v>16</v>
      </c>
      <c r="C279" s="286" t="s">
        <v>6</v>
      </c>
      <c r="D279" s="16" t="s">
        <v>194</v>
      </c>
      <c r="E279" s="18" t="s">
        <v>195</v>
      </c>
      <c r="F279" s="476">
        <v>80000</v>
      </c>
      <c r="G279" s="52">
        <v>3</v>
      </c>
      <c r="H279" s="57">
        <v>0</v>
      </c>
      <c r="I279" s="65">
        <v>6.0000000000000036</v>
      </c>
      <c r="J279" s="66">
        <v>1</v>
      </c>
      <c r="K279" s="66">
        <v>4.0000000000000027</v>
      </c>
      <c r="L279" s="66">
        <v>1</v>
      </c>
      <c r="M279" s="66">
        <v>9.9999999999999982</v>
      </c>
      <c r="N279" s="66">
        <v>1</v>
      </c>
      <c r="O279" s="66">
        <v>3</v>
      </c>
      <c r="P279" s="67">
        <v>6.0000000000000036</v>
      </c>
      <c r="Q279" s="70" t="e">
        <f ca="1">(#REF!-(YEAR(TODAY())-#REF!))/#REF!</f>
        <v>#REF!</v>
      </c>
      <c r="R279" s="70">
        <f t="shared" ca="1" si="78"/>
        <v>0</v>
      </c>
      <c r="S279" s="74">
        <f t="shared" si="79"/>
        <v>0.94736842105263208</v>
      </c>
      <c r="T279" s="74">
        <f t="shared" si="80"/>
        <v>0.10526315789473684</v>
      </c>
      <c r="U279" s="74">
        <f t="shared" si="81"/>
        <v>0.56140350877193024</v>
      </c>
      <c r="V279" s="74">
        <f t="shared" si="82"/>
        <v>0.17543859649122806</v>
      </c>
      <c r="W279" s="74">
        <f t="shared" si="83"/>
        <v>0.87719298245614019</v>
      </c>
      <c r="X279" s="74">
        <f t="shared" si="84"/>
        <v>0.12280701754385964</v>
      </c>
      <c r="Y279" s="74">
        <f t="shared" si="85"/>
        <v>0.31578947368421051</v>
      </c>
      <c r="Z279" s="75">
        <f t="shared" si="86"/>
        <v>0.63157894736842146</v>
      </c>
      <c r="AA279" s="76">
        <f t="shared" si="87"/>
        <v>0.7</v>
      </c>
      <c r="AB279" s="76">
        <f t="shared" ca="1" si="88"/>
        <v>1</v>
      </c>
      <c r="AC279" s="77">
        <f t="shared" ca="1" si="89"/>
        <v>0.79999999999999993</v>
      </c>
      <c r="AD279" s="359">
        <f t="shared" si="90"/>
        <v>3.7368421052631593</v>
      </c>
      <c r="AE279" s="369">
        <f t="shared" ca="1" si="91"/>
        <v>29.894736842105271</v>
      </c>
      <c r="AF279" s="96" t="s">
        <v>248</v>
      </c>
      <c r="AG279" s="442"/>
      <c r="AH279" s="118"/>
      <c r="AI279" s="115"/>
      <c r="AJ279" s="115"/>
      <c r="AK279" s="115"/>
      <c r="AL279" s="122"/>
      <c r="AM279" s="340"/>
      <c r="AN279" s="338"/>
      <c r="AO279" s="338"/>
      <c r="AP279" s="338"/>
      <c r="AQ279" s="339"/>
    </row>
    <row r="280" spans="1:43" ht="36" customHeight="1">
      <c r="A280" s="355">
        <v>276</v>
      </c>
      <c r="B280" s="4" t="s">
        <v>16</v>
      </c>
      <c r="C280" s="286" t="s">
        <v>6</v>
      </c>
      <c r="D280" s="10" t="s">
        <v>110</v>
      </c>
      <c r="E280" s="128" t="s">
        <v>895</v>
      </c>
      <c r="F280" s="473">
        <v>350000</v>
      </c>
      <c r="G280" s="52">
        <v>3</v>
      </c>
      <c r="H280" s="57">
        <v>0.3</v>
      </c>
      <c r="I280" s="65">
        <v>6.0000000000000036</v>
      </c>
      <c r="J280" s="66">
        <v>4.0000000000000027</v>
      </c>
      <c r="K280" s="66">
        <v>6.0000000000000036</v>
      </c>
      <c r="L280" s="66">
        <v>2</v>
      </c>
      <c r="M280" s="66">
        <v>8.0000000000000053</v>
      </c>
      <c r="N280" s="66">
        <v>3</v>
      </c>
      <c r="O280" s="66">
        <v>0</v>
      </c>
      <c r="P280" s="67">
        <v>6.0000000000000036</v>
      </c>
      <c r="Q280" s="70" t="e">
        <f ca="1">(#REF!-(YEAR(TODAY())-#REF!))/#REF!</f>
        <v>#REF!</v>
      </c>
      <c r="R280" s="70">
        <f t="shared" ca="1" si="78"/>
        <v>0.3</v>
      </c>
      <c r="S280" s="74">
        <f t="shared" si="79"/>
        <v>0.94736842105263208</v>
      </c>
      <c r="T280" s="74">
        <f t="shared" si="80"/>
        <v>0.42105263157894762</v>
      </c>
      <c r="U280" s="74">
        <f t="shared" si="81"/>
        <v>0.84210526315789525</v>
      </c>
      <c r="V280" s="74">
        <f t="shared" si="82"/>
        <v>0.35087719298245612</v>
      </c>
      <c r="W280" s="74">
        <f t="shared" si="83"/>
        <v>0.7017543859649128</v>
      </c>
      <c r="X280" s="74">
        <f t="shared" si="84"/>
        <v>0.36842105263157893</v>
      </c>
      <c r="Y280" s="74">
        <f t="shared" si="85"/>
        <v>0</v>
      </c>
      <c r="Z280" s="75">
        <f t="shared" si="86"/>
        <v>0.63157894736842146</v>
      </c>
      <c r="AA280" s="76">
        <f t="shared" si="87"/>
        <v>0.7</v>
      </c>
      <c r="AB280" s="76">
        <f t="shared" ca="1" si="88"/>
        <v>0.7</v>
      </c>
      <c r="AC280" s="77">
        <f t="shared" ca="1" si="89"/>
        <v>0.69999999999999984</v>
      </c>
      <c r="AD280" s="359">
        <f t="shared" si="90"/>
        <v>4.2631578947368434</v>
      </c>
      <c r="AE280" s="369">
        <f t="shared" ca="1" si="91"/>
        <v>29.842105263157897</v>
      </c>
      <c r="AF280" s="96" t="s">
        <v>248</v>
      </c>
      <c r="AG280" s="442"/>
      <c r="AH280" s="118"/>
      <c r="AI280" s="115"/>
      <c r="AJ280" s="115"/>
      <c r="AK280" s="115"/>
      <c r="AL280" s="122"/>
      <c r="AM280" s="337"/>
      <c r="AN280" s="338"/>
      <c r="AO280" s="338"/>
      <c r="AP280" s="338"/>
      <c r="AQ280" s="339"/>
    </row>
    <row r="281" spans="1:43" ht="36" customHeight="1">
      <c r="A281" s="355">
        <v>277</v>
      </c>
      <c r="B281" s="4" t="s">
        <v>5</v>
      </c>
      <c r="C281" s="286" t="s">
        <v>6</v>
      </c>
      <c r="D281" s="5" t="s">
        <v>184</v>
      </c>
      <c r="E281" s="7" t="s">
        <v>939</v>
      </c>
      <c r="F281" s="473">
        <v>100000</v>
      </c>
      <c r="G281" s="51">
        <v>5</v>
      </c>
      <c r="H281" s="57">
        <v>0.3</v>
      </c>
      <c r="I281" s="65">
        <v>6.0000000000000036</v>
      </c>
      <c r="J281" s="66">
        <v>8.0000000000000053</v>
      </c>
      <c r="K281" s="66">
        <v>4.0000000000000027</v>
      </c>
      <c r="L281" s="66">
        <v>6.0000000000000036</v>
      </c>
      <c r="M281" s="66">
        <v>4.0000000000000027</v>
      </c>
      <c r="N281" s="66">
        <v>6.0000000000000036</v>
      </c>
      <c r="O281" s="66">
        <v>1</v>
      </c>
      <c r="P281" s="67">
        <v>6.0000000000000036</v>
      </c>
      <c r="Q281" s="70" t="e">
        <f ca="1">(#REF!-(YEAR(TODAY())-#REF!))/#REF!</f>
        <v>#REF!</v>
      </c>
      <c r="R281" s="70">
        <f t="shared" ca="1" si="78"/>
        <v>0.3</v>
      </c>
      <c r="S281" s="74">
        <f t="shared" si="79"/>
        <v>0.94736842105263208</v>
      </c>
      <c r="T281" s="74">
        <f t="shared" si="80"/>
        <v>0.84210526315789525</v>
      </c>
      <c r="U281" s="74">
        <f t="shared" si="81"/>
        <v>0.56140350877193024</v>
      </c>
      <c r="V281" s="74">
        <f t="shared" si="82"/>
        <v>1.052631578947369</v>
      </c>
      <c r="W281" s="74">
        <f t="shared" si="83"/>
        <v>0.3508771929824564</v>
      </c>
      <c r="X281" s="74">
        <f t="shared" si="84"/>
        <v>0.73684210526315841</v>
      </c>
      <c r="Y281" s="74">
        <f t="shared" si="85"/>
        <v>0.10526315789473684</v>
      </c>
      <c r="Z281" s="75">
        <f t="shared" si="86"/>
        <v>0.63157894736842146</v>
      </c>
      <c r="AA281" s="76">
        <f t="shared" si="87"/>
        <v>0.5</v>
      </c>
      <c r="AB281" s="76">
        <f t="shared" ca="1" si="88"/>
        <v>0.7</v>
      </c>
      <c r="AC281" s="77">
        <f t="shared" ca="1" si="89"/>
        <v>0.56666666666666665</v>
      </c>
      <c r="AD281" s="359">
        <f t="shared" si="90"/>
        <v>5.2280701754386003</v>
      </c>
      <c r="AE281" s="369">
        <f t="shared" ca="1" si="91"/>
        <v>29.625730994152065</v>
      </c>
      <c r="AF281" s="95" t="s">
        <v>248</v>
      </c>
      <c r="AG281" s="441"/>
      <c r="AH281" s="118"/>
      <c r="AI281" s="115"/>
      <c r="AJ281" s="115"/>
      <c r="AK281" s="115"/>
      <c r="AL281" s="122"/>
      <c r="AM281" s="337"/>
      <c r="AN281" s="338"/>
      <c r="AO281" s="338"/>
      <c r="AP281" s="338"/>
      <c r="AQ281" s="339"/>
    </row>
    <row r="282" spans="1:43" ht="36" customHeight="1">
      <c r="A282" s="355">
        <v>278</v>
      </c>
      <c r="B282" s="4" t="s">
        <v>5</v>
      </c>
      <c r="C282" s="286" t="s">
        <v>6</v>
      </c>
      <c r="D282" s="5" t="s">
        <v>224</v>
      </c>
      <c r="E282" s="6" t="s">
        <v>940</v>
      </c>
      <c r="F282" s="473">
        <v>250000</v>
      </c>
      <c r="G282" s="52">
        <v>4</v>
      </c>
      <c r="H282" s="57">
        <v>0.5</v>
      </c>
      <c r="I282" s="65">
        <v>6.0000000000000036</v>
      </c>
      <c r="J282" s="66">
        <v>8</v>
      </c>
      <c r="K282" s="66">
        <v>4.0000000000000027</v>
      </c>
      <c r="L282" s="66">
        <v>6.0000000000000036</v>
      </c>
      <c r="M282" s="66">
        <v>0</v>
      </c>
      <c r="N282" s="66">
        <v>8</v>
      </c>
      <c r="O282" s="66">
        <v>0</v>
      </c>
      <c r="P282" s="67">
        <v>8</v>
      </c>
      <c r="Q282" s="70" t="e">
        <f ca="1">(#REF!-(YEAR(TODAY())-#REF!))/#REF!</f>
        <v>#REF!</v>
      </c>
      <c r="R282" s="70">
        <f t="shared" ca="1" si="78"/>
        <v>0.5</v>
      </c>
      <c r="S282" s="74">
        <f t="shared" si="79"/>
        <v>0.94736842105263208</v>
      </c>
      <c r="T282" s="74">
        <f t="shared" si="80"/>
        <v>0.84210526315789469</v>
      </c>
      <c r="U282" s="74">
        <f t="shared" si="81"/>
        <v>0.56140350877193024</v>
      </c>
      <c r="V282" s="74">
        <f t="shared" si="82"/>
        <v>1.052631578947369</v>
      </c>
      <c r="W282" s="74">
        <f t="shared" si="83"/>
        <v>0</v>
      </c>
      <c r="X282" s="74">
        <f t="shared" si="84"/>
        <v>0.98245614035087714</v>
      </c>
      <c r="Y282" s="74">
        <f t="shared" si="85"/>
        <v>0</v>
      </c>
      <c r="Z282" s="75">
        <f t="shared" si="86"/>
        <v>0.84210526315789469</v>
      </c>
      <c r="AA282" s="76">
        <f t="shared" si="87"/>
        <v>0.6</v>
      </c>
      <c r="AB282" s="76">
        <f t="shared" ca="1" si="88"/>
        <v>0.5</v>
      </c>
      <c r="AC282" s="77">
        <f t="shared" ca="1" si="89"/>
        <v>0.56666666666666665</v>
      </c>
      <c r="AD282" s="359">
        <f t="shared" si="90"/>
        <v>5.2280701754385985</v>
      </c>
      <c r="AE282" s="369">
        <f t="shared" ca="1" si="91"/>
        <v>29.625730994152057</v>
      </c>
      <c r="AF282" s="96" t="s">
        <v>248</v>
      </c>
      <c r="AG282" s="442"/>
      <c r="AH282" s="118"/>
      <c r="AI282" s="115"/>
      <c r="AJ282" s="115"/>
      <c r="AK282" s="115"/>
      <c r="AL282" s="122"/>
      <c r="AM282" s="337"/>
      <c r="AN282" s="338"/>
      <c r="AO282" s="338"/>
      <c r="AP282" s="338"/>
      <c r="AQ282" s="339"/>
    </row>
    <row r="283" spans="1:43" s="209" customFormat="1" ht="36" customHeight="1">
      <c r="A283" s="355">
        <v>279</v>
      </c>
      <c r="B283" s="4" t="s">
        <v>24</v>
      </c>
      <c r="C283" s="286" t="s">
        <v>6</v>
      </c>
      <c r="D283" s="16" t="s">
        <v>192</v>
      </c>
      <c r="E283" s="18" t="s">
        <v>951</v>
      </c>
      <c r="F283" s="476">
        <v>244000</v>
      </c>
      <c r="G283" s="52">
        <v>4</v>
      </c>
      <c r="H283" s="57">
        <v>0.3</v>
      </c>
      <c r="I283" s="65">
        <v>4.0000000000000027</v>
      </c>
      <c r="J283" s="66">
        <v>6.0000000000000036</v>
      </c>
      <c r="K283" s="66">
        <v>4.0000000000000027</v>
      </c>
      <c r="L283" s="66">
        <v>4.0000000000000027</v>
      </c>
      <c r="M283" s="66">
        <v>8.0000000000000053</v>
      </c>
      <c r="N283" s="66">
        <v>4.0000000000000027</v>
      </c>
      <c r="O283" s="66">
        <v>3</v>
      </c>
      <c r="P283" s="67">
        <v>6.0000000000000036</v>
      </c>
      <c r="Q283" s="70" t="e">
        <f ca="1">(#REF!-(YEAR(TODAY())-#REF!))/#REF!</f>
        <v>#REF!</v>
      </c>
      <c r="R283" s="70">
        <f t="shared" ca="1" si="78"/>
        <v>0.3</v>
      </c>
      <c r="S283" s="74">
        <f t="shared" si="79"/>
        <v>0.63157894736842146</v>
      </c>
      <c r="T283" s="74">
        <f t="shared" si="80"/>
        <v>0.63157894736842146</v>
      </c>
      <c r="U283" s="74">
        <f t="shared" si="81"/>
        <v>0.56140350877193024</v>
      </c>
      <c r="V283" s="74">
        <f t="shared" si="82"/>
        <v>0.7017543859649128</v>
      </c>
      <c r="W283" s="74">
        <f t="shared" si="83"/>
        <v>0.7017543859649128</v>
      </c>
      <c r="X283" s="74">
        <f t="shared" si="84"/>
        <v>0.4912280701754389</v>
      </c>
      <c r="Y283" s="74">
        <f t="shared" si="85"/>
        <v>0.31578947368421051</v>
      </c>
      <c r="Z283" s="75">
        <f t="shared" si="86"/>
        <v>0.63157894736842146</v>
      </c>
      <c r="AA283" s="76">
        <f t="shared" si="87"/>
        <v>0.6</v>
      </c>
      <c r="AB283" s="76">
        <f t="shared" ca="1" si="88"/>
        <v>0.7</v>
      </c>
      <c r="AC283" s="77">
        <f t="shared" ca="1" si="89"/>
        <v>0.6333333333333333</v>
      </c>
      <c r="AD283" s="359">
        <f t="shared" si="90"/>
        <v>4.6666666666666687</v>
      </c>
      <c r="AE283" s="369">
        <f t="shared" ca="1" si="91"/>
        <v>29.555555555555564</v>
      </c>
      <c r="AF283" s="96" t="s">
        <v>257</v>
      </c>
      <c r="AG283" s="442"/>
      <c r="AH283" s="118"/>
      <c r="AI283" s="115"/>
      <c r="AJ283" s="115"/>
      <c r="AK283" s="115"/>
      <c r="AL283" s="122"/>
      <c r="AM283" s="337"/>
      <c r="AN283" s="338"/>
      <c r="AO283" s="338"/>
      <c r="AP283" s="338"/>
      <c r="AQ283" s="339"/>
    </row>
    <row r="284" spans="1:43" ht="36" customHeight="1">
      <c r="A284" s="355">
        <v>280</v>
      </c>
      <c r="B284" s="1" t="s">
        <v>14</v>
      </c>
      <c r="C284" s="285" t="s">
        <v>6</v>
      </c>
      <c r="D284" s="289" t="s">
        <v>1085</v>
      </c>
      <c r="E284" s="290" t="s">
        <v>78</v>
      </c>
      <c r="F284" s="478">
        <v>80000</v>
      </c>
      <c r="G284" s="295">
        <v>4</v>
      </c>
      <c r="H284" s="293">
        <v>0.3</v>
      </c>
      <c r="I284" s="65">
        <v>4.0000000000000027</v>
      </c>
      <c r="J284" s="66">
        <v>8.0000000000000053</v>
      </c>
      <c r="K284" s="66">
        <v>4.0000000000000027</v>
      </c>
      <c r="L284" s="66">
        <v>4</v>
      </c>
      <c r="M284" s="66">
        <v>6.0000000000000036</v>
      </c>
      <c r="N284" s="66">
        <v>6.0000000000000036</v>
      </c>
      <c r="O284" s="66">
        <v>0</v>
      </c>
      <c r="P284" s="67">
        <v>6.0000000000000036</v>
      </c>
      <c r="Q284" s="294" t="e">
        <f ca="1">(#REF!-(YEAR(TODAY())-#REF!))/#REF!</f>
        <v>#REF!</v>
      </c>
      <c r="R284" s="294">
        <f t="shared" ca="1" si="78"/>
        <v>0.3</v>
      </c>
      <c r="S284" s="74">
        <f t="shared" si="79"/>
        <v>0.63157894736842146</v>
      </c>
      <c r="T284" s="74">
        <f t="shared" si="80"/>
        <v>0.84210526315789525</v>
      </c>
      <c r="U284" s="74">
        <f t="shared" si="81"/>
        <v>0.56140350877193024</v>
      </c>
      <c r="V284" s="74">
        <f t="shared" si="82"/>
        <v>0.70175438596491224</v>
      </c>
      <c r="W284" s="74">
        <f t="shared" si="83"/>
        <v>0.52631578947368451</v>
      </c>
      <c r="X284" s="74">
        <f t="shared" si="84"/>
        <v>0.73684210526315841</v>
      </c>
      <c r="Y284" s="74">
        <f t="shared" si="85"/>
        <v>0</v>
      </c>
      <c r="Z284" s="75">
        <f t="shared" si="86"/>
        <v>0.63157894736842146</v>
      </c>
      <c r="AA284" s="76">
        <f t="shared" si="87"/>
        <v>0.6</v>
      </c>
      <c r="AB284" s="76">
        <f t="shared" ca="1" si="88"/>
        <v>0.7</v>
      </c>
      <c r="AC284" s="77">
        <f t="shared" ca="1" si="89"/>
        <v>0.6333333333333333</v>
      </c>
      <c r="AD284" s="358">
        <f t="shared" si="90"/>
        <v>4.631578947368423</v>
      </c>
      <c r="AE284" s="368">
        <f t="shared" ca="1" si="91"/>
        <v>29.333333333333343</v>
      </c>
      <c r="AF284" s="288" t="s">
        <v>248</v>
      </c>
      <c r="AG284" s="442"/>
      <c r="AH284" s="118"/>
      <c r="AI284" s="115"/>
      <c r="AJ284" s="115"/>
      <c r="AK284" s="115"/>
      <c r="AL284" s="122"/>
      <c r="AM284" s="337"/>
      <c r="AN284" s="338"/>
      <c r="AO284" s="338"/>
      <c r="AP284" s="338"/>
      <c r="AQ284" s="339"/>
    </row>
    <row r="285" spans="1:43" ht="36" customHeight="1">
      <c r="A285" s="355">
        <v>281</v>
      </c>
      <c r="B285" s="4" t="s">
        <v>35</v>
      </c>
      <c r="C285" s="286" t="s">
        <v>6</v>
      </c>
      <c r="D285" s="16" t="s">
        <v>114</v>
      </c>
      <c r="E285" s="18" t="s">
        <v>115</v>
      </c>
      <c r="F285" s="476">
        <v>80000</v>
      </c>
      <c r="G285" s="52">
        <v>3</v>
      </c>
      <c r="H285" s="57">
        <v>0.3</v>
      </c>
      <c r="I285" s="65">
        <v>1</v>
      </c>
      <c r="J285" s="66">
        <v>8.0000000000000053</v>
      </c>
      <c r="K285" s="66">
        <v>1</v>
      </c>
      <c r="L285" s="66">
        <v>8.0000000000000053</v>
      </c>
      <c r="M285" s="66">
        <v>0</v>
      </c>
      <c r="N285" s="66">
        <v>6</v>
      </c>
      <c r="O285" s="66">
        <v>0</v>
      </c>
      <c r="P285" s="67">
        <v>8.0000000000000053</v>
      </c>
      <c r="Q285" s="70" t="e">
        <f ca="1">(#REF!-(YEAR(TODAY())-#REF!))/#REF!</f>
        <v>#REF!</v>
      </c>
      <c r="R285" s="70">
        <f t="shared" ca="1" si="78"/>
        <v>0.3</v>
      </c>
      <c r="S285" s="74">
        <f t="shared" si="79"/>
        <v>0.15789473684210525</v>
      </c>
      <c r="T285" s="74">
        <f t="shared" si="80"/>
        <v>0.84210526315789525</v>
      </c>
      <c r="U285" s="74">
        <f t="shared" si="81"/>
        <v>0.14035087719298245</v>
      </c>
      <c r="V285" s="74">
        <f t="shared" si="82"/>
        <v>1.4035087719298256</v>
      </c>
      <c r="W285" s="74">
        <f t="shared" si="83"/>
        <v>0</v>
      </c>
      <c r="X285" s="74">
        <f t="shared" si="84"/>
        <v>0.73684210526315785</v>
      </c>
      <c r="Y285" s="74">
        <f t="shared" si="85"/>
        <v>0</v>
      </c>
      <c r="Z285" s="75">
        <f t="shared" si="86"/>
        <v>0.84210526315789525</v>
      </c>
      <c r="AA285" s="76">
        <f t="shared" si="87"/>
        <v>0.7</v>
      </c>
      <c r="AB285" s="76">
        <f t="shared" ca="1" si="88"/>
        <v>0.7</v>
      </c>
      <c r="AC285" s="77">
        <f t="shared" ca="1" si="89"/>
        <v>0.69999999999999984</v>
      </c>
      <c r="AD285" s="359">
        <f t="shared" si="90"/>
        <v>4.1228070175438614</v>
      </c>
      <c r="AE285" s="369">
        <f t="shared" ca="1" si="91"/>
        <v>28.859649122807024</v>
      </c>
      <c r="AF285" s="96" t="s">
        <v>1200</v>
      </c>
      <c r="AG285" s="114"/>
      <c r="AH285" s="118"/>
      <c r="AI285" s="115"/>
      <c r="AJ285" s="115"/>
      <c r="AK285" s="115"/>
      <c r="AL285" s="122"/>
      <c r="AM285" s="337"/>
      <c r="AN285" s="338"/>
      <c r="AO285" s="338"/>
      <c r="AP285" s="338"/>
      <c r="AQ285" s="339"/>
    </row>
    <row r="286" spans="1:43" ht="36" customHeight="1">
      <c r="A286" s="355">
        <v>282</v>
      </c>
      <c r="B286" s="4" t="s">
        <v>14</v>
      </c>
      <c r="C286" s="286" t="s">
        <v>298</v>
      </c>
      <c r="D286" s="10" t="s">
        <v>126</v>
      </c>
      <c r="E286" s="9" t="s">
        <v>1000</v>
      </c>
      <c r="F286" s="473">
        <v>150000</v>
      </c>
      <c r="G286" s="51">
        <v>3</v>
      </c>
      <c r="H286" s="57">
        <v>0.3</v>
      </c>
      <c r="I286" s="65">
        <v>4.0000000000000027</v>
      </c>
      <c r="J286" s="66">
        <v>8.0000000000000053</v>
      </c>
      <c r="K286" s="66">
        <v>1</v>
      </c>
      <c r="L286" s="66">
        <v>4</v>
      </c>
      <c r="M286" s="66">
        <v>1</v>
      </c>
      <c r="N286" s="66">
        <v>7.0000000000000044</v>
      </c>
      <c r="O286" s="66">
        <v>0</v>
      </c>
      <c r="P286" s="67">
        <v>8.0000000000000053</v>
      </c>
      <c r="Q286" s="70" t="e">
        <f ca="1">(#REF!-(YEAR(TODAY())-#REF!))/#REF!</f>
        <v>#REF!</v>
      </c>
      <c r="R286" s="70">
        <f t="shared" ca="1" si="78"/>
        <v>0.3</v>
      </c>
      <c r="S286" s="74">
        <f t="shared" si="79"/>
        <v>0.63157894736842146</v>
      </c>
      <c r="T286" s="74">
        <f t="shared" si="80"/>
        <v>0.84210526315789525</v>
      </c>
      <c r="U286" s="74">
        <f t="shared" si="81"/>
        <v>0.14035087719298245</v>
      </c>
      <c r="V286" s="74">
        <f t="shared" si="82"/>
        <v>0.70175438596491224</v>
      </c>
      <c r="W286" s="74">
        <f t="shared" si="83"/>
        <v>8.771929824561403E-2</v>
      </c>
      <c r="X286" s="74">
        <f t="shared" si="84"/>
        <v>0.859649122807018</v>
      </c>
      <c r="Y286" s="74">
        <f t="shared" si="85"/>
        <v>0</v>
      </c>
      <c r="Z286" s="75">
        <f t="shared" si="86"/>
        <v>0.84210526315789525</v>
      </c>
      <c r="AA286" s="76">
        <f t="shared" si="87"/>
        <v>0.7</v>
      </c>
      <c r="AB286" s="76">
        <f t="shared" ca="1" si="88"/>
        <v>0.7</v>
      </c>
      <c r="AC286" s="77">
        <f t="shared" ca="1" si="89"/>
        <v>0.69999999999999984</v>
      </c>
      <c r="AD286" s="359">
        <f t="shared" si="90"/>
        <v>4.1052631578947389</v>
      </c>
      <c r="AE286" s="369">
        <f t="shared" ca="1" si="91"/>
        <v>28.736842105263168</v>
      </c>
      <c r="AF286" s="95" t="s">
        <v>248</v>
      </c>
      <c r="AG286" s="441"/>
      <c r="AH286" s="118"/>
      <c r="AI286" s="115"/>
      <c r="AJ286" s="115"/>
      <c r="AK286" s="115"/>
      <c r="AL286" s="122"/>
      <c r="AM286" s="337"/>
      <c r="AN286" s="338"/>
      <c r="AO286" s="338"/>
      <c r="AP286" s="338"/>
      <c r="AQ286" s="339"/>
    </row>
    <row r="287" spans="1:43" ht="36" customHeight="1">
      <c r="A287" s="355">
        <v>283</v>
      </c>
      <c r="B287" s="4" t="s">
        <v>14</v>
      </c>
      <c r="C287" s="286" t="s">
        <v>298</v>
      </c>
      <c r="D287" s="10" t="s">
        <v>88</v>
      </c>
      <c r="E287" s="20" t="s">
        <v>89</v>
      </c>
      <c r="F287" s="473">
        <v>150000</v>
      </c>
      <c r="G287" s="51">
        <v>4</v>
      </c>
      <c r="H287" s="57">
        <v>0.3</v>
      </c>
      <c r="I287" s="65">
        <v>5</v>
      </c>
      <c r="J287" s="66">
        <v>6</v>
      </c>
      <c r="K287" s="66">
        <v>5</v>
      </c>
      <c r="L287" s="66">
        <v>4.0000000000000027</v>
      </c>
      <c r="M287" s="66">
        <v>0</v>
      </c>
      <c r="N287" s="66">
        <v>5</v>
      </c>
      <c r="O287" s="66">
        <v>2</v>
      </c>
      <c r="P287" s="67">
        <v>8</v>
      </c>
      <c r="Q287" s="70" t="e">
        <f ca="1">(#REF!-(YEAR(TODAY())-#REF!))/#REF!</f>
        <v>#REF!</v>
      </c>
      <c r="R287" s="70">
        <f t="shared" ca="1" si="78"/>
        <v>0.3</v>
      </c>
      <c r="S287" s="74">
        <f t="shared" si="79"/>
        <v>0.78947368421052633</v>
      </c>
      <c r="T287" s="74">
        <f t="shared" si="80"/>
        <v>0.63157894736842102</v>
      </c>
      <c r="U287" s="74">
        <f t="shared" si="81"/>
        <v>0.70175438596491224</v>
      </c>
      <c r="V287" s="74">
        <f t="shared" si="82"/>
        <v>0.7017543859649128</v>
      </c>
      <c r="W287" s="74">
        <f t="shared" si="83"/>
        <v>0</v>
      </c>
      <c r="X287" s="74">
        <f t="shared" si="84"/>
        <v>0.61403508771929827</v>
      </c>
      <c r="Y287" s="74">
        <f t="shared" si="85"/>
        <v>0.21052631578947367</v>
      </c>
      <c r="Z287" s="75">
        <f t="shared" si="86"/>
        <v>0.84210526315789469</v>
      </c>
      <c r="AA287" s="76">
        <f t="shared" si="87"/>
        <v>0.6</v>
      </c>
      <c r="AB287" s="76">
        <f t="shared" ca="1" si="88"/>
        <v>0.7</v>
      </c>
      <c r="AC287" s="77">
        <f t="shared" ca="1" si="89"/>
        <v>0.6333333333333333</v>
      </c>
      <c r="AD287" s="359">
        <f t="shared" si="90"/>
        <v>4.4912280701754392</v>
      </c>
      <c r="AE287" s="369">
        <f t="shared" ca="1" si="91"/>
        <v>28.444444444444446</v>
      </c>
      <c r="AF287" s="95" t="s">
        <v>248</v>
      </c>
      <c r="AG287" s="113"/>
      <c r="AH287" s="118"/>
      <c r="AI287" s="115"/>
      <c r="AJ287" s="115"/>
      <c r="AK287" s="115"/>
      <c r="AL287" s="122"/>
      <c r="AM287" s="337"/>
      <c r="AN287" s="338"/>
      <c r="AO287" s="338"/>
      <c r="AP287" s="338"/>
      <c r="AQ287" s="339"/>
    </row>
    <row r="288" spans="1:43" ht="36" customHeight="1">
      <c r="A288" s="355">
        <v>284</v>
      </c>
      <c r="B288" s="4" t="s">
        <v>35</v>
      </c>
      <c r="C288" s="286" t="s">
        <v>6</v>
      </c>
      <c r="D288" s="16" t="s">
        <v>167</v>
      </c>
      <c r="E288" s="18" t="s">
        <v>168</v>
      </c>
      <c r="F288" s="476">
        <v>207000</v>
      </c>
      <c r="G288" s="52">
        <v>2</v>
      </c>
      <c r="H288" s="57">
        <v>0.5</v>
      </c>
      <c r="I288" s="65">
        <v>6.0000000000000036</v>
      </c>
      <c r="J288" s="66">
        <v>1</v>
      </c>
      <c r="K288" s="66">
        <v>4.0000000000000027</v>
      </c>
      <c r="L288" s="66">
        <v>6.0000000000000036</v>
      </c>
      <c r="M288" s="66">
        <v>6.0000000000000036</v>
      </c>
      <c r="N288" s="66">
        <v>1</v>
      </c>
      <c r="O288" s="66">
        <v>1</v>
      </c>
      <c r="P288" s="67">
        <v>6.0000000000000036</v>
      </c>
      <c r="Q288" s="70" t="e">
        <f ca="1">(#REF!-(YEAR(TODAY())-#REF!))/#REF!</f>
        <v>#REF!</v>
      </c>
      <c r="R288" s="70">
        <f t="shared" ca="1" si="78"/>
        <v>0.5</v>
      </c>
      <c r="S288" s="74">
        <f t="shared" si="79"/>
        <v>0.94736842105263208</v>
      </c>
      <c r="T288" s="74">
        <f t="shared" si="80"/>
        <v>0.10526315789473684</v>
      </c>
      <c r="U288" s="74">
        <f t="shared" si="81"/>
        <v>0.56140350877193024</v>
      </c>
      <c r="V288" s="74">
        <f t="shared" si="82"/>
        <v>1.052631578947369</v>
      </c>
      <c r="W288" s="74">
        <f t="shared" si="83"/>
        <v>0.52631578947368451</v>
      </c>
      <c r="X288" s="74">
        <f t="shared" si="84"/>
        <v>0.12280701754385964</v>
      </c>
      <c r="Y288" s="74">
        <f t="shared" si="85"/>
        <v>0.10526315789473684</v>
      </c>
      <c r="Z288" s="75">
        <f t="shared" si="86"/>
        <v>0.63157894736842146</v>
      </c>
      <c r="AA288" s="76">
        <f t="shared" si="87"/>
        <v>0.8</v>
      </c>
      <c r="AB288" s="76">
        <f t="shared" ca="1" si="88"/>
        <v>0.5</v>
      </c>
      <c r="AC288" s="77">
        <f t="shared" ca="1" si="89"/>
        <v>0.70000000000000007</v>
      </c>
      <c r="AD288" s="359">
        <f t="shared" si="90"/>
        <v>4.0526315789473708</v>
      </c>
      <c r="AE288" s="369">
        <f t="shared" ca="1" si="91"/>
        <v>28.368421052631597</v>
      </c>
      <c r="AF288" s="96" t="s">
        <v>248</v>
      </c>
      <c r="AG288" s="443"/>
      <c r="AH288" s="118"/>
      <c r="AI288" s="115"/>
      <c r="AJ288" s="115"/>
      <c r="AK288" s="115"/>
      <c r="AL288" s="122"/>
      <c r="AM288" s="337"/>
      <c r="AN288" s="338"/>
      <c r="AO288" s="338"/>
      <c r="AP288" s="338"/>
      <c r="AQ288" s="339"/>
    </row>
    <row r="289" spans="1:43" ht="36" customHeight="1">
      <c r="A289" s="355">
        <v>285</v>
      </c>
      <c r="B289" s="4" t="s">
        <v>5</v>
      </c>
      <c r="C289" s="286" t="s">
        <v>6</v>
      </c>
      <c r="D289" s="5" t="s">
        <v>828</v>
      </c>
      <c r="E289" s="7" t="s">
        <v>1098</v>
      </c>
      <c r="F289" s="473">
        <v>300000</v>
      </c>
      <c r="G289" s="52">
        <v>5</v>
      </c>
      <c r="H289" s="57">
        <v>0.4</v>
      </c>
      <c r="I289" s="65">
        <v>6.0000000000000036</v>
      </c>
      <c r="J289" s="66">
        <v>8</v>
      </c>
      <c r="K289" s="66">
        <v>4.0000000000000027</v>
      </c>
      <c r="L289" s="66">
        <v>6.0000000000000036</v>
      </c>
      <c r="M289" s="66">
        <v>1</v>
      </c>
      <c r="N289" s="66">
        <v>8</v>
      </c>
      <c r="O289" s="66">
        <v>0</v>
      </c>
      <c r="P289" s="67">
        <v>8</v>
      </c>
      <c r="Q289" s="70" t="e">
        <f ca="1">(#REF!-(YEAR(TODAY())-#REF!))/#REF!</f>
        <v>#REF!</v>
      </c>
      <c r="R289" s="70">
        <f t="shared" ca="1" si="78"/>
        <v>0.4</v>
      </c>
      <c r="S289" s="74">
        <f t="shared" si="79"/>
        <v>0.94736842105263208</v>
      </c>
      <c r="T289" s="74">
        <f t="shared" si="80"/>
        <v>0.84210526315789469</v>
      </c>
      <c r="U289" s="74">
        <f t="shared" si="81"/>
        <v>0.56140350877193024</v>
      </c>
      <c r="V289" s="74">
        <f t="shared" si="82"/>
        <v>1.052631578947369</v>
      </c>
      <c r="W289" s="74">
        <f t="shared" si="83"/>
        <v>8.771929824561403E-2</v>
      </c>
      <c r="X289" s="74">
        <f t="shared" si="84"/>
        <v>0.98245614035087714</v>
      </c>
      <c r="Y289" s="74">
        <f t="shared" si="85"/>
        <v>0</v>
      </c>
      <c r="Z289" s="75">
        <f t="shared" si="86"/>
        <v>0.84210526315789469</v>
      </c>
      <c r="AA289" s="76">
        <f t="shared" si="87"/>
        <v>0.5</v>
      </c>
      <c r="AB289" s="76">
        <f t="shared" ca="1" si="88"/>
        <v>0.6</v>
      </c>
      <c r="AC289" s="77">
        <f t="shared" ca="1" si="89"/>
        <v>0.53333333333333333</v>
      </c>
      <c r="AD289" s="359">
        <f t="shared" si="90"/>
        <v>5.3157894736842115</v>
      </c>
      <c r="AE289" s="369">
        <f t="shared" ca="1" si="91"/>
        <v>28.350877192982459</v>
      </c>
      <c r="AF289" s="96" t="s">
        <v>248</v>
      </c>
      <c r="AG289" s="442"/>
      <c r="AH289" s="118"/>
      <c r="AI289" s="115"/>
      <c r="AJ289" s="115"/>
      <c r="AK289" s="115"/>
      <c r="AL289" s="122"/>
      <c r="AM289" s="337"/>
      <c r="AN289" s="338"/>
      <c r="AO289" s="338"/>
      <c r="AP289" s="338"/>
      <c r="AQ289" s="339"/>
    </row>
    <row r="290" spans="1:43" ht="36" customHeight="1">
      <c r="A290" s="355">
        <v>286</v>
      </c>
      <c r="B290" s="4" t="s">
        <v>7</v>
      </c>
      <c r="C290" s="286" t="s">
        <v>6</v>
      </c>
      <c r="D290" s="16" t="s">
        <v>1096</v>
      </c>
      <c r="E290" s="17" t="s">
        <v>155</v>
      </c>
      <c r="F290" s="477">
        <v>200000</v>
      </c>
      <c r="G290" s="52">
        <v>3</v>
      </c>
      <c r="H290" s="57">
        <v>0.4</v>
      </c>
      <c r="I290" s="65">
        <v>2</v>
      </c>
      <c r="J290" s="66">
        <v>4</v>
      </c>
      <c r="K290" s="66">
        <v>6.0000000000000036</v>
      </c>
      <c r="L290" s="66">
        <v>4.0000000000000027</v>
      </c>
      <c r="M290" s="66">
        <v>8.0000000000000053</v>
      </c>
      <c r="N290" s="66">
        <v>6.0000000000000036</v>
      </c>
      <c r="O290" s="66">
        <v>4</v>
      </c>
      <c r="P290" s="67">
        <v>1</v>
      </c>
      <c r="Q290" s="70" t="e">
        <f ca="1">(#REF!-(YEAR(TODAY())-#REF!))/#REF!</f>
        <v>#REF!</v>
      </c>
      <c r="R290" s="70">
        <f t="shared" ca="1" si="78"/>
        <v>0.4</v>
      </c>
      <c r="S290" s="74">
        <f t="shared" si="79"/>
        <v>0.31578947368421051</v>
      </c>
      <c r="T290" s="74">
        <f t="shared" si="80"/>
        <v>0.42105263157894735</v>
      </c>
      <c r="U290" s="74">
        <f t="shared" si="81"/>
        <v>0.84210526315789525</v>
      </c>
      <c r="V290" s="74">
        <f t="shared" si="82"/>
        <v>0.7017543859649128</v>
      </c>
      <c r="W290" s="74">
        <f t="shared" si="83"/>
        <v>0.7017543859649128</v>
      </c>
      <c r="X290" s="74">
        <f t="shared" si="84"/>
        <v>0.73684210526315841</v>
      </c>
      <c r="Y290" s="74">
        <f t="shared" si="85"/>
        <v>0.42105263157894735</v>
      </c>
      <c r="Z290" s="75">
        <f t="shared" si="86"/>
        <v>0.10526315789473684</v>
      </c>
      <c r="AA290" s="76">
        <f t="shared" si="87"/>
        <v>0.7</v>
      </c>
      <c r="AB290" s="76">
        <f t="shared" ca="1" si="88"/>
        <v>0.6</v>
      </c>
      <c r="AC290" s="77">
        <f t="shared" ca="1" si="89"/>
        <v>0.66666666666666663</v>
      </c>
      <c r="AD290" s="359">
        <f t="shared" si="90"/>
        <v>4.2456140350877218</v>
      </c>
      <c r="AE290" s="369">
        <f t="shared" ca="1" si="91"/>
        <v>28.304093567251478</v>
      </c>
      <c r="AF290" s="96" t="s">
        <v>257</v>
      </c>
      <c r="AG290" s="442"/>
      <c r="AH290" s="118"/>
      <c r="AI290" s="115"/>
      <c r="AJ290" s="115"/>
      <c r="AK290" s="115"/>
      <c r="AL290" s="122"/>
      <c r="AM290" s="337"/>
      <c r="AN290" s="338"/>
      <c r="AO290" s="338"/>
      <c r="AP290" s="338"/>
      <c r="AQ290" s="339"/>
    </row>
    <row r="291" spans="1:43" ht="36" customHeight="1">
      <c r="A291" s="355">
        <v>287</v>
      </c>
      <c r="B291" s="4" t="s">
        <v>14</v>
      </c>
      <c r="C291" s="286" t="s">
        <v>6</v>
      </c>
      <c r="D291" s="16" t="s">
        <v>1091</v>
      </c>
      <c r="E291" s="17" t="s">
        <v>193</v>
      </c>
      <c r="F291" s="476">
        <v>75500</v>
      </c>
      <c r="G291" s="52">
        <v>5</v>
      </c>
      <c r="H291" s="57">
        <v>0.4</v>
      </c>
      <c r="I291" s="65">
        <v>4.0000000000000027</v>
      </c>
      <c r="J291" s="66">
        <v>6.0000000000000036</v>
      </c>
      <c r="K291" s="66">
        <v>4.0000000000000027</v>
      </c>
      <c r="L291" s="66">
        <v>6.0000000000000036</v>
      </c>
      <c r="M291" s="66">
        <v>8.0000000000000053</v>
      </c>
      <c r="N291" s="66">
        <v>6.0000000000000036</v>
      </c>
      <c r="O291" s="66">
        <v>2</v>
      </c>
      <c r="P291" s="67">
        <v>6.0000000000000036</v>
      </c>
      <c r="Q291" s="70" t="e">
        <f ca="1">(#REF!-(YEAR(TODAY())-#REF!))/#REF!</f>
        <v>#REF!</v>
      </c>
      <c r="R291" s="70">
        <f t="shared" ca="1" si="78"/>
        <v>0.4</v>
      </c>
      <c r="S291" s="74">
        <f t="shared" si="79"/>
        <v>0.63157894736842146</v>
      </c>
      <c r="T291" s="74">
        <f t="shared" si="80"/>
        <v>0.63157894736842146</v>
      </c>
      <c r="U291" s="74">
        <f t="shared" si="81"/>
        <v>0.56140350877193024</v>
      </c>
      <c r="V291" s="74">
        <f t="shared" si="82"/>
        <v>1.052631578947369</v>
      </c>
      <c r="W291" s="74">
        <f t="shared" si="83"/>
        <v>0.7017543859649128</v>
      </c>
      <c r="X291" s="74">
        <f t="shared" si="84"/>
        <v>0.73684210526315841</v>
      </c>
      <c r="Y291" s="74">
        <f t="shared" si="85"/>
        <v>0.21052631578947367</v>
      </c>
      <c r="Z291" s="75">
        <f t="shared" si="86"/>
        <v>0.63157894736842146</v>
      </c>
      <c r="AA291" s="76">
        <f t="shared" si="87"/>
        <v>0.5</v>
      </c>
      <c r="AB291" s="76">
        <f t="shared" ca="1" si="88"/>
        <v>0.6</v>
      </c>
      <c r="AC291" s="77">
        <f t="shared" ca="1" si="89"/>
        <v>0.53333333333333333</v>
      </c>
      <c r="AD291" s="359">
        <f t="shared" si="90"/>
        <v>5.157894736842108</v>
      </c>
      <c r="AE291" s="369">
        <f t="shared" ca="1" si="91"/>
        <v>27.508771929824576</v>
      </c>
      <c r="AF291" s="96" t="s">
        <v>257</v>
      </c>
      <c r="AG291" s="442"/>
      <c r="AH291" s="118"/>
      <c r="AI291" s="115"/>
      <c r="AJ291" s="115"/>
      <c r="AK291" s="115"/>
      <c r="AL291" s="122"/>
      <c r="AM291" s="337"/>
      <c r="AN291" s="338"/>
      <c r="AO291" s="338"/>
      <c r="AP291" s="338"/>
      <c r="AQ291" s="339"/>
    </row>
    <row r="292" spans="1:43" ht="36" customHeight="1">
      <c r="A292" s="355">
        <v>288</v>
      </c>
      <c r="B292" s="4" t="s">
        <v>29</v>
      </c>
      <c r="C292" s="286" t="s">
        <v>6</v>
      </c>
      <c r="D292" s="8" t="s">
        <v>179</v>
      </c>
      <c r="E292" s="11" t="s">
        <v>947</v>
      </c>
      <c r="F292" s="473">
        <v>100000</v>
      </c>
      <c r="G292" s="52">
        <v>3</v>
      </c>
      <c r="H292" s="57">
        <v>0.3</v>
      </c>
      <c r="I292" s="65">
        <v>4.0000000000000027</v>
      </c>
      <c r="J292" s="66">
        <v>6.0000000000000036</v>
      </c>
      <c r="K292" s="66">
        <v>6.0000000000000036</v>
      </c>
      <c r="L292" s="66">
        <v>1</v>
      </c>
      <c r="M292" s="66">
        <v>6</v>
      </c>
      <c r="N292" s="66">
        <v>4.0000000000000027</v>
      </c>
      <c r="O292" s="66">
        <v>0</v>
      </c>
      <c r="P292" s="67">
        <v>6.0000000000000036</v>
      </c>
      <c r="Q292" s="70" t="e">
        <f ca="1">(#REF!-(YEAR(TODAY())-#REF!))/#REF!</f>
        <v>#REF!</v>
      </c>
      <c r="R292" s="70">
        <f t="shared" ca="1" si="78"/>
        <v>0.3</v>
      </c>
      <c r="S292" s="74">
        <f t="shared" si="79"/>
        <v>0.63157894736842146</v>
      </c>
      <c r="T292" s="74">
        <f t="shared" si="80"/>
        <v>0.63157894736842146</v>
      </c>
      <c r="U292" s="74">
        <f t="shared" si="81"/>
        <v>0.84210526315789525</v>
      </c>
      <c r="V292" s="74">
        <f t="shared" si="82"/>
        <v>0.17543859649122806</v>
      </c>
      <c r="W292" s="74">
        <f t="shared" si="83"/>
        <v>0.52631578947368418</v>
      </c>
      <c r="X292" s="74">
        <f t="shared" si="84"/>
        <v>0.4912280701754389</v>
      </c>
      <c r="Y292" s="74">
        <f t="shared" si="85"/>
        <v>0</v>
      </c>
      <c r="Z292" s="75">
        <f t="shared" si="86"/>
        <v>0.63157894736842146</v>
      </c>
      <c r="AA292" s="76">
        <f t="shared" si="87"/>
        <v>0.7</v>
      </c>
      <c r="AB292" s="76">
        <f t="shared" ca="1" si="88"/>
        <v>0.7</v>
      </c>
      <c r="AC292" s="77">
        <f t="shared" ca="1" si="89"/>
        <v>0.69999999999999984</v>
      </c>
      <c r="AD292" s="359">
        <f t="shared" si="90"/>
        <v>3.9298245614035103</v>
      </c>
      <c r="AE292" s="369">
        <f t="shared" ca="1" si="91"/>
        <v>27.508771929824569</v>
      </c>
      <c r="AF292" s="96" t="s">
        <v>257</v>
      </c>
      <c r="AG292" s="442"/>
      <c r="AH292" s="118"/>
      <c r="AI292" s="115"/>
      <c r="AJ292" s="115"/>
      <c r="AK292" s="115"/>
      <c r="AL292" s="122"/>
      <c r="AM292" s="337"/>
      <c r="AN292" s="338"/>
      <c r="AO292" s="338"/>
      <c r="AP292" s="338"/>
      <c r="AQ292" s="339"/>
    </row>
    <row r="293" spans="1:43" ht="36" customHeight="1">
      <c r="A293" s="355">
        <v>289</v>
      </c>
      <c r="B293" s="12" t="s">
        <v>16</v>
      </c>
      <c r="C293" s="344" t="s">
        <v>6</v>
      </c>
      <c r="D293" s="5" t="s">
        <v>857</v>
      </c>
      <c r="E293" s="6" t="s">
        <v>189</v>
      </c>
      <c r="F293" s="473">
        <v>194000</v>
      </c>
      <c r="G293" s="52">
        <v>2</v>
      </c>
      <c r="H293" s="57">
        <v>0.2</v>
      </c>
      <c r="I293" s="65">
        <v>1</v>
      </c>
      <c r="J293" s="66">
        <v>4.0000000000000027</v>
      </c>
      <c r="K293" s="66">
        <v>1</v>
      </c>
      <c r="L293" s="66">
        <v>8.0000000000000053</v>
      </c>
      <c r="M293" s="66">
        <v>1</v>
      </c>
      <c r="N293" s="66">
        <v>4.0000000000000027</v>
      </c>
      <c r="O293" s="66">
        <v>0</v>
      </c>
      <c r="P293" s="67">
        <v>6</v>
      </c>
      <c r="Q293" s="70" t="e">
        <f ca="1">(#REF!-(YEAR(TODAY())-#REF!))/#REF!</f>
        <v>#REF!</v>
      </c>
      <c r="R293" s="70">
        <f t="shared" ca="1" si="78"/>
        <v>0.2</v>
      </c>
      <c r="S293" s="74">
        <f t="shared" si="79"/>
        <v>0.15789473684210525</v>
      </c>
      <c r="T293" s="74">
        <f t="shared" si="80"/>
        <v>0.42105263157894762</v>
      </c>
      <c r="U293" s="74">
        <f t="shared" si="81"/>
        <v>0.14035087719298245</v>
      </c>
      <c r="V293" s="74">
        <f t="shared" si="82"/>
        <v>1.4035087719298256</v>
      </c>
      <c r="W293" s="74">
        <f t="shared" si="83"/>
        <v>8.771929824561403E-2</v>
      </c>
      <c r="X293" s="74">
        <f t="shared" si="84"/>
        <v>0.4912280701754389</v>
      </c>
      <c r="Y293" s="74">
        <f t="shared" si="85"/>
        <v>0</v>
      </c>
      <c r="Z293" s="75">
        <f t="shared" si="86"/>
        <v>0.63157894736842102</v>
      </c>
      <c r="AA293" s="76">
        <f t="shared" si="87"/>
        <v>0.8</v>
      </c>
      <c r="AB293" s="76">
        <f t="shared" ca="1" si="88"/>
        <v>0.8</v>
      </c>
      <c r="AC293" s="77">
        <f t="shared" ca="1" si="89"/>
        <v>0.80000000000000016</v>
      </c>
      <c r="AD293" s="359">
        <f t="shared" si="90"/>
        <v>3.3333333333333348</v>
      </c>
      <c r="AE293" s="369">
        <f t="shared" ca="1" si="91"/>
        <v>26.666666666666682</v>
      </c>
      <c r="AF293" s="96" t="s">
        <v>248</v>
      </c>
      <c r="AG293" s="442"/>
      <c r="AH293" s="118"/>
      <c r="AI293" s="115"/>
      <c r="AJ293" s="115"/>
      <c r="AK293" s="115"/>
      <c r="AL293" s="122"/>
      <c r="AM293" s="337"/>
      <c r="AN293" s="338"/>
      <c r="AO293" s="338"/>
      <c r="AP293" s="338"/>
      <c r="AQ293" s="339"/>
    </row>
    <row r="294" spans="1:43" ht="36" customHeight="1">
      <c r="A294" s="355">
        <v>290</v>
      </c>
      <c r="B294" s="4" t="s">
        <v>5</v>
      </c>
      <c r="C294" s="286" t="s">
        <v>6</v>
      </c>
      <c r="D294" s="5" t="s">
        <v>216</v>
      </c>
      <c r="E294" s="7" t="s">
        <v>941</v>
      </c>
      <c r="F294" s="473">
        <v>125000</v>
      </c>
      <c r="G294" s="52">
        <v>5</v>
      </c>
      <c r="H294" s="57">
        <v>0.5</v>
      </c>
      <c r="I294" s="65">
        <v>6.0000000000000036</v>
      </c>
      <c r="J294" s="66">
        <v>8.0000000000000053</v>
      </c>
      <c r="K294" s="66">
        <v>4.0000000000000027</v>
      </c>
      <c r="L294" s="66">
        <v>6.0000000000000036</v>
      </c>
      <c r="M294" s="66">
        <v>4.0000000000000027</v>
      </c>
      <c r="N294" s="66">
        <v>6.0000000000000036</v>
      </c>
      <c r="O294" s="66">
        <v>2</v>
      </c>
      <c r="P294" s="67">
        <v>6.0000000000000036</v>
      </c>
      <c r="Q294" s="70" t="e">
        <f ca="1">(#REF!-(YEAR(TODAY())-#REF!))/#REF!</f>
        <v>#REF!</v>
      </c>
      <c r="R294" s="70">
        <f t="shared" ca="1" si="78"/>
        <v>0.5</v>
      </c>
      <c r="S294" s="74">
        <f t="shared" si="79"/>
        <v>0.94736842105263208</v>
      </c>
      <c r="T294" s="74">
        <f t="shared" si="80"/>
        <v>0.84210526315789525</v>
      </c>
      <c r="U294" s="74">
        <f t="shared" si="81"/>
        <v>0.56140350877193024</v>
      </c>
      <c r="V294" s="74">
        <f t="shared" si="82"/>
        <v>1.052631578947369</v>
      </c>
      <c r="W294" s="74">
        <f t="shared" si="83"/>
        <v>0.3508771929824564</v>
      </c>
      <c r="X294" s="74">
        <f t="shared" si="84"/>
        <v>0.73684210526315841</v>
      </c>
      <c r="Y294" s="74">
        <f t="shared" si="85"/>
        <v>0.21052631578947367</v>
      </c>
      <c r="Z294" s="75">
        <f t="shared" si="86"/>
        <v>0.63157894736842146</v>
      </c>
      <c r="AA294" s="76">
        <f t="shared" si="87"/>
        <v>0.5</v>
      </c>
      <c r="AB294" s="76">
        <f t="shared" ca="1" si="88"/>
        <v>0.5</v>
      </c>
      <c r="AC294" s="77">
        <f t="shared" ca="1" si="89"/>
        <v>0.5</v>
      </c>
      <c r="AD294" s="359">
        <f t="shared" si="90"/>
        <v>5.3333333333333366</v>
      </c>
      <c r="AE294" s="369">
        <f t="shared" ca="1" si="91"/>
        <v>26.666666666666682</v>
      </c>
      <c r="AF294" s="96" t="s">
        <v>248</v>
      </c>
      <c r="AG294" s="442"/>
      <c r="AH294" s="118"/>
      <c r="AI294" s="115"/>
      <c r="AJ294" s="115"/>
      <c r="AK294" s="115"/>
      <c r="AL294" s="122"/>
      <c r="AM294" s="337"/>
      <c r="AN294" s="338"/>
      <c r="AO294" s="338"/>
      <c r="AP294" s="338"/>
      <c r="AQ294" s="339"/>
    </row>
    <row r="295" spans="1:43" ht="36" customHeight="1">
      <c r="A295" s="355">
        <v>291</v>
      </c>
      <c r="B295" s="4" t="s">
        <v>7</v>
      </c>
      <c r="C295" s="286" t="s">
        <v>6</v>
      </c>
      <c r="D295" s="16" t="s">
        <v>196</v>
      </c>
      <c r="E295" s="18" t="s">
        <v>1060</v>
      </c>
      <c r="F295" s="476">
        <v>86607</v>
      </c>
      <c r="G295" s="52">
        <v>3</v>
      </c>
      <c r="H295" s="57">
        <v>0</v>
      </c>
      <c r="I295" s="65">
        <v>4.0000000000000027</v>
      </c>
      <c r="J295" s="66">
        <v>4.0000000000000027</v>
      </c>
      <c r="K295" s="66">
        <v>1</v>
      </c>
      <c r="L295" s="66">
        <v>6.0000000000000036</v>
      </c>
      <c r="M295" s="66">
        <v>6.0000000000000036</v>
      </c>
      <c r="N295" s="66">
        <v>1</v>
      </c>
      <c r="O295" s="66">
        <v>0</v>
      </c>
      <c r="P295" s="67">
        <v>4.0000000000000027</v>
      </c>
      <c r="Q295" s="70" t="e">
        <f ca="1">(#REF!-(YEAR(TODAY())-#REF!))/#REF!</f>
        <v>#REF!</v>
      </c>
      <c r="R295" s="70">
        <f t="shared" ca="1" si="78"/>
        <v>0</v>
      </c>
      <c r="S295" s="74">
        <f t="shared" si="79"/>
        <v>0.63157894736842146</v>
      </c>
      <c r="T295" s="74">
        <f t="shared" si="80"/>
        <v>0.42105263157894762</v>
      </c>
      <c r="U295" s="74">
        <f t="shared" si="81"/>
        <v>0.14035087719298245</v>
      </c>
      <c r="V295" s="74">
        <f t="shared" si="82"/>
        <v>1.052631578947369</v>
      </c>
      <c r="W295" s="74">
        <f t="shared" si="83"/>
        <v>0.52631578947368451</v>
      </c>
      <c r="X295" s="74">
        <f t="shared" si="84"/>
        <v>0.12280701754385964</v>
      </c>
      <c r="Y295" s="74">
        <f t="shared" si="85"/>
        <v>0</v>
      </c>
      <c r="Z295" s="75">
        <f t="shared" si="86"/>
        <v>0.42105263157894762</v>
      </c>
      <c r="AA295" s="76">
        <f t="shared" si="87"/>
        <v>0.7</v>
      </c>
      <c r="AB295" s="76">
        <f t="shared" ca="1" si="88"/>
        <v>1</v>
      </c>
      <c r="AC295" s="77">
        <f t="shared" ca="1" si="89"/>
        <v>0.79999999999999993</v>
      </c>
      <c r="AD295" s="359">
        <f t="shared" si="90"/>
        <v>3.3157894736842124</v>
      </c>
      <c r="AE295" s="369">
        <f t="shared" ca="1" si="91"/>
        <v>26.526315789473696</v>
      </c>
      <c r="AF295" s="96" t="s">
        <v>248</v>
      </c>
      <c r="AG295" s="442"/>
      <c r="AH295" s="118"/>
      <c r="AI295" s="115"/>
      <c r="AJ295" s="115"/>
      <c r="AK295" s="115"/>
      <c r="AL295" s="122"/>
      <c r="AM295" s="337"/>
      <c r="AN295" s="338"/>
      <c r="AO295" s="338"/>
      <c r="AP295" s="338"/>
      <c r="AQ295" s="339"/>
    </row>
    <row r="296" spans="1:43" ht="36" customHeight="1">
      <c r="A296" s="355">
        <v>292</v>
      </c>
      <c r="B296" s="4" t="s">
        <v>7</v>
      </c>
      <c r="C296" s="286" t="s">
        <v>6</v>
      </c>
      <c r="D296" s="16" t="s">
        <v>219</v>
      </c>
      <c r="E296" s="18" t="s">
        <v>220</v>
      </c>
      <c r="F296" s="476">
        <v>97000</v>
      </c>
      <c r="G296" s="52">
        <v>3</v>
      </c>
      <c r="H296" s="57">
        <v>0</v>
      </c>
      <c r="I296" s="65">
        <v>4.0000000000000027</v>
      </c>
      <c r="J296" s="66">
        <v>1</v>
      </c>
      <c r="K296" s="66">
        <v>6.0000000000000036</v>
      </c>
      <c r="L296" s="66">
        <v>1</v>
      </c>
      <c r="M296" s="66">
        <v>8.0000000000000053</v>
      </c>
      <c r="N296" s="66">
        <v>1</v>
      </c>
      <c r="O296" s="66">
        <v>3</v>
      </c>
      <c r="P296" s="67">
        <v>4.0000000000000027</v>
      </c>
      <c r="Q296" s="70" t="e">
        <f ca="1">(#REF!-(YEAR(TODAY())-#REF!))/#REF!</f>
        <v>#REF!</v>
      </c>
      <c r="R296" s="70">
        <f t="shared" ca="1" si="78"/>
        <v>0</v>
      </c>
      <c r="S296" s="74">
        <f t="shared" si="79"/>
        <v>0.63157894736842146</v>
      </c>
      <c r="T296" s="74">
        <f t="shared" si="80"/>
        <v>0.10526315789473684</v>
      </c>
      <c r="U296" s="74">
        <f t="shared" si="81"/>
        <v>0.84210526315789525</v>
      </c>
      <c r="V296" s="74">
        <f t="shared" si="82"/>
        <v>0.17543859649122806</v>
      </c>
      <c r="W296" s="74">
        <f t="shared" si="83"/>
        <v>0.7017543859649128</v>
      </c>
      <c r="X296" s="74">
        <f t="shared" si="84"/>
        <v>0.12280701754385964</v>
      </c>
      <c r="Y296" s="74">
        <f t="shared" si="85"/>
        <v>0.31578947368421051</v>
      </c>
      <c r="Z296" s="75">
        <f t="shared" si="86"/>
        <v>0.42105263157894762</v>
      </c>
      <c r="AA296" s="76">
        <f t="shared" si="87"/>
        <v>0.7</v>
      </c>
      <c r="AB296" s="76">
        <f t="shared" ca="1" si="88"/>
        <v>1</v>
      </c>
      <c r="AC296" s="77">
        <f t="shared" ca="1" si="89"/>
        <v>0.79999999999999993</v>
      </c>
      <c r="AD296" s="359">
        <f t="shared" si="90"/>
        <v>3.3157894736842124</v>
      </c>
      <c r="AE296" s="369">
        <f t="shared" ca="1" si="91"/>
        <v>26.526315789473696</v>
      </c>
      <c r="AF296" s="96" t="s">
        <v>248</v>
      </c>
      <c r="AG296" s="442"/>
      <c r="AH296" s="118"/>
      <c r="AI296" s="115"/>
      <c r="AJ296" s="115"/>
      <c r="AK296" s="115"/>
      <c r="AL296" s="122"/>
      <c r="AM296" s="337"/>
      <c r="AN296" s="338"/>
      <c r="AO296" s="338"/>
      <c r="AP296" s="338"/>
      <c r="AQ296" s="339"/>
    </row>
    <row r="297" spans="1:43" ht="36" customHeight="1">
      <c r="A297" s="355">
        <v>293</v>
      </c>
      <c r="B297" s="4" t="s">
        <v>35</v>
      </c>
      <c r="C297" s="286" t="s">
        <v>6</v>
      </c>
      <c r="D297" s="16" t="s">
        <v>82</v>
      </c>
      <c r="E297" s="18" t="s">
        <v>83</v>
      </c>
      <c r="F297" s="476">
        <v>140000</v>
      </c>
      <c r="G297" s="52">
        <v>3</v>
      </c>
      <c r="H297" s="57">
        <v>0.1</v>
      </c>
      <c r="I297" s="65">
        <v>5</v>
      </c>
      <c r="J297" s="66">
        <v>1</v>
      </c>
      <c r="K297" s="66">
        <v>3</v>
      </c>
      <c r="L297" s="66">
        <v>4</v>
      </c>
      <c r="M297" s="66">
        <v>4</v>
      </c>
      <c r="N297" s="66">
        <v>1</v>
      </c>
      <c r="O297" s="66">
        <v>3</v>
      </c>
      <c r="P297" s="67">
        <v>6.0000000000000036</v>
      </c>
      <c r="Q297" s="70" t="e">
        <f ca="1">(#REF!-(YEAR(TODAY())-#REF!))/#REF!</f>
        <v>#REF!</v>
      </c>
      <c r="R297" s="70">
        <f t="shared" ca="1" si="78"/>
        <v>0.1</v>
      </c>
      <c r="S297" s="74">
        <f t="shared" si="79"/>
        <v>0.78947368421052633</v>
      </c>
      <c r="T297" s="74">
        <f t="shared" si="80"/>
        <v>0.10526315789473684</v>
      </c>
      <c r="U297" s="74">
        <f t="shared" si="81"/>
        <v>0.42105263157894735</v>
      </c>
      <c r="V297" s="74">
        <f t="shared" si="82"/>
        <v>0.70175438596491224</v>
      </c>
      <c r="W297" s="74">
        <f t="shared" si="83"/>
        <v>0.35087719298245612</v>
      </c>
      <c r="X297" s="74">
        <f t="shared" si="84"/>
        <v>0.12280701754385964</v>
      </c>
      <c r="Y297" s="74">
        <f t="shared" si="85"/>
        <v>0.31578947368421051</v>
      </c>
      <c r="Z297" s="75">
        <f t="shared" si="86"/>
        <v>0.63157894736842146</v>
      </c>
      <c r="AA297" s="76">
        <f t="shared" si="87"/>
        <v>0.7</v>
      </c>
      <c r="AB297" s="76">
        <f t="shared" ca="1" si="88"/>
        <v>0.9</v>
      </c>
      <c r="AC297" s="77">
        <f t="shared" ca="1" si="89"/>
        <v>0.76666666666666661</v>
      </c>
      <c r="AD297" s="359">
        <f t="shared" si="90"/>
        <v>3.4385964912280702</v>
      </c>
      <c r="AE297" s="369">
        <f t="shared" ca="1" si="91"/>
        <v>26.362573099415201</v>
      </c>
      <c r="AF297" s="96" t="s">
        <v>248</v>
      </c>
      <c r="AG297" s="442"/>
      <c r="AH297" s="118"/>
      <c r="AI297" s="115"/>
      <c r="AJ297" s="115"/>
      <c r="AK297" s="115"/>
      <c r="AL297" s="122"/>
      <c r="AM297" s="337"/>
      <c r="AN297" s="338"/>
      <c r="AO297" s="338"/>
      <c r="AP297" s="338"/>
      <c r="AQ297" s="339"/>
    </row>
    <row r="298" spans="1:43" ht="36" customHeight="1">
      <c r="A298" s="355">
        <v>294</v>
      </c>
      <c r="B298" s="4" t="s">
        <v>10</v>
      </c>
      <c r="C298" s="286" t="s">
        <v>300</v>
      </c>
      <c r="D298" s="10" t="s">
        <v>227</v>
      </c>
      <c r="E298" s="20" t="s">
        <v>960</v>
      </c>
      <c r="F298" s="476">
        <v>600000</v>
      </c>
      <c r="G298" s="52">
        <v>7</v>
      </c>
      <c r="H298" s="57">
        <v>0.6</v>
      </c>
      <c r="I298" s="65">
        <v>9.9999999999999982</v>
      </c>
      <c r="J298" s="66">
        <v>9.9999999999999982</v>
      </c>
      <c r="K298" s="66">
        <v>8.0000000000000053</v>
      </c>
      <c r="L298" s="66">
        <v>9.9999999999999982</v>
      </c>
      <c r="M298" s="66">
        <v>6.0000000000000036</v>
      </c>
      <c r="N298" s="66">
        <v>8.0000000000000053</v>
      </c>
      <c r="O298" s="66">
        <v>0</v>
      </c>
      <c r="P298" s="67">
        <v>8.0000000000000053</v>
      </c>
      <c r="Q298" s="70" t="e">
        <f ca="1">(#REF!-(YEAR(TODAY())-#REF!))/#REF!</f>
        <v>#REF!</v>
      </c>
      <c r="R298" s="70">
        <f t="shared" ca="1" si="78"/>
        <v>0.6</v>
      </c>
      <c r="S298" s="74">
        <f t="shared" si="79"/>
        <v>1.5789473684210524</v>
      </c>
      <c r="T298" s="74">
        <f t="shared" si="80"/>
        <v>1.0526315789473681</v>
      </c>
      <c r="U298" s="74">
        <f t="shared" si="81"/>
        <v>1.1228070175438605</v>
      </c>
      <c r="V298" s="74">
        <f t="shared" si="82"/>
        <v>1.7543859649122804</v>
      </c>
      <c r="W298" s="74">
        <f t="shared" si="83"/>
        <v>0.52631578947368451</v>
      </c>
      <c r="X298" s="74">
        <f t="shared" si="84"/>
        <v>0.9824561403508778</v>
      </c>
      <c r="Y298" s="74">
        <f t="shared" si="85"/>
        <v>0</v>
      </c>
      <c r="Z298" s="75">
        <f t="shared" si="86"/>
        <v>0.84210526315789525</v>
      </c>
      <c r="AA298" s="76">
        <f t="shared" si="87"/>
        <v>0.29999999999999993</v>
      </c>
      <c r="AB298" s="76">
        <f t="shared" ca="1" si="88"/>
        <v>0.4</v>
      </c>
      <c r="AC298" s="77">
        <f t="shared" ca="1" si="89"/>
        <v>0.33333333333333331</v>
      </c>
      <c r="AD298" s="359">
        <f t="shared" si="90"/>
        <v>7.8596491228070198</v>
      </c>
      <c r="AE298" s="369">
        <f t="shared" ca="1" si="91"/>
        <v>26.198830409356731</v>
      </c>
      <c r="AF298" s="96" t="s">
        <v>248</v>
      </c>
      <c r="AG298" s="114"/>
      <c r="AH298" s="118"/>
      <c r="AI298" s="115"/>
      <c r="AJ298" s="115"/>
      <c r="AK298" s="115"/>
      <c r="AL298" s="122"/>
      <c r="AM298" s="337"/>
      <c r="AN298" s="338"/>
      <c r="AO298" s="338"/>
      <c r="AP298" s="338"/>
      <c r="AQ298" s="339"/>
    </row>
    <row r="299" spans="1:43" ht="36" customHeight="1">
      <c r="A299" s="355">
        <v>295</v>
      </c>
      <c r="B299" s="4" t="s">
        <v>5</v>
      </c>
      <c r="C299" s="286" t="s">
        <v>6</v>
      </c>
      <c r="D299" s="5" t="s">
        <v>826</v>
      </c>
      <c r="E299" s="7" t="s">
        <v>941</v>
      </c>
      <c r="F299" s="473">
        <v>75000</v>
      </c>
      <c r="G299" s="52">
        <v>5</v>
      </c>
      <c r="H299" s="57">
        <v>0.5</v>
      </c>
      <c r="I299" s="65">
        <v>6.0000000000000036</v>
      </c>
      <c r="J299" s="66">
        <v>8.0000000000000053</v>
      </c>
      <c r="K299" s="66">
        <v>4.0000000000000027</v>
      </c>
      <c r="L299" s="66">
        <v>6.0000000000000036</v>
      </c>
      <c r="M299" s="66">
        <v>4.0000000000000027</v>
      </c>
      <c r="N299" s="66">
        <v>6.0000000000000036</v>
      </c>
      <c r="O299" s="66">
        <v>1</v>
      </c>
      <c r="P299" s="67">
        <v>6.0000000000000036</v>
      </c>
      <c r="Q299" s="70" t="e">
        <f ca="1">(#REF!-(YEAR(TODAY())-#REF!))/#REF!</f>
        <v>#REF!</v>
      </c>
      <c r="R299" s="70">
        <f t="shared" ca="1" si="78"/>
        <v>0.5</v>
      </c>
      <c r="S299" s="74">
        <f t="shared" si="79"/>
        <v>0.94736842105263208</v>
      </c>
      <c r="T299" s="74">
        <f t="shared" si="80"/>
        <v>0.84210526315789525</v>
      </c>
      <c r="U299" s="74">
        <f t="shared" si="81"/>
        <v>0.56140350877193024</v>
      </c>
      <c r="V299" s="74">
        <f t="shared" si="82"/>
        <v>1.052631578947369</v>
      </c>
      <c r="W299" s="74">
        <f t="shared" si="83"/>
        <v>0.3508771929824564</v>
      </c>
      <c r="X299" s="74">
        <f t="shared" si="84"/>
        <v>0.73684210526315841</v>
      </c>
      <c r="Y299" s="74">
        <f t="shared" si="85"/>
        <v>0.10526315789473684</v>
      </c>
      <c r="Z299" s="75">
        <f t="shared" si="86"/>
        <v>0.63157894736842146</v>
      </c>
      <c r="AA299" s="76">
        <f t="shared" si="87"/>
        <v>0.5</v>
      </c>
      <c r="AB299" s="76">
        <f t="shared" ca="1" si="88"/>
        <v>0.5</v>
      </c>
      <c r="AC299" s="77">
        <f t="shared" ca="1" si="89"/>
        <v>0.5</v>
      </c>
      <c r="AD299" s="359">
        <f t="shared" si="90"/>
        <v>5.2280701754386003</v>
      </c>
      <c r="AE299" s="369">
        <f t="shared" ca="1" si="91"/>
        <v>26.140350877193001</v>
      </c>
      <c r="AF299" s="96" t="s">
        <v>248</v>
      </c>
      <c r="AG299" s="443"/>
      <c r="AH299" s="118"/>
      <c r="AI299" s="115"/>
      <c r="AJ299" s="115"/>
      <c r="AK299" s="115"/>
      <c r="AL299" s="122"/>
      <c r="AM299" s="337"/>
      <c r="AN299" s="338"/>
      <c r="AO299" s="338"/>
      <c r="AP299" s="338"/>
      <c r="AQ299" s="339"/>
    </row>
    <row r="300" spans="1:43" ht="36" customHeight="1">
      <c r="A300" s="355">
        <v>296</v>
      </c>
      <c r="B300" s="4" t="s">
        <v>5</v>
      </c>
      <c r="C300" s="286" t="s">
        <v>6</v>
      </c>
      <c r="D300" s="5" t="s">
        <v>213</v>
      </c>
      <c r="E300" s="7" t="s">
        <v>942</v>
      </c>
      <c r="F300" s="473">
        <v>100000</v>
      </c>
      <c r="G300" s="52">
        <v>5</v>
      </c>
      <c r="H300" s="57">
        <v>0.5</v>
      </c>
      <c r="I300" s="65">
        <v>6.0000000000000036</v>
      </c>
      <c r="J300" s="66">
        <v>8.0000000000000053</v>
      </c>
      <c r="K300" s="66">
        <v>4.0000000000000027</v>
      </c>
      <c r="L300" s="66">
        <v>6.0000000000000036</v>
      </c>
      <c r="M300" s="66">
        <v>4.0000000000000027</v>
      </c>
      <c r="N300" s="66">
        <v>6.0000000000000036</v>
      </c>
      <c r="O300" s="66">
        <v>1</v>
      </c>
      <c r="P300" s="67">
        <v>6.0000000000000036</v>
      </c>
      <c r="Q300" s="70" t="e">
        <f ca="1">(#REF!-(YEAR(TODAY())-#REF!))/#REF!</f>
        <v>#REF!</v>
      </c>
      <c r="R300" s="70">
        <f t="shared" ca="1" si="78"/>
        <v>0.5</v>
      </c>
      <c r="S300" s="74">
        <f t="shared" si="79"/>
        <v>0.94736842105263208</v>
      </c>
      <c r="T300" s="74">
        <f t="shared" si="80"/>
        <v>0.84210526315789525</v>
      </c>
      <c r="U300" s="74">
        <f t="shared" si="81"/>
        <v>0.56140350877193024</v>
      </c>
      <c r="V300" s="74">
        <f t="shared" si="82"/>
        <v>1.052631578947369</v>
      </c>
      <c r="W300" s="74">
        <f t="shared" si="83"/>
        <v>0.3508771929824564</v>
      </c>
      <c r="X300" s="74">
        <f t="shared" si="84"/>
        <v>0.73684210526315841</v>
      </c>
      <c r="Y300" s="74">
        <f t="shared" si="85"/>
        <v>0.10526315789473684</v>
      </c>
      <c r="Z300" s="75">
        <f t="shared" si="86"/>
        <v>0.63157894736842146</v>
      </c>
      <c r="AA300" s="76">
        <f t="shared" si="87"/>
        <v>0.5</v>
      </c>
      <c r="AB300" s="76">
        <f t="shared" ca="1" si="88"/>
        <v>0.5</v>
      </c>
      <c r="AC300" s="77">
        <f t="shared" ca="1" si="89"/>
        <v>0.5</v>
      </c>
      <c r="AD300" s="359">
        <f t="shared" si="90"/>
        <v>5.2280701754386003</v>
      </c>
      <c r="AE300" s="369">
        <f t="shared" ca="1" si="91"/>
        <v>26.140350877193001</v>
      </c>
      <c r="AF300" s="96" t="s">
        <v>248</v>
      </c>
      <c r="AG300" s="442"/>
      <c r="AH300" s="118"/>
      <c r="AI300" s="115"/>
      <c r="AJ300" s="115"/>
      <c r="AK300" s="115"/>
      <c r="AL300" s="122"/>
      <c r="AM300" s="340"/>
      <c r="AN300" s="338"/>
      <c r="AO300" s="338"/>
      <c r="AP300" s="338"/>
      <c r="AQ300" s="339"/>
    </row>
    <row r="301" spans="1:43" ht="36" customHeight="1">
      <c r="A301" s="355">
        <v>297</v>
      </c>
      <c r="B301" s="4" t="s">
        <v>5</v>
      </c>
      <c r="C301" s="286" t="s">
        <v>6</v>
      </c>
      <c r="D301" s="5" t="s">
        <v>236</v>
      </c>
      <c r="E301" s="7" t="s">
        <v>943</v>
      </c>
      <c r="F301" s="473">
        <v>100000</v>
      </c>
      <c r="G301" s="52">
        <v>5</v>
      </c>
      <c r="H301" s="57">
        <v>0.5</v>
      </c>
      <c r="I301" s="65">
        <v>6.0000000000000036</v>
      </c>
      <c r="J301" s="66">
        <v>8.0000000000000053</v>
      </c>
      <c r="K301" s="66">
        <v>4.0000000000000027</v>
      </c>
      <c r="L301" s="66">
        <v>6.0000000000000036</v>
      </c>
      <c r="M301" s="66">
        <v>4.0000000000000027</v>
      </c>
      <c r="N301" s="66">
        <v>6.0000000000000036</v>
      </c>
      <c r="O301" s="66">
        <v>1</v>
      </c>
      <c r="P301" s="67">
        <v>6.0000000000000036</v>
      </c>
      <c r="Q301" s="70" t="e">
        <f ca="1">(#REF!-(YEAR(TODAY())-#REF!))/#REF!</f>
        <v>#REF!</v>
      </c>
      <c r="R301" s="70">
        <f t="shared" ca="1" si="78"/>
        <v>0.5</v>
      </c>
      <c r="S301" s="74">
        <f t="shared" si="79"/>
        <v>0.94736842105263208</v>
      </c>
      <c r="T301" s="74">
        <f t="shared" si="80"/>
        <v>0.84210526315789525</v>
      </c>
      <c r="U301" s="74">
        <f t="shared" si="81"/>
        <v>0.56140350877193024</v>
      </c>
      <c r="V301" s="74">
        <f t="shared" si="82"/>
        <v>1.052631578947369</v>
      </c>
      <c r="W301" s="74">
        <f t="shared" si="83"/>
        <v>0.3508771929824564</v>
      </c>
      <c r="X301" s="74">
        <f t="shared" si="84"/>
        <v>0.73684210526315841</v>
      </c>
      <c r="Y301" s="74">
        <f t="shared" si="85"/>
        <v>0.10526315789473684</v>
      </c>
      <c r="Z301" s="75">
        <f t="shared" si="86"/>
        <v>0.63157894736842146</v>
      </c>
      <c r="AA301" s="76">
        <f t="shared" si="87"/>
        <v>0.5</v>
      </c>
      <c r="AB301" s="76">
        <f t="shared" ca="1" si="88"/>
        <v>0.5</v>
      </c>
      <c r="AC301" s="77">
        <f t="shared" ca="1" si="89"/>
        <v>0.5</v>
      </c>
      <c r="AD301" s="359">
        <f t="shared" si="90"/>
        <v>5.2280701754386003</v>
      </c>
      <c r="AE301" s="369">
        <f t="shared" ca="1" si="91"/>
        <v>26.140350877193001</v>
      </c>
      <c r="AF301" s="96" t="s">
        <v>248</v>
      </c>
      <c r="AG301" s="442"/>
      <c r="AH301" s="118"/>
      <c r="AI301" s="115"/>
      <c r="AJ301" s="115"/>
      <c r="AK301" s="115"/>
      <c r="AL301" s="122"/>
      <c r="AM301" s="337"/>
      <c r="AN301" s="338"/>
      <c r="AO301" s="338"/>
      <c r="AP301" s="338"/>
      <c r="AQ301" s="339"/>
    </row>
    <row r="302" spans="1:43" ht="36" customHeight="1">
      <c r="A302" s="355">
        <v>298</v>
      </c>
      <c r="B302" s="4" t="s">
        <v>14</v>
      </c>
      <c r="C302" s="286" t="s">
        <v>298</v>
      </c>
      <c r="D302" s="10" t="s">
        <v>143</v>
      </c>
      <c r="E302" s="20" t="s">
        <v>144</v>
      </c>
      <c r="F302" s="473">
        <v>100000</v>
      </c>
      <c r="G302" s="51">
        <v>4</v>
      </c>
      <c r="H302" s="57">
        <v>0.3</v>
      </c>
      <c r="I302" s="65">
        <v>4</v>
      </c>
      <c r="J302" s="66">
        <v>8.0000000000000053</v>
      </c>
      <c r="K302" s="66">
        <v>1</v>
      </c>
      <c r="L302" s="66">
        <v>4</v>
      </c>
      <c r="M302" s="66">
        <v>1</v>
      </c>
      <c r="N302" s="66">
        <v>7.0000000000000044</v>
      </c>
      <c r="O302" s="66">
        <v>0</v>
      </c>
      <c r="P302" s="67">
        <v>8.0000000000000053</v>
      </c>
      <c r="Q302" s="70" t="e">
        <f ca="1">(#REF!-(YEAR(TODAY())-#REF!))/#REF!</f>
        <v>#REF!</v>
      </c>
      <c r="R302" s="70">
        <f t="shared" ca="1" si="78"/>
        <v>0.3</v>
      </c>
      <c r="S302" s="74">
        <f t="shared" si="79"/>
        <v>0.63157894736842102</v>
      </c>
      <c r="T302" s="74">
        <f t="shared" si="80"/>
        <v>0.84210526315789525</v>
      </c>
      <c r="U302" s="74">
        <f t="shared" si="81"/>
        <v>0.14035087719298245</v>
      </c>
      <c r="V302" s="74">
        <f t="shared" si="82"/>
        <v>0.70175438596491224</v>
      </c>
      <c r="W302" s="74">
        <f t="shared" si="83"/>
        <v>8.771929824561403E-2</v>
      </c>
      <c r="X302" s="74">
        <f t="shared" si="84"/>
        <v>0.859649122807018</v>
      </c>
      <c r="Y302" s="74">
        <f t="shared" si="85"/>
        <v>0</v>
      </c>
      <c r="Z302" s="75">
        <f t="shared" si="86"/>
        <v>0.84210526315789525</v>
      </c>
      <c r="AA302" s="76">
        <f t="shared" si="87"/>
        <v>0.6</v>
      </c>
      <c r="AB302" s="76">
        <f t="shared" ca="1" si="88"/>
        <v>0.7</v>
      </c>
      <c r="AC302" s="77">
        <f t="shared" ca="1" si="89"/>
        <v>0.6333333333333333</v>
      </c>
      <c r="AD302" s="359">
        <f t="shared" si="90"/>
        <v>4.1052631578947381</v>
      </c>
      <c r="AE302" s="369">
        <f t="shared" ca="1" si="91"/>
        <v>26.000000000000007</v>
      </c>
      <c r="AF302" s="95" t="s">
        <v>248</v>
      </c>
      <c r="AG302" s="113"/>
      <c r="AH302" s="118"/>
      <c r="AI302" s="115"/>
      <c r="AJ302" s="115"/>
      <c r="AK302" s="115"/>
      <c r="AL302" s="122"/>
      <c r="AM302" s="337"/>
      <c r="AN302" s="338"/>
      <c r="AO302" s="338"/>
      <c r="AP302" s="338"/>
      <c r="AQ302" s="339"/>
    </row>
    <row r="303" spans="1:43" ht="36" customHeight="1">
      <c r="A303" s="355">
        <v>299</v>
      </c>
      <c r="B303" s="4" t="s">
        <v>16</v>
      </c>
      <c r="C303" s="286" t="s">
        <v>6</v>
      </c>
      <c r="D303" s="16" t="s">
        <v>177</v>
      </c>
      <c r="E303" s="18" t="s">
        <v>178</v>
      </c>
      <c r="F303" s="476">
        <v>85000</v>
      </c>
      <c r="G303" s="52">
        <v>2</v>
      </c>
      <c r="H303" s="57">
        <v>0.4</v>
      </c>
      <c r="I303" s="65">
        <v>1</v>
      </c>
      <c r="J303" s="66">
        <v>4.0000000000000027</v>
      </c>
      <c r="K303" s="66">
        <v>1</v>
      </c>
      <c r="L303" s="66">
        <v>8.0000000000000053</v>
      </c>
      <c r="M303" s="66">
        <v>1</v>
      </c>
      <c r="N303" s="66">
        <v>4.0000000000000027</v>
      </c>
      <c r="O303" s="66">
        <v>0</v>
      </c>
      <c r="P303" s="67">
        <v>8.0000000000000053</v>
      </c>
      <c r="Q303" s="70" t="e">
        <f ca="1">(#REF!-(YEAR(TODAY())-#REF!))/#REF!</f>
        <v>#REF!</v>
      </c>
      <c r="R303" s="70">
        <f t="shared" ca="1" si="78"/>
        <v>0.4</v>
      </c>
      <c r="S303" s="74">
        <f t="shared" si="79"/>
        <v>0.15789473684210525</v>
      </c>
      <c r="T303" s="74">
        <f t="shared" si="80"/>
        <v>0.42105263157894762</v>
      </c>
      <c r="U303" s="74">
        <f t="shared" si="81"/>
        <v>0.14035087719298245</v>
      </c>
      <c r="V303" s="74">
        <f t="shared" si="82"/>
        <v>1.4035087719298256</v>
      </c>
      <c r="W303" s="74">
        <f t="shared" si="83"/>
        <v>8.771929824561403E-2</v>
      </c>
      <c r="X303" s="74">
        <f t="shared" si="84"/>
        <v>0.4912280701754389</v>
      </c>
      <c r="Y303" s="74">
        <f t="shared" si="85"/>
        <v>0</v>
      </c>
      <c r="Z303" s="75">
        <f t="shared" si="86"/>
        <v>0.84210526315789525</v>
      </c>
      <c r="AA303" s="76">
        <f t="shared" si="87"/>
        <v>0.8</v>
      </c>
      <c r="AB303" s="76">
        <f t="shared" ca="1" si="88"/>
        <v>0.6</v>
      </c>
      <c r="AC303" s="77">
        <f t="shared" ca="1" si="89"/>
        <v>0.73333333333333339</v>
      </c>
      <c r="AD303" s="359">
        <f t="shared" si="90"/>
        <v>3.5438596491228087</v>
      </c>
      <c r="AE303" s="369">
        <f t="shared" ca="1" si="91"/>
        <v>25.988304093567265</v>
      </c>
      <c r="AF303" s="96" t="s">
        <v>248</v>
      </c>
      <c r="AG303" s="443"/>
      <c r="AH303" s="118"/>
      <c r="AI303" s="115"/>
      <c r="AJ303" s="115"/>
      <c r="AK303" s="115"/>
      <c r="AL303" s="122"/>
      <c r="AM303" s="337"/>
      <c r="AN303" s="338"/>
      <c r="AO303" s="338"/>
      <c r="AP303" s="338"/>
      <c r="AQ303" s="339"/>
    </row>
    <row r="304" spans="1:43" ht="36" customHeight="1">
      <c r="A304" s="355">
        <v>300</v>
      </c>
      <c r="B304" s="4" t="s">
        <v>5</v>
      </c>
      <c r="C304" s="286" t="s">
        <v>6</v>
      </c>
      <c r="D304" s="5" t="s">
        <v>226</v>
      </c>
      <c r="E304" s="6" t="s">
        <v>1068</v>
      </c>
      <c r="F304" s="473">
        <v>125000</v>
      </c>
      <c r="G304" s="51">
        <v>5</v>
      </c>
      <c r="H304" s="57">
        <v>0.5</v>
      </c>
      <c r="I304" s="65">
        <v>6.0000000000000036</v>
      </c>
      <c r="J304" s="66">
        <v>6.0000000000000036</v>
      </c>
      <c r="K304" s="66">
        <v>4.0000000000000027</v>
      </c>
      <c r="L304" s="66">
        <v>6.0000000000000036</v>
      </c>
      <c r="M304" s="66">
        <v>6.0000000000000036</v>
      </c>
      <c r="N304" s="66">
        <v>6.0000000000000036</v>
      </c>
      <c r="O304" s="66">
        <v>1</v>
      </c>
      <c r="P304" s="67">
        <v>6.0000000000000036</v>
      </c>
      <c r="Q304" s="70" t="e">
        <f ca="1">(#REF!-(YEAR(TODAY())-#REF!))/#REF!</f>
        <v>#REF!</v>
      </c>
      <c r="R304" s="70">
        <f t="shared" ca="1" si="78"/>
        <v>0.5</v>
      </c>
      <c r="S304" s="74">
        <f t="shared" si="79"/>
        <v>0.94736842105263208</v>
      </c>
      <c r="T304" s="74">
        <f t="shared" si="80"/>
        <v>0.63157894736842146</v>
      </c>
      <c r="U304" s="74">
        <f t="shared" si="81"/>
        <v>0.56140350877193024</v>
      </c>
      <c r="V304" s="74">
        <f t="shared" si="82"/>
        <v>1.052631578947369</v>
      </c>
      <c r="W304" s="74">
        <f t="shared" si="83"/>
        <v>0.52631578947368451</v>
      </c>
      <c r="X304" s="74">
        <f t="shared" si="84"/>
        <v>0.73684210526315841</v>
      </c>
      <c r="Y304" s="74">
        <f t="shared" si="85"/>
        <v>0.10526315789473684</v>
      </c>
      <c r="Z304" s="75">
        <f t="shared" si="86"/>
        <v>0.63157894736842146</v>
      </c>
      <c r="AA304" s="76">
        <f t="shared" si="87"/>
        <v>0.5</v>
      </c>
      <c r="AB304" s="76">
        <f t="shared" ca="1" si="88"/>
        <v>0.5</v>
      </c>
      <c r="AC304" s="77">
        <f t="shared" ca="1" si="89"/>
        <v>0.5</v>
      </c>
      <c r="AD304" s="359">
        <f t="shared" si="90"/>
        <v>5.1929824561403537</v>
      </c>
      <c r="AE304" s="369">
        <f t="shared" ca="1" si="91"/>
        <v>25.964912280701768</v>
      </c>
      <c r="AF304" s="95" t="s">
        <v>248</v>
      </c>
      <c r="AG304" s="441"/>
      <c r="AH304" s="118"/>
      <c r="AI304" s="115"/>
      <c r="AJ304" s="115"/>
      <c r="AK304" s="115"/>
      <c r="AL304" s="122"/>
      <c r="AM304" s="337"/>
      <c r="AN304" s="338"/>
      <c r="AO304" s="338"/>
      <c r="AP304" s="338"/>
      <c r="AQ304" s="339"/>
    </row>
    <row r="305" spans="1:43" ht="36" customHeight="1">
      <c r="A305" s="355">
        <v>301</v>
      </c>
      <c r="B305" s="4" t="s">
        <v>7</v>
      </c>
      <c r="C305" s="286" t="s">
        <v>6</v>
      </c>
      <c r="D305" s="5" t="s">
        <v>1117</v>
      </c>
      <c r="E305" s="6" t="s">
        <v>1115</v>
      </c>
      <c r="F305" s="481">
        <v>200000</v>
      </c>
      <c r="G305" s="52">
        <v>2</v>
      </c>
      <c r="H305" s="57">
        <v>0</v>
      </c>
      <c r="I305" s="65">
        <v>2</v>
      </c>
      <c r="J305" s="66">
        <v>4.0000000000000027</v>
      </c>
      <c r="K305" s="66">
        <v>1</v>
      </c>
      <c r="L305" s="66">
        <v>6.0000000000000036</v>
      </c>
      <c r="M305" s="66">
        <v>4.0000000000000027</v>
      </c>
      <c r="N305" s="66">
        <v>4.0000000000000027</v>
      </c>
      <c r="O305" s="66">
        <v>1</v>
      </c>
      <c r="P305" s="67">
        <v>1</v>
      </c>
      <c r="Q305" s="70" t="e">
        <f ca="1">(#REF!-(YEAR(TODAY())-#REF!))/#REF!</f>
        <v>#REF!</v>
      </c>
      <c r="R305" s="70">
        <f t="shared" ca="1" si="78"/>
        <v>0</v>
      </c>
      <c r="S305" s="74">
        <f t="shared" si="79"/>
        <v>0.31578947368421051</v>
      </c>
      <c r="T305" s="74">
        <f t="shared" si="80"/>
        <v>0.42105263157894762</v>
      </c>
      <c r="U305" s="74">
        <f t="shared" si="81"/>
        <v>0.14035087719298245</v>
      </c>
      <c r="V305" s="74">
        <f t="shared" si="82"/>
        <v>1.052631578947369</v>
      </c>
      <c r="W305" s="74">
        <f t="shared" si="83"/>
        <v>0.3508771929824564</v>
      </c>
      <c r="X305" s="74">
        <f t="shared" si="84"/>
        <v>0.4912280701754389</v>
      </c>
      <c r="Y305" s="74">
        <f t="shared" si="85"/>
        <v>0.10526315789473684</v>
      </c>
      <c r="Z305" s="75">
        <f t="shared" si="86"/>
        <v>0.10526315789473684</v>
      </c>
      <c r="AA305" s="76">
        <f t="shared" si="87"/>
        <v>0.8</v>
      </c>
      <c r="AB305" s="76">
        <f t="shared" ca="1" si="88"/>
        <v>1</v>
      </c>
      <c r="AC305" s="77">
        <f t="shared" ca="1" si="89"/>
        <v>0.8666666666666667</v>
      </c>
      <c r="AD305" s="359">
        <f t="shared" si="90"/>
        <v>2.9824561403508785</v>
      </c>
      <c r="AE305" s="369">
        <f t="shared" ca="1" si="91"/>
        <v>25.847953216374279</v>
      </c>
      <c r="AF305" s="96" t="s">
        <v>257</v>
      </c>
      <c r="AG305" s="442"/>
      <c r="AH305" s="118"/>
      <c r="AI305" s="115"/>
      <c r="AJ305" s="115"/>
      <c r="AK305" s="115"/>
      <c r="AL305" s="122"/>
      <c r="AM305" s="337"/>
      <c r="AN305" s="338"/>
      <c r="AO305" s="338"/>
      <c r="AP305" s="338"/>
      <c r="AQ305" s="339"/>
    </row>
    <row r="306" spans="1:43" ht="36" customHeight="1">
      <c r="A306" s="355">
        <v>302</v>
      </c>
      <c r="B306" s="4" t="s">
        <v>5</v>
      </c>
      <c r="C306" s="286" t="s">
        <v>6</v>
      </c>
      <c r="D306" s="5" t="s">
        <v>225</v>
      </c>
      <c r="E306" s="7" t="s">
        <v>944</v>
      </c>
      <c r="F306" s="473">
        <v>300000</v>
      </c>
      <c r="G306" s="51">
        <v>5</v>
      </c>
      <c r="H306" s="57">
        <v>0.4</v>
      </c>
      <c r="I306" s="65">
        <v>6.0000000000000036</v>
      </c>
      <c r="J306" s="66">
        <v>6.0000000000000036</v>
      </c>
      <c r="K306" s="66">
        <v>4.0000000000000027</v>
      </c>
      <c r="L306" s="66">
        <v>4.0000000000000027</v>
      </c>
      <c r="M306" s="66">
        <v>1</v>
      </c>
      <c r="N306" s="66">
        <v>6.0000000000000036</v>
      </c>
      <c r="O306" s="66">
        <v>5</v>
      </c>
      <c r="P306" s="67">
        <v>6.0000000000000036</v>
      </c>
      <c r="Q306" s="70" t="e">
        <f ca="1">(#REF!-(YEAR(TODAY())-#REF!))/#REF!</f>
        <v>#REF!</v>
      </c>
      <c r="R306" s="70">
        <f t="shared" ca="1" si="78"/>
        <v>0.4</v>
      </c>
      <c r="S306" s="74">
        <f t="shared" si="79"/>
        <v>0.94736842105263208</v>
      </c>
      <c r="T306" s="74">
        <f t="shared" si="80"/>
        <v>0.63157894736842146</v>
      </c>
      <c r="U306" s="74">
        <f t="shared" si="81"/>
        <v>0.56140350877193024</v>
      </c>
      <c r="V306" s="74">
        <f t="shared" si="82"/>
        <v>0.7017543859649128</v>
      </c>
      <c r="W306" s="74">
        <f t="shared" si="83"/>
        <v>8.771929824561403E-2</v>
      </c>
      <c r="X306" s="74">
        <f t="shared" si="84"/>
        <v>0.73684210526315841</v>
      </c>
      <c r="Y306" s="74">
        <f t="shared" si="85"/>
        <v>0.52631578947368418</v>
      </c>
      <c r="Z306" s="75">
        <f t="shared" si="86"/>
        <v>0.63157894736842146</v>
      </c>
      <c r="AA306" s="76">
        <f t="shared" si="87"/>
        <v>0.5</v>
      </c>
      <c r="AB306" s="76">
        <f t="shared" ca="1" si="88"/>
        <v>0.6</v>
      </c>
      <c r="AC306" s="77">
        <f t="shared" ca="1" si="89"/>
        <v>0.53333333333333333</v>
      </c>
      <c r="AD306" s="359">
        <f t="shared" si="90"/>
        <v>4.824561403508774</v>
      </c>
      <c r="AE306" s="369">
        <f t="shared" ca="1" si="91"/>
        <v>25.730994152046797</v>
      </c>
      <c r="AF306" s="95" t="s">
        <v>248</v>
      </c>
      <c r="AG306" s="441"/>
      <c r="AH306" s="118"/>
      <c r="AI306" s="115"/>
      <c r="AJ306" s="115"/>
      <c r="AK306" s="115"/>
      <c r="AL306" s="122"/>
      <c r="AM306" s="337"/>
      <c r="AN306" s="338"/>
      <c r="AO306" s="338"/>
      <c r="AP306" s="338"/>
      <c r="AQ306" s="339"/>
    </row>
    <row r="307" spans="1:43" ht="36" customHeight="1">
      <c r="A307" s="355">
        <v>303</v>
      </c>
      <c r="B307" s="4" t="s">
        <v>11</v>
      </c>
      <c r="C307" s="286" t="s">
        <v>6</v>
      </c>
      <c r="D307" s="16" t="s">
        <v>199</v>
      </c>
      <c r="E307" s="17" t="s">
        <v>200</v>
      </c>
      <c r="F307" s="476">
        <v>240000</v>
      </c>
      <c r="G307" s="52">
        <v>3</v>
      </c>
      <c r="H307" s="57">
        <v>0.3</v>
      </c>
      <c r="I307" s="65">
        <v>4.0000000000000027</v>
      </c>
      <c r="J307" s="66">
        <v>4.0000000000000027</v>
      </c>
      <c r="K307" s="66">
        <v>1</v>
      </c>
      <c r="L307" s="66">
        <v>6.0000000000000036</v>
      </c>
      <c r="M307" s="66">
        <v>1</v>
      </c>
      <c r="N307" s="66">
        <v>4.0000000000000027</v>
      </c>
      <c r="O307" s="66">
        <v>0</v>
      </c>
      <c r="P307" s="67">
        <v>8.0000000000000053</v>
      </c>
      <c r="Q307" s="70" t="e">
        <f ca="1">(#REF!-(YEAR(TODAY())-#REF!))/#REF!</f>
        <v>#REF!</v>
      </c>
      <c r="R307" s="70">
        <f t="shared" ca="1" si="78"/>
        <v>0.3</v>
      </c>
      <c r="S307" s="74">
        <f t="shared" si="79"/>
        <v>0.63157894736842146</v>
      </c>
      <c r="T307" s="74">
        <f t="shared" si="80"/>
        <v>0.42105263157894762</v>
      </c>
      <c r="U307" s="74">
        <f t="shared" si="81"/>
        <v>0.14035087719298245</v>
      </c>
      <c r="V307" s="74">
        <f t="shared" si="82"/>
        <v>1.052631578947369</v>
      </c>
      <c r="W307" s="74">
        <f t="shared" si="83"/>
        <v>8.771929824561403E-2</v>
      </c>
      <c r="X307" s="74">
        <f t="shared" si="84"/>
        <v>0.4912280701754389</v>
      </c>
      <c r="Y307" s="74">
        <f t="shared" si="85"/>
        <v>0</v>
      </c>
      <c r="Z307" s="75">
        <f t="shared" si="86"/>
        <v>0.84210526315789525</v>
      </c>
      <c r="AA307" s="76">
        <f t="shared" si="87"/>
        <v>0.7</v>
      </c>
      <c r="AB307" s="76">
        <f t="shared" ca="1" si="88"/>
        <v>0.7</v>
      </c>
      <c r="AC307" s="77">
        <f t="shared" ca="1" si="89"/>
        <v>0.69999999999999984</v>
      </c>
      <c r="AD307" s="359">
        <f t="shared" si="90"/>
        <v>3.6666666666666683</v>
      </c>
      <c r="AE307" s="369">
        <f t="shared" ca="1" si="91"/>
        <v>25.666666666666671</v>
      </c>
      <c r="AF307" s="96" t="s">
        <v>261</v>
      </c>
      <c r="AG307" s="442"/>
      <c r="AH307" s="118"/>
      <c r="AI307" s="115"/>
      <c r="AJ307" s="115"/>
      <c r="AK307" s="115"/>
      <c r="AL307" s="122"/>
      <c r="AM307" s="337"/>
      <c r="AN307" s="338"/>
      <c r="AO307" s="338"/>
      <c r="AP307" s="338"/>
      <c r="AQ307" s="339"/>
    </row>
    <row r="308" spans="1:43" ht="36" customHeight="1">
      <c r="A308" s="355">
        <v>304</v>
      </c>
      <c r="B308" s="4" t="s">
        <v>5</v>
      </c>
      <c r="C308" s="286" t="s">
        <v>6</v>
      </c>
      <c r="D308" s="5" t="s">
        <v>303</v>
      </c>
      <c r="E308" s="7" t="s">
        <v>945</v>
      </c>
      <c r="F308" s="473">
        <v>425000</v>
      </c>
      <c r="G308" s="51">
        <v>5</v>
      </c>
      <c r="H308" s="57">
        <v>0.4</v>
      </c>
      <c r="I308" s="65">
        <v>4.0000000000000027</v>
      </c>
      <c r="J308" s="66">
        <v>6.0000000000000036</v>
      </c>
      <c r="K308" s="66">
        <v>6.0000000000000036</v>
      </c>
      <c r="L308" s="66">
        <v>4.0000000000000027</v>
      </c>
      <c r="M308" s="66">
        <v>4.0000000000000027</v>
      </c>
      <c r="N308" s="66">
        <v>4.0000000000000027</v>
      </c>
      <c r="O308" s="66">
        <v>5</v>
      </c>
      <c r="P308" s="67">
        <v>6.0000000000000036</v>
      </c>
      <c r="Q308" s="70" t="e">
        <f ca="1">(#REF!-(YEAR(TODAY())-#REF!))/#REF!</f>
        <v>#REF!</v>
      </c>
      <c r="R308" s="70">
        <f t="shared" ca="1" si="78"/>
        <v>0.4</v>
      </c>
      <c r="S308" s="74">
        <f t="shared" si="79"/>
        <v>0.63157894736842146</v>
      </c>
      <c r="T308" s="74">
        <f t="shared" si="80"/>
        <v>0.63157894736842146</v>
      </c>
      <c r="U308" s="74">
        <f t="shared" si="81"/>
        <v>0.84210526315789525</v>
      </c>
      <c r="V308" s="74">
        <f t="shared" si="82"/>
        <v>0.7017543859649128</v>
      </c>
      <c r="W308" s="74">
        <f t="shared" si="83"/>
        <v>0.3508771929824564</v>
      </c>
      <c r="X308" s="74">
        <f t="shared" si="84"/>
        <v>0.4912280701754389</v>
      </c>
      <c r="Y308" s="74">
        <f t="shared" si="85"/>
        <v>0.52631578947368418</v>
      </c>
      <c r="Z308" s="75">
        <f t="shared" si="86"/>
        <v>0.63157894736842146</v>
      </c>
      <c r="AA308" s="76">
        <f t="shared" si="87"/>
        <v>0.5</v>
      </c>
      <c r="AB308" s="76">
        <f t="shared" ca="1" si="88"/>
        <v>0.6</v>
      </c>
      <c r="AC308" s="77">
        <f t="shared" ca="1" si="89"/>
        <v>0.53333333333333333</v>
      </c>
      <c r="AD308" s="359">
        <f t="shared" si="90"/>
        <v>4.8070175438596516</v>
      </c>
      <c r="AE308" s="369">
        <f t="shared" ca="1" si="91"/>
        <v>25.63742690058481</v>
      </c>
      <c r="AF308" s="95" t="s">
        <v>248</v>
      </c>
      <c r="AG308" s="441"/>
      <c r="AH308" s="118"/>
      <c r="AI308" s="115"/>
      <c r="AJ308" s="115"/>
      <c r="AK308" s="115"/>
      <c r="AL308" s="122"/>
      <c r="AM308" s="337"/>
      <c r="AN308" s="338"/>
      <c r="AO308" s="338"/>
      <c r="AP308" s="338"/>
      <c r="AQ308" s="339"/>
    </row>
    <row r="309" spans="1:43" ht="36" customHeight="1">
      <c r="A309" s="355">
        <v>305</v>
      </c>
      <c r="B309" s="4" t="s">
        <v>7</v>
      </c>
      <c r="C309" s="286" t="s">
        <v>6</v>
      </c>
      <c r="D309" s="16" t="s">
        <v>69</v>
      </c>
      <c r="E309" s="17" t="s">
        <v>1083</v>
      </c>
      <c r="F309" s="476">
        <v>127350</v>
      </c>
      <c r="G309" s="52">
        <v>3</v>
      </c>
      <c r="H309" s="57">
        <v>0.3</v>
      </c>
      <c r="I309" s="65">
        <v>4</v>
      </c>
      <c r="J309" s="66">
        <v>5</v>
      </c>
      <c r="K309" s="66">
        <v>4.0000000000000027</v>
      </c>
      <c r="L309" s="66">
        <v>4</v>
      </c>
      <c r="M309" s="66">
        <v>0</v>
      </c>
      <c r="N309" s="66">
        <v>4</v>
      </c>
      <c r="O309" s="66">
        <v>0</v>
      </c>
      <c r="P309" s="67">
        <v>7</v>
      </c>
      <c r="Q309" s="70" t="e">
        <f ca="1">(#REF!-(YEAR(TODAY())-#REF!))/#REF!</f>
        <v>#REF!</v>
      </c>
      <c r="R309" s="70">
        <f t="shared" ca="1" si="78"/>
        <v>0.3</v>
      </c>
      <c r="S309" s="74">
        <f t="shared" si="79"/>
        <v>0.63157894736842102</v>
      </c>
      <c r="T309" s="74">
        <f t="shared" si="80"/>
        <v>0.52631578947368418</v>
      </c>
      <c r="U309" s="74">
        <f t="shared" si="81"/>
        <v>0.56140350877193024</v>
      </c>
      <c r="V309" s="74">
        <f t="shared" si="82"/>
        <v>0.70175438596491224</v>
      </c>
      <c r="W309" s="74">
        <f t="shared" si="83"/>
        <v>0</v>
      </c>
      <c r="X309" s="74">
        <f t="shared" si="84"/>
        <v>0.49122807017543857</v>
      </c>
      <c r="Y309" s="74">
        <f t="shared" si="85"/>
        <v>0</v>
      </c>
      <c r="Z309" s="75">
        <f t="shared" si="86"/>
        <v>0.73684210526315785</v>
      </c>
      <c r="AA309" s="76">
        <f t="shared" si="87"/>
        <v>0.7</v>
      </c>
      <c r="AB309" s="76">
        <f t="shared" ca="1" si="88"/>
        <v>0.7</v>
      </c>
      <c r="AC309" s="77">
        <f t="shared" ca="1" si="89"/>
        <v>0.69999999999999984</v>
      </c>
      <c r="AD309" s="359">
        <f t="shared" si="90"/>
        <v>3.6491228070175441</v>
      </c>
      <c r="AE309" s="369">
        <f t="shared" ca="1" si="91"/>
        <v>25.543859649122801</v>
      </c>
      <c r="AF309" s="96" t="s">
        <v>266</v>
      </c>
      <c r="AG309" s="442"/>
      <c r="AH309" s="118"/>
      <c r="AI309" s="115"/>
      <c r="AJ309" s="115"/>
      <c r="AK309" s="115"/>
      <c r="AL309" s="122"/>
      <c r="AM309" s="337"/>
      <c r="AN309" s="338"/>
      <c r="AO309" s="338"/>
      <c r="AP309" s="338"/>
      <c r="AQ309" s="339"/>
    </row>
    <row r="310" spans="1:43" ht="36" customHeight="1">
      <c r="A310" s="355">
        <v>306</v>
      </c>
      <c r="B310" s="4" t="s">
        <v>5</v>
      </c>
      <c r="C310" s="286" t="s">
        <v>6</v>
      </c>
      <c r="D310" s="5" t="s">
        <v>201</v>
      </c>
      <c r="E310" s="7" t="s">
        <v>202</v>
      </c>
      <c r="F310" s="473">
        <v>500000</v>
      </c>
      <c r="G310" s="52">
        <v>5</v>
      </c>
      <c r="H310" s="57">
        <v>0.5</v>
      </c>
      <c r="I310" s="65">
        <v>4</v>
      </c>
      <c r="J310" s="66">
        <v>6</v>
      </c>
      <c r="K310" s="66">
        <v>6.0000000000000036</v>
      </c>
      <c r="L310" s="66">
        <v>4</v>
      </c>
      <c r="M310" s="66">
        <v>4.0000000000000027</v>
      </c>
      <c r="N310" s="66">
        <v>6.0000000000000036</v>
      </c>
      <c r="O310" s="66">
        <v>5</v>
      </c>
      <c r="P310" s="67">
        <v>6.0000000000000036</v>
      </c>
      <c r="Q310" s="70" t="e">
        <f ca="1">(#REF!-(YEAR(TODAY())-#REF!))/#REF!</f>
        <v>#REF!</v>
      </c>
      <c r="R310" s="70">
        <f t="shared" ca="1" si="78"/>
        <v>0.5</v>
      </c>
      <c r="S310" s="74">
        <f t="shared" si="79"/>
        <v>0.63157894736842102</v>
      </c>
      <c r="T310" s="74">
        <f t="shared" si="80"/>
        <v>0.63157894736842102</v>
      </c>
      <c r="U310" s="74">
        <f t="shared" si="81"/>
        <v>0.84210526315789525</v>
      </c>
      <c r="V310" s="74">
        <f t="shared" si="82"/>
        <v>0.70175438596491224</v>
      </c>
      <c r="W310" s="74">
        <f t="shared" si="83"/>
        <v>0.3508771929824564</v>
      </c>
      <c r="X310" s="74">
        <f t="shared" si="84"/>
        <v>0.73684210526315841</v>
      </c>
      <c r="Y310" s="74">
        <f t="shared" si="85"/>
        <v>0.52631578947368418</v>
      </c>
      <c r="Z310" s="75">
        <f t="shared" si="86"/>
        <v>0.63157894736842146</v>
      </c>
      <c r="AA310" s="76">
        <f t="shared" si="87"/>
        <v>0.5</v>
      </c>
      <c r="AB310" s="76">
        <f t="shared" ca="1" si="88"/>
        <v>0.5</v>
      </c>
      <c r="AC310" s="77">
        <f t="shared" ca="1" si="89"/>
        <v>0.5</v>
      </c>
      <c r="AD310" s="359">
        <f t="shared" si="90"/>
        <v>5.0526315789473699</v>
      </c>
      <c r="AE310" s="369">
        <f t="shared" ca="1" si="91"/>
        <v>25.26315789473685</v>
      </c>
      <c r="AF310" s="96" t="s">
        <v>248</v>
      </c>
      <c r="AG310" s="114"/>
      <c r="AH310" s="118"/>
      <c r="AI310" s="115"/>
      <c r="AJ310" s="115"/>
      <c r="AK310" s="115"/>
      <c r="AL310" s="122"/>
      <c r="AM310" s="337"/>
      <c r="AN310" s="338"/>
      <c r="AO310" s="338"/>
      <c r="AP310" s="338"/>
      <c r="AQ310" s="339"/>
    </row>
    <row r="311" spans="1:43" ht="36" customHeight="1">
      <c r="A311" s="355">
        <v>307</v>
      </c>
      <c r="B311" s="4" t="s">
        <v>5</v>
      </c>
      <c r="C311" s="286" t="s">
        <v>6</v>
      </c>
      <c r="D311" s="5" t="s">
        <v>237</v>
      </c>
      <c r="E311" s="6" t="s">
        <v>946</v>
      </c>
      <c r="F311" s="473">
        <v>600000</v>
      </c>
      <c r="G311" s="52">
        <v>6</v>
      </c>
      <c r="H311" s="57">
        <v>0.4</v>
      </c>
      <c r="I311" s="65">
        <v>6.0000000000000036</v>
      </c>
      <c r="J311" s="66">
        <v>8</v>
      </c>
      <c r="K311" s="66">
        <v>4.0000000000000027</v>
      </c>
      <c r="L311" s="66">
        <v>6.0000000000000036</v>
      </c>
      <c r="M311" s="66">
        <v>1</v>
      </c>
      <c r="N311" s="66">
        <v>8</v>
      </c>
      <c r="O311" s="66">
        <v>0</v>
      </c>
      <c r="P311" s="67">
        <v>8</v>
      </c>
      <c r="Q311" s="70" t="e">
        <f ca="1">(#REF!-(YEAR(TODAY())-#REF!))/#REF!</f>
        <v>#REF!</v>
      </c>
      <c r="R311" s="70">
        <f t="shared" ca="1" si="78"/>
        <v>0.4</v>
      </c>
      <c r="S311" s="74">
        <f t="shared" si="79"/>
        <v>0.94736842105263208</v>
      </c>
      <c r="T311" s="74">
        <f t="shared" si="80"/>
        <v>0.84210526315789469</v>
      </c>
      <c r="U311" s="74">
        <f t="shared" si="81"/>
        <v>0.56140350877193024</v>
      </c>
      <c r="V311" s="74">
        <f t="shared" si="82"/>
        <v>1.052631578947369</v>
      </c>
      <c r="W311" s="74">
        <f t="shared" si="83"/>
        <v>8.771929824561403E-2</v>
      </c>
      <c r="X311" s="74">
        <f t="shared" si="84"/>
        <v>0.98245614035087714</v>
      </c>
      <c r="Y311" s="74">
        <f t="shared" si="85"/>
        <v>0</v>
      </c>
      <c r="Z311" s="75">
        <f t="shared" si="86"/>
        <v>0.84210526315789469</v>
      </c>
      <c r="AA311" s="76">
        <f t="shared" si="87"/>
        <v>0.39999999999999991</v>
      </c>
      <c r="AB311" s="76">
        <f t="shared" ca="1" si="88"/>
        <v>0.6</v>
      </c>
      <c r="AC311" s="77">
        <f t="shared" ca="1" si="89"/>
        <v>0.46666666666666662</v>
      </c>
      <c r="AD311" s="359">
        <f t="shared" si="90"/>
        <v>5.3157894736842115</v>
      </c>
      <c r="AE311" s="369">
        <f t="shared" ca="1" si="91"/>
        <v>24.807017543859651</v>
      </c>
      <c r="AF311" s="96" t="s">
        <v>248</v>
      </c>
      <c r="AG311" s="443"/>
      <c r="AH311" s="118"/>
      <c r="AI311" s="115"/>
      <c r="AJ311" s="124"/>
      <c r="AK311" s="115"/>
      <c r="AL311" s="122"/>
      <c r="AM311" s="340"/>
      <c r="AN311" s="338"/>
      <c r="AO311" s="338"/>
      <c r="AP311" s="338"/>
      <c r="AQ311" s="339"/>
    </row>
    <row r="312" spans="1:43" ht="36" customHeight="1">
      <c r="A312" s="355">
        <v>308</v>
      </c>
      <c r="B312" s="4" t="s">
        <v>5</v>
      </c>
      <c r="C312" s="286" t="s">
        <v>6</v>
      </c>
      <c r="D312" s="5" t="s">
        <v>240</v>
      </c>
      <c r="E312" s="7" t="s">
        <v>1069</v>
      </c>
      <c r="F312" s="473">
        <v>150000</v>
      </c>
      <c r="G312" s="52">
        <v>6</v>
      </c>
      <c r="H312" s="57">
        <v>0.4</v>
      </c>
      <c r="I312" s="65">
        <v>6.0000000000000036</v>
      </c>
      <c r="J312" s="66">
        <v>8</v>
      </c>
      <c r="K312" s="66">
        <v>4.0000000000000027</v>
      </c>
      <c r="L312" s="66">
        <v>6.0000000000000036</v>
      </c>
      <c r="M312" s="66">
        <v>1</v>
      </c>
      <c r="N312" s="66">
        <v>8</v>
      </c>
      <c r="O312" s="66">
        <v>0</v>
      </c>
      <c r="P312" s="67">
        <v>8</v>
      </c>
      <c r="Q312" s="70" t="e">
        <f ca="1">(#REF!-(YEAR(TODAY())-#REF!))/#REF!</f>
        <v>#REF!</v>
      </c>
      <c r="R312" s="70">
        <f t="shared" ca="1" si="78"/>
        <v>0.4</v>
      </c>
      <c r="S312" s="74">
        <f t="shared" si="79"/>
        <v>0.94736842105263208</v>
      </c>
      <c r="T312" s="74">
        <f t="shared" si="80"/>
        <v>0.84210526315789469</v>
      </c>
      <c r="U312" s="74">
        <f t="shared" si="81"/>
        <v>0.56140350877193024</v>
      </c>
      <c r="V312" s="74">
        <f t="shared" si="82"/>
        <v>1.052631578947369</v>
      </c>
      <c r="W312" s="74">
        <f t="shared" si="83"/>
        <v>8.771929824561403E-2</v>
      </c>
      <c r="X312" s="74">
        <f t="shared" si="84"/>
        <v>0.98245614035087714</v>
      </c>
      <c r="Y312" s="74">
        <f t="shared" si="85"/>
        <v>0</v>
      </c>
      <c r="Z312" s="75">
        <f t="shared" si="86"/>
        <v>0.84210526315789469</v>
      </c>
      <c r="AA312" s="76">
        <f t="shared" si="87"/>
        <v>0.39999999999999991</v>
      </c>
      <c r="AB312" s="76">
        <f t="shared" ca="1" si="88"/>
        <v>0.6</v>
      </c>
      <c r="AC312" s="77">
        <f t="shared" ca="1" si="89"/>
        <v>0.46666666666666662</v>
      </c>
      <c r="AD312" s="359">
        <f t="shared" si="90"/>
        <v>5.3157894736842115</v>
      </c>
      <c r="AE312" s="369">
        <f t="shared" ca="1" si="91"/>
        <v>24.807017543859651</v>
      </c>
      <c r="AF312" s="96" t="s">
        <v>248</v>
      </c>
      <c r="AG312" s="442"/>
      <c r="AH312" s="118"/>
      <c r="AI312" s="115"/>
      <c r="AJ312" s="124"/>
      <c r="AK312" s="115"/>
      <c r="AL312" s="122"/>
      <c r="AM312" s="340"/>
      <c r="AN312" s="338"/>
      <c r="AO312" s="338"/>
      <c r="AP312" s="338"/>
      <c r="AQ312" s="339"/>
    </row>
    <row r="313" spans="1:43" ht="36" customHeight="1">
      <c r="A313" s="355">
        <v>309</v>
      </c>
      <c r="B313" s="4" t="s">
        <v>29</v>
      </c>
      <c r="C313" s="286" t="s">
        <v>6</v>
      </c>
      <c r="D313" s="16" t="s">
        <v>71</v>
      </c>
      <c r="E313" s="17" t="s">
        <v>948</v>
      </c>
      <c r="F313" s="476">
        <v>192000</v>
      </c>
      <c r="G313" s="52">
        <v>4</v>
      </c>
      <c r="H313" s="57">
        <v>0.2</v>
      </c>
      <c r="I313" s="65">
        <v>2</v>
      </c>
      <c r="J313" s="66">
        <v>4</v>
      </c>
      <c r="K313" s="66">
        <v>4</v>
      </c>
      <c r="L313" s="66">
        <v>2</v>
      </c>
      <c r="M313" s="66">
        <v>6</v>
      </c>
      <c r="N313" s="66">
        <v>4.0000000000000027</v>
      </c>
      <c r="O313" s="66">
        <v>2</v>
      </c>
      <c r="P313" s="67">
        <v>8.0000000000000053</v>
      </c>
      <c r="Q313" s="70" t="e">
        <f ca="1">(#REF!-(YEAR(TODAY())-#REF!))/#REF!</f>
        <v>#REF!</v>
      </c>
      <c r="R313" s="70">
        <f t="shared" ca="1" si="78"/>
        <v>0.2</v>
      </c>
      <c r="S313" s="74">
        <f t="shared" si="79"/>
        <v>0.31578947368421051</v>
      </c>
      <c r="T313" s="74">
        <f t="shared" si="80"/>
        <v>0.42105263157894735</v>
      </c>
      <c r="U313" s="74">
        <f t="shared" si="81"/>
        <v>0.56140350877192979</v>
      </c>
      <c r="V313" s="74">
        <f t="shared" si="82"/>
        <v>0.35087719298245612</v>
      </c>
      <c r="W313" s="74">
        <f t="shared" si="83"/>
        <v>0.52631578947368418</v>
      </c>
      <c r="X313" s="74">
        <f t="shared" si="84"/>
        <v>0.4912280701754389</v>
      </c>
      <c r="Y313" s="74">
        <f t="shared" si="85"/>
        <v>0.21052631578947367</v>
      </c>
      <c r="Z313" s="75">
        <f t="shared" si="86"/>
        <v>0.84210526315789525</v>
      </c>
      <c r="AA313" s="76">
        <f t="shared" si="87"/>
        <v>0.6</v>
      </c>
      <c r="AB313" s="76">
        <f t="shared" ca="1" si="88"/>
        <v>0.8</v>
      </c>
      <c r="AC313" s="77">
        <f t="shared" ca="1" si="89"/>
        <v>0.66666666666666663</v>
      </c>
      <c r="AD313" s="359">
        <f t="shared" si="90"/>
        <v>3.7192982456140355</v>
      </c>
      <c r="AE313" s="369">
        <f t="shared" ca="1" si="91"/>
        <v>24.795321637426902</v>
      </c>
      <c r="AF313" s="96" t="s">
        <v>257</v>
      </c>
      <c r="AG313" s="442"/>
      <c r="AH313" s="118"/>
      <c r="AI313" s="115"/>
      <c r="AJ313" s="115"/>
      <c r="AK313" s="115"/>
      <c r="AL313" s="122"/>
      <c r="AM313" s="337"/>
      <c r="AN313" s="338"/>
      <c r="AO313" s="338"/>
      <c r="AP313" s="338"/>
      <c r="AQ313" s="339"/>
    </row>
    <row r="314" spans="1:43" ht="36" customHeight="1">
      <c r="A314" s="355">
        <v>310</v>
      </c>
      <c r="B314" s="4" t="s">
        <v>10</v>
      </c>
      <c r="C314" s="286" t="s">
        <v>300</v>
      </c>
      <c r="D314" s="10" t="s">
        <v>234</v>
      </c>
      <c r="E314" s="11" t="s">
        <v>235</v>
      </c>
      <c r="F314" s="476">
        <v>400000</v>
      </c>
      <c r="G314" s="52">
        <v>6</v>
      </c>
      <c r="H314" s="57">
        <v>0.6</v>
      </c>
      <c r="I314" s="65">
        <v>8</v>
      </c>
      <c r="J314" s="66">
        <v>6.0000000000000036</v>
      </c>
      <c r="K314" s="66">
        <v>4.0000000000000027</v>
      </c>
      <c r="L314" s="66">
        <v>9.9999999999999982</v>
      </c>
      <c r="M314" s="66">
        <v>2</v>
      </c>
      <c r="N314" s="66">
        <v>6</v>
      </c>
      <c r="O314" s="66">
        <v>0</v>
      </c>
      <c r="P314" s="67">
        <v>9.9999999999999982</v>
      </c>
      <c r="Q314" s="70" t="e">
        <f ca="1">(#REF!-(YEAR(TODAY())-#REF!))/#REF!</f>
        <v>#REF!</v>
      </c>
      <c r="R314" s="70">
        <f t="shared" ca="1" si="78"/>
        <v>0.6</v>
      </c>
      <c r="S314" s="74">
        <f t="shared" si="79"/>
        <v>1.263157894736842</v>
      </c>
      <c r="T314" s="74">
        <f t="shared" si="80"/>
        <v>0.63157894736842146</v>
      </c>
      <c r="U314" s="74">
        <f t="shared" si="81"/>
        <v>0.56140350877193024</v>
      </c>
      <c r="V314" s="74">
        <f t="shared" si="82"/>
        <v>1.7543859649122804</v>
      </c>
      <c r="W314" s="74">
        <f t="shared" si="83"/>
        <v>0.17543859649122806</v>
      </c>
      <c r="X314" s="74">
        <f t="shared" si="84"/>
        <v>0.73684210526315785</v>
      </c>
      <c r="Y314" s="74">
        <f t="shared" si="85"/>
        <v>0</v>
      </c>
      <c r="Z314" s="75">
        <f t="shared" si="86"/>
        <v>1.0526315789473681</v>
      </c>
      <c r="AA314" s="76">
        <f t="shared" si="87"/>
        <v>0.39999999999999991</v>
      </c>
      <c r="AB314" s="76">
        <f t="shared" ca="1" si="88"/>
        <v>0.4</v>
      </c>
      <c r="AC314" s="77">
        <f t="shared" ca="1" si="89"/>
        <v>0.39999999999999991</v>
      </c>
      <c r="AD314" s="359">
        <f t="shared" si="90"/>
        <v>6.1754385964912277</v>
      </c>
      <c r="AE314" s="369">
        <f t="shared" ca="1" si="91"/>
        <v>24.701754385964904</v>
      </c>
      <c r="AF314" s="96" t="s">
        <v>248</v>
      </c>
      <c r="AG314" s="442"/>
      <c r="AH314" s="118"/>
      <c r="AI314" s="115"/>
      <c r="AJ314" s="115"/>
      <c r="AK314" s="115"/>
      <c r="AL314" s="122"/>
      <c r="AM314" s="337"/>
      <c r="AN314" s="338"/>
      <c r="AO314" s="338"/>
      <c r="AP314" s="338"/>
      <c r="AQ314" s="339"/>
    </row>
    <row r="315" spans="1:43" ht="36" customHeight="1">
      <c r="A315" s="355">
        <v>311</v>
      </c>
      <c r="B315" s="4" t="s">
        <v>8</v>
      </c>
      <c r="C315" s="286" t="s">
        <v>9</v>
      </c>
      <c r="D315" s="8" t="s">
        <v>326</v>
      </c>
      <c r="E315" s="6" t="s">
        <v>990</v>
      </c>
      <c r="F315" s="481">
        <v>60000</v>
      </c>
      <c r="G315" s="51">
        <v>4</v>
      </c>
      <c r="H315" s="57">
        <v>0.5</v>
      </c>
      <c r="I315" s="65">
        <v>4</v>
      </c>
      <c r="J315" s="66">
        <v>2</v>
      </c>
      <c r="K315" s="66">
        <v>2</v>
      </c>
      <c r="L315" s="66">
        <v>6</v>
      </c>
      <c r="M315" s="66">
        <v>6</v>
      </c>
      <c r="N315" s="66">
        <v>4</v>
      </c>
      <c r="O315" s="66">
        <v>0</v>
      </c>
      <c r="P315" s="67">
        <v>10</v>
      </c>
      <c r="Q315" s="70" t="e">
        <f ca="1">(#REF!-(YEAR(TODAY())-#REF!))/#REF!</f>
        <v>#REF!</v>
      </c>
      <c r="R315" s="70">
        <f t="shared" ca="1" si="78"/>
        <v>0.5</v>
      </c>
      <c r="S315" s="74">
        <f t="shared" si="79"/>
        <v>0.63157894736842102</v>
      </c>
      <c r="T315" s="74">
        <f t="shared" si="80"/>
        <v>0.21052631578947367</v>
      </c>
      <c r="U315" s="74">
        <f t="shared" si="81"/>
        <v>0.2807017543859649</v>
      </c>
      <c r="V315" s="74">
        <f t="shared" si="82"/>
        <v>1.0526315789473684</v>
      </c>
      <c r="W315" s="74">
        <f t="shared" si="83"/>
        <v>0.52631578947368418</v>
      </c>
      <c r="X315" s="74">
        <f t="shared" si="84"/>
        <v>0.49122807017543857</v>
      </c>
      <c r="Y315" s="74">
        <f t="shared" si="85"/>
        <v>0</v>
      </c>
      <c r="Z315" s="75">
        <f t="shared" si="86"/>
        <v>1.0526315789473684</v>
      </c>
      <c r="AA315" s="76">
        <f t="shared" si="87"/>
        <v>0.6</v>
      </c>
      <c r="AB315" s="76">
        <f t="shared" ca="1" si="88"/>
        <v>0.5</v>
      </c>
      <c r="AC315" s="77">
        <f t="shared" ca="1" si="89"/>
        <v>0.56666666666666665</v>
      </c>
      <c r="AD315" s="359">
        <f t="shared" si="90"/>
        <v>4.2456140350877183</v>
      </c>
      <c r="AE315" s="369">
        <f t="shared" ca="1" si="91"/>
        <v>24.058479532163734</v>
      </c>
      <c r="AF315" s="96" t="s">
        <v>261</v>
      </c>
      <c r="AG315" s="113"/>
      <c r="AH315" s="118"/>
      <c r="AI315" s="115"/>
      <c r="AJ315" s="115"/>
      <c r="AK315" s="115"/>
      <c r="AL315" s="122"/>
      <c r="AM315" s="340"/>
      <c r="AN315" s="338"/>
      <c r="AO315" s="338"/>
      <c r="AP315" s="338"/>
      <c r="AQ315" s="339"/>
    </row>
    <row r="316" spans="1:43" ht="36" customHeight="1">
      <c r="A316" s="355">
        <v>312</v>
      </c>
      <c r="B316" s="4" t="s">
        <v>7</v>
      </c>
      <c r="C316" s="286" t="s">
        <v>6</v>
      </c>
      <c r="D316" s="16" t="s">
        <v>222</v>
      </c>
      <c r="E316" s="18" t="s">
        <v>1095</v>
      </c>
      <c r="F316" s="476">
        <v>204000</v>
      </c>
      <c r="G316" s="52">
        <v>3</v>
      </c>
      <c r="H316" s="57">
        <v>0.3</v>
      </c>
      <c r="I316" s="65">
        <v>2</v>
      </c>
      <c r="J316" s="66">
        <v>4.0000000000000027</v>
      </c>
      <c r="K316" s="66">
        <v>2</v>
      </c>
      <c r="L316" s="66">
        <v>8.0000000000000053</v>
      </c>
      <c r="M316" s="66">
        <v>1</v>
      </c>
      <c r="N316" s="66">
        <v>4.0000000000000027</v>
      </c>
      <c r="O316" s="66">
        <v>0</v>
      </c>
      <c r="P316" s="67">
        <v>4</v>
      </c>
      <c r="Q316" s="70" t="e">
        <f ca="1">(#REF!-(YEAR(TODAY())-#REF!))/#REF!</f>
        <v>#REF!</v>
      </c>
      <c r="R316" s="70">
        <f t="shared" ca="1" si="78"/>
        <v>0.3</v>
      </c>
      <c r="S316" s="74">
        <f t="shared" si="79"/>
        <v>0.31578947368421051</v>
      </c>
      <c r="T316" s="74">
        <f t="shared" si="80"/>
        <v>0.42105263157894762</v>
      </c>
      <c r="U316" s="74">
        <f t="shared" si="81"/>
        <v>0.2807017543859649</v>
      </c>
      <c r="V316" s="74">
        <f t="shared" si="82"/>
        <v>1.4035087719298256</v>
      </c>
      <c r="W316" s="74">
        <f t="shared" si="83"/>
        <v>8.771929824561403E-2</v>
      </c>
      <c r="X316" s="74">
        <f t="shared" si="84"/>
        <v>0.4912280701754389</v>
      </c>
      <c r="Y316" s="74">
        <f t="shared" si="85"/>
        <v>0</v>
      </c>
      <c r="Z316" s="75">
        <f t="shared" si="86"/>
        <v>0.42105263157894735</v>
      </c>
      <c r="AA316" s="76">
        <f t="shared" si="87"/>
        <v>0.7</v>
      </c>
      <c r="AB316" s="76">
        <f t="shared" ca="1" si="88"/>
        <v>0.7</v>
      </c>
      <c r="AC316" s="77">
        <f t="shared" ca="1" si="89"/>
        <v>0.69999999999999984</v>
      </c>
      <c r="AD316" s="359">
        <f t="shared" si="90"/>
        <v>3.4210526315789487</v>
      </c>
      <c r="AE316" s="369">
        <f t="shared" ca="1" si="91"/>
        <v>23.947368421052637</v>
      </c>
      <c r="AF316" s="96" t="s">
        <v>1200</v>
      </c>
      <c r="AG316" s="443"/>
      <c r="AH316" s="118"/>
      <c r="AI316" s="115"/>
      <c r="AJ316" s="115"/>
      <c r="AK316" s="115"/>
      <c r="AL316" s="122"/>
      <c r="AM316" s="337"/>
      <c r="AN316" s="338"/>
      <c r="AO316" s="338"/>
      <c r="AP316" s="338"/>
      <c r="AQ316" s="339"/>
    </row>
    <row r="317" spans="1:43" ht="36" customHeight="1">
      <c r="A317" s="355">
        <v>313</v>
      </c>
      <c r="B317" s="12" t="s">
        <v>5</v>
      </c>
      <c r="C317" s="344" t="s">
        <v>299</v>
      </c>
      <c r="D317" s="5" t="s">
        <v>1125</v>
      </c>
      <c r="E317" s="6" t="s">
        <v>1181</v>
      </c>
      <c r="F317" s="473">
        <v>400000</v>
      </c>
      <c r="G317" s="52">
        <v>5</v>
      </c>
      <c r="H317" s="57">
        <v>0.5</v>
      </c>
      <c r="I317" s="65">
        <v>4.0000000000000027</v>
      </c>
      <c r="J317" s="66">
        <v>8.0000000000000053</v>
      </c>
      <c r="K317" s="66">
        <v>1</v>
      </c>
      <c r="L317" s="66">
        <v>8.0000000000000053</v>
      </c>
      <c r="M317" s="66">
        <v>4.0000000000000027</v>
      </c>
      <c r="N317" s="66">
        <v>6.0000000000000036</v>
      </c>
      <c r="O317" s="66">
        <v>0</v>
      </c>
      <c r="P317" s="67">
        <v>6.0000000000000036</v>
      </c>
      <c r="Q317" s="70" t="e">
        <f ca="1">(#REF!-(YEAR(TODAY())-#REF!))/#REF!</f>
        <v>#REF!</v>
      </c>
      <c r="R317" s="70">
        <f t="shared" ca="1" si="78"/>
        <v>0.5</v>
      </c>
      <c r="S317" s="74">
        <f t="shared" si="79"/>
        <v>0.63157894736842146</v>
      </c>
      <c r="T317" s="74">
        <f t="shared" si="80"/>
        <v>0.84210526315789525</v>
      </c>
      <c r="U317" s="74">
        <f t="shared" si="81"/>
        <v>0.14035087719298245</v>
      </c>
      <c r="V317" s="74">
        <f t="shared" si="82"/>
        <v>1.4035087719298256</v>
      </c>
      <c r="W317" s="74">
        <f t="shared" si="83"/>
        <v>0.3508771929824564</v>
      </c>
      <c r="X317" s="74">
        <f t="shared" si="84"/>
        <v>0.73684210526315841</v>
      </c>
      <c r="Y317" s="74">
        <f t="shared" si="85"/>
        <v>0</v>
      </c>
      <c r="Z317" s="75">
        <f t="shared" si="86"/>
        <v>0.63157894736842146</v>
      </c>
      <c r="AA317" s="76">
        <f t="shared" si="87"/>
        <v>0.5</v>
      </c>
      <c r="AB317" s="76">
        <f t="shared" ca="1" si="88"/>
        <v>0.5</v>
      </c>
      <c r="AC317" s="77">
        <f t="shared" ca="1" si="89"/>
        <v>0.5</v>
      </c>
      <c r="AD317" s="359">
        <f t="shared" si="90"/>
        <v>4.7368421052631611</v>
      </c>
      <c r="AE317" s="369">
        <f t="shared" ca="1" si="91"/>
        <v>23.684210526315805</v>
      </c>
      <c r="AF317" s="96" t="s">
        <v>248</v>
      </c>
      <c r="AG317" s="114"/>
      <c r="AH317" s="118"/>
      <c r="AI317" s="115"/>
      <c r="AJ317" s="115"/>
      <c r="AK317" s="115"/>
      <c r="AL317" s="122"/>
      <c r="AM317" s="337"/>
      <c r="AN317" s="338"/>
      <c r="AO317" s="338"/>
      <c r="AP317" s="338"/>
      <c r="AQ317" s="339"/>
    </row>
    <row r="318" spans="1:43" ht="36" customHeight="1">
      <c r="A318" s="355">
        <v>314</v>
      </c>
      <c r="B318" s="4" t="s">
        <v>10</v>
      </c>
      <c r="C318" s="286" t="s">
        <v>300</v>
      </c>
      <c r="D318" s="10" t="s">
        <v>231</v>
      </c>
      <c r="E318" s="20" t="s">
        <v>961</v>
      </c>
      <c r="F318" s="476">
        <v>1000000</v>
      </c>
      <c r="G318" s="52">
        <v>7</v>
      </c>
      <c r="H318" s="57">
        <v>0.6</v>
      </c>
      <c r="I318" s="65">
        <v>8.0000000000000053</v>
      </c>
      <c r="J318" s="66">
        <v>8.0000000000000053</v>
      </c>
      <c r="K318" s="66">
        <v>6.0000000000000036</v>
      </c>
      <c r="L318" s="66">
        <v>9.9999999999999982</v>
      </c>
      <c r="M318" s="66">
        <v>6.0000000000000036</v>
      </c>
      <c r="N318" s="66">
        <v>8.0000000000000053</v>
      </c>
      <c r="O318" s="66">
        <v>0</v>
      </c>
      <c r="P318" s="67">
        <v>8.0000000000000053</v>
      </c>
      <c r="Q318" s="70" t="e">
        <f ca="1">(#REF!-(YEAR(TODAY())-#REF!))/#REF!</f>
        <v>#REF!</v>
      </c>
      <c r="R318" s="70">
        <f t="shared" ca="1" si="78"/>
        <v>0.6</v>
      </c>
      <c r="S318" s="74">
        <f t="shared" si="79"/>
        <v>1.2631578947368429</v>
      </c>
      <c r="T318" s="74">
        <f t="shared" si="80"/>
        <v>0.84210526315789525</v>
      </c>
      <c r="U318" s="74">
        <f t="shared" si="81"/>
        <v>0.84210526315789525</v>
      </c>
      <c r="V318" s="74">
        <f t="shared" si="82"/>
        <v>1.7543859649122804</v>
      </c>
      <c r="W318" s="74">
        <f t="shared" si="83"/>
        <v>0.52631578947368451</v>
      </c>
      <c r="X318" s="74">
        <f t="shared" si="84"/>
        <v>0.9824561403508778</v>
      </c>
      <c r="Y318" s="74">
        <f t="shared" si="85"/>
        <v>0</v>
      </c>
      <c r="Z318" s="75">
        <f t="shared" si="86"/>
        <v>0.84210526315789525</v>
      </c>
      <c r="AA318" s="76">
        <f t="shared" si="87"/>
        <v>0.29999999999999993</v>
      </c>
      <c r="AB318" s="76">
        <f t="shared" ca="1" si="88"/>
        <v>0.4</v>
      </c>
      <c r="AC318" s="77">
        <f t="shared" ca="1" si="89"/>
        <v>0.33333333333333331</v>
      </c>
      <c r="AD318" s="359">
        <f t="shared" si="90"/>
        <v>7.0526315789473708</v>
      </c>
      <c r="AE318" s="369">
        <f t="shared" ca="1" si="91"/>
        <v>23.508771929824569</v>
      </c>
      <c r="AF318" s="96" t="s">
        <v>248</v>
      </c>
      <c r="AG318" s="114"/>
      <c r="AH318" s="119"/>
      <c r="AI318" s="115"/>
      <c r="AJ318" s="115"/>
      <c r="AK318" s="115"/>
      <c r="AL318" s="122"/>
      <c r="AM318" s="340"/>
      <c r="AN318" s="338"/>
      <c r="AO318" s="338"/>
      <c r="AP318" s="338"/>
      <c r="AQ318" s="339"/>
    </row>
    <row r="319" spans="1:43" ht="36" customHeight="1">
      <c r="A319" s="355">
        <v>315</v>
      </c>
      <c r="B319" s="12" t="s">
        <v>14</v>
      </c>
      <c r="C319" s="344" t="s">
        <v>298</v>
      </c>
      <c r="D319" s="10" t="s">
        <v>217</v>
      </c>
      <c r="E319" s="11" t="s">
        <v>218</v>
      </c>
      <c r="F319" s="473">
        <v>1500000</v>
      </c>
      <c r="G319" s="52">
        <v>3</v>
      </c>
      <c r="H319" s="57">
        <v>0.5</v>
      </c>
      <c r="I319" s="65">
        <v>2</v>
      </c>
      <c r="J319" s="66">
        <v>5.0000000000000027</v>
      </c>
      <c r="K319" s="66">
        <v>1</v>
      </c>
      <c r="L319" s="66">
        <v>4.0000000000000027</v>
      </c>
      <c r="M319" s="66">
        <v>1</v>
      </c>
      <c r="N319" s="66">
        <v>8.0000000000000053</v>
      </c>
      <c r="O319" s="66">
        <v>0</v>
      </c>
      <c r="P319" s="67">
        <v>9.0000000000000018</v>
      </c>
      <c r="Q319" s="70" t="e">
        <f ca="1">(#REF!-(YEAR(TODAY())-#REF!))/#REF!</f>
        <v>#REF!</v>
      </c>
      <c r="R319" s="70">
        <f t="shared" ca="1" si="78"/>
        <v>0.5</v>
      </c>
      <c r="S319" s="74">
        <f t="shared" si="79"/>
        <v>0.31578947368421051</v>
      </c>
      <c r="T319" s="74">
        <f t="shared" si="80"/>
        <v>0.52631578947368451</v>
      </c>
      <c r="U319" s="74">
        <f t="shared" si="81"/>
        <v>0.14035087719298245</v>
      </c>
      <c r="V319" s="74">
        <f t="shared" si="82"/>
        <v>0.7017543859649128</v>
      </c>
      <c r="W319" s="74">
        <f t="shared" si="83"/>
        <v>8.771929824561403E-2</v>
      </c>
      <c r="X319" s="74">
        <f t="shared" si="84"/>
        <v>0.9824561403508778</v>
      </c>
      <c r="Y319" s="74">
        <f t="shared" si="85"/>
        <v>0</v>
      </c>
      <c r="Z319" s="75">
        <f t="shared" si="86"/>
        <v>0.94736842105263186</v>
      </c>
      <c r="AA319" s="76">
        <f t="shared" si="87"/>
        <v>0.7</v>
      </c>
      <c r="AB319" s="76">
        <f t="shared" ca="1" si="88"/>
        <v>0.5</v>
      </c>
      <c r="AC319" s="77">
        <f t="shared" ca="1" si="89"/>
        <v>0.6333333333333333</v>
      </c>
      <c r="AD319" s="359">
        <f t="shared" si="90"/>
        <v>3.701754385964914</v>
      </c>
      <c r="AE319" s="369">
        <f t="shared" ca="1" si="91"/>
        <v>23.444444444444454</v>
      </c>
      <c r="AF319" s="96" t="s">
        <v>257</v>
      </c>
      <c r="AG319" s="114"/>
      <c r="AH319" s="118"/>
      <c r="AI319" s="115"/>
      <c r="AJ319" s="115"/>
      <c r="AK319" s="115"/>
      <c r="AL319" s="122"/>
      <c r="AM319" s="337"/>
      <c r="AN319" s="338"/>
      <c r="AO319" s="338"/>
      <c r="AP319" s="338"/>
      <c r="AQ319" s="339"/>
    </row>
    <row r="320" spans="1:43" ht="36" customHeight="1">
      <c r="A320" s="355">
        <v>316</v>
      </c>
      <c r="B320" s="4" t="s">
        <v>14</v>
      </c>
      <c r="C320" s="286" t="s">
        <v>298</v>
      </c>
      <c r="D320" s="10" t="s">
        <v>175</v>
      </c>
      <c r="E320" s="11" t="s">
        <v>1119</v>
      </c>
      <c r="F320" s="473">
        <v>750000</v>
      </c>
      <c r="G320" s="51">
        <v>5</v>
      </c>
      <c r="H320" s="57">
        <v>0.3</v>
      </c>
      <c r="I320" s="65">
        <v>4</v>
      </c>
      <c r="J320" s="66">
        <v>8.0000000000000053</v>
      </c>
      <c r="K320" s="66">
        <v>1</v>
      </c>
      <c r="L320" s="66">
        <v>4</v>
      </c>
      <c r="M320" s="66">
        <v>1</v>
      </c>
      <c r="N320" s="66">
        <v>7.0000000000000044</v>
      </c>
      <c r="O320" s="66">
        <v>0</v>
      </c>
      <c r="P320" s="67">
        <v>8.0000000000000053</v>
      </c>
      <c r="Q320" s="70" t="e">
        <f ca="1">(#REF!-(YEAR(TODAY())-#REF!))/#REF!</f>
        <v>#REF!</v>
      </c>
      <c r="R320" s="70">
        <f t="shared" ca="1" si="78"/>
        <v>0.3</v>
      </c>
      <c r="S320" s="74">
        <f t="shared" si="79"/>
        <v>0.63157894736842102</v>
      </c>
      <c r="T320" s="74">
        <f t="shared" si="80"/>
        <v>0.84210526315789525</v>
      </c>
      <c r="U320" s="74">
        <f t="shared" si="81"/>
        <v>0.14035087719298245</v>
      </c>
      <c r="V320" s="74">
        <f t="shared" si="82"/>
        <v>0.70175438596491224</v>
      </c>
      <c r="W320" s="74">
        <f t="shared" si="83"/>
        <v>8.771929824561403E-2</v>
      </c>
      <c r="X320" s="74">
        <f t="shared" si="84"/>
        <v>0.859649122807018</v>
      </c>
      <c r="Y320" s="74">
        <f t="shared" si="85"/>
        <v>0</v>
      </c>
      <c r="Z320" s="75">
        <f t="shared" si="86"/>
        <v>0.84210526315789525</v>
      </c>
      <c r="AA320" s="76">
        <f t="shared" si="87"/>
        <v>0.5</v>
      </c>
      <c r="AB320" s="76">
        <f t="shared" ca="1" si="88"/>
        <v>0.7</v>
      </c>
      <c r="AC320" s="77">
        <f t="shared" ca="1" si="89"/>
        <v>0.56666666666666665</v>
      </c>
      <c r="AD320" s="359">
        <f t="shared" si="90"/>
        <v>4.1052631578947381</v>
      </c>
      <c r="AE320" s="369">
        <f t="shared" ca="1" si="91"/>
        <v>23.26315789473685</v>
      </c>
      <c r="AF320" s="95" t="s">
        <v>248</v>
      </c>
      <c r="AG320" s="113"/>
      <c r="AH320" s="118"/>
      <c r="AI320" s="115"/>
      <c r="AJ320" s="115"/>
      <c r="AK320" s="115"/>
      <c r="AL320" s="122"/>
      <c r="AM320" s="337"/>
      <c r="AN320" s="338"/>
      <c r="AO320" s="338"/>
      <c r="AP320" s="338"/>
      <c r="AQ320" s="339"/>
    </row>
    <row r="321" spans="1:43" ht="36" customHeight="1">
      <c r="A321" s="355">
        <v>317</v>
      </c>
      <c r="B321" s="12" t="s">
        <v>16</v>
      </c>
      <c r="C321" s="344" t="s">
        <v>6</v>
      </c>
      <c r="D321" s="10" t="s">
        <v>223</v>
      </c>
      <c r="E321" s="11" t="s">
        <v>893</v>
      </c>
      <c r="F321" s="473">
        <v>150000</v>
      </c>
      <c r="G321" s="52">
        <v>5</v>
      </c>
      <c r="H321" s="57">
        <v>0.5</v>
      </c>
      <c r="I321" s="65">
        <v>8.0000000000000053</v>
      </c>
      <c r="J321" s="66">
        <v>6.0000000000000036</v>
      </c>
      <c r="K321" s="66">
        <v>4.0000000000000027</v>
      </c>
      <c r="L321" s="66">
        <v>4.0000000000000027</v>
      </c>
      <c r="M321" s="66">
        <v>4.0000000000000027</v>
      </c>
      <c r="N321" s="66">
        <v>4.0000000000000027</v>
      </c>
      <c r="O321" s="66">
        <v>0</v>
      </c>
      <c r="P321" s="67">
        <v>6.0000000000000036</v>
      </c>
      <c r="Q321" s="70" t="e">
        <f ca="1">(#REF!-(YEAR(TODAY())-#REF!))/#REF!</f>
        <v>#REF!</v>
      </c>
      <c r="R321" s="70">
        <f t="shared" ca="1" si="78"/>
        <v>0.5</v>
      </c>
      <c r="S321" s="74">
        <f t="shared" si="79"/>
        <v>1.2631578947368429</v>
      </c>
      <c r="T321" s="74">
        <f t="shared" si="80"/>
        <v>0.63157894736842146</v>
      </c>
      <c r="U321" s="74">
        <f t="shared" si="81"/>
        <v>0.56140350877193024</v>
      </c>
      <c r="V321" s="74">
        <f t="shared" si="82"/>
        <v>0.7017543859649128</v>
      </c>
      <c r="W321" s="74">
        <f t="shared" si="83"/>
        <v>0.3508771929824564</v>
      </c>
      <c r="X321" s="74">
        <f t="shared" si="84"/>
        <v>0.4912280701754389</v>
      </c>
      <c r="Y321" s="74">
        <f t="shared" si="85"/>
        <v>0</v>
      </c>
      <c r="Z321" s="75">
        <f t="shared" si="86"/>
        <v>0.63157894736842146</v>
      </c>
      <c r="AA321" s="76">
        <f t="shared" si="87"/>
        <v>0.5</v>
      </c>
      <c r="AB321" s="76">
        <f t="shared" ca="1" si="88"/>
        <v>0.5</v>
      </c>
      <c r="AC321" s="77">
        <f t="shared" ca="1" si="89"/>
        <v>0.5</v>
      </c>
      <c r="AD321" s="359">
        <f t="shared" si="90"/>
        <v>4.6315789473684239</v>
      </c>
      <c r="AE321" s="369">
        <f t="shared" ca="1" si="91"/>
        <v>23.15789473684212</v>
      </c>
      <c r="AF321" s="96" t="s">
        <v>248</v>
      </c>
      <c r="AG321" s="114"/>
      <c r="AH321" s="118"/>
      <c r="AI321" s="115"/>
      <c r="AJ321" s="115"/>
      <c r="AK321" s="115"/>
      <c r="AL321" s="122"/>
      <c r="AM321" s="337"/>
      <c r="AN321" s="338"/>
      <c r="AO321" s="338"/>
      <c r="AP321" s="338"/>
      <c r="AQ321" s="339"/>
    </row>
    <row r="322" spans="1:43" ht="36" customHeight="1">
      <c r="A322" s="355">
        <v>318</v>
      </c>
      <c r="B322" s="12" t="s">
        <v>29</v>
      </c>
      <c r="C322" s="344" t="s">
        <v>298</v>
      </c>
      <c r="D322" s="8" t="s">
        <v>127</v>
      </c>
      <c r="E322" s="11" t="s">
        <v>128</v>
      </c>
      <c r="F322" s="473">
        <v>148135</v>
      </c>
      <c r="G322" s="52">
        <v>3</v>
      </c>
      <c r="H322" s="57">
        <v>0.4</v>
      </c>
      <c r="I322" s="65">
        <v>2</v>
      </c>
      <c r="J322" s="66">
        <v>4.0000000000000027</v>
      </c>
      <c r="K322" s="66">
        <v>2</v>
      </c>
      <c r="L322" s="66">
        <v>4</v>
      </c>
      <c r="M322" s="66">
        <v>6</v>
      </c>
      <c r="N322" s="66">
        <v>4.0000000000000027</v>
      </c>
      <c r="O322" s="66">
        <v>0</v>
      </c>
      <c r="P322" s="67">
        <v>6.0000000000000036</v>
      </c>
      <c r="Q322" s="70" t="e">
        <f ca="1">(#REF!-(YEAR(TODAY())-#REF!))/#REF!</f>
        <v>#REF!</v>
      </c>
      <c r="R322" s="70">
        <f t="shared" ca="1" si="78"/>
        <v>0.4</v>
      </c>
      <c r="S322" s="74">
        <f t="shared" si="79"/>
        <v>0.31578947368421051</v>
      </c>
      <c r="T322" s="74">
        <f t="shared" si="80"/>
        <v>0.42105263157894762</v>
      </c>
      <c r="U322" s="74">
        <f t="shared" si="81"/>
        <v>0.2807017543859649</v>
      </c>
      <c r="V322" s="74">
        <f t="shared" si="82"/>
        <v>0.70175438596491224</v>
      </c>
      <c r="W322" s="74">
        <f t="shared" si="83"/>
        <v>0.52631578947368418</v>
      </c>
      <c r="X322" s="74">
        <f t="shared" si="84"/>
        <v>0.4912280701754389</v>
      </c>
      <c r="Y322" s="74">
        <f t="shared" si="85"/>
        <v>0</v>
      </c>
      <c r="Z322" s="75">
        <f t="shared" si="86"/>
        <v>0.63157894736842146</v>
      </c>
      <c r="AA322" s="76">
        <f t="shared" si="87"/>
        <v>0.7</v>
      </c>
      <c r="AB322" s="76">
        <f t="shared" ca="1" si="88"/>
        <v>0.6</v>
      </c>
      <c r="AC322" s="77">
        <f t="shared" ca="1" si="89"/>
        <v>0.66666666666666663</v>
      </c>
      <c r="AD322" s="359">
        <f t="shared" si="90"/>
        <v>3.3684210526315796</v>
      </c>
      <c r="AE322" s="369">
        <f t="shared" ca="1" si="91"/>
        <v>22.456140350877195</v>
      </c>
      <c r="AF322" s="96" t="s">
        <v>257</v>
      </c>
      <c r="AG322" s="443"/>
      <c r="AH322" s="118"/>
      <c r="AI322" s="115"/>
      <c r="AJ322" s="115"/>
      <c r="AK322" s="115"/>
      <c r="AL322" s="122"/>
      <c r="AM322" s="337"/>
      <c r="AN322" s="338"/>
      <c r="AO322" s="338"/>
      <c r="AP322" s="338"/>
      <c r="AQ322" s="339"/>
    </row>
    <row r="323" spans="1:43" ht="36" customHeight="1">
      <c r="A323" s="355">
        <v>319</v>
      </c>
      <c r="B323" s="4" t="s">
        <v>16</v>
      </c>
      <c r="C323" s="286" t="s">
        <v>6</v>
      </c>
      <c r="D323" s="16" t="s">
        <v>230</v>
      </c>
      <c r="E323" s="17" t="s">
        <v>894</v>
      </c>
      <c r="F323" s="476">
        <v>91000</v>
      </c>
      <c r="G323" s="52">
        <v>5</v>
      </c>
      <c r="H323" s="57">
        <v>0.6</v>
      </c>
      <c r="I323" s="65">
        <v>6.0000000000000036</v>
      </c>
      <c r="J323" s="66">
        <v>1</v>
      </c>
      <c r="K323" s="66">
        <v>8.0000000000000053</v>
      </c>
      <c r="L323" s="66">
        <v>4.0000000000000027</v>
      </c>
      <c r="M323" s="66">
        <v>8.0000000000000053</v>
      </c>
      <c r="N323" s="66">
        <v>1</v>
      </c>
      <c r="O323" s="66">
        <v>4</v>
      </c>
      <c r="P323" s="67">
        <v>6.0000000000000036</v>
      </c>
      <c r="Q323" s="70" t="e">
        <f ca="1">(#REF!-(YEAR(TODAY())-#REF!))/#REF!</f>
        <v>#REF!</v>
      </c>
      <c r="R323" s="70">
        <f t="shared" ca="1" si="78"/>
        <v>0.6</v>
      </c>
      <c r="S323" s="74">
        <f t="shared" si="79"/>
        <v>0.94736842105263208</v>
      </c>
      <c r="T323" s="74">
        <f t="shared" si="80"/>
        <v>0.10526315789473684</v>
      </c>
      <c r="U323" s="74">
        <f t="shared" si="81"/>
        <v>1.1228070175438605</v>
      </c>
      <c r="V323" s="74">
        <f t="shared" si="82"/>
        <v>0.7017543859649128</v>
      </c>
      <c r="W323" s="74">
        <f t="shared" si="83"/>
        <v>0.7017543859649128</v>
      </c>
      <c r="X323" s="74">
        <f t="shared" si="84"/>
        <v>0.12280701754385964</v>
      </c>
      <c r="Y323" s="74">
        <f t="shared" si="85"/>
        <v>0.42105263157894735</v>
      </c>
      <c r="Z323" s="75">
        <f t="shared" si="86"/>
        <v>0.63157894736842146</v>
      </c>
      <c r="AA323" s="76">
        <f t="shared" si="87"/>
        <v>0.5</v>
      </c>
      <c r="AB323" s="76">
        <f t="shared" ca="1" si="88"/>
        <v>0.4</v>
      </c>
      <c r="AC323" s="77">
        <f t="shared" ca="1" si="89"/>
        <v>0.46666666666666662</v>
      </c>
      <c r="AD323" s="359">
        <f t="shared" si="90"/>
        <v>4.7543859649122826</v>
      </c>
      <c r="AE323" s="369">
        <f t="shared" ca="1" si="91"/>
        <v>22.187134502923982</v>
      </c>
      <c r="AF323" s="96" t="s">
        <v>248</v>
      </c>
      <c r="AG323" s="443"/>
      <c r="AH323" s="118"/>
      <c r="AI323" s="115"/>
      <c r="AJ323" s="115"/>
      <c r="AK323" s="115"/>
      <c r="AL323" s="122"/>
      <c r="AM323" s="337"/>
      <c r="AN323" s="338"/>
      <c r="AO323" s="338"/>
      <c r="AP323" s="338"/>
      <c r="AQ323" s="339"/>
    </row>
    <row r="324" spans="1:43" ht="36" customHeight="1">
      <c r="A324" s="355">
        <v>320</v>
      </c>
      <c r="B324" s="4" t="s">
        <v>7</v>
      </c>
      <c r="C324" s="286" t="s">
        <v>6</v>
      </c>
      <c r="D324" s="16" t="s">
        <v>1059</v>
      </c>
      <c r="E324" s="18" t="s">
        <v>1058</v>
      </c>
      <c r="F324" s="476">
        <v>265000</v>
      </c>
      <c r="G324" s="52">
        <v>2</v>
      </c>
      <c r="H324" s="57">
        <v>0.1</v>
      </c>
      <c r="I324" s="65">
        <v>1</v>
      </c>
      <c r="J324" s="66">
        <v>4.0000000000000027</v>
      </c>
      <c r="K324" s="66">
        <v>1</v>
      </c>
      <c r="L324" s="66">
        <v>7</v>
      </c>
      <c r="M324" s="66">
        <v>1</v>
      </c>
      <c r="N324" s="66">
        <v>4.0000000000000027</v>
      </c>
      <c r="O324" s="66">
        <v>0</v>
      </c>
      <c r="P324" s="67">
        <v>1</v>
      </c>
      <c r="Q324" s="70" t="e">
        <f ca="1">(#REF!-(YEAR(TODAY())-#REF!))/#REF!</f>
        <v>#REF!</v>
      </c>
      <c r="R324" s="70">
        <f t="shared" ca="1" si="78"/>
        <v>0.1</v>
      </c>
      <c r="S324" s="74">
        <f t="shared" si="79"/>
        <v>0.15789473684210525</v>
      </c>
      <c r="T324" s="74">
        <f t="shared" si="80"/>
        <v>0.42105263157894762</v>
      </c>
      <c r="U324" s="74">
        <f t="shared" si="81"/>
        <v>0.14035087719298245</v>
      </c>
      <c r="V324" s="74">
        <f t="shared" si="82"/>
        <v>1.2280701754385965</v>
      </c>
      <c r="W324" s="74">
        <f t="shared" si="83"/>
        <v>8.771929824561403E-2</v>
      </c>
      <c r="X324" s="74">
        <f t="shared" si="84"/>
        <v>0.4912280701754389</v>
      </c>
      <c r="Y324" s="74">
        <f t="shared" si="85"/>
        <v>0</v>
      </c>
      <c r="Z324" s="75">
        <f t="shared" si="86"/>
        <v>0.10526315789473684</v>
      </c>
      <c r="AA324" s="76">
        <f t="shared" si="87"/>
        <v>0.8</v>
      </c>
      <c r="AB324" s="76">
        <f t="shared" ca="1" si="88"/>
        <v>0.9</v>
      </c>
      <c r="AC324" s="77">
        <f t="shared" ca="1" si="89"/>
        <v>0.83333333333333337</v>
      </c>
      <c r="AD324" s="359">
        <f t="shared" si="90"/>
        <v>2.6315789473684212</v>
      </c>
      <c r="AE324" s="369">
        <f t="shared" ca="1" si="91"/>
        <v>21.92982456140351</v>
      </c>
      <c r="AF324" s="96" t="s">
        <v>1200</v>
      </c>
      <c r="AG324" s="442"/>
      <c r="AH324" s="118"/>
      <c r="AI324" s="115"/>
      <c r="AJ324" s="115"/>
      <c r="AK324" s="115"/>
      <c r="AL324" s="122"/>
      <c r="AM324" s="337"/>
      <c r="AN324" s="338"/>
      <c r="AO324" s="338"/>
      <c r="AP324" s="338"/>
      <c r="AQ324" s="339"/>
    </row>
    <row r="325" spans="1:43" ht="36" customHeight="1">
      <c r="A325" s="355">
        <v>321</v>
      </c>
      <c r="B325" s="12" t="s">
        <v>29</v>
      </c>
      <c r="C325" s="344" t="s">
        <v>298</v>
      </c>
      <c r="D325" s="10" t="s">
        <v>204</v>
      </c>
      <c r="E325" s="20" t="s">
        <v>205</v>
      </c>
      <c r="F325" s="473">
        <v>406600</v>
      </c>
      <c r="G325" s="52">
        <v>3</v>
      </c>
      <c r="H325" s="57">
        <v>0.3</v>
      </c>
      <c r="I325" s="65">
        <v>2</v>
      </c>
      <c r="J325" s="66">
        <v>4.0000000000000027</v>
      </c>
      <c r="K325" s="66">
        <v>0</v>
      </c>
      <c r="L325" s="66">
        <v>4.0000000000000027</v>
      </c>
      <c r="M325" s="66">
        <v>1</v>
      </c>
      <c r="N325" s="66">
        <v>4</v>
      </c>
      <c r="O325" s="66">
        <v>0</v>
      </c>
      <c r="P325" s="67">
        <v>8.0000000000000053</v>
      </c>
      <c r="Q325" s="70" t="e">
        <f ca="1">(#REF!-(YEAR(TODAY())-#REF!))/#REF!</f>
        <v>#REF!</v>
      </c>
      <c r="R325" s="70">
        <f t="shared" ref="R325:R329" ca="1" si="92">IFERROR(Q325,H325)</f>
        <v>0.3</v>
      </c>
      <c r="S325" s="74">
        <f t="shared" si="79"/>
        <v>0.31578947368421051</v>
      </c>
      <c r="T325" s="74">
        <f t="shared" si="80"/>
        <v>0.42105263157894762</v>
      </c>
      <c r="U325" s="74">
        <f t="shared" si="81"/>
        <v>0</v>
      </c>
      <c r="V325" s="74">
        <f t="shared" si="82"/>
        <v>0.7017543859649128</v>
      </c>
      <c r="W325" s="74">
        <f t="shared" si="83"/>
        <v>8.771929824561403E-2</v>
      </c>
      <c r="X325" s="74">
        <f t="shared" si="84"/>
        <v>0.49122807017543857</v>
      </c>
      <c r="Y325" s="74">
        <f t="shared" si="85"/>
        <v>0</v>
      </c>
      <c r="Z325" s="75">
        <f t="shared" si="86"/>
        <v>0.84210526315789525</v>
      </c>
      <c r="AA325" s="76">
        <f t="shared" si="87"/>
        <v>0.7</v>
      </c>
      <c r="AB325" s="76">
        <f t="shared" ca="1" si="88"/>
        <v>0.7</v>
      </c>
      <c r="AC325" s="77">
        <f t="shared" ref="AC325:AC329" ca="1" si="93">(AA325*CondWeight+AB325*PLifeWeight)/(CondWeight+PLifeWeight)</f>
        <v>0.69999999999999984</v>
      </c>
      <c r="AD325" s="359">
        <f t="shared" si="90"/>
        <v>2.8596491228070189</v>
      </c>
      <c r="AE325" s="369">
        <f t="shared" ref="AE325:AE329" ca="1" si="94">AD325*AC325*10</f>
        <v>20.01754385964913</v>
      </c>
      <c r="AF325" s="96" t="s">
        <v>257</v>
      </c>
      <c r="AG325" s="114"/>
      <c r="AH325" s="118"/>
      <c r="AI325" s="115"/>
      <c r="AJ325" s="115"/>
      <c r="AK325" s="115"/>
      <c r="AL325" s="122"/>
      <c r="AM325" s="337"/>
      <c r="AN325" s="338"/>
      <c r="AO325" s="338"/>
      <c r="AP325" s="338"/>
      <c r="AQ325" s="339"/>
    </row>
    <row r="326" spans="1:43" ht="36" customHeight="1">
      <c r="A326" s="355">
        <v>322</v>
      </c>
      <c r="B326" s="12" t="s">
        <v>14</v>
      </c>
      <c r="C326" s="344" t="s">
        <v>298</v>
      </c>
      <c r="D326" s="10" t="s">
        <v>209</v>
      </c>
      <c r="E326" s="11" t="s">
        <v>210</v>
      </c>
      <c r="F326" s="473">
        <v>640000</v>
      </c>
      <c r="G326" s="52">
        <v>5</v>
      </c>
      <c r="H326" s="57">
        <v>0.5</v>
      </c>
      <c r="I326" s="65">
        <v>4.0000000000000027</v>
      </c>
      <c r="J326" s="66">
        <v>6</v>
      </c>
      <c r="K326" s="66">
        <v>2</v>
      </c>
      <c r="L326" s="66">
        <v>5</v>
      </c>
      <c r="M326" s="66">
        <v>2</v>
      </c>
      <c r="N326" s="66">
        <v>6</v>
      </c>
      <c r="O326" s="66">
        <v>0</v>
      </c>
      <c r="P326" s="67">
        <v>6</v>
      </c>
      <c r="Q326" s="70" t="e">
        <f ca="1">(#REF!-(YEAR(TODAY())-#REF!))/#REF!</f>
        <v>#REF!</v>
      </c>
      <c r="R326" s="70">
        <f t="shared" ca="1" si="92"/>
        <v>0.5</v>
      </c>
      <c r="S326" s="74">
        <f t="shared" si="79"/>
        <v>0.63157894736842146</v>
      </c>
      <c r="T326" s="74">
        <f t="shared" si="80"/>
        <v>0.63157894736842102</v>
      </c>
      <c r="U326" s="74">
        <f t="shared" si="81"/>
        <v>0.2807017543859649</v>
      </c>
      <c r="V326" s="74">
        <f t="shared" si="82"/>
        <v>0.8771929824561403</v>
      </c>
      <c r="W326" s="74">
        <f t="shared" si="83"/>
        <v>0.17543859649122806</v>
      </c>
      <c r="X326" s="74">
        <f t="shared" si="84"/>
        <v>0.73684210526315785</v>
      </c>
      <c r="Y326" s="74">
        <f t="shared" si="85"/>
        <v>0</v>
      </c>
      <c r="Z326" s="75">
        <f t="shared" si="86"/>
        <v>0.63157894736842102</v>
      </c>
      <c r="AA326" s="76">
        <f t="shared" si="87"/>
        <v>0.5</v>
      </c>
      <c r="AB326" s="76">
        <f t="shared" ca="1" si="88"/>
        <v>0.5</v>
      </c>
      <c r="AC326" s="77">
        <f t="shared" ca="1" si="93"/>
        <v>0.5</v>
      </c>
      <c r="AD326" s="359">
        <f t="shared" si="90"/>
        <v>3.9649122807017552</v>
      </c>
      <c r="AE326" s="369">
        <f t="shared" ca="1" si="94"/>
        <v>19.824561403508774</v>
      </c>
      <c r="AF326" s="96" t="s">
        <v>257</v>
      </c>
      <c r="AG326" s="114"/>
      <c r="AH326" s="118"/>
      <c r="AI326" s="115"/>
      <c r="AJ326" s="115"/>
      <c r="AK326" s="115"/>
      <c r="AL326" s="122"/>
      <c r="AM326" s="337"/>
      <c r="AN326" s="338"/>
      <c r="AO326" s="338"/>
      <c r="AP326" s="338"/>
      <c r="AQ326" s="339"/>
    </row>
    <row r="327" spans="1:43" ht="36" customHeight="1">
      <c r="A327" s="355">
        <v>323</v>
      </c>
      <c r="B327" s="12" t="s">
        <v>29</v>
      </c>
      <c r="C327" s="344" t="s">
        <v>298</v>
      </c>
      <c r="D327" s="8" t="s">
        <v>197</v>
      </c>
      <c r="E327" s="20" t="s">
        <v>198</v>
      </c>
      <c r="F327" s="473">
        <v>146000</v>
      </c>
      <c r="G327" s="52">
        <v>5</v>
      </c>
      <c r="H327" s="57">
        <v>0.5</v>
      </c>
      <c r="I327" s="65">
        <v>3</v>
      </c>
      <c r="J327" s="66">
        <v>4.0000000000000027</v>
      </c>
      <c r="K327" s="66">
        <v>3</v>
      </c>
      <c r="L327" s="66">
        <v>5</v>
      </c>
      <c r="M327" s="66">
        <v>6</v>
      </c>
      <c r="N327" s="66">
        <v>4.0000000000000027</v>
      </c>
      <c r="O327" s="66">
        <v>0</v>
      </c>
      <c r="P327" s="67">
        <v>6.0000000000000036</v>
      </c>
      <c r="Q327" s="70" t="e">
        <f ca="1">(#REF!-(YEAR(TODAY())-#REF!))/#REF!</f>
        <v>#REF!</v>
      </c>
      <c r="R327" s="70">
        <f t="shared" ca="1" si="92"/>
        <v>0.5</v>
      </c>
      <c r="S327" s="74">
        <f t="shared" si="79"/>
        <v>0.47368421052631576</v>
      </c>
      <c r="T327" s="74">
        <f t="shared" si="80"/>
        <v>0.42105263157894762</v>
      </c>
      <c r="U327" s="74">
        <f t="shared" si="81"/>
        <v>0.42105263157894735</v>
      </c>
      <c r="V327" s="74">
        <f t="shared" si="82"/>
        <v>0.8771929824561403</v>
      </c>
      <c r="W327" s="74">
        <f t="shared" si="83"/>
        <v>0.52631578947368418</v>
      </c>
      <c r="X327" s="74">
        <f t="shared" si="84"/>
        <v>0.4912280701754389</v>
      </c>
      <c r="Y327" s="74">
        <f t="shared" si="85"/>
        <v>0</v>
      </c>
      <c r="Z327" s="75">
        <f t="shared" si="86"/>
        <v>0.63157894736842146</v>
      </c>
      <c r="AA327" s="76">
        <f t="shared" si="87"/>
        <v>0.5</v>
      </c>
      <c r="AB327" s="76">
        <f t="shared" ca="1" si="88"/>
        <v>0.5</v>
      </c>
      <c r="AC327" s="77">
        <f t="shared" ca="1" si="93"/>
        <v>0.5</v>
      </c>
      <c r="AD327" s="359">
        <f t="shared" si="90"/>
        <v>3.8421052631578956</v>
      </c>
      <c r="AE327" s="369">
        <f t="shared" ca="1" si="94"/>
        <v>19.21052631578948</v>
      </c>
      <c r="AF327" s="96" t="s">
        <v>257</v>
      </c>
      <c r="AG327" s="114"/>
      <c r="AH327" s="118"/>
      <c r="AI327" s="115"/>
      <c r="AJ327" s="115"/>
      <c r="AK327" s="115"/>
      <c r="AL327" s="122"/>
      <c r="AM327" s="337"/>
      <c r="AN327" s="338"/>
      <c r="AO327" s="338"/>
      <c r="AP327" s="338"/>
      <c r="AQ327" s="339"/>
    </row>
    <row r="328" spans="1:43" ht="36" customHeight="1">
      <c r="A328" s="355">
        <v>324</v>
      </c>
      <c r="B328" s="12" t="s">
        <v>16</v>
      </c>
      <c r="C328" s="344" t="s">
        <v>6</v>
      </c>
      <c r="D328" s="5" t="s">
        <v>232</v>
      </c>
      <c r="E328" s="6" t="s">
        <v>1017</v>
      </c>
      <c r="F328" s="473">
        <v>147000</v>
      </c>
      <c r="G328" s="52">
        <v>3</v>
      </c>
      <c r="H328" s="57">
        <v>0</v>
      </c>
      <c r="I328" s="65">
        <v>4.0000000000000027</v>
      </c>
      <c r="J328" s="66">
        <v>1</v>
      </c>
      <c r="K328" s="66">
        <v>1</v>
      </c>
      <c r="L328" s="66">
        <v>4.0000000000000027</v>
      </c>
      <c r="M328" s="66">
        <v>4.0000000000000027</v>
      </c>
      <c r="N328" s="66">
        <v>1</v>
      </c>
      <c r="O328" s="66">
        <v>1</v>
      </c>
      <c r="P328" s="67">
        <v>1</v>
      </c>
      <c r="Q328" s="70" t="e">
        <f ca="1">(#REF!-(YEAR(TODAY())-#REF!))/#REF!</f>
        <v>#REF!</v>
      </c>
      <c r="R328" s="70">
        <f t="shared" ca="1" si="92"/>
        <v>0</v>
      </c>
      <c r="S328" s="74">
        <f t="shared" si="79"/>
        <v>0.63157894736842146</v>
      </c>
      <c r="T328" s="74">
        <f t="shared" si="80"/>
        <v>0.10526315789473684</v>
      </c>
      <c r="U328" s="74">
        <f t="shared" si="81"/>
        <v>0.14035087719298245</v>
      </c>
      <c r="V328" s="74">
        <f t="shared" si="82"/>
        <v>0.7017543859649128</v>
      </c>
      <c r="W328" s="74">
        <f t="shared" si="83"/>
        <v>0.3508771929824564</v>
      </c>
      <c r="X328" s="74">
        <f t="shared" si="84"/>
        <v>0.12280701754385964</v>
      </c>
      <c r="Y328" s="74">
        <f t="shared" si="85"/>
        <v>0.10526315789473684</v>
      </c>
      <c r="Z328" s="75">
        <f t="shared" si="86"/>
        <v>0.10526315789473684</v>
      </c>
      <c r="AA328" s="76">
        <f t="shared" si="87"/>
        <v>0.7</v>
      </c>
      <c r="AB328" s="76">
        <f t="shared" ca="1" si="88"/>
        <v>1</v>
      </c>
      <c r="AC328" s="77">
        <f t="shared" ca="1" si="93"/>
        <v>0.79999999999999993</v>
      </c>
      <c r="AD328" s="359">
        <f t="shared" si="90"/>
        <v>2.2631578947368429</v>
      </c>
      <c r="AE328" s="369">
        <f t="shared" ca="1" si="94"/>
        <v>18.105263157894743</v>
      </c>
      <c r="AF328" s="96" t="s">
        <v>248</v>
      </c>
      <c r="AG328" s="443"/>
      <c r="AH328" s="118"/>
      <c r="AI328" s="115"/>
      <c r="AJ328" s="115"/>
      <c r="AK328" s="115"/>
      <c r="AL328" s="122"/>
      <c r="AM328" s="337"/>
      <c r="AN328" s="338"/>
      <c r="AO328" s="338"/>
      <c r="AP328" s="338"/>
      <c r="AQ328" s="339"/>
    </row>
    <row r="329" spans="1:43" ht="36" customHeight="1">
      <c r="A329" s="355">
        <v>325</v>
      </c>
      <c r="B329" s="12" t="s">
        <v>16</v>
      </c>
      <c r="C329" s="344" t="s">
        <v>6</v>
      </c>
      <c r="D329" s="10" t="s">
        <v>239</v>
      </c>
      <c r="E329" s="11" t="s">
        <v>893</v>
      </c>
      <c r="F329" s="473">
        <v>150000</v>
      </c>
      <c r="G329" s="295">
        <v>5</v>
      </c>
      <c r="H329" s="293">
        <v>0.4</v>
      </c>
      <c r="I329" s="65">
        <v>5.0000000000000027</v>
      </c>
      <c r="J329" s="66">
        <v>3</v>
      </c>
      <c r="K329" s="66">
        <v>3</v>
      </c>
      <c r="L329" s="66">
        <v>1</v>
      </c>
      <c r="M329" s="66">
        <v>4</v>
      </c>
      <c r="N329" s="66">
        <v>2</v>
      </c>
      <c r="O329" s="66">
        <v>0</v>
      </c>
      <c r="P329" s="67">
        <v>5.0000000000000027</v>
      </c>
      <c r="Q329" s="70" t="e">
        <f ca="1">(#REF!-(YEAR(TODAY())-#REF!))/#REF!</f>
        <v>#REF!</v>
      </c>
      <c r="R329" s="70">
        <f t="shared" ca="1" si="92"/>
        <v>0.4</v>
      </c>
      <c r="S329" s="74">
        <f t="shared" si="79"/>
        <v>0.78947368421052666</v>
      </c>
      <c r="T329" s="74">
        <f t="shared" si="80"/>
        <v>0.31578947368421051</v>
      </c>
      <c r="U329" s="74">
        <f t="shared" si="81"/>
        <v>0.42105263157894735</v>
      </c>
      <c r="V329" s="74">
        <f t="shared" si="82"/>
        <v>0.17543859649122806</v>
      </c>
      <c r="W329" s="74">
        <f t="shared" si="83"/>
        <v>0.35087719298245612</v>
      </c>
      <c r="X329" s="74">
        <f t="shared" si="84"/>
        <v>0.24561403508771928</v>
      </c>
      <c r="Y329" s="74">
        <f t="shared" si="85"/>
        <v>0</v>
      </c>
      <c r="Z329" s="75">
        <f t="shared" si="86"/>
        <v>0.52631578947368451</v>
      </c>
      <c r="AA329" s="76">
        <f t="shared" si="87"/>
        <v>0.5</v>
      </c>
      <c r="AB329" s="76">
        <f t="shared" ca="1" si="88"/>
        <v>0.6</v>
      </c>
      <c r="AC329" s="77">
        <f t="shared" ca="1" si="93"/>
        <v>0.53333333333333333</v>
      </c>
      <c r="AD329" s="359">
        <f t="shared" si="90"/>
        <v>2.8245614035087727</v>
      </c>
      <c r="AE329" s="369">
        <f t="shared" ca="1" si="94"/>
        <v>15.064327485380121</v>
      </c>
      <c r="AF329" s="96" t="s">
        <v>248</v>
      </c>
      <c r="AG329" s="442"/>
      <c r="AH329" s="118"/>
      <c r="AI329" s="115"/>
      <c r="AJ329" s="115"/>
      <c r="AK329" s="115"/>
      <c r="AL329" s="122"/>
      <c r="AM329" s="337"/>
      <c r="AN329" s="338"/>
      <c r="AO329" s="338"/>
      <c r="AP329" s="338"/>
      <c r="AQ329" s="339"/>
    </row>
    <row r="331" spans="1:43">
      <c r="E331" s="452" t="s">
        <v>1199</v>
      </c>
      <c r="F331" s="360">
        <f ca="1">SUM(F4:F329)</f>
        <v>336206659</v>
      </c>
      <c r="AM331" s="596" t="s">
        <v>1201</v>
      </c>
      <c r="AN331" s="596"/>
      <c r="AO331" s="596"/>
      <c r="AP331" s="596"/>
      <c r="AQ331" s="596"/>
    </row>
    <row r="332" spans="1:43" ht="18.75" customHeight="1">
      <c r="E332" s="98"/>
      <c r="F332" s="360"/>
      <c r="AH332" s="228">
        <f>SUM(AH5:AH330)</f>
        <v>46641575</v>
      </c>
      <c r="AI332" s="228">
        <f>SUM(AI5:AI330)</f>
        <v>36940978.5</v>
      </c>
      <c r="AJ332" s="228">
        <f>SUM(AJ5:AJ330)</f>
        <v>52164653.5</v>
      </c>
      <c r="AK332" s="228">
        <f>SUM(AK5:AK330)</f>
        <v>37225738</v>
      </c>
      <c r="AL332" s="228">
        <f>SUM(AL5:AL330)</f>
        <v>32659645</v>
      </c>
    </row>
    <row r="334" spans="1:43">
      <c r="E334" s="453"/>
    </row>
  </sheetData>
  <autoFilter ref="A4:AQ329">
    <sortState ref="A5:AW329">
      <sortCondition descending="1" ref="AE5:AE329"/>
    </sortState>
  </autoFilter>
  <mergeCells count="5">
    <mergeCell ref="AM331:AQ331"/>
    <mergeCell ref="AM1:AQ1"/>
    <mergeCell ref="AH2:AL2"/>
    <mergeCell ref="AH3:AK3"/>
    <mergeCell ref="I1:P1"/>
  </mergeCells>
  <conditionalFormatting sqref="S214:AB215 S266:AB267 S152:AB153 S302:AB306 S188:AB196 I188:P196 S161:AB164 S83:AB88 S155:AB159 S118:AB150 S112:AB116 S48:AB81 I48:P88 I94:P150 S94:AB110 S166:AB186 S198:AB212 I152:P186 S217:AB226 S233:AB264 S269:AB300 S313:AB329 I313:P329 I5:P44 S5:AB44 S308:AB310 I198:P310">
    <cfRule type="cellIs" dxfId="117" priority="555" operator="equal">
      <formula>0</formula>
    </cfRule>
  </conditionalFormatting>
  <conditionalFormatting sqref="AC214:AC215 AC266:AC267 AC152:AC153 AC302:AC306 AC188:AC196 AC83:AC88 AC155:AC164 AC118:AC150 AC112:AC116 AC48:AC81 AC94:AC110 AC166:AC186 AC198:AC212 AC217:AC226 AC233:AC264 AC269:AC300 AC313:AC329 AC5:AC44 AC308:AC310">
    <cfRule type="cellIs" dxfId="116" priority="542" operator="greaterThan">
      <formula>$AC$2</formula>
    </cfRule>
    <cfRule type="expression" dxfId="115" priority="543">
      <formula>"&lt;$AE$2"</formula>
    </cfRule>
  </conditionalFormatting>
  <conditionalFormatting sqref="AD214:AD215 AD266:AD267 AD152:AD153 AD302:AD306 AD188:AD196 AD83:AD88 AD155:AD164 AD118:AD150 AD112:AD116 AD48:AD81 AD94:AD110 AD166:AD186 AD198:AD212 AD217:AD226 AD269:AD300 AD313:AD329 AD5:AD44 AD308:AD310 AD233:AD264">
    <cfRule type="cellIs" dxfId="114" priority="541" operator="greaterThan">
      <formula>$AD$2</formula>
    </cfRule>
  </conditionalFormatting>
  <conditionalFormatting sqref="S160:AB160">
    <cfRule type="cellIs" dxfId="113" priority="534" operator="equal">
      <formula>0</formula>
    </cfRule>
  </conditionalFormatting>
  <conditionalFormatting sqref="S165:AB165">
    <cfRule type="cellIs" dxfId="112" priority="489" operator="equal">
      <formula>0</formula>
    </cfRule>
  </conditionalFormatting>
  <conditionalFormatting sqref="AC165">
    <cfRule type="cellIs" dxfId="111" priority="487" operator="greaterThan">
      <formula>$AC$2</formula>
    </cfRule>
    <cfRule type="expression" dxfId="110" priority="488">
      <formula>"&lt;$AE$2"</formula>
    </cfRule>
  </conditionalFormatting>
  <conditionalFormatting sqref="AD165">
    <cfRule type="cellIs" dxfId="109" priority="486" operator="greaterThan">
      <formula>$AD$2</formula>
    </cfRule>
  </conditionalFormatting>
  <conditionalFormatting sqref="AE165">
    <cfRule type="colorScale" priority="484">
      <colorScale>
        <cfvo type="min"/>
        <cfvo type="percentile" val="50"/>
        <cfvo type="max"/>
        <color rgb="FF92D050"/>
        <color rgb="FFFFFF00"/>
        <color rgb="FFFF5050"/>
      </colorScale>
    </cfRule>
    <cfRule type="cellIs" dxfId="108" priority="485" operator="equal">
      <formula>0</formula>
    </cfRule>
  </conditionalFormatting>
  <conditionalFormatting sqref="S301:AB301">
    <cfRule type="cellIs" dxfId="107" priority="483" operator="equal">
      <formula>0</formula>
    </cfRule>
  </conditionalFormatting>
  <conditionalFormatting sqref="AC301">
    <cfRule type="cellIs" dxfId="106" priority="481" operator="greaterThan">
      <formula>$AC$2</formula>
    </cfRule>
    <cfRule type="expression" dxfId="105" priority="482">
      <formula>"&lt;$AE$2"</formula>
    </cfRule>
  </conditionalFormatting>
  <conditionalFormatting sqref="AD301">
    <cfRule type="cellIs" dxfId="104" priority="480" operator="greaterThan">
      <formula>$AD$2</formula>
    </cfRule>
  </conditionalFormatting>
  <conditionalFormatting sqref="AE301">
    <cfRule type="colorScale" priority="478">
      <colorScale>
        <cfvo type="min"/>
        <cfvo type="percentile" val="50"/>
        <cfvo type="max"/>
        <color rgb="FF92D050"/>
        <color rgb="FFFFFF00"/>
        <color rgb="FFFF5050"/>
      </colorScale>
    </cfRule>
    <cfRule type="cellIs" dxfId="103" priority="479" operator="equal">
      <formula>0</formula>
    </cfRule>
  </conditionalFormatting>
  <conditionalFormatting sqref="S307:AB307">
    <cfRule type="cellIs" dxfId="102" priority="477" operator="equal">
      <formula>0</formula>
    </cfRule>
  </conditionalFormatting>
  <conditionalFormatting sqref="AC307">
    <cfRule type="cellIs" dxfId="101" priority="475" operator="greaterThan">
      <formula>$AC$2</formula>
    </cfRule>
    <cfRule type="expression" dxfId="100" priority="476">
      <formula>"&lt;$AE$2"</formula>
    </cfRule>
  </conditionalFormatting>
  <conditionalFormatting sqref="AD307">
    <cfRule type="cellIs" dxfId="99" priority="474" operator="greaterThan">
      <formula>$AD$2</formula>
    </cfRule>
  </conditionalFormatting>
  <conditionalFormatting sqref="AE307">
    <cfRule type="colorScale" priority="472">
      <colorScale>
        <cfvo type="min"/>
        <cfvo type="percentile" val="50"/>
        <cfvo type="max"/>
        <color rgb="FF92D050"/>
        <color rgb="FFFFFF00"/>
        <color rgb="FFFF5050"/>
      </colorScale>
    </cfRule>
    <cfRule type="cellIs" dxfId="98" priority="473" operator="equal">
      <formula>0</formula>
    </cfRule>
  </conditionalFormatting>
  <conditionalFormatting sqref="S268:AB268">
    <cfRule type="cellIs" dxfId="97" priority="471" operator="equal">
      <formula>0</formula>
    </cfRule>
  </conditionalFormatting>
  <conditionalFormatting sqref="AC268">
    <cfRule type="cellIs" dxfId="96" priority="469" operator="greaterThan">
      <formula>$AC$2</formula>
    </cfRule>
    <cfRule type="expression" dxfId="95" priority="470">
      <formula>"&lt;$AE$2"</formula>
    </cfRule>
  </conditionalFormatting>
  <conditionalFormatting sqref="AD268">
    <cfRule type="cellIs" dxfId="94" priority="468" operator="greaterThan">
      <formula>$AD$2</formula>
    </cfRule>
  </conditionalFormatting>
  <conditionalFormatting sqref="AE268">
    <cfRule type="colorScale" priority="466">
      <colorScale>
        <cfvo type="min"/>
        <cfvo type="percentile" val="50"/>
        <cfvo type="max"/>
        <color rgb="FF92D050"/>
        <color rgb="FFFFFF00"/>
        <color rgb="FFFF5050"/>
      </colorScale>
    </cfRule>
    <cfRule type="cellIs" dxfId="93" priority="467" operator="equal">
      <formula>0</formula>
    </cfRule>
  </conditionalFormatting>
  <conditionalFormatting sqref="S216:AB216">
    <cfRule type="cellIs" dxfId="92" priority="423" operator="equal">
      <formula>0</formula>
    </cfRule>
  </conditionalFormatting>
  <conditionalFormatting sqref="AC216">
    <cfRule type="cellIs" dxfId="91" priority="421" operator="greaterThan">
      <formula>$AC$2</formula>
    </cfRule>
    <cfRule type="expression" dxfId="90" priority="422">
      <formula>"&lt;$AE$2"</formula>
    </cfRule>
  </conditionalFormatting>
  <conditionalFormatting sqref="AD216">
    <cfRule type="cellIs" dxfId="89" priority="420" operator="greaterThan">
      <formula>$AD$2</formula>
    </cfRule>
  </conditionalFormatting>
  <conditionalFormatting sqref="AE216">
    <cfRule type="colorScale" priority="418">
      <colorScale>
        <cfvo type="min"/>
        <cfvo type="percentile" val="50"/>
        <cfvo type="max"/>
        <color rgb="FF92D050"/>
        <color rgb="FFFFFF00"/>
        <color rgb="FFFF5050"/>
      </colorScale>
    </cfRule>
    <cfRule type="cellIs" dxfId="88" priority="419" operator="equal">
      <formula>0</formula>
    </cfRule>
  </conditionalFormatting>
  <conditionalFormatting sqref="S213:AB213">
    <cfRule type="cellIs" dxfId="87" priority="405" operator="equal">
      <formula>0</formula>
    </cfRule>
  </conditionalFormatting>
  <conditionalFormatting sqref="AC213">
    <cfRule type="cellIs" dxfId="86" priority="403" operator="greaterThan">
      <formula>$AC$2</formula>
    </cfRule>
    <cfRule type="expression" dxfId="85" priority="404">
      <formula>"&lt;$AE$2"</formula>
    </cfRule>
  </conditionalFormatting>
  <conditionalFormatting sqref="AD213">
    <cfRule type="cellIs" dxfId="84" priority="402" operator="greaterThan">
      <formula>$AD$2</formula>
    </cfRule>
  </conditionalFormatting>
  <conditionalFormatting sqref="AE213">
    <cfRule type="colorScale" priority="400">
      <colorScale>
        <cfvo type="min"/>
        <cfvo type="percentile" val="50"/>
        <cfvo type="max"/>
        <color rgb="FF92D050"/>
        <color rgb="FFFFFF00"/>
        <color rgb="FFFF5050"/>
      </colorScale>
    </cfRule>
    <cfRule type="cellIs" dxfId="83" priority="401" operator="equal">
      <formula>0</formula>
    </cfRule>
  </conditionalFormatting>
  <conditionalFormatting sqref="S154:AB154">
    <cfRule type="cellIs" dxfId="82" priority="399" operator="equal">
      <formula>0</formula>
    </cfRule>
  </conditionalFormatting>
  <conditionalFormatting sqref="AC154">
    <cfRule type="cellIs" dxfId="81" priority="397" operator="greaterThan">
      <formula>$AC$2</formula>
    </cfRule>
    <cfRule type="expression" dxfId="80" priority="398">
      <formula>"&lt;$AE$2"</formula>
    </cfRule>
  </conditionalFormatting>
  <conditionalFormatting sqref="AD154">
    <cfRule type="cellIs" dxfId="79" priority="396" operator="greaterThan">
      <formula>$AD$2</formula>
    </cfRule>
  </conditionalFormatting>
  <conditionalFormatting sqref="S197:AB197 I197:P197">
    <cfRule type="cellIs" dxfId="78" priority="367" operator="equal">
      <formula>0</formula>
    </cfRule>
  </conditionalFormatting>
  <conditionalFormatting sqref="AC197">
    <cfRule type="cellIs" dxfId="77" priority="365" operator="greaterThan">
      <formula>$AC$2</formula>
    </cfRule>
    <cfRule type="expression" dxfId="76" priority="366">
      <formula>"&lt;$AE$2"</formula>
    </cfRule>
  </conditionalFormatting>
  <conditionalFormatting sqref="AD197">
    <cfRule type="cellIs" dxfId="75" priority="364" operator="greaterThan">
      <formula>$AD$2</formula>
    </cfRule>
  </conditionalFormatting>
  <conditionalFormatting sqref="S82:AB82">
    <cfRule type="cellIs" dxfId="74" priority="338" operator="equal">
      <formula>0</formula>
    </cfRule>
  </conditionalFormatting>
  <conditionalFormatting sqref="AC82">
    <cfRule type="cellIs" dxfId="73" priority="336" operator="greaterThan">
      <formula>$AC$2</formula>
    </cfRule>
    <cfRule type="expression" dxfId="72" priority="337">
      <formula>"&lt;$AE$2"</formula>
    </cfRule>
  </conditionalFormatting>
  <conditionalFormatting sqref="AD82">
    <cfRule type="cellIs" dxfId="71" priority="335" operator="greaterThan">
      <formula>$AD$2</formula>
    </cfRule>
  </conditionalFormatting>
  <conditionalFormatting sqref="S227:AB232">
    <cfRule type="cellIs" dxfId="70" priority="308" operator="equal">
      <formula>0</formula>
    </cfRule>
  </conditionalFormatting>
  <conditionalFormatting sqref="AC227:AC232">
    <cfRule type="cellIs" dxfId="69" priority="306" operator="greaterThan">
      <formula>$AC$2</formula>
    </cfRule>
    <cfRule type="expression" dxfId="68" priority="307">
      <formula>"&lt;$AE$2"</formula>
    </cfRule>
  </conditionalFormatting>
  <conditionalFormatting sqref="AD227:AD232">
    <cfRule type="cellIs" dxfId="67" priority="305" operator="greaterThan">
      <formula>$AD$2</formula>
    </cfRule>
  </conditionalFormatting>
  <conditionalFormatting sqref="S111:AB111">
    <cfRule type="cellIs" dxfId="66" priority="298" operator="equal">
      <formula>0</formula>
    </cfRule>
  </conditionalFormatting>
  <conditionalFormatting sqref="AC111">
    <cfRule type="cellIs" dxfId="65" priority="296" operator="greaterThan">
      <formula>$AC$2</formula>
    </cfRule>
    <cfRule type="expression" dxfId="64" priority="297">
      <formula>"&lt;$AE$2"</formula>
    </cfRule>
  </conditionalFormatting>
  <conditionalFormatting sqref="AD111">
    <cfRule type="cellIs" dxfId="63" priority="295" operator="greaterThan">
      <formula>$AD$2</formula>
    </cfRule>
  </conditionalFormatting>
  <conditionalFormatting sqref="S117:AB117">
    <cfRule type="cellIs" dxfId="62" priority="278" operator="equal">
      <formula>0</formula>
    </cfRule>
  </conditionalFormatting>
  <conditionalFormatting sqref="AC117">
    <cfRule type="cellIs" dxfId="61" priority="276" operator="greaterThan">
      <formula>$AC$2</formula>
    </cfRule>
    <cfRule type="expression" dxfId="60" priority="277">
      <formula>"&lt;$AE$2"</formula>
    </cfRule>
  </conditionalFormatting>
  <conditionalFormatting sqref="AD117">
    <cfRule type="cellIs" dxfId="59" priority="275" operator="greaterThan">
      <formula>$AD$2</formula>
    </cfRule>
  </conditionalFormatting>
  <conditionalFormatting sqref="S265:AB265">
    <cfRule type="cellIs" dxfId="58" priority="248" operator="equal">
      <formula>0</formula>
    </cfRule>
  </conditionalFormatting>
  <conditionalFormatting sqref="AC265">
    <cfRule type="cellIs" dxfId="57" priority="246" operator="greaterThan">
      <formula>$AC$2</formula>
    </cfRule>
    <cfRule type="expression" dxfId="56" priority="247">
      <formula>"&lt;$AE$2"</formula>
    </cfRule>
  </conditionalFormatting>
  <conditionalFormatting sqref="AD265">
    <cfRule type="cellIs" dxfId="55" priority="245" operator="greaterThan">
      <formula>$AD$2</formula>
    </cfRule>
  </conditionalFormatting>
  <conditionalFormatting sqref="AE265">
    <cfRule type="colorScale" priority="243">
      <colorScale>
        <cfvo type="min"/>
        <cfvo type="percentile" val="50"/>
        <cfvo type="max"/>
        <color rgb="FF92D050"/>
        <color rgb="FFFFFF00"/>
        <color rgb="FFFF5050"/>
      </colorScale>
    </cfRule>
    <cfRule type="cellIs" dxfId="54" priority="244" operator="equal">
      <formula>0</formula>
    </cfRule>
  </conditionalFormatting>
  <conditionalFormatting sqref="AE6">
    <cfRule type="colorScale" priority="215">
      <colorScale>
        <cfvo type="min"/>
        <cfvo type="percentile" val="50"/>
        <cfvo type="max"/>
        <color rgb="FF92D050"/>
        <color rgb="FFFFFF00"/>
        <color rgb="FFFF5050"/>
      </colorScale>
    </cfRule>
    <cfRule type="cellIs" dxfId="53" priority="216" operator="equal">
      <formula>0</formula>
    </cfRule>
  </conditionalFormatting>
  <conditionalFormatting sqref="I89:P93 S89:AB93">
    <cfRule type="cellIs" dxfId="52" priority="182" operator="equal">
      <formula>0</formula>
    </cfRule>
  </conditionalFormatting>
  <conditionalFormatting sqref="AC89:AC93">
    <cfRule type="cellIs" dxfId="51" priority="180" operator="greaterThan">
      <formula>$AC$2</formula>
    </cfRule>
    <cfRule type="expression" dxfId="50" priority="181">
      <formula>"&lt;$AE$2"</formula>
    </cfRule>
  </conditionalFormatting>
  <conditionalFormatting sqref="AD89:AD93">
    <cfRule type="cellIs" dxfId="49" priority="179" operator="greaterThan">
      <formula>$AD$2</formula>
    </cfRule>
  </conditionalFormatting>
  <conditionalFormatting sqref="S311:AB312 I311:P312">
    <cfRule type="cellIs" dxfId="48" priority="172" operator="equal">
      <formula>0</formula>
    </cfRule>
  </conditionalFormatting>
  <conditionalFormatting sqref="AC311:AC312">
    <cfRule type="cellIs" dxfId="47" priority="170" operator="greaterThan">
      <formula>$AC$2</formula>
    </cfRule>
    <cfRule type="expression" dxfId="46" priority="171">
      <formula>"&lt;$AE$2"</formula>
    </cfRule>
  </conditionalFormatting>
  <conditionalFormatting sqref="AD311:AD312">
    <cfRule type="cellIs" dxfId="45" priority="169" operator="greaterThan">
      <formula>$AD$2</formula>
    </cfRule>
  </conditionalFormatting>
  <conditionalFormatting sqref="S187:AB187 I187:P187">
    <cfRule type="cellIs" dxfId="44" priority="160" operator="equal">
      <formula>0</formula>
    </cfRule>
  </conditionalFormatting>
  <conditionalFormatting sqref="AC187">
    <cfRule type="cellIs" dxfId="43" priority="158" operator="greaterThan">
      <formula>$AC$2</formula>
    </cfRule>
    <cfRule type="expression" dxfId="42" priority="159">
      <formula>"&lt;$AE$2"</formula>
    </cfRule>
  </conditionalFormatting>
  <conditionalFormatting sqref="AD187">
    <cfRule type="cellIs" dxfId="41" priority="157" operator="greaterThan">
      <formula>$AD$2</formula>
    </cfRule>
  </conditionalFormatting>
  <conditionalFormatting sqref="S151:AB151 I151:P151">
    <cfRule type="cellIs" dxfId="40" priority="148" operator="equal">
      <formula>0</formula>
    </cfRule>
  </conditionalFormatting>
  <conditionalFormatting sqref="AC151">
    <cfRule type="cellIs" dxfId="39" priority="146" operator="greaterThan">
      <formula>$AC$2</formula>
    </cfRule>
    <cfRule type="expression" dxfId="38" priority="147">
      <formula>"&lt;$AE$2"</formula>
    </cfRule>
  </conditionalFormatting>
  <conditionalFormatting sqref="AD151">
    <cfRule type="cellIs" dxfId="37" priority="145" operator="greaterThan">
      <formula>$AD$2</formula>
    </cfRule>
  </conditionalFormatting>
  <conditionalFormatting sqref="AE289:AE290">
    <cfRule type="colorScale" priority="676">
      <colorScale>
        <cfvo type="min"/>
        <cfvo type="percentile" val="50"/>
        <cfvo type="max"/>
        <color rgb="FF92D050"/>
        <color rgb="FFFFFF00"/>
        <color rgb="FFFF5050"/>
      </colorScale>
    </cfRule>
    <cfRule type="cellIs" dxfId="36" priority="677" operator="equal">
      <formula>0</formula>
    </cfRule>
  </conditionalFormatting>
  <conditionalFormatting sqref="AE29">
    <cfRule type="colorScale" priority="117">
      <colorScale>
        <cfvo type="min"/>
        <cfvo type="percentile" val="50"/>
        <cfvo type="max"/>
        <color rgb="FF92D050"/>
        <color rgb="FFFFFF00"/>
        <color rgb="FFFF5050"/>
      </colorScale>
    </cfRule>
    <cfRule type="cellIs" dxfId="35" priority="118" operator="equal">
      <formula>0</formula>
    </cfRule>
  </conditionalFormatting>
  <conditionalFormatting sqref="AE30">
    <cfRule type="colorScale" priority="90">
      <colorScale>
        <cfvo type="min"/>
        <cfvo type="percentile" val="50"/>
        <cfvo type="max"/>
        <color rgb="FF92D050"/>
        <color rgb="FFFFFF00"/>
        <color rgb="FFFF5050"/>
      </colorScale>
    </cfRule>
    <cfRule type="cellIs" dxfId="34" priority="91" operator="equal">
      <formula>0</formula>
    </cfRule>
  </conditionalFormatting>
  <conditionalFormatting sqref="AE30">
    <cfRule type="colorScale" priority="100">
      <colorScale>
        <cfvo type="min"/>
        <cfvo type="percentile" val="50"/>
        <cfvo type="max"/>
        <color rgb="FF63BE7B"/>
        <color rgb="FFFFEB84"/>
        <color rgb="FFF8696B"/>
      </colorScale>
    </cfRule>
  </conditionalFormatting>
  <conditionalFormatting sqref="AE9:AE10">
    <cfRule type="colorScale" priority="83">
      <colorScale>
        <cfvo type="min"/>
        <cfvo type="percentile" val="50"/>
        <cfvo type="max"/>
        <color rgb="FF92D050"/>
        <color rgb="FFFFFF00"/>
        <color rgb="FFFF5050"/>
      </colorScale>
    </cfRule>
    <cfRule type="cellIs" dxfId="33" priority="84" operator="equal">
      <formula>0</formula>
    </cfRule>
  </conditionalFormatting>
  <conditionalFormatting sqref="AE11:AE15">
    <cfRule type="colorScale" priority="81">
      <colorScale>
        <cfvo type="min"/>
        <cfvo type="percentile" val="50"/>
        <cfvo type="max"/>
        <color rgb="FF92D050"/>
        <color rgb="FFFFFF00"/>
        <color rgb="FFFF5050"/>
      </colorScale>
    </cfRule>
    <cfRule type="cellIs" dxfId="32" priority="82" operator="equal">
      <formula>0</formula>
    </cfRule>
  </conditionalFormatting>
  <conditionalFormatting sqref="AE16">
    <cfRule type="colorScale" priority="79">
      <colorScale>
        <cfvo type="min"/>
        <cfvo type="percentile" val="50"/>
        <cfvo type="max"/>
        <color rgb="FF92D050"/>
        <color rgb="FFFFFF00"/>
        <color rgb="FFFF5050"/>
      </colorScale>
    </cfRule>
    <cfRule type="cellIs" dxfId="31" priority="80" operator="equal">
      <formula>0</formula>
    </cfRule>
  </conditionalFormatting>
  <conditionalFormatting sqref="AE17">
    <cfRule type="colorScale" priority="77">
      <colorScale>
        <cfvo type="min"/>
        <cfvo type="percentile" val="50"/>
        <cfvo type="max"/>
        <color rgb="FF92D050"/>
        <color rgb="FFFFFF00"/>
        <color rgb="FFFF5050"/>
      </colorScale>
    </cfRule>
    <cfRule type="cellIs" dxfId="30" priority="78" operator="equal">
      <formula>0</formula>
    </cfRule>
  </conditionalFormatting>
  <conditionalFormatting sqref="I45:P45 S45:AB45">
    <cfRule type="cellIs" dxfId="29" priority="42" operator="equal">
      <formula>0</formula>
    </cfRule>
  </conditionalFormatting>
  <conditionalFormatting sqref="AC45">
    <cfRule type="cellIs" dxfId="28" priority="40" operator="greaterThan">
      <formula>$AC$2</formula>
    </cfRule>
    <cfRule type="expression" dxfId="27" priority="41">
      <formula>"&lt;$AE$2"</formula>
    </cfRule>
  </conditionalFormatting>
  <conditionalFormatting sqref="AD45">
    <cfRule type="cellIs" dxfId="26" priority="39" operator="greaterThan">
      <formula>$AD$2</formula>
    </cfRule>
  </conditionalFormatting>
  <conditionalFormatting sqref="AE45">
    <cfRule type="colorScale" priority="45">
      <colorScale>
        <cfvo type="min"/>
        <cfvo type="percentile" val="50"/>
        <cfvo type="max"/>
        <color rgb="FF63BE7B"/>
        <color rgb="FFFFEB84"/>
        <color rgb="FFF8696B"/>
      </colorScale>
    </cfRule>
  </conditionalFormatting>
  <conditionalFormatting sqref="AE45">
    <cfRule type="colorScale" priority="46">
      <colorScale>
        <cfvo type="min"/>
        <cfvo type="percentile" val="50"/>
        <cfvo type="max"/>
        <color rgb="FF63BE7B"/>
        <color rgb="FFFFEB84"/>
        <color rgb="FFF8696B"/>
      </colorScale>
    </cfRule>
  </conditionalFormatting>
  <conditionalFormatting sqref="AE45">
    <cfRule type="colorScale" priority="47">
      <colorScale>
        <cfvo type="min"/>
        <cfvo type="percentile" val="50"/>
        <cfvo type="max"/>
        <color rgb="FF63BE7B"/>
        <color rgb="FFFFEB84"/>
        <color rgb="FFF8696B"/>
      </colorScale>
    </cfRule>
  </conditionalFormatting>
  <conditionalFormatting sqref="AE45">
    <cfRule type="colorScale" priority="48">
      <colorScale>
        <cfvo type="min"/>
        <cfvo type="percentile" val="50"/>
        <cfvo type="max"/>
        <color rgb="FF63BE7B"/>
        <color rgb="FFFFEB84"/>
        <color rgb="FFF8696B"/>
      </colorScale>
    </cfRule>
  </conditionalFormatting>
  <conditionalFormatting sqref="I46:P46 S46:AB46">
    <cfRule type="cellIs" dxfId="25" priority="28" operator="equal">
      <formula>0</formula>
    </cfRule>
  </conditionalFormatting>
  <conditionalFormatting sqref="AC46">
    <cfRule type="cellIs" dxfId="24" priority="26" operator="greaterThan">
      <formula>$AC$2</formula>
    </cfRule>
    <cfRule type="expression" dxfId="23" priority="27">
      <formula>"&lt;$AE$2"</formula>
    </cfRule>
  </conditionalFormatting>
  <conditionalFormatting sqref="AD46">
    <cfRule type="cellIs" dxfId="22" priority="25" operator="greaterThan">
      <formula>$AD$2</formula>
    </cfRule>
  </conditionalFormatting>
  <conditionalFormatting sqref="AE46">
    <cfRule type="colorScale" priority="31">
      <colorScale>
        <cfvo type="min"/>
        <cfvo type="percentile" val="50"/>
        <cfvo type="max"/>
        <color rgb="FF63BE7B"/>
        <color rgb="FFFFEB84"/>
        <color rgb="FFF8696B"/>
      </colorScale>
    </cfRule>
  </conditionalFormatting>
  <conditionalFormatting sqref="AE46">
    <cfRule type="colorScale" priority="32">
      <colorScale>
        <cfvo type="min"/>
        <cfvo type="percentile" val="50"/>
        <cfvo type="max"/>
        <color rgb="FF63BE7B"/>
        <color rgb="FFFFEB84"/>
        <color rgb="FFF8696B"/>
      </colorScale>
    </cfRule>
  </conditionalFormatting>
  <conditionalFormatting sqref="AE46">
    <cfRule type="colorScale" priority="33">
      <colorScale>
        <cfvo type="min"/>
        <cfvo type="percentile" val="50"/>
        <cfvo type="max"/>
        <color rgb="FF63BE7B"/>
        <color rgb="FFFFEB84"/>
        <color rgb="FFF8696B"/>
      </colorScale>
    </cfRule>
  </conditionalFormatting>
  <conditionalFormatting sqref="AE46">
    <cfRule type="colorScale" priority="34">
      <colorScale>
        <cfvo type="min"/>
        <cfvo type="percentile" val="50"/>
        <cfvo type="max"/>
        <color rgb="FF63BE7B"/>
        <color rgb="FFFFEB84"/>
        <color rgb="FFF8696B"/>
      </colorScale>
    </cfRule>
  </conditionalFormatting>
  <conditionalFormatting sqref="I47:P47 S47:AB47">
    <cfRule type="cellIs" dxfId="21" priority="14" operator="equal">
      <formula>0</formula>
    </cfRule>
  </conditionalFormatting>
  <conditionalFormatting sqref="AC47">
    <cfRule type="cellIs" dxfId="20" priority="12" operator="greaterThan">
      <formula>$AC$2</formula>
    </cfRule>
    <cfRule type="expression" dxfId="19" priority="13">
      <formula>"&lt;$AE$2"</formula>
    </cfRule>
  </conditionalFormatting>
  <conditionalFormatting sqref="AD47">
    <cfRule type="cellIs" dxfId="18" priority="11" operator="greaterThan">
      <formula>$AD$2</formula>
    </cfRule>
  </conditionalFormatting>
  <conditionalFormatting sqref="AE47">
    <cfRule type="colorScale" priority="17">
      <colorScale>
        <cfvo type="min"/>
        <cfvo type="percentile" val="50"/>
        <cfvo type="max"/>
        <color rgb="FF63BE7B"/>
        <color rgb="FFFFEB84"/>
        <color rgb="FFF8696B"/>
      </colorScale>
    </cfRule>
  </conditionalFormatting>
  <conditionalFormatting sqref="AE47">
    <cfRule type="colorScale" priority="18">
      <colorScale>
        <cfvo type="min"/>
        <cfvo type="percentile" val="50"/>
        <cfvo type="max"/>
        <color rgb="FF63BE7B"/>
        <color rgb="FFFFEB84"/>
        <color rgb="FFF8696B"/>
      </colorScale>
    </cfRule>
  </conditionalFormatting>
  <conditionalFormatting sqref="AE47">
    <cfRule type="colorScale" priority="19">
      <colorScale>
        <cfvo type="min"/>
        <cfvo type="percentile" val="50"/>
        <cfvo type="max"/>
        <color rgb="FF63BE7B"/>
        <color rgb="FFFFEB84"/>
        <color rgb="FFF8696B"/>
      </colorScale>
    </cfRule>
  </conditionalFormatting>
  <conditionalFormatting sqref="AE47">
    <cfRule type="colorScale" priority="20">
      <colorScale>
        <cfvo type="min"/>
        <cfvo type="percentile" val="50"/>
        <cfvo type="max"/>
        <color rgb="FF63BE7B"/>
        <color rgb="FFFFEB84"/>
        <color rgb="FFF8696B"/>
      </colorScale>
    </cfRule>
  </conditionalFormatting>
  <conditionalFormatting sqref="AE9:AE18">
    <cfRule type="colorScale" priority="5746">
      <colorScale>
        <cfvo type="min"/>
        <cfvo type="percentile" val="50"/>
        <cfvo type="max"/>
        <color rgb="FF92D050"/>
        <color rgb="FFFFFF00"/>
        <color rgb="FFFF5050"/>
      </colorScale>
    </cfRule>
    <cfRule type="cellIs" dxfId="17" priority="5747" operator="equal">
      <formula>0</formula>
    </cfRule>
  </conditionalFormatting>
  <conditionalFormatting sqref="AE31:AE44 AE4:AE29 AE48:AE329">
    <cfRule type="colorScale" priority="6003">
      <colorScale>
        <cfvo type="min"/>
        <cfvo type="percentile" val="50"/>
        <cfvo type="max"/>
        <color rgb="FF63BE7B"/>
        <color rgb="FFFFEB84"/>
        <color rgb="FFF8696B"/>
      </colorScale>
    </cfRule>
  </conditionalFormatting>
  <conditionalFormatting sqref="AE31:AE44 AE5:AE29 AE48:AE329">
    <cfRule type="colorScale" priority="6007">
      <colorScale>
        <cfvo type="min"/>
        <cfvo type="percentile" val="50"/>
        <cfvo type="max"/>
        <color rgb="FF63BE7B"/>
        <color rgb="FFFFEB84"/>
        <color rgb="FFF8696B"/>
      </colorScale>
    </cfRule>
  </conditionalFormatting>
  <conditionalFormatting sqref="AE48:AE329 AE5:AE44">
    <cfRule type="colorScale" priority="6011">
      <colorScale>
        <cfvo type="min"/>
        <cfvo type="percentile" val="50"/>
        <cfvo type="max"/>
        <color rgb="FF63BE7B"/>
        <color rgb="FFFFEB84"/>
        <color rgb="FFF8696B"/>
      </colorScale>
    </cfRule>
  </conditionalFormatting>
  <conditionalFormatting sqref="AE5:AE329">
    <cfRule type="colorScale" priority="1">
      <colorScale>
        <cfvo type="min"/>
        <cfvo type="percentile" val="50"/>
        <cfvo type="max"/>
        <color rgb="FF63BE7B"/>
        <color rgb="FFFFEB84"/>
        <color rgb="FFF8696B"/>
      </colorScale>
    </cfRule>
  </conditionalFormatting>
  <conditionalFormatting sqref="AE60">
    <cfRule type="colorScale" priority="6012">
      <colorScale>
        <cfvo type="min"/>
        <cfvo type="percentile" val="50"/>
        <cfvo type="max"/>
        <color rgb="FF92D050"/>
        <color rgb="FFFFFF00"/>
        <color rgb="FFFF5050"/>
      </colorScale>
    </cfRule>
    <cfRule type="cellIs" dxfId="16" priority="6013" operator="equal">
      <formula>0</formula>
    </cfRule>
  </conditionalFormatting>
  <conditionalFormatting sqref="AE154">
    <cfRule type="colorScale" priority="6014">
      <colorScale>
        <cfvo type="min"/>
        <cfvo type="percentile" val="50"/>
        <cfvo type="max"/>
        <color rgb="FF92D050"/>
        <color rgb="FFFFFF00"/>
        <color rgb="FFFF5050"/>
      </colorScale>
    </cfRule>
    <cfRule type="cellIs" dxfId="15" priority="6015" operator="equal">
      <formula>0</formula>
    </cfRule>
  </conditionalFormatting>
  <conditionalFormatting sqref="AE197">
    <cfRule type="colorScale" priority="6016">
      <colorScale>
        <cfvo type="min"/>
        <cfvo type="percentile" val="50"/>
        <cfvo type="max"/>
        <color rgb="FF92D050"/>
        <color rgb="FFFFFF00"/>
        <color rgb="FFFF5050"/>
      </colorScale>
    </cfRule>
    <cfRule type="cellIs" dxfId="14" priority="6017" operator="equal">
      <formula>0</formula>
    </cfRule>
  </conditionalFormatting>
  <conditionalFormatting sqref="AE227:AE232">
    <cfRule type="colorScale" priority="6018">
      <colorScale>
        <cfvo type="min"/>
        <cfvo type="percentile" val="50"/>
        <cfvo type="max"/>
        <color rgb="FF92D050"/>
        <color rgb="FFFFFF00"/>
        <color rgb="FFFF5050"/>
      </colorScale>
    </cfRule>
    <cfRule type="cellIs" dxfId="13" priority="6019" operator="equal">
      <formula>0</formula>
    </cfRule>
  </conditionalFormatting>
  <conditionalFormatting sqref="AE111">
    <cfRule type="colorScale" priority="6020">
      <colorScale>
        <cfvo type="min"/>
        <cfvo type="percentile" val="50"/>
        <cfvo type="max"/>
        <color rgb="FF92D050"/>
        <color rgb="FFFFFF00"/>
        <color rgb="FFFF5050"/>
      </colorScale>
    </cfRule>
    <cfRule type="cellIs" dxfId="12" priority="6021" operator="equal">
      <formula>0</formula>
    </cfRule>
  </conditionalFormatting>
  <conditionalFormatting sqref="AE117">
    <cfRule type="colorScale" priority="6022">
      <colorScale>
        <cfvo type="min"/>
        <cfvo type="percentile" val="50"/>
        <cfvo type="max"/>
        <color rgb="FF92D050"/>
        <color rgb="FFFFFF00"/>
        <color rgb="FFFF5050"/>
      </colorScale>
    </cfRule>
    <cfRule type="cellIs" dxfId="11" priority="6023" operator="equal">
      <formula>0</formula>
    </cfRule>
  </conditionalFormatting>
  <conditionalFormatting sqref="AE89:AE93">
    <cfRule type="colorScale" priority="6024">
      <colorScale>
        <cfvo type="min"/>
        <cfvo type="percentile" val="50"/>
        <cfvo type="max"/>
        <color rgb="FF92D050"/>
        <color rgb="FFFFFF00"/>
        <color rgb="FFFF5050"/>
      </colorScale>
    </cfRule>
    <cfRule type="cellIs" dxfId="10" priority="6025" operator="equal">
      <formula>0</formula>
    </cfRule>
  </conditionalFormatting>
  <conditionalFormatting sqref="AE311:AE312">
    <cfRule type="colorScale" priority="6026">
      <colorScale>
        <cfvo type="min"/>
        <cfvo type="percentile" val="50"/>
        <cfvo type="max"/>
        <color rgb="FF92D050"/>
        <color rgb="FFFFFF00"/>
        <color rgb="FFFF5050"/>
      </colorScale>
    </cfRule>
    <cfRule type="cellIs" dxfId="9" priority="6027" operator="equal">
      <formula>0</formula>
    </cfRule>
  </conditionalFormatting>
  <conditionalFormatting sqref="AE187">
    <cfRule type="colorScale" priority="6028">
      <colorScale>
        <cfvo type="min"/>
        <cfvo type="percentile" val="50"/>
        <cfvo type="max"/>
        <color rgb="FF92D050"/>
        <color rgb="FFFFFF00"/>
        <color rgb="FFFF5050"/>
      </colorScale>
    </cfRule>
    <cfRule type="cellIs" dxfId="8" priority="6029" operator="equal">
      <formula>0</formula>
    </cfRule>
  </conditionalFormatting>
  <conditionalFormatting sqref="AE151">
    <cfRule type="colorScale" priority="6030">
      <colorScale>
        <cfvo type="min"/>
        <cfvo type="percentile" val="50"/>
        <cfvo type="max"/>
        <color rgb="FF92D050"/>
        <color rgb="FFFFFF00"/>
        <color rgb="FFFF5050"/>
      </colorScale>
    </cfRule>
    <cfRule type="cellIs" dxfId="7" priority="6031" operator="equal">
      <formula>0</formula>
    </cfRule>
  </conditionalFormatting>
  <conditionalFormatting sqref="AE82">
    <cfRule type="colorScale" priority="6032">
      <colorScale>
        <cfvo type="min"/>
        <cfvo type="percentile" val="50"/>
        <cfvo type="max"/>
        <color rgb="FF92D050"/>
        <color rgb="FFFFFF00"/>
        <color rgb="FFFF5050"/>
      </colorScale>
    </cfRule>
    <cfRule type="cellIs" dxfId="6" priority="6033" operator="equal">
      <formula>0</formula>
    </cfRule>
  </conditionalFormatting>
  <conditionalFormatting sqref="AE45">
    <cfRule type="colorScale" priority="6034">
      <colorScale>
        <cfvo type="min"/>
        <cfvo type="percentile" val="50"/>
        <cfvo type="max"/>
        <color rgb="FF92D050"/>
        <color rgb="FFFFFF00"/>
        <color rgb="FFFF5050"/>
      </colorScale>
    </cfRule>
    <cfRule type="cellIs" dxfId="5" priority="6035" operator="equal">
      <formula>0</formula>
    </cfRule>
  </conditionalFormatting>
  <conditionalFormatting sqref="AE46">
    <cfRule type="colorScale" priority="6036">
      <colorScale>
        <cfvo type="min"/>
        <cfvo type="percentile" val="50"/>
        <cfvo type="max"/>
        <color rgb="FF92D050"/>
        <color rgb="FFFFFF00"/>
        <color rgb="FFFF5050"/>
      </colorScale>
    </cfRule>
    <cfRule type="cellIs" dxfId="4" priority="6037" operator="equal">
      <formula>0</formula>
    </cfRule>
  </conditionalFormatting>
  <conditionalFormatting sqref="AE47">
    <cfRule type="colorScale" priority="6038">
      <colorScale>
        <cfvo type="min"/>
        <cfvo type="percentile" val="50"/>
        <cfvo type="max"/>
        <color rgb="FF92D050"/>
        <color rgb="FFFFFF00"/>
        <color rgb="FFFF5050"/>
      </colorScale>
    </cfRule>
    <cfRule type="cellIs" dxfId="3" priority="6039" operator="equal">
      <formula>0</formula>
    </cfRule>
  </conditionalFormatting>
  <conditionalFormatting sqref="AE313:AE326">
    <cfRule type="colorScale" priority="6040">
      <colorScale>
        <cfvo type="min"/>
        <cfvo type="percentile" val="50"/>
        <cfvo type="max"/>
        <color rgb="FF92D050"/>
        <color rgb="FFFFFF00"/>
        <color rgb="FFFF5050"/>
      </colorScale>
    </cfRule>
    <cfRule type="cellIs" dxfId="2" priority="6041" operator="equal">
      <formula>0</formula>
    </cfRule>
  </conditionalFormatting>
  <conditionalFormatting sqref="AE327:AE329">
    <cfRule type="colorScale" priority="6042">
      <colorScale>
        <cfvo type="min"/>
        <cfvo type="percentile" val="50"/>
        <cfvo type="max"/>
        <color rgb="FF92D050"/>
        <color rgb="FFFFFF00"/>
        <color rgb="FFFF5050"/>
      </colorScale>
    </cfRule>
    <cfRule type="cellIs" dxfId="1" priority="6043" operator="equal">
      <formula>0</formula>
    </cfRule>
  </conditionalFormatting>
  <conditionalFormatting sqref="AE308:AE310 AE291:AE300 AE214:AE215 AE155:AE164 AE198:AE212 AE83:AE88 AE217:AE226 AE5 AE302:AE306 AE269:AE288 AE266:AE267 AE7:AE8 AE188:AE196 AE152:AE153 AE166:AE186 AE112:AE116 AE118:AE150 AE19:AE28 AE31:AE44 AE61:AE81 AE94:AE110 AE233:AE264 AE48:AE59">
    <cfRule type="colorScale" priority="6044">
      <colorScale>
        <cfvo type="min"/>
        <cfvo type="percentile" val="50"/>
        <cfvo type="max"/>
        <color rgb="FF92D050"/>
        <color rgb="FFFFFF00"/>
        <color rgb="FFFF5050"/>
      </colorScale>
    </cfRule>
    <cfRule type="cellIs" dxfId="0" priority="6045" operator="equal">
      <formula>0</formula>
    </cfRule>
  </conditionalFormatting>
  <dataValidations count="6">
    <dataValidation allowBlank="1" showDropDown="1" showInputMessage="1" showErrorMessage="1" sqref="D166:D168 D152:D153 D155:D159 D148:E150 D161:D164 E153 E155:E156 D268"/>
    <dataValidation type="list" allowBlank="1" showInputMessage="1" showErrorMessage="1" sqref="I5:I6">
      <formula1>Consequence_Ratings</formula1>
    </dataValidation>
    <dataValidation type="list" showInputMessage="1" showErrorMessage="1" sqref="J5:P23 I7:I23 I24:P329">
      <formula1>Consequence_Ratings</formula1>
    </dataValidation>
    <dataValidation type="list" allowBlank="1" showInputMessage="1" showErrorMessage="1" sqref="G5:G329">
      <formula1>Overall_Condition</formula1>
    </dataValidation>
    <dataValidation type="list" allowBlank="1" showInputMessage="1" showErrorMessage="1" sqref="H5:H329">
      <formula1>Percent_Life_Left</formula1>
    </dataValidation>
    <dataValidation type="list" allowBlank="1" showInputMessage="1" showErrorMessage="1" sqref="AF5:AF329">
      <formula1>Funding_Source</formula1>
    </dataValidation>
  </dataValidations>
  <pageMargins left="0.3" right="0.2" top="0.4" bottom="0.3" header="0.3" footer="0.1"/>
  <pageSetup scale="75" fitToHeight="0" orientation="landscape" r:id="rId1"/>
  <headerFooter>
    <oddFooter>&amp;RNewton FY2014-FY2018 CIP by PRIORITY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G39" sqref="G39"/>
    </sheetView>
  </sheetViews>
  <sheetFormatPr defaultRowHeight="15"/>
  <cols>
    <col min="1" max="1" width="15.28515625" customWidth="1"/>
    <col min="2" max="2" width="17.28515625" customWidth="1"/>
    <col min="3" max="3" width="22.5703125" customWidth="1"/>
    <col min="4" max="4" width="14.7109375" customWidth="1"/>
    <col min="5" max="5" width="25.28515625" customWidth="1"/>
    <col min="6" max="6" width="25" customWidth="1"/>
  </cols>
  <sheetData>
    <row r="1" spans="1:6" ht="15.75" thickBot="1">
      <c r="A1" s="31" t="s">
        <v>241</v>
      </c>
      <c r="B1" s="33" t="s">
        <v>242</v>
      </c>
      <c r="C1" s="34" t="s">
        <v>243</v>
      </c>
      <c r="D1" s="35" t="s">
        <v>244</v>
      </c>
      <c r="E1" s="36" t="s">
        <v>243</v>
      </c>
      <c r="F1" s="32" t="s">
        <v>245</v>
      </c>
    </row>
    <row r="2" spans="1:6">
      <c r="A2" s="37">
        <v>0</v>
      </c>
      <c r="B2" s="38">
        <v>0</v>
      </c>
      <c r="C2" s="39" t="s">
        <v>246</v>
      </c>
      <c r="D2" s="38">
        <v>0</v>
      </c>
      <c r="E2" s="39" t="s">
        <v>247</v>
      </c>
      <c r="F2" s="40" t="s">
        <v>248</v>
      </c>
    </row>
    <row r="3" spans="1:6">
      <c r="A3" s="37">
        <v>0.1</v>
      </c>
      <c r="B3" s="38">
        <v>1</v>
      </c>
      <c r="C3" s="39" t="s">
        <v>249</v>
      </c>
      <c r="D3" s="38">
        <v>1</v>
      </c>
      <c r="E3" s="39"/>
      <c r="F3" s="40" t="s">
        <v>848</v>
      </c>
    </row>
    <row r="4" spans="1:6">
      <c r="A4" s="37">
        <v>0.2</v>
      </c>
      <c r="B4" s="38">
        <v>2</v>
      </c>
      <c r="C4" s="39" t="s">
        <v>250</v>
      </c>
      <c r="D4" s="38">
        <v>2</v>
      </c>
      <c r="E4" s="39" t="s">
        <v>251</v>
      </c>
      <c r="F4" s="40" t="s">
        <v>252</v>
      </c>
    </row>
    <row r="5" spans="1:6">
      <c r="A5" s="37">
        <v>0.3</v>
      </c>
      <c r="B5" s="38">
        <v>3</v>
      </c>
      <c r="C5" s="39" t="s">
        <v>253</v>
      </c>
      <c r="D5" s="38">
        <v>3</v>
      </c>
      <c r="E5" s="39"/>
      <c r="F5" s="40" t="s">
        <v>1200</v>
      </c>
    </row>
    <row r="6" spans="1:6">
      <c r="A6" s="37">
        <v>0.4</v>
      </c>
      <c r="B6" s="38">
        <v>4</v>
      </c>
      <c r="C6" s="39" t="s">
        <v>254</v>
      </c>
      <c r="D6" s="38">
        <v>4</v>
      </c>
      <c r="E6" s="39"/>
      <c r="F6" s="40" t="s">
        <v>862</v>
      </c>
    </row>
    <row r="7" spans="1:6">
      <c r="A7" s="37">
        <v>0.5</v>
      </c>
      <c r="B7" s="38">
        <v>5</v>
      </c>
      <c r="C7" s="39" t="s">
        <v>255</v>
      </c>
      <c r="D7" s="38">
        <v>5</v>
      </c>
      <c r="E7" s="39" t="s">
        <v>256</v>
      </c>
      <c r="F7" s="40" t="s">
        <v>257</v>
      </c>
    </row>
    <row r="8" spans="1:6">
      <c r="A8" s="37">
        <v>0.6</v>
      </c>
      <c r="B8" s="38">
        <v>6</v>
      </c>
      <c r="C8" s="39" t="s">
        <v>258</v>
      </c>
      <c r="D8" s="38">
        <v>6</v>
      </c>
      <c r="E8" s="39"/>
      <c r="F8" s="40" t="s">
        <v>259</v>
      </c>
    </row>
    <row r="9" spans="1:6">
      <c r="A9" s="37">
        <v>0.7</v>
      </c>
      <c r="B9" s="38">
        <v>7</v>
      </c>
      <c r="C9" s="39" t="s">
        <v>260</v>
      </c>
      <c r="D9" s="38">
        <v>7</v>
      </c>
      <c r="E9" s="39"/>
      <c r="F9" s="40" t="s">
        <v>261</v>
      </c>
    </row>
    <row r="10" spans="1:6">
      <c r="A10" s="37">
        <v>0.8</v>
      </c>
      <c r="B10" s="38">
        <v>8</v>
      </c>
      <c r="C10" s="39" t="s">
        <v>262</v>
      </c>
      <c r="D10" s="38">
        <v>8</v>
      </c>
      <c r="E10" s="39" t="s">
        <v>263</v>
      </c>
      <c r="F10" s="40" t="s">
        <v>264</v>
      </c>
    </row>
    <row r="11" spans="1:6" ht="15.75" thickBot="1">
      <c r="A11" s="37">
        <v>0.9</v>
      </c>
      <c r="B11" s="38">
        <v>9</v>
      </c>
      <c r="C11" s="39" t="s">
        <v>265</v>
      </c>
      <c r="D11" s="38">
        <v>9</v>
      </c>
      <c r="E11" s="39"/>
      <c r="F11" s="41" t="s">
        <v>266</v>
      </c>
    </row>
    <row r="12" spans="1:6" ht="15.75" thickBot="1">
      <c r="A12" s="42">
        <v>1</v>
      </c>
      <c r="B12" s="43">
        <v>10</v>
      </c>
      <c r="C12" s="44" t="s">
        <v>267</v>
      </c>
      <c r="D12" s="43">
        <v>10</v>
      </c>
      <c r="E12" s="44" t="s">
        <v>268</v>
      </c>
      <c r="F12" s="45"/>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376"/>
  <sheetViews>
    <sheetView tabSelected="1" zoomScale="90" zoomScaleNormal="90" workbookViewId="0">
      <pane xSplit="3" ySplit="3" topLeftCell="D4" activePane="bottomRight" state="frozen"/>
      <selection pane="topRight" activeCell="D1" sqref="D1"/>
      <selection pane="bottomLeft" activeCell="A4" sqref="A4"/>
      <selection pane="bottomRight" activeCell="T1829" sqref="T1829"/>
    </sheetView>
  </sheetViews>
  <sheetFormatPr defaultRowHeight="15" outlineLevelRow="4" outlineLevelCol="1"/>
  <cols>
    <col min="1" max="1" width="2.7109375" style="130" customWidth="1"/>
    <col min="2" max="2" width="3.7109375" customWidth="1"/>
    <col min="3" max="3" width="40.5703125" customWidth="1"/>
    <col min="4" max="4" width="14.85546875" hidden="1" customWidth="1" outlineLevel="1"/>
    <col min="5" max="6" width="14.7109375" hidden="1" customWidth="1" outlineLevel="1"/>
    <col min="7" max="7" width="14.85546875" hidden="1" customWidth="1" outlineLevel="1"/>
    <col min="8" max="8" width="14.7109375" hidden="1" customWidth="1" outlineLevel="1"/>
    <col min="9" max="9" width="20.7109375" customWidth="1" collapsed="1"/>
    <col min="10" max="10" width="15.140625" hidden="1" customWidth="1"/>
    <col min="11" max="11" width="20.7109375" customWidth="1"/>
    <col min="12" max="12" width="14.7109375" hidden="1" customWidth="1"/>
    <col min="13" max="13" width="20.85546875" customWidth="1"/>
    <col min="14" max="14" width="14" hidden="1" customWidth="1"/>
    <col min="15" max="15" width="20.7109375" customWidth="1"/>
    <col min="16" max="16" width="22.140625" style="130" customWidth="1"/>
    <col min="17" max="17" width="25.5703125" style="595" customWidth="1"/>
  </cols>
  <sheetData>
    <row r="1" spans="1:17" ht="21">
      <c r="A1" s="374" t="s">
        <v>1209</v>
      </c>
      <c r="Q1" s="566" t="s">
        <v>1218</v>
      </c>
    </row>
    <row r="2" spans="1:17" ht="16.5" customHeight="1">
      <c r="A2" s="509" t="s">
        <v>1019</v>
      </c>
      <c r="Q2" s="566"/>
    </row>
    <row r="3" spans="1:17" ht="30.75" customHeight="1">
      <c r="A3" s="544" t="s">
        <v>883</v>
      </c>
      <c r="B3" s="377"/>
      <c r="C3" s="377"/>
      <c r="D3" s="380" t="s">
        <v>342</v>
      </c>
      <c r="E3" s="378" t="s">
        <v>343</v>
      </c>
      <c r="F3" s="378" t="s">
        <v>344</v>
      </c>
      <c r="G3" s="378" t="s">
        <v>345</v>
      </c>
      <c r="H3" s="379" t="s">
        <v>346</v>
      </c>
      <c r="I3" s="381" t="s">
        <v>347</v>
      </c>
      <c r="J3" s="395" t="s">
        <v>348</v>
      </c>
      <c r="K3" s="382" t="s">
        <v>348</v>
      </c>
      <c r="L3" s="394" t="s">
        <v>349</v>
      </c>
      <c r="M3" s="378" t="s">
        <v>349</v>
      </c>
      <c r="N3" s="401" t="s">
        <v>350</v>
      </c>
      <c r="O3" s="379" t="s">
        <v>350</v>
      </c>
      <c r="P3" s="381" t="s">
        <v>351</v>
      </c>
      <c r="Q3" s="382" t="s">
        <v>1219</v>
      </c>
    </row>
    <row r="4" spans="1:17" s="140" customFormat="1" ht="15.75" customHeight="1">
      <c r="A4" s="545" t="s">
        <v>352</v>
      </c>
      <c r="B4" s="132"/>
      <c r="C4" s="133"/>
      <c r="D4" s="136"/>
      <c r="E4" s="134"/>
      <c r="F4" s="134"/>
      <c r="G4" s="134"/>
      <c r="H4" s="135"/>
      <c r="I4" s="137"/>
      <c r="J4" s="138"/>
      <c r="K4" s="138"/>
      <c r="L4" s="134"/>
      <c r="M4" s="135"/>
      <c r="N4" s="135"/>
      <c r="O4" s="398"/>
      <c r="P4" s="139"/>
      <c r="Q4" s="567"/>
    </row>
    <row r="5" spans="1:17" s="140" customFormat="1" ht="15.75" hidden="1" customHeight="1" outlineLevel="1">
      <c r="A5" s="273"/>
      <c r="B5" s="142" t="s">
        <v>353</v>
      </c>
      <c r="C5" s="143"/>
      <c r="D5" s="145"/>
      <c r="E5" s="144"/>
      <c r="F5" s="144"/>
      <c r="G5" s="144"/>
      <c r="H5" s="141"/>
      <c r="I5" s="146"/>
      <c r="J5" s="147"/>
      <c r="K5" s="147"/>
      <c r="L5" s="147"/>
      <c r="M5" s="149"/>
      <c r="N5" s="149"/>
      <c r="O5" s="198"/>
      <c r="P5" s="150"/>
      <c r="Q5" s="568"/>
    </row>
    <row r="6" spans="1:17" ht="15.75" hidden="1" customHeight="1" outlineLevel="2">
      <c r="A6" s="274"/>
      <c r="B6" s="142" t="s">
        <v>354</v>
      </c>
      <c r="C6" s="152"/>
      <c r="D6" s="155"/>
      <c r="E6" s="153"/>
      <c r="F6" s="153"/>
      <c r="G6" s="153"/>
      <c r="H6" s="154"/>
      <c r="I6" s="156"/>
      <c r="J6" s="147"/>
      <c r="K6" s="157"/>
      <c r="L6" s="210"/>
      <c r="M6" s="151"/>
      <c r="N6" s="149"/>
      <c r="O6" s="206"/>
      <c r="P6" s="150"/>
      <c r="Q6" s="569"/>
    </row>
    <row r="7" spans="1:17" ht="15.75" hidden="1" customHeight="1" outlineLevel="2">
      <c r="A7" s="274"/>
      <c r="B7" s="159"/>
      <c r="C7" s="142" t="s">
        <v>355</v>
      </c>
      <c r="D7" s="160"/>
      <c r="E7" s="153"/>
      <c r="F7" s="153"/>
      <c r="G7" s="153"/>
      <c r="H7" s="154"/>
      <c r="I7" s="161"/>
      <c r="J7" s="147"/>
      <c r="K7" s="157"/>
      <c r="L7" s="210"/>
      <c r="M7" s="151"/>
      <c r="N7" s="149"/>
      <c r="O7" s="206"/>
      <c r="P7" s="150"/>
      <c r="Q7" s="569"/>
    </row>
    <row r="8" spans="1:17" ht="15.75" hidden="1" customHeight="1" outlineLevel="2">
      <c r="A8" s="274"/>
      <c r="B8" s="159"/>
      <c r="C8" s="162" t="s">
        <v>356</v>
      </c>
      <c r="D8" s="160"/>
      <c r="E8" s="153"/>
      <c r="F8" s="153"/>
      <c r="G8" s="153"/>
      <c r="H8" s="154"/>
      <c r="I8" s="161"/>
      <c r="J8" s="147"/>
      <c r="K8" s="157"/>
      <c r="L8" s="147"/>
      <c r="M8" s="154"/>
      <c r="N8" s="149"/>
      <c r="O8" s="206"/>
      <c r="P8" s="150"/>
      <c r="Q8" s="569"/>
    </row>
    <row r="9" spans="1:17" ht="15.75" hidden="1" customHeight="1" outlineLevel="2">
      <c r="A9" s="274"/>
      <c r="B9" s="159"/>
      <c r="C9" s="162" t="s">
        <v>357</v>
      </c>
      <c r="D9" s="160"/>
      <c r="E9" s="153"/>
      <c r="F9" s="153"/>
      <c r="G9" s="153"/>
      <c r="H9" s="154"/>
      <c r="I9" s="161"/>
      <c r="J9" s="147"/>
      <c r="K9" s="157"/>
      <c r="L9" s="147"/>
      <c r="M9" s="154"/>
      <c r="N9" s="149"/>
      <c r="O9" s="206"/>
      <c r="P9" s="150"/>
      <c r="Q9" s="569"/>
    </row>
    <row r="10" spans="1:17" ht="15.75" hidden="1" customHeight="1" outlineLevel="2">
      <c r="A10" s="274"/>
      <c r="B10" s="159"/>
      <c r="C10" s="162" t="s">
        <v>358</v>
      </c>
      <c r="D10" s="160"/>
      <c r="E10" s="153"/>
      <c r="F10" s="153"/>
      <c r="G10" s="153"/>
      <c r="H10" s="154"/>
      <c r="I10" s="161"/>
      <c r="J10" s="147"/>
      <c r="K10" s="157"/>
      <c r="L10" s="147"/>
      <c r="M10" s="154"/>
      <c r="N10" s="149"/>
      <c r="O10" s="206"/>
      <c r="P10" s="150"/>
      <c r="Q10" s="569"/>
    </row>
    <row r="11" spans="1:17" ht="15.75" hidden="1" customHeight="1" outlineLevel="2">
      <c r="A11" s="274"/>
      <c r="B11" s="159"/>
      <c r="C11" s="162" t="s">
        <v>359</v>
      </c>
      <c r="D11" s="160"/>
      <c r="E11" s="153"/>
      <c r="F11" s="153"/>
      <c r="G11" s="153"/>
      <c r="H11" s="154"/>
      <c r="I11" s="161"/>
      <c r="J11" s="147"/>
      <c r="K11" s="157"/>
      <c r="L11" s="147"/>
      <c r="M11" s="154"/>
      <c r="N11" s="149"/>
      <c r="O11" s="206"/>
      <c r="P11" s="150"/>
      <c r="Q11" s="569"/>
    </row>
    <row r="12" spans="1:17" ht="15.75" hidden="1" customHeight="1" outlineLevel="2">
      <c r="A12" s="274"/>
      <c r="B12" s="159"/>
      <c r="C12" s="162" t="s">
        <v>360</v>
      </c>
      <c r="D12" s="160"/>
      <c r="E12" s="153"/>
      <c r="F12" s="153"/>
      <c r="G12" s="153"/>
      <c r="H12" s="154"/>
      <c r="I12" s="161"/>
      <c r="J12" s="147"/>
      <c r="K12" s="157"/>
      <c r="L12" s="147"/>
      <c r="M12" s="154"/>
      <c r="N12" s="149"/>
      <c r="O12" s="206"/>
      <c r="P12" s="150"/>
      <c r="Q12" s="569"/>
    </row>
    <row r="13" spans="1:17" ht="15.75" hidden="1" customHeight="1" outlineLevel="2">
      <c r="A13" s="274"/>
      <c r="B13" s="159"/>
      <c r="C13" s="142" t="s">
        <v>361</v>
      </c>
      <c r="D13" s="160"/>
      <c r="E13" s="153"/>
      <c r="F13" s="153"/>
      <c r="G13" s="153"/>
      <c r="H13" s="154"/>
      <c r="I13" s="161"/>
      <c r="J13" s="147"/>
      <c r="K13" s="157"/>
      <c r="L13" s="147"/>
      <c r="M13" s="154"/>
      <c r="N13" s="149"/>
      <c r="O13" s="206"/>
      <c r="P13" s="150"/>
      <c r="Q13" s="569"/>
    </row>
    <row r="14" spans="1:17" ht="15.75" hidden="1" customHeight="1" outlineLevel="2">
      <c r="A14" s="274"/>
      <c r="B14" s="159"/>
      <c r="C14" s="162" t="s">
        <v>362</v>
      </c>
      <c r="D14" s="160"/>
      <c r="E14" s="153"/>
      <c r="F14" s="153"/>
      <c r="G14" s="153"/>
      <c r="H14" s="154"/>
      <c r="I14" s="161"/>
      <c r="J14" s="147"/>
      <c r="K14" s="157"/>
      <c r="L14" s="147"/>
      <c r="M14" s="154"/>
      <c r="N14" s="149"/>
      <c r="O14" s="206"/>
      <c r="P14" s="150"/>
      <c r="Q14" s="570"/>
    </row>
    <row r="15" spans="1:17" ht="15.75" hidden="1" customHeight="1" outlineLevel="2">
      <c r="A15" s="274"/>
      <c r="B15" s="159"/>
      <c r="C15" s="162" t="s">
        <v>363</v>
      </c>
      <c r="D15" s="160"/>
      <c r="E15" s="153"/>
      <c r="F15" s="153"/>
      <c r="G15" s="153"/>
      <c r="H15" s="154"/>
      <c r="I15" s="161"/>
      <c r="J15" s="147"/>
      <c r="K15" s="157"/>
      <c r="L15" s="147"/>
      <c r="M15" s="154"/>
      <c r="N15" s="149"/>
      <c r="O15" s="206"/>
      <c r="P15" s="150"/>
      <c r="Q15" s="569"/>
    </row>
    <row r="16" spans="1:17" ht="15.75" hidden="1" customHeight="1" outlineLevel="2">
      <c r="A16" s="274"/>
      <c r="B16" s="159"/>
      <c r="C16" s="162" t="s">
        <v>358</v>
      </c>
      <c r="D16" s="160"/>
      <c r="E16" s="153"/>
      <c r="F16" s="153"/>
      <c r="G16" s="153"/>
      <c r="H16" s="154"/>
      <c r="I16" s="161"/>
      <c r="J16" s="147"/>
      <c r="K16" s="157"/>
      <c r="L16" s="147"/>
      <c r="M16" s="154"/>
      <c r="N16" s="149"/>
      <c r="O16" s="206"/>
      <c r="P16" s="150"/>
      <c r="Q16" s="569"/>
    </row>
    <row r="17" spans="1:17" ht="15.75" hidden="1" customHeight="1" outlineLevel="2">
      <c r="A17" s="274"/>
      <c r="B17" s="159"/>
      <c r="C17" s="162" t="s">
        <v>364</v>
      </c>
      <c r="D17" s="160"/>
      <c r="E17" s="153"/>
      <c r="F17" s="153"/>
      <c r="G17" s="153"/>
      <c r="H17" s="154"/>
      <c r="I17" s="161"/>
      <c r="J17" s="147"/>
      <c r="K17" s="157"/>
      <c r="L17" s="147"/>
      <c r="M17" s="154"/>
      <c r="N17" s="149">
        <v>150000</v>
      </c>
      <c r="O17" s="226">
        <f>N17*1.73</f>
        <v>259500</v>
      </c>
      <c r="P17" s="150">
        <f>SUM(I17,K17,M17,O17)</f>
        <v>259500</v>
      </c>
      <c r="Q17" s="569"/>
    </row>
    <row r="18" spans="1:17" ht="15.75" hidden="1" customHeight="1" outlineLevel="2">
      <c r="A18" s="274"/>
      <c r="B18" s="159"/>
      <c r="C18" s="142" t="s">
        <v>365</v>
      </c>
      <c r="D18" s="160"/>
      <c r="E18" s="153"/>
      <c r="F18" s="153"/>
      <c r="G18" s="153"/>
      <c r="H18" s="154"/>
      <c r="I18" s="161"/>
      <c r="J18" s="147"/>
      <c r="K18" s="157"/>
      <c r="L18" s="147"/>
      <c r="M18" s="154"/>
      <c r="N18" s="149"/>
      <c r="O18" s="400"/>
      <c r="P18" s="150"/>
      <c r="Q18" s="569"/>
    </row>
    <row r="19" spans="1:17" ht="15.75" hidden="1" customHeight="1" outlineLevel="2">
      <c r="A19" s="274"/>
      <c r="B19" s="159"/>
      <c r="C19" s="162" t="s">
        <v>366</v>
      </c>
      <c r="D19" s="160"/>
      <c r="E19" s="153"/>
      <c r="F19" s="153"/>
      <c r="G19" s="153"/>
      <c r="H19" s="154"/>
      <c r="I19" s="161"/>
      <c r="J19" s="147"/>
      <c r="K19" s="157"/>
      <c r="L19" s="147"/>
      <c r="M19" s="154"/>
      <c r="N19" s="149"/>
      <c r="O19" s="206"/>
      <c r="P19" s="150"/>
      <c r="Q19" s="569"/>
    </row>
    <row r="20" spans="1:17" ht="15.75" hidden="1" customHeight="1" outlineLevel="2">
      <c r="A20" s="274"/>
      <c r="B20" s="159"/>
      <c r="C20" s="162" t="s">
        <v>358</v>
      </c>
      <c r="D20" s="160"/>
      <c r="E20" s="153"/>
      <c r="F20" s="153"/>
      <c r="G20" s="153"/>
      <c r="H20" s="154"/>
      <c r="I20" s="161"/>
      <c r="J20" s="147"/>
      <c r="K20" s="157"/>
      <c r="L20" s="147"/>
      <c r="M20" s="154"/>
      <c r="N20" s="149"/>
      <c r="O20" s="206"/>
      <c r="P20" s="150"/>
      <c r="Q20" s="569"/>
    </row>
    <row r="21" spans="1:17" ht="15.75" hidden="1" customHeight="1" outlineLevel="2">
      <c r="A21" s="274"/>
      <c r="B21" s="159"/>
      <c r="C21" s="162" t="s">
        <v>367</v>
      </c>
      <c r="D21" s="160"/>
      <c r="E21" s="153"/>
      <c r="F21" s="153"/>
      <c r="G21" s="153"/>
      <c r="H21" s="154"/>
      <c r="I21" s="161"/>
      <c r="J21" s="147"/>
      <c r="K21" s="157"/>
      <c r="L21" s="147"/>
      <c r="M21" s="154"/>
      <c r="N21" s="149"/>
      <c r="O21" s="206"/>
      <c r="P21" s="150"/>
      <c r="Q21" s="569"/>
    </row>
    <row r="22" spans="1:17" ht="15.75" hidden="1" customHeight="1" outlineLevel="2">
      <c r="A22" s="274"/>
      <c r="B22" s="159"/>
      <c r="C22" s="162" t="s">
        <v>368</v>
      </c>
      <c r="D22" s="160"/>
      <c r="E22" s="153"/>
      <c r="F22" s="153"/>
      <c r="G22" s="153"/>
      <c r="H22" s="154"/>
      <c r="I22" s="161"/>
      <c r="J22" s="147"/>
      <c r="K22" s="157"/>
      <c r="L22" s="147"/>
      <c r="M22" s="154"/>
      <c r="N22" s="149"/>
      <c r="O22" s="206"/>
      <c r="P22" s="150"/>
      <c r="Q22" s="569"/>
    </row>
    <row r="23" spans="1:17" ht="15.75" hidden="1" customHeight="1" outlineLevel="2">
      <c r="A23" s="274"/>
      <c r="B23" s="159"/>
      <c r="C23" s="142" t="s">
        <v>369</v>
      </c>
      <c r="D23" s="160"/>
      <c r="E23" s="153"/>
      <c r="F23" s="153"/>
      <c r="G23" s="153"/>
      <c r="H23" s="154"/>
      <c r="I23" s="161"/>
      <c r="J23" s="147"/>
      <c r="K23" s="157"/>
      <c r="L23" s="147"/>
      <c r="M23" s="154"/>
      <c r="N23" s="149"/>
      <c r="O23" s="206"/>
      <c r="P23" s="150"/>
      <c r="Q23" s="569"/>
    </row>
    <row r="24" spans="1:17" ht="15.75" hidden="1" customHeight="1" outlineLevel="2">
      <c r="A24" s="274"/>
      <c r="B24" s="159"/>
      <c r="C24" s="162" t="s">
        <v>370</v>
      </c>
      <c r="D24" s="160"/>
      <c r="E24" s="153"/>
      <c r="F24" s="153"/>
      <c r="G24" s="153"/>
      <c r="H24" s="154"/>
      <c r="I24" s="163"/>
      <c r="J24" s="147"/>
      <c r="K24" s="157"/>
      <c r="L24" s="147"/>
      <c r="M24" s="154"/>
      <c r="N24" s="149"/>
      <c r="O24" s="206"/>
      <c r="P24" s="150"/>
      <c r="Q24" s="569"/>
    </row>
    <row r="25" spans="1:17" ht="15.75" hidden="1" customHeight="1" outlineLevel="2">
      <c r="A25" s="274"/>
      <c r="B25" s="159"/>
      <c r="C25" s="162" t="s">
        <v>371</v>
      </c>
      <c r="D25" s="160"/>
      <c r="E25" s="153"/>
      <c r="F25" s="153"/>
      <c r="G25" s="153"/>
      <c r="H25" s="154"/>
      <c r="I25" s="163"/>
      <c r="J25" s="147"/>
      <c r="K25" s="157"/>
      <c r="L25" s="147"/>
      <c r="M25" s="154"/>
      <c r="N25" s="149"/>
      <c r="O25" s="206"/>
      <c r="P25" s="150"/>
      <c r="Q25" s="569"/>
    </row>
    <row r="26" spans="1:17" ht="15.75" hidden="1" customHeight="1" outlineLevel="2">
      <c r="A26" s="274"/>
      <c r="B26" s="159"/>
      <c r="C26" s="162" t="s">
        <v>372</v>
      </c>
      <c r="D26" s="160"/>
      <c r="E26" s="153"/>
      <c r="F26" s="153"/>
      <c r="G26" s="153"/>
      <c r="H26" s="154"/>
      <c r="I26" s="163"/>
      <c r="J26" s="147"/>
      <c r="K26" s="157"/>
      <c r="L26" s="147"/>
      <c r="M26" s="154"/>
      <c r="N26" s="149"/>
      <c r="O26" s="206"/>
      <c r="P26" s="150"/>
      <c r="Q26" s="569"/>
    </row>
    <row r="27" spans="1:17" ht="15.75" hidden="1" customHeight="1" outlineLevel="2">
      <c r="A27" s="274"/>
      <c r="B27" s="159"/>
      <c r="C27" s="162" t="s">
        <v>373</v>
      </c>
      <c r="D27" s="160"/>
      <c r="E27" s="153"/>
      <c r="F27" s="153"/>
      <c r="G27" s="153"/>
      <c r="H27" s="154"/>
      <c r="I27" s="161"/>
      <c r="J27" s="147"/>
      <c r="K27" s="157"/>
      <c r="L27" s="147"/>
      <c r="M27" s="154"/>
      <c r="N27" s="149"/>
      <c r="O27" s="206"/>
      <c r="P27" s="150"/>
      <c r="Q27" s="569"/>
    </row>
    <row r="28" spans="1:17" ht="15.75" hidden="1" customHeight="1" outlineLevel="2">
      <c r="A28" s="274"/>
      <c r="B28" s="159"/>
      <c r="C28" s="142" t="s">
        <v>374</v>
      </c>
      <c r="D28" s="160"/>
      <c r="E28" s="153"/>
      <c r="F28" s="153"/>
      <c r="G28" s="153"/>
      <c r="H28" s="154"/>
      <c r="I28" s="161"/>
      <c r="J28" s="147"/>
      <c r="K28" s="157"/>
      <c r="L28" s="147"/>
      <c r="M28" s="154"/>
      <c r="N28" s="149"/>
      <c r="O28" s="206"/>
      <c r="P28" s="150"/>
      <c r="Q28" s="569"/>
    </row>
    <row r="29" spans="1:17" ht="15.75" hidden="1" customHeight="1" outlineLevel="2">
      <c r="A29" s="274"/>
      <c r="B29" s="159"/>
      <c r="C29" s="162" t="s">
        <v>375</v>
      </c>
      <c r="D29" s="160"/>
      <c r="E29" s="153"/>
      <c r="F29" s="153"/>
      <c r="G29" s="153"/>
      <c r="H29" s="154"/>
      <c r="I29" s="161"/>
      <c r="J29" s="147"/>
      <c r="K29" s="157"/>
      <c r="L29" s="147"/>
      <c r="M29" s="154"/>
      <c r="N29" s="149"/>
      <c r="O29" s="206"/>
      <c r="P29" s="150"/>
      <c r="Q29" s="569"/>
    </row>
    <row r="30" spans="1:17" ht="15.75" hidden="1" customHeight="1" outlineLevel="2">
      <c r="A30" s="274"/>
      <c r="B30" s="159"/>
      <c r="C30" s="162" t="s">
        <v>376</v>
      </c>
      <c r="D30" s="160"/>
      <c r="E30" s="153"/>
      <c r="F30" s="153"/>
      <c r="G30" s="153"/>
      <c r="H30" s="154"/>
      <c r="I30" s="247"/>
      <c r="J30" s="147">
        <v>100000</v>
      </c>
      <c r="K30" s="217">
        <f>J30*1.23</f>
        <v>123000</v>
      </c>
      <c r="L30" s="147"/>
      <c r="M30" s="154"/>
      <c r="N30" s="149"/>
      <c r="O30" s="206"/>
      <c r="P30" s="150">
        <f>SUM(I30,K30,M30,O30)</f>
        <v>123000</v>
      </c>
      <c r="Q30" s="569" t="s">
        <v>1220</v>
      </c>
    </row>
    <row r="31" spans="1:17" ht="15.75" hidden="1" customHeight="1" outlineLevel="2">
      <c r="A31" s="274"/>
      <c r="B31" s="159"/>
      <c r="C31" s="162" t="s">
        <v>377</v>
      </c>
      <c r="D31" s="160"/>
      <c r="E31" s="153"/>
      <c r="F31" s="153"/>
      <c r="G31" s="153"/>
      <c r="H31" s="154"/>
      <c r="I31" s="247"/>
      <c r="J31" s="147"/>
      <c r="K31" s="208"/>
      <c r="L31" s="147"/>
      <c r="M31" s="154"/>
      <c r="N31" s="149"/>
      <c r="O31" s="206"/>
      <c r="P31" s="150"/>
      <c r="Q31" s="569"/>
    </row>
    <row r="32" spans="1:17" ht="15.75" hidden="1" customHeight="1" outlineLevel="2">
      <c r="A32" s="274"/>
      <c r="B32" s="159"/>
      <c r="C32" s="162" t="s">
        <v>378</v>
      </c>
      <c r="D32" s="160">
        <f>CIP!$AM$6</f>
        <v>11700000</v>
      </c>
      <c r="E32" s="153"/>
      <c r="F32" s="153"/>
      <c r="G32" s="153"/>
      <c r="H32" s="154"/>
      <c r="I32" s="156">
        <f>SUM(D32:H32)</f>
        <v>11700000</v>
      </c>
      <c r="J32" s="147"/>
      <c r="K32" s="157"/>
      <c r="L32" s="147"/>
      <c r="M32" s="154"/>
      <c r="N32" s="149"/>
      <c r="O32" s="206"/>
      <c r="P32" s="150">
        <f>SUM(I32,K32,M32,O32)</f>
        <v>11700000</v>
      </c>
      <c r="Q32" s="569" t="s">
        <v>1357</v>
      </c>
    </row>
    <row r="33" spans="1:17" ht="15.75" hidden="1" customHeight="1" outlineLevel="1" collapsed="1">
      <c r="A33" s="274"/>
      <c r="B33" s="250"/>
      <c r="C33" s="142" t="s">
        <v>354</v>
      </c>
      <c r="D33" s="220">
        <f>SUM(D6:D32)</f>
        <v>11700000</v>
      </c>
      <c r="E33" s="217"/>
      <c r="F33" s="217"/>
      <c r="G33" s="217"/>
      <c r="H33" s="219"/>
      <c r="I33" s="207">
        <f>SUM(I6:I32)</f>
        <v>11700000</v>
      </c>
      <c r="J33" s="147">
        <f>SUM(J6:J32)</f>
        <v>100000</v>
      </c>
      <c r="K33" s="217">
        <f>J33*1.23</f>
        <v>123000</v>
      </c>
      <c r="L33" s="147"/>
      <c r="M33" s="219"/>
      <c r="N33" s="149">
        <f>SUM(N6:N32)</f>
        <v>150000</v>
      </c>
      <c r="O33" s="226">
        <f>N33*1.73</f>
        <v>259500</v>
      </c>
      <c r="P33" s="150">
        <f>SUM(I33,K33,M33,O33)</f>
        <v>12082500</v>
      </c>
      <c r="Q33" s="569" t="s">
        <v>1221</v>
      </c>
    </row>
    <row r="34" spans="1:17" ht="15.75" hidden="1" customHeight="1" outlineLevel="2">
      <c r="A34" s="546"/>
      <c r="B34" s="164" t="s">
        <v>379</v>
      </c>
      <c r="C34" s="165"/>
      <c r="D34" s="167"/>
      <c r="E34" s="168"/>
      <c r="F34" s="168"/>
      <c r="G34" s="168"/>
      <c r="H34" s="166"/>
      <c r="I34" s="169"/>
      <c r="J34" s="170"/>
      <c r="K34" s="170"/>
      <c r="L34" s="170"/>
      <c r="M34" s="171"/>
      <c r="N34" s="171"/>
      <c r="O34" s="399"/>
      <c r="P34" s="172"/>
      <c r="Q34" s="571"/>
    </row>
    <row r="35" spans="1:17" ht="15.75" hidden="1" customHeight="1" outlineLevel="2">
      <c r="A35" s="274"/>
      <c r="B35" s="159"/>
      <c r="C35" s="142" t="s">
        <v>380</v>
      </c>
      <c r="D35" s="160"/>
      <c r="E35" s="153"/>
      <c r="F35" s="153"/>
      <c r="G35" s="153"/>
      <c r="H35" s="154"/>
      <c r="I35" s="212"/>
      <c r="J35" s="147"/>
      <c r="K35" s="157"/>
      <c r="L35" s="147"/>
      <c r="M35" s="154"/>
      <c r="N35" s="149"/>
      <c r="O35" s="206"/>
      <c r="P35" s="150"/>
      <c r="Q35" s="569"/>
    </row>
    <row r="36" spans="1:17" ht="15.75" hidden="1" customHeight="1" outlineLevel="2">
      <c r="A36" s="274"/>
      <c r="B36" s="159"/>
      <c r="C36" s="162" t="s">
        <v>356</v>
      </c>
      <c r="D36" s="160"/>
      <c r="E36" s="153"/>
      <c r="F36" s="153"/>
      <c r="G36" s="153"/>
      <c r="H36" s="154"/>
      <c r="I36" s="212"/>
      <c r="J36" s="147"/>
      <c r="K36" s="157"/>
      <c r="L36" s="147"/>
      <c r="M36" s="154"/>
      <c r="N36" s="149"/>
      <c r="O36" s="206"/>
      <c r="P36" s="150"/>
      <c r="Q36" s="569"/>
    </row>
    <row r="37" spans="1:17" ht="15.75" hidden="1" customHeight="1" outlineLevel="2">
      <c r="A37" s="274"/>
      <c r="B37" s="159"/>
      <c r="C37" s="162" t="s">
        <v>357</v>
      </c>
      <c r="D37" s="160"/>
      <c r="E37" s="153"/>
      <c r="F37" s="153"/>
      <c r="G37" s="153"/>
      <c r="H37" s="154"/>
      <c r="I37" s="212"/>
      <c r="J37" s="147"/>
      <c r="K37" s="157"/>
      <c r="L37" s="147"/>
      <c r="M37" s="154"/>
      <c r="N37" s="149"/>
      <c r="O37" s="206"/>
      <c r="P37" s="150"/>
      <c r="Q37" s="569"/>
    </row>
    <row r="38" spans="1:17" ht="15.75" hidden="1" customHeight="1" outlineLevel="2">
      <c r="A38" s="274"/>
      <c r="B38" s="159"/>
      <c r="C38" s="162" t="s">
        <v>358</v>
      </c>
      <c r="D38" s="160"/>
      <c r="E38" s="153"/>
      <c r="F38" s="153"/>
      <c r="G38" s="153"/>
      <c r="H38" s="154"/>
      <c r="I38" s="212"/>
      <c r="J38" s="147"/>
      <c r="K38" s="157"/>
      <c r="L38" s="147"/>
      <c r="M38" s="154"/>
      <c r="N38" s="149"/>
      <c r="O38" s="206"/>
      <c r="P38" s="150"/>
      <c r="Q38" s="569"/>
    </row>
    <row r="39" spans="1:17" ht="15.75" hidden="1" customHeight="1" outlineLevel="2">
      <c r="A39" s="274"/>
      <c r="B39" s="159"/>
      <c r="C39" s="162" t="s">
        <v>359</v>
      </c>
      <c r="D39" s="160"/>
      <c r="E39" s="153"/>
      <c r="F39" s="153"/>
      <c r="G39" s="153"/>
      <c r="H39" s="154"/>
      <c r="I39" s="212"/>
      <c r="J39" s="147"/>
      <c r="K39" s="157"/>
      <c r="L39" s="147"/>
      <c r="M39" s="154"/>
      <c r="N39" s="149"/>
      <c r="O39" s="206"/>
      <c r="P39" s="150"/>
      <c r="Q39" s="569"/>
    </row>
    <row r="40" spans="1:17" ht="15.75" hidden="1" customHeight="1" outlineLevel="2">
      <c r="A40" s="274"/>
      <c r="B40" s="159"/>
      <c r="C40" s="162" t="s">
        <v>360</v>
      </c>
      <c r="D40" s="160"/>
      <c r="E40" s="153"/>
      <c r="F40" s="153"/>
      <c r="G40" s="153"/>
      <c r="H40" s="154"/>
      <c r="I40" s="212"/>
      <c r="J40" s="147"/>
      <c r="K40" s="157"/>
      <c r="L40" s="147"/>
      <c r="M40" s="154"/>
      <c r="N40" s="149"/>
      <c r="O40" s="206"/>
      <c r="P40" s="150"/>
      <c r="Q40" s="569"/>
    </row>
    <row r="41" spans="1:17" ht="15.75" hidden="1" customHeight="1" outlineLevel="2">
      <c r="A41" s="274"/>
      <c r="B41" s="159"/>
      <c r="C41" s="142" t="s">
        <v>381</v>
      </c>
      <c r="D41" s="160"/>
      <c r="E41" s="153"/>
      <c r="F41" s="153"/>
      <c r="G41" s="153"/>
      <c r="H41" s="154"/>
      <c r="I41" s="212"/>
      <c r="J41" s="147"/>
      <c r="K41" s="157"/>
      <c r="L41" s="147"/>
      <c r="M41" s="154"/>
      <c r="N41" s="149"/>
      <c r="O41" s="206"/>
      <c r="P41" s="150"/>
      <c r="Q41" s="569"/>
    </row>
    <row r="42" spans="1:17" ht="15.75" hidden="1" customHeight="1" outlineLevel="2">
      <c r="A42" s="274"/>
      <c r="B42" s="159"/>
      <c r="C42" s="162" t="s">
        <v>362</v>
      </c>
      <c r="D42" s="160"/>
      <c r="E42" s="153"/>
      <c r="F42" s="153"/>
      <c r="G42" s="153"/>
      <c r="H42" s="154"/>
      <c r="I42" s="212"/>
      <c r="J42" s="147"/>
      <c r="K42" s="157"/>
      <c r="L42" s="147"/>
      <c r="M42" s="154"/>
      <c r="N42" s="149"/>
      <c r="O42" s="206"/>
      <c r="P42" s="150"/>
      <c r="Q42" s="570"/>
    </row>
    <row r="43" spans="1:17" ht="15.75" hidden="1" customHeight="1" outlineLevel="2">
      <c r="A43" s="274"/>
      <c r="B43" s="159"/>
      <c r="C43" s="162" t="s">
        <v>363</v>
      </c>
      <c r="D43" s="160"/>
      <c r="E43" s="153"/>
      <c r="F43" s="153"/>
      <c r="G43" s="153"/>
      <c r="H43" s="154"/>
      <c r="I43" s="212"/>
      <c r="J43" s="147"/>
      <c r="K43" s="157"/>
      <c r="L43" s="147"/>
      <c r="M43" s="154"/>
      <c r="N43" s="149"/>
      <c r="O43" s="206"/>
      <c r="P43" s="150"/>
      <c r="Q43" s="569"/>
    </row>
    <row r="44" spans="1:17" ht="15.75" hidden="1" customHeight="1" outlineLevel="2">
      <c r="A44" s="274"/>
      <c r="B44" s="159"/>
      <c r="C44" s="162" t="s">
        <v>358</v>
      </c>
      <c r="D44" s="160"/>
      <c r="E44" s="153"/>
      <c r="F44" s="153"/>
      <c r="G44" s="153"/>
      <c r="H44" s="154"/>
      <c r="I44" s="212"/>
      <c r="J44" s="147"/>
      <c r="K44" s="157"/>
      <c r="L44" s="147"/>
      <c r="M44" s="154"/>
      <c r="N44" s="149"/>
      <c r="O44" s="206"/>
      <c r="P44" s="150"/>
      <c r="Q44" s="569"/>
    </row>
    <row r="45" spans="1:17" ht="15.75" hidden="1" customHeight="1" outlineLevel="2">
      <c r="A45" s="274"/>
      <c r="B45" s="159"/>
      <c r="C45" s="162" t="s">
        <v>364</v>
      </c>
      <c r="D45" s="160"/>
      <c r="E45" s="153"/>
      <c r="F45" s="153"/>
      <c r="G45" s="153"/>
      <c r="H45" s="154"/>
      <c r="I45" s="212"/>
      <c r="J45" s="147"/>
      <c r="K45" s="157"/>
      <c r="L45" s="147"/>
      <c r="M45" s="154"/>
      <c r="N45" s="149">
        <v>150000</v>
      </c>
      <c r="O45" s="226">
        <f>N45*1.73</f>
        <v>259500</v>
      </c>
      <c r="P45" s="150">
        <f>SUM(I45,K45,M45,O45)</f>
        <v>259500</v>
      </c>
      <c r="Q45" s="569"/>
    </row>
    <row r="46" spans="1:17" ht="15.75" hidden="1" customHeight="1" outlineLevel="2">
      <c r="A46" s="274"/>
      <c r="B46" s="159"/>
      <c r="C46" s="142" t="s">
        <v>382</v>
      </c>
      <c r="D46" s="160"/>
      <c r="E46" s="153"/>
      <c r="F46" s="153"/>
      <c r="G46" s="153"/>
      <c r="H46" s="154"/>
      <c r="I46" s="212"/>
      <c r="J46" s="147"/>
      <c r="K46" s="157"/>
      <c r="L46" s="147"/>
      <c r="M46" s="154"/>
      <c r="N46" s="149"/>
      <c r="O46" s="400"/>
      <c r="P46" s="150"/>
      <c r="Q46" s="569"/>
    </row>
    <row r="47" spans="1:17" ht="15.75" hidden="1" customHeight="1" outlineLevel="2">
      <c r="A47" s="274"/>
      <c r="B47" s="159"/>
      <c r="C47" s="162" t="s">
        <v>366</v>
      </c>
      <c r="D47" s="160"/>
      <c r="E47" s="153"/>
      <c r="F47" s="153"/>
      <c r="G47" s="153"/>
      <c r="H47" s="154"/>
      <c r="I47" s="212"/>
      <c r="J47" s="147"/>
      <c r="K47" s="157"/>
      <c r="L47" s="147"/>
      <c r="M47" s="154"/>
      <c r="N47" s="149"/>
      <c r="O47" s="206"/>
      <c r="P47" s="150"/>
      <c r="Q47" s="569"/>
    </row>
    <row r="48" spans="1:17" ht="15.75" hidden="1" customHeight="1" outlineLevel="2">
      <c r="A48" s="274"/>
      <c r="B48" s="159"/>
      <c r="C48" s="162" t="s">
        <v>358</v>
      </c>
      <c r="D48" s="160"/>
      <c r="E48" s="153"/>
      <c r="F48" s="153"/>
      <c r="G48" s="153"/>
      <c r="H48" s="154"/>
      <c r="I48" s="212"/>
      <c r="J48" s="147"/>
      <c r="K48" s="157"/>
      <c r="L48" s="147"/>
      <c r="M48" s="154"/>
      <c r="N48" s="149"/>
      <c r="O48" s="206"/>
      <c r="P48" s="150"/>
      <c r="Q48" s="569"/>
    </row>
    <row r="49" spans="1:17" ht="15.75" hidden="1" customHeight="1" outlineLevel="2">
      <c r="A49" s="274"/>
      <c r="B49" s="159"/>
      <c r="C49" s="162" t="s">
        <v>367</v>
      </c>
      <c r="D49" s="160"/>
      <c r="E49" s="153"/>
      <c r="F49" s="153"/>
      <c r="G49" s="153"/>
      <c r="H49" s="154"/>
      <c r="I49" s="212"/>
      <c r="J49" s="147"/>
      <c r="K49" s="157"/>
      <c r="L49" s="147"/>
      <c r="M49" s="154"/>
      <c r="N49" s="149"/>
      <c r="O49" s="206"/>
      <c r="P49" s="150"/>
      <c r="Q49" s="569"/>
    </row>
    <row r="50" spans="1:17" ht="15.75" hidden="1" customHeight="1" outlineLevel="2">
      <c r="A50" s="274"/>
      <c r="B50" s="159"/>
      <c r="C50" s="162" t="s">
        <v>368</v>
      </c>
      <c r="D50" s="160"/>
      <c r="E50" s="153"/>
      <c r="F50" s="153"/>
      <c r="G50" s="153"/>
      <c r="H50" s="154"/>
      <c r="I50" s="212"/>
      <c r="J50" s="147"/>
      <c r="K50" s="157"/>
      <c r="L50" s="147"/>
      <c r="M50" s="154"/>
      <c r="N50" s="149"/>
      <c r="O50" s="206"/>
      <c r="P50" s="150"/>
      <c r="Q50" s="569"/>
    </row>
    <row r="51" spans="1:17" ht="15.75" hidden="1" customHeight="1" outlineLevel="2">
      <c r="A51" s="274"/>
      <c r="B51" s="159"/>
      <c r="C51" s="142" t="s">
        <v>383</v>
      </c>
      <c r="D51" s="160"/>
      <c r="E51" s="153"/>
      <c r="F51" s="153"/>
      <c r="G51" s="153"/>
      <c r="H51" s="154"/>
      <c r="I51" s="212"/>
      <c r="J51" s="147"/>
      <c r="K51" s="157"/>
      <c r="L51" s="147"/>
      <c r="M51" s="154"/>
      <c r="N51" s="149"/>
      <c r="O51" s="206"/>
      <c r="P51" s="150"/>
      <c r="Q51" s="569"/>
    </row>
    <row r="52" spans="1:17" ht="15.75" hidden="1" customHeight="1" outlineLevel="2">
      <c r="A52" s="274"/>
      <c r="B52" s="159"/>
      <c r="C52" s="162" t="s">
        <v>370</v>
      </c>
      <c r="D52" s="160"/>
      <c r="E52" s="153"/>
      <c r="F52" s="153"/>
      <c r="G52" s="153"/>
      <c r="H52" s="154"/>
      <c r="I52" s="212"/>
      <c r="J52" s="147"/>
      <c r="K52" s="157"/>
      <c r="L52" s="147"/>
      <c r="M52" s="154"/>
      <c r="N52" s="149"/>
      <c r="O52" s="206"/>
      <c r="P52" s="150"/>
      <c r="Q52" s="569"/>
    </row>
    <row r="53" spans="1:17" ht="15.75" hidden="1" customHeight="1" outlineLevel="2">
      <c r="A53" s="274"/>
      <c r="B53" s="159"/>
      <c r="C53" s="162" t="s">
        <v>371</v>
      </c>
      <c r="D53" s="160"/>
      <c r="E53" s="153"/>
      <c r="F53" s="153"/>
      <c r="G53" s="153"/>
      <c r="H53" s="154"/>
      <c r="I53" s="212"/>
      <c r="J53" s="147"/>
      <c r="K53" s="157"/>
      <c r="L53" s="147"/>
      <c r="M53" s="154"/>
      <c r="N53" s="149"/>
      <c r="O53" s="206"/>
      <c r="P53" s="150"/>
      <c r="Q53" s="569"/>
    </row>
    <row r="54" spans="1:17" ht="15.75" hidden="1" customHeight="1" outlineLevel="2">
      <c r="A54" s="274"/>
      <c r="B54" s="159"/>
      <c r="C54" s="162" t="s">
        <v>372</v>
      </c>
      <c r="D54" s="160"/>
      <c r="E54" s="153"/>
      <c r="F54" s="153"/>
      <c r="G54" s="153"/>
      <c r="H54" s="154"/>
      <c r="I54" s="212"/>
      <c r="J54" s="147"/>
      <c r="K54" s="157"/>
      <c r="L54" s="147"/>
      <c r="M54" s="154"/>
      <c r="N54" s="149"/>
      <c r="O54" s="206"/>
      <c r="P54" s="150"/>
      <c r="Q54" s="569"/>
    </row>
    <row r="55" spans="1:17" ht="15.75" hidden="1" customHeight="1" outlineLevel="2">
      <c r="A55" s="274"/>
      <c r="B55" s="159"/>
      <c r="C55" s="162" t="s">
        <v>373</v>
      </c>
      <c r="D55" s="160"/>
      <c r="E55" s="153"/>
      <c r="F55" s="153"/>
      <c r="G55" s="153"/>
      <c r="H55" s="154"/>
      <c r="I55" s="212"/>
      <c r="J55" s="147"/>
      <c r="K55" s="157"/>
      <c r="L55" s="147"/>
      <c r="M55" s="154"/>
      <c r="N55" s="149"/>
      <c r="O55" s="206"/>
      <c r="P55" s="150"/>
      <c r="Q55" s="569"/>
    </row>
    <row r="56" spans="1:17" ht="15.75" hidden="1" customHeight="1" outlineLevel="2">
      <c r="A56" s="274"/>
      <c r="B56" s="159"/>
      <c r="C56" s="142" t="s">
        <v>384</v>
      </c>
      <c r="D56" s="160"/>
      <c r="E56" s="153"/>
      <c r="F56" s="153"/>
      <c r="G56" s="153"/>
      <c r="H56" s="154"/>
      <c r="I56" s="212"/>
      <c r="J56" s="147"/>
      <c r="K56" s="157"/>
      <c r="L56" s="147"/>
      <c r="M56" s="154"/>
      <c r="N56" s="149"/>
      <c r="O56" s="206"/>
      <c r="P56" s="150"/>
      <c r="Q56" s="569"/>
    </row>
    <row r="57" spans="1:17" ht="15.75" hidden="1" customHeight="1" outlineLevel="2">
      <c r="A57" s="274"/>
      <c r="B57" s="159"/>
      <c r="C57" s="162" t="s">
        <v>375</v>
      </c>
      <c r="D57" s="160"/>
      <c r="E57" s="153"/>
      <c r="F57" s="153"/>
      <c r="G57" s="153"/>
      <c r="H57" s="154"/>
      <c r="I57" s="212"/>
      <c r="J57" s="147"/>
      <c r="K57" s="157"/>
      <c r="L57" s="147"/>
      <c r="M57" s="154"/>
      <c r="N57" s="149"/>
      <c r="O57" s="206"/>
      <c r="P57" s="150"/>
      <c r="Q57" s="569"/>
    </row>
    <row r="58" spans="1:17" ht="15.75" hidden="1" customHeight="1" outlineLevel="2">
      <c r="A58" s="274"/>
      <c r="B58" s="159"/>
      <c r="C58" s="162" t="s">
        <v>376</v>
      </c>
      <c r="D58" s="160"/>
      <c r="E58" s="153"/>
      <c r="F58" s="153"/>
      <c r="G58" s="153"/>
      <c r="H58" s="154"/>
      <c r="I58" s="212"/>
      <c r="J58" s="147"/>
      <c r="K58" s="157"/>
      <c r="L58" s="147">
        <v>100000</v>
      </c>
      <c r="M58" s="217">
        <f>L58*1.46</f>
        <v>146000</v>
      </c>
      <c r="N58" s="149"/>
      <c r="O58" s="206"/>
      <c r="P58" s="150">
        <f>SUM(I58,K58,M58,O58)</f>
        <v>146000</v>
      </c>
      <c r="Q58" s="569" t="s">
        <v>1220</v>
      </c>
    </row>
    <row r="59" spans="1:17" ht="15.75" hidden="1" customHeight="1" outlineLevel="2">
      <c r="A59" s="274"/>
      <c r="B59" s="159"/>
      <c r="C59" s="162" t="s">
        <v>377</v>
      </c>
      <c r="D59" s="160"/>
      <c r="E59" s="153"/>
      <c r="F59" s="153"/>
      <c r="G59" s="153"/>
      <c r="H59" s="154"/>
      <c r="I59" s="212"/>
      <c r="J59" s="147"/>
      <c r="K59" s="157"/>
      <c r="L59" s="147"/>
      <c r="M59" s="166"/>
      <c r="N59" s="149"/>
      <c r="O59" s="206"/>
      <c r="P59" s="150"/>
      <c r="Q59" s="569"/>
    </row>
    <row r="60" spans="1:17" ht="15.75" hidden="1" customHeight="1" outlineLevel="2">
      <c r="A60" s="274"/>
      <c r="B60" s="159"/>
      <c r="C60" s="162" t="s">
        <v>385</v>
      </c>
      <c r="D60" s="160">
        <f>CIP!$AM$5</f>
        <v>5000000</v>
      </c>
      <c r="E60" s="153">
        <f>CIP!$AN$5</f>
        <v>17499999.9375</v>
      </c>
      <c r="F60" s="153">
        <f>CIP!$AO$5</f>
        <v>12500000.262899999</v>
      </c>
      <c r="G60" s="153"/>
      <c r="H60" s="154"/>
      <c r="I60" s="212">
        <f>SUM(D60:H60)</f>
        <v>35000000.200399995</v>
      </c>
      <c r="J60" s="147"/>
      <c r="K60" s="157"/>
      <c r="L60" s="147"/>
      <c r="M60" s="154"/>
      <c r="N60" s="149"/>
      <c r="O60" s="206"/>
      <c r="P60" s="150">
        <f>SUM(I60,K60,M60,O60)</f>
        <v>35000000.200399995</v>
      </c>
      <c r="Q60" s="569" t="s">
        <v>1222</v>
      </c>
    </row>
    <row r="61" spans="1:17" ht="15.75" hidden="1" customHeight="1" outlineLevel="1" collapsed="1">
      <c r="A61" s="274"/>
      <c r="B61" s="250"/>
      <c r="C61" s="142" t="s">
        <v>379</v>
      </c>
      <c r="D61" s="220">
        <f>SUM(D60)</f>
        <v>5000000</v>
      </c>
      <c r="E61" s="217">
        <f>SUM(E54:E60)</f>
        <v>17499999.9375</v>
      </c>
      <c r="F61" s="217">
        <f>SUM(F57:F60)</f>
        <v>12500000.262899999</v>
      </c>
      <c r="G61" s="217"/>
      <c r="H61" s="219"/>
      <c r="I61" s="207">
        <f>SUM(D61:H61)</f>
        <v>35000000.200399995</v>
      </c>
      <c r="J61" s="147"/>
      <c r="K61" s="221"/>
      <c r="L61" s="147">
        <f>SUM(L55:L60)</f>
        <v>100000</v>
      </c>
      <c r="M61" s="217">
        <f>L61*1.46</f>
        <v>146000</v>
      </c>
      <c r="N61" s="149">
        <f>SUM(N35:N60)</f>
        <v>150000</v>
      </c>
      <c r="O61" s="226">
        <f>N61*1.73</f>
        <v>259500</v>
      </c>
      <c r="P61" s="150">
        <f>SUM(I61,K61,M61,O61)</f>
        <v>35405500.200399995</v>
      </c>
      <c r="Q61" s="569" t="s">
        <v>1223</v>
      </c>
    </row>
    <row r="62" spans="1:17" ht="15.75" hidden="1" customHeight="1" outlineLevel="2">
      <c r="A62" s="274"/>
      <c r="B62" s="142" t="s">
        <v>386</v>
      </c>
      <c r="C62" s="159"/>
      <c r="D62" s="160"/>
      <c r="E62" s="153"/>
      <c r="F62" s="153"/>
      <c r="G62" s="153"/>
      <c r="H62" s="154"/>
      <c r="I62" s="156"/>
      <c r="J62" s="184"/>
      <c r="K62" s="217"/>
      <c r="L62" s="147"/>
      <c r="M62" s="217"/>
      <c r="N62" s="149"/>
      <c r="O62" s="226"/>
      <c r="P62" s="150"/>
      <c r="Q62" s="569"/>
    </row>
    <row r="63" spans="1:17" ht="15.75" hidden="1" customHeight="1" outlineLevel="2">
      <c r="A63" s="274"/>
      <c r="B63" s="143"/>
      <c r="C63" s="142" t="s">
        <v>380</v>
      </c>
      <c r="D63" s="160"/>
      <c r="E63" s="153"/>
      <c r="F63" s="153"/>
      <c r="G63" s="153"/>
      <c r="H63" s="154"/>
      <c r="I63" s="156"/>
      <c r="J63" s="148"/>
      <c r="K63" s="217"/>
      <c r="L63" s="147"/>
      <c r="M63" s="217"/>
      <c r="N63" s="149"/>
      <c r="O63" s="226"/>
      <c r="P63" s="150"/>
      <c r="Q63" s="569"/>
    </row>
    <row r="64" spans="1:17" ht="15.75" hidden="1" customHeight="1" outlineLevel="2">
      <c r="A64" s="274"/>
      <c r="B64" s="143"/>
      <c r="C64" s="162" t="s">
        <v>387</v>
      </c>
      <c r="D64" s="160"/>
      <c r="E64" s="153"/>
      <c r="F64" s="153"/>
      <c r="G64" s="153"/>
      <c r="H64" s="154"/>
      <c r="I64" s="156"/>
      <c r="J64" s="148"/>
      <c r="K64" s="217"/>
      <c r="L64" s="147"/>
      <c r="M64" s="217"/>
      <c r="N64" s="149"/>
      <c r="O64" s="226"/>
      <c r="P64" s="150"/>
      <c r="Q64" s="569"/>
    </row>
    <row r="65" spans="1:17" ht="15.75" hidden="1" customHeight="1" outlineLevel="2">
      <c r="A65" s="274"/>
      <c r="B65" s="143"/>
      <c r="C65" s="162" t="s">
        <v>357</v>
      </c>
      <c r="D65" s="160"/>
      <c r="E65" s="153"/>
      <c r="F65" s="153"/>
      <c r="G65" s="153"/>
      <c r="H65" s="154"/>
      <c r="I65" s="156"/>
      <c r="J65" s="148"/>
      <c r="K65" s="217"/>
      <c r="L65" s="147"/>
      <c r="M65" s="217"/>
      <c r="N65" s="149"/>
      <c r="O65" s="226"/>
      <c r="P65" s="150"/>
      <c r="Q65" s="569"/>
    </row>
    <row r="66" spans="1:17" ht="15.75" hidden="1" customHeight="1" outlineLevel="2">
      <c r="A66" s="274"/>
      <c r="B66" s="143"/>
      <c r="C66" s="162" t="s">
        <v>358</v>
      </c>
      <c r="D66" s="160"/>
      <c r="E66" s="153"/>
      <c r="F66" s="153"/>
      <c r="G66" s="153"/>
      <c r="H66" s="154"/>
      <c r="I66" s="203"/>
      <c r="J66" s="148"/>
      <c r="K66" s="217"/>
      <c r="L66" s="147"/>
      <c r="M66" s="217"/>
      <c r="N66" s="149"/>
      <c r="O66" s="226"/>
      <c r="P66" s="150"/>
      <c r="Q66" s="568" t="s">
        <v>1224</v>
      </c>
    </row>
    <row r="67" spans="1:17" ht="15.75" hidden="1" customHeight="1" outlineLevel="2">
      <c r="A67" s="274"/>
      <c r="B67" s="143"/>
      <c r="C67" s="162" t="s">
        <v>359</v>
      </c>
      <c r="D67" s="160"/>
      <c r="E67" s="153"/>
      <c r="F67" s="153"/>
      <c r="G67" s="153"/>
      <c r="H67" s="154"/>
      <c r="I67" s="156"/>
      <c r="J67" s="148"/>
      <c r="K67" s="217"/>
      <c r="L67" s="147"/>
      <c r="M67" s="217"/>
      <c r="N67" s="149"/>
      <c r="O67" s="226"/>
      <c r="P67" s="150"/>
      <c r="Q67" s="569"/>
    </row>
    <row r="68" spans="1:17" ht="15.75" hidden="1" customHeight="1" outlineLevel="2">
      <c r="A68" s="274"/>
      <c r="B68" s="143"/>
      <c r="C68" s="162" t="s">
        <v>388</v>
      </c>
      <c r="D68" s="180"/>
      <c r="E68" s="153"/>
      <c r="F68" s="153"/>
      <c r="G68" s="153"/>
      <c r="H68" s="154"/>
      <c r="I68" s="156"/>
      <c r="J68" s="147"/>
      <c r="K68" s="217"/>
      <c r="L68" s="147"/>
      <c r="M68" s="217"/>
      <c r="N68" s="149"/>
      <c r="O68" s="226"/>
      <c r="P68" s="150"/>
      <c r="Q68" s="569"/>
    </row>
    <row r="69" spans="1:17" ht="15.75" hidden="1" customHeight="1" outlineLevel="2">
      <c r="A69" s="274"/>
      <c r="B69" s="143"/>
      <c r="C69" s="142" t="s">
        <v>381</v>
      </c>
      <c r="D69" s="160"/>
      <c r="E69" s="153"/>
      <c r="F69" s="153"/>
      <c r="G69" s="153"/>
      <c r="H69" s="154"/>
      <c r="I69" s="156"/>
      <c r="J69" s="147"/>
      <c r="K69" s="217"/>
      <c r="L69" s="147"/>
      <c r="M69" s="217"/>
      <c r="N69" s="149"/>
      <c r="O69" s="226"/>
      <c r="P69" s="150"/>
      <c r="Q69" s="569"/>
    </row>
    <row r="70" spans="1:17" ht="15.75" hidden="1" customHeight="1" outlineLevel="2">
      <c r="A70" s="274"/>
      <c r="B70" s="143"/>
      <c r="C70" s="162" t="s">
        <v>362</v>
      </c>
      <c r="D70" s="160"/>
      <c r="E70" s="153"/>
      <c r="F70" s="153"/>
      <c r="G70" s="153"/>
      <c r="H70" s="154"/>
      <c r="I70" s="156"/>
      <c r="J70" s="147"/>
      <c r="K70" s="217"/>
      <c r="L70" s="147"/>
      <c r="M70" s="217"/>
      <c r="N70" s="149"/>
      <c r="O70" s="226"/>
      <c r="P70" s="150"/>
      <c r="Q70" s="569"/>
    </row>
    <row r="71" spans="1:17" ht="15.75" hidden="1" customHeight="1" outlineLevel="2">
      <c r="A71" s="274"/>
      <c r="B71" s="143"/>
      <c r="C71" s="162" t="s">
        <v>363</v>
      </c>
      <c r="D71" s="160"/>
      <c r="E71" s="153"/>
      <c r="F71" s="153"/>
      <c r="G71" s="153"/>
      <c r="H71" s="154"/>
      <c r="I71" s="156"/>
      <c r="J71" s="147"/>
      <c r="K71" s="217"/>
      <c r="L71" s="147"/>
      <c r="M71" s="217"/>
      <c r="N71" s="149"/>
      <c r="O71" s="226"/>
      <c r="P71" s="150"/>
      <c r="Q71" s="569"/>
    </row>
    <row r="72" spans="1:17" ht="15.75" hidden="1" customHeight="1" outlineLevel="2">
      <c r="A72" s="274"/>
      <c r="B72" s="143"/>
      <c r="C72" s="162" t="s">
        <v>358</v>
      </c>
      <c r="D72" s="160"/>
      <c r="E72" s="153"/>
      <c r="F72" s="153"/>
      <c r="G72" s="153"/>
      <c r="H72" s="154"/>
      <c r="I72" s="156"/>
      <c r="J72" s="147"/>
      <c r="K72" s="217"/>
      <c r="L72" s="147"/>
      <c r="M72" s="217"/>
      <c r="N72" s="149"/>
      <c r="O72" s="226"/>
      <c r="P72" s="150"/>
      <c r="Q72" s="569"/>
    </row>
    <row r="73" spans="1:17" ht="15.75" hidden="1" customHeight="1" outlineLevel="2">
      <c r="A73" s="274"/>
      <c r="B73" s="143"/>
      <c r="C73" s="162" t="s">
        <v>364</v>
      </c>
      <c r="D73" s="160"/>
      <c r="E73" s="153"/>
      <c r="F73" s="153"/>
      <c r="G73" s="153"/>
      <c r="H73" s="154"/>
      <c r="I73" s="156"/>
      <c r="J73" s="147"/>
      <c r="K73" s="217"/>
      <c r="L73" s="147"/>
      <c r="M73" s="217"/>
      <c r="N73" s="149"/>
      <c r="O73" s="226"/>
      <c r="P73" s="150"/>
      <c r="Q73" s="569"/>
    </row>
    <row r="74" spans="1:17" ht="15.75" hidden="1" customHeight="1" outlineLevel="2">
      <c r="A74" s="274"/>
      <c r="B74" s="143"/>
      <c r="C74" s="142" t="s">
        <v>389</v>
      </c>
      <c r="D74" s="160"/>
      <c r="E74" s="153"/>
      <c r="F74" s="153"/>
      <c r="G74" s="153"/>
      <c r="H74" s="154"/>
      <c r="I74" s="156"/>
      <c r="J74" s="147"/>
      <c r="K74" s="217"/>
      <c r="L74" s="147"/>
      <c r="M74" s="217"/>
      <c r="N74" s="149"/>
      <c r="O74" s="226"/>
      <c r="P74" s="150"/>
      <c r="Q74" s="569"/>
    </row>
    <row r="75" spans="1:17" ht="15.75" hidden="1" customHeight="1" outlineLevel="2">
      <c r="A75" s="274"/>
      <c r="B75" s="143"/>
      <c r="C75" s="162" t="s">
        <v>366</v>
      </c>
      <c r="D75" s="160"/>
      <c r="E75" s="153"/>
      <c r="F75" s="153"/>
      <c r="G75" s="153"/>
      <c r="H75" s="154"/>
      <c r="I75" s="156"/>
      <c r="J75" s="147"/>
      <c r="K75" s="217"/>
      <c r="L75" s="147"/>
      <c r="M75" s="217"/>
      <c r="N75" s="149"/>
      <c r="O75" s="226"/>
      <c r="P75" s="150"/>
      <c r="Q75" s="569"/>
    </row>
    <row r="76" spans="1:17" ht="15.75" hidden="1" customHeight="1" outlineLevel="2">
      <c r="A76" s="274"/>
      <c r="B76" s="143"/>
      <c r="C76" s="162" t="s">
        <v>358</v>
      </c>
      <c r="D76" s="160"/>
      <c r="E76" s="153"/>
      <c r="F76" s="153"/>
      <c r="G76" s="153"/>
      <c r="H76" s="154"/>
      <c r="I76" s="156"/>
      <c r="J76" s="147"/>
      <c r="K76" s="217"/>
      <c r="L76" s="147"/>
      <c r="M76" s="217"/>
      <c r="N76" s="149"/>
      <c r="O76" s="226"/>
      <c r="P76" s="150"/>
      <c r="Q76" s="569"/>
    </row>
    <row r="77" spans="1:17" ht="15.75" hidden="1" customHeight="1" outlineLevel="2">
      <c r="A77" s="274"/>
      <c r="B77" s="143"/>
      <c r="C77" s="162" t="s">
        <v>367</v>
      </c>
      <c r="D77" s="160"/>
      <c r="E77" s="153"/>
      <c r="F77" s="153"/>
      <c r="G77" s="153"/>
      <c r="H77" s="154"/>
      <c r="I77" s="156"/>
      <c r="J77" s="147"/>
      <c r="K77" s="217"/>
      <c r="L77" s="147"/>
      <c r="M77" s="217"/>
      <c r="N77" s="149"/>
      <c r="O77" s="226"/>
      <c r="P77" s="150"/>
      <c r="Q77" s="569"/>
    </row>
    <row r="78" spans="1:17" ht="15.75" hidden="1" customHeight="1" outlineLevel="2">
      <c r="A78" s="274"/>
      <c r="B78" s="143"/>
      <c r="C78" s="162" t="s">
        <v>368</v>
      </c>
      <c r="D78" s="160"/>
      <c r="E78" s="153"/>
      <c r="F78" s="153"/>
      <c r="G78" s="153"/>
      <c r="H78" s="154"/>
      <c r="I78" s="156"/>
      <c r="J78" s="147"/>
      <c r="K78" s="217"/>
      <c r="L78" s="147"/>
      <c r="M78" s="217"/>
      <c r="N78" s="149"/>
      <c r="O78" s="226"/>
      <c r="P78" s="150"/>
      <c r="Q78" s="569"/>
    </row>
    <row r="79" spans="1:17" ht="15.75" hidden="1" customHeight="1" outlineLevel="2">
      <c r="A79" s="274"/>
      <c r="B79" s="143"/>
      <c r="C79" s="142" t="s">
        <v>383</v>
      </c>
      <c r="D79" s="160"/>
      <c r="E79" s="153"/>
      <c r="F79" s="153"/>
      <c r="G79" s="153"/>
      <c r="H79" s="154"/>
      <c r="I79" s="156"/>
      <c r="J79" s="147"/>
      <c r="K79" s="217"/>
      <c r="L79" s="147"/>
      <c r="M79" s="217"/>
      <c r="N79" s="149"/>
      <c r="O79" s="226"/>
      <c r="P79" s="150"/>
      <c r="Q79" s="569"/>
    </row>
    <row r="80" spans="1:17" ht="15.75" hidden="1" customHeight="1" outlineLevel="2">
      <c r="A80" s="274"/>
      <c r="B80" s="143"/>
      <c r="C80" s="162" t="s">
        <v>370</v>
      </c>
      <c r="D80" s="160"/>
      <c r="E80" s="153"/>
      <c r="F80" s="153"/>
      <c r="G80" s="153"/>
      <c r="H80" s="154"/>
      <c r="I80" s="156"/>
      <c r="J80" s="147"/>
      <c r="K80" s="217"/>
      <c r="L80" s="147"/>
      <c r="M80" s="217"/>
      <c r="N80" s="149"/>
      <c r="O80" s="226"/>
      <c r="P80" s="150"/>
      <c r="Q80" s="569"/>
    </row>
    <row r="81" spans="1:17" ht="15.75" hidden="1" customHeight="1" outlineLevel="2">
      <c r="A81" s="274"/>
      <c r="B81" s="143"/>
      <c r="C81" s="162" t="s">
        <v>371</v>
      </c>
      <c r="D81" s="160"/>
      <c r="E81" s="153"/>
      <c r="F81" s="153"/>
      <c r="G81" s="153"/>
      <c r="H81" s="154"/>
      <c r="I81" s="156"/>
      <c r="J81" s="147"/>
      <c r="K81" s="217"/>
      <c r="L81" s="147"/>
      <c r="M81" s="217"/>
      <c r="N81" s="149"/>
      <c r="O81" s="226"/>
      <c r="P81" s="150"/>
      <c r="Q81" s="569"/>
    </row>
    <row r="82" spans="1:17" ht="15.75" hidden="1" customHeight="1" outlineLevel="2">
      <c r="A82" s="274"/>
      <c r="B82" s="143"/>
      <c r="C82" s="162" t="s">
        <v>372</v>
      </c>
      <c r="D82" s="160"/>
      <c r="E82" s="153"/>
      <c r="F82" s="153"/>
      <c r="G82" s="153"/>
      <c r="H82" s="154"/>
      <c r="I82" s="156"/>
      <c r="J82" s="147"/>
      <c r="K82" s="217"/>
      <c r="L82" s="147"/>
      <c r="M82" s="217"/>
      <c r="N82" s="149"/>
      <c r="O82" s="226"/>
      <c r="P82" s="150"/>
      <c r="Q82" s="569"/>
    </row>
    <row r="83" spans="1:17" ht="15.75" hidden="1" customHeight="1" outlineLevel="2">
      <c r="A83" s="274"/>
      <c r="B83" s="143"/>
      <c r="C83" s="162" t="s">
        <v>373</v>
      </c>
      <c r="D83" s="160"/>
      <c r="E83" s="153"/>
      <c r="F83" s="153"/>
      <c r="G83" s="153"/>
      <c r="H83" s="154"/>
      <c r="I83" s="156"/>
      <c r="J83" s="147"/>
      <c r="K83" s="217"/>
      <c r="L83" s="147"/>
      <c r="M83" s="217"/>
      <c r="N83" s="149"/>
      <c r="O83" s="226"/>
      <c r="P83" s="150"/>
      <c r="Q83" s="569"/>
    </row>
    <row r="84" spans="1:17" ht="15.75" hidden="1" customHeight="1" outlineLevel="2">
      <c r="A84" s="274"/>
      <c r="B84" s="143"/>
      <c r="C84" s="142" t="s">
        <v>384</v>
      </c>
      <c r="D84" s="160"/>
      <c r="E84" s="153"/>
      <c r="F84" s="153"/>
      <c r="G84" s="153"/>
      <c r="H84" s="154"/>
      <c r="I84" s="156"/>
      <c r="J84" s="147" t="s">
        <v>390</v>
      </c>
      <c r="K84" s="217"/>
      <c r="L84" s="147"/>
      <c r="M84" s="217"/>
      <c r="N84" s="149"/>
      <c r="O84" s="226"/>
      <c r="P84" s="150"/>
      <c r="Q84" s="569"/>
    </row>
    <row r="85" spans="1:17" ht="15.75" hidden="1" customHeight="1" outlineLevel="2">
      <c r="A85" s="274"/>
      <c r="B85" s="143"/>
      <c r="C85" s="162" t="s">
        <v>375</v>
      </c>
      <c r="D85" s="160"/>
      <c r="E85" s="153"/>
      <c r="F85" s="153"/>
      <c r="G85" s="153"/>
      <c r="H85" s="154"/>
      <c r="I85" s="156"/>
      <c r="J85" s="147"/>
      <c r="K85" s="217"/>
      <c r="L85" s="147"/>
      <c r="M85" s="217"/>
      <c r="N85" s="149"/>
      <c r="O85" s="226"/>
      <c r="P85" s="150"/>
      <c r="Q85" s="569"/>
    </row>
    <row r="86" spans="1:17" ht="15.75" hidden="1" customHeight="1" outlineLevel="2">
      <c r="A86" s="274"/>
      <c r="B86" s="143"/>
      <c r="C86" s="162" t="s">
        <v>376</v>
      </c>
      <c r="D86" s="160"/>
      <c r="E86" s="153"/>
      <c r="F86" s="153"/>
      <c r="G86" s="153"/>
      <c r="H86" s="154"/>
      <c r="I86" s="156"/>
      <c r="J86" s="147"/>
      <c r="K86" s="217"/>
      <c r="L86" s="147"/>
      <c r="M86" s="217"/>
      <c r="N86" s="149"/>
      <c r="O86" s="226"/>
      <c r="P86" s="150"/>
      <c r="Q86" s="569"/>
    </row>
    <row r="87" spans="1:17" ht="15.75" hidden="1" customHeight="1" outlineLevel="2">
      <c r="A87" s="274"/>
      <c r="B87" s="143"/>
      <c r="C87" s="162" t="s">
        <v>377</v>
      </c>
      <c r="D87" s="160"/>
      <c r="E87" s="153"/>
      <c r="F87" s="153"/>
      <c r="G87" s="153"/>
      <c r="H87" s="154"/>
      <c r="I87" s="156"/>
      <c r="J87" s="147"/>
      <c r="K87" s="217"/>
      <c r="L87" s="147"/>
      <c r="M87" s="217"/>
      <c r="N87" s="149"/>
      <c r="O87" s="226"/>
      <c r="P87" s="150"/>
      <c r="Q87" s="569"/>
    </row>
    <row r="88" spans="1:17" ht="15.75" hidden="1" customHeight="1" outlineLevel="2">
      <c r="A88" s="274"/>
      <c r="B88" s="143"/>
      <c r="C88" s="162" t="s">
        <v>385</v>
      </c>
      <c r="D88" s="160">
        <f>CIP!$AM$15</f>
        <v>750000</v>
      </c>
      <c r="E88" s="153"/>
      <c r="F88" s="153">
        <f>CIP!$AO$15</f>
        <v>14999999.994112499</v>
      </c>
      <c r="G88" s="153">
        <f>CIP!$AP$15</f>
        <v>22500000.135784119</v>
      </c>
      <c r="H88" s="153"/>
      <c r="I88" s="212">
        <f>SUM(D88:H88)</f>
        <v>38250000.129896618</v>
      </c>
      <c r="J88" s="147"/>
      <c r="K88" s="217"/>
      <c r="L88" s="147"/>
      <c r="M88" s="217"/>
      <c r="N88" s="149"/>
      <c r="O88" s="226"/>
      <c r="P88" s="150">
        <f>SUM(I88,K88,M88,O88)</f>
        <v>38250000.129896618</v>
      </c>
      <c r="Q88" s="569" t="s">
        <v>1225</v>
      </c>
    </row>
    <row r="89" spans="1:17" ht="15.75" hidden="1" customHeight="1" outlineLevel="2">
      <c r="A89" s="274"/>
      <c r="B89" s="143"/>
      <c r="C89" s="181" t="s">
        <v>391</v>
      </c>
      <c r="D89" s="160"/>
      <c r="E89" s="153"/>
      <c r="F89" s="153"/>
      <c r="G89" s="153"/>
      <c r="H89" s="154"/>
      <c r="I89" s="156"/>
      <c r="J89" s="147"/>
      <c r="K89" s="217"/>
      <c r="L89" s="147"/>
      <c r="M89" s="217"/>
      <c r="N89" s="149"/>
      <c r="O89" s="226"/>
      <c r="P89" s="150"/>
      <c r="Q89" s="569"/>
    </row>
    <row r="90" spans="1:17" s="130" customFormat="1" ht="15.75" hidden="1" customHeight="1" outlineLevel="1" collapsed="1">
      <c r="A90" s="275"/>
      <c r="B90" s="250"/>
      <c r="C90" s="142" t="s">
        <v>386</v>
      </c>
      <c r="D90" s="220">
        <f>SUM(D88:D89)</f>
        <v>750000</v>
      </c>
      <c r="E90" s="217"/>
      <c r="F90" s="217">
        <f>SUM(F88:F89)</f>
        <v>14999999.994112499</v>
      </c>
      <c r="G90" s="217">
        <f>SUM(G88:G89)</f>
        <v>22500000.135784119</v>
      </c>
      <c r="H90" s="217"/>
      <c r="I90" s="207">
        <f>SUM(D90:H90)</f>
        <v>38250000.129896618</v>
      </c>
      <c r="J90" s="184"/>
      <c r="K90" s="217"/>
      <c r="L90" s="147"/>
      <c r="M90" s="217"/>
      <c r="N90" s="149"/>
      <c r="O90" s="226"/>
      <c r="P90" s="150">
        <f>SUM(I90,K90,M90,O90)</f>
        <v>38250000.129896618</v>
      </c>
      <c r="Q90" s="569" t="s">
        <v>1223</v>
      </c>
    </row>
    <row r="91" spans="1:17" ht="15.75" hidden="1" customHeight="1" outlineLevel="2">
      <c r="A91" s="274"/>
      <c r="B91" s="142" t="s">
        <v>392</v>
      </c>
      <c r="C91" s="159"/>
      <c r="D91" s="160"/>
      <c r="E91" s="153"/>
      <c r="F91" s="153"/>
      <c r="G91" s="153"/>
      <c r="H91" s="184"/>
      <c r="I91" s="156"/>
      <c r="J91" s="184"/>
      <c r="K91" s="217"/>
      <c r="L91" s="147"/>
      <c r="M91" s="217"/>
      <c r="N91" s="149"/>
      <c r="O91" s="226"/>
      <c r="P91" s="150"/>
      <c r="Q91" s="569"/>
    </row>
    <row r="92" spans="1:17" ht="15.75" hidden="1" customHeight="1" outlineLevel="2">
      <c r="A92" s="274"/>
      <c r="B92" s="143"/>
      <c r="C92" s="142" t="s">
        <v>380</v>
      </c>
      <c r="D92" s="160"/>
      <c r="E92" s="153"/>
      <c r="F92" s="153"/>
      <c r="G92" s="153"/>
      <c r="H92" s="154"/>
      <c r="I92" s="156"/>
      <c r="J92" s="147"/>
      <c r="K92" s="217"/>
      <c r="L92" s="147"/>
      <c r="M92" s="217"/>
      <c r="N92" s="149"/>
      <c r="O92" s="226"/>
      <c r="P92" s="150"/>
      <c r="Q92" s="569"/>
    </row>
    <row r="93" spans="1:17" ht="15.75" hidden="1" customHeight="1" outlineLevel="2">
      <c r="A93" s="274"/>
      <c r="B93" s="143"/>
      <c r="C93" s="162" t="s">
        <v>387</v>
      </c>
      <c r="D93" s="160"/>
      <c r="E93" s="153"/>
      <c r="F93" s="153"/>
      <c r="G93" s="153"/>
      <c r="H93" s="154"/>
      <c r="I93" s="156"/>
      <c r="J93" s="147"/>
      <c r="K93" s="217"/>
      <c r="L93" s="147"/>
      <c r="M93" s="217"/>
      <c r="N93" s="149"/>
      <c r="O93" s="226"/>
      <c r="P93" s="150"/>
      <c r="Q93" s="569" t="s">
        <v>393</v>
      </c>
    </row>
    <row r="94" spans="1:17" ht="15.75" hidden="1" customHeight="1" outlineLevel="2">
      <c r="A94" s="274"/>
      <c r="B94" s="143"/>
      <c r="C94" s="162" t="s">
        <v>357</v>
      </c>
      <c r="D94" s="160"/>
      <c r="E94" s="153"/>
      <c r="F94" s="153"/>
      <c r="G94" s="153"/>
      <c r="H94" s="154"/>
      <c r="I94" s="146"/>
      <c r="J94" s="147"/>
      <c r="K94" s="217"/>
      <c r="L94" s="147"/>
      <c r="M94" s="217"/>
      <c r="N94" s="149"/>
      <c r="O94" s="226"/>
      <c r="P94" s="150"/>
      <c r="Q94" s="569"/>
    </row>
    <row r="95" spans="1:17" ht="15.75" hidden="1" customHeight="1" outlineLevel="2">
      <c r="A95" s="274"/>
      <c r="B95" s="143"/>
      <c r="C95" s="162" t="s">
        <v>358</v>
      </c>
      <c r="D95" s="160"/>
      <c r="E95" s="153"/>
      <c r="F95" s="153"/>
      <c r="G95" s="153"/>
      <c r="H95" s="154"/>
      <c r="I95" s="179"/>
      <c r="J95" s="182"/>
      <c r="K95" s="217"/>
      <c r="L95" s="147"/>
      <c r="M95" s="217"/>
      <c r="N95" s="149"/>
      <c r="O95" s="226"/>
      <c r="P95" s="150"/>
      <c r="Q95" s="569"/>
    </row>
    <row r="96" spans="1:17" ht="15.75" hidden="1" customHeight="1" outlineLevel="2">
      <c r="A96" s="274"/>
      <c r="B96" s="143"/>
      <c r="C96" s="162" t="s">
        <v>359</v>
      </c>
      <c r="D96" s="160"/>
      <c r="E96" s="153"/>
      <c r="F96" s="153"/>
      <c r="G96" s="153"/>
      <c r="H96" s="154"/>
      <c r="I96" s="146"/>
      <c r="J96" s="147"/>
      <c r="K96" s="217"/>
      <c r="L96" s="147"/>
      <c r="M96" s="217"/>
      <c r="N96" s="149"/>
      <c r="O96" s="226"/>
      <c r="P96" s="150"/>
      <c r="Q96" s="569"/>
    </row>
    <row r="97" spans="1:17" ht="15.75" hidden="1" customHeight="1" outlineLevel="2">
      <c r="A97" s="274"/>
      <c r="B97" s="143"/>
      <c r="C97" s="162" t="s">
        <v>388</v>
      </c>
      <c r="D97" s="180"/>
      <c r="E97" s="153"/>
      <c r="F97" s="153"/>
      <c r="G97" s="153"/>
      <c r="H97" s="154"/>
      <c r="I97" s="146"/>
      <c r="J97" s="147"/>
      <c r="K97" s="217"/>
      <c r="L97" s="147"/>
      <c r="M97" s="217"/>
      <c r="N97" s="149"/>
      <c r="O97" s="226"/>
      <c r="P97" s="150"/>
      <c r="Q97" s="569" t="s">
        <v>1226</v>
      </c>
    </row>
    <row r="98" spans="1:17" ht="15.75" hidden="1" customHeight="1" outlineLevel="2">
      <c r="A98" s="274"/>
      <c r="B98" s="143"/>
      <c r="C98" s="142" t="s">
        <v>381</v>
      </c>
      <c r="D98" s="160"/>
      <c r="E98" s="153"/>
      <c r="F98" s="153"/>
      <c r="G98" s="153"/>
      <c r="H98" s="154"/>
      <c r="I98" s="146"/>
      <c r="J98" s="147"/>
      <c r="K98" s="217"/>
      <c r="L98" s="147"/>
      <c r="M98" s="217"/>
      <c r="N98" s="149"/>
      <c r="O98" s="226"/>
      <c r="P98" s="150"/>
      <c r="Q98" s="569"/>
    </row>
    <row r="99" spans="1:17" ht="15.75" hidden="1" customHeight="1" outlineLevel="2">
      <c r="A99" s="274"/>
      <c r="B99" s="143"/>
      <c r="C99" s="162" t="s">
        <v>362</v>
      </c>
      <c r="D99" s="160"/>
      <c r="E99" s="153"/>
      <c r="F99" s="153"/>
      <c r="G99" s="153"/>
      <c r="H99" s="154"/>
      <c r="I99" s="146"/>
      <c r="J99" s="147"/>
      <c r="K99" s="217"/>
      <c r="L99" s="147"/>
      <c r="M99" s="217"/>
      <c r="N99" s="149"/>
      <c r="O99" s="226"/>
      <c r="P99" s="150"/>
      <c r="Q99" s="569"/>
    </row>
    <row r="100" spans="1:17" ht="15.75" hidden="1" customHeight="1" outlineLevel="2">
      <c r="A100" s="274"/>
      <c r="B100" s="143"/>
      <c r="C100" s="162" t="s">
        <v>363</v>
      </c>
      <c r="D100" s="160">
        <f>CIP!$AM$18</f>
        <v>80000</v>
      </c>
      <c r="E100" s="153"/>
      <c r="F100" s="153"/>
      <c r="G100" s="153"/>
      <c r="H100" s="154"/>
      <c r="I100" s="146">
        <f>SUM(D100:H100)</f>
        <v>80000</v>
      </c>
      <c r="J100" s="147"/>
      <c r="K100" s="217"/>
      <c r="L100" s="147"/>
      <c r="M100" s="217"/>
      <c r="N100" s="149"/>
      <c r="O100" s="226"/>
      <c r="P100" s="150">
        <f>SUM(I100,K100,M100,O100)</f>
        <v>80000</v>
      </c>
      <c r="Q100" s="569" t="s">
        <v>1358</v>
      </c>
    </row>
    <row r="101" spans="1:17" ht="15.75" hidden="1" customHeight="1" outlineLevel="2">
      <c r="A101" s="274"/>
      <c r="B101" s="143"/>
      <c r="C101" s="162" t="s">
        <v>358</v>
      </c>
      <c r="D101" s="160"/>
      <c r="E101" s="153"/>
      <c r="F101" s="153"/>
      <c r="G101" s="153"/>
      <c r="H101" s="154"/>
      <c r="I101" s="146"/>
      <c r="J101" s="147"/>
      <c r="K101" s="217"/>
      <c r="L101" s="147"/>
      <c r="M101" s="217"/>
      <c r="N101" s="149"/>
      <c r="O101" s="226"/>
      <c r="P101" s="150"/>
      <c r="Q101" s="569"/>
    </row>
    <row r="102" spans="1:17" ht="15.75" hidden="1" customHeight="1" outlineLevel="2">
      <c r="A102" s="274"/>
      <c r="B102" s="143"/>
      <c r="C102" s="162" t="s">
        <v>364</v>
      </c>
      <c r="D102" s="160"/>
      <c r="E102" s="153"/>
      <c r="F102" s="153"/>
      <c r="G102" s="153"/>
      <c r="H102" s="154"/>
      <c r="I102" s="146"/>
      <c r="J102" s="147"/>
      <c r="K102" s="217"/>
      <c r="L102" s="147"/>
      <c r="M102" s="217"/>
      <c r="N102" s="149"/>
      <c r="O102" s="226"/>
      <c r="P102" s="150"/>
      <c r="Q102" s="569"/>
    </row>
    <row r="103" spans="1:17" ht="15.75" hidden="1" customHeight="1" outlineLevel="2">
      <c r="A103" s="274"/>
      <c r="B103" s="143"/>
      <c r="C103" s="142" t="s">
        <v>389</v>
      </c>
      <c r="D103" s="160"/>
      <c r="E103" s="153"/>
      <c r="F103" s="153"/>
      <c r="G103" s="153"/>
      <c r="H103" s="154"/>
      <c r="I103" s="146"/>
      <c r="J103" s="147"/>
      <c r="K103" s="217"/>
      <c r="L103" s="147"/>
      <c r="M103" s="217"/>
      <c r="N103" s="149"/>
      <c r="O103" s="226"/>
      <c r="P103" s="150"/>
      <c r="Q103" s="569"/>
    </row>
    <row r="104" spans="1:17" ht="15.75" hidden="1" customHeight="1" outlineLevel="2">
      <c r="A104" s="274"/>
      <c r="B104" s="143"/>
      <c r="C104" s="162" t="s">
        <v>366</v>
      </c>
      <c r="D104" s="160"/>
      <c r="E104" s="153"/>
      <c r="F104" s="153"/>
      <c r="G104" s="153"/>
      <c r="H104" s="154"/>
      <c r="I104" s="146"/>
      <c r="J104" s="147"/>
      <c r="K104" s="217"/>
      <c r="L104" s="147"/>
      <c r="M104" s="217"/>
      <c r="N104" s="149"/>
      <c r="O104" s="226"/>
      <c r="P104" s="150"/>
      <c r="Q104" s="569"/>
    </row>
    <row r="105" spans="1:17" ht="15.75" hidden="1" customHeight="1" outlineLevel="2">
      <c r="A105" s="274"/>
      <c r="B105" s="143"/>
      <c r="C105" s="162" t="s">
        <v>358</v>
      </c>
      <c r="D105" s="160"/>
      <c r="E105" s="153"/>
      <c r="F105" s="153"/>
      <c r="G105" s="153"/>
      <c r="H105" s="154"/>
      <c r="I105" s="146"/>
      <c r="J105" s="147"/>
      <c r="K105" s="217"/>
      <c r="L105" s="147"/>
      <c r="M105" s="217"/>
      <c r="N105" s="149"/>
      <c r="O105" s="226"/>
      <c r="P105" s="150"/>
      <c r="Q105" s="569"/>
    </row>
    <row r="106" spans="1:17" ht="15.75" hidden="1" customHeight="1" outlineLevel="2">
      <c r="A106" s="274"/>
      <c r="B106" s="143"/>
      <c r="C106" s="162" t="s">
        <v>367</v>
      </c>
      <c r="D106" s="160"/>
      <c r="E106" s="153"/>
      <c r="F106" s="153"/>
      <c r="G106" s="153"/>
      <c r="H106" s="183"/>
      <c r="I106" s="156"/>
      <c r="J106" s="147"/>
      <c r="K106" s="217"/>
      <c r="L106" s="147"/>
      <c r="M106" s="217"/>
      <c r="N106" s="149"/>
      <c r="O106" s="226"/>
      <c r="P106" s="150"/>
      <c r="Q106" s="569"/>
    </row>
    <row r="107" spans="1:17" ht="15.75" hidden="1" customHeight="1" outlineLevel="2">
      <c r="A107" s="274"/>
      <c r="B107" s="143"/>
      <c r="C107" s="162" t="s">
        <v>368</v>
      </c>
      <c r="D107" s="160"/>
      <c r="E107" s="153"/>
      <c r="F107" s="153"/>
      <c r="G107" s="153"/>
      <c r="H107" s="154"/>
      <c r="I107" s="146"/>
      <c r="J107" s="147"/>
      <c r="K107" s="217"/>
      <c r="L107" s="147"/>
      <c r="M107" s="217"/>
      <c r="N107" s="149"/>
      <c r="O107" s="226"/>
      <c r="P107" s="150"/>
      <c r="Q107" s="569"/>
    </row>
    <row r="108" spans="1:17" ht="15.75" hidden="1" customHeight="1" outlineLevel="2">
      <c r="A108" s="274"/>
      <c r="B108" s="143"/>
      <c r="C108" s="142" t="s">
        <v>383</v>
      </c>
      <c r="D108" s="160"/>
      <c r="E108" s="153"/>
      <c r="F108" s="153"/>
      <c r="G108" s="153"/>
      <c r="H108" s="154"/>
      <c r="I108" s="146"/>
      <c r="J108" s="147"/>
      <c r="K108" s="217"/>
      <c r="L108" s="147"/>
      <c r="M108" s="217"/>
      <c r="N108" s="149"/>
      <c r="O108" s="226"/>
      <c r="P108" s="150"/>
      <c r="Q108" s="569"/>
    </row>
    <row r="109" spans="1:17" ht="15.75" hidden="1" customHeight="1" outlineLevel="2">
      <c r="A109" s="274"/>
      <c r="B109" s="143"/>
      <c r="C109" s="162" t="s">
        <v>370</v>
      </c>
      <c r="D109" s="160"/>
      <c r="E109" s="153"/>
      <c r="F109" s="153"/>
      <c r="G109" s="153"/>
      <c r="H109" s="154"/>
      <c r="I109" s="146"/>
      <c r="J109" s="147"/>
      <c r="K109" s="217"/>
      <c r="L109" s="147"/>
      <c r="M109" s="217"/>
      <c r="N109" s="149"/>
      <c r="O109" s="226"/>
      <c r="P109" s="150"/>
      <c r="Q109" s="569"/>
    </row>
    <row r="110" spans="1:17" ht="15.75" hidden="1" customHeight="1" outlineLevel="2">
      <c r="A110" s="274"/>
      <c r="B110" s="143"/>
      <c r="C110" s="162" t="s">
        <v>371</v>
      </c>
      <c r="D110" s="160"/>
      <c r="E110" s="153"/>
      <c r="F110" s="153"/>
      <c r="G110" s="153"/>
      <c r="H110" s="154"/>
      <c r="I110" s="146"/>
      <c r="J110" s="147"/>
      <c r="K110" s="217"/>
      <c r="L110" s="147"/>
      <c r="M110" s="217"/>
      <c r="N110" s="149"/>
      <c r="O110" s="226"/>
      <c r="P110" s="150"/>
      <c r="Q110" s="569"/>
    </row>
    <row r="111" spans="1:17" ht="15.75" hidden="1" customHeight="1" outlineLevel="2">
      <c r="A111" s="274"/>
      <c r="B111" s="143"/>
      <c r="C111" s="162" t="s">
        <v>372</v>
      </c>
      <c r="D111" s="160"/>
      <c r="E111" s="153"/>
      <c r="F111" s="153"/>
      <c r="G111" s="153"/>
      <c r="H111" s="154"/>
      <c r="I111" s="146"/>
      <c r="J111" s="147"/>
      <c r="K111" s="217"/>
      <c r="L111" s="147"/>
      <c r="M111" s="217"/>
      <c r="N111" s="149"/>
      <c r="O111" s="226"/>
      <c r="P111" s="150"/>
      <c r="Q111" s="569"/>
    </row>
    <row r="112" spans="1:17" ht="15.75" hidden="1" customHeight="1" outlineLevel="2">
      <c r="A112" s="274"/>
      <c r="B112" s="143"/>
      <c r="C112" s="162" t="s">
        <v>373</v>
      </c>
      <c r="D112" s="160"/>
      <c r="E112" s="153"/>
      <c r="F112" s="153"/>
      <c r="G112" s="153"/>
      <c r="H112" s="154"/>
      <c r="I112" s="146"/>
      <c r="J112" s="147"/>
      <c r="K112" s="217"/>
      <c r="L112" s="147"/>
      <c r="M112" s="217"/>
      <c r="N112" s="149"/>
      <c r="O112" s="226"/>
      <c r="P112" s="150"/>
      <c r="Q112" s="569"/>
    </row>
    <row r="113" spans="1:17" ht="15.75" hidden="1" customHeight="1" outlineLevel="2">
      <c r="A113" s="274"/>
      <c r="B113" s="143"/>
      <c r="C113" s="142" t="s">
        <v>384</v>
      </c>
      <c r="D113" s="160"/>
      <c r="E113" s="153"/>
      <c r="F113" s="153"/>
      <c r="G113" s="202"/>
      <c r="H113" s="200"/>
      <c r="I113" s="156"/>
      <c r="J113" s="184"/>
      <c r="K113" s="222"/>
      <c r="L113" s="184"/>
      <c r="M113" s="222"/>
      <c r="N113" s="183"/>
      <c r="O113" s="417"/>
      <c r="P113" s="150"/>
      <c r="Q113" s="569"/>
    </row>
    <row r="114" spans="1:17" ht="15.75" hidden="1" customHeight="1" outlineLevel="2">
      <c r="A114" s="274"/>
      <c r="B114" s="143"/>
      <c r="C114" s="162" t="s">
        <v>375</v>
      </c>
      <c r="D114" s="160"/>
      <c r="E114" s="153"/>
      <c r="F114" s="153"/>
      <c r="G114" s="202"/>
      <c r="H114" s="200"/>
      <c r="I114" s="156"/>
      <c r="J114" s="184"/>
      <c r="K114" s="222"/>
      <c r="L114" s="184"/>
      <c r="M114" s="222"/>
      <c r="N114" s="183"/>
      <c r="O114" s="417"/>
      <c r="P114" s="150"/>
      <c r="Q114" s="569"/>
    </row>
    <row r="115" spans="1:17" ht="15.75" hidden="1" customHeight="1" outlineLevel="2">
      <c r="A115" s="274"/>
      <c r="B115" s="143"/>
      <c r="C115" s="162" t="s">
        <v>376</v>
      </c>
      <c r="D115" s="160"/>
      <c r="E115" s="153"/>
      <c r="F115" s="153"/>
      <c r="G115" s="202"/>
      <c r="H115" s="200"/>
      <c r="I115" s="156"/>
      <c r="J115" s="184"/>
      <c r="K115" s="222"/>
      <c r="L115" s="184"/>
      <c r="M115" s="222"/>
      <c r="N115" s="183"/>
      <c r="O115" s="417"/>
      <c r="P115" s="150"/>
      <c r="Q115" s="569"/>
    </row>
    <row r="116" spans="1:17" ht="15.75" hidden="1" customHeight="1" outlineLevel="2">
      <c r="A116" s="274"/>
      <c r="B116" s="143"/>
      <c r="C116" s="162" t="s">
        <v>377</v>
      </c>
      <c r="D116" s="160"/>
      <c r="E116" s="153"/>
      <c r="F116" s="153"/>
      <c r="G116" s="202"/>
      <c r="H116" s="200"/>
      <c r="I116" s="156"/>
      <c r="J116" s="184"/>
      <c r="K116" s="222"/>
      <c r="L116" s="184"/>
      <c r="M116" s="222"/>
      <c r="N116" s="183"/>
      <c r="O116" s="417"/>
      <c r="P116" s="150"/>
      <c r="Q116" s="569"/>
    </row>
    <row r="117" spans="1:17" ht="15.75" hidden="1" customHeight="1" outlineLevel="2">
      <c r="A117" s="274"/>
      <c r="B117" s="143"/>
      <c r="C117" s="162" t="s">
        <v>385</v>
      </c>
      <c r="D117" s="160">
        <f>CIP!$AM$36</f>
        <v>750000</v>
      </c>
      <c r="E117" s="153"/>
      <c r="F117" s="153"/>
      <c r="G117" s="202"/>
      <c r="H117" s="202">
        <f>CIP!$AQ$36</f>
        <v>17500000.017528396</v>
      </c>
      <c r="I117" s="156">
        <f>SUM(D117:H117)</f>
        <v>18250000.017528396</v>
      </c>
      <c r="J117" s="185">
        <v>19715447</v>
      </c>
      <c r="K117" s="222">
        <f>J117*1.23</f>
        <v>24249999.809999999</v>
      </c>
      <c r="L117" s="184"/>
      <c r="M117" s="222"/>
      <c r="N117" s="183"/>
      <c r="O117" s="417"/>
      <c r="P117" s="150">
        <f>SUM(I117,K117,M117,O117)</f>
        <v>42499999.827528395</v>
      </c>
      <c r="Q117" s="569" t="s">
        <v>1359</v>
      </c>
    </row>
    <row r="118" spans="1:17" ht="15.75" hidden="1" customHeight="1" outlineLevel="2">
      <c r="A118" s="274"/>
      <c r="B118" s="143"/>
      <c r="C118" s="181" t="s">
        <v>394</v>
      </c>
      <c r="D118" s="160"/>
      <c r="E118" s="153"/>
      <c r="F118" s="153"/>
      <c r="G118" s="202"/>
      <c r="H118" s="200"/>
      <c r="I118" s="156"/>
      <c r="J118" s="184"/>
      <c r="K118" s="222"/>
      <c r="L118" s="184"/>
      <c r="M118" s="222"/>
      <c r="N118" s="183"/>
      <c r="O118" s="417"/>
      <c r="P118" s="150"/>
      <c r="Q118" s="569"/>
    </row>
    <row r="119" spans="1:17" s="130" customFormat="1" ht="15.75" hidden="1" customHeight="1" outlineLevel="1" collapsed="1">
      <c r="A119" s="275"/>
      <c r="B119" s="250"/>
      <c r="C119" s="142" t="s">
        <v>392</v>
      </c>
      <c r="D119" s="220">
        <f>SUM(D92:D118)</f>
        <v>830000</v>
      </c>
      <c r="E119" s="217"/>
      <c r="F119" s="217"/>
      <c r="G119" s="222"/>
      <c r="H119" s="223">
        <f>SUM(H99:H118)</f>
        <v>17500000.017528396</v>
      </c>
      <c r="I119" s="207">
        <f>SUM(I92:I117)</f>
        <v>18330000.017528396</v>
      </c>
      <c r="J119" s="186">
        <f>SUM(J97:J118)</f>
        <v>19715447</v>
      </c>
      <c r="K119" s="222">
        <f>SUM(K97:K118)</f>
        <v>24249999.809999999</v>
      </c>
      <c r="L119" s="184"/>
      <c r="M119" s="222"/>
      <c r="N119" s="183"/>
      <c r="O119" s="417"/>
      <c r="P119" s="150">
        <f>SUM(I119,K119,M119,O119)</f>
        <v>42579999.827528395</v>
      </c>
      <c r="Q119" s="569"/>
    </row>
    <row r="120" spans="1:17" ht="15.75" hidden="1" customHeight="1" outlineLevel="2">
      <c r="A120" s="274"/>
      <c r="B120" s="142" t="s">
        <v>395</v>
      </c>
      <c r="C120" s="159"/>
      <c r="D120" s="160"/>
      <c r="E120" s="153"/>
      <c r="F120" s="153"/>
      <c r="G120" s="202"/>
      <c r="H120" s="200"/>
      <c r="I120" s="156"/>
      <c r="J120" s="185"/>
      <c r="K120" s="222"/>
      <c r="L120" s="184"/>
      <c r="M120" s="222"/>
      <c r="N120" s="183"/>
      <c r="O120" s="417"/>
      <c r="P120" s="150"/>
      <c r="Q120" s="569"/>
    </row>
    <row r="121" spans="1:17" ht="15.75" hidden="1" customHeight="1" outlineLevel="2">
      <c r="A121" s="274"/>
      <c r="B121" s="159"/>
      <c r="C121" s="142" t="s">
        <v>380</v>
      </c>
      <c r="D121" s="160"/>
      <c r="E121" s="153"/>
      <c r="F121" s="153"/>
      <c r="G121" s="202"/>
      <c r="H121" s="200"/>
      <c r="I121" s="156"/>
      <c r="J121" s="184"/>
      <c r="K121" s="222"/>
      <c r="L121" s="184"/>
      <c r="M121" s="222"/>
      <c r="N121" s="183"/>
      <c r="O121" s="417"/>
      <c r="P121" s="150"/>
      <c r="Q121" s="569"/>
    </row>
    <row r="122" spans="1:17" ht="15.75" hidden="1" customHeight="1" outlineLevel="2">
      <c r="A122" s="274"/>
      <c r="B122" s="159"/>
      <c r="C122" s="162" t="s">
        <v>396</v>
      </c>
      <c r="D122" s="160"/>
      <c r="E122" s="153"/>
      <c r="F122" s="153"/>
      <c r="G122" s="202"/>
      <c r="H122" s="200"/>
      <c r="I122" s="156"/>
      <c r="J122" s="184"/>
      <c r="K122" s="222"/>
      <c r="L122" s="184"/>
      <c r="M122" s="222"/>
      <c r="N122" s="183"/>
      <c r="O122" s="417"/>
      <c r="P122" s="150"/>
      <c r="Q122" s="569"/>
    </row>
    <row r="123" spans="1:17" ht="15.75" hidden="1" customHeight="1" outlineLevel="2">
      <c r="A123" s="274"/>
      <c r="B123" s="159"/>
      <c r="C123" s="162" t="s">
        <v>357</v>
      </c>
      <c r="D123" s="160"/>
      <c r="E123" s="153"/>
      <c r="F123" s="153"/>
      <c r="G123" s="202"/>
      <c r="H123" s="200"/>
      <c r="I123" s="156"/>
      <c r="J123" s="184"/>
      <c r="K123" s="222"/>
      <c r="L123" s="184"/>
      <c r="M123" s="222"/>
      <c r="N123" s="183"/>
      <c r="O123" s="417"/>
      <c r="P123" s="150"/>
      <c r="Q123" s="569"/>
    </row>
    <row r="124" spans="1:17" ht="15.75" hidden="1" customHeight="1" outlineLevel="2">
      <c r="A124" s="274"/>
      <c r="B124" s="159"/>
      <c r="C124" s="162" t="s">
        <v>358</v>
      </c>
      <c r="D124" s="160"/>
      <c r="E124" s="153"/>
      <c r="F124" s="153"/>
      <c r="G124" s="202"/>
      <c r="H124" s="200"/>
      <c r="I124" s="203"/>
      <c r="J124" s="186"/>
      <c r="K124" s="222"/>
      <c r="L124" s="184"/>
      <c r="M124" s="222"/>
      <c r="N124" s="183"/>
      <c r="O124" s="417"/>
      <c r="P124" s="150"/>
      <c r="Q124" s="569"/>
    </row>
    <row r="125" spans="1:17" ht="15.75" hidden="1" customHeight="1" outlineLevel="2">
      <c r="A125" s="274"/>
      <c r="B125" s="159"/>
      <c r="C125" s="162" t="s">
        <v>359</v>
      </c>
      <c r="D125" s="160"/>
      <c r="E125" s="153"/>
      <c r="F125" s="153"/>
      <c r="G125" s="202"/>
      <c r="H125" s="200"/>
      <c r="I125" s="156"/>
      <c r="J125" s="184"/>
      <c r="K125" s="222"/>
      <c r="L125" s="184"/>
      <c r="M125" s="222"/>
      <c r="N125" s="183"/>
      <c r="O125" s="417"/>
      <c r="P125" s="150"/>
      <c r="Q125" s="569"/>
    </row>
    <row r="126" spans="1:17" ht="15.75" hidden="1" customHeight="1" outlineLevel="2">
      <c r="A126" s="274"/>
      <c r="B126" s="159"/>
      <c r="C126" s="162" t="s">
        <v>388</v>
      </c>
      <c r="D126" s="187"/>
      <c r="E126" s="153"/>
      <c r="F126" s="153"/>
      <c r="G126" s="202"/>
      <c r="H126" s="200"/>
      <c r="I126" s="156"/>
      <c r="J126" s="184"/>
      <c r="K126" s="222"/>
      <c r="L126" s="184"/>
      <c r="M126" s="222"/>
      <c r="N126" s="183"/>
      <c r="O126" s="417"/>
      <c r="P126" s="150"/>
      <c r="Q126" s="569" t="s">
        <v>1362</v>
      </c>
    </row>
    <row r="127" spans="1:17" ht="15.75" hidden="1" customHeight="1" outlineLevel="2">
      <c r="A127" s="274"/>
      <c r="B127" s="159"/>
      <c r="C127" s="142" t="s">
        <v>381</v>
      </c>
      <c r="D127" s="160"/>
      <c r="E127" s="153"/>
      <c r="F127" s="153"/>
      <c r="G127" s="202"/>
      <c r="H127" s="200"/>
      <c r="I127" s="156"/>
      <c r="J127" s="184"/>
      <c r="K127" s="222"/>
      <c r="L127" s="184"/>
      <c r="M127" s="222"/>
      <c r="N127" s="183"/>
      <c r="O127" s="417"/>
      <c r="P127" s="150"/>
      <c r="Q127" s="569"/>
    </row>
    <row r="128" spans="1:17" ht="15.75" hidden="1" customHeight="1" outlineLevel="2">
      <c r="A128" s="274"/>
      <c r="B128" s="159"/>
      <c r="C128" s="162" t="s">
        <v>362</v>
      </c>
      <c r="D128" s="160"/>
      <c r="E128" s="153"/>
      <c r="F128" s="153"/>
      <c r="G128" s="202"/>
      <c r="H128" s="200"/>
      <c r="I128" s="156"/>
      <c r="J128" s="184"/>
      <c r="K128" s="222"/>
      <c r="L128" s="184"/>
      <c r="M128" s="222"/>
      <c r="N128" s="183"/>
      <c r="O128" s="417"/>
      <c r="P128" s="150"/>
      <c r="Q128" s="569"/>
    </row>
    <row r="129" spans="1:17" ht="15.75" hidden="1" customHeight="1" outlineLevel="2">
      <c r="A129" s="274"/>
      <c r="B129" s="159"/>
      <c r="C129" s="162" t="s">
        <v>363</v>
      </c>
      <c r="D129" s="160"/>
      <c r="E129" s="153"/>
      <c r="F129" s="153"/>
      <c r="G129" s="202"/>
      <c r="H129" s="200"/>
      <c r="I129" s="156"/>
      <c r="J129" s="184"/>
      <c r="K129" s="222"/>
      <c r="L129" s="184"/>
      <c r="M129" s="222"/>
      <c r="N129" s="183"/>
      <c r="O129" s="417"/>
      <c r="P129" s="150"/>
      <c r="Q129" s="569"/>
    </row>
    <row r="130" spans="1:17" ht="15.75" hidden="1" customHeight="1" outlineLevel="2">
      <c r="A130" s="274"/>
      <c r="B130" s="159"/>
      <c r="C130" s="162" t="s">
        <v>358</v>
      </c>
      <c r="D130" s="160"/>
      <c r="E130" s="153"/>
      <c r="F130" s="153"/>
      <c r="G130" s="202"/>
      <c r="H130" s="200"/>
      <c r="I130" s="156"/>
      <c r="J130" s="184"/>
      <c r="K130" s="222"/>
      <c r="L130" s="184"/>
      <c r="M130" s="222"/>
      <c r="N130" s="183"/>
      <c r="O130" s="417"/>
      <c r="P130" s="150"/>
      <c r="Q130" s="569"/>
    </row>
    <row r="131" spans="1:17" ht="15.75" hidden="1" customHeight="1" outlineLevel="2">
      <c r="A131" s="274"/>
      <c r="B131" s="159"/>
      <c r="C131" s="162" t="s">
        <v>364</v>
      </c>
      <c r="D131" s="160"/>
      <c r="E131" s="153"/>
      <c r="F131" s="153"/>
      <c r="G131" s="202"/>
      <c r="H131" s="200"/>
      <c r="I131" s="156"/>
      <c r="J131" s="184"/>
      <c r="K131" s="222"/>
      <c r="L131" s="184"/>
      <c r="M131" s="222"/>
      <c r="N131" s="183"/>
      <c r="O131" s="417"/>
      <c r="P131" s="150"/>
      <c r="Q131" s="569"/>
    </row>
    <row r="132" spans="1:17" ht="15.75" hidden="1" customHeight="1" outlineLevel="2">
      <c r="A132" s="274"/>
      <c r="B132" s="159"/>
      <c r="C132" s="142" t="s">
        <v>382</v>
      </c>
      <c r="D132" s="160"/>
      <c r="E132" s="153"/>
      <c r="F132" s="153"/>
      <c r="G132" s="202"/>
      <c r="H132" s="200"/>
      <c r="I132" s="156"/>
      <c r="J132" s="184"/>
      <c r="K132" s="222"/>
      <c r="L132" s="184"/>
      <c r="M132" s="222"/>
      <c r="N132" s="183"/>
      <c r="O132" s="417"/>
      <c r="P132" s="150"/>
      <c r="Q132" s="569"/>
    </row>
    <row r="133" spans="1:17" ht="15.75" hidden="1" customHeight="1" outlineLevel="2">
      <c r="A133" s="274"/>
      <c r="B133" s="159"/>
      <c r="C133" s="162" t="s">
        <v>366</v>
      </c>
      <c r="D133" s="160"/>
      <c r="E133" s="153"/>
      <c r="F133" s="153"/>
      <c r="G133" s="202"/>
      <c r="H133" s="200"/>
      <c r="I133" s="156"/>
      <c r="J133" s="184"/>
      <c r="K133" s="222"/>
      <c r="L133" s="184"/>
      <c r="M133" s="222"/>
      <c r="N133" s="183"/>
      <c r="O133" s="417"/>
      <c r="P133" s="150"/>
      <c r="Q133" s="569"/>
    </row>
    <row r="134" spans="1:17" ht="15.75" hidden="1" customHeight="1" outlineLevel="2">
      <c r="A134" s="274"/>
      <c r="B134" s="159"/>
      <c r="C134" s="162" t="s">
        <v>358</v>
      </c>
      <c r="D134" s="160"/>
      <c r="E134" s="153"/>
      <c r="F134" s="153"/>
      <c r="G134" s="202"/>
      <c r="H134" s="200"/>
      <c r="I134" s="156"/>
      <c r="J134" s="184"/>
      <c r="K134" s="222"/>
      <c r="L134" s="184"/>
      <c r="M134" s="222"/>
      <c r="N134" s="183"/>
      <c r="O134" s="417"/>
      <c r="P134" s="150"/>
      <c r="Q134" s="569"/>
    </row>
    <row r="135" spans="1:17" ht="15.75" hidden="1" customHeight="1" outlineLevel="2">
      <c r="A135" s="274"/>
      <c r="B135" s="159"/>
      <c r="C135" s="162" t="s">
        <v>367</v>
      </c>
      <c r="D135" s="160"/>
      <c r="E135" s="153"/>
      <c r="F135" s="153"/>
      <c r="G135" s="202"/>
      <c r="H135" s="200"/>
      <c r="I135" s="156"/>
      <c r="J135" s="184"/>
      <c r="K135" s="222"/>
      <c r="L135" s="184"/>
      <c r="M135" s="222"/>
      <c r="N135" s="183"/>
      <c r="O135" s="417"/>
      <c r="P135" s="150"/>
      <c r="Q135" s="569"/>
    </row>
    <row r="136" spans="1:17" ht="15.75" hidden="1" customHeight="1" outlineLevel="2">
      <c r="A136" s="274"/>
      <c r="B136" s="159"/>
      <c r="C136" s="162" t="s">
        <v>368</v>
      </c>
      <c r="D136" s="160"/>
      <c r="E136" s="153"/>
      <c r="F136" s="153"/>
      <c r="G136" s="202"/>
      <c r="H136" s="200"/>
      <c r="I136" s="156"/>
      <c r="J136" s="184"/>
      <c r="K136" s="222"/>
      <c r="L136" s="184"/>
      <c r="M136" s="222"/>
      <c r="N136" s="183"/>
      <c r="O136" s="417"/>
      <c r="P136" s="150"/>
      <c r="Q136" s="569"/>
    </row>
    <row r="137" spans="1:17" ht="15.75" hidden="1" customHeight="1" outlineLevel="2">
      <c r="A137" s="274"/>
      <c r="B137" s="159"/>
      <c r="C137" s="142" t="s">
        <v>383</v>
      </c>
      <c r="D137" s="160"/>
      <c r="E137" s="153"/>
      <c r="F137" s="153"/>
      <c r="G137" s="202"/>
      <c r="H137" s="200"/>
      <c r="I137" s="156"/>
      <c r="J137" s="184"/>
      <c r="K137" s="222"/>
      <c r="L137" s="184"/>
      <c r="M137" s="222"/>
      <c r="N137" s="183"/>
      <c r="O137" s="417"/>
      <c r="P137" s="150"/>
      <c r="Q137" s="569"/>
    </row>
    <row r="138" spans="1:17" ht="15.75" hidden="1" customHeight="1" outlineLevel="2">
      <c r="A138" s="274"/>
      <c r="B138" s="159"/>
      <c r="C138" s="162" t="s">
        <v>370</v>
      </c>
      <c r="D138" s="188"/>
      <c r="E138" s="185"/>
      <c r="F138" s="185"/>
      <c r="G138" s="185"/>
      <c r="H138" s="200"/>
      <c r="I138" s="156"/>
      <c r="J138" s="187">
        <v>250000</v>
      </c>
      <c r="K138" s="222">
        <f>J138*1.23</f>
        <v>307500</v>
      </c>
      <c r="L138" s="184"/>
      <c r="M138" s="222"/>
      <c r="N138" s="183"/>
      <c r="O138" s="417"/>
      <c r="P138" s="150">
        <f>SUM(I138,K138,M138,O138)</f>
        <v>307500</v>
      </c>
      <c r="Q138" s="569"/>
    </row>
    <row r="139" spans="1:17" ht="15.75" hidden="1" customHeight="1" outlineLevel="2">
      <c r="A139" s="274"/>
      <c r="B139" s="159"/>
      <c r="C139" s="162" t="s">
        <v>371</v>
      </c>
      <c r="D139" s="160"/>
      <c r="E139" s="153"/>
      <c r="F139" s="153"/>
      <c r="G139" s="202"/>
      <c r="H139" s="200"/>
      <c r="I139" s="156"/>
      <c r="J139" s="184"/>
      <c r="K139" s="222"/>
      <c r="L139" s="184"/>
      <c r="M139" s="222"/>
      <c r="N139" s="183"/>
      <c r="O139" s="417"/>
      <c r="P139" s="150"/>
      <c r="Q139" s="569"/>
    </row>
    <row r="140" spans="1:17" ht="15.75" hidden="1" customHeight="1" outlineLevel="2">
      <c r="A140" s="274"/>
      <c r="B140" s="159"/>
      <c r="C140" s="162" t="s">
        <v>372</v>
      </c>
      <c r="D140" s="160"/>
      <c r="E140" s="153"/>
      <c r="F140" s="153"/>
      <c r="G140" s="202"/>
      <c r="H140" s="200"/>
      <c r="I140" s="156"/>
      <c r="J140" s="184"/>
      <c r="K140" s="222"/>
      <c r="L140" s="184"/>
      <c r="M140" s="222"/>
      <c r="N140" s="183"/>
      <c r="O140" s="417"/>
      <c r="P140" s="150"/>
      <c r="Q140" s="569"/>
    </row>
    <row r="141" spans="1:17" ht="15.75" hidden="1" customHeight="1" outlineLevel="2">
      <c r="A141" s="274"/>
      <c r="B141" s="159"/>
      <c r="C141" s="162" t="s">
        <v>373</v>
      </c>
      <c r="D141" s="187">
        <f>CIP!$AM$28</f>
        <v>200000</v>
      </c>
      <c r="E141" s="153"/>
      <c r="F141" s="185"/>
      <c r="G141" s="185"/>
      <c r="H141" s="200"/>
      <c r="I141" s="156">
        <v>200000</v>
      </c>
      <c r="J141" s="184"/>
      <c r="K141" s="222"/>
      <c r="L141" s="184"/>
      <c r="M141" s="222"/>
      <c r="N141" s="183"/>
      <c r="O141" s="417"/>
      <c r="P141" s="150">
        <f>SUM(I141,K141,M141,O141)</f>
        <v>200000</v>
      </c>
      <c r="Q141" s="568" t="s">
        <v>1360</v>
      </c>
    </row>
    <row r="142" spans="1:17" ht="15.75" hidden="1" customHeight="1" outlineLevel="2">
      <c r="A142" s="274"/>
      <c r="B142" s="159"/>
      <c r="C142" s="142" t="s">
        <v>384</v>
      </c>
      <c r="D142" s="160"/>
      <c r="E142" s="153"/>
      <c r="F142" s="153"/>
      <c r="G142" s="202"/>
      <c r="H142" s="200"/>
      <c r="I142" s="156"/>
      <c r="J142" s="184"/>
      <c r="K142" s="222"/>
      <c r="L142" s="184"/>
      <c r="M142" s="222"/>
      <c r="N142" s="183"/>
      <c r="O142" s="417"/>
      <c r="P142" s="150"/>
      <c r="Q142" s="569"/>
    </row>
    <row r="143" spans="1:17" ht="15.75" hidden="1" customHeight="1" outlineLevel="2">
      <c r="A143" s="274"/>
      <c r="B143" s="159"/>
      <c r="C143" s="162" t="s">
        <v>375</v>
      </c>
      <c r="D143" s="160"/>
      <c r="E143" s="153"/>
      <c r="F143" s="153"/>
      <c r="G143" s="202"/>
      <c r="H143" s="200"/>
      <c r="I143" s="156"/>
      <c r="J143" s="184"/>
      <c r="K143" s="222"/>
      <c r="L143" s="184"/>
      <c r="M143" s="222"/>
      <c r="N143" s="183"/>
      <c r="O143" s="417"/>
      <c r="P143" s="150"/>
      <c r="Q143" s="569"/>
    </row>
    <row r="144" spans="1:17" ht="15.75" hidden="1" customHeight="1" outlineLevel="2">
      <c r="A144" s="274"/>
      <c r="B144" s="159"/>
      <c r="C144" s="162" t="s">
        <v>376</v>
      </c>
      <c r="D144" s="160"/>
      <c r="E144" s="153"/>
      <c r="F144" s="153"/>
      <c r="G144" s="202"/>
      <c r="H144" s="200"/>
      <c r="I144" s="156"/>
      <c r="J144" s="184"/>
      <c r="K144" s="222"/>
      <c r="L144" s="184"/>
      <c r="M144" s="222"/>
      <c r="N144" s="183"/>
      <c r="O144" s="417"/>
      <c r="P144" s="150"/>
      <c r="Q144" s="569"/>
    </row>
    <row r="145" spans="1:17" ht="15.75" hidden="1" customHeight="1" outlineLevel="2">
      <c r="A145" s="274"/>
      <c r="B145" s="159"/>
      <c r="C145" s="162" t="s">
        <v>377</v>
      </c>
      <c r="D145" s="160"/>
      <c r="E145" s="153"/>
      <c r="F145" s="153"/>
      <c r="G145" s="202"/>
      <c r="H145" s="200"/>
      <c r="I145" s="156"/>
      <c r="J145" s="184"/>
      <c r="K145" s="222"/>
      <c r="L145" s="184"/>
      <c r="M145" s="222"/>
      <c r="N145" s="183"/>
      <c r="O145" s="417"/>
      <c r="P145" s="150"/>
      <c r="Q145" s="569"/>
    </row>
    <row r="146" spans="1:17" ht="15.75" hidden="1" customHeight="1" outlineLevel="2">
      <c r="A146" s="274"/>
      <c r="B146" s="159"/>
      <c r="C146" s="162" t="s">
        <v>385</v>
      </c>
      <c r="D146" s="160"/>
      <c r="E146" s="153"/>
      <c r="F146" s="153"/>
      <c r="G146" s="202"/>
      <c r="H146" s="200"/>
      <c r="I146" s="156"/>
      <c r="J146" s="185">
        <v>30750000</v>
      </c>
      <c r="K146" s="222">
        <f>J146*1.23</f>
        <v>37822500</v>
      </c>
      <c r="L146" s="184"/>
      <c r="M146" s="222"/>
      <c r="N146" s="183"/>
      <c r="O146" s="417"/>
      <c r="P146" s="150">
        <f>SUM(I146,K146,M146,O146)</f>
        <v>37822500</v>
      </c>
      <c r="Q146" s="568" t="s">
        <v>1361</v>
      </c>
    </row>
    <row r="147" spans="1:17" s="130" customFormat="1" ht="15.75" hidden="1" customHeight="1" outlineLevel="1" collapsed="1">
      <c r="A147" s="275"/>
      <c r="B147" s="142"/>
      <c r="C147" s="142" t="s">
        <v>395</v>
      </c>
      <c r="D147" s="220">
        <f>SUM(D123:D146)</f>
        <v>200000</v>
      </c>
      <c r="E147" s="217"/>
      <c r="F147" s="217"/>
      <c r="G147" s="222"/>
      <c r="H147" s="223"/>
      <c r="I147" s="207">
        <f>SUM(I122:I146)</f>
        <v>200000</v>
      </c>
      <c r="J147" s="184">
        <f>SUM(J121:J146)</f>
        <v>31000000</v>
      </c>
      <c r="K147" s="222">
        <f>J147*1.23</f>
        <v>38130000</v>
      </c>
      <c r="L147" s="184"/>
      <c r="M147" s="222"/>
      <c r="N147" s="183"/>
      <c r="O147" s="417"/>
      <c r="P147" s="150">
        <f>SUM(I147,K147,M147,O147)</f>
        <v>38330000</v>
      </c>
      <c r="Q147" s="569"/>
    </row>
    <row r="148" spans="1:17" ht="15.75" hidden="1" customHeight="1" outlineLevel="2">
      <c r="A148" s="274"/>
      <c r="B148" s="142" t="s">
        <v>397</v>
      </c>
      <c r="C148" s="159"/>
      <c r="D148" s="160"/>
      <c r="E148" s="153"/>
      <c r="F148" s="153"/>
      <c r="G148" s="202"/>
      <c r="H148" s="200"/>
      <c r="I148" s="156"/>
      <c r="J148" s="184"/>
      <c r="K148" s="222"/>
      <c r="L148" s="184"/>
      <c r="M148" s="222"/>
      <c r="N148" s="183"/>
      <c r="O148" s="417"/>
      <c r="P148" s="150"/>
      <c r="Q148" s="569"/>
    </row>
    <row r="149" spans="1:17" ht="15.75" hidden="1" customHeight="1" outlineLevel="2">
      <c r="A149" s="274"/>
      <c r="B149" s="159"/>
      <c r="C149" s="142" t="s">
        <v>380</v>
      </c>
      <c r="D149" s="160"/>
      <c r="E149" s="153"/>
      <c r="F149" s="153"/>
      <c r="G149" s="202"/>
      <c r="H149" s="200"/>
      <c r="I149" s="156"/>
      <c r="J149" s="184"/>
      <c r="K149" s="222"/>
      <c r="L149" s="184"/>
      <c r="M149" s="222"/>
      <c r="N149" s="183"/>
      <c r="O149" s="417"/>
      <c r="P149" s="150"/>
      <c r="Q149" s="569"/>
    </row>
    <row r="150" spans="1:17" ht="15.75" hidden="1" customHeight="1" outlineLevel="2">
      <c r="A150" s="274"/>
      <c r="B150" s="159"/>
      <c r="C150" s="162" t="s">
        <v>398</v>
      </c>
      <c r="D150" s="160"/>
      <c r="E150" s="153"/>
      <c r="F150" s="153"/>
      <c r="G150" s="202"/>
      <c r="H150" s="200"/>
      <c r="I150" s="156"/>
      <c r="J150" s="184"/>
      <c r="K150" s="222"/>
      <c r="L150" s="184"/>
      <c r="M150" s="222"/>
      <c r="N150" s="183"/>
      <c r="O150" s="417"/>
      <c r="P150" s="150"/>
      <c r="Q150" s="569"/>
    </row>
    <row r="151" spans="1:17" ht="15.75" hidden="1" customHeight="1" outlineLevel="2">
      <c r="A151" s="274"/>
      <c r="B151" s="159"/>
      <c r="C151" s="162" t="s">
        <v>357</v>
      </c>
      <c r="D151" s="160"/>
      <c r="E151" s="153"/>
      <c r="F151" s="153"/>
      <c r="G151" s="202"/>
      <c r="H151" s="200"/>
      <c r="I151" s="156"/>
      <c r="J151" s="184"/>
      <c r="K151" s="222"/>
      <c r="L151" s="184"/>
      <c r="M151" s="222"/>
      <c r="N151" s="183"/>
      <c r="O151" s="417"/>
      <c r="P151" s="150"/>
      <c r="Q151" s="569"/>
    </row>
    <row r="152" spans="1:17" s="191" customFormat="1" ht="15.75" hidden="1" customHeight="1" outlineLevel="2">
      <c r="A152" s="547"/>
      <c r="B152" s="189"/>
      <c r="C152" s="281" t="s">
        <v>358</v>
      </c>
      <c r="D152" s="190"/>
      <c r="E152" s="257"/>
      <c r="F152" s="257"/>
      <c r="G152" s="216"/>
      <c r="H152" s="418"/>
      <c r="I152" s="203"/>
      <c r="J152" s="190">
        <v>525000</v>
      </c>
      <c r="K152" s="222">
        <f>J152*1.23</f>
        <v>645750</v>
      </c>
      <c r="L152" s="186"/>
      <c r="M152" s="222"/>
      <c r="N152" s="418"/>
      <c r="O152" s="417"/>
      <c r="P152" s="150">
        <f>SUM(I152,K152,M152,O152)</f>
        <v>645750</v>
      </c>
      <c r="Q152" s="572" t="s">
        <v>1227</v>
      </c>
    </row>
    <row r="153" spans="1:17" ht="15.75" hidden="1" customHeight="1" outlineLevel="2">
      <c r="A153" s="274"/>
      <c r="B153" s="159"/>
      <c r="C153" s="162" t="s">
        <v>359</v>
      </c>
      <c r="D153" s="160"/>
      <c r="E153" s="153"/>
      <c r="F153" s="153"/>
      <c r="G153" s="202"/>
      <c r="H153" s="200"/>
      <c r="I153" s="156"/>
      <c r="J153" s="190"/>
      <c r="K153" s="222"/>
      <c r="L153" s="184"/>
      <c r="M153" s="222"/>
      <c r="N153" s="183"/>
      <c r="O153" s="417"/>
      <c r="P153" s="150"/>
      <c r="Q153" s="569"/>
    </row>
    <row r="154" spans="1:17" ht="15.75" hidden="1" customHeight="1" outlineLevel="2">
      <c r="A154" s="274"/>
      <c r="B154" s="159"/>
      <c r="C154" s="162" t="s">
        <v>399</v>
      </c>
      <c r="D154" s="180"/>
      <c r="E154" s="154"/>
      <c r="F154" s="148"/>
      <c r="G154" s="202"/>
      <c r="H154" s="200"/>
      <c r="I154" s="156"/>
      <c r="J154" s="184"/>
      <c r="K154" s="222"/>
      <c r="L154" s="184"/>
      <c r="M154" s="222"/>
      <c r="N154" s="183"/>
      <c r="O154" s="417"/>
      <c r="P154" s="150"/>
      <c r="Q154" s="569" t="s">
        <v>1226</v>
      </c>
    </row>
    <row r="155" spans="1:17" ht="15.75" hidden="1" customHeight="1" outlineLevel="2">
      <c r="A155" s="274"/>
      <c r="B155" s="159"/>
      <c r="C155" s="142" t="s">
        <v>381</v>
      </c>
      <c r="D155" s="160"/>
      <c r="E155" s="153"/>
      <c r="F155" s="153"/>
      <c r="G155" s="202"/>
      <c r="H155" s="200"/>
      <c r="I155" s="156"/>
      <c r="J155" s="184"/>
      <c r="K155" s="222"/>
      <c r="L155" s="184"/>
      <c r="M155" s="222"/>
      <c r="N155" s="183"/>
      <c r="O155" s="417"/>
      <c r="P155" s="150"/>
      <c r="Q155" s="569"/>
    </row>
    <row r="156" spans="1:17" ht="15.75" hidden="1" customHeight="1" outlineLevel="2">
      <c r="A156" s="274"/>
      <c r="B156" s="159"/>
      <c r="C156" s="162" t="s">
        <v>362</v>
      </c>
      <c r="D156" s="160"/>
      <c r="E156" s="153"/>
      <c r="F156" s="153"/>
      <c r="G156" s="185">
        <f>CIP!$AP$105</f>
        <v>166307.68124999997</v>
      </c>
      <c r="H156" s="204"/>
      <c r="I156" s="156">
        <f>SUM(D156:H156)</f>
        <v>166307.68124999997</v>
      </c>
      <c r="J156" s="184"/>
      <c r="K156" s="222"/>
      <c r="L156" s="184"/>
      <c r="M156" s="222"/>
      <c r="N156" s="183"/>
      <c r="O156" s="417"/>
      <c r="P156" s="150">
        <f>SUM(I156,K156,M156,O156)</f>
        <v>166307.68124999997</v>
      </c>
      <c r="Q156" s="569"/>
    </row>
    <row r="157" spans="1:17" ht="15.75" hidden="1" customHeight="1" outlineLevel="2">
      <c r="A157" s="274"/>
      <c r="B157" s="159"/>
      <c r="C157" s="162" t="s">
        <v>363</v>
      </c>
      <c r="D157" s="160"/>
      <c r="E157" s="153"/>
      <c r="F157" s="153"/>
      <c r="G157" s="202"/>
      <c r="H157" s="200"/>
      <c r="I157" s="156"/>
      <c r="J157" s="184"/>
      <c r="K157" s="222"/>
      <c r="L157" s="184"/>
      <c r="M157" s="222"/>
      <c r="N157" s="183"/>
      <c r="O157" s="417"/>
      <c r="P157" s="150"/>
      <c r="Q157" s="569"/>
    </row>
    <row r="158" spans="1:17" ht="15.75" hidden="1" customHeight="1" outlineLevel="2">
      <c r="A158" s="274"/>
      <c r="B158" s="159"/>
      <c r="C158" s="162" t="s">
        <v>358</v>
      </c>
      <c r="D158" s="160"/>
      <c r="E158" s="153"/>
      <c r="F158" s="153"/>
      <c r="G158" s="202"/>
      <c r="H158" s="200"/>
      <c r="I158" s="156"/>
      <c r="J158" s="184"/>
      <c r="K158" s="222"/>
      <c r="L158" s="184"/>
      <c r="M158" s="222"/>
      <c r="N158" s="183"/>
      <c r="O158" s="417"/>
      <c r="P158" s="150"/>
      <c r="Q158" s="569"/>
    </row>
    <row r="159" spans="1:17" ht="15.75" hidden="1" customHeight="1" outlineLevel="2">
      <c r="A159" s="274"/>
      <c r="B159" s="159"/>
      <c r="C159" s="162" t="s">
        <v>364</v>
      </c>
      <c r="D159" s="160"/>
      <c r="E159" s="153"/>
      <c r="F159" s="153"/>
      <c r="G159" s="202"/>
      <c r="H159" s="200"/>
      <c r="I159" s="156"/>
      <c r="J159" s="184"/>
      <c r="K159" s="222"/>
      <c r="L159" s="184"/>
      <c r="M159" s="222"/>
      <c r="N159" s="183"/>
      <c r="O159" s="417"/>
      <c r="P159" s="150"/>
      <c r="Q159" s="568" t="s">
        <v>1228</v>
      </c>
    </row>
    <row r="160" spans="1:17" ht="15.75" hidden="1" customHeight="1" outlineLevel="2">
      <c r="A160" s="274"/>
      <c r="B160" s="159"/>
      <c r="C160" s="142" t="s">
        <v>382</v>
      </c>
      <c r="D160" s="160"/>
      <c r="E160" s="153"/>
      <c r="F160" s="153"/>
      <c r="G160" s="202"/>
      <c r="H160" s="200"/>
      <c r="I160" s="156"/>
      <c r="J160" s="184"/>
      <c r="K160" s="222"/>
      <c r="L160" s="184"/>
      <c r="M160" s="222"/>
      <c r="N160" s="183"/>
      <c r="O160" s="417"/>
      <c r="P160" s="150"/>
      <c r="Q160" s="568"/>
    </row>
    <row r="161" spans="1:17" ht="15.75" hidden="1" customHeight="1" outlineLevel="2">
      <c r="A161" s="274"/>
      <c r="B161" s="159"/>
      <c r="C161" s="162" t="s">
        <v>366</v>
      </c>
      <c r="D161" s="160"/>
      <c r="E161" s="153"/>
      <c r="F161" s="153"/>
      <c r="G161" s="202"/>
      <c r="H161" s="200"/>
      <c r="I161" s="156"/>
      <c r="J161" s="184"/>
      <c r="K161" s="222"/>
      <c r="L161" s="184"/>
      <c r="M161" s="222"/>
      <c r="N161" s="183"/>
      <c r="O161" s="417"/>
      <c r="P161" s="150"/>
      <c r="Q161" s="568"/>
    </row>
    <row r="162" spans="1:17" ht="15.75" hidden="1" customHeight="1" outlineLevel="2">
      <c r="A162" s="274"/>
      <c r="B162" s="159"/>
      <c r="C162" s="162" t="s">
        <v>358</v>
      </c>
      <c r="D162" s="160"/>
      <c r="E162" s="153">
        <f>CIP!$AN$49</f>
        <v>206999.99999999997</v>
      </c>
      <c r="F162" s="153"/>
      <c r="G162" s="202"/>
      <c r="H162" s="200"/>
      <c r="I162" s="156">
        <f>SUM(D162:H162)</f>
        <v>206999.99999999997</v>
      </c>
      <c r="J162" s="184"/>
      <c r="K162" s="222"/>
      <c r="L162" s="184"/>
      <c r="M162" s="222"/>
      <c r="N162" s="183"/>
      <c r="O162" s="417"/>
      <c r="P162" s="150">
        <f>SUM(I162,K162,M162,O162)</f>
        <v>206999.99999999997</v>
      </c>
      <c r="Q162" s="568" t="s">
        <v>1229</v>
      </c>
    </row>
    <row r="163" spans="1:17" ht="15.75" hidden="1" customHeight="1" outlineLevel="2">
      <c r="A163" s="274"/>
      <c r="B163" s="159"/>
      <c r="C163" s="162" t="s">
        <v>367</v>
      </c>
      <c r="D163" s="160"/>
      <c r="E163" s="153"/>
      <c r="F163" s="153"/>
      <c r="G163" s="341">
        <f>CIP!$AP$49</f>
        <v>498923.0437499999</v>
      </c>
      <c r="H163" s="200"/>
      <c r="I163" s="156">
        <f>SUM(D163:H163)</f>
        <v>498923.0437499999</v>
      </c>
      <c r="J163" s="184"/>
      <c r="K163" s="222"/>
      <c r="L163" s="184"/>
      <c r="M163" s="222"/>
      <c r="N163" s="183"/>
      <c r="O163" s="417"/>
      <c r="P163" s="150">
        <f>SUM(I163,K163,M163,O163)</f>
        <v>498923.0437499999</v>
      </c>
      <c r="Q163" s="568"/>
    </row>
    <row r="164" spans="1:17" ht="15.75" hidden="1" customHeight="1" outlineLevel="2">
      <c r="A164" s="274"/>
      <c r="B164" s="159"/>
      <c r="C164" s="162" t="s">
        <v>368</v>
      </c>
      <c r="D164" s="160"/>
      <c r="E164" s="153"/>
      <c r="F164" s="153"/>
      <c r="G164" s="202"/>
      <c r="H164" s="200"/>
      <c r="I164" s="156"/>
      <c r="J164" s="184"/>
      <c r="K164" s="222"/>
      <c r="L164" s="184"/>
      <c r="M164" s="222"/>
      <c r="N164" s="183"/>
      <c r="O164" s="417"/>
      <c r="P164" s="150"/>
      <c r="Q164" s="568" t="s">
        <v>1230</v>
      </c>
    </row>
    <row r="165" spans="1:17" ht="15.75" hidden="1" customHeight="1" outlineLevel="2">
      <c r="A165" s="274"/>
      <c r="B165" s="159"/>
      <c r="C165" s="142" t="s">
        <v>383</v>
      </c>
      <c r="D165" s="160"/>
      <c r="E165" s="153"/>
      <c r="F165" s="153"/>
      <c r="G165" s="202"/>
      <c r="H165" s="200"/>
      <c r="I165" s="156"/>
      <c r="J165" s="184"/>
      <c r="K165" s="222"/>
      <c r="L165" s="184"/>
      <c r="M165" s="222"/>
      <c r="N165" s="183"/>
      <c r="O165" s="417"/>
      <c r="P165" s="150"/>
      <c r="Q165" s="568"/>
    </row>
    <row r="166" spans="1:17" ht="15.75" hidden="1" customHeight="1" outlineLevel="2">
      <c r="A166" s="274"/>
      <c r="B166" s="159"/>
      <c r="C166" s="162" t="s">
        <v>370</v>
      </c>
      <c r="D166" s="160"/>
      <c r="E166" s="153"/>
      <c r="F166" s="153"/>
      <c r="G166" s="202"/>
      <c r="H166" s="200"/>
      <c r="I166" s="156"/>
      <c r="J166" s="184"/>
      <c r="K166" s="222"/>
      <c r="L166" s="184"/>
      <c r="M166" s="222"/>
      <c r="N166" s="183"/>
      <c r="O166" s="417"/>
      <c r="P166" s="150"/>
      <c r="Q166" s="568"/>
    </row>
    <row r="167" spans="1:17" ht="15.75" hidden="1" customHeight="1" outlineLevel="2">
      <c r="A167" s="274"/>
      <c r="B167" s="159"/>
      <c r="C167" s="162" t="s">
        <v>371</v>
      </c>
      <c r="D167" s="160"/>
      <c r="E167" s="153"/>
      <c r="F167" s="153"/>
      <c r="G167" s="202"/>
      <c r="H167" s="200"/>
      <c r="I167" s="156"/>
      <c r="J167" s="184"/>
      <c r="K167" s="222"/>
      <c r="L167" s="184"/>
      <c r="M167" s="222"/>
      <c r="N167" s="183"/>
      <c r="O167" s="417"/>
      <c r="P167" s="150"/>
      <c r="Q167" s="568"/>
    </row>
    <row r="168" spans="1:17" ht="15.75" hidden="1" customHeight="1" outlineLevel="2">
      <c r="A168" s="274"/>
      <c r="B168" s="159"/>
      <c r="C168" s="162" t="s">
        <v>372</v>
      </c>
      <c r="D168" s="160"/>
      <c r="E168" s="153"/>
      <c r="F168" s="153"/>
      <c r="G168" s="202"/>
      <c r="H168" s="200"/>
      <c r="I168" s="156"/>
      <c r="J168" s="184"/>
      <c r="K168" s="222"/>
      <c r="L168" s="184"/>
      <c r="M168" s="222"/>
      <c r="N168" s="183"/>
      <c r="O168" s="417"/>
      <c r="P168" s="150"/>
      <c r="Q168" s="568"/>
    </row>
    <row r="169" spans="1:17" ht="15.75" hidden="1" customHeight="1" outlineLevel="2">
      <c r="A169" s="274"/>
      <c r="B169" s="159"/>
      <c r="C169" s="162" t="s">
        <v>373</v>
      </c>
      <c r="D169" s="160"/>
      <c r="E169" s="153"/>
      <c r="F169" s="153"/>
      <c r="G169" s="202"/>
      <c r="H169" s="200"/>
      <c r="I169" s="156"/>
      <c r="J169" s="184"/>
      <c r="K169" s="222"/>
      <c r="L169" s="184"/>
      <c r="M169" s="222"/>
      <c r="N169" s="183"/>
      <c r="O169" s="417"/>
      <c r="P169" s="150"/>
      <c r="Q169" s="568"/>
    </row>
    <row r="170" spans="1:17" ht="15.75" hidden="1" customHeight="1" outlineLevel="2">
      <c r="A170" s="274"/>
      <c r="B170" s="159"/>
      <c r="C170" s="142" t="s">
        <v>384</v>
      </c>
      <c r="D170" s="160"/>
      <c r="E170" s="153"/>
      <c r="F170" s="153"/>
      <c r="G170" s="202"/>
      <c r="H170" s="200"/>
      <c r="I170" s="156"/>
      <c r="J170" s="184"/>
      <c r="K170" s="222"/>
      <c r="L170" s="184"/>
      <c r="M170" s="222"/>
      <c r="N170" s="183"/>
      <c r="O170" s="417"/>
      <c r="P170" s="150"/>
      <c r="Q170" s="569"/>
    </row>
    <row r="171" spans="1:17" ht="15.75" hidden="1" customHeight="1" outlineLevel="2">
      <c r="A171" s="274"/>
      <c r="B171" s="159"/>
      <c r="C171" s="162" t="s">
        <v>375</v>
      </c>
      <c r="D171" s="160"/>
      <c r="E171" s="153"/>
      <c r="F171" s="153"/>
      <c r="G171" s="202"/>
      <c r="H171" s="200"/>
      <c r="I171" s="156"/>
      <c r="J171" s="184"/>
      <c r="K171" s="222"/>
      <c r="L171" s="184"/>
      <c r="M171" s="222"/>
      <c r="N171" s="183"/>
      <c r="O171" s="417"/>
      <c r="P171" s="150"/>
      <c r="Q171" s="568" t="s">
        <v>1230</v>
      </c>
    </row>
    <row r="172" spans="1:17" ht="15.75" hidden="1" customHeight="1" outlineLevel="2">
      <c r="A172" s="274"/>
      <c r="B172" s="159"/>
      <c r="C172" s="162" t="s">
        <v>376</v>
      </c>
      <c r="D172" s="160"/>
      <c r="E172" s="153"/>
      <c r="F172" s="153"/>
      <c r="G172" s="202"/>
      <c r="H172" s="200"/>
      <c r="I172" s="156"/>
      <c r="J172" s="184"/>
      <c r="K172" s="222"/>
      <c r="L172" s="184"/>
      <c r="M172" s="222"/>
      <c r="N172" s="183"/>
      <c r="O172" s="417"/>
      <c r="P172" s="150"/>
      <c r="Q172" s="569"/>
    </row>
    <row r="173" spans="1:17" ht="15.75" hidden="1" customHeight="1" outlineLevel="2">
      <c r="A173" s="274"/>
      <c r="B173" s="159"/>
      <c r="C173" s="162" t="s">
        <v>377</v>
      </c>
      <c r="D173" s="160"/>
      <c r="E173" s="153"/>
      <c r="F173" s="153"/>
      <c r="G173" s="202"/>
      <c r="H173" s="200"/>
      <c r="I173" s="156"/>
      <c r="J173" s="184"/>
      <c r="K173" s="222"/>
      <c r="L173" s="184"/>
      <c r="M173" s="222"/>
      <c r="N173" s="183"/>
      <c r="O173" s="417"/>
      <c r="P173" s="150"/>
      <c r="Q173" s="569"/>
    </row>
    <row r="174" spans="1:17" ht="15.75" hidden="1" customHeight="1" outlineLevel="2">
      <c r="A174" s="274"/>
      <c r="B174" s="159"/>
      <c r="C174" s="162" t="s">
        <v>400</v>
      </c>
      <c r="D174" s="160"/>
      <c r="E174" s="153"/>
      <c r="F174" s="153"/>
      <c r="G174" s="202"/>
      <c r="H174" s="200"/>
      <c r="I174" s="156"/>
      <c r="J174" s="184"/>
      <c r="K174" s="222"/>
      <c r="L174" s="184"/>
      <c r="M174" s="222"/>
      <c r="N174" s="183"/>
      <c r="O174" s="417"/>
      <c r="P174" s="150"/>
      <c r="Q174" s="568" t="s">
        <v>1230</v>
      </c>
    </row>
    <row r="175" spans="1:17" ht="15.75" hidden="1" customHeight="1" outlineLevel="2">
      <c r="A175" s="274"/>
      <c r="B175" s="159"/>
      <c r="C175" s="162" t="s">
        <v>385</v>
      </c>
      <c r="D175" s="160"/>
      <c r="E175" s="153"/>
      <c r="F175" s="153"/>
      <c r="G175" s="202"/>
      <c r="H175" s="200"/>
      <c r="I175" s="156"/>
      <c r="J175" s="184"/>
      <c r="K175" s="222"/>
      <c r="L175" s="184">
        <v>30750000</v>
      </c>
      <c r="M175" s="222">
        <f>L175*1.46</f>
        <v>44895000</v>
      </c>
      <c r="N175" s="183"/>
      <c r="O175" s="417"/>
      <c r="P175" s="150">
        <f>SUM(I175,K175,M175,O175)</f>
        <v>44895000</v>
      </c>
      <c r="Q175" s="573" t="s">
        <v>1231</v>
      </c>
    </row>
    <row r="176" spans="1:17" ht="15.75" hidden="1" customHeight="1" outlineLevel="2">
      <c r="A176" s="274"/>
      <c r="B176" s="159"/>
      <c r="C176" s="366" t="s">
        <v>1214</v>
      </c>
      <c r="D176" s="160">
        <f>CIP!$AM$11</f>
        <v>3000000</v>
      </c>
      <c r="E176" s="153"/>
      <c r="F176" s="153"/>
      <c r="G176" s="202"/>
      <c r="H176" s="200"/>
      <c r="I176" s="156">
        <f>SUM(D176:H176)</f>
        <v>3000000</v>
      </c>
      <c r="J176" s="184"/>
      <c r="K176" s="222"/>
      <c r="L176" s="184"/>
      <c r="M176" s="222"/>
      <c r="N176" s="183"/>
      <c r="O176" s="417"/>
      <c r="P176" s="150">
        <f>SUM(I176,K176,M176,O176)</f>
        <v>3000000</v>
      </c>
      <c r="Q176" s="568" t="s">
        <v>1363</v>
      </c>
    </row>
    <row r="177" spans="1:17" s="130" customFormat="1" ht="15.75" hidden="1" customHeight="1" outlineLevel="1" collapsed="1">
      <c r="A177" s="275"/>
      <c r="B177" s="142"/>
      <c r="C177" s="142" t="s">
        <v>397</v>
      </c>
      <c r="D177" s="427">
        <f>SUM(D149:D176)</f>
        <v>3000000</v>
      </c>
      <c r="E177" s="217">
        <f>SUM(E149:E174)</f>
        <v>206999.99999999997</v>
      </c>
      <c r="F177" s="217"/>
      <c r="G177" s="222">
        <f>SUM(G151:G174)</f>
        <v>665230.72499999986</v>
      </c>
      <c r="H177" s="223"/>
      <c r="I177" s="207">
        <f>SUM(I149:I176)</f>
        <v>3872230.7249999996</v>
      </c>
      <c r="J177" s="184">
        <f>SUM(J151:J176)</f>
        <v>525000</v>
      </c>
      <c r="K177" s="222">
        <f>J177*1.23</f>
        <v>645750</v>
      </c>
      <c r="L177" s="184">
        <f>SUM(L148:L176)</f>
        <v>30750000</v>
      </c>
      <c r="M177" s="223">
        <f>L177*1.46</f>
        <v>44895000</v>
      </c>
      <c r="N177" s="183"/>
      <c r="O177" s="417"/>
      <c r="P177" s="150">
        <f>SUM(I177,K177,M177,O177)</f>
        <v>49412980.725000001</v>
      </c>
      <c r="Q177" s="569" t="s">
        <v>1232</v>
      </c>
    </row>
    <row r="178" spans="1:17" ht="15.75" hidden="1" customHeight="1" outlineLevel="2">
      <c r="A178" s="274"/>
      <c r="B178" s="142" t="s">
        <v>401</v>
      </c>
      <c r="C178" s="159"/>
      <c r="D178" s="160"/>
      <c r="E178" s="153"/>
      <c r="F178" s="153"/>
      <c r="G178" s="202"/>
      <c r="H178" s="200"/>
      <c r="I178" s="156"/>
      <c r="J178" s="184"/>
      <c r="K178" s="419"/>
      <c r="L178" s="184"/>
      <c r="M178" s="222"/>
      <c r="N178" s="183"/>
      <c r="O178" s="417"/>
      <c r="P178" s="150"/>
      <c r="Q178" s="569"/>
    </row>
    <row r="179" spans="1:17" ht="15.75" hidden="1" customHeight="1" outlineLevel="2">
      <c r="A179" s="274"/>
      <c r="B179" s="159"/>
      <c r="C179" s="142" t="s">
        <v>380</v>
      </c>
      <c r="D179" s="160"/>
      <c r="E179" s="153"/>
      <c r="F179" s="153"/>
      <c r="G179" s="202"/>
      <c r="H179" s="200"/>
      <c r="I179" s="156"/>
      <c r="J179" s="184"/>
      <c r="K179" s="419"/>
      <c r="L179" s="184"/>
      <c r="M179" s="222"/>
      <c r="N179" s="183"/>
      <c r="O179" s="417"/>
      <c r="P179" s="150"/>
      <c r="Q179" s="569"/>
    </row>
    <row r="180" spans="1:17" ht="15.75" hidden="1" customHeight="1" outlineLevel="2">
      <c r="A180" s="274"/>
      <c r="B180" s="159"/>
      <c r="C180" s="162" t="s">
        <v>402</v>
      </c>
      <c r="D180" s="195"/>
      <c r="E180" s="185"/>
      <c r="F180" s="157"/>
      <c r="G180" s="202">
        <f>CIP!$AP$96</f>
        <v>277179.46874999994</v>
      </c>
      <c r="H180" s="200"/>
      <c r="I180" s="156">
        <f>SUM(D180:H180)</f>
        <v>277179.46874999994</v>
      </c>
      <c r="J180" s="184"/>
      <c r="K180" s="419"/>
      <c r="L180" s="184">
        <v>500000</v>
      </c>
      <c r="M180" s="222">
        <f>L180*1.46</f>
        <v>730000</v>
      </c>
      <c r="N180" s="183"/>
      <c r="O180" s="417"/>
      <c r="P180" s="150">
        <f>SUM(I180,K180,M180,O180)</f>
        <v>1007179.46875</v>
      </c>
      <c r="Q180" s="569"/>
    </row>
    <row r="181" spans="1:17" ht="15.75" hidden="1" customHeight="1" outlineLevel="2">
      <c r="A181" s="274"/>
      <c r="B181" s="159"/>
      <c r="C181" s="162" t="s">
        <v>357</v>
      </c>
      <c r="D181" s="160"/>
      <c r="E181" s="153"/>
      <c r="F181" s="153"/>
      <c r="G181" s="202"/>
      <c r="H181" s="200"/>
      <c r="I181" s="156"/>
      <c r="J181" s="184"/>
      <c r="K181" s="419"/>
      <c r="L181" s="184"/>
      <c r="M181" s="222"/>
      <c r="N181" s="183"/>
      <c r="O181" s="417"/>
      <c r="P181" s="150"/>
      <c r="Q181" s="569"/>
    </row>
    <row r="182" spans="1:17" ht="15.75" hidden="1" customHeight="1" outlineLevel="2">
      <c r="A182" s="274"/>
      <c r="B182" s="159"/>
      <c r="C182" s="162" t="s">
        <v>358</v>
      </c>
      <c r="D182" s="160"/>
      <c r="E182" s="153"/>
      <c r="F182" s="153"/>
      <c r="G182" s="202"/>
      <c r="H182" s="200"/>
      <c r="I182" s="420"/>
      <c r="J182" s="186">
        <v>750000</v>
      </c>
      <c r="K182" s="222">
        <f>J182*1.23</f>
        <v>922500</v>
      </c>
      <c r="L182" s="184">
        <v>2000000</v>
      </c>
      <c r="M182" s="222">
        <f>L182*1.46</f>
        <v>2920000</v>
      </c>
      <c r="N182" s="183"/>
      <c r="O182" s="417"/>
      <c r="P182" s="150">
        <f t="shared" ref="P182:P205" si="0">SUM(I182,K182,M182,O182)</f>
        <v>3842500</v>
      </c>
      <c r="Q182" s="569"/>
    </row>
    <row r="183" spans="1:17" ht="15.75" hidden="1" customHeight="1" outlineLevel="2">
      <c r="A183" s="274"/>
      <c r="B183" s="159"/>
      <c r="C183" s="162" t="s">
        <v>359</v>
      </c>
      <c r="D183" s="160"/>
      <c r="E183" s="153"/>
      <c r="F183" s="153"/>
      <c r="G183" s="202"/>
      <c r="H183" s="200"/>
      <c r="I183" s="156"/>
      <c r="J183" s="184"/>
      <c r="K183" s="419"/>
      <c r="L183" s="184"/>
      <c r="M183" s="222"/>
      <c r="N183" s="183"/>
      <c r="O183" s="417"/>
      <c r="P183" s="150"/>
      <c r="Q183" s="569" t="s">
        <v>390</v>
      </c>
    </row>
    <row r="184" spans="1:17" ht="15.75" hidden="1" customHeight="1" outlineLevel="2">
      <c r="A184" s="274"/>
      <c r="B184" s="159"/>
      <c r="C184" s="162" t="s">
        <v>399</v>
      </c>
      <c r="D184" s="160"/>
      <c r="E184" s="153"/>
      <c r="F184" s="153"/>
      <c r="G184" s="202"/>
      <c r="H184" s="200"/>
      <c r="I184" s="156"/>
      <c r="J184" s="184"/>
      <c r="K184" s="419"/>
      <c r="L184" s="184"/>
      <c r="M184" s="222"/>
      <c r="N184" s="183"/>
      <c r="O184" s="417"/>
      <c r="P184" s="150"/>
      <c r="Q184" s="569" t="s">
        <v>1233</v>
      </c>
    </row>
    <row r="185" spans="1:17" ht="15.75" hidden="1" customHeight="1" outlineLevel="2">
      <c r="A185" s="274"/>
      <c r="B185" s="159"/>
      <c r="C185" s="142" t="s">
        <v>381</v>
      </c>
      <c r="D185" s="160"/>
      <c r="E185" s="153"/>
      <c r="F185" s="153"/>
      <c r="G185" s="202"/>
      <c r="H185" s="200"/>
      <c r="I185" s="156"/>
      <c r="J185" s="184"/>
      <c r="K185" s="419"/>
      <c r="L185" s="184"/>
      <c r="M185" s="222"/>
      <c r="N185" s="183"/>
      <c r="O185" s="417"/>
      <c r="P185" s="150"/>
      <c r="Q185" s="569"/>
    </row>
    <row r="186" spans="1:17" ht="15.75" hidden="1" customHeight="1" outlineLevel="2">
      <c r="A186" s="274"/>
      <c r="B186" s="159"/>
      <c r="C186" s="162" t="s">
        <v>362</v>
      </c>
      <c r="D186" s="160"/>
      <c r="E186" s="153"/>
      <c r="F186" s="153"/>
      <c r="G186" s="202"/>
      <c r="H186" s="200"/>
      <c r="I186" s="156"/>
      <c r="J186" s="184"/>
      <c r="K186" s="419"/>
      <c r="L186" s="184"/>
      <c r="M186" s="222"/>
      <c r="N186" s="183"/>
      <c r="O186" s="417"/>
      <c r="P186" s="150"/>
      <c r="Q186" s="569"/>
    </row>
    <row r="187" spans="1:17" ht="15.75" hidden="1" customHeight="1" outlineLevel="2">
      <c r="A187" s="274"/>
      <c r="B187" s="159"/>
      <c r="C187" s="162" t="s">
        <v>363</v>
      </c>
      <c r="D187" s="160"/>
      <c r="E187" s="153"/>
      <c r="F187" s="153"/>
      <c r="G187" s="202"/>
      <c r="H187" s="200"/>
      <c r="I187" s="156"/>
      <c r="J187" s="184"/>
      <c r="K187" s="419"/>
      <c r="L187" s="184"/>
      <c r="M187" s="222"/>
      <c r="N187" s="183"/>
      <c r="O187" s="417"/>
      <c r="P187" s="150"/>
      <c r="Q187" s="569" t="s">
        <v>1234</v>
      </c>
    </row>
    <row r="188" spans="1:17" ht="15.75" hidden="1" customHeight="1" outlineLevel="2">
      <c r="A188" s="274"/>
      <c r="B188" s="159"/>
      <c r="C188" s="162" t="s">
        <v>358</v>
      </c>
      <c r="D188" s="160"/>
      <c r="E188" s="153"/>
      <c r="F188" s="153"/>
      <c r="G188" s="202"/>
      <c r="H188" s="200"/>
      <c r="I188" s="156"/>
      <c r="J188" s="184"/>
      <c r="K188" s="419"/>
      <c r="L188" s="184"/>
      <c r="M188" s="222"/>
      <c r="N188" s="183"/>
      <c r="O188" s="417"/>
      <c r="P188" s="150"/>
      <c r="Q188" s="569"/>
    </row>
    <row r="189" spans="1:17" ht="15.75" hidden="1" customHeight="1" outlineLevel="2">
      <c r="A189" s="274"/>
      <c r="B189" s="159"/>
      <c r="C189" s="162" t="s">
        <v>364</v>
      </c>
      <c r="D189" s="160"/>
      <c r="E189" s="153"/>
      <c r="F189" s="153"/>
      <c r="G189" s="202"/>
      <c r="H189" s="200"/>
      <c r="I189" s="156"/>
      <c r="J189" s="184"/>
      <c r="K189" s="419"/>
      <c r="L189" s="184"/>
      <c r="M189" s="222"/>
      <c r="N189" s="183"/>
      <c r="O189" s="417"/>
      <c r="P189" s="150"/>
      <c r="Q189" s="569"/>
    </row>
    <row r="190" spans="1:17" ht="15.75" hidden="1" customHeight="1" outlineLevel="2">
      <c r="A190" s="274"/>
      <c r="B190" s="159"/>
      <c r="C190" s="142" t="s">
        <v>382</v>
      </c>
      <c r="D190" s="160"/>
      <c r="E190" s="153"/>
      <c r="F190" s="153"/>
      <c r="G190" s="202"/>
      <c r="H190" s="200"/>
      <c r="I190" s="156"/>
      <c r="J190" s="184"/>
      <c r="K190" s="419"/>
      <c r="L190" s="184"/>
      <c r="M190" s="222"/>
      <c r="N190" s="183"/>
      <c r="O190" s="417"/>
      <c r="P190" s="150"/>
      <c r="Q190" s="569"/>
    </row>
    <row r="191" spans="1:17" ht="15.75" hidden="1" customHeight="1" outlineLevel="2">
      <c r="A191" s="274"/>
      <c r="B191" s="159"/>
      <c r="C191" s="162" t="s">
        <v>366</v>
      </c>
      <c r="D191" s="160"/>
      <c r="E191" s="153"/>
      <c r="F191" s="153"/>
      <c r="G191" s="202"/>
      <c r="H191" s="200"/>
      <c r="I191" s="156"/>
      <c r="J191" s="184"/>
      <c r="K191" s="419"/>
      <c r="L191" s="184"/>
      <c r="M191" s="222"/>
      <c r="N191" s="183"/>
      <c r="O191" s="417"/>
      <c r="P191" s="150"/>
      <c r="Q191" s="569"/>
    </row>
    <row r="192" spans="1:17" ht="15.75" hidden="1" customHeight="1" outlineLevel="2">
      <c r="A192" s="274"/>
      <c r="B192" s="159"/>
      <c r="C192" s="162" t="s">
        <v>358</v>
      </c>
      <c r="D192" s="160"/>
      <c r="E192" s="153"/>
      <c r="F192" s="153"/>
      <c r="G192" s="202"/>
      <c r="H192" s="200"/>
      <c r="I192" s="156"/>
      <c r="J192" s="184"/>
      <c r="K192" s="419"/>
      <c r="L192" s="184"/>
      <c r="M192" s="222"/>
      <c r="N192" s="183"/>
      <c r="O192" s="417"/>
      <c r="P192" s="150"/>
      <c r="Q192" s="569"/>
    </row>
    <row r="193" spans="1:17" ht="15.75" hidden="1" customHeight="1" outlineLevel="2">
      <c r="A193" s="274"/>
      <c r="B193" s="159"/>
      <c r="C193" s="162" t="s">
        <v>367</v>
      </c>
      <c r="D193" s="160"/>
      <c r="E193" s="153"/>
      <c r="F193" s="153"/>
      <c r="G193" s="202"/>
      <c r="H193" s="200"/>
      <c r="I193" s="156"/>
      <c r="J193" s="184"/>
      <c r="K193" s="419"/>
      <c r="L193" s="184"/>
      <c r="M193" s="222"/>
      <c r="N193" s="183"/>
      <c r="O193" s="417"/>
      <c r="P193" s="150"/>
      <c r="Q193" s="569"/>
    </row>
    <row r="194" spans="1:17" ht="15.75" hidden="1" customHeight="1" outlineLevel="2">
      <c r="A194" s="274"/>
      <c r="B194" s="159"/>
      <c r="C194" s="162" t="s">
        <v>368</v>
      </c>
      <c r="D194" s="160"/>
      <c r="E194" s="153"/>
      <c r="F194" s="153"/>
      <c r="G194" s="202"/>
      <c r="H194" s="200"/>
      <c r="I194" s="156"/>
      <c r="J194" s="184"/>
      <c r="K194" s="419"/>
      <c r="L194" s="184"/>
      <c r="M194" s="222"/>
      <c r="N194" s="183"/>
      <c r="O194" s="417"/>
      <c r="P194" s="150"/>
      <c r="Q194" s="569"/>
    </row>
    <row r="195" spans="1:17" ht="15.75" hidden="1" customHeight="1" outlineLevel="2">
      <c r="A195" s="274"/>
      <c r="B195" s="159"/>
      <c r="C195" s="142" t="s">
        <v>383</v>
      </c>
      <c r="D195" s="160"/>
      <c r="E195" s="153"/>
      <c r="F195" s="153"/>
      <c r="G195" s="202"/>
      <c r="H195" s="200"/>
      <c r="I195" s="156"/>
      <c r="J195" s="184"/>
      <c r="K195" s="419"/>
      <c r="L195" s="184"/>
      <c r="M195" s="222"/>
      <c r="N195" s="183"/>
      <c r="O195" s="417"/>
      <c r="P195" s="150"/>
      <c r="Q195" s="569"/>
    </row>
    <row r="196" spans="1:17" ht="15.75" hidden="1" customHeight="1" outlineLevel="2">
      <c r="A196" s="274"/>
      <c r="B196" s="159"/>
      <c r="C196" s="162" t="s">
        <v>370</v>
      </c>
      <c r="D196" s="160"/>
      <c r="E196" s="153"/>
      <c r="F196" s="153"/>
      <c r="G196" s="202"/>
      <c r="H196" s="200"/>
      <c r="I196" s="156"/>
      <c r="J196" s="184"/>
      <c r="K196" s="419"/>
      <c r="L196" s="184"/>
      <c r="M196" s="222"/>
      <c r="N196" s="183"/>
      <c r="O196" s="417"/>
      <c r="P196" s="150"/>
      <c r="Q196" s="569"/>
    </row>
    <row r="197" spans="1:17" ht="15.75" hidden="1" customHeight="1" outlineLevel="2">
      <c r="A197" s="274"/>
      <c r="B197" s="159"/>
      <c r="C197" s="162" t="s">
        <v>371</v>
      </c>
      <c r="D197" s="160"/>
      <c r="E197" s="153"/>
      <c r="F197" s="153"/>
      <c r="G197" s="202"/>
      <c r="H197" s="200"/>
      <c r="I197" s="156"/>
      <c r="J197" s="184">
        <v>600000</v>
      </c>
      <c r="K197" s="222">
        <f>J197*1.23</f>
        <v>738000</v>
      </c>
      <c r="L197" s="184"/>
      <c r="M197" s="222"/>
      <c r="N197" s="183"/>
      <c r="O197" s="417"/>
      <c r="P197" s="150">
        <f t="shared" si="0"/>
        <v>738000</v>
      </c>
      <c r="Q197" s="569"/>
    </row>
    <row r="198" spans="1:17" ht="15.75" hidden="1" customHeight="1" outlineLevel="2">
      <c r="A198" s="274"/>
      <c r="B198" s="159"/>
      <c r="C198" s="162" t="s">
        <v>372</v>
      </c>
      <c r="D198" s="160"/>
      <c r="E198" s="153"/>
      <c r="F198" s="153"/>
      <c r="G198" s="200"/>
      <c r="H198" s="205"/>
      <c r="I198" s="156"/>
      <c r="J198" s="183">
        <v>750000</v>
      </c>
      <c r="K198" s="222">
        <f>J198*1.23</f>
        <v>922500</v>
      </c>
      <c r="L198" s="184"/>
      <c r="M198" s="222"/>
      <c r="N198" s="183"/>
      <c r="O198" s="417"/>
      <c r="P198" s="150">
        <f t="shared" si="0"/>
        <v>922500</v>
      </c>
      <c r="Q198" s="569"/>
    </row>
    <row r="199" spans="1:17" ht="15.75" hidden="1" customHeight="1" outlineLevel="2">
      <c r="A199" s="274"/>
      <c r="B199" s="159"/>
      <c r="C199" s="162" t="s">
        <v>373</v>
      </c>
      <c r="D199" s="160"/>
      <c r="E199" s="153"/>
      <c r="F199" s="153"/>
      <c r="G199" s="202"/>
      <c r="H199" s="200"/>
      <c r="I199" s="156"/>
      <c r="J199" s="184"/>
      <c r="K199" s="419"/>
      <c r="L199" s="184"/>
      <c r="M199" s="222"/>
      <c r="N199" s="183"/>
      <c r="O199" s="417"/>
      <c r="P199" s="150"/>
      <c r="Q199" s="569"/>
    </row>
    <row r="200" spans="1:17" ht="15.75" hidden="1" customHeight="1" outlineLevel="2">
      <c r="A200" s="274"/>
      <c r="B200" s="159"/>
      <c r="C200" s="142" t="s">
        <v>384</v>
      </c>
      <c r="D200" s="160"/>
      <c r="E200" s="153"/>
      <c r="F200" s="153"/>
      <c r="G200" s="202"/>
      <c r="H200" s="200"/>
      <c r="I200" s="156"/>
      <c r="J200" s="184"/>
      <c r="K200" s="419"/>
      <c r="L200" s="184"/>
      <c r="M200" s="222"/>
      <c r="N200" s="183"/>
      <c r="O200" s="417"/>
      <c r="P200" s="150"/>
      <c r="Q200" s="569"/>
    </row>
    <row r="201" spans="1:17" ht="15.75" hidden="1" customHeight="1" outlineLevel="2">
      <c r="A201" s="274"/>
      <c r="B201" s="159"/>
      <c r="C201" s="162" t="s">
        <v>375</v>
      </c>
      <c r="D201" s="160"/>
      <c r="E201" s="153"/>
      <c r="F201" s="153"/>
      <c r="G201" s="202"/>
      <c r="H201" s="200"/>
      <c r="I201" s="156"/>
      <c r="J201" s="184">
        <v>350000</v>
      </c>
      <c r="K201" s="222">
        <f>J201*1.23</f>
        <v>430500</v>
      </c>
      <c r="L201" s="184"/>
      <c r="M201" s="222"/>
      <c r="N201" s="183"/>
      <c r="O201" s="417"/>
      <c r="P201" s="150">
        <f t="shared" si="0"/>
        <v>430500</v>
      </c>
      <c r="Q201" s="569"/>
    </row>
    <row r="202" spans="1:17" ht="15.75" hidden="1" customHeight="1" outlineLevel="2">
      <c r="A202" s="274"/>
      <c r="B202" s="159"/>
      <c r="C202" s="162" t="s">
        <v>376</v>
      </c>
      <c r="D202" s="160"/>
      <c r="E202" s="153"/>
      <c r="F202" s="153"/>
      <c r="G202" s="202"/>
      <c r="H202" s="200"/>
      <c r="I202" s="156"/>
      <c r="J202" s="184"/>
      <c r="K202" s="419"/>
      <c r="L202" s="184">
        <v>100000</v>
      </c>
      <c r="M202" s="222">
        <f t="shared" ref="M202:M205" si="1">L202*1.46</f>
        <v>146000</v>
      </c>
      <c r="N202" s="183"/>
      <c r="O202" s="417"/>
      <c r="P202" s="150">
        <f t="shared" si="0"/>
        <v>146000</v>
      </c>
      <c r="Q202" s="569" t="s">
        <v>1235</v>
      </c>
    </row>
    <row r="203" spans="1:17" ht="15.75" hidden="1" customHeight="1" outlineLevel="2">
      <c r="A203" s="274"/>
      <c r="B203" s="159"/>
      <c r="C203" s="162" t="s">
        <v>377</v>
      </c>
      <c r="D203" s="160"/>
      <c r="E203" s="153"/>
      <c r="F203" s="153"/>
      <c r="G203" s="202"/>
      <c r="H203" s="200"/>
      <c r="I203" s="156"/>
      <c r="J203" s="184">
        <v>300000</v>
      </c>
      <c r="K203" s="222">
        <f>J203*1.23</f>
        <v>369000</v>
      </c>
      <c r="L203" s="184"/>
      <c r="M203" s="222"/>
      <c r="N203" s="183"/>
      <c r="O203" s="417"/>
      <c r="P203" s="150">
        <f t="shared" si="0"/>
        <v>369000</v>
      </c>
      <c r="Q203" s="569" t="s">
        <v>1236</v>
      </c>
    </row>
    <row r="204" spans="1:17" ht="15.75" hidden="1" customHeight="1" outlineLevel="2">
      <c r="A204" s="274"/>
      <c r="B204" s="159"/>
      <c r="C204" s="162" t="s">
        <v>400</v>
      </c>
      <c r="D204" s="160"/>
      <c r="E204" s="153"/>
      <c r="F204" s="153"/>
      <c r="G204" s="202"/>
      <c r="H204" s="200"/>
      <c r="I204" s="156"/>
      <c r="J204" s="184">
        <v>500000</v>
      </c>
      <c r="K204" s="222">
        <f>J204*1.23</f>
        <v>615000</v>
      </c>
      <c r="L204" s="184"/>
      <c r="M204" s="222"/>
      <c r="N204" s="183"/>
      <c r="O204" s="417"/>
      <c r="P204" s="150">
        <f t="shared" si="0"/>
        <v>615000</v>
      </c>
      <c r="Q204" s="569"/>
    </row>
    <row r="205" spans="1:17" s="199" customFormat="1" ht="15.75" hidden="1" customHeight="1" outlineLevel="1" collapsed="1">
      <c r="A205" s="548"/>
      <c r="B205" s="308"/>
      <c r="C205" s="142" t="s">
        <v>401</v>
      </c>
      <c r="D205" s="326"/>
      <c r="E205" s="310"/>
      <c r="F205" s="310"/>
      <c r="G205" s="428">
        <f>SUM(G179:G204)</f>
        <v>277179.46874999994</v>
      </c>
      <c r="H205" s="429"/>
      <c r="I205" s="430">
        <f>SUM(D205:H205)</f>
        <v>277179.46874999994</v>
      </c>
      <c r="J205" s="186">
        <f>SUM(J180:J204)</f>
        <v>3250000</v>
      </c>
      <c r="K205" s="222">
        <f>J205*1.23</f>
        <v>3997500</v>
      </c>
      <c r="L205" s="186">
        <f>SUM(L180:L204)</f>
        <v>2600000</v>
      </c>
      <c r="M205" s="222">
        <f t="shared" si="1"/>
        <v>3796000</v>
      </c>
      <c r="N205" s="418"/>
      <c r="O205" s="417"/>
      <c r="P205" s="150">
        <f t="shared" si="0"/>
        <v>8070679.46875</v>
      </c>
      <c r="Q205" s="574"/>
    </row>
    <row r="206" spans="1:17" ht="15.75" hidden="1" customHeight="1" outlineLevel="2">
      <c r="A206" s="274"/>
      <c r="B206" s="142" t="s">
        <v>407</v>
      </c>
      <c r="C206" s="159"/>
      <c r="D206" s="160"/>
      <c r="E206" s="153"/>
      <c r="F206" s="153"/>
      <c r="G206" s="202"/>
      <c r="H206" s="200"/>
      <c r="I206" s="156"/>
      <c r="J206" s="188"/>
      <c r="K206" s="419"/>
      <c r="L206" s="184"/>
      <c r="M206" s="222"/>
      <c r="N206" s="183"/>
      <c r="O206" s="417"/>
      <c r="P206" s="150"/>
      <c r="Q206" s="569"/>
    </row>
    <row r="207" spans="1:17" ht="15.75" hidden="1" customHeight="1" outlineLevel="2">
      <c r="A207" s="274"/>
      <c r="B207" s="159"/>
      <c r="C207" s="142" t="s">
        <v>380</v>
      </c>
      <c r="D207" s="160"/>
      <c r="E207" s="153"/>
      <c r="F207" s="153"/>
      <c r="G207" s="202"/>
      <c r="H207" s="200"/>
      <c r="I207" s="156"/>
      <c r="J207" s="185"/>
      <c r="K207" s="419"/>
      <c r="L207" s="184"/>
      <c r="M207" s="222"/>
      <c r="N207" s="183"/>
      <c r="O207" s="417"/>
      <c r="P207" s="150"/>
      <c r="Q207" s="569"/>
    </row>
    <row r="208" spans="1:17" ht="15.75" hidden="1" customHeight="1" outlineLevel="2">
      <c r="A208" s="274"/>
      <c r="B208" s="159"/>
      <c r="C208" s="162" t="s">
        <v>396</v>
      </c>
      <c r="D208" s="160"/>
      <c r="E208" s="153"/>
      <c r="F208" s="153"/>
      <c r="G208" s="202"/>
      <c r="H208" s="200"/>
      <c r="I208" s="156"/>
      <c r="J208" s="185"/>
      <c r="K208" s="419"/>
      <c r="L208" s="184"/>
      <c r="M208" s="222"/>
      <c r="N208" s="183"/>
      <c r="O208" s="417"/>
      <c r="P208" s="150"/>
      <c r="Q208" s="569"/>
    </row>
    <row r="209" spans="1:19" ht="15.75" hidden="1" customHeight="1" outlineLevel="2">
      <c r="A209" s="274"/>
      <c r="B209" s="159"/>
      <c r="C209" s="162" t="s">
        <v>357</v>
      </c>
      <c r="D209" s="160"/>
      <c r="E209" s="153"/>
      <c r="F209" s="153"/>
      <c r="G209" s="202"/>
      <c r="H209" s="200"/>
      <c r="I209" s="156"/>
      <c r="J209" s="183">
        <v>75000</v>
      </c>
      <c r="K209" s="222">
        <f>J209*1.23</f>
        <v>92250</v>
      </c>
      <c r="L209" s="184"/>
      <c r="M209" s="222"/>
      <c r="N209" s="183"/>
      <c r="O209" s="417"/>
      <c r="P209" s="150">
        <f t="shared" ref="P209:P234" si="2">SUM(I209,K209,M209,O209)</f>
        <v>92250</v>
      </c>
      <c r="Q209" s="569"/>
    </row>
    <row r="210" spans="1:19" ht="15.75" hidden="1" customHeight="1" outlineLevel="2">
      <c r="A210" s="274"/>
      <c r="B210" s="159"/>
      <c r="C210" s="162" t="s">
        <v>358</v>
      </c>
      <c r="D210" s="160"/>
      <c r="E210" s="153"/>
      <c r="F210" s="153"/>
      <c r="G210" s="202"/>
      <c r="H210" s="200"/>
      <c r="I210" s="203"/>
      <c r="J210" s="183">
        <v>175000</v>
      </c>
      <c r="K210" s="222">
        <f>J210*1.23</f>
        <v>215250</v>
      </c>
      <c r="L210" s="215"/>
      <c r="M210" s="222"/>
      <c r="N210" s="183"/>
      <c r="O210" s="417"/>
      <c r="P210" s="150">
        <f t="shared" si="2"/>
        <v>215250</v>
      </c>
      <c r="Q210" s="569"/>
    </row>
    <row r="211" spans="1:19" ht="15.75" hidden="1" customHeight="1" outlineLevel="2">
      <c r="A211" s="274"/>
      <c r="B211" s="159"/>
      <c r="C211" s="162" t="s">
        <v>359</v>
      </c>
      <c r="D211" s="160"/>
      <c r="E211" s="153"/>
      <c r="F211" s="153"/>
      <c r="G211" s="202"/>
      <c r="H211" s="200"/>
      <c r="I211" s="156"/>
      <c r="J211" s="183">
        <v>200000</v>
      </c>
      <c r="K211" s="222">
        <f>J211*1.23</f>
        <v>246000</v>
      </c>
      <c r="L211" s="215"/>
      <c r="M211" s="222"/>
      <c r="N211" s="183"/>
      <c r="O211" s="417"/>
      <c r="P211" s="150">
        <f t="shared" si="2"/>
        <v>246000</v>
      </c>
      <c r="Q211" s="569" t="s">
        <v>1237</v>
      </c>
    </row>
    <row r="212" spans="1:19" ht="15.75" hidden="1" customHeight="1" outlineLevel="2">
      <c r="A212" s="274"/>
      <c r="B212" s="159"/>
      <c r="C212" s="162" t="s">
        <v>360</v>
      </c>
      <c r="D212" s="160"/>
      <c r="E212" s="153"/>
      <c r="F212" s="153"/>
      <c r="G212" s="202"/>
      <c r="H212" s="200"/>
      <c r="I212" s="156"/>
      <c r="J212" s="184"/>
      <c r="K212" s="419"/>
      <c r="L212" s="184"/>
      <c r="M212" s="222"/>
      <c r="N212" s="183"/>
      <c r="O212" s="417"/>
      <c r="P212" s="150"/>
      <c r="Q212" s="569" t="s">
        <v>1364</v>
      </c>
    </row>
    <row r="213" spans="1:19" ht="15.75" hidden="1" customHeight="1" outlineLevel="2">
      <c r="A213" s="274"/>
      <c r="B213" s="159"/>
      <c r="C213" s="142" t="s">
        <v>381</v>
      </c>
      <c r="D213" s="160"/>
      <c r="E213" s="153"/>
      <c r="F213" s="153"/>
      <c r="G213" s="202"/>
      <c r="H213" s="200"/>
      <c r="I213" s="156"/>
      <c r="J213" s="185"/>
      <c r="K213" s="419"/>
      <c r="L213" s="184"/>
      <c r="M213" s="222"/>
      <c r="N213" s="183"/>
      <c r="O213" s="417"/>
      <c r="P213" s="150"/>
      <c r="Q213" s="569"/>
    </row>
    <row r="214" spans="1:19" ht="15.75" hidden="1" customHeight="1" outlineLevel="2">
      <c r="A214" s="274"/>
      <c r="B214" s="159"/>
      <c r="C214" s="162" t="s">
        <v>362</v>
      </c>
      <c r="D214" s="160"/>
      <c r="E214" s="153"/>
      <c r="F214" s="153"/>
      <c r="G214" s="202"/>
      <c r="H214" s="200"/>
      <c r="I214" s="156"/>
      <c r="J214" s="185"/>
      <c r="K214" s="419"/>
      <c r="L214" s="184"/>
      <c r="M214" s="222"/>
      <c r="N214" s="183"/>
      <c r="O214" s="417"/>
      <c r="P214" s="150"/>
      <c r="Q214" s="569"/>
    </row>
    <row r="215" spans="1:19" ht="15.75" hidden="1" customHeight="1" outlineLevel="2">
      <c r="A215" s="274"/>
      <c r="B215" s="159"/>
      <c r="C215" s="162" t="s">
        <v>363</v>
      </c>
      <c r="D215" s="160"/>
      <c r="E215" s="153"/>
      <c r="F215" s="153"/>
      <c r="G215" s="202"/>
      <c r="H215" s="200"/>
      <c r="I215" s="156"/>
      <c r="J215" s="185"/>
      <c r="K215" s="419"/>
      <c r="L215" s="184"/>
      <c r="M215" s="222"/>
      <c r="N215" s="183"/>
      <c r="O215" s="417"/>
      <c r="P215" s="150"/>
      <c r="Q215" s="569"/>
    </row>
    <row r="216" spans="1:19" ht="15.75" hidden="1" customHeight="1" outlineLevel="2">
      <c r="A216" s="274"/>
      <c r="B216" s="159"/>
      <c r="C216" s="162" t="s">
        <v>358</v>
      </c>
      <c r="D216" s="160"/>
      <c r="E216" s="153"/>
      <c r="F216" s="153"/>
      <c r="G216" s="202"/>
      <c r="H216" s="200"/>
      <c r="I216" s="156"/>
      <c r="J216" s="185"/>
      <c r="K216" s="419"/>
      <c r="L216" s="184"/>
      <c r="M216" s="222"/>
      <c r="N216" s="183"/>
      <c r="O216" s="417"/>
      <c r="P216" s="150"/>
      <c r="Q216" s="569"/>
    </row>
    <row r="217" spans="1:19" ht="15.75" hidden="1" customHeight="1" outlineLevel="2">
      <c r="A217" s="274"/>
      <c r="B217" s="159"/>
      <c r="C217" s="162" t="s">
        <v>364</v>
      </c>
      <c r="D217" s="160"/>
      <c r="E217" s="153"/>
      <c r="F217" s="153"/>
      <c r="G217" s="202"/>
      <c r="H217" s="200"/>
      <c r="I217" s="156"/>
      <c r="J217" s="185"/>
      <c r="K217" s="419"/>
      <c r="L217" s="184"/>
      <c r="M217" s="222"/>
      <c r="N217" s="183"/>
      <c r="O217" s="417"/>
      <c r="P217" s="150"/>
      <c r="Q217" s="568" t="s">
        <v>1239</v>
      </c>
    </row>
    <row r="218" spans="1:19" ht="15.75" hidden="1" customHeight="1" outlineLevel="2">
      <c r="A218" s="274"/>
      <c r="B218" s="159"/>
      <c r="C218" s="142" t="s">
        <v>382</v>
      </c>
      <c r="D218" s="160"/>
      <c r="E218" s="153"/>
      <c r="F218" s="153"/>
      <c r="G218" s="202"/>
      <c r="H218" s="200"/>
      <c r="I218" s="156"/>
      <c r="J218" s="185"/>
      <c r="K218" s="419"/>
      <c r="L218" s="184"/>
      <c r="M218" s="222"/>
      <c r="N218" s="183"/>
      <c r="O218" s="417"/>
      <c r="P218" s="150"/>
      <c r="Q218" s="569"/>
    </row>
    <row r="219" spans="1:19" ht="15.75" hidden="1" customHeight="1" outlineLevel="2">
      <c r="A219" s="274"/>
      <c r="B219" s="159"/>
      <c r="C219" s="162" t="s">
        <v>366</v>
      </c>
      <c r="D219" s="160"/>
      <c r="E219" s="153"/>
      <c r="F219" s="153"/>
      <c r="G219" s="202"/>
      <c r="H219" s="200"/>
      <c r="I219" s="156"/>
      <c r="J219" s="185"/>
      <c r="K219" s="419"/>
      <c r="L219" s="184"/>
      <c r="M219" s="222"/>
      <c r="N219" s="183"/>
      <c r="O219" s="417"/>
      <c r="P219" s="150"/>
      <c r="Q219" s="569"/>
    </row>
    <row r="220" spans="1:19" ht="15.75" hidden="1" customHeight="1" outlineLevel="2">
      <c r="A220" s="274"/>
      <c r="B220" s="159"/>
      <c r="C220" s="162" t="s">
        <v>358</v>
      </c>
      <c r="D220" s="160"/>
      <c r="E220" s="153"/>
      <c r="F220" s="153"/>
      <c r="G220" s="202"/>
      <c r="H220" s="200"/>
      <c r="I220" s="156"/>
      <c r="J220" s="185"/>
      <c r="K220" s="419"/>
      <c r="L220" s="184"/>
      <c r="M220" s="222"/>
      <c r="N220" s="183"/>
      <c r="O220" s="417"/>
      <c r="P220" s="150"/>
      <c r="Q220" s="569"/>
    </row>
    <row r="221" spans="1:19" ht="15.75" hidden="1" customHeight="1" outlineLevel="2">
      <c r="A221" s="274"/>
      <c r="B221" s="159"/>
      <c r="C221" s="162" t="s">
        <v>367</v>
      </c>
      <c r="D221" s="160"/>
      <c r="E221" s="153"/>
      <c r="F221" s="153"/>
      <c r="G221" s="202"/>
      <c r="H221" s="200"/>
      <c r="I221" s="156"/>
      <c r="J221" s="185"/>
      <c r="K221" s="419"/>
      <c r="L221" s="184"/>
      <c r="M221" s="222"/>
      <c r="N221" s="183"/>
      <c r="O221" s="417"/>
      <c r="P221" s="150"/>
      <c r="Q221" s="569"/>
    </row>
    <row r="222" spans="1:19" ht="15.75" hidden="1" customHeight="1" outlineLevel="2">
      <c r="A222" s="274"/>
      <c r="B222" s="159"/>
      <c r="C222" s="162" t="s">
        <v>368</v>
      </c>
      <c r="D222" s="160"/>
      <c r="E222" s="153"/>
      <c r="F222" s="153"/>
      <c r="G222" s="202"/>
      <c r="H222" s="200"/>
      <c r="I222" s="156"/>
      <c r="J222" s="185"/>
      <c r="K222" s="419"/>
      <c r="L222" s="184"/>
      <c r="M222" s="222"/>
      <c r="N222" s="183"/>
      <c r="O222" s="417"/>
      <c r="P222" s="150"/>
      <c r="Q222" s="569"/>
      <c r="S222" t="s">
        <v>393</v>
      </c>
    </row>
    <row r="223" spans="1:19" ht="15.75" hidden="1" customHeight="1" outlineLevel="2">
      <c r="A223" s="274"/>
      <c r="B223" s="159"/>
      <c r="C223" s="142" t="s">
        <v>383</v>
      </c>
      <c r="D223" s="160"/>
      <c r="E223" s="153"/>
      <c r="F223" s="153"/>
      <c r="G223" s="202"/>
      <c r="H223" s="200"/>
      <c r="I223" s="156"/>
      <c r="J223" s="185"/>
      <c r="K223" s="419"/>
      <c r="L223" s="184"/>
      <c r="M223" s="222"/>
      <c r="N223" s="183"/>
      <c r="O223" s="417"/>
      <c r="P223" s="150"/>
      <c r="Q223" s="569"/>
    </row>
    <row r="224" spans="1:19" ht="15.75" hidden="1" customHeight="1" outlineLevel="2">
      <c r="A224" s="274"/>
      <c r="B224" s="159"/>
      <c r="C224" s="162" t="s">
        <v>370</v>
      </c>
      <c r="D224" s="160"/>
      <c r="E224" s="153"/>
      <c r="F224" s="153"/>
      <c r="G224" s="202"/>
      <c r="H224" s="200"/>
      <c r="I224" s="156"/>
      <c r="J224" s="185"/>
      <c r="K224" s="419"/>
      <c r="L224" s="184"/>
      <c r="M224" s="222"/>
      <c r="N224" s="183"/>
      <c r="O224" s="417"/>
      <c r="P224" s="150"/>
      <c r="Q224" s="569"/>
    </row>
    <row r="225" spans="1:17" ht="15.75" hidden="1" customHeight="1" outlineLevel="2">
      <c r="A225" s="274"/>
      <c r="B225" s="159"/>
      <c r="C225" s="162" t="s">
        <v>371</v>
      </c>
      <c r="D225" s="160"/>
      <c r="E225" s="153"/>
      <c r="F225" s="153"/>
      <c r="G225" s="202"/>
      <c r="H225" s="200"/>
      <c r="I225" s="156"/>
      <c r="J225" s="185"/>
      <c r="K225" s="419"/>
      <c r="L225" s="184"/>
      <c r="M225" s="222"/>
      <c r="N225" s="183">
        <v>400000</v>
      </c>
      <c r="O225" s="417">
        <f>N225*1.73</f>
        <v>692000</v>
      </c>
      <c r="P225" s="150">
        <f t="shared" si="2"/>
        <v>692000</v>
      </c>
      <c r="Q225" s="569"/>
    </row>
    <row r="226" spans="1:17" ht="15.75" hidden="1" customHeight="1" outlineLevel="2">
      <c r="A226" s="274"/>
      <c r="B226" s="159"/>
      <c r="C226" s="162" t="s">
        <v>372</v>
      </c>
      <c r="D226" s="160"/>
      <c r="E226" s="153"/>
      <c r="F226" s="153"/>
      <c r="G226" s="202"/>
      <c r="H226" s="200"/>
      <c r="I226" s="156"/>
      <c r="J226" s="185">
        <v>200000</v>
      </c>
      <c r="K226" s="222">
        <f>J226*1.23</f>
        <v>246000</v>
      </c>
      <c r="L226" s="184"/>
      <c r="M226" s="222"/>
      <c r="N226" s="183"/>
      <c r="O226" s="417"/>
      <c r="P226" s="150">
        <f t="shared" si="2"/>
        <v>246000</v>
      </c>
      <c r="Q226" s="569"/>
    </row>
    <row r="227" spans="1:17" ht="15.75" hidden="1" customHeight="1" outlineLevel="2">
      <c r="A227" s="274"/>
      <c r="B227" s="159"/>
      <c r="C227" s="162" t="s">
        <v>373</v>
      </c>
      <c r="D227" s="160"/>
      <c r="E227" s="153"/>
      <c r="F227" s="153"/>
      <c r="G227" s="202"/>
      <c r="H227" s="200"/>
      <c r="I227" s="156"/>
      <c r="J227" s="185"/>
      <c r="K227" s="419"/>
      <c r="L227" s="184"/>
      <c r="M227" s="222"/>
      <c r="N227" s="183"/>
      <c r="O227" s="417"/>
      <c r="P227" s="150"/>
      <c r="Q227" s="569"/>
    </row>
    <row r="228" spans="1:17" ht="15.75" hidden="1" customHeight="1" outlineLevel="2">
      <c r="A228" s="274"/>
      <c r="B228" s="159"/>
      <c r="C228" s="142" t="s">
        <v>384</v>
      </c>
      <c r="D228" s="160"/>
      <c r="E228" s="153"/>
      <c r="F228" s="153"/>
      <c r="G228" s="202"/>
      <c r="H228" s="200"/>
      <c r="I228" s="156"/>
      <c r="J228" s="185"/>
      <c r="K228" s="419"/>
      <c r="L228" s="184"/>
      <c r="M228" s="222"/>
      <c r="N228" s="183"/>
      <c r="O228" s="417"/>
      <c r="P228" s="150"/>
      <c r="Q228" s="569"/>
    </row>
    <row r="229" spans="1:17" ht="15.75" hidden="1" customHeight="1" outlineLevel="2">
      <c r="A229" s="274"/>
      <c r="B229" s="159"/>
      <c r="C229" s="162" t="s">
        <v>375</v>
      </c>
      <c r="D229" s="160"/>
      <c r="E229" s="153"/>
      <c r="F229" s="153"/>
      <c r="G229" s="202"/>
      <c r="H229" s="200"/>
      <c r="I229" s="156"/>
      <c r="J229" s="185"/>
      <c r="K229" s="419"/>
      <c r="L229" s="184"/>
      <c r="M229" s="222"/>
      <c r="N229" s="183"/>
      <c r="O229" s="417"/>
      <c r="P229" s="150"/>
      <c r="Q229" s="569"/>
    </row>
    <row r="230" spans="1:17" ht="15.75" hidden="1" customHeight="1" outlineLevel="2">
      <c r="A230" s="274"/>
      <c r="B230" s="159"/>
      <c r="C230" s="162" t="s">
        <v>376</v>
      </c>
      <c r="D230" s="160"/>
      <c r="E230" s="153"/>
      <c r="F230" s="153"/>
      <c r="G230" s="202"/>
      <c r="H230" s="200"/>
      <c r="I230" s="156"/>
      <c r="J230" s="185"/>
      <c r="K230" s="419"/>
      <c r="L230" s="184"/>
      <c r="M230" s="222"/>
      <c r="N230" s="183"/>
      <c r="O230" s="417"/>
      <c r="P230" s="150"/>
      <c r="Q230" s="569"/>
    </row>
    <row r="231" spans="1:17" ht="15.75" hidden="1" customHeight="1" outlineLevel="2">
      <c r="A231" s="274"/>
      <c r="B231" s="159"/>
      <c r="C231" s="162" t="s">
        <v>377</v>
      </c>
      <c r="D231" s="160"/>
      <c r="E231" s="153"/>
      <c r="F231" s="153"/>
      <c r="G231" s="202"/>
      <c r="H231" s="200"/>
      <c r="I231" s="156"/>
      <c r="J231" s="185"/>
      <c r="K231" s="419"/>
      <c r="L231" s="184"/>
      <c r="M231" s="222"/>
      <c r="N231" s="183"/>
      <c r="O231" s="417"/>
      <c r="P231" s="150"/>
      <c r="Q231" s="569"/>
    </row>
    <row r="232" spans="1:17" ht="15.75" hidden="1" customHeight="1" outlineLevel="2">
      <c r="A232" s="274"/>
      <c r="B232" s="159"/>
      <c r="C232" s="162" t="s">
        <v>400</v>
      </c>
      <c r="D232" s="160"/>
      <c r="E232" s="153"/>
      <c r="F232" s="153"/>
      <c r="G232" s="202"/>
      <c r="H232" s="200"/>
      <c r="I232" s="156"/>
      <c r="J232" s="185"/>
      <c r="K232" s="419"/>
      <c r="L232" s="184"/>
      <c r="M232" s="222"/>
      <c r="N232" s="183"/>
      <c r="O232" s="417"/>
      <c r="P232" s="150"/>
      <c r="Q232" s="569"/>
    </row>
    <row r="233" spans="1:17" ht="15.75" hidden="1" customHeight="1" outlineLevel="2">
      <c r="A233" s="274"/>
      <c r="B233" s="159"/>
      <c r="C233" s="162" t="s">
        <v>403</v>
      </c>
      <c r="D233" s="160"/>
      <c r="E233" s="153"/>
      <c r="F233" s="153"/>
      <c r="G233" s="202"/>
      <c r="H233" s="200"/>
      <c r="I233" s="156"/>
      <c r="J233" s="184">
        <v>15000000</v>
      </c>
      <c r="K233" s="222">
        <f>J233*1.23</f>
        <v>18450000</v>
      </c>
      <c r="L233" s="184"/>
      <c r="M233" s="222"/>
      <c r="N233" s="183"/>
      <c r="O233" s="417"/>
      <c r="P233" s="150">
        <f t="shared" si="2"/>
        <v>18450000</v>
      </c>
      <c r="Q233" s="569" t="s">
        <v>1240</v>
      </c>
    </row>
    <row r="234" spans="1:17" s="130" customFormat="1" ht="15.75" hidden="1" customHeight="1" outlineLevel="1" collapsed="1">
      <c r="A234" s="275"/>
      <c r="B234" s="142"/>
      <c r="C234" s="142" t="s">
        <v>407</v>
      </c>
      <c r="D234" s="220"/>
      <c r="E234" s="217"/>
      <c r="F234" s="217"/>
      <c r="G234" s="222"/>
      <c r="H234" s="223"/>
      <c r="I234" s="207"/>
      <c r="J234" s="185">
        <f>SUM(J208:J233)</f>
        <v>15650000</v>
      </c>
      <c r="K234" s="222">
        <f>J234*1.23</f>
        <v>19249500</v>
      </c>
      <c r="L234" s="184"/>
      <c r="M234" s="222"/>
      <c r="N234" s="183">
        <f>SUM(N208:N232)</f>
        <v>400000</v>
      </c>
      <c r="O234" s="417">
        <f>N234*1.73</f>
        <v>692000</v>
      </c>
      <c r="P234" s="150">
        <f t="shared" si="2"/>
        <v>19941500</v>
      </c>
      <c r="Q234" s="575"/>
    </row>
    <row r="235" spans="1:17" ht="15.75" hidden="1" customHeight="1" outlineLevel="2">
      <c r="A235" s="274"/>
      <c r="B235" s="142" t="s">
        <v>405</v>
      </c>
      <c r="C235" s="159"/>
      <c r="D235" s="160"/>
      <c r="E235" s="153"/>
      <c r="F235" s="153"/>
      <c r="G235" s="202"/>
      <c r="H235" s="200"/>
      <c r="I235" s="156"/>
      <c r="J235" s="184"/>
      <c r="K235" s="222"/>
      <c r="L235" s="184"/>
      <c r="M235" s="222"/>
      <c r="N235" s="183"/>
      <c r="O235" s="417"/>
      <c r="P235" s="150"/>
      <c r="Q235" s="569"/>
    </row>
    <row r="236" spans="1:17" ht="15.75" hidden="1" customHeight="1" outlineLevel="2">
      <c r="A236" s="274"/>
      <c r="B236" s="159"/>
      <c r="C236" s="142" t="s">
        <v>380</v>
      </c>
      <c r="D236" s="160"/>
      <c r="E236" s="153"/>
      <c r="F236" s="153"/>
      <c r="G236" s="202"/>
      <c r="H236" s="200"/>
      <c r="I236" s="156"/>
      <c r="J236" s="184"/>
      <c r="K236" s="222"/>
      <c r="L236" s="184"/>
      <c r="M236" s="222"/>
      <c r="N236" s="183"/>
      <c r="O236" s="417"/>
      <c r="P236" s="150"/>
      <c r="Q236" s="569"/>
    </row>
    <row r="237" spans="1:17" ht="15.75" hidden="1" customHeight="1" outlineLevel="2">
      <c r="A237" s="274"/>
      <c r="B237" s="159"/>
      <c r="C237" s="162" t="s">
        <v>396</v>
      </c>
      <c r="D237" s="160"/>
      <c r="E237" s="153"/>
      <c r="F237" s="153"/>
      <c r="G237" s="202"/>
      <c r="H237" s="200"/>
      <c r="I237" s="156"/>
      <c r="J237" s="184">
        <v>500000</v>
      </c>
      <c r="K237" s="222">
        <f>J237*1.23</f>
        <v>615000</v>
      </c>
      <c r="L237" s="184"/>
      <c r="M237" s="222"/>
      <c r="N237" s="183"/>
      <c r="O237" s="417"/>
      <c r="P237" s="150">
        <f t="shared" ref="P237:P262" si="3">SUM(I237,K237,M237,O237)</f>
        <v>615000</v>
      </c>
      <c r="Q237" s="569"/>
    </row>
    <row r="238" spans="1:17" ht="15.75" hidden="1" customHeight="1" outlineLevel="2">
      <c r="A238" s="274"/>
      <c r="B238" s="159"/>
      <c r="C238" s="162" t="s">
        <v>357</v>
      </c>
      <c r="D238" s="160"/>
      <c r="E238" s="153"/>
      <c r="F238" s="153"/>
      <c r="G238" s="202"/>
      <c r="H238" s="200"/>
      <c r="I238" s="156"/>
      <c r="J238" s="184"/>
      <c r="K238" s="222"/>
      <c r="L238" s="184"/>
      <c r="M238" s="222"/>
      <c r="N238" s="183" t="s">
        <v>390</v>
      </c>
      <c r="O238" s="417"/>
      <c r="P238" s="150"/>
      <c r="Q238" s="569"/>
    </row>
    <row r="239" spans="1:17" ht="15.75" hidden="1" customHeight="1" outlineLevel="2">
      <c r="A239" s="274"/>
      <c r="B239" s="159"/>
      <c r="C239" s="162" t="s">
        <v>358</v>
      </c>
      <c r="D239" s="160"/>
      <c r="E239" s="153"/>
      <c r="F239" s="153"/>
      <c r="G239" s="338">
        <f>CIP!$AP$97</f>
        <v>55435.893749999988</v>
      </c>
      <c r="H239" s="200"/>
      <c r="I239" s="203">
        <f>SUM(D239:H239)</f>
        <v>55435.893749999988</v>
      </c>
      <c r="J239" s="184"/>
      <c r="K239" s="222"/>
      <c r="L239" s="184">
        <v>3000000</v>
      </c>
      <c r="M239" s="222">
        <f>L239*1.46</f>
        <v>4380000</v>
      </c>
      <c r="N239" s="183" t="s">
        <v>390</v>
      </c>
      <c r="O239" s="417"/>
      <c r="P239" s="150">
        <f t="shared" si="3"/>
        <v>4435435.8937499998</v>
      </c>
      <c r="Q239" s="569" t="s">
        <v>1241</v>
      </c>
    </row>
    <row r="240" spans="1:17" ht="15.75" hidden="1" customHeight="1" outlineLevel="2">
      <c r="A240" s="274"/>
      <c r="B240" s="159"/>
      <c r="C240" s="162" t="s">
        <v>359</v>
      </c>
      <c r="D240" s="160"/>
      <c r="E240" s="153"/>
      <c r="F240" s="153"/>
      <c r="G240" s="202"/>
      <c r="H240" s="200"/>
      <c r="I240" s="156"/>
      <c r="J240" s="184"/>
      <c r="K240" s="222"/>
      <c r="L240" s="184"/>
      <c r="M240" s="222"/>
      <c r="N240" s="183"/>
      <c r="O240" s="417"/>
      <c r="P240" s="150"/>
      <c r="Q240" s="569" t="s">
        <v>390</v>
      </c>
    </row>
    <row r="241" spans="1:17" ht="15.75" hidden="1" customHeight="1" outlineLevel="2">
      <c r="A241" s="274"/>
      <c r="B241" s="159"/>
      <c r="C241" s="162" t="s">
        <v>406</v>
      </c>
      <c r="D241" s="160"/>
      <c r="E241" s="153"/>
      <c r="F241" s="153"/>
      <c r="G241" s="202">
        <f>CIP!$AP$117</f>
        <v>221743.57499999995</v>
      </c>
      <c r="H241" s="202"/>
      <c r="I241" s="156">
        <f>SUM(E241:H241)</f>
        <v>221743.57499999995</v>
      </c>
      <c r="J241" s="184"/>
      <c r="K241" s="222"/>
      <c r="L241" s="184"/>
      <c r="M241" s="222"/>
      <c r="N241" s="183"/>
      <c r="O241" s="417"/>
      <c r="P241" s="150">
        <f t="shared" si="3"/>
        <v>221743.57499999995</v>
      </c>
      <c r="Q241" s="569"/>
    </row>
    <row r="242" spans="1:17" ht="15.75" hidden="1" customHeight="1" outlineLevel="2">
      <c r="A242" s="274"/>
      <c r="B242" s="159"/>
      <c r="C242" s="142" t="s">
        <v>381</v>
      </c>
      <c r="D242" s="160"/>
      <c r="E242" s="153"/>
      <c r="F242" s="153"/>
      <c r="G242" s="202"/>
      <c r="H242" s="200"/>
      <c r="I242" s="156"/>
      <c r="J242" s="184"/>
      <c r="K242" s="222"/>
      <c r="L242" s="184"/>
      <c r="M242" s="222"/>
      <c r="N242" s="183"/>
      <c r="O242" s="417"/>
      <c r="P242" s="150"/>
      <c r="Q242" s="569"/>
    </row>
    <row r="243" spans="1:17" ht="15.75" hidden="1" customHeight="1" outlineLevel="2">
      <c r="A243" s="274"/>
      <c r="B243" s="159"/>
      <c r="C243" s="162" t="s">
        <v>362</v>
      </c>
      <c r="D243" s="160"/>
      <c r="E243" s="153"/>
      <c r="F243" s="153"/>
      <c r="G243" s="202"/>
      <c r="H243" s="200"/>
      <c r="I243" s="156"/>
      <c r="J243" s="184"/>
      <c r="K243" s="222"/>
      <c r="L243" s="184"/>
      <c r="M243" s="222"/>
      <c r="N243" s="183">
        <v>400000</v>
      </c>
      <c r="O243" s="417">
        <f>N243*1.73</f>
        <v>692000</v>
      </c>
      <c r="P243" s="150">
        <f t="shared" si="3"/>
        <v>692000</v>
      </c>
      <c r="Q243" s="569"/>
    </row>
    <row r="244" spans="1:17" ht="15.75" hidden="1" customHeight="1" outlineLevel="2">
      <c r="A244" s="274"/>
      <c r="B244" s="159"/>
      <c r="C244" s="162" t="s">
        <v>363</v>
      </c>
      <c r="D244" s="160"/>
      <c r="E244" s="153"/>
      <c r="F244" s="153"/>
      <c r="G244" s="202"/>
      <c r="H244" s="200"/>
      <c r="I244" s="156"/>
      <c r="J244" s="184"/>
      <c r="K244" s="222"/>
      <c r="L244" s="184"/>
      <c r="M244" s="222"/>
      <c r="N244" s="183"/>
      <c r="O244" s="417"/>
      <c r="P244" s="150"/>
      <c r="Q244" s="569"/>
    </row>
    <row r="245" spans="1:17" ht="15.75" hidden="1" customHeight="1" outlineLevel="2">
      <c r="A245" s="274"/>
      <c r="B245" s="159"/>
      <c r="C245" s="162" t="s">
        <v>358</v>
      </c>
      <c r="D245" s="160"/>
      <c r="E245" s="153"/>
      <c r="F245" s="153"/>
      <c r="G245" s="202"/>
      <c r="H245" s="200"/>
      <c r="I245" s="156"/>
      <c r="J245" s="184"/>
      <c r="K245" s="222"/>
      <c r="L245" s="184"/>
      <c r="M245" s="222"/>
      <c r="N245" s="183"/>
      <c r="O245" s="417"/>
      <c r="P245" s="150"/>
      <c r="Q245" s="569"/>
    </row>
    <row r="246" spans="1:17" ht="15.75" hidden="1" customHeight="1" outlineLevel="2">
      <c r="A246" s="274"/>
      <c r="B246" s="159"/>
      <c r="C246" s="162" t="s">
        <v>364</v>
      </c>
      <c r="D246" s="160"/>
      <c r="E246" s="153"/>
      <c r="F246" s="153"/>
      <c r="G246" s="202"/>
      <c r="H246" s="200"/>
      <c r="I246" s="156"/>
      <c r="J246" s="184"/>
      <c r="K246" s="222"/>
      <c r="L246" s="184"/>
      <c r="M246" s="222"/>
      <c r="N246" s="183" t="s">
        <v>390</v>
      </c>
      <c r="O246" s="417"/>
      <c r="P246" s="150"/>
      <c r="Q246" s="569"/>
    </row>
    <row r="247" spans="1:17" ht="15.75" hidden="1" customHeight="1" outlineLevel="2">
      <c r="A247" s="274"/>
      <c r="B247" s="159"/>
      <c r="C247" s="142" t="s">
        <v>382</v>
      </c>
      <c r="D247" s="160"/>
      <c r="E247" s="153"/>
      <c r="F247" s="153"/>
      <c r="G247" s="202"/>
      <c r="H247" s="200"/>
      <c r="I247" s="156"/>
      <c r="J247" s="184"/>
      <c r="K247" s="222"/>
      <c r="L247" s="184"/>
      <c r="M247" s="222"/>
      <c r="N247" s="183"/>
      <c r="O247" s="417"/>
      <c r="P247" s="150"/>
      <c r="Q247" s="569"/>
    </row>
    <row r="248" spans="1:17" ht="15.75" hidden="1" customHeight="1" outlineLevel="2">
      <c r="A248" s="274"/>
      <c r="B248" s="159"/>
      <c r="C248" s="162" t="s">
        <v>366</v>
      </c>
      <c r="D248" s="160"/>
      <c r="E248" s="153"/>
      <c r="F248" s="153"/>
      <c r="G248" s="202"/>
      <c r="H248" s="200"/>
      <c r="I248" s="156"/>
      <c r="J248" s="184"/>
      <c r="K248" s="222"/>
      <c r="L248" s="184"/>
      <c r="M248" s="222"/>
      <c r="N248" s="183"/>
      <c r="O248" s="417"/>
      <c r="P248" s="150"/>
      <c r="Q248" s="569"/>
    </row>
    <row r="249" spans="1:17" ht="15.75" hidden="1" customHeight="1" outlineLevel="2">
      <c r="A249" s="274"/>
      <c r="B249" s="159"/>
      <c r="C249" s="162" t="s">
        <v>358</v>
      </c>
      <c r="D249" s="160"/>
      <c r="E249" s="153"/>
      <c r="F249" s="153"/>
      <c r="G249" s="202"/>
      <c r="H249" s="200"/>
      <c r="I249" s="156"/>
      <c r="J249" s="184"/>
      <c r="K249" s="222"/>
      <c r="L249" s="184"/>
      <c r="M249" s="222"/>
      <c r="N249" s="183"/>
      <c r="O249" s="417"/>
      <c r="P249" s="150"/>
      <c r="Q249" s="569"/>
    </row>
    <row r="250" spans="1:17" ht="15.75" hidden="1" customHeight="1" outlineLevel="2">
      <c r="A250" s="274"/>
      <c r="B250" s="159"/>
      <c r="C250" s="162" t="s">
        <v>367</v>
      </c>
      <c r="D250" s="160"/>
      <c r="E250" s="153"/>
      <c r="F250" s="153"/>
      <c r="G250" s="202"/>
      <c r="H250" s="200"/>
      <c r="I250" s="156"/>
      <c r="J250" s="184"/>
      <c r="K250" s="222"/>
      <c r="L250" s="184"/>
      <c r="M250" s="222"/>
      <c r="N250" s="183"/>
      <c r="O250" s="417"/>
      <c r="P250" s="150"/>
      <c r="Q250" s="569"/>
    </row>
    <row r="251" spans="1:17" ht="15.75" hidden="1" customHeight="1" outlineLevel="2">
      <c r="A251" s="274"/>
      <c r="B251" s="159"/>
      <c r="C251" s="162" t="s">
        <v>368</v>
      </c>
      <c r="D251" s="160"/>
      <c r="E251" s="153"/>
      <c r="F251" s="153"/>
      <c r="G251" s="202"/>
      <c r="H251" s="200"/>
      <c r="I251" s="156"/>
      <c r="J251" s="184"/>
      <c r="K251" s="222"/>
      <c r="L251" s="184"/>
      <c r="M251" s="222"/>
      <c r="N251" s="183"/>
      <c r="O251" s="417"/>
      <c r="P251" s="150"/>
      <c r="Q251" s="569"/>
    </row>
    <row r="252" spans="1:17" ht="15.75" hidden="1" customHeight="1" outlineLevel="2">
      <c r="A252" s="274"/>
      <c r="B252" s="159"/>
      <c r="C252" s="142" t="s">
        <v>383</v>
      </c>
      <c r="D252" s="160"/>
      <c r="E252" s="153"/>
      <c r="F252" s="153"/>
      <c r="G252" s="202"/>
      <c r="H252" s="200"/>
      <c r="I252" s="156"/>
      <c r="J252" s="184"/>
      <c r="K252" s="222"/>
      <c r="L252" s="184"/>
      <c r="M252" s="222"/>
      <c r="N252" s="183"/>
      <c r="O252" s="417"/>
      <c r="P252" s="150"/>
      <c r="Q252" s="569"/>
    </row>
    <row r="253" spans="1:17" ht="15.75" hidden="1" customHeight="1" outlineLevel="2">
      <c r="A253" s="274"/>
      <c r="B253" s="159"/>
      <c r="C253" s="162" t="s">
        <v>370</v>
      </c>
      <c r="D253" s="160"/>
      <c r="E253" s="153"/>
      <c r="F253" s="153"/>
      <c r="G253" s="202"/>
      <c r="H253" s="200"/>
      <c r="I253" s="156"/>
      <c r="J253" s="184"/>
      <c r="K253" s="222"/>
      <c r="L253" s="184"/>
      <c r="M253" s="222"/>
      <c r="N253" s="183">
        <v>500000</v>
      </c>
      <c r="O253" s="417">
        <f t="shared" ref="O253:O262" si="4">N253*1.73</f>
        <v>865000</v>
      </c>
      <c r="P253" s="150">
        <f t="shared" si="3"/>
        <v>865000</v>
      </c>
      <c r="Q253" s="569"/>
    </row>
    <row r="254" spans="1:17" ht="15.75" hidden="1" customHeight="1" outlineLevel="2">
      <c r="A254" s="274"/>
      <c r="B254" s="159"/>
      <c r="C254" s="162" t="s">
        <v>371</v>
      </c>
      <c r="D254" s="160"/>
      <c r="E254" s="153"/>
      <c r="F254" s="153"/>
      <c r="G254" s="202"/>
      <c r="H254" s="200"/>
      <c r="I254" s="156"/>
      <c r="J254" s="184"/>
      <c r="K254" s="222"/>
      <c r="L254" s="184"/>
      <c r="M254" s="222"/>
      <c r="N254" s="183"/>
      <c r="O254" s="417"/>
      <c r="P254" s="150"/>
      <c r="Q254" s="569"/>
    </row>
    <row r="255" spans="1:17" ht="15.75" hidden="1" customHeight="1" outlineLevel="2">
      <c r="A255" s="274"/>
      <c r="B255" s="159"/>
      <c r="C255" s="162" t="s">
        <v>372</v>
      </c>
      <c r="D255" s="160"/>
      <c r="E255" s="153"/>
      <c r="F255" s="153"/>
      <c r="G255" s="202"/>
      <c r="H255" s="200"/>
      <c r="I255" s="156"/>
      <c r="J255" s="184">
        <v>1125000</v>
      </c>
      <c r="K255" s="222">
        <f>J255*1.23</f>
        <v>1383750</v>
      </c>
      <c r="L255" s="184"/>
      <c r="M255" s="222"/>
      <c r="N255" s="183"/>
      <c r="O255" s="417"/>
      <c r="P255" s="150">
        <f t="shared" si="3"/>
        <v>1383750</v>
      </c>
      <c r="Q255" s="572"/>
    </row>
    <row r="256" spans="1:17" ht="15.75" hidden="1" customHeight="1" outlineLevel="2">
      <c r="A256" s="274"/>
      <c r="B256" s="159"/>
      <c r="C256" s="162" t="s">
        <v>373</v>
      </c>
      <c r="D256" s="160"/>
      <c r="E256" s="153"/>
      <c r="F256" s="153"/>
      <c r="G256" s="202"/>
      <c r="H256" s="200"/>
      <c r="I256" s="156"/>
      <c r="J256" s="184"/>
      <c r="K256" s="222"/>
      <c r="L256" s="184"/>
      <c r="M256" s="222"/>
      <c r="N256" s="183"/>
      <c r="O256" s="417"/>
      <c r="P256" s="150"/>
      <c r="Q256" s="569"/>
    </row>
    <row r="257" spans="1:17" ht="15.75" hidden="1" customHeight="1" outlineLevel="2">
      <c r="A257" s="274"/>
      <c r="B257" s="159"/>
      <c r="C257" s="142" t="s">
        <v>384</v>
      </c>
      <c r="D257" s="160"/>
      <c r="E257" s="153"/>
      <c r="F257" s="153"/>
      <c r="G257" s="202"/>
      <c r="H257" s="200"/>
      <c r="I257" s="156"/>
      <c r="J257" s="184"/>
      <c r="K257" s="222"/>
      <c r="L257" s="184"/>
      <c r="M257" s="222"/>
      <c r="N257" s="183"/>
      <c r="O257" s="417"/>
      <c r="P257" s="150"/>
      <c r="Q257" s="569"/>
    </row>
    <row r="258" spans="1:17" ht="15.75" hidden="1" customHeight="1" outlineLevel="2">
      <c r="A258" s="274"/>
      <c r="B258" s="159"/>
      <c r="C258" s="162" t="s">
        <v>375</v>
      </c>
      <c r="D258" s="160"/>
      <c r="E258" s="153"/>
      <c r="F258" s="153"/>
      <c r="G258" s="202"/>
      <c r="H258" s="200"/>
      <c r="I258" s="156"/>
      <c r="J258" s="184">
        <v>350000</v>
      </c>
      <c r="K258" s="222">
        <f>J258*1.23</f>
        <v>430500</v>
      </c>
      <c r="L258" s="184"/>
      <c r="M258" s="222"/>
      <c r="N258" s="183"/>
      <c r="O258" s="417"/>
      <c r="P258" s="150">
        <f t="shared" si="3"/>
        <v>430500</v>
      </c>
      <c r="Q258" s="569"/>
    </row>
    <row r="259" spans="1:17" ht="15.75" hidden="1" customHeight="1" outlineLevel="2">
      <c r="A259" s="274"/>
      <c r="B259" s="159"/>
      <c r="C259" s="162" t="s">
        <v>376</v>
      </c>
      <c r="D259" s="160"/>
      <c r="E259" s="153"/>
      <c r="F259" s="153"/>
      <c r="G259" s="202"/>
      <c r="H259" s="200"/>
      <c r="I259" s="156"/>
      <c r="J259" s="184" t="s">
        <v>390</v>
      </c>
      <c r="K259" s="222"/>
      <c r="L259" s="184"/>
      <c r="M259" s="222"/>
      <c r="N259" s="183"/>
      <c r="O259" s="417"/>
      <c r="P259" s="150"/>
      <c r="Q259" s="569"/>
    </row>
    <row r="260" spans="1:17" ht="15.75" hidden="1" customHeight="1" outlineLevel="2">
      <c r="A260" s="274"/>
      <c r="B260" s="159"/>
      <c r="C260" s="162" t="s">
        <v>377</v>
      </c>
      <c r="D260" s="160"/>
      <c r="E260" s="153"/>
      <c r="F260" s="153"/>
      <c r="G260" s="202"/>
      <c r="H260" s="200"/>
      <c r="I260" s="156"/>
      <c r="J260" s="184"/>
      <c r="K260" s="222"/>
      <c r="L260" s="184"/>
      <c r="M260" s="222"/>
      <c r="N260" s="183"/>
      <c r="O260" s="417"/>
      <c r="P260" s="150"/>
      <c r="Q260" s="569"/>
    </row>
    <row r="261" spans="1:17" ht="15.75" hidden="1" customHeight="1" outlineLevel="2">
      <c r="A261" s="274"/>
      <c r="B261" s="159"/>
      <c r="C261" s="162" t="s">
        <v>400</v>
      </c>
      <c r="D261" s="160"/>
      <c r="E261" s="153"/>
      <c r="F261" s="153"/>
      <c r="G261" s="202"/>
      <c r="H261" s="200"/>
      <c r="I261" s="156"/>
      <c r="J261" s="184">
        <v>500000</v>
      </c>
      <c r="K261" s="222">
        <f>J261*1.23</f>
        <v>615000</v>
      </c>
      <c r="L261" s="184"/>
      <c r="M261" s="222"/>
      <c r="N261" s="183"/>
      <c r="O261" s="417"/>
      <c r="P261" s="150">
        <f t="shared" si="3"/>
        <v>615000</v>
      </c>
      <c r="Q261" s="569"/>
    </row>
    <row r="262" spans="1:17" s="130" customFormat="1" ht="15.75" hidden="1" customHeight="1" outlineLevel="1" collapsed="1">
      <c r="A262" s="275"/>
      <c r="B262" s="142"/>
      <c r="C262" s="142" t="s">
        <v>405</v>
      </c>
      <c r="D262" s="220"/>
      <c r="E262" s="217"/>
      <c r="F262" s="217"/>
      <c r="G262" s="222">
        <f>SUM(G237:G261)</f>
        <v>277179.46874999994</v>
      </c>
      <c r="H262" s="223"/>
      <c r="I262" s="207">
        <f>SUM(I237:I261)</f>
        <v>277179.46874999994</v>
      </c>
      <c r="J262" s="184">
        <f>SUM(J237:J261)</f>
        <v>2475000</v>
      </c>
      <c r="K262" s="222">
        <f>J262*1.23</f>
        <v>3044250</v>
      </c>
      <c r="L262" s="184">
        <f>SUM(L236:L261)</f>
        <v>3000000</v>
      </c>
      <c r="M262" s="222">
        <f>L262*1.46</f>
        <v>4380000</v>
      </c>
      <c r="N262" s="183">
        <f>SUM(N237:N261)</f>
        <v>900000</v>
      </c>
      <c r="O262" s="417">
        <f t="shared" si="4"/>
        <v>1557000</v>
      </c>
      <c r="P262" s="150">
        <f t="shared" si="3"/>
        <v>9258429.46875</v>
      </c>
      <c r="Q262" s="575"/>
    </row>
    <row r="263" spans="1:17" ht="15.75" hidden="1" customHeight="1" outlineLevel="2">
      <c r="A263" s="274"/>
      <c r="B263" s="142" t="s">
        <v>824</v>
      </c>
      <c r="C263" s="159"/>
      <c r="D263" s="160"/>
      <c r="E263" s="153"/>
      <c r="F263" s="153"/>
      <c r="G263" s="200"/>
      <c r="H263" s="205"/>
      <c r="I263" s="156"/>
      <c r="J263" s="187"/>
      <c r="K263" s="419"/>
      <c r="L263" s="184"/>
      <c r="M263" s="222"/>
      <c r="N263" s="183"/>
      <c r="O263" s="417"/>
      <c r="P263" s="150"/>
      <c r="Q263" s="569"/>
    </row>
    <row r="264" spans="1:17" ht="15.75" hidden="1" customHeight="1" outlineLevel="2">
      <c r="A264" s="274"/>
      <c r="B264" s="159"/>
      <c r="C264" s="142" t="s">
        <v>380</v>
      </c>
      <c r="D264" s="160"/>
      <c r="E264" s="153"/>
      <c r="F264" s="153"/>
      <c r="G264" s="200"/>
      <c r="H264" s="201"/>
      <c r="I264" s="156"/>
      <c r="J264" s="185"/>
      <c r="K264" s="419"/>
      <c r="L264" s="184"/>
      <c r="M264" s="222"/>
      <c r="N264" s="183"/>
      <c r="O264" s="417"/>
      <c r="P264" s="150"/>
      <c r="Q264" s="568"/>
    </row>
    <row r="265" spans="1:17" ht="15.75" hidden="1" customHeight="1" outlineLevel="2">
      <c r="A265" s="274"/>
      <c r="B265" s="159"/>
      <c r="C265" s="162" t="s">
        <v>387</v>
      </c>
      <c r="D265" s="160"/>
      <c r="E265" s="153">
        <f>CIP!$AN$40</f>
        <v>248399.99999999997</v>
      </c>
      <c r="F265" s="200"/>
      <c r="G265" s="202"/>
      <c r="H265" s="201"/>
      <c r="I265" s="156">
        <f>SUM(D265:H265)</f>
        <v>248399.99999999997</v>
      </c>
      <c r="J265" s="183">
        <v>750000</v>
      </c>
      <c r="K265" s="222">
        <f>J265*1.23</f>
        <v>922500</v>
      </c>
      <c r="L265" s="215"/>
      <c r="M265" s="222"/>
      <c r="N265" s="183"/>
      <c r="O265" s="417"/>
      <c r="P265" s="150">
        <f t="shared" ref="P265:P292" si="5">SUM(I265,K265,M265,O265)</f>
        <v>1170900</v>
      </c>
      <c r="Q265" s="573" t="s">
        <v>1242</v>
      </c>
    </row>
    <row r="266" spans="1:17" ht="15.75" hidden="1" customHeight="1" outlineLevel="2">
      <c r="A266" s="274"/>
      <c r="B266" s="159"/>
      <c r="C266" s="162" t="s">
        <v>357</v>
      </c>
      <c r="D266" s="160"/>
      <c r="E266" s="153"/>
      <c r="F266" s="153"/>
      <c r="G266" s="200"/>
      <c r="H266" s="201"/>
      <c r="I266" s="156" t="s">
        <v>390</v>
      </c>
      <c r="J266" s="185"/>
      <c r="K266" s="419"/>
      <c r="L266" s="184"/>
      <c r="M266" s="222"/>
      <c r="N266" s="183"/>
      <c r="O266" s="417"/>
      <c r="P266" s="150"/>
      <c r="Q266" s="568"/>
    </row>
    <row r="267" spans="1:17" ht="15.75" hidden="1" customHeight="1" outlineLevel="2">
      <c r="A267" s="274"/>
      <c r="B267" s="159"/>
      <c r="C267" s="162" t="s">
        <v>358</v>
      </c>
      <c r="D267" s="160"/>
      <c r="E267" s="153"/>
      <c r="F267" s="153"/>
      <c r="G267" s="200"/>
      <c r="H267" s="201"/>
      <c r="I267" s="203"/>
      <c r="J267" s="185">
        <v>200000</v>
      </c>
      <c r="K267" s="222">
        <f>J267*1.23</f>
        <v>246000</v>
      </c>
      <c r="L267" s="184"/>
      <c r="M267" s="222"/>
      <c r="N267" s="183"/>
      <c r="O267" s="417"/>
      <c r="P267" s="150">
        <f t="shared" si="5"/>
        <v>246000</v>
      </c>
      <c r="Q267" s="568" t="s">
        <v>1365</v>
      </c>
    </row>
    <row r="268" spans="1:17" ht="15.75" hidden="1" customHeight="1" outlineLevel="2">
      <c r="A268" s="274"/>
      <c r="B268" s="159"/>
      <c r="C268" s="162" t="s">
        <v>359</v>
      </c>
      <c r="D268" s="160"/>
      <c r="E268" s="153"/>
      <c r="F268" s="153"/>
      <c r="G268" s="200"/>
      <c r="H268" s="201"/>
      <c r="I268" s="156"/>
      <c r="J268" s="185">
        <v>200000</v>
      </c>
      <c r="K268" s="222">
        <f>J268*1.23</f>
        <v>246000</v>
      </c>
      <c r="L268" s="184"/>
      <c r="M268" s="222"/>
      <c r="N268" s="183"/>
      <c r="O268" s="417"/>
      <c r="P268" s="150">
        <f t="shared" si="5"/>
        <v>246000</v>
      </c>
      <c r="Q268" s="568"/>
    </row>
    <row r="269" spans="1:17" ht="15.75" hidden="1" customHeight="1" outlineLevel="2">
      <c r="A269" s="274"/>
      <c r="B269" s="159"/>
      <c r="C269" s="162" t="s">
        <v>360</v>
      </c>
      <c r="D269" s="160"/>
      <c r="E269" s="153"/>
      <c r="F269" s="202"/>
      <c r="G269" s="204"/>
      <c r="H269" s="201"/>
      <c r="I269" s="156"/>
      <c r="J269" s="185"/>
      <c r="K269" s="419"/>
      <c r="L269" s="184"/>
      <c r="M269" s="222"/>
      <c r="N269" s="183"/>
      <c r="O269" s="417"/>
      <c r="P269" s="150"/>
      <c r="Q269" s="568" t="s">
        <v>1243</v>
      </c>
    </row>
    <row r="270" spans="1:17" ht="15.75" hidden="1" customHeight="1" outlineLevel="2">
      <c r="A270" s="274"/>
      <c r="B270" s="159"/>
      <c r="C270" s="142" t="s">
        <v>381</v>
      </c>
      <c r="D270" s="160"/>
      <c r="E270" s="153"/>
      <c r="F270" s="153"/>
      <c r="G270" s="200"/>
      <c r="H270" s="201"/>
      <c r="I270" s="156"/>
      <c r="J270" s="184"/>
      <c r="K270" s="419"/>
      <c r="L270" s="184"/>
      <c r="M270" s="222"/>
      <c r="N270" s="183"/>
      <c r="O270" s="417"/>
      <c r="P270" s="150"/>
      <c r="Q270" s="568"/>
    </row>
    <row r="271" spans="1:17" ht="15.75" hidden="1" customHeight="1" outlineLevel="2">
      <c r="A271" s="274"/>
      <c r="B271" s="159"/>
      <c r="C271" s="162" t="s">
        <v>362</v>
      </c>
      <c r="D271" s="160"/>
      <c r="E271" s="153"/>
      <c r="F271" s="153"/>
      <c r="G271" s="200"/>
      <c r="H271" s="201"/>
      <c r="I271" s="156"/>
      <c r="J271" s="184"/>
      <c r="K271" s="419"/>
      <c r="L271" s="184"/>
      <c r="M271" s="222"/>
      <c r="N271" s="183"/>
      <c r="O271" s="417"/>
      <c r="P271" s="150"/>
      <c r="Q271" s="568"/>
    </row>
    <row r="272" spans="1:17" ht="15.75" hidden="1" customHeight="1" outlineLevel="2">
      <c r="A272" s="274"/>
      <c r="B272" s="159"/>
      <c r="C272" s="162" t="s">
        <v>363</v>
      </c>
      <c r="D272" s="160"/>
      <c r="E272" s="153"/>
      <c r="F272" s="153"/>
      <c r="G272" s="200"/>
      <c r="H272" s="201"/>
      <c r="I272" s="156"/>
      <c r="J272" s="184">
        <v>75000</v>
      </c>
      <c r="K272" s="222">
        <f>J272*1.23</f>
        <v>92250</v>
      </c>
      <c r="L272" s="184"/>
      <c r="M272" s="222"/>
      <c r="N272" s="183"/>
      <c r="O272" s="417"/>
      <c r="P272" s="150">
        <f t="shared" si="5"/>
        <v>92250</v>
      </c>
      <c r="Q272" s="568"/>
    </row>
    <row r="273" spans="1:17" ht="15.75" hidden="1" customHeight="1" outlineLevel="2">
      <c r="A273" s="274"/>
      <c r="B273" s="159"/>
      <c r="C273" s="162" t="s">
        <v>358</v>
      </c>
      <c r="D273" s="160"/>
      <c r="E273" s="153"/>
      <c r="F273" s="153"/>
      <c r="G273" s="200"/>
      <c r="H273" s="201"/>
      <c r="I273" s="156"/>
      <c r="J273" s="184"/>
      <c r="K273" s="419"/>
      <c r="L273" s="184"/>
      <c r="M273" s="222"/>
      <c r="N273" s="183"/>
      <c r="O273" s="417"/>
      <c r="P273" s="150"/>
      <c r="Q273" s="568"/>
    </row>
    <row r="274" spans="1:17" ht="15.75" hidden="1" customHeight="1" outlineLevel="2">
      <c r="A274" s="274"/>
      <c r="B274" s="159"/>
      <c r="C274" s="162" t="s">
        <v>364</v>
      </c>
      <c r="D274" s="160"/>
      <c r="E274" s="153"/>
      <c r="F274" s="153"/>
      <c r="G274" s="200"/>
      <c r="H274" s="201"/>
      <c r="I274" s="156"/>
      <c r="J274" s="184"/>
      <c r="K274" s="419"/>
      <c r="L274" s="184"/>
      <c r="M274" s="222"/>
      <c r="N274" s="183"/>
      <c r="O274" s="417"/>
      <c r="P274" s="150"/>
      <c r="Q274" s="568" t="s">
        <v>1239</v>
      </c>
    </row>
    <row r="275" spans="1:17" ht="15.75" hidden="1" customHeight="1" outlineLevel="2">
      <c r="A275" s="274"/>
      <c r="B275" s="159"/>
      <c r="C275" s="142" t="s">
        <v>382</v>
      </c>
      <c r="D275" s="160"/>
      <c r="E275" s="153"/>
      <c r="F275" s="153"/>
      <c r="G275" s="200"/>
      <c r="H275" s="201"/>
      <c r="I275" s="156"/>
      <c r="J275" s="184"/>
      <c r="K275" s="419"/>
      <c r="L275" s="184"/>
      <c r="M275" s="222"/>
      <c r="N275" s="183"/>
      <c r="O275" s="417"/>
      <c r="P275" s="150"/>
      <c r="Q275" s="569"/>
    </row>
    <row r="276" spans="1:17" ht="15.75" hidden="1" customHeight="1" outlineLevel="2">
      <c r="A276" s="274"/>
      <c r="B276" s="159"/>
      <c r="C276" s="162" t="s">
        <v>366</v>
      </c>
      <c r="D276" s="160"/>
      <c r="E276" s="153"/>
      <c r="F276" s="153"/>
      <c r="G276" s="200"/>
      <c r="H276" s="201"/>
      <c r="I276" s="156"/>
      <c r="J276" s="184"/>
      <c r="K276" s="419"/>
      <c r="L276" s="184"/>
      <c r="M276" s="222"/>
      <c r="N276" s="183"/>
      <c r="O276" s="417"/>
      <c r="P276" s="150"/>
      <c r="Q276" s="569"/>
    </row>
    <row r="277" spans="1:17" ht="15.75" hidden="1" customHeight="1" outlineLevel="2">
      <c r="A277" s="274"/>
      <c r="B277" s="159"/>
      <c r="C277" s="162" t="s">
        <v>358</v>
      </c>
      <c r="D277" s="160"/>
      <c r="E277" s="153"/>
      <c r="F277" s="153"/>
      <c r="G277" s="200"/>
      <c r="H277" s="201"/>
      <c r="I277" s="156"/>
      <c r="J277" s="184">
        <v>125000</v>
      </c>
      <c r="K277" s="222">
        <f>J277*1.23</f>
        <v>153750</v>
      </c>
      <c r="L277" s="184"/>
      <c r="M277" s="222"/>
      <c r="N277" s="183"/>
      <c r="O277" s="417"/>
      <c r="P277" s="150">
        <f t="shared" si="5"/>
        <v>153750</v>
      </c>
      <c r="Q277" s="569"/>
    </row>
    <row r="278" spans="1:17" ht="15.75" hidden="1" customHeight="1" outlineLevel="2">
      <c r="A278" s="274"/>
      <c r="B278" s="159"/>
      <c r="C278" s="162" t="s">
        <v>367</v>
      </c>
      <c r="D278" s="160"/>
      <c r="E278" s="153"/>
      <c r="F278" s="153"/>
      <c r="G278" s="200"/>
      <c r="H278" s="201"/>
      <c r="I278" s="156"/>
      <c r="J278" s="184"/>
      <c r="K278" s="419"/>
      <c r="L278" s="184"/>
      <c r="M278" s="222"/>
      <c r="N278" s="183"/>
      <c r="O278" s="417"/>
      <c r="P278" s="150"/>
      <c r="Q278" s="569"/>
    </row>
    <row r="279" spans="1:17" ht="15.75" hidden="1" customHeight="1" outlineLevel="2">
      <c r="A279" s="274"/>
      <c r="B279" s="159"/>
      <c r="C279" s="162" t="s">
        <v>368</v>
      </c>
      <c r="D279" s="160"/>
      <c r="E279" s="153"/>
      <c r="F279" s="153"/>
      <c r="G279" s="200"/>
      <c r="H279" s="205"/>
      <c r="I279" s="156"/>
      <c r="J279" s="184"/>
      <c r="K279" s="419"/>
      <c r="L279" s="184"/>
      <c r="M279" s="222"/>
      <c r="N279" s="183"/>
      <c r="O279" s="417"/>
      <c r="P279" s="150"/>
      <c r="Q279" s="568"/>
    </row>
    <row r="280" spans="1:17" ht="15.75" hidden="1" customHeight="1" outlineLevel="2">
      <c r="A280" s="274"/>
      <c r="B280" s="159"/>
      <c r="C280" s="142" t="s">
        <v>383</v>
      </c>
      <c r="D280" s="160"/>
      <c r="E280" s="153"/>
      <c r="F280" s="153"/>
      <c r="G280" s="200"/>
      <c r="H280" s="201"/>
      <c r="I280" s="156"/>
      <c r="J280" s="184"/>
      <c r="K280" s="419"/>
      <c r="L280" s="184"/>
      <c r="M280" s="222"/>
      <c r="N280" s="183"/>
      <c r="O280" s="417"/>
      <c r="P280" s="150"/>
      <c r="Q280" s="568"/>
    </row>
    <row r="281" spans="1:17" ht="15.75" hidden="1" customHeight="1" outlineLevel="2">
      <c r="A281" s="274"/>
      <c r="B281" s="159"/>
      <c r="C281" s="162" t="s">
        <v>370</v>
      </c>
      <c r="D281" s="160"/>
      <c r="E281" s="153"/>
      <c r="F281" s="153"/>
      <c r="G281" s="200"/>
      <c r="H281" s="201"/>
      <c r="I281" s="156"/>
      <c r="J281" s="184"/>
      <c r="K281" s="419"/>
      <c r="L281" s="184"/>
      <c r="M281" s="222"/>
      <c r="N281" s="183"/>
      <c r="O281" s="417"/>
      <c r="P281" s="150"/>
      <c r="Q281" s="568"/>
    </row>
    <row r="282" spans="1:17" ht="15.75" hidden="1" customHeight="1" outlineLevel="2">
      <c r="A282" s="274"/>
      <c r="B282" s="159"/>
      <c r="C282" s="162" t="s">
        <v>371</v>
      </c>
      <c r="D282" s="160"/>
      <c r="E282" s="153"/>
      <c r="F282" s="153"/>
      <c r="G282" s="200"/>
      <c r="H282" s="201"/>
      <c r="I282" s="156"/>
      <c r="J282" s="184"/>
      <c r="K282" s="419"/>
      <c r="L282" s="184"/>
      <c r="M282" s="222"/>
      <c r="N282" s="183"/>
      <c r="O282" s="417"/>
      <c r="P282" s="150"/>
      <c r="Q282" s="569"/>
    </row>
    <row r="283" spans="1:17" ht="15.75" hidden="1" customHeight="1" outlineLevel="2">
      <c r="A283" s="274"/>
      <c r="B283" s="159"/>
      <c r="C283" s="162" t="s">
        <v>372</v>
      </c>
      <c r="D283" s="160"/>
      <c r="E283" s="153"/>
      <c r="F283" s="153"/>
      <c r="G283" s="200"/>
      <c r="H283" s="201"/>
      <c r="I283" s="156"/>
      <c r="J283" s="184"/>
      <c r="K283" s="419"/>
      <c r="L283" s="184"/>
      <c r="M283" s="222"/>
      <c r="N283" s="183"/>
      <c r="O283" s="417"/>
      <c r="P283" s="150"/>
      <c r="Q283" s="569"/>
    </row>
    <row r="284" spans="1:17" ht="15.75" hidden="1" customHeight="1" outlineLevel="2">
      <c r="A284" s="274"/>
      <c r="B284" s="159"/>
      <c r="C284" s="162" t="s">
        <v>373</v>
      </c>
      <c r="D284" s="160"/>
      <c r="E284" s="153"/>
      <c r="F284" s="153"/>
      <c r="G284" s="202"/>
      <c r="H284" s="200"/>
      <c r="I284" s="156"/>
      <c r="J284" s="184"/>
      <c r="K284" s="419"/>
      <c r="L284" s="184"/>
      <c r="M284" s="222"/>
      <c r="N284" s="183"/>
      <c r="O284" s="417"/>
      <c r="P284" s="150"/>
      <c r="Q284" s="569"/>
    </row>
    <row r="285" spans="1:17" ht="15.75" hidden="1" customHeight="1" outlineLevel="2">
      <c r="A285" s="274"/>
      <c r="B285" s="159"/>
      <c r="C285" s="142" t="s">
        <v>384</v>
      </c>
      <c r="D285" s="160"/>
      <c r="E285" s="153"/>
      <c r="F285" s="153"/>
      <c r="G285" s="202"/>
      <c r="H285" s="200"/>
      <c r="I285" s="156"/>
      <c r="J285" s="184"/>
      <c r="K285" s="419"/>
      <c r="L285" s="184"/>
      <c r="M285" s="222"/>
      <c r="N285" s="183"/>
      <c r="O285" s="417"/>
      <c r="P285" s="150"/>
      <c r="Q285" s="569"/>
    </row>
    <row r="286" spans="1:17" ht="15.75" hidden="1" customHeight="1" outlineLevel="2">
      <c r="A286" s="274"/>
      <c r="B286" s="159"/>
      <c r="C286" s="162" t="s">
        <v>375</v>
      </c>
      <c r="D286" s="160"/>
      <c r="E286" s="153"/>
      <c r="F286" s="153"/>
      <c r="G286" s="202"/>
      <c r="H286" s="200"/>
      <c r="I286" s="156"/>
      <c r="J286" s="184"/>
      <c r="K286" s="419"/>
      <c r="L286" s="184"/>
      <c r="M286" s="222"/>
      <c r="N286" s="183"/>
      <c r="O286" s="417"/>
      <c r="P286" s="150"/>
      <c r="Q286" s="569"/>
    </row>
    <row r="287" spans="1:17" ht="15.75" hidden="1" customHeight="1" outlineLevel="2">
      <c r="A287" s="274"/>
      <c r="B287" s="159"/>
      <c r="C287" s="162" t="s">
        <v>376</v>
      </c>
      <c r="D287" s="160"/>
      <c r="E287" s="153"/>
      <c r="F287" s="153"/>
      <c r="G287" s="202"/>
      <c r="H287" s="200"/>
      <c r="I287" s="156"/>
      <c r="J287" s="184"/>
      <c r="K287" s="419"/>
      <c r="L287" s="184"/>
      <c r="M287" s="222"/>
      <c r="N287" s="183"/>
      <c r="O287" s="417"/>
      <c r="P287" s="150"/>
      <c r="Q287" s="569"/>
    </row>
    <row r="288" spans="1:17" ht="15.75" hidden="1" customHeight="1" outlineLevel="2">
      <c r="A288" s="274"/>
      <c r="B288" s="159"/>
      <c r="C288" s="162" t="s">
        <v>377</v>
      </c>
      <c r="D288" s="160"/>
      <c r="E288" s="153"/>
      <c r="F288" s="153"/>
      <c r="G288" s="202"/>
      <c r="H288" s="200"/>
      <c r="I288" s="156"/>
      <c r="J288" s="184"/>
      <c r="K288" s="419"/>
      <c r="L288" s="184"/>
      <c r="M288" s="222"/>
      <c r="N288" s="183"/>
      <c r="O288" s="417"/>
      <c r="P288" s="150"/>
      <c r="Q288" s="569"/>
    </row>
    <row r="289" spans="1:17" ht="15.75" hidden="1" customHeight="1" outlineLevel="2">
      <c r="A289" s="274"/>
      <c r="B289" s="159"/>
      <c r="C289" s="162" t="s">
        <v>400</v>
      </c>
      <c r="D289" s="160"/>
      <c r="E289" s="153"/>
      <c r="F289" s="153"/>
      <c r="G289" s="202"/>
      <c r="H289" s="200"/>
      <c r="I289" s="156"/>
      <c r="J289" s="184"/>
      <c r="K289" s="419"/>
      <c r="L289" s="184"/>
      <c r="M289" s="222"/>
      <c r="N289" s="183"/>
      <c r="O289" s="417"/>
      <c r="P289" s="150"/>
      <c r="Q289" s="569"/>
    </row>
    <row r="290" spans="1:17" ht="15.75" hidden="1" customHeight="1" outlineLevel="2">
      <c r="A290" s="274"/>
      <c r="B290" s="159"/>
      <c r="C290" s="162" t="s">
        <v>403</v>
      </c>
      <c r="D290" s="160"/>
      <c r="E290" s="153"/>
      <c r="F290" s="153"/>
      <c r="G290" s="202"/>
      <c r="H290" s="200"/>
      <c r="I290" s="156"/>
      <c r="J290" s="215">
        <v>15000000</v>
      </c>
      <c r="K290" s="222">
        <f>J290*1.23</f>
        <v>18450000</v>
      </c>
      <c r="L290" s="215"/>
      <c r="M290" s="222"/>
      <c r="N290" s="183"/>
      <c r="O290" s="417"/>
      <c r="P290" s="150">
        <f t="shared" si="5"/>
        <v>18450000</v>
      </c>
      <c r="Q290" s="569" t="s">
        <v>1244</v>
      </c>
    </row>
    <row r="291" spans="1:17" ht="15.75" hidden="1" customHeight="1" outlineLevel="2">
      <c r="A291" s="274"/>
      <c r="B291" s="159"/>
      <c r="C291" s="142" t="s">
        <v>404</v>
      </c>
      <c r="D291" s="160"/>
      <c r="E291" s="153"/>
      <c r="F291" s="153"/>
      <c r="G291" s="202"/>
      <c r="H291" s="200"/>
      <c r="I291" s="156"/>
      <c r="J291" s="184"/>
      <c r="K291" s="222"/>
      <c r="L291" s="184"/>
      <c r="M291" s="222"/>
      <c r="N291" s="183"/>
      <c r="O291" s="417"/>
      <c r="P291" s="150"/>
      <c r="Q291" s="569"/>
    </row>
    <row r="292" spans="1:17" s="130" customFormat="1" ht="15.75" hidden="1" customHeight="1" outlineLevel="1" collapsed="1">
      <c r="A292" s="275"/>
      <c r="B292" s="142"/>
      <c r="C292" s="142" t="s">
        <v>824</v>
      </c>
      <c r="D292" s="220"/>
      <c r="E292" s="217">
        <f>SUM(E264:E291)</f>
        <v>248399.99999999997</v>
      </c>
      <c r="F292" s="217"/>
      <c r="G292" s="222"/>
      <c r="H292" s="223"/>
      <c r="I292" s="207">
        <f>SUM(D292:H292)</f>
        <v>248399.99999999997</v>
      </c>
      <c r="J292" s="184">
        <f>SUM(J264:J291)</f>
        <v>16350000</v>
      </c>
      <c r="K292" s="222">
        <f>J292*1.23</f>
        <v>20110500</v>
      </c>
      <c r="L292" s="184"/>
      <c r="M292" s="222"/>
      <c r="N292" s="183"/>
      <c r="O292" s="417"/>
      <c r="P292" s="150">
        <f t="shared" si="5"/>
        <v>20358900</v>
      </c>
      <c r="Q292" s="569"/>
    </row>
    <row r="293" spans="1:17" ht="15.75" hidden="1" customHeight="1" outlineLevel="2">
      <c r="A293" s="274"/>
      <c r="B293" s="142" t="s">
        <v>408</v>
      </c>
      <c r="C293" s="159"/>
      <c r="D293" s="160"/>
      <c r="E293" s="153"/>
      <c r="F293" s="153"/>
      <c r="G293" s="202"/>
      <c r="H293" s="200"/>
      <c r="I293" s="156"/>
      <c r="J293" s="184"/>
      <c r="K293" s="222"/>
      <c r="L293" s="184"/>
      <c r="M293" s="222"/>
      <c r="N293" s="183"/>
      <c r="O293" s="417"/>
      <c r="P293" s="150"/>
      <c r="Q293" s="569"/>
    </row>
    <row r="294" spans="1:17" ht="15.75" hidden="1" customHeight="1" outlineLevel="2">
      <c r="A294" s="274"/>
      <c r="B294" s="159"/>
      <c r="C294" s="142" t="s">
        <v>380</v>
      </c>
      <c r="D294" s="160"/>
      <c r="E294" s="153"/>
      <c r="F294" s="153"/>
      <c r="G294" s="202"/>
      <c r="H294" s="200"/>
      <c r="I294" s="156"/>
      <c r="J294" s="184"/>
      <c r="K294" s="222"/>
      <c r="L294" s="184"/>
      <c r="M294" s="222"/>
      <c r="N294" s="183"/>
      <c r="O294" s="417"/>
      <c r="P294" s="150"/>
      <c r="Q294" s="569"/>
    </row>
    <row r="295" spans="1:17" ht="15.75" hidden="1" customHeight="1" outlineLevel="2">
      <c r="A295" s="274" t="s">
        <v>390</v>
      </c>
      <c r="B295" s="159"/>
      <c r="C295" s="162" t="s">
        <v>396</v>
      </c>
      <c r="D295" s="160"/>
      <c r="E295" s="153"/>
      <c r="F295" s="153"/>
      <c r="G295" s="202"/>
      <c r="H295" s="200"/>
      <c r="I295" s="156"/>
      <c r="J295" s="184"/>
      <c r="K295" s="222"/>
      <c r="L295" s="184"/>
      <c r="M295" s="222"/>
      <c r="N295" s="183"/>
      <c r="O295" s="417"/>
      <c r="P295" s="150"/>
      <c r="Q295" s="569"/>
    </row>
    <row r="296" spans="1:17" ht="15.75" hidden="1" customHeight="1" outlineLevel="2">
      <c r="A296" s="274"/>
      <c r="B296" s="159"/>
      <c r="C296" s="162" t="s">
        <v>357</v>
      </c>
      <c r="D296" s="160"/>
      <c r="E296" s="153"/>
      <c r="F296" s="153"/>
      <c r="G296" s="202"/>
      <c r="H296" s="200"/>
      <c r="I296" s="156"/>
      <c r="J296" s="184">
        <v>250000</v>
      </c>
      <c r="K296" s="222">
        <f>J296*1.23</f>
        <v>307500</v>
      </c>
      <c r="L296" s="184"/>
      <c r="M296" s="222"/>
      <c r="N296" s="183"/>
      <c r="O296" s="417"/>
      <c r="P296" s="150">
        <f t="shared" ref="P296:P321" si="6">SUM(I296,K296,M296,O296)</f>
        <v>307500</v>
      </c>
      <c r="Q296" s="569"/>
    </row>
    <row r="297" spans="1:17" ht="15.75" hidden="1" customHeight="1" outlineLevel="2">
      <c r="A297" s="274"/>
      <c r="B297" s="159"/>
      <c r="C297" s="162" t="s">
        <v>358</v>
      </c>
      <c r="D297" s="160"/>
      <c r="E297" s="153"/>
      <c r="F297" s="153"/>
      <c r="G297" s="202"/>
      <c r="H297" s="200"/>
      <c r="I297" s="420"/>
      <c r="J297" s="184"/>
      <c r="K297" s="222"/>
      <c r="L297" s="184">
        <v>300000</v>
      </c>
      <c r="M297" s="222">
        <f>L297*1.46</f>
        <v>438000</v>
      </c>
      <c r="N297" s="183"/>
      <c r="O297" s="417"/>
      <c r="P297" s="150">
        <f t="shared" si="6"/>
        <v>438000</v>
      </c>
      <c r="Q297" s="569"/>
    </row>
    <row r="298" spans="1:17" ht="15.75" hidden="1" customHeight="1" outlineLevel="2">
      <c r="A298" s="274"/>
      <c r="B298" s="159"/>
      <c r="C298" s="162" t="s">
        <v>359</v>
      </c>
      <c r="D298" s="160"/>
      <c r="E298" s="153"/>
      <c r="F298" s="153"/>
      <c r="G298" s="202"/>
      <c r="H298" s="200"/>
      <c r="I298" s="156"/>
      <c r="J298" s="184"/>
      <c r="K298" s="222"/>
      <c r="L298" s="184">
        <v>150000</v>
      </c>
      <c r="M298" s="222">
        <f t="shared" ref="M298:M321" si="7">L298*1.46</f>
        <v>219000</v>
      </c>
      <c r="N298" s="183"/>
      <c r="O298" s="417"/>
      <c r="P298" s="150">
        <f t="shared" si="6"/>
        <v>219000</v>
      </c>
      <c r="Q298" s="569" t="s">
        <v>390</v>
      </c>
    </row>
    <row r="299" spans="1:17" ht="15.75" hidden="1" customHeight="1" outlineLevel="2">
      <c r="A299" s="274"/>
      <c r="B299" s="159"/>
      <c r="C299" s="162" t="s">
        <v>409</v>
      </c>
      <c r="D299" s="160"/>
      <c r="E299" s="153"/>
      <c r="F299" s="153"/>
      <c r="G299" s="202"/>
      <c r="H299" s="200"/>
      <c r="I299" s="156"/>
      <c r="J299" s="184"/>
      <c r="K299" s="222"/>
      <c r="L299" s="184"/>
      <c r="M299" s="222"/>
      <c r="N299" s="183"/>
      <c r="O299" s="417"/>
      <c r="P299" s="150"/>
      <c r="Q299" s="569"/>
    </row>
    <row r="300" spans="1:17" ht="15.75" hidden="1" customHeight="1" outlineLevel="2">
      <c r="A300" s="274"/>
      <c r="B300" s="159"/>
      <c r="C300" s="142" t="s">
        <v>381</v>
      </c>
      <c r="D300" s="160"/>
      <c r="E300" s="153"/>
      <c r="F300" s="153"/>
      <c r="G300" s="202"/>
      <c r="H300" s="200"/>
      <c r="I300" s="156"/>
      <c r="J300" s="184"/>
      <c r="K300" s="222"/>
      <c r="L300" s="184"/>
      <c r="M300" s="222"/>
      <c r="N300" s="183"/>
      <c r="O300" s="417"/>
      <c r="P300" s="150"/>
      <c r="Q300" s="569"/>
    </row>
    <row r="301" spans="1:17" ht="15.75" hidden="1" customHeight="1" outlineLevel="2">
      <c r="A301" s="274"/>
      <c r="B301" s="159"/>
      <c r="C301" s="162" t="s">
        <v>362</v>
      </c>
      <c r="D301" s="160"/>
      <c r="E301" s="153"/>
      <c r="F301" s="153"/>
      <c r="G301" s="202"/>
      <c r="H301" s="200"/>
      <c r="I301" s="156"/>
      <c r="J301" s="184"/>
      <c r="K301" s="222"/>
      <c r="L301" s="184"/>
      <c r="M301" s="222"/>
      <c r="N301" s="183"/>
      <c r="O301" s="417"/>
      <c r="P301" s="150"/>
      <c r="Q301" s="569"/>
    </row>
    <row r="302" spans="1:17" ht="15.75" hidden="1" customHeight="1" outlineLevel="2">
      <c r="A302" s="274"/>
      <c r="B302" s="159"/>
      <c r="C302" s="162" t="s">
        <v>363</v>
      </c>
      <c r="D302" s="160"/>
      <c r="E302" s="153"/>
      <c r="F302" s="153"/>
      <c r="G302" s="202"/>
      <c r="H302" s="200"/>
      <c r="I302" s="156"/>
      <c r="J302" s="184"/>
      <c r="K302" s="222"/>
      <c r="L302" s="184"/>
      <c r="M302" s="222"/>
      <c r="N302" s="183"/>
      <c r="O302" s="417"/>
      <c r="P302" s="150"/>
      <c r="Q302" s="569"/>
    </row>
    <row r="303" spans="1:17" ht="15.75" hidden="1" customHeight="1" outlineLevel="2">
      <c r="A303" s="274"/>
      <c r="B303" s="159"/>
      <c r="C303" s="162" t="s">
        <v>358</v>
      </c>
      <c r="D303" s="160"/>
      <c r="E303" s="153"/>
      <c r="F303" s="153"/>
      <c r="G303" s="202"/>
      <c r="H303" s="200"/>
      <c r="I303" s="156"/>
      <c r="J303" s="184"/>
      <c r="K303" s="222"/>
      <c r="L303" s="184"/>
      <c r="M303" s="222"/>
      <c r="N303" s="183"/>
      <c r="O303" s="417"/>
      <c r="P303" s="150"/>
      <c r="Q303" s="569"/>
    </row>
    <row r="304" spans="1:17" ht="15.75" hidden="1" customHeight="1" outlineLevel="2">
      <c r="A304" s="274"/>
      <c r="B304" s="159"/>
      <c r="C304" s="162" t="s">
        <v>364</v>
      </c>
      <c r="D304" s="160"/>
      <c r="E304" s="153"/>
      <c r="F304" s="153"/>
      <c r="G304" s="202"/>
      <c r="H304" s="200"/>
      <c r="I304" s="156"/>
      <c r="J304" s="184"/>
      <c r="K304" s="222"/>
      <c r="L304" s="184"/>
      <c r="M304" s="222"/>
      <c r="N304" s="183"/>
      <c r="O304" s="417"/>
      <c r="P304" s="150"/>
      <c r="Q304" s="569"/>
    </row>
    <row r="305" spans="1:17" ht="15.75" hidden="1" customHeight="1" outlineLevel="2">
      <c r="A305" s="274"/>
      <c r="B305" s="159"/>
      <c r="C305" s="142" t="s">
        <v>382</v>
      </c>
      <c r="D305" s="160"/>
      <c r="E305" s="153"/>
      <c r="F305" s="153"/>
      <c r="G305" s="202"/>
      <c r="H305" s="200"/>
      <c r="I305" s="156"/>
      <c r="J305" s="184"/>
      <c r="K305" s="222"/>
      <c r="L305" s="184"/>
      <c r="M305" s="222"/>
      <c r="N305" s="183"/>
      <c r="O305" s="417"/>
      <c r="P305" s="150"/>
      <c r="Q305" s="569"/>
    </row>
    <row r="306" spans="1:17" ht="15.75" hidden="1" customHeight="1" outlineLevel="2">
      <c r="A306" s="274"/>
      <c r="B306" s="159"/>
      <c r="C306" s="162" t="s">
        <v>366</v>
      </c>
      <c r="D306" s="160"/>
      <c r="E306" s="153"/>
      <c r="F306" s="153"/>
      <c r="G306" s="202"/>
      <c r="H306" s="200"/>
      <c r="I306" s="156"/>
      <c r="J306" s="184"/>
      <c r="K306" s="222"/>
      <c r="L306" s="184"/>
      <c r="M306" s="222"/>
      <c r="N306" s="183"/>
      <c r="O306" s="417"/>
      <c r="P306" s="150"/>
      <c r="Q306" s="569"/>
    </row>
    <row r="307" spans="1:17" ht="15.75" hidden="1" customHeight="1" outlineLevel="2">
      <c r="A307" s="274"/>
      <c r="B307" s="159"/>
      <c r="C307" s="162" t="s">
        <v>358</v>
      </c>
      <c r="D307" s="160"/>
      <c r="E307" s="153"/>
      <c r="F307" s="153"/>
      <c r="G307" s="202"/>
      <c r="H307" s="200"/>
      <c r="I307" s="156"/>
      <c r="J307" s="184"/>
      <c r="K307" s="222"/>
      <c r="L307" s="184"/>
      <c r="M307" s="222"/>
      <c r="N307" s="183"/>
      <c r="O307" s="417"/>
      <c r="P307" s="150"/>
      <c r="Q307" s="569"/>
    </row>
    <row r="308" spans="1:17" ht="15.75" hidden="1" customHeight="1" outlineLevel="2">
      <c r="A308" s="274"/>
      <c r="B308" s="159"/>
      <c r="C308" s="162" t="s">
        <v>367</v>
      </c>
      <c r="D308" s="160"/>
      <c r="E308" s="153"/>
      <c r="F308" s="153"/>
      <c r="G308" s="202"/>
      <c r="H308" s="200"/>
      <c r="I308" s="156"/>
      <c r="J308" s="184"/>
      <c r="K308" s="222"/>
      <c r="L308" s="184"/>
      <c r="M308" s="222"/>
      <c r="N308" s="183"/>
      <c r="O308" s="417"/>
      <c r="P308" s="150"/>
      <c r="Q308" s="569"/>
    </row>
    <row r="309" spans="1:17" ht="15.75" hidden="1" customHeight="1" outlineLevel="2">
      <c r="A309" s="274"/>
      <c r="B309" s="159"/>
      <c r="C309" s="162" t="s">
        <v>368</v>
      </c>
      <c r="D309" s="160"/>
      <c r="E309" s="153"/>
      <c r="F309" s="153"/>
      <c r="G309" s="202"/>
      <c r="H309" s="200"/>
      <c r="I309" s="156"/>
      <c r="J309" s="184"/>
      <c r="K309" s="222"/>
      <c r="L309" s="184"/>
      <c r="M309" s="222"/>
      <c r="N309" s="183"/>
      <c r="O309" s="417"/>
      <c r="P309" s="150"/>
      <c r="Q309" s="569"/>
    </row>
    <row r="310" spans="1:17" ht="15.75" hidden="1" customHeight="1" outlineLevel="2">
      <c r="A310" s="274"/>
      <c r="B310" s="159"/>
      <c r="C310" s="142" t="s">
        <v>383</v>
      </c>
      <c r="D310" s="160"/>
      <c r="E310" s="153"/>
      <c r="F310" s="153"/>
      <c r="G310" s="202"/>
      <c r="H310" s="200"/>
      <c r="I310" s="156"/>
      <c r="J310" s="184"/>
      <c r="K310" s="222"/>
      <c r="L310" s="184"/>
      <c r="M310" s="222"/>
      <c r="N310" s="183"/>
      <c r="O310" s="417"/>
      <c r="P310" s="150"/>
      <c r="Q310" s="569"/>
    </row>
    <row r="311" spans="1:17" ht="15.75" hidden="1" customHeight="1" outlineLevel="2">
      <c r="A311" s="274"/>
      <c r="B311" s="159"/>
      <c r="C311" s="162" t="s">
        <v>370</v>
      </c>
      <c r="D311" s="160"/>
      <c r="E311" s="153"/>
      <c r="F311" s="153"/>
      <c r="G311" s="202"/>
      <c r="H311" s="200"/>
      <c r="I311" s="156"/>
      <c r="J311" s="184"/>
      <c r="K311" s="222"/>
      <c r="L311" s="184"/>
      <c r="M311" s="222"/>
      <c r="N311" s="183"/>
      <c r="O311" s="417"/>
      <c r="P311" s="150"/>
      <c r="Q311" s="569"/>
    </row>
    <row r="312" spans="1:17" ht="15.75" hidden="1" customHeight="1" outlineLevel="2">
      <c r="A312" s="274"/>
      <c r="B312" s="159"/>
      <c r="C312" s="162" t="s">
        <v>371</v>
      </c>
      <c r="D312" s="160"/>
      <c r="E312" s="153"/>
      <c r="F312" s="153"/>
      <c r="G312" s="202"/>
      <c r="H312" s="200"/>
      <c r="I312" s="156"/>
      <c r="J312" s="184">
        <v>200000</v>
      </c>
      <c r="K312" s="222">
        <f>J312*1.23</f>
        <v>246000</v>
      </c>
      <c r="L312" s="184"/>
      <c r="M312" s="222"/>
      <c r="N312" s="183"/>
      <c r="O312" s="417"/>
      <c r="P312" s="150">
        <f t="shared" si="6"/>
        <v>246000</v>
      </c>
      <c r="Q312" s="569" t="s">
        <v>1245</v>
      </c>
    </row>
    <row r="313" spans="1:17" ht="15.75" hidden="1" customHeight="1" outlineLevel="2">
      <c r="A313" s="274"/>
      <c r="B313" s="159"/>
      <c r="C313" s="162" t="s">
        <v>372</v>
      </c>
      <c r="D313" s="160"/>
      <c r="E313" s="153"/>
      <c r="F313" s="153"/>
      <c r="G313" s="202"/>
      <c r="H313" s="200"/>
      <c r="I313" s="156"/>
      <c r="J313" s="184">
        <v>1500000</v>
      </c>
      <c r="K313" s="222">
        <f>J313*1.23</f>
        <v>1845000</v>
      </c>
      <c r="L313" s="184"/>
      <c r="M313" s="222"/>
      <c r="N313" s="183"/>
      <c r="O313" s="417"/>
      <c r="P313" s="150">
        <f t="shared" si="6"/>
        <v>1845000</v>
      </c>
      <c r="Q313" s="569" t="s">
        <v>1246</v>
      </c>
    </row>
    <row r="314" spans="1:17" ht="15.75" hidden="1" customHeight="1" outlineLevel="2">
      <c r="A314" s="274"/>
      <c r="B314" s="159"/>
      <c r="C314" s="162" t="s">
        <v>373</v>
      </c>
      <c r="D314" s="160"/>
      <c r="E314" s="153"/>
      <c r="F314" s="153"/>
      <c r="G314" s="202"/>
      <c r="H314" s="200"/>
      <c r="I314" s="156"/>
      <c r="J314" s="184"/>
      <c r="K314" s="222"/>
      <c r="L314" s="184"/>
      <c r="M314" s="222"/>
      <c r="N314" s="183"/>
      <c r="O314" s="417"/>
      <c r="P314" s="150"/>
      <c r="Q314" s="569"/>
    </row>
    <row r="315" spans="1:17" ht="15.75" hidden="1" customHeight="1" outlineLevel="2">
      <c r="A315" s="274"/>
      <c r="B315" s="159"/>
      <c r="C315" s="142" t="s">
        <v>384</v>
      </c>
      <c r="D315" s="160"/>
      <c r="E315" s="153"/>
      <c r="F315" s="153"/>
      <c r="G315" s="202"/>
      <c r="H315" s="200"/>
      <c r="I315" s="156"/>
      <c r="J315" s="184"/>
      <c r="K315" s="222"/>
      <c r="L315" s="184"/>
      <c r="M315" s="222"/>
      <c r="N315" s="183"/>
      <c r="O315" s="417"/>
      <c r="P315" s="150"/>
      <c r="Q315" s="569"/>
    </row>
    <row r="316" spans="1:17" ht="15.75" hidden="1" customHeight="1" outlineLevel="2">
      <c r="A316" s="274"/>
      <c r="B316" s="159"/>
      <c r="C316" s="162" t="s">
        <v>375</v>
      </c>
      <c r="D316" s="160"/>
      <c r="E316" s="153"/>
      <c r="F316" s="153"/>
      <c r="G316" s="202"/>
      <c r="H316" s="200"/>
      <c r="I316" s="156"/>
      <c r="J316" s="184"/>
      <c r="K316" s="222"/>
      <c r="L316" s="184">
        <v>350000</v>
      </c>
      <c r="M316" s="222">
        <f t="shared" si="7"/>
        <v>511000</v>
      </c>
      <c r="N316" s="183"/>
      <c r="O316" s="417"/>
      <c r="P316" s="150">
        <f t="shared" si="6"/>
        <v>511000</v>
      </c>
      <c r="Q316" s="569"/>
    </row>
    <row r="317" spans="1:17" ht="15.75" hidden="1" customHeight="1" outlineLevel="2">
      <c r="A317" s="274"/>
      <c r="B317" s="159"/>
      <c r="C317" s="162" t="s">
        <v>376</v>
      </c>
      <c r="D317" s="160"/>
      <c r="E317" s="153"/>
      <c r="F317" s="153"/>
      <c r="G317" s="202"/>
      <c r="H317" s="200"/>
      <c r="I317" s="156"/>
      <c r="J317" s="184" t="s">
        <v>390</v>
      </c>
      <c r="K317" s="222"/>
      <c r="L317" s="184"/>
      <c r="M317" s="222"/>
      <c r="N317" s="183">
        <v>200000</v>
      </c>
      <c r="O317" s="417">
        <f>N317*1.73</f>
        <v>346000</v>
      </c>
      <c r="P317" s="150">
        <f t="shared" si="6"/>
        <v>346000</v>
      </c>
      <c r="Q317" s="569" t="s">
        <v>1235</v>
      </c>
    </row>
    <row r="318" spans="1:17" ht="15.75" hidden="1" customHeight="1" outlineLevel="2">
      <c r="A318" s="274"/>
      <c r="B318" s="159"/>
      <c r="C318" s="162" t="s">
        <v>377</v>
      </c>
      <c r="D318" s="160"/>
      <c r="E318" s="153"/>
      <c r="F318" s="153"/>
      <c r="G318" s="202"/>
      <c r="H318" s="200"/>
      <c r="I318" s="156"/>
      <c r="J318" s="184"/>
      <c r="K318" s="222"/>
      <c r="L318" s="184"/>
      <c r="M318" s="222"/>
      <c r="N318" s="183"/>
      <c r="O318" s="417"/>
      <c r="P318" s="150"/>
      <c r="Q318" s="569"/>
    </row>
    <row r="319" spans="1:17" ht="15.75" hidden="1" customHeight="1" outlineLevel="2">
      <c r="A319" s="274"/>
      <c r="B319" s="159"/>
      <c r="C319" s="162" t="s">
        <v>400</v>
      </c>
      <c r="D319" s="160"/>
      <c r="E319" s="153"/>
      <c r="F319" s="153"/>
      <c r="G319" s="202"/>
      <c r="H319" s="200"/>
      <c r="I319" s="156"/>
      <c r="J319" s="184" t="s">
        <v>390</v>
      </c>
      <c r="K319" s="222"/>
      <c r="L319" s="184"/>
      <c r="M319" s="222"/>
      <c r="N319" s="183"/>
      <c r="O319" s="417"/>
      <c r="P319" s="150"/>
      <c r="Q319" s="569"/>
    </row>
    <row r="320" spans="1:17" ht="15.75" hidden="1" customHeight="1" outlineLevel="2">
      <c r="A320" s="274"/>
      <c r="B320" s="159"/>
      <c r="C320" s="142" t="s">
        <v>410</v>
      </c>
      <c r="D320" s="160"/>
      <c r="E320" s="153"/>
      <c r="F320" s="153"/>
      <c r="G320" s="202"/>
      <c r="H320" s="200"/>
      <c r="I320" s="156"/>
      <c r="J320" s="184"/>
      <c r="K320" s="222"/>
      <c r="L320" s="184"/>
      <c r="M320" s="222"/>
      <c r="N320" s="183"/>
      <c r="O320" s="417"/>
      <c r="P320" s="150"/>
      <c r="Q320" s="569"/>
    </row>
    <row r="321" spans="1:17" s="130" customFormat="1" ht="15.75" hidden="1" customHeight="1" outlineLevel="1" collapsed="1">
      <c r="A321" s="275"/>
      <c r="B321" s="142"/>
      <c r="C321" s="142" t="s">
        <v>408</v>
      </c>
      <c r="D321" s="220"/>
      <c r="E321" s="217"/>
      <c r="F321" s="217"/>
      <c r="G321" s="222"/>
      <c r="H321" s="223"/>
      <c r="I321" s="207"/>
      <c r="J321" s="184">
        <f>SUM(J295:J320)</f>
        <v>1950000</v>
      </c>
      <c r="K321" s="222">
        <f>J321*1.23</f>
        <v>2398500</v>
      </c>
      <c r="L321" s="184">
        <f>SUM(L295:L320)</f>
        <v>800000</v>
      </c>
      <c r="M321" s="222">
        <f t="shared" si="7"/>
        <v>1168000</v>
      </c>
      <c r="N321" s="183">
        <f>SUM(N295:N320)</f>
        <v>200000</v>
      </c>
      <c r="O321" s="417">
        <f>N321*1.73</f>
        <v>346000</v>
      </c>
      <c r="P321" s="150">
        <f t="shared" si="6"/>
        <v>3912500</v>
      </c>
      <c r="Q321" s="575"/>
    </row>
    <row r="322" spans="1:17" ht="15.75" hidden="1" customHeight="1" outlineLevel="2">
      <c r="A322" s="274"/>
      <c r="B322" s="142" t="s">
        <v>411</v>
      </c>
      <c r="C322" s="159"/>
      <c r="D322" s="160"/>
      <c r="E322" s="153"/>
      <c r="F322" s="153"/>
      <c r="G322" s="202"/>
      <c r="H322" s="200"/>
      <c r="I322" s="156"/>
      <c r="J322" s="184"/>
      <c r="K322" s="222"/>
      <c r="L322" s="184"/>
      <c r="M322" s="222"/>
      <c r="N322" s="183"/>
      <c r="O322" s="417"/>
      <c r="P322" s="150"/>
      <c r="Q322" s="569"/>
    </row>
    <row r="323" spans="1:17" ht="15.75" hidden="1" customHeight="1" outlineLevel="2">
      <c r="A323" s="274"/>
      <c r="B323" s="159"/>
      <c r="C323" s="142" t="s">
        <v>380</v>
      </c>
      <c r="D323" s="160"/>
      <c r="E323" s="153"/>
      <c r="F323" s="153"/>
      <c r="G323" s="202"/>
      <c r="H323" s="200"/>
      <c r="I323" s="156"/>
      <c r="J323" s="184"/>
      <c r="K323" s="222"/>
      <c r="L323" s="184"/>
      <c r="M323" s="222"/>
      <c r="N323" s="183"/>
      <c r="O323" s="417"/>
      <c r="P323" s="150"/>
      <c r="Q323" s="569"/>
    </row>
    <row r="324" spans="1:17" ht="15.75" hidden="1" customHeight="1" outlineLevel="2">
      <c r="A324" s="274"/>
      <c r="B324" s="159"/>
      <c r="C324" s="162" t="s">
        <v>387</v>
      </c>
      <c r="D324" s="160"/>
      <c r="E324" s="153"/>
      <c r="F324" s="153"/>
      <c r="G324" s="202"/>
      <c r="H324" s="200"/>
      <c r="I324" s="156"/>
      <c r="J324" s="184"/>
      <c r="K324" s="222"/>
      <c r="L324" s="184"/>
      <c r="M324" s="222"/>
      <c r="N324" s="183"/>
      <c r="O324" s="417"/>
      <c r="P324" s="150"/>
      <c r="Q324" s="569"/>
    </row>
    <row r="325" spans="1:17" ht="15.75" hidden="1" customHeight="1" outlineLevel="2">
      <c r="A325" s="274"/>
      <c r="B325" s="159"/>
      <c r="C325" s="162" t="s">
        <v>357</v>
      </c>
      <c r="D325" s="160"/>
      <c r="E325" s="153"/>
      <c r="F325" s="153"/>
      <c r="G325" s="202"/>
      <c r="H325" s="200"/>
      <c r="I325" s="156"/>
      <c r="J325" s="184"/>
      <c r="K325" s="222"/>
      <c r="L325" s="184"/>
      <c r="M325" s="222"/>
      <c r="N325" s="183"/>
      <c r="O325" s="417"/>
      <c r="P325" s="150"/>
      <c r="Q325" s="568" t="s">
        <v>1366</v>
      </c>
    </row>
    <row r="326" spans="1:17" ht="15.75" hidden="1" customHeight="1" outlineLevel="2">
      <c r="A326" s="274"/>
      <c r="B326" s="159"/>
      <c r="C326" s="162" t="s">
        <v>358</v>
      </c>
      <c r="D326" s="160"/>
      <c r="E326" s="153"/>
      <c r="F326" s="153"/>
      <c r="G326" s="202"/>
      <c r="H326" s="200"/>
      <c r="I326" s="203"/>
      <c r="J326" s="186"/>
      <c r="K326" s="222"/>
      <c r="L326" s="186"/>
      <c r="M326" s="222"/>
      <c r="N326" s="183"/>
      <c r="O326" s="417"/>
      <c r="P326" s="150"/>
      <c r="Q326" s="568"/>
    </row>
    <row r="327" spans="1:17" ht="15.75" hidden="1" customHeight="1" outlineLevel="2">
      <c r="A327" s="274"/>
      <c r="B327" s="159"/>
      <c r="C327" s="162" t="s">
        <v>359</v>
      </c>
      <c r="D327" s="160"/>
      <c r="E327" s="153"/>
      <c r="F327" s="153"/>
      <c r="G327" s="202"/>
      <c r="H327" s="200"/>
      <c r="I327" s="156"/>
      <c r="J327" s="184"/>
      <c r="K327" s="222"/>
      <c r="L327" s="184"/>
      <c r="M327" s="222"/>
      <c r="N327" s="183"/>
      <c r="O327" s="417"/>
      <c r="P327" s="150"/>
      <c r="Q327" s="568"/>
    </row>
    <row r="328" spans="1:17" ht="15.75" hidden="1" customHeight="1" outlineLevel="2">
      <c r="A328" s="274"/>
      <c r="B328" s="159"/>
      <c r="C328" s="142" t="s">
        <v>381</v>
      </c>
      <c r="D328" s="160"/>
      <c r="E328" s="153"/>
      <c r="F328" s="153"/>
      <c r="G328" s="202"/>
      <c r="H328" s="200"/>
      <c r="I328" s="156"/>
      <c r="J328" s="184"/>
      <c r="K328" s="222"/>
      <c r="L328" s="184"/>
      <c r="M328" s="222"/>
      <c r="N328" s="183"/>
      <c r="O328" s="417"/>
      <c r="P328" s="150"/>
      <c r="Q328" s="568"/>
    </row>
    <row r="329" spans="1:17" ht="15.75" hidden="1" customHeight="1" outlineLevel="2">
      <c r="A329" s="274"/>
      <c r="B329" s="159"/>
      <c r="C329" s="162" t="s">
        <v>362</v>
      </c>
      <c r="D329" s="160"/>
      <c r="E329" s="153"/>
      <c r="F329" s="153"/>
      <c r="G329" s="202"/>
      <c r="H329" s="200"/>
      <c r="I329" s="156"/>
      <c r="J329" s="184"/>
      <c r="K329" s="222"/>
      <c r="L329" s="184"/>
      <c r="M329" s="222"/>
      <c r="N329" s="183"/>
      <c r="O329" s="417"/>
      <c r="P329" s="150"/>
      <c r="Q329" s="568"/>
    </row>
    <row r="330" spans="1:17" ht="15.75" hidden="1" customHeight="1" outlineLevel="2">
      <c r="A330" s="274"/>
      <c r="B330" s="159"/>
      <c r="C330" s="162" t="s">
        <v>363</v>
      </c>
      <c r="D330" s="160"/>
      <c r="E330" s="153"/>
      <c r="F330" s="153"/>
      <c r="G330" s="202"/>
      <c r="H330" s="200"/>
      <c r="I330" s="156"/>
      <c r="J330" s="184"/>
      <c r="K330" s="222"/>
      <c r="L330" s="184"/>
      <c r="M330" s="222"/>
      <c r="N330" s="183"/>
      <c r="O330" s="417"/>
      <c r="P330" s="150"/>
      <c r="Q330" s="568"/>
    </row>
    <row r="331" spans="1:17" ht="15.75" hidden="1" customHeight="1" outlineLevel="2">
      <c r="A331" s="274"/>
      <c r="B331" s="159"/>
      <c r="C331" s="162" t="s">
        <v>358</v>
      </c>
      <c r="D331" s="160"/>
      <c r="E331" s="153"/>
      <c r="F331" s="153"/>
      <c r="G331" s="202"/>
      <c r="H331" s="200"/>
      <c r="I331" s="156"/>
      <c r="J331" s="184"/>
      <c r="K331" s="222"/>
      <c r="L331" s="184"/>
      <c r="M331" s="222"/>
      <c r="N331" s="183"/>
      <c r="O331" s="417"/>
      <c r="P331" s="150"/>
      <c r="Q331" s="568"/>
    </row>
    <row r="332" spans="1:17" ht="15.75" hidden="1" customHeight="1" outlineLevel="2">
      <c r="A332" s="274"/>
      <c r="B332" s="159"/>
      <c r="C332" s="162" t="s">
        <v>364</v>
      </c>
      <c r="D332" s="160"/>
      <c r="E332" s="153"/>
      <c r="F332" s="153"/>
      <c r="G332" s="202"/>
      <c r="H332" s="200"/>
      <c r="I332" s="156"/>
      <c r="J332" s="184"/>
      <c r="K332" s="222"/>
      <c r="L332" s="184"/>
      <c r="M332" s="222"/>
      <c r="N332" s="183"/>
      <c r="O332" s="417"/>
      <c r="P332" s="150"/>
      <c r="Q332" s="568" t="s">
        <v>1239</v>
      </c>
    </row>
    <row r="333" spans="1:17" ht="15.75" hidden="1" customHeight="1" outlineLevel="2">
      <c r="A333" s="274"/>
      <c r="B333" s="159"/>
      <c r="C333" s="142" t="s">
        <v>382</v>
      </c>
      <c r="D333" s="160"/>
      <c r="E333" s="153"/>
      <c r="F333" s="153"/>
      <c r="G333" s="202"/>
      <c r="H333" s="200"/>
      <c r="I333" s="156"/>
      <c r="J333" s="184"/>
      <c r="K333" s="222"/>
      <c r="L333" s="184"/>
      <c r="M333" s="222"/>
      <c r="N333" s="183"/>
      <c r="O333" s="417"/>
      <c r="P333" s="150"/>
      <c r="Q333" s="568"/>
    </row>
    <row r="334" spans="1:17" ht="15.75" hidden="1" customHeight="1" outlineLevel="2">
      <c r="A334" s="274"/>
      <c r="B334" s="159"/>
      <c r="C334" s="162" t="s">
        <v>366</v>
      </c>
      <c r="D334" s="160"/>
      <c r="E334" s="153"/>
      <c r="F334" s="153"/>
      <c r="G334" s="202"/>
      <c r="H334" s="200"/>
      <c r="I334" s="156"/>
      <c r="J334" s="184"/>
      <c r="K334" s="222"/>
      <c r="L334" s="184"/>
      <c r="M334" s="222"/>
      <c r="N334" s="183"/>
      <c r="O334" s="417"/>
      <c r="P334" s="150"/>
      <c r="Q334" s="568"/>
    </row>
    <row r="335" spans="1:17" ht="15.75" hidden="1" customHeight="1" outlineLevel="2">
      <c r="A335" s="274"/>
      <c r="B335" s="159"/>
      <c r="C335" s="162" t="s">
        <v>358</v>
      </c>
      <c r="D335" s="160"/>
      <c r="E335" s="153"/>
      <c r="F335" s="153"/>
      <c r="G335" s="202"/>
      <c r="H335" s="200"/>
      <c r="I335" s="156"/>
      <c r="J335" s="184"/>
      <c r="K335" s="222"/>
      <c r="L335" s="184"/>
      <c r="M335" s="222"/>
      <c r="N335" s="183"/>
      <c r="O335" s="417"/>
      <c r="P335" s="150"/>
      <c r="Q335" s="568"/>
    </row>
    <row r="336" spans="1:17" ht="15.75" hidden="1" customHeight="1" outlineLevel="2">
      <c r="A336" s="274"/>
      <c r="B336" s="159"/>
      <c r="C336" s="162" t="s">
        <v>367</v>
      </c>
      <c r="D336" s="160"/>
      <c r="E336" s="153"/>
      <c r="F336" s="153"/>
      <c r="G336" s="202"/>
      <c r="H336" s="200"/>
      <c r="I336" s="156"/>
      <c r="J336" s="184"/>
      <c r="K336" s="222"/>
      <c r="L336" s="184"/>
      <c r="M336" s="222"/>
      <c r="N336" s="183"/>
      <c r="O336" s="417"/>
      <c r="P336" s="150"/>
      <c r="Q336" s="568"/>
    </row>
    <row r="337" spans="1:17" ht="15.75" hidden="1" customHeight="1" outlineLevel="2">
      <c r="A337" s="274"/>
      <c r="B337" s="159"/>
      <c r="C337" s="162" t="s">
        <v>368</v>
      </c>
      <c r="D337" s="160"/>
      <c r="E337" s="153"/>
      <c r="F337" s="153"/>
      <c r="G337" s="202"/>
      <c r="H337" s="200"/>
      <c r="I337" s="156"/>
      <c r="J337" s="184"/>
      <c r="K337" s="222"/>
      <c r="L337" s="184"/>
      <c r="M337" s="222"/>
      <c r="N337" s="183"/>
      <c r="O337" s="417"/>
      <c r="P337" s="150"/>
      <c r="Q337" s="568" t="s">
        <v>1252</v>
      </c>
    </row>
    <row r="338" spans="1:17" ht="15.75" hidden="1" customHeight="1" outlineLevel="2">
      <c r="A338" s="274"/>
      <c r="B338" s="159"/>
      <c r="C338" s="142" t="s">
        <v>383</v>
      </c>
      <c r="D338" s="160"/>
      <c r="E338" s="153"/>
      <c r="F338" s="153"/>
      <c r="G338" s="202"/>
      <c r="H338" s="200"/>
      <c r="I338" s="156"/>
      <c r="J338" s="184"/>
      <c r="K338" s="222"/>
      <c r="L338" s="184"/>
      <c r="M338" s="222"/>
      <c r="N338" s="183"/>
      <c r="O338" s="417"/>
      <c r="P338" s="150"/>
      <c r="Q338" s="569"/>
    </row>
    <row r="339" spans="1:17" ht="15.75" hidden="1" customHeight="1" outlineLevel="2">
      <c r="A339" s="274"/>
      <c r="B339" s="159"/>
      <c r="C339" s="162" t="s">
        <v>370</v>
      </c>
      <c r="D339" s="160"/>
      <c r="E339" s="153"/>
      <c r="F339" s="153"/>
      <c r="G339" s="202"/>
      <c r="H339" s="200"/>
      <c r="I339" s="156"/>
      <c r="J339" s="184"/>
      <c r="K339" s="222"/>
      <c r="L339" s="184"/>
      <c r="M339" s="222"/>
      <c r="N339" s="183"/>
      <c r="O339" s="417"/>
      <c r="P339" s="150"/>
      <c r="Q339" s="569"/>
    </row>
    <row r="340" spans="1:17" ht="15.75" hidden="1" customHeight="1" outlineLevel="2">
      <c r="A340" s="274"/>
      <c r="B340" s="159"/>
      <c r="C340" s="162" t="s">
        <v>371</v>
      </c>
      <c r="D340" s="160"/>
      <c r="E340" s="153"/>
      <c r="F340" s="153"/>
      <c r="G340" s="202"/>
      <c r="H340" s="200"/>
      <c r="I340" s="156"/>
      <c r="J340" s="184"/>
      <c r="K340" s="222"/>
      <c r="L340" s="184">
        <v>500000</v>
      </c>
      <c r="M340" s="222">
        <f>L340*1.46</f>
        <v>730000</v>
      </c>
      <c r="N340" s="183"/>
      <c r="O340" s="417"/>
      <c r="P340" s="150">
        <f t="shared" ref="P340" si="8">SUM(I340,K340,M340,O340)</f>
        <v>730000</v>
      </c>
      <c r="Q340" s="569"/>
    </row>
    <row r="341" spans="1:17" ht="15.75" hidden="1" customHeight="1" outlineLevel="2">
      <c r="A341" s="274"/>
      <c r="B341" s="159"/>
      <c r="C341" s="162" t="s">
        <v>372</v>
      </c>
      <c r="D341" s="160"/>
      <c r="E341" s="153"/>
      <c r="F341" s="153"/>
      <c r="G341" s="202"/>
      <c r="H341" s="200"/>
      <c r="I341" s="156"/>
      <c r="J341" s="184"/>
      <c r="K341" s="222"/>
      <c r="L341" s="184"/>
      <c r="M341" s="222"/>
      <c r="N341" s="183"/>
      <c r="O341" s="417"/>
      <c r="P341" s="150"/>
      <c r="Q341" s="569"/>
    </row>
    <row r="342" spans="1:17" ht="15.75" hidden="1" customHeight="1" outlineLevel="2">
      <c r="A342" s="274"/>
      <c r="B342" s="159"/>
      <c r="C342" s="162" t="s">
        <v>373</v>
      </c>
      <c r="D342" s="160"/>
      <c r="E342" s="153"/>
      <c r="F342" s="153"/>
      <c r="G342" s="202"/>
      <c r="H342" s="200"/>
      <c r="I342" s="156"/>
      <c r="J342" s="184"/>
      <c r="K342" s="222"/>
      <c r="L342" s="184"/>
      <c r="M342" s="222"/>
      <c r="N342" s="183"/>
      <c r="O342" s="417"/>
      <c r="P342" s="150"/>
      <c r="Q342" s="569"/>
    </row>
    <row r="343" spans="1:17" ht="15.75" hidden="1" customHeight="1" outlineLevel="2">
      <c r="A343" s="274"/>
      <c r="B343" s="159"/>
      <c r="C343" s="142" t="s">
        <v>384</v>
      </c>
      <c r="D343" s="160"/>
      <c r="E343" s="153"/>
      <c r="F343" s="153"/>
      <c r="G343" s="202"/>
      <c r="H343" s="200"/>
      <c r="I343" s="156"/>
      <c r="J343" s="184"/>
      <c r="K343" s="222"/>
      <c r="L343" s="184"/>
      <c r="M343" s="222"/>
      <c r="N343" s="183"/>
      <c r="O343" s="417"/>
      <c r="P343" s="150"/>
      <c r="Q343" s="569"/>
    </row>
    <row r="344" spans="1:17" ht="15.75" hidden="1" customHeight="1" outlineLevel="2">
      <c r="A344" s="274"/>
      <c r="B344" s="159"/>
      <c r="C344" s="162" t="s">
        <v>375</v>
      </c>
      <c r="D344" s="160"/>
      <c r="E344" s="153"/>
      <c r="F344" s="153"/>
      <c r="G344" s="202"/>
      <c r="H344" s="200"/>
      <c r="I344" s="156"/>
      <c r="J344" s="184"/>
      <c r="K344" s="222"/>
      <c r="L344" s="184"/>
      <c r="M344" s="222"/>
      <c r="N344" s="183"/>
      <c r="O344" s="417"/>
      <c r="P344" s="150"/>
      <c r="Q344" s="569"/>
    </row>
    <row r="345" spans="1:17" ht="15.75" hidden="1" customHeight="1" outlineLevel="2">
      <c r="A345" s="274"/>
      <c r="B345" s="159"/>
      <c r="C345" s="162" t="s">
        <v>376</v>
      </c>
      <c r="D345" s="160"/>
      <c r="E345" s="153"/>
      <c r="F345" s="153"/>
      <c r="G345" s="202"/>
      <c r="H345" s="200"/>
      <c r="I345" s="156"/>
      <c r="J345" s="184"/>
      <c r="K345" s="222"/>
      <c r="L345" s="184"/>
      <c r="M345" s="222"/>
      <c r="N345" s="183"/>
      <c r="O345" s="417"/>
      <c r="P345" s="150"/>
      <c r="Q345" s="569"/>
    </row>
    <row r="346" spans="1:17" ht="15.75" hidden="1" customHeight="1" outlineLevel="2">
      <c r="A346" s="274"/>
      <c r="B346" s="159"/>
      <c r="C346" s="162" t="s">
        <v>377</v>
      </c>
      <c r="D346" s="160"/>
      <c r="E346" s="153"/>
      <c r="F346" s="153"/>
      <c r="G346" s="202"/>
      <c r="H346" s="200"/>
      <c r="I346" s="156"/>
      <c r="J346" s="184"/>
      <c r="K346" s="222"/>
      <c r="L346" s="184"/>
      <c r="M346" s="222"/>
      <c r="N346" s="183"/>
      <c r="O346" s="417"/>
      <c r="P346" s="150"/>
      <c r="Q346" s="569"/>
    </row>
    <row r="347" spans="1:17" ht="15.75" hidden="1" customHeight="1" outlineLevel="2">
      <c r="A347" s="274"/>
      <c r="B347" s="159"/>
      <c r="C347" s="162" t="s">
        <v>400</v>
      </c>
      <c r="D347" s="160"/>
      <c r="E347" s="153"/>
      <c r="F347" s="153"/>
      <c r="G347" s="202"/>
      <c r="H347" s="200"/>
      <c r="I347" s="156"/>
      <c r="J347" s="184"/>
      <c r="K347" s="222"/>
      <c r="L347" s="184"/>
      <c r="M347" s="222"/>
      <c r="N347" s="183"/>
      <c r="O347" s="417"/>
      <c r="P347" s="150"/>
      <c r="Q347" s="568" t="s">
        <v>1252</v>
      </c>
    </row>
    <row r="348" spans="1:17" ht="15.75" hidden="1" customHeight="1" outlineLevel="2">
      <c r="A348" s="274"/>
      <c r="B348" s="159"/>
      <c r="C348" s="142" t="s">
        <v>412</v>
      </c>
      <c r="D348" s="160"/>
      <c r="E348" s="153"/>
      <c r="F348" s="153"/>
      <c r="G348" s="202"/>
      <c r="H348" s="200"/>
      <c r="I348" s="156"/>
      <c r="J348" s="184"/>
      <c r="K348" s="222"/>
      <c r="L348" s="184">
        <v>15000000</v>
      </c>
      <c r="M348" s="222">
        <f t="shared" ref="M348:M349" si="9">L348*1.46</f>
        <v>21900000</v>
      </c>
      <c r="N348" s="183"/>
      <c r="O348" s="417"/>
      <c r="P348" s="150">
        <f t="shared" ref="P348:P349" si="10">SUM(I348,K348,M348,O348)</f>
        <v>21900000</v>
      </c>
      <c r="Q348" s="568" t="s">
        <v>1247</v>
      </c>
    </row>
    <row r="349" spans="1:17" s="130" customFormat="1" ht="15.75" hidden="1" customHeight="1" outlineLevel="1" collapsed="1">
      <c r="A349" s="275"/>
      <c r="B349" s="142"/>
      <c r="C349" s="142" t="s">
        <v>411</v>
      </c>
      <c r="D349" s="220"/>
      <c r="E349" s="217"/>
      <c r="F349" s="217"/>
      <c r="G349" s="222"/>
      <c r="H349" s="223"/>
      <c r="I349" s="207"/>
      <c r="J349" s="184"/>
      <c r="K349" s="222"/>
      <c r="L349" s="184">
        <f>SUM(L323:L348)</f>
        <v>15500000</v>
      </c>
      <c r="M349" s="222">
        <f t="shared" si="9"/>
        <v>22630000</v>
      </c>
      <c r="N349" s="183"/>
      <c r="O349" s="417"/>
      <c r="P349" s="150">
        <f t="shared" si="10"/>
        <v>22630000</v>
      </c>
      <c r="Q349" s="576"/>
    </row>
    <row r="350" spans="1:17" ht="15.75" hidden="1" customHeight="1" outlineLevel="2">
      <c r="A350" s="274"/>
      <c r="B350" s="142" t="s">
        <v>413</v>
      </c>
      <c r="C350" s="159"/>
      <c r="D350" s="160"/>
      <c r="E350" s="153"/>
      <c r="F350" s="153"/>
      <c r="G350" s="202"/>
      <c r="H350" s="200"/>
      <c r="I350" s="156"/>
      <c r="J350" s="184"/>
      <c r="K350" s="222"/>
      <c r="L350" s="184"/>
      <c r="M350" s="222"/>
      <c r="N350" s="183"/>
      <c r="O350" s="417"/>
      <c r="P350" s="150"/>
      <c r="Q350" s="569"/>
    </row>
    <row r="351" spans="1:17" ht="15.75" hidden="1" customHeight="1" outlineLevel="2">
      <c r="A351" s="274"/>
      <c r="B351" s="159"/>
      <c r="C351" s="142" t="s">
        <v>380</v>
      </c>
      <c r="D351" s="160"/>
      <c r="E351" s="153"/>
      <c r="F351" s="153"/>
      <c r="G351" s="202"/>
      <c r="H351" s="200"/>
      <c r="I351" s="156"/>
      <c r="J351" s="184"/>
      <c r="K351" s="222"/>
      <c r="L351" s="184"/>
      <c r="M351" s="222"/>
      <c r="N351" s="183"/>
      <c r="O351" s="417"/>
      <c r="P351" s="150"/>
      <c r="Q351" s="569"/>
    </row>
    <row r="352" spans="1:17" ht="15.75" hidden="1" customHeight="1" outlineLevel="2">
      <c r="A352" s="274"/>
      <c r="B352" s="159"/>
      <c r="C352" s="162" t="s">
        <v>356</v>
      </c>
      <c r="D352" s="160"/>
      <c r="E352" s="153"/>
      <c r="F352" s="153">
        <f>CIP!$AO$79</f>
        <v>107122.49999999999</v>
      </c>
      <c r="G352" s="202">
        <f>CIP!$AP$79</f>
        <v>388051.25624999992</v>
      </c>
      <c r="H352" s="200"/>
      <c r="I352" s="156">
        <f>SUM(D352:H352)</f>
        <v>495173.75624999992</v>
      </c>
      <c r="J352" s="184" t="s">
        <v>390</v>
      </c>
      <c r="K352" s="222"/>
      <c r="L352" s="184"/>
      <c r="M352" s="222"/>
      <c r="N352" s="183"/>
      <c r="O352" s="417"/>
      <c r="P352" s="150">
        <f t="shared" ref="P352:P377" si="11">SUM(I352,K352,M352,O352)</f>
        <v>495173.75624999992</v>
      </c>
      <c r="Q352" s="569" t="s">
        <v>1248</v>
      </c>
    </row>
    <row r="353" spans="1:17" ht="15.75" hidden="1" customHeight="1" outlineLevel="2">
      <c r="A353" s="274"/>
      <c r="B353" s="159"/>
      <c r="C353" s="162" t="s">
        <v>357</v>
      </c>
      <c r="D353" s="160"/>
      <c r="E353" s="153"/>
      <c r="F353" s="153"/>
      <c r="G353" s="202"/>
      <c r="H353" s="200"/>
      <c r="I353" s="156"/>
      <c r="J353" s="184"/>
      <c r="K353" s="222"/>
      <c r="L353" s="184"/>
      <c r="M353" s="222"/>
      <c r="N353" s="183" t="s">
        <v>390</v>
      </c>
      <c r="O353" s="417"/>
      <c r="P353" s="150"/>
      <c r="Q353" s="569"/>
    </row>
    <row r="354" spans="1:17" ht="15.75" hidden="1" customHeight="1" outlineLevel="2">
      <c r="A354" s="274"/>
      <c r="B354" s="159"/>
      <c r="C354" s="162" t="s">
        <v>358</v>
      </c>
      <c r="D354" s="160"/>
      <c r="E354" s="153"/>
      <c r="F354" s="153"/>
      <c r="G354" s="202"/>
      <c r="H354" s="200"/>
      <c r="I354" s="156"/>
      <c r="J354" s="184">
        <v>150000</v>
      </c>
      <c r="K354" s="222">
        <f>J354*1.23</f>
        <v>184500</v>
      </c>
      <c r="L354" s="184"/>
      <c r="M354" s="222"/>
      <c r="N354" s="183" t="s">
        <v>390</v>
      </c>
      <c r="O354" s="417"/>
      <c r="P354" s="150">
        <f t="shared" si="11"/>
        <v>184500</v>
      </c>
      <c r="Q354" s="569"/>
    </row>
    <row r="355" spans="1:17" ht="15.75" hidden="1" customHeight="1" outlineLevel="2">
      <c r="A355" s="274"/>
      <c r="B355" s="159"/>
      <c r="C355" s="162" t="s">
        <v>359</v>
      </c>
      <c r="D355" s="160"/>
      <c r="E355" s="153"/>
      <c r="F355" s="153"/>
      <c r="G355" s="202"/>
      <c r="H355" s="200"/>
      <c r="I355" s="156"/>
      <c r="J355" s="184"/>
      <c r="K355" s="222"/>
      <c r="L355" s="184"/>
      <c r="M355" s="222"/>
      <c r="N355" s="183"/>
      <c r="O355" s="417"/>
      <c r="P355" s="150"/>
      <c r="Q355" s="569" t="s">
        <v>390</v>
      </c>
    </row>
    <row r="356" spans="1:17" ht="15.75" hidden="1" customHeight="1" outlineLevel="2">
      <c r="A356" s="274"/>
      <c r="B356" s="159"/>
      <c r="C356" s="162" t="s">
        <v>360</v>
      </c>
      <c r="D356" s="160"/>
      <c r="E356" s="153"/>
      <c r="F356" s="153"/>
      <c r="G356" s="202"/>
      <c r="H356" s="200"/>
      <c r="I356" s="156"/>
      <c r="J356" s="184"/>
      <c r="K356" s="222"/>
      <c r="L356" s="184"/>
      <c r="M356" s="222"/>
      <c r="N356" s="183"/>
      <c r="O356" s="417"/>
      <c r="P356" s="150"/>
      <c r="Q356" s="569"/>
    </row>
    <row r="357" spans="1:17" ht="15.75" hidden="1" customHeight="1" outlineLevel="2">
      <c r="A357" s="274"/>
      <c r="B357" s="159"/>
      <c r="C357" s="142" t="s">
        <v>381</v>
      </c>
      <c r="D357" s="160"/>
      <c r="E357" s="153"/>
      <c r="F357" s="153"/>
      <c r="G357" s="202"/>
      <c r="H357" s="200"/>
      <c r="I357" s="156"/>
      <c r="J357" s="184"/>
      <c r="K357" s="222"/>
      <c r="L357" s="184"/>
      <c r="M357" s="222"/>
      <c r="N357" s="183"/>
      <c r="O357" s="417"/>
      <c r="P357" s="150"/>
      <c r="Q357" s="569"/>
    </row>
    <row r="358" spans="1:17" ht="15.75" hidden="1" customHeight="1" outlineLevel="2">
      <c r="A358" s="274"/>
      <c r="B358" s="159"/>
      <c r="C358" s="162" t="s">
        <v>362</v>
      </c>
      <c r="D358" s="160"/>
      <c r="E358" s="153"/>
      <c r="F358" s="153"/>
      <c r="G358" s="202"/>
      <c r="H358" s="200"/>
      <c r="I358" s="156"/>
      <c r="J358" s="184">
        <v>200000</v>
      </c>
      <c r="K358" s="222">
        <f>J358*1.23</f>
        <v>246000</v>
      </c>
      <c r="L358" s="184"/>
      <c r="M358" s="222"/>
      <c r="N358" s="183"/>
      <c r="O358" s="417"/>
      <c r="P358" s="150">
        <f t="shared" si="11"/>
        <v>246000</v>
      </c>
      <c r="Q358" s="569"/>
    </row>
    <row r="359" spans="1:17" ht="15.75" hidden="1" customHeight="1" outlineLevel="2">
      <c r="A359" s="274"/>
      <c r="B359" s="159"/>
      <c r="C359" s="162" t="s">
        <v>363</v>
      </c>
      <c r="D359" s="160"/>
      <c r="E359" s="153"/>
      <c r="F359" s="153"/>
      <c r="G359" s="202"/>
      <c r="H359" s="200"/>
      <c r="I359" s="156"/>
      <c r="J359" s="184"/>
      <c r="K359" s="222"/>
      <c r="L359" s="184"/>
      <c r="M359" s="222"/>
      <c r="N359" s="183"/>
      <c r="O359" s="417"/>
      <c r="P359" s="150"/>
      <c r="Q359" s="569"/>
    </row>
    <row r="360" spans="1:17" ht="15.75" hidden="1" customHeight="1" outlineLevel="2">
      <c r="A360" s="274"/>
      <c r="B360" s="159"/>
      <c r="C360" s="162" t="s">
        <v>358</v>
      </c>
      <c r="D360" s="160"/>
      <c r="E360" s="153"/>
      <c r="F360" s="153"/>
      <c r="G360" s="202"/>
      <c r="H360" s="200"/>
      <c r="I360" s="156"/>
      <c r="J360" s="184"/>
      <c r="K360" s="222"/>
      <c r="L360" s="184"/>
      <c r="M360" s="222"/>
      <c r="N360" s="183"/>
      <c r="O360" s="417"/>
      <c r="P360" s="150"/>
      <c r="Q360" s="569"/>
    </row>
    <row r="361" spans="1:17" ht="15.75" hidden="1" customHeight="1" outlineLevel="2">
      <c r="A361" s="274"/>
      <c r="B361" s="159"/>
      <c r="C361" s="162" t="s">
        <v>364</v>
      </c>
      <c r="D361" s="160"/>
      <c r="E361" s="153"/>
      <c r="F361" s="153"/>
      <c r="G361" s="202"/>
      <c r="H361" s="200"/>
      <c r="I361" s="156"/>
      <c r="J361" s="184"/>
      <c r="K361" s="222"/>
      <c r="L361" s="184"/>
      <c r="M361" s="222"/>
      <c r="N361" s="183" t="s">
        <v>390</v>
      </c>
      <c r="O361" s="417"/>
      <c r="P361" s="150"/>
      <c r="Q361" s="569"/>
    </row>
    <row r="362" spans="1:17" ht="15.75" hidden="1" customHeight="1" outlineLevel="2">
      <c r="A362" s="274"/>
      <c r="B362" s="159"/>
      <c r="C362" s="142" t="s">
        <v>382</v>
      </c>
      <c r="D362" s="160"/>
      <c r="E362" s="153"/>
      <c r="F362" s="153"/>
      <c r="G362" s="202"/>
      <c r="H362" s="200"/>
      <c r="I362" s="156"/>
      <c r="J362" s="184"/>
      <c r="K362" s="222"/>
      <c r="L362" s="184"/>
      <c r="M362" s="222"/>
      <c r="N362" s="183"/>
      <c r="O362" s="417"/>
      <c r="P362" s="150"/>
      <c r="Q362" s="569"/>
    </row>
    <row r="363" spans="1:17" ht="15.75" hidden="1" customHeight="1" outlineLevel="2">
      <c r="A363" s="274"/>
      <c r="B363" s="159"/>
      <c r="C363" s="162" t="s">
        <v>366</v>
      </c>
      <c r="D363" s="160"/>
      <c r="E363" s="153"/>
      <c r="F363" s="153"/>
      <c r="G363" s="202"/>
      <c r="H363" s="200"/>
      <c r="I363" s="156"/>
      <c r="J363" s="184"/>
      <c r="K363" s="222"/>
      <c r="L363" s="184"/>
      <c r="M363" s="222"/>
      <c r="N363" s="183"/>
      <c r="O363" s="417"/>
      <c r="P363" s="150"/>
      <c r="Q363" s="569"/>
    </row>
    <row r="364" spans="1:17" ht="15.75" hidden="1" customHeight="1" outlineLevel="2">
      <c r="A364" s="274"/>
      <c r="B364" s="159"/>
      <c r="C364" s="162" t="s">
        <v>358</v>
      </c>
      <c r="D364" s="160"/>
      <c r="E364" s="153"/>
      <c r="F364" s="153"/>
      <c r="G364" s="202"/>
      <c r="H364" s="200"/>
      <c r="I364" s="156"/>
      <c r="J364" s="184"/>
      <c r="K364" s="222"/>
      <c r="L364" s="184"/>
      <c r="M364" s="222"/>
      <c r="N364" s="183"/>
      <c r="O364" s="417"/>
      <c r="P364" s="150"/>
      <c r="Q364" s="569"/>
    </row>
    <row r="365" spans="1:17" ht="15.75" hidden="1" customHeight="1" outlineLevel="2">
      <c r="A365" s="274"/>
      <c r="B365" s="159"/>
      <c r="C365" s="162" t="s">
        <v>367</v>
      </c>
      <c r="D365" s="160"/>
      <c r="E365" s="153"/>
      <c r="F365" s="153"/>
      <c r="G365" s="202"/>
      <c r="H365" s="200"/>
      <c r="I365" s="156"/>
      <c r="J365" s="184"/>
      <c r="K365" s="222"/>
      <c r="L365" s="184"/>
      <c r="M365" s="222"/>
      <c r="N365" s="183"/>
      <c r="O365" s="417"/>
      <c r="P365" s="150"/>
      <c r="Q365" s="569"/>
    </row>
    <row r="366" spans="1:17" ht="15.75" hidden="1" customHeight="1" outlineLevel="2">
      <c r="A366" s="274"/>
      <c r="B366" s="159"/>
      <c r="C366" s="162" t="s">
        <v>368</v>
      </c>
      <c r="D366" s="160"/>
      <c r="E366" s="153"/>
      <c r="F366" s="153"/>
      <c r="G366" s="202"/>
      <c r="H366" s="200"/>
      <c r="I366" s="156"/>
      <c r="J366" s="184"/>
      <c r="K366" s="222"/>
      <c r="L366" s="184"/>
      <c r="M366" s="222"/>
      <c r="N366" s="183"/>
      <c r="O366" s="417"/>
      <c r="P366" s="150"/>
      <c r="Q366" s="569"/>
    </row>
    <row r="367" spans="1:17" ht="15.75" hidden="1" customHeight="1" outlineLevel="2">
      <c r="A367" s="274"/>
      <c r="B367" s="159"/>
      <c r="C367" s="142" t="s">
        <v>383</v>
      </c>
      <c r="D367" s="160"/>
      <c r="E367" s="153"/>
      <c r="F367" s="153"/>
      <c r="G367" s="202"/>
      <c r="H367" s="200"/>
      <c r="I367" s="156"/>
      <c r="J367" s="184"/>
      <c r="K367" s="222"/>
      <c r="L367" s="184"/>
      <c r="M367" s="222"/>
      <c r="N367" s="183"/>
      <c r="O367" s="417"/>
      <c r="P367" s="150"/>
      <c r="Q367" s="569"/>
    </row>
    <row r="368" spans="1:17" ht="15.75" hidden="1" customHeight="1" outlineLevel="2">
      <c r="A368" s="274"/>
      <c r="B368" s="159"/>
      <c r="C368" s="162" t="s">
        <v>370</v>
      </c>
      <c r="D368" s="160"/>
      <c r="E368" s="153"/>
      <c r="F368" s="153"/>
      <c r="G368" s="202"/>
      <c r="H368" s="200"/>
      <c r="I368" s="156"/>
      <c r="J368" s="184"/>
      <c r="K368" s="222"/>
      <c r="L368" s="184"/>
      <c r="M368" s="222"/>
      <c r="N368" s="183">
        <v>500000</v>
      </c>
      <c r="O368" s="417">
        <f>N368*1.73</f>
        <v>865000</v>
      </c>
      <c r="P368" s="150">
        <f t="shared" si="11"/>
        <v>865000</v>
      </c>
      <c r="Q368" s="569"/>
    </row>
    <row r="369" spans="1:17" ht="15.75" hidden="1" customHeight="1" outlineLevel="2">
      <c r="A369" s="274"/>
      <c r="B369" s="159"/>
      <c r="C369" s="162" t="s">
        <v>371</v>
      </c>
      <c r="D369" s="160"/>
      <c r="E369" s="153"/>
      <c r="F369" s="153"/>
      <c r="G369" s="202"/>
      <c r="H369" s="200"/>
      <c r="I369" s="156"/>
      <c r="J369" s="184">
        <v>1200000</v>
      </c>
      <c r="K369" s="222">
        <f>J369*1.23</f>
        <v>1476000</v>
      </c>
      <c r="L369" s="184"/>
      <c r="M369" s="222"/>
      <c r="N369" s="183" t="s">
        <v>390</v>
      </c>
      <c r="O369" s="417"/>
      <c r="P369" s="150">
        <f t="shared" si="11"/>
        <v>1476000</v>
      </c>
      <c r="Q369" s="569"/>
    </row>
    <row r="370" spans="1:17" ht="15.75" hidden="1" customHeight="1" outlineLevel="2">
      <c r="A370" s="274"/>
      <c r="B370" s="159"/>
      <c r="C370" s="162" t="s">
        <v>372</v>
      </c>
      <c r="D370" s="160"/>
      <c r="E370" s="153"/>
      <c r="F370" s="153"/>
      <c r="G370" s="202"/>
      <c r="H370" s="200"/>
      <c r="I370" s="156"/>
      <c r="J370" s="184">
        <v>1125000</v>
      </c>
      <c r="K370" s="222">
        <f>J370*1.23</f>
        <v>1383750</v>
      </c>
      <c r="L370" s="184"/>
      <c r="M370" s="222"/>
      <c r="N370" s="183" t="s">
        <v>390</v>
      </c>
      <c r="O370" s="417"/>
      <c r="P370" s="150">
        <f t="shared" si="11"/>
        <v>1383750</v>
      </c>
      <c r="Q370" s="569"/>
    </row>
    <row r="371" spans="1:17" ht="15.75" hidden="1" customHeight="1" outlineLevel="2">
      <c r="A371" s="274"/>
      <c r="B371" s="159"/>
      <c r="C371" s="162" t="s">
        <v>373</v>
      </c>
      <c r="D371" s="160"/>
      <c r="E371" s="153"/>
      <c r="F371" s="153"/>
      <c r="G371" s="202"/>
      <c r="H371" s="200"/>
      <c r="I371" s="156"/>
      <c r="J371" s="184"/>
      <c r="K371" s="222"/>
      <c r="L371" s="184"/>
      <c r="M371" s="222"/>
      <c r="N371" s="183"/>
      <c r="O371" s="417"/>
      <c r="P371" s="150"/>
      <c r="Q371" s="569"/>
    </row>
    <row r="372" spans="1:17" ht="15.75" hidden="1" customHeight="1" outlineLevel="2">
      <c r="A372" s="274"/>
      <c r="B372" s="159"/>
      <c r="C372" s="142" t="s">
        <v>384</v>
      </c>
      <c r="D372" s="160"/>
      <c r="E372" s="153"/>
      <c r="F372" s="153"/>
      <c r="G372" s="202"/>
      <c r="H372" s="200"/>
      <c r="I372" s="156"/>
      <c r="J372" s="184"/>
      <c r="K372" s="222"/>
      <c r="L372" s="184"/>
      <c r="M372" s="222"/>
      <c r="N372" s="183"/>
      <c r="O372" s="417"/>
      <c r="P372" s="150"/>
      <c r="Q372" s="569"/>
    </row>
    <row r="373" spans="1:17" ht="15.75" hidden="1" customHeight="1" outlineLevel="2">
      <c r="A373" s="274"/>
      <c r="B373" s="159"/>
      <c r="C373" s="162" t="s">
        <v>375</v>
      </c>
      <c r="D373" s="160"/>
      <c r="E373" s="153"/>
      <c r="F373" s="153"/>
      <c r="G373" s="202"/>
      <c r="H373" s="200"/>
      <c r="I373" s="156"/>
      <c r="J373" s="184">
        <v>350000</v>
      </c>
      <c r="K373" s="222">
        <f>J373*1.23</f>
        <v>430500</v>
      </c>
      <c r="L373" s="184"/>
      <c r="M373" s="222"/>
      <c r="N373" s="183"/>
      <c r="O373" s="417"/>
      <c r="P373" s="150">
        <f t="shared" si="11"/>
        <v>430500</v>
      </c>
      <c r="Q373" s="569"/>
    </row>
    <row r="374" spans="1:17" ht="15.75" hidden="1" customHeight="1" outlineLevel="2">
      <c r="A374" s="274"/>
      <c r="B374" s="159"/>
      <c r="C374" s="162" t="s">
        <v>376</v>
      </c>
      <c r="D374" s="160"/>
      <c r="E374" s="153"/>
      <c r="F374" s="153"/>
      <c r="G374" s="202"/>
      <c r="H374" s="200"/>
      <c r="I374" s="156"/>
      <c r="J374" s="184" t="s">
        <v>390</v>
      </c>
      <c r="K374" s="222"/>
      <c r="L374" s="184"/>
      <c r="M374" s="222"/>
      <c r="N374" s="183"/>
      <c r="O374" s="417"/>
      <c r="P374" s="150"/>
      <c r="Q374" s="569" t="s">
        <v>1367</v>
      </c>
    </row>
    <row r="375" spans="1:17" ht="15.75" hidden="1" customHeight="1" outlineLevel="2">
      <c r="A375" s="274"/>
      <c r="B375" s="159"/>
      <c r="C375" s="162" t="s">
        <v>377</v>
      </c>
      <c r="D375" s="160"/>
      <c r="E375" s="153"/>
      <c r="F375" s="153"/>
      <c r="G375" s="202"/>
      <c r="H375" s="200"/>
      <c r="I375" s="156"/>
      <c r="J375" s="184"/>
      <c r="K375" s="222"/>
      <c r="L375" s="184"/>
      <c r="M375" s="222"/>
      <c r="N375" s="183"/>
      <c r="O375" s="417"/>
      <c r="P375" s="150"/>
      <c r="Q375" s="569"/>
    </row>
    <row r="376" spans="1:17" ht="15.75" hidden="1" customHeight="1" outlineLevel="2">
      <c r="A376" s="274"/>
      <c r="B376" s="159"/>
      <c r="C376" s="162" t="s">
        <v>400</v>
      </c>
      <c r="D376" s="160"/>
      <c r="E376" s="153"/>
      <c r="F376" s="153"/>
      <c r="G376" s="202"/>
      <c r="H376" s="200"/>
      <c r="I376" s="156"/>
      <c r="J376" s="184">
        <v>500000</v>
      </c>
      <c r="K376" s="222">
        <f>J376*1.23</f>
        <v>615000</v>
      </c>
      <c r="L376" s="184"/>
      <c r="M376" s="222"/>
      <c r="N376" s="183"/>
      <c r="O376" s="417"/>
      <c r="P376" s="150">
        <f t="shared" si="11"/>
        <v>615000</v>
      </c>
      <c r="Q376" s="569"/>
    </row>
    <row r="377" spans="1:17" ht="15.75" hidden="1" customHeight="1" outlineLevel="1" collapsed="1">
      <c r="A377" s="274"/>
      <c r="B377" s="159"/>
      <c r="C377" s="142" t="s">
        <v>413</v>
      </c>
      <c r="D377" s="220"/>
      <c r="E377" s="217"/>
      <c r="F377" s="217">
        <f>SUM(F351:F376)</f>
        <v>107122.49999999999</v>
      </c>
      <c r="G377" s="222">
        <f>SUM(G351:G376)</f>
        <v>388051.25624999992</v>
      </c>
      <c r="H377" s="223"/>
      <c r="I377" s="207">
        <f>SUM(I351:I376)</f>
        <v>495173.75624999992</v>
      </c>
      <c r="J377" s="184">
        <f>SUM(J351:J376)</f>
        <v>3525000</v>
      </c>
      <c r="K377" s="222">
        <f>J377*1.23</f>
        <v>4335750</v>
      </c>
      <c r="L377" s="184"/>
      <c r="M377" s="222"/>
      <c r="N377" s="183">
        <f>SUM(N352:N376)</f>
        <v>500000</v>
      </c>
      <c r="O377" s="417">
        <f>N377*1.73</f>
        <v>865000</v>
      </c>
      <c r="P377" s="150">
        <f t="shared" si="11"/>
        <v>5695923.7562499996</v>
      </c>
      <c r="Q377" s="569"/>
    </row>
    <row r="378" spans="1:17" ht="15.75" hidden="1" customHeight="1" outlineLevel="2">
      <c r="A378" s="274"/>
      <c r="B378" s="142" t="s">
        <v>414</v>
      </c>
      <c r="C378" s="159"/>
      <c r="D378" s="160"/>
      <c r="E378" s="153"/>
      <c r="F378" s="153"/>
      <c r="G378" s="202"/>
      <c r="H378" s="200"/>
      <c r="I378" s="156"/>
      <c r="J378" s="184"/>
      <c r="K378" s="419"/>
      <c r="L378" s="184"/>
      <c r="M378" s="222"/>
      <c r="N378" s="183"/>
      <c r="O378" s="417"/>
      <c r="P378" s="150"/>
      <c r="Q378" s="569"/>
    </row>
    <row r="379" spans="1:17" ht="15.75" hidden="1" customHeight="1" outlineLevel="2">
      <c r="A379" s="274"/>
      <c r="B379" s="159"/>
      <c r="C379" s="142" t="s">
        <v>380</v>
      </c>
      <c r="D379" s="160"/>
      <c r="E379" s="153"/>
      <c r="F379" s="153"/>
      <c r="G379" s="202"/>
      <c r="H379" s="200"/>
      <c r="I379" s="156"/>
      <c r="J379" s="184"/>
      <c r="K379" s="419"/>
      <c r="L379" s="184"/>
      <c r="M379" s="222"/>
      <c r="N379" s="183"/>
      <c r="O379" s="417"/>
      <c r="P379" s="150"/>
      <c r="Q379" s="569"/>
    </row>
    <row r="380" spans="1:17" ht="15.75" hidden="1" customHeight="1" outlineLevel="2">
      <c r="A380" s="274"/>
      <c r="B380" s="159"/>
      <c r="C380" s="162" t="s">
        <v>398</v>
      </c>
      <c r="D380" s="160"/>
      <c r="E380" s="153"/>
      <c r="F380" s="153"/>
      <c r="G380" s="202"/>
      <c r="H380" s="200"/>
      <c r="I380" s="156"/>
      <c r="J380" s="184"/>
      <c r="K380" s="419"/>
      <c r="L380" s="184">
        <v>300000</v>
      </c>
      <c r="M380" s="222">
        <f>L380*1.46</f>
        <v>438000</v>
      </c>
      <c r="N380" s="183"/>
      <c r="O380" s="417"/>
      <c r="P380" s="150">
        <f t="shared" ref="P380:P406" si="12">SUM(I380,K380,M380,O380)</f>
        <v>438000</v>
      </c>
      <c r="Q380" s="569"/>
    </row>
    <row r="381" spans="1:17" ht="15.75" hidden="1" customHeight="1" outlineLevel="2">
      <c r="A381" s="274"/>
      <c r="B381" s="159"/>
      <c r="C381" s="162" t="s">
        <v>357</v>
      </c>
      <c r="D381" s="160"/>
      <c r="E381" s="153"/>
      <c r="F381" s="153"/>
      <c r="G381" s="202"/>
      <c r="H381" s="200"/>
      <c r="I381" s="156"/>
      <c r="J381" s="184"/>
      <c r="K381" s="419"/>
      <c r="L381" s="184">
        <v>75000</v>
      </c>
      <c r="M381" s="222">
        <f t="shared" ref="M381:M383" si="13">L381*1.46</f>
        <v>109500</v>
      </c>
      <c r="N381" s="183"/>
      <c r="O381" s="417"/>
      <c r="P381" s="150">
        <f t="shared" si="12"/>
        <v>109500</v>
      </c>
      <c r="Q381" s="569"/>
    </row>
    <row r="382" spans="1:17" ht="15.75" hidden="1" customHeight="1" outlineLevel="2">
      <c r="A382" s="274"/>
      <c r="B382" s="159"/>
      <c r="C382" s="162" t="s">
        <v>358</v>
      </c>
      <c r="D382" s="160"/>
      <c r="E382" s="153"/>
      <c r="F382" s="153"/>
      <c r="G382" s="202"/>
      <c r="H382" s="200"/>
      <c r="I382" s="203"/>
      <c r="J382" s="186"/>
      <c r="K382" s="419"/>
      <c r="L382" s="186">
        <v>300000</v>
      </c>
      <c r="M382" s="222">
        <f t="shared" si="13"/>
        <v>438000</v>
      </c>
      <c r="N382" s="183"/>
      <c r="O382" s="417"/>
      <c r="P382" s="150">
        <f t="shared" si="12"/>
        <v>438000</v>
      </c>
      <c r="Q382" s="569"/>
    </row>
    <row r="383" spans="1:17" ht="15.75" hidden="1" customHeight="1" outlineLevel="2">
      <c r="A383" s="274"/>
      <c r="B383" s="159"/>
      <c r="C383" s="162" t="s">
        <v>359</v>
      </c>
      <c r="D383" s="160"/>
      <c r="E383" s="153"/>
      <c r="F383" s="153"/>
      <c r="G383" s="202"/>
      <c r="H383" s="200"/>
      <c r="I383" s="156"/>
      <c r="J383" s="184"/>
      <c r="K383" s="419"/>
      <c r="L383" s="184">
        <v>150000</v>
      </c>
      <c r="M383" s="222">
        <f t="shared" si="13"/>
        <v>219000</v>
      </c>
      <c r="N383" s="183"/>
      <c r="O383" s="417"/>
      <c r="P383" s="150">
        <f t="shared" si="12"/>
        <v>219000</v>
      </c>
      <c r="Q383" s="569"/>
    </row>
    <row r="384" spans="1:17" ht="15.75" hidden="1" customHeight="1" outlineLevel="2">
      <c r="A384" s="274"/>
      <c r="B384" s="159"/>
      <c r="C384" s="162" t="s">
        <v>388</v>
      </c>
      <c r="D384" s="160"/>
      <c r="E384" s="153"/>
      <c r="F384" s="153"/>
      <c r="G384" s="202"/>
      <c r="H384" s="200"/>
      <c r="I384" s="156"/>
      <c r="J384" s="184"/>
      <c r="K384" s="419"/>
      <c r="L384" s="184"/>
      <c r="M384" s="222"/>
      <c r="N384" s="183"/>
      <c r="O384" s="417"/>
      <c r="P384" s="150"/>
      <c r="Q384" s="569" t="s">
        <v>1249</v>
      </c>
    </row>
    <row r="385" spans="1:17" ht="15.75" hidden="1" customHeight="1" outlineLevel="2">
      <c r="A385" s="274"/>
      <c r="B385" s="159"/>
      <c r="C385" s="142" t="s">
        <v>381</v>
      </c>
      <c r="D385" s="160"/>
      <c r="E385" s="153"/>
      <c r="F385" s="153"/>
      <c r="G385" s="202"/>
      <c r="H385" s="200"/>
      <c r="I385" s="156"/>
      <c r="J385" s="184"/>
      <c r="K385" s="419"/>
      <c r="L385" s="184"/>
      <c r="M385" s="222"/>
      <c r="N385" s="183"/>
      <c r="O385" s="417"/>
      <c r="P385" s="150"/>
      <c r="Q385" s="569"/>
    </row>
    <row r="386" spans="1:17" ht="15.75" hidden="1" customHeight="1" outlineLevel="2">
      <c r="A386" s="274"/>
      <c r="B386" s="159"/>
      <c r="C386" s="162" t="s">
        <v>362</v>
      </c>
      <c r="D386" s="160"/>
      <c r="E386" s="153"/>
      <c r="F386" s="153"/>
      <c r="G386" s="202"/>
      <c r="H386" s="200"/>
      <c r="I386" s="156"/>
      <c r="J386" s="184"/>
      <c r="K386" s="419"/>
      <c r="L386" s="184"/>
      <c r="M386" s="222"/>
      <c r="N386" s="183"/>
      <c r="O386" s="417"/>
      <c r="P386" s="150"/>
      <c r="Q386" s="569"/>
    </row>
    <row r="387" spans="1:17" ht="15.75" hidden="1" customHeight="1" outlineLevel="2">
      <c r="A387" s="274"/>
      <c r="B387" s="159"/>
      <c r="C387" s="162" t="s">
        <v>363</v>
      </c>
      <c r="D387" s="160"/>
      <c r="E387" s="153"/>
      <c r="F387" s="153"/>
      <c r="G387" s="202"/>
      <c r="H387" s="200"/>
      <c r="I387" s="156"/>
      <c r="J387" s="184"/>
      <c r="K387" s="419"/>
      <c r="L387" s="184"/>
      <c r="M387" s="222"/>
      <c r="N387" s="183"/>
      <c r="O387" s="417"/>
      <c r="P387" s="150"/>
      <c r="Q387" s="569"/>
    </row>
    <row r="388" spans="1:17" ht="15.75" hidden="1" customHeight="1" outlineLevel="2">
      <c r="A388" s="274"/>
      <c r="B388" s="159"/>
      <c r="C388" s="162" t="s">
        <v>358</v>
      </c>
      <c r="D388" s="160"/>
      <c r="E388" s="153"/>
      <c r="F388" s="153"/>
      <c r="G388" s="202"/>
      <c r="H388" s="200"/>
      <c r="I388" s="156"/>
      <c r="J388" s="184"/>
      <c r="K388" s="419"/>
      <c r="L388" s="184"/>
      <c r="M388" s="222"/>
      <c r="N388" s="183"/>
      <c r="O388" s="417"/>
      <c r="P388" s="150"/>
      <c r="Q388" s="569"/>
    </row>
    <row r="389" spans="1:17" ht="15.75" hidden="1" customHeight="1" outlineLevel="2">
      <c r="A389" s="274"/>
      <c r="B389" s="159"/>
      <c r="C389" s="162" t="s">
        <v>364</v>
      </c>
      <c r="D389" s="160"/>
      <c r="E389" s="153"/>
      <c r="F389" s="153"/>
      <c r="G389" s="202"/>
      <c r="H389" s="200"/>
      <c r="I389" s="156"/>
      <c r="J389" s="184"/>
      <c r="K389" s="419"/>
      <c r="L389" s="184"/>
      <c r="M389" s="222"/>
      <c r="N389" s="183"/>
      <c r="O389" s="417"/>
      <c r="P389" s="150"/>
      <c r="Q389" s="568" t="s">
        <v>1239</v>
      </c>
    </row>
    <row r="390" spans="1:17" ht="15.75" hidden="1" customHeight="1" outlineLevel="2">
      <c r="A390" s="274"/>
      <c r="B390" s="159"/>
      <c r="C390" s="142" t="s">
        <v>382</v>
      </c>
      <c r="D390" s="160"/>
      <c r="E390" s="153"/>
      <c r="F390" s="153"/>
      <c r="G390" s="202"/>
      <c r="H390" s="200"/>
      <c r="I390" s="156"/>
      <c r="J390" s="184"/>
      <c r="K390" s="419"/>
      <c r="L390" s="184"/>
      <c r="M390" s="222"/>
      <c r="N390" s="183"/>
      <c r="O390" s="417"/>
      <c r="P390" s="150"/>
      <c r="Q390" s="568"/>
    </row>
    <row r="391" spans="1:17" ht="15.75" hidden="1" customHeight="1" outlineLevel="2">
      <c r="A391" s="274"/>
      <c r="B391" s="159"/>
      <c r="C391" s="162" t="s">
        <v>366</v>
      </c>
      <c r="D391" s="160"/>
      <c r="E391" s="153"/>
      <c r="F391" s="153"/>
      <c r="G391" s="202"/>
      <c r="H391" s="200"/>
      <c r="I391" s="156"/>
      <c r="J391" s="184"/>
      <c r="K391" s="419"/>
      <c r="L391" s="184"/>
      <c r="M391" s="222"/>
      <c r="N391" s="183"/>
      <c r="O391" s="417"/>
      <c r="P391" s="150"/>
      <c r="Q391" s="568"/>
    </row>
    <row r="392" spans="1:17" ht="15.75" hidden="1" customHeight="1" outlineLevel="2">
      <c r="A392" s="274"/>
      <c r="B392" s="159"/>
      <c r="C392" s="162" t="s">
        <v>358</v>
      </c>
      <c r="D392" s="160"/>
      <c r="E392" s="153"/>
      <c r="F392" s="153"/>
      <c r="G392" s="202"/>
      <c r="H392" s="200"/>
      <c r="I392" s="156"/>
      <c r="J392" s="184"/>
      <c r="K392" s="419"/>
      <c r="L392" s="184"/>
      <c r="M392" s="222"/>
      <c r="N392" s="183"/>
      <c r="O392" s="417"/>
      <c r="P392" s="150"/>
      <c r="Q392" s="568"/>
    </row>
    <row r="393" spans="1:17" ht="15.75" hidden="1" customHeight="1" outlineLevel="2">
      <c r="A393" s="274"/>
      <c r="B393" s="159"/>
      <c r="C393" s="162" t="s">
        <v>367</v>
      </c>
      <c r="D393" s="160"/>
      <c r="E393" s="153"/>
      <c r="F393" s="153"/>
      <c r="G393" s="202"/>
      <c r="H393" s="200"/>
      <c r="I393" s="156"/>
      <c r="J393" s="184"/>
      <c r="K393" s="419"/>
      <c r="L393" s="184"/>
      <c r="M393" s="222"/>
      <c r="N393" s="183"/>
      <c r="O393" s="417"/>
      <c r="P393" s="150"/>
      <c r="Q393" s="568"/>
    </row>
    <row r="394" spans="1:17" ht="15.75" hidden="1" customHeight="1" outlineLevel="2">
      <c r="A394" s="274"/>
      <c r="B394" s="159"/>
      <c r="C394" s="162" t="s">
        <v>368</v>
      </c>
      <c r="D394" s="160"/>
      <c r="E394" s="153"/>
      <c r="F394" s="153"/>
      <c r="G394" s="202"/>
      <c r="H394" s="200"/>
      <c r="I394" s="156"/>
      <c r="J394" s="184"/>
      <c r="K394" s="419"/>
      <c r="L394" s="184"/>
      <c r="M394" s="222"/>
      <c r="N394" s="183"/>
      <c r="O394" s="417"/>
      <c r="P394" s="150"/>
      <c r="Q394" s="568"/>
    </row>
    <row r="395" spans="1:17" ht="15.75" hidden="1" customHeight="1" outlineLevel="2">
      <c r="A395" s="274"/>
      <c r="B395" s="159"/>
      <c r="C395" s="142" t="s">
        <v>383</v>
      </c>
      <c r="D395" s="160"/>
      <c r="E395" s="153"/>
      <c r="F395" s="153"/>
      <c r="G395" s="202"/>
      <c r="H395" s="200"/>
      <c r="I395" s="156"/>
      <c r="J395" s="184"/>
      <c r="K395" s="419"/>
      <c r="L395" s="184"/>
      <c r="M395" s="222"/>
      <c r="N395" s="183"/>
      <c r="O395" s="417"/>
      <c r="P395" s="150"/>
      <c r="Q395" s="569"/>
    </row>
    <row r="396" spans="1:17" ht="15.75" hidden="1" customHeight="1" outlineLevel="2">
      <c r="A396" s="274"/>
      <c r="B396" s="159"/>
      <c r="C396" s="162" t="s">
        <v>370</v>
      </c>
      <c r="D396" s="160"/>
      <c r="E396" s="153"/>
      <c r="F396" s="153"/>
      <c r="G396" s="202"/>
      <c r="H396" s="200"/>
      <c r="I396" s="156"/>
      <c r="J396" s="183">
        <v>200000</v>
      </c>
      <c r="K396" s="222">
        <f>J396*1.23</f>
        <v>246000</v>
      </c>
      <c r="L396" s="184"/>
      <c r="M396" s="222"/>
      <c r="N396" s="183"/>
      <c r="O396" s="417"/>
      <c r="P396" s="150">
        <f t="shared" si="12"/>
        <v>246000</v>
      </c>
      <c r="Q396" s="568" t="s">
        <v>1250</v>
      </c>
    </row>
    <row r="397" spans="1:17" ht="15.75" hidden="1" customHeight="1" outlineLevel="2">
      <c r="A397" s="274"/>
      <c r="B397" s="159"/>
      <c r="C397" s="162" t="s">
        <v>371</v>
      </c>
      <c r="D397" s="160"/>
      <c r="E397" s="153"/>
      <c r="F397" s="153"/>
      <c r="G397" s="202"/>
      <c r="H397" s="200"/>
      <c r="I397" s="156"/>
      <c r="J397" s="183">
        <v>500000</v>
      </c>
      <c r="K397" s="222">
        <f>J397*1.23</f>
        <v>615000</v>
      </c>
      <c r="L397" s="184"/>
      <c r="M397" s="222"/>
      <c r="N397" s="183"/>
      <c r="O397" s="417"/>
      <c r="P397" s="150">
        <f t="shared" si="12"/>
        <v>615000</v>
      </c>
      <c r="Q397" s="568"/>
    </row>
    <row r="398" spans="1:17" ht="15.75" hidden="1" customHeight="1" outlineLevel="2">
      <c r="A398" s="274"/>
      <c r="B398" s="159"/>
      <c r="C398" s="162" t="s">
        <v>372</v>
      </c>
      <c r="D398" s="160"/>
      <c r="E398" s="153"/>
      <c r="F398" s="153"/>
      <c r="G398" s="202"/>
      <c r="H398" s="200"/>
      <c r="I398" s="156"/>
      <c r="J398" s="184"/>
      <c r="K398" s="419"/>
      <c r="L398" s="184"/>
      <c r="M398" s="222"/>
      <c r="N398" s="183"/>
      <c r="O398" s="417"/>
      <c r="P398" s="150"/>
      <c r="Q398" s="568" t="s">
        <v>1251</v>
      </c>
    </row>
    <row r="399" spans="1:17" ht="15.75" hidden="1" customHeight="1" outlineLevel="2">
      <c r="A399" s="274"/>
      <c r="B399" s="159"/>
      <c r="C399" s="162" t="s">
        <v>373</v>
      </c>
      <c r="D399" s="160"/>
      <c r="E399" s="153"/>
      <c r="F399" s="153"/>
      <c r="G399" s="202"/>
      <c r="H399" s="200"/>
      <c r="I399" s="156"/>
      <c r="J399" s="184"/>
      <c r="K399" s="419"/>
      <c r="L399" s="184"/>
      <c r="M399" s="222"/>
      <c r="N399" s="183"/>
      <c r="O399" s="417"/>
      <c r="P399" s="150"/>
      <c r="Q399" s="568"/>
    </row>
    <row r="400" spans="1:17" ht="15.75" hidden="1" customHeight="1" outlineLevel="2">
      <c r="A400" s="274"/>
      <c r="B400" s="159"/>
      <c r="C400" s="142" t="s">
        <v>384</v>
      </c>
      <c r="D400" s="160"/>
      <c r="E400" s="153"/>
      <c r="F400" s="153"/>
      <c r="G400" s="202"/>
      <c r="H400" s="200"/>
      <c r="I400" s="156"/>
      <c r="J400" s="184"/>
      <c r="K400" s="419"/>
      <c r="L400" s="184"/>
      <c r="M400" s="222"/>
      <c r="N400" s="183"/>
      <c r="O400" s="417"/>
      <c r="P400" s="150"/>
      <c r="Q400" s="568"/>
    </row>
    <row r="401" spans="1:17" ht="15.75" hidden="1" customHeight="1" outlineLevel="2">
      <c r="A401" s="274"/>
      <c r="B401" s="159"/>
      <c r="C401" s="162" t="s">
        <v>375</v>
      </c>
      <c r="D401" s="160"/>
      <c r="E401" s="153"/>
      <c r="F401" s="153"/>
      <c r="G401" s="202"/>
      <c r="H401" s="200"/>
      <c r="I401" s="156"/>
      <c r="J401" s="184"/>
      <c r="K401" s="419"/>
      <c r="L401" s="184"/>
      <c r="M401" s="222"/>
      <c r="N401" s="183"/>
      <c r="O401" s="417"/>
      <c r="P401" s="150"/>
      <c r="Q401" s="568" t="s">
        <v>1252</v>
      </c>
    </row>
    <row r="402" spans="1:17" ht="15.75" hidden="1" customHeight="1" outlineLevel="2">
      <c r="A402" s="274"/>
      <c r="B402" s="159"/>
      <c r="C402" s="162" t="s">
        <v>376</v>
      </c>
      <c r="D402" s="160"/>
      <c r="E402" s="153"/>
      <c r="F402" s="153"/>
      <c r="G402" s="202"/>
      <c r="H402" s="200"/>
      <c r="I402" s="156"/>
      <c r="J402" s="184"/>
      <c r="K402" s="419"/>
      <c r="L402" s="184"/>
      <c r="M402" s="222"/>
      <c r="N402" s="183"/>
      <c r="O402" s="417"/>
      <c r="P402" s="150"/>
      <c r="Q402" s="568"/>
    </row>
    <row r="403" spans="1:17" ht="15.75" hidden="1" customHeight="1" outlineLevel="2">
      <c r="A403" s="274"/>
      <c r="B403" s="159"/>
      <c r="C403" s="162" t="s">
        <v>377</v>
      </c>
      <c r="D403" s="160"/>
      <c r="E403" s="153"/>
      <c r="F403" s="153"/>
      <c r="G403" s="202"/>
      <c r="H403" s="200"/>
      <c r="I403" s="156"/>
      <c r="J403" s="184"/>
      <c r="K403" s="419"/>
      <c r="L403" s="184"/>
      <c r="M403" s="222"/>
      <c r="N403" s="183"/>
      <c r="O403" s="417"/>
      <c r="P403" s="150"/>
      <c r="Q403" s="568"/>
    </row>
    <row r="404" spans="1:17" ht="15.75" hidden="1" customHeight="1" outlineLevel="2">
      <c r="A404" s="274"/>
      <c r="B404" s="159"/>
      <c r="C404" s="162" t="s">
        <v>400</v>
      </c>
      <c r="D404" s="160"/>
      <c r="E404" s="153"/>
      <c r="F404" s="153"/>
      <c r="G404" s="202"/>
      <c r="H404" s="200"/>
      <c r="I404" s="156"/>
      <c r="J404" s="184"/>
      <c r="K404" s="419"/>
      <c r="L404" s="184"/>
      <c r="M404" s="222"/>
      <c r="N404" s="183"/>
      <c r="O404" s="417"/>
      <c r="P404" s="150"/>
      <c r="Q404" s="568" t="s">
        <v>1253</v>
      </c>
    </row>
    <row r="405" spans="1:17" ht="15.75" hidden="1" customHeight="1" outlineLevel="2">
      <c r="A405" s="274"/>
      <c r="B405" s="159"/>
      <c r="C405" s="162" t="s">
        <v>403</v>
      </c>
      <c r="D405" s="160"/>
      <c r="E405" s="153"/>
      <c r="F405" s="153"/>
      <c r="G405" s="202"/>
      <c r="H405" s="200"/>
      <c r="I405" s="156"/>
      <c r="J405" s="184"/>
      <c r="K405" s="222"/>
      <c r="L405" s="184">
        <v>15000000</v>
      </c>
      <c r="M405" s="222">
        <f t="shared" ref="M405:M406" si="14">L405*1.46</f>
        <v>21900000</v>
      </c>
      <c r="N405" s="183"/>
      <c r="O405" s="417"/>
      <c r="P405" s="150">
        <f t="shared" si="12"/>
        <v>21900000</v>
      </c>
      <c r="Q405" s="568"/>
    </row>
    <row r="406" spans="1:17" s="130" customFormat="1" ht="15.75" hidden="1" customHeight="1" outlineLevel="1" collapsed="1">
      <c r="A406" s="275"/>
      <c r="B406" s="142"/>
      <c r="C406" s="142" t="s">
        <v>414</v>
      </c>
      <c r="D406" s="220"/>
      <c r="E406" s="217"/>
      <c r="F406" s="217"/>
      <c r="G406" s="222"/>
      <c r="H406" s="223"/>
      <c r="I406" s="207"/>
      <c r="J406" s="184">
        <f>SUM(J390:J405)</f>
        <v>700000</v>
      </c>
      <c r="K406" s="222">
        <f>J406*1.23</f>
        <v>861000</v>
      </c>
      <c r="L406" s="184">
        <f>SUM(L379:L405)</f>
        <v>15825000</v>
      </c>
      <c r="M406" s="222">
        <f t="shared" si="14"/>
        <v>23104500</v>
      </c>
      <c r="N406" s="183"/>
      <c r="O406" s="417"/>
      <c r="P406" s="150">
        <f t="shared" si="12"/>
        <v>23965500</v>
      </c>
      <c r="Q406" s="576"/>
    </row>
    <row r="407" spans="1:17" ht="15.75" hidden="1" customHeight="1" outlineLevel="2">
      <c r="A407" s="274"/>
      <c r="B407" s="142" t="s">
        <v>415</v>
      </c>
      <c r="C407" s="159"/>
      <c r="D407" s="160"/>
      <c r="E407" s="153"/>
      <c r="F407" s="153"/>
      <c r="G407" s="202"/>
      <c r="H407" s="200"/>
      <c r="I407" s="156"/>
      <c r="J407" s="184"/>
      <c r="K407" s="222"/>
      <c r="L407" s="184"/>
      <c r="M407" s="222"/>
      <c r="N407" s="183"/>
      <c r="O407" s="417"/>
      <c r="P407" s="150"/>
      <c r="Q407" s="569"/>
    </row>
    <row r="408" spans="1:17" ht="15.75" hidden="1" customHeight="1" outlineLevel="2">
      <c r="A408" s="274"/>
      <c r="B408" s="159"/>
      <c r="C408" s="142" t="s">
        <v>380</v>
      </c>
      <c r="D408" s="160"/>
      <c r="E408" s="153"/>
      <c r="F408" s="153"/>
      <c r="G408" s="202"/>
      <c r="H408" s="200"/>
      <c r="I408" s="156"/>
      <c r="J408" s="184"/>
      <c r="K408" s="222"/>
      <c r="L408" s="184"/>
      <c r="M408" s="222"/>
      <c r="N408" s="183"/>
      <c r="O408" s="417"/>
      <c r="P408" s="150"/>
      <c r="Q408" s="569"/>
    </row>
    <row r="409" spans="1:17" ht="15.75" hidden="1" customHeight="1" outlineLevel="2">
      <c r="A409" s="274"/>
      <c r="B409" s="159"/>
      <c r="C409" s="162" t="s">
        <v>356</v>
      </c>
      <c r="D409" s="160"/>
      <c r="E409" s="153"/>
      <c r="F409" s="153"/>
      <c r="G409" s="202"/>
      <c r="H409" s="200"/>
      <c r="I409" s="156"/>
      <c r="J409" s="184">
        <v>200000</v>
      </c>
      <c r="K409" s="222">
        <f>J409*1.23</f>
        <v>246000</v>
      </c>
      <c r="L409" s="184"/>
      <c r="M409" s="222"/>
      <c r="N409" s="183"/>
      <c r="O409" s="417"/>
      <c r="P409" s="150">
        <f t="shared" ref="P409:P434" si="15">SUM(I409,K409,M409,O409)</f>
        <v>246000</v>
      </c>
      <c r="Q409" s="569"/>
    </row>
    <row r="410" spans="1:17" ht="15.75" hidden="1" customHeight="1" outlineLevel="2">
      <c r="A410" s="274"/>
      <c r="B410" s="159"/>
      <c r="C410" s="162" t="s">
        <v>357</v>
      </c>
      <c r="D410" s="160"/>
      <c r="E410" s="153"/>
      <c r="F410" s="153"/>
      <c r="G410" s="202"/>
      <c r="H410" s="200">
        <f>CIP!$AQ$145</f>
        <v>430321.12523437489</v>
      </c>
      <c r="I410" s="156">
        <f>SUM(D410:H410)</f>
        <v>430321.12523437489</v>
      </c>
      <c r="J410" s="184">
        <v>2200000</v>
      </c>
      <c r="K410" s="222">
        <f>J410*1.23</f>
        <v>2706000</v>
      </c>
      <c r="L410" s="184"/>
      <c r="M410" s="222"/>
      <c r="N410" s="183" t="s">
        <v>390</v>
      </c>
      <c r="O410" s="417"/>
      <c r="P410" s="150">
        <f t="shared" si="15"/>
        <v>3136321.1252343748</v>
      </c>
      <c r="Q410" s="569"/>
    </row>
    <row r="411" spans="1:17" ht="15.75" hidden="1" customHeight="1" outlineLevel="2">
      <c r="A411" s="274"/>
      <c r="B411" s="159"/>
      <c r="C411" s="162" t="s">
        <v>358</v>
      </c>
      <c r="D411" s="160"/>
      <c r="E411" s="153"/>
      <c r="F411" s="153"/>
      <c r="G411" s="202"/>
      <c r="H411" s="200"/>
      <c r="I411" s="156"/>
      <c r="J411" s="184">
        <v>1500000</v>
      </c>
      <c r="K411" s="222">
        <f>J411*1.23</f>
        <v>1845000</v>
      </c>
      <c r="L411" s="184"/>
      <c r="M411" s="222"/>
      <c r="N411" s="183" t="s">
        <v>390</v>
      </c>
      <c r="O411" s="417"/>
      <c r="P411" s="150">
        <f t="shared" si="15"/>
        <v>1845000</v>
      </c>
      <c r="Q411" s="569" t="s">
        <v>1254</v>
      </c>
    </row>
    <row r="412" spans="1:17" ht="15.75" hidden="1" customHeight="1" outlineLevel="2">
      <c r="A412" s="274"/>
      <c r="B412" s="159"/>
      <c r="C412" s="162" t="s">
        <v>359</v>
      </c>
      <c r="D412" s="160"/>
      <c r="E412" s="153"/>
      <c r="F412" s="153"/>
      <c r="G412" s="202"/>
      <c r="H412" s="200"/>
      <c r="I412" s="156"/>
      <c r="J412" s="184">
        <v>300000</v>
      </c>
      <c r="K412" s="222">
        <f>J412*1.23</f>
        <v>369000</v>
      </c>
      <c r="L412" s="184"/>
      <c r="M412" s="222"/>
      <c r="N412" s="183">
        <v>150000</v>
      </c>
      <c r="O412" s="417">
        <f>N412*1.73</f>
        <v>259500</v>
      </c>
      <c r="P412" s="150">
        <f t="shared" si="15"/>
        <v>628500</v>
      </c>
      <c r="Q412" s="569" t="s">
        <v>390</v>
      </c>
    </row>
    <row r="413" spans="1:17" ht="15.75" hidden="1" customHeight="1" outlineLevel="2">
      <c r="A413" s="274"/>
      <c r="B413" s="159"/>
      <c r="C413" s="162" t="s">
        <v>360</v>
      </c>
      <c r="D413" s="160"/>
      <c r="E413" s="153"/>
      <c r="F413" s="153"/>
      <c r="G413" s="202"/>
      <c r="H413" s="200"/>
      <c r="I413" s="156"/>
      <c r="J413" s="184"/>
      <c r="K413" s="222"/>
      <c r="L413" s="184"/>
      <c r="M413" s="222"/>
      <c r="N413" s="183"/>
      <c r="O413" s="417"/>
      <c r="P413" s="150"/>
      <c r="Q413" s="569" t="s">
        <v>1255</v>
      </c>
    </row>
    <row r="414" spans="1:17" ht="15.75" hidden="1" customHeight="1" outlineLevel="2">
      <c r="A414" s="274"/>
      <c r="B414" s="159"/>
      <c r="C414" s="142" t="s">
        <v>381</v>
      </c>
      <c r="D414" s="160"/>
      <c r="E414" s="153"/>
      <c r="F414" s="153"/>
      <c r="G414" s="202"/>
      <c r="H414" s="200"/>
      <c r="I414" s="156"/>
      <c r="J414" s="184"/>
      <c r="K414" s="222"/>
      <c r="L414" s="184"/>
      <c r="M414" s="222"/>
      <c r="N414" s="183"/>
      <c r="O414" s="417"/>
      <c r="P414" s="150"/>
      <c r="Q414" s="569"/>
    </row>
    <row r="415" spans="1:17" ht="15.75" hidden="1" customHeight="1" outlineLevel="2">
      <c r="A415" s="274"/>
      <c r="B415" s="159"/>
      <c r="C415" s="162" t="s">
        <v>362</v>
      </c>
      <c r="D415" s="160"/>
      <c r="E415" s="153"/>
      <c r="F415" s="153"/>
      <c r="G415" s="202"/>
      <c r="H415" s="200"/>
      <c r="I415" s="156"/>
      <c r="J415" s="184"/>
      <c r="K415" s="222"/>
      <c r="L415" s="184"/>
      <c r="M415" s="222"/>
      <c r="N415" s="183">
        <v>500000</v>
      </c>
      <c r="O415" s="417">
        <f>N415*1.73</f>
        <v>865000</v>
      </c>
      <c r="P415" s="150">
        <f t="shared" si="15"/>
        <v>865000</v>
      </c>
      <c r="Q415" s="569"/>
    </row>
    <row r="416" spans="1:17" ht="15.75" hidden="1" customHeight="1" outlineLevel="2">
      <c r="A416" s="274"/>
      <c r="B416" s="159"/>
      <c r="C416" s="162" t="s">
        <v>363</v>
      </c>
      <c r="D416" s="160"/>
      <c r="E416" s="153"/>
      <c r="F416" s="153"/>
      <c r="G416" s="202"/>
      <c r="H416" s="200"/>
      <c r="I416" s="156"/>
      <c r="J416" s="184"/>
      <c r="K416" s="222"/>
      <c r="L416" s="184"/>
      <c r="M416" s="222"/>
      <c r="N416" s="183"/>
      <c r="O416" s="417"/>
      <c r="P416" s="150"/>
      <c r="Q416" s="569"/>
    </row>
    <row r="417" spans="1:17" ht="15.75" hidden="1" customHeight="1" outlineLevel="2">
      <c r="A417" s="274"/>
      <c r="B417" s="159"/>
      <c r="C417" s="162" t="s">
        <v>358</v>
      </c>
      <c r="D417" s="160"/>
      <c r="E417" s="153"/>
      <c r="F417" s="153"/>
      <c r="G417" s="202"/>
      <c r="H417" s="200"/>
      <c r="I417" s="156"/>
      <c r="J417" s="184"/>
      <c r="K417" s="222"/>
      <c r="L417" s="184"/>
      <c r="M417" s="222"/>
      <c r="N417" s="183"/>
      <c r="O417" s="417"/>
      <c r="P417" s="150"/>
      <c r="Q417" s="569"/>
    </row>
    <row r="418" spans="1:17" ht="15.75" hidden="1" customHeight="1" outlineLevel="2">
      <c r="A418" s="274"/>
      <c r="B418" s="159"/>
      <c r="C418" s="162" t="s">
        <v>364</v>
      </c>
      <c r="D418" s="160"/>
      <c r="E418" s="153"/>
      <c r="F418" s="153"/>
      <c r="G418" s="202"/>
      <c r="H418" s="200"/>
      <c r="I418" s="156"/>
      <c r="J418" s="187">
        <v>150000</v>
      </c>
      <c r="K418" s="222">
        <f>J418*1.23</f>
        <v>184500</v>
      </c>
      <c r="L418" s="184"/>
      <c r="M418" s="222"/>
      <c r="N418" s="183"/>
      <c r="O418" s="417"/>
      <c r="P418" s="150">
        <f t="shared" si="15"/>
        <v>184500</v>
      </c>
      <c r="Q418" s="569"/>
    </row>
    <row r="419" spans="1:17" ht="15.75" hidden="1" customHeight="1" outlineLevel="2">
      <c r="A419" s="274"/>
      <c r="B419" s="159"/>
      <c r="C419" s="142" t="s">
        <v>382</v>
      </c>
      <c r="D419" s="160"/>
      <c r="E419" s="153"/>
      <c r="F419" s="153"/>
      <c r="G419" s="202"/>
      <c r="H419" s="200"/>
      <c r="I419" s="156"/>
      <c r="J419" s="184"/>
      <c r="K419" s="222"/>
      <c r="L419" s="184"/>
      <c r="M419" s="222"/>
      <c r="N419" s="183"/>
      <c r="O419" s="417"/>
      <c r="P419" s="150"/>
      <c r="Q419" s="569"/>
    </row>
    <row r="420" spans="1:17" ht="15.75" hidden="1" customHeight="1" outlineLevel="2">
      <c r="A420" s="274"/>
      <c r="B420" s="159"/>
      <c r="C420" s="162" t="s">
        <v>366</v>
      </c>
      <c r="D420" s="160"/>
      <c r="E420" s="153"/>
      <c r="F420" s="153"/>
      <c r="G420" s="202"/>
      <c r="H420" s="200"/>
      <c r="I420" s="156"/>
      <c r="J420" s="184"/>
      <c r="K420" s="222"/>
      <c r="L420" s="184"/>
      <c r="M420" s="222"/>
      <c r="N420" s="183"/>
      <c r="O420" s="417"/>
      <c r="P420" s="150"/>
      <c r="Q420" s="569"/>
    </row>
    <row r="421" spans="1:17" ht="15.75" hidden="1" customHeight="1" outlineLevel="2">
      <c r="A421" s="274"/>
      <c r="B421" s="159"/>
      <c r="C421" s="162" t="s">
        <v>358</v>
      </c>
      <c r="D421" s="160"/>
      <c r="E421" s="153"/>
      <c r="F421" s="153"/>
      <c r="G421" s="202"/>
      <c r="H421" s="200"/>
      <c r="I421" s="156"/>
      <c r="J421" s="184"/>
      <c r="K421" s="222"/>
      <c r="L421" s="184"/>
      <c r="M421" s="222"/>
      <c r="N421" s="183"/>
      <c r="O421" s="417"/>
      <c r="P421" s="150"/>
      <c r="Q421" s="569"/>
    </row>
    <row r="422" spans="1:17" ht="15.75" hidden="1" customHeight="1" outlineLevel="2">
      <c r="A422" s="274"/>
      <c r="B422" s="159"/>
      <c r="C422" s="162" t="s">
        <v>367</v>
      </c>
      <c r="D422" s="160"/>
      <c r="E422" s="153"/>
      <c r="F422" s="153"/>
      <c r="G422" s="202"/>
      <c r="H422" s="200"/>
      <c r="I422" s="156"/>
      <c r="J422" s="184"/>
      <c r="K422" s="222"/>
      <c r="L422" s="184"/>
      <c r="M422" s="222"/>
      <c r="N422" s="183"/>
      <c r="O422" s="417"/>
      <c r="P422" s="150"/>
      <c r="Q422" s="569"/>
    </row>
    <row r="423" spans="1:17" ht="15.75" hidden="1" customHeight="1" outlineLevel="2">
      <c r="A423" s="274"/>
      <c r="B423" s="159"/>
      <c r="C423" s="162" t="s">
        <v>368</v>
      </c>
      <c r="D423" s="160"/>
      <c r="E423" s="153"/>
      <c r="F423" s="153"/>
      <c r="G423" s="200"/>
      <c r="H423" s="342">
        <f>CIP!$AQ$136</f>
        <v>172128.45009374994</v>
      </c>
      <c r="I423" s="156">
        <f>SUM(D423:H423)</f>
        <v>172128.45009374994</v>
      </c>
      <c r="J423" s="187"/>
      <c r="K423" s="222"/>
      <c r="L423" s="184"/>
      <c r="M423" s="222"/>
      <c r="N423" s="183"/>
      <c r="O423" s="417"/>
      <c r="P423" s="150">
        <f t="shared" si="15"/>
        <v>172128.45009374994</v>
      </c>
      <c r="Q423" s="569" t="s">
        <v>1256</v>
      </c>
    </row>
    <row r="424" spans="1:17" ht="15.75" hidden="1" customHeight="1" outlineLevel="2">
      <c r="A424" s="274"/>
      <c r="B424" s="159"/>
      <c r="C424" s="142" t="s">
        <v>383</v>
      </c>
      <c r="D424" s="160"/>
      <c r="E424" s="153"/>
      <c r="F424" s="153"/>
      <c r="G424" s="202"/>
      <c r="H424" s="200"/>
      <c r="I424" s="156"/>
      <c r="J424" s="184"/>
      <c r="K424" s="222"/>
      <c r="L424" s="184"/>
      <c r="M424" s="222"/>
      <c r="N424" s="183"/>
      <c r="O424" s="417"/>
      <c r="P424" s="150"/>
      <c r="Q424" s="569"/>
    </row>
    <row r="425" spans="1:17" ht="15.75" hidden="1" customHeight="1" outlineLevel="2">
      <c r="A425" s="274"/>
      <c r="B425" s="159"/>
      <c r="C425" s="162" t="s">
        <v>370</v>
      </c>
      <c r="D425" s="160"/>
      <c r="E425" s="153"/>
      <c r="F425" s="153"/>
      <c r="G425" s="202"/>
      <c r="H425" s="200"/>
      <c r="I425" s="156"/>
      <c r="J425" s="184"/>
      <c r="K425" s="222"/>
      <c r="L425" s="184">
        <v>1500000</v>
      </c>
      <c r="M425" s="222">
        <f>L425*1.46</f>
        <v>2190000</v>
      </c>
      <c r="N425" s="183"/>
      <c r="O425" s="417"/>
      <c r="P425" s="150">
        <f t="shared" si="15"/>
        <v>2190000</v>
      </c>
      <c r="Q425" s="569"/>
    </row>
    <row r="426" spans="1:17" ht="15.75" hidden="1" customHeight="1" outlineLevel="2">
      <c r="A426" s="274"/>
      <c r="B426" s="159"/>
      <c r="C426" s="162" t="s">
        <v>371</v>
      </c>
      <c r="D426" s="160"/>
      <c r="E426" s="153"/>
      <c r="F426" s="153"/>
      <c r="G426" s="202"/>
      <c r="H426" s="200"/>
      <c r="I426" s="156"/>
      <c r="J426" s="184"/>
      <c r="K426" s="222"/>
      <c r="L426" s="184">
        <v>3000000</v>
      </c>
      <c r="M426" s="222">
        <f t="shared" ref="M426:M434" si="16">L426*1.46</f>
        <v>4380000</v>
      </c>
      <c r="N426" s="183"/>
      <c r="O426" s="417"/>
      <c r="P426" s="150">
        <f t="shared" si="15"/>
        <v>4380000</v>
      </c>
      <c r="Q426" s="569"/>
    </row>
    <row r="427" spans="1:17" ht="15.75" hidden="1" customHeight="1" outlineLevel="2">
      <c r="A427" s="274"/>
      <c r="B427" s="159"/>
      <c r="C427" s="162" t="s">
        <v>372</v>
      </c>
      <c r="D427" s="160"/>
      <c r="E427" s="153"/>
      <c r="F427" s="153"/>
      <c r="G427" s="202"/>
      <c r="H427" s="200"/>
      <c r="I427" s="156"/>
      <c r="J427" s="184"/>
      <c r="K427" s="222"/>
      <c r="L427" s="184"/>
      <c r="M427" s="222"/>
      <c r="N427" s="183" t="s">
        <v>390</v>
      </c>
      <c r="O427" s="417"/>
      <c r="P427" s="150"/>
      <c r="Q427" s="569"/>
    </row>
    <row r="428" spans="1:17" ht="15.75" hidden="1" customHeight="1" outlineLevel="2">
      <c r="A428" s="274"/>
      <c r="B428" s="159"/>
      <c r="C428" s="162" t="s">
        <v>373</v>
      </c>
      <c r="D428" s="160"/>
      <c r="E428" s="153"/>
      <c r="F428" s="153"/>
      <c r="G428" s="202"/>
      <c r="H428" s="200"/>
      <c r="I428" s="156"/>
      <c r="J428" s="184"/>
      <c r="K428" s="222"/>
      <c r="L428" s="184"/>
      <c r="M428" s="222"/>
      <c r="N428" s="183"/>
      <c r="O428" s="417"/>
      <c r="P428" s="150"/>
      <c r="Q428" s="569"/>
    </row>
    <row r="429" spans="1:17" ht="15.75" hidden="1" customHeight="1" outlineLevel="2">
      <c r="A429" s="274"/>
      <c r="B429" s="159"/>
      <c r="C429" s="142" t="s">
        <v>384</v>
      </c>
      <c r="D429" s="160"/>
      <c r="E429" s="153"/>
      <c r="F429" s="153"/>
      <c r="G429" s="202"/>
      <c r="H429" s="200"/>
      <c r="I429" s="156"/>
      <c r="J429" s="184"/>
      <c r="K429" s="222"/>
      <c r="L429" s="184"/>
      <c r="M429" s="222"/>
      <c r="N429" s="183"/>
      <c r="O429" s="417"/>
      <c r="P429" s="150"/>
      <c r="Q429" s="569"/>
    </row>
    <row r="430" spans="1:17" ht="15.75" hidden="1" customHeight="1" outlineLevel="2">
      <c r="A430" s="274"/>
      <c r="B430" s="159"/>
      <c r="C430" s="162" t="s">
        <v>375</v>
      </c>
      <c r="D430" s="160"/>
      <c r="E430" s="153"/>
      <c r="F430" s="153"/>
      <c r="G430" s="202"/>
      <c r="H430" s="200"/>
      <c r="I430" s="156"/>
      <c r="J430" s="184"/>
      <c r="K430" s="222"/>
      <c r="L430" s="184">
        <v>300000</v>
      </c>
      <c r="M430" s="222">
        <f t="shared" si="16"/>
        <v>438000</v>
      </c>
      <c r="N430" s="183"/>
      <c r="O430" s="417"/>
      <c r="P430" s="150">
        <f t="shared" si="15"/>
        <v>438000</v>
      </c>
      <c r="Q430" s="569"/>
    </row>
    <row r="431" spans="1:17" ht="15.75" hidden="1" customHeight="1" outlineLevel="2">
      <c r="A431" s="274"/>
      <c r="B431" s="159"/>
      <c r="C431" s="162" t="s">
        <v>376</v>
      </c>
      <c r="D431" s="160"/>
      <c r="E431" s="153"/>
      <c r="F431" s="153"/>
      <c r="G431" s="202"/>
      <c r="H431" s="200"/>
      <c r="I431" s="156"/>
      <c r="J431" s="184">
        <v>250000</v>
      </c>
      <c r="K431" s="222">
        <f>J431*1.23</f>
        <v>307500</v>
      </c>
      <c r="L431" s="184"/>
      <c r="M431" s="222"/>
      <c r="N431" s="183">
        <v>150000</v>
      </c>
      <c r="O431" s="417">
        <f>N431*1.73</f>
        <v>259500</v>
      </c>
      <c r="P431" s="150">
        <f t="shared" si="15"/>
        <v>567000</v>
      </c>
      <c r="Q431" s="569" t="s">
        <v>1257</v>
      </c>
    </row>
    <row r="432" spans="1:17" ht="15.75" hidden="1" customHeight="1" outlineLevel="2">
      <c r="A432" s="274"/>
      <c r="B432" s="159"/>
      <c r="C432" s="162" t="s">
        <v>377</v>
      </c>
      <c r="D432" s="160"/>
      <c r="E432" s="153"/>
      <c r="F432" s="153"/>
      <c r="G432" s="202"/>
      <c r="H432" s="200"/>
      <c r="I432" s="156"/>
      <c r="J432" s="184"/>
      <c r="K432" s="222"/>
      <c r="L432" s="184"/>
      <c r="M432" s="222"/>
      <c r="N432" s="183"/>
      <c r="O432" s="417"/>
      <c r="P432" s="150"/>
      <c r="Q432" s="569"/>
    </row>
    <row r="433" spans="1:17" ht="15.75" hidden="1" customHeight="1" outlineLevel="2">
      <c r="A433" s="274"/>
      <c r="B433" s="159"/>
      <c r="C433" s="162" t="s">
        <v>416</v>
      </c>
      <c r="D433" s="160"/>
      <c r="E433" s="153"/>
      <c r="F433" s="153"/>
      <c r="G433" s="202"/>
      <c r="H433" s="200"/>
      <c r="I433" s="156"/>
      <c r="J433" s="184"/>
      <c r="K433" s="222"/>
      <c r="L433" s="184">
        <v>15000000</v>
      </c>
      <c r="M433" s="222">
        <f t="shared" si="16"/>
        <v>21900000</v>
      </c>
      <c r="N433" s="183"/>
      <c r="O433" s="417"/>
      <c r="P433" s="150">
        <f t="shared" si="15"/>
        <v>21900000</v>
      </c>
      <c r="Q433" s="569"/>
    </row>
    <row r="434" spans="1:17" ht="15.75" hidden="1" customHeight="1" outlineLevel="1" collapsed="1">
      <c r="A434" s="274"/>
      <c r="B434" s="159"/>
      <c r="C434" s="142" t="s">
        <v>415</v>
      </c>
      <c r="D434" s="220"/>
      <c r="E434" s="217"/>
      <c r="F434" s="217"/>
      <c r="G434" s="222"/>
      <c r="H434" s="223">
        <f>SUM(H408:H433)</f>
        <v>602449.5753281248</v>
      </c>
      <c r="I434" s="207">
        <f>SUM(I409:I433)</f>
        <v>602449.5753281248</v>
      </c>
      <c r="J434" s="184">
        <f>SUM(J409:J433)</f>
        <v>4600000</v>
      </c>
      <c r="K434" s="222">
        <f>J434*1.23</f>
        <v>5658000</v>
      </c>
      <c r="L434" s="184">
        <f>SUM(L409:L433)</f>
        <v>19800000</v>
      </c>
      <c r="M434" s="222">
        <f t="shared" si="16"/>
        <v>28908000</v>
      </c>
      <c r="N434" s="183">
        <f>SUM(N409:N433)</f>
        <v>800000</v>
      </c>
      <c r="O434" s="417">
        <f>N434*1.73</f>
        <v>1384000</v>
      </c>
      <c r="P434" s="150">
        <f t="shared" si="15"/>
        <v>36552449.575328127</v>
      </c>
      <c r="Q434" s="569"/>
    </row>
    <row r="435" spans="1:17" ht="15.75" hidden="1" customHeight="1" outlineLevel="2">
      <c r="A435" s="274"/>
      <c r="B435" s="142" t="s">
        <v>417</v>
      </c>
      <c r="C435" s="159"/>
      <c r="D435" s="160"/>
      <c r="E435" s="153"/>
      <c r="F435" s="153"/>
      <c r="G435" s="202"/>
      <c r="H435" s="200"/>
      <c r="I435" s="156"/>
      <c r="J435" s="184"/>
      <c r="K435" s="419"/>
      <c r="L435" s="184"/>
      <c r="M435" s="222"/>
      <c r="N435" s="183"/>
      <c r="O435" s="417"/>
      <c r="P435" s="150"/>
      <c r="Q435" s="569"/>
    </row>
    <row r="436" spans="1:17" ht="15.75" hidden="1" customHeight="1" outlineLevel="2">
      <c r="A436" s="274"/>
      <c r="B436" s="159"/>
      <c r="C436" s="142" t="s">
        <v>380</v>
      </c>
      <c r="D436" s="160"/>
      <c r="E436" s="153"/>
      <c r="F436" s="153"/>
      <c r="G436" s="202"/>
      <c r="H436" s="200"/>
      <c r="I436" s="156"/>
      <c r="J436" s="184"/>
      <c r="K436" s="419"/>
      <c r="L436" s="184"/>
      <c r="M436" s="222"/>
      <c r="N436" s="183"/>
      <c r="O436" s="417"/>
      <c r="P436" s="150"/>
      <c r="Q436" s="569"/>
    </row>
    <row r="437" spans="1:17" ht="15.75" hidden="1" customHeight="1" outlineLevel="2">
      <c r="A437" s="274"/>
      <c r="B437" s="159"/>
      <c r="C437" s="162" t="s">
        <v>396</v>
      </c>
      <c r="D437" s="160"/>
      <c r="E437" s="153"/>
      <c r="F437" s="153"/>
      <c r="G437" s="202"/>
      <c r="H437" s="200"/>
      <c r="I437" s="156"/>
      <c r="J437" s="184"/>
      <c r="K437" s="419"/>
      <c r="L437" s="184"/>
      <c r="M437" s="222"/>
      <c r="N437" s="183"/>
      <c r="O437" s="417"/>
      <c r="P437" s="150"/>
      <c r="Q437" s="569"/>
    </row>
    <row r="438" spans="1:17" ht="15.75" hidden="1" customHeight="1" outlineLevel="2">
      <c r="A438" s="274"/>
      <c r="B438" s="159"/>
      <c r="C438" s="162" t="s">
        <v>357</v>
      </c>
      <c r="D438" s="160"/>
      <c r="E438" s="153"/>
      <c r="F438" s="153"/>
      <c r="G438" s="202"/>
      <c r="H438" s="200"/>
      <c r="I438" s="156"/>
      <c r="J438" s="184"/>
      <c r="K438" s="419"/>
      <c r="L438" s="184"/>
      <c r="M438" s="222"/>
      <c r="N438" s="183"/>
      <c r="O438" s="417"/>
      <c r="P438" s="150"/>
      <c r="Q438" s="569"/>
    </row>
    <row r="439" spans="1:17" ht="15.75" hidden="1" customHeight="1" outlineLevel="2">
      <c r="A439" s="274"/>
      <c r="B439" s="159"/>
      <c r="C439" s="162" t="s">
        <v>358</v>
      </c>
      <c r="D439" s="160"/>
      <c r="E439" s="153"/>
      <c r="F439" s="153"/>
      <c r="G439" s="202"/>
      <c r="H439" s="200"/>
      <c r="I439" s="203"/>
      <c r="J439" s="186">
        <v>250000</v>
      </c>
      <c r="K439" s="222">
        <f>J439*1.23</f>
        <v>307500</v>
      </c>
      <c r="L439" s="184"/>
      <c r="M439" s="222"/>
      <c r="N439" s="183"/>
      <c r="O439" s="417"/>
      <c r="P439" s="150">
        <f t="shared" ref="P439:P463" si="17">SUM(I439,K439,M439,O439)</f>
        <v>307500</v>
      </c>
      <c r="Q439" s="569"/>
    </row>
    <row r="440" spans="1:17" ht="15.75" hidden="1" customHeight="1" outlineLevel="2">
      <c r="A440" s="274"/>
      <c r="B440" s="159"/>
      <c r="C440" s="162" t="s">
        <v>359</v>
      </c>
      <c r="D440" s="160"/>
      <c r="E440" s="153"/>
      <c r="F440" s="153"/>
      <c r="G440" s="202"/>
      <c r="H440" s="200"/>
      <c r="I440" s="156"/>
      <c r="J440" s="184">
        <v>200000</v>
      </c>
      <c r="K440" s="222">
        <f>J440*1.23</f>
        <v>246000</v>
      </c>
      <c r="L440" s="184"/>
      <c r="M440" s="222"/>
      <c r="N440" s="183"/>
      <c r="O440" s="417"/>
      <c r="P440" s="150">
        <f t="shared" si="17"/>
        <v>246000</v>
      </c>
      <c r="Q440" s="569" t="s">
        <v>1258</v>
      </c>
    </row>
    <row r="441" spans="1:17" ht="15.75" hidden="1" customHeight="1" outlineLevel="2">
      <c r="A441" s="274"/>
      <c r="B441" s="159"/>
      <c r="C441" s="162" t="s">
        <v>388</v>
      </c>
      <c r="D441" s="160"/>
      <c r="E441" s="153"/>
      <c r="F441" s="153"/>
      <c r="G441" s="202"/>
      <c r="H441" s="200"/>
      <c r="I441" s="156"/>
      <c r="J441" s="184"/>
      <c r="K441" s="419"/>
      <c r="L441" s="184"/>
      <c r="M441" s="222"/>
      <c r="N441" s="183"/>
      <c r="O441" s="417"/>
      <c r="P441" s="150"/>
      <c r="Q441" s="568" t="s">
        <v>1243</v>
      </c>
    </row>
    <row r="442" spans="1:17" ht="15.75" hidden="1" customHeight="1" outlineLevel="2">
      <c r="A442" s="274"/>
      <c r="B442" s="159"/>
      <c r="C442" s="142" t="s">
        <v>381</v>
      </c>
      <c r="D442" s="160"/>
      <c r="E442" s="153"/>
      <c r="F442" s="153"/>
      <c r="G442" s="202"/>
      <c r="H442" s="200"/>
      <c r="I442" s="156"/>
      <c r="J442" s="184"/>
      <c r="K442" s="419"/>
      <c r="L442" s="184"/>
      <c r="M442" s="222"/>
      <c r="N442" s="183"/>
      <c r="O442" s="417"/>
      <c r="P442" s="150"/>
      <c r="Q442" s="568"/>
    </row>
    <row r="443" spans="1:17" ht="15.75" hidden="1" customHeight="1" outlineLevel="2">
      <c r="A443" s="274"/>
      <c r="B443" s="159"/>
      <c r="C443" s="162" t="s">
        <v>362</v>
      </c>
      <c r="D443" s="160"/>
      <c r="E443" s="153"/>
      <c r="F443" s="153"/>
      <c r="G443" s="202"/>
      <c r="H443" s="200"/>
      <c r="I443" s="156"/>
      <c r="J443" s="183">
        <v>125000</v>
      </c>
      <c r="K443" s="222">
        <f>J443*1.23</f>
        <v>153750</v>
      </c>
      <c r="L443" s="184"/>
      <c r="M443" s="222"/>
      <c r="N443" s="183"/>
      <c r="O443" s="417"/>
      <c r="P443" s="150">
        <f t="shared" si="17"/>
        <v>153750</v>
      </c>
      <c r="Q443" s="568"/>
    </row>
    <row r="444" spans="1:17" ht="15.75" hidden="1" customHeight="1" outlineLevel="2">
      <c r="A444" s="274"/>
      <c r="B444" s="159"/>
      <c r="C444" s="162" t="s">
        <v>363</v>
      </c>
      <c r="D444" s="160"/>
      <c r="E444" s="153"/>
      <c r="F444" s="153"/>
      <c r="G444" s="202"/>
      <c r="H444" s="200"/>
      <c r="I444" s="156"/>
      <c r="J444" s="184">
        <v>200000</v>
      </c>
      <c r="K444" s="222">
        <f>J444*1.23</f>
        <v>246000</v>
      </c>
      <c r="L444" s="184"/>
      <c r="M444" s="222"/>
      <c r="N444" s="183"/>
      <c r="O444" s="417"/>
      <c r="P444" s="150">
        <f t="shared" si="17"/>
        <v>246000</v>
      </c>
      <c r="Q444" s="568"/>
    </row>
    <row r="445" spans="1:17" ht="15.75" hidden="1" customHeight="1" outlineLevel="2">
      <c r="A445" s="274"/>
      <c r="B445" s="159"/>
      <c r="C445" s="162" t="s">
        <v>358</v>
      </c>
      <c r="D445" s="160"/>
      <c r="E445" s="153"/>
      <c r="F445" s="153"/>
      <c r="G445" s="202"/>
      <c r="H445" s="200"/>
      <c r="I445" s="156"/>
      <c r="J445" s="184"/>
      <c r="K445" s="419"/>
      <c r="L445" s="184"/>
      <c r="M445" s="222"/>
      <c r="N445" s="183"/>
      <c r="O445" s="417"/>
      <c r="P445" s="150"/>
      <c r="Q445" s="568"/>
    </row>
    <row r="446" spans="1:17" ht="15.75" hidden="1" customHeight="1" outlineLevel="2">
      <c r="A446" s="274"/>
      <c r="B446" s="159"/>
      <c r="C446" s="162" t="s">
        <v>364</v>
      </c>
      <c r="D446" s="160"/>
      <c r="E446" s="153"/>
      <c r="F446" s="153"/>
      <c r="G446" s="202"/>
      <c r="H446" s="200"/>
      <c r="I446" s="156"/>
      <c r="J446" s="184"/>
      <c r="K446" s="419"/>
      <c r="L446" s="184"/>
      <c r="M446" s="222"/>
      <c r="N446" s="183"/>
      <c r="O446" s="417"/>
      <c r="P446" s="150"/>
      <c r="Q446" s="568" t="s">
        <v>1239</v>
      </c>
    </row>
    <row r="447" spans="1:17" ht="15.75" hidden="1" customHeight="1" outlineLevel="2">
      <c r="A447" s="274"/>
      <c r="B447" s="159"/>
      <c r="C447" s="142" t="s">
        <v>382</v>
      </c>
      <c r="D447" s="160"/>
      <c r="E447" s="153"/>
      <c r="F447" s="153"/>
      <c r="G447" s="202"/>
      <c r="H447" s="200"/>
      <c r="I447" s="156"/>
      <c r="J447" s="184"/>
      <c r="K447" s="419"/>
      <c r="L447" s="184"/>
      <c r="M447" s="222"/>
      <c r="N447" s="183"/>
      <c r="O447" s="417"/>
      <c r="P447" s="150"/>
      <c r="Q447" s="568"/>
    </row>
    <row r="448" spans="1:17" ht="15.75" hidden="1" customHeight="1" outlineLevel="2">
      <c r="A448" s="274"/>
      <c r="B448" s="159"/>
      <c r="C448" s="162" t="s">
        <v>366</v>
      </c>
      <c r="D448" s="160"/>
      <c r="E448" s="153"/>
      <c r="F448" s="153"/>
      <c r="G448" s="202"/>
      <c r="H448" s="200"/>
      <c r="I448" s="156"/>
      <c r="J448" s="184"/>
      <c r="K448" s="419"/>
      <c r="L448" s="184"/>
      <c r="M448" s="222"/>
      <c r="N448" s="183"/>
      <c r="O448" s="417"/>
      <c r="P448" s="150"/>
      <c r="Q448" s="568"/>
    </row>
    <row r="449" spans="1:17" ht="15.75" hidden="1" customHeight="1" outlineLevel="2">
      <c r="A449" s="274"/>
      <c r="B449" s="159"/>
      <c r="C449" s="162" t="s">
        <v>358</v>
      </c>
      <c r="D449" s="160"/>
      <c r="E449" s="153"/>
      <c r="F449" s="153"/>
      <c r="G449" s="202"/>
      <c r="H449" s="200"/>
      <c r="I449" s="156"/>
      <c r="J449" s="184"/>
      <c r="K449" s="419"/>
      <c r="L449" s="184"/>
      <c r="M449" s="222"/>
      <c r="N449" s="183"/>
      <c r="O449" s="417"/>
      <c r="P449" s="150"/>
      <c r="Q449" s="568"/>
    </row>
    <row r="450" spans="1:17" ht="15.75" hidden="1" customHeight="1" outlineLevel="2">
      <c r="A450" s="274"/>
      <c r="B450" s="159"/>
      <c r="C450" s="162" t="s">
        <v>367</v>
      </c>
      <c r="D450" s="160"/>
      <c r="E450" s="153"/>
      <c r="F450" s="153"/>
      <c r="G450" s="202"/>
      <c r="H450" s="200"/>
      <c r="I450" s="156"/>
      <c r="J450" s="184">
        <v>185000</v>
      </c>
      <c r="K450" s="222">
        <f>J450*1.23</f>
        <v>227550</v>
      </c>
      <c r="L450" s="184"/>
      <c r="M450" s="222"/>
      <c r="N450" s="183"/>
      <c r="O450" s="417"/>
      <c r="P450" s="150">
        <f t="shared" si="17"/>
        <v>227550</v>
      </c>
      <c r="Q450" s="568" t="s">
        <v>1374</v>
      </c>
    </row>
    <row r="451" spans="1:17" ht="15.75" hidden="1" customHeight="1" outlineLevel="2">
      <c r="A451" s="274"/>
      <c r="B451" s="159"/>
      <c r="C451" s="162" t="s">
        <v>368</v>
      </c>
      <c r="D451" s="160"/>
      <c r="E451" s="153"/>
      <c r="F451" s="153"/>
      <c r="G451" s="202"/>
      <c r="H451" s="200"/>
      <c r="I451" s="156"/>
      <c r="J451" s="184"/>
      <c r="K451" s="419"/>
      <c r="L451" s="184"/>
      <c r="M451" s="222"/>
      <c r="N451" s="183"/>
      <c r="O451" s="417"/>
      <c r="P451" s="150"/>
      <c r="Q451" s="568" t="s">
        <v>1252</v>
      </c>
    </row>
    <row r="452" spans="1:17" ht="15.75" hidden="1" customHeight="1" outlineLevel="2">
      <c r="A452" s="274"/>
      <c r="B452" s="159"/>
      <c r="C452" s="142" t="s">
        <v>383</v>
      </c>
      <c r="D452" s="160"/>
      <c r="E452" s="153"/>
      <c r="F452" s="153"/>
      <c r="G452" s="202"/>
      <c r="H452" s="200"/>
      <c r="I452" s="156"/>
      <c r="J452" s="184"/>
      <c r="K452" s="419"/>
      <c r="L452" s="184"/>
      <c r="M452" s="222"/>
      <c r="N452" s="183"/>
      <c r="O452" s="417"/>
      <c r="P452" s="150"/>
      <c r="Q452" s="569"/>
    </row>
    <row r="453" spans="1:17" ht="15.75" hidden="1" customHeight="1" outlineLevel="2">
      <c r="A453" s="274"/>
      <c r="B453" s="159"/>
      <c r="C453" s="162" t="s">
        <v>370</v>
      </c>
      <c r="D453" s="160"/>
      <c r="E453" s="153"/>
      <c r="F453" s="153"/>
      <c r="G453" s="202"/>
      <c r="H453" s="200"/>
      <c r="I453" s="156"/>
      <c r="J453" s="184"/>
      <c r="K453" s="419"/>
      <c r="L453" s="184"/>
      <c r="M453" s="222"/>
      <c r="N453" s="183"/>
      <c r="O453" s="417"/>
      <c r="P453" s="150"/>
      <c r="Q453" s="569"/>
    </row>
    <row r="454" spans="1:17" ht="15.75" hidden="1" customHeight="1" outlineLevel="2">
      <c r="A454" s="274"/>
      <c r="B454" s="159"/>
      <c r="C454" s="162" t="s">
        <v>371</v>
      </c>
      <c r="D454" s="160"/>
      <c r="E454" s="153"/>
      <c r="F454" s="153"/>
      <c r="G454" s="202"/>
      <c r="H454" s="200"/>
      <c r="I454" s="156"/>
      <c r="J454" s="184"/>
      <c r="K454" s="419"/>
      <c r="L454" s="184"/>
      <c r="M454" s="222"/>
      <c r="N454" s="183"/>
      <c r="O454" s="417"/>
      <c r="P454" s="150"/>
      <c r="Q454" s="569"/>
    </row>
    <row r="455" spans="1:17" ht="15.75" hidden="1" customHeight="1" outlineLevel="2">
      <c r="A455" s="274"/>
      <c r="B455" s="159"/>
      <c r="C455" s="162" t="s">
        <v>372</v>
      </c>
      <c r="D455" s="160"/>
      <c r="E455" s="153"/>
      <c r="F455" s="153"/>
      <c r="G455" s="202"/>
      <c r="H455" s="200"/>
      <c r="I455" s="156"/>
      <c r="J455" s="184">
        <v>360000</v>
      </c>
      <c r="K455" s="222">
        <f>J455*1.23</f>
        <v>442800</v>
      </c>
      <c r="L455" s="184"/>
      <c r="M455" s="222"/>
      <c r="N455" s="183"/>
      <c r="O455" s="417"/>
      <c r="P455" s="150">
        <f t="shared" si="17"/>
        <v>442800</v>
      </c>
      <c r="Q455" s="569"/>
    </row>
    <row r="456" spans="1:17" ht="15.75" hidden="1" customHeight="1" outlineLevel="2">
      <c r="A456" s="274"/>
      <c r="B456" s="159"/>
      <c r="C456" s="162" t="s">
        <v>373</v>
      </c>
      <c r="D456" s="160"/>
      <c r="E456" s="153"/>
      <c r="F456" s="153"/>
      <c r="G456" s="202"/>
      <c r="H456" s="200"/>
      <c r="I456" s="156"/>
      <c r="J456" s="184"/>
      <c r="K456" s="419"/>
      <c r="L456" s="184"/>
      <c r="M456" s="222"/>
      <c r="N456" s="183"/>
      <c r="O456" s="417"/>
      <c r="P456" s="150"/>
      <c r="Q456" s="569"/>
    </row>
    <row r="457" spans="1:17" ht="15.75" hidden="1" customHeight="1" outlineLevel="2">
      <c r="A457" s="274"/>
      <c r="B457" s="159"/>
      <c r="C457" s="142" t="s">
        <v>384</v>
      </c>
      <c r="D457" s="160"/>
      <c r="E457" s="153"/>
      <c r="F457" s="153"/>
      <c r="G457" s="202"/>
      <c r="H457" s="200"/>
      <c r="I457" s="156"/>
      <c r="J457" s="184"/>
      <c r="K457" s="419"/>
      <c r="L457" s="184"/>
      <c r="M457" s="222"/>
      <c r="N457" s="183"/>
      <c r="O457" s="417"/>
      <c r="P457" s="150"/>
      <c r="Q457" s="568"/>
    </row>
    <row r="458" spans="1:17" ht="15.75" hidden="1" customHeight="1" outlineLevel="2">
      <c r="A458" s="274"/>
      <c r="B458" s="159"/>
      <c r="C458" s="162" t="s">
        <v>375</v>
      </c>
      <c r="D458" s="160"/>
      <c r="E458" s="153"/>
      <c r="F458" s="153"/>
      <c r="G458" s="202"/>
      <c r="H458" s="200"/>
      <c r="I458" s="156"/>
      <c r="J458" s="184"/>
      <c r="K458" s="419"/>
      <c r="L458" s="184"/>
      <c r="M458" s="222"/>
      <c r="N458" s="183"/>
      <c r="O458" s="417"/>
      <c r="P458" s="150"/>
      <c r="Q458" s="568" t="s">
        <v>1252</v>
      </c>
    </row>
    <row r="459" spans="1:17" ht="15.75" hidden="1" customHeight="1" outlineLevel="2">
      <c r="A459" s="274"/>
      <c r="B459" s="159"/>
      <c r="C459" s="162" t="s">
        <v>376</v>
      </c>
      <c r="D459" s="160"/>
      <c r="E459" s="153"/>
      <c r="F459" s="153"/>
      <c r="G459" s="202"/>
      <c r="H459" s="200"/>
      <c r="I459" s="156"/>
      <c r="J459" s="184"/>
      <c r="K459" s="419"/>
      <c r="L459" s="184"/>
      <c r="M459" s="222"/>
      <c r="N459" s="183"/>
      <c r="O459" s="417"/>
      <c r="P459" s="150"/>
      <c r="Q459" s="568"/>
    </row>
    <row r="460" spans="1:17" ht="15.75" hidden="1" customHeight="1" outlineLevel="2">
      <c r="A460" s="274"/>
      <c r="B460" s="159"/>
      <c r="C460" s="162" t="s">
        <v>377</v>
      </c>
      <c r="D460" s="160"/>
      <c r="E460" s="153"/>
      <c r="F460" s="153"/>
      <c r="G460" s="202"/>
      <c r="H460" s="200"/>
      <c r="I460" s="156"/>
      <c r="J460" s="184"/>
      <c r="K460" s="419"/>
      <c r="L460" s="184"/>
      <c r="M460" s="222"/>
      <c r="N460" s="183"/>
      <c r="O460" s="417"/>
      <c r="P460" s="150"/>
      <c r="Q460" s="568"/>
    </row>
    <row r="461" spans="1:17" ht="15.75" hidden="1" customHeight="1" outlineLevel="2">
      <c r="A461" s="274"/>
      <c r="B461" s="159"/>
      <c r="C461" s="162" t="s">
        <v>400</v>
      </c>
      <c r="D461" s="160"/>
      <c r="E461" s="153"/>
      <c r="F461" s="153"/>
      <c r="G461" s="202"/>
      <c r="H461" s="200"/>
      <c r="I461" s="156"/>
      <c r="J461" s="184"/>
      <c r="K461" s="419"/>
      <c r="L461" s="184"/>
      <c r="M461" s="222"/>
      <c r="N461" s="183"/>
      <c r="O461" s="417"/>
      <c r="P461" s="150"/>
      <c r="Q461" s="568" t="s">
        <v>1252</v>
      </c>
    </row>
    <row r="462" spans="1:17" ht="15.75" hidden="1" customHeight="1" outlineLevel="2">
      <c r="A462" s="274"/>
      <c r="B462" s="159"/>
      <c r="C462" s="162" t="s">
        <v>403</v>
      </c>
      <c r="D462" s="160"/>
      <c r="E462" s="153"/>
      <c r="F462" s="153"/>
      <c r="G462" s="202"/>
      <c r="H462" s="200"/>
      <c r="I462" s="156"/>
      <c r="J462" s="184"/>
      <c r="K462" s="419"/>
      <c r="L462" s="184"/>
      <c r="M462" s="222"/>
      <c r="N462" s="183">
        <v>15000000</v>
      </c>
      <c r="O462" s="417">
        <f>N462*1.73</f>
        <v>25950000</v>
      </c>
      <c r="P462" s="150">
        <f t="shared" si="17"/>
        <v>25950000</v>
      </c>
      <c r="Q462" s="568"/>
    </row>
    <row r="463" spans="1:17" s="130" customFormat="1" ht="15.75" hidden="1" customHeight="1" outlineLevel="1" collapsed="1">
      <c r="A463" s="275"/>
      <c r="B463" s="142"/>
      <c r="C463" s="142" t="s">
        <v>417</v>
      </c>
      <c r="D463" s="220"/>
      <c r="E463" s="217"/>
      <c r="F463" s="217"/>
      <c r="G463" s="222"/>
      <c r="H463" s="223"/>
      <c r="I463" s="207"/>
      <c r="J463" s="184">
        <f>SUM(J437:J461)</f>
        <v>1320000</v>
      </c>
      <c r="K463" s="222">
        <f>J463*1.23</f>
        <v>1623600</v>
      </c>
      <c r="L463" s="184"/>
      <c r="M463" s="222"/>
      <c r="N463" s="183">
        <f>SUM(N461:N462)</f>
        <v>15000000</v>
      </c>
      <c r="O463" s="431">
        <f>N463*1.73</f>
        <v>25950000</v>
      </c>
      <c r="P463" s="150">
        <f t="shared" si="17"/>
        <v>27573600</v>
      </c>
      <c r="Q463" s="576"/>
    </row>
    <row r="464" spans="1:17" ht="15.75" hidden="1" customHeight="1" outlineLevel="2">
      <c r="A464" s="274"/>
      <c r="B464" s="142" t="s">
        <v>418</v>
      </c>
      <c r="C464" s="159"/>
      <c r="D464" s="160"/>
      <c r="E464" s="153"/>
      <c r="F464" s="153"/>
      <c r="G464" s="202"/>
      <c r="H464" s="200"/>
      <c r="I464" s="156"/>
      <c r="J464" s="184"/>
      <c r="K464" s="222"/>
      <c r="L464" s="184"/>
      <c r="M464" s="222"/>
      <c r="N464" s="183"/>
      <c r="O464" s="417"/>
      <c r="P464" s="150"/>
      <c r="Q464" s="569"/>
    </row>
    <row r="465" spans="1:17" ht="15.75" hidden="1" customHeight="1" outlineLevel="2">
      <c r="A465" s="274"/>
      <c r="B465" s="159"/>
      <c r="C465" s="142" t="s">
        <v>380</v>
      </c>
      <c r="D465" s="160"/>
      <c r="E465" s="153"/>
      <c r="F465" s="153"/>
      <c r="G465" s="202"/>
      <c r="H465" s="200"/>
      <c r="I465" s="156"/>
      <c r="J465" s="184"/>
      <c r="K465" s="222"/>
      <c r="L465" s="184"/>
      <c r="M465" s="222"/>
      <c r="N465" s="183"/>
      <c r="O465" s="417"/>
      <c r="P465" s="150"/>
      <c r="Q465" s="569"/>
    </row>
    <row r="466" spans="1:17" ht="15.75" hidden="1" customHeight="1" outlineLevel="2">
      <c r="A466" s="274"/>
      <c r="B466" s="159"/>
      <c r="C466" s="162" t="s">
        <v>356</v>
      </c>
      <c r="D466" s="160"/>
      <c r="E466" s="153"/>
      <c r="F466" s="153"/>
      <c r="G466" s="202"/>
      <c r="H466" s="200">
        <f>CIP!$AQ$127</f>
        <v>286880.75015624991</v>
      </c>
      <c r="I466" s="156">
        <f>SUM(D466:H466)</f>
        <v>286880.75015624991</v>
      </c>
      <c r="J466" s="184">
        <v>1000000</v>
      </c>
      <c r="K466" s="222">
        <f>J466*1.23</f>
        <v>1230000</v>
      </c>
      <c r="L466" s="184"/>
      <c r="M466" s="222"/>
      <c r="N466" s="183"/>
      <c r="O466" s="417"/>
      <c r="P466" s="150">
        <f t="shared" ref="P466:P494" si="18">SUM(I466,K466,M466,O466)</f>
        <v>1516880.7501562499</v>
      </c>
      <c r="Q466" s="569"/>
    </row>
    <row r="467" spans="1:17" ht="15.75" hidden="1" customHeight="1" outlineLevel="2">
      <c r="A467" s="274"/>
      <c r="B467" s="159"/>
      <c r="C467" s="162" t="s">
        <v>357</v>
      </c>
      <c r="D467" s="160"/>
      <c r="E467" s="153"/>
      <c r="F467" s="153"/>
      <c r="G467" s="202"/>
      <c r="H467" s="200"/>
      <c r="I467" s="156"/>
      <c r="J467" s="184"/>
      <c r="K467" s="222"/>
      <c r="L467" s="184"/>
      <c r="M467" s="222"/>
      <c r="N467" s="183" t="s">
        <v>390</v>
      </c>
      <c r="O467" s="417"/>
      <c r="P467" s="150"/>
      <c r="Q467" s="569"/>
    </row>
    <row r="468" spans="1:17" ht="15.75" hidden="1" customHeight="1" outlineLevel="2">
      <c r="A468" s="274"/>
      <c r="B468" s="159"/>
      <c r="C468" s="162" t="s">
        <v>358</v>
      </c>
      <c r="D468" s="160"/>
      <c r="E468" s="153"/>
      <c r="F468" s="153"/>
      <c r="G468" s="202"/>
      <c r="H468" s="200"/>
      <c r="I468" s="156"/>
      <c r="J468" s="184">
        <v>1000000</v>
      </c>
      <c r="K468" s="222">
        <f>J468*1.23</f>
        <v>1230000</v>
      </c>
      <c r="L468" s="184"/>
      <c r="M468" s="222"/>
      <c r="N468" s="183" t="s">
        <v>390</v>
      </c>
      <c r="O468" s="417"/>
      <c r="P468" s="150">
        <f t="shared" si="18"/>
        <v>1230000</v>
      </c>
      <c r="Q468" s="569"/>
    </row>
    <row r="469" spans="1:17" ht="15.75" hidden="1" customHeight="1" outlineLevel="2">
      <c r="A469" s="274"/>
      <c r="B469" s="159"/>
      <c r="C469" s="162" t="s">
        <v>359</v>
      </c>
      <c r="D469" s="160"/>
      <c r="E469" s="153"/>
      <c r="F469" s="153"/>
      <c r="G469" s="202"/>
      <c r="H469" s="200"/>
      <c r="I469" s="156"/>
      <c r="J469" s="184">
        <v>200000</v>
      </c>
      <c r="K469" s="222">
        <f>J469*1.23</f>
        <v>246000</v>
      </c>
      <c r="L469" s="184"/>
      <c r="M469" s="222"/>
      <c r="N469" s="183"/>
      <c r="O469" s="417"/>
      <c r="P469" s="150">
        <f t="shared" si="18"/>
        <v>246000</v>
      </c>
      <c r="Q469" s="569"/>
    </row>
    <row r="470" spans="1:17" ht="15.75" hidden="1" customHeight="1" outlineLevel="2">
      <c r="A470" s="274"/>
      <c r="B470" s="159"/>
      <c r="C470" s="162" t="s">
        <v>360</v>
      </c>
      <c r="D470" s="160"/>
      <c r="E470" s="153"/>
      <c r="F470" s="153"/>
      <c r="G470" s="202"/>
      <c r="H470" s="200"/>
      <c r="I470" s="156"/>
      <c r="J470" s="184"/>
      <c r="K470" s="222"/>
      <c r="L470" s="184"/>
      <c r="M470" s="222"/>
      <c r="N470" s="183"/>
      <c r="O470" s="417"/>
      <c r="P470" s="150"/>
      <c r="Q470" s="569" t="s">
        <v>1243</v>
      </c>
    </row>
    <row r="471" spans="1:17" ht="15.75" hidden="1" customHeight="1" outlineLevel="2">
      <c r="A471" s="274"/>
      <c r="B471" s="159"/>
      <c r="C471" s="142" t="s">
        <v>381</v>
      </c>
      <c r="D471" s="160"/>
      <c r="E471" s="153"/>
      <c r="F471" s="153"/>
      <c r="G471" s="202"/>
      <c r="H471" s="200"/>
      <c r="I471" s="156" t="s">
        <v>390</v>
      </c>
      <c r="J471" s="184"/>
      <c r="K471" s="222"/>
      <c r="L471" s="184"/>
      <c r="M471" s="222"/>
      <c r="N471" s="183"/>
      <c r="O471" s="417"/>
      <c r="P471" s="150"/>
      <c r="Q471" s="569"/>
    </row>
    <row r="472" spans="1:17" ht="15.75" hidden="1" customHeight="1" outlineLevel="2">
      <c r="A472" s="274"/>
      <c r="B472" s="159"/>
      <c r="C472" s="162" t="s">
        <v>362</v>
      </c>
      <c r="D472" s="160"/>
      <c r="E472" s="153"/>
      <c r="F472" s="153"/>
      <c r="G472" s="202"/>
      <c r="H472" s="200"/>
      <c r="I472" s="156"/>
      <c r="J472" s="184"/>
      <c r="K472" s="222"/>
      <c r="L472" s="184"/>
      <c r="M472" s="222"/>
      <c r="N472" s="183"/>
      <c r="O472" s="417"/>
      <c r="P472" s="150"/>
      <c r="Q472" s="569"/>
    </row>
    <row r="473" spans="1:17" ht="15.75" hidden="1" customHeight="1" outlineLevel="2">
      <c r="A473" s="274"/>
      <c r="B473" s="159"/>
      <c r="C473" s="162" t="s">
        <v>363</v>
      </c>
      <c r="D473" s="160"/>
      <c r="E473" s="153"/>
      <c r="F473" s="153">
        <f>CIP!$AO$73</f>
        <v>241025.62499999997</v>
      </c>
      <c r="G473" s="202"/>
      <c r="H473" s="200"/>
      <c r="I473" s="156">
        <f>SUM(D473:H473)</f>
        <v>241025.62499999997</v>
      </c>
      <c r="J473" s="184">
        <v>75000</v>
      </c>
      <c r="K473" s="222">
        <f>J473*1.23</f>
        <v>92250</v>
      </c>
      <c r="L473" s="184"/>
      <c r="M473" s="222"/>
      <c r="N473" s="183"/>
      <c r="O473" s="417"/>
      <c r="P473" s="150">
        <f t="shared" si="18"/>
        <v>333275.625</v>
      </c>
      <c r="Q473" s="569"/>
    </row>
    <row r="474" spans="1:17" ht="15.75" hidden="1" customHeight="1" outlineLevel="2">
      <c r="A474" s="274"/>
      <c r="B474" s="159"/>
      <c r="C474" s="162" t="s">
        <v>358</v>
      </c>
      <c r="D474" s="160"/>
      <c r="E474" s="153"/>
      <c r="F474" s="153"/>
      <c r="G474" s="202"/>
      <c r="H474" s="200"/>
      <c r="I474" s="156"/>
      <c r="J474" s="184"/>
      <c r="K474" s="222"/>
      <c r="L474" s="184"/>
      <c r="M474" s="222"/>
      <c r="N474" s="183"/>
      <c r="O474" s="417"/>
      <c r="P474" s="150"/>
      <c r="Q474" s="569"/>
    </row>
    <row r="475" spans="1:17" ht="15.75" hidden="1" customHeight="1" outlineLevel="2">
      <c r="A475" s="274"/>
      <c r="B475" s="159"/>
      <c r="C475" s="162" t="s">
        <v>364</v>
      </c>
      <c r="D475" s="160"/>
      <c r="E475" s="153"/>
      <c r="F475" s="153"/>
      <c r="G475" s="202"/>
      <c r="H475" s="200"/>
      <c r="I475" s="156"/>
      <c r="J475" s="184"/>
      <c r="K475" s="222"/>
      <c r="L475" s="184"/>
      <c r="M475" s="222"/>
      <c r="N475" s="183" t="s">
        <v>390</v>
      </c>
      <c r="O475" s="417"/>
      <c r="P475" s="150"/>
      <c r="Q475" s="569"/>
    </row>
    <row r="476" spans="1:17" ht="15.75" hidden="1" customHeight="1" outlineLevel="2">
      <c r="A476" s="274"/>
      <c r="B476" s="159"/>
      <c r="C476" s="142" t="s">
        <v>382</v>
      </c>
      <c r="D476" s="160"/>
      <c r="E476" s="153"/>
      <c r="F476" s="153"/>
      <c r="G476" s="202"/>
      <c r="H476" s="200"/>
      <c r="I476" s="156"/>
      <c r="J476" s="184"/>
      <c r="K476" s="222"/>
      <c r="L476" s="184"/>
      <c r="M476" s="222"/>
      <c r="N476" s="183"/>
      <c r="O476" s="417"/>
      <c r="P476" s="150"/>
      <c r="Q476" s="569"/>
    </row>
    <row r="477" spans="1:17" ht="15.75" hidden="1" customHeight="1" outlineLevel="2">
      <c r="A477" s="274"/>
      <c r="B477" s="159"/>
      <c r="C477" s="162" t="s">
        <v>366</v>
      </c>
      <c r="D477" s="160"/>
      <c r="E477" s="153"/>
      <c r="F477" s="153"/>
      <c r="G477" s="202"/>
      <c r="H477" s="200"/>
      <c r="I477" s="156"/>
      <c r="J477" s="184"/>
      <c r="K477" s="222"/>
      <c r="L477" s="184"/>
      <c r="M477" s="222"/>
      <c r="N477" s="183"/>
      <c r="O477" s="417"/>
      <c r="P477" s="150"/>
      <c r="Q477" s="569"/>
    </row>
    <row r="478" spans="1:17" ht="15.75" hidden="1" customHeight="1" outlineLevel="2">
      <c r="A478" s="274"/>
      <c r="B478" s="159"/>
      <c r="C478" s="162" t="s">
        <v>358</v>
      </c>
      <c r="D478" s="160"/>
      <c r="E478" s="153"/>
      <c r="F478" s="153"/>
      <c r="G478" s="202"/>
      <c r="H478" s="200"/>
      <c r="I478" s="156"/>
      <c r="J478" s="184"/>
      <c r="K478" s="222"/>
      <c r="L478" s="184"/>
      <c r="M478" s="222"/>
      <c r="N478" s="183"/>
      <c r="O478" s="417"/>
      <c r="P478" s="150"/>
      <c r="Q478" s="569"/>
    </row>
    <row r="479" spans="1:17" ht="15.75" hidden="1" customHeight="1" outlineLevel="2">
      <c r="A479" s="274"/>
      <c r="B479" s="159"/>
      <c r="C479" s="162" t="s">
        <v>367</v>
      </c>
      <c r="D479" s="160"/>
      <c r="E479" s="153"/>
      <c r="F479" s="153"/>
      <c r="G479" s="202"/>
      <c r="H479" s="200"/>
      <c r="I479" s="156"/>
      <c r="J479" s="184">
        <v>100000</v>
      </c>
      <c r="K479" s="222">
        <f>J479*1.23</f>
        <v>123000</v>
      </c>
      <c r="L479" s="184"/>
      <c r="M479" s="222"/>
      <c r="N479" s="183"/>
      <c r="O479" s="417"/>
      <c r="P479" s="150">
        <f t="shared" si="18"/>
        <v>123000</v>
      </c>
      <c r="Q479" s="569"/>
    </row>
    <row r="480" spans="1:17" ht="15.75" hidden="1" customHeight="1" outlineLevel="2">
      <c r="A480" s="274"/>
      <c r="B480" s="159"/>
      <c r="C480" s="162" t="s">
        <v>368</v>
      </c>
      <c r="D480" s="160"/>
      <c r="E480" s="153"/>
      <c r="F480" s="153"/>
      <c r="G480" s="202"/>
      <c r="H480" s="200"/>
      <c r="I480" s="156" t="s">
        <v>390</v>
      </c>
      <c r="J480" s="184"/>
      <c r="K480" s="222"/>
      <c r="L480" s="184"/>
      <c r="M480" s="222"/>
      <c r="N480" s="183">
        <v>800000</v>
      </c>
      <c r="O480" s="417">
        <f>N480*1.73</f>
        <v>1384000</v>
      </c>
      <c r="P480" s="150">
        <f t="shared" si="18"/>
        <v>1384000</v>
      </c>
      <c r="Q480" s="569" t="s">
        <v>390</v>
      </c>
    </row>
    <row r="481" spans="1:17" ht="15.75" hidden="1" customHeight="1" outlineLevel="2">
      <c r="A481" s="274"/>
      <c r="B481" s="159"/>
      <c r="C481" s="142" t="s">
        <v>383</v>
      </c>
      <c r="D481" s="160"/>
      <c r="E481" s="153"/>
      <c r="F481" s="153"/>
      <c r="G481" s="202"/>
      <c r="H481" s="200"/>
      <c r="I481" s="156"/>
      <c r="J481" s="184"/>
      <c r="K481" s="222"/>
      <c r="L481" s="184"/>
      <c r="M481" s="222"/>
      <c r="N481" s="183"/>
      <c r="O481" s="417"/>
      <c r="P481" s="150"/>
      <c r="Q481" s="569"/>
    </row>
    <row r="482" spans="1:17" ht="15.75" hidden="1" customHeight="1" outlineLevel="2">
      <c r="A482" s="274"/>
      <c r="B482" s="159"/>
      <c r="C482" s="162" t="s">
        <v>370</v>
      </c>
      <c r="D482" s="160"/>
      <c r="E482" s="153"/>
      <c r="F482" s="153">
        <f>CIP!$AO$76</f>
        <v>107122.49999999999</v>
      </c>
      <c r="G482" s="202"/>
      <c r="H482" s="200"/>
      <c r="I482" s="156">
        <f>SUM(D482:H482)</f>
        <v>107122.49999999999</v>
      </c>
      <c r="J482" s="184"/>
      <c r="K482" s="222"/>
      <c r="L482" s="184"/>
      <c r="M482" s="222"/>
      <c r="N482" s="183"/>
      <c r="O482" s="417"/>
      <c r="P482" s="150">
        <f t="shared" si="18"/>
        <v>107122.49999999999</v>
      </c>
      <c r="Q482" s="569"/>
    </row>
    <row r="483" spans="1:17" ht="15.75" hidden="1" customHeight="1" outlineLevel="2">
      <c r="A483" s="274"/>
      <c r="B483" s="159"/>
      <c r="C483" s="162" t="s">
        <v>371</v>
      </c>
      <c r="D483" s="160"/>
      <c r="E483" s="153"/>
      <c r="F483" s="153"/>
      <c r="G483" s="202"/>
      <c r="H483" s="200"/>
      <c r="I483" s="156"/>
      <c r="J483" s="184"/>
      <c r="K483" s="222"/>
      <c r="L483" s="184"/>
      <c r="M483" s="222"/>
      <c r="N483" s="183">
        <v>900000</v>
      </c>
      <c r="O483" s="417">
        <f t="shared" ref="O483:O494" si="19">N483*1.73</f>
        <v>1557000</v>
      </c>
      <c r="P483" s="150">
        <f t="shared" si="18"/>
        <v>1557000</v>
      </c>
      <c r="Q483" s="569"/>
    </row>
    <row r="484" spans="1:17" ht="15.75" hidden="1" customHeight="1" outlineLevel="2">
      <c r="A484" s="274"/>
      <c r="B484" s="159"/>
      <c r="C484" s="162" t="s">
        <v>372</v>
      </c>
      <c r="D484" s="160"/>
      <c r="E484" s="153"/>
      <c r="F484" s="153"/>
      <c r="G484" s="202"/>
      <c r="H484" s="200"/>
      <c r="I484" s="156"/>
      <c r="J484" s="184"/>
      <c r="K484" s="222"/>
      <c r="L484" s="184"/>
      <c r="M484" s="222"/>
      <c r="N484" s="183">
        <v>400000</v>
      </c>
      <c r="O484" s="417">
        <f t="shared" si="19"/>
        <v>692000</v>
      </c>
      <c r="P484" s="150">
        <f t="shared" si="18"/>
        <v>692000</v>
      </c>
      <c r="Q484" s="569"/>
    </row>
    <row r="485" spans="1:17" ht="15.75" hidden="1" customHeight="1" outlineLevel="2">
      <c r="A485" s="274"/>
      <c r="B485" s="159"/>
      <c r="C485" s="162" t="s">
        <v>373</v>
      </c>
      <c r="D485" s="160"/>
      <c r="E485" s="153"/>
      <c r="F485" s="153"/>
      <c r="G485" s="202"/>
      <c r="H485" s="200"/>
      <c r="I485" s="156"/>
      <c r="J485" s="184"/>
      <c r="K485" s="222"/>
      <c r="L485" s="184"/>
      <c r="M485" s="222"/>
      <c r="N485" s="183"/>
      <c r="O485" s="417"/>
      <c r="P485" s="150"/>
      <c r="Q485" s="569"/>
    </row>
    <row r="486" spans="1:17" ht="15.75" hidden="1" customHeight="1" outlineLevel="2">
      <c r="A486" s="274"/>
      <c r="B486" s="159"/>
      <c r="C486" s="142" t="s">
        <v>419</v>
      </c>
      <c r="D486" s="160"/>
      <c r="E486" s="153"/>
      <c r="F486" s="153"/>
      <c r="G486" s="202"/>
      <c r="H486" s="200"/>
      <c r="I486" s="156"/>
      <c r="J486" s="184"/>
      <c r="K486" s="222"/>
      <c r="L486" s="184"/>
      <c r="M486" s="222"/>
      <c r="N486" s="183"/>
      <c r="O486" s="417"/>
      <c r="P486" s="150"/>
      <c r="Q486" s="569"/>
    </row>
    <row r="487" spans="1:17" ht="15.75" hidden="1" customHeight="1" outlineLevel="2">
      <c r="A487" s="274"/>
      <c r="B487" s="159"/>
      <c r="C487" s="162" t="s">
        <v>375</v>
      </c>
      <c r="D487" s="160"/>
      <c r="E487" s="153"/>
      <c r="F487" s="153"/>
      <c r="G487" s="202"/>
      <c r="H487" s="200"/>
      <c r="I487" s="156"/>
      <c r="J487" s="184">
        <v>400000</v>
      </c>
      <c r="K487" s="222">
        <f>J487*1.23</f>
        <v>492000</v>
      </c>
      <c r="L487" s="184"/>
      <c r="M487" s="222"/>
      <c r="N487" s="183"/>
      <c r="O487" s="417"/>
      <c r="P487" s="150">
        <f t="shared" si="18"/>
        <v>492000</v>
      </c>
      <c r="Q487" s="569"/>
    </row>
    <row r="488" spans="1:17" ht="15.75" hidden="1" customHeight="1" outlineLevel="2">
      <c r="A488" s="274"/>
      <c r="B488" s="159"/>
      <c r="C488" s="162" t="s">
        <v>376</v>
      </c>
      <c r="D488" s="160"/>
      <c r="E488" s="153"/>
      <c r="F488" s="153"/>
      <c r="G488" s="202"/>
      <c r="H488" s="200"/>
      <c r="I488" s="156"/>
      <c r="J488" s="184" t="s">
        <v>390</v>
      </c>
      <c r="K488" s="222"/>
      <c r="L488" s="184"/>
      <c r="M488" s="222"/>
      <c r="N488" s="183"/>
      <c r="O488" s="417"/>
      <c r="P488" s="150"/>
      <c r="Q488" s="569"/>
    </row>
    <row r="489" spans="1:17" ht="15.75" hidden="1" customHeight="1" outlineLevel="2">
      <c r="A489" s="274"/>
      <c r="B489" s="159"/>
      <c r="C489" s="162" t="s">
        <v>377</v>
      </c>
      <c r="D489" s="160"/>
      <c r="E489" s="153"/>
      <c r="F489" s="153"/>
      <c r="G489" s="202"/>
      <c r="H489" s="200"/>
      <c r="I489" s="156"/>
      <c r="J489" s="184"/>
      <c r="K489" s="222"/>
      <c r="L489" s="184"/>
      <c r="M489" s="222"/>
      <c r="N489" s="183"/>
      <c r="O489" s="417"/>
      <c r="P489" s="150"/>
      <c r="Q489" s="569"/>
    </row>
    <row r="490" spans="1:17" ht="15.75" hidden="1" customHeight="1" outlineLevel="2">
      <c r="A490" s="274"/>
      <c r="B490" s="159"/>
      <c r="C490" s="162" t="s">
        <v>400</v>
      </c>
      <c r="D490" s="160"/>
      <c r="E490" s="153"/>
      <c r="F490" s="153"/>
      <c r="G490" s="200"/>
      <c r="H490" s="200">
        <f>CIP!$AQ$143</f>
        <v>114752.30006249997</v>
      </c>
      <c r="I490" s="156">
        <f>SUM(D490:H490)</f>
        <v>114752.30006249997</v>
      </c>
      <c r="J490" s="184">
        <v>500000</v>
      </c>
      <c r="K490" s="222">
        <f>J490*1.23</f>
        <v>615000</v>
      </c>
      <c r="L490" s="184"/>
      <c r="M490" s="222"/>
      <c r="N490" s="183"/>
      <c r="O490" s="417"/>
      <c r="P490" s="150">
        <f t="shared" si="18"/>
        <v>729752.30006249994</v>
      </c>
      <c r="Q490" s="569"/>
    </row>
    <row r="491" spans="1:17" ht="15.75" hidden="1" customHeight="1" outlineLevel="2">
      <c r="A491" s="274"/>
      <c r="B491" s="159"/>
      <c r="C491" s="162" t="s">
        <v>420</v>
      </c>
      <c r="D491" s="160"/>
      <c r="E491" s="153"/>
      <c r="F491" s="153"/>
      <c r="G491" s="202"/>
      <c r="H491" s="200"/>
      <c r="I491" s="156"/>
      <c r="J491" s="184">
        <v>200000</v>
      </c>
      <c r="K491" s="222">
        <f>J491*1.23</f>
        <v>246000</v>
      </c>
      <c r="L491" s="184"/>
      <c r="M491" s="222"/>
      <c r="N491" s="183"/>
      <c r="O491" s="417"/>
      <c r="P491" s="150">
        <f t="shared" si="18"/>
        <v>246000</v>
      </c>
      <c r="Q491" s="569"/>
    </row>
    <row r="492" spans="1:17" ht="15.75" hidden="1" customHeight="1" outlineLevel="2">
      <c r="A492" s="274"/>
      <c r="B492" s="159"/>
      <c r="C492" s="162" t="s">
        <v>836</v>
      </c>
      <c r="D492" s="160">
        <f>CIP!$AM$26</f>
        <v>1000000</v>
      </c>
      <c r="E492" s="153"/>
      <c r="F492" s="153"/>
      <c r="G492" s="202"/>
      <c r="H492" s="200"/>
      <c r="I492" s="156">
        <f>SUM(D492:H492)</f>
        <v>1000000</v>
      </c>
      <c r="J492" s="184"/>
      <c r="K492" s="222"/>
      <c r="L492" s="184"/>
      <c r="M492" s="222"/>
      <c r="N492" s="183"/>
      <c r="O492" s="417"/>
      <c r="P492" s="150">
        <f t="shared" si="18"/>
        <v>1000000</v>
      </c>
      <c r="Q492" s="569"/>
    </row>
    <row r="493" spans="1:17" ht="15.75" hidden="1" customHeight="1" outlineLevel="2">
      <c r="A493" s="274"/>
      <c r="B493" s="159"/>
      <c r="C493" s="142" t="s">
        <v>421</v>
      </c>
      <c r="D493" s="160"/>
      <c r="E493" s="153"/>
      <c r="F493" s="153"/>
      <c r="G493" s="202"/>
      <c r="H493" s="200"/>
      <c r="I493" s="156"/>
      <c r="J493" s="184"/>
      <c r="K493" s="222"/>
      <c r="L493" s="184"/>
      <c r="M493" s="222"/>
      <c r="N493" s="183"/>
      <c r="O493" s="417"/>
      <c r="P493" s="150"/>
      <c r="Q493" s="572" t="s">
        <v>1259</v>
      </c>
    </row>
    <row r="494" spans="1:17" s="130" customFormat="1" ht="15.75" hidden="1" customHeight="1" outlineLevel="1" collapsed="1">
      <c r="A494" s="275"/>
      <c r="B494" s="142"/>
      <c r="C494" s="142" t="s">
        <v>418</v>
      </c>
      <c r="D494" s="220">
        <f>SUM(D492:D493)</f>
        <v>1000000</v>
      </c>
      <c r="E494" s="217"/>
      <c r="F494" s="217">
        <f>SUM(F470:F493)</f>
        <v>348148.12499999994</v>
      </c>
      <c r="G494" s="222"/>
      <c r="H494" s="223">
        <f>SUM(H466:H493)</f>
        <v>401633.05021874991</v>
      </c>
      <c r="I494" s="207">
        <f>SUM(D494:H494)</f>
        <v>1749781.1752187498</v>
      </c>
      <c r="J494" s="184">
        <f>SUM(J466:J493)</f>
        <v>3475000</v>
      </c>
      <c r="K494" s="222">
        <f>J494*1.23</f>
        <v>4274250</v>
      </c>
      <c r="L494" s="184"/>
      <c r="M494" s="222"/>
      <c r="N494" s="183">
        <f>SUM(N464:N493)</f>
        <v>2100000</v>
      </c>
      <c r="O494" s="417">
        <f t="shared" si="19"/>
        <v>3633000</v>
      </c>
      <c r="P494" s="150">
        <f t="shared" si="18"/>
        <v>9657031.1752187498</v>
      </c>
      <c r="Q494" s="569" t="s">
        <v>1232</v>
      </c>
    </row>
    <row r="495" spans="1:17" ht="15.75" hidden="1" customHeight="1" outlineLevel="2">
      <c r="A495" s="274"/>
      <c r="B495" s="142" t="s">
        <v>422</v>
      </c>
      <c r="C495" s="159"/>
      <c r="D495" s="160"/>
      <c r="E495" s="153"/>
      <c r="F495" s="153"/>
      <c r="G495" s="153"/>
      <c r="H495" s="154"/>
      <c r="I495" s="146"/>
      <c r="J495" s="147"/>
      <c r="K495" s="221"/>
      <c r="L495" s="147"/>
      <c r="M495" s="222"/>
      <c r="N495" s="183"/>
      <c r="O495" s="421"/>
      <c r="P495" s="150"/>
      <c r="Q495" s="569"/>
    </row>
    <row r="496" spans="1:17" ht="15.75" hidden="1" customHeight="1" outlineLevel="2">
      <c r="A496" s="274"/>
      <c r="B496" s="159"/>
      <c r="C496" s="142" t="s">
        <v>380</v>
      </c>
      <c r="D496" s="160"/>
      <c r="E496" s="153"/>
      <c r="F496" s="153"/>
      <c r="G496" s="153"/>
      <c r="H496" s="154"/>
      <c r="I496" s="146"/>
      <c r="J496" s="147"/>
      <c r="K496" s="221"/>
      <c r="L496" s="147"/>
      <c r="M496" s="222"/>
      <c r="N496" s="183"/>
      <c r="O496" s="417"/>
      <c r="P496" s="150"/>
      <c r="Q496" s="569"/>
    </row>
    <row r="497" spans="1:17" ht="15.75" hidden="1" customHeight="1" outlineLevel="2">
      <c r="A497" s="274"/>
      <c r="B497" s="159"/>
      <c r="C497" s="162" t="s">
        <v>387</v>
      </c>
      <c r="D497" s="160"/>
      <c r="E497" s="153"/>
      <c r="F497" s="153"/>
      <c r="G497" s="153"/>
      <c r="H497" s="154"/>
      <c r="I497" s="146"/>
      <c r="J497" s="147"/>
      <c r="K497" s="221"/>
      <c r="L497" s="147"/>
      <c r="M497" s="222"/>
      <c r="N497" s="183"/>
      <c r="O497" s="417"/>
      <c r="P497" s="150"/>
      <c r="Q497" s="569"/>
    </row>
    <row r="498" spans="1:17" ht="15.75" hidden="1" customHeight="1" outlineLevel="2">
      <c r="A498" s="274"/>
      <c r="B498" s="159"/>
      <c r="C498" s="162" t="s">
        <v>357</v>
      </c>
      <c r="D498" s="160"/>
      <c r="E498" s="153"/>
      <c r="F498" s="153"/>
      <c r="G498" s="153"/>
      <c r="H498" s="154"/>
      <c r="I498" s="146"/>
      <c r="J498" s="147"/>
      <c r="K498" s="221"/>
      <c r="L498" s="147"/>
      <c r="M498" s="222"/>
      <c r="N498" s="183"/>
      <c r="O498" s="417"/>
      <c r="P498" s="150"/>
      <c r="Q498" s="569"/>
    </row>
    <row r="499" spans="1:17" ht="15.75" hidden="1" customHeight="1" outlineLevel="2">
      <c r="A499" s="274"/>
      <c r="B499" s="159"/>
      <c r="C499" s="162" t="s">
        <v>358</v>
      </c>
      <c r="D499" s="160"/>
      <c r="E499" s="153"/>
      <c r="F499" s="153"/>
      <c r="G499" s="153"/>
      <c r="H499" s="154"/>
      <c r="I499" s="179"/>
      <c r="J499" s="182">
        <v>250000</v>
      </c>
      <c r="K499" s="217">
        <f>J499*1.23</f>
        <v>307500</v>
      </c>
      <c r="L499" s="147"/>
      <c r="M499" s="222"/>
      <c r="N499" s="183"/>
      <c r="O499" s="417"/>
      <c r="P499" s="150">
        <f t="shared" ref="P499" si="20">SUM(I499,K499,M499,O499)</f>
        <v>307500</v>
      </c>
      <c r="Q499" s="569"/>
    </row>
    <row r="500" spans="1:17" ht="15.75" hidden="1" customHeight="1" outlineLevel="2">
      <c r="A500" s="274"/>
      <c r="B500" s="159"/>
      <c r="C500" s="162" t="s">
        <v>359</v>
      </c>
      <c r="D500" s="160"/>
      <c r="E500" s="153"/>
      <c r="F500" s="153"/>
      <c r="G500" s="153"/>
      <c r="H500" s="154"/>
      <c r="I500" s="203"/>
      <c r="J500" s="147"/>
      <c r="K500" s="221"/>
      <c r="L500" s="147"/>
      <c r="M500" s="222"/>
      <c r="N500" s="183"/>
      <c r="O500" s="417"/>
      <c r="P500" s="150"/>
      <c r="Q500" s="569"/>
    </row>
    <row r="501" spans="1:17" ht="15.75" hidden="1" customHeight="1" outlineLevel="2">
      <c r="A501" s="274"/>
      <c r="B501" s="159"/>
      <c r="C501" s="142" t="s">
        <v>381</v>
      </c>
      <c r="D501" s="160"/>
      <c r="E501" s="153"/>
      <c r="F501" s="153"/>
      <c r="G501" s="153"/>
      <c r="H501" s="154"/>
      <c r="I501" s="146"/>
      <c r="J501" s="147"/>
      <c r="K501" s="221"/>
      <c r="L501" s="147"/>
      <c r="M501" s="222"/>
      <c r="N501" s="183"/>
      <c r="O501" s="417"/>
      <c r="P501" s="150"/>
      <c r="Q501" s="569"/>
    </row>
    <row r="502" spans="1:17" ht="15.75" hidden="1" customHeight="1" outlineLevel="2">
      <c r="A502" s="274"/>
      <c r="B502" s="159"/>
      <c r="C502" s="162" t="s">
        <v>362</v>
      </c>
      <c r="D502" s="160"/>
      <c r="E502" s="153"/>
      <c r="F502" s="153"/>
      <c r="G502" s="153"/>
      <c r="H502" s="154"/>
      <c r="I502" s="146"/>
      <c r="J502" s="147"/>
      <c r="K502" s="221"/>
      <c r="L502" s="147"/>
      <c r="M502" s="222"/>
      <c r="N502" s="183"/>
      <c r="O502" s="417"/>
      <c r="P502" s="150"/>
      <c r="Q502" s="569"/>
    </row>
    <row r="503" spans="1:17" ht="15.75" hidden="1" customHeight="1" outlineLevel="2">
      <c r="A503" s="274"/>
      <c r="B503" s="159"/>
      <c r="C503" s="162" t="s">
        <v>363</v>
      </c>
      <c r="D503" s="160"/>
      <c r="E503" s="153"/>
      <c r="F503" s="153"/>
      <c r="G503" s="153"/>
      <c r="H503" s="154"/>
      <c r="I503" s="146"/>
      <c r="J503" s="147"/>
      <c r="K503" s="221"/>
      <c r="L503" s="147">
        <v>100000</v>
      </c>
      <c r="M503" s="222">
        <f>L503*1.46</f>
        <v>146000</v>
      </c>
      <c r="N503" s="183"/>
      <c r="O503" s="417"/>
      <c r="P503" s="150">
        <f t="shared" ref="P503" si="21">SUM(I503,K503,M503,O503)</f>
        <v>146000</v>
      </c>
      <c r="Q503" s="569"/>
    </row>
    <row r="504" spans="1:17" ht="15.75" hidden="1" customHeight="1" outlineLevel="2">
      <c r="A504" s="274"/>
      <c r="B504" s="159"/>
      <c r="C504" s="162" t="s">
        <v>358</v>
      </c>
      <c r="D504" s="160"/>
      <c r="E504" s="153"/>
      <c r="F504" s="153"/>
      <c r="G504" s="153"/>
      <c r="H504" s="154"/>
      <c r="I504" s="146"/>
      <c r="J504" s="147"/>
      <c r="K504" s="221"/>
      <c r="L504" s="147"/>
      <c r="M504" s="222"/>
      <c r="N504" s="183"/>
      <c r="O504" s="417"/>
      <c r="P504" s="150"/>
      <c r="Q504" s="569"/>
    </row>
    <row r="505" spans="1:17" ht="15.75" hidden="1" customHeight="1" outlineLevel="2">
      <c r="A505" s="274"/>
      <c r="B505" s="159"/>
      <c r="C505" s="162" t="s">
        <v>364</v>
      </c>
      <c r="D505" s="160"/>
      <c r="E505" s="153"/>
      <c r="F505" s="153"/>
      <c r="G505" s="153"/>
      <c r="H505" s="154"/>
      <c r="I505" s="146"/>
      <c r="J505" s="147"/>
      <c r="K505" s="221"/>
      <c r="L505" s="147"/>
      <c r="M505" s="222"/>
      <c r="N505" s="183"/>
      <c r="O505" s="417"/>
      <c r="P505" s="150"/>
      <c r="Q505" s="568" t="s">
        <v>1239</v>
      </c>
    </row>
    <row r="506" spans="1:17" ht="15.75" hidden="1" customHeight="1" outlineLevel="2">
      <c r="A506" s="274"/>
      <c r="B506" s="159"/>
      <c r="C506" s="142" t="s">
        <v>382</v>
      </c>
      <c r="D506" s="160"/>
      <c r="E506" s="153"/>
      <c r="F506" s="153"/>
      <c r="G506" s="153"/>
      <c r="H506" s="154"/>
      <c r="I506" s="146"/>
      <c r="J506" s="147"/>
      <c r="K506" s="221"/>
      <c r="L506" s="147"/>
      <c r="M506" s="222"/>
      <c r="N506" s="183"/>
      <c r="O506" s="417"/>
      <c r="P506" s="150"/>
      <c r="Q506" s="568"/>
    </row>
    <row r="507" spans="1:17" ht="15.75" hidden="1" customHeight="1" outlineLevel="2">
      <c r="A507" s="274"/>
      <c r="B507" s="159"/>
      <c r="C507" s="162" t="s">
        <v>366</v>
      </c>
      <c r="D507" s="160"/>
      <c r="E507" s="153"/>
      <c r="F507" s="153"/>
      <c r="G507" s="153"/>
      <c r="H507" s="154"/>
      <c r="I507" s="146"/>
      <c r="J507" s="147"/>
      <c r="K507" s="221"/>
      <c r="L507" s="147"/>
      <c r="M507" s="222"/>
      <c r="N507" s="183"/>
      <c r="O507" s="417"/>
      <c r="P507" s="150"/>
      <c r="Q507" s="568"/>
    </row>
    <row r="508" spans="1:17" ht="15.75" hidden="1" customHeight="1" outlineLevel="2">
      <c r="A508" s="274"/>
      <c r="B508" s="159"/>
      <c r="C508" s="162" t="s">
        <v>358</v>
      </c>
      <c r="D508" s="160"/>
      <c r="E508" s="153"/>
      <c r="F508" s="153"/>
      <c r="G508" s="153"/>
      <c r="H508" s="154"/>
      <c r="I508" s="146"/>
      <c r="J508" s="147"/>
      <c r="K508" s="221"/>
      <c r="L508" s="147"/>
      <c r="M508" s="222"/>
      <c r="N508" s="183"/>
      <c r="O508" s="417"/>
      <c r="P508" s="150"/>
      <c r="Q508" s="568"/>
    </row>
    <row r="509" spans="1:17" ht="15.75" hidden="1" customHeight="1" outlineLevel="2">
      <c r="A509" s="274"/>
      <c r="B509" s="159"/>
      <c r="C509" s="162" t="s">
        <v>367</v>
      </c>
      <c r="D509" s="160"/>
      <c r="E509" s="153"/>
      <c r="F509" s="153"/>
      <c r="G509" s="153"/>
      <c r="H509" s="154"/>
      <c r="I509" s="146"/>
      <c r="J509" s="147"/>
      <c r="K509" s="221"/>
      <c r="L509" s="147"/>
      <c r="M509" s="222"/>
      <c r="N509" s="183"/>
      <c r="O509" s="417"/>
      <c r="P509" s="150"/>
      <c r="Q509" s="568"/>
    </row>
    <row r="510" spans="1:17" ht="15.75" hidden="1" customHeight="1" outlineLevel="2">
      <c r="A510" s="274"/>
      <c r="B510" s="159"/>
      <c r="C510" s="162" t="s">
        <v>368</v>
      </c>
      <c r="D510" s="160"/>
      <c r="E510" s="153"/>
      <c r="F510" s="153"/>
      <c r="G510" s="153"/>
      <c r="H510" s="154"/>
      <c r="I510" s="146"/>
      <c r="J510" s="147"/>
      <c r="K510" s="221"/>
      <c r="L510" s="147"/>
      <c r="M510" s="222"/>
      <c r="N510" s="183"/>
      <c r="O510" s="417"/>
      <c r="P510" s="150"/>
      <c r="Q510" s="568"/>
    </row>
    <row r="511" spans="1:17" ht="15.75" hidden="1" customHeight="1" outlineLevel="2">
      <c r="A511" s="274"/>
      <c r="B511" s="159"/>
      <c r="C511" s="142" t="s">
        <v>383</v>
      </c>
      <c r="D511" s="160"/>
      <c r="E511" s="153"/>
      <c r="F511" s="153"/>
      <c r="G511" s="153"/>
      <c r="H511" s="154"/>
      <c r="I511" s="146"/>
      <c r="J511" s="147"/>
      <c r="K511" s="221"/>
      <c r="L511" s="147"/>
      <c r="M511" s="222"/>
      <c r="N511" s="183"/>
      <c r="O511" s="417"/>
      <c r="P511" s="150"/>
      <c r="Q511" s="568"/>
    </row>
    <row r="512" spans="1:17" ht="15.75" hidden="1" customHeight="1" outlineLevel="2">
      <c r="A512" s="274"/>
      <c r="B512" s="159"/>
      <c r="C512" s="162" t="s">
        <v>370</v>
      </c>
      <c r="D512" s="160"/>
      <c r="E512" s="153"/>
      <c r="F512" s="153"/>
      <c r="G512" s="153"/>
      <c r="H512" s="154"/>
      <c r="I512" s="146"/>
      <c r="J512" s="147"/>
      <c r="K512" s="221"/>
      <c r="L512" s="147"/>
      <c r="M512" s="222"/>
      <c r="N512" s="183"/>
      <c r="O512" s="417"/>
      <c r="P512" s="150"/>
      <c r="Q512" s="568" t="s">
        <v>1260</v>
      </c>
    </row>
    <row r="513" spans="1:18" ht="15.75" hidden="1" customHeight="1" outlineLevel="2">
      <c r="A513" s="274"/>
      <c r="B513" s="159"/>
      <c r="C513" s="162" t="s">
        <v>371</v>
      </c>
      <c r="D513" s="160"/>
      <c r="E513" s="153"/>
      <c r="F513" s="153"/>
      <c r="G513" s="153"/>
      <c r="H513" s="154"/>
      <c r="I513" s="146"/>
      <c r="J513" s="147"/>
      <c r="K513" s="221"/>
      <c r="L513" s="147"/>
      <c r="M513" s="222"/>
      <c r="N513" s="183"/>
      <c r="O513" s="417"/>
      <c r="P513" s="150"/>
      <c r="Q513" s="569"/>
    </row>
    <row r="514" spans="1:18" ht="15.75" hidden="1" customHeight="1" outlineLevel="2">
      <c r="A514" s="274"/>
      <c r="B514" s="159"/>
      <c r="C514" s="162" t="s">
        <v>372</v>
      </c>
      <c r="D514" s="160"/>
      <c r="E514" s="153"/>
      <c r="F514" s="153"/>
      <c r="G514" s="153"/>
      <c r="H514" s="154"/>
      <c r="I514" s="146"/>
      <c r="J514" s="149">
        <v>450000</v>
      </c>
      <c r="K514" s="217">
        <f>J514*1.23</f>
        <v>553500</v>
      </c>
      <c r="L514" s="147"/>
      <c r="M514" s="222"/>
      <c r="N514" s="183"/>
      <c r="O514" s="417"/>
      <c r="P514" s="150">
        <f t="shared" ref="P514" si="22">SUM(I514,K514,M514,O514)</f>
        <v>553500</v>
      </c>
      <c r="Q514" s="569"/>
    </row>
    <row r="515" spans="1:18" ht="15.75" hidden="1" customHeight="1" outlineLevel="2">
      <c r="A515" s="274"/>
      <c r="B515" s="159"/>
      <c r="C515" s="162" t="s">
        <v>373</v>
      </c>
      <c r="D515" s="160"/>
      <c r="E515" s="153"/>
      <c r="F515" s="153"/>
      <c r="G515" s="153"/>
      <c r="H515" s="154"/>
      <c r="I515" s="146"/>
      <c r="J515" s="147"/>
      <c r="K515" s="221"/>
      <c r="L515" s="147"/>
      <c r="M515" s="222"/>
      <c r="N515" s="183"/>
      <c r="O515" s="417"/>
      <c r="P515" s="150"/>
      <c r="Q515" s="569"/>
    </row>
    <row r="516" spans="1:18" ht="15.75" hidden="1" customHeight="1" outlineLevel="2">
      <c r="A516" s="274"/>
      <c r="B516" s="159"/>
      <c r="C516" s="142" t="s">
        <v>384</v>
      </c>
      <c r="D516" s="160"/>
      <c r="E516" s="153"/>
      <c r="F516" s="153"/>
      <c r="G516" s="153"/>
      <c r="H516" s="154"/>
      <c r="I516" s="146"/>
      <c r="J516" s="147"/>
      <c r="K516" s="221"/>
      <c r="L516" s="147"/>
      <c r="M516" s="222"/>
      <c r="N516" s="183"/>
      <c r="O516" s="417"/>
      <c r="P516" s="150"/>
      <c r="Q516" s="569"/>
    </row>
    <row r="517" spans="1:18" ht="15.75" hidden="1" customHeight="1" outlineLevel="2">
      <c r="A517" s="274"/>
      <c r="B517" s="159"/>
      <c r="C517" s="162" t="s">
        <v>375</v>
      </c>
      <c r="D517" s="160"/>
      <c r="E517" s="153"/>
      <c r="F517" s="153"/>
      <c r="G517" s="153"/>
      <c r="H517" s="154"/>
      <c r="I517" s="146"/>
      <c r="J517" s="147"/>
      <c r="K517" s="221"/>
      <c r="L517" s="147"/>
      <c r="M517" s="222"/>
      <c r="N517" s="183"/>
      <c r="O517" s="417"/>
      <c r="P517" s="150"/>
      <c r="Q517" s="569"/>
    </row>
    <row r="518" spans="1:18" ht="15.75" hidden="1" customHeight="1" outlineLevel="2">
      <c r="A518" s="274"/>
      <c r="B518" s="159"/>
      <c r="C518" s="162" t="s">
        <v>376</v>
      </c>
      <c r="D518" s="160"/>
      <c r="E518" s="153"/>
      <c r="F518" s="153"/>
      <c r="G518" s="153"/>
      <c r="H518" s="154"/>
      <c r="I518" s="146"/>
      <c r="J518" s="147"/>
      <c r="K518" s="221"/>
      <c r="L518" s="147"/>
      <c r="M518" s="222"/>
      <c r="N518" s="183"/>
      <c r="O518" s="417"/>
      <c r="P518" s="150"/>
      <c r="Q518" s="569"/>
      <c r="R518" t="s">
        <v>390</v>
      </c>
    </row>
    <row r="519" spans="1:18" ht="15.75" hidden="1" customHeight="1" outlineLevel="2">
      <c r="A519" s="274"/>
      <c r="B519" s="159"/>
      <c r="C519" s="162" t="s">
        <v>377</v>
      </c>
      <c r="D519" s="160"/>
      <c r="E519" s="153"/>
      <c r="F519" s="153"/>
      <c r="G519" s="153"/>
      <c r="H519" s="154"/>
      <c r="I519" s="146"/>
      <c r="J519" s="147"/>
      <c r="K519" s="221"/>
      <c r="L519" s="147"/>
      <c r="M519" s="222"/>
      <c r="N519" s="183"/>
      <c r="O519" s="417"/>
      <c r="P519" s="150"/>
      <c r="Q519" s="569"/>
    </row>
    <row r="520" spans="1:18" ht="15.75" hidden="1" customHeight="1" outlineLevel="2">
      <c r="A520" s="274"/>
      <c r="B520" s="159"/>
      <c r="C520" s="162" t="s">
        <v>400</v>
      </c>
      <c r="D520" s="160"/>
      <c r="E520" s="153"/>
      <c r="F520" s="153"/>
      <c r="G520" s="153"/>
      <c r="H520" s="153">
        <f>CIP!$AQ$144</f>
        <v>114752.30006249997</v>
      </c>
      <c r="I520" s="146">
        <f>SUM(D520:H520)</f>
        <v>114752.30006249997</v>
      </c>
      <c r="J520" s="184">
        <v>380000</v>
      </c>
      <c r="K520" s="217">
        <f>J520*1.23</f>
        <v>467400</v>
      </c>
      <c r="L520" s="147"/>
      <c r="M520" s="222"/>
      <c r="N520" s="183"/>
      <c r="O520" s="417"/>
      <c r="P520" s="150">
        <f t="shared" ref="P520:P521" si="23">SUM(I520,K520,M520,O520)</f>
        <v>582152.30006249994</v>
      </c>
      <c r="Q520" s="569"/>
    </row>
    <row r="521" spans="1:18" ht="15.75" hidden="1" customHeight="1" outlineLevel="2">
      <c r="A521" s="274"/>
      <c r="B521" s="159"/>
      <c r="C521" s="213" t="s">
        <v>403</v>
      </c>
      <c r="D521" s="160"/>
      <c r="E521" s="153"/>
      <c r="F521" s="153"/>
      <c r="G521" s="153"/>
      <c r="H521" s="154"/>
      <c r="I521" s="146"/>
      <c r="J521" s="184"/>
      <c r="K521" s="221"/>
      <c r="L521" s="147"/>
      <c r="M521" s="222"/>
      <c r="N521" s="183">
        <v>15000000</v>
      </c>
      <c r="O521" s="417">
        <f>N521*1.73</f>
        <v>25950000</v>
      </c>
      <c r="P521" s="150">
        <f t="shared" si="23"/>
        <v>25950000</v>
      </c>
      <c r="Q521" s="569"/>
    </row>
    <row r="522" spans="1:18" ht="15.75" hidden="1" customHeight="1" outlineLevel="2">
      <c r="A522" s="274"/>
      <c r="B522" s="159"/>
      <c r="C522" s="142" t="s">
        <v>423</v>
      </c>
      <c r="D522" s="160"/>
      <c r="E522" s="153"/>
      <c r="F522" s="153"/>
      <c r="G522" s="153"/>
      <c r="H522" s="154"/>
      <c r="I522" s="146"/>
      <c r="J522" s="147"/>
      <c r="K522" s="221"/>
      <c r="L522" s="147"/>
      <c r="M522" s="222"/>
      <c r="N522" s="183"/>
      <c r="O522" s="417"/>
      <c r="P522" s="150"/>
      <c r="Q522" s="569"/>
    </row>
    <row r="523" spans="1:18" s="130" customFormat="1" ht="15.75" hidden="1" customHeight="1" outlineLevel="1" collapsed="1">
      <c r="A523" s="275"/>
      <c r="B523" s="142"/>
      <c r="C523" s="142" t="s">
        <v>422</v>
      </c>
      <c r="D523" s="220"/>
      <c r="E523" s="217"/>
      <c r="F523" s="217"/>
      <c r="G523" s="217"/>
      <c r="H523" s="219">
        <f>SUM(H497:H522)</f>
        <v>114752.30006249997</v>
      </c>
      <c r="I523" s="150">
        <f>SUM(I497:I522)</f>
        <v>114752.30006249997</v>
      </c>
      <c r="J523" s="147">
        <f>SUM(J497:J522)</f>
        <v>1080000</v>
      </c>
      <c r="K523" s="217">
        <f>J523*1.23</f>
        <v>1328400</v>
      </c>
      <c r="L523" s="147">
        <f>SUM(L496:L522)</f>
        <v>100000</v>
      </c>
      <c r="M523" s="222">
        <f>L523*1.46</f>
        <v>146000</v>
      </c>
      <c r="N523" s="183">
        <f>SUM(N499:N522)</f>
        <v>15000000</v>
      </c>
      <c r="O523" s="417">
        <f>N523*1.73</f>
        <v>25950000</v>
      </c>
      <c r="P523" s="150">
        <f t="shared" ref="P523" si="24">SUM(I523,K523,M523,O523)</f>
        <v>27539152.3000625</v>
      </c>
      <c r="Q523" s="575"/>
    </row>
    <row r="524" spans="1:18" ht="15.75" hidden="1" customHeight="1" outlineLevel="2">
      <c r="A524" s="274"/>
      <c r="B524" s="142" t="s">
        <v>424</v>
      </c>
      <c r="C524" s="159"/>
      <c r="D524" s="160"/>
      <c r="E524" s="153"/>
      <c r="F524" s="153"/>
      <c r="G524" s="153"/>
      <c r="H524" s="154"/>
      <c r="I524" s="146"/>
      <c r="J524" s="147"/>
      <c r="K524" s="221"/>
      <c r="L524" s="147"/>
      <c r="M524" s="222"/>
      <c r="N524" s="183"/>
      <c r="O524" s="421"/>
      <c r="P524" s="150"/>
      <c r="Q524" s="569"/>
    </row>
    <row r="525" spans="1:18" ht="15.75" hidden="1" customHeight="1" outlineLevel="2">
      <c r="A525" s="274"/>
      <c r="B525" s="159"/>
      <c r="C525" s="142" t="s">
        <v>380</v>
      </c>
      <c r="D525" s="160"/>
      <c r="E525" s="153"/>
      <c r="F525" s="153"/>
      <c r="G525" s="153"/>
      <c r="H525" s="154"/>
      <c r="I525" s="146"/>
      <c r="J525" s="147"/>
      <c r="K525" s="221"/>
      <c r="L525" s="147"/>
      <c r="M525" s="222"/>
      <c r="N525" s="183"/>
      <c r="O525" s="417"/>
      <c r="P525" s="150"/>
      <c r="Q525" s="569"/>
    </row>
    <row r="526" spans="1:18" ht="15.75" hidden="1" customHeight="1" outlineLevel="2">
      <c r="A526" s="274"/>
      <c r="B526" s="159"/>
      <c r="C526" s="162" t="s">
        <v>396</v>
      </c>
      <c r="D526" s="160"/>
      <c r="E526" s="153"/>
      <c r="F526" s="153"/>
      <c r="G526" s="153"/>
      <c r="H526" s="154"/>
      <c r="I526" s="146"/>
      <c r="J526" s="147"/>
      <c r="K526" s="221"/>
      <c r="L526" s="147"/>
      <c r="M526" s="222"/>
      <c r="N526" s="183"/>
      <c r="O526" s="417"/>
      <c r="P526" s="150"/>
      <c r="Q526" s="569"/>
    </row>
    <row r="527" spans="1:18" ht="15.75" hidden="1" customHeight="1" outlineLevel="2">
      <c r="A527" s="274"/>
      <c r="B527" s="159"/>
      <c r="C527" s="162" t="s">
        <v>357</v>
      </c>
      <c r="D527" s="160"/>
      <c r="E527" s="153"/>
      <c r="F527" s="153"/>
      <c r="G527" s="153"/>
      <c r="H527" s="154"/>
      <c r="I527" s="146"/>
      <c r="J527" s="147"/>
      <c r="K527" s="221"/>
      <c r="L527" s="147"/>
      <c r="M527" s="222"/>
      <c r="N527" s="183"/>
      <c r="O527" s="417"/>
      <c r="P527" s="150"/>
      <c r="Q527" s="569"/>
    </row>
    <row r="528" spans="1:18" ht="15.75" hidden="1" customHeight="1" outlineLevel="2">
      <c r="A528" s="274"/>
      <c r="B528" s="159"/>
      <c r="C528" s="162" t="s">
        <v>358</v>
      </c>
      <c r="D528" s="160"/>
      <c r="E528" s="153"/>
      <c r="F528" s="153"/>
      <c r="G528" s="153"/>
      <c r="H528" s="154"/>
      <c r="I528" s="179"/>
      <c r="J528" s="149">
        <v>200000</v>
      </c>
      <c r="K528" s="217">
        <f>J528*1.23</f>
        <v>246000</v>
      </c>
      <c r="L528" s="147"/>
      <c r="M528" s="222"/>
      <c r="N528" s="183"/>
      <c r="O528" s="417"/>
      <c r="P528" s="150">
        <f t="shared" ref="P528:P553" si="25">SUM(I528,K528,M528,O528)</f>
        <v>246000</v>
      </c>
      <c r="Q528" s="568" t="s">
        <v>1261</v>
      </c>
    </row>
    <row r="529" spans="1:17" ht="15.75" hidden="1" customHeight="1" outlineLevel="2">
      <c r="A529" s="274"/>
      <c r="B529" s="159"/>
      <c r="C529" s="162" t="s">
        <v>359</v>
      </c>
      <c r="D529" s="160"/>
      <c r="E529" s="153"/>
      <c r="F529" s="153"/>
      <c r="G529" s="153"/>
      <c r="H529" s="154"/>
      <c r="I529" s="146"/>
      <c r="J529" s="149">
        <v>200000</v>
      </c>
      <c r="K529" s="217">
        <f>J529*1.23</f>
        <v>246000</v>
      </c>
      <c r="L529" s="147"/>
      <c r="M529" s="222"/>
      <c r="N529" s="183"/>
      <c r="O529" s="417"/>
      <c r="P529" s="150">
        <f t="shared" si="25"/>
        <v>246000</v>
      </c>
      <c r="Q529" s="569"/>
    </row>
    <row r="530" spans="1:17" ht="15.75" hidden="1" customHeight="1" outlineLevel="2">
      <c r="A530" s="274"/>
      <c r="B530" s="159"/>
      <c r="C530" s="162" t="s">
        <v>388</v>
      </c>
      <c r="D530" s="160"/>
      <c r="E530" s="153"/>
      <c r="F530" s="153"/>
      <c r="G530" s="153"/>
      <c r="H530" s="154"/>
      <c r="I530" s="146"/>
      <c r="J530" s="149"/>
      <c r="K530" s="221"/>
      <c r="L530" s="147"/>
      <c r="M530" s="222"/>
      <c r="N530" s="183"/>
      <c r="O530" s="417"/>
      <c r="P530" s="150"/>
      <c r="Q530" s="569" t="s">
        <v>1243</v>
      </c>
    </row>
    <row r="531" spans="1:17" ht="15.75" hidden="1" customHeight="1" outlineLevel="2">
      <c r="A531" s="274"/>
      <c r="B531" s="159"/>
      <c r="C531" s="142" t="s">
        <v>381</v>
      </c>
      <c r="D531" s="160"/>
      <c r="E531" s="153"/>
      <c r="F531" s="153"/>
      <c r="G531" s="153"/>
      <c r="H531" s="154"/>
      <c r="I531" s="146"/>
      <c r="J531" s="149"/>
      <c r="K531" s="221"/>
      <c r="L531" s="147"/>
      <c r="M531" s="222"/>
      <c r="N531" s="183"/>
      <c r="O531" s="417"/>
      <c r="P531" s="150"/>
      <c r="Q531" s="569"/>
    </row>
    <row r="532" spans="1:17" ht="15.75" hidden="1" customHeight="1" outlineLevel="2">
      <c r="A532" s="274"/>
      <c r="B532" s="159"/>
      <c r="C532" s="162" t="s">
        <v>362</v>
      </c>
      <c r="D532" s="160"/>
      <c r="E532" s="153"/>
      <c r="F532" s="153"/>
      <c r="G532" s="153"/>
      <c r="H532" s="154"/>
      <c r="I532" s="156"/>
      <c r="J532" s="147">
        <v>100000</v>
      </c>
      <c r="K532" s="217">
        <f>J532*1.23</f>
        <v>123000</v>
      </c>
      <c r="L532" s="147"/>
      <c r="M532" s="222"/>
      <c r="N532" s="183"/>
      <c r="O532" s="417"/>
      <c r="P532" s="150">
        <f t="shared" si="25"/>
        <v>123000</v>
      </c>
      <c r="Q532" s="569"/>
    </row>
    <row r="533" spans="1:17" ht="15.75" hidden="1" customHeight="1" outlineLevel="2">
      <c r="A533" s="274"/>
      <c r="B533" s="159"/>
      <c r="C533" s="162" t="s">
        <v>363</v>
      </c>
      <c r="D533" s="160"/>
      <c r="E533" s="153"/>
      <c r="F533" s="153"/>
      <c r="G533" s="153"/>
      <c r="H533" s="154"/>
      <c r="I533" s="156"/>
      <c r="J533" s="147"/>
      <c r="K533" s="221"/>
      <c r="L533" s="147"/>
      <c r="M533" s="222"/>
      <c r="N533" s="183"/>
      <c r="O533" s="417"/>
      <c r="P533" s="150"/>
      <c r="Q533" s="569"/>
    </row>
    <row r="534" spans="1:17" ht="15.75" hidden="1" customHeight="1" outlineLevel="2">
      <c r="A534" s="274"/>
      <c r="B534" s="159"/>
      <c r="C534" s="162" t="s">
        <v>358</v>
      </c>
      <c r="D534" s="160"/>
      <c r="E534" s="153"/>
      <c r="F534" s="153"/>
      <c r="G534" s="153"/>
      <c r="H534" s="154"/>
      <c r="I534" s="146"/>
      <c r="J534" s="147"/>
      <c r="K534" s="221"/>
      <c r="L534" s="147"/>
      <c r="M534" s="222"/>
      <c r="N534" s="183"/>
      <c r="O534" s="417"/>
      <c r="P534" s="150"/>
      <c r="Q534" s="569"/>
    </row>
    <row r="535" spans="1:17" ht="15.75" hidden="1" customHeight="1" outlineLevel="2">
      <c r="A535" s="274"/>
      <c r="B535" s="159"/>
      <c r="C535" s="162" t="s">
        <v>364</v>
      </c>
      <c r="D535" s="160"/>
      <c r="E535" s="153"/>
      <c r="F535" s="153"/>
      <c r="G535" s="153"/>
      <c r="H535" s="154"/>
      <c r="I535" s="146"/>
      <c r="J535" s="147"/>
      <c r="K535" s="221"/>
      <c r="L535" s="147"/>
      <c r="M535" s="222"/>
      <c r="N535" s="183"/>
      <c r="O535" s="417"/>
      <c r="P535" s="150"/>
      <c r="Q535" s="568" t="s">
        <v>1239</v>
      </c>
    </row>
    <row r="536" spans="1:17" ht="15.75" hidden="1" customHeight="1" outlineLevel="2">
      <c r="A536" s="274"/>
      <c r="B536" s="159"/>
      <c r="C536" s="142" t="s">
        <v>382</v>
      </c>
      <c r="D536" s="160"/>
      <c r="E536" s="153"/>
      <c r="F536" s="153"/>
      <c r="G536" s="153"/>
      <c r="H536" s="154"/>
      <c r="I536" s="146"/>
      <c r="J536" s="147"/>
      <c r="K536" s="221"/>
      <c r="L536" s="147"/>
      <c r="M536" s="222"/>
      <c r="N536" s="183"/>
      <c r="O536" s="417"/>
      <c r="P536" s="150"/>
      <c r="Q536" s="568"/>
    </row>
    <row r="537" spans="1:17" ht="15.75" hidden="1" customHeight="1" outlineLevel="2">
      <c r="A537" s="274"/>
      <c r="B537" s="159"/>
      <c r="C537" s="162" t="s">
        <v>366</v>
      </c>
      <c r="D537" s="160"/>
      <c r="E537" s="153"/>
      <c r="F537" s="153"/>
      <c r="G537" s="153"/>
      <c r="H537" s="154"/>
      <c r="I537" s="146"/>
      <c r="J537" s="147"/>
      <c r="K537" s="221"/>
      <c r="L537" s="147"/>
      <c r="M537" s="222"/>
      <c r="N537" s="183"/>
      <c r="O537" s="417"/>
      <c r="P537" s="150"/>
      <c r="Q537" s="568"/>
    </row>
    <row r="538" spans="1:17" ht="15.75" hidden="1" customHeight="1" outlineLevel="2">
      <c r="A538" s="274"/>
      <c r="B538" s="159"/>
      <c r="C538" s="162" t="s">
        <v>358</v>
      </c>
      <c r="D538" s="160"/>
      <c r="E538" s="153"/>
      <c r="F538" s="153"/>
      <c r="G538" s="153"/>
      <c r="H538" s="154"/>
      <c r="I538" s="146"/>
      <c r="J538" s="147"/>
      <c r="K538" s="221"/>
      <c r="L538" s="147"/>
      <c r="M538" s="222"/>
      <c r="N538" s="183"/>
      <c r="O538" s="417"/>
      <c r="P538" s="150"/>
      <c r="Q538" s="568"/>
    </row>
    <row r="539" spans="1:17" ht="15.75" hidden="1" customHeight="1" outlineLevel="2">
      <c r="A539" s="274"/>
      <c r="B539" s="159"/>
      <c r="C539" s="162" t="s">
        <v>367</v>
      </c>
      <c r="D539" s="160"/>
      <c r="E539" s="153"/>
      <c r="F539" s="153"/>
      <c r="G539" s="153"/>
      <c r="H539" s="154"/>
      <c r="I539" s="146"/>
      <c r="J539" s="147"/>
      <c r="K539" s="221"/>
      <c r="L539" s="147"/>
      <c r="M539" s="222"/>
      <c r="N539" s="183"/>
      <c r="O539" s="417"/>
      <c r="P539" s="150"/>
      <c r="Q539" s="568"/>
    </row>
    <row r="540" spans="1:17" ht="15.75" hidden="1" customHeight="1" outlineLevel="2">
      <c r="A540" s="274"/>
      <c r="B540" s="159"/>
      <c r="C540" s="162" t="s">
        <v>368</v>
      </c>
      <c r="D540" s="160"/>
      <c r="E540" s="153"/>
      <c r="F540" s="153"/>
      <c r="G540" s="153"/>
      <c r="H540" s="154"/>
      <c r="I540" s="146"/>
      <c r="J540" s="147"/>
      <c r="K540" s="221"/>
      <c r="L540" s="147"/>
      <c r="M540" s="222"/>
      <c r="N540" s="183"/>
      <c r="O540" s="417"/>
      <c r="P540" s="150"/>
      <c r="Q540" s="568"/>
    </row>
    <row r="541" spans="1:17" ht="15.75" hidden="1" customHeight="1" outlineLevel="2">
      <c r="A541" s="274"/>
      <c r="B541" s="159"/>
      <c r="C541" s="142" t="s">
        <v>383</v>
      </c>
      <c r="D541" s="160"/>
      <c r="E541" s="153"/>
      <c r="F541" s="153"/>
      <c r="G541" s="153"/>
      <c r="H541" s="154"/>
      <c r="I541" s="146"/>
      <c r="J541" s="147"/>
      <c r="K541" s="221"/>
      <c r="L541" s="147"/>
      <c r="M541" s="222"/>
      <c r="N541" s="183"/>
      <c r="O541" s="417"/>
      <c r="P541" s="150"/>
      <c r="Q541" s="568"/>
    </row>
    <row r="542" spans="1:17" ht="15.75" hidden="1" customHeight="1" outlineLevel="2">
      <c r="A542" s="274"/>
      <c r="B542" s="159"/>
      <c r="C542" s="162" t="s">
        <v>370</v>
      </c>
      <c r="D542" s="160"/>
      <c r="E542" s="153"/>
      <c r="F542" s="153"/>
      <c r="G542" s="202"/>
      <c r="H542" s="200"/>
      <c r="I542" s="156"/>
      <c r="J542" s="184"/>
      <c r="K542" s="221"/>
      <c r="L542" s="184">
        <v>100000</v>
      </c>
      <c r="M542" s="222">
        <f>L542*1.46</f>
        <v>146000</v>
      </c>
      <c r="N542" s="183"/>
      <c r="O542" s="417"/>
      <c r="P542" s="150">
        <f t="shared" si="25"/>
        <v>146000</v>
      </c>
      <c r="Q542" s="568" t="s">
        <v>1262</v>
      </c>
    </row>
    <row r="543" spans="1:17" ht="15.75" hidden="1" customHeight="1" outlineLevel="2">
      <c r="A543" s="274"/>
      <c r="B543" s="159"/>
      <c r="C543" s="162" t="s">
        <v>371</v>
      </c>
      <c r="D543" s="160"/>
      <c r="E543" s="153"/>
      <c r="F543" s="153"/>
      <c r="G543" s="202"/>
      <c r="H543" s="200"/>
      <c r="I543" s="156"/>
      <c r="J543" s="184">
        <v>500000</v>
      </c>
      <c r="K543" s="217">
        <f>J543*1.23</f>
        <v>615000</v>
      </c>
      <c r="L543" s="184"/>
      <c r="M543" s="222"/>
      <c r="N543" s="183"/>
      <c r="O543" s="417"/>
      <c r="P543" s="150">
        <f t="shared" si="25"/>
        <v>615000</v>
      </c>
      <c r="Q543" s="569"/>
    </row>
    <row r="544" spans="1:17" ht="15.75" hidden="1" customHeight="1" outlineLevel="2">
      <c r="A544" s="274"/>
      <c r="B544" s="159"/>
      <c r="C544" s="162" t="s">
        <v>372</v>
      </c>
      <c r="D544" s="160"/>
      <c r="E544" s="153"/>
      <c r="F544" s="153"/>
      <c r="G544" s="202"/>
      <c r="H544" s="200"/>
      <c r="I544" s="156"/>
      <c r="J544" s="183">
        <v>475000</v>
      </c>
      <c r="K544" s="217">
        <f>J544*1.23</f>
        <v>584250</v>
      </c>
      <c r="L544" s="184"/>
      <c r="M544" s="222"/>
      <c r="N544" s="183"/>
      <c r="O544" s="417"/>
      <c r="P544" s="150">
        <f t="shared" si="25"/>
        <v>584250</v>
      </c>
      <c r="Q544" s="569"/>
    </row>
    <row r="545" spans="1:17" ht="15.75" hidden="1" customHeight="1" outlineLevel="2">
      <c r="A545" s="274"/>
      <c r="B545" s="159"/>
      <c r="C545" s="162" t="s">
        <v>373</v>
      </c>
      <c r="D545" s="160"/>
      <c r="E545" s="153"/>
      <c r="F545" s="153"/>
      <c r="G545" s="202"/>
      <c r="H545" s="200"/>
      <c r="I545" s="156"/>
      <c r="J545" s="184"/>
      <c r="K545" s="221"/>
      <c r="L545" s="184"/>
      <c r="M545" s="222"/>
      <c r="N545" s="183"/>
      <c r="O545" s="417"/>
      <c r="P545" s="150"/>
      <c r="Q545" s="569"/>
    </row>
    <row r="546" spans="1:17" ht="15.75" hidden="1" customHeight="1" outlineLevel="2">
      <c r="A546" s="274"/>
      <c r="B546" s="159"/>
      <c r="C546" s="142" t="s">
        <v>384</v>
      </c>
      <c r="D546" s="160"/>
      <c r="E546" s="153"/>
      <c r="F546" s="153"/>
      <c r="G546" s="202"/>
      <c r="H546" s="200"/>
      <c r="I546" s="156"/>
      <c r="J546" s="184"/>
      <c r="K546" s="221"/>
      <c r="L546" s="184"/>
      <c r="M546" s="222"/>
      <c r="N546" s="183"/>
      <c r="O546" s="417"/>
      <c r="P546" s="150"/>
      <c r="Q546" s="569"/>
    </row>
    <row r="547" spans="1:17" ht="15.75" hidden="1" customHeight="1" outlineLevel="2">
      <c r="A547" s="274"/>
      <c r="B547" s="159"/>
      <c r="C547" s="162" t="s">
        <v>375</v>
      </c>
      <c r="D547" s="160"/>
      <c r="E547" s="153"/>
      <c r="F547" s="153"/>
      <c r="G547" s="202"/>
      <c r="H547" s="200"/>
      <c r="I547" s="156"/>
      <c r="J547" s="184"/>
      <c r="K547" s="221"/>
      <c r="L547" s="184"/>
      <c r="M547" s="222"/>
      <c r="N547" s="183">
        <v>300000</v>
      </c>
      <c r="O547" s="417">
        <f>N547*1.73</f>
        <v>519000</v>
      </c>
      <c r="P547" s="150">
        <f t="shared" si="25"/>
        <v>519000</v>
      </c>
      <c r="Q547" s="569"/>
    </row>
    <row r="548" spans="1:17" ht="15.75" hidden="1" customHeight="1" outlineLevel="2">
      <c r="A548" s="274"/>
      <c r="B548" s="159"/>
      <c r="C548" s="162" t="s">
        <v>376</v>
      </c>
      <c r="D548" s="160"/>
      <c r="E548" s="153"/>
      <c r="F548" s="153"/>
      <c r="G548" s="202"/>
      <c r="H548" s="200"/>
      <c r="I548" s="156"/>
      <c r="J548" s="184"/>
      <c r="K548" s="221"/>
      <c r="L548" s="184"/>
      <c r="M548" s="222"/>
      <c r="N548" s="183"/>
      <c r="O548" s="417"/>
      <c r="P548" s="150"/>
      <c r="Q548" s="569"/>
    </row>
    <row r="549" spans="1:17" ht="15.75" hidden="1" customHeight="1" outlineLevel="2">
      <c r="A549" s="274"/>
      <c r="B549" s="159"/>
      <c r="C549" s="162" t="s">
        <v>377</v>
      </c>
      <c r="D549" s="160"/>
      <c r="E549" s="153"/>
      <c r="F549" s="153"/>
      <c r="G549" s="153"/>
      <c r="H549" s="154"/>
      <c r="I549" s="146"/>
      <c r="J549" s="147"/>
      <c r="K549" s="221"/>
      <c r="L549" s="147"/>
      <c r="M549" s="222"/>
      <c r="N549" s="183"/>
      <c r="O549" s="417"/>
      <c r="P549" s="150"/>
      <c r="Q549" s="569"/>
    </row>
    <row r="550" spans="1:17" ht="15.75" hidden="1" customHeight="1" outlineLevel="2">
      <c r="A550" s="274"/>
      <c r="B550" s="159"/>
      <c r="C550" s="162" t="s">
        <v>400</v>
      </c>
      <c r="D550" s="160"/>
      <c r="E550" s="153"/>
      <c r="F550" s="153"/>
      <c r="G550" s="153"/>
      <c r="H550" s="154"/>
      <c r="I550" s="146"/>
      <c r="J550" s="147"/>
      <c r="K550" s="221"/>
      <c r="L550" s="147"/>
      <c r="M550" s="222"/>
      <c r="N550" s="183"/>
      <c r="O550" s="417"/>
      <c r="P550" s="150"/>
      <c r="Q550" s="569"/>
    </row>
    <row r="551" spans="1:17" ht="15.75" hidden="1" customHeight="1" outlineLevel="2">
      <c r="A551" s="274"/>
      <c r="B551" s="159"/>
      <c r="C551" s="213" t="s">
        <v>403</v>
      </c>
      <c r="D551" s="160"/>
      <c r="E551" s="153"/>
      <c r="F551" s="153"/>
      <c r="G551" s="153"/>
      <c r="H551" s="154"/>
      <c r="I551" s="146"/>
      <c r="J551" s="147"/>
      <c r="K551" s="221"/>
      <c r="L551" s="147"/>
      <c r="M551" s="222"/>
      <c r="N551" s="183">
        <v>15000000</v>
      </c>
      <c r="O551" s="417">
        <f>N551*1.73</f>
        <v>25950000</v>
      </c>
      <c r="P551" s="150">
        <f t="shared" si="25"/>
        <v>25950000</v>
      </c>
      <c r="Q551" s="569"/>
    </row>
    <row r="552" spans="1:17" ht="15.75" hidden="1" customHeight="1" outlineLevel="2">
      <c r="A552" s="274"/>
      <c r="B552" s="159"/>
      <c r="C552" s="142" t="s">
        <v>423</v>
      </c>
      <c r="D552" s="160"/>
      <c r="E552" s="153"/>
      <c r="F552" s="153"/>
      <c r="G552" s="153"/>
      <c r="H552" s="154"/>
      <c r="I552" s="146"/>
      <c r="J552" s="147"/>
      <c r="K552" s="221"/>
      <c r="L552" s="147"/>
      <c r="M552" s="222"/>
      <c r="N552" s="183"/>
      <c r="O552" s="417"/>
      <c r="P552" s="150"/>
      <c r="Q552" s="569"/>
    </row>
    <row r="553" spans="1:17" s="130" customFormat="1" ht="15.75" hidden="1" customHeight="1" outlineLevel="1" collapsed="1">
      <c r="A553" s="275"/>
      <c r="B553" s="142"/>
      <c r="C553" s="142" t="s">
        <v>424</v>
      </c>
      <c r="D553" s="220"/>
      <c r="E553" s="217"/>
      <c r="F553" s="217"/>
      <c r="G553" s="217"/>
      <c r="H553" s="219"/>
      <c r="I553" s="150"/>
      <c r="J553" s="147">
        <f>SUM(J526:J552)</f>
        <v>1475000</v>
      </c>
      <c r="K553" s="217">
        <f>J553*1.23</f>
        <v>1814250</v>
      </c>
      <c r="L553" s="147">
        <f>SUM(L526:L552)</f>
        <v>100000</v>
      </c>
      <c r="M553" s="222">
        <f>L553*1.46</f>
        <v>146000</v>
      </c>
      <c r="N553" s="183">
        <f>SUM(N527:N552)</f>
        <v>15300000</v>
      </c>
      <c r="O553" s="417">
        <f>N553*1.73</f>
        <v>26469000</v>
      </c>
      <c r="P553" s="150">
        <f t="shared" si="25"/>
        <v>28429250</v>
      </c>
      <c r="Q553" s="575"/>
    </row>
    <row r="554" spans="1:17" ht="15.75" hidden="1" customHeight="1" outlineLevel="2">
      <c r="A554" s="274"/>
      <c r="B554" s="142" t="s">
        <v>425</v>
      </c>
      <c r="C554" s="159"/>
      <c r="D554" s="160"/>
      <c r="E554" s="153"/>
      <c r="F554" s="153"/>
      <c r="G554" s="153"/>
      <c r="H554" s="154"/>
      <c r="I554" s="146"/>
      <c r="J554" s="147"/>
      <c r="K554" s="217"/>
      <c r="L554" s="147"/>
      <c r="M554" s="222"/>
      <c r="N554" s="183"/>
      <c r="O554" s="417"/>
      <c r="P554" s="150"/>
      <c r="Q554" s="569"/>
    </row>
    <row r="555" spans="1:17" ht="15.75" hidden="1" customHeight="1" outlineLevel="2">
      <c r="A555" s="274"/>
      <c r="B555" s="159"/>
      <c r="C555" s="142" t="s">
        <v>380</v>
      </c>
      <c r="D555" s="160"/>
      <c r="E555" s="153"/>
      <c r="F555" s="153"/>
      <c r="G555" s="153"/>
      <c r="H555" s="154"/>
      <c r="I555" s="146"/>
      <c r="J555" s="147"/>
      <c r="K555" s="217"/>
      <c r="L555" s="147"/>
      <c r="M555" s="222"/>
      <c r="N555" s="183"/>
      <c r="O555" s="417"/>
      <c r="P555" s="150"/>
      <c r="Q555" s="569"/>
    </row>
    <row r="556" spans="1:17" ht="15.75" hidden="1" customHeight="1" outlineLevel="2">
      <c r="A556" s="274"/>
      <c r="B556" s="159"/>
      <c r="C556" s="162" t="s">
        <v>396</v>
      </c>
      <c r="D556" s="160"/>
      <c r="E556" s="153"/>
      <c r="F556" s="153"/>
      <c r="G556" s="153"/>
      <c r="H556" s="154"/>
      <c r="I556" s="146"/>
      <c r="J556" s="147">
        <v>250000</v>
      </c>
      <c r="K556" s="217">
        <f>J556*1.23</f>
        <v>307500</v>
      </c>
      <c r="L556" s="147"/>
      <c r="M556" s="222"/>
      <c r="N556" s="183"/>
      <c r="O556" s="417"/>
      <c r="P556" s="150">
        <f t="shared" ref="P556" si="26">SUM(I556,K556,M556,O556)</f>
        <v>307500</v>
      </c>
      <c r="Q556" s="569" t="s">
        <v>1263</v>
      </c>
    </row>
    <row r="557" spans="1:17" ht="15.75" hidden="1" customHeight="1" outlineLevel="2">
      <c r="A557" s="274"/>
      <c r="B557" s="159"/>
      <c r="C557" s="162" t="s">
        <v>357</v>
      </c>
      <c r="D557" s="160"/>
      <c r="E557" s="153"/>
      <c r="F557" s="153"/>
      <c r="G557" s="153"/>
      <c r="H557" s="154"/>
      <c r="I557" s="146"/>
      <c r="J557" s="147"/>
      <c r="K557" s="217"/>
      <c r="L557" s="147"/>
      <c r="M557" s="222"/>
      <c r="N557" s="183"/>
      <c r="O557" s="417"/>
      <c r="P557" s="150"/>
      <c r="Q557" s="569"/>
    </row>
    <row r="558" spans="1:17" ht="15.75" hidden="1" customHeight="1" outlineLevel="2">
      <c r="A558" s="274"/>
      <c r="B558" s="159"/>
      <c r="C558" s="162" t="s">
        <v>358</v>
      </c>
      <c r="D558" s="160"/>
      <c r="E558" s="153"/>
      <c r="F558" s="153"/>
      <c r="G558" s="153"/>
      <c r="H558" s="154"/>
      <c r="I558" s="196"/>
      <c r="J558" s="197"/>
      <c r="K558" s="217"/>
      <c r="L558" s="147"/>
      <c r="M558" s="222"/>
      <c r="N558" s="183"/>
      <c r="O558" s="417"/>
      <c r="P558" s="150"/>
      <c r="Q558" s="569"/>
    </row>
    <row r="559" spans="1:17" ht="15.75" hidden="1" customHeight="1" outlineLevel="2">
      <c r="A559" s="274"/>
      <c r="B559" s="159"/>
      <c r="C559" s="162" t="s">
        <v>359</v>
      </c>
      <c r="D559" s="160"/>
      <c r="E559" s="153"/>
      <c r="F559" s="153"/>
      <c r="G559" s="202"/>
      <c r="H559" s="200"/>
      <c r="I559" s="156"/>
      <c r="J559" s="184"/>
      <c r="K559" s="217"/>
      <c r="L559" s="184"/>
      <c r="M559" s="222"/>
      <c r="N559" s="183"/>
      <c r="O559" s="417"/>
      <c r="P559" s="150"/>
      <c r="Q559" s="569"/>
    </row>
    <row r="560" spans="1:17" ht="15.75" hidden="1" customHeight="1" outlineLevel="2">
      <c r="A560" s="274"/>
      <c r="B560" s="159"/>
      <c r="C560" s="162" t="s">
        <v>399</v>
      </c>
      <c r="D560" s="160"/>
      <c r="E560" s="153"/>
      <c r="F560" s="153"/>
      <c r="G560" s="202"/>
      <c r="H560" s="200"/>
      <c r="I560" s="156"/>
      <c r="J560" s="184"/>
      <c r="K560" s="217"/>
      <c r="L560" s="184"/>
      <c r="M560" s="222"/>
      <c r="N560" s="183"/>
      <c r="O560" s="417"/>
      <c r="P560" s="150"/>
      <c r="Q560" s="569"/>
    </row>
    <row r="561" spans="1:17" ht="15.75" hidden="1" customHeight="1" outlineLevel="2">
      <c r="A561" s="274"/>
      <c r="B561" s="159"/>
      <c r="C561" s="142" t="s">
        <v>381</v>
      </c>
      <c r="D561" s="160"/>
      <c r="E561" s="153"/>
      <c r="F561" s="153"/>
      <c r="G561" s="202"/>
      <c r="H561" s="200"/>
      <c r="I561" s="156"/>
      <c r="J561" s="184"/>
      <c r="K561" s="217"/>
      <c r="L561" s="184"/>
      <c r="M561" s="222"/>
      <c r="N561" s="183"/>
      <c r="O561" s="417"/>
      <c r="P561" s="150"/>
      <c r="Q561" s="569"/>
    </row>
    <row r="562" spans="1:17" ht="15.75" hidden="1" customHeight="1" outlineLevel="2">
      <c r="A562" s="274"/>
      <c r="B562" s="159"/>
      <c r="C562" s="162" t="s">
        <v>362</v>
      </c>
      <c r="D562" s="160"/>
      <c r="E562" s="341">
        <f>CIP!$AN$51</f>
        <v>129374.99999999999</v>
      </c>
      <c r="F562" s="153"/>
      <c r="G562" s="202"/>
      <c r="H562" s="200"/>
      <c r="I562" s="156">
        <f>SUM(D562:H562)</f>
        <v>129374.99999999999</v>
      </c>
      <c r="J562" s="184"/>
      <c r="K562" s="217"/>
      <c r="L562" s="184"/>
      <c r="M562" s="222"/>
      <c r="N562" s="183"/>
      <c r="O562" s="417"/>
      <c r="P562" s="150">
        <f t="shared" ref="P562:P583" si="27">SUM(I562,K562,M562,O562)</f>
        <v>129374.99999999999</v>
      </c>
      <c r="Q562" s="569"/>
    </row>
    <row r="563" spans="1:17" ht="15.75" hidden="1" customHeight="1" outlineLevel="2">
      <c r="A563" s="274"/>
      <c r="B563" s="159"/>
      <c r="C563" s="162" t="s">
        <v>363</v>
      </c>
      <c r="D563" s="160"/>
      <c r="E563" s="153"/>
      <c r="F563" s="153"/>
      <c r="G563" s="202"/>
      <c r="H563" s="200"/>
      <c r="I563" s="156"/>
      <c r="J563" s="184">
        <v>225000</v>
      </c>
      <c r="K563" s="217">
        <f>J563*1.23</f>
        <v>276750</v>
      </c>
      <c r="L563" s="184"/>
      <c r="M563" s="222"/>
      <c r="N563" s="183"/>
      <c r="O563" s="417"/>
      <c r="P563" s="150">
        <f t="shared" si="27"/>
        <v>276750</v>
      </c>
      <c r="Q563" s="569"/>
    </row>
    <row r="564" spans="1:17" ht="15.75" hidden="1" customHeight="1" outlineLevel="2">
      <c r="A564" s="274"/>
      <c r="B564" s="159"/>
      <c r="C564" s="162" t="s">
        <v>358</v>
      </c>
      <c r="D564" s="160"/>
      <c r="E564" s="153"/>
      <c r="F564" s="153"/>
      <c r="G564" s="202"/>
      <c r="H564" s="200"/>
      <c r="I564" s="156"/>
      <c r="J564" s="184"/>
      <c r="K564" s="217"/>
      <c r="L564" s="184"/>
      <c r="M564" s="222"/>
      <c r="N564" s="183"/>
      <c r="O564" s="417"/>
      <c r="P564" s="150"/>
      <c r="Q564" s="569"/>
    </row>
    <row r="565" spans="1:17" ht="15.75" hidden="1" customHeight="1" outlineLevel="2">
      <c r="A565" s="274"/>
      <c r="B565" s="159"/>
      <c r="C565" s="162" t="s">
        <v>364</v>
      </c>
      <c r="D565" s="160"/>
      <c r="E565" s="153"/>
      <c r="F565" s="153"/>
      <c r="G565" s="202"/>
      <c r="H565" s="200"/>
      <c r="I565" s="156"/>
      <c r="J565" s="184"/>
      <c r="K565" s="217"/>
      <c r="L565" s="184"/>
      <c r="M565" s="222"/>
      <c r="N565" s="183"/>
      <c r="O565" s="417"/>
      <c r="P565" s="150"/>
      <c r="Q565" s="568" t="s">
        <v>1228</v>
      </c>
    </row>
    <row r="566" spans="1:17" ht="15.75" hidden="1" customHeight="1" outlineLevel="2">
      <c r="A566" s="274"/>
      <c r="B566" s="159"/>
      <c r="C566" s="142" t="s">
        <v>382</v>
      </c>
      <c r="D566" s="160"/>
      <c r="E566" s="153"/>
      <c r="F566" s="153"/>
      <c r="G566" s="202"/>
      <c r="H566" s="200"/>
      <c r="I566" s="156"/>
      <c r="J566" s="184"/>
      <c r="K566" s="217"/>
      <c r="L566" s="184"/>
      <c r="M566" s="222"/>
      <c r="N566" s="183"/>
      <c r="O566" s="417"/>
      <c r="P566" s="150"/>
      <c r="Q566" s="569"/>
    </row>
    <row r="567" spans="1:17" ht="15.75" hidden="1" customHeight="1" outlineLevel="2">
      <c r="A567" s="274"/>
      <c r="B567" s="159"/>
      <c r="C567" s="162" t="s">
        <v>366</v>
      </c>
      <c r="D567" s="160"/>
      <c r="E567" s="153"/>
      <c r="F567" s="153"/>
      <c r="G567" s="202"/>
      <c r="H567" s="200"/>
      <c r="I567" s="156"/>
      <c r="J567" s="184"/>
      <c r="K567" s="217"/>
      <c r="L567" s="184"/>
      <c r="M567" s="222"/>
      <c r="N567" s="183"/>
      <c r="O567" s="417"/>
      <c r="P567" s="150"/>
      <c r="Q567" s="569"/>
    </row>
    <row r="568" spans="1:17" ht="15.75" hidden="1" customHeight="1" outlineLevel="2">
      <c r="A568" s="274"/>
      <c r="B568" s="159"/>
      <c r="C568" s="162" t="s">
        <v>358</v>
      </c>
      <c r="D568" s="160"/>
      <c r="E568" s="153"/>
      <c r="F568" s="153"/>
      <c r="G568" s="202"/>
      <c r="H568" s="200"/>
      <c r="I568" s="156"/>
      <c r="J568" s="184"/>
      <c r="K568" s="217"/>
      <c r="L568" s="184"/>
      <c r="M568" s="222"/>
      <c r="N568" s="183"/>
      <c r="O568" s="417"/>
      <c r="P568" s="150"/>
      <c r="Q568" s="569"/>
    </row>
    <row r="569" spans="1:17" ht="15.75" hidden="1" customHeight="1" outlineLevel="2">
      <c r="A569" s="274"/>
      <c r="B569" s="159"/>
      <c r="C569" s="162" t="s">
        <v>367</v>
      </c>
      <c r="D569" s="160"/>
      <c r="E569" s="153"/>
      <c r="F569" s="153"/>
      <c r="G569" s="202"/>
      <c r="H569" s="200"/>
      <c r="I569" s="156"/>
      <c r="J569" s="184">
        <v>120000</v>
      </c>
      <c r="K569" s="217">
        <f>J569*1.23</f>
        <v>147600</v>
      </c>
      <c r="L569" s="184"/>
      <c r="M569" s="222"/>
      <c r="N569" s="183"/>
      <c r="O569" s="417"/>
      <c r="P569" s="150">
        <f t="shared" si="27"/>
        <v>147600</v>
      </c>
      <c r="Q569" s="569"/>
    </row>
    <row r="570" spans="1:17" ht="15.75" hidden="1" customHeight="1" outlineLevel="2">
      <c r="A570" s="274"/>
      <c r="B570" s="159"/>
      <c r="C570" s="162" t="s">
        <v>368</v>
      </c>
      <c r="D570" s="160"/>
      <c r="E570" s="153"/>
      <c r="F570" s="153"/>
      <c r="G570" s="202"/>
      <c r="H570" s="200"/>
      <c r="I570" s="156"/>
      <c r="J570" s="184"/>
      <c r="K570" s="217"/>
      <c r="L570" s="184"/>
      <c r="M570" s="222"/>
      <c r="N570" s="183"/>
      <c r="O570" s="417"/>
      <c r="P570" s="150"/>
      <c r="Q570" s="569"/>
    </row>
    <row r="571" spans="1:17" ht="15.75" hidden="1" customHeight="1" outlineLevel="2">
      <c r="A571" s="274"/>
      <c r="B571" s="159"/>
      <c r="C571" s="142" t="s">
        <v>383</v>
      </c>
      <c r="D571" s="160"/>
      <c r="E571" s="153"/>
      <c r="F571" s="153"/>
      <c r="G571" s="202"/>
      <c r="H571" s="200"/>
      <c r="I571" s="156"/>
      <c r="J571" s="184"/>
      <c r="K571" s="217"/>
      <c r="L571" s="184"/>
      <c r="M571" s="222"/>
      <c r="N571" s="183"/>
      <c r="O571" s="417"/>
      <c r="P571" s="150"/>
      <c r="Q571" s="569"/>
    </row>
    <row r="572" spans="1:17" ht="15.75" hidden="1" customHeight="1" outlineLevel="2">
      <c r="A572" s="274"/>
      <c r="B572" s="159"/>
      <c r="C572" s="162" t="s">
        <v>370</v>
      </c>
      <c r="D572" s="232"/>
      <c r="E572" s="202">
        <f>CIP!$AN$44</f>
        <v>103499.99999999999</v>
      </c>
      <c r="F572" s="200"/>
      <c r="G572" s="200"/>
      <c r="H572" s="200"/>
      <c r="I572" s="156">
        <f>SUM(D572:H572)</f>
        <v>103499.99999999999</v>
      </c>
      <c r="J572" s="184"/>
      <c r="K572" s="217"/>
      <c r="L572" s="184"/>
      <c r="M572" s="222"/>
      <c r="N572" s="183"/>
      <c r="O572" s="417"/>
      <c r="P572" s="150">
        <f t="shared" si="27"/>
        <v>103499.99999999999</v>
      </c>
      <c r="Q572" s="569" t="s">
        <v>1264</v>
      </c>
    </row>
    <row r="573" spans="1:17" ht="15.75" hidden="1" customHeight="1" outlineLevel="2">
      <c r="A573" s="274"/>
      <c r="B573" s="159"/>
      <c r="C573" s="162" t="s">
        <v>371</v>
      </c>
      <c r="D573" s="160"/>
      <c r="E573" s="153"/>
      <c r="F573" s="153"/>
      <c r="G573" s="202"/>
      <c r="H573" s="200"/>
      <c r="I573" s="156"/>
      <c r="J573" s="184"/>
      <c r="K573" s="217"/>
      <c r="L573" s="184"/>
      <c r="M573" s="222"/>
      <c r="N573" s="183"/>
      <c r="O573" s="417"/>
      <c r="P573" s="150"/>
      <c r="Q573" s="569"/>
    </row>
    <row r="574" spans="1:17" ht="15.75" hidden="1" customHeight="1" outlineLevel="2">
      <c r="A574" s="274"/>
      <c r="B574" s="159"/>
      <c r="C574" s="162" t="s">
        <v>372</v>
      </c>
      <c r="D574" s="160"/>
      <c r="E574" s="153"/>
      <c r="F574" s="153">
        <f>CIP!$AO$85</f>
        <v>401709.37499999994</v>
      </c>
      <c r="G574" s="202"/>
      <c r="H574" s="200"/>
      <c r="I574" s="156">
        <f>SUM(D574:H574)</f>
        <v>401709.37499999994</v>
      </c>
      <c r="J574" s="184"/>
      <c r="K574" s="217"/>
      <c r="L574" s="184"/>
      <c r="M574" s="222"/>
      <c r="N574" s="183"/>
      <c r="O574" s="417"/>
      <c r="P574" s="150">
        <f t="shared" si="27"/>
        <v>401709.37499999994</v>
      </c>
      <c r="Q574" s="569"/>
    </row>
    <row r="575" spans="1:17" ht="15.75" hidden="1" customHeight="1" outlineLevel="2">
      <c r="A575" s="274"/>
      <c r="B575" s="159"/>
      <c r="C575" s="162" t="s">
        <v>373</v>
      </c>
      <c r="D575" s="160"/>
      <c r="E575" s="153"/>
      <c r="F575" s="153"/>
      <c r="G575" s="202"/>
      <c r="H575" s="200"/>
      <c r="I575" s="156"/>
      <c r="J575" s="184"/>
      <c r="K575" s="217"/>
      <c r="L575" s="184"/>
      <c r="M575" s="222"/>
      <c r="N575" s="183"/>
      <c r="O575" s="417"/>
      <c r="P575" s="150"/>
      <c r="Q575" s="569"/>
    </row>
    <row r="576" spans="1:17" ht="15.75" hidden="1" customHeight="1" outlineLevel="2">
      <c r="A576" s="274"/>
      <c r="B576" s="159"/>
      <c r="C576" s="142" t="s">
        <v>384</v>
      </c>
      <c r="D576" s="160"/>
      <c r="E576" s="153"/>
      <c r="F576" s="153"/>
      <c r="G576" s="202"/>
      <c r="H576" s="200"/>
      <c r="I576" s="156"/>
      <c r="J576" s="184"/>
      <c r="K576" s="217"/>
      <c r="L576" s="184"/>
      <c r="M576" s="222"/>
      <c r="N576" s="183"/>
      <c r="O576" s="417"/>
      <c r="P576" s="150"/>
      <c r="Q576" s="569"/>
    </row>
    <row r="577" spans="1:17" ht="15.75" hidden="1" customHeight="1" outlineLevel="2">
      <c r="A577" s="274"/>
      <c r="B577" s="159"/>
      <c r="C577" s="162" t="s">
        <v>375</v>
      </c>
      <c r="D577" s="160"/>
      <c r="E577" s="153"/>
      <c r="F577" s="153"/>
      <c r="G577" s="202"/>
      <c r="H577" s="200"/>
      <c r="I577" s="156"/>
      <c r="J577" s="184">
        <v>250000</v>
      </c>
      <c r="K577" s="217">
        <f>J577*1.23</f>
        <v>307500</v>
      </c>
      <c r="L577" s="184"/>
      <c r="M577" s="222"/>
      <c r="N577" s="183"/>
      <c r="O577" s="417"/>
      <c r="P577" s="150">
        <f t="shared" si="27"/>
        <v>307500</v>
      </c>
      <c r="Q577" s="569"/>
    </row>
    <row r="578" spans="1:17" ht="15.75" hidden="1" customHeight="1" outlineLevel="2">
      <c r="A578" s="274"/>
      <c r="B578" s="159"/>
      <c r="C578" s="162" t="s">
        <v>376</v>
      </c>
      <c r="D578" s="160"/>
      <c r="E578" s="153"/>
      <c r="F578" s="153"/>
      <c r="G578" s="153"/>
      <c r="H578" s="154"/>
      <c r="I578" s="156"/>
      <c r="J578" s="184"/>
      <c r="K578" s="217"/>
      <c r="L578" s="184"/>
      <c r="M578" s="222"/>
      <c r="N578" s="183"/>
      <c r="O578" s="417"/>
      <c r="P578" s="150"/>
      <c r="Q578" s="569"/>
    </row>
    <row r="579" spans="1:17" ht="15.75" hidden="1" customHeight="1" outlineLevel="2">
      <c r="A579" s="274"/>
      <c r="B579" s="159"/>
      <c r="C579" s="162" t="s">
        <v>377</v>
      </c>
      <c r="D579" s="160"/>
      <c r="E579" s="153"/>
      <c r="F579" s="153"/>
      <c r="G579" s="153"/>
      <c r="H579" s="154"/>
      <c r="I579" s="156"/>
      <c r="J579" s="184"/>
      <c r="K579" s="217"/>
      <c r="L579" s="184"/>
      <c r="M579" s="222"/>
      <c r="N579" s="183"/>
      <c r="O579" s="417"/>
      <c r="P579" s="150"/>
      <c r="Q579" s="569"/>
    </row>
    <row r="580" spans="1:17" ht="15.75" hidden="1" customHeight="1" outlineLevel="2">
      <c r="A580" s="274"/>
      <c r="B580" s="159"/>
      <c r="C580" s="162" t="s">
        <v>400</v>
      </c>
      <c r="D580" s="160"/>
      <c r="E580" s="153"/>
      <c r="F580" s="153"/>
      <c r="G580" s="153"/>
      <c r="H580" s="154"/>
      <c r="I580" s="156"/>
      <c r="J580" s="184">
        <v>100000</v>
      </c>
      <c r="K580" s="217">
        <f>J580*1.23</f>
        <v>123000</v>
      </c>
      <c r="L580" s="184"/>
      <c r="M580" s="222"/>
      <c r="N580" s="183"/>
      <c r="O580" s="417"/>
      <c r="P580" s="150">
        <f t="shared" si="27"/>
        <v>123000</v>
      </c>
      <c r="Q580" s="569" t="s">
        <v>1265</v>
      </c>
    </row>
    <row r="581" spans="1:17" ht="15.75" hidden="1" customHeight="1" outlineLevel="2">
      <c r="A581" s="274"/>
      <c r="B581" s="159"/>
      <c r="C581" s="213" t="s">
        <v>868</v>
      </c>
      <c r="D581" s="160">
        <f>CIP!$AM$23</f>
        <v>75000</v>
      </c>
      <c r="E581" s="153"/>
      <c r="F581" s="153"/>
      <c r="G581" s="153"/>
      <c r="H581" s="154"/>
      <c r="I581" s="156">
        <f>SUM(D581:H581)</f>
        <v>75000</v>
      </c>
      <c r="J581" s="184"/>
      <c r="K581" s="217"/>
      <c r="L581" s="184"/>
      <c r="M581" s="222"/>
      <c r="N581" s="183">
        <v>15000000</v>
      </c>
      <c r="O581" s="417">
        <f>N581*1.73</f>
        <v>25950000</v>
      </c>
      <c r="P581" s="150">
        <f t="shared" si="27"/>
        <v>26025000</v>
      </c>
      <c r="Q581" s="569"/>
    </row>
    <row r="582" spans="1:17" ht="15.75" hidden="1" customHeight="1" outlineLevel="2">
      <c r="A582" s="274"/>
      <c r="B582" s="159"/>
      <c r="C582" s="142" t="s">
        <v>410</v>
      </c>
      <c r="D582" s="160"/>
      <c r="E582" s="153"/>
      <c r="F582" s="153"/>
      <c r="G582" s="153"/>
      <c r="H582" s="154"/>
      <c r="I582" s="156"/>
      <c r="J582" s="184"/>
      <c r="K582" s="217"/>
      <c r="L582" s="184"/>
      <c r="M582" s="222"/>
      <c r="N582" s="183">
        <v>1000000</v>
      </c>
      <c r="O582" s="431">
        <f>N582*1.73</f>
        <v>1730000</v>
      </c>
      <c r="P582" s="150">
        <f t="shared" si="27"/>
        <v>1730000</v>
      </c>
      <c r="Q582" s="569" t="s">
        <v>1266</v>
      </c>
    </row>
    <row r="583" spans="1:17" ht="15.75" hidden="1" customHeight="1" outlineLevel="1" collapsed="1">
      <c r="A583" s="274"/>
      <c r="B583" s="159"/>
      <c r="C583" s="142" t="s">
        <v>425</v>
      </c>
      <c r="D583" s="220">
        <f>SUM(D571:D582)</f>
        <v>75000</v>
      </c>
      <c r="E583" s="217">
        <f>SUM(E555:E582)</f>
        <v>232874.99999999997</v>
      </c>
      <c r="F583" s="217">
        <f>SUM(F557:F582)</f>
        <v>401709.37499999994</v>
      </c>
      <c r="G583" s="217"/>
      <c r="H583" s="219"/>
      <c r="I583" s="150">
        <f>SUM(I556:I582)</f>
        <v>709584.37499999988</v>
      </c>
      <c r="J583" s="147">
        <f>SUM(J556:J582)</f>
        <v>945000</v>
      </c>
      <c r="K583" s="217">
        <f>J583*1.23</f>
        <v>1162350</v>
      </c>
      <c r="L583" s="147"/>
      <c r="M583" s="222"/>
      <c r="N583" s="183">
        <f>SUM(N559:N582)</f>
        <v>16000000</v>
      </c>
      <c r="O583" s="417">
        <f>N583*1.73</f>
        <v>27680000</v>
      </c>
      <c r="P583" s="150">
        <f t="shared" si="27"/>
        <v>29551934.375</v>
      </c>
      <c r="Q583" s="569"/>
    </row>
    <row r="584" spans="1:17" ht="15.75" hidden="1" customHeight="1" outlineLevel="2">
      <c r="A584" s="274"/>
      <c r="B584" s="142" t="s">
        <v>426</v>
      </c>
      <c r="C584" s="159"/>
      <c r="D584" s="160"/>
      <c r="E584" s="153"/>
      <c r="F584" s="153"/>
      <c r="G584" s="153"/>
      <c r="H584" s="154"/>
      <c r="I584" s="146"/>
      <c r="J584" s="147"/>
      <c r="K584" s="221"/>
      <c r="L584" s="147"/>
      <c r="M584" s="222"/>
      <c r="N584" s="183"/>
      <c r="O584" s="421"/>
      <c r="P584" s="150"/>
      <c r="Q584" s="569"/>
    </row>
    <row r="585" spans="1:17" ht="15.75" hidden="1" customHeight="1" outlineLevel="2">
      <c r="A585" s="274"/>
      <c r="B585" s="159"/>
      <c r="C585" s="142" t="s">
        <v>380</v>
      </c>
      <c r="D585" s="160"/>
      <c r="E585" s="153"/>
      <c r="F585" s="153"/>
      <c r="G585" s="153"/>
      <c r="H585" s="154"/>
      <c r="I585" s="146"/>
      <c r="J585" s="147"/>
      <c r="K585" s="221"/>
      <c r="L585" s="147"/>
      <c r="M585" s="222"/>
      <c r="N585" s="183"/>
      <c r="O585" s="421"/>
      <c r="P585" s="150"/>
      <c r="Q585" s="569"/>
    </row>
    <row r="586" spans="1:17" ht="15.75" hidden="1" customHeight="1" outlineLevel="2">
      <c r="A586" s="274"/>
      <c r="B586" s="159"/>
      <c r="C586" s="162" t="s">
        <v>398</v>
      </c>
      <c r="D586" s="160"/>
      <c r="E586" s="153"/>
      <c r="F586" s="153"/>
      <c r="G586" s="153"/>
      <c r="H586" s="154"/>
      <c r="I586" s="146"/>
      <c r="J586" s="147"/>
      <c r="K586" s="221"/>
      <c r="L586" s="147"/>
      <c r="M586" s="222"/>
      <c r="N586" s="183"/>
      <c r="O586" s="421"/>
      <c r="P586" s="150"/>
      <c r="Q586" s="569"/>
    </row>
    <row r="587" spans="1:17" ht="15.75" hidden="1" customHeight="1" outlineLevel="2">
      <c r="A587" s="274"/>
      <c r="B587" s="159"/>
      <c r="C587" s="162" t="s">
        <v>357</v>
      </c>
      <c r="D587" s="160"/>
      <c r="E587" s="153"/>
      <c r="F587" s="153"/>
      <c r="G587" s="153"/>
      <c r="H587" s="154"/>
      <c r="I587" s="146"/>
      <c r="J587" s="149">
        <v>75000</v>
      </c>
      <c r="K587" s="217">
        <f>J587*1.23</f>
        <v>92250</v>
      </c>
      <c r="L587" s="147"/>
      <c r="M587" s="222"/>
      <c r="N587" s="183"/>
      <c r="O587" s="421"/>
      <c r="P587" s="150">
        <f t="shared" ref="P587:P612" si="28">SUM(I587,K587,M587,O587)</f>
        <v>92250</v>
      </c>
      <c r="Q587" s="569"/>
    </row>
    <row r="588" spans="1:17" ht="15.75" hidden="1" customHeight="1" outlineLevel="2">
      <c r="A588" s="274"/>
      <c r="B588" s="159"/>
      <c r="C588" s="162" t="s">
        <v>358</v>
      </c>
      <c r="D588" s="160"/>
      <c r="E588" s="153"/>
      <c r="F588" s="153"/>
      <c r="G588" s="153"/>
      <c r="H588" s="154"/>
      <c r="I588" s="196"/>
      <c r="J588" s="197"/>
      <c r="K588" s="221"/>
      <c r="L588" s="147"/>
      <c r="M588" s="222"/>
      <c r="N588" s="183"/>
      <c r="O588" s="421"/>
      <c r="P588" s="150"/>
      <c r="Q588" s="569"/>
    </row>
    <row r="589" spans="1:17" ht="15.75" hidden="1" customHeight="1" outlineLevel="2">
      <c r="A589" s="274"/>
      <c r="B589" s="159"/>
      <c r="C589" s="162" t="s">
        <v>359</v>
      </c>
      <c r="D589" s="160"/>
      <c r="E589" s="153"/>
      <c r="F589" s="153"/>
      <c r="G589" s="153"/>
      <c r="H589" s="154"/>
      <c r="I589" s="146"/>
      <c r="J589" s="147">
        <v>250000</v>
      </c>
      <c r="K589" s="217">
        <f>J589*1.23</f>
        <v>307500</v>
      </c>
      <c r="L589" s="147"/>
      <c r="M589" s="222"/>
      <c r="N589" s="183"/>
      <c r="O589" s="421"/>
      <c r="P589" s="150">
        <f t="shared" si="28"/>
        <v>307500</v>
      </c>
      <c r="Q589" s="568" t="s">
        <v>1228</v>
      </c>
    </row>
    <row r="590" spans="1:17" ht="15.75" hidden="1" customHeight="1" outlineLevel="2">
      <c r="A590" s="274"/>
      <c r="B590" s="159"/>
      <c r="C590" s="162" t="s">
        <v>399</v>
      </c>
      <c r="D590" s="160">
        <f>CIP!$AM$19</f>
        <v>100000</v>
      </c>
      <c r="E590" s="153"/>
      <c r="F590" s="153"/>
      <c r="G590" s="153"/>
      <c r="H590" s="154"/>
      <c r="I590" s="146">
        <v>100000</v>
      </c>
      <c r="J590" s="147"/>
      <c r="K590" s="221"/>
      <c r="L590" s="147"/>
      <c r="M590" s="222"/>
      <c r="N590" s="183"/>
      <c r="O590" s="421"/>
      <c r="P590" s="150">
        <f t="shared" si="28"/>
        <v>100000</v>
      </c>
      <c r="Q590" s="568" t="s">
        <v>1267</v>
      </c>
    </row>
    <row r="591" spans="1:17" ht="15.75" hidden="1" customHeight="1" outlineLevel="2">
      <c r="A591" s="274"/>
      <c r="B591" s="159"/>
      <c r="C591" s="142" t="s">
        <v>381</v>
      </c>
      <c r="D591" s="160"/>
      <c r="E591" s="153"/>
      <c r="F591" s="153"/>
      <c r="G591" s="153"/>
      <c r="H591" s="154"/>
      <c r="I591" s="146"/>
      <c r="J591" s="147"/>
      <c r="K591" s="221"/>
      <c r="L591" s="147"/>
      <c r="M591" s="222"/>
      <c r="N591" s="183"/>
      <c r="O591" s="421"/>
      <c r="P591" s="150"/>
      <c r="Q591" s="568"/>
    </row>
    <row r="592" spans="1:17" ht="15.75" hidden="1" customHeight="1" outlineLevel="2">
      <c r="A592" s="274"/>
      <c r="B592" s="159"/>
      <c r="C592" s="162" t="s">
        <v>362</v>
      </c>
      <c r="D592" s="160"/>
      <c r="E592" s="153"/>
      <c r="F592" s="153"/>
      <c r="G592" s="153"/>
      <c r="H592" s="154"/>
      <c r="I592" s="146"/>
      <c r="J592" s="147"/>
      <c r="K592" s="221"/>
      <c r="L592" s="147"/>
      <c r="M592" s="222"/>
      <c r="N592" s="183">
        <v>200000</v>
      </c>
      <c r="O592" s="421">
        <f>N592*1.73</f>
        <v>346000</v>
      </c>
      <c r="P592" s="150">
        <f t="shared" si="28"/>
        <v>346000</v>
      </c>
      <c r="Q592" s="568"/>
    </row>
    <row r="593" spans="1:17" ht="15.75" hidden="1" customHeight="1" outlineLevel="2">
      <c r="A593" s="274"/>
      <c r="B593" s="159"/>
      <c r="C593" s="162" t="s">
        <v>363</v>
      </c>
      <c r="D593" s="160"/>
      <c r="E593" s="153"/>
      <c r="F593" s="153"/>
      <c r="G593" s="153"/>
      <c r="H593" s="154"/>
      <c r="I593" s="146"/>
      <c r="J593" s="147">
        <v>75000</v>
      </c>
      <c r="K593" s="217">
        <f>J593*1.23</f>
        <v>92250</v>
      </c>
      <c r="L593" s="147"/>
      <c r="M593" s="222"/>
      <c r="N593" s="183"/>
      <c r="O593" s="421"/>
      <c r="P593" s="150">
        <f t="shared" si="28"/>
        <v>92250</v>
      </c>
      <c r="Q593" s="568"/>
    </row>
    <row r="594" spans="1:17" ht="15.75" hidden="1" customHeight="1" outlineLevel="2">
      <c r="A594" s="274"/>
      <c r="B594" s="159"/>
      <c r="C594" s="162" t="s">
        <v>358</v>
      </c>
      <c r="D594" s="160"/>
      <c r="E594" s="153"/>
      <c r="F594" s="153"/>
      <c r="G594" s="153"/>
      <c r="H594" s="154"/>
      <c r="I594" s="146"/>
      <c r="J594" s="147"/>
      <c r="K594" s="221"/>
      <c r="L594" s="147"/>
      <c r="M594" s="222"/>
      <c r="N594" s="183"/>
      <c r="O594" s="421"/>
      <c r="P594" s="150"/>
      <c r="Q594" s="568"/>
    </row>
    <row r="595" spans="1:17" ht="15.75" hidden="1" customHeight="1" outlineLevel="2">
      <c r="A595" s="274"/>
      <c r="B595" s="159"/>
      <c r="C595" s="162" t="s">
        <v>364</v>
      </c>
      <c r="D595" s="160"/>
      <c r="E595" s="153"/>
      <c r="F595" s="153"/>
      <c r="G595" s="153"/>
      <c r="H595" s="154"/>
      <c r="I595" s="146"/>
      <c r="J595" s="147"/>
      <c r="K595" s="221"/>
      <c r="L595" s="147"/>
      <c r="M595" s="222"/>
      <c r="N595" s="183"/>
      <c r="O595" s="421"/>
      <c r="P595" s="150"/>
      <c r="Q595" s="568" t="s">
        <v>1239</v>
      </c>
    </row>
    <row r="596" spans="1:17" ht="15.75" hidden="1" customHeight="1" outlineLevel="2">
      <c r="A596" s="274"/>
      <c r="B596" s="159"/>
      <c r="C596" s="142" t="s">
        <v>382</v>
      </c>
      <c r="D596" s="160"/>
      <c r="E596" s="153"/>
      <c r="F596" s="153"/>
      <c r="G596" s="153"/>
      <c r="H596" s="154"/>
      <c r="I596" s="146"/>
      <c r="J596" s="147"/>
      <c r="K596" s="221"/>
      <c r="L596" s="147"/>
      <c r="M596" s="222"/>
      <c r="N596" s="183"/>
      <c r="O596" s="421"/>
      <c r="P596" s="150"/>
      <c r="Q596" s="569"/>
    </row>
    <row r="597" spans="1:17" ht="15.75" hidden="1" customHeight="1" outlineLevel="2">
      <c r="A597" s="274"/>
      <c r="B597" s="159"/>
      <c r="C597" s="162" t="s">
        <v>366</v>
      </c>
      <c r="D597" s="160"/>
      <c r="E597" s="153"/>
      <c r="F597" s="153"/>
      <c r="G597" s="153"/>
      <c r="H597" s="154"/>
      <c r="I597" s="146"/>
      <c r="J597" s="147"/>
      <c r="K597" s="221"/>
      <c r="L597" s="147"/>
      <c r="M597" s="222"/>
      <c r="N597" s="183"/>
      <c r="O597" s="421"/>
      <c r="P597" s="150"/>
      <c r="Q597" s="569"/>
    </row>
    <row r="598" spans="1:17" ht="15.75" hidden="1" customHeight="1" outlineLevel="2">
      <c r="A598" s="274"/>
      <c r="B598" s="159"/>
      <c r="C598" s="162" t="s">
        <v>358</v>
      </c>
      <c r="D598" s="160"/>
      <c r="E598" s="153"/>
      <c r="F598" s="153"/>
      <c r="G598" s="153"/>
      <c r="H598" s="154"/>
      <c r="I598" s="146"/>
      <c r="J598" s="147"/>
      <c r="K598" s="221"/>
      <c r="L598" s="147"/>
      <c r="M598" s="222"/>
      <c r="N598" s="183"/>
      <c r="O598" s="421"/>
      <c r="P598" s="150"/>
      <c r="Q598" s="569"/>
    </row>
    <row r="599" spans="1:17" ht="15.75" hidden="1" customHeight="1" outlineLevel="2">
      <c r="A599" s="274"/>
      <c r="B599" s="159"/>
      <c r="C599" s="162" t="s">
        <v>367</v>
      </c>
      <c r="D599" s="160"/>
      <c r="E599" s="153"/>
      <c r="F599" s="153"/>
      <c r="G599" s="153"/>
      <c r="H599" s="154"/>
      <c r="I599" s="146"/>
      <c r="J599" s="147"/>
      <c r="K599" s="221"/>
      <c r="L599" s="147"/>
      <c r="M599" s="222"/>
      <c r="N599" s="183"/>
      <c r="O599" s="421"/>
      <c r="P599" s="150"/>
      <c r="Q599" s="569"/>
    </row>
    <row r="600" spans="1:17" ht="15.75" hidden="1" customHeight="1" outlineLevel="2">
      <c r="A600" s="274"/>
      <c r="B600" s="159"/>
      <c r="C600" s="162" t="s">
        <v>368</v>
      </c>
      <c r="D600" s="160"/>
      <c r="E600" s="153"/>
      <c r="F600" s="153"/>
      <c r="G600" s="153"/>
      <c r="H600" s="154"/>
      <c r="I600" s="146"/>
      <c r="J600" s="147"/>
      <c r="K600" s="221"/>
      <c r="L600" s="147"/>
      <c r="M600" s="222"/>
      <c r="N600" s="183"/>
      <c r="O600" s="421"/>
      <c r="P600" s="150"/>
      <c r="Q600" s="569"/>
    </row>
    <row r="601" spans="1:17" ht="15.75" hidden="1" customHeight="1" outlineLevel="2">
      <c r="A601" s="274"/>
      <c r="B601" s="159"/>
      <c r="C601" s="142" t="s">
        <v>383</v>
      </c>
      <c r="D601" s="160"/>
      <c r="E601" s="153"/>
      <c r="F601" s="153"/>
      <c r="G601" s="153"/>
      <c r="H601" s="154"/>
      <c r="I601" s="146"/>
      <c r="J601" s="147"/>
      <c r="K601" s="221"/>
      <c r="L601" s="147"/>
      <c r="M601" s="222"/>
      <c r="N601" s="183"/>
      <c r="O601" s="421"/>
      <c r="P601" s="150"/>
      <c r="Q601" s="569"/>
    </row>
    <row r="602" spans="1:17" ht="15.75" hidden="1" customHeight="1" outlineLevel="2">
      <c r="A602" s="274"/>
      <c r="B602" s="159"/>
      <c r="C602" s="162" t="s">
        <v>370</v>
      </c>
      <c r="D602" s="160"/>
      <c r="E602" s="153"/>
      <c r="F602" s="153"/>
      <c r="G602" s="153"/>
      <c r="H602" s="154"/>
      <c r="I602" s="146"/>
      <c r="J602" s="147"/>
      <c r="K602" s="221"/>
      <c r="L602" s="147"/>
      <c r="M602" s="222"/>
      <c r="N602" s="183"/>
      <c r="O602" s="421"/>
      <c r="P602" s="150"/>
      <c r="Q602" s="569"/>
    </row>
    <row r="603" spans="1:17" ht="15.75" hidden="1" customHeight="1" outlineLevel="2">
      <c r="A603" s="274"/>
      <c r="B603" s="159"/>
      <c r="C603" s="162" t="s">
        <v>371</v>
      </c>
      <c r="D603" s="160"/>
      <c r="E603" s="153"/>
      <c r="F603" s="153"/>
      <c r="G603" s="153"/>
      <c r="H603" s="154"/>
      <c r="I603" s="146"/>
      <c r="J603" s="261">
        <v>500000</v>
      </c>
      <c r="K603" s="217">
        <f>J603*1.23</f>
        <v>615000</v>
      </c>
      <c r="L603" s="147"/>
      <c r="M603" s="222"/>
      <c r="N603" s="183"/>
      <c r="O603" s="421"/>
      <c r="P603" s="150">
        <f t="shared" si="28"/>
        <v>615000</v>
      </c>
      <c r="Q603" s="569"/>
    </row>
    <row r="604" spans="1:17" ht="15.75" hidden="1" customHeight="1" outlineLevel="2">
      <c r="A604" s="274"/>
      <c r="B604" s="159"/>
      <c r="C604" s="162" t="s">
        <v>372</v>
      </c>
      <c r="D604" s="160"/>
      <c r="E604" s="153"/>
      <c r="F604" s="153"/>
      <c r="G604" s="153"/>
      <c r="H604" s="154"/>
      <c r="I604" s="146"/>
      <c r="J604" s="147">
        <v>250000</v>
      </c>
      <c r="K604" s="217">
        <f>J604*1.23</f>
        <v>307500</v>
      </c>
      <c r="L604" s="147"/>
      <c r="M604" s="222"/>
      <c r="N604" s="183"/>
      <c r="O604" s="421"/>
      <c r="P604" s="150">
        <f t="shared" si="28"/>
        <v>307500</v>
      </c>
      <c r="Q604" s="569"/>
    </row>
    <row r="605" spans="1:17" ht="15.75" hidden="1" customHeight="1" outlineLevel="2">
      <c r="A605" s="274"/>
      <c r="B605" s="159"/>
      <c r="C605" s="162" t="s">
        <v>373</v>
      </c>
      <c r="D605" s="160"/>
      <c r="E605" s="153"/>
      <c r="F605" s="153"/>
      <c r="G605" s="153"/>
      <c r="H605" s="154"/>
      <c r="I605" s="146"/>
      <c r="J605" s="147"/>
      <c r="K605" s="221"/>
      <c r="L605" s="147"/>
      <c r="M605" s="222"/>
      <c r="N605" s="183"/>
      <c r="O605" s="421"/>
      <c r="P605" s="150"/>
      <c r="Q605" s="569"/>
    </row>
    <row r="606" spans="1:17" ht="15.75" hidden="1" customHeight="1" outlineLevel="2">
      <c r="A606" s="274"/>
      <c r="B606" s="159"/>
      <c r="C606" s="142" t="s">
        <v>384</v>
      </c>
      <c r="D606" s="160"/>
      <c r="E606" s="153"/>
      <c r="F606" s="153"/>
      <c r="G606" s="153"/>
      <c r="H606" s="154"/>
      <c r="I606" s="146"/>
      <c r="J606" s="147"/>
      <c r="K606" s="221"/>
      <c r="L606" s="147"/>
      <c r="M606" s="222"/>
      <c r="N606" s="183"/>
      <c r="O606" s="421"/>
      <c r="P606" s="150"/>
      <c r="Q606" s="569"/>
    </row>
    <row r="607" spans="1:17" ht="15.75" hidden="1" customHeight="1" outlineLevel="2">
      <c r="A607" s="274"/>
      <c r="B607" s="159"/>
      <c r="C607" s="162" t="s">
        <v>375</v>
      </c>
      <c r="D607" s="160"/>
      <c r="E607" s="153"/>
      <c r="F607" s="153"/>
      <c r="G607" s="153"/>
      <c r="H607" s="154"/>
      <c r="I607" s="146"/>
      <c r="J607" s="147"/>
      <c r="K607" s="221"/>
      <c r="L607" s="147"/>
      <c r="M607" s="222"/>
      <c r="N607" s="183"/>
      <c r="O607" s="421"/>
      <c r="P607" s="150"/>
      <c r="Q607" s="569"/>
    </row>
    <row r="608" spans="1:17" ht="15.75" hidden="1" customHeight="1" outlineLevel="2">
      <c r="A608" s="274"/>
      <c r="B608" s="159"/>
      <c r="C608" s="162" t="s">
        <v>376</v>
      </c>
      <c r="D608" s="160"/>
      <c r="E608" s="153"/>
      <c r="F608" s="153"/>
      <c r="G608" s="153"/>
      <c r="H608" s="154"/>
      <c r="I608" s="146"/>
      <c r="J608" s="147"/>
      <c r="K608" s="221"/>
      <c r="L608" s="147"/>
      <c r="M608" s="222"/>
      <c r="N608" s="183"/>
      <c r="O608" s="421"/>
      <c r="P608" s="150"/>
      <c r="Q608" s="569"/>
    </row>
    <row r="609" spans="1:17" ht="15.75" hidden="1" customHeight="1" outlineLevel="2">
      <c r="A609" s="274"/>
      <c r="B609" s="159"/>
      <c r="C609" s="162" t="s">
        <v>377</v>
      </c>
      <c r="D609" s="160"/>
      <c r="E609" s="153"/>
      <c r="F609" s="153"/>
      <c r="G609" s="153"/>
      <c r="H609" s="154"/>
      <c r="I609" s="146"/>
      <c r="J609" s="147"/>
      <c r="K609" s="221"/>
      <c r="L609" s="147"/>
      <c r="M609" s="222"/>
      <c r="N609" s="183"/>
      <c r="O609" s="421"/>
      <c r="P609" s="150"/>
      <c r="Q609" s="569"/>
    </row>
    <row r="610" spans="1:17" ht="15.75" hidden="1" customHeight="1" outlineLevel="2">
      <c r="A610" s="274"/>
      <c r="B610" s="159"/>
      <c r="C610" s="162" t="s">
        <v>400</v>
      </c>
      <c r="D610" s="160"/>
      <c r="E610" s="153"/>
      <c r="F610" s="153"/>
      <c r="G610" s="153"/>
      <c r="H610" s="154"/>
      <c r="I610" s="146"/>
      <c r="J610" s="147">
        <v>100000</v>
      </c>
      <c r="K610" s="217">
        <f>J610*1.23</f>
        <v>123000</v>
      </c>
      <c r="L610" s="147"/>
      <c r="M610" s="222"/>
      <c r="N610" s="183"/>
      <c r="O610" s="421"/>
      <c r="P610" s="150">
        <f t="shared" si="28"/>
        <v>123000</v>
      </c>
      <c r="Q610" s="569"/>
    </row>
    <row r="611" spans="1:17" ht="15.75" hidden="1" customHeight="1" outlineLevel="2">
      <c r="A611" s="274"/>
      <c r="B611" s="159"/>
      <c r="C611" s="142" t="s">
        <v>423</v>
      </c>
      <c r="D611" s="160"/>
      <c r="E611" s="153"/>
      <c r="F611" s="153"/>
      <c r="G611" s="153"/>
      <c r="H611" s="154"/>
      <c r="I611" s="146"/>
      <c r="J611" s="147"/>
      <c r="K611" s="221"/>
      <c r="L611" s="147"/>
      <c r="M611" s="222"/>
      <c r="N611" s="183"/>
      <c r="O611" s="421"/>
      <c r="P611" s="150"/>
      <c r="Q611" s="569"/>
    </row>
    <row r="612" spans="1:17" s="130" customFormat="1" ht="15.75" hidden="1" customHeight="1" outlineLevel="1" collapsed="1">
      <c r="A612" s="275"/>
      <c r="B612" s="142"/>
      <c r="C612" s="142" t="s">
        <v>426</v>
      </c>
      <c r="D612" s="220">
        <f>SUM(D586:D611)</f>
        <v>100000</v>
      </c>
      <c r="E612" s="217"/>
      <c r="F612" s="217"/>
      <c r="G612" s="217"/>
      <c r="H612" s="219"/>
      <c r="I612" s="150">
        <f>SUM(I585:I611)</f>
        <v>100000</v>
      </c>
      <c r="J612" s="147">
        <f>SUM(J585:J611)</f>
        <v>1250000</v>
      </c>
      <c r="K612" s="217">
        <f>J612*1.23</f>
        <v>1537500</v>
      </c>
      <c r="L612" s="147"/>
      <c r="M612" s="222"/>
      <c r="N612" s="183">
        <f>SUM(N585:N611)</f>
        <v>200000</v>
      </c>
      <c r="O612" s="421">
        <f>N612*1.73</f>
        <v>346000</v>
      </c>
      <c r="P612" s="150">
        <f t="shared" si="28"/>
        <v>1983500</v>
      </c>
      <c r="Q612" s="575"/>
    </row>
    <row r="613" spans="1:17" ht="15.75" hidden="1" customHeight="1" outlineLevel="2">
      <c r="A613" s="274"/>
      <c r="B613" s="142" t="s">
        <v>427</v>
      </c>
      <c r="C613" s="159"/>
      <c r="D613" s="160"/>
      <c r="E613" s="153"/>
      <c r="F613" s="153"/>
      <c r="G613" s="153"/>
      <c r="H613" s="154"/>
      <c r="I613" s="163"/>
      <c r="J613" s="147"/>
      <c r="K613" s="221"/>
      <c r="L613" s="147"/>
      <c r="M613" s="222"/>
      <c r="N613" s="183"/>
      <c r="O613" s="421"/>
      <c r="P613" s="150"/>
      <c r="Q613" s="569"/>
    </row>
    <row r="614" spans="1:17" ht="15.75" hidden="1" customHeight="1" outlineLevel="2">
      <c r="A614" s="274"/>
      <c r="B614" s="159"/>
      <c r="C614" s="142" t="s">
        <v>380</v>
      </c>
      <c r="D614" s="160"/>
      <c r="E614" s="153"/>
      <c r="F614" s="153"/>
      <c r="G614" s="153"/>
      <c r="H614" s="154"/>
      <c r="I614" s="163"/>
      <c r="J614" s="147"/>
      <c r="K614" s="221"/>
      <c r="L614" s="184"/>
      <c r="M614" s="222"/>
      <c r="N614" s="183"/>
      <c r="O614" s="421"/>
      <c r="P614" s="207"/>
      <c r="Q614" s="569"/>
    </row>
    <row r="615" spans="1:17" ht="15.75" hidden="1" customHeight="1" outlineLevel="2">
      <c r="A615" s="274"/>
      <c r="B615" s="159"/>
      <c r="C615" s="162" t="s">
        <v>428</v>
      </c>
      <c r="D615" s="160"/>
      <c r="E615" s="153"/>
      <c r="F615" s="153"/>
      <c r="G615" s="153"/>
      <c r="H615" s="154"/>
      <c r="I615" s="163"/>
      <c r="J615" s="147"/>
      <c r="K615" s="221"/>
      <c r="L615" s="184"/>
      <c r="M615" s="222"/>
      <c r="N615" s="183">
        <v>750000</v>
      </c>
      <c r="O615" s="421">
        <f>N615*1.73</f>
        <v>1297500</v>
      </c>
      <c r="P615" s="150">
        <f t="shared" ref="P615:P618" si="29">SUM(I615,K615,M615,O615)</f>
        <v>1297500</v>
      </c>
      <c r="Q615" s="569" t="s">
        <v>1268</v>
      </c>
    </row>
    <row r="616" spans="1:17" ht="15.75" hidden="1" customHeight="1" outlineLevel="2">
      <c r="A616" s="274"/>
      <c r="B616" s="159"/>
      <c r="C616" s="162" t="s">
        <v>357</v>
      </c>
      <c r="D616" s="160"/>
      <c r="E616" s="153"/>
      <c r="F616" s="153"/>
      <c r="G616" s="153"/>
      <c r="H616" s="154"/>
      <c r="I616" s="163"/>
      <c r="J616" s="149">
        <v>75000</v>
      </c>
      <c r="K616" s="217">
        <f>J616*1.23</f>
        <v>92250</v>
      </c>
      <c r="L616" s="184"/>
      <c r="M616" s="222"/>
      <c r="N616" s="183"/>
      <c r="O616" s="421"/>
      <c r="P616" s="150">
        <f t="shared" si="29"/>
        <v>92250</v>
      </c>
      <c r="Q616" s="569"/>
    </row>
    <row r="617" spans="1:17" ht="15.75" hidden="1" customHeight="1" outlineLevel="2">
      <c r="A617" s="274"/>
      <c r="B617" s="159"/>
      <c r="C617" s="162" t="s">
        <v>358</v>
      </c>
      <c r="D617" s="160"/>
      <c r="E617" s="153"/>
      <c r="F617" s="153"/>
      <c r="G617" s="153"/>
      <c r="H617" s="154"/>
      <c r="I617" s="196"/>
      <c r="J617" s="149"/>
      <c r="K617" s="221"/>
      <c r="L617" s="184"/>
      <c r="M617" s="222"/>
      <c r="N617" s="183"/>
      <c r="O617" s="421"/>
      <c r="P617" s="207"/>
      <c r="Q617" s="569"/>
    </row>
    <row r="618" spans="1:17" ht="15.75" hidden="1" customHeight="1" outlineLevel="2">
      <c r="A618" s="274"/>
      <c r="B618" s="159"/>
      <c r="C618" s="162" t="s">
        <v>359</v>
      </c>
      <c r="D618" s="160"/>
      <c r="E618" s="153"/>
      <c r="F618" s="153"/>
      <c r="G618" s="153"/>
      <c r="H618" s="154"/>
      <c r="I618" s="163"/>
      <c r="J618" s="149">
        <v>300000</v>
      </c>
      <c r="K618" s="217">
        <f>J618*1.23</f>
        <v>369000</v>
      </c>
      <c r="L618" s="184"/>
      <c r="M618" s="222"/>
      <c r="N618" s="183"/>
      <c r="O618" s="421"/>
      <c r="P618" s="150">
        <f t="shared" si="29"/>
        <v>369000</v>
      </c>
      <c r="Q618" s="568" t="s">
        <v>1269</v>
      </c>
    </row>
    <row r="619" spans="1:17" ht="15.75" hidden="1" customHeight="1" outlineLevel="2">
      <c r="A619" s="274"/>
      <c r="B619" s="159"/>
      <c r="C619" s="162" t="s">
        <v>399</v>
      </c>
      <c r="D619" s="160"/>
      <c r="E619" s="153"/>
      <c r="F619" s="153"/>
      <c r="G619" s="153"/>
      <c r="H619" s="154"/>
      <c r="I619" s="163"/>
      <c r="J619" s="147"/>
      <c r="K619" s="221"/>
      <c r="L619" s="147"/>
      <c r="M619" s="222"/>
      <c r="N619" s="183"/>
      <c r="O619" s="421"/>
      <c r="P619" s="150"/>
      <c r="Q619" s="568" t="s">
        <v>1243</v>
      </c>
    </row>
    <row r="620" spans="1:17" ht="15.75" hidden="1" customHeight="1" outlineLevel="2">
      <c r="A620" s="274"/>
      <c r="B620" s="159"/>
      <c r="C620" s="142" t="s">
        <v>381</v>
      </c>
      <c r="D620" s="160"/>
      <c r="E620" s="153"/>
      <c r="F620" s="153"/>
      <c r="G620" s="153"/>
      <c r="H620" s="154"/>
      <c r="I620" s="163"/>
      <c r="J620" s="147"/>
      <c r="K620" s="221"/>
      <c r="L620" s="147"/>
      <c r="M620" s="222"/>
      <c r="N620" s="183"/>
      <c r="O620" s="421"/>
      <c r="P620" s="150"/>
      <c r="Q620" s="568"/>
    </row>
    <row r="621" spans="1:17" ht="15.75" hidden="1" customHeight="1" outlineLevel="2">
      <c r="A621" s="274"/>
      <c r="B621" s="159"/>
      <c r="C621" s="162" t="s">
        <v>362</v>
      </c>
      <c r="D621" s="160"/>
      <c r="E621" s="153"/>
      <c r="F621" s="153"/>
      <c r="G621" s="153"/>
      <c r="H621" s="154"/>
      <c r="I621" s="163"/>
      <c r="J621" s="147"/>
      <c r="K621" s="221"/>
      <c r="L621" s="147"/>
      <c r="M621" s="222"/>
      <c r="N621" s="183"/>
      <c r="O621" s="421"/>
      <c r="P621" s="150"/>
      <c r="Q621" s="568"/>
    </row>
    <row r="622" spans="1:17" ht="15.75" hidden="1" customHeight="1" outlineLevel="2">
      <c r="A622" s="274"/>
      <c r="B622" s="159"/>
      <c r="C622" s="162" t="s">
        <v>363</v>
      </c>
      <c r="D622" s="160"/>
      <c r="E622" s="153"/>
      <c r="F622" s="153"/>
      <c r="G622" s="153"/>
      <c r="H622" s="154"/>
      <c r="I622" s="163"/>
      <c r="J622" s="147"/>
      <c r="K622" s="221"/>
      <c r="L622" s="147"/>
      <c r="M622" s="222"/>
      <c r="N622" s="183"/>
      <c r="O622" s="421"/>
      <c r="P622" s="150"/>
      <c r="Q622" s="568"/>
    </row>
    <row r="623" spans="1:17" ht="15.75" hidden="1" customHeight="1" outlineLevel="2">
      <c r="A623" s="274"/>
      <c r="B623" s="159"/>
      <c r="C623" s="162" t="s">
        <v>358</v>
      </c>
      <c r="D623" s="160"/>
      <c r="E623" s="153"/>
      <c r="F623" s="153"/>
      <c r="G623" s="153"/>
      <c r="H623" s="154"/>
      <c r="I623" s="163"/>
      <c r="J623" s="147"/>
      <c r="K623" s="221"/>
      <c r="L623" s="147"/>
      <c r="M623" s="222"/>
      <c r="N623" s="183"/>
      <c r="O623" s="421"/>
      <c r="P623" s="150"/>
      <c r="Q623" s="568"/>
    </row>
    <row r="624" spans="1:17" ht="15.75" hidden="1" customHeight="1" outlineLevel="2">
      <c r="A624" s="274"/>
      <c r="B624" s="159"/>
      <c r="C624" s="162" t="s">
        <v>364</v>
      </c>
      <c r="D624" s="160"/>
      <c r="E624" s="153"/>
      <c r="F624" s="153"/>
      <c r="G624" s="153"/>
      <c r="H624" s="154"/>
      <c r="I624" s="163"/>
      <c r="J624" s="147"/>
      <c r="K624" s="221"/>
      <c r="L624" s="147"/>
      <c r="M624" s="222"/>
      <c r="N624" s="183"/>
      <c r="O624" s="421"/>
      <c r="P624" s="150"/>
      <c r="Q624" s="568" t="s">
        <v>1239</v>
      </c>
    </row>
    <row r="625" spans="1:17" ht="15.75" hidden="1" customHeight="1" outlineLevel="2">
      <c r="A625" s="274"/>
      <c r="B625" s="159"/>
      <c r="C625" s="142" t="s">
        <v>382</v>
      </c>
      <c r="D625" s="160"/>
      <c r="E625" s="153"/>
      <c r="F625" s="153"/>
      <c r="G625" s="153"/>
      <c r="H625" s="154"/>
      <c r="I625" s="163"/>
      <c r="J625" s="147"/>
      <c r="K625" s="221"/>
      <c r="L625" s="147"/>
      <c r="M625" s="222"/>
      <c r="N625" s="183"/>
      <c r="O625" s="421"/>
      <c r="P625" s="150"/>
      <c r="Q625" s="569"/>
    </row>
    <row r="626" spans="1:17" ht="15.75" hidden="1" customHeight="1" outlineLevel="2">
      <c r="A626" s="274"/>
      <c r="B626" s="159"/>
      <c r="C626" s="162" t="s">
        <v>366</v>
      </c>
      <c r="D626" s="160"/>
      <c r="E626" s="153"/>
      <c r="F626" s="153"/>
      <c r="G626" s="153"/>
      <c r="H626" s="154"/>
      <c r="I626" s="163"/>
      <c r="J626" s="147"/>
      <c r="K626" s="221"/>
      <c r="L626" s="147"/>
      <c r="M626" s="222"/>
      <c r="N626" s="183"/>
      <c r="O626" s="421"/>
      <c r="P626" s="150"/>
      <c r="Q626" s="569"/>
    </row>
    <row r="627" spans="1:17" ht="15.75" hidden="1" customHeight="1" outlineLevel="2">
      <c r="A627" s="274"/>
      <c r="B627" s="159"/>
      <c r="C627" s="162" t="s">
        <v>358</v>
      </c>
      <c r="D627" s="160"/>
      <c r="E627" s="153"/>
      <c r="F627" s="153"/>
      <c r="G627" s="153"/>
      <c r="H627" s="154"/>
      <c r="I627" s="163"/>
      <c r="J627" s="147"/>
      <c r="K627" s="221"/>
      <c r="L627" s="147"/>
      <c r="M627" s="222"/>
      <c r="N627" s="183"/>
      <c r="O627" s="421"/>
      <c r="P627" s="150"/>
      <c r="Q627" s="569"/>
    </row>
    <row r="628" spans="1:17" ht="15.75" hidden="1" customHeight="1" outlineLevel="2">
      <c r="A628" s="274"/>
      <c r="B628" s="159"/>
      <c r="C628" s="162" t="s">
        <v>367</v>
      </c>
      <c r="D628" s="160"/>
      <c r="E628" s="153"/>
      <c r="F628" s="153"/>
      <c r="G628" s="153"/>
      <c r="H628" s="154"/>
      <c r="I628" s="163"/>
      <c r="J628" s="147"/>
      <c r="K628" s="221"/>
      <c r="L628" s="147"/>
      <c r="M628" s="222"/>
      <c r="N628" s="183"/>
      <c r="O628" s="421"/>
      <c r="P628" s="150"/>
      <c r="Q628" s="569"/>
    </row>
    <row r="629" spans="1:17" ht="15.75" hidden="1" customHeight="1" outlineLevel="2">
      <c r="A629" s="274"/>
      <c r="B629" s="159"/>
      <c r="C629" s="162" t="s">
        <v>368</v>
      </c>
      <c r="D629" s="160"/>
      <c r="E629" s="153"/>
      <c r="F629" s="153"/>
      <c r="G629" s="153"/>
      <c r="H629" s="154"/>
      <c r="I629" s="163"/>
      <c r="J629" s="147"/>
      <c r="K629" s="221"/>
      <c r="L629" s="147"/>
      <c r="M629" s="222"/>
      <c r="N629" s="183"/>
      <c r="O629" s="421"/>
      <c r="P629" s="150"/>
      <c r="Q629" s="569"/>
    </row>
    <row r="630" spans="1:17" ht="15.75" hidden="1" customHeight="1" outlineLevel="2">
      <c r="A630" s="274"/>
      <c r="B630" s="159"/>
      <c r="C630" s="142" t="s">
        <v>383</v>
      </c>
      <c r="D630" s="160"/>
      <c r="E630" s="153"/>
      <c r="F630" s="153"/>
      <c r="G630" s="153"/>
      <c r="H630" s="154"/>
      <c r="I630" s="163"/>
      <c r="J630" s="147"/>
      <c r="K630" s="221"/>
      <c r="L630" s="147"/>
      <c r="M630" s="222"/>
      <c r="N630" s="183"/>
      <c r="O630" s="421"/>
      <c r="P630" s="150"/>
      <c r="Q630" s="569"/>
    </row>
    <row r="631" spans="1:17" ht="15.75" hidden="1" customHeight="1" outlineLevel="2">
      <c r="A631" s="274"/>
      <c r="B631" s="159"/>
      <c r="C631" s="162" t="s">
        <v>370</v>
      </c>
      <c r="D631" s="160"/>
      <c r="E631" s="153"/>
      <c r="F631" s="153"/>
      <c r="G631" s="153"/>
      <c r="H631" s="154"/>
      <c r="I631" s="163"/>
      <c r="J631" s="147"/>
      <c r="K631" s="221"/>
      <c r="L631" s="147"/>
      <c r="M631" s="222"/>
      <c r="N631" s="183"/>
      <c r="O631" s="421"/>
      <c r="P631" s="150"/>
      <c r="Q631" s="568" t="s">
        <v>1368</v>
      </c>
    </row>
    <row r="632" spans="1:17" ht="15.75" hidden="1" customHeight="1" outlineLevel="2">
      <c r="A632" s="274"/>
      <c r="B632" s="159"/>
      <c r="C632" s="162" t="s">
        <v>371</v>
      </c>
      <c r="D632" s="160"/>
      <c r="E632" s="153"/>
      <c r="F632" s="153"/>
      <c r="G632" s="153"/>
      <c r="H632" s="154"/>
      <c r="I632" s="163"/>
      <c r="J632" s="147"/>
      <c r="K632" s="221"/>
      <c r="L632" s="147"/>
      <c r="M632" s="222"/>
      <c r="N632" s="183"/>
      <c r="O632" s="421"/>
      <c r="P632" s="150"/>
      <c r="Q632" s="568"/>
    </row>
    <row r="633" spans="1:17" ht="15.75" hidden="1" customHeight="1" outlineLevel="2">
      <c r="A633" s="274"/>
      <c r="B633" s="159"/>
      <c r="C633" s="162" t="s">
        <v>372</v>
      </c>
      <c r="D633" s="160"/>
      <c r="E633" s="153"/>
      <c r="F633" s="153"/>
      <c r="G633" s="153"/>
      <c r="H633" s="154"/>
      <c r="I633" s="163"/>
      <c r="J633" s="147">
        <v>350000</v>
      </c>
      <c r="K633" s="217">
        <f>J633*1.23</f>
        <v>430500</v>
      </c>
      <c r="L633" s="147"/>
      <c r="M633" s="222"/>
      <c r="N633" s="183"/>
      <c r="O633" s="421"/>
      <c r="P633" s="150">
        <f t="shared" ref="P633" si="30">SUM(I633,K633,M633,O633)</f>
        <v>430500</v>
      </c>
      <c r="Q633" s="568"/>
    </row>
    <row r="634" spans="1:17" ht="15.75" hidden="1" customHeight="1" outlineLevel="2">
      <c r="A634" s="274"/>
      <c r="B634" s="159"/>
      <c r="C634" s="162" t="s">
        <v>373</v>
      </c>
      <c r="D634" s="160"/>
      <c r="E634" s="153"/>
      <c r="F634" s="153"/>
      <c r="G634" s="153"/>
      <c r="H634" s="154"/>
      <c r="I634" s="163"/>
      <c r="J634" s="147"/>
      <c r="K634" s="221"/>
      <c r="L634" s="147"/>
      <c r="M634" s="222"/>
      <c r="N634" s="183"/>
      <c r="O634" s="421"/>
      <c r="P634" s="150"/>
      <c r="Q634" s="568"/>
    </row>
    <row r="635" spans="1:17" ht="15.75" hidden="1" customHeight="1" outlineLevel="2">
      <c r="A635" s="274"/>
      <c r="B635" s="159"/>
      <c r="C635" s="142" t="s">
        <v>384</v>
      </c>
      <c r="D635" s="160"/>
      <c r="E635" s="153"/>
      <c r="F635" s="153"/>
      <c r="G635" s="153"/>
      <c r="H635" s="154"/>
      <c r="I635" s="163"/>
      <c r="J635" s="147"/>
      <c r="K635" s="221"/>
      <c r="L635" s="147"/>
      <c r="M635" s="222"/>
      <c r="N635" s="183"/>
      <c r="O635" s="421"/>
      <c r="P635" s="150"/>
      <c r="Q635" s="568"/>
    </row>
    <row r="636" spans="1:17" ht="15.75" hidden="1" customHeight="1" outlineLevel="2">
      <c r="A636" s="274"/>
      <c r="B636" s="159"/>
      <c r="C636" s="162" t="s">
        <v>375</v>
      </c>
      <c r="D636" s="160"/>
      <c r="E636" s="153"/>
      <c r="F636" s="153"/>
      <c r="G636" s="153"/>
      <c r="H636" s="154"/>
      <c r="I636" s="163"/>
      <c r="J636" s="147"/>
      <c r="K636" s="221"/>
      <c r="L636" s="147"/>
      <c r="M636" s="222"/>
      <c r="N636" s="183"/>
      <c r="O636" s="421"/>
      <c r="P636" s="150"/>
      <c r="Q636" s="568"/>
    </row>
    <row r="637" spans="1:17" ht="15.75" hidden="1" customHeight="1" outlineLevel="2">
      <c r="A637" s="274"/>
      <c r="B637" s="159"/>
      <c r="C637" s="162" t="s">
        <v>376</v>
      </c>
      <c r="D637" s="160"/>
      <c r="E637" s="153"/>
      <c r="F637" s="153"/>
      <c r="G637" s="153"/>
      <c r="H637" s="154"/>
      <c r="I637" s="163"/>
      <c r="J637" s="147"/>
      <c r="K637" s="221"/>
      <c r="L637" s="147"/>
      <c r="M637" s="222"/>
      <c r="N637" s="183"/>
      <c r="O637" s="421"/>
      <c r="P637" s="150"/>
      <c r="Q637" s="568"/>
    </row>
    <row r="638" spans="1:17" ht="15.75" hidden="1" customHeight="1" outlineLevel="2">
      <c r="A638" s="274"/>
      <c r="B638" s="159"/>
      <c r="C638" s="162" t="s">
        <v>377</v>
      </c>
      <c r="D638" s="160"/>
      <c r="E638" s="153"/>
      <c r="F638" s="153"/>
      <c r="G638" s="153"/>
      <c r="H638" s="154"/>
      <c r="I638" s="163"/>
      <c r="J638" s="147"/>
      <c r="K638" s="221"/>
      <c r="L638" s="147"/>
      <c r="M638" s="222"/>
      <c r="N638" s="183"/>
      <c r="O638" s="421"/>
      <c r="P638" s="150"/>
      <c r="Q638" s="568"/>
    </row>
    <row r="639" spans="1:17" ht="15.75" hidden="1" customHeight="1" outlineLevel="2">
      <c r="A639" s="274"/>
      <c r="B639" s="159"/>
      <c r="C639" s="162" t="s">
        <v>400</v>
      </c>
      <c r="D639" s="160"/>
      <c r="E639" s="153"/>
      <c r="F639" s="153"/>
      <c r="G639" s="153"/>
      <c r="H639" s="154"/>
      <c r="I639" s="163"/>
      <c r="J639" s="147"/>
      <c r="K639" s="221"/>
      <c r="L639" s="184">
        <v>300000</v>
      </c>
      <c r="M639" s="222">
        <f>L639*1.46</f>
        <v>438000</v>
      </c>
      <c r="N639" s="183"/>
      <c r="O639" s="421"/>
      <c r="P639" s="150">
        <f t="shared" ref="P639:P640" si="31">SUM(I639,K639,M639,O639)</f>
        <v>438000</v>
      </c>
      <c r="Q639" s="568"/>
    </row>
    <row r="640" spans="1:17" s="130" customFormat="1" ht="15.75" hidden="1" customHeight="1" outlineLevel="1" collapsed="1">
      <c r="A640" s="275"/>
      <c r="B640" s="142"/>
      <c r="C640" s="142" t="s">
        <v>427</v>
      </c>
      <c r="D640" s="220"/>
      <c r="E640" s="217"/>
      <c r="F640" s="217"/>
      <c r="G640" s="217"/>
      <c r="H640" s="219"/>
      <c r="I640" s="150"/>
      <c r="J640" s="147">
        <f>SUM(J615:J639)</f>
        <v>725000</v>
      </c>
      <c r="K640" s="217">
        <f>J640*1.23</f>
        <v>891750</v>
      </c>
      <c r="L640" s="147">
        <f>SUM(L615:L639)</f>
        <v>300000</v>
      </c>
      <c r="M640" s="222">
        <f>L640*1.46</f>
        <v>438000</v>
      </c>
      <c r="N640" s="183">
        <f>SUM(N615:N639)</f>
        <v>750000</v>
      </c>
      <c r="O640" s="421">
        <f>N640*1.73</f>
        <v>1297500</v>
      </c>
      <c r="P640" s="150">
        <f t="shared" si="31"/>
        <v>2627250</v>
      </c>
      <c r="Q640" s="576"/>
    </row>
    <row r="641" spans="1:17" ht="15.75" hidden="1" customHeight="1" outlineLevel="2">
      <c r="A641" s="274"/>
      <c r="B641" s="142" t="s">
        <v>429</v>
      </c>
      <c r="C641" s="159"/>
      <c r="D641" s="160"/>
      <c r="E641" s="153"/>
      <c r="F641" s="153"/>
      <c r="G641" s="153"/>
      <c r="H641" s="154"/>
      <c r="I641" s="163"/>
      <c r="J641" s="147"/>
      <c r="K641" s="217"/>
      <c r="L641" s="147"/>
      <c r="M641" s="217"/>
      <c r="N641" s="149"/>
      <c r="O641" s="397"/>
      <c r="P641" s="150"/>
      <c r="Q641" s="569"/>
    </row>
    <row r="642" spans="1:17" ht="15.75" hidden="1" customHeight="1" outlineLevel="2">
      <c r="A642" s="274"/>
      <c r="B642" s="159"/>
      <c r="C642" s="142" t="s">
        <v>380</v>
      </c>
      <c r="D642" s="160"/>
      <c r="E642" s="153"/>
      <c r="F642" s="153"/>
      <c r="G642" s="153"/>
      <c r="H642" s="154"/>
      <c r="I642" s="163"/>
      <c r="J642" s="147"/>
      <c r="K642" s="217"/>
      <c r="L642" s="147"/>
      <c r="M642" s="217"/>
      <c r="N642" s="149"/>
      <c r="O642" s="397"/>
      <c r="P642" s="150"/>
      <c r="Q642" s="569"/>
    </row>
    <row r="643" spans="1:17" ht="15.75" hidden="1" customHeight="1" outlineLevel="2">
      <c r="A643" s="274"/>
      <c r="B643" s="159"/>
      <c r="C643" s="162" t="s">
        <v>356</v>
      </c>
      <c r="D643" s="160"/>
      <c r="E643" s="153"/>
      <c r="F643" s="153"/>
      <c r="G643" s="153"/>
      <c r="H643" s="154"/>
      <c r="I643" s="163"/>
      <c r="J643" s="147"/>
      <c r="K643" s="217"/>
      <c r="L643" s="147"/>
      <c r="M643" s="217"/>
      <c r="N643" s="149"/>
      <c r="O643" s="397"/>
      <c r="P643" s="150"/>
      <c r="Q643" s="569"/>
    </row>
    <row r="644" spans="1:17" ht="15.75" hidden="1" customHeight="1" outlineLevel="2">
      <c r="A644" s="274"/>
      <c r="B644" s="159"/>
      <c r="C644" s="162" t="s">
        <v>357</v>
      </c>
      <c r="D644" s="160"/>
      <c r="E644" s="153"/>
      <c r="F644" s="153"/>
      <c r="G644" s="153"/>
      <c r="H644" s="154"/>
      <c r="I644" s="163"/>
      <c r="J644" s="147"/>
      <c r="K644" s="217"/>
      <c r="L644" s="147"/>
      <c r="M644" s="217"/>
      <c r="N644" s="149">
        <v>1000000</v>
      </c>
      <c r="O644" s="397">
        <f>N644*1.73</f>
        <v>1730000</v>
      </c>
      <c r="P644" s="150">
        <f t="shared" ref="P644:P668" si="32">SUM(I644,K644,M644,O644)</f>
        <v>1730000</v>
      </c>
      <c r="Q644" s="569"/>
    </row>
    <row r="645" spans="1:17" ht="15.75" hidden="1" customHeight="1" outlineLevel="2">
      <c r="A645" s="274"/>
      <c r="B645" s="159"/>
      <c r="C645" s="162" t="s">
        <v>358</v>
      </c>
      <c r="D645" s="160"/>
      <c r="E645" s="153"/>
      <c r="F645" s="153"/>
      <c r="G645" s="153"/>
      <c r="H645" s="154"/>
      <c r="I645" s="163"/>
      <c r="J645" s="147"/>
      <c r="K645" s="217"/>
      <c r="L645" s="147"/>
      <c r="M645" s="217"/>
      <c r="N645" s="149">
        <v>100000</v>
      </c>
      <c r="O645" s="397">
        <f>N645*1.73</f>
        <v>173000</v>
      </c>
      <c r="P645" s="150">
        <f t="shared" si="32"/>
        <v>173000</v>
      </c>
      <c r="Q645" s="569"/>
    </row>
    <row r="646" spans="1:17" ht="15.75" hidden="1" customHeight="1" outlineLevel="2">
      <c r="A646" s="274"/>
      <c r="B646" s="159"/>
      <c r="C646" s="162" t="s">
        <v>359</v>
      </c>
      <c r="D646" s="160"/>
      <c r="E646" s="153"/>
      <c r="F646" s="153"/>
      <c r="G646" s="153"/>
      <c r="H646" s="154"/>
      <c r="I646" s="163"/>
      <c r="J646" s="147"/>
      <c r="K646" s="217"/>
      <c r="L646" s="147"/>
      <c r="M646" s="217"/>
      <c r="N646" s="149"/>
      <c r="O646" s="397"/>
      <c r="P646" s="150"/>
      <c r="Q646" s="569"/>
    </row>
    <row r="647" spans="1:17" ht="15.75" hidden="1" customHeight="1" outlineLevel="2">
      <c r="A647" s="274"/>
      <c r="B647" s="159"/>
      <c r="C647" s="162" t="s">
        <v>360</v>
      </c>
      <c r="D647" s="160"/>
      <c r="E647" s="153"/>
      <c r="F647" s="153"/>
      <c r="G647" s="153"/>
      <c r="H647" s="154"/>
      <c r="I647" s="163"/>
      <c r="J647" s="147"/>
      <c r="K647" s="217"/>
      <c r="L647" s="147"/>
      <c r="M647" s="217"/>
      <c r="N647" s="149"/>
      <c r="O647" s="397"/>
      <c r="P647" s="150"/>
      <c r="Q647" s="569" t="s">
        <v>1270</v>
      </c>
    </row>
    <row r="648" spans="1:17" ht="15.75" hidden="1" customHeight="1" outlineLevel="2">
      <c r="A648" s="274"/>
      <c r="B648" s="159"/>
      <c r="C648" s="142" t="s">
        <v>381</v>
      </c>
      <c r="D648" s="160"/>
      <c r="E648" s="153"/>
      <c r="F648" s="153"/>
      <c r="G648" s="153"/>
      <c r="H648" s="154"/>
      <c r="I648" s="163"/>
      <c r="J648" s="147"/>
      <c r="K648" s="217"/>
      <c r="L648" s="147"/>
      <c r="M648" s="217"/>
      <c r="N648" s="149"/>
      <c r="O648" s="397"/>
      <c r="P648" s="150"/>
      <c r="Q648" s="569"/>
    </row>
    <row r="649" spans="1:17" ht="15.75" hidden="1" customHeight="1" outlineLevel="2">
      <c r="A649" s="274"/>
      <c r="B649" s="159"/>
      <c r="C649" s="162" t="s">
        <v>362</v>
      </c>
      <c r="D649" s="160"/>
      <c r="E649" s="153"/>
      <c r="F649" s="153"/>
      <c r="G649" s="153"/>
      <c r="H649" s="154"/>
      <c r="I649" s="163"/>
      <c r="J649" s="147"/>
      <c r="K649" s="217"/>
      <c r="L649" s="147"/>
      <c r="M649" s="217"/>
      <c r="N649" s="149"/>
      <c r="O649" s="397"/>
      <c r="P649" s="150"/>
      <c r="Q649" s="570" t="s">
        <v>1271</v>
      </c>
    </row>
    <row r="650" spans="1:17" ht="15.75" hidden="1" customHeight="1" outlineLevel="2">
      <c r="A650" s="274"/>
      <c r="B650" s="159"/>
      <c r="C650" s="162" t="s">
        <v>363</v>
      </c>
      <c r="D650" s="160"/>
      <c r="E650" s="153"/>
      <c r="F650" s="153"/>
      <c r="G650" s="153"/>
      <c r="H650" s="154"/>
      <c r="I650" s="163"/>
      <c r="J650" s="147"/>
      <c r="K650" s="217"/>
      <c r="L650" s="147"/>
      <c r="M650" s="217"/>
      <c r="N650" s="149"/>
      <c r="O650" s="397"/>
      <c r="P650" s="150"/>
      <c r="Q650" s="569"/>
    </row>
    <row r="651" spans="1:17" ht="15.75" hidden="1" customHeight="1" outlineLevel="2">
      <c r="A651" s="274"/>
      <c r="B651" s="159"/>
      <c r="C651" s="162" t="s">
        <v>358</v>
      </c>
      <c r="D651" s="160"/>
      <c r="E651" s="153"/>
      <c r="F651" s="153"/>
      <c r="G651" s="153"/>
      <c r="H651" s="154"/>
      <c r="I651" s="163"/>
      <c r="J651" s="147"/>
      <c r="K651" s="217"/>
      <c r="L651" s="147"/>
      <c r="M651" s="217"/>
      <c r="N651" s="149"/>
      <c r="O651" s="397"/>
      <c r="P651" s="150"/>
      <c r="Q651" s="569"/>
    </row>
    <row r="652" spans="1:17" ht="15.75" hidden="1" customHeight="1" outlineLevel="2">
      <c r="A652" s="274"/>
      <c r="B652" s="159"/>
      <c r="C652" s="162" t="s">
        <v>364</v>
      </c>
      <c r="D652" s="160"/>
      <c r="E652" s="153"/>
      <c r="F652" s="153"/>
      <c r="G652" s="153"/>
      <c r="H652" s="154"/>
      <c r="I652" s="163"/>
      <c r="J652" s="147"/>
      <c r="K652" s="217"/>
      <c r="L652" s="147"/>
      <c r="M652" s="217"/>
      <c r="N652" s="149">
        <v>150000</v>
      </c>
      <c r="O652" s="397">
        <f>N652*1.73</f>
        <v>259500</v>
      </c>
      <c r="P652" s="150">
        <f t="shared" si="32"/>
        <v>259500</v>
      </c>
      <c r="Q652" s="569"/>
    </row>
    <row r="653" spans="1:17" ht="15.75" hidden="1" customHeight="1" outlineLevel="2">
      <c r="A653" s="274"/>
      <c r="B653" s="159"/>
      <c r="C653" s="142" t="s">
        <v>382</v>
      </c>
      <c r="D653" s="160"/>
      <c r="E653" s="153"/>
      <c r="F653" s="153"/>
      <c r="G653" s="153"/>
      <c r="H653" s="154"/>
      <c r="I653" s="163"/>
      <c r="J653" s="147"/>
      <c r="K653" s="217"/>
      <c r="L653" s="147"/>
      <c r="M653" s="217"/>
      <c r="N653" s="149"/>
      <c r="O653" s="397"/>
      <c r="P653" s="150"/>
      <c r="Q653" s="569"/>
    </row>
    <row r="654" spans="1:17" ht="15.75" hidden="1" customHeight="1" outlineLevel="2">
      <c r="A654" s="274"/>
      <c r="B654" s="159"/>
      <c r="C654" s="162" t="s">
        <v>366</v>
      </c>
      <c r="D654" s="160"/>
      <c r="E654" s="153"/>
      <c r="F654" s="153"/>
      <c r="G654" s="153"/>
      <c r="H654" s="154"/>
      <c r="I654" s="163"/>
      <c r="J654" s="147"/>
      <c r="K654" s="217"/>
      <c r="L654" s="147"/>
      <c r="M654" s="217"/>
      <c r="N654" s="149"/>
      <c r="O654" s="397"/>
      <c r="P654" s="150"/>
      <c r="Q654" s="569"/>
    </row>
    <row r="655" spans="1:17" ht="15.75" hidden="1" customHeight="1" outlineLevel="2">
      <c r="A655" s="274"/>
      <c r="B655" s="159"/>
      <c r="C655" s="162" t="s">
        <v>358</v>
      </c>
      <c r="D655" s="160"/>
      <c r="E655" s="153"/>
      <c r="F655" s="153"/>
      <c r="G655" s="153"/>
      <c r="H655" s="154"/>
      <c r="I655" s="163"/>
      <c r="J655" s="147"/>
      <c r="K655" s="217"/>
      <c r="L655" s="147"/>
      <c r="M655" s="217"/>
      <c r="N655" s="149"/>
      <c r="O655" s="397"/>
      <c r="P655" s="150"/>
      <c r="Q655" s="569"/>
    </row>
    <row r="656" spans="1:17" ht="15.75" hidden="1" customHeight="1" outlineLevel="2">
      <c r="A656" s="274"/>
      <c r="B656" s="159"/>
      <c r="C656" s="162" t="s">
        <v>367</v>
      </c>
      <c r="D656" s="160"/>
      <c r="E656" s="153"/>
      <c r="F656" s="153"/>
      <c r="G656" s="153"/>
      <c r="H656" s="154"/>
      <c r="I656" s="163"/>
      <c r="J656" s="147"/>
      <c r="K656" s="217"/>
      <c r="L656" s="147"/>
      <c r="M656" s="217"/>
      <c r="N656" s="149"/>
      <c r="O656" s="397"/>
      <c r="P656" s="150"/>
      <c r="Q656" s="569"/>
    </row>
    <row r="657" spans="1:17" ht="15.75" hidden="1" customHeight="1" outlineLevel="2">
      <c r="A657" s="274"/>
      <c r="B657" s="159"/>
      <c r="C657" s="162" t="s">
        <v>368</v>
      </c>
      <c r="D657" s="160"/>
      <c r="E657" s="153"/>
      <c r="F657" s="153"/>
      <c r="G657" s="153"/>
      <c r="H657" s="154"/>
      <c r="I657" s="163"/>
      <c r="J657" s="147"/>
      <c r="K657" s="217"/>
      <c r="L657" s="147"/>
      <c r="M657" s="217"/>
      <c r="N657" s="149"/>
      <c r="O657" s="397"/>
      <c r="P657" s="150"/>
      <c r="Q657" s="569"/>
    </row>
    <row r="658" spans="1:17" ht="15.75" hidden="1" customHeight="1" outlineLevel="2">
      <c r="A658" s="274"/>
      <c r="B658" s="159"/>
      <c r="C658" s="142" t="s">
        <v>383</v>
      </c>
      <c r="D658" s="160"/>
      <c r="E658" s="153"/>
      <c r="F658" s="153"/>
      <c r="G658" s="153"/>
      <c r="H658" s="154"/>
      <c r="I658" s="163"/>
      <c r="J658" s="147"/>
      <c r="K658" s="217"/>
      <c r="L658" s="147"/>
      <c r="M658" s="217"/>
      <c r="N658" s="149"/>
      <c r="O658" s="397"/>
      <c r="P658" s="150"/>
      <c r="Q658" s="569"/>
    </row>
    <row r="659" spans="1:17" ht="15.75" hidden="1" customHeight="1" outlineLevel="2">
      <c r="A659" s="274"/>
      <c r="B659" s="159"/>
      <c r="C659" s="162" t="s">
        <v>370</v>
      </c>
      <c r="D659" s="160"/>
      <c r="E659" s="153"/>
      <c r="F659" s="153"/>
      <c r="G659" s="153"/>
      <c r="H659" s="154"/>
      <c r="I659" s="163"/>
      <c r="J659" s="147"/>
      <c r="K659" s="217"/>
      <c r="L659" s="147"/>
      <c r="M659" s="217"/>
      <c r="N659" s="149"/>
      <c r="O659" s="397"/>
      <c r="P659" s="150"/>
      <c r="Q659" s="569"/>
    </row>
    <row r="660" spans="1:17" ht="15.75" hidden="1" customHeight="1" outlineLevel="2">
      <c r="A660" s="274"/>
      <c r="B660" s="159"/>
      <c r="C660" s="162" t="s">
        <v>371</v>
      </c>
      <c r="D660" s="160"/>
      <c r="E660" s="153"/>
      <c r="F660" s="153"/>
      <c r="G660" s="153"/>
      <c r="H660" s="154"/>
      <c r="I660" s="163"/>
      <c r="J660" s="147"/>
      <c r="K660" s="217"/>
      <c r="L660" s="147"/>
      <c r="M660" s="217"/>
      <c r="N660" s="149">
        <v>6000000</v>
      </c>
      <c r="O660" s="397">
        <f>N660*1.73</f>
        <v>10380000</v>
      </c>
      <c r="P660" s="150">
        <f t="shared" si="32"/>
        <v>10380000</v>
      </c>
      <c r="Q660" s="569"/>
    </row>
    <row r="661" spans="1:17" ht="15.75" hidden="1" customHeight="1" outlineLevel="2">
      <c r="A661" s="274"/>
      <c r="B661" s="159"/>
      <c r="C661" s="162" t="s">
        <v>372</v>
      </c>
      <c r="D661" s="160"/>
      <c r="E661" s="153"/>
      <c r="F661" s="153"/>
      <c r="G661" s="153"/>
      <c r="H661" s="154"/>
      <c r="I661" s="163"/>
      <c r="J661" s="147"/>
      <c r="K661" s="217"/>
      <c r="L661" s="147"/>
      <c r="M661" s="217"/>
      <c r="N661" s="149">
        <v>2500000</v>
      </c>
      <c r="O661" s="397">
        <f>N661*1.73</f>
        <v>4325000</v>
      </c>
      <c r="P661" s="150">
        <f t="shared" si="32"/>
        <v>4325000</v>
      </c>
      <c r="Q661" s="569"/>
    </row>
    <row r="662" spans="1:17" ht="15.75" hidden="1" customHeight="1" outlineLevel="2">
      <c r="A662" s="274"/>
      <c r="B662" s="159"/>
      <c r="C662" s="162" t="s">
        <v>373</v>
      </c>
      <c r="D662" s="160"/>
      <c r="E662" s="153"/>
      <c r="F662" s="153"/>
      <c r="G662" s="153"/>
      <c r="H662" s="154"/>
      <c r="I662" s="163"/>
      <c r="J662" s="147"/>
      <c r="K662" s="217"/>
      <c r="L662" s="147"/>
      <c r="M662" s="217"/>
      <c r="N662" s="149"/>
      <c r="O662" s="397"/>
      <c r="P662" s="150"/>
      <c r="Q662" s="569"/>
    </row>
    <row r="663" spans="1:17" ht="15.75" hidden="1" customHeight="1" outlineLevel="2">
      <c r="A663" s="274"/>
      <c r="B663" s="159"/>
      <c r="C663" s="142" t="s">
        <v>384</v>
      </c>
      <c r="D663" s="160"/>
      <c r="E663" s="153"/>
      <c r="F663" s="153"/>
      <c r="G663" s="153"/>
      <c r="H663" s="154"/>
      <c r="I663" s="163"/>
      <c r="J663" s="147"/>
      <c r="K663" s="217"/>
      <c r="L663" s="147"/>
      <c r="M663" s="217"/>
      <c r="N663" s="149"/>
      <c r="O663" s="397"/>
      <c r="P663" s="150"/>
      <c r="Q663" s="569"/>
    </row>
    <row r="664" spans="1:17" ht="15.75" hidden="1" customHeight="1" outlineLevel="2">
      <c r="A664" s="274"/>
      <c r="B664" s="159"/>
      <c r="C664" s="162" t="s">
        <v>375</v>
      </c>
      <c r="D664" s="160"/>
      <c r="E664" s="153"/>
      <c r="F664" s="153"/>
      <c r="G664" s="153"/>
      <c r="H664" s="154"/>
      <c r="I664" s="163"/>
      <c r="J664" s="147"/>
      <c r="K664" s="217"/>
      <c r="L664" s="147"/>
      <c r="M664" s="217"/>
      <c r="N664" s="149"/>
      <c r="O664" s="397"/>
      <c r="P664" s="150"/>
      <c r="Q664" s="569"/>
    </row>
    <row r="665" spans="1:17" ht="15.75" hidden="1" customHeight="1" outlineLevel="2">
      <c r="A665" s="274"/>
      <c r="B665" s="159"/>
      <c r="C665" s="162" t="s">
        <v>376</v>
      </c>
      <c r="D665" s="160"/>
      <c r="E665" s="153"/>
      <c r="F665" s="153"/>
      <c r="G665" s="153"/>
      <c r="H665" s="154"/>
      <c r="I665" s="163"/>
      <c r="J665" s="147">
        <v>850000</v>
      </c>
      <c r="K665" s="217">
        <f>J665*1.23</f>
        <v>1045500</v>
      </c>
      <c r="L665" s="147"/>
      <c r="M665" s="217"/>
      <c r="N665" s="149"/>
      <c r="O665" s="397"/>
      <c r="P665" s="150">
        <f t="shared" si="32"/>
        <v>1045500</v>
      </c>
      <c r="Q665" s="569" t="s">
        <v>1272</v>
      </c>
    </row>
    <row r="666" spans="1:17" ht="15.75" hidden="1" customHeight="1" outlineLevel="2">
      <c r="A666" s="274"/>
      <c r="B666" s="159"/>
      <c r="C666" s="162" t="s">
        <v>377</v>
      </c>
      <c r="D666" s="160"/>
      <c r="E666" s="153"/>
      <c r="F666" s="153"/>
      <c r="G666" s="153"/>
      <c r="H666" s="154"/>
      <c r="I666" s="163"/>
      <c r="J666" s="147"/>
      <c r="K666" s="217"/>
      <c r="L666" s="147"/>
      <c r="M666" s="217"/>
      <c r="N666" s="149"/>
      <c r="O666" s="397"/>
      <c r="P666" s="150"/>
      <c r="Q666" s="569"/>
    </row>
    <row r="667" spans="1:17" ht="15.75" hidden="1" customHeight="1" outlineLevel="2">
      <c r="A667" s="274"/>
      <c r="B667" s="159"/>
      <c r="C667" s="162" t="s">
        <v>430</v>
      </c>
      <c r="D667" s="160"/>
      <c r="E667" s="153"/>
      <c r="F667" s="153"/>
      <c r="G667" s="153"/>
      <c r="H667" s="154"/>
      <c r="I667" s="163"/>
      <c r="J667" s="147"/>
      <c r="K667" s="217"/>
      <c r="L667" s="147"/>
      <c r="M667" s="217"/>
      <c r="N667" s="149"/>
      <c r="O667" s="397"/>
      <c r="P667" s="150"/>
      <c r="Q667" s="569"/>
    </row>
    <row r="668" spans="1:17" ht="15.75" hidden="1" customHeight="1" outlineLevel="1" collapsed="1">
      <c r="A668" s="274"/>
      <c r="B668" s="159"/>
      <c r="C668" s="142" t="s">
        <v>429</v>
      </c>
      <c r="D668" s="220"/>
      <c r="E668" s="217"/>
      <c r="F668" s="217"/>
      <c r="G668" s="217"/>
      <c r="H668" s="219"/>
      <c r="I668" s="150"/>
      <c r="J668" s="147">
        <f>SUM(J643:J667)</f>
        <v>850000</v>
      </c>
      <c r="K668" s="217">
        <f>J668*1.23</f>
        <v>1045500</v>
      </c>
      <c r="L668" s="147" t="s">
        <v>390</v>
      </c>
      <c r="M668" s="217"/>
      <c r="N668" s="149">
        <f>SUM(N643:N667)</f>
        <v>9750000</v>
      </c>
      <c r="O668" s="397">
        <f>N668*1.73</f>
        <v>16867500</v>
      </c>
      <c r="P668" s="150">
        <f t="shared" si="32"/>
        <v>17913000</v>
      </c>
      <c r="Q668" s="569"/>
    </row>
    <row r="669" spans="1:17" ht="15.75" hidden="1" customHeight="1" outlineLevel="1">
      <c r="A669" s="274"/>
      <c r="B669" s="280"/>
      <c r="C669" s="308" t="s">
        <v>876</v>
      </c>
      <c r="D669" s="220">
        <f>CIP!$AM$10</f>
        <v>250000</v>
      </c>
      <c r="E669" s="221">
        <f>CIP!$AN$53</f>
        <v>269100</v>
      </c>
      <c r="F669" s="221">
        <f>CIP!$AO$87</f>
        <v>299942.99999999994</v>
      </c>
      <c r="G669" s="221">
        <f>CIP!$AP$108</f>
        <v>288266.6474999999</v>
      </c>
      <c r="H669" s="307">
        <f>CIP!$AQ$137</f>
        <v>263930.29014374991</v>
      </c>
      <c r="I669" s="150">
        <f>SUM(D669:H669)</f>
        <v>1371239.9376437499</v>
      </c>
      <c r="J669" s="147">
        <v>500000</v>
      </c>
      <c r="K669" s="217">
        <f>J669*1.23</f>
        <v>615000</v>
      </c>
      <c r="L669" s="147">
        <v>500000</v>
      </c>
      <c r="M669" s="219">
        <f>L669*1.46</f>
        <v>730000</v>
      </c>
      <c r="N669" s="147">
        <v>500000</v>
      </c>
      <c r="O669" s="226">
        <f>N669*1.73</f>
        <v>865000</v>
      </c>
      <c r="P669" s="150">
        <f t="shared" ref="P669:P670" si="33">SUM(I669,K669,M669,O669)</f>
        <v>3581239.9376437496</v>
      </c>
      <c r="Q669" s="577"/>
    </row>
    <row r="670" spans="1:17" s="140" customFormat="1" ht="15.75" customHeight="1" collapsed="1">
      <c r="A670" s="549"/>
      <c r="B670" s="143"/>
      <c r="C670" s="271" t="s">
        <v>431</v>
      </c>
      <c r="D670" s="510">
        <f>SUM(D33,D61,D90,D119,D147,D177,D205,D234,D262,D292,D321,D349,D377,D406,D434,D463,D494,D523,D553,D583,D612,D640,D668,D669)</f>
        <v>22905000</v>
      </c>
      <c r="E670" s="510">
        <f t="shared" ref="E670:I670" si="34">SUM(E33,E61,E90,E119,E147,E177,E205,E234,E262,E292,E321,E349,E377,E406,E434,E463,E494,E523,E553,E583,E612,E640,E668,E669)</f>
        <v>18457374.9375</v>
      </c>
      <c r="F670" s="510">
        <f t="shared" si="34"/>
        <v>28656923.257012498</v>
      </c>
      <c r="G670" s="510">
        <f t="shared" si="34"/>
        <v>24395907.702034123</v>
      </c>
      <c r="H670" s="510">
        <f t="shared" si="34"/>
        <v>18882765.233281523</v>
      </c>
      <c r="I670" s="510">
        <f t="shared" si="34"/>
        <v>113297971.12982813</v>
      </c>
      <c r="J670" s="525">
        <f>SUM(J33,J61,J90,J119,J147,J177,J205,J234,J262,J292,J321,J349,J377,J406,J434,J463,J494,J523,J553,J583,J612,J640,J668,J669)</f>
        <v>111460447</v>
      </c>
      <c r="K670" s="514">
        <f>J670*1.23</f>
        <v>137096349.81</v>
      </c>
      <c r="L670" s="534">
        <f>SUM(L33,L61,L90,L119,L147,L177,L205,L234,L262,L292,L321,L349,L377,L406,L434,L463,L494,L523,L553,L583,L612,L640,L668,L669)</f>
        <v>89375000</v>
      </c>
      <c r="M670" s="519">
        <f>L670*1.46</f>
        <v>130487500</v>
      </c>
      <c r="N670" s="525">
        <f>SUM(N33,N61,N90,N119,N147,N177,N205,N234,N262,N292,N321,N349,N377,N406,N434,N463,N494,N523,N553,N583,N612,N640,N668,N669)</f>
        <v>77700000</v>
      </c>
      <c r="O670" s="515">
        <f>N670*1.73</f>
        <v>134421000</v>
      </c>
      <c r="P670" s="516">
        <f t="shared" si="33"/>
        <v>515302820.93982816</v>
      </c>
      <c r="Q670" s="518"/>
    </row>
    <row r="671" spans="1:17" ht="15.75" hidden="1" customHeight="1" outlineLevel="1">
      <c r="A671" s="275"/>
      <c r="B671" s="142" t="s">
        <v>432</v>
      </c>
      <c r="C671" s="159"/>
      <c r="D671" s="160"/>
      <c r="E671" s="153"/>
      <c r="F671" s="153"/>
      <c r="G671" s="153"/>
      <c r="H671" s="206"/>
      <c r="I671" s="146"/>
      <c r="J671" s="147"/>
      <c r="K671" s="221"/>
      <c r="L671" s="147"/>
      <c r="M671" s="219"/>
      <c r="N671" s="149"/>
      <c r="O671" s="226"/>
      <c r="P671" s="150"/>
      <c r="Q671" s="568"/>
    </row>
    <row r="672" spans="1:17" ht="15.75" hidden="1" customHeight="1" outlineLevel="2">
      <c r="A672" s="550"/>
      <c r="B672" s="142" t="s">
        <v>484</v>
      </c>
      <c r="C672" s="152"/>
      <c r="D672" s="160"/>
      <c r="E672" s="153"/>
      <c r="F672" s="153"/>
      <c r="G672" s="153"/>
      <c r="H672" s="206"/>
      <c r="I672" s="163"/>
      <c r="J672" s="147"/>
      <c r="K672" s="221"/>
      <c r="L672" s="147"/>
      <c r="M672" s="219"/>
      <c r="N672" s="149"/>
      <c r="O672" s="226"/>
      <c r="P672" s="150"/>
      <c r="Q672" s="569"/>
    </row>
    <row r="673" spans="1:17" s="211" customFormat="1" ht="15.75" hidden="1" customHeight="1" outlineLevel="3">
      <c r="A673" s="551"/>
      <c r="B673" s="142" t="s">
        <v>485</v>
      </c>
      <c r="C673" s="159"/>
      <c r="D673" s="180"/>
      <c r="E673" s="148"/>
      <c r="F673" s="148"/>
      <c r="G673" s="148"/>
      <c r="H673" s="198"/>
      <c r="I673" s="146"/>
      <c r="J673" s="147"/>
      <c r="K673" s="221"/>
      <c r="L673" s="147"/>
      <c r="M673" s="219"/>
      <c r="N673" s="149"/>
      <c r="O673" s="226"/>
      <c r="P673" s="150"/>
      <c r="Q673" s="569"/>
    </row>
    <row r="674" spans="1:17" ht="15.75" hidden="1" customHeight="1" outlineLevel="3">
      <c r="A674" s="274"/>
      <c r="B674" s="143"/>
      <c r="C674" s="142" t="s">
        <v>380</v>
      </c>
      <c r="D674" s="160"/>
      <c r="E674" s="153"/>
      <c r="F674" s="153"/>
      <c r="G674" s="153"/>
      <c r="H674" s="206"/>
      <c r="I674" s="212"/>
      <c r="J674" s="184"/>
      <c r="K674" s="221"/>
      <c r="L674" s="184"/>
      <c r="M674" s="219"/>
      <c r="N674" s="183"/>
      <c r="O674" s="226"/>
      <c r="P674" s="207"/>
      <c r="Q674" s="569"/>
    </row>
    <row r="675" spans="1:17" ht="15.75" hidden="1" customHeight="1" outlineLevel="3">
      <c r="A675" s="274"/>
      <c r="B675" s="143"/>
      <c r="C675" s="213" t="s">
        <v>396</v>
      </c>
      <c r="D675" s="160"/>
      <c r="E675" s="153"/>
      <c r="F675" s="153"/>
      <c r="G675" s="153"/>
      <c r="H675" s="206"/>
      <c r="I675" s="212"/>
      <c r="J675" s="184"/>
      <c r="K675" s="221"/>
      <c r="L675" s="184"/>
      <c r="M675" s="219"/>
      <c r="N675" s="183"/>
      <c r="O675" s="226"/>
      <c r="P675" s="207"/>
      <c r="Q675" s="569"/>
    </row>
    <row r="676" spans="1:17" ht="15.75" hidden="1" customHeight="1" outlineLevel="3">
      <c r="A676" s="274"/>
      <c r="B676" s="143"/>
      <c r="C676" s="213" t="s">
        <v>357</v>
      </c>
      <c r="D676" s="160"/>
      <c r="E676" s="153"/>
      <c r="F676" s="153"/>
      <c r="G676" s="153"/>
      <c r="H676" s="206"/>
      <c r="I676" s="212"/>
      <c r="J676" s="184"/>
      <c r="K676" s="221"/>
      <c r="L676" s="184"/>
      <c r="M676" s="219"/>
      <c r="N676" s="183"/>
      <c r="O676" s="226"/>
      <c r="P676" s="207"/>
      <c r="Q676" s="569"/>
    </row>
    <row r="677" spans="1:17" ht="15.75" hidden="1" customHeight="1" outlineLevel="3">
      <c r="A677" s="274"/>
      <c r="B677" s="143"/>
      <c r="C677" s="213" t="s">
        <v>358</v>
      </c>
      <c r="D677" s="160"/>
      <c r="E677" s="153"/>
      <c r="F677" s="153">
        <f>CIP!$AO$83</f>
        <v>267806.24999999994</v>
      </c>
      <c r="G677" s="153">
        <f>CIP!$AP$83</f>
        <v>138589.73437499997</v>
      </c>
      <c r="H677" s="206"/>
      <c r="I677" s="203">
        <f>SUM(D677:H677)</f>
        <v>406395.98437499988</v>
      </c>
      <c r="J677" s="186"/>
      <c r="K677" s="221"/>
      <c r="L677" s="184"/>
      <c r="M677" s="219"/>
      <c r="N677" s="183"/>
      <c r="O677" s="226"/>
      <c r="P677" s="150">
        <f t="shared" ref="P677:P702" si="35">SUM(I677,K677,M677,O677)</f>
        <v>406395.98437499988</v>
      </c>
      <c r="Q677" s="569"/>
    </row>
    <row r="678" spans="1:17" ht="15.75" hidden="1" customHeight="1" outlineLevel="3">
      <c r="A678" s="274"/>
      <c r="B678" s="143"/>
      <c r="C678" s="213" t="s">
        <v>359</v>
      </c>
      <c r="D678" s="160"/>
      <c r="E678" s="153"/>
      <c r="F678" s="153"/>
      <c r="G678" s="153"/>
      <c r="H678" s="206"/>
      <c r="I678" s="212"/>
      <c r="J678" s="184"/>
      <c r="K678" s="221"/>
      <c r="L678" s="184"/>
      <c r="M678" s="219"/>
      <c r="N678" s="183"/>
      <c r="O678" s="226"/>
      <c r="P678" s="150"/>
      <c r="Q678" s="569"/>
    </row>
    <row r="679" spans="1:17" ht="15.75" hidden="1" customHeight="1" outlineLevel="3">
      <c r="A679" s="274"/>
      <c r="B679" s="143"/>
      <c r="C679" s="213" t="s">
        <v>388</v>
      </c>
      <c r="D679" s="160"/>
      <c r="E679" s="153"/>
      <c r="F679" s="153"/>
      <c r="G679" s="153"/>
      <c r="H679" s="206"/>
      <c r="I679" s="212"/>
      <c r="J679" s="184"/>
      <c r="K679" s="221"/>
      <c r="L679" s="184"/>
      <c r="M679" s="219"/>
      <c r="N679" s="183"/>
      <c r="O679" s="226"/>
      <c r="P679" s="150"/>
      <c r="Q679" s="569"/>
    </row>
    <row r="680" spans="1:17" ht="15.75" hidden="1" customHeight="1" outlineLevel="3">
      <c r="A680" s="274"/>
      <c r="B680" s="143"/>
      <c r="C680" s="142" t="s">
        <v>381</v>
      </c>
      <c r="D680" s="160"/>
      <c r="E680" s="153"/>
      <c r="F680" s="153"/>
      <c r="G680" s="153"/>
      <c r="H680" s="206"/>
      <c r="I680" s="212"/>
      <c r="J680" s="184"/>
      <c r="K680" s="221"/>
      <c r="L680" s="184"/>
      <c r="M680" s="219"/>
      <c r="N680" s="183"/>
      <c r="O680" s="226"/>
      <c r="P680" s="150"/>
      <c r="Q680" s="569"/>
    </row>
    <row r="681" spans="1:17" ht="15.75" hidden="1" customHeight="1" outlineLevel="3">
      <c r="A681" s="274"/>
      <c r="B681" s="143"/>
      <c r="C681" s="213" t="s">
        <v>362</v>
      </c>
      <c r="D681" s="160"/>
      <c r="E681" s="153"/>
      <c r="F681" s="153"/>
      <c r="G681" s="153"/>
      <c r="H681" s="206"/>
      <c r="I681" s="212"/>
      <c r="J681" s="184">
        <v>225000</v>
      </c>
      <c r="K681" s="221">
        <f>J681*1.23</f>
        <v>276750</v>
      </c>
      <c r="L681" s="184"/>
      <c r="M681" s="219"/>
      <c r="N681" s="183"/>
      <c r="O681" s="226"/>
      <c r="P681" s="150">
        <f t="shared" si="35"/>
        <v>276750</v>
      </c>
      <c r="Q681" s="569"/>
    </row>
    <row r="682" spans="1:17" ht="15.75" hidden="1" customHeight="1" outlineLevel="3">
      <c r="A682" s="274"/>
      <c r="B682" s="143"/>
      <c r="C682" s="213" t="s">
        <v>363</v>
      </c>
      <c r="D682" s="160"/>
      <c r="E682" s="153"/>
      <c r="F682" s="153"/>
      <c r="G682" s="153"/>
      <c r="H682" s="206"/>
      <c r="I682" s="212"/>
      <c r="J682" s="184"/>
      <c r="K682" s="221"/>
      <c r="L682" s="184"/>
      <c r="M682" s="219"/>
      <c r="N682" s="183"/>
      <c r="O682" s="226"/>
      <c r="P682" s="150"/>
      <c r="Q682" s="569"/>
    </row>
    <row r="683" spans="1:17" ht="15.75" hidden="1" customHeight="1" outlineLevel="3">
      <c r="A683" s="274"/>
      <c r="B683" s="143"/>
      <c r="C683" s="213" t="s">
        <v>358</v>
      </c>
      <c r="D683" s="160"/>
      <c r="E683" s="153"/>
      <c r="F683" s="153"/>
      <c r="G683" s="153"/>
      <c r="H683" s="206"/>
      <c r="I683" s="212"/>
      <c r="J683" s="184">
        <v>130000</v>
      </c>
      <c r="K683" s="221">
        <f t="shared" ref="K683:K702" si="36">J683*1.23</f>
        <v>159900</v>
      </c>
      <c r="L683" s="184"/>
      <c r="M683" s="219"/>
      <c r="N683" s="183"/>
      <c r="O683" s="226"/>
      <c r="P683" s="150">
        <f t="shared" si="35"/>
        <v>159900</v>
      </c>
      <c r="Q683" s="569"/>
    </row>
    <row r="684" spans="1:17" ht="15.75" hidden="1" customHeight="1" outlineLevel="3">
      <c r="A684" s="274"/>
      <c r="B684" s="143"/>
      <c r="C684" s="213" t="s">
        <v>364</v>
      </c>
      <c r="D684" s="160"/>
      <c r="E684" s="153"/>
      <c r="F684" s="153"/>
      <c r="G684" s="153"/>
      <c r="H684" s="206"/>
      <c r="I684" s="212"/>
      <c r="J684" s="184"/>
      <c r="K684" s="221"/>
      <c r="L684" s="184"/>
      <c r="M684" s="219"/>
      <c r="N684" s="183"/>
      <c r="O684" s="226"/>
      <c r="P684" s="150"/>
      <c r="Q684" s="569"/>
    </row>
    <row r="685" spans="1:17" ht="15.75" hidden="1" customHeight="1" outlineLevel="3">
      <c r="A685" s="274"/>
      <c r="B685" s="143"/>
      <c r="C685" s="142" t="s">
        <v>382</v>
      </c>
      <c r="D685" s="160"/>
      <c r="E685" s="153"/>
      <c r="F685" s="153"/>
      <c r="G685" s="153"/>
      <c r="H685" s="206"/>
      <c r="I685" s="212"/>
      <c r="J685" s="184"/>
      <c r="K685" s="221"/>
      <c r="L685" s="184"/>
      <c r="M685" s="219"/>
      <c r="N685" s="183"/>
      <c r="O685" s="226"/>
      <c r="P685" s="150"/>
      <c r="Q685" s="569"/>
    </row>
    <row r="686" spans="1:17" ht="15.75" hidden="1" customHeight="1" outlineLevel="3">
      <c r="A686" s="274"/>
      <c r="B686" s="143"/>
      <c r="C686" s="213" t="s">
        <v>366</v>
      </c>
      <c r="D686" s="160"/>
      <c r="E686" s="153"/>
      <c r="F686" s="153"/>
      <c r="G686" s="153"/>
      <c r="H686" s="206"/>
      <c r="I686" s="212"/>
      <c r="J686" s="184"/>
      <c r="K686" s="221"/>
      <c r="L686" s="184"/>
      <c r="M686" s="219"/>
      <c r="N686" s="183"/>
      <c r="O686" s="226"/>
      <c r="P686" s="150"/>
      <c r="Q686" s="569"/>
    </row>
    <row r="687" spans="1:17" ht="15.75" hidden="1" customHeight="1" outlineLevel="3">
      <c r="A687" s="274"/>
      <c r="B687" s="143"/>
      <c r="C687" s="213" t="s">
        <v>358</v>
      </c>
      <c r="D687" s="160"/>
      <c r="E687" s="153"/>
      <c r="F687" s="153"/>
      <c r="G687" s="153"/>
      <c r="H687" s="206"/>
      <c r="I687" s="212"/>
      <c r="J687" s="184">
        <v>137000</v>
      </c>
      <c r="K687" s="221">
        <f t="shared" si="36"/>
        <v>168510</v>
      </c>
      <c r="L687" s="184"/>
      <c r="M687" s="219"/>
      <c r="N687" s="183"/>
      <c r="O687" s="226"/>
      <c r="P687" s="150">
        <f t="shared" si="35"/>
        <v>168510</v>
      </c>
      <c r="Q687" s="569"/>
    </row>
    <row r="688" spans="1:17" ht="15.75" hidden="1" customHeight="1" outlineLevel="3">
      <c r="A688" s="274"/>
      <c r="B688" s="143"/>
      <c r="C688" s="213" t="s">
        <v>367</v>
      </c>
      <c r="D688" s="160"/>
      <c r="E688" s="202">
        <f>CIP!$AN$60</f>
        <v>103499.99999999999</v>
      </c>
      <c r="F688" s="153"/>
      <c r="G688" s="153"/>
      <c r="H688" s="206"/>
      <c r="I688" s="212">
        <f>SUM(D688:H688)</f>
        <v>103499.99999999999</v>
      </c>
      <c r="J688" s="184"/>
      <c r="K688" s="221"/>
      <c r="L688" s="184"/>
      <c r="M688" s="219"/>
      <c r="N688" s="183"/>
      <c r="O688" s="226"/>
      <c r="P688" s="150">
        <f t="shared" si="35"/>
        <v>103499.99999999999</v>
      </c>
      <c r="Q688" s="569" t="s">
        <v>1273</v>
      </c>
    </row>
    <row r="689" spans="1:17" ht="15.75" hidden="1" customHeight="1" outlineLevel="3">
      <c r="A689" s="274"/>
      <c r="B689" s="143"/>
      <c r="C689" s="213" t="s">
        <v>368</v>
      </c>
      <c r="D689" s="160"/>
      <c r="E689" s="153"/>
      <c r="F689" s="153"/>
      <c r="G689" s="153"/>
      <c r="H689" s="206"/>
      <c r="I689" s="212"/>
      <c r="J689" s="184">
        <v>1215000</v>
      </c>
      <c r="K689" s="221">
        <f t="shared" si="36"/>
        <v>1494450</v>
      </c>
      <c r="L689" s="184"/>
      <c r="M689" s="219"/>
      <c r="N689" s="183"/>
      <c r="O689" s="226"/>
      <c r="P689" s="150">
        <f t="shared" si="35"/>
        <v>1494450</v>
      </c>
      <c r="Q689" s="569"/>
    </row>
    <row r="690" spans="1:17" ht="15.75" hidden="1" customHeight="1" outlineLevel="3">
      <c r="A690" s="274"/>
      <c r="B690" s="143"/>
      <c r="C690" s="142" t="s">
        <v>383</v>
      </c>
      <c r="D690" s="160"/>
      <c r="E690" s="153"/>
      <c r="F690" s="153"/>
      <c r="G690" s="153"/>
      <c r="H690" s="206"/>
      <c r="I690" s="212"/>
      <c r="J690" s="184"/>
      <c r="K690" s="221"/>
      <c r="L690" s="184"/>
      <c r="M690" s="219"/>
      <c r="N690" s="183"/>
      <c r="O690" s="226"/>
      <c r="P690" s="150"/>
      <c r="Q690" s="569"/>
    </row>
    <row r="691" spans="1:17" ht="15.75" hidden="1" customHeight="1" outlineLevel="3">
      <c r="A691" s="274"/>
      <c r="B691" s="143"/>
      <c r="C691" s="213" t="s">
        <v>370</v>
      </c>
      <c r="D691" s="160"/>
      <c r="E691" s="202"/>
      <c r="F691" s="202">
        <f>CIP!$AO$77</f>
        <v>133903.12499999997</v>
      </c>
      <c r="G691" s="153"/>
      <c r="H691" s="409"/>
      <c r="I691" s="212">
        <f>SUM(D691:H691)</f>
        <v>133903.12499999997</v>
      </c>
      <c r="J691" s="184"/>
      <c r="K691" s="221"/>
      <c r="L691" s="184"/>
      <c r="M691" s="219"/>
      <c r="N691" s="183"/>
      <c r="O691" s="226"/>
      <c r="P691" s="150">
        <f t="shared" si="35"/>
        <v>133903.12499999997</v>
      </c>
      <c r="Q691" s="569"/>
    </row>
    <row r="692" spans="1:17" ht="15.75" hidden="1" customHeight="1" outlineLevel="3">
      <c r="A692" s="274"/>
      <c r="B692" s="143"/>
      <c r="C692" s="213" t="s">
        <v>371</v>
      </c>
      <c r="D692" s="225"/>
      <c r="E692" s="153">
        <f>CIP!$AN$88</f>
        <v>517499.99999999994</v>
      </c>
      <c r="F692" s="153">
        <f>CIP!$AO$88</f>
        <v>535612.49999999988</v>
      </c>
      <c r="G692" s="153"/>
      <c r="H692" s="206"/>
      <c r="I692" s="212">
        <f>SUM(D692:H692)</f>
        <v>1053112.4999999998</v>
      </c>
      <c r="J692" s="184"/>
      <c r="K692" s="221"/>
      <c r="L692" s="184"/>
      <c r="M692" s="219"/>
      <c r="N692" s="183"/>
      <c r="O692" s="226"/>
      <c r="P692" s="150">
        <f>SUM(I692:O692)</f>
        <v>1053112.4999999998</v>
      </c>
      <c r="Q692" s="569" t="s">
        <v>257</v>
      </c>
    </row>
    <row r="693" spans="1:17" ht="15.75" hidden="1" customHeight="1" outlineLevel="3">
      <c r="A693" s="274"/>
      <c r="B693" s="143"/>
      <c r="C693" s="213" t="s">
        <v>372</v>
      </c>
      <c r="D693" s="160"/>
      <c r="E693" s="153"/>
      <c r="F693" s="153"/>
      <c r="G693" s="153"/>
      <c r="H693" s="201"/>
      <c r="I693" s="212"/>
      <c r="J693" s="188">
        <v>1226000</v>
      </c>
      <c r="K693" s="221">
        <f t="shared" si="36"/>
        <v>1507980</v>
      </c>
      <c r="L693" s="184"/>
      <c r="M693" s="219"/>
      <c r="N693" s="183"/>
      <c r="O693" s="226"/>
      <c r="P693" s="150">
        <f t="shared" si="35"/>
        <v>1507980</v>
      </c>
      <c r="Q693" s="569" t="s">
        <v>1369</v>
      </c>
    </row>
    <row r="694" spans="1:17" ht="15.75" hidden="1" customHeight="1" outlineLevel="3">
      <c r="A694" s="274"/>
      <c r="B694" s="143"/>
      <c r="C694" s="213" t="s">
        <v>373</v>
      </c>
      <c r="D694" s="160"/>
      <c r="E694" s="202"/>
      <c r="F694" s="153"/>
      <c r="G694" s="153"/>
      <c r="H694" s="206"/>
      <c r="I694" s="212"/>
      <c r="J694" s="184">
        <v>324000</v>
      </c>
      <c r="K694" s="221">
        <f t="shared" si="36"/>
        <v>398520</v>
      </c>
      <c r="L694" s="184"/>
      <c r="M694" s="219"/>
      <c r="N694" s="183"/>
      <c r="O694" s="226"/>
      <c r="P694" s="150">
        <f t="shared" si="35"/>
        <v>398520</v>
      </c>
      <c r="Q694" s="568"/>
    </row>
    <row r="695" spans="1:17" ht="15.75" hidden="1" customHeight="1" outlineLevel="3">
      <c r="A695" s="274"/>
      <c r="B695" s="143"/>
      <c r="C695" s="142" t="s">
        <v>384</v>
      </c>
      <c r="D695" s="160"/>
      <c r="E695" s="153"/>
      <c r="F695" s="153"/>
      <c r="G695" s="153"/>
      <c r="H695" s="206"/>
      <c r="I695" s="212"/>
      <c r="J695" s="184"/>
      <c r="K695" s="221"/>
      <c r="L695" s="184"/>
      <c r="M695" s="219"/>
      <c r="N695" s="183"/>
      <c r="O695" s="226"/>
      <c r="P695" s="150"/>
      <c r="Q695" s="569"/>
    </row>
    <row r="696" spans="1:17" ht="15.75" hidden="1" customHeight="1" outlineLevel="3">
      <c r="A696" s="274"/>
      <c r="B696" s="143"/>
      <c r="C696" s="162" t="s">
        <v>375</v>
      </c>
      <c r="D696" s="225"/>
      <c r="E696" s="153"/>
      <c r="F696" s="153"/>
      <c r="G696" s="153"/>
      <c r="H696" s="206"/>
      <c r="I696" s="212"/>
      <c r="J696" s="184">
        <v>300000</v>
      </c>
      <c r="K696" s="221">
        <f t="shared" si="36"/>
        <v>369000</v>
      </c>
      <c r="L696" s="184"/>
      <c r="M696" s="219"/>
      <c r="N696" s="183"/>
      <c r="O696" s="226"/>
      <c r="P696" s="150">
        <f t="shared" si="35"/>
        <v>369000</v>
      </c>
      <c r="Q696" s="569" t="s">
        <v>1274</v>
      </c>
    </row>
    <row r="697" spans="1:17" ht="15.75" hidden="1" customHeight="1" outlineLevel="3">
      <c r="A697" s="274"/>
      <c r="B697" s="143"/>
      <c r="C697" s="162" t="s">
        <v>376</v>
      </c>
      <c r="D697" s="160"/>
      <c r="E697" s="153"/>
      <c r="F697" s="153"/>
      <c r="G697" s="153"/>
      <c r="H697" s="206"/>
      <c r="I697" s="212"/>
      <c r="J697" s="184">
        <v>500000</v>
      </c>
      <c r="K697" s="221">
        <f t="shared" si="36"/>
        <v>615000</v>
      </c>
      <c r="L697" s="184">
        <v>100000</v>
      </c>
      <c r="M697" s="219">
        <f>L697*1.46</f>
        <v>146000</v>
      </c>
      <c r="N697" s="183">
        <v>100000</v>
      </c>
      <c r="O697" s="226">
        <f>N697*1.73</f>
        <v>173000</v>
      </c>
      <c r="P697" s="150">
        <f t="shared" si="35"/>
        <v>934000</v>
      </c>
      <c r="Q697" s="569" t="s">
        <v>1275</v>
      </c>
    </row>
    <row r="698" spans="1:17" ht="15.75" hidden="1" customHeight="1" outlineLevel="3">
      <c r="A698" s="274"/>
      <c r="B698" s="143"/>
      <c r="C698" s="162" t="s">
        <v>377</v>
      </c>
      <c r="D698" s="160"/>
      <c r="E698" s="153"/>
      <c r="F698" s="153"/>
      <c r="G698" s="153"/>
      <c r="H698" s="206"/>
      <c r="I698" s="212"/>
      <c r="J698" s="184"/>
      <c r="K698" s="221"/>
      <c r="L698" s="184"/>
      <c r="M698" s="219"/>
      <c r="N698" s="183"/>
      <c r="O698" s="226"/>
      <c r="P698" s="150"/>
      <c r="Q698" s="569"/>
    </row>
    <row r="699" spans="1:17" ht="15.75" hidden="1" customHeight="1" outlineLevel="3">
      <c r="A699" s="274"/>
      <c r="B699" s="143"/>
      <c r="C699" s="162" t="s">
        <v>400</v>
      </c>
      <c r="D699" s="160"/>
      <c r="E699" s="153"/>
      <c r="F699" s="153"/>
      <c r="G699" s="153"/>
      <c r="H699" s="206"/>
      <c r="I699" s="212"/>
      <c r="J699" s="198">
        <v>125000</v>
      </c>
      <c r="K699" s="221">
        <f t="shared" si="36"/>
        <v>153750</v>
      </c>
      <c r="L699" s="184"/>
      <c r="M699" s="219"/>
      <c r="N699" s="183"/>
      <c r="O699" s="226"/>
      <c r="P699" s="150">
        <f t="shared" si="35"/>
        <v>153750</v>
      </c>
      <c r="Q699" s="568"/>
    </row>
    <row r="700" spans="1:17" ht="15.75" hidden="1" customHeight="1" outlineLevel="3">
      <c r="A700" s="274"/>
      <c r="B700" s="143"/>
      <c r="C700" s="162" t="s">
        <v>1189</v>
      </c>
      <c r="D700" s="160"/>
      <c r="E700" s="153"/>
      <c r="F700" s="153"/>
      <c r="G700" s="153"/>
      <c r="H700" s="206"/>
      <c r="I700" s="212"/>
      <c r="J700" s="184"/>
      <c r="K700" s="221"/>
      <c r="L700" s="184">
        <v>100000</v>
      </c>
      <c r="M700" s="219">
        <f>L700*1.46</f>
        <v>146000</v>
      </c>
      <c r="N700" s="183"/>
      <c r="O700" s="226"/>
      <c r="P700" s="150">
        <f t="shared" si="35"/>
        <v>146000</v>
      </c>
      <c r="Q700" s="568" t="s">
        <v>1276</v>
      </c>
    </row>
    <row r="701" spans="1:17" ht="15.75" hidden="1" customHeight="1" outlineLevel="3">
      <c r="A701" s="274"/>
      <c r="B701" s="143"/>
      <c r="C701" s="162" t="s">
        <v>486</v>
      </c>
      <c r="D701" s="160"/>
      <c r="E701" s="153"/>
      <c r="F701" s="153"/>
      <c r="G701" s="153"/>
      <c r="H701" s="206"/>
      <c r="I701" s="212"/>
      <c r="J701" s="184"/>
      <c r="K701" s="221"/>
      <c r="L701" s="184">
        <v>167000</v>
      </c>
      <c r="M701" s="219">
        <f>L701*1.46</f>
        <v>243820</v>
      </c>
      <c r="N701" s="183"/>
      <c r="O701" s="226"/>
      <c r="P701" s="150">
        <f t="shared" si="35"/>
        <v>243820</v>
      </c>
      <c r="Q701" s="568" t="s">
        <v>1375</v>
      </c>
    </row>
    <row r="702" spans="1:17" ht="15.75" hidden="1" customHeight="1" outlineLevel="2" collapsed="1">
      <c r="A702" s="274"/>
      <c r="B702" s="143"/>
      <c r="C702" s="142" t="s">
        <v>485</v>
      </c>
      <c r="D702" s="220"/>
      <c r="E702" s="217">
        <f>SUM(E675:E701)</f>
        <v>620999.99999999988</v>
      </c>
      <c r="F702" s="217">
        <f>SUM(F675:F701)</f>
        <v>937321.87499999977</v>
      </c>
      <c r="G702" s="217">
        <f>SUM(G675:G701)</f>
        <v>138589.73437499997</v>
      </c>
      <c r="H702" s="226"/>
      <c r="I702" s="207">
        <f>SUM(I674:I701)</f>
        <v>1696911.6093749995</v>
      </c>
      <c r="J702" s="184">
        <f>SUM(J674:J701)</f>
        <v>4182000</v>
      </c>
      <c r="K702" s="217">
        <f t="shared" si="36"/>
        <v>5143860</v>
      </c>
      <c r="L702" s="184">
        <f>SUM(L674:L701)</f>
        <v>367000</v>
      </c>
      <c r="M702" s="217">
        <f>L702*1.46</f>
        <v>535820</v>
      </c>
      <c r="N702" s="183">
        <f>SUM(N674:N701)</f>
        <v>100000</v>
      </c>
      <c r="O702" s="226">
        <f t="shared" ref="O702:O730" si="37">N702*1.73</f>
        <v>173000</v>
      </c>
      <c r="P702" s="150">
        <f t="shared" si="35"/>
        <v>7549591.609375</v>
      </c>
      <c r="Q702" s="568"/>
    </row>
    <row r="703" spans="1:17" s="211" customFormat="1" ht="15.75" hidden="1" customHeight="1" outlineLevel="3">
      <c r="A703" s="551"/>
      <c r="B703" s="142" t="s">
        <v>489</v>
      </c>
      <c r="C703" s="159"/>
      <c r="D703" s="180"/>
      <c r="E703" s="148"/>
      <c r="F703" s="148"/>
      <c r="G703" s="148"/>
      <c r="H703" s="198"/>
      <c r="I703" s="146"/>
      <c r="J703" s="147"/>
      <c r="K703" s="221"/>
      <c r="L703" s="147"/>
      <c r="M703" s="219"/>
      <c r="N703" s="149"/>
      <c r="O703" s="226"/>
      <c r="P703" s="150"/>
      <c r="Q703" s="569"/>
    </row>
    <row r="704" spans="1:17" ht="15.75" hidden="1" customHeight="1" outlineLevel="3">
      <c r="A704" s="274"/>
      <c r="B704" s="143"/>
      <c r="C704" s="142" t="s">
        <v>380</v>
      </c>
      <c r="D704" s="160"/>
      <c r="E704" s="153"/>
      <c r="F704" s="153"/>
      <c r="G704" s="153"/>
      <c r="H704" s="206"/>
      <c r="I704" s="212"/>
      <c r="J704" s="184"/>
      <c r="K704" s="221"/>
      <c r="L704" s="184"/>
      <c r="M704" s="219"/>
      <c r="N704" s="183"/>
      <c r="O704" s="226"/>
      <c r="P704" s="207"/>
      <c r="Q704" s="569"/>
    </row>
    <row r="705" spans="1:17" ht="15.75" hidden="1" customHeight="1" outlineLevel="3">
      <c r="A705" s="274"/>
      <c r="B705" s="143"/>
      <c r="C705" s="213" t="s">
        <v>490</v>
      </c>
      <c r="D705" s="160"/>
      <c r="E705" s="153"/>
      <c r="F705" s="153"/>
      <c r="G705" s="153"/>
      <c r="H705" s="206"/>
      <c r="I705" s="212"/>
      <c r="J705" s="184"/>
      <c r="K705" s="221"/>
      <c r="L705" s="184">
        <v>700000</v>
      </c>
      <c r="M705" s="219">
        <f>L705*1.46</f>
        <v>1022000</v>
      </c>
      <c r="N705" s="183"/>
      <c r="O705" s="226"/>
      <c r="P705" s="150">
        <f t="shared" ref="P705:P733" si="38">SUM(I705,K705,M705,O705)</f>
        <v>1022000</v>
      </c>
      <c r="Q705" s="569" t="s">
        <v>1277</v>
      </c>
    </row>
    <row r="706" spans="1:17" ht="15.75" hidden="1" customHeight="1" outlineLevel="3">
      <c r="A706" s="274"/>
      <c r="B706" s="143"/>
      <c r="C706" s="213" t="s">
        <v>357</v>
      </c>
      <c r="D706" s="160"/>
      <c r="E706" s="153">
        <f>CIP!$AN$42</f>
        <v>517499.99999999994</v>
      </c>
      <c r="F706" s="153">
        <f>CIP!$AO$42</f>
        <v>321367.49999999994</v>
      </c>
      <c r="G706" s="153">
        <f>CIP!$AP$42</f>
        <v>332615.36249999993</v>
      </c>
      <c r="H706" s="206"/>
      <c r="I706" s="212">
        <f>SUM(D706:H706)</f>
        <v>1171482.8624999998</v>
      </c>
      <c r="J706" s="184"/>
      <c r="K706" s="221"/>
      <c r="L706" s="184"/>
      <c r="M706" s="219"/>
      <c r="N706" s="183"/>
      <c r="O706" s="226"/>
      <c r="P706" s="150">
        <f t="shared" si="38"/>
        <v>1171482.8624999998</v>
      </c>
      <c r="Q706" s="569"/>
    </row>
    <row r="707" spans="1:17" ht="15.75" hidden="1" customHeight="1" outlineLevel="3">
      <c r="A707" s="274"/>
      <c r="B707" s="143"/>
      <c r="C707" s="213" t="s">
        <v>358</v>
      </c>
      <c r="D707" s="160"/>
      <c r="E707" s="153"/>
      <c r="F707" s="153"/>
      <c r="G707" s="153"/>
      <c r="H707" s="206"/>
      <c r="I707" s="203"/>
      <c r="J707" s="186">
        <v>500000</v>
      </c>
      <c r="K707" s="221">
        <f>J707*1.23</f>
        <v>615000</v>
      </c>
      <c r="L707" s="184"/>
      <c r="M707" s="219"/>
      <c r="N707" s="183"/>
      <c r="O707" s="226"/>
      <c r="P707" s="150">
        <f t="shared" si="38"/>
        <v>615000</v>
      </c>
      <c r="Q707" s="569"/>
    </row>
    <row r="708" spans="1:17" ht="15.75" hidden="1" customHeight="1" outlineLevel="3">
      <c r="A708" s="274"/>
      <c r="B708" s="143"/>
      <c r="C708" s="213" t="s">
        <v>359</v>
      </c>
      <c r="D708" s="160"/>
      <c r="E708" s="153"/>
      <c r="F708" s="153"/>
      <c r="G708" s="153"/>
      <c r="H708" s="206"/>
      <c r="I708" s="212"/>
      <c r="J708" s="184"/>
      <c r="K708" s="221"/>
      <c r="L708" s="184"/>
      <c r="M708" s="219"/>
      <c r="N708" s="183"/>
      <c r="O708" s="226"/>
      <c r="P708" s="150"/>
      <c r="Q708" s="569"/>
    </row>
    <row r="709" spans="1:17" ht="15.75" hidden="1" customHeight="1" outlineLevel="3">
      <c r="A709" s="274"/>
      <c r="B709" s="143"/>
      <c r="C709" s="213" t="s">
        <v>388</v>
      </c>
      <c r="D709" s="160"/>
      <c r="E709" s="153"/>
      <c r="F709" s="153"/>
      <c r="G709" s="153"/>
      <c r="H709" s="206"/>
      <c r="I709" s="212"/>
      <c r="J709" s="184"/>
      <c r="K709" s="221"/>
      <c r="L709" s="184"/>
      <c r="M709" s="219"/>
      <c r="N709" s="183"/>
      <c r="O709" s="226"/>
      <c r="P709" s="150"/>
      <c r="Q709" s="569"/>
    </row>
    <row r="710" spans="1:17" ht="15.75" hidden="1" customHeight="1" outlineLevel="3">
      <c r="A710" s="274"/>
      <c r="B710" s="143"/>
      <c r="C710" s="142" t="s">
        <v>381</v>
      </c>
      <c r="D710" s="160"/>
      <c r="E710" s="153"/>
      <c r="F710" s="153"/>
      <c r="G710" s="153"/>
      <c r="H710" s="206"/>
      <c r="I710" s="212"/>
      <c r="J710" s="184"/>
      <c r="K710" s="221"/>
      <c r="L710" s="184"/>
      <c r="M710" s="219"/>
      <c r="N710" s="183"/>
      <c r="O710" s="226"/>
      <c r="P710" s="150"/>
      <c r="Q710" s="569"/>
    </row>
    <row r="711" spans="1:17" ht="15.75" hidden="1" customHeight="1" outlineLevel="3">
      <c r="A711" s="274"/>
      <c r="B711" s="143"/>
      <c r="C711" s="213" t="s">
        <v>362</v>
      </c>
      <c r="D711" s="160"/>
      <c r="E711" s="153"/>
      <c r="F711" s="153"/>
      <c r="G711" s="153"/>
      <c r="H711" s="206"/>
      <c r="I711" s="161"/>
      <c r="J711" s="184">
        <v>250000</v>
      </c>
      <c r="K711" s="221">
        <f>J711*1.23</f>
        <v>307500</v>
      </c>
      <c r="L711" s="184"/>
      <c r="M711" s="219"/>
      <c r="N711" s="183"/>
      <c r="O711" s="226"/>
      <c r="P711" s="150">
        <f t="shared" si="38"/>
        <v>307500</v>
      </c>
      <c r="Q711" s="569"/>
    </row>
    <row r="712" spans="1:17" ht="15.75" hidden="1" customHeight="1" outlineLevel="3">
      <c r="A712" s="274"/>
      <c r="B712" s="143"/>
      <c r="C712" s="213" t="s">
        <v>363</v>
      </c>
      <c r="D712" s="160"/>
      <c r="E712" s="153"/>
      <c r="F712" s="153"/>
      <c r="G712" s="153"/>
      <c r="H712" s="206"/>
      <c r="I712" s="212"/>
      <c r="J712" s="184"/>
      <c r="K712" s="221"/>
      <c r="L712" s="184"/>
      <c r="M712" s="219"/>
      <c r="N712" s="183">
        <v>150000</v>
      </c>
      <c r="O712" s="226">
        <f t="shared" si="37"/>
        <v>259500</v>
      </c>
      <c r="P712" s="150">
        <f t="shared" si="38"/>
        <v>259500</v>
      </c>
      <c r="Q712" s="569"/>
    </row>
    <row r="713" spans="1:17" ht="15.75" hidden="1" customHeight="1" outlineLevel="3">
      <c r="A713" s="274"/>
      <c r="B713" s="143"/>
      <c r="C713" s="213" t="s">
        <v>358</v>
      </c>
      <c r="D713" s="160"/>
      <c r="E713" s="153"/>
      <c r="F713" s="153"/>
      <c r="G713" s="153"/>
      <c r="H713" s="206"/>
      <c r="I713" s="212"/>
      <c r="J713" s="184"/>
      <c r="K713" s="221"/>
      <c r="L713" s="184"/>
      <c r="M713" s="219"/>
      <c r="N713" s="183"/>
      <c r="O713" s="226"/>
      <c r="P713" s="150"/>
      <c r="Q713" s="569"/>
    </row>
    <row r="714" spans="1:17" ht="15.75" hidden="1" customHeight="1" outlineLevel="3">
      <c r="A714" s="274"/>
      <c r="B714" s="143"/>
      <c r="C714" s="213" t="s">
        <v>364</v>
      </c>
      <c r="D714" s="160"/>
      <c r="E714" s="153"/>
      <c r="F714" s="153"/>
      <c r="G714" s="153"/>
      <c r="H714" s="206"/>
      <c r="I714" s="212"/>
      <c r="J714" s="184"/>
      <c r="K714" s="221"/>
      <c r="L714" s="184"/>
      <c r="M714" s="219"/>
      <c r="N714" s="183"/>
      <c r="O714" s="226"/>
      <c r="P714" s="150"/>
      <c r="Q714" s="569" t="s">
        <v>1228</v>
      </c>
    </row>
    <row r="715" spans="1:17" ht="15.75" hidden="1" customHeight="1" outlineLevel="3">
      <c r="A715" s="274"/>
      <c r="B715" s="143"/>
      <c r="C715" s="142" t="s">
        <v>382</v>
      </c>
      <c r="D715" s="160"/>
      <c r="E715" s="153"/>
      <c r="F715" s="153"/>
      <c r="G715" s="153"/>
      <c r="H715" s="206"/>
      <c r="I715" s="212"/>
      <c r="J715" s="184"/>
      <c r="K715" s="221"/>
      <c r="L715" s="184"/>
      <c r="M715" s="219"/>
      <c r="N715" s="183"/>
      <c r="O715" s="226"/>
      <c r="P715" s="150"/>
      <c r="Q715" s="569"/>
    </row>
    <row r="716" spans="1:17" ht="15.75" hidden="1" customHeight="1" outlineLevel="3">
      <c r="A716" s="274"/>
      <c r="B716" s="143"/>
      <c r="C716" s="213" t="s">
        <v>366</v>
      </c>
      <c r="D716" s="160"/>
      <c r="E716" s="153"/>
      <c r="F716" s="153"/>
      <c r="G716" s="153"/>
      <c r="H716" s="206"/>
      <c r="I716" s="212"/>
      <c r="J716" s="184"/>
      <c r="K716" s="221"/>
      <c r="L716" s="184"/>
      <c r="M716" s="219"/>
      <c r="N716" s="183"/>
      <c r="O716" s="226"/>
      <c r="P716" s="150"/>
      <c r="Q716" s="569"/>
    </row>
    <row r="717" spans="1:17" ht="15.75" hidden="1" customHeight="1" outlineLevel="3">
      <c r="A717" s="274"/>
      <c r="B717" s="143"/>
      <c r="C717" s="213" t="s">
        <v>358</v>
      </c>
      <c r="D717" s="160"/>
      <c r="E717" s="153"/>
      <c r="F717" s="153"/>
      <c r="G717" s="153"/>
      <c r="H717" s="206"/>
      <c r="I717" s="212"/>
      <c r="J717" s="184"/>
      <c r="K717" s="221"/>
      <c r="L717" s="184"/>
      <c r="M717" s="219"/>
      <c r="N717" s="183"/>
      <c r="O717" s="226"/>
      <c r="P717" s="150"/>
      <c r="Q717" s="569"/>
    </row>
    <row r="718" spans="1:17" ht="15.75" hidden="1" customHeight="1" outlineLevel="3">
      <c r="A718" s="274"/>
      <c r="B718" s="143"/>
      <c r="C718" s="213" t="s">
        <v>367</v>
      </c>
      <c r="D718" s="160"/>
      <c r="E718" s="153"/>
      <c r="F718" s="153"/>
      <c r="G718" s="153"/>
      <c r="H718" s="206"/>
      <c r="I718" s="212"/>
      <c r="J718" s="184"/>
      <c r="K718" s="221"/>
      <c r="L718" s="184">
        <v>100000</v>
      </c>
      <c r="M718" s="219">
        <f>L718*1.46</f>
        <v>146000</v>
      </c>
      <c r="N718" s="183"/>
      <c r="O718" s="226"/>
      <c r="P718" s="150">
        <f t="shared" si="38"/>
        <v>146000</v>
      </c>
      <c r="Q718" s="569"/>
    </row>
    <row r="719" spans="1:17" ht="15.75" hidden="1" customHeight="1" outlineLevel="3">
      <c r="A719" s="274"/>
      <c r="B719" s="143"/>
      <c r="C719" s="213" t="s">
        <v>368</v>
      </c>
      <c r="D719" s="160"/>
      <c r="E719" s="153"/>
      <c r="F719" s="153"/>
      <c r="G719" s="153"/>
      <c r="H719" s="206"/>
      <c r="I719" s="212"/>
      <c r="J719" s="184"/>
      <c r="K719" s="221"/>
      <c r="L719" s="184"/>
      <c r="M719" s="219"/>
      <c r="N719" s="183"/>
      <c r="O719" s="226"/>
      <c r="P719" s="150"/>
      <c r="Q719" s="569"/>
    </row>
    <row r="720" spans="1:17" ht="15.75" hidden="1" customHeight="1" outlineLevel="3">
      <c r="A720" s="274"/>
      <c r="B720" s="143"/>
      <c r="C720" s="142" t="s">
        <v>383</v>
      </c>
      <c r="D720" s="160"/>
      <c r="E720" s="153"/>
      <c r="F720" s="153"/>
      <c r="G720" s="153"/>
      <c r="H720" s="206"/>
      <c r="I720" s="212"/>
      <c r="J720" s="184"/>
      <c r="K720" s="221"/>
      <c r="L720" s="184"/>
      <c r="M720" s="219"/>
      <c r="N720" s="183"/>
      <c r="O720" s="226"/>
      <c r="P720" s="150"/>
      <c r="Q720" s="569"/>
    </row>
    <row r="721" spans="1:17" ht="15.75" hidden="1" customHeight="1" outlineLevel="3">
      <c r="A721" s="274"/>
      <c r="B721" s="143"/>
      <c r="C721" s="213" t="s">
        <v>370</v>
      </c>
      <c r="D721" s="160"/>
      <c r="E721" s="153"/>
      <c r="F721" s="153"/>
      <c r="G721" s="153"/>
      <c r="H721" s="206"/>
      <c r="I721" s="212"/>
      <c r="J721" s="184"/>
      <c r="K721" s="221"/>
      <c r="L721" s="184"/>
      <c r="M721" s="219"/>
      <c r="N721" s="183"/>
      <c r="O721" s="226"/>
      <c r="P721" s="150"/>
      <c r="Q721" s="569"/>
    </row>
    <row r="722" spans="1:17" ht="15.75" hidden="1" customHeight="1" outlineLevel="3">
      <c r="A722" s="274"/>
      <c r="B722" s="143"/>
      <c r="C722" s="213" t="s">
        <v>371</v>
      </c>
      <c r="D722" s="160"/>
      <c r="E722" s="153"/>
      <c r="F722" s="153"/>
      <c r="G722" s="153"/>
      <c r="H722" s="206"/>
      <c r="I722" s="212"/>
      <c r="J722" s="184"/>
      <c r="K722" s="221"/>
      <c r="L722" s="184">
        <v>750000</v>
      </c>
      <c r="M722" s="219">
        <f>L722*1.46</f>
        <v>1095000</v>
      </c>
      <c r="N722" s="183"/>
      <c r="O722" s="226"/>
      <c r="P722" s="150">
        <f t="shared" si="38"/>
        <v>1095000</v>
      </c>
      <c r="Q722" s="569"/>
    </row>
    <row r="723" spans="1:17" ht="15.75" hidden="1" customHeight="1" outlineLevel="3">
      <c r="A723" s="274"/>
      <c r="B723" s="143"/>
      <c r="C723" s="213" t="s">
        <v>372</v>
      </c>
      <c r="D723" s="160"/>
      <c r="E723" s="153"/>
      <c r="F723" s="153"/>
      <c r="G723" s="153"/>
      <c r="H723" s="206"/>
      <c r="I723" s="212"/>
      <c r="J723" s="184"/>
      <c r="K723" s="221"/>
      <c r="L723" s="184"/>
      <c r="M723" s="219"/>
      <c r="N723" s="183"/>
      <c r="O723" s="226"/>
      <c r="P723" s="150"/>
      <c r="Q723" s="569"/>
    </row>
    <row r="724" spans="1:17" ht="15.75" hidden="1" customHeight="1" outlineLevel="3">
      <c r="A724" s="274"/>
      <c r="B724" s="143"/>
      <c r="C724" s="213" t="s">
        <v>373</v>
      </c>
      <c r="D724" s="160"/>
      <c r="E724" s="153"/>
      <c r="F724" s="153"/>
      <c r="G724" s="153"/>
      <c r="H724" s="206"/>
      <c r="I724" s="212"/>
      <c r="J724" s="184"/>
      <c r="K724" s="221"/>
      <c r="L724" s="184"/>
      <c r="M724" s="219"/>
      <c r="N724" s="183"/>
      <c r="O724" s="226"/>
      <c r="P724" s="150"/>
      <c r="Q724" s="568"/>
    </row>
    <row r="725" spans="1:17" ht="15.75" hidden="1" customHeight="1" outlineLevel="3">
      <c r="A725" s="274"/>
      <c r="B725" s="143"/>
      <c r="C725" s="142" t="s">
        <v>384</v>
      </c>
      <c r="D725" s="160"/>
      <c r="E725" s="153"/>
      <c r="F725" s="153"/>
      <c r="G725" s="153"/>
      <c r="H725" s="206"/>
      <c r="I725" s="212"/>
      <c r="J725" s="184"/>
      <c r="K725" s="221"/>
      <c r="L725" s="184"/>
      <c r="M725" s="219"/>
      <c r="N725" s="183"/>
      <c r="O725" s="226"/>
      <c r="P725" s="150"/>
      <c r="Q725" s="569"/>
    </row>
    <row r="726" spans="1:17" ht="15.75" hidden="1" customHeight="1" outlineLevel="3">
      <c r="A726" s="274"/>
      <c r="B726" s="143"/>
      <c r="C726" s="162" t="s">
        <v>375</v>
      </c>
      <c r="D726" s="160"/>
      <c r="E726" s="153"/>
      <c r="F726" s="153"/>
      <c r="G726" s="153"/>
      <c r="H726" s="206"/>
      <c r="I726" s="212"/>
      <c r="J726" s="184"/>
      <c r="K726" s="221"/>
      <c r="L726" s="184"/>
      <c r="M726" s="219"/>
      <c r="N726" s="183"/>
      <c r="O726" s="226"/>
      <c r="P726" s="150"/>
      <c r="Q726" s="569"/>
    </row>
    <row r="727" spans="1:17" ht="15.75" hidden="1" customHeight="1" outlineLevel="3">
      <c r="A727" s="274"/>
      <c r="B727" s="143"/>
      <c r="C727" s="162" t="s">
        <v>376</v>
      </c>
      <c r="D727" s="160"/>
      <c r="E727" s="153"/>
      <c r="F727" s="153"/>
      <c r="G727" s="153"/>
      <c r="H727" s="201"/>
      <c r="I727" s="212"/>
      <c r="J727" s="184"/>
      <c r="K727" s="221"/>
      <c r="L727" s="184"/>
      <c r="M727" s="219"/>
      <c r="N727" s="183"/>
      <c r="O727" s="226"/>
      <c r="P727" s="150"/>
      <c r="Q727" s="569" t="s">
        <v>1278</v>
      </c>
    </row>
    <row r="728" spans="1:17" ht="15.75" hidden="1" customHeight="1" outlineLevel="3">
      <c r="A728" s="274"/>
      <c r="B728" s="143"/>
      <c r="C728" s="162" t="s">
        <v>377</v>
      </c>
      <c r="D728" s="160"/>
      <c r="E728" s="153"/>
      <c r="F728" s="153"/>
      <c r="G728" s="153"/>
      <c r="H728" s="206"/>
      <c r="I728" s="212"/>
      <c r="J728" s="184"/>
      <c r="K728" s="221"/>
      <c r="L728" s="184"/>
      <c r="M728" s="219"/>
      <c r="N728" s="183"/>
      <c r="O728" s="226"/>
      <c r="P728" s="150"/>
      <c r="Q728" s="569"/>
    </row>
    <row r="729" spans="1:17" ht="15.75" hidden="1" customHeight="1" outlineLevel="3">
      <c r="A729" s="274"/>
      <c r="B729" s="143"/>
      <c r="C729" s="162" t="s">
        <v>400</v>
      </c>
      <c r="D729" s="160"/>
      <c r="E729" s="202"/>
      <c r="F729" s="153"/>
      <c r="G729" s="153"/>
      <c r="H729" s="201"/>
      <c r="I729" s="212"/>
      <c r="J729" s="184"/>
      <c r="K729" s="221"/>
      <c r="L729" s="184"/>
      <c r="M729" s="219"/>
      <c r="N729" s="183"/>
      <c r="O729" s="226"/>
      <c r="P729" s="150"/>
      <c r="Q729" s="568"/>
    </row>
    <row r="730" spans="1:17" ht="15.75" hidden="1" customHeight="1" outlineLevel="2" collapsed="1">
      <c r="A730" s="274"/>
      <c r="B730" s="143"/>
      <c r="C730" s="142" t="s">
        <v>489</v>
      </c>
      <c r="D730" s="220"/>
      <c r="E730" s="217">
        <f>SUM(E705:E729)</f>
        <v>517499.99999999994</v>
      </c>
      <c r="F730" s="217">
        <f>SUM(F705:F729)</f>
        <v>321367.49999999994</v>
      </c>
      <c r="G730" s="217">
        <f>SUM(G705:G729)</f>
        <v>332615.36249999993</v>
      </c>
      <c r="H730" s="226"/>
      <c r="I730" s="207">
        <f>SUM(I705:I729)</f>
        <v>1171482.8624999998</v>
      </c>
      <c r="J730" s="184">
        <f>SUM(J705:J729)</f>
        <v>750000</v>
      </c>
      <c r="K730" s="217">
        <f>J730*1.23</f>
        <v>922500</v>
      </c>
      <c r="L730" s="184">
        <f>SUM(L705:L729)</f>
        <v>1550000</v>
      </c>
      <c r="M730" s="217">
        <f>L730*1.46</f>
        <v>2263000</v>
      </c>
      <c r="N730" s="183">
        <f>SUM(N705:N729)</f>
        <v>150000</v>
      </c>
      <c r="O730" s="226">
        <f t="shared" si="37"/>
        <v>259500</v>
      </c>
      <c r="P730" s="150">
        <f t="shared" si="38"/>
        <v>4616482.8624999998</v>
      </c>
      <c r="Q730" s="568"/>
    </row>
    <row r="731" spans="1:17" s="565" customFormat="1" ht="15.75" hidden="1" customHeight="1" outlineLevel="3">
      <c r="A731" s="564"/>
      <c r="B731" s="262" t="s">
        <v>487</v>
      </c>
      <c r="C731" s="422"/>
      <c r="D731" s="187"/>
      <c r="E731" s="185"/>
      <c r="F731" s="185"/>
      <c r="G731" s="185"/>
      <c r="H731" s="205"/>
      <c r="I731" s="156"/>
      <c r="J731" s="184"/>
      <c r="K731" s="419"/>
      <c r="L731" s="184"/>
      <c r="M731" s="223"/>
      <c r="N731" s="183"/>
      <c r="O731" s="417"/>
      <c r="P731" s="207"/>
      <c r="Q731" s="569"/>
    </row>
    <row r="732" spans="1:17" ht="15.75" hidden="1" customHeight="1" outlineLevel="3">
      <c r="A732" s="274"/>
      <c r="B732" s="143"/>
      <c r="C732" s="162" t="s">
        <v>1217</v>
      </c>
      <c r="D732" s="160"/>
      <c r="E732" s="153"/>
      <c r="F732" s="153"/>
      <c r="G732" s="153"/>
      <c r="H732" s="206"/>
      <c r="I732" s="212"/>
      <c r="J732" s="184"/>
      <c r="K732" s="221"/>
      <c r="L732" s="184">
        <v>300000</v>
      </c>
      <c r="M732" s="219">
        <f>L732*1.46</f>
        <v>438000</v>
      </c>
      <c r="N732" s="183"/>
      <c r="O732" s="226"/>
      <c r="P732" s="150">
        <f t="shared" si="38"/>
        <v>438000</v>
      </c>
      <c r="Q732" s="568" t="s">
        <v>1279</v>
      </c>
    </row>
    <row r="733" spans="1:17" ht="15.75" hidden="1" customHeight="1" outlineLevel="2" collapsed="1">
      <c r="A733" s="274"/>
      <c r="B733" s="143"/>
      <c r="C733" s="142" t="s">
        <v>487</v>
      </c>
      <c r="D733" s="160"/>
      <c r="E733" s="153"/>
      <c r="F733" s="153"/>
      <c r="G733" s="153"/>
      <c r="H733" s="206"/>
      <c r="I733" s="212"/>
      <c r="J733" s="184"/>
      <c r="K733" s="217"/>
      <c r="L733" s="184">
        <f>SUM(L732)</f>
        <v>300000</v>
      </c>
      <c r="M733" s="219">
        <f>SUM(M732)</f>
        <v>438000</v>
      </c>
      <c r="N733" s="183"/>
      <c r="O733" s="226"/>
      <c r="P733" s="150">
        <f t="shared" si="38"/>
        <v>438000</v>
      </c>
      <c r="Q733" s="568" t="s">
        <v>1280</v>
      </c>
    </row>
    <row r="734" spans="1:17" s="211" customFormat="1" ht="15.75" hidden="1" customHeight="1" outlineLevel="3">
      <c r="A734" s="551"/>
      <c r="B734" s="142" t="s">
        <v>24</v>
      </c>
      <c r="C734" s="159"/>
      <c r="D734" s="180"/>
      <c r="E734" s="148"/>
      <c r="F734" s="148"/>
      <c r="G734" s="148"/>
      <c r="H734" s="198"/>
      <c r="I734" s="146"/>
      <c r="J734" s="147"/>
      <c r="K734" s="221"/>
      <c r="L734" s="147"/>
      <c r="M734" s="219"/>
      <c r="N734" s="149"/>
      <c r="O734" s="226"/>
      <c r="P734" s="150"/>
      <c r="Q734" s="569"/>
    </row>
    <row r="735" spans="1:17" ht="15.75" hidden="1" customHeight="1" outlineLevel="3">
      <c r="A735" s="274"/>
      <c r="B735" s="143"/>
      <c r="C735" s="142" t="s">
        <v>380</v>
      </c>
      <c r="D735" s="160"/>
      <c r="E735" s="153"/>
      <c r="F735" s="153"/>
      <c r="G735" s="153"/>
      <c r="H735" s="206"/>
      <c r="I735" s="212"/>
      <c r="J735" s="184"/>
      <c r="K735" s="221"/>
      <c r="L735" s="184"/>
      <c r="M735" s="219"/>
      <c r="N735" s="183"/>
      <c r="O735" s="226"/>
      <c r="P735" s="207"/>
      <c r="Q735" s="569"/>
    </row>
    <row r="736" spans="1:17" ht="15.75" hidden="1" customHeight="1" outlineLevel="3">
      <c r="A736" s="274"/>
      <c r="B736" s="143"/>
      <c r="C736" s="213" t="s">
        <v>396</v>
      </c>
      <c r="D736" s="160"/>
      <c r="E736" s="153"/>
      <c r="F736" s="153"/>
      <c r="G736" s="153"/>
      <c r="H736" s="206"/>
      <c r="I736" s="212"/>
      <c r="J736" s="184"/>
      <c r="K736" s="221"/>
      <c r="L736" s="184"/>
      <c r="M736" s="219"/>
      <c r="N736" s="183"/>
      <c r="O736" s="226"/>
      <c r="P736" s="207"/>
      <c r="Q736" s="569"/>
    </row>
    <row r="737" spans="1:17" ht="15.75" hidden="1" customHeight="1" outlineLevel="3">
      <c r="A737" s="274"/>
      <c r="B737" s="143"/>
      <c r="C737" s="213" t="s">
        <v>357</v>
      </c>
      <c r="D737" s="225">
        <f>CIP!$AM$22</f>
        <v>188000</v>
      </c>
      <c r="E737" s="153"/>
      <c r="F737" s="153"/>
      <c r="G737" s="153"/>
      <c r="H737" s="206"/>
      <c r="I737" s="212">
        <f>SUM(D737:H737)</f>
        <v>188000</v>
      </c>
      <c r="J737" s="184"/>
      <c r="K737" s="221"/>
      <c r="L737" s="184"/>
      <c r="M737" s="219"/>
      <c r="N737" s="183"/>
      <c r="O737" s="226"/>
      <c r="P737" s="150">
        <f t="shared" ref="P737" si="39">SUM(I737,K737,M737,O737)</f>
        <v>188000</v>
      </c>
      <c r="Q737" s="569"/>
    </row>
    <row r="738" spans="1:17" ht="15.75" hidden="1" customHeight="1" outlineLevel="3">
      <c r="A738" s="274"/>
      <c r="B738" s="143"/>
      <c r="C738" s="213" t="s">
        <v>358</v>
      </c>
      <c r="D738" s="160"/>
      <c r="E738" s="153"/>
      <c r="F738" s="153"/>
      <c r="G738" s="153"/>
      <c r="H738" s="206"/>
      <c r="I738" s="203"/>
      <c r="J738" s="186"/>
      <c r="K738" s="221"/>
      <c r="L738" s="184"/>
      <c r="M738" s="219"/>
      <c r="N738" s="183"/>
      <c r="O738" s="226"/>
      <c r="P738" s="207"/>
      <c r="Q738" s="569"/>
    </row>
    <row r="739" spans="1:17" ht="15.75" hidden="1" customHeight="1" outlineLevel="3">
      <c r="A739" s="274"/>
      <c r="B739" s="143"/>
      <c r="C739" s="213" t="s">
        <v>359</v>
      </c>
      <c r="D739" s="160"/>
      <c r="E739" s="153"/>
      <c r="F739" s="153"/>
      <c r="G739" s="153"/>
      <c r="H739" s="206"/>
      <c r="I739" s="212"/>
      <c r="J739" s="184"/>
      <c r="K739" s="221"/>
      <c r="L739" s="184"/>
      <c r="M739" s="219"/>
      <c r="N739" s="183"/>
      <c r="O739" s="226"/>
      <c r="P739" s="207"/>
      <c r="Q739" s="569"/>
    </row>
    <row r="740" spans="1:17" ht="15.75" hidden="1" customHeight="1" outlineLevel="3">
      <c r="A740" s="274"/>
      <c r="B740" s="143"/>
      <c r="C740" s="213" t="s">
        <v>388</v>
      </c>
      <c r="D740" s="160"/>
      <c r="E740" s="153"/>
      <c r="F740" s="153"/>
      <c r="G740" s="153"/>
      <c r="H740" s="206"/>
      <c r="I740" s="212"/>
      <c r="J740" s="184"/>
      <c r="K740" s="221"/>
      <c r="L740" s="184"/>
      <c r="M740" s="219"/>
      <c r="N740" s="183"/>
      <c r="O740" s="226"/>
      <c r="P740" s="207"/>
      <c r="Q740" s="569"/>
    </row>
    <row r="741" spans="1:17" ht="15.75" hidden="1" customHeight="1" outlineLevel="3">
      <c r="A741" s="274"/>
      <c r="B741" s="143"/>
      <c r="C741" s="142" t="s">
        <v>381</v>
      </c>
      <c r="D741" s="160"/>
      <c r="E741" s="153"/>
      <c r="F741" s="153"/>
      <c r="G741" s="153"/>
      <c r="H741" s="206"/>
      <c r="I741" s="212"/>
      <c r="J741" s="184"/>
      <c r="K741" s="221"/>
      <c r="L741" s="184"/>
      <c r="M741" s="219"/>
      <c r="N741" s="183"/>
      <c r="O741" s="226"/>
      <c r="P741" s="207"/>
      <c r="Q741" s="569"/>
    </row>
    <row r="742" spans="1:17" ht="15.75" hidden="1" customHeight="1" outlineLevel="3">
      <c r="A742" s="274"/>
      <c r="B742" s="143"/>
      <c r="C742" s="213" t="s">
        <v>362</v>
      </c>
      <c r="D742" s="160"/>
      <c r="E742" s="153"/>
      <c r="F742" s="153"/>
      <c r="G742" s="153"/>
      <c r="H742" s="206"/>
      <c r="I742" s="212"/>
      <c r="J742" s="184"/>
      <c r="K742" s="221"/>
      <c r="L742" s="184"/>
      <c r="M742" s="219"/>
      <c r="N742" s="183"/>
      <c r="O742" s="226"/>
      <c r="P742" s="207"/>
      <c r="Q742" s="569"/>
    </row>
    <row r="743" spans="1:17" ht="15.75" hidden="1" customHeight="1" outlineLevel="3">
      <c r="A743" s="274"/>
      <c r="B743" s="143"/>
      <c r="C743" s="213" t="s">
        <v>363</v>
      </c>
      <c r="D743" s="160"/>
      <c r="E743" s="153"/>
      <c r="F743" s="153"/>
      <c r="G743" s="153"/>
      <c r="H743" s="206"/>
      <c r="I743" s="212"/>
      <c r="J743" s="184"/>
      <c r="K743" s="221"/>
      <c r="L743" s="184"/>
      <c r="M743" s="219"/>
      <c r="N743" s="183"/>
      <c r="O743" s="226"/>
      <c r="P743" s="207"/>
      <c r="Q743" s="569"/>
    </row>
    <row r="744" spans="1:17" ht="15.75" hidden="1" customHeight="1" outlineLevel="3">
      <c r="A744" s="274"/>
      <c r="B744" s="143"/>
      <c r="C744" s="213" t="s">
        <v>358</v>
      </c>
      <c r="D744" s="160"/>
      <c r="E744" s="153"/>
      <c r="F744" s="153"/>
      <c r="G744" s="153"/>
      <c r="H744" s="206"/>
      <c r="I744" s="212"/>
      <c r="J744" s="184"/>
      <c r="K744" s="221"/>
      <c r="L744" s="184"/>
      <c r="M744" s="219"/>
      <c r="N744" s="183"/>
      <c r="O744" s="226"/>
      <c r="P744" s="207"/>
      <c r="Q744" s="569"/>
    </row>
    <row r="745" spans="1:17" ht="15.75" hidden="1" customHeight="1" outlineLevel="3">
      <c r="A745" s="274"/>
      <c r="B745" s="143"/>
      <c r="C745" s="213" t="s">
        <v>364</v>
      </c>
      <c r="D745" s="160"/>
      <c r="E745" s="153"/>
      <c r="F745" s="153"/>
      <c r="G745" s="153"/>
      <c r="H745" s="206"/>
      <c r="I745" s="212"/>
      <c r="J745" s="184"/>
      <c r="K745" s="221"/>
      <c r="L745" s="184"/>
      <c r="M745" s="219"/>
      <c r="N745" s="183"/>
      <c r="O745" s="226"/>
      <c r="P745" s="207"/>
      <c r="Q745" s="569"/>
    </row>
    <row r="746" spans="1:17" ht="15.75" hidden="1" customHeight="1" outlineLevel="3">
      <c r="A746" s="274"/>
      <c r="B746" s="143"/>
      <c r="C746" s="142" t="s">
        <v>382</v>
      </c>
      <c r="D746" s="160"/>
      <c r="E746" s="153"/>
      <c r="F746" s="153"/>
      <c r="G746" s="153"/>
      <c r="H746" s="206"/>
      <c r="I746" s="212"/>
      <c r="J746" s="184"/>
      <c r="K746" s="221"/>
      <c r="L746" s="184"/>
      <c r="M746" s="219"/>
      <c r="N746" s="183"/>
      <c r="O746" s="226"/>
      <c r="P746" s="207"/>
      <c r="Q746" s="569"/>
    </row>
    <row r="747" spans="1:17" ht="15.75" hidden="1" customHeight="1" outlineLevel="3">
      <c r="A747" s="274"/>
      <c r="B747" s="143"/>
      <c r="C747" s="213" t="s">
        <v>366</v>
      </c>
      <c r="D747" s="160"/>
      <c r="E747" s="153"/>
      <c r="F747" s="153"/>
      <c r="G747" s="153"/>
      <c r="H747" s="206"/>
      <c r="I747" s="212"/>
      <c r="J747" s="184"/>
      <c r="K747" s="221"/>
      <c r="L747" s="184"/>
      <c r="M747" s="219"/>
      <c r="N747" s="183"/>
      <c r="O747" s="226"/>
      <c r="P747" s="207"/>
      <c r="Q747" s="569"/>
    </row>
    <row r="748" spans="1:17" ht="15.75" hidden="1" customHeight="1" outlineLevel="3">
      <c r="A748" s="274"/>
      <c r="B748" s="143"/>
      <c r="C748" s="213" t="s">
        <v>358</v>
      </c>
      <c r="D748" s="160"/>
      <c r="E748" s="153"/>
      <c r="F748" s="153"/>
      <c r="G748" s="153"/>
      <c r="H748" s="206"/>
      <c r="I748" s="212"/>
      <c r="J748" s="184"/>
      <c r="K748" s="221"/>
      <c r="L748" s="184"/>
      <c r="M748" s="219"/>
      <c r="N748" s="183"/>
      <c r="O748" s="226"/>
      <c r="P748" s="207"/>
      <c r="Q748" s="569"/>
    </row>
    <row r="749" spans="1:17" ht="15.75" hidden="1" customHeight="1" outlineLevel="3">
      <c r="A749" s="274"/>
      <c r="B749" s="143"/>
      <c r="C749" s="213" t="s">
        <v>367</v>
      </c>
      <c r="D749" s="160"/>
      <c r="E749" s="153"/>
      <c r="F749" s="153"/>
      <c r="G749" s="153"/>
      <c r="H749" s="206"/>
      <c r="I749" s="212"/>
      <c r="J749" s="184"/>
      <c r="K749" s="221"/>
      <c r="L749" s="184"/>
      <c r="M749" s="219"/>
      <c r="N749" s="183"/>
      <c r="O749" s="226"/>
      <c r="P749" s="207"/>
      <c r="Q749" s="569"/>
    </row>
    <row r="750" spans="1:17" ht="15.75" hidden="1" customHeight="1" outlineLevel="3">
      <c r="A750" s="274"/>
      <c r="B750" s="143"/>
      <c r="C750" s="213" t="s">
        <v>368</v>
      </c>
      <c r="D750" s="160"/>
      <c r="E750" s="153"/>
      <c r="F750" s="153"/>
      <c r="G750" s="153"/>
      <c r="H750" s="206"/>
      <c r="I750" s="212"/>
      <c r="J750" s="184">
        <v>170000</v>
      </c>
      <c r="K750" s="221">
        <f>J750*1.23</f>
        <v>209100</v>
      </c>
      <c r="L750" s="184"/>
      <c r="M750" s="219"/>
      <c r="N750" s="183"/>
      <c r="O750" s="226"/>
      <c r="P750" s="150">
        <f t="shared" ref="P750:P761" si="40">SUM(I750,K750,M750,O750)</f>
        <v>209100</v>
      </c>
      <c r="Q750" s="569"/>
    </row>
    <row r="751" spans="1:17" ht="15.75" hidden="1" customHeight="1" outlineLevel="3">
      <c r="A751" s="274"/>
      <c r="B751" s="143"/>
      <c r="C751" s="142" t="s">
        <v>383</v>
      </c>
      <c r="D751" s="160"/>
      <c r="E751" s="153"/>
      <c r="F751" s="153"/>
      <c r="G751" s="153"/>
      <c r="H751" s="206"/>
      <c r="I751" s="212"/>
      <c r="J751" s="184"/>
      <c r="K751" s="221"/>
      <c r="L751" s="184"/>
      <c r="M751" s="219"/>
      <c r="N751" s="183"/>
      <c r="O751" s="226"/>
      <c r="P751" s="150"/>
      <c r="Q751" s="569"/>
    </row>
    <row r="752" spans="1:17" ht="15.75" hidden="1" customHeight="1" outlineLevel="3">
      <c r="A752" s="274"/>
      <c r="B752" s="143"/>
      <c r="C752" s="213" t="s">
        <v>370</v>
      </c>
      <c r="D752" s="160"/>
      <c r="E752" s="153"/>
      <c r="F752" s="153"/>
      <c r="G752" s="153"/>
      <c r="H752" s="206"/>
      <c r="I752" s="161"/>
      <c r="J752" s="184">
        <v>150000</v>
      </c>
      <c r="K752" s="221">
        <f t="shared" ref="K752:K753" si="41">J752*1.23</f>
        <v>184500</v>
      </c>
      <c r="L752" s="184"/>
      <c r="M752" s="219"/>
      <c r="N752" s="183"/>
      <c r="O752" s="226"/>
      <c r="P752" s="150">
        <f t="shared" si="40"/>
        <v>184500</v>
      </c>
      <c r="Q752" s="569"/>
    </row>
    <row r="753" spans="1:17" ht="15.75" hidden="1" customHeight="1" outlineLevel="3">
      <c r="A753" s="274"/>
      <c r="B753" s="143"/>
      <c r="C753" s="213" t="s">
        <v>371</v>
      </c>
      <c r="D753" s="160"/>
      <c r="E753" s="153"/>
      <c r="F753" s="153"/>
      <c r="G753" s="153"/>
      <c r="H753" s="206"/>
      <c r="I753" s="212"/>
      <c r="J753" s="184">
        <v>125000</v>
      </c>
      <c r="K753" s="221">
        <f t="shared" si="41"/>
        <v>153750</v>
      </c>
      <c r="L753" s="184"/>
      <c r="M753" s="219"/>
      <c r="N753" s="183"/>
      <c r="O753" s="226"/>
      <c r="P753" s="150">
        <f t="shared" si="40"/>
        <v>153750</v>
      </c>
      <c r="Q753" s="569"/>
    </row>
    <row r="754" spans="1:17" ht="15.75" hidden="1" customHeight="1" outlineLevel="3">
      <c r="A754" s="274"/>
      <c r="B754" s="143"/>
      <c r="C754" s="213" t="s">
        <v>372</v>
      </c>
      <c r="D754" s="160"/>
      <c r="E754" s="153"/>
      <c r="F754" s="153"/>
      <c r="G754" s="153"/>
      <c r="H754" s="206"/>
      <c r="I754" s="212"/>
      <c r="J754" s="184"/>
      <c r="K754" s="221"/>
      <c r="L754" s="184">
        <v>244000</v>
      </c>
      <c r="M754" s="219">
        <f>L754*1.46</f>
        <v>356240</v>
      </c>
      <c r="N754" s="183"/>
      <c r="O754" s="226"/>
      <c r="P754" s="150">
        <f t="shared" si="40"/>
        <v>356240</v>
      </c>
      <c r="Q754" s="569"/>
    </row>
    <row r="755" spans="1:17" ht="15.75" hidden="1" customHeight="1" outlineLevel="3">
      <c r="A755" s="274"/>
      <c r="B755" s="143"/>
      <c r="C755" s="213" t="s">
        <v>373</v>
      </c>
      <c r="D755" s="160"/>
      <c r="E755" s="153"/>
      <c r="F755" s="153"/>
      <c r="G755" s="153"/>
      <c r="H755" s="206"/>
      <c r="I755" s="212"/>
      <c r="J755" s="184"/>
      <c r="K755" s="221"/>
      <c r="L755" s="184"/>
      <c r="M755" s="219"/>
      <c r="N755" s="183"/>
      <c r="O755" s="226"/>
      <c r="P755" s="150"/>
      <c r="Q755" s="568"/>
    </row>
    <row r="756" spans="1:17" ht="15.75" hidden="1" customHeight="1" outlineLevel="3">
      <c r="A756" s="274"/>
      <c r="B756" s="143"/>
      <c r="C756" s="142" t="s">
        <v>384</v>
      </c>
      <c r="D756" s="160"/>
      <c r="E756" s="153"/>
      <c r="F756" s="153"/>
      <c r="G756" s="153"/>
      <c r="H756" s="206"/>
      <c r="I756" s="212"/>
      <c r="J756" s="184"/>
      <c r="K756" s="221"/>
      <c r="L756" s="184"/>
      <c r="M756" s="219"/>
      <c r="N756" s="183"/>
      <c r="O756" s="226"/>
      <c r="P756" s="150"/>
      <c r="Q756" s="569"/>
    </row>
    <row r="757" spans="1:17" ht="15.75" hidden="1" customHeight="1" outlineLevel="3">
      <c r="A757" s="274"/>
      <c r="B757" s="143"/>
      <c r="C757" s="162" t="s">
        <v>375</v>
      </c>
      <c r="D757" s="160"/>
      <c r="E757" s="153"/>
      <c r="F757" s="153"/>
      <c r="G757" s="153"/>
      <c r="H757" s="206"/>
      <c r="I757" s="161"/>
      <c r="J757" s="184">
        <v>300000</v>
      </c>
      <c r="K757" s="221">
        <f>J757*1.23</f>
        <v>369000</v>
      </c>
      <c r="L757" s="184"/>
      <c r="M757" s="219"/>
      <c r="N757" s="183"/>
      <c r="O757" s="226"/>
      <c r="P757" s="150">
        <f t="shared" si="40"/>
        <v>369000</v>
      </c>
      <c r="Q757" s="569"/>
    </row>
    <row r="758" spans="1:17" ht="15.75" hidden="1" customHeight="1" outlineLevel="3">
      <c r="A758" s="274"/>
      <c r="B758" s="143"/>
      <c r="C758" s="162" t="s">
        <v>376</v>
      </c>
      <c r="D758" s="160"/>
      <c r="E758" s="153"/>
      <c r="F758" s="153"/>
      <c r="G758" s="153"/>
      <c r="H758" s="206"/>
      <c r="I758" s="212"/>
      <c r="J758" s="184"/>
      <c r="K758" s="221"/>
      <c r="L758" s="184"/>
      <c r="M758" s="219"/>
      <c r="N758" s="183"/>
      <c r="O758" s="226"/>
      <c r="P758" s="150"/>
      <c r="Q758" s="569"/>
    </row>
    <row r="759" spans="1:17" ht="15.75" hidden="1" customHeight="1" outlineLevel="3">
      <c r="A759" s="274"/>
      <c r="B759" s="143"/>
      <c r="C759" s="162" t="s">
        <v>377</v>
      </c>
      <c r="D759" s="160"/>
      <c r="E759" s="153"/>
      <c r="F759" s="153"/>
      <c r="G759" s="153"/>
      <c r="H759" s="206"/>
      <c r="I759" s="212"/>
      <c r="J759" s="184"/>
      <c r="K759" s="221"/>
      <c r="L759" s="184"/>
      <c r="M759" s="219"/>
      <c r="N759" s="183"/>
      <c r="O759" s="226"/>
      <c r="P759" s="150"/>
      <c r="Q759" s="569"/>
    </row>
    <row r="760" spans="1:17" ht="15.75" hidden="1" customHeight="1" outlineLevel="3">
      <c r="A760" s="274"/>
      <c r="B760" s="143"/>
      <c r="C760" s="162" t="s">
        <v>400</v>
      </c>
      <c r="D760" s="160"/>
      <c r="E760" s="202"/>
      <c r="F760" s="153"/>
      <c r="G760" s="153"/>
      <c r="H760" s="206"/>
      <c r="I760" s="212"/>
      <c r="J760" s="184"/>
      <c r="K760" s="221"/>
      <c r="L760" s="184"/>
      <c r="M760" s="219"/>
      <c r="N760" s="183"/>
      <c r="O760" s="226"/>
      <c r="P760" s="150"/>
      <c r="Q760" s="568"/>
    </row>
    <row r="761" spans="1:17" ht="15.75" hidden="1" customHeight="1" outlineLevel="2" collapsed="1">
      <c r="A761" s="274"/>
      <c r="B761" s="143"/>
      <c r="C761" s="142" t="s">
        <v>24</v>
      </c>
      <c r="D761" s="220">
        <f>SUM(D735:D760)</f>
        <v>188000</v>
      </c>
      <c r="E761" s="217"/>
      <c r="F761" s="217"/>
      <c r="G761" s="217"/>
      <c r="H761" s="226"/>
      <c r="I761" s="207">
        <f>SUM(I736:I760)</f>
        <v>188000</v>
      </c>
      <c r="J761" s="184">
        <f>SUM(J736:J760)</f>
        <v>745000</v>
      </c>
      <c r="K761" s="217">
        <f>J761*1.23</f>
        <v>916350</v>
      </c>
      <c r="L761" s="184">
        <f>SUM(L736:L760)</f>
        <v>244000</v>
      </c>
      <c r="M761" s="217">
        <f>L761*1.46</f>
        <v>356240</v>
      </c>
      <c r="N761" s="183"/>
      <c r="O761" s="226"/>
      <c r="P761" s="150">
        <f t="shared" si="40"/>
        <v>1460590</v>
      </c>
      <c r="Q761" s="568"/>
    </row>
    <row r="762" spans="1:17" s="211" customFormat="1" ht="15.75" hidden="1" customHeight="1" outlineLevel="3">
      <c r="A762" s="551"/>
      <c r="B762" s="142" t="s">
        <v>29</v>
      </c>
      <c r="C762" s="159"/>
      <c r="D762" s="180"/>
      <c r="E762" s="148"/>
      <c r="F762" s="148"/>
      <c r="G762" s="148"/>
      <c r="H762" s="198"/>
      <c r="I762" s="146"/>
      <c r="J762" s="147"/>
      <c r="K762" s="221"/>
      <c r="L762" s="147"/>
      <c r="M762" s="219"/>
      <c r="N762" s="149"/>
      <c r="O762" s="226"/>
      <c r="P762" s="150"/>
      <c r="Q762" s="569"/>
    </row>
    <row r="763" spans="1:17" ht="15.75" hidden="1" customHeight="1" outlineLevel="3">
      <c r="A763" s="274"/>
      <c r="B763" s="143"/>
      <c r="C763" s="142" t="s">
        <v>380</v>
      </c>
      <c r="D763" s="160"/>
      <c r="E763" s="153"/>
      <c r="F763" s="153"/>
      <c r="G763" s="153"/>
      <c r="H763" s="206"/>
      <c r="I763" s="212"/>
      <c r="J763" s="184"/>
      <c r="K763" s="221"/>
      <c r="L763" s="184"/>
      <c r="M763" s="219"/>
      <c r="N763" s="183"/>
      <c r="O763" s="226"/>
      <c r="P763" s="207"/>
      <c r="Q763" s="569"/>
    </row>
    <row r="764" spans="1:17" ht="15.75" hidden="1" customHeight="1" outlineLevel="3">
      <c r="A764" s="274"/>
      <c r="B764" s="143"/>
      <c r="C764" s="213" t="s">
        <v>396</v>
      </c>
      <c r="D764" s="160"/>
      <c r="E764" s="153"/>
      <c r="F764" s="153"/>
      <c r="G764" s="153"/>
      <c r="H764" s="206"/>
      <c r="I764" s="212"/>
      <c r="J764" s="184"/>
      <c r="K764" s="221"/>
      <c r="L764" s="184"/>
      <c r="M764" s="219"/>
      <c r="N764" s="183"/>
      <c r="O764" s="226"/>
      <c r="P764" s="207"/>
      <c r="Q764" s="569"/>
    </row>
    <row r="765" spans="1:17" ht="15.75" hidden="1" customHeight="1" outlineLevel="3">
      <c r="A765" s="274"/>
      <c r="B765" s="143"/>
      <c r="C765" s="213" t="s">
        <v>357</v>
      </c>
      <c r="D765" s="160"/>
      <c r="E765" s="153"/>
      <c r="F765" s="153"/>
      <c r="G765" s="153"/>
      <c r="H765" s="206"/>
      <c r="I765" s="212"/>
      <c r="J765" s="184"/>
      <c r="K765" s="221"/>
      <c r="L765" s="184"/>
      <c r="M765" s="219"/>
      <c r="N765" s="183"/>
      <c r="O765" s="226"/>
      <c r="P765" s="207"/>
      <c r="Q765" s="569"/>
    </row>
    <row r="766" spans="1:17" ht="15.75" hidden="1" customHeight="1" outlineLevel="3">
      <c r="A766" s="274"/>
      <c r="B766" s="143"/>
      <c r="C766" s="213" t="s">
        <v>358</v>
      </c>
      <c r="D766" s="160"/>
      <c r="E766" s="153"/>
      <c r="F766" s="153"/>
      <c r="G766" s="153"/>
      <c r="H766" s="206"/>
      <c r="I766" s="203"/>
      <c r="J766" s="186"/>
      <c r="K766" s="221"/>
      <c r="L766" s="184"/>
      <c r="M766" s="219"/>
      <c r="N766" s="183"/>
      <c r="O766" s="226"/>
      <c r="P766" s="207"/>
      <c r="Q766" s="569"/>
    </row>
    <row r="767" spans="1:17" ht="15.75" hidden="1" customHeight="1" outlineLevel="3">
      <c r="A767" s="274"/>
      <c r="B767" s="143"/>
      <c r="C767" s="213" t="s">
        <v>359</v>
      </c>
      <c r="D767" s="160"/>
      <c r="E767" s="153"/>
      <c r="F767" s="153"/>
      <c r="G767" s="153"/>
      <c r="H767" s="206"/>
      <c r="I767" s="212"/>
      <c r="J767" s="184"/>
      <c r="K767" s="221"/>
      <c r="L767" s="184"/>
      <c r="M767" s="219"/>
      <c r="N767" s="183"/>
      <c r="O767" s="226"/>
      <c r="P767" s="207"/>
      <c r="Q767" s="569"/>
    </row>
    <row r="768" spans="1:17" ht="15.75" hidden="1" customHeight="1" outlineLevel="3">
      <c r="A768" s="274"/>
      <c r="B768" s="143"/>
      <c r="C768" s="213" t="s">
        <v>388</v>
      </c>
      <c r="D768" s="160"/>
      <c r="E768" s="153"/>
      <c r="F768" s="153"/>
      <c r="G768" s="153"/>
      <c r="H768" s="206"/>
      <c r="I768" s="212"/>
      <c r="J768" s="184"/>
      <c r="K768" s="221"/>
      <c r="L768" s="184"/>
      <c r="M768" s="219"/>
      <c r="N768" s="183"/>
      <c r="O768" s="226"/>
      <c r="P768" s="207"/>
      <c r="Q768" s="569"/>
    </row>
    <row r="769" spans="1:17" ht="15.75" hidden="1" customHeight="1" outlineLevel="3">
      <c r="A769" s="274"/>
      <c r="B769" s="143"/>
      <c r="C769" s="142" t="s">
        <v>381</v>
      </c>
      <c r="D769" s="160"/>
      <c r="E769" s="153"/>
      <c r="F769" s="153"/>
      <c r="G769" s="153"/>
      <c r="H769" s="206"/>
      <c r="I769" s="212"/>
      <c r="J769" s="184"/>
      <c r="K769" s="221"/>
      <c r="L769" s="184"/>
      <c r="M769" s="219"/>
      <c r="N769" s="183"/>
      <c r="O769" s="226"/>
      <c r="P769" s="207"/>
      <c r="Q769" s="569"/>
    </row>
    <row r="770" spans="1:17" ht="15.75" hidden="1" customHeight="1" outlineLevel="3">
      <c r="A770" s="274"/>
      <c r="B770" s="143"/>
      <c r="C770" s="213" t="s">
        <v>362</v>
      </c>
      <c r="D770" s="160"/>
      <c r="E770" s="153"/>
      <c r="F770" s="153"/>
      <c r="G770" s="153"/>
      <c r="H770" s="206"/>
      <c r="I770" s="212"/>
      <c r="J770" s="184"/>
      <c r="K770" s="221"/>
      <c r="L770" s="184"/>
      <c r="M770" s="219"/>
      <c r="N770" s="183"/>
      <c r="O770" s="226"/>
      <c r="P770" s="207"/>
      <c r="Q770" s="569"/>
    </row>
    <row r="771" spans="1:17" ht="15.75" hidden="1" customHeight="1" outlineLevel="3">
      <c r="A771" s="274"/>
      <c r="B771" s="143"/>
      <c r="C771" s="213" t="s">
        <v>363</v>
      </c>
      <c r="D771" s="160"/>
      <c r="E771" s="153"/>
      <c r="F771" s="153"/>
      <c r="G771" s="153"/>
      <c r="H771" s="206"/>
      <c r="I771" s="212"/>
      <c r="J771" s="184"/>
      <c r="K771" s="221"/>
      <c r="L771" s="184"/>
      <c r="M771" s="219"/>
      <c r="N771" s="183"/>
      <c r="O771" s="226"/>
      <c r="P771" s="207"/>
      <c r="Q771" s="569"/>
    </row>
    <row r="772" spans="1:17" ht="15.75" hidden="1" customHeight="1" outlineLevel="3">
      <c r="A772" s="274"/>
      <c r="B772" s="143"/>
      <c r="C772" s="213" t="s">
        <v>358</v>
      </c>
      <c r="D772" s="160"/>
      <c r="E772" s="153"/>
      <c r="F772" s="153"/>
      <c r="G772" s="153"/>
      <c r="H772" s="206"/>
      <c r="I772" s="212"/>
      <c r="J772" s="184"/>
      <c r="K772" s="221"/>
      <c r="L772" s="184"/>
      <c r="M772" s="219"/>
      <c r="N772" s="183"/>
      <c r="O772" s="226"/>
      <c r="P772" s="207"/>
      <c r="Q772" s="569"/>
    </row>
    <row r="773" spans="1:17" ht="15.75" hidden="1" customHeight="1" outlineLevel="3">
      <c r="A773" s="274"/>
      <c r="B773" s="143"/>
      <c r="C773" s="213" t="s">
        <v>364</v>
      </c>
      <c r="D773" s="160"/>
      <c r="E773" s="153"/>
      <c r="F773" s="153"/>
      <c r="G773" s="153"/>
      <c r="H773" s="206"/>
      <c r="I773" s="212"/>
      <c r="J773" s="184"/>
      <c r="K773" s="221"/>
      <c r="L773" s="184"/>
      <c r="M773" s="219"/>
      <c r="N773" s="183"/>
      <c r="O773" s="226"/>
      <c r="P773" s="207"/>
      <c r="Q773" s="569"/>
    </row>
    <row r="774" spans="1:17" ht="15.75" hidden="1" customHeight="1" outlineLevel="3">
      <c r="A774" s="274"/>
      <c r="B774" s="143"/>
      <c r="C774" s="142" t="s">
        <v>382</v>
      </c>
      <c r="D774" s="160"/>
      <c r="E774" s="153"/>
      <c r="F774" s="153"/>
      <c r="G774" s="153"/>
      <c r="H774" s="206"/>
      <c r="I774" s="212"/>
      <c r="J774" s="184"/>
      <c r="K774" s="221"/>
      <c r="L774" s="184"/>
      <c r="M774" s="219"/>
      <c r="N774" s="183"/>
      <c r="O774" s="226"/>
      <c r="P774" s="207"/>
      <c r="Q774" s="569"/>
    </row>
    <row r="775" spans="1:17" ht="15.75" hidden="1" customHeight="1" outlineLevel="3">
      <c r="A775" s="274"/>
      <c r="B775" s="143"/>
      <c r="C775" s="213" t="s">
        <v>366</v>
      </c>
      <c r="D775" s="160"/>
      <c r="E775" s="153"/>
      <c r="F775" s="153"/>
      <c r="G775" s="153"/>
      <c r="H775" s="206"/>
      <c r="I775" s="212"/>
      <c r="J775" s="184"/>
      <c r="K775" s="221"/>
      <c r="L775" s="184"/>
      <c r="M775" s="219"/>
      <c r="N775" s="183"/>
      <c r="O775" s="226"/>
      <c r="P775" s="207"/>
      <c r="Q775" s="569"/>
    </row>
    <row r="776" spans="1:17" ht="15.75" hidden="1" customHeight="1" outlineLevel="3">
      <c r="A776" s="274"/>
      <c r="B776" s="143"/>
      <c r="C776" s="213" t="s">
        <v>358</v>
      </c>
      <c r="D776" s="160"/>
      <c r="E776" s="153"/>
      <c r="F776" s="153"/>
      <c r="G776" s="153"/>
      <c r="H776" s="206"/>
      <c r="I776" s="212"/>
      <c r="J776" s="184"/>
      <c r="K776" s="221"/>
      <c r="L776" s="184"/>
      <c r="M776" s="219"/>
      <c r="N776" s="183"/>
      <c r="O776" s="226"/>
      <c r="P776" s="207"/>
      <c r="Q776" s="569"/>
    </row>
    <row r="777" spans="1:17" ht="15.75" hidden="1" customHeight="1" outlineLevel="3">
      <c r="A777" s="274"/>
      <c r="B777" s="143"/>
      <c r="C777" s="213" t="s">
        <v>367</v>
      </c>
      <c r="D777" s="160"/>
      <c r="E777" s="153"/>
      <c r="F777" s="153"/>
      <c r="G777" s="153"/>
      <c r="H777" s="206"/>
      <c r="I777" s="212"/>
      <c r="J777" s="184"/>
      <c r="K777" s="221"/>
      <c r="L777" s="184">
        <v>89000</v>
      </c>
      <c r="M777" s="219">
        <f>L777*1.46</f>
        <v>129940</v>
      </c>
      <c r="N777" s="183"/>
      <c r="O777" s="226"/>
      <c r="P777" s="150">
        <f t="shared" ref="P777" si="42">SUM(I777,K777,M777,O777)</f>
        <v>129940</v>
      </c>
      <c r="Q777" s="569"/>
    </row>
    <row r="778" spans="1:17" ht="15.75" hidden="1" customHeight="1" outlineLevel="3">
      <c r="A778" s="274"/>
      <c r="B778" s="143"/>
      <c r="C778" s="213" t="s">
        <v>368</v>
      </c>
      <c r="D778" s="160"/>
      <c r="E778" s="153"/>
      <c r="F778" s="153"/>
      <c r="G778" s="153"/>
      <c r="H778" s="206"/>
      <c r="I778" s="212"/>
      <c r="J778" s="184"/>
      <c r="K778" s="221"/>
      <c r="L778" s="184"/>
      <c r="M778" s="219"/>
      <c r="N778" s="183"/>
      <c r="O778" s="226"/>
      <c r="P778" s="207"/>
      <c r="Q778" s="569"/>
    </row>
    <row r="779" spans="1:17" ht="15.75" hidden="1" customHeight="1" outlineLevel="3">
      <c r="A779" s="274"/>
      <c r="B779" s="143"/>
      <c r="C779" s="142" t="s">
        <v>383</v>
      </c>
      <c r="D779" s="160"/>
      <c r="E779" s="153"/>
      <c r="F779" s="153"/>
      <c r="G779" s="153"/>
      <c r="H779" s="206"/>
      <c r="I779" s="212"/>
      <c r="J779" s="184"/>
      <c r="K779" s="221"/>
      <c r="L779" s="184"/>
      <c r="M779" s="219"/>
      <c r="N779" s="183"/>
      <c r="O779" s="226"/>
      <c r="P779" s="207"/>
      <c r="Q779" s="569"/>
    </row>
    <row r="780" spans="1:17" ht="15.75" hidden="1" customHeight="1" outlineLevel="3">
      <c r="A780" s="274"/>
      <c r="B780" s="143"/>
      <c r="C780" s="213" t="s">
        <v>370</v>
      </c>
      <c r="D780" s="160"/>
      <c r="E780" s="153"/>
      <c r="F780" s="153"/>
      <c r="G780" s="153"/>
      <c r="H780" s="206"/>
      <c r="I780" s="212"/>
      <c r="J780" s="184"/>
      <c r="K780" s="221"/>
      <c r="L780" s="184"/>
      <c r="M780" s="219"/>
      <c r="N780" s="183"/>
      <c r="O780" s="226"/>
      <c r="P780" s="207"/>
      <c r="Q780" s="569"/>
    </row>
    <row r="781" spans="1:17" ht="15.75" hidden="1" customHeight="1" outlineLevel="3">
      <c r="A781" s="274"/>
      <c r="B781" s="143"/>
      <c r="C781" s="213" t="s">
        <v>371</v>
      </c>
      <c r="D781" s="160"/>
      <c r="E781" s="153"/>
      <c r="F781" s="153"/>
      <c r="G781" s="153"/>
      <c r="H781" s="206"/>
      <c r="I781" s="212"/>
      <c r="J781" s="184"/>
      <c r="K781" s="221"/>
      <c r="L781" s="184">
        <v>192000</v>
      </c>
      <c r="M781" s="219">
        <f>L781*1.46</f>
        <v>280320</v>
      </c>
      <c r="N781" s="183"/>
      <c r="O781" s="226"/>
      <c r="P781" s="150">
        <f t="shared" ref="P781" si="43">SUM(I781,K781,M781,O781)</f>
        <v>280320</v>
      </c>
      <c r="Q781" s="569"/>
    </row>
    <row r="782" spans="1:17" ht="15.75" hidden="1" customHeight="1" outlineLevel="3">
      <c r="A782" s="274"/>
      <c r="B782" s="143"/>
      <c r="C782" s="213" t="s">
        <v>372</v>
      </c>
      <c r="D782" s="160"/>
      <c r="E782" s="153"/>
      <c r="F782" s="153"/>
      <c r="G782" s="153"/>
      <c r="H782" s="206"/>
      <c r="I782" s="212"/>
      <c r="J782" s="184"/>
      <c r="K782" s="221"/>
      <c r="L782" s="184"/>
      <c r="M782" s="219"/>
      <c r="N782" s="183"/>
      <c r="O782" s="226"/>
      <c r="P782" s="207"/>
      <c r="Q782" s="569"/>
    </row>
    <row r="783" spans="1:17" ht="15.75" hidden="1" customHeight="1" outlineLevel="3">
      <c r="A783" s="274"/>
      <c r="B783" s="143"/>
      <c r="C783" s="213" t="s">
        <v>373</v>
      </c>
      <c r="D783" s="160"/>
      <c r="E783" s="153"/>
      <c r="F783" s="153"/>
      <c r="G783" s="153"/>
      <c r="H783" s="206"/>
      <c r="I783" s="212"/>
      <c r="J783" s="184"/>
      <c r="K783" s="221"/>
      <c r="L783" s="184"/>
      <c r="M783" s="219"/>
      <c r="N783" s="183"/>
      <c r="O783" s="226"/>
      <c r="P783" s="207"/>
      <c r="Q783" s="568"/>
    </row>
    <row r="784" spans="1:17" ht="15.75" hidden="1" customHeight="1" outlineLevel="3">
      <c r="A784" s="274"/>
      <c r="B784" s="143"/>
      <c r="C784" s="142" t="s">
        <v>384</v>
      </c>
      <c r="D784" s="160"/>
      <c r="E784" s="153"/>
      <c r="F784" s="153"/>
      <c r="G784" s="153"/>
      <c r="H784" s="206"/>
      <c r="I784" s="212"/>
      <c r="J784" s="184"/>
      <c r="K784" s="221"/>
      <c r="L784" s="184"/>
      <c r="M784" s="219"/>
      <c r="N784" s="183"/>
      <c r="O784" s="226"/>
      <c r="P784" s="207"/>
      <c r="Q784" s="569"/>
    </row>
    <row r="785" spans="1:17" ht="15.75" hidden="1" customHeight="1" outlineLevel="3">
      <c r="A785" s="274"/>
      <c r="B785" s="143"/>
      <c r="C785" s="162" t="s">
        <v>375</v>
      </c>
      <c r="D785" s="160"/>
      <c r="E785" s="153"/>
      <c r="F785" s="153"/>
      <c r="G785" s="153"/>
      <c r="H785" s="206"/>
      <c r="I785" s="212"/>
      <c r="J785" s="184"/>
      <c r="K785" s="221"/>
      <c r="L785" s="184"/>
      <c r="M785" s="219"/>
      <c r="N785" s="183"/>
      <c r="O785" s="226"/>
      <c r="P785" s="207"/>
      <c r="Q785" s="569"/>
    </row>
    <row r="786" spans="1:17" ht="15.75" hidden="1" customHeight="1" outlineLevel="3">
      <c r="A786" s="274"/>
      <c r="B786" s="143"/>
      <c r="C786" s="162" t="s">
        <v>376</v>
      </c>
      <c r="D786" s="160"/>
      <c r="E786" s="153"/>
      <c r="F786" s="153"/>
      <c r="G786" s="153"/>
      <c r="H786" s="206"/>
      <c r="I786" s="212"/>
      <c r="J786" s="184"/>
      <c r="K786" s="221"/>
      <c r="L786" s="184"/>
      <c r="M786" s="219"/>
      <c r="N786" s="183"/>
      <c r="O786" s="226"/>
      <c r="P786" s="207"/>
      <c r="Q786" s="569"/>
    </row>
    <row r="787" spans="1:17" ht="15.75" hidden="1" customHeight="1" outlineLevel="3">
      <c r="A787" s="274"/>
      <c r="B787" s="143"/>
      <c r="C787" s="162" t="s">
        <v>377</v>
      </c>
      <c r="D787" s="160"/>
      <c r="E787" s="153"/>
      <c r="F787" s="153"/>
      <c r="G787" s="153"/>
      <c r="H787" s="206"/>
      <c r="I787" s="212"/>
      <c r="J787" s="184"/>
      <c r="K787" s="221"/>
      <c r="L787" s="184"/>
      <c r="M787" s="219"/>
      <c r="N787" s="183"/>
      <c r="O787" s="226"/>
      <c r="P787" s="207"/>
      <c r="Q787" s="569"/>
    </row>
    <row r="788" spans="1:17" ht="15.75" hidden="1" customHeight="1" outlineLevel="3">
      <c r="A788" s="274"/>
      <c r="B788" s="143"/>
      <c r="C788" s="162" t="s">
        <v>266</v>
      </c>
      <c r="D788" s="160"/>
      <c r="E788" s="153"/>
      <c r="F788" s="153"/>
      <c r="G788" s="153"/>
      <c r="H788" s="206"/>
      <c r="I788" s="212"/>
      <c r="J788" s="184"/>
      <c r="K788" s="221"/>
      <c r="L788" s="184"/>
      <c r="M788" s="219"/>
      <c r="N788" s="183">
        <v>100000</v>
      </c>
      <c r="O788" s="226">
        <f>N788*1.73</f>
        <v>173000</v>
      </c>
      <c r="P788" s="150">
        <f t="shared" ref="P788:P789" si="44">SUM(I788,K788,M788,O788)</f>
        <v>173000</v>
      </c>
      <c r="Q788" s="568" t="s">
        <v>1370</v>
      </c>
    </row>
    <row r="789" spans="1:17" ht="15.75" hidden="1" customHeight="1" outlineLevel="2" collapsed="1">
      <c r="A789" s="274"/>
      <c r="B789" s="143"/>
      <c r="C789" s="142" t="s">
        <v>29</v>
      </c>
      <c r="D789" s="160"/>
      <c r="E789" s="153"/>
      <c r="F789" s="153"/>
      <c r="G789" s="153"/>
      <c r="H789" s="206"/>
      <c r="I789" s="207"/>
      <c r="J789" s="184"/>
      <c r="K789" s="217"/>
      <c r="L789" s="184">
        <f>SUM(L773:L788)</f>
        <v>281000</v>
      </c>
      <c r="M789" s="217">
        <f>L789*1.46</f>
        <v>410260</v>
      </c>
      <c r="N789" s="183">
        <f>SUM(N773:N788)</f>
        <v>100000</v>
      </c>
      <c r="O789" s="226">
        <f>N789*1.73</f>
        <v>173000</v>
      </c>
      <c r="P789" s="150">
        <f t="shared" si="44"/>
        <v>583260</v>
      </c>
      <c r="Q789" s="568"/>
    </row>
    <row r="790" spans="1:17" s="211" customFormat="1" ht="15.75" hidden="1" customHeight="1" outlineLevel="3">
      <c r="A790" s="551"/>
      <c r="B790" s="142" t="s">
        <v>491</v>
      </c>
      <c r="C790" s="159"/>
      <c r="D790" s="180"/>
      <c r="E790" s="148"/>
      <c r="F790" s="148"/>
      <c r="G790" s="148"/>
      <c r="H790" s="198"/>
      <c r="I790" s="146"/>
      <c r="J790" s="147"/>
      <c r="K790" s="221"/>
      <c r="L790" s="147"/>
      <c r="M790" s="219"/>
      <c r="N790" s="149"/>
      <c r="O790" s="226"/>
      <c r="P790" s="150"/>
      <c r="Q790" s="578"/>
    </row>
    <row r="791" spans="1:17" ht="15.75" hidden="1" customHeight="1" outlineLevel="3">
      <c r="A791" s="274"/>
      <c r="B791" s="143"/>
      <c r="C791" s="142" t="s">
        <v>380</v>
      </c>
      <c r="D791" s="160"/>
      <c r="E791" s="153"/>
      <c r="F791" s="153"/>
      <c r="G791" s="153"/>
      <c r="H791" s="206"/>
      <c r="I791" s="212"/>
      <c r="J791" s="184"/>
      <c r="K791" s="221"/>
      <c r="L791" s="184"/>
      <c r="M791" s="219"/>
      <c r="N791" s="183"/>
      <c r="O791" s="226"/>
      <c r="P791" s="207"/>
      <c r="Q791" s="569"/>
    </row>
    <row r="792" spans="1:17" ht="15.75" hidden="1" customHeight="1" outlineLevel="3">
      <c r="A792" s="274"/>
      <c r="B792" s="143"/>
      <c r="C792" s="213" t="s">
        <v>396</v>
      </c>
      <c r="D792" s="160"/>
      <c r="E792" s="153"/>
      <c r="F792" s="153"/>
      <c r="G792" s="153"/>
      <c r="H792" s="201"/>
      <c r="I792" s="212"/>
      <c r="J792" s="376">
        <v>125000</v>
      </c>
      <c r="K792" s="221">
        <f>J792*1.23</f>
        <v>153750</v>
      </c>
      <c r="L792" s="184"/>
      <c r="M792" s="219"/>
      <c r="N792" s="183"/>
      <c r="O792" s="226"/>
      <c r="P792" s="150">
        <f t="shared" ref="P792" si="45">SUM(I792,K792,M792,O792)</f>
        <v>153750</v>
      </c>
      <c r="Q792" s="569" t="s">
        <v>1282</v>
      </c>
    </row>
    <row r="793" spans="1:17" ht="15.75" hidden="1" customHeight="1" outlineLevel="3">
      <c r="A793" s="274"/>
      <c r="B793" s="143"/>
      <c r="C793" s="213" t="s">
        <v>357</v>
      </c>
      <c r="D793" s="160"/>
      <c r="E793" s="153"/>
      <c r="F793" s="153"/>
      <c r="G793" s="153"/>
      <c r="H793" s="206"/>
      <c r="I793" s="212"/>
      <c r="J793" s="184"/>
      <c r="K793" s="221"/>
      <c r="L793" s="184"/>
      <c r="M793" s="219"/>
      <c r="N793" s="183"/>
      <c r="O793" s="226"/>
      <c r="P793" s="207"/>
      <c r="Q793" s="569"/>
    </row>
    <row r="794" spans="1:17" ht="15.75" hidden="1" customHeight="1" outlineLevel="3">
      <c r="A794" s="274"/>
      <c r="B794" s="143"/>
      <c r="C794" s="213" t="s">
        <v>358</v>
      </c>
      <c r="D794" s="160"/>
      <c r="E794" s="153"/>
      <c r="F794" s="153"/>
      <c r="G794" s="153"/>
      <c r="H794" s="206"/>
      <c r="I794" s="203"/>
      <c r="J794" s="186"/>
      <c r="K794" s="221"/>
      <c r="L794" s="184"/>
      <c r="M794" s="219"/>
      <c r="N794" s="183"/>
      <c r="O794" s="226"/>
      <c r="P794" s="207"/>
      <c r="Q794" s="569"/>
    </row>
    <row r="795" spans="1:17" ht="15.75" hidden="1" customHeight="1" outlineLevel="3">
      <c r="A795" s="274"/>
      <c r="B795" s="143"/>
      <c r="C795" s="213" t="s">
        <v>359</v>
      </c>
      <c r="D795" s="160"/>
      <c r="E795" s="153"/>
      <c r="F795" s="153"/>
      <c r="G795" s="153"/>
      <c r="H795" s="206"/>
      <c r="I795" s="212"/>
      <c r="J795" s="184"/>
      <c r="K795" s="221"/>
      <c r="L795" s="184"/>
      <c r="M795" s="219"/>
      <c r="N795" s="183"/>
      <c r="O795" s="226"/>
      <c r="P795" s="207"/>
      <c r="Q795" s="569"/>
    </row>
    <row r="796" spans="1:17" ht="15.75" hidden="1" customHeight="1" outlineLevel="3">
      <c r="A796" s="274"/>
      <c r="B796" s="143"/>
      <c r="C796" s="213" t="s">
        <v>388</v>
      </c>
      <c r="D796" s="160"/>
      <c r="E796" s="153"/>
      <c r="F796" s="153"/>
      <c r="G796" s="153"/>
      <c r="H796" s="206"/>
      <c r="I796" s="212"/>
      <c r="J796" s="184"/>
      <c r="K796" s="221"/>
      <c r="L796" s="184"/>
      <c r="M796" s="219"/>
      <c r="N796" s="183"/>
      <c r="O796" s="226"/>
      <c r="P796" s="207"/>
      <c r="Q796" s="569"/>
    </row>
    <row r="797" spans="1:17" ht="15.75" hidden="1" customHeight="1" outlineLevel="3">
      <c r="A797" s="274"/>
      <c r="B797" s="143"/>
      <c r="C797" s="142" t="s">
        <v>381</v>
      </c>
      <c r="D797" s="160"/>
      <c r="E797" s="153"/>
      <c r="F797" s="153"/>
      <c r="G797" s="153"/>
      <c r="H797" s="206"/>
      <c r="I797" s="212"/>
      <c r="J797" s="184"/>
      <c r="K797" s="221"/>
      <c r="L797" s="184"/>
      <c r="M797" s="219"/>
      <c r="N797" s="183"/>
      <c r="O797" s="226"/>
      <c r="P797" s="207"/>
      <c r="Q797" s="569"/>
    </row>
    <row r="798" spans="1:17" ht="15.75" hidden="1" customHeight="1" outlineLevel="3">
      <c r="A798" s="274"/>
      <c r="B798" s="143"/>
      <c r="C798" s="213" t="s">
        <v>362</v>
      </c>
      <c r="D798" s="160"/>
      <c r="E798" s="153"/>
      <c r="F798" s="153"/>
      <c r="G798" s="153"/>
      <c r="H798" s="206"/>
      <c r="I798" s="212"/>
      <c r="J798" s="184"/>
      <c r="K798" s="221"/>
      <c r="L798" s="184"/>
      <c r="M798" s="219"/>
      <c r="N798" s="183"/>
      <c r="O798" s="226"/>
      <c r="P798" s="207"/>
      <c r="Q798" s="569"/>
    </row>
    <row r="799" spans="1:17" ht="15.75" hidden="1" customHeight="1" outlineLevel="3">
      <c r="A799" s="274"/>
      <c r="B799" s="143"/>
      <c r="C799" s="213" t="s">
        <v>363</v>
      </c>
      <c r="D799" s="160"/>
      <c r="E799" s="153"/>
      <c r="F799" s="153"/>
      <c r="G799" s="153"/>
      <c r="H799" s="206"/>
      <c r="I799" s="212"/>
      <c r="J799" s="184"/>
      <c r="K799" s="221"/>
      <c r="L799" s="184"/>
      <c r="M799" s="219"/>
      <c r="N799" s="183"/>
      <c r="O799" s="226"/>
      <c r="P799" s="207"/>
      <c r="Q799" s="569"/>
    </row>
    <row r="800" spans="1:17" ht="15.75" hidden="1" customHeight="1" outlineLevel="3">
      <c r="A800" s="274"/>
      <c r="B800" s="143"/>
      <c r="C800" s="213" t="s">
        <v>358</v>
      </c>
      <c r="D800" s="160"/>
      <c r="E800" s="153"/>
      <c r="F800" s="153"/>
      <c r="G800" s="153"/>
      <c r="H800" s="206"/>
      <c r="I800" s="212"/>
      <c r="J800" s="184"/>
      <c r="K800" s="221"/>
      <c r="L800" s="184"/>
      <c r="M800" s="219"/>
      <c r="N800" s="183"/>
      <c r="O800" s="226"/>
      <c r="P800" s="150"/>
      <c r="Q800" s="569"/>
    </row>
    <row r="801" spans="1:17" ht="15.75" hidden="1" customHeight="1" outlineLevel="3">
      <c r="A801" s="274"/>
      <c r="B801" s="143"/>
      <c r="C801" s="213" t="s">
        <v>364</v>
      </c>
      <c r="D801" s="160"/>
      <c r="E801" s="153"/>
      <c r="F801" s="153"/>
      <c r="G801" s="153"/>
      <c r="H801" s="206"/>
      <c r="I801" s="212"/>
      <c r="J801" s="184"/>
      <c r="K801" s="221"/>
      <c r="L801" s="184"/>
      <c r="M801" s="219"/>
      <c r="N801" s="183"/>
      <c r="O801" s="226"/>
      <c r="P801" s="207"/>
      <c r="Q801" s="569"/>
    </row>
    <row r="802" spans="1:17" ht="15.75" hidden="1" customHeight="1" outlineLevel="3">
      <c r="A802" s="274"/>
      <c r="B802" s="143"/>
      <c r="C802" s="142" t="s">
        <v>382</v>
      </c>
      <c r="D802" s="160"/>
      <c r="E802" s="153"/>
      <c r="F802" s="153"/>
      <c r="G802" s="153"/>
      <c r="H802" s="206"/>
      <c r="I802" s="212"/>
      <c r="J802" s="184"/>
      <c r="K802" s="221"/>
      <c r="L802" s="184"/>
      <c r="M802" s="219"/>
      <c r="N802" s="183"/>
      <c r="O802" s="226"/>
      <c r="P802" s="207"/>
      <c r="Q802" s="569"/>
    </row>
    <row r="803" spans="1:17" ht="15.75" hidden="1" customHeight="1" outlineLevel="3">
      <c r="A803" s="274"/>
      <c r="B803" s="143"/>
      <c r="C803" s="213" t="s">
        <v>366</v>
      </c>
      <c r="D803" s="160"/>
      <c r="E803" s="153"/>
      <c r="F803" s="153"/>
      <c r="G803" s="153"/>
      <c r="H803" s="206"/>
      <c r="I803" s="212"/>
      <c r="J803" s="184"/>
      <c r="K803" s="221"/>
      <c r="L803" s="184"/>
      <c r="M803" s="219"/>
      <c r="N803" s="183"/>
      <c r="O803" s="226"/>
      <c r="P803" s="207"/>
      <c r="Q803" s="569"/>
    </row>
    <row r="804" spans="1:17" ht="15.75" hidden="1" customHeight="1" outlineLevel="3">
      <c r="A804" s="274"/>
      <c r="B804" s="143"/>
      <c r="C804" s="213" t="s">
        <v>358</v>
      </c>
      <c r="D804" s="160"/>
      <c r="E804" s="153"/>
      <c r="F804" s="153"/>
      <c r="G804" s="153"/>
      <c r="H804" s="206"/>
      <c r="I804" s="212"/>
      <c r="J804" s="184"/>
      <c r="K804" s="221"/>
      <c r="L804" s="184"/>
      <c r="M804" s="219"/>
      <c r="N804" s="183"/>
      <c r="O804" s="226"/>
      <c r="P804" s="207"/>
      <c r="Q804" s="569"/>
    </row>
    <row r="805" spans="1:17" ht="15.75" hidden="1" customHeight="1" outlineLevel="3">
      <c r="A805" s="274"/>
      <c r="B805" s="143"/>
      <c r="C805" s="213" t="s">
        <v>367</v>
      </c>
      <c r="D805" s="160"/>
      <c r="E805" s="153"/>
      <c r="F805" s="153"/>
      <c r="G805" s="153"/>
      <c r="H805" s="206"/>
      <c r="I805" s="212"/>
      <c r="J805" s="184"/>
      <c r="K805" s="221"/>
      <c r="L805" s="184"/>
      <c r="M805" s="219"/>
      <c r="N805" s="183"/>
      <c r="O805" s="226"/>
      <c r="P805" s="207"/>
      <c r="Q805" s="569"/>
    </row>
    <row r="806" spans="1:17" ht="15.75" hidden="1" customHeight="1" outlineLevel="3">
      <c r="A806" s="274"/>
      <c r="B806" s="143"/>
      <c r="C806" s="213" t="s">
        <v>368</v>
      </c>
      <c r="D806" s="160"/>
      <c r="E806" s="153"/>
      <c r="F806" s="153"/>
      <c r="G806" s="153"/>
      <c r="H806" s="206"/>
      <c r="I806" s="212"/>
      <c r="J806" s="184"/>
      <c r="K806" s="221"/>
      <c r="L806" s="184"/>
      <c r="M806" s="219"/>
      <c r="N806" s="183"/>
      <c r="O806" s="226"/>
      <c r="P806" s="207"/>
      <c r="Q806" s="569"/>
    </row>
    <row r="807" spans="1:17" ht="15.75" hidden="1" customHeight="1" outlineLevel="3">
      <c r="A807" s="274"/>
      <c r="B807" s="143"/>
      <c r="C807" s="142" t="s">
        <v>383</v>
      </c>
      <c r="D807" s="160"/>
      <c r="E807" s="153"/>
      <c r="F807" s="153"/>
      <c r="G807" s="153"/>
      <c r="H807" s="206"/>
      <c r="I807" s="212"/>
      <c r="J807" s="184"/>
      <c r="K807" s="221"/>
      <c r="L807" s="184"/>
      <c r="M807" s="219"/>
      <c r="N807" s="183"/>
      <c r="O807" s="226"/>
      <c r="P807" s="207"/>
      <c r="Q807" s="569" t="s">
        <v>1283</v>
      </c>
    </row>
    <row r="808" spans="1:17" ht="15.75" hidden="1" customHeight="1" outlineLevel="3">
      <c r="A808" s="274"/>
      <c r="B808" s="143"/>
      <c r="C808" s="213" t="s">
        <v>370</v>
      </c>
      <c r="D808" s="160"/>
      <c r="E808" s="153"/>
      <c r="F808" s="153"/>
      <c r="G808" s="153"/>
      <c r="H808" s="206"/>
      <c r="I808" s="212"/>
      <c r="J808" s="184"/>
      <c r="K808" s="221"/>
      <c r="L808" s="184"/>
      <c r="M808" s="219"/>
      <c r="N808" s="183"/>
      <c r="O808" s="226"/>
      <c r="P808" s="207"/>
      <c r="Q808" s="569"/>
    </row>
    <row r="809" spans="1:17" ht="15.75" hidden="1" customHeight="1" outlineLevel="3">
      <c r="A809" s="274"/>
      <c r="B809" s="143"/>
      <c r="C809" s="213" t="s">
        <v>371</v>
      </c>
      <c r="D809" s="160"/>
      <c r="E809" s="153"/>
      <c r="F809" s="153"/>
      <c r="G809" s="202"/>
      <c r="H809" s="206"/>
      <c r="I809" s="212"/>
      <c r="J809" s="185">
        <v>127000</v>
      </c>
      <c r="K809" s="221">
        <f>J809*1.23</f>
        <v>156210</v>
      </c>
      <c r="L809" s="184"/>
      <c r="M809" s="219"/>
      <c r="N809" s="183"/>
      <c r="O809" s="226"/>
      <c r="P809" s="150">
        <f t="shared" ref="P809:P810" si="46">SUM(I809,K809,M809,O809)</f>
        <v>156210</v>
      </c>
      <c r="Q809" s="569"/>
    </row>
    <row r="810" spans="1:17" ht="15.75" hidden="1" customHeight="1" outlineLevel="3">
      <c r="A810" s="274"/>
      <c r="B810" s="143"/>
      <c r="C810" s="213" t="s">
        <v>372</v>
      </c>
      <c r="D810" s="160"/>
      <c r="E810" s="153"/>
      <c r="F810" s="153"/>
      <c r="G810" s="202"/>
      <c r="H810" s="206"/>
      <c r="I810" s="212"/>
      <c r="J810" s="231">
        <v>128000</v>
      </c>
      <c r="K810" s="221">
        <f>J810*1.23</f>
        <v>157440</v>
      </c>
      <c r="L810" s="184"/>
      <c r="M810" s="219"/>
      <c r="N810" s="183"/>
      <c r="O810" s="226"/>
      <c r="P810" s="150">
        <f t="shared" si="46"/>
        <v>157440</v>
      </c>
      <c r="Q810" s="569"/>
    </row>
    <row r="811" spans="1:17" ht="15.75" hidden="1" customHeight="1" outlineLevel="3">
      <c r="A811" s="274"/>
      <c r="B811" s="143"/>
      <c r="C811" s="213" t="s">
        <v>373</v>
      </c>
      <c r="D811" s="160"/>
      <c r="E811" s="153"/>
      <c r="F811" s="153"/>
      <c r="G811" s="153"/>
      <c r="H811" s="206"/>
      <c r="I811" s="212"/>
      <c r="J811" s="184"/>
      <c r="K811" s="221"/>
      <c r="L811" s="184"/>
      <c r="M811" s="219"/>
      <c r="N811" s="183"/>
      <c r="O811" s="226"/>
      <c r="P811" s="207"/>
      <c r="Q811" s="568"/>
    </row>
    <row r="812" spans="1:17" ht="15.75" hidden="1" customHeight="1" outlineLevel="3">
      <c r="A812" s="274"/>
      <c r="B812" s="143"/>
      <c r="C812" s="142" t="s">
        <v>384</v>
      </c>
      <c r="D812" s="160"/>
      <c r="E812" s="153"/>
      <c r="F812" s="153"/>
      <c r="G812" s="153"/>
      <c r="H812" s="206"/>
      <c r="I812" s="212"/>
      <c r="J812" s="184"/>
      <c r="K812" s="221"/>
      <c r="L812" s="184"/>
      <c r="M812" s="219"/>
      <c r="N812" s="183"/>
      <c r="O812" s="226"/>
      <c r="P812" s="207"/>
      <c r="Q812" s="569"/>
    </row>
    <row r="813" spans="1:17" ht="15.75" hidden="1" customHeight="1" outlineLevel="3">
      <c r="A813" s="274"/>
      <c r="B813" s="143"/>
      <c r="C813" s="162" t="s">
        <v>375</v>
      </c>
      <c r="D813" s="160"/>
      <c r="E813" s="153"/>
      <c r="F813" s="153"/>
      <c r="G813" s="153"/>
      <c r="H813" s="206"/>
      <c r="I813" s="212"/>
      <c r="J813" s="184"/>
      <c r="K813" s="221"/>
      <c r="L813" s="184"/>
      <c r="M813" s="219"/>
      <c r="N813" s="183"/>
      <c r="O813" s="226"/>
      <c r="P813" s="207"/>
      <c r="Q813" s="569"/>
    </row>
    <row r="814" spans="1:17" ht="15.75" hidden="1" customHeight="1" outlineLevel="3">
      <c r="A814" s="274"/>
      <c r="B814" s="143"/>
      <c r="C814" s="162" t="s">
        <v>376</v>
      </c>
      <c r="D814" s="160"/>
      <c r="E814" s="153"/>
      <c r="F814" s="153"/>
      <c r="G814" s="153"/>
      <c r="H814" s="206"/>
      <c r="I814" s="212"/>
      <c r="J814" s="184"/>
      <c r="K814" s="221"/>
      <c r="L814" s="184"/>
      <c r="M814" s="219"/>
      <c r="N814" s="184">
        <v>170000</v>
      </c>
      <c r="O814" s="226">
        <f>N814*1.73</f>
        <v>294100</v>
      </c>
      <c r="P814" s="150">
        <f t="shared" ref="P814" si="47">SUM(I814,K814,M814,O814)</f>
        <v>294100</v>
      </c>
      <c r="Q814" s="569"/>
    </row>
    <row r="815" spans="1:17" ht="15.75" hidden="1" customHeight="1" outlineLevel="3">
      <c r="A815" s="274"/>
      <c r="B815" s="143"/>
      <c r="C815" s="162" t="s">
        <v>377</v>
      </c>
      <c r="D815" s="160"/>
      <c r="E815" s="153"/>
      <c r="F815" s="153"/>
      <c r="G815" s="153"/>
      <c r="H815" s="206"/>
      <c r="I815" s="212"/>
      <c r="J815" s="184"/>
      <c r="K815" s="221"/>
      <c r="L815" s="184"/>
      <c r="M815" s="219"/>
      <c r="N815" s="183"/>
      <c r="O815" s="226"/>
      <c r="P815" s="207"/>
      <c r="Q815" s="569"/>
    </row>
    <row r="816" spans="1:17" ht="15.75" hidden="1" customHeight="1" outlineLevel="3">
      <c r="A816" s="274"/>
      <c r="B816" s="143"/>
      <c r="C816" s="162" t="s">
        <v>400</v>
      </c>
      <c r="D816" s="160"/>
      <c r="E816" s="153"/>
      <c r="F816" s="153"/>
      <c r="G816" s="153"/>
      <c r="H816" s="206"/>
      <c r="I816" s="212"/>
      <c r="J816" s="184">
        <v>265000</v>
      </c>
      <c r="K816" s="221">
        <f t="shared" ref="K816:K817" si="48">J816*1.23</f>
        <v>325950</v>
      </c>
      <c r="L816" s="184"/>
      <c r="M816" s="219"/>
      <c r="N816" s="183"/>
      <c r="O816" s="226"/>
      <c r="P816" s="150">
        <f t="shared" ref="P816:P817" si="49">SUM(I816,K816,M816,O816)</f>
        <v>325950</v>
      </c>
      <c r="Q816" s="568" t="s">
        <v>1284</v>
      </c>
    </row>
    <row r="817" spans="1:17" ht="15.75" hidden="1" customHeight="1" outlineLevel="2" collapsed="1">
      <c r="A817" s="274"/>
      <c r="B817" s="143"/>
      <c r="C817" s="142" t="s">
        <v>491</v>
      </c>
      <c r="D817" s="220"/>
      <c r="E817" s="217"/>
      <c r="F817" s="217"/>
      <c r="G817" s="217"/>
      <c r="H817" s="226"/>
      <c r="I817" s="207"/>
      <c r="J817" s="184">
        <f>SUM(J792:J816)</f>
        <v>645000</v>
      </c>
      <c r="K817" s="217">
        <f t="shared" si="48"/>
        <v>793350</v>
      </c>
      <c r="L817" s="184"/>
      <c r="M817" s="217"/>
      <c r="N817" s="183"/>
      <c r="O817" s="226"/>
      <c r="P817" s="150">
        <f t="shared" si="49"/>
        <v>793350</v>
      </c>
      <c r="Q817" s="579" t="s">
        <v>1285</v>
      </c>
    </row>
    <row r="818" spans="1:17" s="211" customFormat="1" ht="15.75" hidden="1" customHeight="1" outlineLevel="3">
      <c r="A818" s="551"/>
      <c r="B818" s="142" t="s">
        <v>492</v>
      </c>
      <c r="C818" s="159"/>
      <c r="D818" s="180"/>
      <c r="E818" s="148"/>
      <c r="F818" s="148"/>
      <c r="G818" s="148"/>
      <c r="H818" s="198"/>
      <c r="I818" s="146"/>
      <c r="J818" s="147"/>
      <c r="K818" s="221"/>
      <c r="L818" s="147"/>
      <c r="M818" s="219"/>
      <c r="N818" s="149"/>
      <c r="O818" s="226"/>
      <c r="P818" s="150"/>
      <c r="Q818" s="572" t="s">
        <v>1281</v>
      </c>
    </row>
    <row r="819" spans="1:17" ht="15.75" hidden="1" customHeight="1" outlineLevel="3">
      <c r="A819" s="274"/>
      <c r="B819" s="143"/>
      <c r="C819" s="142" t="s">
        <v>380</v>
      </c>
      <c r="D819" s="160"/>
      <c r="E819" s="153"/>
      <c r="F819" s="153"/>
      <c r="G819" s="153"/>
      <c r="H819" s="206"/>
      <c r="I819" s="212"/>
      <c r="J819" s="184"/>
      <c r="K819" s="221"/>
      <c r="L819" s="184"/>
      <c r="M819" s="219"/>
      <c r="N819" s="183"/>
      <c r="O819" s="226"/>
      <c r="P819" s="207"/>
      <c r="Q819" s="572"/>
    </row>
    <row r="820" spans="1:17" ht="15.75" hidden="1" customHeight="1" outlineLevel="3">
      <c r="A820" s="274"/>
      <c r="B820" s="143"/>
      <c r="C820" s="213" t="s">
        <v>396</v>
      </c>
      <c r="D820" s="160"/>
      <c r="E820" s="153"/>
      <c r="F820" s="153"/>
      <c r="G820" s="153"/>
      <c r="H820" s="201"/>
      <c r="I820" s="212"/>
      <c r="J820" s="376">
        <v>75000</v>
      </c>
      <c r="K820" s="221">
        <f>J820*1.23</f>
        <v>92250</v>
      </c>
      <c r="L820" s="184"/>
      <c r="M820" s="219"/>
      <c r="N820" s="183"/>
      <c r="O820" s="226"/>
      <c r="P820" s="150">
        <f t="shared" ref="P820:P845" si="50">SUM(I820,K820,M820,O820)</f>
        <v>92250</v>
      </c>
      <c r="Q820" s="572" t="s">
        <v>1286</v>
      </c>
    </row>
    <row r="821" spans="1:17" ht="15.75" hidden="1" customHeight="1" outlineLevel="3">
      <c r="A821" s="274"/>
      <c r="B821" s="143"/>
      <c r="C821" s="213" t="s">
        <v>357</v>
      </c>
      <c r="D821" s="160"/>
      <c r="E821" s="153"/>
      <c r="F821" s="153"/>
      <c r="G821" s="153"/>
      <c r="H821" s="206"/>
      <c r="I821" s="212"/>
      <c r="J821" s="184"/>
      <c r="K821" s="221"/>
      <c r="L821" s="184"/>
      <c r="M821" s="219"/>
      <c r="N821" s="183"/>
      <c r="O821" s="226"/>
      <c r="P821" s="207"/>
      <c r="Q821" s="572"/>
    </row>
    <row r="822" spans="1:17" ht="15.75" hidden="1" customHeight="1" outlineLevel="3">
      <c r="A822" s="274"/>
      <c r="B822" s="143"/>
      <c r="C822" s="213" t="s">
        <v>358</v>
      </c>
      <c r="D822" s="160"/>
      <c r="E822" s="153"/>
      <c r="F822" s="153"/>
      <c r="G822" s="153"/>
      <c r="H822" s="435"/>
      <c r="I822" s="203"/>
      <c r="J822" s="230">
        <v>110000</v>
      </c>
      <c r="K822" s="221">
        <f>J822*1.23</f>
        <v>135300</v>
      </c>
      <c r="L822" s="184"/>
      <c r="M822" s="219"/>
      <c r="N822" s="183"/>
      <c r="O822" s="226"/>
      <c r="P822" s="150">
        <f t="shared" si="50"/>
        <v>135300</v>
      </c>
      <c r="Q822" s="572"/>
    </row>
    <row r="823" spans="1:17" ht="15.75" hidden="1" customHeight="1" outlineLevel="3">
      <c r="A823" s="274"/>
      <c r="B823" s="143"/>
      <c r="C823" s="213" t="s">
        <v>359</v>
      </c>
      <c r="D823" s="160"/>
      <c r="E823" s="153"/>
      <c r="F823" s="153"/>
      <c r="G823" s="153"/>
      <c r="H823" s="206"/>
      <c r="I823" s="212"/>
      <c r="J823" s="184"/>
      <c r="K823" s="221"/>
      <c r="L823" s="184"/>
      <c r="M823" s="219"/>
      <c r="N823" s="183"/>
      <c r="O823" s="226"/>
      <c r="P823" s="150"/>
      <c r="Q823" s="572"/>
    </row>
    <row r="824" spans="1:17" ht="15.75" hidden="1" customHeight="1" outlineLevel="3">
      <c r="A824" s="274"/>
      <c r="B824" s="143"/>
      <c r="C824" s="213" t="s">
        <v>388</v>
      </c>
      <c r="D824" s="160"/>
      <c r="E824" s="153"/>
      <c r="F824" s="153"/>
      <c r="G824" s="153"/>
      <c r="H824" s="201"/>
      <c r="I824" s="212"/>
      <c r="J824" s="376">
        <v>20000</v>
      </c>
      <c r="K824" s="221">
        <f>J824*1.23</f>
        <v>24600</v>
      </c>
      <c r="L824" s="184"/>
      <c r="M824" s="219"/>
      <c r="N824" s="183"/>
      <c r="O824" s="226"/>
      <c r="P824" s="150">
        <f t="shared" si="50"/>
        <v>24600</v>
      </c>
      <c r="Q824" s="572"/>
    </row>
    <row r="825" spans="1:17" ht="15.75" hidden="1" customHeight="1" outlineLevel="3">
      <c r="A825" s="274"/>
      <c r="B825" s="143"/>
      <c r="C825" s="142" t="s">
        <v>381</v>
      </c>
      <c r="D825" s="160"/>
      <c r="E825" s="153"/>
      <c r="F825" s="153"/>
      <c r="G825" s="153"/>
      <c r="H825" s="206"/>
      <c r="I825" s="212"/>
      <c r="J825" s="184"/>
      <c r="K825" s="221"/>
      <c r="L825" s="184"/>
      <c r="M825" s="219"/>
      <c r="N825" s="183"/>
      <c r="O825" s="226"/>
      <c r="P825" s="150"/>
      <c r="Q825" s="572"/>
    </row>
    <row r="826" spans="1:17" ht="15.75" hidden="1" customHeight="1" outlineLevel="3">
      <c r="A826" s="274"/>
      <c r="B826" s="143"/>
      <c r="C826" s="213" t="s">
        <v>362</v>
      </c>
      <c r="D826" s="160"/>
      <c r="E826" s="153"/>
      <c r="F826" s="153"/>
      <c r="G826" s="153"/>
      <c r="H826" s="206"/>
      <c r="I826" s="212"/>
      <c r="J826" s="184"/>
      <c r="K826" s="221"/>
      <c r="L826" s="184"/>
      <c r="M826" s="219"/>
      <c r="N826" s="183"/>
      <c r="O826" s="226"/>
      <c r="P826" s="150"/>
      <c r="Q826" s="572"/>
    </row>
    <row r="827" spans="1:17" ht="15.75" hidden="1" customHeight="1" outlineLevel="3">
      <c r="A827" s="274"/>
      <c r="B827" s="143"/>
      <c r="C827" s="213" t="s">
        <v>363</v>
      </c>
      <c r="D827" s="160"/>
      <c r="E827" s="153"/>
      <c r="F827" s="153"/>
      <c r="G827" s="153"/>
      <c r="H827" s="206"/>
      <c r="I827" s="212"/>
      <c r="J827" s="184">
        <v>102000</v>
      </c>
      <c r="K827" s="221">
        <f>J827*1.23</f>
        <v>125460</v>
      </c>
      <c r="L827" s="184"/>
      <c r="M827" s="219"/>
      <c r="N827" s="183"/>
      <c r="O827" s="226"/>
      <c r="P827" s="150">
        <f t="shared" si="50"/>
        <v>125460</v>
      </c>
      <c r="Q827" s="572"/>
    </row>
    <row r="828" spans="1:17" ht="15.75" hidden="1" customHeight="1" outlineLevel="3">
      <c r="A828" s="274"/>
      <c r="B828" s="143"/>
      <c r="C828" s="213" t="s">
        <v>358</v>
      </c>
      <c r="D828" s="160"/>
      <c r="E828" s="153"/>
      <c r="F828" s="153"/>
      <c r="G828" s="153"/>
      <c r="H828" s="206"/>
      <c r="I828" s="212"/>
      <c r="J828" s="184"/>
      <c r="K828" s="221"/>
      <c r="L828" s="184"/>
      <c r="M828" s="219"/>
      <c r="N828" s="183"/>
      <c r="O828" s="226"/>
      <c r="P828" s="150"/>
      <c r="Q828" s="572"/>
    </row>
    <row r="829" spans="1:17" ht="15.75" hidden="1" customHeight="1" outlineLevel="3">
      <c r="A829" s="274"/>
      <c r="B829" s="143"/>
      <c r="C829" s="213" t="s">
        <v>364</v>
      </c>
      <c r="D829" s="160"/>
      <c r="E829" s="153"/>
      <c r="F829" s="153"/>
      <c r="G829" s="153"/>
      <c r="H829" s="206"/>
      <c r="I829" s="212"/>
      <c r="J829" s="184"/>
      <c r="K829" s="221"/>
      <c r="L829" s="184"/>
      <c r="M829" s="219"/>
      <c r="N829" s="183"/>
      <c r="O829" s="226"/>
      <c r="P829" s="150"/>
      <c r="Q829" s="572"/>
    </row>
    <row r="830" spans="1:17" ht="15.75" hidden="1" customHeight="1" outlineLevel="3">
      <c r="A830" s="274"/>
      <c r="B830" s="143"/>
      <c r="C830" s="142" t="s">
        <v>382</v>
      </c>
      <c r="D830" s="160"/>
      <c r="E830" s="153"/>
      <c r="F830" s="153"/>
      <c r="G830" s="153"/>
      <c r="H830" s="206"/>
      <c r="I830" s="212"/>
      <c r="J830" s="184"/>
      <c r="K830" s="221"/>
      <c r="L830" s="184"/>
      <c r="M830" s="219"/>
      <c r="N830" s="183"/>
      <c r="O830" s="226"/>
      <c r="P830" s="150"/>
      <c r="Q830" s="572"/>
    </row>
    <row r="831" spans="1:17" ht="15.75" hidden="1" customHeight="1" outlineLevel="3">
      <c r="A831" s="274"/>
      <c r="B831" s="143"/>
      <c r="C831" s="213" t="s">
        <v>366</v>
      </c>
      <c r="D831" s="160"/>
      <c r="E831" s="153"/>
      <c r="F831" s="153"/>
      <c r="G831" s="153"/>
      <c r="H831" s="206"/>
      <c r="I831" s="212"/>
      <c r="J831" s="184"/>
      <c r="K831" s="221"/>
      <c r="L831" s="184"/>
      <c r="M831" s="219"/>
      <c r="N831" s="183"/>
      <c r="O831" s="226"/>
      <c r="P831" s="150"/>
      <c r="Q831" s="572"/>
    </row>
    <row r="832" spans="1:17" ht="15.75" hidden="1" customHeight="1" outlineLevel="3">
      <c r="A832" s="274"/>
      <c r="B832" s="143"/>
      <c r="C832" s="213" t="s">
        <v>358</v>
      </c>
      <c r="D832" s="160"/>
      <c r="E832" s="153"/>
      <c r="F832" s="153"/>
      <c r="G832" s="153"/>
      <c r="H832" s="206"/>
      <c r="I832" s="212"/>
      <c r="J832" s="184"/>
      <c r="K832" s="221"/>
      <c r="L832" s="184"/>
      <c r="M832" s="219"/>
      <c r="N832" s="183"/>
      <c r="O832" s="226"/>
      <c r="P832" s="150"/>
      <c r="Q832" s="572"/>
    </row>
    <row r="833" spans="1:17" ht="15.75" hidden="1" customHeight="1" outlineLevel="3">
      <c r="A833" s="274"/>
      <c r="B833" s="143"/>
      <c r="C833" s="213" t="s">
        <v>367</v>
      </c>
      <c r="D833" s="160"/>
      <c r="E833" s="153"/>
      <c r="F833" s="153"/>
      <c r="G833" s="153"/>
      <c r="H833" s="206"/>
      <c r="I833" s="212"/>
      <c r="J833" s="184"/>
      <c r="K833" s="221"/>
      <c r="L833" s="184"/>
      <c r="M833" s="219"/>
      <c r="N833" s="183"/>
      <c r="O833" s="226"/>
      <c r="P833" s="150"/>
      <c r="Q833" s="572"/>
    </row>
    <row r="834" spans="1:17" ht="15.75" hidden="1" customHeight="1" outlineLevel="3">
      <c r="A834" s="274"/>
      <c r="B834" s="143"/>
      <c r="C834" s="213" t="s">
        <v>368</v>
      </c>
      <c r="D834" s="160"/>
      <c r="E834" s="153"/>
      <c r="F834" s="153"/>
      <c r="G834" s="153"/>
      <c r="H834" s="206"/>
      <c r="I834" s="212"/>
      <c r="J834" s="184"/>
      <c r="K834" s="221"/>
      <c r="L834" s="184"/>
      <c r="M834" s="219"/>
      <c r="N834" s="183"/>
      <c r="O834" s="226"/>
      <c r="P834" s="150"/>
      <c r="Q834" s="572"/>
    </row>
    <row r="835" spans="1:17" ht="15.75" hidden="1" customHeight="1" outlineLevel="3">
      <c r="A835" s="274"/>
      <c r="B835" s="143"/>
      <c r="C835" s="142" t="s">
        <v>383</v>
      </c>
      <c r="D835" s="160"/>
      <c r="E835" s="153"/>
      <c r="F835" s="153"/>
      <c r="G835" s="153"/>
      <c r="H835" s="206"/>
      <c r="I835" s="212"/>
      <c r="J835" s="184"/>
      <c r="K835" s="221"/>
      <c r="L835" s="184"/>
      <c r="M835" s="219"/>
      <c r="N835" s="183"/>
      <c r="O835" s="226"/>
      <c r="P835" s="150"/>
      <c r="Q835" s="572"/>
    </row>
    <row r="836" spans="1:17" ht="15.75" hidden="1" customHeight="1" outlineLevel="3">
      <c r="A836" s="274"/>
      <c r="B836" s="143"/>
      <c r="C836" s="213" t="s">
        <v>370</v>
      </c>
      <c r="D836" s="160"/>
      <c r="E836" s="153"/>
      <c r="F836" s="153"/>
      <c r="G836" s="153"/>
      <c r="H836" s="206"/>
      <c r="I836" s="161"/>
      <c r="J836" s="184">
        <v>200000</v>
      </c>
      <c r="K836" s="221">
        <f>J836*1.23</f>
        <v>246000</v>
      </c>
      <c r="L836" s="184"/>
      <c r="M836" s="219"/>
      <c r="N836" s="183"/>
      <c r="O836" s="226"/>
      <c r="P836" s="150">
        <f t="shared" si="50"/>
        <v>246000</v>
      </c>
      <c r="Q836" s="572"/>
    </row>
    <row r="837" spans="1:17" ht="15.75" hidden="1" customHeight="1" outlineLevel="3">
      <c r="A837" s="274"/>
      <c r="B837" s="143"/>
      <c r="C837" s="213" t="s">
        <v>371</v>
      </c>
      <c r="D837" s="160"/>
      <c r="E837" s="153"/>
      <c r="F837" s="153"/>
      <c r="G837" s="153"/>
      <c r="H837" s="206"/>
      <c r="I837" s="212"/>
      <c r="J837" s="184"/>
      <c r="K837" s="221"/>
      <c r="L837" s="184">
        <v>75000</v>
      </c>
      <c r="M837" s="219">
        <f>L837*1.46</f>
        <v>109500</v>
      </c>
      <c r="N837" s="183"/>
      <c r="O837" s="226"/>
      <c r="P837" s="150">
        <f t="shared" si="50"/>
        <v>109500</v>
      </c>
      <c r="Q837" s="572"/>
    </row>
    <row r="838" spans="1:17" ht="15.75" hidden="1" customHeight="1" outlineLevel="3">
      <c r="A838" s="274"/>
      <c r="B838" s="143"/>
      <c r="C838" s="213" t="s">
        <v>372</v>
      </c>
      <c r="D838" s="160"/>
      <c r="E838" s="153"/>
      <c r="F838" s="153"/>
      <c r="G838" s="153"/>
      <c r="H838" s="206"/>
      <c r="I838" s="212"/>
      <c r="J838" s="184"/>
      <c r="K838" s="221"/>
      <c r="L838" s="184"/>
      <c r="M838" s="219"/>
      <c r="N838" s="183">
        <v>161000</v>
      </c>
      <c r="O838" s="226">
        <f>N838*1.73</f>
        <v>278530</v>
      </c>
      <c r="P838" s="150">
        <f t="shared" si="50"/>
        <v>278530</v>
      </c>
      <c r="Q838" s="572" t="s">
        <v>1287</v>
      </c>
    </row>
    <row r="839" spans="1:17" ht="15.75" hidden="1" customHeight="1" outlineLevel="3">
      <c r="A839" s="274"/>
      <c r="B839" s="143"/>
      <c r="C839" s="213" t="s">
        <v>373</v>
      </c>
      <c r="D839" s="160"/>
      <c r="E839" s="153"/>
      <c r="F839" s="153"/>
      <c r="G839" s="153"/>
      <c r="H839" s="206"/>
      <c r="I839" s="212"/>
      <c r="J839" s="184"/>
      <c r="K839" s="221"/>
      <c r="L839" s="184"/>
      <c r="M839" s="219"/>
      <c r="N839" s="183"/>
      <c r="O839" s="226"/>
      <c r="P839" s="150"/>
      <c r="Q839" s="579"/>
    </row>
    <row r="840" spans="1:17" ht="15.75" hidden="1" customHeight="1" outlineLevel="3">
      <c r="A840" s="274"/>
      <c r="B840" s="143"/>
      <c r="C840" s="142" t="s">
        <v>384</v>
      </c>
      <c r="D840" s="160"/>
      <c r="E840" s="153"/>
      <c r="F840" s="153"/>
      <c r="G840" s="153"/>
      <c r="H840" s="206"/>
      <c r="I840" s="212"/>
      <c r="J840" s="184"/>
      <c r="K840" s="221"/>
      <c r="L840" s="184"/>
      <c r="M840" s="219"/>
      <c r="N840" s="183"/>
      <c r="O840" s="226"/>
      <c r="P840" s="150"/>
      <c r="Q840" s="572"/>
    </row>
    <row r="841" spans="1:17" ht="15.75" hidden="1" customHeight="1" outlineLevel="3">
      <c r="A841" s="274"/>
      <c r="B841" s="143"/>
      <c r="C841" s="162" t="s">
        <v>375</v>
      </c>
      <c r="D841" s="160"/>
      <c r="E841" s="153"/>
      <c r="F841" s="153"/>
      <c r="G841" s="153"/>
      <c r="H841" s="206"/>
      <c r="I841" s="212"/>
      <c r="J841" s="184"/>
      <c r="K841" s="221"/>
      <c r="L841" s="184"/>
      <c r="M841" s="219"/>
      <c r="N841" s="183"/>
      <c r="O841" s="226"/>
      <c r="P841" s="150"/>
      <c r="Q841" s="572"/>
    </row>
    <row r="842" spans="1:17" ht="15.75" hidden="1" customHeight="1" outlineLevel="3">
      <c r="A842" s="274"/>
      <c r="B842" s="143"/>
      <c r="C842" s="162" t="s">
        <v>376</v>
      </c>
      <c r="D842" s="160"/>
      <c r="E842" s="153"/>
      <c r="F842" s="153"/>
      <c r="G842" s="153"/>
      <c r="H842" s="206"/>
      <c r="I842" s="212"/>
      <c r="J842" s="184"/>
      <c r="K842" s="221"/>
      <c r="L842" s="184"/>
      <c r="M842" s="219"/>
      <c r="N842" s="183"/>
      <c r="O842" s="226"/>
      <c r="P842" s="150"/>
      <c r="Q842" s="572"/>
    </row>
    <row r="843" spans="1:17" ht="15.75" hidden="1" customHeight="1" outlineLevel="3">
      <c r="A843" s="274"/>
      <c r="B843" s="143"/>
      <c r="C843" s="162" t="s">
        <v>377</v>
      </c>
      <c r="D843" s="160"/>
      <c r="E843" s="153"/>
      <c r="F843" s="153"/>
      <c r="G843" s="153"/>
      <c r="H843" s="206"/>
      <c r="I843" s="212"/>
      <c r="J843" s="184"/>
      <c r="K843" s="221"/>
      <c r="L843" s="184"/>
      <c r="M843" s="219"/>
      <c r="N843" s="183"/>
      <c r="O843" s="226"/>
      <c r="P843" s="150"/>
      <c r="Q843" s="572"/>
    </row>
    <row r="844" spans="1:17" ht="15.75" hidden="1" customHeight="1" outlineLevel="3">
      <c r="A844" s="274"/>
      <c r="B844" s="143"/>
      <c r="C844" s="162" t="s">
        <v>400</v>
      </c>
      <c r="D844" s="160"/>
      <c r="E844" s="153"/>
      <c r="F844" s="153"/>
      <c r="G844" s="153"/>
      <c r="H844" s="206"/>
      <c r="I844" s="212"/>
      <c r="J844" s="184">
        <v>204000</v>
      </c>
      <c r="K844" s="221">
        <f>J844*1.23</f>
        <v>250920</v>
      </c>
      <c r="L844" s="184"/>
      <c r="M844" s="219"/>
      <c r="N844" s="183"/>
      <c r="O844" s="226"/>
      <c r="P844" s="150">
        <f t="shared" si="50"/>
        <v>250920</v>
      </c>
      <c r="Q844" s="579"/>
    </row>
    <row r="845" spans="1:17" ht="15.75" hidden="1" customHeight="1" outlineLevel="2" collapsed="1">
      <c r="A845" s="274"/>
      <c r="B845" s="143"/>
      <c r="C845" s="142" t="s">
        <v>492</v>
      </c>
      <c r="D845" s="220"/>
      <c r="E845" s="217"/>
      <c r="F845" s="217"/>
      <c r="G845" s="217"/>
      <c r="H845" s="226"/>
      <c r="I845" s="207"/>
      <c r="J845" s="184">
        <f>SUM(J820:J844)</f>
        <v>711000</v>
      </c>
      <c r="K845" s="217">
        <f>J845*1.23</f>
        <v>874530</v>
      </c>
      <c r="L845" s="184">
        <f>SUM(L820:L844)</f>
        <v>75000</v>
      </c>
      <c r="M845" s="217">
        <f>L845*1.46</f>
        <v>109500</v>
      </c>
      <c r="N845" s="183">
        <f>SUM(N820:N844)</f>
        <v>161000</v>
      </c>
      <c r="O845" s="226">
        <f>N845*1.73</f>
        <v>278530</v>
      </c>
      <c r="P845" s="150">
        <f t="shared" si="50"/>
        <v>1262560</v>
      </c>
      <c r="Q845" s="579" t="s">
        <v>1288</v>
      </c>
    </row>
    <row r="846" spans="1:17" s="211" customFormat="1" ht="15.75" hidden="1" customHeight="1" outlineLevel="3">
      <c r="A846" s="551"/>
      <c r="B846" s="142" t="s">
        <v>493</v>
      </c>
      <c r="C846" s="159"/>
      <c r="D846" s="180"/>
      <c r="E846" s="148"/>
      <c r="F846" s="148"/>
      <c r="G846" s="148"/>
      <c r="H846" s="198"/>
      <c r="I846" s="146"/>
      <c r="J846" s="147"/>
      <c r="K846" s="221"/>
      <c r="L846" s="147"/>
      <c r="M846" s="219"/>
      <c r="N846" s="149"/>
      <c r="O846" s="226"/>
      <c r="P846" s="150"/>
      <c r="Q846" s="572" t="s">
        <v>1281</v>
      </c>
    </row>
    <row r="847" spans="1:17" ht="15.75" hidden="1" customHeight="1" outlineLevel="3">
      <c r="A847" s="274"/>
      <c r="B847" s="143"/>
      <c r="C847" s="142" t="s">
        <v>380</v>
      </c>
      <c r="D847" s="160"/>
      <c r="E847" s="153"/>
      <c r="F847" s="153"/>
      <c r="G847" s="153"/>
      <c r="H847" s="206"/>
      <c r="I847" s="212"/>
      <c r="J847" s="184"/>
      <c r="K847" s="221"/>
      <c r="L847" s="184"/>
      <c r="M847" s="219"/>
      <c r="N847" s="183"/>
      <c r="O847" s="226"/>
      <c r="P847" s="207"/>
      <c r="Q847" s="579"/>
    </row>
    <row r="848" spans="1:17" ht="15.75" hidden="1" customHeight="1" outlineLevel="3">
      <c r="A848" s="274"/>
      <c r="B848" s="143"/>
      <c r="C848" s="213" t="s">
        <v>396</v>
      </c>
      <c r="D848" s="160"/>
      <c r="E848" s="153"/>
      <c r="F848" s="153"/>
      <c r="G848" s="153"/>
      <c r="H848" s="206"/>
      <c r="I848" s="212"/>
      <c r="J848" s="184"/>
      <c r="K848" s="221"/>
      <c r="L848" s="184"/>
      <c r="M848" s="219"/>
      <c r="N848" s="183"/>
      <c r="O848" s="226"/>
      <c r="P848" s="207"/>
      <c r="Q848" s="579"/>
    </row>
    <row r="849" spans="1:17" ht="15.75" hidden="1" customHeight="1" outlineLevel="3">
      <c r="A849" s="274"/>
      <c r="B849" s="143"/>
      <c r="C849" s="213" t="s">
        <v>357</v>
      </c>
      <c r="D849" s="160"/>
      <c r="E849" s="153"/>
      <c r="F849" s="153"/>
      <c r="G849" s="153"/>
      <c r="H849" s="206"/>
      <c r="I849" s="212"/>
      <c r="J849" s="184"/>
      <c r="K849" s="221"/>
      <c r="L849" s="184"/>
      <c r="M849" s="219"/>
      <c r="N849" s="183"/>
      <c r="O849" s="226"/>
      <c r="P849" s="207"/>
      <c r="Q849" s="579"/>
    </row>
    <row r="850" spans="1:17" ht="15.75" hidden="1" customHeight="1" outlineLevel="3">
      <c r="A850" s="274"/>
      <c r="B850" s="143"/>
      <c r="C850" s="213" t="s">
        <v>358</v>
      </c>
      <c r="D850" s="160"/>
      <c r="E850" s="153"/>
      <c r="F850" s="153"/>
      <c r="G850" s="153"/>
      <c r="H850" s="206"/>
      <c r="I850" s="203"/>
      <c r="J850" s="186"/>
      <c r="K850" s="221"/>
      <c r="L850" s="184"/>
      <c r="M850" s="219"/>
      <c r="N850" s="183"/>
      <c r="O850" s="226"/>
      <c r="P850" s="207"/>
      <c r="Q850" s="579"/>
    </row>
    <row r="851" spans="1:17" ht="15.75" hidden="1" customHeight="1" outlineLevel="3">
      <c r="A851" s="274"/>
      <c r="B851" s="143"/>
      <c r="C851" s="213" t="s">
        <v>359</v>
      </c>
      <c r="D851" s="160"/>
      <c r="E851" s="153"/>
      <c r="F851" s="153"/>
      <c r="G851" s="153"/>
      <c r="H851" s="206"/>
      <c r="I851" s="212"/>
      <c r="J851" s="184"/>
      <c r="K851" s="221"/>
      <c r="L851" s="184"/>
      <c r="M851" s="219"/>
      <c r="N851" s="183"/>
      <c r="O851" s="226"/>
      <c r="P851" s="207"/>
      <c r="Q851" s="579"/>
    </row>
    <row r="852" spans="1:17" ht="15.75" hidden="1" customHeight="1" outlineLevel="3">
      <c r="A852" s="274"/>
      <c r="B852" s="143"/>
      <c r="C852" s="213" t="s">
        <v>388</v>
      </c>
      <c r="D852" s="160"/>
      <c r="E852" s="153"/>
      <c r="F852" s="153"/>
      <c r="G852" s="153"/>
      <c r="H852" s="206"/>
      <c r="I852" s="212"/>
      <c r="J852" s="184"/>
      <c r="K852" s="221"/>
      <c r="L852" s="184"/>
      <c r="M852" s="219"/>
      <c r="N852" s="183"/>
      <c r="O852" s="226"/>
      <c r="P852" s="207"/>
      <c r="Q852" s="579"/>
    </row>
    <row r="853" spans="1:17" ht="15.75" hidden="1" customHeight="1" outlineLevel="3">
      <c r="A853" s="274"/>
      <c r="B853" s="143"/>
      <c r="C853" s="142" t="s">
        <v>381</v>
      </c>
      <c r="D853" s="160"/>
      <c r="E853" s="153"/>
      <c r="F853" s="153"/>
      <c r="G853" s="153"/>
      <c r="H853" s="206"/>
      <c r="I853" s="212"/>
      <c r="J853" s="184"/>
      <c r="K853" s="221"/>
      <c r="L853" s="184"/>
      <c r="M853" s="219"/>
      <c r="N853" s="183"/>
      <c r="O853" s="226"/>
      <c r="P853" s="207"/>
      <c r="Q853" s="579"/>
    </row>
    <row r="854" spans="1:17" ht="15.75" hidden="1" customHeight="1" outlineLevel="3">
      <c r="A854" s="274"/>
      <c r="B854" s="143"/>
      <c r="C854" s="213" t="s">
        <v>362</v>
      </c>
      <c r="D854" s="160"/>
      <c r="E854" s="153"/>
      <c r="F854" s="153"/>
      <c r="G854" s="153"/>
      <c r="H854" s="206"/>
      <c r="I854" s="212"/>
      <c r="J854" s="184"/>
      <c r="K854" s="221"/>
      <c r="L854" s="184"/>
      <c r="M854" s="219"/>
      <c r="N854" s="183"/>
      <c r="O854" s="226"/>
      <c r="P854" s="207"/>
      <c r="Q854" s="579"/>
    </row>
    <row r="855" spans="1:17" ht="15.75" hidden="1" customHeight="1" outlineLevel="3">
      <c r="A855" s="274"/>
      <c r="B855" s="143"/>
      <c r="C855" s="213" t="s">
        <v>363</v>
      </c>
      <c r="D855" s="160"/>
      <c r="E855" s="153"/>
      <c r="F855" s="153"/>
      <c r="G855" s="153"/>
      <c r="H855" s="206"/>
      <c r="I855" s="212"/>
      <c r="J855" s="184"/>
      <c r="K855" s="221"/>
      <c r="L855" s="184"/>
      <c r="M855" s="219"/>
      <c r="N855" s="183"/>
      <c r="O855" s="226"/>
      <c r="P855" s="207"/>
      <c r="Q855" s="579"/>
    </row>
    <row r="856" spans="1:17" ht="15.75" hidden="1" customHeight="1" outlineLevel="3">
      <c r="A856" s="274"/>
      <c r="B856" s="143"/>
      <c r="C856" s="213" t="s">
        <v>358</v>
      </c>
      <c r="D856" s="160"/>
      <c r="E856" s="153"/>
      <c r="F856" s="153"/>
      <c r="G856" s="153"/>
      <c r="H856" s="201"/>
      <c r="I856" s="212"/>
      <c r="J856" s="376">
        <v>108000</v>
      </c>
      <c r="K856" s="221">
        <f>J856*1.23</f>
        <v>132840</v>
      </c>
      <c r="L856" s="184"/>
      <c r="M856" s="219"/>
      <c r="N856" s="183"/>
      <c r="O856" s="226"/>
      <c r="P856" s="150">
        <f t="shared" ref="P856" si="51">SUM(I856,K856,M856,O856)</f>
        <v>132840</v>
      </c>
      <c r="Q856" s="579"/>
    </row>
    <row r="857" spans="1:17" ht="15.75" hidden="1" customHeight="1" outlineLevel="3">
      <c r="A857" s="274"/>
      <c r="B857" s="143"/>
      <c r="C857" s="213" t="s">
        <v>364</v>
      </c>
      <c r="D857" s="160"/>
      <c r="E857" s="153"/>
      <c r="F857" s="153"/>
      <c r="G857" s="153"/>
      <c r="H857" s="206"/>
      <c r="I857" s="212"/>
      <c r="J857" s="184"/>
      <c r="K857" s="221"/>
      <c r="L857" s="184"/>
      <c r="M857" s="219"/>
      <c r="N857" s="183"/>
      <c r="O857" s="226"/>
      <c r="P857" s="207"/>
      <c r="Q857" s="579"/>
    </row>
    <row r="858" spans="1:17" ht="15.75" hidden="1" customHeight="1" outlineLevel="3">
      <c r="A858" s="274"/>
      <c r="B858" s="143"/>
      <c r="C858" s="142" t="s">
        <v>382</v>
      </c>
      <c r="D858" s="160"/>
      <c r="E858" s="153"/>
      <c r="F858" s="153"/>
      <c r="G858" s="153"/>
      <c r="H858" s="206"/>
      <c r="I858" s="212"/>
      <c r="J858" s="184"/>
      <c r="K858" s="221"/>
      <c r="L858" s="184"/>
      <c r="M858" s="219"/>
      <c r="N858" s="183"/>
      <c r="O858" s="226"/>
      <c r="P858" s="207"/>
      <c r="Q858" s="579"/>
    </row>
    <row r="859" spans="1:17" ht="15.75" hidden="1" customHeight="1" outlineLevel="3">
      <c r="A859" s="274"/>
      <c r="B859" s="143"/>
      <c r="C859" s="213" t="s">
        <v>366</v>
      </c>
      <c r="D859" s="160"/>
      <c r="E859" s="153"/>
      <c r="F859" s="153"/>
      <c r="G859" s="153"/>
      <c r="H859" s="206"/>
      <c r="I859" s="212"/>
      <c r="J859" s="184"/>
      <c r="K859" s="221"/>
      <c r="L859" s="184"/>
      <c r="M859" s="219"/>
      <c r="N859" s="183"/>
      <c r="O859" s="226"/>
      <c r="P859" s="207"/>
      <c r="Q859" s="579"/>
    </row>
    <row r="860" spans="1:17" ht="15.75" hidden="1" customHeight="1" outlineLevel="3">
      <c r="A860" s="274"/>
      <c r="B860" s="143"/>
      <c r="C860" s="213" t="s">
        <v>358</v>
      </c>
      <c r="D860" s="160"/>
      <c r="E860" s="153"/>
      <c r="F860" s="153"/>
      <c r="G860" s="153"/>
      <c r="H860" s="206"/>
      <c r="I860" s="212"/>
      <c r="J860" s="184"/>
      <c r="K860" s="221"/>
      <c r="L860" s="184"/>
      <c r="M860" s="219"/>
      <c r="N860" s="183"/>
      <c r="O860" s="226"/>
      <c r="P860" s="207"/>
      <c r="Q860" s="579"/>
    </row>
    <row r="861" spans="1:17" ht="15.75" hidden="1" customHeight="1" outlineLevel="3">
      <c r="A861" s="274"/>
      <c r="B861" s="143"/>
      <c r="C861" s="213" t="s">
        <v>367</v>
      </c>
      <c r="D861" s="160"/>
      <c r="E861" s="153"/>
      <c r="F861" s="153"/>
      <c r="G861" s="153"/>
      <c r="H861" s="206"/>
      <c r="I861" s="212"/>
      <c r="J861" s="184"/>
      <c r="K861" s="221"/>
      <c r="L861" s="184"/>
      <c r="M861" s="219"/>
      <c r="N861" s="183"/>
      <c r="O861" s="226"/>
      <c r="P861" s="207"/>
      <c r="Q861" s="579"/>
    </row>
    <row r="862" spans="1:17" ht="15.75" hidden="1" customHeight="1" outlineLevel="3">
      <c r="A862" s="274"/>
      <c r="B862" s="143"/>
      <c r="C862" s="213" t="s">
        <v>368</v>
      </c>
      <c r="D862" s="160"/>
      <c r="E862" s="153"/>
      <c r="F862" s="153"/>
      <c r="G862" s="153"/>
      <c r="H862" s="206"/>
      <c r="I862" s="212"/>
      <c r="J862" s="184"/>
      <c r="K862" s="221"/>
      <c r="L862" s="184"/>
      <c r="M862" s="219"/>
      <c r="N862" s="183"/>
      <c r="O862" s="226"/>
      <c r="P862" s="207"/>
      <c r="Q862" s="579"/>
    </row>
    <row r="863" spans="1:17" ht="15.75" hidden="1" customHeight="1" outlineLevel="3">
      <c r="A863" s="274"/>
      <c r="B863" s="143"/>
      <c r="C863" s="142" t="s">
        <v>383</v>
      </c>
      <c r="D863" s="160"/>
      <c r="E863" s="153"/>
      <c r="F863" s="153"/>
      <c r="G863" s="153"/>
      <c r="H863" s="206"/>
      <c r="I863" s="212"/>
      <c r="J863" s="184"/>
      <c r="K863" s="221"/>
      <c r="L863" s="184"/>
      <c r="M863" s="219"/>
      <c r="N863" s="183"/>
      <c r="O863" s="226"/>
      <c r="P863" s="207"/>
      <c r="Q863" s="579"/>
    </row>
    <row r="864" spans="1:17" ht="15.75" hidden="1" customHeight="1" outlineLevel="3">
      <c r="A864" s="274"/>
      <c r="B864" s="143"/>
      <c r="C864" s="213" t="s">
        <v>370</v>
      </c>
      <c r="D864" s="160"/>
      <c r="E864" s="153"/>
      <c r="F864" s="153"/>
      <c r="G864" s="153"/>
      <c r="H864" s="206"/>
      <c r="I864" s="212"/>
      <c r="J864" s="184"/>
      <c r="K864" s="221"/>
      <c r="L864" s="184"/>
      <c r="M864" s="219"/>
      <c r="N864" s="183"/>
      <c r="O864" s="226"/>
      <c r="P864" s="207"/>
      <c r="Q864" s="579"/>
    </row>
    <row r="865" spans="1:17" ht="15.75" hidden="1" customHeight="1" outlineLevel="3">
      <c r="A865" s="274"/>
      <c r="B865" s="143"/>
      <c r="C865" s="213" t="s">
        <v>371</v>
      </c>
      <c r="D865" s="160"/>
      <c r="E865" s="153"/>
      <c r="F865" s="153"/>
      <c r="G865" s="153"/>
      <c r="H865" s="201"/>
      <c r="I865" s="212"/>
      <c r="J865" s="156">
        <v>118000</v>
      </c>
      <c r="K865" s="221">
        <f t="shared" ref="K865:K867" si="52">J865*1.23</f>
        <v>145140</v>
      </c>
      <c r="L865" s="184"/>
      <c r="M865" s="219"/>
      <c r="N865" s="183"/>
      <c r="O865" s="226"/>
      <c r="P865" s="150">
        <f t="shared" ref="P865:P867" si="53">SUM(I865,K865,M865,O865)</f>
        <v>145140</v>
      </c>
      <c r="Q865" s="579"/>
    </row>
    <row r="866" spans="1:17" ht="15.75" hidden="1" customHeight="1" outlineLevel="3">
      <c r="A866" s="274"/>
      <c r="B866" s="143"/>
      <c r="C866" s="213" t="s">
        <v>372</v>
      </c>
      <c r="D866" s="160"/>
      <c r="E866" s="153"/>
      <c r="F866" s="153"/>
      <c r="G866" s="153"/>
      <c r="H866" s="201"/>
      <c r="I866" s="212"/>
      <c r="J866" s="159">
        <v>152000</v>
      </c>
      <c r="K866" s="221">
        <f t="shared" si="52"/>
        <v>186960</v>
      </c>
      <c r="L866" s="184"/>
      <c r="M866" s="219"/>
      <c r="N866" s="183"/>
      <c r="O866" s="226"/>
      <c r="P866" s="150">
        <f t="shared" si="53"/>
        <v>186960</v>
      </c>
      <c r="Q866" s="579"/>
    </row>
    <row r="867" spans="1:17" ht="15.75" hidden="1" customHeight="1" outlineLevel="3">
      <c r="A867" s="274"/>
      <c r="B867" s="143"/>
      <c r="C867" s="213" t="s">
        <v>373</v>
      </c>
      <c r="D867" s="160"/>
      <c r="E867" s="153"/>
      <c r="F867" s="153"/>
      <c r="G867" s="153"/>
      <c r="H867" s="206"/>
      <c r="I867" s="212"/>
      <c r="J867" s="184">
        <v>200000</v>
      </c>
      <c r="K867" s="221">
        <f t="shared" si="52"/>
        <v>246000</v>
      </c>
      <c r="L867" s="184"/>
      <c r="M867" s="219"/>
      <c r="N867" s="183"/>
      <c r="O867" s="226"/>
      <c r="P867" s="150">
        <f t="shared" si="53"/>
        <v>246000</v>
      </c>
      <c r="Q867" s="579"/>
    </row>
    <row r="868" spans="1:17" ht="15.75" hidden="1" customHeight="1" outlineLevel="3">
      <c r="A868" s="274"/>
      <c r="B868" s="143"/>
      <c r="C868" s="142" t="s">
        <v>384</v>
      </c>
      <c r="D868" s="160"/>
      <c r="E868" s="153"/>
      <c r="F868" s="153"/>
      <c r="G868" s="153"/>
      <c r="H868" s="206"/>
      <c r="I868" s="212"/>
      <c r="J868" s="184"/>
      <c r="K868" s="221"/>
      <c r="L868" s="184"/>
      <c r="M868" s="219"/>
      <c r="N868" s="183"/>
      <c r="O868" s="226"/>
      <c r="P868" s="207"/>
      <c r="Q868" s="579"/>
    </row>
    <row r="869" spans="1:17" ht="15.75" hidden="1" customHeight="1" outlineLevel="3">
      <c r="A869" s="274"/>
      <c r="B869" s="143"/>
      <c r="C869" s="162" t="s">
        <v>375</v>
      </c>
      <c r="D869" s="160"/>
      <c r="E869" s="153"/>
      <c r="F869" s="153"/>
      <c r="G869" s="153"/>
      <c r="H869" s="206"/>
      <c r="I869" s="212"/>
      <c r="J869" s="184"/>
      <c r="K869" s="221"/>
      <c r="L869" s="184"/>
      <c r="M869" s="219"/>
      <c r="N869" s="183"/>
      <c r="O869" s="226"/>
      <c r="P869" s="207"/>
      <c r="Q869" s="579"/>
    </row>
    <row r="870" spans="1:17" ht="15.75" hidden="1" customHeight="1" outlineLevel="3">
      <c r="A870" s="274"/>
      <c r="B870" s="143"/>
      <c r="C870" s="162" t="s">
        <v>376</v>
      </c>
      <c r="D870" s="160"/>
      <c r="E870" s="153"/>
      <c r="F870" s="153"/>
      <c r="G870" s="153"/>
      <c r="H870" s="206"/>
      <c r="I870" s="212"/>
      <c r="J870" s="184"/>
      <c r="K870" s="221"/>
      <c r="L870" s="184"/>
      <c r="M870" s="219"/>
      <c r="N870" s="183"/>
      <c r="O870" s="226"/>
      <c r="P870" s="207"/>
      <c r="Q870" s="579"/>
    </row>
    <row r="871" spans="1:17" ht="15.75" hidden="1" customHeight="1" outlineLevel="3">
      <c r="A871" s="274"/>
      <c r="B871" s="143"/>
      <c r="C871" s="162" t="s">
        <v>377</v>
      </c>
      <c r="D871" s="160"/>
      <c r="E871" s="153"/>
      <c r="F871" s="153"/>
      <c r="G871" s="153"/>
      <c r="H871" s="206"/>
      <c r="I871" s="212"/>
      <c r="J871" s="184"/>
      <c r="K871" s="221"/>
      <c r="L871" s="184"/>
      <c r="M871" s="219"/>
      <c r="N871" s="183"/>
      <c r="O871" s="226"/>
      <c r="P871" s="207"/>
      <c r="Q871" s="579"/>
    </row>
    <row r="872" spans="1:17" ht="15.75" hidden="1" customHeight="1" outlineLevel="3">
      <c r="A872" s="274"/>
      <c r="B872" s="143"/>
      <c r="C872" s="162" t="s">
        <v>400</v>
      </c>
      <c r="D872" s="160"/>
      <c r="E872" s="153"/>
      <c r="F872" s="153"/>
      <c r="G872" s="153"/>
      <c r="H872" s="201"/>
      <c r="I872" s="212"/>
      <c r="J872" s="376">
        <v>110000</v>
      </c>
      <c r="K872" s="221">
        <f t="shared" ref="K872:K873" si="54">J872*1.23</f>
        <v>135300</v>
      </c>
      <c r="L872" s="184"/>
      <c r="M872" s="219"/>
      <c r="N872" s="183"/>
      <c r="O872" s="226"/>
      <c r="P872" s="150">
        <f t="shared" ref="P872:P873" si="55">SUM(I872,K872,M872,O872)</f>
        <v>135300</v>
      </c>
      <c r="Q872" s="579"/>
    </row>
    <row r="873" spans="1:17" ht="15.75" hidden="1" customHeight="1" outlineLevel="2" collapsed="1">
      <c r="A873" s="274"/>
      <c r="B873" s="143"/>
      <c r="C873" s="142" t="s">
        <v>493</v>
      </c>
      <c r="D873" s="220"/>
      <c r="E873" s="217"/>
      <c r="F873" s="217"/>
      <c r="G873" s="217"/>
      <c r="H873" s="226"/>
      <c r="I873" s="207"/>
      <c r="J873" s="184">
        <f>SUM(J848:J872)</f>
        <v>688000</v>
      </c>
      <c r="K873" s="217">
        <f t="shared" si="54"/>
        <v>846240</v>
      </c>
      <c r="L873" s="184"/>
      <c r="M873" s="217"/>
      <c r="N873" s="185"/>
      <c r="O873" s="226"/>
      <c r="P873" s="150">
        <f t="shared" si="55"/>
        <v>846240</v>
      </c>
      <c r="Q873" s="579" t="s">
        <v>1288</v>
      </c>
    </row>
    <row r="874" spans="1:17" s="211" customFormat="1" ht="15.75" hidden="1" customHeight="1" outlineLevel="3">
      <c r="A874" s="551"/>
      <c r="B874" s="142" t="s">
        <v>1215</v>
      </c>
      <c r="C874" s="159"/>
      <c r="D874" s="180"/>
      <c r="E874" s="148"/>
      <c r="F874" s="148"/>
      <c r="G874" s="148"/>
      <c r="H874" s="198"/>
      <c r="I874" s="146"/>
      <c r="J874" s="147"/>
      <c r="K874" s="221"/>
      <c r="L874" s="147"/>
      <c r="M874" s="217"/>
      <c r="N874" s="148"/>
      <c r="O874" s="226"/>
      <c r="P874" s="150"/>
      <c r="Q874" s="572" t="s">
        <v>1289</v>
      </c>
    </row>
    <row r="875" spans="1:17" ht="15.75" hidden="1" customHeight="1" outlineLevel="3">
      <c r="A875" s="274"/>
      <c r="B875" s="143"/>
      <c r="C875" s="142" t="s">
        <v>380</v>
      </c>
      <c r="D875" s="160"/>
      <c r="E875" s="153"/>
      <c r="F875" s="153"/>
      <c r="G875" s="153"/>
      <c r="H875" s="206"/>
      <c r="I875" s="212"/>
      <c r="J875" s="184"/>
      <c r="K875" s="221"/>
      <c r="L875" s="184"/>
      <c r="M875" s="217"/>
      <c r="N875" s="185"/>
      <c r="O875" s="226"/>
      <c r="P875" s="207"/>
      <c r="Q875" s="572"/>
    </row>
    <row r="876" spans="1:17" ht="15.75" hidden="1" customHeight="1" outlineLevel="3">
      <c r="A876" s="274"/>
      <c r="B876" s="143"/>
      <c r="C876" s="213" t="s">
        <v>396</v>
      </c>
      <c r="D876" s="160"/>
      <c r="E876" s="153"/>
      <c r="F876" s="153"/>
      <c r="G876" s="153"/>
      <c r="H876" s="206"/>
      <c r="I876" s="212"/>
      <c r="J876" s="184"/>
      <c r="K876" s="221"/>
      <c r="L876" s="184"/>
      <c r="M876" s="217"/>
      <c r="N876" s="185"/>
      <c r="O876" s="226"/>
      <c r="P876" s="207"/>
      <c r="Q876" s="572"/>
    </row>
    <row r="877" spans="1:17" ht="15.75" hidden="1" customHeight="1" outlineLevel="3">
      <c r="A877" s="274"/>
      <c r="B877" s="143"/>
      <c r="C877" s="213" t="s">
        <v>357</v>
      </c>
      <c r="D877" s="160"/>
      <c r="E877" s="153"/>
      <c r="F877" s="153"/>
      <c r="G877" s="153"/>
      <c r="H877" s="206"/>
      <c r="I877" s="212"/>
      <c r="J877" s="184"/>
      <c r="K877" s="221"/>
      <c r="L877" s="184"/>
      <c r="M877" s="217"/>
      <c r="N877" s="185"/>
      <c r="O877" s="226"/>
      <c r="P877" s="207"/>
      <c r="Q877" s="572"/>
    </row>
    <row r="878" spans="1:17" ht="15.75" hidden="1" customHeight="1" outlineLevel="3">
      <c r="A878" s="274"/>
      <c r="B878" s="143"/>
      <c r="C878" s="213" t="s">
        <v>358</v>
      </c>
      <c r="D878" s="160"/>
      <c r="E878" s="153"/>
      <c r="F878" s="153"/>
      <c r="G878" s="153"/>
      <c r="H878" s="206"/>
      <c r="I878" s="203"/>
      <c r="J878" s="186"/>
      <c r="K878" s="221"/>
      <c r="L878" s="184"/>
      <c r="M878" s="217"/>
      <c r="N878" s="185"/>
      <c r="O878" s="226"/>
      <c r="P878" s="207"/>
      <c r="Q878" s="572"/>
    </row>
    <row r="879" spans="1:17" ht="15.75" hidden="1" customHeight="1" outlineLevel="3">
      <c r="A879" s="274"/>
      <c r="B879" s="143"/>
      <c r="C879" s="213" t="s">
        <v>359</v>
      </c>
      <c r="D879" s="160"/>
      <c r="E879" s="153"/>
      <c r="F879" s="153"/>
      <c r="G879" s="153"/>
      <c r="H879" s="206"/>
      <c r="I879" s="212"/>
      <c r="J879" s="184"/>
      <c r="K879" s="221"/>
      <c r="L879" s="184"/>
      <c r="M879" s="217"/>
      <c r="N879" s="185"/>
      <c r="O879" s="226"/>
      <c r="P879" s="207"/>
      <c r="Q879" s="572"/>
    </row>
    <row r="880" spans="1:17" ht="15.75" hidden="1" customHeight="1" outlineLevel="3">
      <c r="A880" s="274"/>
      <c r="B880" s="143"/>
      <c r="C880" s="213" t="s">
        <v>388</v>
      </c>
      <c r="D880" s="160"/>
      <c r="E880" s="153"/>
      <c r="F880" s="153"/>
      <c r="G880" s="153"/>
      <c r="H880" s="206"/>
      <c r="I880" s="212"/>
      <c r="J880" s="184"/>
      <c r="K880" s="221"/>
      <c r="L880" s="184"/>
      <c r="M880" s="217"/>
      <c r="N880" s="185"/>
      <c r="O880" s="226"/>
      <c r="P880" s="207"/>
      <c r="Q880" s="572"/>
    </row>
    <row r="881" spans="1:17" ht="15.75" hidden="1" customHeight="1" outlineLevel="3">
      <c r="A881" s="274"/>
      <c r="B881" s="143"/>
      <c r="C881" s="142" t="s">
        <v>381</v>
      </c>
      <c r="D881" s="160"/>
      <c r="E881" s="153"/>
      <c r="F881" s="153"/>
      <c r="G881" s="153"/>
      <c r="H881" s="206"/>
      <c r="I881" s="212"/>
      <c r="J881" s="184"/>
      <c r="K881" s="221"/>
      <c r="L881" s="184"/>
      <c r="M881" s="217"/>
      <c r="N881" s="185"/>
      <c r="O881" s="226"/>
      <c r="P881" s="207"/>
      <c r="Q881" s="572"/>
    </row>
    <row r="882" spans="1:17" ht="15.75" hidden="1" customHeight="1" outlineLevel="3">
      <c r="A882" s="274"/>
      <c r="B882" s="143"/>
      <c r="C882" s="213" t="s">
        <v>362</v>
      </c>
      <c r="D882" s="160"/>
      <c r="E882" s="153"/>
      <c r="F882" s="153"/>
      <c r="G882" s="153"/>
      <c r="H882" s="206"/>
      <c r="I882" s="212"/>
      <c r="J882" s="184"/>
      <c r="K882" s="221"/>
      <c r="L882" s="184"/>
      <c r="M882" s="217"/>
      <c r="N882" s="185"/>
      <c r="O882" s="226"/>
      <c r="P882" s="207"/>
      <c r="Q882" s="572"/>
    </row>
    <row r="883" spans="1:17" ht="15.75" hidden="1" customHeight="1" outlineLevel="3">
      <c r="A883" s="274"/>
      <c r="B883" s="143"/>
      <c r="C883" s="213" t="s">
        <v>363</v>
      </c>
      <c r="D883" s="160"/>
      <c r="E883" s="153"/>
      <c r="F883" s="153"/>
      <c r="G883" s="153"/>
      <c r="H883" s="206"/>
      <c r="I883" s="212"/>
      <c r="J883" s="184"/>
      <c r="K883" s="221"/>
      <c r="L883" s="184"/>
      <c r="M883" s="217"/>
      <c r="N883" s="185"/>
      <c r="O883" s="226"/>
      <c r="P883" s="150"/>
      <c r="Q883" s="572"/>
    </row>
    <row r="884" spans="1:17" ht="15.75" hidden="1" customHeight="1" outlineLevel="3">
      <c r="A884" s="274"/>
      <c r="B884" s="143"/>
      <c r="C884" s="213" t="s">
        <v>358</v>
      </c>
      <c r="D884" s="160"/>
      <c r="E884" s="153"/>
      <c r="F884" s="153"/>
      <c r="G884" s="153"/>
      <c r="H884" s="206"/>
      <c r="I884" s="212"/>
      <c r="J884" s="184"/>
      <c r="K884" s="221"/>
      <c r="L884" s="184"/>
      <c r="M884" s="217"/>
      <c r="N884" s="185"/>
      <c r="O884" s="226"/>
      <c r="P884" s="207"/>
      <c r="Q884" s="572"/>
    </row>
    <row r="885" spans="1:17" ht="15.75" hidden="1" customHeight="1" outlineLevel="3">
      <c r="A885" s="274"/>
      <c r="B885" s="143"/>
      <c r="C885" s="213" t="s">
        <v>364</v>
      </c>
      <c r="D885" s="160"/>
      <c r="E885" s="153"/>
      <c r="F885" s="153"/>
      <c r="G885" s="153"/>
      <c r="H885" s="206"/>
      <c r="I885" s="212"/>
      <c r="J885" s="184"/>
      <c r="K885" s="221"/>
      <c r="L885" s="184"/>
      <c r="M885" s="217"/>
      <c r="N885" s="185"/>
      <c r="O885" s="226"/>
      <c r="P885" s="207"/>
      <c r="Q885" s="572"/>
    </row>
    <row r="886" spans="1:17" ht="15.75" hidden="1" customHeight="1" outlineLevel="3">
      <c r="A886" s="274"/>
      <c r="B886" s="143"/>
      <c r="C886" s="142" t="s">
        <v>382</v>
      </c>
      <c r="D886" s="160"/>
      <c r="E886" s="153"/>
      <c r="F886" s="153"/>
      <c r="G886" s="153"/>
      <c r="H886" s="206"/>
      <c r="I886" s="212"/>
      <c r="J886" s="184"/>
      <c r="K886" s="221"/>
      <c r="L886" s="184"/>
      <c r="M886" s="217"/>
      <c r="N886" s="185"/>
      <c r="O886" s="226"/>
      <c r="P886" s="207"/>
      <c r="Q886" s="572"/>
    </row>
    <row r="887" spans="1:17" ht="15.75" hidden="1" customHeight="1" outlineLevel="3">
      <c r="A887" s="274"/>
      <c r="B887" s="143"/>
      <c r="C887" s="213" t="s">
        <v>366</v>
      </c>
      <c r="D887" s="160"/>
      <c r="E887" s="153"/>
      <c r="F887" s="153"/>
      <c r="G887" s="153"/>
      <c r="H887" s="206"/>
      <c r="I887" s="212"/>
      <c r="J887" s="184"/>
      <c r="K887" s="221"/>
      <c r="L887" s="184"/>
      <c r="M887" s="217"/>
      <c r="N887" s="185"/>
      <c r="O887" s="226"/>
      <c r="P887" s="207"/>
      <c r="Q887" s="572"/>
    </row>
    <row r="888" spans="1:17" ht="15.75" hidden="1" customHeight="1" outlineLevel="3">
      <c r="A888" s="274"/>
      <c r="B888" s="143"/>
      <c r="C888" s="213" t="s">
        <v>358</v>
      </c>
      <c r="D888" s="160"/>
      <c r="E888" s="153"/>
      <c r="F888" s="153"/>
      <c r="G888" s="153"/>
      <c r="H888" s="206"/>
      <c r="I888" s="212"/>
      <c r="J888" s="184">
        <v>100000</v>
      </c>
      <c r="K888" s="221">
        <f>J888*1.23</f>
        <v>123000</v>
      </c>
      <c r="L888" s="184"/>
      <c r="M888" s="217"/>
      <c r="N888" s="185"/>
      <c r="O888" s="226"/>
      <c r="P888" s="150">
        <f t="shared" ref="P888" si="56">SUM(I888,K888,M888,O888)</f>
        <v>123000</v>
      </c>
      <c r="Q888" s="572" t="s">
        <v>1290</v>
      </c>
    </row>
    <row r="889" spans="1:17" ht="15.75" hidden="1" customHeight="1" outlineLevel="3">
      <c r="A889" s="274"/>
      <c r="B889" s="143"/>
      <c r="C889" s="213" t="s">
        <v>367</v>
      </c>
      <c r="D889" s="160"/>
      <c r="E889" s="153"/>
      <c r="F889" s="153"/>
      <c r="G889" s="153"/>
      <c r="H889" s="206"/>
      <c r="I889" s="212"/>
      <c r="J889" s="184"/>
      <c r="K889" s="221"/>
      <c r="L889" s="184"/>
      <c r="M889" s="217"/>
      <c r="N889" s="185"/>
      <c r="O889" s="226"/>
      <c r="P889" s="207"/>
      <c r="Q889" s="572"/>
    </row>
    <row r="890" spans="1:17" ht="15.75" hidden="1" customHeight="1" outlineLevel="3">
      <c r="A890" s="274"/>
      <c r="B890" s="143"/>
      <c r="C890" s="213" t="s">
        <v>368</v>
      </c>
      <c r="D890" s="160"/>
      <c r="E890" s="153"/>
      <c r="F890" s="153"/>
      <c r="G890" s="153"/>
      <c r="H890" s="206"/>
      <c r="I890" s="212"/>
      <c r="J890" s="184"/>
      <c r="K890" s="221"/>
      <c r="L890" s="184"/>
      <c r="M890" s="217"/>
      <c r="N890" s="185"/>
      <c r="O890" s="226"/>
      <c r="P890" s="207"/>
      <c r="Q890" s="572"/>
    </row>
    <row r="891" spans="1:17" ht="15.75" hidden="1" customHeight="1" outlineLevel="3">
      <c r="A891" s="274"/>
      <c r="B891" s="143"/>
      <c r="C891" s="142" t="s">
        <v>383</v>
      </c>
      <c r="D891" s="160"/>
      <c r="E891" s="153"/>
      <c r="F891" s="153"/>
      <c r="G891" s="153"/>
      <c r="H891" s="206"/>
      <c r="I891" s="212"/>
      <c r="J891" s="184"/>
      <c r="K891" s="221"/>
      <c r="L891" s="184"/>
      <c r="M891" s="217"/>
      <c r="N891" s="185"/>
      <c r="O891" s="226"/>
      <c r="P891" s="207"/>
      <c r="Q891" s="572"/>
    </row>
    <row r="892" spans="1:17" ht="15.75" hidden="1" customHeight="1" outlineLevel="3">
      <c r="A892" s="274"/>
      <c r="B892" s="143"/>
      <c r="C892" s="213" t="s">
        <v>370</v>
      </c>
      <c r="D892" s="160"/>
      <c r="E892" s="153"/>
      <c r="F892" s="153"/>
      <c r="G892" s="153"/>
      <c r="H892" s="206"/>
      <c r="I892" s="212"/>
      <c r="J892" s="184"/>
      <c r="K892" s="221"/>
      <c r="L892" s="184"/>
      <c r="M892" s="217"/>
      <c r="N892" s="185"/>
      <c r="O892" s="226"/>
      <c r="P892" s="207"/>
      <c r="Q892" s="572"/>
    </row>
    <row r="893" spans="1:17" ht="15.75" hidden="1" customHeight="1" outlineLevel="3">
      <c r="A893" s="274"/>
      <c r="B893" s="143"/>
      <c r="C893" s="213" t="s">
        <v>371</v>
      </c>
      <c r="D893" s="160"/>
      <c r="E893" s="153"/>
      <c r="F893" s="153"/>
      <c r="G893" s="153"/>
      <c r="H893" s="201"/>
      <c r="I893" s="212"/>
      <c r="J893" s="156">
        <v>240000</v>
      </c>
      <c r="K893" s="221">
        <f>J893*1.23</f>
        <v>295200</v>
      </c>
      <c r="L893" s="184"/>
      <c r="M893" s="217"/>
      <c r="N893" s="185"/>
      <c r="O893" s="226"/>
      <c r="P893" s="150">
        <f t="shared" ref="P893" si="57">SUM(I893,K893,M893,O893)</f>
        <v>295200</v>
      </c>
      <c r="Q893" s="572" t="s">
        <v>1291</v>
      </c>
    </row>
    <row r="894" spans="1:17" ht="15.75" hidden="1" customHeight="1" outlineLevel="3">
      <c r="A894" s="274"/>
      <c r="B894" s="143"/>
      <c r="C894" s="213" t="s">
        <v>372</v>
      </c>
      <c r="D894" s="160"/>
      <c r="E894" s="153"/>
      <c r="F894" s="153"/>
      <c r="G894" s="153"/>
      <c r="H894" s="206"/>
      <c r="I894" s="212"/>
      <c r="J894" s="184"/>
      <c r="K894" s="221"/>
      <c r="L894" s="184"/>
      <c r="M894" s="217"/>
      <c r="N894" s="185"/>
      <c r="O894" s="226"/>
      <c r="P894" s="207"/>
      <c r="Q894" s="572"/>
    </row>
    <row r="895" spans="1:17" ht="15.75" hidden="1" customHeight="1" outlineLevel="3">
      <c r="A895" s="274"/>
      <c r="B895" s="143"/>
      <c r="C895" s="213" t="s">
        <v>373</v>
      </c>
      <c r="D895" s="160"/>
      <c r="E895" s="153"/>
      <c r="F895" s="153"/>
      <c r="G895" s="153"/>
      <c r="H895" s="206"/>
      <c r="I895" s="212"/>
      <c r="J895" s="184"/>
      <c r="K895" s="221"/>
      <c r="L895" s="184"/>
      <c r="M895" s="217"/>
      <c r="N895" s="185"/>
      <c r="O895" s="226"/>
      <c r="P895" s="207"/>
      <c r="Q895" s="579"/>
    </row>
    <row r="896" spans="1:17" ht="15.75" hidden="1" customHeight="1" outlineLevel="3">
      <c r="A896" s="274"/>
      <c r="B896" s="143"/>
      <c r="C896" s="142" t="s">
        <v>384</v>
      </c>
      <c r="D896" s="160"/>
      <c r="E896" s="153"/>
      <c r="F896" s="153"/>
      <c r="G896" s="153"/>
      <c r="H896" s="206"/>
      <c r="I896" s="212"/>
      <c r="J896" s="184"/>
      <c r="K896" s="221"/>
      <c r="L896" s="184"/>
      <c r="M896" s="217"/>
      <c r="N896" s="185"/>
      <c r="O896" s="226"/>
      <c r="P896" s="207"/>
      <c r="Q896" s="572"/>
    </row>
    <row r="897" spans="1:17" ht="15.75" hidden="1" customHeight="1" outlineLevel="3">
      <c r="A897" s="274"/>
      <c r="B897" s="143"/>
      <c r="C897" s="162" t="s">
        <v>375</v>
      </c>
      <c r="D897" s="160"/>
      <c r="E897" s="153"/>
      <c r="F897" s="153"/>
      <c r="G897" s="153"/>
      <c r="H897" s="206"/>
      <c r="I897" s="212"/>
      <c r="J897" s="184"/>
      <c r="K897" s="221"/>
      <c r="L897" s="184"/>
      <c r="M897" s="217"/>
      <c r="N897" s="185"/>
      <c r="O897" s="226"/>
      <c r="P897" s="207"/>
      <c r="Q897" s="572"/>
    </row>
    <row r="898" spans="1:17" ht="15.75" hidden="1" customHeight="1" outlineLevel="3">
      <c r="A898" s="274"/>
      <c r="B898" s="143"/>
      <c r="C898" s="162" t="s">
        <v>376</v>
      </c>
      <c r="D898" s="160"/>
      <c r="E898" s="153"/>
      <c r="F898" s="153"/>
      <c r="G898" s="153"/>
      <c r="H898" s="206"/>
      <c r="I898" s="212"/>
      <c r="J898" s="184"/>
      <c r="K898" s="221"/>
      <c r="L898" s="184"/>
      <c r="M898" s="217"/>
      <c r="N898" s="185"/>
      <c r="O898" s="226"/>
      <c r="P898" s="207"/>
      <c r="Q898" s="572"/>
    </row>
    <row r="899" spans="1:17" ht="15.75" hidden="1" customHeight="1" outlineLevel="3">
      <c r="A899" s="274"/>
      <c r="B899" s="143"/>
      <c r="C899" s="162" t="s">
        <v>377</v>
      </c>
      <c r="D899" s="160"/>
      <c r="E899" s="153"/>
      <c r="F899" s="153"/>
      <c r="G899" s="153"/>
      <c r="H899" s="206"/>
      <c r="I899" s="212"/>
      <c r="J899" s="184"/>
      <c r="K899" s="221"/>
      <c r="L899" s="184"/>
      <c r="M899" s="217"/>
      <c r="N899" s="185"/>
      <c r="O899" s="226"/>
      <c r="P899" s="207"/>
      <c r="Q899" s="572"/>
    </row>
    <row r="900" spans="1:17" ht="15.75" hidden="1" customHeight="1" outlineLevel="3">
      <c r="A900" s="274"/>
      <c r="B900" s="143"/>
      <c r="C900" s="162" t="s">
        <v>400</v>
      </c>
      <c r="D900" s="160"/>
      <c r="E900" s="202"/>
      <c r="F900" s="153"/>
      <c r="G900" s="153"/>
      <c r="H900" s="206"/>
      <c r="I900" s="212"/>
      <c r="J900" s="185">
        <v>127000</v>
      </c>
      <c r="K900" s="221">
        <f t="shared" ref="K900" si="58">J900*1.23</f>
        <v>156210</v>
      </c>
      <c r="L900" s="184"/>
      <c r="M900" s="217"/>
      <c r="N900" s="185"/>
      <c r="O900" s="226"/>
      <c r="P900" s="150">
        <f t="shared" ref="P900:P901" si="59">SUM(I900,K900,M900,O900)</f>
        <v>156210</v>
      </c>
      <c r="Q900" s="579" t="s">
        <v>1376</v>
      </c>
    </row>
    <row r="901" spans="1:17" ht="15.75" hidden="1" customHeight="1" outlineLevel="2" collapsed="1">
      <c r="A901" s="274"/>
      <c r="B901" s="143"/>
      <c r="C901" s="142" t="s">
        <v>1215</v>
      </c>
      <c r="D901" s="220"/>
      <c r="E901" s="217"/>
      <c r="F901" s="217"/>
      <c r="G901" s="217"/>
      <c r="H901" s="226"/>
      <c r="I901" s="207"/>
      <c r="J901" s="184">
        <f>SUM(J876:J900)</f>
        <v>467000</v>
      </c>
      <c r="K901" s="217">
        <f>J901*1.23</f>
        <v>574410</v>
      </c>
      <c r="L901" s="184"/>
      <c r="M901" s="217"/>
      <c r="N901" s="185"/>
      <c r="O901" s="226"/>
      <c r="P901" s="150">
        <f t="shared" si="59"/>
        <v>574410</v>
      </c>
      <c r="Q901" s="579" t="s">
        <v>1292</v>
      </c>
    </row>
    <row r="902" spans="1:17" s="211" customFormat="1" ht="15.75" hidden="1" customHeight="1" outlineLevel="3">
      <c r="A902" s="551"/>
      <c r="B902" s="142" t="s">
        <v>488</v>
      </c>
      <c r="C902" s="159"/>
      <c r="D902" s="180"/>
      <c r="E902" s="148"/>
      <c r="F902" s="148"/>
      <c r="G902" s="148"/>
      <c r="H902" s="198"/>
      <c r="I902" s="146"/>
      <c r="J902" s="147"/>
      <c r="K902" s="221"/>
      <c r="L902" s="147"/>
      <c r="M902" s="217"/>
      <c r="N902" s="148"/>
      <c r="O902" s="226"/>
      <c r="P902" s="150"/>
      <c r="Q902" s="580"/>
    </row>
    <row r="903" spans="1:17" ht="15.75" hidden="1" customHeight="1" outlineLevel="3">
      <c r="A903" s="274"/>
      <c r="B903" s="143"/>
      <c r="C903" s="142" t="s">
        <v>380</v>
      </c>
      <c r="D903" s="160"/>
      <c r="E903" s="153"/>
      <c r="F903" s="153"/>
      <c r="G903" s="153"/>
      <c r="H903" s="206"/>
      <c r="I903" s="212"/>
      <c r="J903" s="184"/>
      <c r="K903" s="221"/>
      <c r="L903" s="184"/>
      <c r="M903" s="217"/>
      <c r="N903" s="185"/>
      <c r="O903" s="226"/>
      <c r="P903" s="207"/>
      <c r="Q903" s="572"/>
    </row>
    <row r="904" spans="1:17" ht="15.75" hidden="1" customHeight="1" outlineLevel="3">
      <c r="A904" s="274"/>
      <c r="B904" s="143"/>
      <c r="C904" s="213" t="s">
        <v>396</v>
      </c>
      <c r="D904" s="160"/>
      <c r="E904" s="153"/>
      <c r="F904" s="153"/>
      <c r="G904" s="153"/>
      <c r="H904" s="206"/>
      <c r="I904" s="212"/>
      <c r="J904" s="184"/>
      <c r="K904" s="221"/>
      <c r="L904" s="184"/>
      <c r="M904" s="217"/>
      <c r="N904" s="185"/>
      <c r="O904" s="226"/>
      <c r="P904" s="207"/>
      <c r="Q904" s="572"/>
    </row>
    <row r="905" spans="1:17" ht="15.75" hidden="1" customHeight="1" outlineLevel="3">
      <c r="A905" s="274"/>
      <c r="B905" s="143"/>
      <c r="C905" s="213" t="s">
        <v>357</v>
      </c>
      <c r="D905" s="160"/>
      <c r="E905" s="153"/>
      <c r="F905" s="153"/>
      <c r="G905" s="153"/>
      <c r="H905" s="206"/>
      <c r="I905" s="212"/>
      <c r="J905" s="184"/>
      <c r="K905" s="221"/>
      <c r="L905" s="184"/>
      <c r="M905" s="217"/>
      <c r="N905" s="185"/>
      <c r="O905" s="226"/>
      <c r="P905" s="207"/>
      <c r="Q905" s="572"/>
    </row>
    <row r="906" spans="1:17" ht="15.75" hidden="1" customHeight="1" outlineLevel="3">
      <c r="A906" s="274"/>
      <c r="B906" s="143"/>
      <c r="C906" s="213" t="s">
        <v>358</v>
      </c>
      <c r="D906" s="160"/>
      <c r="E906" s="153"/>
      <c r="F906" s="153"/>
      <c r="G906" s="153"/>
      <c r="H906" s="206"/>
      <c r="I906" s="203"/>
      <c r="J906" s="186"/>
      <c r="K906" s="221"/>
      <c r="L906" s="184"/>
      <c r="M906" s="217"/>
      <c r="N906" s="185"/>
      <c r="O906" s="226"/>
      <c r="P906" s="207"/>
      <c r="Q906" s="572"/>
    </row>
    <row r="907" spans="1:17" ht="15.75" hidden="1" customHeight="1" outlineLevel="3">
      <c r="A907" s="274"/>
      <c r="B907" s="143"/>
      <c r="C907" s="213" t="s">
        <v>359</v>
      </c>
      <c r="D907" s="160"/>
      <c r="E907" s="153"/>
      <c r="F907" s="153"/>
      <c r="G907" s="153"/>
      <c r="H907" s="206"/>
      <c r="I907" s="212"/>
      <c r="J907" s="184"/>
      <c r="K907" s="221"/>
      <c r="L907" s="184"/>
      <c r="M907" s="217"/>
      <c r="N907" s="185"/>
      <c r="O907" s="226"/>
      <c r="P907" s="207"/>
      <c r="Q907" s="572"/>
    </row>
    <row r="908" spans="1:17" ht="15.75" hidden="1" customHeight="1" outlineLevel="3">
      <c r="A908" s="274"/>
      <c r="B908" s="143"/>
      <c r="C908" s="213" t="s">
        <v>388</v>
      </c>
      <c r="D908" s="160"/>
      <c r="E908" s="153"/>
      <c r="F908" s="153"/>
      <c r="G908" s="153"/>
      <c r="H908" s="206"/>
      <c r="I908" s="212"/>
      <c r="J908" s="184"/>
      <c r="K908" s="221"/>
      <c r="L908" s="184"/>
      <c r="M908" s="217"/>
      <c r="N908" s="185"/>
      <c r="O908" s="226"/>
      <c r="P908" s="207"/>
      <c r="Q908" s="572"/>
    </row>
    <row r="909" spans="1:17" ht="15.75" hidden="1" customHeight="1" outlineLevel="3">
      <c r="A909" s="274"/>
      <c r="B909" s="143"/>
      <c r="C909" s="142" t="s">
        <v>381</v>
      </c>
      <c r="D909" s="160"/>
      <c r="E909" s="153"/>
      <c r="F909" s="153"/>
      <c r="G909" s="153"/>
      <c r="H909" s="206"/>
      <c r="I909" s="212"/>
      <c r="J909" s="184"/>
      <c r="K909" s="221"/>
      <c r="L909" s="184"/>
      <c r="M909" s="217"/>
      <c r="N909" s="185"/>
      <c r="O909" s="226"/>
      <c r="P909" s="207"/>
      <c r="Q909" s="572"/>
    </row>
    <row r="910" spans="1:17" ht="15.75" hidden="1" customHeight="1" outlineLevel="3">
      <c r="A910" s="274"/>
      <c r="B910" s="143"/>
      <c r="C910" s="213" t="s">
        <v>362</v>
      </c>
      <c r="D910" s="160"/>
      <c r="E910" s="153"/>
      <c r="F910" s="153"/>
      <c r="G910" s="153"/>
      <c r="H910" s="206"/>
      <c r="I910" s="212"/>
      <c r="J910" s="184"/>
      <c r="K910" s="221"/>
      <c r="L910" s="184"/>
      <c r="M910" s="217"/>
      <c r="N910" s="185"/>
      <c r="O910" s="226"/>
      <c r="P910" s="207"/>
      <c r="Q910" s="572"/>
    </row>
    <row r="911" spans="1:17" ht="15.75" hidden="1" customHeight="1" outlineLevel="3">
      <c r="A911" s="274"/>
      <c r="B911" s="143"/>
      <c r="C911" s="213" t="s">
        <v>363</v>
      </c>
      <c r="D911" s="160"/>
      <c r="E911" s="153"/>
      <c r="F911" s="153"/>
      <c r="G911" s="153"/>
      <c r="H911" s="206"/>
      <c r="I911" s="212"/>
      <c r="J911" s="184"/>
      <c r="K911" s="221"/>
      <c r="L911" s="184"/>
      <c r="M911" s="217"/>
      <c r="N911" s="185"/>
      <c r="O911" s="226"/>
      <c r="P911" s="207"/>
      <c r="Q911" s="572"/>
    </row>
    <row r="912" spans="1:17" ht="15.75" hidden="1" customHeight="1" outlineLevel="3">
      <c r="A912" s="274"/>
      <c r="B912" s="143"/>
      <c r="C912" s="213" t="s">
        <v>358</v>
      </c>
      <c r="D912" s="160"/>
      <c r="E912" s="153"/>
      <c r="F912" s="153"/>
      <c r="G912" s="153"/>
      <c r="H912" s="206"/>
      <c r="I912" s="212"/>
      <c r="J912" s="184"/>
      <c r="K912" s="221"/>
      <c r="L912" s="184"/>
      <c r="M912" s="217"/>
      <c r="N912" s="185"/>
      <c r="O912" s="226"/>
      <c r="P912" s="207"/>
      <c r="Q912" s="572"/>
    </row>
    <row r="913" spans="1:17" ht="15.75" hidden="1" customHeight="1" outlineLevel="3">
      <c r="A913" s="274"/>
      <c r="B913" s="143"/>
      <c r="C913" s="213" t="s">
        <v>364</v>
      </c>
      <c r="D913" s="160"/>
      <c r="E913" s="153"/>
      <c r="F913" s="153"/>
      <c r="G913" s="153"/>
      <c r="H913" s="206"/>
      <c r="I913" s="212"/>
      <c r="J913" s="184"/>
      <c r="K913" s="221"/>
      <c r="L913" s="184"/>
      <c r="M913" s="217"/>
      <c r="N913" s="185"/>
      <c r="O913" s="226"/>
      <c r="P913" s="207"/>
      <c r="Q913" s="572"/>
    </row>
    <row r="914" spans="1:17" ht="15.75" hidden="1" customHeight="1" outlineLevel="3">
      <c r="A914" s="274"/>
      <c r="B914" s="143"/>
      <c r="C914" s="142" t="s">
        <v>382</v>
      </c>
      <c r="D914" s="160"/>
      <c r="E914" s="153"/>
      <c r="F914" s="153"/>
      <c r="G914" s="153"/>
      <c r="H914" s="206"/>
      <c r="I914" s="212"/>
      <c r="J914" s="184"/>
      <c r="K914" s="221"/>
      <c r="L914" s="184"/>
      <c r="M914" s="217"/>
      <c r="N914" s="185"/>
      <c r="O914" s="226"/>
      <c r="P914" s="207"/>
      <c r="Q914" s="572"/>
    </row>
    <row r="915" spans="1:17" ht="15.75" hidden="1" customHeight="1" outlineLevel="3">
      <c r="A915" s="274"/>
      <c r="B915" s="143"/>
      <c r="C915" s="213" t="s">
        <v>366</v>
      </c>
      <c r="D915" s="160"/>
      <c r="E915" s="153"/>
      <c r="F915" s="153"/>
      <c r="G915" s="153"/>
      <c r="H915" s="206"/>
      <c r="I915" s="212"/>
      <c r="J915" s="184"/>
      <c r="K915" s="221"/>
      <c r="L915" s="184"/>
      <c r="M915" s="217"/>
      <c r="N915" s="185"/>
      <c r="O915" s="226"/>
      <c r="P915" s="207"/>
      <c r="Q915" s="572"/>
    </row>
    <row r="916" spans="1:17" ht="15.75" hidden="1" customHeight="1" outlineLevel="3">
      <c r="A916" s="274"/>
      <c r="B916" s="143"/>
      <c r="C916" s="213" t="s">
        <v>358</v>
      </c>
      <c r="D916" s="160"/>
      <c r="E916" s="153"/>
      <c r="F916" s="153"/>
      <c r="G916" s="153"/>
      <c r="H916" s="206"/>
      <c r="I916" s="212"/>
      <c r="J916" s="184"/>
      <c r="K916" s="221"/>
      <c r="L916" s="184"/>
      <c r="M916" s="217"/>
      <c r="N916" s="185"/>
      <c r="O916" s="226"/>
      <c r="P916" s="207"/>
      <c r="Q916" s="572"/>
    </row>
    <row r="917" spans="1:17" ht="15.75" hidden="1" customHeight="1" outlineLevel="3">
      <c r="A917" s="274"/>
      <c r="B917" s="143"/>
      <c r="C917" s="213" t="s">
        <v>367</v>
      </c>
      <c r="D917" s="160"/>
      <c r="E917" s="153"/>
      <c r="F917" s="153"/>
      <c r="G917" s="153"/>
      <c r="H917" s="206"/>
      <c r="I917" s="212"/>
      <c r="J917" s="184"/>
      <c r="K917" s="221"/>
      <c r="L917" s="184"/>
      <c r="M917" s="217"/>
      <c r="N917" s="185"/>
      <c r="O917" s="226"/>
      <c r="P917" s="207"/>
      <c r="Q917" s="572"/>
    </row>
    <row r="918" spans="1:17" ht="15.75" hidden="1" customHeight="1" outlineLevel="3">
      <c r="A918" s="274"/>
      <c r="B918" s="143"/>
      <c r="C918" s="213" t="s">
        <v>368</v>
      </c>
      <c r="D918" s="160"/>
      <c r="E918" s="153"/>
      <c r="F918" s="153"/>
      <c r="G918" s="153"/>
      <c r="H918" s="206"/>
      <c r="I918" s="212"/>
      <c r="J918" s="184"/>
      <c r="K918" s="221"/>
      <c r="L918" s="184"/>
      <c r="M918" s="217"/>
      <c r="N918" s="185"/>
      <c r="O918" s="226"/>
      <c r="P918" s="207"/>
      <c r="Q918" s="572"/>
    </row>
    <row r="919" spans="1:17" ht="15.75" hidden="1" customHeight="1" outlineLevel="3">
      <c r="A919" s="274"/>
      <c r="B919" s="143"/>
      <c r="C919" s="142" t="s">
        <v>383</v>
      </c>
      <c r="D919" s="160"/>
      <c r="E919" s="153"/>
      <c r="F919" s="153"/>
      <c r="G919" s="153"/>
      <c r="H919" s="206"/>
      <c r="I919" s="212"/>
      <c r="J919" s="184"/>
      <c r="K919" s="221"/>
      <c r="L919" s="184"/>
      <c r="M919" s="217"/>
      <c r="N919" s="185"/>
      <c r="O919" s="226"/>
      <c r="P919" s="207"/>
      <c r="Q919" s="572"/>
    </row>
    <row r="920" spans="1:17" ht="15.75" hidden="1" customHeight="1" outlineLevel="3">
      <c r="A920" s="274"/>
      <c r="B920" s="143"/>
      <c r="C920" s="213" t="s">
        <v>370</v>
      </c>
      <c r="D920" s="160"/>
      <c r="E920" s="153"/>
      <c r="F920" s="153"/>
      <c r="G920" s="153"/>
      <c r="H920" s="206"/>
      <c r="I920" s="212"/>
      <c r="J920" s="184"/>
      <c r="K920" s="221"/>
      <c r="L920" s="184"/>
      <c r="M920" s="217"/>
      <c r="N920" s="185"/>
      <c r="O920" s="226"/>
      <c r="P920" s="207"/>
      <c r="Q920" s="572"/>
    </row>
    <row r="921" spans="1:17" ht="15.75" hidden="1" customHeight="1" outlineLevel="3">
      <c r="A921" s="274"/>
      <c r="B921" s="143"/>
      <c r="C921" s="213" t="s">
        <v>371</v>
      </c>
      <c r="D921" s="160"/>
      <c r="E921" s="153"/>
      <c r="F921" s="153"/>
      <c r="G921" s="153"/>
      <c r="H921" s="201"/>
      <c r="I921" s="212"/>
      <c r="J921" s="188"/>
      <c r="K921" s="221"/>
      <c r="L921" s="184"/>
      <c r="M921" s="217"/>
      <c r="N921" s="185"/>
      <c r="O921" s="226"/>
      <c r="P921" s="207"/>
      <c r="Q921" s="572"/>
    </row>
    <row r="922" spans="1:17" ht="15.75" hidden="1" customHeight="1" outlineLevel="3">
      <c r="A922" s="274"/>
      <c r="B922" s="143"/>
      <c r="C922" s="213" t="s">
        <v>372</v>
      </c>
      <c r="D922" s="160"/>
      <c r="E922" s="153"/>
      <c r="F922" s="153"/>
      <c r="G922" s="153"/>
      <c r="H922" s="206"/>
      <c r="I922" s="212"/>
      <c r="J922" s="184"/>
      <c r="K922" s="221"/>
      <c r="L922" s="184"/>
      <c r="M922" s="217"/>
      <c r="N922" s="185"/>
      <c r="O922" s="226"/>
      <c r="P922" s="207"/>
      <c r="Q922" s="572"/>
    </row>
    <row r="923" spans="1:17" ht="15.75" hidden="1" customHeight="1" outlineLevel="3">
      <c r="A923" s="274"/>
      <c r="B923" s="143"/>
      <c r="C923" s="213" t="s">
        <v>373</v>
      </c>
      <c r="D923" s="160"/>
      <c r="E923" s="153"/>
      <c r="F923" s="153"/>
      <c r="G923" s="153"/>
      <c r="H923" s="206"/>
      <c r="I923" s="212"/>
      <c r="J923" s="184"/>
      <c r="K923" s="221"/>
      <c r="L923" s="184"/>
      <c r="M923" s="217"/>
      <c r="N923" s="185"/>
      <c r="O923" s="226"/>
      <c r="P923" s="207"/>
      <c r="Q923" s="579"/>
    </row>
    <row r="924" spans="1:17" ht="15.75" hidden="1" customHeight="1" outlineLevel="3">
      <c r="A924" s="274"/>
      <c r="B924" s="143"/>
      <c r="C924" s="142" t="s">
        <v>384</v>
      </c>
      <c r="D924" s="160"/>
      <c r="E924" s="153"/>
      <c r="F924" s="153"/>
      <c r="G924" s="153"/>
      <c r="H924" s="206"/>
      <c r="I924" s="212"/>
      <c r="J924" s="184"/>
      <c r="K924" s="221"/>
      <c r="L924" s="184"/>
      <c r="M924" s="217"/>
      <c r="N924" s="185"/>
      <c r="O924" s="226"/>
      <c r="P924" s="207"/>
      <c r="Q924" s="572"/>
    </row>
    <row r="925" spans="1:17" ht="15.75" hidden="1" customHeight="1" outlineLevel="3">
      <c r="A925" s="274"/>
      <c r="B925" s="143"/>
      <c r="C925" s="162" t="s">
        <v>375</v>
      </c>
      <c r="D925" s="160"/>
      <c r="E925" s="153"/>
      <c r="F925" s="153"/>
      <c r="G925" s="153"/>
      <c r="H925" s="206"/>
      <c r="I925" s="212"/>
      <c r="J925" s="184"/>
      <c r="K925" s="221"/>
      <c r="L925" s="184"/>
      <c r="M925" s="217"/>
      <c r="N925" s="185"/>
      <c r="O925" s="226"/>
      <c r="P925" s="207"/>
      <c r="Q925" s="572"/>
    </row>
    <row r="926" spans="1:17" ht="15.75" hidden="1" customHeight="1" outlineLevel="3">
      <c r="A926" s="274"/>
      <c r="B926" s="143"/>
      <c r="C926" s="162" t="s">
        <v>376</v>
      </c>
      <c r="D926" s="160"/>
      <c r="E926" s="153"/>
      <c r="F926" s="153"/>
      <c r="G926" s="153"/>
      <c r="H926" s="206"/>
      <c r="I926" s="212"/>
      <c r="J926" s="184"/>
      <c r="K926" s="221"/>
      <c r="L926" s="184"/>
      <c r="M926" s="217"/>
      <c r="N926" s="185"/>
      <c r="O926" s="226"/>
      <c r="P926" s="207"/>
      <c r="Q926" s="572"/>
    </row>
    <row r="927" spans="1:17" ht="15.75" hidden="1" customHeight="1" outlineLevel="3">
      <c r="A927" s="274"/>
      <c r="B927" s="143"/>
      <c r="C927" s="162" t="s">
        <v>377</v>
      </c>
      <c r="D927" s="160"/>
      <c r="E927" s="153"/>
      <c r="F927" s="153"/>
      <c r="G927" s="153"/>
      <c r="H927" s="206"/>
      <c r="I927" s="212"/>
      <c r="J927" s="184"/>
      <c r="K927" s="221"/>
      <c r="L927" s="184"/>
      <c r="M927" s="217"/>
      <c r="N927" s="185"/>
      <c r="O927" s="226"/>
      <c r="P927" s="207"/>
      <c r="Q927" s="572"/>
    </row>
    <row r="928" spans="1:17" ht="15.75" hidden="1" customHeight="1" outlineLevel="3">
      <c r="A928" s="274"/>
      <c r="B928" s="143"/>
      <c r="C928" s="162" t="s">
        <v>1216</v>
      </c>
      <c r="D928" s="160"/>
      <c r="E928" s="202"/>
      <c r="F928" s="153"/>
      <c r="G928" s="153"/>
      <c r="H928" s="206"/>
      <c r="I928" s="212"/>
      <c r="J928" s="185"/>
      <c r="K928" s="221"/>
      <c r="L928" s="184">
        <v>200000</v>
      </c>
      <c r="M928" s="219">
        <f>L928*1.46</f>
        <v>292000</v>
      </c>
      <c r="N928" s="185"/>
      <c r="O928" s="226"/>
      <c r="P928" s="207"/>
      <c r="Q928" s="579" t="s">
        <v>1377</v>
      </c>
    </row>
    <row r="929" spans="1:17" s="211" customFormat="1" ht="15.75" hidden="1" customHeight="1" outlineLevel="2" collapsed="1">
      <c r="A929" s="551"/>
      <c r="B929" s="159"/>
      <c r="C929" s="142" t="s">
        <v>488</v>
      </c>
      <c r="D929" s="180"/>
      <c r="E929" s="148"/>
      <c r="F929" s="148"/>
      <c r="G929" s="148"/>
      <c r="H929" s="198"/>
      <c r="I929" s="146"/>
      <c r="J929" s="147"/>
      <c r="K929" s="217"/>
      <c r="L929" s="147">
        <f>SUM(L921:L928)</f>
        <v>200000</v>
      </c>
      <c r="M929" s="219">
        <f>SUM(M921:M928)</f>
        <v>292000</v>
      </c>
      <c r="N929" s="148"/>
      <c r="O929" s="226"/>
      <c r="P929" s="207"/>
      <c r="Q929" s="579" t="s">
        <v>1285</v>
      </c>
    </row>
    <row r="930" spans="1:17" s="211" customFormat="1" ht="15.75" hidden="1" customHeight="1" outlineLevel="3">
      <c r="A930" s="551"/>
      <c r="B930" s="142" t="s">
        <v>494</v>
      </c>
      <c r="C930" s="159"/>
      <c r="D930" s="180"/>
      <c r="E930" s="148"/>
      <c r="F930" s="148"/>
      <c r="G930" s="148"/>
      <c r="H930" s="198"/>
      <c r="I930" s="146"/>
      <c r="J930" s="147"/>
      <c r="K930" s="221"/>
      <c r="L930" s="147"/>
      <c r="M930" s="217"/>
      <c r="N930" s="148"/>
      <c r="O930" s="226"/>
      <c r="P930" s="150"/>
      <c r="Q930" s="572" t="s">
        <v>1293</v>
      </c>
    </row>
    <row r="931" spans="1:17" ht="15.75" hidden="1" customHeight="1" outlineLevel="3">
      <c r="A931" s="274"/>
      <c r="B931" s="143"/>
      <c r="C931" s="142" t="s">
        <v>380</v>
      </c>
      <c r="D931" s="160"/>
      <c r="E931" s="153"/>
      <c r="F931" s="153"/>
      <c r="G931" s="153"/>
      <c r="H931" s="206"/>
      <c r="I931" s="212"/>
      <c r="J931" s="184"/>
      <c r="K931" s="221"/>
      <c r="L931" s="184"/>
      <c r="M931" s="217"/>
      <c r="N931" s="185"/>
      <c r="O931" s="226"/>
      <c r="P931" s="207"/>
      <c r="Q931" s="572"/>
    </row>
    <row r="932" spans="1:17" ht="15.75" hidden="1" customHeight="1" outlineLevel="3">
      <c r="A932" s="274"/>
      <c r="B932" s="143"/>
      <c r="C932" s="213" t="s">
        <v>396</v>
      </c>
      <c r="D932" s="160"/>
      <c r="E932" s="153"/>
      <c r="F932" s="153"/>
      <c r="G932" s="153"/>
      <c r="H932" s="206"/>
      <c r="I932" s="212"/>
      <c r="J932" s="184"/>
      <c r="K932" s="221"/>
      <c r="L932" s="184"/>
      <c r="M932" s="217"/>
      <c r="N932" s="185"/>
      <c r="O932" s="226"/>
      <c r="P932" s="207"/>
      <c r="Q932" s="572"/>
    </row>
    <row r="933" spans="1:17" ht="15.75" hidden="1" customHeight="1" outlineLevel="3">
      <c r="A933" s="274"/>
      <c r="B933" s="143"/>
      <c r="C933" s="213" t="s">
        <v>357</v>
      </c>
      <c r="D933" s="160"/>
      <c r="E933" s="153"/>
      <c r="F933" s="153"/>
      <c r="G933" s="153"/>
      <c r="H933" s="206"/>
      <c r="I933" s="212"/>
      <c r="J933" s="184"/>
      <c r="K933" s="221"/>
      <c r="L933" s="184"/>
      <c r="M933" s="217"/>
      <c r="N933" s="185"/>
      <c r="O933" s="226"/>
      <c r="P933" s="207"/>
      <c r="Q933" s="572"/>
    </row>
    <row r="934" spans="1:17" ht="15.75" hidden="1" customHeight="1" outlineLevel="3">
      <c r="A934" s="274"/>
      <c r="B934" s="143"/>
      <c r="C934" s="213" t="s">
        <v>358</v>
      </c>
      <c r="D934" s="160"/>
      <c r="E934" s="153"/>
      <c r="F934" s="153"/>
      <c r="G934" s="153"/>
      <c r="H934" s="206"/>
      <c r="I934" s="203"/>
      <c r="J934" s="186"/>
      <c r="K934" s="221"/>
      <c r="L934" s="184"/>
      <c r="M934" s="217"/>
      <c r="N934" s="185"/>
      <c r="O934" s="226"/>
      <c r="P934" s="207"/>
      <c r="Q934" s="572"/>
    </row>
    <row r="935" spans="1:17" ht="15.75" hidden="1" customHeight="1" outlineLevel="3">
      <c r="A935" s="274"/>
      <c r="B935" s="143"/>
      <c r="C935" s="213" t="s">
        <v>359</v>
      </c>
      <c r="D935" s="160"/>
      <c r="E935" s="153"/>
      <c r="F935" s="153"/>
      <c r="G935" s="153"/>
      <c r="H935" s="206"/>
      <c r="I935" s="212"/>
      <c r="J935" s="184"/>
      <c r="K935" s="221"/>
      <c r="L935" s="184"/>
      <c r="M935" s="217"/>
      <c r="N935" s="185"/>
      <c r="O935" s="226"/>
      <c r="P935" s="207"/>
      <c r="Q935" s="572"/>
    </row>
    <row r="936" spans="1:17" ht="15.75" hidden="1" customHeight="1" outlineLevel="3">
      <c r="A936" s="274"/>
      <c r="B936" s="143"/>
      <c r="C936" s="213" t="s">
        <v>388</v>
      </c>
      <c r="D936" s="160"/>
      <c r="E936" s="153"/>
      <c r="F936" s="153"/>
      <c r="G936" s="153"/>
      <c r="H936" s="206"/>
      <c r="I936" s="212"/>
      <c r="J936" s="184"/>
      <c r="K936" s="221"/>
      <c r="L936" s="184"/>
      <c r="M936" s="217"/>
      <c r="N936" s="185"/>
      <c r="O936" s="226"/>
      <c r="P936" s="207"/>
      <c r="Q936" s="572"/>
    </row>
    <row r="937" spans="1:17" ht="15.75" hidden="1" customHeight="1" outlineLevel="3">
      <c r="A937" s="274"/>
      <c r="B937" s="143"/>
      <c r="C937" s="142" t="s">
        <v>381</v>
      </c>
      <c r="D937" s="160"/>
      <c r="E937" s="153"/>
      <c r="F937" s="153"/>
      <c r="G937" s="153"/>
      <c r="H937" s="206"/>
      <c r="I937" s="212"/>
      <c r="J937" s="184"/>
      <c r="K937" s="221"/>
      <c r="L937" s="184"/>
      <c r="M937" s="217"/>
      <c r="N937" s="185"/>
      <c r="O937" s="226"/>
      <c r="P937" s="207"/>
      <c r="Q937" s="572"/>
    </row>
    <row r="938" spans="1:17" ht="15.75" hidden="1" customHeight="1" outlineLevel="3">
      <c r="A938" s="274"/>
      <c r="B938" s="143"/>
      <c r="C938" s="213" t="s">
        <v>362</v>
      </c>
      <c r="D938" s="160"/>
      <c r="E938" s="153"/>
      <c r="F938" s="153"/>
      <c r="G938" s="153"/>
      <c r="H938" s="206"/>
      <c r="I938" s="212"/>
      <c r="J938" s="184"/>
      <c r="K938" s="221"/>
      <c r="L938" s="184"/>
      <c r="M938" s="217"/>
      <c r="N938" s="185"/>
      <c r="O938" s="226"/>
      <c r="P938" s="207"/>
      <c r="Q938" s="572"/>
    </row>
    <row r="939" spans="1:17" ht="15.75" hidden="1" customHeight="1" outlineLevel="3">
      <c r="A939" s="274"/>
      <c r="B939" s="143"/>
      <c r="C939" s="213" t="s">
        <v>363</v>
      </c>
      <c r="D939" s="160"/>
      <c r="E939" s="153"/>
      <c r="F939" s="153"/>
      <c r="G939" s="153"/>
      <c r="H939" s="206"/>
      <c r="I939" s="212"/>
      <c r="J939" s="184"/>
      <c r="K939" s="221"/>
      <c r="L939" s="184"/>
      <c r="M939" s="217"/>
      <c r="N939" s="185"/>
      <c r="O939" s="226"/>
      <c r="P939" s="207"/>
      <c r="Q939" s="572"/>
    </row>
    <row r="940" spans="1:17" ht="15.75" hidden="1" customHeight="1" outlineLevel="3">
      <c r="A940" s="274"/>
      <c r="B940" s="143"/>
      <c r="C940" s="213" t="s">
        <v>358</v>
      </c>
      <c r="D940" s="160"/>
      <c r="E940" s="153"/>
      <c r="F940" s="153"/>
      <c r="G940" s="153"/>
      <c r="H940" s="206"/>
      <c r="I940" s="212"/>
      <c r="J940" s="184"/>
      <c r="K940" s="221"/>
      <c r="L940" s="184"/>
      <c r="M940" s="217"/>
      <c r="N940" s="185"/>
      <c r="O940" s="226"/>
      <c r="P940" s="207"/>
      <c r="Q940" s="572"/>
    </row>
    <row r="941" spans="1:17" ht="15.75" hidden="1" customHeight="1" outlineLevel="3">
      <c r="A941" s="274"/>
      <c r="B941" s="143"/>
      <c r="C941" s="213" t="s">
        <v>364</v>
      </c>
      <c r="D941" s="160"/>
      <c r="E941" s="153"/>
      <c r="F941" s="153"/>
      <c r="G941" s="153"/>
      <c r="H941" s="206"/>
      <c r="I941" s="212"/>
      <c r="J941" s="184"/>
      <c r="K941" s="221"/>
      <c r="L941" s="184"/>
      <c r="M941" s="217"/>
      <c r="N941" s="185"/>
      <c r="O941" s="226"/>
      <c r="P941" s="207"/>
      <c r="Q941" s="572"/>
    </row>
    <row r="942" spans="1:17" ht="15.75" hidden="1" customHeight="1" outlineLevel="3">
      <c r="A942" s="274"/>
      <c r="B942" s="143"/>
      <c r="C942" s="142" t="s">
        <v>382</v>
      </c>
      <c r="D942" s="160"/>
      <c r="E942" s="153"/>
      <c r="F942" s="153"/>
      <c r="G942" s="153"/>
      <c r="H942" s="206"/>
      <c r="I942" s="212"/>
      <c r="J942" s="184"/>
      <c r="K942" s="221"/>
      <c r="L942" s="184"/>
      <c r="M942" s="217"/>
      <c r="N942" s="185"/>
      <c r="O942" s="226"/>
      <c r="P942" s="207"/>
      <c r="Q942" s="572"/>
    </row>
    <row r="943" spans="1:17" ht="15.75" hidden="1" customHeight="1" outlineLevel="3">
      <c r="A943" s="274"/>
      <c r="B943" s="143"/>
      <c r="C943" s="213" t="s">
        <v>366</v>
      </c>
      <c r="D943" s="160"/>
      <c r="E943" s="153"/>
      <c r="F943" s="153"/>
      <c r="G943" s="153"/>
      <c r="H943" s="206"/>
      <c r="I943" s="212"/>
      <c r="J943" s="184"/>
      <c r="K943" s="221"/>
      <c r="L943" s="184"/>
      <c r="M943" s="217"/>
      <c r="N943" s="185"/>
      <c r="O943" s="226"/>
      <c r="P943" s="207"/>
      <c r="Q943" s="572"/>
    </row>
    <row r="944" spans="1:17" ht="15.75" hidden="1" customHeight="1" outlineLevel="3">
      <c r="A944" s="274"/>
      <c r="B944" s="143"/>
      <c r="C944" s="213" t="s">
        <v>358</v>
      </c>
      <c r="D944" s="160"/>
      <c r="E944" s="153"/>
      <c r="F944" s="153"/>
      <c r="G944" s="153"/>
      <c r="H944" s="206"/>
      <c r="I944" s="212"/>
      <c r="J944" s="184"/>
      <c r="K944" s="221"/>
      <c r="L944" s="184"/>
      <c r="M944" s="217"/>
      <c r="N944" s="185"/>
      <c r="O944" s="226"/>
      <c r="P944" s="207"/>
      <c r="Q944" s="572"/>
    </row>
    <row r="945" spans="1:17" ht="15.75" hidden="1" customHeight="1" outlineLevel="3">
      <c r="A945" s="274"/>
      <c r="B945" s="143"/>
      <c r="C945" s="213" t="s">
        <v>367</v>
      </c>
      <c r="D945" s="160"/>
      <c r="E945" s="153"/>
      <c r="F945" s="153"/>
      <c r="G945" s="153"/>
      <c r="H945" s="206"/>
      <c r="I945" s="212"/>
      <c r="J945" s="184"/>
      <c r="K945" s="221"/>
      <c r="L945" s="184"/>
      <c r="M945" s="217"/>
      <c r="N945" s="185"/>
      <c r="O945" s="226"/>
      <c r="P945" s="207"/>
      <c r="Q945" s="572"/>
    </row>
    <row r="946" spans="1:17" ht="15.75" hidden="1" customHeight="1" outlineLevel="3">
      <c r="A946" s="274"/>
      <c r="B946" s="143"/>
      <c r="C946" s="213" t="s">
        <v>368</v>
      </c>
      <c r="D946" s="160"/>
      <c r="E946" s="153"/>
      <c r="F946" s="153"/>
      <c r="G946" s="153"/>
      <c r="H946" s="206"/>
      <c r="I946" s="212"/>
      <c r="J946" s="184"/>
      <c r="K946" s="221"/>
      <c r="L946" s="184"/>
      <c r="M946" s="217"/>
      <c r="N946" s="185"/>
      <c r="O946" s="226"/>
      <c r="P946" s="207"/>
      <c r="Q946" s="572"/>
    </row>
    <row r="947" spans="1:17" ht="15.75" hidden="1" customHeight="1" outlineLevel="3">
      <c r="A947" s="274"/>
      <c r="B947" s="143"/>
      <c r="C947" s="142" t="s">
        <v>383</v>
      </c>
      <c r="D947" s="160"/>
      <c r="E947" s="153"/>
      <c r="F947" s="153"/>
      <c r="G947" s="153"/>
      <c r="H947" s="206"/>
      <c r="I947" s="212"/>
      <c r="J947" s="184"/>
      <c r="K947" s="221"/>
      <c r="L947" s="184"/>
      <c r="M947" s="217"/>
      <c r="N947" s="185"/>
      <c r="O947" s="226"/>
      <c r="P947" s="207"/>
      <c r="Q947" s="572"/>
    </row>
    <row r="948" spans="1:17" ht="15.75" hidden="1" customHeight="1" outlineLevel="3">
      <c r="A948" s="274"/>
      <c r="B948" s="143"/>
      <c r="C948" s="213" t="s">
        <v>370</v>
      </c>
      <c r="D948" s="160"/>
      <c r="E948" s="153"/>
      <c r="F948" s="153"/>
      <c r="G948" s="153"/>
      <c r="H948" s="206"/>
      <c r="I948" s="212"/>
      <c r="J948" s="184"/>
      <c r="K948" s="221"/>
      <c r="L948" s="184"/>
      <c r="M948" s="217"/>
      <c r="N948" s="185"/>
      <c r="O948" s="226"/>
      <c r="P948" s="207"/>
      <c r="Q948" s="572"/>
    </row>
    <row r="949" spans="1:17" ht="15.75" hidden="1" customHeight="1" outlineLevel="3">
      <c r="A949" s="274"/>
      <c r="B949" s="143"/>
      <c r="C949" s="213" t="s">
        <v>371</v>
      </c>
      <c r="D949" s="160"/>
      <c r="E949" s="153"/>
      <c r="F949" s="153"/>
      <c r="G949" s="153"/>
      <c r="H949" s="206"/>
      <c r="I949" s="212"/>
      <c r="J949" s="184"/>
      <c r="K949" s="221"/>
      <c r="L949" s="184"/>
      <c r="M949" s="217"/>
      <c r="N949" s="185"/>
      <c r="O949" s="226"/>
      <c r="P949" s="207"/>
      <c r="Q949" s="572"/>
    </row>
    <row r="950" spans="1:17" ht="15.75" hidden="1" customHeight="1" outlineLevel="3">
      <c r="A950" s="274"/>
      <c r="B950" s="143"/>
      <c r="C950" s="213" t="s">
        <v>372</v>
      </c>
      <c r="D950" s="160"/>
      <c r="E950" s="153"/>
      <c r="F950" s="153"/>
      <c r="G950" s="153"/>
      <c r="H950" s="206"/>
      <c r="I950" s="212"/>
      <c r="J950" s="184"/>
      <c r="K950" s="221"/>
      <c r="L950" s="184"/>
      <c r="M950" s="217"/>
      <c r="N950" s="185"/>
      <c r="O950" s="226"/>
      <c r="P950" s="207"/>
      <c r="Q950" s="572"/>
    </row>
    <row r="951" spans="1:17" ht="15.75" hidden="1" customHeight="1" outlineLevel="3">
      <c r="A951" s="274"/>
      <c r="B951" s="143"/>
      <c r="C951" s="213" t="s">
        <v>373</v>
      </c>
      <c r="D951" s="160"/>
      <c r="E951" s="153"/>
      <c r="F951" s="153"/>
      <c r="G951" s="153"/>
      <c r="H951" s="206"/>
      <c r="I951" s="212"/>
      <c r="J951" s="184"/>
      <c r="K951" s="221"/>
      <c r="L951" s="184"/>
      <c r="M951" s="217"/>
      <c r="N951" s="185"/>
      <c r="O951" s="226"/>
      <c r="P951" s="207"/>
      <c r="Q951" s="579"/>
    </row>
    <row r="952" spans="1:17" ht="15.75" hidden="1" customHeight="1" outlineLevel="3">
      <c r="A952" s="274"/>
      <c r="B952" s="143"/>
      <c r="C952" s="142" t="s">
        <v>384</v>
      </c>
      <c r="D952" s="160"/>
      <c r="E952" s="153"/>
      <c r="F952" s="153"/>
      <c r="G952" s="153"/>
      <c r="H952" s="206"/>
      <c r="I952" s="212"/>
      <c r="J952" s="184"/>
      <c r="K952" s="221"/>
      <c r="L952" s="184"/>
      <c r="M952" s="217"/>
      <c r="N952" s="185"/>
      <c r="O952" s="226"/>
      <c r="P952" s="207"/>
      <c r="Q952" s="572"/>
    </row>
    <row r="953" spans="1:17" ht="15.75" hidden="1" customHeight="1" outlineLevel="3">
      <c r="A953" s="274"/>
      <c r="B953" s="143"/>
      <c r="C953" s="162" t="s">
        <v>375</v>
      </c>
      <c r="D953" s="160"/>
      <c r="E953" s="153"/>
      <c r="F953" s="153"/>
      <c r="G953" s="153"/>
      <c r="H953" s="206"/>
      <c r="I953" s="212"/>
      <c r="J953" s="184"/>
      <c r="K953" s="221"/>
      <c r="L953" s="184"/>
      <c r="M953" s="217"/>
      <c r="N953" s="185"/>
      <c r="O953" s="226"/>
      <c r="P953" s="207"/>
      <c r="Q953" s="572"/>
    </row>
    <row r="954" spans="1:17" ht="15.75" hidden="1" customHeight="1" outlineLevel="3">
      <c r="A954" s="274"/>
      <c r="B954" s="143"/>
      <c r="C954" s="162" t="s">
        <v>376</v>
      </c>
      <c r="D954" s="160"/>
      <c r="E954" s="153"/>
      <c r="F954" s="153"/>
      <c r="G954" s="153"/>
      <c r="H954" s="206"/>
      <c r="I954" s="212"/>
      <c r="J954" s="184"/>
      <c r="K954" s="221"/>
      <c r="L954" s="184"/>
      <c r="M954" s="217"/>
      <c r="N954" s="185"/>
      <c r="O954" s="226"/>
      <c r="P954" s="207"/>
      <c r="Q954" s="572"/>
    </row>
    <row r="955" spans="1:17" ht="15.75" hidden="1" customHeight="1" outlineLevel="3">
      <c r="A955" s="274"/>
      <c r="B955" s="143"/>
      <c r="C955" s="162" t="s">
        <v>377</v>
      </c>
      <c r="D955" s="160"/>
      <c r="E955" s="153"/>
      <c r="F955" s="153"/>
      <c r="G955" s="153"/>
      <c r="H955" s="206"/>
      <c r="I955" s="212"/>
      <c r="J955" s="184"/>
      <c r="K955" s="221"/>
      <c r="L955" s="184"/>
      <c r="M955" s="217"/>
      <c r="N955" s="185"/>
      <c r="O955" s="226"/>
      <c r="P955" s="207"/>
      <c r="Q955" s="572"/>
    </row>
    <row r="956" spans="1:17" ht="15.75" hidden="1" customHeight="1" outlineLevel="3">
      <c r="A956" s="274"/>
      <c r="B956" s="143"/>
      <c r="C956" s="162" t="s">
        <v>400</v>
      </c>
      <c r="D956" s="160"/>
      <c r="E956" s="153"/>
      <c r="F956" s="153"/>
      <c r="G956" s="153"/>
      <c r="H956" s="206"/>
      <c r="I956" s="212"/>
      <c r="J956" s="184"/>
      <c r="K956" s="221"/>
      <c r="L956" s="184"/>
      <c r="M956" s="217"/>
      <c r="N956" s="185"/>
      <c r="O956" s="226"/>
      <c r="P956" s="207"/>
      <c r="Q956" s="579"/>
    </row>
    <row r="957" spans="1:17" ht="15.75" hidden="1" customHeight="1" outlineLevel="2" collapsed="1">
      <c r="A957" s="274"/>
      <c r="B957" s="143"/>
      <c r="C957" s="142" t="s">
        <v>1203</v>
      </c>
      <c r="D957" s="160"/>
      <c r="E957" s="153"/>
      <c r="F957" s="153"/>
      <c r="G957" s="153"/>
      <c r="H957" s="206"/>
      <c r="I957" s="212"/>
      <c r="J957" s="184"/>
      <c r="K957" s="217"/>
      <c r="L957" s="184"/>
      <c r="M957" s="217"/>
      <c r="N957" s="185"/>
      <c r="O957" s="226"/>
      <c r="P957" s="207"/>
      <c r="Q957" s="579" t="s">
        <v>1293</v>
      </c>
    </row>
    <row r="958" spans="1:17" s="211" customFormat="1" ht="15.75" hidden="1" customHeight="1" outlineLevel="1" collapsed="1">
      <c r="A958" s="551"/>
      <c r="B958" s="159"/>
      <c r="C958" s="432" t="s">
        <v>495</v>
      </c>
      <c r="D958" s="220">
        <f>SUM(D702,D733,D901,D929,D730,D817,D845,D873,D789,D761,D957)</f>
        <v>188000</v>
      </c>
      <c r="E958" s="220">
        <f>SUM(E702,E733,E901,E929,E730,E817,E845,E873,E789,E761,E957)</f>
        <v>1138499.9999999998</v>
      </c>
      <c r="F958" s="220">
        <f t="shared" ref="F958:I958" si="60">SUM(F702,F733,F901,F929,F730,F817,F845,F873,F789,F761,F957)</f>
        <v>1258689.3749999998</v>
      </c>
      <c r="G958" s="220">
        <f t="shared" si="60"/>
        <v>471205.09687499993</v>
      </c>
      <c r="H958" s="220"/>
      <c r="I958" s="220">
        <f t="shared" si="60"/>
        <v>3056394.4718749993</v>
      </c>
      <c r="J958" s="147">
        <f>SUM(J702,J733,J901,J929,J730,J817,J845,J873,J789,J761,J957)</f>
        <v>8188000</v>
      </c>
      <c r="K958" s="221">
        <f>J958*1.23</f>
        <v>10071240</v>
      </c>
      <c r="L958" s="147">
        <f>SUM(L702,L733,L901,L929,L730,L817,L845,L873,L789,L761,L957)</f>
        <v>3017000</v>
      </c>
      <c r="M958" s="219">
        <f>L958*1.46</f>
        <v>4404820</v>
      </c>
      <c r="N958" s="147">
        <f>SUM(N702,N733,N901,N929,N730,N817,N845,N873,N789,N761,N957)</f>
        <v>511000</v>
      </c>
      <c r="O958" s="226">
        <f>N958*1.73</f>
        <v>884030</v>
      </c>
      <c r="P958" s="150">
        <f t="shared" ref="P958" si="61">SUM(I958,K958,M958,O958)</f>
        <v>18416484.471874997</v>
      </c>
      <c r="Q958" s="569"/>
    </row>
    <row r="959" spans="1:17" ht="15.75" hidden="1" customHeight="1" outlineLevel="2">
      <c r="A959" s="550"/>
      <c r="B959" s="142" t="s">
        <v>456</v>
      </c>
      <c r="C959" s="152"/>
      <c r="D959" s="160"/>
      <c r="E959" s="153"/>
      <c r="F959" s="153"/>
      <c r="G959" s="153"/>
      <c r="H959" s="206"/>
      <c r="I959" s="163"/>
      <c r="J959" s="147"/>
      <c r="K959" s="221"/>
      <c r="L959" s="147"/>
      <c r="M959" s="219"/>
      <c r="N959" s="149"/>
      <c r="O959" s="226"/>
      <c r="P959" s="218"/>
      <c r="Q959" s="569"/>
    </row>
    <row r="960" spans="1:17" s="211" customFormat="1" ht="15.75" hidden="1" customHeight="1" outlineLevel="3">
      <c r="A960" s="551"/>
      <c r="B960" s="142" t="s">
        <v>457</v>
      </c>
      <c r="C960" s="159"/>
      <c r="D960" s="180"/>
      <c r="E960" s="148"/>
      <c r="F960" s="148"/>
      <c r="G960" s="148"/>
      <c r="H960" s="198"/>
      <c r="I960" s="146"/>
      <c r="J960" s="147"/>
      <c r="K960" s="221"/>
      <c r="L960" s="147"/>
      <c r="M960" s="219"/>
      <c r="N960" s="149"/>
      <c r="O960" s="226"/>
      <c r="P960" s="218"/>
      <c r="Q960" s="569"/>
    </row>
    <row r="961" spans="1:17" ht="15.75" hidden="1" customHeight="1" outlineLevel="3">
      <c r="A961" s="274"/>
      <c r="B961" s="143"/>
      <c r="C961" s="142" t="s">
        <v>380</v>
      </c>
      <c r="D961" s="160"/>
      <c r="E961" s="153"/>
      <c r="F961" s="153"/>
      <c r="G961" s="153"/>
      <c r="H961" s="206"/>
      <c r="I961" s="212"/>
      <c r="J961" s="184"/>
      <c r="K961" s="221"/>
      <c r="L961" s="184"/>
      <c r="M961" s="219"/>
      <c r="N961" s="183"/>
      <c r="O961" s="226"/>
      <c r="P961" s="207"/>
      <c r="Q961" s="569"/>
    </row>
    <row r="962" spans="1:17" ht="15.75" hidden="1" customHeight="1" outlineLevel="3">
      <c r="A962" s="274"/>
      <c r="B962" s="143"/>
      <c r="C962" s="213" t="s">
        <v>396</v>
      </c>
      <c r="D962" s="160"/>
      <c r="E962" s="153"/>
      <c r="F962" s="153"/>
      <c r="G962" s="153"/>
      <c r="H962" s="206"/>
      <c r="I962" s="212"/>
      <c r="J962" s="184"/>
      <c r="K962" s="221"/>
      <c r="L962" s="184">
        <v>500000</v>
      </c>
      <c r="M962" s="219">
        <f>L962*1.46</f>
        <v>730000</v>
      </c>
      <c r="N962" s="183"/>
      <c r="O962" s="226"/>
      <c r="P962" s="150">
        <f t="shared" ref="P962:P988" si="62">SUM(I962,K962,M962,O962)</f>
        <v>730000</v>
      </c>
      <c r="Q962" s="569"/>
    </row>
    <row r="963" spans="1:17" ht="15.75" hidden="1" customHeight="1" outlineLevel="3">
      <c r="A963" s="274"/>
      <c r="B963" s="143"/>
      <c r="C963" s="213" t="s">
        <v>357</v>
      </c>
      <c r="D963" s="160"/>
      <c r="E963" s="202">
        <f>CIP!$AN$43</f>
        <v>310500</v>
      </c>
      <c r="F963" s="153"/>
      <c r="G963" s="153"/>
      <c r="H963" s="206"/>
      <c r="I963" s="212">
        <f>SUM(D963:H963)</f>
        <v>310500</v>
      </c>
      <c r="J963" s="184"/>
      <c r="K963" s="221"/>
      <c r="L963" s="184"/>
      <c r="M963" s="219"/>
      <c r="N963" s="183"/>
      <c r="O963" s="226"/>
      <c r="P963" s="150">
        <f t="shared" si="62"/>
        <v>310500</v>
      </c>
      <c r="Q963" s="568"/>
    </row>
    <row r="964" spans="1:17" ht="15.75" hidden="1" customHeight="1" outlineLevel="3">
      <c r="A964" s="274"/>
      <c r="B964" s="143"/>
      <c r="C964" s="213" t="s">
        <v>358</v>
      </c>
      <c r="D964" s="160"/>
      <c r="E964" s="153"/>
      <c r="F964" s="153"/>
      <c r="G964" s="153"/>
      <c r="H964" s="206"/>
      <c r="I964" s="203"/>
      <c r="J964" s="186"/>
      <c r="K964" s="221"/>
      <c r="L964" s="184"/>
      <c r="M964" s="219"/>
      <c r="N964" s="183"/>
      <c r="O964" s="226"/>
      <c r="P964" s="150"/>
      <c r="Q964" s="569"/>
    </row>
    <row r="965" spans="1:17" ht="15.75" hidden="1" customHeight="1" outlineLevel="3">
      <c r="A965" s="274"/>
      <c r="B965" s="143"/>
      <c r="C965" s="213" t="s">
        <v>359</v>
      </c>
      <c r="D965" s="160"/>
      <c r="E965" s="153"/>
      <c r="F965" s="153"/>
      <c r="G965" s="153"/>
      <c r="H965" s="206"/>
      <c r="I965" s="212"/>
      <c r="J965" s="184"/>
      <c r="K965" s="221"/>
      <c r="L965" s="184"/>
      <c r="M965" s="219"/>
      <c r="N965" s="183"/>
      <c r="O965" s="226"/>
      <c r="P965" s="150"/>
      <c r="Q965" s="569"/>
    </row>
    <row r="966" spans="1:17" ht="15.75" hidden="1" customHeight="1" outlineLevel="3">
      <c r="A966" s="274"/>
      <c r="B966" s="143"/>
      <c r="C966" s="213" t="s">
        <v>388</v>
      </c>
      <c r="D966" s="160"/>
      <c r="E966" s="153"/>
      <c r="F966" s="153"/>
      <c r="G966" s="153"/>
      <c r="H966" s="206"/>
      <c r="I966" s="212"/>
      <c r="J966" s="184"/>
      <c r="K966" s="221"/>
      <c r="L966" s="184"/>
      <c r="M966" s="219"/>
      <c r="N966" s="183"/>
      <c r="O966" s="226"/>
      <c r="P966" s="150"/>
      <c r="Q966" s="569" t="s">
        <v>1238</v>
      </c>
    </row>
    <row r="967" spans="1:17" ht="15.75" hidden="1" customHeight="1" outlineLevel="3">
      <c r="A967" s="274"/>
      <c r="B967" s="143"/>
      <c r="C967" s="142" t="s">
        <v>381</v>
      </c>
      <c r="D967" s="160"/>
      <c r="E967" s="153"/>
      <c r="F967" s="153"/>
      <c r="G967" s="153"/>
      <c r="H967" s="206"/>
      <c r="I967" s="212"/>
      <c r="J967" s="184"/>
      <c r="K967" s="221"/>
      <c r="L967" s="184"/>
      <c r="M967" s="219"/>
      <c r="N967" s="183"/>
      <c r="O967" s="226"/>
      <c r="P967" s="150"/>
      <c r="Q967" s="569"/>
    </row>
    <row r="968" spans="1:17" ht="15.75" hidden="1" customHeight="1" outlineLevel="3">
      <c r="A968" s="274"/>
      <c r="B968" s="143"/>
      <c r="C968" s="213" t="s">
        <v>362</v>
      </c>
      <c r="D968" s="160"/>
      <c r="E968" s="153"/>
      <c r="F968" s="153"/>
      <c r="G968" s="153"/>
      <c r="H968" s="206"/>
      <c r="I968" s="212"/>
      <c r="J968" s="184"/>
      <c r="K968" s="221"/>
      <c r="L968" s="184">
        <v>100000</v>
      </c>
      <c r="M968" s="219">
        <f>L968*1.46</f>
        <v>146000</v>
      </c>
      <c r="N968" s="183"/>
      <c r="O968" s="226"/>
      <c r="P968" s="150">
        <f t="shared" si="62"/>
        <v>146000</v>
      </c>
      <c r="Q968" s="569"/>
    </row>
    <row r="969" spans="1:17" ht="15.75" hidden="1" customHeight="1" outlineLevel="3">
      <c r="A969" s="274"/>
      <c r="B969" s="143"/>
      <c r="C969" s="213" t="s">
        <v>363</v>
      </c>
      <c r="D969" s="160"/>
      <c r="E969" s="153"/>
      <c r="F969" s="153"/>
      <c r="G969" s="153"/>
      <c r="H969" s="206"/>
      <c r="I969" s="212"/>
      <c r="J969" s="184"/>
      <c r="K969" s="221"/>
      <c r="L969" s="184"/>
      <c r="M969" s="219"/>
      <c r="N969" s="183"/>
      <c r="O969" s="226"/>
      <c r="P969" s="150"/>
      <c r="Q969" s="569"/>
    </row>
    <row r="970" spans="1:17" ht="15.75" hidden="1" customHeight="1" outlineLevel="3">
      <c r="A970" s="274"/>
      <c r="B970" s="143"/>
      <c r="C970" s="213" t="s">
        <v>358</v>
      </c>
      <c r="D970" s="160"/>
      <c r="E970" s="153"/>
      <c r="F970" s="153"/>
      <c r="G970" s="153"/>
      <c r="H970" s="206"/>
      <c r="I970" s="212"/>
      <c r="J970" s="184"/>
      <c r="K970" s="221"/>
      <c r="L970" s="184"/>
      <c r="M970" s="219"/>
      <c r="N970" s="183"/>
      <c r="O970" s="226"/>
      <c r="P970" s="150"/>
      <c r="Q970" s="569"/>
    </row>
    <row r="971" spans="1:17" ht="15.75" hidden="1" customHeight="1" outlineLevel="3">
      <c r="A971" s="274"/>
      <c r="B971" s="143"/>
      <c r="C971" s="213" t="s">
        <v>364</v>
      </c>
      <c r="D971" s="160"/>
      <c r="E971" s="153"/>
      <c r="F971" s="153"/>
      <c r="G971" s="153"/>
      <c r="H971" s="206"/>
      <c r="I971" s="212"/>
      <c r="J971" s="184"/>
      <c r="K971" s="221"/>
      <c r="L971" s="184"/>
      <c r="M971" s="219"/>
      <c r="N971" s="183"/>
      <c r="O971" s="226"/>
      <c r="P971" s="150"/>
      <c r="Q971" s="569"/>
    </row>
    <row r="972" spans="1:17" ht="15.75" hidden="1" customHeight="1" outlineLevel="3">
      <c r="A972" s="274"/>
      <c r="B972" s="143"/>
      <c r="C972" s="142" t="s">
        <v>382</v>
      </c>
      <c r="D972" s="160"/>
      <c r="E972" s="153"/>
      <c r="F972" s="153"/>
      <c r="G972" s="153"/>
      <c r="H972" s="206"/>
      <c r="I972" s="212"/>
      <c r="J972" s="184"/>
      <c r="K972" s="221"/>
      <c r="L972" s="184"/>
      <c r="M972" s="219"/>
      <c r="N972" s="183"/>
      <c r="O972" s="226"/>
      <c r="P972" s="150"/>
      <c r="Q972" s="569"/>
    </row>
    <row r="973" spans="1:17" ht="15.75" hidden="1" customHeight="1" outlineLevel="3">
      <c r="A973" s="274"/>
      <c r="B973" s="143"/>
      <c r="C973" s="213" t="s">
        <v>366</v>
      </c>
      <c r="D973" s="160"/>
      <c r="E973" s="153"/>
      <c r="F973" s="153"/>
      <c r="G973" s="153"/>
      <c r="H973" s="206"/>
      <c r="I973" s="212"/>
      <c r="J973" s="184"/>
      <c r="K973" s="221"/>
      <c r="L973" s="184"/>
      <c r="M973" s="219"/>
      <c r="N973" s="183"/>
      <c r="O973" s="226"/>
      <c r="P973" s="150"/>
      <c r="Q973" s="569"/>
    </row>
    <row r="974" spans="1:17" ht="15.75" hidden="1" customHeight="1" outlineLevel="3">
      <c r="A974" s="274"/>
      <c r="B974" s="143"/>
      <c r="C974" s="213" t="s">
        <v>358</v>
      </c>
      <c r="D974" s="160"/>
      <c r="E974" s="153"/>
      <c r="F974" s="153"/>
      <c r="G974" s="153"/>
      <c r="H974" s="206"/>
      <c r="I974" s="212"/>
      <c r="J974" s="184"/>
      <c r="K974" s="221"/>
      <c r="L974" s="184"/>
      <c r="M974" s="219"/>
      <c r="N974" s="183"/>
      <c r="O974" s="226"/>
      <c r="P974" s="150"/>
      <c r="Q974" s="569"/>
    </row>
    <row r="975" spans="1:17" ht="15.75" hidden="1" customHeight="1" outlineLevel="3">
      <c r="A975" s="274"/>
      <c r="B975" s="143"/>
      <c r="C975" s="213" t="s">
        <v>367</v>
      </c>
      <c r="D975" s="160"/>
      <c r="E975" s="153"/>
      <c r="F975" s="153"/>
      <c r="G975" s="153"/>
      <c r="H975" s="206"/>
      <c r="I975" s="212"/>
      <c r="J975" s="184"/>
      <c r="K975" s="221"/>
      <c r="L975" s="184"/>
      <c r="M975" s="219"/>
      <c r="N975" s="183"/>
      <c r="O975" s="226"/>
      <c r="P975" s="150"/>
      <c r="Q975" s="569"/>
    </row>
    <row r="976" spans="1:17" ht="15.75" hidden="1" customHeight="1" outlineLevel="3">
      <c r="A976" s="274"/>
      <c r="B976" s="143"/>
      <c r="C976" s="213" t="s">
        <v>368</v>
      </c>
      <c r="D976" s="160"/>
      <c r="E976" s="153"/>
      <c r="F976" s="153"/>
      <c r="G976" s="153"/>
      <c r="H976" s="206"/>
      <c r="I976" s="212"/>
      <c r="J976" s="184"/>
      <c r="K976" s="221"/>
      <c r="L976" s="184"/>
      <c r="M976" s="219"/>
      <c r="N976" s="183"/>
      <c r="O976" s="226"/>
      <c r="P976" s="150"/>
      <c r="Q976" s="569"/>
    </row>
    <row r="977" spans="1:17" ht="15.75" hidden="1" customHeight="1" outlineLevel="3">
      <c r="A977" s="274"/>
      <c r="B977" s="143"/>
      <c r="C977" s="142" t="s">
        <v>383</v>
      </c>
      <c r="D977" s="160"/>
      <c r="E977" s="153"/>
      <c r="F977" s="153"/>
      <c r="G977" s="153"/>
      <c r="H977" s="206"/>
      <c r="I977" s="212"/>
      <c r="J977" s="184"/>
      <c r="K977" s="221"/>
      <c r="L977" s="184"/>
      <c r="M977" s="219"/>
      <c r="N977" s="183"/>
      <c r="O977" s="226"/>
      <c r="P977" s="150"/>
      <c r="Q977" s="569"/>
    </row>
    <row r="978" spans="1:17" ht="15.75" hidden="1" customHeight="1" outlineLevel="3">
      <c r="A978" s="274"/>
      <c r="B978" s="143"/>
      <c r="C978" s="213" t="s">
        <v>370</v>
      </c>
      <c r="D978" s="160"/>
      <c r="E978" s="153"/>
      <c r="F978" s="153"/>
      <c r="G978" s="153"/>
      <c r="H978" s="206"/>
      <c r="I978" s="212"/>
      <c r="J978" s="184"/>
      <c r="K978" s="221"/>
      <c r="L978" s="184"/>
      <c r="M978" s="219"/>
      <c r="N978" s="183"/>
      <c r="O978" s="226"/>
      <c r="P978" s="150"/>
      <c r="Q978" s="569"/>
    </row>
    <row r="979" spans="1:17" ht="15.75" hidden="1" customHeight="1" outlineLevel="3">
      <c r="A979" s="274"/>
      <c r="B979" s="143"/>
      <c r="C979" s="213" t="s">
        <v>371</v>
      </c>
      <c r="D979" s="160"/>
      <c r="E979" s="153"/>
      <c r="F979" s="153"/>
      <c r="G979" s="153"/>
      <c r="H979" s="206"/>
      <c r="I979" s="212"/>
      <c r="J979" s="184"/>
      <c r="K979" s="221"/>
      <c r="L979" s="184"/>
      <c r="M979" s="219"/>
      <c r="N979" s="183">
        <v>400000</v>
      </c>
      <c r="O979" s="226">
        <f>N979*1.73</f>
        <v>692000</v>
      </c>
      <c r="P979" s="150">
        <f t="shared" si="62"/>
        <v>692000</v>
      </c>
      <c r="Q979" s="569"/>
    </row>
    <row r="980" spans="1:17" ht="15.75" hidden="1" customHeight="1" outlineLevel="3">
      <c r="A980" s="274"/>
      <c r="B980" s="143"/>
      <c r="C980" s="213" t="s">
        <v>372</v>
      </c>
      <c r="D980" s="160"/>
      <c r="E980" s="202">
        <f>CIP!$AN$64</f>
        <v>85905</v>
      </c>
      <c r="F980" s="202"/>
      <c r="G980" s="153"/>
      <c r="H980" s="206"/>
      <c r="I980" s="212">
        <f>SUM(D980:H980)</f>
        <v>85905</v>
      </c>
      <c r="J980" s="184"/>
      <c r="K980" s="221"/>
      <c r="L980" s="184">
        <v>245000</v>
      </c>
      <c r="M980" s="219">
        <f>L980*1.46</f>
        <v>357700</v>
      </c>
      <c r="N980" s="183"/>
      <c r="O980" s="226"/>
      <c r="P980" s="150">
        <f t="shared" si="62"/>
        <v>443605</v>
      </c>
      <c r="Q980" s="568"/>
    </row>
    <row r="981" spans="1:17" ht="15.75" hidden="1" customHeight="1" outlineLevel="3">
      <c r="A981" s="274"/>
      <c r="B981" s="143"/>
      <c r="C981" s="213" t="s">
        <v>373</v>
      </c>
      <c r="D981" s="160"/>
      <c r="E981" s="153"/>
      <c r="F981" s="153"/>
      <c r="G981" s="153"/>
      <c r="H981" s="206"/>
      <c r="I981" s="212"/>
      <c r="J981" s="184"/>
      <c r="K981" s="221"/>
      <c r="L981" s="184"/>
      <c r="M981" s="219"/>
      <c r="N981" s="183"/>
      <c r="O981" s="226"/>
      <c r="P981" s="150"/>
      <c r="Q981" s="568"/>
    </row>
    <row r="982" spans="1:17" ht="15.75" hidden="1" customHeight="1" outlineLevel="3">
      <c r="A982" s="274"/>
      <c r="B982" s="143"/>
      <c r="C982" s="142" t="s">
        <v>384</v>
      </c>
      <c r="D982" s="160"/>
      <c r="E982" s="153"/>
      <c r="F982" s="153"/>
      <c r="G982" s="153"/>
      <c r="H982" s="206"/>
      <c r="I982" s="212"/>
      <c r="J982" s="184"/>
      <c r="K982" s="221"/>
      <c r="L982" s="184"/>
      <c r="M982" s="219"/>
      <c r="N982" s="183"/>
      <c r="O982" s="226"/>
      <c r="P982" s="150"/>
      <c r="Q982" s="569"/>
    </row>
    <row r="983" spans="1:17" ht="15.75" hidden="1" customHeight="1" outlineLevel="3">
      <c r="A983" s="274"/>
      <c r="B983" s="143"/>
      <c r="C983" s="162" t="s">
        <v>375</v>
      </c>
      <c r="D983" s="160"/>
      <c r="E983" s="153"/>
      <c r="F983" s="153"/>
      <c r="G983" s="153"/>
      <c r="H983" s="206"/>
      <c r="I983" s="212"/>
      <c r="J983" s="184"/>
      <c r="K983" s="221"/>
      <c r="L983" s="184"/>
      <c r="M983" s="219"/>
      <c r="N983" s="183"/>
      <c r="O983" s="226"/>
      <c r="P983" s="150"/>
      <c r="Q983" s="569"/>
    </row>
    <row r="984" spans="1:17" ht="15.75" hidden="1" customHeight="1" outlineLevel="3">
      <c r="A984" s="274"/>
      <c r="B984" s="143"/>
      <c r="C984" s="162" t="s">
        <v>376</v>
      </c>
      <c r="D984" s="160"/>
      <c r="E984" s="153"/>
      <c r="F984" s="202"/>
      <c r="G984" s="202"/>
      <c r="H984" s="201"/>
      <c r="I984" s="212"/>
      <c r="J984" s="185">
        <v>100000</v>
      </c>
      <c r="K984" s="221">
        <f>J984*1.23</f>
        <v>123000</v>
      </c>
      <c r="L984" s="184"/>
      <c r="M984" s="219"/>
      <c r="N984" s="183"/>
      <c r="O984" s="226"/>
      <c r="P984" s="150">
        <f t="shared" si="62"/>
        <v>123000</v>
      </c>
      <c r="Q984" s="568"/>
    </row>
    <row r="985" spans="1:17" ht="15.75" hidden="1" customHeight="1" outlineLevel="3">
      <c r="A985" s="274"/>
      <c r="B985" s="143"/>
      <c r="C985" s="162" t="s">
        <v>377</v>
      </c>
      <c r="D985" s="160"/>
      <c r="E985" s="153"/>
      <c r="F985" s="153"/>
      <c r="G985" s="153"/>
      <c r="H985" s="206"/>
      <c r="I985" s="212"/>
      <c r="J985" s="184"/>
      <c r="K985" s="221"/>
      <c r="L985" s="184"/>
      <c r="M985" s="219"/>
      <c r="N985" s="183"/>
      <c r="O985" s="226"/>
      <c r="P985" s="150"/>
      <c r="Q985" s="569"/>
    </row>
    <row r="986" spans="1:17" ht="15.75" hidden="1" customHeight="1" outlineLevel="3">
      <c r="A986" s="274"/>
      <c r="B986" s="143"/>
      <c r="C986" s="162" t="s">
        <v>400</v>
      </c>
      <c r="D986" s="160"/>
      <c r="E986" s="153"/>
      <c r="F986" s="153"/>
      <c r="G986" s="153"/>
      <c r="H986" s="206"/>
      <c r="I986" s="161"/>
      <c r="J986" s="184">
        <v>220000</v>
      </c>
      <c r="K986" s="221">
        <f>J986*1.23</f>
        <v>270600</v>
      </c>
      <c r="L986" s="184"/>
      <c r="M986" s="219"/>
      <c r="N986" s="183"/>
      <c r="O986" s="226"/>
      <c r="P986" s="150">
        <f t="shared" si="62"/>
        <v>270600</v>
      </c>
      <c r="Q986" s="568"/>
    </row>
    <row r="987" spans="1:17" ht="15.75" hidden="1" customHeight="1" outlineLevel="3">
      <c r="A987" s="274"/>
      <c r="B987" s="143"/>
      <c r="C987" s="162" t="s">
        <v>458</v>
      </c>
      <c r="D987" s="160"/>
      <c r="E987" s="153"/>
      <c r="F987" s="153"/>
      <c r="G987" s="153"/>
      <c r="H987" s="206"/>
      <c r="I987" s="163"/>
      <c r="J987" s="184"/>
      <c r="K987" s="221"/>
      <c r="L987" s="184">
        <v>750000</v>
      </c>
      <c r="M987" s="219">
        <f>L987*1.46</f>
        <v>1095000</v>
      </c>
      <c r="N987" s="183">
        <v>15750000</v>
      </c>
      <c r="O987" s="226">
        <f>N987*1.73</f>
        <v>27247500</v>
      </c>
      <c r="P987" s="150">
        <f t="shared" si="62"/>
        <v>28342500</v>
      </c>
      <c r="Q987" s="568"/>
    </row>
    <row r="988" spans="1:17" s="130" customFormat="1" ht="15.75" hidden="1" customHeight="1" outlineLevel="2" collapsed="1">
      <c r="A988" s="275"/>
      <c r="B988" s="250"/>
      <c r="C988" s="142" t="s">
        <v>457</v>
      </c>
      <c r="D988" s="220"/>
      <c r="E988" s="217">
        <f>SUM(E961:E986)</f>
        <v>396405</v>
      </c>
      <c r="F988" s="217"/>
      <c r="G988" s="217"/>
      <c r="H988" s="226"/>
      <c r="I988" s="207">
        <f>SUM(I962:I986)</f>
        <v>396405</v>
      </c>
      <c r="J988" s="184">
        <f>SUM(J962:J987)</f>
        <v>320000</v>
      </c>
      <c r="K988" s="217">
        <f>J988*1.23</f>
        <v>393600</v>
      </c>
      <c r="L988" s="184">
        <f>SUM(L961:L987)</f>
        <v>1595000</v>
      </c>
      <c r="M988" s="217">
        <f>L988*1.46</f>
        <v>2328700</v>
      </c>
      <c r="N988" s="183">
        <f>SUM(N961:N987)</f>
        <v>16150000</v>
      </c>
      <c r="O988" s="226">
        <f>N988*1.73</f>
        <v>27939500</v>
      </c>
      <c r="P988" s="150">
        <f t="shared" si="62"/>
        <v>31058205</v>
      </c>
      <c r="Q988" s="581" t="s">
        <v>1294</v>
      </c>
    </row>
    <row r="989" spans="1:17" s="211" customFormat="1" ht="15.75" hidden="1" customHeight="1" outlineLevel="3">
      <c r="A989" s="551"/>
      <c r="B989" s="142" t="s">
        <v>459</v>
      </c>
      <c r="C989" s="159"/>
      <c r="D989" s="180"/>
      <c r="E989" s="148"/>
      <c r="F989" s="148"/>
      <c r="G989" s="148"/>
      <c r="H989" s="198"/>
      <c r="I989" s="146"/>
      <c r="J989" s="147"/>
      <c r="K989" s="221"/>
      <c r="L989" s="147"/>
      <c r="M989" s="219"/>
      <c r="N989" s="149"/>
      <c r="O989" s="226"/>
      <c r="P989" s="218"/>
      <c r="Q989" s="569"/>
    </row>
    <row r="990" spans="1:17" ht="15.75" hidden="1" customHeight="1" outlineLevel="3">
      <c r="A990" s="274"/>
      <c r="B990" s="143"/>
      <c r="C990" s="142" t="s">
        <v>380</v>
      </c>
      <c r="D990" s="160"/>
      <c r="E990" s="153"/>
      <c r="F990" s="153"/>
      <c r="G990" s="153"/>
      <c r="H990" s="206"/>
      <c r="I990" s="212"/>
      <c r="J990" s="184"/>
      <c r="K990" s="221"/>
      <c r="L990" s="184"/>
      <c r="M990" s="219"/>
      <c r="N990" s="183"/>
      <c r="O990" s="226"/>
      <c r="P990" s="207"/>
      <c r="Q990" s="569"/>
    </row>
    <row r="991" spans="1:17" ht="15.75" hidden="1" customHeight="1" outlineLevel="3">
      <c r="A991" s="274"/>
      <c r="B991" s="143"/>
      <c r="C991" s="213" t="s">
        <v>396</v>
      </c>
      <c r="D991" s="160"/>
      <c r="E991" s="153"/>
      <c r="F991" s="153"/>
      <c r="G991" s="153"/>
      <c r="H991" s="206"/>
      <c r="I991" s="212"/>
      <c r="J991" s="184"/>
      <c r="K991" s="221"/>
      <c r="L991" s="184"/>
      <c r="M991" s="219"/>
      <c r="N991" s="183"/>
      <c r="O991" s="226"/>
      <c r="P991" s="207"/>
      <c r="Q991" s="569"/>
    </row>
    <row r="992" spans="1:17" ht="15.75" hidden="1" customHeight="1" outlineLevel="3">
      <c r="A992" s="274"/>
      <c r="B992" s="143"/>
      <c r="C992" s="213" t="s">
        <v>357</v>
      </c>
      <c r="D992" s="160"/>
      <c r="E992" s="153"/>
      <c r="F992" s="153"/>
      <c r="G992" s="153"/>
      <c r="H992" s="206"/>
      <c r="I992" s="212"/>
      <c r="J992" s="184"/>
      <c r="K992" s="221"/>
      <c r="L992" s="184"/>
      <c r="M992" s="219"/>
      <c r="N992" s="183"/>
      <c r="O992" s="226"/>
      <c r="P992" s="207"/>
      <c r="Q992" s="569"/>
    </row>
    <row r="993" spans="1:17" ht="15.75" hidden="1" customHeight="1" outlineLevel="3">
      <c r="A993" s="274"/>
      <c r="B993" s="143"/>
      <c r="C993" s="213" t="s">
        <v>358</v>
      </c>
      <c r="D993" s="160"/>
      <c r="E993" s="153"/>
      <c r="F993" s="153"/>
      <c r="G993" s="153"/>
      <c r="H993" s="206"/>
      <c r="I993" s="203"/>
      <c r="J993" s="186"/>
      <c r="K993" s="221"/>
      <c r="L993" s="184"/>
      <c r="M993" s="219"/>
      <c r="N993" s="183">
        <v>164000</v>
      </c>
      <c r="O993" s="226">
        <f>N993*1.73</f>
        <v>283720</v>
      </c>
      <c r="P993" s="150">
        <f t="shared" ref="P993" si="63">SUM(I993,K993,M993,O993)</f>
        <v>283720</v>
      </c>
      <c r="Q993" s="569"/>
    </row>
    <row r="994" spans="1:17" ht="15.75" hidden="1" customHeight="1" outlineLevel="3">
      <c r="A994" s="274"/>
      <c r="B994" s="143"/>
      <c r="C994" s="213" t="s">
        <v>359</v>
      </c>
      <c r="D994" s="160"/>
      <c r="E994" s="153"/>
      <c r="F994" s="153"/>
      <c r="G994" s="153"/>
      <c r="H994" s="206"/>
      <c r="I994" s="212"/>
      <c r="J994" s="184"/>
      <c r="K994" s="221"/>
      <c r="L994" s="184"/>
      <c r="M994" s="219"/>
      <c r="N994" s="183"/>
      <c r="O994" s="226"/>
      <c r="P994" s="207"/>
      <c r="Q994" s="569"/>
    </row>
    <row r="995" spans="1:17" ht="15.75" hidden="1" customHeight="1" outlineLevel="3">
      <c r="A995" s="274"/>
      <c r="B995" s="143"/>
      <c r="C995" s="213" t="s">
        <v>388</v>
      </c>
      <c r="D995" s="160"/>
      <c r="E995" s="153"/>
      <c r="F995" s="153"/>
      <c r="G995" s="153"/>
      <c r="H995" s="206"/>
      <c r="I995" s="212"/>
      <c r="J995" s="184"/>
      <c r="K995" s="221"/>
      <c r="L995" s="184"/>
      <c r="M995" s="219"/>
      <c r="N995" s="183"/>
      <c r="O995" s="226"/>
      <c r="P995" s="207"/>
      <c r="Q995" s="569"/>
    </row>
    <row r="996" spans="1:17" ht="15.75" hidden="1" customHeight="1" outlineLevel="3">
      <c r="A996" s="274"/>
      <c r="B996" s="143"/>
      <c r="C996" s="142" t="s">
        <v>381</v>
      </c>
      <c r="D996" s="160"/>
      <c r="E996" s="153"/>
      <c r="F996" s="153"/>
      <c r="G996" s="153"/>
      <c r="H996" s="206"/>
      <c r="I996" s="212"/>
      <c r="J996" s="184"/>
      <c r="K996" s="221"/>
      <c r="L996" s="184"/>
      <c r="M996" s="219"/>
      <c r="N996" s="183"/>
      <c r="O996" s="226"/>
      <c r="P996" s="207"/>
      <c r="Q996" s="569"/>
    </row>
    <row r="997" spans="1:17" ht="15.75" hidden="1" customHeight="1" outlineLevel="3">
      <c r="A997" s="274"/>
      <c r="B997" s="143"/>
      <c r="C997" s="213" t="s">
        <v>362</v>
      </c>
      <c r="D997" s="160"/>
      <c r="E997" s="153"/>
      <c r="F997" s="153"/>
      <c r="G997" s="153"/>
      <c r="H997" s="206"/>
      <c r="I997" s="212"/>
      <c r="J997" s="184"/>
      <c r="K997" s="221"/>
      <c r="L997" s="184"/>
      <c r="M997" s="219"/>
      <c r="N997" s="183"/>
      <c r="O997" s="226"/>
      <c r="P997" s="207"/>
      <c r="Q997" s="569"/>
    </row>
    <row r="998" spans="1:17" ht="15.75" hidden="1" customHeight="1" outlineLevel="3">
      <c r="A998" s="274"/>
      <c r="B998" s="143"/>
      <c r="C998" s="213" t="s">
        <v>363</v>
      </c>
      <c r="D998" s="160"/>
      <c r="E998" s="153"/>
      <c r="F998" s="153"/>
      <c r="G998" s="153"/>
      <c r="H998" s="206"/>
      <c r="I998" s="212"/>
      <c r="J998" s="184"/>
      <c r="K998" s="221"/>
      <c r="L998" s="184"/>
      <c r="M998" s="219"/>
      <c r="N998" s="183">
        <v>207000</v>
      </c>
      <c r="O998" s="226">
        <f>N998*1.73</f>
        <v>358110</v>
      </c>
      <c r="P998" s="150">
        <f t="shared" ref="P998:P1017" si="64">SUM(I998,K998,M998,O998)</f>
        <v>358110</v>
      </c>
      <c r="Q998" s="569"/>
    </row>
    <row r="999" spans="1:17" ht="15.75" hidden="1" customHeight="1" outlineLevel="3">
      <c r="A999" s="274"/>
      <c r="B999" s="143"/>
      <c r="C999" s="213" t="s">
        <v>358</v>
      </c>
      <c r="D999" s="160"/>
      <c r="E999" s="153"/>
      <c r="F999" s="153"/>
      <c r="G999" s="153"/>
      <c r="H999" s="206"/>
      <c r="I999" s="212"/>
      <c r="J999" s="184"/>
      <c r="K999" s="221"/>
      <c r="L999" s="184"/>
      <c r="M999" s="219"/>
      <c r="N999" s="183"/>
      <c r="O999" s="226"/>
      <c r="P999" s="150"/>
      <c r="Q999" s="569"/>
    </row>
    <row r="1000" spans="1:17" ht="15.75" hidden="1" customHeight="1" outlineLevel="3">
      <c r="A1000" s="274"/>
      <c r="B1000" s="143"/>
      <c r="C1000" s="213" t="s">
        <v>364</v>
      </c>
      <c r="D1000" s="160"/>
      <c r="E1000" s="153"/>
      <c r="F1000" s="153"/>
      <c r="G1000" s="153"/>
      <c r="H1000" s="206"/>
      <c r="I1000" s="212"/>
      <c r="J1000" s="184"/>
      <c r="K1000" s="221"/>
      <c r="L1000" s="184"/>
      <c r="M1000" s="219"/>
      <c r="N1000" s="183"/>
      <c r="O1000" s="226"/>
      <c r="P1000" s="150"/>
      <c r="Q1000" s="569"/>
    </row>
    <row r="1001" spans="1:17" ht="15.75" hidden="1" customHeight="1" outlineLevel="3">
      <c r="A1001" s="274"/>
      <c r="B1001" s="143"/>
      <c r="C1001" s="142" t="s">
        <v>382</v>
      </c>
      <c r="D1001" s="160"/>
      <c r="E1001" s="153"/>
      <c r="F1001" s="153"/>
      <c r="G1001" s="153"/>
      <c r="H1001" s="206"/>
      <c r="I1001" s="212"/>
      <c r="J1001" s="184"/>
      <c r="K1001" s="221"/>
      <c r="L1001" s="184"/>
      <c r="M1001" s="219"/>
      <c r="N1001" s="183"/>
      <c r="O1001" s="226"/>
      <c r="P1001" s="150"/>
      <c r="Q1001" s="569"/>
    </row>
    <row r="1002" spans="1:17" ht="15.75" hidden="1" customHeight="1" outlineLevel="3">
      <c r="A1002" s="274"/>
      <c r="B1002" s="143"/>
      <c r="C1002" s="213" t="s">
        <v>366</v>
      </c>
      <c r="D1002" s="160"/>
      <c r="E1002" s="153"/>
      <c r="F1002" s="153"/>
      <c r="G1002" s="153"/>
      <c r="H1002" s="206"/>
      <c r="I1002" s="212"/>
      <c r="J1002" s="184"/>
      <c r="K1002" s="221"/>
      <c r="L1002" s="184"/>
      <c r="M1002" s="219"/>
      <c r="N1002" s="183"/>
      <c r="O1002" s="226"/>
      <c r="P1002" s="150"/>
      <c r="Q1002" s="569"/>
    </row>
    <row r="1003" spans="1:17" ht="15.75" hidden="1" customHeight="1" outlineLevel="3">
      <c r="A1003" s="274"/>
      <c r="B1003" s="143"/>
      <c r="C1003" s="213" t="s">
        <v>358</v>
      </c>
      <c r="D1003" s="160"/>
      <c r="E1003" s="153"/>
      <c r="F1003" s="153"/>
      <c r="G1003" s="153"/>
      <c r="H1003" s="206"/>
      <c r="I1003" s="212"/>
      <c r="J1003" s="184"/>
      <c r="K1003" s="221"/>
      <c r="L1003" s="184"/>
      <c r="M1003" s="219"/>
      <c r="N1003" s="183"/>
      <c r="O1003" s="226"/>
      <c r="P1003" s="150"/>
      <c r="Q1003" s="569"/>
    </row>
    <row r="1004" spans="1:17" ht="15.75" hidden="1" customHeight="1" outlineLevel="3">
      <c r="A1004" s="274"/>
      <c r="B1004" s="143"/>
      <c r="C1004" s="213" t="s">
        <v>367</v>
      </c>
      <c r="D1004" s="160"/>
      <c r="E1004" s="153"/>
      <c r="F1004" s="153"/>
      <c r="G1004" s="153"/>
      <c r="H1004" s="206"/>
      <c r="I1004" s="212"/>
      <c r="J1004" s="184"/>
      <c r="K1004" s="221"/>
      <c r="L1004" s="184"/>
      <c r="M1004" s="219"/>
      <c r="N1004" s="183"/>
      <c r="O1004" s="226"/>
      <c r="P1004" s="150"/>
      <c r="Q1004" s="569"/>
    </row>
    <row r="1005" spans="1:17" ht="15.75" hidden="1" customHeight="1" outlineLevel="3">
      <c r="A1005" s="274"/>
      <c r="B1005" s="143"/>
      <c r="C1005" s="213" t="s">
        <v>368</v>
      </c>
      <c r="D1005" s="160"/>
      <c r="E1005" s="153"/>
      <c r="F1005" s="153"/>
      <c r="G1005" s="153"/>
      <c r="H1005" s="206"/>
      <c r="I1005" s="212"/>
      <c r="J1005" s="184"/>
      <c r="K1005" s="221"/>
      <c r="L1005" s="184"/>
      <c r="M1005" s="219"/>
      <c r="N1005" s="183">
        <v>110000</v>
      </c>
      <c r="O1005" s="226">
        <f>N1005*1.73</f>
        <v>190300</v>
      </c>
      <c r="P1005" s="150">
        <f t="shared" si="64"/>
        <v>190300</v>
      </c>
      <c r="Q1005" s="569"/>
    </row>
    <row r="1006" spans="1:17" ht="15.75" hidden="1" customHeight="1" outlineLevel="3">
      <c r="A1006" s="274"/>
      <c r="B1006" s="143"/>
      <c r="C1006" s="142" t="s">
        <v>383</v>
      </c>
      <c r="D1006" s="160"/>
      <c r="E1006" s="153"/>
      <c r="F1006" s="153"/>
      <c r="G1006" s="153"/>
      <c r="H1006" s="206"/>
      <c r="I1006" s="212"/>
      <c r="J1006" s="184"/>
      <c r="K1006" s="221"/>
      <c r="L1006" s="184"/>
      <c r="M1006" s="219"/>
      <c r="N1006" s="183"/>
      <c r="O1006" s="226"/>
      <c r="P1006" s="150"/>
      <c r="Q1006" s="569"/>
    </row>
    <row r="1007" spans="1:17" ht="15.75" hidden="1" customHeight="1" outlineLevel="3">
      <c r="A1007" s="274"/>
      <c r="B1007" s="143"/>
      <c r="C1007" s="213" t="s">
        <v>370</v>
      </c>
      <c r="D1007" s="160"/>
      <c r="E1007" s="153"/>
      <c r="F1007" s="153"/>
      <c r="G1007" s="153"/>
      <c r="H1007" s="206"/>
      <c r="I1007" s="212"/>
      <c r="J1007" s="184"/>
      <c r="K1007" s="221"/>
      <c r="L1007" s="184"/>
      <c r="M1007" s="219"/>
      <c r="N1007" s="183"/>
      <c r="O1007" s="226"/>
      <c r="P1007" s="150"/>
      <c r="Q1007" s="569"/>
    </row>
    <row r="1008" spans="1:17" ht="15.75" hidden="1" customHeight="1" outlineLevel="3">
      <c r="A1008" s="274"/>
      <c r="B1008" s="143"/>
      <c r="C1008" s="213" t="s">
        <v>371</v>
      </c>
      <c r="D1008" s="160"/>
      <c r="E1008" s="153"/>
      <c r="F1008" s="153"/>
      <c r="G1008" s="153"/>
      <c r="H1008" s="206"/>
      <c r="I1008" s="212"/>
      <c r="J1008" s="184"/>
      <c r="K1008" s="221"/>
      <c r="L1008" s="184"/>
      <c r="M1008" s="219"/>
      <c r="N1008" s="183">
        <v>140000</v>
      </c>
      <c r="O1008" s="226">
        <f t="shared" ref="O1008:O1009" si="65">N1008*1.73</f>
        <v>242200</v>
      </c>
      <c r="P1008" s="150">
        <f t="shared" si="64"/>
        <v>242200</v>
      </c>
      <c r="Q1008" s="569"/>
    </row>
    <row r="1009" spans="1:17" ht="15.75" hidden="1" customHeight="1" outlineLevel="3">
      <c r="A1009" s="274"/>
      <c r="B1009" s="143"/>
      <c r="C1009" s="213" t="s">
        <v>372</v>
      </c>
      <c r="D1009" s="160"/>
      <c r="E1009" s="153"/>
      <c r="F1009" s="153"/>
      <c r="G1009" s="153"/>
      <c r="H1009" s="206"/>
      <c r="I1009" s="212"/>
      <c r="J1009" s="184"/>
      <c r="K1009" s="221"/>
      <c r="L1009" s="184"/>
      <c r="M1009" s="219"/>
      <c r="N1009" s="183">
        <v>193000</v>
      </c>
      <c r="O1009" s="226">
        <f t="shared" si="65"/>
        <v>333890</v>
      </c>
      <c r="P1009" s="150">
        <f t="shared" si="64"/>
        <v>333890</v>
      </c>
      <c r="Q1009" s="569"/>
    </row>
    <row r="1010" spans="1:17" ht="15.75" hidden="1" customHeight="1" outlineLevel="3">
      <c r="A1010" s="274"/>
      <c r="B1010" s="143"/>
      <c r="C1010" s="213" t="s">
        <v>373</v>
      </c>
      <c r="D1010" s="160"/>
      <c r="E1010" s="153"/>
      <c r="F1010" s="153"/>
      <c r="G1010" s="153"/>
      <c r="H1010" s="206"/>
      <c r="I1010" s="212"/>
      <c r="J1010" s="184"/>
      <c r="K1010" s="221"/>
      <c r="L1010" s="184"/>
      <c r="M1010" s="219"/>
      <c r="N1010" s="183"/>
      <c r="O1010" s="226"/>
      <c r="P1010" s="150"/>
      <c r="Q1010" s="568"/>
    </row>
    <row r="1011" spans="1:17" ht="15.75" hidden="1" customHeight="1" outlineLevel="3">
      <c r="A1011" s="274"/>
      <c r="B1011" s="143"/>
      <c r="C1011" s="142" t="s">
        <v>384</v>
      </c>
      <c r="D1011" s="160"/>
      <c r="E1011" s="153"/>
      <c r="F1011" s="153"/>
      <c r="G1011" s="153"/>
      <c r="H1011" s="206"/>
      <c r="I1011" s="212"/>
      <c r="J1011" s="184"/>
      <c r="K1011" s="221"/>
      <c r="L1011" s="184"/>
      <c r="M1011" s="219"/>
      <c r="N1011" s="183"/>
      <c r="O1011" s="226"/>
      <c r="P1011" s="150"/>
      <c r="Q1011" s="569"/>
    </row>
    <row r="1012" spans="1:17" ht="15.75" hidden="1" customHeight="1" outlineLevel="3">
      <c r="A1012" s="274"/>
      <c r="B1012" s="143"/>
      <c r="C1012" s="162" t="s">
        <v>375</v>
      </c>
      <c r="D1012" s="160"/>
      <c r="E1012" s="153"/>
      <c r="F1012" s="153"/>
      <c r="G1012" s="153"/>
      <c r="H1012" s="206"/>
      <c r="I1012" s="212"/>
      <c r="J1012" s="184"/>
      <c r="K1012" s="221"/>
      <c r="L1012" s="184"/>
      <c r="M1012" s="219"/>
      <c r="N1012" s="183"/>
      <c r="O1012" s="226"/>
      <c r="P1012" s="150"/>
      <c r="Q1012" s="569"/>
    </row>
    <row r="1013" spans="1:17" ht="15.75" hidden="1" customHeight="1" outlineLevel="3">
      <c r="A1013" s="274"/>
      <c r="B1013" s="143"/>
      <c r="C1013" s="162" t="s">
        <v>376</v>
      </c>
      <c r="D1013" s="160"/>
      <c r="E1013" s="153"/>
      <c r="F1013" s="153"/>
      <c r="G1013" s="153"/>
      <c r="H1013" s="206"/>
      <c r="I1013" s="212"/>
      <c r="J1013" s="184"/>
      <c r="K1013" s="221"/>
      <c r="L1013" s="184"/>
      <c r="M1013" s="219"/>
      <c r="N1013" s="183"/>
      <c r="O1013" s="226"/>
      <c r="P1013" s="150"/>
      <c r="Q1013" s="569"/>
    </row>
    <row r="1014" spans="1:17" ht="15.75" hidden="1" customHeight="1" outlineLevel="3">
      <c r="A1014" s="274"/>
      <c r="B1014" s="143"/>
      <c r="C1014" s="162" t="s">
        <v>377</v>
      </c>
      <c r="D1014" s="160"/>
      <c r="E1014" s="153"/>
      <c r="F1014" s="153"/>
      <c r="G1014" s="153"/>
      <c r="H1014" s="206"/>
      <c r="I1014" s="212"/>
      <c r="J1014" s="184"/>
      <c r="K1014" s="221"/>
      <c r="L1014" s="184"/>
      <c r="M1014" s="219"/>
      <c r="N1014" s="183"/>
      <c r="O1014" s="226"/>
      <c r="P1014" s="150"/>
      <c r="Q1014" s="569"/>
    </row>
    <row r="1015" spans="1:17" ht="15.75" hidden="1" customHeight="1" outlineLevel="3">
      <c r="A1015" s="274"/>
      <c r="B1015" s="143"/>
      <c r="C1015" s="162" t="s">
        <v>400</v>
      </c>
      <c r="D1015" s="160"/>
      <c r="E1015" s="153"/>
      <c r="F1015" s="153"/>
      <c r="G1015" s="153"/>
      <c r="H1015" s="206"/>
      <c r="I1015" s="212"/>
      <c r="J1015" s="184"/>
      <c r="K1015" s="221"/>
      <c r="L1015" s="184"/>
      <c r="M1015" s="219"/>
      <c r="N1015" s="183">
        <v>80000</v>
      </c>
      <c r="O1015" s="226">
        <f t="shared" ref="O1015:O1017" si="66">N1015*1.73</f>
        <v>138400</v>
      </c>
      <c r="P1015" s="150">
        <f t="shared" si="64"/>
        <v>138400</v>
      </c>
      <c r="Q1015" s="568"/>
    </row>
    <row r="1016" spans="1:17" ht="15.75" hidden="1" customHeight="1" outlineLevel="3">
      <c r="A1016" s="274"/>
      <c r="B1016" s="143"/>
      <c r="C1016" s="162" t="s">
        <v>460</v>
      </c>
      <c r="D1016" s="160"/>
      <c r="E1016" s="153"/>
      <c r="F1016" s="153"/>
      <c r="G1016" s="153"/>
      <c r="H1016" s="206"/>
      <c r="I1016" s="212"/>
      <c r="J1016" s="184"/>
      <c r="K1016" s="221"/>
      <c r="L1016" s="184"/>
      <c r="M1016" s="219"/>
      <c r="N1016" s="183">
        <v>75000</v>
      </c>
      <c r="O1016" s="226">
        <f t="shared" si="66"/>
        <v>129750</v>
      </c>
      <c r="P1016" s="150">
        <f t="shared" si="64"/>
        <v>129750</v>
      </c>
      <c r="Q1016" s="569" t="s">
        <v>1295</v>
      </c>
    </row>
    <row r="1017" spans="1:17" s="130" customFormat="1" ht="15.75" hidden="1" customHeight="1" outlineLevel="2" collapsed="1">
      <c r="A1017" s="275"/>
      <c r="B1017" s="250"/>
      <c r="C1017" s="142" t="s">
        <v>459</v>
      </c>
      <c r="D1017" s="220"/>
      <c r="E1017" s="217"/>
      <c r="F1017" s="217"/>
      <c r="G1017" s="217"/>
      <c r="H1017" s="417"/>
      <c r="I1017" s="207"/>
      <c r="J1017" s="184"/>
      <c r="K1017" s="222"/>
      <c r="L1017" s="184"/>
      <c r="M1017" s="222"/>
      <c r="N1017" s="183">
        <f>SUM(N992:N1016)</f>
        <v>969000</v>
      </c>
      <c r="O1017" s="226">
        <f t="shared" si="66"/>
        <v>1676370</v>
      </c>
      <c r="P1017" s="150">
        <f t="shared" si="64"/>
        <v>1676370</v>
      </c>
      <c r="Q1017" s="569" t="s">
        <v>1296</v>
      </c>
    </row>
    <row r="1018" spans="1:17" s="211" customFormat="1" ht="15.75" hidden="1" customHeight="1" outlineLevel="3">
      <c r="A1018" s="551"/>
      <c r="B1018" s="142" t="s">
        <v>461</v>
      </c>
      <c r="C1018" s="159"/>
      <c r="D1018" s="180"/>
      <c r="E1018" s="148"/>
      <c r="F1018" s="148"/>
      <c r="G1018" s="148"/>
      <c r="H1018" s="205"/>
      <c r="I1018" s="156"/>
      <c r="J1018" s="184"/>
      <c r="K1018" s="419"/>
      <c r="L1018" s="184"/>
      <c r="M1018" s="223"/>
      <c r="N1018" s="183"/>
      <c r="O1018" s="226"/>
      <c r="P1018" s="218"/>
      <c r="Q1018" s="569"/>
    </row>
    <row r="1019" spans="1:17" ht="15.75" hidden="1" customHeight="1" outlineLevel="3">
      <c r="A1019" s="274"/>
      <c r="B1019" s="143"/>
      <c r="C1019" s="142" t="s">
        <v>380</v>
      </c>
      <c r="D1019" s="160"/>
      <c r="E1019" s="153"/>
      <c r="F1019" s="153"/>
      <c r="G1019" s="153"/>
      <c r="H1019" s="201"/>
      <c r="I1019" s="212"/>
      <c r="J1019" s="184"/>
      <c r="K1019" s="419"/>
      <c r="L1019" s="184"/>
      <c r="M1019" s="223"/>
      <c r="N1019" s="183"/>
      <c r="O1019" s="226"/>
      <c r="P1019" s="207"/>
      <c r="Q1019" s="569"/>
    </row>
    <row r="1020" spans="1:17" ht="15.75" hidden="1" customHeight="1" outlineLevel="3">
      <c r="A1020" s="274"/>
      <c r="B1020" s="143"/>
      <c r="C1020" s="213" t="s">
        <v>396</v>
      </c>
      <c r="D1020" s="160"/>
      <c r="E1020" s="153"/>
      <c r="F1020" s="153"/>
      <c r="G1020" s="153"/>
      <c r="H1020" s="201"/>
      <c r="I1020" s="212"/>
      <c r="J1020" s="215">
        <v>170000</v>
      </c>
      <c r="K1020" s="419">
        <f>J1020*1.23</f>
        <v>209100</v>
      </c>
      <c r="L1020" s="422"/>
      <c r="M1020" s="223"/>
      <c r="N1020" s="183"/>
      <c r="O1020" s="226"/>
      <c r="P1020" s="150">
        <f t="shared" ref="P1020" si="67">SUM(I1020,K1020,M1020,O1020)</f>
        <v>209100</v>
      </c>
      <c r="Q1020" s="569"/>
    </row>
    <row r="1021" spans="1:17" ht="15.75" hidden="1" customHeight="1" outlineLevel="3">
      <c r="A1021" s="274"/>
      <c r="B1021" s="143"/>
      <c r="C1021" s="213" t="s">
        <v>357</v>
      </c>
      <c r="D1021" s="160"/>
      <c r="E1021" s="153"/>
      <c r="F1021" s="153"/>
      <c r="G1021" s="153"/>
      <c r="H1021" s="201"/>
      <c r="I1021" s="212"/>
      <c r="J1021" s="422"/>
      <c r="K1021" s="419"/>
      <c r="L1021" s="184"/>
      <c r="M1021" s="223"/>
      <c r="N1021" s="183"/>
      <c r="O1021" s="226"/>
      <c r="P1021" s="207"/>
      <c r="Q1021" s="569"/>
    </row>
    <row r="1022" spans="1:17" ht="15.75" hidden="1" customHeight="1" outlineLevel="3">
      <c r="A1022" s="274"/>
      <c r="B1022" s="143"/>
      <c r="C1022" s="213" t="s">
        <v>358</v>
      </c>
      <c r="D1022" s="160"/>
      <c r="E1022" s="153"/>
      <c r="F1022" s="153"/>
      <c r="G1022" s="153"/>
      <c r="H1022" s="201"/>
      <c r="I1022" s="203"/>
      <c r="J1022" s="422"/>
      <c r="K1022" s="419"/>
      <c r="L1022" s="186"/>
      <c r="M1022" s="223"/>
      <c r="N1022" s="183"/>
      <c r="O1022" s="226"/>
      <c r="P1022" s="207"/>
      <c r="Q1022" s="569"/>
    </row>
    <row r="1023" spans="1:17" ht="15.75" hidden="1" customHeight="1" outlineLevel="3">
      <c r="A1023" s="274"/>
      <c r="B1023" s="143"/>
      <c r="C1023" s="213" t="s">
        <v>359</v>
      </c>
      <c r="D1023" s="160"/>
      <c r="E1023" s="153"/>
      <c r="F1023" s="153"/>
      <c r="G1023" s="153"/>
      <c r="H1023" s="201"/>
      <c r="I1023" s="212"/>
      <c r="J1023" s="422"/>
      <c r="K1023" s="419"/>
      <c r="L1023" s="184"/>
      <c r="M1023" s="223"/>
      <c r="N1023" s="183"/>
      <c r="O1023" s="226"/>
      <c r="P1023" s="207"/>
      <c r="Q1023" s="569"/>
    </row>
    <row r="1024" spans="1:17" ht="15.75" hidden="1" customHeight="1" outlineLevel="3">
      <c r="A1024" s="274"/>
      <c r="B1024" s="143"/>
      <c r="C1024" s="213" t="s">
        <v>388</v>
      </c>
      <c r="D1024" s="160"/>
      <c r="E1024" s="153"/>
      <c r="F1024" s="153"/>
      <c r="G1024" s="153"/>
      <c r="H1024" s="201"/>
      <c r="I1024" s="212"/>
      <c r="J1024" s="422"/>
      <c r="K1024" s="419"/>
      <c r="L1024" s="184"/>
      <c r="M1024" s="223"/>
      <c r="N1024" s="183"/>
      <c r="O1024" s="226"/>
      <c r="P1024" s="207"/>
      <c r="Q1024" s="569"/>
    </row>
    <row r="1025" spans="1:17" ht="15.75" hidden="1" customHeight="1" outlineLevel="3">
      <c r="A1025" s="274"/>
      <c r="B1025" s="143"/>
      <c r="C1025" s="142" t="s">
        <v>381</v>
      </c>
      <c r="D1025" s="160"/>
      <c r="E1025" s="153"/>
      <c r="F1025" s="153"/>
      <c r="G1025" s="153"/>
      <c r="H1025" s="201"/>
      <c r="I1025" s="212"/>
      <c r="J1025" s="422"/>
      <c r="K1025" s="419"/>
      <c r="L1025" s="184"/>
      <c r="M1025" s="223"/>
      <c r="N1025" s="183"/>
      <c r="O1025" s="226"/>
      <c r="P1025" s="207"/>
      <c r="Q1025" s="569"/>
    </row>
    <row r="1026" spans="1:17" ht="15.75" hidden="1" customHeight="1" outlineLevel="3">
      <c r="A1026" s="274"/>
      <c r="B1026" s="143"/>
      <c r="C1026" s="213" t="s">
        <v>362</v>
      </c>
      <c r="D1026" s="160"/>
      <c r="E1026" s="153"/>
      <c r="F1026" s="153"/>
      <c r="G1026" s="153"/>
      <c r="H1026" s="201">
        <f>CIP!$AQ$139</f>
        <v>160653.22008749997</v>
      </c>
      <c r="I1026" s="212">
        <f>SUM(D1026:H1026)</f>
        <v>160653.22008749997</v>
      </c>
      <c r="J1026" s="422"/>
      <c r="K1026" s="419"/>
      <c r="L1026" s="184"/>
      <c r="M1026" s="223"/>
      <c r="N1026" s="183"/>
      <c r="O1026" s="226"/>
      <c r="P1026" s="150">
        <f t="shared" ref="P1026" si="68">SUM(I1026,K1026,M1026,O1026)</f>
        <v>160653.22008749997</v>
      </c>
      <c r="Q1026" s="569"/>
    </row>
    <row r="1027" spans="1:17" ht="15.75" hidden="1" customHeight="1" outlineLevel="3">
      <c r="A1027" s="274"/>
      <c r="B1027" s="143"/>
      <c r="C1027" s="213" t="s">
        <v>363</v>
      </c>
      <c r="D1027" s="160"/>
      <c r="E1027" s="153"/>
      <c r="F1027" s="153"/>
      <c r="G1027" s="153"/>
      <c r="H1027" s="201"/>
      <c r="I1027" s="212"/>
      <c r="J1027" s="422"/>
      <c r="K1027" s="419"/>
      <c r="L1027" s="422"/>
      <c r="M1027" s="223"/>
      <c r="N1027" s="183"/>
      <c r="O1027" s="226"/>
      <c r="P1027" s="207"/>
      <c r="Q1027" s="569"/>
    </row>
    <row r="1028" spans="1:17" ht="15.75" hidden="1" customHeight="1" outlineLevel="3">
      <c r="A1028" s="274"/>
      <c r="B1028" s="143"/>
      <c r="C1028" s="213" t="s">
        <v>358</v>
      </c>
      <c r="D1028" s="160"/>
      <c r="E1028" s="153"/>
      <c r="F1028" s="153"/>
      <c r="G1028" s="153"/>
      <c r="H1028" s="201"/>
      <c r="I1028" s="212"/>
      <c r="J1028" s="422"/>
      <c r="K1028" s="419"/>
      <c r="L1028" s="184"/>
      <c r="M1028" s="223"/>
      <c r="N1028" s="183"/>
      <c r="O1028" s="226"/>
      <c r="P1028" s="207"/>
      <c r="Q1028" s="569"/>
    </row>
    <row r="1029" spans="1:17" ht="15.75" hidden="1" customHeight="1" outlineLevel="3">
      <c r="A1029" s="274"/>
      <c r="B1029" s="143"/>
      <c r="C1029" s="213" t="s">
        <v>364</v>
      </c>
      <c r="D1029" s="160"/>
      <c r="E1029" s="153"/>
      <c r="F1029" s="153"/>
      <c r="G1029" s="153"/>
      <c r="H1029" s="201"/>
      <c r="I1029" s="212"/>
      <c r="J1029" s="422"/>
      <c r="K1029" s="419"/>
      <c r="L1029" s="184"/>
      <c r="M1029" s="223"/>
      <c r="N1029" s="183"/>
      <c r="O1029" s="226"/>
      <c r="P1029" s="207"/>
      <c r="Q1029" s="569"/>
    </row>
    <row r="1030" spans="1:17" ht="15.75" hidden="1" customHeight="1" outlineLevel="3">
      <c r="A1030" s="274"/>
      <c r="B1030" s="143"/>
      <c r="C1030" s="142" t="s">
        <v>382</v>
      </c>
      <c r="D1030" s="160"/>
      <c r="E1030" s="153"/>
      <c r="F1030" s="153"/>
      <c r="G1030" s="153"/>
      <c r="H1030" s="201"/>
      <c r="I1030" s="212"/>
      <c r="J1030" s="422"/>
      <c r="K1030" s="419"/>
      <c r="L1030" s="184"/>
      <c r="M1030" s="223"/>
      <c r="N1030" s="183"/>
      <c r="O1030" s="226"/>
      <c r="P1030" s="207"/>
      <c r="Q1030" s="569"/>
    </row>
    <row r="1031" spans="1:17" ht="15.75" hidden="1" customHeight="1" outlineLevel="3">
      <c r="A1031" s="274"/>
      <c r="B1031" s="143"/>
      <c r="C1031" s="213" t="s">
        <v>366</v>
      </c>
      <c r="D1031" s="160"/>
      <c r="E1031" s="153"/>
      <c r="F1031" s="153"/>
      <c r="G1031" s="153"/>
      <c r="H1031" s="201"/>
      <c r="I1031" s="212"/>
      <c r="J1031" s="422"/>
      <c r="K1031" s="419"/>
      <c r="L1031" s="184"/>
      <c r="M1031" s="223"/>
      <c r="N1031" s="183"/>
      <c r="O1031" s="226"/>
      <c r="P1031" s="207"/>
      <c r="Q1031" s="569"/>
    </row>
    <row r="1032" spans="1:17" ht="15.75" hidden="1" customHeight="1" outlineLevel="3">
      <c r="A1032" s="274"/>
      <c r="B1032" s="143"/>
      <c r="C1032" s="213" t="s">
        <v>358</v>
      </c>
      <c r="D1032" s="160"/>
      <c r="E1032" s="153"/>
      <c r="F1032" s="153"/>
      <c r="G1032" s="153"/>
      <c r="H1032" s="201"/>
      <c r="I1032" s="212"/>
      <c r="J1032" s="422"/>
      <c r="K1032" s="419"/>
      <c r="L1032" s="184"/>
      <c r="M1032" s="223"/>
      <c r="N1032" s="183"/>
      <c r="O1032" s="226"/>
      <c r="P1032" s="207"/>
      <c r="Q1032" s="569"/>
    </row>
    <row r="1033" spans="1:17" ht="15.75" hidden="1" customHeight="1" outlineLevel="3">
      <c r="A1033" s="274"/>
      <c r="B1033" s="143"/>
      <c r="C1033" s="213" t="s">
        <v>367</v>
      </c>
      <c r="D1033" s="160"/>
      <c r="E1033" s="153"/>
      <c r="F1033" s="153"/>
      <c r="G1033" s="153"/>
      <c r="H1033" s="201"/>
      <c r="I1033" s="212"/>
      <c r="J1033" s="422"/>
      <c r="K1033" s="419"/>
      <c r="L1033" s="184"/>
      <c r="M1033" s="223"/>
      <c r="N1033" s="183"/>
      <c r="O1033" s="226"/>
      <c r="P1033" s="207"/>
      <c r="Q1033" s="569"/>
    </row>
    <row r="1034" spans="1:17" ht="15.75" hidden="1" customHeight="1" outlineLevel="3">
      <c r="A1034" s="274"/>
      <c r="B1034" s="143"/>
      <c r="C1034" s="213" t="s">
        <v>368</v>
      </c>
      <c r="D1034" s="160"/>
      <c r="E1034" s="153"/>
      <c r="F1034" s="153"/>
      <c r="G1034" s="153"/>
      <c r="H1034" s="201"/>
      <c r="I1034" s="212"/>
      <c r="J1034" s="422"/>
      <c r="K1034" s="419"/>
      <c r="L1034" s="184">
        <v>80000</v>
      </c>
      <c r="M1034" s="223">
        <f>L1034*1.46</f>
        <v>116800</v>
      </c>
      <c r="N1034" s="183"/>
      <c r="O1034" s="226"/>
      <c r="P1034" s="150">
        <f t="shared" ref="P1034:P1048" si="69">SUM(I1034,K1034,M1034,O1034)</f>
        <v>116800</v>
      </c>
      <c r="Q1034" s="569"/>
    </row>
    <row r="1035" spans="1:17" ht="15.75" hidden="1" customHeight="1" outlineLevel="3">
      <c r="A1035" s="274"/>
      <c r="B1035" s="143"/>
      <c r="C1035" s="142" t="s">
        <v>383</v>
      </c>
      <c r="D1035" s="160"/>
      <c r="E1035" s="153"/>
      <c r="F1035" s="153"/>
      <c r="G1035" s="153"/>
      <c r="H1035" s="201"/>
      <c r="I1035" s="212"/>
      <c r="J1035" s="422"/>
      <c r="K1035" s="419"/>
      <c r="L1035" s="184"/>
      <c r="M1035" s="223"/>
      <c r="N1035" s="183"/>
      <c r="O1035" s="226"/>
      <c r="P1035" s="150"/>
      <c r="Q1035" s="569"/>
    </row>
    <row r="1036" spans="1:17" ht="15.75" hidden="1" customHeight="1" outlineLevel="3">
      <c r="A1036" s="274"/>
      <c r="B1036" s="143"/>
      <c r="C1036" s="213" t="s">
        <v>370</v>
      </c>
      <c r="D1036" s="160"/>
      <c r="E1036" s="153"/>
      <c r="F1036" s="153"/>
      <c r="G1036" s="153"/>
      <c r="H1036" s="201"/>
      <c r="I1036" s="212"/>
      <c r="J1036" s="422"/>
      <c r="K1036" s="419"/>
      <c r="L1036" s="184">
        <v>96000</v>
      </c>
      <c r="M1036" s="223">
        <f>L1036*1.46</f>
        <v>140160</v>
      </c>
      <c r="N1036" s="183"/>
      <c r="O1036" s="226"/>
      <c r="P1036" s="150">
        <f t="shared" si="69"/>
        <v>140160</v>
      </c>
      <c r="Q1036" s="569"/>
    </row>
    <row r="1037" spans="1:17" ht="15.75" hidden="1" customHeight="1" outlineLevel="3">
      <c r="A1037" s="274"/>
      <c r="B1037" s="143"/>
      <c r="C1037" s="213" t="s">
        <v>371</v>
      </c>
      <c r="D1037" s="160"/>
      <c r="E1037" s="202"/>
      <c r="F1037" s="153"/>
      <c r="G1037" s="153"/>
      <c r="H1037" s="201"/>
      <c r="I1037" s="212"/>
      <c r="J1037" s="422"/>
      <c r="K1037" s="419"/>
      <c r="L1037" s="422"/>
      <c r="M1037" s="223"/>
      <c r="N1037" s="183"/>
      <c r="O1037" s="226"/>
      <c r="P1037" s="150"/>
      <c r="Q1037" s="569"/>
    </row>
    <row r="1038" spans="1:17" ht="15.75" hidden="1" customHeight="1" outlineLevel="3">
      <c r="A1038" s="274"/>
      <c r="B1038" s="143"/>
      <c r="C1038" s="213" t="s">
        <v>372</v>
      </c>
      <c r="D1038" s="160"/>
      <c r="E1038" s="153"/>
      <c r="F1038" s="153"/>
      <c r="G1038" s="153"/>
      <c r="H1038" s="201"/>
      <c r="I1038" s="212"/>
      <c r="J1038" s="422"/>
      <c r="K1038" s="419"/>
      <c r="L1038" s="184">
        <v>250500</v>
      </c>
      <c r="M1038" s="223">
        <f>L1038*1.46</f>
        <v>365730</v>
      </c>
      <c r="N1038" s="183"/>
      <c r="O1038" s="226"/>
      <c r="P1038" s="150">
        <f t="shared" si="69"/>
        <v>365730</v>
      </c>
      <c r="Q1038" s="569"/>
    </row>
    <row r="1039" spans="1:17" ht="15.75" hidden="1" customHeight="1" outlineLevel="3">
      <c r="A1039" s="274"/>
      <c r="B1039" s="143"/>
      <c r="C1039" s="213" t="s">
        <v>373</v>
      </c>
      <c r="D1039" s="160"/>
      <c r="E1039" s="153"/>
      <c r="F1039" s="153"/>
      <c r="G1039" s="153"/>
      <c r="H1039" s="201"/>
      <c r="I1039" s="212"/>
      <c r="J1039" s="422"/>
      <c r="K1039" s="419"/>
      <c r="L1039" s="184"/>
      <c r="M1039" s="223"/>
      <c r="N1039" s="183"/>
      <c r="O1039" s="226"/>
      <c r="P1039" s="150"/>
      <c r="Q1039" s="568"/>
    </row>
    <row r="1040" spans="1:17" ht="15.75" hidden="1" customHeight="1" outlineLevel="3">
      <c r="A1040" s="274"/>
      <c r="B1040" s="143"/>
      <c r="C1040" s="142" t="s">
        <v>384</v>
      </c>
      <c r="D1040" s="160"/>
      <c r="E1040" s="153"/>
      <c r="F1040" s="153"/>
      <c r="G1040" s="153"/>
      <c r="H1040" s="201"/>
      <c r="I1040" s="212"/>
      <c r="J1040" s="422"/>
      <c r="K1040" s="419"/>
      <c r="L1040" s="184"/>
      <c r="M1040" s="223"/>
      <c r="N1040" s="183"/>
      <c r="O1040" s="226"/>
      <c r="P1040" s="150"/>
      <c r="Q1040" s="569"/>
    </row>
    <row r="1041" spans="1:17" ht="15.75" hidden="1" customHeight="1" outlineLevel="3">
      <c r="A1041" s="274"/>
      <c r="B1041" s="143"/>
      <c r="C1041" s="162" t="s">
        <v>375</v>
      </c>
      <c r="D1041" s="160"/>
      <c r="E1041" s="153"/>
      <c r="F1041" s="153"/>
      <c r="G1041" s="153"/>
      <c r="H1041" s="201"/>
      <c r="I1041" s="212"/>
      <c r="J1041" s="422"/>
      <c r="K1041" s="419"/>
      <c r="L1041" s="184"/>
      <c r="M1041" s="223"/>
      <c r="N1041" s="183"/>
      <c r="O1041" s="226"/>
      <c r="P1041" s="150"/>
      <c r="Q1041" s="569"/>
    </row>
    <row r="1042" spans="1:17" ht="15.75" hidden="1" customHeight="1" outlineLevel="3">
      <c r="A1042" s="274"/>
      <c r="B1042" s="143"/>
      <c r="C1042" s="162" t="s">
        <v>376</v>
      </c>
      <c r="D1042" s="160"/>
      <c r="E1042" s="153"/>
      <c r="F1042" s="153"/>
      <c r="G1042" s="153"/>
      <c r="H1042" s="201"/>
      <c r="I1042" s="212"/>
      <c r="J1042" s="422"/>
      <c r="K1042" s="419"/>
      <c r="L1042" s="184"/>
      <c r="M1042" s="223"/>
      <c r="N1042" s="183"/>
      <c r="O1042" s="226"/>
      <c r="P1042" s="150"/>
      <c r="Q1042" s="569"/>
    </row>
    <row r="1043" spans="1:17" ht="15.75" hidden="1" customHeight="1" outlineLevel="3">
      <c r="A1043" s="274"/>
      <c r="B1043" s="143"/>
      <c r="C1043" s="162" t="s">
        <v>377</v>
      </c>
      <c r="D1043" s="160"/>
      <c r="E1043" s="153"/>
      <c r="F1043" s="153"/>
      <c r="G1043" s="153"/>
      <c r="H1043" s="201"/>
      <c r="I1043" s="212"/>
      <c r="J1043" s="422"/>
      <c r="K1043" s="419"/>
      <c r="L1043" s="184"/>
      <c r="M1043" s="223"/>
      <c r="N1043" s="183"/>
      <c r="O1043" s="226"/>
      <c r="P1043" s="150"/>
      <c r="Q1043" s="569"/>
    </row>
    <row r="1044" spans="1:17" ht="15.75" hidden="1" customHeight="1" outlineLevel="3">
      <c r="A1044" s="274"/>
      <c r="B1044" s="143"/>
      <c r="C1044" s="162" t="s">
        <v>400</v>
      </c>
      <c r="D1044" s="160"/>
      <c r="E1044" s="153"/>
      <c r="F1044" s="153"/>
      <c r="G1044" s="153"/>
      <c r="H1044" s="201"/>
      <c r="I1044" s="212"/>
      <c r="J1044" s="422"/>
      <c r="K1044" s="419"/>
      <c r="L1044" s="184">
        <v>83500</v>
      </c>
      <c r="M1044" s="223">
        <f t="shared" ref="M1044:M1045" si="70">L1044*1.46</f>
        <v>121910</v>
      </c>
      <c r="N1044" s="183"/>
      <c r="O1044" s="226"/>
      <c r="P1044" s="150">
        <f t="shared" si="69"/>
        <v>121910</v>
      </c>
      <c r="Q1044" s="568"/>
    </row>
    <row r="1045" spans="1:17" s="130" customFormat="1" ht="15.75" hidden="1" customHeight="1" outlineLevel="2" collapsed="1">
      <c r="A1045" s="275"/>
      <c r="B1045" s="250"/>
      <c r="C1045" s="142" t="s">
        <v>461</v>
      </c>
      <c r="D1045" s="220"/>
      <c r="E1045" s="217"/>
      <c r="F1045" s="217"/>
      <c r="G1045" s="217"/>
      <c r="H1045" s="417">
        <f>SUM(H1019:H1044)</f>
        <v>160653.22008749997</v>
      </c>
      <c r="I1045" s="207">
        <f>SUM(I1019:I1044)</f>
        <v>160653.22008749997</v>
      </c>
      <c r="J1045" s="215">
        <f>SUM(J1019:J1044)</f>
        <v>170000</v>
      </c>
      <c r="K1045" s="419">
        <f>J1045*1.23</f>
        <v>209100</v>
      </c>
      <c r="L1045" s="184">
        <f>SUM(L1019:L1044)</f>
        <v>510000</v>
      </c>
      <c r="M1045" s="222">
        <f t="shared" si="70"/>
        <v>744600</v>
      </c>
      <c r="N1045" s="183"/>
      <c r="O1045" s="226"/>
      <c r="P1045" s="150">
        <f t="shared" si="69"/>
        <v>1114353.2200874998</v>
      </c>
      <c r="Q1045" s="569" t="s">
        <v>1371</v>
      </c>
    </row>
    <row r="1046" spans="1:17" s="211" customFormat="1" ht="15.75" hidden="1" customHeight="1" outlineLevel="3">
      <c r="A1046" s="551"/>
      <c r="B1046" s="142" t="s">
        <v>467</v>
      </c>
      <c r="C1046" s="159"/>
      <c r="D1046" s="180"/>
      <c r="E1046" s="148"/>
      <c r="F1046" s="148"/>
      <c r="G1046" s="148"/>
      <c r="H1046" s="205"/>
      <c r="I1046" s="156"/>
      <c r="J1046" s="184"/>
      <c r="K1046" s="419"/>
      <c r="L1046" s="184"/>
      <c r="M1046" s="223"/>
      <c r="N1046" s="183"/>
      <c r="O1046" s="226"/>
      <c r="P1046" s="218"/>
      <c r="Q1046" s="569"/>
    </row>
    <row r="1047" spans="1:17" s="211" customFormat="1" ht="15.75" hidden="1" customHeight="1" outlineLevel="3">
      <c r="A1047" s="551"/>
      <c r="B1047" s="142"/>
      <c r="C1047" s="162" t="s">
        <v>468</v>
      </c>
      <c r="D1047" s="340">
        <f>CIP!$AM$13</f>
        <v>3472000</v>
      </c>
      <c r="E1047" s="148"/>
      <c r="F1047" s="148"/>
      <c r="G1047" s="148"/>
      <c r="H1047" s="205"/>
      <c r="I1047" s="156">
        <f>SUM(D1047:H1047)</f>
        <v>3472000</v>
      </c>
      <c r="J1047" s="184"/>
      <c r="K1047" s="419"/>
      <c r="L1047" s="184"/>
      <c r="M1047" s="223"/>
      <c r="N1047" s="183"/>
      <c r="O1047" s="226"/>
      <c r="P1047" s="150">
        <f t="shared" si="69"/>
        <v>3472000</v>
      </c>
      <c r="Q1047" s="569"/>
    </row>
    <row r="1048" spans="1:17" s="130" customFormat="1" ht="15.75" hidden="1" customHeight="1" outlineLevel="2" collapsed="1">
      <c r="A1048" s="275"/>
      <c r="B1048" s="250"/>
      <c r="C1048" s="142" t="s">
        <v>467</v>
      </c>
      <c r="D1048" s="296">
        <v>3472000</v>
      </c>
      <c r="E1048" s="217"/>
      <c r="F1048" s="217"/>
      <c r="G1048" s="217"/>
      <c r="H1048" s="417"/>
      <c r="I1048" s="207">
        <f>SUM(I1047)</f>
        <v>3472000</v>
      </c>
      <c r="J1048" s="184"/>
      <c r="K1048" s="222"/>
      <c r="L1048" s="184"/>
      <c r="M1048" s="222"/>
      <c r="N1048" s="183"/>
      <c r="O1048" s="226"/>
      <c r="P1048" s="150">
        <f t="shared" si="69"/>
        <v>3472000</v>
      </c>
      <c r="Q1048" s="569" t="s">
        <v>1372</v>
      </c>
    </row>
    <row r="1049" spans="1:17" s="211" customFormat="1" ht="15.75" hidden="1" customHeight="1" outlineLevel="3">
      <c r="A1049" s="551"/>
      <c r="B1049" s="142" t="s">
        <v>869</v>
      </c>
      <c r="C1049" s="159"/>
      <c r="D1049" s="180"/>
      <c r="E1049" s="148"/>
      <c r="F1049" s="148"/>
      <c r="G1049" s="148"/>
      <c r="H1049" s="205"/>
      <c r="I1049" s="156"/>
      <c r="J1049" s="184"/>
      <c r="K1049" s="419"/>
      <c r="L1049" s="184"/>
      <c r="M1049" s="223"/>
      <c r="N1049" s="183"/>
      <c r="O1049" s="226"/>
      <c r="P1049" s="218"/>
      <c r="Q1049" s="569"/>
    </row>
    <row r="1050" spans="1:17" ht="15.75" hidden="1" customHeight="1" outlineLevel="3">
      <c r="A1050" s="274"/>
      <c r="B1050" s="143"/>
      <c r="C1050" s="213" t="s">
        <v>870</v>
      </c>
      <c r="D1050" s="160">
        <f>CIP!$AM$7</f>
        <v>4000000</v>
      </c>
      <c r="E1050" s="153">
        <f>CIP!$AN$7</f>
        <v>5000000</v>
      </c>
      <c r="F1050" s="202">
        <f>CIP!$AO$7</f>
        <v>8500000.050224999</v>
      </c>
      <c r="G1050" s="185"/>
      <c r="H1050" s="201"/>
      <c r="I1050" s="212">
        <f>SUM(D1050:H1050)</f>
        <v>17500000.050224997</v>
      </c>
      <c r="J1050" s="184"/>
      <c r="K1050" s="419"/>
      <c r="L1050" s="184"/>
      <c r="M1050" s="223"/>
      <c r="N1050" s="183"/>
      <c r="O1050" s="226"/>
      <c r="P1050" s="150">
        <f t="shared" ref="P1050:P1051" si="71">SUM(I1050,K1050,M1050,O1050)</f>
        <v>17500000.050224997</v>
      </c>
      <c r="Q1050" s="568"/>
    </row>
    <row r="1051" spans="1:17" s="130" customFormat="1" ht="15.75" hidden="1" customHeight="1" outlineLevel="2" collapsed="1">
      <c r="A1051" s="275"/>
      <c r="B1051" s="250"/>
      <c r="C1051" s="142" t="s">
        <v>869</v>
      </c>
      <c r="D1051" s="220">
        <f>SUM(D1049:D1050)</f>
        <v>4000000</v>
      </c>
      <c r="E1051" s="217">
        <f>SUM(E1049:E1050)</f>
        <v>5000000</v>
      </c>
      <c r="F1051" s="217">
        <f>SUM(F1050)</f>
        <v>8500000.050224999</v>
      </c>
      <c r="G1051" s="222"/>
      <c r="H1051" s="417"/>
      <c r="I1051" s="207">
        <f>SUM(D1051:H1051)</f>
        <v>17500000.050224997</v>
      </c>
      <c r="J1051" s="184"/>
      <c r="K1051" s="222"/>
      <c r="L1051" s="184"/>
      <c r="M1051" s="222"/>
      <c r="N1051" s="183"/>
      <c r="O1051" s="226"/>
      <c r="P1051" s="150">
        <f t="shared" si="71"/>
        <v>17500000.050224997</v>
      </c>
      <c r="Q1051" s="575"/>
    </row>
    <row r="1052" spans="1:17" s="211" customFormat="1" ht="15.75" hidden="1" customHeight="1" outlineLevel="3">
      <c r="A1052" s="551"/>
      <c r="B1052" s="142" t="s">
        <v>462</v>
      </c>
      <c r="C1052" s="159"/>
      <c r="D1052" s="180"/>
      <c r="E1052" s="148"/>
      <c r="F1052" s="148"/>
      <c r="G1052" s="148"/>
      <c r="H1052" s="205"/>
      <c r="I1052" s="156"/>
      <c r="J1052" s="184"/>
      <c r="K1052" s="419"/>
      <c r="L1052" s="184"/>
      <c r="M1052" s="223"/>
      <c r="N1052" s="183"/>
      <c r="O1052" s="226"/>
      <c r="P1052" s="218"/>
      <c r="Q1052" s="569"/>
    </row>
    <row r="1053" spans="1:17" ht="15.75" hidden="1" customHeight="1" outlineLevel="3">
      <c r="A1053" s="274"/>
      <c r="B1053" s="143"/>
      <c r="C1053" s="142" t="s">
        <v>380</v>
      </c>
      <c r="D1053" s="160"/>
      <c r="E1053" s="153"/>
      <c r="F1053" s="153"/>
      <c r="G1053" s="153"/>
      <c r="H1053" s="201"/>
      <c r="I1053" s="212"/>
      <c r="J1053" s="184"/>
      <c r="K1053" s="419"/>
      <c r="L1053" s="184"/>
      <c r="M1053" s="223"/>
      <c r="N1053" s="183"/>
      <c r="O1053" s="226"/>
      <c r="P1053" s="207"/>
      <c r="Q1053" s="569"/>
    </row>
    <row r="1054" spans="1:17" ht="15.75" hidden="1" customHeight="1" outlineLevel="3">
      <c r="A1054" s="274"/>
      <c r="B1054" s="143"/>
      <c r="C1054" s="213" t="s">
        <v>396</v>
      </c>
      <c r="D1054" s="160"/>
      <c r="E1054" s="153"/>
      <c r="F1054" s="153"/>
      <c r="G1054" s="153"/>
      <c r="H1054" s="201"/>
      <c r="I1054" s="212"/>
      <c r="J1054" s="184"/>
      <c r="K1054" s="419"/>
      <c r="L1054" s="184"/>
      <c r="M1054" s="223"/>
      <c r="N1054" s="183"/>
      <c r="O1054" s="226"/>
      <c r="P1054" s="207"/>
      <c r="Q1054" s="569"/>
    </row>
    <row r="1055" spans="1:17" ht="15.75" hidden="1" customHeight="1" outlineLevel="3">
      <c r="A1055" s="274"/>
      <c r="B1055" s="143"/>
      <c r="C1055" s="213" t="s">
        <v>357</v>
      </c>
      <c r="D1055" s="160"/>
      <c r="E1055" s="153"/>
      <c r="F1055" s="153"/>
      <c r="G1055" s="153"/>
      <c r="H1055" s="201"/>
      <c r="I1055" s="212"/>
      <c r="J1055" s="184"/>
      <c r="K1055" s="419"/>
      <c r="L1055" s="184"/>
      <c r="M1055" s="223"/>
      <c r="N1055" s="183"/>
      <c r="O1055" s="226"/>
      <c r="P1055" s="207"/>
      <c r="Q1055" s="569"/>
    </row>
    <row r="1056" spans="1:17" ht="15.75" hidden="1" customHeight="1" outlineLevel="3">
      <c r="A1056" s="274"/>
      <c r="B1056" s="143"/>
      <c r="C1056" s="213" t="s">
        <v>358</v>
      </c>
      <c r="D1056" s="160"/>
      <c r="E1056" s="153"/>
      <c r="F1056" s="153"/>
      <c r="G1056" s="153"/>
      <c r="H1056" s="201"/>
      <c r="I1056" s="203"/>
      <c r="J1056" s="186"/>
      <c r="K1056" s="419"/>
      <c r="L1056" s="184"/>
      <c r="M1056" s="223"/>
      <c r="N1056" s="183"/>
      <c r="O1056" s="226"/>
      <c r="P1056" s="207"/>
      <c r="Q1056" s="569"/>
    </row>
    <row r="1057" spans="1:17" ht="15.75" hidden="1" customHeight="1" outlineLevel="3">
      <c r="A1057" s="274"/>
      <c r="B1057" s="143"/>
      <c r="C1057" s="213" t="s">
        <v>359</v>
      </c>
      <c r="D1057" s="160"/>
      <c r="E1057" s="153"/>
      <c r="F1057" s="153"/>
      <c r="G1057" s="153"/>
      <c r="H1057" s="201"/>
      <c r="I1057" s="212"/>
      <c r="J1057" s="184"/>
      <c r="K1057" s="419"/>
      <c r="L1057" s="184"/>
      <c r="M1057" s="223"/>
      <c r="N1057" s="183"/>
      <c r="O1057" s="226"/>
      <c r="P1057" s="207"/>
      <c r="Q1057" s="569"/>
    </row>
    <row r="1058" spans="1:17" ht="15.75" hidden="1" customHeight="1" outlineLevel="3">
      <c r="A1058" s="274"/>
      <c r="B1058" s="143"/>
      <c r="C1058" s="213" t="s">
        <v>846</v>
      </c>
      <c r="D1058" s="160"/>
      <c r="E1058" s="153"/>
      <c r="F1058" s="202">
        <f>CIP!$AO$78</f>
        <v>80341.874999999985</v>
      </c>
      <c r="G1058" s="202"/>
      <c r="H1058" s="201"/>
      <c r="I1058" s="212">
        <f>SUM(D1058:H1058)</f>
        <v>80341.874999999985</v>
      </c>
      <c r="J1058" s="184"/>
      <c r="K1058" s="419"/>
      <c r="L1058" s="184"/>
      <c r="M1058" s="223"/>
      <c r="N1058" s="183"/>
      <c r="O1058" s="226"/>
      <c r="P1058" s="150">
        <f t="shared" ref="P1058:P1060" si="72">SUM(I1058,K1058,M1058,O1058)</f>
        <v>80341.874999999985</v>
      </c>
      <c r="Q1058" s="569" t="s">
        <v>1297</v>
      </c>
    </row>
    <row r="1059" spans="1:17" ht="15.75" hidden="1" customHeight="1" outlineLevel="3">
      <c r="A1059" s="274"/>
      <c r="B1059" s="143"/>
      <c r="C1059" s="142" t="s">
        <v>381</v>
      </c>
      <c r="D1059" s="160"/>
      <c r="E1059" s="153"/>
      <c r="F1059" s="153"/>
      <c r="G1059" s="153"/>
      <c r="H1059" s="201"/>
      <c r="I1059" s="212"/>
      <c r="J1059" s="184"/>
      <c r="K1059" s="419"/>
      <c r="L1059" s="184"/>
      <c r="M1059" s="223"/>
      <c r="N1059" s="183"/>
      <c r="O1059" s="226"/>
      <c r="P1059" s="207"/>
      <c r="Q1059" s="569"/>
    </row>
    <row r="1060" spans="1:17" ht="15.75" hidden="1" customHeight="1" outlineLevel="3">
      <c r="A1060" s="274"/>
      <c r="B1060" s="143"/>
      <c r="C1060" s="213" t="s">
        <v>362</v>
      </c>
      <c r="D1060" s="160"/>
      <c r="E1060" s="202">
        <f>CIP!$AN$54</f>
        <v>127304.99999999999</v>
      </c>
      <c r="F1060" s="153"/>
      <c r="G1060" s="153"/>
      <c r="H1060" s="201"/>
      <c r="I1060" s="212">
        <f>SUM(D1060:H1060)</f>
        <v>127304.99999999999</v>
      </c>
      <c r="J1060" s="184"/>
      <c r="K1060" s="419"/>
      <c r="L1060" s="184"/>
      <c r="M1060" s="223"/>
      <c r="N1060" s="183"/>
      <c r="O1060" s="226"/>
      <c r="P1060" s="150">
        <f t="shared" si="72"/>
        <v>127304.99999999999</v>
      </c>
      <c r="Q1060" s="569"/>
    </row>
    <row r="1061" spans="1:17" ht="15.75" hidden="1" customHeight="1" outlineLevel="3">
      <c r="A1061" s="274"/>
      <c r="B1061" s="143"/>
      <c r="C1061" s="213" t="s">
        <v>363</v>
      </c>
      <c r="D1061" s="160"/>
      <c r="E1061" s="153"/>
      <c r="F1061" s="153"/>
      <c r="G1061" s="153"/>
      <c r="H1061" s="201"/>
      <c r="I1061" s="212"/>
      <c r="J1061" s="184"/>
      <c r="K1061" s="419"/>
      <c r="L1061" s="184"/>
      <c r="M1061" s="223"/>
      <c r="N1061" s="183"/>
      <c r="O1061" s="226"/>
      <c r="P1061" s="207"/>
      <c r="Q1061" s="569"/>
    </row>
    <row r="1062" spans="1:17" ht="15.75" hidden="1" customHeight="1" outlineLevel="3">
      <c r="A1062" s="274"/>
      <c r="B1062" s="143"/>
      <c r="C1062" s="213" t="s">
        <v>358</v>
      </c>
      <c r="D1062" s="160"/>
      <c r="E1062" s="153"/>
      <c r="F1062" s="153"/>
      <c r="G1062" s="153"/>
      <c r="H1062" s="201"/>
      <c r="I1062" s="212"/>
      <c r="J1062" s="184"/>
      <c r="K1062" s="419"/>
      <c r="L1062" s="184"/>
      <c r="M1062" s="223"/>
      <c r="N1062" s="183"/>
      <c r="O1062" s="226"/>
      <c r="P1062" s="207"/>
      <c r="Q1062" s="569"/>
    </row>
    <row r="1063" spans="1:17" ht="15.75" hidden="1" customHeight="1" outlineLevel="3">
      <c r="A1063" s="274"/>
      <c r="B1063" s="143"/>
      <c r="C1063" s="213" t="s">
        <v>364</v>
      </c>
      <c r="D1063" s="160"/>
      <c r="E1063" s="153"/>
      <c r="F1063" s="153"/>
      <c r="G1063" s="153"/>
      <c r="H1063" s="201"/>
      <c r="I1063" s="212"/>
      <c r="J1063" s="184"/>
      <c r="K1063" s="419"/>
      <c r="L1063" s="184"/>
      <c r="M1063" s="223"/>
      <c r="N1063" s="183"/>
      <c r="O1063" s="226"/>
      <c r="P1063" s="207"/>
      <c r="Q1063" s="569"/>
    </row>
    <row r="1064" spans="1:17" ht="15.75" hidden="1" customHeight="1" outlineLevel="3">
      <c r="A1064" s="274"/>
      <c r="B1064" s="143"/>
      <c r="C1064" s="142" t="s">
        <v>382</v>
      </c>
      <c r="D1064" s="160"/>
      <c r="E1064" s="153"/>
      <c r="F1064" s="153"/>
      <c r="G1064" s="153"/>
      <c r="H1064" s="201"/>
      <c r="I1064" s="212"/>
      <c r="J1064" s="184"/>
      <c r="K1064" s="419"/>
      <c r="L1064" s="184"/>
      <c r="M1064" s="223"/>
      <c r="N1064" s="183"/>
      <c r="O1064" s="226"/>
      <c r="P1064" s="207"/>
      <c r="Q1064" s="569"/>
    </row>
    <row r="1065" spans="1:17" ht="15.75" hidden="1" customHeight="1" outlineLevel="3">
      <c r="A1065" s="274"/>
      <c r="B1065" s="143"/>
      <c r="C1065" s="213" t="s">
        <v>366</v>
      </c>
      <c r="D1065" s="160"/>
      <c r="E1065" s="153"/>
      <c r="F1065" s="153"/>
      <c r="G1065" s="153"/>
      <c r="H1065" s="201"/>
      <c r="I1065" s="212"/>
      <c r="J1065" s="184"/>
      <c r="K1065" s="419"/>
      <c r="L1065" s="184"/>
      <c r="M1065" s="223"/>
      <c r="N1065" s="183"/>
      <c r="O1065" s="226"/>
      <c r="P1065" s="207"/>
      <c r="Q1065" s="569"/>
    </row>
    <row r="1066" spans="1:17" ht="15.75" hidden="1" customHeight="1" outlineLevel="3">
      <c r="A1066" s="274"/>
      <c r="B1066" s="143"/>
      <c r="C1066" s="213" t="s">
        <v>358</v>
      </c>
      <c r="D1066" s="160"/>
      <c r="E1066" s="153"/>
      <c r="F1066" s="153"/>
      <c r="G1066" s="153"/>
      <c r="H1066" s="201"/>
      <c r="I1066" s="212"/>
      <c r="J1066" s="184"/>
      <c r="K1066" s="419"/>
      <c r="L1066" s="184"/>
      <c r="M1066" s="223"/>
      <c r="N1066" s="183"/>
      <c r="O1066" s="226"/>
      <c r="P1066" s="207"/>
      <c r="Q1066" s="569"/>
    </row>
    <row r="1067" spans="1:17" ht="15.75" hidden="1" customHeight="1" outlineLevel="3">
      <c r="A1067" s="274"/>
      <c r="B1067" s="143"/>
      <c r="C1067" s="213" t="s">
        <v>367</v>
      </c>
      <c r="D1067" s="160"/>
      <c r="E1067" s="153"/>
      <c r="F1067" s="153"/>
      <c r="G1067" s="153"/>
      <c r="H1067" s="201"/>
      <c r="I1067" s="212"/>
      <c r="J1067" s="184"/>
      <c r="K1067" s="419"/>
      <c r="L1067" s="184"/>
      <c r="M1067" s="223"/>
      <c r="N1067" s="183"/>
      <c r="O1067" s="226"/>
      <c r="P1067" s="207"/>
      <c r="Q1067" s="569"/>
    </row>
    <row r="1068" spans="1:17" ht="15.75" hidden="1" customHeight="1" outlineLevel="3">
      <c r="A1068" s="274"/>
      <c r="B1068" s="143"/>
      <c r="C1068" s="213" t="s">
        <v>368</v>
      </c>
      <c r="D1068" s="160"/>
      <c r="E1068" s="153"/>
      <c r="F1068" s="153"/>
      <c r="G1068" s="153"/>
      <c r="H1068" s="201"/>
      <c r="I1068" s="212"/>
      <c r="J1068" s="184"/>
      <c r="K1068" s="419"/>
      <c r="L1068" s="184"/>
      <c r="M1068" s="223"/>
      <c r="N1068" s="183"/>
      <c r="O1068" s="226"/>
      <c r="P1068" s="207"/>
      <c r="Q1068" s="569"/>
    </row>
    <row r="1069" spans="1:17" ht="15.75" hidden="1" customHeight="1" outlineLevel="3">
      <c r="A1069" s="274"/>
      <c r="B1069" s="143"/>
      <c r="C1069" s="142" t="s">
        <v>383</v>
      </c>
      <c r="D1069" s="160"/>
      <c r="E1069" s="153"/>
      <c r="F1069" s="153"/>
      <c r="G1069" s="153"/>
      <c r="H1069" s="201"/>
      <c r="I1069" s="212"/>
      <c r="J1069" s="184"/>
      <c r="K1069" s="419"/>
      <c r="L1069" s="184"/>
      <c r="M1069" s="223"/>
      <c r="N1069" s="183"/>
      <c r="O1069" s="226"/>
      <c r="P1069" s="207"/>
      <c r="Q1069" s="569"/>
    </row>
    <row r="1070" spans="1:17" ht="15.75" hidden="1" customHeight="1" outlineLevel="3">
      <c r="A1070" s="274"/>
      <c r="B1070" s="143"/>
      <c r="C1070" s="213" t="s">
        <v>370</v>
      </c>
      <c r="D1070" s="160"/>
      <c r="E1070" s="153"/>
      <c r="F1070" s="202"/>
      <c r="G1070" s="202"/>
      <c r="H1070" s="201"/>
      <c r="I1070" s="212"/>
      <c r="J1070" s="184"/>
      <c r="K1070" s="419"/>
      <c r="L1070" s="184"/>
      <c r="M1070" s="223"/>
      <c r="N1070" s="183"/>
      <c r="O1070" s="226"/>
      <c r="P1070" s="207"/>
      <c r="Q1070" s="569"/>
    </row>
    <row r="1071" spans="1:17" ht="15.75" hidden="1" customHeight="1" outlineLevel="3">
      <c r="A1071" s="274"/>
      <c r="B1071" s="143"/>
      <c r="C1071" s="213" t="s">
        <v>371</v>
      </c>
      <c r="D1071" s="160"/>
      <c r="E1071" s="153"/>
      <c r="F1071" s="202"/>
      <c r="G1071" s="202">
        <f>CIP!$AP$115</f>
        <v>427965.09974999988</v>
      </c>
      <c r="H1071" s="201"/>
      <c r="I1071" s="212">
        <f>SUM(D1071:H1071)</f>
        <v>427965.09974999988</v>
      </c>
      <c r="J1071" s="184"/>
      <c r="K1071" s="419"/>
      <c r="L1071" s="184"/>
      <c r="M1071" s="223"/>
      <c r="N1071" s="183"/>
      <c r="O1071" s="226"/>
      <c r="P1071" s="150">
        <f t="shared" ref="P1071" si="73">SUM(I1071,K1071,M1071,O1071)</f>
        <v>427965.09974999988</v>
      </c>
      <c r="Q1071" s="569" t="s">
        <v>1298</v>
      </c>
    </row>
    <row r="1072" spans="1:17" ht="15.75" hidden="1" customHeight="1" outlineLevel="3">
      <c r="A1072" s="274"/>
      <c r="B1072" s="143"/>
      <c r="C1072" s="213" t="s">
        <v>372</v>
      </c>
      <c r="D1072" s="160"/>
      <c r="E1072" s="153"/>
      <c r="F1072" s="153"/>
      <c r="G1072" s="153"/>
      <c r="H1072" s="201"/>
      <c r="I1072" s="212"/>
      <c r="J1072" s="184"/>
      <c r="K1072" s="419"/>
      <c r="L1072" s="184"/>
      <c r="M1072" s="223"/>
      <c r="N1072" s="183"/>
      <c r="O1072" s="226"/>
      <c r="P1072" s="207"/>
      <c r="Q1072" s="569"/>
    </row>
    <row r="1073" spans="1:17" ht="15.75" hidden="1" customHeight="1" outlineLevel="3">
      <c r="A1073" s="274"/>
      <c r="B1073" s="143"/>
      <c r="C1073" s="213" t="s">
        <v>373</v>
      </c>
      <c r="D1073" s="160"/>
      <c r="E1073" s="153"/>
      <c r="F1073" s="153"/>
      <c r="G1073" s="153"/>
      <c r="H1073" s="201"/>
      <c r="I1073" s="212"/>
      <c r="J1073" s="184"/>
      <c r="K1073" s="419"/>
      <c r="L1073" s="184"/>
      <c r="M1073" s="223"/>
      <c r="N1073" s="183"/>
      <c r="O1073" s="226"/>
      <c r="P1073" s="207"/>
      <c r="Q1073" s="568"/>
    </row>
    <row r="1074" spans="1:17" ht="15.75" hidden="1" customHeight="1" outlineLevel="3">
      <c r="A1074" s="274"/>
      <c r="B1074" s="143"/>
      <c r="C1074" s="142" t="s">
        <v>384</v>
      </c>
      <c r="D1074" s="160"/>
      <c r="E1074" s="153"/>
      <c r="F1074" s="153"/>
      <c r="G1074" s="153"/>
      <c r="H1074" s="201"/>
      <c r="I1074" s="212"/>
      <c r="J1074" s="184"/>
      <c r="K1074" s="419"/>
      <c r="L1074" s="184"/>
      <c r="M1074" s="223"/>
      <c r="N1074" s="183"/>
      <c r="O1074" s="226"/>
      <c r="P1074" s="207"/>
      <c r="Q1074" s="569"/>
    </row>
    <row r="1075" spans="1:17" ht="15.75" hidden="1" customHeight="1" outlineLevel="3">
      <c r="A1075" s="274"/>
      <c r="B1075" s="143"/>
      <c r="C1075" s="162" t="s">
        <v>375</v>
      </c>
      <c r="D1075" s="160"/>
      <c r="E1075" s="153"/>
      <c r="F1075" s="153"/>
      <c r="G1075" s="153"/>
      <c r="H1075" s="201"/>
      <c r="I1075" s="212"/>
      <c r="J1075" s="184"/>
      <c r="K1075" s="419"/>
      <c r="L1075" s="184"/>
      <c r="M1075" s="223"/>
      <c r="N1075" s="183"/>
      <c r="O1075" s="226"/>
      <c r="P1075" s="207"/>
      <c r="Q1075" s="569"/>
    </row>
    <row r="1076" spans="1:17" ht="15.75" hidden="1" customHeight="1" outlineLevel="3">
      <c r="A1076" s="274"/>
      <c r="B1076" s="143"/>
      <c r="C1076" s="162" t="s">
        <v>376</v>
      </c>
      <c r="D1076" s="160"/>
      <c r="E1076" s="153"/>
      <c r="F1076" s="153"/>
      <c r="G1076" s="153"/>
      <c r="H1076" s="201"/>
      <c r="I1076" s="212"/>
      <c r="J1076" s="184"/>
      <c r="K1076" s="419"/>
      <c r="L1076" s="184"/>
      <c r="M1076" s="223"/>
      <c r="N1076" s="183"/>
      <c r="O1076" s="226"/>
      <c r="P1076" s="207"/>
      <c r="Q1076" s="569"/>
    </row>
    <row r="1077" spans="1:17" ht="15.75" hidden="1" customHeight="1" outlineLevel="3">
      <c r="A1077" s="274"/>
      <c r="B1077" s="143"/>
      <c r="C1077" s="162" t="s">
        <v>377</v>
      </c>
      <c r="D1077" s="160"/>
      <c r="E1077" s="153"/>
      <c r="F1077" s="153"/>
      <c r="G1077" s="153"/>
      <c r="H1077" s="201"/>
      <c r="I1077" s="212"/>
      <c r="J1077" s="184"/>
      <c r="K1077" s="419"/>
      <c r="L1077" s="184"/>
      <c r="M1077" s="223"/>
      <c r="N1077" s="183"/>
      <c r="O1077" s="226"/>
      <c r="P1077" s="207"/>
      <c r="Q1077" s="569"/>
    </row>
    <row r="1078" spans="1:17" ht="15.75" hidden="1" customHeight="1" outlineLevel="3">
      <c r="A1078" s="274"/>
      <c r="B1078" s="143"/>
      <c r="C1078" s="162" t="s">
        <v>400</v>
      </c>
      <c r="D1078" s="160"/>
      <c r="E1078" s="153"/>
      <c r="F1078" s="153"/>
      <c r="G1078" s="153"/>
      <c r="H1078" s="201"/>
      <c r="I1078" s="212"/>
      <c r="J1078" s="184"/>
      <c r="K1078" s="419"/>
      <c r="L1078" s="184"/>
      <c r="M1078" s="223"/>
      <c r="N1078" s="183"/>
      <c r="O1078" s="226"/>
      <c r="P1078" s="207"/>
      <c r="Q1078" s="568"/>
    </row>
    <row r="1079" spans="1:17" ht="15.75" hidden="1" customHeight="1" outlineLevel="3">
      <c r="A1079" s="274"/>
      <c r="B1079" s="143"/>
      <c r="C1079" s="162" t="s">
        <v>463</v>
      </c>
      <c r="D1079" s="160"/>
      <c r="E1079" s="153"/>
      <c r="F1079" s="153"/>
      <c r="G1079" s="153"/>
      <c r="H1079" s="201"/>
      <c r="I1079" s="212"/>
      <c r="J1079" s="185">
        <v>7230000</v>
      </c>
      <c r="K1079" s="419">
        <f>J1079*1.23</f>
        <v>8892900</v>
      </c>
      <c r="L1079" s="184"/>
      <c r="M1079" s="223"/>
      <c r="N1079" s="422"/>
      <c r="O1079" s="226"/>
      <c r="P1079" s="150">
        <f t="shared" ref="P1079:P1080" si="74">SUM(I1079,K1079,M1079,O1079)</f>
        <v>8892900</v>
      </c>
      <c r="Q1079" s="568"/>
    </row>
    <row r="1080" spans="1:17" s="130" customFormat="1" ht="15.75" hidden="1" customHeight="1" outlineLevel="2" collapsed="1">
      <c r="A1080" s="275"/>
      <c r="B1080" s="250"/>
      <c r="C1080" s="142" t="s">
        <v>462</v>
      </c>
      <c r="D1080" s="220"/>
      <c r="E1080" s="217">
        <f>SUM(E1053:E1079)</f>
        <v>127304.99999999999</v>
      </c>
      <c r="F1080" s="217">
        <f>SUM(F1054:F1079)</f>
        <v>80341.874999999985</v>
      </c>
      <c r="G1080" s="217">
        <f>SUM(G1059:G1079)</f>
        <v>427965.09974999988</v>
      </c>
      <c r="H1080" s="417"/>
      <c r="I1080" s="207">
        <f>SUM(I1055:I1079)</f>
        <v>635611.97474999982</v>
      </c>
      <c r="J1080" s="185">
        <v>7230000</v>
      </c>
      <c r="K1080" s="222">
        <f>J1080*1.23</f>
        <v>8892900</v>
      </c>
      <c r="L1080" s="184"/>
      <c r="M1080" s="222"/>
      <c r="N1080" s="183"/>
      <c r="O1080" s="226"/>
      <c r="P1080" s="150">
        <f t="shared" si="74"/>
        <v>9528511.9747499991</v>
      </c>
      <c r="Q1080" s="569"/>
    </row>
    <row r="1081" spans="1:17" s="211" customFormat="1" ht="15.75" hidden="1" customHeight="1" outlineLevel="3">
      <c r="A1081" s="551"/>
      <c r="B1081" s="142" t="s">
        <v>464</v>
      </c>
      <c r="C1081" s="159"/>
      <c r="D1081" s="180"/>
      <c r="E1081" s="148"/>
      <c r="F1081" s="148"/>
      <c r="G1081" s="148"/>
      <c r="H1081" s="205"/>
      <c r="I1081" s="156"/>
      <c r="J1081" s="184"/>
      <c r="K1081" s="419"/>
      <c r="L1081" s="184"/>
      <c r="M1081" s="223"/>
      <c r="N1081" s="183"/>
      <c r="O1081" s="226"/>
      <c r="P1081" s="218"/>
      <c r="Q1081" s="569"/>
    </row>
    <row r="1082" spans="1:17" ht="15.75" hidden="1" customHeight="1" outlineLevel="3">
      <c r="A1082" s="274"/>
      <c r="B1082" s="143"/>
      <c r="C1082" s="142" t="s">
        <v>380</v>
      </c>
      <c r="D1082" s="160"/>
      <c r="E1082" s="153"/>
      <c r="F1082" s="153"/>
      <c r="G1082" s="153"/>
      <c r="H1082" s="201"/>
      <c r="I1082" s="212"/>
      <c r="J1082" s="184"/>
      <c r="K1082" s="419"/>
      <c r="L1082" s="184"/>
      <c r="M1082" s="223"/>
      <c r="N1082" s="183"/>
      <c r="O1082" s="226"/>
      <c r="P1082" s="207"/>
      <c r="Q1082" s="569"/>
    </row>
    <row r="1083" spans="1:17" ht="15.75" hidden="1" customHeight="1" outlineLevel="3">
      <c r="A1083" s="274"/>
      <c r="B1083" s="143"/>
      <c r="C1083" s="213" t="s">
        <v>396</v>
      </c>
      <c r="D1083" s="160"/>
      <c r="E1083" s="153"/>
      <c r="F1083" s="153"/>
      <c r="G1083" s="153"/>
      <c r="H1083" s="201"/>
      <c r="I1083" s="212"/>
      <c r="J1083" s="184"/>
      <c r="K1083" s="419"/>
      <c r="L1083" s="184"/>
      <c r="M1083" s="223"/>
      <c r="N1083" s="183"/>
      <c r="O1083" s="226"/>
      <c r="P1083" s="207"/>
      <c r="Q1083" s="569"/>
    </row>
    <row r="1084" spans="1:17" ht="15.75" hidden="1" customHeight="1" outlineLevel="3">
      <c r="A1084" s="274"/>
      <c r="B1084" s="143"/>
      <c r="C1084" s="213" t="s">
        <v>357</v>
      </c>
      <c r="D1084" s="160"/>
      <c r="E1084" s="153"/>
      <c r="F1084" s="153"/>
      <c r="G1084" s="153"/>
      <c r="H1084" s="201"/>
      <c r="I1084" s="212"/>
      <c r="J1084" s="184"/>
      <c r="K1084" s="419"/>
      <c r="L1084" s="184"/>
      <c r="M1084" s="223"/>
      <c r="N1084" s="183"/>
      <c r="O1084" s="226"/>
      <c r="P1084" s="207"/>
      <c r="Q1084" s="569"/>
    </row>
    <row r="1085" spans="1:17" ht="15.75" hidden="1" customHeight="1" outlineLevel="3">
      <c r="A1085" s="274"/>
      <c r="B1085" s="143"/>
      <c r="C1085" s="213" t="s">
        <v>358</v>
      </c>
      <c r="D1085" s="160"/>
      <c r="E1085" s="153"/>
      <c r="F1085" s="153"/>
      <c r="G1085" s="153"/>
      <c r="H1085" s="201"/>
      <c r="I1085" s="203"/>
      <c r="J1085" s="186"/>
      <c r="K1085" s="419"/>
      <c r="L1085" s="184"/>
      <c r="M1085" s="223"/>
      <c r="N1085" s="183"/>
      <c r="O1085" s="226"/>
      <c r="P1085" s="207"/>
      <c r="Q1085" s="569"/>
    </row>
    <row r="1086" spans="1:17" ht="15.75" hidden="1" customHeight="1" outlineLevel="3">
      <c r="A1086" s="274"/>
      <c r="B1086" s="143"/>
      <c r="C1086" s="213" t="s">
        <v>359</v>
      </c>
      <c r="D1086" s="160"/>
      <c r="E1086" s="153"/>
      <c r="F1086" s="153"/>
      <c r="G1086" s="153"/>
      <c r="H1086" s="201"/>
      <c r="I1086" s="212"/>
      <c r="J1086" s="184"/>
      <c r="K1086" s="419"/>
      <c r="L1086" s="184"/>
      <c r="M1086" s="223"/>
      <c r="N1086" s="183"/>
      <c r="O1086" s="226"/>
      <c r="P1086" s="207"/>
      <c r="Q1086" s="569"/>
    </row>
    <row r="1087" spans="1:17" ht="15.75" hidden="1" customHeight="1" outlineLevel="3">
      <c r="A1087" s="274"/>
      <c r="B1087" s="143"/>
      <c r="C1087" s="213" t="s">
        <v>388</v>
      </c>
      <c r="D1087" s="160"/>
      <c r="E1087" s="153"/>
      <c r="F1087" s="153"/>
      <c r="G1087" s="153"/>
      <c r="H1087" s="201"/>
      <c r="I1087" s="212"/>
      <c r="J1087" s="215">
        <v>140000</v>
      </c>
      <c r="K1087" s="419">
        <f>J1087*1.23</f>
        <v>172200</v>
      </c>
      <c r="L1087" s="184"/>
      <c r="M1087" s="223"/>
      <c r="N1087" s="183"/>
      <c r="O1087" s="226"/>
      <c r="P1087" s="150">
        <f t="shared" ref="P1087:P1089" si="75">SUM(I1087,K1087,M1087,O1087)</f>
        <v>172200</v>
      </c>
      <c r="Q1087" s="569"/>
    </row>
    <row r="1088" spans="1:17" ht="15.75" hidden="1" customHeight="1" outlineLevel="3">
      <c r="A1088" s="274"/>
      <c r="B1088" s="143"/>
      <c r="C1088" s="142" t="s">
        <v>381</v>
      </c>
      <c r="D1088" s="160"/>
      <c r="E1088" s="153"/>
      <c r="F1088" s="153"/>
      <c r="G1088" s="153"/>
      <c r="H1088" s="201"/>
      <c r="I1088" s="212"/>
      <c r="J1088" s="184"/>
      <c r="K1088" s="419"/>
      <c r="L1088" s="184"/>
      <c r="M1088" s="223"/>
      <c r="N1088" s="183"/>
      <c r="O1088" s="226"/>
      <c r="P1088" s="207"/>
      <c r="Q1088" s="569"/>
    </row>
    <row r="1089" spans="1:17" ht="15.75" hidden="1" customHeight="1" outlineLevel="3">
      <c r="A1089" s="274"/>
      <c r="B1089" s="143"/>
      <c r="C1089" s="213" t="s">
        <v>362</v>
      </c>
      <c r="D1089" s="160"/>
      <c r="E1089" s="153"/>
      <c r="F1089" s="153"/>
      <c r="G1089" s="202">
        <f>CIP!$AP$102</f>
        <v>180721.01362499996</v>
      </c>
      <c r="H1089" s="201"/>
      <c r="I1089" s="212">
        <f>SUM(D1089:H1089)</f>
        <v>180721.01362499996</v>
      </c>
      <c r="J1089" s="184"/>
      <c r="K1089" s="419"/>
      <c r="L1089" s="184"/>
      <c r="M1089" s="223"/>
      <c r="N1089" s="183"/>
      <c r="O1089" s="226"/>
      <c r="P1089" s="150">
        <f t="shared" si="75"/>
        <v>180721.01362499996</v>
      </c>
      <c r="Q1089" s="569"/>
    </row>
    <row r="1090" spans="1:17" ht="15.75" hidden="1" customHeight="1" outlineLevel="3">
      <c r="A1090" s="274"/>
      <c r="B1090" s="143"/>
      <c r="C1090" s="213" t="s">
        <v>363</v>
      </c>
      <c r="D1090" s="160"/>
      <c r="E1090" s="153"/>
      <c r="F1090" s="153"/>
      <c r="G1090" s="153"/>
      <c r="H1090" s="201"/>
      <c r="I1090" s="212"/>
      <c r="J1090" s="184"/>
      <c r="K1090" s="419"/>
      <c r="L1090" s="184"/>
      <c r="M1090" s="223"/>
      <c r="N1090" s="183"/>
      <c r="O1090" s="226"/>
      <c r="P1090" s="207"/>
      <c r="Q1090" s="569"/>
    </row>
    <row r="1091" spans="1:17" ht="15.75" hidden="1" customHeight="1" outlineLevel="3">
      <c r="A1091" s="274"/>
      <c r="B1091" s="143"/>
      <c r="C1091" s="213" t="s">
        <v>358</v>
      </c>
      <c r="D1091" s="160"/>
      <c r="E1091" s="153"/>
      <c r="F1091" s="153"/>
      <c r="G1091" s="153"/>
      <c r="H1091" s="201"/>
      <c r="I1091" s="212"/>
      <c r="J1091" s="184"/>
      <c r="K1091" s="419"/>
      <c r="L1091" s="184"/>
      <c r="M1091" s="223"/>
      <c r="N1091" s="183"/>
      <c r="O1091" s="226"/>
      <c r="P1091" s="207"/>
      <c r="Q1091" s="569"/>
    </row>
    <row r="1092" spans="1:17" ht="15.75" hidden="1" customHeight="1" outlineLevel="3">
      <c r="A1092" s="274"/>
      <c r="B1092" s="143"/>
      <c r="C1092" s="213" t="s">
        <v>364</v>
      </c>
      <c r="D1092" s="160"/>
      <c r="E1092" s="153"/>
      <c r="F1092" s="153"/>
      <c r="G1092" s="153"/>
      <c r="H1092" s="201"/>
      <c r="I1092" s="212"/>
      <c r="J1092" s="184"/>
      <c r="K1092" s="419"/>
      <c r="L1092" s="184"/>
      <c r="M1092" s="223"/>
      <c r="N1092" s="183"/>
      <c r="O1092" s="226"/>
      <c r="P1092" s="207"/>
      <c r="Q1092" s="569"/>
    </row>
    <row r="1093" spans="1:17" ht="15.75" hidden="1" customHeight="1" outlineLevel="3">
      <c r="A1093" s="274"/>
      <c r="B1093" s="143"/>
      <c r="C1093" s="142" t="s">
        <v>382</v>
      </c>
      <c r="D1093" s="160"/>
      <c r="E1093" s="153"/>
      <c r="F1093" s="153"/>
      <c r="G1093" s="153"/>
      <c r="H1093" s="201"/>
      <c r="I1093" s="212"/>
      <c r="J1093" s="184"/>
      <c r="K1093" s="419"/>
      <c r="L1093" s="184"/>
      <c r="M1093" s="223"/>
      <c r="N1093" s="183"/>
      <c r="O1093" s="226"/>
      <c r="P1093" s="207"/>
      <c r="Q1093" s="569"/>
    </row>
    <row r="1094" spans="1:17" ht="15.75" hidden="1" customHeight="1" outlineLevel="3">
      <c r="A1094" s="274"/>
      <c r="B1094" s="143"/>
      <c r="C1094" s="213" t="s">
        <v>366</v>
      </c>
      <c r="D1094" s="160"/>
      <c r="E1094" s="153"/>
      <c r="F1094" s="153"/>
      <c r="G1094" s="153"/>
      <c r="H1094" s="201"/>
      <c r="I1094" s="212"/>
      <c r="J1094" s="184"/>
      <c r="K1094" s="419"/>
      <c r="L1094" s="184"/>
      <c r="M1094" s="223"/>
      <c r="N1094" s="183"/>
      <c r="O1094" s="226"/>
      <c r="P1094" s="207"/>
      <c r="Q1094" s="569"/>
    </row>
    <row r="1095" spans="1:17" ht="15.75" hidden="1" customHeight="1" outlineLevel="3">
      <c r="A1095" s="274"/>
      <c r="B1095" s="143"/>
      <c r="C1095" s="213" t="s">
        <v>358</v>
      </c>
      <c r="D1095" s="160"/>
      <c r="E1095" s="153"/>
      <c r="F1095" s="153"/>
      <c r="G1095" s="153"/>
      <c r="H1095" s="201"/>
      <c r="I1095" s="212"/>
      <c r="J1095" s="184"/>
      <c r="K1095" s="419"/>
      <c r="L1095" s="184"/>
      <c r="M1095" s="223"/>
      <c r="N1095" s="183"/>
      <c r="O1095" s="226"/>
      <c r="P1095" s="207"/>
      <c r="Q1095" s="569"/>
    </row>
    <row r="1096" spans="1:17" ht="15.75" hidden="1" customHeight="1" outlineLevel="3">
      <c r="A1096" s="274"/>
      <c r="B1096" s="143"/>
      <c r="C1096" s="213" t="s">
        <v>367</v>
      </c>
      <c r="D1096" s="160"/>
      <c r="E1096" s="153"/>
      <c r="F1096" s="153"/>
      <c r="G1096" s="153"/>
      <c r="H1096" s="201"/>
      <c r="I1096" s="212"/>
      <c r="J1096" s="184"/>
      <c r="K1096" s="419"/>
      <c r="L1096" s="184"/>
      <c r="M1096" s="223"/>
      <c r="N1096" s="183"/>
      <c r="O1096" s="226"/>
      <c r="P1096" s="207"/>
      <c r="Q1096" s="569"/>
    </row>
    <row r="1097" spans="1:17" ht="15.75" hidden="1" customHeight="1" outlineLevel="3">
      <c r="A1097" s="274"/>
      <c r="B1097" s="143"/>
      <c r="C1097" s="213" t="s">
        <v>368</v>
      </c>
      <c r="D1097" s="160"/>
      <c r="E1097" s="153"/>
      <c r="F1097" s="153"/>
      <c r="G1097" s="153"/>
      <c r="H1097" s="201"/>
      <c r="I1097" s="212"/>
      <c r="J1097" s="184"/>
      <c r="K1097" s="419"/>
      <c r="L1097" s="184"/>
      <c r="M1097" s="223"/>
      <c r="N1097" s="183"/>
      <c r="O1097" s="226"/>
      <c r="P1097" s="207"/>
      <c r="Q1097" s="569"/>
    </row>
    <row r="1098" spans="1:17" ht="15.75" hidden="1" customHeight="1" outlineLevel="3">
      <c r="A1098" s="274"/>
      <c r="B1098" s="143"/>
      <c r="C1098" s="142" t="s">
        <v>383</v>
      </c>
      <c r="D1098" s="160"/>
      <c r="E1098" s="153"/>
      <c r="F1098" s="153"/>
      <c r="G1098" s="153"/>
      <c r="H1098" s="201"/>
      <c r="I1098" s="212"/>
      <c r="J1098" s="184"/>
      <c r="K1098" s="419"/>
      <c r="L1098" s="184"/>
      <c r="M1098" s="223"/>
      <c r="N1098" s="183"/>
      <c r="O1098" s="226"/>
      <c r="P1098" s="207"/>
      <c r="Q1098" s="569"/>
    </row>
    <row r="1099" spans="1:17" ht="15.75" hidden="1" customHeight="1" outlineLevel="3">
      <c r="A1099" s="274"/>
      <c r="B1099" s="143"/>
      <c r="C1099" s="213" t="s">
        <v>370</v>
      </c>
      <c r="D1099" s="160"/>
      <c r="E1099" s="153"/>
      <c r="F1099" s="153"/>
      <c r="G1099" s="153"/>
      <c r="H1099" s="201"/>
      <c r="I1099" s="212"/>
      <c r="J1099" s="215">
        <v>166000</v>
      </c>
      <c r="K1099" s="419">
        <f>J1099*1.23</f>
        <v>204180</v>
      </c>
      <c r="L1099" s="184"/>
      <c r="M1099" s="223"/>
      <c r="N1099" s="183"/>
      <c r="O1099" s="226"/>
      <c r="P1099" s="150">
        <f t="shared" ref="P1099:P1109" si="76">SUM(I1099,K1099,M1099,O1099)</f>
        <v>204180</v>
      </c>
      <c r="Q1099" s="569"/>
    </row>
    <row r="1100" spans="1:17" ht="15.75" hidden="1" customHeight="1" outlineLevel="3">
      <c r="A1100" s="274"/>
      <c r="B1100" s="143"/>
      <c r="C1100" s="213" t="s">
        <v>371</v>
      </c>
      <c r="D1100" s="160"/>
      <c r="E1100" s="153"/>
      <c r="F1100" s="202"/>
      <c r="G1100" s="202">
        <f>CIP!$AP$116</f>
        <v>96458.455124999979</v>
      </c>
      <c r="H1100" s="201"/>
      <c r="I1100" s="212">
        <f>SUM(D1100:H1100)</f>
        <v>96458.455124999979</v>
      </c>
      <c r="J1100" s="184"/>
      <c r="K1100" s="419"/>
      <c r="L1100" s="184"/>
      <c r="M1100" s="223"/>
      <c r="N1100" s="183"/>
      <c r="O1100" s="226"/>
      <c r="P1100" s="150">
        <f t="shared" si="76"/>
        <v>96458.455124999979</v>
      </c>
      <c r="Q1100" s="569"/>
    </row>
    <row r="1101" spans="1:17" ht="15.75" hidden="1" customHeight="1" outlineLevel="3">
      <c r="A1101" s="274"/>
      <c r="B1101" s="143"/>
      <c r="C1101" s="213" t="s">
        <v>372</v>
      </c>
      <c r="D1101" s="160"/>
      <c r="E1101" s="153"/>
      <c r="F1101" s="153"/>
      <c r="G1101" s="153"/>
      <c r="H1101" s="201"/>
      <c r="I1101" s="212"/>
      <c r="J1101" s="184"/>
      <c r="K1101" s="419"/>
      <c r="L1101" s="184"/>
      <c r="M1101" s="223"/>
      <c r="N1101" s="183"/>
      <c r="O1101" s="226"/>
      <c r="P1101" s="150"/>
      <c r="Q1101" s="569"/>
    </row>
    <row r="1102" spans="1:17" ht="15.75" hidden="1" customHeight="1" outlineLevel="3">
      <c r="A1102" s="274"/>
      <c r="B1102" s="143"/>
      <c r="C1102" s="213" t="s">
        <v>373</v>
      </c>
      <c r="D1102" s="160"/>
      <c r="E1102" s="153"/>
      <c r="F1102" s="153"/>
      <c r="G1102" s="153"/>
      <c r="H1102" s="201"/>
      <c r="I1102" s="212"/>
      <c r="J1102" s="184"/>
      <c r="K1102" s="419"/>
      <c r="L1102" s="184"/>
      <c r="M1102" s="223"/>
      <c r="N1102" s="183"/>
      <c r="O1102" s="226"/>
      <c r="P1102" s="150"/>
      <c r="Q1102" s="568"/>
    </row>
    <row r="1103" spans="1:17" ht="15.75" hidden="1" customHeight="1" outlineLevel="3">
      <c r="A1103" s="274"/>
      <c r="B1103" s="143"/>
      <c r="C1103" s="142" t="s">
        <v>384</v>
      </c>
      <c r="D1103" s="160"/>
      <c r="E1103" s="153"/>
      <c r="F1103" s="153"/>
      <c r="G1103" s="153"/>
      <c r="H1103" s="201"/>
      <c r="I1103" s="212"/>
      <c r="J1103" s="184"/>
      <c r="K1103" s="419"/>
      <c r="L1103" s="184"/>
      <c r="M1103" s="223"/>
      <c r="N1103" s="183"/>
      <c r="O1103" s="226"/>
      <c r="P1103" s="150"/>
      <c r="Q1103" s="569"/>
    </row>
    <row r="1104" spans="1:17" ht="15.75" hidden="1" customHeight="1" outlineLevel="3">
      <c r="A1104" s="274"/>
      <c r="B1104" s="143"/>
      <c r="C1104" s="162" t="s">
        <v>375</v>
      </c>
      <c r="D1104" s="160"/>
      <c r="E1104" s="153"/>
      <c r="F1104" s="153"/>
      <c r="G1104" s="153"/>
      <c r="H1104" s="201"/>
      <c r="I1104" s="212"/>
      <c r="J1104" s="184"/>
      <c r="K1104" s="419"/>
      <c r="L1104" s="184"/>
      <c r="M1104" s="223"/>
      <c r="N1104" s="183"/>
      <c r="O1104" s="226"/>
      <c r="P1104" s="150"/>
      <c r="Q1104" s="569"/>
    </row>
    <row r="1105" spans="1:17" ht="15.75" hidden="1" customHeight="1" outlineLevel="3">
      <c r="A1105" s="274"/>
      <c r="B1105" s="143"/>
      <c r="C1105" s="162" t="s">
        <v>376</v>
      </c>
      <c r="D1105" s="160"/>
      <c r="E1105" s="153"/>
      <c r="F1105" s="153"/>
      <c r="G1105" s="153"/>
      <c r="H1105" s="201"/>
      <c r="I1105" s="212"/>
      <c r="J1105" s="184"/>
      <c r="K1105" s="419"/>
      <c r="L1105" s="184"/>
      <c r="M1105" s="223"/>
      <c r="N1105" s="183"/>
      <c r="O1105" s="226"/>
      <c r="P1105" s="150"/>
      <c r="Q1105" s="569"/>
    </row>
    <row r="1106" spans="1:17" ht="15.75" hidden="1" customHeight="1" outlineLevel="3">
      <c r="A1106" s="274"/>
      <c r="B1106" s="143"/>
      <c r="C1106" s="162" t="s">
        <v>377</v>
      </c>
      <c r="D1106" s="160"/>
      <c r="E1106" s="153"/>
      <c r="F1106" s="153"/>
      <c r="G1106" s="153"/>
      <c r="H1106" s="201"/>
      <c r="I1106" s="212"/>
      <c r="J1106" s="184"/>
      <c r="K1106" s="419"/>
      <c r="L1106" s="184"/>
      <c r="M1106" s="223"/>
      <c r="N1106" s="183"/>
      <c r="O1106" s="226"/>
      <c r="P1106" s="150"/>
      <c r="Q1106" s="569"/>
    </row>
    <row r="1107" spans="1:17" ht="15.75" hidden="1" customHeight="1" outlineLevel="3">
      <c r="A1107" s="274"/>
      <c r="B1107" s="143"/>
      <c r="C1107" s="162" t="s">
        <v>400</v>
      </c>
      <c r="D1107" s="160"/>
      <c r="E1107" s="153"/>
      <c r="F1107" s="153"/>
      <c r="G1107" s="153"/>
      <c r="H1107" s="201"/>
      <c r="I1107" s="212"/>
      <c r="J1107" s="184"/>
      <c r="K1107" s="419"/>
      <c r="L1107" s="184"/>
      <c r="M1107" s="223"/>
      <c r="N1107" s="183"/>
      <c r="O1107" s="226"/>
      <c r="P1107" s="150"/>
      <c r="Q1107" s="568"/>
    </row>
    <row r="1108" spans="1:17" ht="15.75" hidden="1" customHeight="1" outlineLevel="3">
      <c r="A1108" s="274"/>
      <c r="B1108" s="143"/>
      <c r="C1108" s="162" t="s">
        <v>463</v>
      </c>
      <c r="D1108" s="160"/>
      <c r="E1108" s="153"/>
      <c r="F1108" s="153"/>
      <c r="G1108" s="153"/>
      <c r="H1108" s="201"/>
      <c r="I1108" s="212"/>
      <c r="J1108" s="184"/>
      <c r="K1108" s="419"/>
      <c r="L1108" s="215">
        <v>7700000</v>
      </c>
      <c r="M1108" s="223">
        <f>L1108*1.46</f>
        <v>11242000</v>
      </c>
      <c r="N1108" s="183"/>
      <c r="O1108" s="226"/>
      <c r="P1108" s="150">
        <f t="shared" si="76"/>
        <v>11242000</v>
      </c>
      <c r="Q1108" s="568"/>
    </row>
    <row r="1109" spans="1:17" s="130" customFormat="1" ht="15.75" hidden="1" customHeight="1" outlineLevel="2" collapsed="1">
      <c r="A1109" s="275"/>
      <c r="B1109" s="250"/>
      <c r="C1109" s="142" t="s">
        <v>464</v>
      </c>
      <c r="D1109" s="220"/>
      <c r="E1109" s="217"/>
      <c r="F1109" s="217"/>
      <c r="G1109" s="217">
        <f>SUM(G1082:G1108)</f>
        <v>277179.46874999994</v>
      </c>
      <c r="H1109" s="417"/>
      <c r="I1109" s="207">
        <f>SUM(D1109:H1109)</f>
        <v>277179.46874999994</v>
      </c>
      <c r="J1109" s="184">
        <f>SUM(J1084:J1108)</f>
        <v>306000</v>
      </c>
      <c r="K1109" s="222">
        <f>J1109*1.23</f>
        <v>376380</v>
      </c>
      <c r="L1109" s="215">
        <v>7700000</v>
      </c>
      <c r="M1109" s="222">
        <f>L1109*1.46</f>
        <v>11242000</v>
      </c>
      <c r="N1109" s="183"/>
      <c r="O1109" s="226"/>
      <c r="P1109" s="150">
        <f t="shared" si="76"/>
        <v>11895559.46875</v>
      </c>
      <c r="Q1109" s="569"/>
    </row>
    <row r="1110" spans="1:17" s="211" customFormat="1" ht="15.75" hidden="1" customHeight="1" outlineLevel="3">
      <c r="A1110" s="551"/>
      <c r="B1110" s="142" t="s">
        <v>465</v>
      </c>
      <c r="C1110" s="159"/>
      <c r="D1110" s="180"/>
      <c r="E1110" s="148"/>
      <c r="F1110" s="148"/>
      <c r="G1110" s="148"/>
      <c r="H1110" s="205"/>
      <c r="I1110" s="156"/>
      <c r="J1110" s="184"/>
      <c r="K1110" s="419"/>
      <c r="L1110" s="184"/>
      <c r="M1110" s="223"/>
      <c r="N1110" s="183"/>
      <c r="O1110" s="226"/>
      <c r="P1110" s="218"/>
      <c r="Q1110" s="569"/>
    </row>
    <row r="1111" spans="1:17" ht="15.75" hidden="1" customHeight="1" outlineLevel="3">
      <c r="A1111" s="274"/>
      <c r="B1111" s="143"/>
      <c r="C1111" s="142" t="s">
        <v>380</v>
      </c>
      <c r="D1111" s="160"/>
      <c r="E1111" s="153"/>
      <c r="F1111" s="153"/>
      <c r="G1111" s="153"/>
      <c r="H1111" s="201"/>
      <c r="I1111" s="212"/>
      <c r="J1111" s="184"/>
      <c r="K1111" s="419"/>
      <c r="L1111" s="184"/>
      <c r="M1111" s="223"/>
      <c r="N1111" s="183"/>
      <c r="O1111" s="226"/>
      <c r="P1111" s="207"/>
      <c r="Q1111" s="569"/>
    </row>
    <row r="1112" spans="1:17" ht="15.75" hidden="1" customHeight="1" outlineLevel="3">
      <c r="A1112" s="274"/>
      <c r="B1112" s="143"/>
      <c r="C1112" s="213" t="s">
        <v>396</v>
      </c>
      <c r="D1112" s="160"/>
      <c r="E1112" s="153"/>
      <c r="F1112" s="153"/>
      <c r="G1112" s="153"/>
      <c r="H1112" s="201"/>
      <c r="I1112" s="212"/>
      <c r="J1112" s="184"/>
      <c r="K1112" s="419"/>
      <c r="L1112" s="184"/>
      <c r="M1112" s="223"/>
      <c r="N1112" s="183"/>
      <c r="O1112" s="226"/>
      <c r="P1112" s="207"/>
      <c r="Q1112" s="569"/>
    </row>
    <row r="1113" spans="1:17" ht="15.75" hidden="1" customHeight="1" outlineLevel="3">
      <c r="A1113" s="274"/>
      <c r="B1113" s="143"/>
      <c r="C1113" s="213" t="s">
        <v>357</v>
      </c>
      <c r="D1113" s="160"/>
      <c r="E1113" s="153"/>
      <c r="F1113" s="153"/>
      <c r="G1113" s="153"/>
      <c r="H1113" s="201"/>
      <c r="I1113" s="212"/>
      <c r="J1113" s="184"/>
      <c r="K1113" s="419"/>
      <c r="L1113" s="184">
        <v>150000</v>
      </c>
      <c r="M1113" s="223">
        <f>L1113*1.46</f>
        <v>219000</v>
      </c>
      <c r="N1113" s="183"/>
      <c r="O1113" s="226"/>
      <c r="P1113" s="150">
        <f t="shared" ref="P1113" si="77">SUM(I1113,K1113,M1113,O1113)</f>
        <v>219000</v>
      </c>
      <c r="Q1113" s="569"/>
    </row>
    <row r="1114" spans="1:17" ht="15.75" hidden="1" customHeight="1" outlineLevel="3">
      <c r="A1114" s="274"/>
      <c r="B1114" s="143"/>
      <c r="C1114" s="213" t="s">
        <v>358</v>
      </c>
      <c r="D1114" s="160"/>
      <c r="E1114" s="153"/>
      <c r="F1114" s="153"/>
      <c r="G1114" s="153"/>
      <c r="H1114" s="201"/>
      <c r="I1114" s="203"/>
      <c r="J1114" s="186"/>
      <c r="K1114" s="419"/>
      <c r="L1114" s="184"/>
      <c r="M1114" s="223"/>
      <c r="N1114" s="183"/>
      <c r="O1114" s="226"/>
      <c r="P1114" s="207"/>
      <c r="Q1114" s="569"/>
    </row>
    <row r="1115" spans="1:17" ht="15.75" hidden="1" customHeight="1" outlineLevel="3">
      <c r="A1115" s="274"/>
      <c r="B1115" s="143"/>
      <c r="C1115" s="213" t="s">
        <v>359</v>
      </c>
      <c r="D1115" s="160"/>
      <c r="E1115" s="153"/>
      <c r="F1115" s="153"/>
      <c r="G1115" s="153"/>
      <c r="H1115" s="201"/>
      <c r="I1115" s="212"/>
      <c r="J1115" s="184"/>
      <c r="K1115" s="419"/>
      <c r="L1115" s="184"/>
      <c r="M1115" s="223"/>
      <c r="N1115" s="183"/>
      <c r="O1115" s="226"/>
      <c r="P1115" s="207"/>
      <c r="Q1115" s="569"/>
    </row>
    <row r="1116" spans="1:17" ht="15.75" hidden="1" customHeight="1" outlineLevel="3">
      <c r="A1116" s="274"/>
      <c r="B1116" s="143"/>
      <c r="C1116" s="213" t="s">
        <v>388</v>
      </c>
      <c r="D1116" s="160"/>
      <c r="E1116" s="153"/>
      <c r="F1116" s="153"/>
      <c r="G1116" s="153"/>
      <c r="H1116" s="201"/>
      <c r="I1116" s="212"/>
      <c r="J1116" s="184"/>
      <c r="K1116" s="419"/>
      <c r="L1116" s="184"/>
      <c r="M1116" s="223"/>
      <c r="N1116" s="183"/>
      <c r="O1116" s="226"/>
      <c r="P1116" s="207"/>
      <c r="Q1116" s="569"/>
    </row>
    <row r="1117" spans="1:17" ht="15.75" hidden="1" customHeight="1" outlineLevel="3">
      <c r="A1117" s="274"/>
      <c r="B1117" s="143"/>
      <c r="C1117" s="142" t="s">
        <v>381</v>
      </c>
      <c r="D1117" s="160"/>
      <c r="E1117" s="153"/>
      <c r="F1117" s="153"/>
      <c r="G1117" s="153"/>
      <c r="H1117" s="201"/>
      <c r="I1117" s="212"/>
      <c r="J1117" s="184"/>
      <c r="K1117" s="419"/>
      <c r="L1117" s="184"/>
      <c r="M1117" s="223"/>
      <c r="N1117" s="183"/>
      <c r="O1117" s="226"/>
      <c r="P1117" s="207"/>
      <c r="Q1117" s="569"/>
    </row>
    <row r="1118" spans="1:17" ht="15.75" hidden="1" customHeight="1" outlineLevel="3">
      <c r="A1118" s="274"/>
      <c r="B1118" s="143"/>
      <c r="C1118" s="213" t="s">
        <v>362</v>
      </c>
      <c r="D1118" s="160"/>
      <c r="E1118" s="153"/>
      <c r="F1118" s="153"/>
      <c r="G1118" s="153"/>
      <c r="H1118" s="201"/>
      <c r="I1118" s="212"/>
      <c r="J1118" s="184"/>
      <c r="K1118" s="419"/>
      <c r="L1118" s="184"/>
      <c r="M1118" s="223"/>
      <c r="N1118" s="183"/>
      <c r="O1118" s="226"/>
      <c r="P1118" s="207"/>
      <c r="Q1118" s="569"/>
    </row>
    <row r="1119" spans="1:17" ht="15.75" hidden="1" customHeight="1" outlineLevel="3">
      <c r="A1119" s="274"/>
      <c r="B1119" s="143"/>
      <c r="C1119" s="213" t="s">
        <v>363</v>
      </c>
      <c r="D1119" s="160"/>
      <c r="E1119" s="153"/>
      <c r="F1119" s="153"/>
      <c r="G1119" s="153"/>
      <c r="H1119" s="201"/>
      <c r="I1119" s="212"/>
      <c r="J1119" s="184"/>
      <c r="K1119" s="419"/>
      <c r="L1119" s="184"/>
      <c r="M1119" s="223"/>
      <c r="N1119" s="183"/>
      <c r="O1119" s="226"/>
      <c r="P1119" s="207"/>
      <c r="Q1119" s="569"/>
    </row>
    <row r="1120" spans="1:17" ht="15.75" hidden="1" customHeight="1" outlineLevel="3">
      <c r="A1120" s="274"/>
      <c r="B1120" s="143"/>
      <c r="C1120" s="213" t="s">
        <v>358</v>
      </c>
      <c r="D1120" s="160"/>
      <c r="E1120" s="153"/>
      <c r="F1120" s="153"/>
      <c r="G1120" s="153"/>
      <c r="H1120" s="201"/>
      <c r="I1120" s="212"/>
      <c r="J1120" s="184"/>
      <c r="K1120" s="419"/>
      <c r="L1120" s="184"/>
      <c r="M1120" s="223"/>
      <c r="N1120" s="183"/>
      <c r="O1120" s="226"/>
      <c r="P1120" s="207"/>
      <c r="Q1120" s="569"/>
    </row>
    <row r="1121" spans="1:17" ht="15.75" hidden="1" customHeight="1" outlineLevel="3">
      <c r="A1121" s="274"/>
      <c r="B1121" s="143"/>
      <c r="C1121" s="213" t="s">
        <v>364</v>
      </c>
      <c r="D1121" s="160"/>
      <c r="E1121" s="153"/>
      <c r="F1121" s="153"/>
      <c r="G1121" s="153"/>
      <c r="H1121" s="201"/>
      <c r="I1121" s="212"/>
      <c r="J1121" s="184"/>
      <c r="K1121" s="419"/>
      <c r="L1121" s="184"/>
      <c r="M1121" s="223"/>
      <c r="N1121" s="183"/>
      <c r="O1121" s="226"/>
      <c r="P1121" s="207"/>
      <c r="Q1121" s="569"/>
    </row>
    <row r="1122" spans="1:17" ht="15.75" hidden="1" customHeight="1" outlineLevel="3">
      <c r="A1122" s="274"/>
      <c r="B1122" s="143"/>
      <c r="C1122" s="142" t="s">
        <v>382</v>
      </c>
      <c r="D1122" s="160"/>
      <c r="E1122" s="153"/>
      <c r="F1122" s="153"/>
      <c r="G1122" s="153"/>
      <c r="H1122" s="201"/>
      <c r="I1122" s="212"/>
      <c r="J1122" s="184"/>
      <c r="K1122" s="419"/>
      <c r="L1122" s="184"/>
      <c r="M1122" s="223"/>
      <c r="N1122" s="183"/>
      <c r="O1122" s="226"/>
      <c r="P1122" s="207"/>
      <c r="Q1122" s="569"/>
    </row>
    <row r="1123" spans="1:17" ht="15.75" hidden="1" customHeight="1" outlineLevel="3">
      <c r="A1123" s="274"/>
      <c r="B1123" s="143"/>
      <c r="C1123" s="213" t="s">
        <v>366</v>
      </c>
      <c r="D1123" s="160"/>
      <c r="E1123" s="153"/>
      <c r="F1123" s="153"/>
      <c r="G1123" s="153"/>
      <c r="H1123" s="201"/>
      <c r="I1123" s="212"/>
      <c r="J1123" s="184"/>
      <c r="K1123" s="419"/>
      <c r="L1123" s="184"/>
      <c r="M1123" s="223"/>
      <c r="N1123" s="183"/>
      <c r="O1123" s="226"/>
      <c r="P1123" s="207"/>
      <c r="Q1123" s="569"/>
    </row>
    <row r="1124" spans="1:17" ht="15.75" hidden="1" customHeight="1" outlineLevel="3">
      <c r="A1124" s="274"/>
      <c r="B1124" s="143"/>
      <c r="C1124" s="213" t="s">
        <v>358</v>
      </c>
      <c r="D1124" s="160"/>
      <c r="E1124" s="153"/>
      <c r="F1124" s="153"/>
      <c r="G1124" s="153"/>
      <c r="H1124" s="201"/>
      <c r="I1124" s="212"/>
      <c r="J1124" s="184"/>
      <c r="K1124" s="419"/>
      <c r="L1124" s="184"/>
      <c r="M1124" s="223"/>
      <c r="N1124" s="183"/>
      <c r="O1124" s="226"/>
      <c r="P1124" s="207"/>
      <c r="Q1124" s="569"/>
    </row>
    <row r="1125" spans="1:17" ht="15.75" hidden="1" customHeight="1" outlineLevel="3">
      <c r="A1125" s="274"/>
      <c r="B1125" s="143"/>
      <c r="C1125" s="213" t="s">
        <v>367</v>
      </c>
      <c r="D1125" s="160"/>
      <c r="E1125" s="153"/>
      <c r="F1125" s="153"/>
      <c r="G1125" s="153"/>
      <c r="H1125" s="201"/>
      <c r="I1125" s="212"/>
      <c r="J1125" s="184"/>
      <c r="K1125" s="419"/>
      <c r="L1125" s="184"/>
      <c r="M1125" s="223"/>
      <c r="N1125" s="183"/>
      <c r="O1125" s="226"/>
      <c r="P1125" s="207"/>
      <c r="Q1125" s="569"/>
    </row>
    <row r="1126" spans="1:17" ht="15.75" hidden="1" customHeight="1" outlineLevel="3">
      <c r="A1126" s="274"/>
      <c r="B1126" s="143"/>
      <c r="C1126" s="213" t="s">
        <v>368</v>
      </c>
      <c r="D1126" s="160"/>
      <c r="E1126" s="153"/>
      <c r="F1126" s="153"/>
      <c r="G1126" s="153"/>
      <c r="H1126" s="201"/>
      <c r="I1126" s="212"/>
      <c r="J1126" s="184"/>
      <c r="K1126" s="419"/>
      <c r="L1126" s="184"/>
      <c r="M1126" s="223"/>
      <c r="N1126" s="183"/>
      <c r="O1126" s="226"/>
      <c r="P1126" s="207"/>
      <c r="Q1126" s="569"/>
    </row>
    <row r="1127" spans="1:17" ht="15.75" hidden="1" customHeight="1" outlineLevel="3">
      <c r="A1127" s="274"/>
      <c r="B1127" s="143"/>
      <c r="C1127" s="142" t="s">
        <v>383</v>
      </c>
      <c r="D1127" s="160"/>
      <c r="E1127" s="153"/>
      <c r="F1127" s="153"/>
      <c r="G1127" s="153"/>
      <c r="H1127" s="201"/>
      <c r="I1127" s="212"/>
      <c r="J1127" s="184"/>
      <c r="K1127" s="419"/>
      <c r="L1127" s="184"/>
      <c r="M1127" s="223"/>
      <c r="N1127" s="183"/>
      <c r="O1127" s="226"/>
      <c r="P1127" s="207"/>
      <c r="Q1127" s="569"/>
    </row>
    <row r="1128" spans="1:17" ht="15.75" hidden="1" customHeight="1" outlineLevel="3">
      <c r="A1128" s="274"/>
      <c r="B1128" s="143"/>
      <c r="C1128" s="213" t="s">
        <v>370</v>
      </c>
      <c r="D1128" s="160"/>
      <c r="E1128" s="153"/>
      <c r="F1128" s="153"/>
      <c r="G1128" s="153"/>
      <c r="H1128" s="201"/>
      <c r="I1128" s="212"/>
      <c r="J1128" s="184"/>
      <c r="K1128" s="419"/>
      <c r="L1128" s="184"/>
      <c r="M1128" s="223"/>
      <c r="N1128" s="183"/>
      <c r="O1128" s="226"/>
      <c r="P1128" s="207"/>
      <c r="Q1128" s="569"/>
    </row>
    <row r="1129" spans="1:17" ht="15.75" hidden="1" customHeight="1" outlineLevel="3">
      <c r="A1129" s="274"/>
      <c r="B1129" s="143"/>
      <c r="C1129" s="213" t="s">
        <v>371</v>
      </c>
      <c r="D1129" s="160"/>
      <c r="E1129" s="153"/>
      <c r="F1129" s="153"/>
      <c r="G1129" s="153"/>
      <c r="H1129" s="201"/>
      <c r="I1129" s="212"/>
      <c r="J1129" s="184"/>
      <c r="K1129" s="419"/>
      <c r="L1129" s="184"/>
      <c r="M1129" s="223"/>
      <c r="N1129" s="183"/>
      <c r="O1129" s="226"/>
      <c r="P1129" s="207"/>
      <c r="Q1129" s="569"/>
    </row>
    <row r="1130" spans="1:17" ht="15.75" hidden="1" customHeight="1" outlineLevel="3">
      <c r="A1130" s="274"/>
      <c r="B1130" s="143"/>
      <c r="C1130" s="213" t="s">
        <v>372</v>
      </c>
      <c r="D1130" s="160"/>
      <c r="E1130" s="153"/>
      <c r="F1130" s="153"/>
      <c r="G1130" s="153"/>
      <c r="H1130" s="201"/>
      <c r="I1130" s="212"/>
      <c r="J1130" s="184"/>
      <c r="K1130" s="419"/>
      <c r="L1130" s="184">
        <v>170000</v>
      </c>
      <c r="M1130" s="223">
        <f>L1130*1.46</f>
        <v>248200</v>
      </c>
      <c r="N1130" s="183"/>
      <c r="O1130" s="226"/>
      <c r="P1130" s="150">
        <f t="shared" ref="P1130" si="78">SUM(I1130,K1130,M1130,O1130)</f>
        <v>248200</v>
      </c>
      <c r="Q1130" s="569"/>
    </row>
    <row r="1131" spans="1:17" ht="15.75" hidden="1" customHeight="1" outlineLevel="3">
      <c r="A1131" s="274"/>
      <c r="B1131" s="143"/>
      <c r="C1131" s="213" t="s">
        <v>373</v>
      </c>
      <c r="D1131" s="160"/>
      <c r="E1131" s="153"/>
      <c r="F1131" s="153"/>
      <c r="G1131" s="153"/>
      <c r="H1131" s="201"/>
      <c r="I1131" s="212"/>
      <c r="J1131" s="184"/>
      <c r="K1131" s="419"/>
      <c r="L1131" s="184"/>
      <c r="M1131" s="223"/>
      <c r="N1131" s="183"/>
      <c r="O1131" s="226"/>
      <c r="P1131" s="207"/>
      <c r="Q1131" s="568"/>
    </row>
    <row r="1132" spans="1:17" ht="15.75" hidden="1" customHeight="1" outlineLevel="3">
      <c r="A1132" s="274"/>
      <c r="B1132" s="143"/>
      <c r="C1132" s="142" t="s">
        <v>384</v>
      </c>
      <c r="D1132" s="160"/>
      <c r="E1132" s="153"/>
      <c r="F1132" s="153"/>
      <c r="G1132" s="153"/>
      <c r="H1132" s="201"/>
      <c r="I1132" s="212"/>
      <c r="J1132" s="184"/>
      <c r="K1132" s="419"/>
      <c r="L1132" s="184"/>
      <c r="M1132" s="223"/>
      <c r="N1132" s="183"/>
      <c r="O1132" s="226"/>
      <c r="P1132" s="207"/>
      <c r="Q1132" s="569"/>
    </row>
    <row r="1133" spans="1:17" ht="15.75" hidden="1" customHeight="1" outlineLevel="3">
      <c r="A1133" s="274"/>
      <c r="B1133" s="143"/>
      <c r="C1133" s="162" t="s">
        <v>375</v>
      </c>
      <c r="D1133" s="160"/>
      <c r="E1133" s="153"/>
      <c r="F1133" s="153"/>
      <c r="G1133" s="153"/>
      <c r="H1133" s="201"/>
      <c r="I1133" s="212"/>
      <c r="J1133" s="184"/>
      <c r="K1133" s="419"/>
      <c r="L1133" s="184"/>
      <c r="M1133" s="223"/>
      <c r="N1133" s="183"/>
      <c r="O1133" s="226"/>
      <c r="P1133" s="207"/>
      <c r="Q1133" s="569"/>
    </row>
    <row r="1134" spans="1:17" ht="15.75" hidden="1" customHeight="1" outlineLevel="3">
      <c r="A1134" s="274"/>
      <c r="B1134" s="143"/>
      <c r="C1134" s="162" t="s">
        <v>376</v>
      </c>
      <c r="D1134" s="160"/>
      <c r="E1134" s="153"/>
      <c r="F1134" s="153"/>
      <c r="G1134" s="153"/>
      <c r="H1134" s="201"/>
      <c r="I1134" s="212"/>
      <c r="J1134" s="184"/>
      <c r="K1134" s="419"/>
      <c r="L1134" s="184"/>
      <c r="M1134" s="223"/>
      <c r="N1134" s="183"/>
      <c r="O1134" s="226"/>
      <c r="P1134" s="207"/>
      <c r="Q1134" s="569"/>
    </row>
    <row r="1135" spans="1:17" ht="15.75" hidden="1" customHeight="1" outlineLevel="3">
      <c r="A1135" s="274"/>
      <c r="B1135" s="143"/>
      <c r="C1135" s="162" t="s">
        <v>377</v>
      </c>
      <c r="D1135" s="160"/>
      <c r="E1135" s="153"/>
      <c r="F1135" s="153"/>
      <c r="G1135" s="153"/>
      <c r="H1135" s="201"/>
      <c r="I1135" s="212"/>
      <c r="J1135" s="184"/>
      <c r="K1135" s="419"/>
      <c r="L1135" s="184"/>
      <c r="M1135" s="223"/>
      <c r="N1135" s="183"/>
      <c r="O1135" s="226"/>
      <c r="P1135" s="207"/>
      <c r="Q1135" s="569"/>
    </row>
    <row r="1136" spans="1:17" ht="15.75" hidden="1" customHeight="1" outlineLevel="3">
      <c r="A1136" s="274"/>
      <c r="B1136" s="143"/>
      <c r="C1136" s="162" t="s">
        <v>400</v>
      </c>
      <c r="D1136" s="160"/>
      <c r="E1136" s="153"/>
      <c r="F1136" s="153"/>
      <c r="G1136" s="153"/>
      <c r="H1136" s="201"/>
      <c r="I1136" s="212"/>
      <c r="J1136" s="184"/>
      <c r="K1136" s="419"/>
      <c r="L1136" s="184"/>
      <c r="M1136" s="223"/>
      <c r="N1136" s="183"/>
      <c r="O1136" s="226"/>
      <c r="P1136" s="207"/>
      <c r="Q1136" s="568"/>
    </row>
    <row r="1137" spans="1:17" s="130" customFormat="1" ht="15.75" hidden="1" customHeight="1" outlineLevel="2" collapsed="1">
      <c r="A1137" s="275"/>
      <c r="B1137" s="250"/>
      <c r="C1137" s="142" t="s">
        <v>465</v>
      </c>
      <c r="D1137" s="180"/>
      <c r="E1137" s="148"/>
      <c r="F1137" s="148"/>
      <c r="G1137" s="148"/>
      <c r="H1137" s="205"/>
      <c r="I1137" s="156"/>
      <c r="J1137" s="184"/>
      <c r="K1137" s="222"/>
      <c r="L1137" s="184">
        <f>SUM(L1111:L1136)</f>
        <v>320000</v>
      </c>
      <c r="M1137" s="222">
        <f>L1137*1.46</f>
        <v>467200</v>
      </c>
      <c r="N1137" s="183"/>
      <c r="O1137" s="226"/>
      <c r="P1137" s="150">
        <f t="shared" ref="P1137" si="79">SUM(I1137,K1137,M1137,O1137)</f>
        <v>467200</v>
      </c>
      <c r="Q1137" s="569" t="s">
        <v>1299</v>
      </c>
    </row>
    <row r="1138" spans="1:17" s="211" customFormat="1" ht="15.75" hidden="1" customHeight="1" outlineLevel="3">
      <c r="A1138" s="551"/>
      <c r="B1138" s="142" t="s">
        <v>466</v>
      </c>
      <c r="C1138" s="159"/>
      <c r="D1138" s="180"/>
      <c r="E1138" s="148"/>
      <c r="F1138" s="148"/>
      <c r="G1138" s="148"/>
      <c r="H1138" s="198"/>
      <c r="I1138" s="146"/>
      <c r="J1138" s="147"/>
      <c r="K1138" s="221"/>
      <c r="L1138" s="147"/>
      <c r="M1138" s="219"/>
      <c r="N1138" s="149"/>
      <c r="O1138" s="226"/>
      <c r="P1138" s="218"/>
      <c r="Q1138" s="569"/>
    </row>
    <row r="1139" spans="1:17" ht="15.75" hidden="1" customHeight="1" outlineLevel="3">
      <c r="A1139" s="274"/>
      <c r="B1139" s="143"/>
      <c r="C1139" s="142" t="s">
        <v>380</v>
      </c>
      <c r="D1139" s="160"/>
      <c r="E1139" s="153"/>
      <c r="F1139" s="153"/>
      <c r="G1139" s="153"/>
      <c r="H1139" s="206"/>
      <c r="I1139" s="212"/>
      <c r="J1139" s="184"/>
      <c r="K1139" s="221"/>
      <c r="L1139" s="184"/>
      <c r="M1139" s="219"/>
      <c r="N1139" s="183"/>
      <c r="O1139" s="226"/>
      <c r="P1139" s="207"/>
      <c r="Q1139" s="569"/>
    </row>
    <row r="1140" spans="1:17" ht="15.75" hidden="1" customHeight="1" outlineLevel="3">
      <c r="A1140" s="274"/>
      <c r="B1140" s="143"/>
      <c r="C1140" s="213" t="s">
        <v>396</v>
      </c>
      <c r="D1140" s="160"/>
      <c r="E1140" s="153"/>
      <c r="F1140" s="153"/>
      <c r="G1140" s="153"/>
      <c r="H1140" s="206"/>
      <c r="I1140" s="212"/>
      <c r="J1140" s="184"/>
      <c r="K1140" s="221"/>
      <c r="L1140" s="184"/>
      <c r="M1140" s="219"/>
      <c r="N1140" s="183"/>
      <c r="O1140" s="226"/>
      <c r="P1140" s="207"/>
      <c r="Q1140" s="569"/>
    </row>
    <row r="1141" spans="1:17" ht="15.75" hidden="1" customHeight="1" outlineLevel="3">
      <c r="A1141" s="274"/>
      <c r="B1141" s="143"/>
      <c r="C1141" s="213" t="s">
        <v>357</v>
      </c>
      <c r="D1141" s="160"/>
      <c r="E1141" s="153"/>
      <c r="F1141" s="153"/>
      <c r="G1141" s="153"/>
      <c r="H1141" s="206"/>
      <c r="I1141" s="212"/>
      <c r="J1141" s="184"/>
      <c r="K1141" s="221"/>
      <c r="L1141" s="184"/>
      <c r="M1141" s="219"/>
      <c r="N1141" s="183">
        <v>150000</v>
      </c>
      <c r="O1141" s="226">
        <f>N1141*1.73</f>
        <v>259500</v>
      </c>
      <c r="P1141" s="150">
        <f t="shared" ref="P1141" si="80">SUM(I1141,K1141,M1141,O1141)</f>
        <v>259500</v>
      </c>
      <c r="Q1141" s="569"/>
    </row>
    <row r="1142" spans="1:17" ht="15.75" hidden="1" customHeight="1" outlineLevel="3">
      <c r="A1142" s="274"/>
      <c r="B1142" s="143"/>
      <c r="C1142" s="213" t="s">
        <v>358</v>
      </c>
      <c r="D1142" s="160"/>
      <c r="E1142" s="153"/>
      <c r="F1142" s="153"/>
      <c r="G1142" s="153"/>
      <c r="H1142" s="206"/>
      <c r="I1142" s="203"/>
      <c r="J1142" s="186"/>
      <c r="K1142" s="221"/>
      <c r="L1142" s="184"/>
      <c r="M1142" s="219"/>
      <c r="N1142" s="183"/>
      <c r="O1142" s="226"/>
      <c r="P1142" s="207"/>
      <c r="Q1142" s="569"/>
    </row>
    <row r="1143" spans="1:17" ht="15.75" hidden="1" customHeight="1" outlineLevel="3">
      <c r="A1143" s="274"/>
      <c r="B1143" s="143"/>
      <c r="C1143" s="213" t="s">
        <v>359</v>
      </c>
      <c r="D1143" s="160"/>
      <c r="E1143" s="153"/>
      <c r="F1143" s="153"/>
      <c r="G1143" s="153" t="s">
        <v>390</v>
      </c>
      <c r="H1143" s="206"/>
      <c r="I1143" s="212"/>
      <c r="J1143" s="184"/>
      <c r="K1143" s="221"/>
      <c r="L1143" s="184"/>
      <c r="M1143" s="219"/>
      <c r="N1143" s="183"/>
      <c r="O1143" s="226"/>
      <c r="P1143" s="207"/>
      <c r="Q1143" s="569"/>
    </row>
    <row r="1144" spans="1:17" ht="15.75" hidden="1" customHeight="1" outlineLevel="3">
      <c r="A1144" s="274"/>
      <c r="B1144" s="143"/>
      <c r="C1144" s="213" t="s">
        <v>388</v>
      </c>
      <c r="D1144" s="160"/>
      <c r="E1144" s="153"/>
      <c r="F1144" s="153"/>
      <c r="G1144" s="153"/>
      <c r="H1144" s="206"/>
      <c r="I1144" s="212"/>
      <c r="J1144" s="184"/>
      <c r="K1144" s="221"/>
      <c r="L1144" s="184"/>
      <c r="M1144" s="219"/>
      <c r="N1144" s="183"/>
      <c r="O1144" s="226"/>
      <c r="P1144" s="207"/>
      <c r="Q1144" s="569"/>
    </row>
    <row r="1145" spans="1:17" ht="15.75" hidden="1" customHeight="1" outlineLevel="3">
      <c r="A1145" s="274"/>
      <c r="B1145" s="143"/>
      <c r="C1145" s="142" t="s">
        <v>381</v>
      </c>
      <c r="D1145" s="160"/>
      <c r="E1145" s="153"/>
      <c r="F1145" s="153"/>
      <c r="G1145" s="153"/>
      <c r="H1145" s="206"/>
      <c r="I1145" s="212"/>
      <c r="J1145" s="184"/>
      <c r="K1145" s="221"/>
      <c r="L1145" s="184"/>
      <c r="M1145" s="219"/>
      <c r="N1145" s="183"/>
      <c r="O1145" s="226"/>
      <c r="P1145" s="207"/>
      <c r="Q1145" s="569"/>
    </row>
    <row r="1146" spans="1:17" ht="15.75" hidden="1" customHeight="1" outlineLevel="3">
      <c r="A1146" s="274"/>
      <c r="B1146" s="143"/>
      <c r="C1146" s="213" t="s">
        <v>362</v>
      </c>
      <c r="D1146" s="160"/>
      <c r="E1146" s="153"/>
      <c r="F1146" s="153"/>
      <c r="G1146" s="153"/>
      <c r="H1146" s="206"/>
      <c r="I1146" s="212"/>
      <c r="J1146" s="184"/>
      <c r="K1146" s="221"/>
      <c r="L1146" s="184"/>
      <c r="M1146" s="219"/>
      <c r="N1146" s="183"/>
      <c r="O1146" s="226"/>
      <c r="P1146" s="207"/>
      <c r="Q1146" s="569"/>
    </row>
    <row r="1147" spans="1:17" ht="15.75" hidden="1" customHeight="1" outlineLevel="3">
      <c r="A1147" s="274"/>
      <c r="B1147" s="143"/>
      <c r="C1147" s="213" t="s">
        <v>363</v>
      </c>
      <c r="D1147" s="160"/>
      <c r="E1147" s="153"/>
      <c r="F1147" s="153"/>
      <c r="G1147" s="153"/>
      <c r="H1147" s="206"/>
      <c r="I1147" s="212"/>
      <c r="J1147" s="184"/>
      <c r="K1147" s="221"/>
      <c r="L1147" s="184"/>
      <c r="M1147" s="219"/>
      <c r="N1147" s="183"/>
      <c r="O1147" s="226"/>
      <c r="P1147" s="207"/>
      <c r="Q1147" s="569"/>
    </row>
    <row r="1148" spans="1:17" ht="15.75" hidden="1" customHeight="1" outlineLevel="3">
      <c r="A1148" s="274"/>
      <c r="B1148" s="143"/>
      <c r="C1148" s="213" t="s">
        <v>358</v>
      </c>
      <c r="D1148" s="160"/>
      <c r="E1148" s="153"/>
      <c r="F1148" s="153"/>
      <c r="G1148" s="153"/>
      <c r="H1148" s="206"/>
      <c r="I1148" s="212"/>
      <c r="J1148" s="184"/>
      <c r="K1148" s="221"/>
      <c r="L1148" s="184"/>
      <c r="M1148" s="219"/>
      <c r="N1148" s="183"/>
      <c r="O1148" s="226"/>
      <c r="P1148" s="207"/>
      <c r="Q1148" s="569"/>
    </row>
    <row r="1149" spans="1:17" ht="15.75" hidden="1" customHeight="1" outlineLevel="3">
      <c r="A1149" s="274"/>
      <c r="B1149" s="143"/>
      <c r="C1149" s="213" t="s">
        <v>364</v>
      </c>
      <c r="D1149" s="160"/>
      <c r="E1149" s="153"/>
      <c r="F1149" s="153"/>
      <c r="G1149" s="153"/>
      <c r="H1149" s="206"/>
      <c r="I1149" s="212"/>
      <c r="J1149" s="184"/>
      <c r="K1149" s="221"/>
      <c r="L1149" s="184"/>
      <c r="M1149" s="219"/>
      <c r="N1149" s="183"/>
      <c r="O1149" s="226"/>
      <c r="P1149" s="207"/>
      <c r="Q1149" s="569"/>
    </row>
    <row r="1150" spans="1:17" ht="15.75" hidden="1" customHeight="1" outlineLevel="3">
      <c r="A1150" s="274"/>
      <c r="B1150" s="143"/>
      <c r="C1150" s="142" t="s">
        <v>382</v>
      </c>
      <c r="D1150" s="160"/>
      <c r="E1150" s="153"/>
      <c r="F1150" s="153"/>
      <c r="G1150" s="153"/>
      <c r="H1150" s="206"/>
      <c r="I1150" s="212"/>
      <c r="J1150" s="184"/>
      <c r="K1150" s="221"/>
      <c r="L1150" s="184"/>
      <c r="M1150" s="219"/>
      <c r="N1150" s="183"/>
      <c r="O1150" s="226"/>
      <c r="P1150" s="207"/>
      <c r="Q1150" s="569"/>
    </row>
    <row r="1151" spans="1:17" ht="15.75" hidden="1" customHeight="1" outlineLevel="3">
      <c r="A1151" s="274"/>
      <c r="B1151" s="143"/>
      <c r="C1151" s="213" t="s">
        <v>366</v>
      </c>
      <c r="D1151" s="160"/>
      <c r="E1151" s="153"/>
      <c r="F1151" s="153"/>
      <c r="G1151" s="153"/>
      <c r="H1151" s="206"/>
      <c r="I1151" s="212"/>
      <c r="J1151" s="184"/>
      <c r="K1151" s="221"/>
      <c r="L1151" s="184"/>
      <c r="M1151" s="219"/>
      <c r="N1151" s="183"/>
      <c r="O1151" s="226"/>
      <c r="P1151" s="207"/>
      <c r="Q1151" s="569"/>
    </row>
    <row r="1152" spans="1:17" ht="15.75" hidden="1" customHeight="1" outlineLevel="3">
      <c r="A1152" s="274"/>
      <c r="B1152" s="143"/>
      <c r="C1152" s="213" t="s">
        <v>358</v>
      </c>
      <c r="D1152" s="160"/>
      <c r="E1152" s="153"/>
      <c r="F1152" s="153"/>
      <c r="G1152" s="153"/>
      <c r="H1152" s="206"/>
      <c r="I1152" s="212"/>
      <c r="J1152" s="184"/>
      <c r="K1152" s="221"/>
      <c r="L1152" s="184"/>
      <c r="M1152" s="219"/>
      <c r="N1152" s="183"/>
      <c r="O1152" s="226"/>
      <c r="P1152" s="207"/>
      <c r="Q1152" s="569"/>
    </row>
    <row r="1153" spans="1:17" ht="15.75" hidden="1" customHeight="1" outlineLevel="3">
      <c r="A1153" s="274"/>
      <c r="B1153" s="143"/>
      <c r="C1153" s="213" t="s">
        <v>367</v>
      </c>
      <c r="D1153" s="160"/>
      <c r="E1153" s="153"/>
      <c r="F1153" s="153"/>
      <c r="G1153" s="153"/>
      <c r="H1153" s="206"/>
      <c r="I1153" s="212"/>
      <c r="J1153" s="184"/>
      <c r="K1153" s="221"/>
      <c r="L1153" s="184"/>
      <c r="M1153" s="219"/>
      <c r="N1153" s="183"/>
      <c r="O1153" s="226"/>
      <c r="P1153" s="207"/>
      <c r="Q1153" s="569"/>
    </row>
    <row r="1154" spans="1:17" ht="15.75" hidden="1" customHeight="1" outlineLevel="3">
      <c r="A1154" s="274"/>
      <c r="B1154" s="143"/>
      <c r="C1154" s="213" t="s">
        <v>368</v>
      </c>
      <c r="D1154" s="160"/>
      <c r="E1154" s="153"/>
      <c r="F1154" s="153"/>
      <c r="G1154" s="153"/>
      <c r="H1154" s="206"/>
      <c r="I1154" s="212"/>
      <c r="J1154" s="184"/>
      <c r="K1154" s="221"/>
      <c r="L1154" s="184"/>
      <c r="M1154" s="219"/>
      <c r="N1154" s="183"/>
      <c r="O1154" s="226"/>
      <c r="P1154" s="207"/>
      <c r="Q1154" s="569"/>
    </row>
    <row r="1155" spans="1:17" ht="15.75" hidden="1" customHeight="1" outlineLevel="3">
      <c r="A1155" s="274"/>
      <c r="B1155" s="143"/>
      <c r="C1155" s="142" t="s">
        <v>383</v>
      </c>
      <c r="D1155" s="160"/>
      <c r="E1155" s="153"/>
      <c r="F1155" s="153"/>
      <c r="G1155" s="153"/>
      <c r="H1155" s="206"/>
      <c r="I1155" s="212"/>
      <c r="J1155" s="184"/>
      <c r="K1155" s="221"/>
      <c r="L1155" s="184"/>
      <c r="M1155" s="219"/>
      <c r="N1155" s="183"/>
      <c r="O1155" s="226"/>
      <c r="P1155" s="207"/>
      <c r="Q1155" s="569"/>
    </row>
    <row r="1156" spans="1:17" ht="15.75" hidden="1" customHeight="1" outlineLevel="3">
      <c r="A1156" s="274"/>
      <c r="B1156" s="143"/>
      <c r="C1156" s="213" t="s">
        <v>370</v>
      </c>
      <c r="D1156" s="160"/>
      <c r="E1156" s="153"/>
      <c r="F1156" s="153"/>
      <c r="G1156" s="153"/>
      <c r="H1156" s="206"/>
      <c r="I1156" s="212"/>
      <c r="J1156" s="184"/>
      <c r="K1156" s="221"/>
      <c r="L1156" s="184"/>
      <c r="M1156" s="219"/>
      <c r="N1156" s="183"/>
      <c r="O1156" s="226"/>
      <c r="P1156" s="207"/>
      <c r="Q1156" s="569"/>
    </row>
    <row r="1157" spans="1:17" ht="15.75" hidden="1" customHeight="1" outlineLevel="3">
      <c r="A1157" s="274"/>
      <c r="B1157" s="143"/>
      <c r="C1157" s="213" t="s">
        <v>371</v>
      </c>
      <c r="D1157" s="160"/>
      <c r="E1157" s="153"/>
      <c r="F1157" s="153"/>
      <c r="G1157" s="153"/>
      <c r="H1157" s="206"/>
      <c r="I1157" s="212"/>
      <c r="J1157" s="184"/>
      <c r="K1157" s="221"/>
      <c r="L1157" s="184"/>
      <c r="M1157" s="219"/>
      <c r="N1157" s="183"/>
      <c r="O1157" s="226"/>
      <c r="P1157" s="207"/>
      <c r="Q1157" s="569"/>
    </row>
    <row r="1158" spans="1:17" ht="15.75" hidden="1" customHeight="1" outlineLevel="3">
      <c r="A1158" s="274"/>
      <c r="B1158" s="143"/>
      <c r="C1158" s="213" t="s">
        <v>372</v>
      </c>
      <c r="D1158" s="160"/>
      <c r="E1158" s="153"/>
      <c r="F1158" s="153"/>
      <c r="G1158" s="153"/>
      <c r="H1158" s="206"/>
      <c r="I1158" s="212"/>
      <c r="J1158" s="184"/>
      <c r="K1158" s="221"/>
      <c r="L1158" s="184"/>
      <c r="M1158" s="219"/>
      <c r="N1158" s="183">
        <v>170000</v>
      </c>
      <c r="O1158" s="226">
        <f>N1158*1.73</f>
        <v>294100</v>
      </c>
      <c r="P1158" s="150">
        <f t="shared" ref="P1158" si="81">SUM(I1158,K1158,M1158,O1158)</f>
        <v>294100</v>
      </c>
      <c r="Q1158" s="569"/>
    </row>
    <row r="1159" spans="1:17" ht="15.75" hidden="1" customHeight="1" outlineLevel="3">
      <c r="A1159" s="274"/>
      <c r="B1159" s="143"/>
      <c r="C1159" s="213" t="s">
        <v>373</v>
      </c>
      <c r="D1159" s="160"/>
      <c r="E1159" s="153"/>
      <c r="F1159" s="153"/>
      <c r="G1159" s="153"/>
      <c r="H1159" s="206"/>
      <c r="I1159" s="212"/>
      <c r="J1159" s="184"/>
      <c r="K1159" s="221"/>
      <c r="L1159" s="184"/>
      <c r="M1159" s="219"/>
      <c r="N1159" s="183"/>
      <c r="O1159" s="226"/>
      <c r="P1159" s="207"/>
      <c r="Q1159" s="568"/>
    </row>
    <row r="1160" spans="1:17" ht="15.75" hidden="1" customHeight="1" outlineLevel="3">
      <c r="A1160" s="274"/>
      <c r="B1160" s="143"/>
      <c r="C1160" s="142" t="s">
        <v>384</v>
      </c>
      <c r="D1160" s="160"/>
      <c r="E1160" s="153"/>
      <c r="F1160" s="153"/>
      <c r="G1160" s="153"/>
      <c r="H1160" s="206"/>
      <c r="I1160" s="212"/>
      <c r="J1160" s="184"/>
      <c r="K1160" s="221"/>
      <c r="L1160" s="184"/>
      <c r="M1160" s="219"/>
      <c r="N1160" s="183"/>
      <c r="O1160" s="226"/>
      <c r="P1160" s="207"/>
      <c r="Q1160" s="569"/>
    </row>
    <row r="1161" spans="1:17" ht="15.75" hidden="1" customHeight="1" outlineLevel="3">
      <c r="A1161" s="274"/>
      <c r="B1161" s="143"/>
      <c r="C1161" s="162" t="s">
        <v>375</v>
      </c>
      <c r="D1161" s="160"/>
      <c r="E1161" s="153"/>
      <c r="F1161" s="153"/>
      <c r="G1161" s="153"/>
      <c r="H1161" s="206"/>
      <c r="I1161" s="212"/>
      <c r="J1161" s="184"/>
      <c r="K1161" s="221"/>
      <c r="L1161" s="184"/>
      <c r="M1161" s="219"/>
      <c r="N1161" s="183"/>
      <c r="O1161" s="226"/>
      <c r="P1161" s="207"/>
      <c r="Q1161" s="569"/>
    </row>
    <row r="1162" spans="1:17" ht="15.75" hidden="1" customHeight="1" outlineLevel="3">
      <c r="A1162" s="274"/>
      <c r="B1162" s="143"/>
      <c r="C1162" s="162" t="s">
        <v>376</v>
      </c>
      <c r="D1162" s="160"/>
      <c r="E1162" s="153"/>
      <c r="F1162" s="153"/>
      <c r="G1162" s="153"/>
      <c r="H1162" s="206"/>
      <c r="I1162" s="212"/>
      <c r="J1162" s="184"/>
      <c r="K1162" s="221"/>
      <c r="L1162" s="184"/>
      <c r="M1162" s="219"/>
      <c r="N1162" s="183"/>
      <c r="O1162" s="226"/>
      <c r="P1162" s="207"/>
      <c r="Q1162" s="569"/>
    </row>
    <row r="1163" spans="1:17" ht="15.75" hidden="1" customHeight="1" outlineLevel="3">
      <c r="A1163" s="274"/>
      <c r="B1163" s="143"/>
      <c r="C1163" s="162" t="s">
        <v>377</v>
      </c>
      <c r="D1163" s="160"/>
      <c r="E1163" s="153"/>
      <c r="F1163" s="153"/>
      <c r="G1163" s="153"/>
      <c r="H1163" s="206"/>
      <c r="I1163" s="212"/>
      <c r="J1163" s="184"/>
      <c r="K1163" s="221"/>
      <c r="L1163" s="184"/>
      <c r="M1163" s="219"/>
      <c r="N1163" s="183"/>
      <c r="O1163" s="226"/>
      <c r="P1163" s="207"/>
      <c r="Q1163" s="569"/>
    </row>
    <row r="1164" spans="1:17" ht="15.75" hidden="1" customHeight="1" outlineLevel="3">
      <c r="A1164" s="274"/>
      <c r="B1164" s="143"/>
      <c r="C1164" s="162" t="s">
        <v>400</v>
      </c>
      <c r="D1164" s="160"/>
      <c r="E1164" s="153"/>
      <c r="F1164" s="153"/>
      <c r="G1164" s="153"/>
      <c r="H1164" s="206"/>
      <c r="I1164" s="212"/>
      <c r="J1164" s="184"/>
      <c r="K1164" s="221"/>
      <c r="L1164" s="184"/>
      <c r="M1164" s="219"/>
      <c r="N1164" s="183"/>
      <c r="O1164" s="226"/>
      <c r="P1164" s="207"/>
      <c r="Q1164" s="568"/>
    </row>
    <row r="1165" spans="1:17" s="130" customFormat="1" ht="15.75" hidden="1" customHeight="1" outlineLevel="2" collapsed="1">
      <c r="A1165" s="275"/>
      <c r="B1165" s="250"/>
      <c r="C1165" s="142" t="s">
        <v>466</v>
      </c>
      <c r="D1165" s="220"/>
      <c r="E1165" s="217"/>
      <c r="F1165" s="217"/>
      <c r="G1165" s="217"/>
      <c r="H1165" s="226"/>
      <c r="I1165" s="207"/>
      <c r="J1165" s="184" t="s">
        <v>390</v>
      </c>
      <c r="K1165" s="217"/>
      <c r="L1165" s="184"/>
      <c r="M1165" s="219"/>
      <c r="N1165" s="183">
        <f>SUM(N1139:N1164)</f>
        <v>320000</v>
      </c>
      <c r="O1165" s="226">
        <f>N1165*1.73</f>
        <v>553600</v>
      </c>
      <c r="P1165" s="150">
        <f t="shared" ref="P1165" si="82">SUM(I1165,K1165,M1165,O1165)</f>
        <v>553600</v>
      </c>
      <c r="Q1165" s="569" t="s">
        <v>1300</v>
      </c>
    </row>
    <row r="1166" spans="1:17" s="211" customFormat="1" ht="15.75" hidden="1" customHeight="1" outlineLevel="3">
      <c r="A1166" s="551"/>
      <c r="B1166" s="142" t="s">
        <v>469</v>
      </c>
      <c r="C1166" s="159"/>
      <c r="D1166" s="180"/>
      <c r="E1166" s="148"/>
      <c r="F1166" s="148"/>
      <c r="G1166" s="148"/>
      <c r="H1166" s="198"/>
      <c r="I1166" s="146"/>
      <c r="J1166" s="147"/>
      <c r="K1166" s="221"/>
      <c r="L1166" s="147"/>
      <c r="M1166" s="219"/>
      <c r="N1166" s="149"/>
      <c r="O1166" s="226"/>
      <c r="P1166" s="218"/>
      <c r="Q1166" s="569"/>
    </row>
    <row r="1167" spans="1:17" ht="15.75" hidden="1" customHeight="1" outlineLevel="3">
      <c r="A1167" s="274"/>
      <c r="B1167" s="143"/>
      <c r="C1167" s="142" t="s">
        <v>380</v>
      </c>
      <c r="D1167" s="160"/>
      <c r="E1167" s="153"/>
      <c r="F1167" s="153"/>
      <c r="G1167" s="153"/>
      <c r="H1167" s="206"/>
      <c r="I1167" s="212"/>
      <c r="J1167" s="184"/>
      <c r="K1167" s="221"/>
      <c r="L1167" s="184"/>
      <c r="M1167" s="219"/>
      <c r="N1167" s="183"/>
      <c r="O1167" s="226"/>
      <c r="P1167" s="207"/>
      <c r="Q1167" s="569"/>
    </row>
    <row r="1168" spans="1:17" ht="15.75" hidden="1" customHeight="1" outlineLevel="3">
      <c r="A1168" s="274"/>
      <c r="B1168" s="143"/>
      <c r="C1168" s="213" t="s">
        <v>396</v>
      </c>
      <c r="D1168" s="160"/>
      <c r="E1168" s="153"/>
      <c r="F1168" s="153"/>
      <c r="G1168" s="153"/>
      <c r="H1168" s="206"/>
      <c r="I1168" s="212"/>
      <c r="J1168" s="184"/>
      <c r="K1168" s="221"/>
      <c r="L1168" s="184"/>
      <c r="M1168" s="219"/>
      <c r="N1168" s="183"/>
      <c r="O1168" s="226"/>
      <c r="P1168" s="207"/>
      <c r="Q1168" s="569"/>
    </row>
    <row r="1169" spans="1:17" ht="15.75" hidden="1" customHeight="1" outlineLevel="3">
      <c r="A1169" s="274"/>
      <c r="B1169" s="143"/>
      <c r="C1169" s="213" t="s">
        <v>357</v>
      </c>
      <c r="D1169" s="160"/>
      <c r="E1169" s="153"/>
      <c r="F1169" s="153"/>
      <c r="G1169" s="153"/>
      <c r="H1169" s="206"/>
      <c r="I1169" s="212"/>
      <c r="J1169" s="184"/>
      <c r="K1169" s="221"/>
      <c r="L1169" s="184"/>
      <c r="M1169" s="219"/>
      <c r="N1169" s="183"/>
      <c r="O1169" s="226"/>
      <c r="P1169" s="207"/>
      <c r="Q1169" s="569"/>
    </row>
    <row r="1170" spans="1:17" ht="15.75" hidden="1" customHeight="1" outlineLevel="3">
      <c r="A1170" s="274"/>
      <c r="B1170" s="143"/>
      <c r="C1170" s="213" t="s">
        <v>358</v>
      </c>
      <c r="D1170" s="160"/>
      <c r="E1170" s="153"/>
      <c r="F1170" s="153"/>
      <c r="G1170" s="153"/>
      <c r="H1170" s="206"/>
      <c r="I1170" s="203"/>
      <c r="J1170" s="186"/>
      <c r="K1170" s="221"/>
      <c r="L1170" s="184"/>
      <c r="M1170" s="219"/>
      <c r="N1170" s="183"/>
      <c r="O1170" s="226"/>
      <c r="P1170" s="207"/>
      <c r="Q1170" s="569"/>
    </row>
    <row r="1171" spans="1:17" ht="15.75" hidden="1" customHeight="1" outlineLevel="3">
      <c r="A1171" s="274"/>
      <c r="B1171" s="143"/>
      <c r="C1171" s="213" t="s">
        <v>359</v>
      </c>
      <c r="D1171" s="160"/>
      <c r="E1171" s="153"/>
      <c r="F1171" s="153"/>
      <c r="G1171" s="153" t="s">
        <v>390</v>
      </c>
      <c r="H1171" s="206"/>
      <c r="I1171" s="212"/>
      <c r="J1171" s="184"/>
      <c r="K1171" s="221"/>
      <c r="L1171" s="184"/>
      <c r="M1171" s="219"/>
      <c r="N1171" s="183"/>
      <c r="O1171" s="226"/>
      <c r="P1171" s="207"/>
      <c r="Q1171" s="569"/>
    </row>
    <row r="1172" spans="1:17" ht="15.75" hidden="1" customHeight="1" outlineLevel="3">
      <c r="A1172" s="274"/>
      <c r="B1172" s="143"/>
      <c r="C1172" s="213" t="s">
        <v>388</v>
      </c>
      <c r="D1172" s="160"/>
      <c r="E1172" s="153"/>
      <c r="F1172" s="153"/>
      <c r="G1172" s="153"/>
      <c r="H1172" s="206"/>
      <c r="I1172" s="212"/>
      <c r="J1172" s="184"/>
      <c r="K1172" s="221"/>
      <c r="L1172" s="184"/>
      <c r="M1172" s="219"/>
      <c r="N1172" s="183"/>
      <c r="O1172" s="226"/>
      <c r="P1172" s="207"/>
      <c r="Q1172" s="569"/>
    </row>
    <row r="1173" spans="1:17" ht="15.75" hidden="1" customHeight="1" outlineLevel="3">
      <c r="A1173" s="274"/>
      <c r="B1173" s="143"/>
      <c r="C1173" s="142" t="s">
        <v>381</v>
      </c>
      <c r="D1173" s="160"/>
      <c r="E1173" s="153"/>
      <c r="F1173" s="153"/>
      <c r="G1173" s="153"/>
      <c r="H1173" s="206"/>
      <c r="I1173" s="212"/>
      <c r="J1173" s="184"/>
      <c r="K1173" s="221"/>
      <c r="L1173" s="184"/>
      <c r="M1173" s="219"/>
      <c r="N1173" s="183"/>
      <c r="O1173" s="226"/>
      <c r="P1173" s="207"/>
      <c r="Q1173" s="569"/>
    </row>
    <row r="1174" spans="1:17" ht="15.75" hidden="1" customHeight="1" outlineLevel="3">
      <c r="A1174" s="274"/>
      <c r="B1174" s="143"/>
      <c r="C1174" s="213" t="s">
        <v>362</v>
      </c>
      <c r="D1174" s="160"/>
      <c r="E1174" s="153"/>
      <c r="F1174" s="153"/>
      <c r="G1174" s="153"/>
      <c r="H1174" s="206"/>
      <c r="I1174" s="212"/>
      <c r="J1174" s="184"/>
      <c r="K1174" s="221"/>
      <c r="L1174" s="184"/>
      <c r="M1174" s="219"/>
      <c r="N1174" s="183"/>
      <c r="O1174" s="226"/>
      <c r="P1174" s="207"/>
      <c r="Q1174" s="569"/>
    </row>
    <row r="1175" spans="1:17" ht="15.75" hidden="1" customHeight="1" outlineLevel="3">
      <c r="A1175" s="274"/>
      <c r="B1175" s="143"/>
      <c r="C1175" s="213" t="s">
        <v>363</v>
      </c>
      <c r="D1175" s="160"/>
      <c r="E1175" s="153"/>
      <c r="F1175" s="153"/>
      <c r="G1175" s="153"/>
      <c r="H1175" s="206"/>
      <c r="I1175" s="212"/>
      <c r="J1175" s="184"/>
      <c r="K1175" s="221"/>
      <c r="L1175" s="184"/>
      <c r="M1175" s="219"/>
      <c r="N1175" s="183"/>
      <c r="O1175" s="226"/>
      <c r="P1175" s="207"/>
      <c r="Q1175" s="569"/>
    </row>
    <row r="1176" spans="1:17" ht="15.75" hidden="1" customHeight="1" outlineLevel="3">
      <c r="A1176" s="274"/>
      <c r="B1176" s="143"/>
      <c r="C1176" s="213" t="s">
        <v>358</v>
      </c>
      <c r="D1176" s="160"/>
      <c r="E1176" s="153"/>
      <c r="F1176" s="153"/>
      <c r="G1176" s="153"/>
      <c r="H1176" s="206"/>
      <c r="I1176" s="212"/>
      <c r="J1176" s="184"/>
      <c r="K1176" s="221"/>
      <c r="L1176" s="184"/>
      <c r="M1176" s="219"/>
      <c r="N1176" s="183"/>
      <c r="O1176" s="226"/>
      <c r="P1176" s="207"/>
      <c r="Q1176" s="569"/>
    </row>
    <row r="1177" spans="1:17" ht="15.75" hidden="1" customHeight="1" outlineLevel="3">
      <c r="A1177" s="274"/>
      <c r="B1177" s="143"/>
      <c r="C1177" s="213" t="s">
        <v>364</v>
      </c>
      <c r="D1177" s="160"/>
      <c r="E1177" s="153"/>
      <c r="F1177" s="153"/>
      <c r="G1177" s="153"/>
      <c r="H1177" s="206"/>
      <c r="I1177" s="212"/>
      <c r="J1177" s="184"/>
      <c r="K1177" s="221"/>
      <c r="L1177" s="184"/>
      <c r="M1177" s="219"/>
      <c r="N1177" s="183"/>
      <c r="O1177" s="226"/>
      <c r="P1177" s="207"/>
      <c r="Q1177" s="569"/>
    </row>
    <row r="1178" spans="1:17" ht="15.75" hidden="1" customHeight="1" outlineLevel="3">
      <c r="A1178" s="274"/>
      <c r="B1178" s="143"/>
      <c r="C1178" s="142" t="s">
        <v>382</v>
      </c>
      <c r="D1178" s="160"/>
      <c r="E1178" s="153"/>
      <c r="F1178" s="153"/>
      <c r="G1178" s="153"/>
      <c r="H1178" s="206"/>
      <c r="I1178" s="212"/>
      <c r="J1178" s="184"/>
      <c r="K1178" s="221"/>
      <c r="L1178" s="184"/>
      <c r="M1178" s="219"/>
      <c r="N1178" s="183"/>
      <c r="O1178" s="226"/>
      <c r="P1178" s="207"/>
      <c r="Q1178" s="569"/>
    </row>
    <row r="1179" spans="1:17" ht="15.75" hidden="1" customHeight="1" outlineLevel="3">
      <c r="A1179" s="274"/>
      <c r="B1179" s="143"/>
      <c r="C1179" s="213" t="s">
        <v>366</v>
      </c>
      <c r="D1179" s="160"/>
      <c r="E1179" s="153"/>
      <c r="F1179" s="153"/>
      <c r="G1179" s="153"/>
      <c r="H1179" s="206"/>
      <c r="I1179" s="212"/>
      <c r="J1179" s="184"/>
      <c r="K1179" s="221"/>
      <c r="L1179" s="184"/>
      <c r="M1179" s="219"/>
      <c r="N1179" s="183"/>
      <c r="O1179" s="226"/>
      <c r="P1179" s="207"/>
      <c r="Q1179" s="569"/>
    </row>
    <row r="1180" spans="1:17" ht="15.75" hidden="1" customHeight="1" outlineLevel="3">
      <c r="A1180" s="274"/>
      <c r="B1180" s="143"/>
      <c r="C1180" s="213" t="s">
        <v>358</v>
      </c>
      <c r="D1180" s="160"/>
      <c r="E1180" s="153"/>
      <c r="F1180" s="153"/>
      <c r="G1180" s="153"/>
      <c r="H1180" s="206"/>
      <c r="I1180" s="212"/>
      <c r="J1180" s="184"/>
      <c r="K1180" s="221"/>
      <c r="L1180" s="184"/>
      <c r="M1180" s="219"/>
      <c r="N1180" s="183"/>
      <c r="O1180" s="226"/>
      <c r="P1180" s="207"/>
      <c r="Q1180" s="569"/>
    </row>
    <row r="1181" spans="1:17" ht="15.75" hidden="1" customHeight="1" outlineLevel="3">
      <c r="A1181" s="274"/>
      <c r="B1181" s="143"/>
      <c r="C1181" s="213" t="s">
        <v>367</v>
      </c>
      <c r="D1181" s="160"/>
      <c r="E1181" s="153"/>
      <c r="F1181" s="153"/>
      <c r="G1181" s="153"/>
      <c r="H1181" s="206"/>
      <c r="I1181" s="212"/>
      <c r="J1181" s="184"/>
      <c r="K1181" s="221"/>
      <c r="L1181" s="184"/>
      <c r="M1181" s="219"/>
      <c r="N1181" s="183"/>
      <c r="O1181" s="226"/>
      <c r="P1181" s="207"/>
      <c r="Q1181" s="569"/>
    </row>
    <row r="1182" spans="1:17" ht="15.75" hidden="1" customHeight="1" outlineLevel="3">
      <c r="A1182" s="274"/>
      <c r="B1182" s="143"/>
      <c r="C1182" s="213" t="s">
        <v>368</v>
      </c>
      <c r="D1182" s="160"/>
      <c r="E1182" s="153"/>
      <c r="F1182" s="153"/>
      <c r="G1182" s="153"/>
      <c r="H1182" s="206"/>
      <c r="I1182" s="212"/>
      <c r="J1182" s="184"/>
      <c r="K1182" s="221"/>
      <c r="L1182" s="184"/>
      <c r="M1182" s="219"/>
      <c r="N1182" s="183"/>
      <c r="O1182" s="226"/>
      <c r="P1182" s="207"/>
      <c r="Q1182" s="569"/>
    </row>
    <row r="1183" spans="1:17" ht="15.75" hidden="1" customHeight="1" outlineLevel="3">
      <c r="A1183" s="274"/>
      <c r="B1183" s="143"/>
      <c r="C1183" s="142" t="s">
        <v>383</v>
      </c>
      <c r="D1183" s="160"/>
      <c r="E1183" s="153"/>
      <c r="F1183" s="153"/>
      <c r="G1183" s="153"/>
      <c r="H1183" s="206"/>
      <c r="I1183" s="212"/>
      <c r="J1183" s="184"/>
      <c r="K1183" s="221"/>
      <c r="L1183" s="184"/>
      <c r="M1183" s="219"/>
      <c r="N1183" s="183"/>
      <c r="O1183" s="226"/>
      <c r="P1183" s="207"/>
      <c r="Q1183" s="569"/>
    </row>
    <row r="1184" spans="1:17" ht="15.75" hidden="1" customHeight="1" outlineLevel="3">
      <c r="A1184" s="274"/>
      <c r="B1184" s="143"/>
      <c r="C1184" s="213" t="s">
        <v>370</v>
      </c>
      <c r="D1184" s="160"/>
      <c r="E1184" s="153"/>
      <c r="F1184" s="153"/>
      <c r="G1184" s="153"/>
      <c r="H1184" s="206"/>
      <c r="I1184" s="212"/>
      <c r="J1184" s="184"/>
      <c r="K1184" s="221"/>
      <c r="L1184" s="184"/>
      <c r="M1184" s="219"/>
      <c r="N1184" s="183"/>
      <c r="O1184" s="226"/>
      <c r="P1184" s="207"/>
      <c r="Q1184" s="569"/>
    </row>
    <row r="1185" spans="1:17" ht="15.75" hidden="1" customHeight="1" outlineLevel="3">
      <c r="A1185" s="274"/>
      <c r="B1185" s="143"/>
      <c r="C1185" s="213" t="s">
        <v>371</v>
      </c>
      <c r="D1185" s="160"/>
      <c r="E1185" s="153"/>
      <c r="F1185" s="153"/>
      <c r="G1185" s="153"/>
      <c r="H1185" s="206"/>
      <c r="I1185" s="212"/>
      <c r="J1185" s="184"/>
      <c r="K1185" s="221"/>
      <c r="L1185" s="184"/>
      <c r="M1185" s="219"/>
      <c r="N1185" s="183"/>
      <c r="O1185" s="226"/>
      <c r="P1185" s="207"/>
      <c r="Q1185" s="569"/>
    </row>
    <row r="1186" spans="1:17" ht="15.75" hidden="1" customHeight="1" outlineLevel="3">
      <c r="A1186" s="274"/>
      <c r="B1186" s="143"/>
      <c r="C1186" s="213" t="s">
        <v>372</v>
      </c>
      <c r="D1186" s="160"/>
      <c r="E1186" s="153"/>
      <c r="F1186" s="153"/>
      <c r="G1186" s="153"/>
      <c r="H1186" s="206"/>
      <c r="I1186" s="212"/>
      <c r="J1186" s="184"/>
      <c r="K1186" s="221"/>
      <c r="L1186" s="184"/>
      <c r="M1186" s="219"/>
      <c r="N1186" s="183"/>
      <c r="O1186" s="226"/>
      <c r="P1186" s="207"/>
      <c r="Q1186" s="569"/>
    </row>
    <row r="1187" spans="1:17" ht="15.75" hidden="1" customHeight="1" outlineLevel="3">
      <c r="A1187" s="274"/>
      <c r="B1187" s="143"/>
      <c r="C1187" s="213" t="s">
        <v>373</v>
      </c>
      <c r="D1187" s="160"/>
      <c r="E1187" s="153"/>
      <c r="F1187" s="153"/>
      <c r="G1187" s="153"/>
      <c r="H1187" s="206"/>
      <c r="I1187" s="212"/>
      <c r="J1187" s="184"/>
      <c r="K1187" s="221"/>
      <c r="L1187" s="184"/>
      <c r="M1187" s="219"/>
      <c r="N1187" s="183"/>
      <c r="O1187" s="226"/>
      <c r="P1187" s="207"/>
      <c r="Q1187" s="568"/>
    </row>
    <row r="1188" spans="1:17" ht="15.75" hidden="1" customHeight="1" outlineLevel="3">
      <c r="A1188" s="274"/>
      <c r="B1188" s="143"/>
      <c r="C1188" s="142" t="s">
        <v>384</v>
      </c>
      <c r="D1188" s="160"/>
      <c r="E1188" s="153"/>
      <c r="F1188" s="153"/>
      <c r="G1188" s="153"/>
      <c r="H1188" s="206"/>
      <c r="I1188" s="212"/>
      <c r="J1188" s="184"/>
      <c r="K1188" s="221"/>
      <c r="L1188" s="184"/>
      <c r="M1188" s="219"/>
      <c r="N1188" s="183"/>
      <c r="O1188" s="226"/>
      <c r="P1188" s="207"/>
      <c r="Q1188" s="569"/>
    </row>
    <row r="1189" spans="1:17" ht="15.75" hidden="1" customHeight="1" outlineLevel="3">
      <c r="A1189" s="274"/>
      <c r="B1189" s="143"/>
      <c r="C1189" s="162" t="s">
        <v>375</v>
      </c>
      <c r="D1189" s="160"/>
      <c r="E1189" s="153"/>
      <c r="F1189" s="153"/>
      <c r="G1189" s="153"/>
      <c r="H1189" s="206"/>
      <c r="I1189" s="212"/>
      <c r="J1189" s="184"/>
      <c r="K1189" s="221"/>
      <c r="L1189" s="184"/>
      <c r="M1189" s="219"/>
      <c r="N1189" s="183"/>
      <c r="O1189" s="226"/>
      <c r="P1189" s="207"/>
      <c r="Q1189" s="569"/>
    </row>
    <row r="1190" spans="1:17" ht="15.75" hidden="1" customHeight="1" outlineLevel="3">
      <c r="A1190" s="274"/>
      <c r="B1190" s="143"/>
      <c r="C1190" s="162" t="s">
        <v>376</v>
      </c>
      <c r="D1190" s="160"/>
      <c r="E1190" s="153"/>
      <c r="F1190" s="153"/>
      <c r="G1190" s="153"/>
      <c r="H1190" s="206"/>
      <c r="I1190" s="212"/>
      <c r="J1190" s="184"/>
      <c r="K1190" s="221"/>
      <c r="L1190" s="184"/>
      <c r="M1190" s="219"/>
      <c r="N1190" s="183"/>
      <c r="O1190" s="226"/>
      <c r="P1190" s="207"/>
      <c r="Q1190" s="569"/>
    </row>
    <row r="1191" spans="1:17" ht="15.75" hidden="1" customHeight="1" outlineLevel="3">
      <c r="A1191" s="274"/>
      <c r="B1191" s="143"/>
      <c r="C1191" s="162" t="s">
        <v>377</v>
      </c>
      <c r="D1191" s="160"/>
      <c r="E1191" s="153"/>
      <c r="F1191" s="153"/>
      <c r="G1191" s="153"/>
      <c r="H1191" s="206"/>
      <c r="I1191" s="212"/>
      <c r="J1191" s="184"/>
      <c r="K1191" s="221"/>
      <c r="L1191" s="184"/>
      <c r="M1191" s="219"/>
      <c r="N1191" s="183"/>
      <c r="O1191" s="226"/>
      <c r="P1191" s="207"/>
      <c r="Q1191" s="569"/>
    </row>
    <row r="1192" spans="1:17" ht="15.75" hidden="1" customHeight="1" outlineLevel="3">
      <c r="A1192" s="274"/>
      <c r="B1192" s="143"/>
      <c r="C1192" s="162" t="s">
        <v>400</v>
      </c>
      <c r="D1192" s="160"/>
      <c r="E1192" s="153"/>
      <c r="F1192" s="153"/>
      <c r="G1192" s="153"/>
      <c r="H1192" s="206"/>
      <c r="I1192" s="212"/>
      <c r="J1192" s="184"/>
      <c r="K1192" s="221"/>
      <c r="L1192" s="184"/>
      <c r="M1192" s="219"/>
      <c r="N1192" s="183"/>
      <c r="O1192" s="226"/>
      <c r="P1192" s="207"/>
      <c r="Q1192" s="568"/>
    </row>
    <row r="1193" spans="1:17" ht="15.75" hidden="1" customHeight="1" outlineLevel="3">
      <c r="A1193" s="274"/>
      <c r="B1193" s="143"/>
      <c r="C1193" s="162" t="s">
        <v>470</v>
      </c>
      <c r="D1193" s="187"/>
      <c r="E1193" s="153"/>
      <c r="F1193" s="153"/>
      <c r="G1193" s="153"/>
      <c r="H1193" s="206"/>
      <c r="I1193" s="156"/>
      <c r="J1193" s="184"/>
      <c r="K1193" s="221"/>
      <c r="L1193" s="184"/>
      <c r="M1193" s="219"/>
      <c r="N1193" s="183"/>
      <c r="O1193" s="226"/>
      <c r="P1193" s="207"/>
      <c r="Q1193" s="568"/>
    </row>
    <row r="1194" spans="1:17" ht="15.75" hidden="1" customHeight="1" outlineLevel="2" collapsed="1">
      <c r="A1194" s="274"/>
      <c r="B1194" s="143"/>
      <c r="C1194" s="142" t="s">
        <v>469</v>
      </c>
      <c r="D1194" s="296"/>
      <c r="E1194" s="153"/>
      <c r="F1194" s="153"/>
      <c r="G1194" s="153"/>
      <c r="H1194" s="206"/>
      <c r="I1194" s="207"/>
      <c r="J1194" s="184"/>
      <c r="K1194" s="217"/>
      <c r="L1194" s="184"/>
      <c r="M1194" s="219"/>
      <c r="N1194" s="183"/>
      <c r="O1194" s="226"/>
      <c r="P1194" s="207"/>
      <c r="Q1194" s="568" t="s">
        <v>1373</v>
      </c>
    </row>
    <row r="1195" spans="1:17" ht="15.75" hidden="1" customHeight="1" outlineLevel="1" collapsed="1">
      <c r="A1195" s="550"/>
      <c r="B1195" s="142"/>
      <c r="C1195" s="433" t="s">
        <v>471</v>
      </c>
      <c r="D1195" s="220">
        <f>SUM(D988,D1017,D1045,D1048,D1051,D1080,D1109,D1137,D1165,D1194)</f>
        <v>7472000</v>
      </c>
      <c r="E1195" s="217">
        <f t="shared" ref="E1195:N1195" si="83">SUM(E988,E1017,E1045,E1048,E1051,E1080,E1109,E1137,E1165,E1194)</f>
        <v>5523710</v>
      </c>
      <c r="F1195" s="217">
        <f t="shared" si="83"/>
        <v>8580341.925224999</v>
      </c>
      <c r="G1195" s="217">
        <f t="shared" si="83"/>
        <v>705144.56849999982</v>
      </c>
      <c r="H1195" s="226">
        <f t="shared" si="83"/>
        <v>160653.22008749997</v>
      </c>
      <c r="I1195" s="150">
        <f t="shared" si="83"/>
        <v>22441849.713812497</v>
      </c>
      <c r="J1195" s="180">
        <f t="shared" si="83"/>
        <v>8026000</v>
      </c>
      <c r="K1195" s="221">
        <f>J1195*1.23</f>
        <v>9871980</v>
      </c>
      <c r="L1195" s="147">
        <f t="shared" si="83"/>
        <v>10125000</v>
      </c>
      <c r="M1195" s="219">
        <f>L1195*1.46</f>
        <v>14782500</v>
      </c>
      <c r="N1195" s="261">
        <f t="shared" si="83"/>
        <v>17439000</v>
      </c>
      <c r="O1195" s="226">
        <f>N1195*1.73</f>
        <v>30169470</v>
      </c>
      <c r="P1195" s="150">
        <f t="shared" ref="P1195" si="84">SUM(I1195,K1195,M1195,O1195)</f>
        <v>77265799.7138125</v>
      </c>
      <c r="Q1195" s="569"/>
    </row>
    <row r="1196" spans="1:17" ht="15.75" hidden="1" customHeight="1" outlineLevel="2">
      <c r="A1196" s="550"/>
      <c r="B1196" s="142" t="s">
        <v>472</v>
      </c>
      <c r="C1196" s="152"/>
      <c r="D1196" s="160"/>
      <c r="E1196" s="153"/>
      <c r="F1196" s="153"/>
      <c r="G1196" s="153"/>
      <c r="H1196" s="206"/>
      <c r="I1196" s="161"/>
      <c r="J1196" s="210"/>
      <c r="K1196" s="221"/>
      <c r="L1196" s="210"/>
      <c r="M1196" s="219"/>
      <c r="N1196" s="402"/>
      <c r="O1196" s="226"/>
      <c r="P1196" s="218"/>
      <c r="Q1196" s="569"/>
    </row>
    <row r="1197" spans="1:17" s="211" customFormat="1" ht="15.75" hidden="1" customHeight="1" outlineLevel="3">
      <c r="A1197" s="551"/>
      <c r="B1197" s="142" t="s">
        <v>473</v>
      </c>
      <c r="C1197" s="159"/>
      <c r="D1197" s="180"/>
      <c r="E1197" s="148"/>
      <c r="F1197" s="148"/>
      <c r="G1197" s="148"/>
      <c r="H1197" s="198"/>
      <c r="I1197" s="146"/>
      <c r="J1197" s="147"/>
      <c r="K1197" s="221"/>
      <c r="L1197" s="147"/>
      <c r="M1197" s="219"/>
      <c r="N1197" s="149"/>
      <c r="O1197" s="226"/>
      <c r="P1197" s="150"/>
      <c r="Q1197" s="569"/>
    </row>
    <row r="1198" spans="1:17" ht="15.75" hidden="1" customHeight="1" outlineLevel="3">
      <c r="A1198" s="274"/>
      <c r="B1198" s="143"/>
      <c r="C1198" s="142" t="s">
        <v>380</v>
      </c>
      <c r="D1198" s="160"/>
      <c r="E1198" s="153"/>
      <c r="F1198" s="153"/>
      <c r="G1198" s="153"/>
      <c r="H1198" s="206"/>
      <c r="I1198" s="212"/>
      <c r="J1198" s="184"/>
      <c r="K1198" s="221"/>
      <c r="L1198" s="184"/>
      <c r="M1198" s="219"/>
      <c r="N1198" s="183"/>
      <c r="O1198" s="226"/>
      <c r="P1198" s="207"/>
      <c r="Q1198" s="569"/>
    </row>
    <row r="1199" spans="1:17" ht="15.75" hidden="1" customHeight="1" outlineLevel="3">
      <c r="A1199" s="274"/>
      <c r="B1199" s="143"/>
      <c r="C1199" s="213" t="s">
        <v>396</v>
      </c>
      <c r="D1199" s="160"/>
      <c r="E1199" s="153"/>
      <c r="F1199" s="153"/>
      <c r="G1199" s="153"/>
      <c r="H1199" s="206"/>
      <c r="I1199" s="212"/>
      <c r="J1199" s="184"/>
      <c r="K1199" s="221"/>
      <c r="L1199" s="184"/>
      <c r="M1199" s="219"/>
      <c r="N1199" s="183"/>
      <c r="O1199" s="226"/>
      <c r="P1199" s="207"/>
      <c r="Q1199" s="569"/>
    </row>
    <row r="1200" spans="1:17" ht="15.75" hidden="1" customHeight="1" outlineLevel="3">
      <c r="A1200" s="274"/>
      <c r="B1200" s="143"/>
      <c r="C1200" s="213" t="s">
        <v>357</v>
      </c>
      <c r="D1200" s="160"/>
      <c r="E1200" s="153"/>
      <c r="F1200" s="153"/>
      <c r="G1200" s="202">
        <f>CIP!$AP$100</f>
        <v>443487.14999999991</v>
      </c>
      <c r="H1200" s="206"/>
      <c r="I1200" s="212">
        <f>SUM(D1200:H1200)</f>
        <v>443487.14999999991</v>
      </c>
      <c r="J1200" s="184"/>
      <c r="K1200" s="221"/>
      <c r="L1200" s="184"/>
      <c r="M1200" s="219"/>
      <c r="N1200" s="183"/>
      <c r="O1200" s="226"/>
      <c r="P1200" s="150">
        <f t="shared" ref="P1200" si="85">SUM(I1200,K1200,M1200,O1200)</f>
        <v>443487.14999999991</v>
      </c>
      <c r="Q1200" s="569"/>
    </row>
    <row r="1201" spans="1:17" ht="15.75" hidden="1" customHeight="1" outlineLevel="3">
      <c r="A1201" s="274"/>
      <c r="B1201" s="143"/>
      <c r="C1201" s="213" t="s">
        <v>358</v>
      </c>
      <c r="D1201" s="160"/>
      <c r="E1201" s="153"/>
      <c r="F1201" s="153"/>
      <c r="G1201" s="153"/>
      <c r="H1201" s="206"/>
      <c r="I1201" s="203"/>
      <c r="J1201" s="186"/>
      <c r="K1201" s="221"/>
      <c r="L1201" s="184"/>
      <c r="M1201" s="219"/>
      <c r="N1201" s="183"/>
      <c r="O1201" s="226"/>
      <c r="P1201" s="207"/>
      <c r="Q1201" s="569"/>
    </row>
    <row r="1202" spans="1:17" ht="15.75" hidden="1" customHeight="1" outlineLevel="3">
      <c r="A1202" s="274"/>
      <c r="B1202" s="143"/>
      <c r="C1202" s="213" t="s">
        <v>359</v>
      </c>
      <c r="D1202" s="160"/>
      <c r="E1202" s="153"/>
      <c r="F1202" s="153"/>
      <c r="G1202" s="153"/>
      <c r="H1202" s="206"/>
      <c r="I1202" s="212"/>
      <c r="J1202" s="184"/>
      <c r="K1202" s="221"/>
      <c r="L1202" s="184"/>
      <c r="M1202" s="219"/>
      <c r="N1202" s="183"/>
      <c r="O1202" s="226"/>
      <c r="P1202" s="207"/>
      <c r="Q1202" s="569"/>
    </row>
    <row r="1203" spans="1:17" ht="15.75" hidden="1" customHeight="1" outlineLevel="3">
      <c r="A1203" s="274"/>
      <c r="B1203" s="143"/>
      <c r="C1203" s="213" t="s">
        <v>388</v>
      </c>
      <c r="D1203" s="160"/>
      <c r="E1203" s="153"/>
      <c r="F1203" s="153"/>
      <c r="G1203" s="153"/>
      <c r="H1203" s="206"/>
      <c r="I1203" s="212"/>
      <c r="J1203" s="184"/>
      <c r="K1203" s="221"/>
      <c r="L1203" s="184"/>
      <c r="M1203" s="219"/>
      <c r="N1203" s="183"/>
      <c r="O1203" s="226"/>
      <c r="P1203" s="207"/>
      <c r="Q1203" s="569"/>
    </row>
    <row r="1204" spans="1:17" ht="15.75" hidden="1" customHeight="1" outlineLevel="3">
      <c r="A1204" s="274"/>
      <c r="B1204" s="143"/>
      <c r="C1204" s="142" t="s">
        <v>381</v>
      </c>
      <c r="D1204" s="160"/>
      <c r="E1204" s="153"/>
      <c r="F1204" s="153"/>
      <c r="G1204" s="153"/>
      <c r="H1204" s="206"/>
      <c r="I1204" s="212"/>
      <c r="J1204" s="184"/>
      <c r="K1204" s="221"/>
      <c r="L1204" s="184"/>
      <c r="M1204" s="219"/>
      <c r="N1204" s="183"/>
      <c r="O1204" s="226"/>
      <c r="P1204" s="207"/>
      <c r="Q1204" s="569"/>
    </row>
    <row r="1205" spans="1:17" ht="15.75" hidden="1" customHeight="1" outlineLevel="3">
      <c r="A1205" s="274"/>
      <c r="B1205" s="143"/>
      <c r="C1205" s="213" t="s">
        <v>362</v>
      </c>
      <c r="D1205" s="160"/>
      <c r="E1205" s="153"/>
      <c r="F1205" s="153"/>
      <c r="G1205" s="153"/>
      <c r="H1205" s="206"/>
      <c r="I1205" s="212"/>
      <c r="J1205" s="184">
        <v>100000</v>
      </c>
      <c r="K1205" s="221">
        <f>J1205*1.23</f>
        <v>123000</v>
      </c>
      <c r="L1205" s="184"/>
      <c r="M1205" s="219"/>
      <c r="N1205" s="183"/>
      <c r="O1205" s="226"/>
      <c r="P1205" s="150">
        <f t="shared" ref="P1205" si="86">SUM(I1205,K1205,M1205,O1205)</f>
        <v>123000</v>
      </c>
      <c r="Q1205" s="569"/>
    </row>
    <row r="1206" spans="1:17" ht="15.75" hidden="1" customHeight="1" outlineLevel="3">
      <c r="A1206" s="274"/>
      <c r="B1206" s="143"/>
      <c r="C1206" s="213" t="s">
        <v>363</v>
      </c>
      <c r="D1206" s="160"/>
      <c r="E1206" s="153"/>
      <c r="F1206" s="153"/>
      <c r="G1206" s="153"/>
      <c r="H1206" s="206"/>
      <c r="I1206" s="212"/>
      <c r="J1206" s="184"/>
      <c r="K1206" s="221"/>
      <c r="L1206" s="184"/>
      <c r="M1206" s="219"/>
      <c r="N1206" s="183"/>
      <c r="O1206" s="226"/>
      <c r="P1206" s="207"/>
      <c r="Q1206" s="569"/>
    </row>
    <row r="1207" spans="1:17" ht="15.75" hidden="1" customHeight="1" outlineLevel="3">
      <c r="A1207" s="274"/>
      <c r="B1207" s="143"/>
      <c r="C1207" s="213" t="s">
        <v>358</v>
      </c>
      <c r="D1207" s="160"/>
      <c r="E1207" s="153"/>
      <c r="F1207" s="153"/>
      <c r="G1207" s="153"/>
      <c r="H1207" s="206"/>
      <c r="I1207" s="212"/>
      <c r="J1207" s="184"/>
      <c r="K1207" s="221"/>
      <c r="L1207" s="184"/>
      <c r="M1207" s="219"/>
      <c r="N1207" s="183"/>
      <c r="O1207" s="226"/>
      <c r="P1207" s="207"/>
      <c r="Q1207" s="569"/>
    </row>
    <row r="1208" spans="1:17" ht="15.75" hidden="1" customHeight="1" outlineLevel="3">
      <c r="A1208" s="274"/>
      <c r="B1208" s="143"/>
      <c r="C1208" s="213" t="s">
        <v>364</v>
      </c>
      <c r="D1208" s="160"/>
      <c r="E1208" s="153"/>
      <c r="F1208" s="153"/>
      <c r="G1208" s="153"/>
      <c r="H1208" s="206"/>
      <c r="I1208" s="212"/>
      <c r="J1208" s="184"/>
      <c r="K1208" s="221"/>
      <c r="L1208" s="184"/>
      <c r="M1208" s="219"/>
      <c r="N1208" s="183"/>
      <c r="O1208" s="226"/>
      <c r="P1208" s="207"/>
      <c r="Q1208" s="569"/>
    </row>
    <row r="1209" spans="1:17" ht="15.75" hidden="1" customHeight="1" outlineLevel="3">
      <c r="A1209" s="274"/>
      <c r="B1209" s="143"/>
      <c r="C1209" s="142" t="s">
        <v>382</v>
      </c>
      <c r="D1209" s="160"/>
      <c r="E1209" s="153"/>
      <c r="F1209" s="153"/>
      <c r="G1209" s="153"/>
      <c r="H1209" s="206"/>
      <c r="I1209" s="212"/>
      <c r="J1209" s="184"/>
      <c r="K1209" s="221"/>
      <c r="L1209" s="184"/>
      <c r="M1209" s="219"/>
      <c r="N1209" s="183"/>
      <c r="O1209" s="226"/>
      <c r="P1209" s="207"/>
      <c r="Q1209" s="569"/>
    </row>
    <row r="1210" spans="1:17" ht="15.75" hidden="1" customHeight="1" outlineLevel="3">
      <c r="A1210" s="274"/>
      <c r="B1210" s="143"/>
      <c r="C1210" s="213" t="s">
        <v>366</v>
      </c>
      <c r="D1210" s="160"/>
      <c r="E1210" s="153"/>
      <c r="F1210" s="153"/>
      <c r="G1210" s="153"/>
      <c r="H1210" s="206"/>
      <c r="I1210" s="212"/>
      <c r="J1210" s="184"/>
      <c r="K1210" s="221"/>
      <c r="L1210" s="184"/>
      <c r="M1210" s="219"/>
      <c r="N1210" s="183"/>
      <c r="O1210" s="226"/>
      <c r="P1210" s="207"/>
      <c r="Q1210" s="569"/>
    </row>
    <row r="1211" spans="1:17" ht="15.75" hidden="1" customHeight="1" outlineLevel="3">
      <c r="A1211" s="274"/>
      <c r="B1211" s="143"/>
      <c r="C1211" s="213" t="s">
        <v>358</v>
      </c>
      <c r="D1211" s="160"/>
      <c r="E1211" s="153"/>
      <c r="F1211" s="153"/>
      <c r="G1211" s="153"/>
      <c r="H1211" s="206"/>
      <c r="I1211" s="212"/>
      <c r="J1211" s="184"/>
      <c r="K1211" s="221"/>
      <c r="L1211" s="184"/>
      <c r="M1211" s="219"/>
      <c r="N1211" s="183"/>
      <c r="O1211" s="226"/>
      <c r="P1211" s="207"/>
      <c r="Q1211" s="569"/>
    </row>
    <row r="1212" spans="1:17" ht="15.75" hidden="1" customHeight="1" outlineLevel="3">
      <c r="A1212" s="274"/>
      <c r="B1212" s="143"/>
      <c r="C1212" s="213" t="s">
        <v>367</v>
      </c>
      <c r="D1212" s="160"/>
      <c r="E1212" s="153"/>
      <c r="F1212" s="153"/>
      <c r="G1212" s="153"/>
      <c r="H1212" s="206"/>
      <c r="I1212" s="212"/>
      <c r="J1212" s="184"/>
      <c r="K1212" s="221"/>
      <c r="L1212" s="184"/>
      <c r="M1212" s="219"/>
      <c r="N1212" s="183"/>
      <c r="O1212" s="226"/>
      <c r="P1212" s="207"/>
      <c r="Q1212" s="569"/>
    </row>
    <row r="1213" spans="1:17" ht="15.75" hidden="1" customHeight="1" outlineLevel="3">
      <c r="A1213" s="274"/>
      <c r="B1213" s="143"/>
      <c r="C1213" s="213" t="s">
        <v>368</v>
      </c>
      <c r="D1213" s="160"/>
      <c r="E1213" s="153"/>
      <c r="F1213" s="153"/>
      <c r="G1213" s="153"/>
      <c r="H1213" s="206"/>
      <c r="I1213" s="212"/>
      <c r="J1213" s="184" t="s">
        <v>390</v>
      </c>
      <c r="K1213" s="221"/>
      <c r="L1213" s="184"/>
      <c r="M1213" s="219"/>
      <c r="N1213" s="183"/>
      <c r="O1213" s="226"/>
      <c r="P1213" s="207"/>
      <c r="Q1213" s="569"/>
    </row>
    <row r="1214" spans="1:17" ht="15.75" hidden="1" customHeight="1" outlineLevel="3">
      <c r="A1214" s="274"/>
      <c r="B1214" s="143"/>
      <c r="C1214" s="142" t="s">
        <v>383</v>
      </c>
      <c r="D1214" s="160"/>
      <c r="E1214" s="153"/>
      <c r="F1214" s="153"/>
      <c r="G1214" s="153"/>
      <c r="H1214" s="206"/>
      <c r="I1214" s="212"/>
      <c r="J1214" s="184"/>
      <c r="K1214" s="221"/>
      <c r="L1214" s="184"/>
      <c r="M1214" s="219"/>
      <c r="N1214" s="183"/>
      <c r="O1214" s="226"/>
      <c r="P1214" s="207"/>
      <c r="Q1214" s="569"/>
    </row>
    <row r="1215" spans="1:17" ht="15.75" hidden="1" customHeight="1" outlineLevel="3">
      <c r="A1215" s="274"/>
      <c r="B1215" s="143"/>
      <c r="C1215" s="213" t="s">
        <v>370</v>
      </c>
      <c r="D1215" s="225">
        <v>290000</v>
      </c>
      <c r="E1215" s="153"/>
      <c r="F1215" s="153"/>
      <c r="G1215" s="153"/>
      <c r="H1215" s="206"/>
      <c r="I1215" s="212">
        <f>SUM(D1215:H1215)</f>
        <v>290000</v>
      </c>
      <c r="J1215" s="184"/>
      <c r="K1215" s="221"/>
      <c r="L1215" s="184"/>
      <c r="M1215" s="219"/>
      <c r="N1215" s="183"/>
      <c r="O1215" s="226"/>
      <c r="P1215" s="150">
        <f t="shared" ref="P1215:P1224" si="87">SUM(I1215,K1215,M1215,O1215)</f>
        <v>290000</v>
      </c>
      <c r="Q1215" s="569"/>
    </row>
    <row r="1216" spans="1:17" ht="15.75" hidden="1" customHeight="1" outlineLevel="3">
      <c r="A1216" s="274"/>
      <c r="B1216" s="143"/>
      <c r="C1216" s="213" t="s">
        <v>371</v>
      </c>
      <c r="D1216" s="225"/>
      <c r="E1216" s="153"/>
      <c r="F1216" s="153"/>
      <c r="G1216" s="153"/>
      <c r="H1216" s="206"/>
      <c r="I1216" s="212"/>
      <c r="J1216" s="184">
        <v>80000</v>
      </c>
      <c r="K1216" s="221">
        <f>J1216*1.23</f>
        <v>98400</v>
      </c>
      <c r="L1216" s="184"/>
      <c r="M1216" s="219"/>
      <c r="N1216" s="183"/>
      <c r="O1216" s="226"/>
      <c r="P1216" s="150">
        <f t="shared" si="87"/>
        <v>98400</v>
      </c>
      <c r="Q1216" s="569"/>
    </row>
    <row r="1217" spans="1:17" ht="15.75" hidden="1" customHeight="1" outlineLevel="3">
      <c r="A1217" s="274"/>
      <c r="B1217" s="143"/>
      <c r="C1217" s="213" t="s">
        <v>372</v>
      </c>
      <c r="D1217" s="225">
        <v>320000</v>
      </c>
      <c r="E1217" s="153"/>
      <c r="F1217" s="153"/>
      <c r="G1217" s="153"/>
      <c r="H1217" s="206"/>
      <c r="I1217" s="212">
        <f>SUM(D1217:H1217)</f>
        <v>320000</v>
      </c>
      <c r="J1217" s="184"/>
      <c r="K1217" s="221"/>
      <c r="L1217" s="184"/>
      <c r="M1217" s="219"/>
      <c r="N1217" s="183"/>
      <c r="O1217" s="226"/>
      <c r="P1217" s="150">
        <f t="shared" si="87"/>
        <v>320000</v>
      </c>
      <c r="Q1217" s="569"/>
    </row>
    <row r="1218" spans="1:17" ht="15.75" hidden="1" customHeight="1" outlineLevel="3">
      <c r="A1218" s="274"/>
      <c r="B1218" s="143"/>
      <c r="C1218" s="213" t="s">
        <v>373</v>
      </c>
      <c r="D1218" s="160"/>
      <c r="E1218" s="153"/>
      <c r="F1218" s="153"/>
      <c r="G1218" s="153"/>
      <c r="H1218" s="206"/>
      <c r="I1218" s="212"/>
      <c r="J1218" s="184"/>
      <c r="K1218" s="221"/>
      <c r="L1218" s="184"/>
      <c r="M1218" s="219"/>
      <c r="N1218" s="183"/>
      <c r="O1218" s="226"/>
      <c r="P1218" s="150"/>
      <c r="Q1218" s="568"/>
    </row>
    <row r="1219" spans="1:17" ht="15.75" hidden="1" customHeight="1" outlineLevel="3">
      <c r="A1219" s="274"/>
      <c r="B1219" s="143"/>
      <c r="C1219" s="142" t="s">
        <v>384</v>
      </c>
      <c r="D1219" s="160"/>
      <c r="E1219" s="153"/>
      <c r="F1219" s="153"/>
      <c r="G1219" s="153"/>
      <c r="H1219" s="206"/>
      <c r="I1219" s="212"/>
      <c r="J1219" s="184"/>
      <c r="K1219" s="221"/>
      <c r="L1219" s="184"/>
      <c r="M1219" s="219"/>
      <c r="N1219" s="183"/>
      <c r="O1219" s="226"/>
      <c r="P1219" s="150"/>
      <c r="Q1219" s="569"/>
    </row>
    <row r="1220" spans="1:17" ht="15.75" hidden="1" customHeight="1" outlineLevel="3">
      <c r="A1220" s="274"/>
      <c r="B1220" s="143"/>
      <c r="C1220" s="162" t="s">
        <v>375</v>
      </c>
      <c r="D1220" s="160"/>
      <c r="E1220" s="153"/>
      <c r="F1220" s="153"/>
      <c r="G1220" s="153"/>
      <c r="H1220" s="206"/>
      <c r="I1220" s="212"/>
      <c r="J1220" s="184"/>
      <c r="K1220" s="221"/>
      <c r="L1220" s="184"/>
      <c r="M1220" s="219"/>
      <c r="N1220" s="183"/>
      <c r="O1220" s="226"/>
      <c r="P1220" s="150"/>
      <c r="Q1220" s="569"/>
    </row>
    <row r="1221" spans="1:17" ht="15.75" hidden="1" customHeight="1" outlineLevel="3">
      <c r="A1221" s="274"/>
      <c r="B1221" s="143"/>
      <c r="C1221" s="162" t="s">
        <v>376</v>
      </c>
      <c r="D1221" s="160"/>
      <c r="E1221" s="153"/>
      <c r="F1221" s="153"/>
      <c r="G1221" s="153"/>
      <c r="H1221" s="206"/>
      <c r="I1221" s="212"/>
      <c r="J1221" s="184"/>
      <c r="K1221" s="221"/>
      <c r="L1221" s="184"/>
      <c r="M1221" s="219"/>
      <c r="N1221" s="183"/>
      <c r="O1221" s="226"/>
      <c r="P1221" s="150"/>
      <c r="Q1221" s="569"/>
    </row>
    <row r="1222" spans="1:17" ht="15.75" hidden="1" customHeight="1" outlineLevel="3">
      <c r="A1222" s="274"/>
      <c r="B1222" s="143"/>
      <c r="C1222" s="162" t="s">
        <v>377</v>
      </c>
      <c r="D1222" s="160"/>
      <c r="E1222" s="153"/>
      <c r="F1222" s="153"/>
      <c r="G1222" s="153"/>
      <c r="H1222" s="206"/>
      <c r="I1222" s="212"/>
      <c r="J1222" s="184"/>
      <c r="K1222" s="221"/>
      <c r="L1222" s="184"/>
      <c r="M1222" s="219"/>
      <c r="N1222" s="183"/>
      <c r="O1222" s="226"/>
      <c r="P1222" s="150"/>
      <c r="Q1222" s="569"/>
    </row>
    <row r="1223" spans="1:17" ht="15.75" hidden="1" customHeight="1" outlineLevel="3">
      <c r="A1223" s="274"/>
      <c r="B1223" s="143"/>
      <c r="C1223" s="162" t="s">
        <v>400</v>
      </c>
      <c r="D1223" s="160"/>
      <c r="E1223" s="153"/>
      <c r="F1223" s="153"/>
      <c r="G1223" s="153"/>
      <c r="H1223" s="206"/>
      <c r="I1223" s="212"/>
      <c r="J1223" s="184">
        <v>194000</v>
      </c>
      <c r="K1223" s="221">
        <f>J1223*1.23</f>
        <v>238620</v>
      </c>
      <c r="L1223" s="184"/>
      <c r="M1223" s="219"/>
      <c r="N1223" s="183"/>
      <c r="O1223" s="226"/>
      <c r="P1223" s="150">
        <f t="shared" si="87"/>
        <v>238620</v>
      </c>
      <c r="Q1223" s="568"/>
    </row>
    <row r="1224" spans="1:17" ht="15.75" hidden="1" customHeight="1" outlineLevel="2" collapsed="1">
      <c r="A1224" s="274"/>
      <c r="B1224" s="143"/>
      <c r="C1224" s="142" t="s">
        <v>473</v>
      </c>
      <c r="D1224" s="220">
        <f>CIP!$AM$14</f>
        <v>610000</v>
      </c>
      <c r="E1224" s="217"/>
      <c r="F1224" s="217"/>
      <c r="G1224" s="217">
        <f>SUM(G1199:G1223)</f>
        <v>443487.14999999991</v>
      </c>
      <c r="H1224" s="226"/>
      <c r="I1224" s="207">
        <f>SUM(I1199:I1223)</f>
        <v>1053487.1499999999</v>
      </c>
      <c r="J1224" s="184">
        <f>SUM(J1199:J1223)</f>
        <v>374000</v>
      </c>
      <c r="K1224" s="217">
        <f>J1224*1.23</f>
        <v>460020</v>
      </c>
      <c r="L1224" s="184"/>
      <c r="M1224" s="217"/>
      <c r="N1224" s="183"/>
      <c r="O1224" s="226"/>
      <c r="P1224" s="150">
        <f t="shared" si="87"/>
        <v>1513507.15</v>
      </c>
      <c r="Q1224" s="568"/>
    </row>
    <row r="1225" spans="1:17" s="211" customFormat="1" ht="15.75" hidden="1" customHeight="1" outlineLevel="3">
      <c r="A1225" s="551"/>
      <c r="B1225" s="142" t="s">
        <v>474</v>
      </c>
      <c r="C1225" s="159"/>
      <c r="D1225" s="180"/>
      <c r="E1225" s="148"/>
      <c r="F1225" s="148"/>
      <c r="G1225" s="148"/>
      <c r="H1225" s="198"/>
      <c r="I1225" s="146"/>
      <c r="J1225" s="147"/>
      <c r="K1225" s="221"/>
      <c r="L1225" s="147"/>
      <c r="M1225" s="219"/>
      <c r="N1225" s="149"/>
      <c r="O1225" s="226"/>
      <c r="P1225" s="150"/>
      <c r="Q1225" s="569"/>
    </row>
    <row r="1226" spans="1:17" ht="15.75" hidden="1" customHeight="1" outlineLevel="3">
      <c r="A1226" s="274"/>
      <c r="B1226" s="143"/>
      <c r="C1226" s="142" t="s">
        <v>380</v>
      </c>
      <c r="D1226" s="160"/>
      <c r="E1226" s="153"/>
      <c r="F1226" s="153"/>
      <c r="G1226" s="153"/>
      <c r="H1226" s="206"/>
      <c r="I1226" s="212"/>
      <c r="J1226" s="184"/>
      <c r="K1226" s="221"/>
      <c r="L1226" s="184"/>
      <c r="M1226" s="219"/>
      <c r="N1226" s="183"/>
      <c r="O1226" s="226"/>
      <c r="P1226" s="207"/>
      <c r="Q1226" s="569"/>
    </row>
    <row r="1227" spans="1:17" ht="15.75" hidden="1" customHeight="1" outlineLevel="3">
      <c r="A1227" s="274"/>
      <c r="B1227" s="143"/>
      <c r="C1227" s="213" t="s">
        <v>396</v>
      </c>
      <c r="D1227" s="160"/>
      <c r="E1227" s="153"/>
      <c r="F1227" s="153"/>
      <c r="G1227" s="153"/>
      <c r="H1227" s="206"/>
      <c r="I1227" s="212"/>
      <c r="J1227" s="184"/>
      <c r="K1227" s="221"/>
      <c r="L1227" s="184"/>
      <c r="M1227" s="219"/>
      <c r="N1227" s="183"/>
      <c r="O1227" s="226"/>
      <c r="P1227" s="207"/>
      <c r="Q1227" s="569"/>
    </row>
    <row r="1228" spans="1:17" ht="15.75" hidden="1" customHeight="1" outlineLevel="3">
      <c r="A1228" s="274"/>
      <c r="B1228" s="143"/>
      <c r="C1228" s="213" t="s">
        <v>357</v>
      </c>
      <c r="D1228" s="160"/>
      <c r="E1228" s="153"/>
      <c r="F1228" s="153"/>
      <c r="G1228" s="153"/>
      <c r="H1228" s="206"/>
      <c r="I1228" s="212"/>
      <c r="J1228" s="184"/>
      <c r="K1228" s="221"/>
      <c r="L1228" s="184"/>
      <c r="M1228" s="219"/>
      <c r="N1228" s="183"/>
      <c r="O1228" s="226"/>
      <c r="P1228" s="207"/>
      <c r="Q1228" s="569"/>
    </row>
    <row r="1229" spans="1:17" ht="15.75" hidden="1" customHeight="1" outlineLevel="3">
      <c r="A1229" s="274"/>
      <c r="B1229" s="143"/>
      <c r="C1229" s="213" t="s">
        <v>358</v>
      </c>
      <c r="D1229" s="160"/>
      <c r="E1229" s="153"/>
      <c r="F1229" s="153"/>
      <c r="G1229" s="153"/>
      <c r="H1229" s="206"/>
      <c r="I1229" s="203"/>
      <c r="J1229" s="186"/>
      <c r="K1229" s="221"/>
      <c r="L1229" s="184"/>
      <c r="M1229" s="219"/>
      <c r="N1229" s="183"/>
      <c r="O1229" s="226"/>
      <c r="P1229" s="207"/>
      <c r="Q1229" s="569"/>
    </row>
    <row r="1230" spans="1:17" ht="15.75" hidden="1" customHeight="1" outlineLevel="3">
      <c r="A1230" s="274"/>
      <c r="B1230" s="143"/>
      <c r="C1230" s="213" t="s">
        <v>359</v>
      </c>
      <c r="D1230" s="160"/>
      <c r="E1230" s="153"/>
      <c r="F1230" s="153"/>
      <c r="G1230" s="153"/>
      <c r="H1230" s="206"/>
      <c r="I1230" s="212"/>
      <c r="J1230" s="184"/>
      <c r="K1230" s="221"/>
      <c r="L1230" s="184"/>
      <c r="M1230" s="219"/>
      <c r="N1230" s="183"/>
      <c r="O1230" s="226"/>
      <c r="P1230" s="207"/>
      <c r="Q1230" s="569"/>
    </row>
    <row r="1231" spans="1:17" ht="15.75" hidden="1" customHeight="1" outlineLevel="3">
      <c r="A1231" s="274"/>
      <c r="B1231" s="143"/>
      <c r="C1231" s="213" t="s">
        <v>388</v>
      </c>
      <c r="D1231" s="160"/>
      <c r="E1231" s="153"/>
      <c r="F1231" s="153"/>
      <c r="G1231" s="153"/>
      <c r="H1231" s="206"/>
      <c r="I1231" s="212"/>
      <c r="J1231" s="184"/>
      <c r="K1231" s="221"/>
      <c r="L1231" s="184"/>
      <c r="M1231" s="219"/>
      <c r="N1231" s="183"/>
      <c r="O1231" s="226"/>
      <c r="P1231" s="207"/>
      <c r="Q1231" s="569"/>
    </row>
    <row r="1232" spans="1:17" ht="15.75" hidden="1" customHeight="1" outlineLevel="3">
      <c r="A1232" s="274"/>
      <c r="B1232" s="143"/>
      <c r="C1232" s="142" t="s">
        <v>381</v>
      </c>
      <c r="D1232" s="160"/>
      <c r="E1232" s="153"/>
      <c r="F1232" s="153"/>
      <c r="G1232" s="153"/>
      <c r="H1232" s="206"/>
      <c r="I1232" s="212"/>
      <c r="J1232" s="184"/>
      <c r="K1232" s="221"/>
      <c r="L1232" s="184"/>
      <c r="M1232" s="219"/>
      <c r="N1232" s="183"/>
      <c r="O1232" s="226"/>
      <c r="P1232" s="207"/>
      <c r="Q1232" s="569"/>
    </row>
    <row r="1233" spans="1:17" ht="15.75" hidden="1" customHeight="1" outlineLevel="3">
      <c r="A1233" s="274"/>
      <c r="B1233" s="143"/>
      <c r="C1233" s="213" t="s">
        <v>362</v>
      </c>
      <c r="D1233" s="160"/>
      <c r="E1233" s="153"/>
      <c r="F1233" s="153"/>
      <c r="G1233" s="153"/>
      <c r="H1233" s="206"/>
      <c r="I1233" s="212"/>
      <c r="J1233" s="184"/>
      <c r="K1233" s="221"/>
      <c r="L1233" s="184"/>
      <c r="M1233" s="219"/>
      <c r="N1233" s="183"/>
      <c r="O1233" s="226"/>
      <c r="P1233" s="207"/>
      <c r="Q1233" s="569"/>
    </row>
    <row r="1234" spans="1:17" ht="15.75" hidden="1" customHeight="1" outlineLevel="3">
      <c r="A1234" s="274"/>
      <c r="B1234" s="143"/>
      <c r="C1234" s="213" t="s">
        <v>363</v>
      </c>
      <c r="D1234" s="160"/>
      <c r="E1234" s="153"/>
      <c r="F1234" s="153"/>
      <c r="G1234" s="153"/>
      <c r="H1234" s="206"/>
      <c r="I1234" s="212"/>
      <c r="J1234" s="184"/>
      <c r="K1234" s="221"/>
      <c r="L1234" s="184"/>
      <c r="M1234" s="219"/>
      <c r="N1234" s="183"/>
      <c r="O1234" s="226"/>
      <c r="P1234" s="207"/>
      <c r="Q1234" s="569"/>
    </row>
    <row r="1235" spans="1:17" ht="15.75" hidden="1" customHeight="1" outlineLevel="3">
      <c r="A1235" s="274"/>
      <c r="B1235" s="143"/>
      <c r="C1235" s="213" t="s">
        <v>358</v>
      </c>
      <c r="D1235" s="160"/>
      <c r="E1235" s="153"/>
      <c r="F1235" s="153"/>
      <c r="G1235" s="153"/>
      <c r="H1235" s="206"/>
      <c r="I1235" s="212"/>
      <c r="J1235" s="184"/>
      <c r="K1235" s="221"/>
      <c r="L1235" s="184"/>
      <c r="M1235" s="219"/>
      <c r="N1235" s="183"/>
      <c r="O1235" s="226"/>
      <c r="P1235" s="207"/>
      <c r="Q1235" s="569"/>
    </row>
    <row r="1236" spans="1:17" ht="15.75" hidden="1" customHeight="1" outlineLevel="3">
      <c r="A1236" s="274"/>
      <c r="B1236" s="143"/>
      <c r="C1236" s="213" t="s">
        <v>364</v>
      </c>
      <c r="D1236" s="160"/>
      <c r="E1236" s="153"/>
      <c r="F1236" s="153"/>
      <c r="G1236" s="153"/>
      <c r="H1236" s="206"/>
      <c r="I1236" s="212"/>
      <c r="J1236" s="184"/>
      <c r="K1236" s="221"/>
      <c r="L1236" s="184"/>
      <c r="M1236" s="219"/>
      <c r="N1236" s="183"/>
      <c r="O1236" s="226"/>
      <c r="P1236" s="207"/>
      <c r="Q1236" s="569"/>
    </row>
    <row r="1237" spans="1:17" ht="15.75" hidden="1" customHeight="1" outlineLevel="3">
      <c r="A1237" s="274"/>
      <c r="B1237" s="143"/>
      <c r="C1237" s="142" t="s">
        <v>382</v>
      </c>
      <c r="D1237" s="160"/>
      <c r="E1237" s="153"/>
      <c r="F1237" s="153"/>
      <c r="G1237" s="153"/>
      <c r="H1237" s="206"/>
      <c r="I1237" s="212"/>
      <c r="J1237" s="184"/>
      <c r="K1237" s="221"/>
      <c r="L1237" s="184"/>
      <c r="M1237" s="219"/>
      <c r="N1237" s="183"/>
      <c r="O1237" s="226"/>
      <c r="P1237" s="207"/>
      <c r="Q1237" s="569"/>
    </row>
    <row r="1238" spans="1:17" ht="15.75" hidden="1" customHeight="1" outlineLevel="3">
      <c r="A1238" s="274"/>
      <c r="B1238" s="143"/>
      <c r="C1238" s="213" t="s">
        <v>366</v>
      </c>
      <c r="D1238" s="160"/>
      <c r="E1238" s="153"/>
      <c r="F1238" s="153"/>
      <c r="G1238" s="153"/>
      <c r="H1238" s="206"/>
      <c r="I1238" s="212"/>
      <c r="J1238" s="184"/>
      <c r="K1238" s="221"/>
      <c r="L1238" s="184"/>
      <c r="M1238" s="219"/>
      <c r="N1238" s="183"/>
      <c r="O1238" s="226"/>
      <c r="P1238" s="207"/>
      <c r="Q1238" s="569"/>
    </row>
    <row r="1239" spans="1:17" ht="15.75" hidden="1" customHeight="1" outlineLevel="3">
      <c r="A1239" s="274"/>
      <c r="B1239" s="143"/>
      <c r="C1239" s="213" t="s">
        <v>358</v>
      </c>
      <c r="D1239" s="160"/>
      <c r="E1239" s="153"/>
      <c r="F1239" s="153"/>
      <c r="G1239" s="153"/>
      <c r="H1239" s="206"/>
      <c r="I1239" s="212"/>
      <c r="J1239" s="184"/>
      <c r="K1239" s="221"/>
      <c r="L1239" s="184"/>
      <c r="M1239" s="219"/>
      <c r="N1239" s="183"/>
      <c r="O1239" s="226"/>
      <c r="P1239" s="207"/>
      <c r="Q1239" s="569"/>
    </row>
    <row r="1240" spans="1:17" ht="15.75" hidden="1" customHeight="1" outlineLevel="3">
      <c r="A1240" s="274"/>
      <c r="B1240" s="143"/>
      <c r="C1240" s="213" t="s">
        <v>367</v>
      </c>
      <c r="D1240" s="160"/>
      <c r="E1240" s="153"/>
      <c r="F1240" s="153"/>
      <c r="G1240" s="153"/>
      <c r="H1240" s="206"/>
      <c r="I1240" s="212"/>
      <c r="J1240" s="184"/>
      <c r="K1240" s="221"/>
      <c r="L1240" s="184"/>
      <c r="M1240" s="219"/>
      <c r="N1240" s="183"/>
      <c r="O1240" s="226"/>
      <c r="P1240" s="207"/>
      <c r="Q1240" s="569"/>
    </row>
    <row r="1241" spans="1:17" ht="15.75" hidden="1" customHeight="1" outlineLevel="3">
      <c r="A1241" s="274"/>
      <c r="B1241" s="143"/>
      <c r="C1241" s="213" t="s">
        <v>368</v>
      </c>
      <c r="D1241" s="160"/>
      <c r="E1241" s="153"/>
      <c r="F1241" s="153"/>
      <c r="G1241" s="153"/>
      <c r="H1241" s="206"/>
      <c r="I1241" s="212"/>
      <c r="J1241" s="184"/>
      <c r="K1241" s="221"/>
      <c r="L1241" s="184"/>
      <c r="M1241" s="219"/>
      <c r="N1241" s="183"/>
      <c r="O1241" s="226"/>
      <c r="P1241" s="207"/>
      <c r="Q1241" s="569"/>
    </row>
    <row r="1242" spans="1:17" ht="15.75" hidden="1" customHeight="1" outlineLevel="3">
      <c r="A1242" s="274"/>
      <c r="B1242" s="143"/>
      <c r="C1242" s="142" t="s">
        <v>383</v>
      </c>
      <c r="D1242" s="160"/>
      <c r="E1242" s="153"/>
      <c r="F1242" s="153"/>
      <c r="G1242" s="153"/>
      <c r="H1242" s="206"/>
      <c r="I1242" s="212"/>
      <c r="J1242" s="184"/>
      <c r="K1242" s="221"/>
      <c r="L1242" s="184"/>
      <c r="M1242" s="219"/>
      <c r="N1242" s="183"/>
      <c r="O1242" s="226"/>
      <c r="P1242" s="207"/>
      <c r="Q1242" s="569"/>
    </row>
    <row r="1243" spans="1:17" ht="15.75" hidden="1" customHeight="1" outlineLevel="3">
      <c r="A1243" s="274"/>
      <c r="B1243" s="143"/>
      <c r="C1243" s="213" t="s">
        <v>370</v>
      </c>
      <c r="D1243" s="160"/>
      <c r="E1243" s="153"/>
      <c r="F1243" s="153"/>
      <c r="G1243" s="153"/>
      <c r="H1243" s="206"/>
      <c r="I1243" s="212"/>
      <c r="J1243" s="184"/>
      <c r="K1243" s="221"/>
      <c r="L1243" s="184"/>
      <c r="M1243" s="219"/>
      <c r="N1243" s="183"/>
      <c r="O1243" s="226"/>
      <c r="P1243" s="207"/>
      <c r="Q1243" s="569"/>
    </row>
    <row r="1244" spans="1:17" ht="15.75" hidden="1" customHeight="1" outlineLevel="3">
      <c r="A1244" s="274"/>
      <c r="B1244" s="143"/>
      <c r="C1244" s="213" t="s">
        <v>371</v>
      </c>
      <c r="D1244" s="160"/>
      <c r="E1244" s="153"/>
      <c r="F1244" s="153"/>
      <c r="G1244" s="153"/>
      <c r="H1244" s="206"/>
      <c r="I1244" s="212"/>
      <c r="J1244" s="184"/>
      <c r="K1244" s="221"/>
      <c r="L1244" s="184"/>
      <c r="M1244" s="219"/>
      <c r="N1244" s="183"/>
      <c r="O1244" s="226"/>
      <c r="P1244" s="207"/>
      <c r="Q1244" s="569"/>
    </row>
    <row r="1245" spans="1:17" ht="15.75" hidden="1" customHeight="1" outlineLevel="3">
      <c r="A1245" s="274"/>
      <c r="B1245" s="143"/>
      <c r="C1245" s="213" t="s">
        <v>372</v>
      </c>
      <c r="D1245" s="160"/>
      <c r="E1245" s="153"/>
      <c r="F1245" s="153"/>
      <c r="G1245" s="153"/>
      <c r="H1245" s="206"/>
      <c r="I1245" s="212"/>
      <c r="J1245" s="184"/>
      <c r="K1245" s="221"/>
      <c r="L1245" s="184"/>
      <c r="M1245" s="219"/>
      <c r="N1245" s="183"/>
      <c r="O1245" s="226"/>
      <c r="P1245" s="207"/>
      <c r="Q1245" s="569"/>
    </row>
    <row r="1246" spans="1:17" ht="15.75" hidden="1" customHeight="1" outlineLevel="3">
      <c r="A1246" s="274"/>
      <c r="B1246" s="143"/>
      <c r="C1246" s="213" t="s">
        <v>373</v>
      </c>
      <c r="D1246" s="160"/>
      <c r="E1246" s="153"/>
      <c r="F1246" s="153"/>
      <c r="G1246" s="153"/>
      <c r="H1246" s="206"/>
      <c r="I1246" s="212"/>
      <c r="J1246" s="184"/>
      <c r="K1246" s="221"/>
      <c r="L1246" s="184"/>
      <c r="M1246" s="219"/>
      <c r="N1246" s="183"/>
      <c r="O1246" s="226"/>
      <c r="P1246" s="207"/>
      <c r="Q1246" s="568"/>
    </row>
    <row r="1247" spans="1:17" ht="15.75" hidden="1" customHeight="1" outlineLevel="3">
      <c r="A1247" s="274"/>
      <c r="B1247" s="143"/>
      <c r="C1247" s="142" t="s">
        <v>384</v>
      </c>
      <c r="D1247" s="160"/>
      <c r="E1247" s="153"/>
      <c r="F1247" s="153"/>
      <c r="G1247" s="153"/>
      <c r="H1247" s="206"/>
      <c r="I1247" s="212"/>
      <c r="J1247" s="184"/>
      <c r="K1247" s="221"/>
      <c r="L1247" s="184"/>
      <c r="M1247" s="219"/>
      <c r="N1247" s="183"/>
      <c r="O1247" s="226"/>
      <c r="P1247" s="207"/>
      <c r="Q1247" s="569"/>
    </row>
    <row r="1248" spans="1:17" ht="15.75" hidden="1" customHeight="1" outlineLevel="3">
      <c r="A1248" s="274"/>
      <c r="B1248" s="143"/>
      <c r="C1248" s="162" t="s">
        <v>375</v>
      </c>
      <c r="D1248" s="160"/>
      <c r="E1248" s="153"/>
      <c r="F1248" s="153"/>
      <c r="G1248" s="153"/>
      <c r="H1248" s="206"/>
      <c r="I1248" s="212"/>
      <c r="J1248" s="184"/>
      <c r="K1248" s="221"/>
      <c r="L1248" s="184"/>
      <c r="M1248" s="219"/>
      <c r="N1248" s="183"/>
      <c r="O1248" s="226"/>
      <c r="P1248" s="207"/>
      <c r="Q1248" s="569"/>
    </row>
    <row r="1249" spans="1:17" ht="15.75" hidden="1" customHeight="1" outlineLevel="3">
      <c r="A1249" s="274"/>
      <c r="B1249" s="143"/>
      <c r="C1249" s="162" t="s">
        <v>376</v>
      </c>
      <c r="D1249" s="160"/>
      <c r="E1249" s="153"/>
      <c r="F1249" s="153"/>
      <c r="G1249" s="153"/>
      <c r="H1249" s="206"/>
      <c r="I1249" s="212"/>
      <c r="J1249" s="184"/>
      <c r="K1249" s="221"/>
      <c r="L1249" s="184"/>
      <c r="M1249" s="219"/>
      <c r="N1249" s="183"/>
      <c r="O1249" s="226"/>
      <c r="P1249" s="207"/>
      <c r="Q1249" s="569"/>
    </row>
    <row r="1250" spans="1:17" ht="15.75" hidden="1" customHeight="1" outlineLevel="3">
      <c r="A1250" s="274"/>
      <c r="B1250" s="143"/>
      <c r="C1250" s="162" t="s">
        <v>377</v>
      </c>
      <c r="D1250" s="160"/>
      <c r="E1250" s="153"/>
      <c r="F1250" s="153"/>
      <c r="G1250" s="153"/>
      <c r="H1250" s="206"/>
      <c r="I1250" s="212"/>
      <c r="J1250" s="184"/>
      <c r="K1250" s="221"/>
      <c r="L1250" s="184"/>
      <c r="M1250" s="219"/>
      <c r="N1250" s="183"/>
      <c r="O1250" s="226"/>
      <c r="P1250" s="207"/>
      <c r="Q1250" s="569"/>
    </row>
    <row r="1251" spans="1:17" ht="15.75" hidden="1" customHeight="1" outlineLevel="3">
      <c r="A1251" s="274"/>
      <c r="B1251" s="143"/>
      <c r="C1251" s="162" t="s">
        <v>266</v>
      </c>
      <c r="D1251" s="160"/>
      <c r="E1251" s="153"/>
      <c r="F1251" s="153"/>
      <c r="G1251" s="153"/>
      <c r="H1251" s="206"/>
      <c r="I1251" s="212"/>
      <c r="J1251" s="184"/>
      <c r="K1251" s="221"/>
      <c r="L1251" s="184"/>
      <c r="M1251" s="219"/>
      <c r="N1251" s="159"/>
      <c r="O1251" s="226"/>
      <c r="P1251" s="207"/>
      <c r="Q1251" s="568"/>
    </row>
    <row r="1252" spans="1:17" s="211" customFormat="1" ht="15.75" hidden="1" customHeight="1" outlineLevel="3">
      <c r="A1252" s="551"/>
      <c r="B1252" s="142"/>
      <c r="C1252" s="162" t="s">
        <v>475</v>
      </c>
      <c r="D1252" s="180"/>
      <c r="E1252" s="148"/>
      <c r="F1252" s="148"/>
      <c r="G1252" s="148"/>
      <c r="H1252" s="342">
        <f>CIP!$AQ$133</f>
        <v>459009.20024999988</v>
      </c>
      <c r="I1252" s="146">
        <f>SUM(D1252:H1252)</f>
        <v>459009.20024999988</v>
      </c>
      <c r="J1252" s="147"/>
      <c r="K1252" s="221"/>
      <c r="L1252" s="147"/>
      <c r="M1252" s="219"/>
      <c r="N1252" s="149"/>
      <c r="O1252" s="226"/>
      <c r="P1252" s="150">
        <f t="shared" ref="P1252:P1253" si="88">SUM(I1252,K1252,M1252,O1252)</f>
        <v>459009.20024999988</v>
      </c>
      <c r="Q1252" s="569"/>
    </row>
    <row r="1253" spans="1:17" s="211" customFormat="1" ht="15.75" hidden="1" customHeight="1" outlineLevel="2" collapsed="1">
      <c r="A1253" s="551"/>
      <c r="B1253" s="159"/>
      <c r="C1253" s="142" t="s">
        <v>474</v>
      </c>
      <c r="D1253" s="220"/>
      <c r="E1253" s="148"/>
      <c r="F1253" s="217"/>
      <c r="G1253" s="148"/>
      <c r="H1253" s="226">
        <f>SUM(H1252)</f>
        <v>459009.20024999988</v>
      </c>
      <c r="I1253" s="150">
        <f>SUM(D1253:H1253)</f>
        <v>459009.20024999988</v>
      </c>
      <c r="J1253" s="147"/>
      <c r="K1253" s="217"/>
      <c r="L1253" s="147"/>
      <c r="M1253" s="217"/>
      <c r="N1253" s="149"/>
      <c r="O1253" s="226"/>
      <c r="P1253" s="150">
        <f t="shared" si="88"/>
        <v>459009.20024999988</v>
      </c>
      <c r="Q1253" s="569" t="s">
        <v>1301</v>
      </c>
    </row>
    <row r="1254" spans="1:17" s="211" customFormat="1" ht="15.75" hidden="1" customHeight="1" outlineLevel="3">
      <c r="A1254" s="551"/>
      <c r="B1254" s="142" t="s">
        <v>476</v>
      </c>
      <c r="C1254" s="159"/>
      <c r="D1254" s="180"/>
      <c r="E1254" s="148"/>
      <c r="F1254" s="148"/>
      <c r="G1254" s="148"/>
      <c r="H1254" s="198"/>
      <c r="I1254" s="146"/>
      <c r="J1254" s="147"/>
      <c r="K1254" s="221"/>
      <c r="L1254" s="147"/>
      <c r="M1254" s="219"/>
      <c r="N1254" s="149"/>
      <c r="O1254" s="226"/>
      <c r="P1254" s="150"/>
      <c r="Q1254" s="569"/>
    </row>
    <row r="1255" spans="1:17" ht="15.75" hidden="1" customHeight="1" outlineLevel="3">
      <c r="A1255" s="274"/>
      <c r="B1255" s="143"/>
      <c r="C1255" s="142" t="s">
        <v>380</v>
      </c>
      <c r="D1255" s="160"/>
      <c r="E1255" s="153"/>
      <c r="F1255" s="153"/>
      <c r="G1255" s="153"/>
      <c r="H1255" s="206"/>
      <c r="I1255" s="212"/>
      <c r="J1255" s="184"/>
      <c r="K1255" s="221"/>
      <c r="L1255" s="184"/>
      <c r="M1255" s="219"/>
      <c r="N1255" s="183"/>
      <c r="O1255" s="226"/>
      <c r="P1255" s="207"/>
      <c r="Q1255" s="569"/>
    </row>
    <row r="1256" spans="1:17" ht="15.75" hidden="1" customHeight="1" outlineLevel="3">
      <c r="A1256" s="274"/>
      <c r="B1256" s="143"/>
      <c r="C1256" s="213" t="s">
        <v>396</v>
      </c>
      <c r="D1256" s="160"/>
      <c r="E1256" s="153"/>
      <c r="F1256" s="153"/>
      <c r="G1256" s="153"/>
      <c r="H1256" s="206"/>
      <c r="I1256" s="212"/>
      <c r="J1256" s="184"/>
      <c r="K1256" s="221"/>
      <c r="L1256" s="184"/>
      <c r="M1256" s="219"/>
      <c r="N1256" s="183">
        <v>150000</v>
      </c>
      <c r="O1256" s="226">
        <f>N1256*1.73</f>
        <v>259500</v>
      </c>
      <c r="P1256" s="150">
        <f t="shared" ref="P1256:P1281" si="89">SUM(I1256,K1256,M1256,O1256)</f>
        <v>259500</v>
      </c>
      <c r="Q1256" s="569"/>
    </row>
    <row r="1257" spans="1:17" ht="15.75" hidden="1" customHeight="1" outlineLevel="3">
      <c r="A1257" s="274"/>
      <c r="B1257" s="143"/>
      <c r="C1257" s="213" t="s">
        <v>357</v>
      </c>
      <c r="D1257" s="160"/>
      <c r="E1257" s="202">
        <f>CIP!$AN$52</f>
        <v>77625</v>
      </c>
      <c r="F1257" s="153"/>
      <c r="G1257" s="153"/>
      <c r="H1257" s="206"/>
      <c r="I1257" s="212">
        <f>SUM(D1257:H1257)</f>
        <v>77625</v>
      </c>
      <c r="J1257" s="184"/>
      <c r="K1257" s="221"/>
      <c r="L1257" s="184"/>
      <c r="M1257" s="219"/>
      <c r="N1257" s="183"/>
      <c r="O1257" s="226"/>
      <c r="P1257" s="150">
        <f t="shared" si="89"/>
        <v>77625</v>
      </c>
      <c r="Q1257" s="569"/>
    </row>
    <row r="1258" spans="1:17" ht="15.75" hidden="1" customHeight="1" outlineLevel="3">
      <c r="A1258" s="274"/>
      <c r="B1258" s="143"/>
      <c r="C1258" s="213" t="s">
        <v>358</v>
      </c>
      <c r="D1258" s="160"/>
      <c r="E1258" s="153"/>
      <c r="F1258" s="153"/>
      <c r="G1258" s="153"/>
      <c r="H1258" s="206"/>
      <c r="I1258" s="203"/>
      <c r="J1258" s="186"/>
      <c r="K1258" s="221"/>
      <c r="L1258" s="184"/>
      <c r="M1258" s="219"/>
      <c r="N1258" s="183"/>
      <c r="O1258" s="226"/>
      <c r="P1258" s="150"/>
      <c r="Q1258" s="569"/>
    </row>
    <row r="1259" spans="1:17" ht="15.75" hidden="1" customHeight="1" outlineLevel="3">
      <c r="A1259" s="274"/>
      <c r="B1259" s="143"/>
      <c r="C1259" s="213" t="s">
        <v>359</v>
      </c>
      <c r="D1259" s="160"/>
      <c r="E1259" s="153"/>
      <c r="F1259" s="153"/>
      <c r="G1259" s="153"/>
      <c r="H1259" s="206"/>
      <c r="I1259" s="212"/>
      <c r="J1259" s="184"/>
      <c r="K1259" s="221"/>
      <c r="L1259" s="184"/>
      <c r="M1259" s="219"/>
      <c r="N1259" s="183"/>
      <c r="O1259" s="226"/>
      <c r="P1259" s="150"/>
      <c r="Q1259" s="569"/>
    </row>
    <row r="1260" spans="1:17" ht="15.75" hidden="1" customHeight="1" outlineLevel="3">
      <c r="A1260" s="274"/>
      <c r="B1260" s="143"/>
      <c r="C1260" s="213" t="s">
        <v>388</v>
      </c>
      <c r="D1260" s="160"/>
      <c r="E1260" s="153"/>
      <c r="F1260" s="153"/>
      <c r="G1260" s="153"/>
      <c r="H1260" s="206"/>
      <c r="I1260" s="212"/>
      <c r="J1260" s="184"/>
      <c r="K1260" s="221"/>
      <c r="L1260" s="184"/>
      <c r="M1260" s="219"/>
      <c r="N1260" s="183"/>
      <c r="O1260" s="226"/>
      <c r="P1260" s="150"/>
      <c r="Q1260" s="569"/>
    </row>
    <row r="1261" spans="1:17" ht="15.75" hidden="1" customHeight="1" outlineLevel="3">
      <c r="A1261" s="274"/>
      <c r="B1261" s="143"/>
      <c r="C1261" s="142" t="s">
        <v>381</v>
      </c>
      <c r="D1261" s="160"/>
      <c r="E1261" s="153"/>
      <c r="F1261" s="153"/>
      <c r="G1261" s="153"/>
      <c r="H1261" s="206"/>
      <c r="I1261" s="212"/>
      <c r="J1261" s="184"/>
      <c r="K1261" s="221"/>
      <c r="L1261" s="184"/>
      <c r="M1261" s="219"/>
      <c r="N1261" s="183"/>
      <c r="O1261" s="226"/>
      <c r="P1261" s="150"/>
      <c r="Q1261" s="569"/>
    </row>
    <row r="1262" spans="1:17" ht="15.75" hidden="1" customHeight="1" outlineLevel="3">
      <c r="A1262" s="274"/>
      <c r="B1262" s="143"/>
      <c r="C1262" s="213" t="s">
        <v>362</v>
      </c>
      <c r="D1262" s="160"/>
      <c r="E1262" s="153"/>
      <c r="F1262" s="153"/>
      <c r="G1262" s="153"/>
      <c r="H1262" s="206"/>
      <c r="I1262" s="212"/>
      <c r="J1262" s="184"/>
      <c r="K1262" s="221"/>
      <c r="L1262" s="184"/>
      <c r="M1262" s="219"/>
      <c r="N1262" s="183"/>
      <c r="O1262" s="226"/>
      <c r="P1262" s="150"/>
      <c r="Q1262" s="569"/>
    </row>
    <row r="1263" spans="1:17" ht="15.75" hidden="1" customHeight="1" outlineLevel="3">
      <c r="A1263" s="274"/>
      <c r="B1263" s="143"/>
      <c r="C1263" s="213" t="s">
        <v>363</v>
      </c>
      <c r="D1263" s="160"/>
      <c r="E1263" s="153"/>
      <c r="F1263" s="153"/>
      <c r="G1263" s="153"/>
      <c r="H1263" s="206"/>
      <c r="I1263" s="212"/>
      <c r="J1263" s="184"/>
      <c r="K1263" s="221"/>
      <c r="L1263" s="184"/>
      <c r="M1263" s="219"/>
      <c r="N1263" s="183"/>
      <c r="O1263" s="226"/>
      <c r="P1263" s="150"/>
      <c r="Q1263" s="569"/>
    </row>
    <row r="1264" spans="1:17" ht="15.75" hidden="1" customHeight="1" outlineLevel="3">
      <c r="A1264" s="274"/>
      <c r="B1264" s="143"/>
      <c r="C1264" s="213" t="s">
        <v>358</v>
      </c>
      <c r="D1264" s="160"/>
      <c r="E1264" s="153"/>
      <c r="F1264" s="153"/>
      <c r="G1264" s="153"/>
      <c r="H1264" s="206"/>
      <c r="I1264" s="212"/>
      <c r="J1264" s="184"/>
      <c r="K1264" s="221"/>
      <c r="L1264" s="184"/>
      <c r="M1264" s="219"/>
      <c r="N1264" s="183"/>
      <c r="O1264" s="226"/>
      <c r="P1264" s="150"/>
      <c r="Q1264" s="569"/>
    </row>
    <row r="1265" spans="1:17" ht="15.75" hidden="1" customHeight="1" outlineLevel="3">
      <c r="A1265" s="274"/>
      <c r="B1265" s="143"/>
      <c r="C1265" s="213" t="s">
        <v>364</v>
      </c>
      <c r="D1265" s="160"/>
      <c r="E1265" s="153"/>
      <c r="F1265" s="153"/>
      <c r="G1265" s="153"/>
      <c r="H1265" s="206"/>
      <c r="I1265" s="212"/>
      <c r="J1265" s="184"/>
      <c r="K1265" s="221"/>
      <c r="L1265" s="184"/>
      <c r="M1265" s="219"/>
      <c r="N1265" s="183"/>
      <c r="O1265" s="226"/>
      <c r="P1265" s="150"/>
      <c r="Q1265" s="569"/>
    </row>
    <row r="1266" spans="1:17" ht="15.75" hidden="1" customHeight="1" outlineLevel="3">
      <c r="A1266" s="274"/>
      <c r="B1266" s="143"/>
      <c r="C1266" s="142" t="s">
        <v>382</v>
      </c>
      <c r="D1266" s="160"/>
      <c r="E1266" s="153"/>
      <c r="F1266" s="153"/>
      <c r="G1266" s="153"/>
      <c r="H1266" s="206"/>
      <c r="I1266" s="212"/>
      <c r="J1266" s="184"/>
      <c r="K1266" s="221"/>
      <c r="L1266" s="184"/>
      <c r="M1266" s="219"/>
      <c r="N1266" s="183"/>
      <c r="O1266" s="226"/>
      <c r="P1266" s="150"/>
      <c r="Q1266" s="569"/>
    </row>
    <row r="1267" spans="1:17" ht="15.75" hidden="1" customHeight="1" outlineLevel="3">
      <c r="A1267" s="274"/>
      <c r="B1267" s="143"/>
      <c r="C1267" s="213" t="s">
        <v>366</v>
      </c>
      <c r="D1267" s="160"/>
      <c r="E1267" s="153"/>
      <c r="F1267" s="153"/>
      <c r="G1267" s="153"/>
      <c r="H1267" s="206"/>
      <c r="I1267" s="212"/>
      <c r="J1267" s="184"/>
      <c r="K1267" s="221"/>
      <c r="L1267" s="184"/>
      <c r="M1267" s="219"/>
      <c r="N1267" s="183"/>
      <c r="O1267" s="226"/>
      <c r="P1267" s="150"/>
      <c r="Q1267" s="569"/>
    </row>
    <row r="1268" spans="1:17" ht="15.75" hidden="1" customHeight="1" outlineLevel="3">
      <c r="A1268" s="274"/>
      <c r="B1268" s="143"/>
      <c r="C1268" s="213" t="s">
        <v>358</v>
      </c>
      <c r="D1268" s="160"/>
      <c r="E1268" s="153"/>
      <c r="F1268" s="153"/>
      <c r="G1268" s="153"/>
      <c r="H1268" s="206"/>
      <c r="I1268" s="212"/>
      <c r="J1268" s="184"/>
      <c r="K1268" s="221"/>
      <c r="L1268" s="184"/>
      <c r="M1268" s="219"/>
      <c r="N1268" s="183"/>
      <c r="O1268" s="226"/>
      <c r="P1268" s="150"/>
      <c r="Q1268" s="569"/>
    </row>
    <row r="1269" spans="1:17" ht="15.75" hidden="1" customHeight="1" outlineLevel="3">
      <c r="A1269" s="274"/>
      <c r="B1269" s="143"/>
      <c r="C1269" s="213" t="s">
        <v>367</v>
      </c>
      <c r="D1269" s="160"/>
      <c r="E1269" s="153"/>
      <c r="F1269" s="153"/>
      <c r="G1269" s="153"/>
      <c r="H1269" s="206"/>
      <c r="I1269" s="212"/>
      <c r="J1269" s="184"/>
      <c r="K1269" s="221"/>
      <c r="L1269" s="184"/>
      <c r="M1269" s="219"/>
      <c r="N1269" s="183"/>
      <c r="O1269" s="226"/>
      <c r="P1269" s="150"/>
      <c r="Q1269" s="569"/>
    </row>
    <row r="1270" spans="1:17" ht="15.75" hidden="1" customHeight="1" outlineLevel="3">
      <c r="A1270" s="274"/>
      <c r="B1270" s="143"/>
      <c r="C1270" s="213" t="s">
        <v>368</v>
      </c>
      <c r="D1270" s="160"/>
      <c r="E1270" s="153"/>
      <c r="F1270" s="153"/>
      <c r="G1270" s="153"/>
      <c r="H1270" s="206"/>
      <c r="I1270" s="212"/>
      <c r="J1270" s="184"/>
      <c r="K1270" s="221"/>
      <c r="L1270" s="184"/>
      <c r="M1270" s="219"/>
      <c r="N1270" s="183"/>
      <c r="O1270" s="226"/>
      <c r="P1270" s="150"/>
      <c r="Q1270" s="569"/>
    </row>
    <row r="1271" spans="1:17" ht="15.75" hidden="1" customHeight="1" outlineLevel="3">
      <c r="A1271" s="274"/>
      <c r="B1271" s="143"/>
      <c r="C1271" s="142" t="s">
        <v>383</v>
      </c>
      <c r="D1271" s="160"/>
      <c r="E1271" s="153"/>
      <c r="F1271" s="153"/>
      <c r="G1271" s="153"/>
      <c r="H1271" s="206"/>
      <c r="I1271" s="212"/>
      <c r="J1271" s="184"/>
      <c r="K1271" s="221"/>
      <c r="L1271" s="184"/>
      <c r="M1271" s="219"/>
      <c r="N1271" s="183"/>
      <c r="O1271" s="226"/>
      <c r="P1271" s="150"/>
      <c r="Q1271" s="569"/>
    </row>
    <row r="1272" spans="1:17" ht="15.75" hidden="1" customHeight="1" outlineLevel="3">
      <c r="A1272" s="274"/>
      <c r="B1272" s="143"/>
      <c r="C1272" s="213" t="s">
        <v>370</v>
      </c>
      <c r="D1272" s="160"/>
      <c r="E1272" s="153"/>
      <c r="F1272" s="153"/>
      <c r="G1272" s="153"/>
      <c r="H1272" s="206"/>
      <c r="I1272" s="212"/>
      <c r="J1272" s="184"/>
      <c r="K1272" s="221"/>
      <c r="L1272" s="184"/>
      <c r="M1272" s="219"/>
      <c r="N1272" s="183"/>
      <c r="O1272" s="226"/>
      <c r="P1272" s="150"/>
      <c r="Q1272" s="569"/>
    </row>
    <row r="1273" spans="1:17" ht="15.75" hidden="1" customHeight="1" outlineLevel="3">
      <c r="A1273" s="274"/>
      <c r="B1273" s="143"/>
      <c r="C1273" s="213" t="s">
        <v>371</v>
      </c>
      <c r="D1273" s="160"/>
      <c r="E1273" s="153"/>
      <c r="F1273" s="153"/>
      <c r="G1273" s="153"/>
      <c r="H1273" s="206"/>
      <c r="I1273" s="212"/>
      <c r="J1273" s="184"/>
      <c r="K1273" s="221"/>
      <c r="L1273" s="184"/>
      <c r="M1273" s="219"/>
      <c r="N1273" s="183">
        <v>100000</v>
      </c>
      <c r="O1273" s="226">
        <f t="shared" ref="O1273:O1274" si="90">N1273*1.73</f>
        <v>173000</v>
      </c>
      <c r="P1273" s="150">
        <f t="shared" si="89"/>
        <v>173000</v>
      </c>
      <c r="Q1273" s="569"/>
    </row>
    <row r="1274" spans="1:17" ht="15.75" hidden="1" customHeight="1" outlineLevel="3">
      <c r="A1274" s="274"/>
      <c r="B1274" s="143"/>
      <c r="C1274" s="213" t="s">
        <v>372</v>
      </c>
      <c r="D1274" s="160"/>
      <c r="E1274" s="153"/>
      <c r="F1274" s="153"/>
      <c r="G1274" s="153"/>
      <c r="H1274" s="206"/>
      <c r="I1274" s="212"/>
      <c r="J1274" s="184"/>
      <c r="K1274" s="221"/>
      <c r="L1274" s="184"/>
      <c r="M1274" s="219"/>
      <c r="N1274" s="183">
        <v>238000</v>
      </c>
      <c r="O1274" s="226">
        <f t="shared" si="90"/>
        <v>411740</v>
      </c>
      <c r="P1274" s="150">
        <f t="shared" si="89"/>
        <v>411740</v>
      </c>
      <c r="Q1274" s="569"/>
    </row>
    <row r="1275" spans="1:17" ht="15.75" hidden="1" customHeight="1" outlineLevel="3">
      <c r="A1275" s="274"/>
      <c r="B1275" s="143"/>
      <c r="C1275" s="213" t="s">
        <v>373</v>
      </c>
      <c r="D1275" s="160"/>
      <c r="E1275" s="153"/>
      <c r="F1275" s="153"/>
      <c r="G1275" s="153"/>
      <c r="H1275" s="206"/>
      <c r="I1275" s="212"/>
      <c r="J1275" s="184"/>
      <c r="K1275" s="221"/>
      <c r="L1275" s="184"/>
      <c r="M1275" s="219"/>
      <c r="N1275" s="183"/>
      <c r="O1275" s="226"/>
      <c r="P1275" s="150"/>
      <c r="Q1275" s="568"/>
    </row>
    <row r="1276" spans="1:17" ht="15.75" hidden="1" customHeight="1" outlineLevel="3">
      <c r="A1276" s="274"/>
      <c r="B1276" s="143"/>
      <c r="C1276" s="142" t="s">
        <v>384</v>
      </c>
      <c r="D1276" s="160"/>
      <c r="E1276" s="153"/>
      <c r="F1276" s="153"/>
      <c r="G1276" s="153"/>
      <c r="H1276" s="206"/>
      <c r="I1276" s="212"/>
      <c r="J1276" s="184"/>
      <c r="K1276" s="221"/>
      <c r="L1276" s="184"/>
      <c r="M1276" s="219"/>
      <c r="N1276" s="183"/>
      <c r="O1276" s="226"/>
      <c r="P1276" s="150"/>
      <c r="Q1276" s="569"/>
    </row>
    <row r="1277" spans="1:17" ht="15.75" hidden="1" customHeight="1" outlineLevel="3">
      <c r="A1277" s="274"/>
      <c r="B1277" s="143"/>
      <c r="C1277" s="162" t="s">
        <v>375</v>
      </c>
      <c r="D1277" s="160"/>
      <c r="E1277" s="153"/>
      <c r="F1277" s="153"/>
      <c r="G1277" s="153"/>
      <c r="H1277" s="206"/>
      <c r="I1277" s="212"/>
      <c r="J1277" s="184"/>
      <c r="K1277" s="221"/>
      <c r="L1277" s="184"/>
      <c r="M1277" s="219"/>
      <c r="N1277" s="183"/>
      <c r="O1277" s="226"/>
      <c r="P1277" s="150"/>
      <c r="Q1277" s="569"/>
    </row>
    <row r="1278" spans="1:17" ht="15.75" hidden="1" customHeight="1" outlineLevel="3">
      <c r="A1278" s="274"/>
      <c r="B1278" s="143"/>
      <c r="C1278" s="162" t="s">
        <v>376</v>
      </c>
      <c r="D1278" s="160"/>
      <c r="E1278" s="153"/>
      <c r="F1278" s="153"/>
      <c r="G1278" s="153"/>
      <c r="H1278" s="206"/>
      <c r="I1278" s="212"/>
      <c r="J1278" s="184"/>
      <c r="K1278" s="221"/>
      <c r="L1278" s="184"/>
      <c r="M1278" s="219"/>
      <c r="N1278" s="183"/>
      <c r="O1278" s="226"/>
      <c r="P1278" s="150"/>
      <c r="Q1278" s="569"/>
    </row>
    <row r="1279" spans="1:17" ht="15.75" hidden="1" customHeight="1" outlineLevel="3">
      <c r="A1279" s="274"/>
      <c r="B1279" s="143"/>
      <c r="C1279" s="162" t="s">
        <v>377</v>
      </c>
      <c r="D1279" s="160"/>
      <c r="E1279" s="153"/>
      <c r="F1279" s="153"/>
      <c r="G1279" s="153"/>
      <c r="H1279" s="206"/>
      <c r="I1279" s="212"/>
      <c r="J1279" s="184"/>
      <c r="K1279" s="221"/>
      <c r="L1279" s="184"/>
      <c r="M1279" s="219"/>
      <c r="N1279" s="183"/>
      <c r="O1279" s="226"/>
      <c r="P1279" s="150"/>
      <c r="Q1279" s="569"/>
    </row>
    <row r="1280" spans="1:17" ht="15.75" hidden="1" customHeight="1" outlineLevel="3">
      <c r="A1280" s="274"/>
      <c r="B1280" s="143"/>
      <c r="C1280" s="162" t="s">
        <v>400</v>
      </c>
      <c r="D1280" s="160"/>
      <c r="E1280" s="153"/>
      <c r="F1280" s="153"/>
      <c r="G1280" s="202"/>
      <c r="H1280" s="206"/>
      <c r="I1280" s="212"/>
      <c r="J1280" s="184"/>
      <c r="K1280" s="221"/>
      <c r="L1280" s="184">
        <v>240000</v>
      </c>
      <c r="M1280" s="219">
        <f>L1280*1.46</f>
        <v>350400</v>
      </c>
      <c r="N1280" s="183"/>
      <c r="O1280" s="226"/>
      <c r="P1280" s="150">
        <f t="shared" si="89"/>
        <v>350400</v>
      </c>
      <c r="Q1280" s="568"/>
    </row>
    <row r="1281" spans="1:17" ht="15.75" hidden="1" customHeight="1" outlineLevel="2" collapsed="1">
      <c r="A1281" s="274"/>
      <c r="B1281" s="143"/>
      <c r="C1281" s="142" t="s">
        <v>476</v>
      </c>
      <c r="D1281" s="220"/>
      <c r="E1281" s="217">
        <f>SUM(E1255:E1280)</f>
        <v>77625</v>
      </c>
      <c r="F1281" s="217"/>
      <c r="G1281" s="217"/>
      <c r="H1281" s="226"/>
      <c r="I1281" s="207">
        <f>SUM(I1255:I1280)</f>
        <v>77625</v>
      </c>
      <c r="J1281" s="184"/>
      <c r="K1281" s="217"/>
      <c r="L1281" s="184">
        <f>SUM(L1256:L1280)</f>
        <v>240000</v>
      </c>
      <c r="M1281" s="217">
        <f>L1281*1.46</f>
        <v>350400</v>
      </c>
      <c r="N1281" s="183">
        <f>SUM(N1255:N1280)</f>
        <v>488000</v>
      </c>
      <c r="O1281" s="226">
        <f>N1281*1.73</f>
        <v>844240</v>
      </c>
      <c r="P1281" s="150">
        <f t="shared" si="89"/>
        <v>1272265</v>
      </c>
      <c r="Q1281" s="568"/>
    </row>
    <row r="1282" spans="1:17" s="211" customFormat="1" ht="15.75" hidden="1" customHeight="1" outlineLevel="3">
      <c r="A1282" s="551"/>
      <c r="B1282" s="142" t="s">
        <v>477</v>
      </c>
      <c r="C1282" s="159"/>
      <c r="D1282" s="180"/>
      <c r="E1282" s="148"/>
      <c r="F1282" s="148"/>
      <c r="G1282" s="148"/>
      <c r="H1282" s="198"/>
      <c r="I1282" s="434"/>
      <c r="J1282" s="210"/>
      <c r="K1282" s="221"/>
      <c r="L1282" s="210"/>
      <c r="M1282" s="219"/>
      <c r="N1282" s="402"/>
      <c r="O1282" s="226"/>
      <c r="P1282" s="218"/>
      <c r="Q1282" s="569"/>
    </row>
    <row r="1283" spans="1:17" ht="15.75" hidden="1" customHeight="1" outlineLevel="3">
      <c r="A1283" s="274"/>
      <c r="B1283" s="143"/>
      <c r="C1283" s="142" t="s">
        <v>380</v>
      </c>
      <c r="D1283" s="160"/>
      <c r="E1283" s="153"/>
      <c r="F1283" s="153"/>
      <c r="G1283" s="153"/>
      <c r="H1283" s="206"/>
      <c r="I1283" s="212"/>
      <c r="J1283" s="184"/>
      <c r="K1283" s="221"/>
      <c r="L1283" s="184"/>
      <c r="M1283" s="219"/>
      <c r="N1283" s="183"/>
      <c r="O1283" s="226"/>
      <c r="P1283" s="207"/>
      <c r="Q1283" s="569"/>
    </row>
    <row r="1284" spans="1:17" ht="15.75" hidden="1" customHeight="1" outlineLevel="3">
      <c r="A1284" s="274"/>
      <c r="B1284" s="143"/>
      <c r="C1284" s="213" t="s">
        <v>396</v>
      </c>
      <c r="D1284" s="160"/>
      <c r="E1284" s="153"/>
      <c r="F1284" s="153"/>
      <c r="G1284" s="153"/>
      <c r="H1284" s="206"/>
      <c r="I1284" s="212"/>
      <c r="J1284" s="184"/>
      <c r="K1284" s="221"/>
      <c r="L1284" s="184"/>
      <c r="M1284" s="219"/>
      <c r="N1284" s="183"/>
      <c r="O1284" s="226"/>
      <c r="P1284" s="207"/>
      <c r="Q1284" s="569"/>
    </row>
    <row r="1285" spans="1:17" ht="15.75" hidden="1" customHeight="1" outlineLevel="3">
      <c r="A1285" s="274"/>
      <c r="B1285" s="143"/>
      <c r="C1285" s="213" t="s">
        <v>357</v>
      </c>
      <c r="D1285" s="160"/>
      <c r="E1285" s="153"/>
      <c r="F1285" s="153"/>
      <c r="G1285" s="153"/>
      <c r="H1285" s="206"/>
      <c r="I1285" s="212"/>
      <c r="J1285" s="184"/>
      <c r="K1285" s="221"/>
      <c r="L1285" s="184"/>
      <c r="M1285" s="219"/>
      <c r="N1285" s="183"/>
      <c r="O1285" s="226"/>
      <c r="P1285" s="207"/>
      <c r="Q1285" s="569"/>
    </row>
    <row r="1286" spans="1:17" ht="15.75" hidden="1" customHeight="1" outlineLevel="3">
      <c r="A1286" s="274"/>
      <c r="B1286" s="143"/>
      <c r="C1286" s="213" t="s">
        <v>358</v>
      </c>
      <c r="D1286" s="160"/>
      <c r="E1286" s="153"/>
      <c r="F1286" s="153"/>
      <c r="G1286" s="153"/>
      <c r="H1286" s="206"/>
      <c r="I1286" s="203"/>
      <c r="J1286" s="186"/>
      <c r="K1286" s="221"/>
      <c r="L1286" s="184"/>
      <c r="M1286" s="219"/>
      <c r="N1286" s="183"/>
      <c r="O1286" s="226"/>
      <c r="P1286" s="207"/>
      <c r="Q1286" s="569"/>
    </row>
    <row r="1287" spans="1:17" ht="15.75" hidden="1" customHeight="1" outlineLevel="3">
      <c r="A1287" s="274"/>
      <c r="B1287" s="143"/>
      <c r="C1287" s="213" t="s">
        <v>359</v>
      </c>
      <c r="D1287" s="160"/>
      <c r="E1287" s="153"/>
      <c r="F1287" s="153"/>
      <c r="G1287" s="153"/>
      <c r="H1287" s="206"/>
      <c r="I1287" s="212"/>
      <c r="J1287" s="184"/>
      <c r="K1287" s="221"/>
      <c r="L1287" s="184"/>
      <c r="M1287" s="219"/>
      <c r="N1287" s="183"/>
      <c r="O1287" s="226"/>
      <c r="P1287" s="207"/>
      <c r="Q1287" s="569"/>
    </row>
    <row r="1288" spans="1:17" ht="15.75" hidden="1" customHeight="1" outlineLevel="3">
      <c r="A1288" s="274"/>
      <c r="B1288" s="143"/>
      <c r="C1288" s="213" t="s">
        <v>388</v>
      </c>
      <c r="D1288" s="160"/>
      <c r="E1288" s="153"/>
      <c r="F1288" s="153"/>
      <c r="G1288" s="153"/>
      <c r="H1288" s="206"/>
      <c r="I1288" s="212"/>
      <c r="J1288" s="184"/>
      <c r="K1288" s="221"/>
      <c r="L1288" s="184"/>
      <c r="M1288" s="219"/>
      <c r="N1288" s="183"/>
      <c r="O1288" s="226"/>
      <c r="P1288" s="207"/>
      <c r="Q1288" s="569"/>
    </row>
    <row r="1289" spans="1:17" ht="15.75" hidden="1" customHeight="1" outlineLevel="3">
      <c r="A1289" s="274"/>
      <c r="B1289" s="143"/>
      <c r="C1289" s="142" t="s">
        <v>381</v>
      </c>
      <c r="D1289" s="160"/>
      <c r="E1289" s="153"/>
      <c r="F1289" s="153"/>
      <c r="G1289" s="153"/>
      <c r="H1289" s="206"/>
      <c r="I1289" s="212"/>
      <c r="J1289" s="184"/>
      <c r="K1289" s="221"/>
      <c r="L1289" s="184"/>
      <c r="M1289" s="219"/>
      <c r="N1289" s="183"/>
      <c r="O1289" s="226"/>
      <c r="P1289" s="207"/>
      <c r="Q1289" s="569"/>
    </row>
    <row r="1290" spans="1:17" ht="15.75" hidden="1" customHeight="1" outlineLevel="3">
      <c r="A1290" s="274"/>
      <c r="B1290" s="143"/>
      <c r="C1290" s="213" t="s">
        <v>362</v>
      </c>
      <c r="D1290" s="160"/>
      <c r="E1290" s="153"/>
      <c r="F1290" s="153"/>
      <c r="G1290" s="153"/>
      <c r="H1290" s="206"/>
      <c r="I1290" s="212"/>
      <c r="J1290" s="184"/>
      <c r="K1290" s="221"/>
      <c r="L1290" s="184"/>
      <c r="M1290" s="219"/>
      <c r="N1290" s="183"/>
      <c r="O1290" s="226"/>
      <c r="P1290" s="207"/>
      <c r="Q1290" s="569"/>
    </row>
    <row r="1291" spans="1:17" ht="15.75" hidden="1" customHeight="1" outlineLevel="3">
      <c r="A1291" s="274"/>
      <c r="B1291" s="143"/>
      <c r="C1291" s="213" t="s">
        <v>363</v>
      </c>
      <c r="D1291" s="160"/>
      <c r="E1291" s="153"/>
      <c r="F1291" s="153"/>
      <c r="G1291" s="153"/>
      <c r="H1291" s="206"/>
      <c r="I1291" s="212"/>
      <c r="J1291" s="184"/>
      <c r="K1291" s="221"/>
      <c r="L1291" s="184"/>
      <c r="M1291" s="219"/>
      <c r="N1291" s="183"/>
      <c r="O1291" s="226"/>
      <c r="P1291" s="207"/>
      <c r="Q1291" s="569"/>
    </row>
    <row r="1292" spans="1:17" ht="15.75" hidden="1" customHeight="1" outlineLevel="3">
      <c r="A1292" s="274"/>
      <c r="B1292" s="143"/>
      <c r="C1292" s="213" t="s">
        <v>358</v>
      </c>
      <c r="D1292" s="160"/>
      <c r="E1292" s="153"/>
      <c r="F1292" s="153"/>
      <c r="G1292" s="153"/>
      <c r="H1292" s="206"/>
      <c r="I1292" s="212"/>
      <c r="J1292" s="184"/>
      <c r="K1292" s="221"/>
      <c r="L1292" s="184"/>
      <c r="M1292" s="219"/>
      <c r="N1292" s="183"/>
      <c r="O1292" s="226"/>
      <c r="P1292" s="207"/>
      <c r="Q1292" s="569"/>
    </row>
    <row r="1293" spans="1:17" ht="15.75" hidden="1" customHeight="1" outlineLevel="3">
      <c r="A1293" s="274"/>
      <c r="B1293" s="143"/>
      <c r="C1293" s="213" t="s">
        <v>364</v>
      </c>
      <c r="D1293" s="160"/>
      <c r="E1293" s="153"/>
      <c r="F1293" s="153"/>
      <c r="G1293" s="153"/>
      <c r="H1293" s="206"/>
      <c r="I1293" s="212"/>
      <c r="J1293" s="184"/>
      <c r="K1293" s="221"/>
      <c r="L1293" s="184"/>
      <c r="M1293" s="219"/>
      <c r="N1293" s="183"/>
      <c r="O1293" s="226"/>
      <c r="P1293" s="207"/>
      <c r="Q1293" s="569"/>
    </row>
    <row r="1294" spans="1:17" ht="15.75" hidden="1" customHeight="1" outlineLevel="3">
      <c r="A1294" s="274"/>
      <c r="B1294" s="143"/>
      <c r="C1294" s="142" t="s">
        <v>382</v>
      </c>
      <c r="D1294" s="160"/>
      <c r="E1294" s="153"/>
      <c r="F1294" s="153"/>
      <c r="G1294" s="153"/>
      <c r="H1294" s="206"/>
      <c r="I1294" s="212"/>
      <c r="J1294" s="184"/>
      <c r="K1294" s="221"/>
      <c r="L1294" s="184"/>
      <c r="M1294" s="219"/>
      <c r="N1294" s="183"/>
      <c r="O1294" s="226"/>
      <c r="P1294" s="207"/>
      <c r="Q1294" s="569"/>
    </row>
    <row r="1295" spans="1:17" ht="15.75" hidden="1" customHeight="1" outlineLevel="3">
      <c r="A1295" s="274"/>
      <c r="B1295" s="143"/>
      <c r="C1295" s="213" t="s">
        <v>366</v>
      </c>
      <c r="D1295" s="160"/>
      <c r="E1295" s="153"/>
      <c r="F1295" s="153"/>
      <c r="G1295" s="153"/>
      <c r="H1295" s="206"/>
      <c r="I1295" s="212"/>
      <c r="J1295" s="184"/>
      <c r="K1295" s="221"/>
      <c r="L1295" s="184"/>
      <c r="M1295" s="219"/>
      <c r="N1295" s="183"/>
      <c r="O1295" s="226"/>
      <c r="P1295" s="207"/>
      <c r="Q1295" s="569"/>
    </row>
    <row r="1296" spans="1:17" ht="15.75" hidden="1" customHeight="1" outlineLevel="3">
      <c r="A1296" s="274"/>
      <c r="B1296" s="143"/>
      <c r="C1296" s="213" t="s">
        <v>358</v>
      </c>
      <c r="D1296" s="160"/>
      <c r="E1296" s="153"/>
      <c r="F1296" s="153"/>
      <c r="G1296" s="153"/>
      <c r="H1296" s="206"/>
      <c r="I1296" s="212"/>
      <c r="J1296" s="184"/>
      <c r="K1296" s="221"/>
      <c r="L1296" s="184"/>
      <c r="M1296" s="219"/>
      <c r="N1296" s="183"/>
      <c r="O1296" s="226"/>
      <c r="P1296" s="207"/>
      <c r="Q1296" s="569"/>
    </row>
    <row r="1297" spans="1:17" ht="15.75" hidden="1" customHeight="1" outlineLevel="3">
      <c r="A1297" s="274"/>
      <c r="B1297" s="143"/>
      <c r="C1297" s="213" t="s">
        <v>367</v>
      </c>
      <c r="D1297" s="160"/>
      <c r="E1297" s="153"/>
      <c r="F1297" s="153"/>
      <c r="G1297" s="153"/>
      <c r="H1297" s="206"/>
      <c r="I1297" s="212"/>
      <c r="J1297" s="184"/>
      <c r="K1297" s="221"/>
      <c r="L1297" s="184"/>
      <c r="M1297" s="219"/>
      <c r="N1297" s="183"/>
      <c r="O1297" s="226"/>
      <c r="P1297" s="207"/>
      <c r="Q1297" s="569"/>
    </row>
    <row r="1298" spans="1:17" ht="15.75" hidden="1" customHeight="1" outlineLevel="3">
      <c r="A1298" s="274"/>
      <c r="B1298" s="143"/>
      <c r="C1298" s="213" t="s">
        <v>368</v>
      </c>
      <c r="D1298" s="160"/>
      <c r="E1298" s="153"/>
      <c r="F1298" s="153"/>
      <c r="G1298" s="153"/>
      <c r="H1298" s="206"/>
      <c r="I1298" s="212"/>
      <c r="J1298" s="184"/>
      <c r="K1298" s="221"/>
      <c r="L1298" s="184"/>
      <c r="M1298" s="219"/>
      <c r="N1298" s="183"/>
      <c r="O1298" s="226"/>
      <c r="P1298" s="150"/>
      <c r="Q1298" s="569"/>
    </row>
    <row r="1299" spans="1:17" ht="15.75" hidden="1" customHeight="1" outlineLevel="3">
      <c r="A1299" s="274"/>
      <c r="B1299" s="143"/>
      <c r="C1299" s="142" t="s">
        <v>383</v>
      </c>
      <c r="D1299" s="160"/>
      <c r="E1299" s="153"/>
      <c r="F1299" s="153"/>
      <c r="G1299" s="153"/>
      <c r="H1299" s="206"/>
      <c r="I1299" s="212"/>
      <c r="J1299" s="184"/>
      <c r="K1299" s="221"/>
      <c r="L1299" s="184"/>
      <c r="M1299" s="219"/>
      <c r="N1299" s="183"/>
      <c r="O1299" s="226"/>
      <c r="P1299" s="207"/>
      <c r="Q1299" s="569"/>
    </row>
    <row r="1300" spans="1:17" ht="15.75" hidden="1" customHeight="1" outlineLevel="3">
      <c r="A1300" s="274"/>
      <c r="B1300" s="143"/>
      <c r="C1300" s="213" t="s">
        <v>370</v>
      </c>
      <c r="D1300" s="160"/>
      <c r="E1300" s="153"/>
      <c r="F1300" s="153"/>
      <c r="G1300" s="153"/>
      <c r="H1300" s="206"/>
      <c r="I1300" s="212"/>
      <c r="J1300" s="184">
        <v>743000</v>
      </c>
      <c r="K1300" s="221">
        <f>J1300*1.23</f>
        <v>913890</v>
      </c>
      <c r="L1300" s="184"/>
      <c r="M1300" s="219"/>
      <c r="N1300" s="183"/>
      <c r="O1300" s="226"/>
      <c r="P1300" s="150">
        <f t="shared" ref="P1300" si="91">SUM(I1300,K1300,M1300,O1300)</f>
        <v>913890</v>
      </c>
      <c r="Q1300" s="569" t="s">
        <v>1302</v>
      </c>
    </row>
    <row r="1301" spans="1:17" ht="15.75" hidden="1" customHeight="1" outlineLevel="3">
      <c r="A1301" s="274"/>
      <c r="B1301" s="143"/>
      <c r="C1301" s="213" t="s">
        <v>371</v>
      </c>
      <c r="D1301" s="160"/>
      <c r="E1301" s="153"/>
      <c r="F1301" s="153"/>
      <c r="G1301" s="153"/>
      <c r="H1301" s="206"/>
      <c r="I1301" s="212"/>
      <c r="J1301" s="184"/>
      <c r="K1301" s="221"/>
      <c r="L1301" s="184"/>
      <c r="M1301" s="219"/>
      <c r="N1301" s="183"/>
      <c r="O1301" s="226"/>
      <c r="P1301" s="207"/>
      <c r="Q1301" s="569"/>
    </row>
    <row r="1302" spans="1:17" ht="15.75" hidden="1" customHeight="1" outlineLevel="3">
      <c r="A1302" s="274"/>
      <c r="B1302" s="143"/>
      <c r="C1302" s="213" t="s">
        <v>372</v>
      </c>
      <c r="D1302" s="160"/>
      <c r="E1302" s="153"/>
      <c r="F1302" s="153"/>
      <c r="G1302" s="153"/>
      <c r="H1302" s="206"/>
      <c r="I1302" s="212"/>
      <c r="J1302" s="184"/>
      <c r="K1302" s="221"/>
      <c r="L1302" s="184"/>
      <c r="M1302" s="219"/>
      <c r="N1302" s="183"/>
      <c r="O1302" s="226"/>
      <c r="P1302" s="207"/>
      <c r="Q1302" s="569"/>
    </row>
    <row r="1303" spans="1:17" ht="15.75" hidden="1" customHeight="1" outlineLevel="3">
      <c r="A1303" s="274"/>
      <c r="B1303" s="143"/>
      <c r="C1303" s="213" t="s">
        <v>373</v>
      </c>
      <c r="D1303" s="160"/>
      <c r="E1303" s="153"/>
      <c r="F1303" s="153"/>
      <c r="G1303" s="153"/>
      <c r="H1303" s="206"/>
      <c r="I1303" s="212"/>
      <c r="J1303" s="184"/>
      <c r="K1303" s="221"/>
      <c r="L1303" s="184"/>
      <c r="M1303" s="219"/>
      <c r="N1303" s="183"/>
      <c r="O1303" s="226"/>
      <c r="P1303" s="207"/>
      <c r="Q1303" s="568"/>
    </row>
    <row r="1304" spans="1:17" ht="15.75" hidden="1" customHeight="1" outlineLevel="3">
      <c r="A1304" s="274"/>
      <c r="B1304" s="143"/>
      <c r="C1304" s="142" t="s">
        <v>384</v>
      </c>
      <c r="D1304" s="160"/>
      <c r="E1304" s="153"/>
      <c r="F1304" s="153"/>
      <c r="G1304" s="153"/>
      <c r="H1304" s="206"/>
      <c r="I1304" s="212"/>
      <c r="J1304" s="184"/>
      <c r="K1304" s="221"/>
      <c r="L1304" s="184"/>
      <c r="M1304" s="219"/>
      <c r="N1304" s="183"/>
      <c r="O1304" s="226"/>
      <c r="P1304" s="207"/>
      <c r="Q1304" s="569"/>
    </row>
    <row r="1305" spans="1:17" ht="15.75" hidden="1" customHeight="1" outlineLevel="3">
      <c r="A1305" s="274"/>
      <c r="B1305" s="143"/>
      <c r="C1305" s="162" t="s">
        <v>375</v>
      </c>
      <c r="D1305" s="160"/>
      <c r="E1305" s="153"/>
      <c r="F1305" s="153"/>
      <c r="G1305" s="153"/>
      <c r="H1305" s="206"/>
      <c r="I1305" s="212"/>
      <c r="J1305" s="184"/>
      <c r="K1305" s="221"/>
      <c r="L1305" s="184"/>
      <c r="M1305" s="219"/>
      <c r="N1305" s="183"/>
      <c r="O1305" s="226"/>
      <c r="P1305" s="207"/>
      <c r="Q1305" s="569"/>
    </row>
    <row r="1306" spans="1:17" ht="15.75" hidden="1" customHeight="1" outlineLevel="3">
      <c r="A1306" s="274"/>
      <c r="B1306" s="143"/>
      <c r="C1306" s="162" t="s">
        <v>376</v>
      </c>
      <c r="D1306" s="160"/>
      <c r="E1306" s="153"/>
      <c r="F1306" s="153"/>
      <c r="G1306" s="153"/>
      <c r="H1306" s="206"/>
      <c r="I1306" s="212"/>
      <c r="J1306" s="184"/>
      <c r="K1306" s="221"/>
      <c r="L1306" s="184"/>
      <c r="M1306" s="219"/>
      <c r="N1306" s="183"/>
      <c r="O1306" s="226"/>
      <c r="P1306" s="207"/>
      <c r="Q1306" s="569"/>
    </row>
    <row r="1307" spans="1:17" ht="15.75" hidden="1" customHeight="1" outlineLevel="3">
      <c r="A1307" s="274"/>
      <c r="B1307" s="143"/>
      <c r="C1307" s="162" t="s">
        <v>377</v>
      </c>
      <c r="D1307" s="160"/>
      <c r="E1307" s="153"/>
      <c r="F1307" s="153"/>
      <c r="G1307" s="153"/>
      <c r="H1307" s="206"/>
      <c r="I1307" s="212"/>
      <c r="J1307" s="184"/>
      <c r="K1307" s="221"/>
      <c r="L1307" s="184"/>
      <c r="M1307" s="219"/>
      <c r="N1307" s="183"/>
      <c r="O1307" s="226"/>
      <c r="P1307" s="207"/>
      <c r="Q1307" s="569"/>
    </row>
    <row r="1308" spans="1:17" ht="15.75" hidden="1" customHeight="1" outlineLevel="3">
      <c r="A1308" s="274"/>
      <c r="B1308" s="143"/>
      <c r="C1308" s="162" t="s">
        <v>266</v>
      </c>
      <c r="D1308" s="160"/>
      <c r="E1308" s="153"/>
      <c r="F1308" s="153"/>
      <c r="G1308" s="153"/>
      <c r="H1308" s="206"/>
      <c r="I1308" s="212"/>
      <c r="J1308" s="184">
        <v>500000</v>
      </c>
      <c r="K1308" s="221">
        <f t="shared" ref="K1308:K1309" si="92">J1308*1.23</f>
        <v>615000</v>
      </c>
      <c r="L1308" s="184"/>
      <c r="M1308" s="219"/>
      <c r="N1308" s="183"/>
      <c r="O1308" s="226"/>
      <c r="P1308" s="150">
        <f t="shared" ref="P1308:P1309" si="93">SUM(I1308,K1308,M1308,O1308)</f>
        <v>615000</v>
      </c>
      <c r="Q1308" s="568" t="s">
        <v>1303</v>
      </c>
    </row>
    <row r="1309" spans="1:17" ht="15.75" hidden="1" customHeight="1" outlineLevel="2" collapsed="1">
      <c r="A1309" s="274"/>
      <c r="B1309" s="143"/>
      <c r="C1309" s="142" t="s">
        <v>477</v>
      </c>
      <c r="D1309" s="220"/>
      <c r="E1309" s="217"/>
      <c r="F1309" s="217"/>
      <c r="G1309" s="217"/>
      <c r="H1309" s="226"/>
      <c r="I1309" s="207"/>
      <c r="J1309" s="184">
        <f>SUM(J1284:J1308)</f>
        <v>1243000</v>
      </c>
      <c r="K1309" s="217">
        <f t="shared" si="92"/>
        <v>1528890</v>
      </c>
      <c r="L1309" s="184"/>
      <c r="M1309" s="217"/>
      <c r="N1309" s="183"/>
      <c r="O1309" s="226"/>
      <c r="P1309" s="150">
        <f t="shared" si="93"/>
        <v>1528890</v>
      </c>
      <c r="Q1309" s="568" t="s">
        <v>1371</v>
      </c>
    </row>
    <row r="1310" spans="1:17" s="211" customFormat="1" ht="15.75" hidden="1" customHeight="1" outlineLevel="3">
      <c r="A1310" s="551"/>
      <c r="B1310" s="142" t="s">
        <v>478</v>
      </c>
      <c r="C1310" s="159"/>
      <c r="D1310" s="180"/>
      <c r="E1310" s="148"/>
      <c r="F1310" s="148"/>
      <c r="G1310" s="148"/>
      <c r="H1310" s="198"/>
      <c r="I1310" s="146"/>
      <c r="J1310" s="147"/>
      <c r="K1310" s="221"/>
      <c r="L1310" s="147"/>
      <c r="M1310" s="219"/>
      <c r="N1310" s="149"/>
      <c r="O1310" s="226"/>
      <c r="P1310" s="150"/>
      <c r="Q1310" s="569"/>
    </row>
    <row r="1311" spans="1:17" ht="15.75" hidden="1" customHeight="1" outlineLevel="3">
      <c r="A1311" s="274"/>
      <c r="B1311" s="143"/>
      <c r="C1311" s="142" t="s">
        <v>380</v>
      </c>
      <c r="D1311" s="160"/>
      <c r="E1311" s="153"/>
      <c r="F1311" s="153"/>
      <c r="G1311" s="153"/>
      <c r="H1311" s="206"/>
      <c r="I1311" s="212"/>
      <c r="J1311" s="184"/>
      <c r="K1311" s="221"/>
      <c r="L1311" s="184"/>
      <c r="M1311" s="219"/>
      <c r="N1311" s="183"/>
      <c r="O1311" s="226"/>
      <c r="P1311" s="207"/>
      <c r="Q1311" s="569"/>
    </row>
    <row r="1312" spans="1:17" ht="15.75" hidden="1" customHeight="1" outlineLevel="3">
      <c r="A1312" s="274"/>
      <c r="B1312" s="143"/>
      <c r="C1312" s="213" t="s">
        <v>396</v>
      </c>
      <c r="D1312" s="160"/>
      <c r="E1312" s="153"/>
      <c r="F1312" s="153"/>
      <c r="G1312" s="153"/>
      <c r="H1312" s="206"/>
      <c r="I1312" s="212"/>
      <c r="J1312" s="184">
        <v>169000</v>
      </c>
      <c r="K1312" s="221">
        <f>J1312*1.23</f>
        <v>207870</v>
      </c>
      <c r="L1312" s="159"/>
      <c r="M1312" s="219"/>
      <c r="N1312" s="183"/>
      <c r="O1312" s="226"/>
      <c r="P1312" s="150">
        <f t="shared" ref="P1312" si="94">SUM(I1312,K1312,M1312,O1312)</f>
        <v>207870</v>
      </c>
      <c r="Q1312" s="569"/>
    </row>
    <row r="1313" spans="1:17" ht="15.75" hidden="1" customHeight="1" outlineLevel="3">
      <c r="A1313" s="274"/>
      <c r="B1313" s="143"/>
      <c r="C1313" s="213" t="s">
        <v>357</v>
      </c>
      <c r="D1313" s="160"/>
      <c r="E1313" s="153"/>
      <c r="F1313" s="153"/>
      <c r="G1313" s="153"/>
      <c r="H1313" s="206"/>
      <c r="I1313" s="212"/>
      <c r="J1313" s="184"/>
      <c r="K1313" s="221"/>
      <c r="L1313" s="184"/>
      <c r="M1313" s="219"/>
      <c r="N1313" s="183"/>
      <c r="O1313" s="226"/>
      <c r="P1313" s="207"/>
      <c r="Q1313" s="569"/>
    </row>
    <row r="1314" spans="1:17" ht="15.75" hidden="1" customHeight="1" outlineLevel="3">
      <c r="A1314" s="274"/>
      <c r="B1314" s="143"/>
      <c r="C1314" s="213" t="s">
        <v>358</v>
      </c>
      <c r="D1314" s="160"/>
      <c r="E1314" s="153"/>
      <c r="F1314" s="153"/>
      <c r="G1314" s="153"/>
      <c r="H1314" s="206"/>
      <c r="I1314" s="203"/>
      <c r="J1314" s="186"/>
      <c r="K1314" s="221"/>
      <c r="L1314" s="184"/>
      <c r="M1314" s="219"/>
      <c r="N1314" s="183"/>
      <c r="O1314" s="226"/>
      <c r="P1314" s="207"/>
      <c r="Q1314" s="569"/>
    </row>
    <row r="1315" spans="1:17" ht="15.75" hidden="1" customHeight="1" outlineLevel="3">
      <c r="A1315" s="274"/>
      <c r="B1315" s="143"/>
      <c r="C1315" s="213" t="s">
        <v>359</v>
      </c>
      <c r="D1315" s="160"/>
      <c r="E1315" s="153"/>
      <c r="F1315" s="153"/>
      <c r="G1315" s="153"/>
      <c r="H1315" s="206"/>
      <c r="I1315" s="212"/>
      <c r="J1315" s="184"/>
      <c r="K1315" s="221"/>
      <c r="L1315" s="184"/>
      <c r="M1315" s="219"/>
      <c r="N1315" s="183"/>
      <c r="O1315" s="226"/>
      <c r="P1315" s="207"/>
      <c r="Q1315" s="569"/>
    </row>
    <row r="1316" spans="1:17" ht="15.75" hidden="1" customHeight="1" outlineLevel="3">
      <c r="A1316" s="274"/>
      <c r="B1316" s="143"/>
      <c r="C1316" s="213" t="s">
        <v>388</v>
      </c>
      <c r="D1316" s="160"/>
      <c r="E1316" s="153"/>
      <c r="F1316" s="153"/>
      <c r="G1316" s="153"/>
      <c r="H1316" s="206"/>
      <c r="I1316" s="212"/>
      <c r="J1316" s="184"/>
      <c r="K1316" s="221"/>
      <c r="L1316" s="184"/>
      <c r="M1316" s="219"/>
      <c r="N1316" s="183"/>
      <c r="O1316" s="226"/>
      <c r="P1316" s="207"/>
      <c r="Q1316" s="569"/>
    </row>
    <row r="1317" spans="1:17" ht="15.75" hidden="1" customHeight="1" outlineLevel="3">
      <c r="A1317" s="274"/>
      <c r="B1317" s="143"/>
      <c r="C1317" s="142" t="s">
        <v>381</v>
      </c>
      <c r="D1317" s="160"/>
      <c r="E1317" s="153"/>
      <c r="F1317" s="153"/>
      <c r="G1317" s="153"/>
      <c r="H1317" s="206"/>
      <c r="I1317" s="212"/>
      <c r="J1317" s="184"/>
      <c r="K1317" s="221"/>
      <c r="L1317" s="184"/>
      <c r="M1317" s="219"/>
      <c r="N1317" s="183"/>
      <c r="O1317" s="226"/>
      <c r="P1317" s="207"/>
      <c r="Q1317" s="569"/>
    </row>
    <row r="1318" spans="1:17" ht="15.75" hidden="1" customHeight="1" outlineLevel="3">
      <c r="A1318" s="274"/>
      <c r="B1318" s="143"/>
      <c r="C1318" s="213" t="s">
        <v>362</v>
      </c>
      <c r="D1318" s="160"/>
      <c r="E1318" s="153"/>
      <c r="F1318" s="153"/>
      <c r="G1318" s="153"/>
      <c r="H1318" s="206"/>
      <c r="I1318" s="212"/>
      <c r="J1318" s="184"/>
      <c r="K1318" s="221"/>
      <c r="L1318" s="184"/>
      <c r="M1318" s="219"/>
      <c r="N1318" s="183"/>
      <c r="O1318" s="226"/>
      <c r="P1318" s="207"/>
      <c r="Q1318" s="569"/>
    </row>
    <row r="1319" spans="1:17" ht="15.75" hidden="1" customHeight="1" outlineLevel="3">
      <c r="A1319" s="274"/>
      <c r="B1319" s="143"/>
      <c r="C1319" s="213" t="s">
        <v>363</v>
      </c>
      <c r="D1319" s="160"/>
      <c r="E1319" s="153"/>
      <c r="F1319" s="153"/>
      <c r="G1319" s="153"/>
      <c r="H1319" s="206"/>
      <c r="I1319" s="212"/>
      <c r="J1319" s="184"/>
      <c r="K1319" s="221"/>
      <c r="L1319" s="184"/>
      <c r="M1319" s="219"/>
      <c r="N1319" s="183"/>
      <c r="O1319" s="226"/>
      <c r="P1319" s="207"/>
      <c r="Q1319" s="569"/>
    </row>
    <row r="1320" spans="1:17" ht="15.75" hidden="1" customHeight="1" outlineLevel="3">
      <c r="A1320" s="274"/>
      <c r="B1320" s="143"/>
      <c r="C1320" s="213" t="s">
        <v>358</v>
      </c>
      <c r="D1320" s="160"/>
      <c r="E1320" s="153"/>
      <c r="F1320" s="153"/>
      <c r="G1320" s="153"/>
      <c r="H1320" s="206"/>
      <c r="I1320" s="212"/>
      <c r="J1320" s="184"/>
      <c r="K1320" s="221"/>
      <c r="L1320" s="184"/>
      <c r="M1320" s="219"/>
      <c r="N1320" s="183"/>
      <c r="O1320" s="226"/>
      <c r="P1320" s="207"/>
      <c r="Q1320" s="569"/>
    </row>
    <row r="1321" spans="1:17" ht="15.75" hidden="1" customHeight="1" outlineLevel="3">
      <c r="A1321" s="274"/>
      <c r="B1321" s="143"/>
      <c r="C1321" s="213" t="s">
        <v>364</v>
      </c>
      <c r="D1321" s="160"/>
      <c r="E1321" s="153"/>
      <c r="F1321" s="153"/>
      <c r="G1321" s="153"/>
      <c r="H1321" s="206"/>
      <c r="I1321" s="212"/>
      <c r="J1321" s="184"/>
      <c r="K1321" s="221"/>
      <c r="L1321" s="184"/>
      <c r="M1321" s="219"/>
      <c r="N1321" s="183"/>
      <c r="O1321" s="226"/>
      <c r="P1321" s="207"/>
      <c r="Q1321" s="569"/>
    </row>
    <row r="1322" spans="1:17" ht="15.75" hidden="1" customHeight="1" outlineLevel="3">
      <c r="A1322" s="274"/>
      <c r="B1322" s="143"/>
      <c r="C1322" s="142" t="s">
        <v>382</v>
      </c>
      <c r="D1322" s="160"/>
      <c r="E1322" s="153"/>
      <c r="F1322" s="153"/>
      <c r="G1322" s="153"/>
      <c r="H1322" s="206"/>
      <c r="I1322" s="212"/>
      <c r="J1322" s="184"/>
      <c r="K1322" s="221"/>
      <c r="L1322" s="184"/>
      <c r="M1322" s="219"/>
      <c r="N1322" s="183"/>
      <c r="O1322" s="226"/>
      <c r="P1322" s="207"/>
      <c r="Q1322" s="569"/>
    </row>
    <row r="1323" spans="1:17" ht="15.75" hidden="1" customHeight="1" outlineLevel="3">
      <c r="A1323" s="274"/>
      <c r="B1323" s="143"/>
      <c r="C1323" s="213" t="s">
        <v>366</v>
      </c>
      <c r="D1323" s="160"/>
      <c r="E1323" s="153"/>
      <c r="F1323" s="153"/>
      <c r="G1323" s="153"/>
      <c r="H1323" s="206"/>
      <c r="I1323" s="212"/>
      <c r="J1323" s="184"/>
      <c r="K1323" s="221"/>
      <c r="L1323" s="184"/>
      <c r="M1323" s="219"/>
      <c r="N1323" s="183"/>
      <c r="O1323" s="226"/>
      <c r="P1323" s="207"/>
      <c r="Q1323" s="569"/>
    </row>
    <row r="1324" spans="1:17" ht="15.75" hidden="1" customHeight="1" outlineLevel="3">
      <c r="A1324" s="274"/>
      <c r="B1324" s="143"/>
      <c r="C1324" s="213" t="s">
        <v>358</v>
      </c>
      <c r="D1324" s="160"/>
      <c r="E1324" s="153"/>
      <c r="F1324" s="153"/>
      <c r="G1324" s="153"/>
      <c r="H1324" s="206"/>
      <c r="I1324" s="212"/>
      <c r="J1324" s="184"/>
      <c r="K1324" s="221"/>
      <c r="L1324" s="184"/>
      <c r="M1324" s="219"/>
      <c r="N1324" s="183"/>
      <c r="O1324" s="226"/>
      <c r="P1324" s="207"/>
      <c r="Q1324" s="569"/>
    </row>
    <row r="1325" spans="1:17" ht="15.75" hidden="1" customHeight="1" outlineLevel="3">
      <c r="A1325" s="274"/>
      <c r="B1325" s="143"/>
      <c r="C1325" s="213" t="s">
        <v>367</v>
      </c>
      <c r="D1325" s="160"/>
      <c r="E1325" s="153"/>
      <c r="F1325" s="153"/>
      <c r="G1325" s="153"/>
      <c r="H1325" s="206"/>
      <c r="I1325" s="212"/>
      <c r="J1325" s="184"/>
      <c r="K1325" s="221"/>
      <c r="L1325" s="184"/>
      <c r="M1325" s="219"/>
      <c r="N1325" s="183"/>
      <c r="O1325" s="226"/>
      <c r="P1325" s="207"/>
      <c r="Q1325" s="569"/>
    </row>
    <row r="1326" spans="1:17" ht="15.75" hidden="1" customHeight="1" outlineLevel="3">
      <c r="A1326" s="274"/>
      <c r="B1326" s="143"/>
      <c r="C1326" s="213" t="s">
        <v>368</v>
      </c>
      <c r="D1326" s="160"/>
      <c r="E1326" s="153"/>
      <c r="F1326" s="153"/>
      <c r="G1326" s="153"/>
      <c r="H1326" s="206"/>
      <c r="I1326" s="212"/>
      <c r="J1326" s="184"/>
      <c r="K1326" s="221"/>
      <c r="L1326" s="184"/>
      <c r="M1326" s="219"/>
      <c r="N1326" s="159"/>
      <c r="O1326" s="226"/>
      <c r="P1326" s="150">
        <f t="shared" ref="P1326:P1337" si="95">SUM(I1326,K1326,M1326,O1326)</f>
        <v>0</v>
      </c>
      <c r="Q1326" s="569"/>
    </row>
    <row r="1327" spans="1:17" ht="15.75" hidden="1" customHeight="1" outlineLevel="3">
      <c r="A1327" s="274"/>
      <c r="B1327" s="143"/>
      <c r="C1327" s="142" t="s">
        <v>383</v>
      </c>
      <c r="D1327" s="160"/>
      <c r="E1327" s="153"/>
      <c r="F1327" s="153"/>
      <c r="G1327" s="153"/>
      <c r="H1327" s="206"/>
      <c r="I1327" s="212"/>
      <c r="J1327" s="184"/>
      <c r="K1327" s="221"/>
      <c r="L1327" s="184"/>
      <c r="M1327" s="219"/>
      <c r="N1327" s="183"/>
      <c r="O1327" s="226"/>
      <c r="P1327" s="150"/>
      <c r="Q1327" s="569"/>
    </row>
    <row r="1328" spans="1:17" ht="15.75" hidden="1" customHeight="1" outlineLevel="3">
      <c r="A1328" s="274"/>
      <c r="B1328" s="143"/>
      <c r="C1328" s="213" t="s">
        <v>370</v>
      </c>
      <c r="D1328" s="160"/>
      <c r="E1328" s="153"/>
      <c r="F1328" s="153"/>
      <c r="G1328" s="153"/>
      <c r="H1328" s="206"/>
      <c r="I1328" s="212"/>
      <c r="J1328" s="184">
        <v>123000</v>
      </c>
      <c r="K1328" s="221">
        <f>J1328*1.23</f>
        <v>151290</v>
      </c>
      <c r="L1328" s="159"/>
      <c r="M1328" s="219"/>
      <c r="N1328" s="183"/>
      <c r="O1328" s="226"/>
      <c r="P1328" s="150">
        <f t="shared" si="95"/>
        <v>151290</v>
      </c>
      <c r="Q1328" s="569"/>
    </row>
    <row r="1329" spans="1:17" ht="15.75" hidden="1" customHeight="1" outlineLevel="3">
      <c r="A1329" s="274"/>
      <c r="B1329" s="143"/>
      <c r="C1329" s="213" t="s">
        <v>371</v>
      </c>
      <c r="D1329" s="160"/>
      <c r="E1329" s="153"/>
      <c r="F1329" s="153"/>
      <c r="G1329" s="153"/>
      <c r="H1329" s="206"/>
      <c r="I1329" s="212"/>
      <c r="J1329" s="184"/>
      <c r="K1329" s="221"/>
      <c r="L1329" s="210"/>
      <c r="M1329" s="219"/>
      <c r="N1329" s="183">
        <v>80000</v>
      </c>
      <c r="O1329" s="226">
        <f>N1329*1.73</f>
        <v>138400</v>
      </c>
      <c r="P1329" s="150">
        <f t="shared" si="95"/>
        <v>138400</v>
      </c>
      <c r="Q1329" s="569"/>
    </row>
    <row r="1330" spans="1:17" ht="15.75" hidden="1" customHeight="1" outlineLevel="3">
      <c r="A1330" s="274"/>
      <c r="B1330" s="143"/>
      <c r="C1330" s="213" t="s">
        <v>372</v>
      </c>
      <c r="D1330" s="160"/>
      <c r="E1330" s="153"/>
      <c r="F1330" s="153"/>
      <c r="G1330" s="153"/>
      <c r="H1330" s="206"/>
      <c r="I1330" s="212"/>
      <c r="J1330" s="184">
        <v>235000</v>
      </c>
      <c r="K1330" s="221">
        <f>J1330*1.23</f>
        <v>289050</v>
      </c>
      <c r="L1330" s="159"/>
      <c r="M1330" s="219"/>
      <c r="N1330" s="183"/>
      <c r="O1330" s="226"/>
      <c r="P1330" s="150">
        <f t="shared" si="95"/>
        <v>289050</v>
      </c>
      <c r="Q1330" s="569"/>
    </row>
    <row r="1331" spans="1:17" ht="15.75" hidden="1" customHeight="1" outlineLevel="3">
      <c r="A1331" s="274"/>
      <c r="B1331" s="143"/>
      <c r="C1331" s="213" t="s">
        <v>373</v>
      </c>
      <c r="D1331" s="160"/>
      <c r="E1331" s="153"/>
      <c r="F1331" s="153"/>
      <c r="G1331" s="153"/>
      <c r="H1331" s="206"/>
      <c r="I1331" s="212"/>
      <c r="J1331" s="184"/>
      <c r="K1331" s="221"/>
      <c r="L1331" s="184"/>
      <c r="M1331" s="219"/>
      <c r="N1331" s="183"/>
      <c r="O1331" s="226"/>
      <c r="P1331" s="150"/>
      <c r="Q1331" s="568"/>
    </row>
    <row r="1332" spans="1:17" ht="15.75" hidden="1" customHeight="1" outlineLevel="3">
      <c r="A1332" s="274"/>
      <c r="B1332" s="143"/>
      <c r="C1332" s="142" t="s">
        <v>384</v>
      </c>
      <c r="D1332" s="160"/>
      <c r="E1332" s="153"/>
      <c r="F1332" s="153"/>
      <c r="G1332" s="153"/>
      <c r="H1332" s="206"/>
      <c r="I1332" s="212"/>
      <c r="J1332" s="184"/>
      <c r="K1332" s="221"/>
      <c r="L1332" s="184"/>
      <c r="M1332" s="219"/>
      <c r="N1332" s="183"/>
      <c r="O1332" s="226"/>
      <c r="P1332" s="150"/>
      <c r="Q1332" s="569"/>
    </row>
    <row r="1333" spans="1:17" ht="15.75" hidden="1" customHeight="1" outlineLevel="3">
      <c r="A1333" s="274"/>
      <c r="B1333" s="143"/>
      <c r="C1333" s="162" t="s">
        <v>375</v>
      </c>
      <c r="D1333" s="160"/>
      <c r="E1333" s="153"/>
      <c r="F1333" s="153"/>
      <c r="G1333" s="153"/>
      <c r="H1333" s="206"/>
      <c r="I1333" s="212"/>
      <c r="J1333" s="184"/>
      <c r="K1333" s="221"/>
      <c r="L1333" s="184"/>
      <c r="M1333" s="219"/>
      <c r="N1333" s="183"/>
      <c r="O1333" s="226"/>
      <c r="P1333" s="150"/>
      <c r="Q1333" s="569"/>
    </row>
    <row r="1334" spans="1:17" ht="15.75" hidden="1" customHeight="1" outlineLevel="3">
      <c r="A1334" s="274"/>
      <c r="B1334" s="143"/>
      <c r="C1334" s="162" t="s">
        <v>376</v>
      </c>
      <c r="D1334" s="160"/>
      <c r="E1334" s="153"/>
      <c r="F1334" s="153"/>
      <c r="G1334" s="153"/>
      <c r="H1334" s="206"/>
      <c r="I1334" s="212"/>
      <c r="J1334" s="184"/>
      <c r="K1334" s="221"/>
      <c r="L1334" s="184">
        <v>147000</v>
      </c>
      <c r="M1334" s="219">
        <f t="shared" ref="M1334:M1337" si="96">L1334*1.46</f>
        <v>214620</v>
      </c>
      <c r="N1334" s="183"/>
      <c r="O1334" s="226"/>
      <c r="P1334" s="150">
        <f t="shared" si="95"/>
        <v>214620</v>
      </c>
      <c r="Q1334" s="569"/>
    </row>
    <row r="1335" spans="1:17" ht="15.75" hidden="1" customHeight="1" outlineLevel="3">
      <c r="A1335" s="274"/>
      <c r="B1335" s="143"/>
      <c r="C1335" s="162" t="s">
        <v>377</v>
      </c>
      <c r="D1335" s="160"/>
      <c r="E1335" s="153"/>
      <c r="F1335" s="153"/>
      <c r="G1335" s="153"/>
      <c r="H1335" s="206"/>
      <c r="I1335" s="212"/>
      <c r="J1335" s="184"/>
      <c r="K1335" s="221"/>
      <c r="L1335" s="184"/>
      <c r="M1335" s="219"/>
      <c r="N1335" s="183"/>
      <c r="O1335" s="226"/>
      <c r="P1335" s="150"/>
      <c r="Q1335" s="569"/>
    </row>
    <row r="1336" spans="1:17" ht="15.75" hidden="1" customHeight="1" outlineLevel="3">
      <c r="A1336" s="274"/>
      <c r="B1336" s="143"/>
      <c r="C1336" s="162" t="s">
        <v>400</v>
      </c>
      <c r="D1336" s="160"/>
      <c r="E1336" s="153"/>
      <c r="F1336" s="153"/>
      <c r="G1336" s="153"/>
      <c r="H1336" s="206"/>
      <c r="I1336" s="212"/>
      <c r="J1336" s="184"/>
      <c r="K1336" s="221"/>
      <c r="L1336" s="184">
        <v>85000</v>
      </c>
      <c r="M1336" s="219">
        <f t="shared" si="96"/>
        <v>124100</v>
      </c>
      <c r="N1336" s="183"/>
      <c r="O1336" s="226"/>
      <c r="P1336" s="150">
        <f t="shared" si="95"/>
        <v>124100</v>
      </c>
      <c r="Q1336" s="568"/>
    </row>
    <row r="1337" spans="1:17" ht="15.75" hidden="1" customHeight="1" outlineLevel="2" collapsed="1">
      <c r="A1337" s="274"/>
      <c r="B1337" s="143"/>
      <c r="C1337" s="142" t="s">
        <v>478</v>
      </c>
      <c r="D1337" s="220"/>
      <c r="E1337" s="217"/>
      <c r="F1337" s="217"/>
      <c r="G1337" s="217"/>
      <c r="H1337" s="226"/>
      <c r="I1337" s="207"/>
      <c r="J1337" s="184">
        <f>SUM(J1312:J1336)</f>
        <v>527000</v>
      </c>
      <c r="K1337" s="217">
        <f>J1337*1.23</f>
        <v>648210</v>
      </c>
      <c r="L1337" s="184">
        <f>SUM(L1312:L1336)</f>
        <v>232000</v>
      </c>
      <c r="M1337" s="217">
        <f t="shared" si="96"/>
        <v>338720</v>
      </c>
      <c r="N1337" s="183">
        <f>SUM(N1312:N1336)</f>
        <v>80000</v>
      </c>
      <c r="O1337" s="226">
        <f>N1337*1.73</f>
        <v>138400</v>
      </c>
      <c r="P1337" s="150">
        <f t="shared" si="95"/>
        <v>1125330</v>
      </c>
      <c r="Q1337" s="568"/>
    </row>
    <row r="1338" spans="1:17" s="211" customFormat="1" ht="15.75" hidden="1" customHeight="1" outlineLevel="3">
      <c r="A1338" s="551"/>
      <c r="B1338" s="142" t="s">
        <v>479</v>
      </c>
      <c r="C1338" s="159"/>
      <c r="D1338" s="180"/>
      <c r="E1338" s="148"/>
      <c r="F1338" s="148"/>
      <c r="G1338" s="148"/>
      <c r="H1338" s="198"/>
      <c r="I1338" s="146"/>
      <c r="J1338" s="147"/>
      <c r="K1338" s="221"/>
      <c r="L1338" s="147"/>
      <c r="M1338" s="219"/>
      <c r="N1338" s="149"/>
      <c r="O1338" s="226"/>
      <c r="P1338" s="150"/>
      <c r="Q1338" s="569"/>
    </row>
    <row r="1339" spans="1:17" ht="15.75" hidden="1" customHeight="1" outlineLevel="3">
      <c r="A1339" s="274"/>
      <c r="B1339" s="143"/>
      <c r="C1339" s="142" t="s">
        <v>380</v>
      </c>
      <c r="D1339" s="160"/>
      <c r="E1339" s="153"/>
      <c r="F1339" s="153"/>
      <c r="G1339" s="153"/>
      <c r="H1339" s="206"/>
      <c r="I1339" s="212"/>
      <c r="J1339" s="184"/>
      <c r="K1339" s="221"/>
      <c r="L1339" s="184"/>
      <c r="M1339" s="219"/>
      <c r="N1339" s="183"/>
      <c r="O1339" s="226"/>
      <c r="P1339" s="207"/>
      <c r="Q1339" s="569"/>
    </row>
    <row r="1340" spans="1:17" ht="15.75" hidden="1" customHeight="1" outlineLevel="3">
      <c r="A1340" s="274"/>
      <c r="B1340" s="143"/>
      <c r="C1340" s="213" t="s">
        <v>396</v>
      </c>
      <c r="D1340" s="160"/>
      <c r="E1340" s="153"/>
      <c r="F1340" s="153"/>
      <c r="G1340" s="153"/>
      <c r="H1340" s="206"/>
      <c r="I1340" s="212"/>
      <c r="J1340" s="184"/>
      <c r="K1340" s="221"/>
      <c r="L1340" s="184"/>
      <c r="M1340" s="219"/>
      <c r="N1340" s="183"/>
      <c r="O1340" s="226"/>
      <c r="P1340" s="207"/>
      <c r="Q1340" s="569"/>
    </row>
    <row r="1341" spans="1:17" ht="15.75" hidden="1" customHeight="1" outlineLevel="3">
      <c r="A1341" s="274"/>
      <c r="B1341" s="143"/>
      <c r="C1341" s="213" t="s">
        <v>357</v>
      </c>
      <c r="D1341" s="160"/>
      <c r="E1341" s="153"/>
      <c r="F1341" s="153"/>
      <c r="G1341" s="153"/>
      <c r="H1341" s="206"/>
      <c r="I1341" s="212"/>
      <c r="J1341" s="184"/>
      <c r="K1341" s="221"/>
      <c r="L1341" s="184"/>
      <c r="M1341" s="219"/>
      <c r="N1341" s="183"/>
      <c r="O1341" s="226"/>
      <c r="P1341" s="207"/>
      <c r="Q1341" s="569"/>
    </row>
    <row r="1342" spans="1:17" ht="15.75" hidden="1" customHeight="1" outlineLevel="3">
      <c r="A1342" s="274"/>
      <c r="B1342" s="143"/>
      <c r="C1342" s="213" t="s">
        <v>358</v>
      </c>
      <c r="D1342" s="160"/>
      <c r="E1342" s="153"/>
      <c r="F1342" s="153"/>
      <c r="G1342" s="153"/>
      <c r="H1342" s="206"/>
      <c r="I1342" s="203"/>
      <c r="J1342" s="186"/>
      <c r="K1342" s="221"/>
      <c r="L1342" s="184"/>
      <c r="M1342" s="219"/>
      <c r="N1342" s="183"/>
      <c r="O1342" s="226"/>
      <c r="P1342" s="207"/>
      <c r="Q1342" s="569"/>
    </row>
    <row r="1343" spans="1:17" ht="15.75" hidden="1" customHeight="1" outlineLevel="3">
      <c r="A1343" s="274"/>
      <c r="B1343" s="143"/>
      <c r="C1343" s="213" t="s">
        <v>359</v>
      </c>
      <c r="D1343" s="160"/>
      <c r="E1343" s="153"/>
      <c r="F1343" s="153"/>
      <c r="G1343" s="153"/>
      <c r="H1343" s="206"/>
      <c r="I1343" s="212"/>
      <c r="J1343" s="184"/>
      <c r="K1343" s="221"/>
      <c r="L1343" s="184"/>
      <c r="M1343" s="219"/>
      <c r="N1343" s="183"/>
      <c r="O1343" s="226"/>
      <c r="P1343" s="207"/>
      <c r="Q1343" s="569"/>
    </row>
    <row r="1344" spans="1:17" ht="15.75" hidden="1" customHeight="1" outlineLevel="3">
      <c r="A1344" s="274"/>
      <c r="B1344" s="143"/>
      <c r="C1344" s="213" t="s">
        <v>388</v>
      </c>
      <c r="D1344" s="160"/>
      <c r="E1344" s="153"/>
      <c r="F1344" s="153"/>
      <c r="G1344" s="153"/>
      <c r="H1344" s="206"/>
      <c r="I1344" s="212"/>
      <c r="J1344" s="184"/>
      <c r="K1344" s="221"/>
      <c r="L1344" s="184"/>
      <c r="M1344" s="219"/>
      <c r="N1344" s="183"/>
      <c r="O1344" s="226"/>
      <c r="P1344" s="207"/>
      <c r="Q1344" s="569"/>
    </row>
    <row r="1345" spans="1:17" ht="15.75" hidden="1" customHeight="1" outlineLevel="3">
      <c r="A1345" s="274"/>
      <c r="B1345" s="143"/>
      <c r="C1345" s="142" t="s">
        <v>381</v>
      </c>
      <c r="D1345" s="160"/>
      <c r="E1345" s="153"/>
      <c r="F1345" s="153"/>
      <c r="G1345" s="153"/>
      <c r="H1345" s="206"/>
      <c r="I1345" s="212"/>
      <c r="J1345" s="184"/>
      <c r="K1345" s="221"/>
      <c r="L1345" s="184"/>
      <c r="M1345" s="219"/>
      <c r="N1345" s="183"/>
      <c r="O1345" s="226"/>
      <c r="P1345" s="207"/>
      <c r="Q1345" s="569"/>
    </row>
    <row r="1346" spans="1:17" ht="15.75" hidden="1" customHeight="1" outlineLevel="3">
      <c r="A1346" s="274"/>
      <c r="B1346" s="143"/>
      <c r="C1346" s="213" t="s">
        <v>362</v>
      </c>
      <c r="D1346" s="160"/>
      <c r="E1346" s="153"/>
      <c r="F1346" s="153"/>
      <c r="G1346" s="153"/>
      <c r="H1346" s="206"/>
      <c r="I1346" s="212"/>
      <c r="J1346" s="184"/>
      <c r="K1346" s="221"/>
      <c r="L1346" s="184"/>
      <c r="M1346" s="219"/>
      <c r="N1346" s="183"/>
      <c r="O1346" s="226"/>
      <c r="P1346" s="207"/>
      <c r="Q1346" s="569"/>
    </row>
    <row r="1347" spans="1:17" ht="15.75" hidden="1" customHeight="1" outlineLevel="3">
      <c r="A1347" s="274"/>
      <c r="B1347" s="143"/>
      <c r="C1347" s="213" t="s">
        <v>363</v>
      </c>
      <c r="D1347" s="160"/>
      <c r="E1347" s="153"/>
      <c r="F1347" s="153"/>
      <c r="G1347" s="153"/>
      <c r="H1347" s="206"/>
      <c r="I1347" s="212"/>
      <c r="J1347" s="184"/>
      <c r="K1347" s="221"/>
      <c r="L1347" s="184"/>
      <c r="M1347" s="219"/>
      <c r="N1347" s="183"/>
      <c r="O1347" s="226"/>
      <c r="P1347" s="207"/>
      <c r="Q1347" s="569"/>
    </row>
    <row r="1348" spans="1:17" ht="15.75" hidden="1" customHeight="1" outlineLevel="3">
      <c r="A1348" s="274"/>
      <c r="B1348" s="143"/>
      <c r="C1348" s="213" t="s">
        <v>358</v>
      </c>
      <c r="D1348" s="160"/>
      <c r="E1348" s="153"/>
      <c r="F1348" s="153"/>
      <c r="G1348" s="153"/>
      <c r="H1348" s="206"/>
      <c r="I1348" s="212"/>
      <c r="J1348" s="184">
        <v>192000</v>
      </c>
      <c r="K1348" s="221">
        <f>J1348*1.23</f>
        <v>236160</v>
      </c>
      <c r="L1348" s="159"/>
      <c r="M1348" s="219"/>
      <c r="N1348" s="183"/>
      <c r="O1348" s="226"/>
      <c r="P1348" s="150">
        <f t="shared" ref="P1348" si="97">SUM(I1348,K1348,M1348,O1348)</f>
        <v>236160</v>
      </c>
      <c r="Q1348" s="569"/>
    </row>
    <row r="1349" spans="1:17" ht="15.75" hidden="1" customHeight="1" outlineLevel="3">
      <c r="A1349" s="274"/>
      <c r="B1349" s="143"/>
      <c r="C1349" s="213" t="s">
        <v>364</v>
      </c>
      <c r="D1349" s="160"/>
      <c r="E1349" s="153"/>
      <c r="F1349" s="153"/>
      <c r="G1349" s="153"/>
      <c r="H1349" s="206"/>
      <c r="I1349" s="212"/>
      <c r="J1349" s="184"/>
      <c r="K1349" s="221"/>
      <c r="L1349" s="184"/>
      <c r="M1349" s="219"/>
      <c r="N1349" s="183"/>
      <c r="O1349" s="226"/>
      <c r="P1349" s="207"/>
      <c r="Q1349" s="569"/>
    </row>
    <row r="1350" spans="1:17" ht="15.75" hidden="1" customHeight="1" outlineLevel="3">
      <c r="A1350" s="274"/>
      <c r="B1350" s="143"/>
      <c r="C1350" s="142" t="s">
        <v>382</v>
      </c>
      <c r="D1350" s="160"/>
      <c r="E1350" s="153"/>
      <c r="F1350" s="153"/>
      <c r="G1350" s="153"/>
      <c r="H1350" s="206"/>
      <c r="I1350" s="212"/>
      <c r="J1350" s="184"/>
      <c r="K1350" s="221"/>
      <c r="L1350" s="184"/>
      <c r="M1350" s="219"/>
      <c r="N1350" s="183"/>
      <c r="O1350" s="226"/>
      <c r="P1350" s="207"/>
      <c r="Q1350" s="569"/>
    </row>
    <row r="1351" spans="1:17" ht="15.75" hidden="1" customHeight="1" outlineLevel="3">
      <c r="A1351" s="274"/>
      <c r="B1351" s="143"/>
      <c r="C1351" s="213" t="s">
        <v>366</v>
      </c>
      <c r="D1351" s="160"/>
      <c r="E1351" s="153"/>
      <c r="F1351" s="153"/>
      <c r="G1351" s="153"/>
      <c r="H1351" s="206"/>
      <c r="I1351" s="212"/>
      <c r="J1351" s="184"/>
      <c r="K1351" s="221"/>
      <c r="L1351" s="184"/>
      <c r="M1351" s="219"/>
      <c r="N1351" s="183"/>
      <c r="O1351" s="226"/>
      <c r="P1351" s="207"/>
      <c r="Q1351" s="569"/>
    </row>
    <row r="1352" spans="1:17" ht="15.75" hidden="1" customHeight="1" outlineLevel="3">
      <c r="A1352" s="274"/>
      <c r="B1352" s="143"/>
      <c r="C1352" s="213" t="s">
        <v>358</v>
      </c>
      <c r="D1352" s="160"/>
      <c r="E1352" s="153"/>
      <c r="F1352" s="153"/>
      <c r="G1352" s="153"/>
      <c r="H1352" s="206"/>
      <c r="I1352" s="212"/>
      <c r="J1352" s="184"/>
      <c r="K1352" s="221"/>
      <c r="L1352" s="184"/>
      <c r="M1352" s="219"/>
      <c r="N1352" s="183"/>
      <c r="O1352" s="226"/>
      <c r="P1352" s="207"/>
      <c r="Q1352" s="569"/>
    </row>
    <row r="1353" spans="1:17" ht="15.75" hidden="1" customHeight="1" outlineLevel="3">
      <c r="A1353" s="274"/>
      <c r="B1353" s="143"/>
      <c r="C1353" s="213" t="s">
        <v>367</v>
      </c>
      <c r="D1353" s="160"/>
      <c r="E1353" s="153"/>
      <c r="F1353" s="153"/>
      <c r="G1353" s="153"/>
      <c r="H1353" s="206"/>
      <c r="I1353" s="212"/>
      <c r="J1353" s="184"/>
      <c r="K1353" s="221"/>
      <c r="L1353" s="184"/>
      <c r="M1353" s="219"/>
      <c r="N1353" s="183"/>
      <c r="O1353" s="226"/>
      <c r="P1353" s="207"/>
      <c r="Q1353" s="569"/>
    </row>
    <row r="1354" spans="1:17" ht="15.75" hidden="1" customHeight="1" outlineLevel="3">
      <c r="A1354" s="274"/>
      <c r="B1354" s="143"/>
      <c r="C1354" s="213" t="s">
        <v>368</v>
      </c>
      <c r="D1354" s="160"/>
      <c r="E1354" s="153"/>
      <c r="F1354" s="153"/>
      <c r="G1354" s="153"/>
      <c r="H1354" s="206"/>
      <c r="I1354" s="212"/>
      <c r="J1354" s="184"/>
      <c r="K1354" s="221"/>
      <c r="L1354" s="184"/>
      <c r="M1354" s="219"/>
      <c r="N1354" s="183"/>
      <c r="O1354" s="226"/>
      <c r="P1354" s="207"/>
      <c r="Q1354" s="569"/>
    </row>
    <row r="1355" spans="1:17" ht="15.75" hidden="1" customHeight="1" outlineLevel="3">
      <c r="A1355" s="274"/>
      <c r="B1355" s="143"/>
      <c r="C1355" s="142" t="s">
        <v>383</v>
      </c>
      <c r="D1355" s="160"/>
      <c r="E1355" s="153"/>
      <c r="F1355" s="153"/>
      <c r="G1355" s="153"/>
      <c r="H1355" s="206"/>
      <c r="I1355" s="212"/>
      <c r="J1355" s="184"/>
      <c r="K1355" s="221"/>
      <c r="L1355" s="184"/>
      <c r="M1355" s="219"/>
      <c r="N1355" s="183"/>
      <c r="O1355" s="226"/>
      <c r="P1355" s="207"/>
      <c r="Q1355" s="569"/>
    </row>
    <row r="1356" spans="1:17" ht="15.75" hidden="1" customHeight="1" outlineLevel="3">
      <c r="A1356" s="274"/>
      <c r="B1356" s="143"/>
      <c r="C1356" s="213" t="s">
        <v>370</v>
      </c>
      <c r="D1356" s="160"/>
      <c r="E1356" s="153"/>
      <c r="F1356" s="153"/>
      <c r="G1356" s="153"/>
      <c r="H1356" s="206"/>
      <c r="I1356" s="212"/>
      <c r="J1356" s="184"/>
      <c r="K1356" s="221"/>
      <c r="L1356" s="184"/>
      <c r="M1356" s="219"/>
      <c r="N1356" s="183"/>
      <c r="O1356" s="226"/>
      <c r="P1356" s="207"/>
      <c r="Q1356" s="569"/>
    </row>
    <row r="1357" spans="1:17" ht="15.75" hidden="1" customHeight="1" outlineLevel="3">
      <c r="A1357" s="274"/>
      <c r="B1357" s="143"/>
      <c r="C1357" s="213" t="s">
        <v>371</v>
      </c>
      <c r="D1357" s="160"/>
      <c r="E1357" s="153"/>
      <c r="F1357" s="153"/>
      <c r="G1357" s="153"/>
      <c r="H1357" s="206"/>
      <c r="I1357" s="212"/>
      <c r="J1357" s="184"/>
      <c r="K1357" s="221"/>
      <c r="L1357" s="184">
        <v>103000</v>
      </c>
      <c r="M1357" s="219">
        <f>L1357*1.46</f>
        <v>150380</v>
      </c>
      <c r="N1357" s="183"/>
      <c r="O1357" s="226"/>
      <c r="P1357" s="150">
        <f t="shared" ref="P1357:P1358" si="98">SUM(I1357,K1357,M1357,O1357)</f>
        <v>150380</v>
      </c>
      <c r="Q1357" s="569"/>
    </row>
    <row r="1358" spans="1:17" ht="15.75" hidden="1" customHeight="1" outlineLevel="3">
      <c r="A1358" s="274"/>
      <c r="B1358" s="143"/>
      <c r="C1358" s="213" t="s">
        <v>372</v>
      </c>
      <c r="D1358" s="160"/>
      <c r="E1358" s="153"/>
      <c r="F1358" s="153"/>
      <c r="G1358" s="153"/>
      <c r="H1358" s="206"/>
      <c r="I1358" s="212"/>
      <c r="J1358" s="184"/>
      <c r="K1358" s="221"/>
      <c r="L1358" s="184">
        <v>91000</v>
      </c>
      <c r="M1358" s="219">
        <f>L1358*1.46</f>
        <v>132860</v>
      </c>
      <c r="N1358" s="183"/>
      <c r="O1358" s="226"/>
      <c r="P1358" s="150">
        <f t="shared" si="98"/>
        <v>132860</v>
      </c>
      <c r="Q1358" s="569"/>
    </row>
    <row r="1359" spans="1:17" ht="15.75" hidden="1" customHeight="1" outlineLevel="3">
      <c r="A1359" s="274"/>
      <c r="B1359" s="143"/>
      <c r="C1359" s="213" t="s">
        <v>373</v>
      </c>
      <c r="D1359" s="160"/>
      <c r="E1359" s="153"/>
      <c r="F1359" s="153"/>
      <c r="G1359" s="153"/>
      <c r="H1359" s="206"/>
      <c r="I1359" s="212"/>
      <c r="J1359" s="184"/>
      <c r="K1359" s="221"/>
      <c r="L1359" s="184"/>
      <c r="M1359" s="219"/>
      <c r="N1359" s="183"/>
      <c r="O1359" s="226"/>
      <c r="P1359" s="207"/>
      <c r="Q1359" s="568"/>
    </row>
    <row r="1360" spans="1:17" ht="15.75" hidden="1" customHeight="1" outlineLevel="3">
      <c r="A1360" s="274"/>
      <c r="B1360" s="143"/>
      <c r="C1360" s="142" t="s">
        <v>384</v>
      </c>
      <c r="D1360" s="160"/>
      <c r="E1360" s="153"/>
      <c r="F1360" s="153"/>
      <c r="G1360" s="153"/>
      <c r="H1360" s="206"/>
      <c r="I1360" s="212"/>
      <c r="J1360" s="184"/>
      <c r="K1360" s="221"/>
      <c r="L1360" s="184"/>
      <c r="M1360" s="219"/>
      <c r="N1360" s="183"/>
      <c r="O1360" s="226"/>
      <c r="P1360" s="207"/>
      <c r="Q1360" s="569"/>
    </row>
    <row r="1361" spans="1:17" ht="15.75" hidden="1" customHeight="1" outlineLevel="3">
      <c r="A1361" s="274"/>
      <c r="B1361" s="143"/>
      <c r="C1361" s="162" t="s">
        <v>375</v>
      </c>
      <c r="D1361" s="160"/>
      <c r="E1361" s="153"/>
      <c r="F1361" s="153"/>
      <c r="G1361" s="153"/>
      <c r="H1361" s="206"/>
      <c r="I1361" s="212"/>
      <c r="J1361" s="184"/>
      <c r="K1361" s="221"/>
      <c r="L1361" s="184"/>
      <c r="M1361" s="219"/>
      <c r="N1361" s="183"/>
      <c r="O1361" s="226"/>
      <c r="P1361" s="207"/>
      <c r="Q1361" s="569"/>
    </row>
    <row r="1362" spans="1:17" ht="15.75" hidden="1" customHeight="1" outlineLevel="3">
      <c r="A1362" s="274"/>
      <c r="B1362" s="143"/>
      <c r="C1362" s="162" t="s">
        <v>376</v>
      </c>
      <c r="D1362" s="160"/>
      <c r="E1362" s="153"/>
      <c r="F1362" s="153"/>
      <c r="G1362" s="153"/>
      <c r="H1362" s="206"/>
      <c r="I1362" s="212"/>
      <c r="J1362" s="184"/>
      <c r="K1362" s="221"/>
      <c r="L1362" s="184"/>
      <c r="M1362" s="219"/>
      <c r="N1362" s="183"/>
      <c r="O1362" s="226"/>
      <c r="P1362" s="207"/>
      <c r="Q1362" s="569"/>
    </row>
    <row r="1363" spans="1:17" ht="15.75" hidden="1" customHeight="1" outlineLevel="3">
      <c r="A1363" s="274"/>
      <c r="B1363" s="143"/>
      <c r="C1363" s="162" t="s">
        <v>377</v>
      </c>
      <c r="D1363" s="160"/>
      <c r="E1363" s="153"/>
      <c r="F1363" s="153"/>
      <c r="G1363" s="153"/>
      <c r="H1363" s="206"/>
      <c r="I1363" s="212"/>
      <c r="J1363" s="184"/>
      <c r="K1363" s="221"/>
      <c r="L1363" s="184"/>
      <c r="M1363" s="219"/>
      <c r="N1363" s="183"/>
      <c r="O1363" s="226"/>
      <c r="P1363" s="207"/>
      <c r="Q1363" s="569"/>
    </row>
    <row r="1364" spans="1:17" ht="15.75" hidden="1" customHeight="1" outlineLevel="3">
      <c r="A1364" s="274"/>
      <c r="B1364" s="143"/>
      <c r="C1364" s="162" t="s">
        <v>400</v>
      </c>
      <c r="D1364" s="160"/>
      <c r="E1364" s="153"/>
      <c r="F1364" s="153"/>
      <c r="G1364" s="153"/>
      <c r="H1364" s="206"/>
      <c r="I1364" s="212"/>
      <c r="J1364" s="184"/>
      <c r="K1364" s="221"/>
      <c r="L1364" s="184"/>
      <c r="M1364" s="219"/>
      <c r="N1364" s="183"/>
      <c r="O1364" s="226"/>
      <c r="P1364" s="207"/>
      <c r="Q1364" s="568"/>
    </row>
    <row r="1365" spans="1:17" ht="15.75" hidden="1" customHeight="1" outlineLevel="2" collapsed="1">
      <c r="A1365" s="274"/>
      <c r="B1365" s="143"/>
      <c r="C1365" s="142" t="s">
        <v>479</v>
      </c>
      <c r="D1365" s="160"/>
      <c r="E1365" s="153"/>
      <c r="F1365" s="153"/>
      <c r="G1365" s="153"/>
      <c r="H1365" s="206"/>
      <c r="I1365" s="212"/>
      <c r="J1365" s="184">
        <f>SUM(J1339:J1364)</f>
        <v>192000</v>
      </c>
      <c r="K1365" s="217">
        <f>J1365*1.23</f>
        <v>236160</v>
      </c>
      <c r="L1365" s="184">
        <f>SUM(L1339:L1364)</f>
        <v>194000</v>
      </c>
      <c r="M1365" s="217">
        <f>L1365*1.46</f>
        <v>283240</v>
      </c>
      <c r="N1365" s="183"/>
      <c r="O1365" s="226"/>
      <c r="P1365" s="150">
        <f t="shared" ref="P1365" si="99">SUM(I1365,K1365,M1365,O1365)</f>
        <v>519400</v>
      </c>
      <c r="Q1365" s="568"/>
    </row>
    <row r="1366" spans="1:17" s="211" customFormat="1" ht="15.75" hidden="1" customHeight="1" outlineLevel="3">
      <c r="A1366" s="551"/>
      <c r="B1366" s="142" t="s">
        <v>480</v>
      </c>
      <c r="C1366" s="159"/>
      <c r="D1366" s="180"/>
      <c r="E1366" s="148"/>
      <c r="F1366" s="148"/>
      <c r="G1366" s="148"/>
      <c r="H1366" s="198"/>
      <c r="I1366" s="146"/>
      <c r="J1366" s="147"/>
      <c r="K1366" s="221"/>
      <c r="L1366" s="147"/>
      <c r="M1366" s="219"/>
      <c r="N1366" s="149"/>
      <c r="O1366" s="226"/>
      <c r="P1366" s="150"/>
      <c r="Q1366" s="569"/>
    </row>
    <row r="1367" spans="1:17" ht="15.75" hidden="1" customHeight="1" outlineLevel="3">
      <c r="A1367" s="274"/>
      <c r="B1367" s="143"/>
      <c r="C1367" s="142" t="s">
        <v>380</v>
      </c>
      <c r="D1367" s="160"/>
      <c r="E1367" s="153"/>
      <c r="F1367" s="153"/>
      <c r="G1367" s="153"/>
      <c r="H1367" s="206"/>
      <c r="I1367" s="212"/>
      <c r="J1367" s="184"/>
      <c r="K1367" s="221"/>
      <c r="L1367" s="184"/>
      <c r="M1367" s="219"/>
      <c r="N1367" s="183"/>
      <c r="O1367" s="226"/>
      <c r="P1367" s="207"/>
      <c r="Q1367" s="569"/>
    </row>
    <row r="1368" spans="1:17" ht="15.75" hidden="1" customHeight="1" outlineLevel="3">
      <c r="A1368" s="274"/>
      <c r="B1368" s="143"/>
      <c r="C1368" s="213" t="s">
        <v>396</v>
      </c>
      <c r="D1368" s="160"/>
      <c r="E1368" s="153"/>
      <c r="F1368" s="153"/>
      <c r="G1368" s="153"/>
      <c r="H1368" s="206"/>
      <c r="I1368" s="212"/>
      <c r="J1368" s="184"/>
      <c r="K1368" s="221"/>
      <c r="L1368" s="184"/>
      <c r="M1368" s="219"/>
      <c r="N1368" s="183"/>
      <c r="O1368" s="226"/>
      <c r="P1368" s="207"/>
      <c r="Q1368" s="569"/>
    </row>
    <row r="1369" spans="1:17" ht="15.75" hidden="1" customHeight="1" outlineLevel="3">
      <c r="A1369" s="274"/>
      <c r="B1369" s="143"/>
      <c r="C1369" s="213" t="s">
        <v>357</v>
      </c>
      <c r="D1369" s="160"/>
      <c r="E1369" s="153"/>
      <c r="F1369" s="153"/>
      <c r="G1369" s="153"/>
      <c r="H1369" s="206"/>
      <c r="I1369" s="212"/>
      <c r="J1369" s="184"/>
      <c r="K1369" s="221"/>
      <c r="L1369" s="184"/>
      <c r="M1369" s="219"/>
      <c r="N1369" s="183"/>
      <c r="O1369" s="226"/>
      <c r="P1369" s="207"/>
      <c r="Q1369" s="569"/>
    </row>
    <row r="1370" spans="1:17" ht="15.75" hidden="1" customHeight="1" outlineLevel="3">
      <c r="A1370" s="274"/>
      <c r="B1370" s="143"/>
      <c r="C1370" s="213" t="s">
        <v>358</v>
      </c>
      <c r="D1370" s="160"/>
      <c r="E1370" s="153"/>
      <c r="F1370" s="153"/>
      <c r="G1370" s="153"/>
      <c r="H1370" s="206"/>
      <c r="I1370" s="203"/>
      <c r="J1370" s="186"/>
      <c r="K1370" s="221"/>
      <c r="L1370" s="184"/>
      <c r="M1370" s="219"/>
      <c r="N1370" s="183"/>
      <c r="O1370" s="226"/>
      <c r="P1370" s="207"/>
      <c r="Q1370" s="569"/>
    </row>
    <row r="1371" spans="1:17" ht="15.75" hidden="1" customHeight="1" outlineLevel="3">
      <c r="A1371" s="274"/>
      <c r="B1371" s="143"/>
      <c r="C1371" s="213" t="s">
        <v>359</v>
      </c>
      <c r="D1371" s="160"/>
      <c r="E1371" s="153"/>
      <c r="F1371" s="153"/>
      <c r="G1371" s="153"/>
      <c r="H1371" s="206"/>
      <c r="I1371" s="212"/>
      <c r="J1371" s="184"/>
      <c r="K1371" s="221"/>
      <c r="L1371" s="184"/>
      <c r="M1371" s="219"/>
      <c r="N1371" s="183"/>
      <c r="O1371" s="226"/>
      <c r="P1371" s="207"/>
      <c r="Q1371" s="569"/>
    </row>
    <row r="1372" spans="1:17" ht="15.75" hidden="1" customHeight="1" outlineLevel="3">
      <c r="A1372" s="274"/>
      <c r="B1372" s="143"/>
      <c r="C1372" s="213" t="s">
        <v>388</v>
      </c>
      <c r="D1372" s="160"/>
      <c r="E1372" s="153"/>
      <c r="F1372" s="153"/>
      <c r="G1372" s="153"/>
      <c r="H1372" s="206"/>
      <c r="I1372" s="212"/>
      <c r="J1372" s="184"/>
      <c r="K1372" s="221"/>
      <c r="L1372" s="184"/>
      <c r="M1372" s="219"/>
      <c r="N1372" s="183"/>
      <c r="O1372" s="226"/>
      <c r="P1372" s="207"/>
      <c r="Q1372" s="569"/>
    </row>
    <row r="1373" spans="1:17" ht="15.75" hidden="1" customHeight="1" outlineLevel="3">
      <c r="A1373" s="274"/>
      <c r="B1373" s="143"/>
      <c r="C1373" s="142" t="s">
        <v>381</v>
      </c>
      <c r="D1373" s="160"/>
      <c r="E1373" s="153"/>
      <c r="F1373" s="153"/>
      <c r="G1373" s="153"/>
      <c r="H1373" s="206"/>
      <c r="I1373" s="212"/>
      <c r="J1373" s="184"/>
      <c r="K1373" s="221"/>
      <c r="L1373" s="184"/>
      <c r="M1373" s="219"/>
      <c r="N1373" s="183"/>
      <c r="O1373" s="226"/>
      <c r="P1373" s="207"/>
      <c r="Q1373" s="569"/>
    </row>
    <row r="1374" spans="1:17" ht="15.75" hidden="1" customHeight="1" outlineLevel="3">
      <c r="A1374" s="274"/>
      <c r="B1374" s="143"/>
      <c r="C1374" s="213" t="s">
        <v>362</v>
      </c>
      <c r="D1374" s="160"/>
      <c r="E1374" s="153"/>
      <c r="F1374" s="153"/>
      <c r="G1374" s="153"/>
      <c r="H1374" s="206"/>
      <c r="I1374" s="212"/>
      <c r="J1374" s="184"/>
      <c r="K1374" s="221"/>
      <c r="L1374" s="184"/>
      <c r="M1374" s="219"/>
      <c r="N1374" s="183"/>
      <c r="O1374" s="226"/>
      <c r="P1374" s="207"/>
      <c r="Q1374" s="569"/>
    </row>
    <row r="1375" spans="1:17" ht="15.75" hidden="1" customHeight="1" outlineLevel="3">
      <c r="A1375" s="274"/>
      <c r="B1375" s="143"/>
      <c r="C1375" s="213" t="s">
        <v>363</v>
      </c>
      <c r="D1375" s="160"/>
      <c r="E1375" s="153"/>
      <c r="F1375" s="153"/>
      <c r="G1375" s="153"/>
      <c r="H1375" s="206"/>
      <c r="I1375" s="212"/>
      <c r="J1375" s="184"/>
      <c r="K1375" s="221"/>
      <c r="L1375" s="184"/>
      <c r="M1375" s="219"/>
      <c r="N1375" s="183"/>
      <c r="O1375" s="226"/>
      <c r="P1375" s="207"/>
      <c r="Q1375" s="569"/>
    </row>
    <row r="1376" spans="1:17" ht="15.75" hidden="1" customHeight="1" outlineLevel="3">
      <c r="A1376" s="274"/>
      <c r="B1376" s="143"/>
      <c r="C1376" s="213" t="s">
        <v>358</v>
      </c>
      <c r="D1376" s="160"/>
      <c r="E1376" s="153"/>
      <c r="F1376" s="153"/>
      <c r="G1376" s="153"/>
      <c r="H1376" s="206"/>
      <c r="I1376" s="212"/>
      <c r="J1376" s="184"/>
      <c r="K1376" s="221"/>
      <c r="L1376" s="184"/>
      <c r="M1376" s="219"/>
      <c r="N1376" s="183"/>
      <c r="O1376" s="226"/>
      <c r="P1376" s="207"/>
      <c r="Q1376" s="569"/>
    </row>
    <row r="1377" spans="1:17" ht="15.75" hidden="1" customHeight="1" outlineLevel="3">
      <c r="A1377" s="274"/>
      <c r="B1377" s="143"/>
      <c r="C1377" s="213" t="s">
        <v>364</v>
      </c>
      <c r="D1377" s="160"/>
      <c r="E1377" s="153"/>
      <c r="F1377" s="153"/>
      <c r="G1377" s="153"/>
      <c r="H1377" s="206"/>
      <c r="I1377" s="212"/>
      <c r="J1377" s="184"/>
      <c r="K1377" s="221"/>
      <c r="L1377" s="184"/>
      <c r="M1377" s="219"/>
      <c r="N1377" s="183"/>
      <c r="O1377" s="226"/>
      <c r="P1377" s="207"/>
      <c r="Q1377" s="569"/>
    </row>
    <row r="1378" spans="1:17" ht="15.75" hidden="1" customHeight="1" outlineLevel="3">
      <c r="A1378" s="274"/>
      <c r="B1378" s="143"/>
      <c r="C1378" s="142" t="s">
        <v>382</v>
      </c>
      <c r="D1378" s="160"/>
      <c r="E1378" s="153"/>
      <c r="F1378" s="153"/>
      <c r="G1378" s="153"/>
      <c r="H1378" s="206"/>
      <c r="I1378" s="212"/>
      <c r="J1378" s="184"/>
      <c r="K1378" s="221"/>
      <c r="L1378" s="184"/>
      <c r="M1378" s="219"/>
      <c r="N1378" s="183"/>
      <c r="O1378" s="226"/>
      <c r="P1378" s="207"/>
      <c r="Q1378" s="569"/>
    </row>
    <row r="1379" spans="1:17" ht="15.75" hidden="1" customHeight="1" outlineLevel="3">
      <c r="A1379" s="274"/>
      <c r="B1379" s="143"/>
      <c r="C1379" s="213" t="s">
        <v>366</v>
      </c>
      <c r="D1379" s="160"/>
      <c r="E1379" s="153"/>
      <c r="F1379" s="153"/>
      <c r="G1379" s="153"/>
      <c r="H1379" s="206"/>
      <c r="I1379" s="212"/>
      <c r="J1379" s="184"/>
      <c r="K1379" s="221"/>
      <c r="L1379" s="184"/>
      <c r="M1379" s="219"/>
      <c r="N1379" s="183"/>
      <c r="O1379" s="226"/>
      <c r="P1379" s="207"/>
      <c r="Q1379" s="569"/>
    </row>
    <row r="1380" spans="1:17" ht="15.75" hidden="1" customHeight="1" outlineLevel="3">
      <c r="A1380" s="274"/>
      <c r="B1380" s="143"/>
      <c r="C1380" s="213" t="s">
        <v>358</v>
      </c>
      <c r="D1380" s="160"/>
      <c r="E1380" s="153"/>
      <c r="F1380" s="153"/>
      <c r="G1380" s="153"/>
      <c r="H1380" s="206"/>
      <c r="I1380" s="212"/>
      <c r="J1380" s="184"/>
      <c r="K1380" s="221"/>
      <c r="L1380" s="184"/>
      <c r="M1380" s="219"/>
      <c r="N1380" s="183"/>
      <c r="O1380" s="226"/>
      <c r="P1380" s="207"/>
      <c r="Q1380" s="569"/>
    </row>
    <row r="1381" spans="1:17" ht="15.75" hidden="1" customHeight="1" outlineLevel="3">
      <c r="A1381" s="274"/>
      <c r="B1381" s="143"/>
      <c r="C1381" s="213" t="s">
        <v>367</v>
      </c>
      <c r="D1381" s="160"/>
      <c r="E1381" s="153"/>
      <c r="F1381" s="153"/>
      <c r="G1381" s="153"/>
      <c r="H1381" s="206"/>
      <c r="I1381" s="212"/>
      <c r="J1381" s="184"/>
      <c r="K1381" s="221"/>
      <c r="L1381" s="184"/>
      <c r="M1381" s="219"/>
      <c r="N1381" s="183"/>
      <c r="O1381" s="226"/>
      <c r="P1381" s="207"/>
      <c r="Q1381" s="569"/>
    </row>
    <row r="1382" spans="1:17" ht="15.75" hidden="1" customHeight="1" outlineLevel="3">
      <c r="A1382" s="274"/>
      <c r="B1382" s="143"/>
      <c r="C1382" s="213" t="s">
        <v>368</v>
      </c>
      <c r="D1382" s="160"/>
      <c r="E1382" s="153"/>
      <c r="F1382" s="153"/>
      <c r="G1382" s="153"/>
      <c r="H1382" s="206"/>
      <c r="I1382" s="212"/>
      <c r="J1382" s="184"/>
      <c r="K1382" s="221"/>
      <c r="L1382" s="184"/>
      <c r="M1382" s="219"/>
      <c r="N1382" s="183"/>
      <c r="O1382" s="226"/>
      <c r="P1382" s="207"/>
      <c r="Q1382" s="569"/>
    </row>
    <row r="1383" spans="1:17" ht="15.75" hidden="1" customHeight="1" outlineLevel="3">
      <c r="A1383" s="274"/>
      <c r="B1383" s="143"/>
      <c r="C1383" s="142" t="s">
        <v>383</v>
      </c>
      <c r="D1383" s="160"/>
      <c r="E1383" s="153"/>
      <c r="F1383" s="153"/>
      <c r="G1383" s="153"/>
      <c r="H1383" s="206"/>
      <c r="I1383" s="212"/>
      <c r="J1383" s="184"/>
      <c r="K1383" s="221"/>
      <c r="L1383" s="184"/>
      <c r="M1383" s="219"/>
      <c r="N1383" s="183"/>
      <c r="O1383" s="226"/>
      <c r="P1383" s="207"/>
      <c r="Q1383" s="569"/>
    </row>
    <row r="1384" spans="1:17" ht="15.75" hidden="1" customHeight="1" outlineLevel="3">
      <c r="A1384" s="274"/>
      <c r="B1384" s="143"/>
      <c r="C1384" s="213" t="s">
        <v>370</v>
      </c>
      <c r="D1384" s="160"/>
      <c r="E1384" s="153"/>
      <c r="F1384" s="153"/>
      <c r="G1384" s="153"/>
      <c r="H1384" s="206"/>
      <c r="I1384" s="212"/>
      <c r="J1384" s="184"/>
      <c r="K1384" s="221"/>
      <c r="L1384" s="184"/>
      <c r="M1384" s="219"/>
      <c r="N1384" s="183">
        <v>142000</v>
      </c>
      <c r="O1384" s="226">
        <f>N1384*1.73</f>
        <v>245660</v>
      </c>
      <c r="P1384" s="150">
        <f t="shared" ref="P1384" si="100">SUM(I1384,K1384,M1384,O1384)</f>
        <v>245660</v>
      </c>
      <c r="Q1384" s="569" t="s">
        <v>1304</v>
      </c>
    </row>
    <row r="1385" spans="1:17" ht="15.75" hidden="1" customHeight="1" outlineLevel="3">
      <c r="A1385" s="274"/>
      <c r="B1385" s="143"/>
      <c r="C1385" s="213" t="s">
        <v>371</v>
      </c>
      <c r="D1385" s="160"/>
      <c r="E1385" s="153"/>
      <c r="F1385" s="153"/>
      <c r="G1385" s="153"/>
      <c r="H1385" s="206"/>
      <c r="I1385" s="212"/>
      <c r="J1385" s="184"/>
      <c r="K1385" s="221"/>
      <c r="L1385" s="184"/>
      <c r="M1385" s="219"/>
      <c r="N1385" s="183"/>
      <c r="O1385" s="226"/>
      <c r="P1385" s="207"/>
      <c r="Q1385" s="569"/>
    </row>
    <row r="1386" spans="1:17" ht="15.75" hidden="1" customHeight="1" outlineLevel="3">
      <c r="A1386" s="274"/>
      <c r="B1386" s="143"/>
      <c r="C1386" s="213" t="s">
        <v>372</v>
      </c>
      <c r="D1386" s="160"/>
      <c r="E1386" s="153"/>
      <c r="F1386" s="153"/>
      <c r="G1386" s="153"/>
      <c r="H1386" s="206"/>
      <c r="I1386" s="212"/>
      <c r="J1386" s="184"/>
      <c r="K1386" s="221"/>
      <c r="L1386" s="184"/>
      <c r="M1386" s="219"/>
      <c r="N1386" s="183"/>
      <c r="O1386" s="226"/>
      <c r="P1386" s="207"/>
      <c r="Q1386" s="569"/>
    </row>
    <row r="1387" spans="1:17" ht="15.75" hidden="1" customHeight="1" outlineLevel="3">
      <c r="A1387" s="274"/>
      <c r="B1387" s="143"/>
      <c r="C1387" s="213" t="s">
        <v>373</v>
      </c>
      <c r="D1387" s="160"/>
      <c r="E1387" s="153"/>
      <c r="F1387" s="153"/>
      <c r="G1387" s="153"/>
      <c r="H1387" s="206"/>
      <c r="I1387" s="212"/>
      <c r="J1387" s="184"/>
      <c r="K1387" s="221"/>
      <c r="L1387" s="184"/>
      <c r="M1387" s="219"/>
      <c r="N1387" s="183"/>
      <c r="O1387" s="226"/>
      <c r="P1387" s="207"/>
      <c r="Q1387" s="568"/>
    </row>
    <row r="1388" spans="1:17" ht="15.75" hidden="1" customHeight="1" outlineLevel="3">
      <c r="A1388" s="274"/>
      <c r="B1388" s="143"/>
      <c r="C1388" s="142" t="s">
        <v>384</v>
      </c>
      <c r="D1388" s="160"/>
      <c r="E1388" s="153"/>
      <c r="F1388" s="153"/>
      <c r="G1388" s="153"/>
      <c r="H1388" s="206"/>
      <c r="I1388" s="212"/>
      <c r="J1388" s="184"/>
      <c r="K1388" s="221"/>
      <c r="L1388" s="184"/>
      <c r="M1388" s="219"/>
      <c r="N1388" s="183"/>
      <c r="O1388" s="226"/>
      <c r="P1388" s="207"/>
      <c r="Q1388" s="569"/>
    </row>
    <row r="1389" spans="1:17" ht="15.75" hidden="1" customHeight="1" outlineLevel="3">
      <c r="A1389" s="274"/>
      <c r="B1389" s="143"/>
      <c r="C1389" s="162" t="s">
        <v>375</v>
      </c>
      <c r="D1389" s="160"/>
      <c r="E1389" s="153"/>
      <c r="F1389" s="153"/>
      <c r="G1389" s="153"/>
      <c r="H1389" s="206"/>
      <c r="I1389" s="212"/>
      <c r="J1389" s="184"/>
      <c r="K1389" s="221"/>
      <c r="L1389" s="184"/>
      <c r="M1389" s="219"/>
      <c r="N1389" s="183"/>
      <c r="O1389" s="226"/>
      <c r="P1389" s="207"/>
      <c r="Q1389" s="569"/>
    </row>
    <row r="1390" spans="1:17" ht="15.75" hidden="1" customHeight="1" outlineLevel="3">
      <c r="A1390" s="274"/>
      <c r="B1390" s="143"/>
      <c r="C1390" s="162" t="s">
        <v>376</v>
      </c>
      <c r="D1390" s="160"/>
      <c r="E1390" s="153"/>
      <c r="F1390" s="153"/>
      <c r="G1390" s="153"/>
      <c r="H1390" s="206"/>
      <c r="I1390" s="212"/>
      <c r="J1390" s="184"/>
      <c r="K1390" s="221"/>
      <c r="L1390" s="184"/>
      <c r="M1390" s="219"/>
      <c r="N1390" s="183"/>
      <c r="O1390" s="226"/>
      <c r="P1390" s="207"/>
      <c r="Q1390" s="569"/>
    </row>
    <row r="1391" spans="1:17" ht="15.75" hidden="1" customHeight="1" outlineLevel="3">
      <c r="A1391" s="274"/>
      <c r="B1391" s="143"/>
      <c r="C1391" s="162" t="s">
        <v>377</v>
      </c>
      <c r="D1391" s="160"/>
      <c r="E1391" s="153"/>
      <c r="F1391" s="153"/>
      <c r="G1391" s="153"/>
      <c r="H1391" s="206"/>
      <c r="I1391" s="212"/>
      <c r="J1391" s="184"/>
      <c r="K1391" s="221"/>
      <c r="L1391" s="184"/>
      <c r="M1391" s="219"/>
      <c r="N1391" s="183"/>
      <c r="O1391" s="226"/>
      <c r="P1391" s="207"/>
      <c r="Q1391" s="569"/>
    </row>
    <row r="1392" spans="1:17" ht="15.75" hidden="1" customHeight="1" outlineLevel="3">
      <c r="A1392" s="274"/>
      <c r="B1392" s="143"/>
      <c r="C1392" s="162" t="s">
        <v>266</v>
      </c>
      <c r="D1392" s="160"/>
      <c r="E1392" s="153"/>
      <c r="F1392" s="153"/>
      <c r="G1392" s="153"/>
      <c r="H1392" s="206"/>
      <c r="I1392" s="212"/>
      <c r="J1392" s="184"/>
      <c r="K1392" s="221"/>
      <c r="L1392" s="184"/>
      <c r="M1392" s="219"/>
      <c r="N1392" s="159"/>
      <c r="O1392" s="226"/>
      <c r="P1392" s="207"/>
      <c r="Q1392" s="568"/>
    </row>
    <row r="1393" spans="1:17" ht="15.75" hidden="1" customHeight="1" outlineLevel="2" collapsed="1">
      <c r="A1393" s="274"/>
      <c r="B1393" s="143"/>
      <c r="C1393" s="142" t="s">
        <v>480</v>
      </c>
      <c r="D1393" s="160"/>
      <c r="E1393" s="153"/>
      <c r="F1393" s="153"/>
      <c r="G1393" s="153"/>
      <c r="H1393" s="206"/>
      <c r="I1393" s="212"/>
      <c r="J1393" s="184"/>
      <c r="K1393" s="217"/>
      <c r="L1393" s="184"/>
      <c r="M1393" s="219"/>
      <c r="N1393" s="231">
        <f>SUM(N1367:N1392)</f>
        <v>142000</v>
      </c>
      <c r="O1393" s="226">
        <f>N1393*1.73</f>
        <v>245660</v>
      </c>
      <c r="P1393" s="150">
        <f t="shared" ref="P1393" si="101">SUM(I1393,K1393,M1393,O1393)</f>
        <v>245660</v>
      </c>
      <c r="Q1393" s="568"/>
    </row>
    <row r="1394" spans="1:17" s="211" customFormat="1" ht="15.75" hidden="1" customHeight="1" outlineLevel="3">
      <c r="A1394" s="551"/>
      <c r="B1394" s="142" t="s">
        <v>481</v>
      </c>
      <c r="C1394" s="159"/>
      <c r="D1394" s="180"/>
      <c r="E1394" s="148"/>
      <c r="F1394" s="148"/>
      <c r="G1394" s="148"/>
      <c r="H1394" s="198"/>
      <c r="I1394" s="146"/>
      <c r="J1394" s="147"/>
      <c r="K1394" s="221"/>
      <c r="L1394" s="147"/>
      <c r="M1394" s="219"/>
      <c r="N1394" s="149"/>
      <c r="O1394" s="226"/>
      <c r="P1394" s="150"/>
      <c r="Q1394" s="569"/>
    </row>
    <row r="1395" spans="1:17" ht="15.75" hidden="1" customHeight="1" outlineLevel="3">
      <c r="A1395" s="274"/>
      <c r="B1395" s="143"/>
      <c r="C1395" s="142" t="s">
        <v>380</v>
      </c>
      <c r="D1395" s="160"/>
      <c r="E1395" s="153"/>
      <c r="F1395" s="153"/>
      <c r="G1395" s="153"/>
      <c r="H1395" s="206"/>
      <c r="I1395" s="212"/>
      <c r="J1395" s="184"/>
      <c r="K1395" s="221"/>
      <c r="L1395" s="184"/>
      <c r="M1395" s="219"/>
      <c r="N1395" s="183"/>
      <c r="O1395" s="226"/>
      <c r="P1395" s="207"/>
      <c r="Q1395" s="569"/>
    </row>
    <row r="1396" spans="1:17" ht="15.75" hidden="1" customHeight="1" outlineLevel="3">
      <c r="A1396" s="274"/>
      <c r="B1396" s="143"/>
      <c r="C1396" s="213" t="s">
        <v>396</v>
      </c>
      <c r="D1396" s="160"/>
      <c r="E1396" s="153"/>
      <c r="F1396" s="153"/>
      <c r="G1396" s="153"/>
      <c r="H1396" s="206"/>
      <c r="I1396" s="212"/>
      <c r="J1396" s="184"/>
      <c r="K1396" s="221"/>
      <c r="L1396" s="184"/>
      <c r="M1396" s="219"/>
      <c r="N1396" s="183"/>
      <c r="O1396" s="226"/>
      <c r="P1396" s="207"/>
      <c r="Q1396" s="569"/>
    </row>
    <row r="1397" spans="1:17" ht="15.75" hidden="1" customHeight="1" outlineLevel="3">
      <c r="A1397" s="274"/>
      <c r="B1397" s="143"/>
      <c r="C1397" s="213" t="s">
        <v>357</v>
      </c>
      <c r="D1397" s="160"/>
      <c r="E1397" s="153"/>
      <c r="F1397" s="153"/>
      <c r="G1397" s="153"/>
      <c r="H1397" s="206"/>
      <c r="I1397" s="212"/>
      <c r="J1397" s="184"/>
      <c r="K1397" s="221"/>
      <c r="L1397" s="184"/>
      <c r="M1397" s="219"/>
      <c r="N1397" s="183"/>
      <c r="O1397" s="226"/>
      <c r="P1397" s="207"/>
      <c r="Q1397" s="569"/>
    </row>
    <row r="1398" spans="1:17" ht="15.75" hidden="1" customHeight="1" outlineLevel="3">
      <c r="A1398" s="274"/>
      <c r="B1398" s="143"/>
      <c r="C1398" s="213" t="s">
        <v>358</v>
      </c>
      <c r="D1398" s="160"/>
      <c r="E1398" s="153"/>
      <c r="F1398" s="153"/>
      <c r="G1398" s="153"/>
      <c r="H1398" s="206"/>
      <c r="I1398" s="203"/>
      <c r="J1398" s="186"/>
      <c r="K1398" s="221"/>
      <c r="L1398" s="184"/>
      <c r="M1398" s="219"/>
      <c r="N1398" s="183"/>
      <c r="O1398" s="226"/>
      <c r="P1398" s="207"/>
      <c r="Q1398" s="569"/>
    </row>
    <row r="1399" spans="1:17" ht="15.75" hidden="1" customHeight="1" outlineLevel="3">
      <c r="A1399" s="274"/>
      <c r="B1399" s="143"/>
      <c r="C1399" s="213" t="s">
        <v>359</v>
      </c>
      <c r="D1399" s="160"/>
      <c r="E1399" s="153"/>
      <c r="F1399" s="153"/>
      <c r="G1399" s="153"/>
      <c r="H1399" s="206"/>
      <c r="I1399" s="212"/>
      <c r="J1399" s="184"/>
      <c r="K1399" s="221"/>
      <c r="L1399" s="184"/>
      <c r="M1399" s="219"/>
      <c r="N1399" s="183"/>
      <c r="O1399" s="226"/>
      <c r="P1399" s="207"/>
      <c r="Q1399" s="569"/>
    </row>
    <row r="1400" spans="1:17" ht="15.75" hidden="1" customHeight="1" outlineLevel="3">
      <c r="A1400" s="274"/>
      <c r="B1400" s="143"/>
      <c r="C1400" s="213" t="s">
        <v>388</v>
      </c>
      <c r="D1400" s="160"/>
      <c r="E1400" s="153"/>
      <c r="F1400" s="153"/>
      <c r="G1400" s="153"/>
      <c r="H1400" s="206"/>
      <c r="I1400" s="212"/>
      <c r="J1400" s="184"/>
      <c r="K1400" s="221"/>
      <c r="L1400" s="184"/>
      <c r="M1400" s="219"/>
      <c r="N1400" s="183"/>
      <c r="O1400" s="226"/>
      <c r="P1400" s="207"/>
      <c r="Q1400" s="569"/>
    </row>
    <row r="1401" spans="1:17" ht="15.75" hidden="1" customHeight="1" outlineLevel="3">
      <c r="A1401" s="274"/>
      <c r="B1401" s="143"/>
      <c r="C1401" s="142" t="s">
        <v>381</v>
      </c>
      <c r="D1401" s="160"/>
      <c r="E1401" s="153"/>
      <c r="F1401" s="153"/>
      <c r="G1401" s="153"/>
      <c r="H1401" s="206"/>
      <c r="I1401" s="212"/>
      <c r="J1401" s="184"/>
      <c r="K1401" s="221"/>
      <c r="L1401" s="184"/>
      <c r="M1401" s="219"/>
      <c r="N1401" s="183"/>
      <c r="O1401" s="226"/>
      <c r="P1401" s="207"/>
      <c r="Q1401" s="569"/>
    </row>
    <row r="1402" spans="1:17" ht="15.75" hidden="1" customHeight="1" outlineLevel="3">
      <c r="A1402" s="274"/>
      <c r="B1402" s="143"/>
      <c r="C1402" s="213" t="s">
        <v>362</v>
      </c>
      <c r="D1402" s="160"/>
      <c r="E1402" s="153"/>
      <c r="F1402" s="153"/>
      <c r="G1402" s="153"/>
      <c r="H1402" s="206"/>
      <c r="I1402" s="212"/>
      <c r="J1402" s="184"/>
      <c r="K1402" s="221"/>
      <c r="L1402" s="184"/>
      <c r="M1402" s="219"/>
      <c r="N1402" s="183"/>
      <c r="O1402" s="226"/>
      <c r="P1402" s="207"/>
      <c r="Q1402" s="569"/>
    </row>
    <row r="1403" spans="1:17" ht="15.75" hidden="1" customHeight="1" outlineLevel="3">
      <c r="A1403" s="274"/>
      <c r="B1403" s="143"/>
      <c r="C1403" s="213" t="s">
        <v>363</v>
      </c>
      <c r="D1403" s="160"/>
      <c r="E1403" s="153"/>
      <c r="F1403" s="153"/>
      <c r="G1403" s="153"/>
      <c r="H1403" s="206"/>
      <c r="I1403" s="212"/>
      <c r="J1403" s="184"/>
      <c r="K1403" s="221"/>
      <c r="L1403" s="184"/>
      <c r="M1403" s="219"/>
      <c r="N1403" s="183"/>
      <c r="O1403" s="226"/>
      <c r="P1403" s="207"/>
      <c r="Q1403" s="569"/>
    </row>
    <row r="1404" spans="1:17" ht="15.75" hidden="1" customHeight="1" outlineLevel="3">
      <c r="A1404" s="274"/>
      <c r="B1404" s="143"/>
      <c r="C1404" s="213" t="s">
        <v>358</v>
      </c>
      <c r="D1404" s="160"/>
      <c r="E1404" s="153"/>
      <c r="F1404" s="153"/>
      <c r="G1404" s="153"/>
      <c r="H1404" s="206"/>
      <c r="I1404" s="212"/>
      <c r="J1404" s="184"/>
      <c r="K1404" s="221"/>
      <c r="L1404" s="184"/>
      <c r="M1404" s="219"/>
      <c r="N1404" s="183"/>
      <c r="O1404" s="226"/>
      <c r="P1404" s="207"/>
      <c r="Q1404" s="569"/>
    </row>
    <row r="1405" spans="1:17" ht="15.75" hidden="1" customHeight="1" outlineLevel="3">
      <c r="A1405" s="274"/>
      <c r="B1405" s="143"/>
      <c r="C1405" s="213" t="s">
        <v>364</v>
      </c>
      <c r="D1405" s="160"/>
      <c r="E1405" s="153"/>
      <c r="F1405" s="153"/>
      <c r="G1405" s="153"/>
      <c r="H1405" s="206"/>
      <c r="I1405" s="212"/>
      <c r="J1405" s="184"/>
      <c r="K1405" s="221"/>
      <c r="L1405" s="184"/>
      <c r="M1405" s="219"/>
      <c r="N1405" s="183"/>
      <c r="O1405" s="226"/>
      <c r="P1405" s="207"/>
      <c r="Q1405" s="569"/>
    </row>
    <row r="1406" spans="1:17" ht="15.75" hidden="1" customHeight="1" outlineLevel="3">
      <c r="A1406" s="274"/>
      <c r="B1406" s="143"/>
      <c r="C1406" s="142" t="s">
        <v>382</v>
      </c>
      <c r="D1406" s="160"/>
      <c r="E1406" s="153"/>
      <c r="F1406" s="153"/>
      <c r="G1406" s="153"/>
      <c r="H1406" s="206"/>
      <c r="I1406" s="212"/>
      <c r="J1406" s="184"/>
      <c r="K1406" s="221"/>
      <c r="L1406" s="184"/>
      <c r="M1406" s="219"/>
      <c r="N1406" s="183"/>
      <c r="O1406" s="226"/>
      <c r="P1406" s="207"/>
      <c r="Q1406" s="569"/>
    </row>
    <row r="1407" spans="1:17" ht="15.75" hidden="1" customHeight="1" outlineLevel="3">
      <c r="A1407" s="274"/>
      <c r="B1407" s="143"/>
      <c r="C1407" s="213" t="s">
        <v>366</v>
      </c>
      <c r="D1407" s="160"/>
      <c r="E1407" s="153"/>
      <c r="F1407" s="153"/>
      <c r="G1407" s="153"/>
      <c r="H1407" s="206"/>
      <c r="I1407" s="212"/>
      <c r="J1407" s="184"/>
      <c r="K1407" s="221"/>
      <c r="L1407" s="184"/>
      <c r="M1407" s="219"/>
      <c r="N1407" s="183"/>
      <c r="O1407" s="226"/>
      <c r="P1407" s="207"/>
      <c r="Q1407" s="569"/>
    </row>
    <row r="1408" spans="1:17" ht="15.75" hidden="1" customHeight="1" outlineLevel="3">
      <c r="A1408" s="274"/>
      <c r="B1408" s="143"/>
      <c r="C1408" s="213" t="s">
        <v>358</v>
      </c>
      <c r="D1408" s="160"/>
      <c r="E1408" s="153"/>
      <c r="F1408" s="153"/>
      <c r="G1408" s="153"/>
      <c r="H1408" s="206"/>
      <c r="I1408" s="212"/>
      <c r="J1408" s="184"/>
      <c r="K1408" s="221"/>
      <c r="L1408" s="184"/>
      <c r="M1408" s="219"/>
      <c r="N1408" s="183"/>
      <c r="O1408" s="226"/>
      <c r="P1408" s="207"/>
      <c r="Q1408" s="569"/>
    </row>
    <row r="1409" spans="1:17" ht="15.75" hidden="1" customHeight="1" outlineLevel="3">
      <c r="A1409" s="274"/>
      <c r="B1409" s="143"/>
      <c r="C1409" s="213" t="s">
        <v>367</v>
      </c>
      <c r="D1409" s="160"/>
      <c r="E1409" s="153"/>
      <c r="F1409" s="153"/>
      <c r="G1409" s="153"/>
      <c r="H1409" s="206"/>
      <c r="I1409" s="212"/>
      <c r="J1409" s="184"/>
      <c r="K1409" s="221"/>
      <c r="L1409" s="184"/>
      <c r="M1409" s="219"/>
      <c r="N1409" s="183"/>
      <c r="O1409" s="226"/>
      <c r="P1409" s="207"/>
      <c r="Q1409" s="569"/>
    </row>
    <row r="1410" spans="1:17" ht="15.75" hidden="1" customHeight="1" outlineLevel="3">
      <c r="A1410" s="274"/>
      <c r="B1410" s="143"/>
      <c r="C1410" s="213" t="s">
        <v>368</v>
      </c>
      <c r="D1410" s="160"/>
      <c r="E1410" s="153"/>
      <c r="F1410" s="153"/>
      <c r="G1410" s="153"/>
      <c r="H1410" s="206"/>
      <c r="I1410" s="212"/>
      <c r="J1410" s="184"/>
      <c r="K1410" s="221"/>
      <c r="L1410" s="184"/>
      <c r="M1410" s="219"/>
      <c r="N1410" s="183"/>
      <c r="O1410" s="226"/>
      <c r="P1410" s="207"/>
      <c r="Q1410" s="569"/>
    </row>
    <row r="1411" spans="1:17" ht="15.75" hidden="1" customHeight="1" outlineLevel="3">
      <c r="A1411" s="274"/>
      <c r="B1411" s="143"/>
      <c r="C1411" s="142" t="s">
        <v>383</v>
      </c>
      <c r="D1411" s="160"/>
      <c r="E1411" s="153"/>
      <c r="F1411" s="153"/>
      <c r="G1411" s="153"/>
      <c r="H1411" s="206"/>
      <c r="I1411" s="212"/>
      <c r="J1411" s="184"/>
      <c r="K1411" s="221"/>
      <c r="L1411" s="184"/>
      <c r="M1411" s="219"/>
      <c r="N1411" s="183"/>
      <c r="O1411" s="226"/>
      <c r="P1411" s="207"/>
      <c r="Q1411" s="569"/>
    </row>
    <row r="1412" spans="1:17" ht="15.75" hidden="1" customHeight="1" outlineLevel="3">
      <c r="A1412" s="274"/>
      <c r="B1412" s="143"/>
      <c r="C1412" s="213" t="s">
        <v>370</v>
      </c>
      <c r="D1412" s="160"/>
      <c r="E1412" s="153"/>
      <c r="F1412" s="153"/>
      <c r="G1412" s="153"/>
      <c r="H1412" s="206"/>
      <c r="I1412" s="212"/>
      <c r="J1412" s="184"/>
      <c r="K1412" s="221"/>
      <c r="L1412" s="184"/>
      <c r="M1412" s="219"/>
      <c r="N1412" s="183"/>
      <c r="O1412" s="226"/>
      <c r="P1412" s="207"/>
      <c r="Q1412" s="569"/>
    </row>
    <row r="1413" spans="1:17" ht="15.75" hidden="1" customHeight="1" outlineLevel="3">
      <c r="A1413" s="274"/>
      <c r="B1413" s="143"/>
      <c r="C1413" s="213" t="s">
        <v>371</v>
      </c>
      <c r="D1413" s="160"/>
      <c r="E1413" s="153"/>
      <c r="F1413" s="153"/>
      <c r="G1413" s="153"/>
      <c r="H1413" s="206"/>
      <c r="I1413" s="212"/>
      <c r="J1413" s="184"/>
      <c r="K1413" s="221"/>
      <c r="L1413" s="184"/>
      <c r="M1413" s="219"/>
      <c r="N1413" s="183"/>
      <c r="O1413" s="226"/>
      <c r="P1413" s="207"/>
      <c r="Q1413" s="569"/>
    </row>
    <row r="1414" spans="1:17" ht="15.75" hidden="1" customHeight="1" outlineLevel="3">
      <c r="A1414" s="274"/>
      <c r="B1414" s="143"/>
      <c r="C1414" s="213" t="s">
        <v>372</v>
      </c>
      <c r="D1414" s="160"/>
      <c r="E1414" s="153"/>
      <c r="F1414" s="153"/>
      <c r="G1414" s="153"/>
      <c r="H1414" s="206"/>
      <c r="I1414" s="212"/>
      <c r="J1414" s="184"/>
      <c r="K1414" s="221"/>
      <c r="L1414" s="184"/>
      <c r="M1414" s="219"/>
      <c r="N1414" s="183"/>
      <c r="O1414" s="226"/>
      <c r="P1414" s="207"/>
      <c r="Q1414" s="569"/>
    </row>
    <row r="1415" spans="1:17" ht="15.75" hidden="1" customHeight="1" outlineLevel="3">
      <c r="A1415" s="274"/>
      <c r="B1415" s="143"/>
      <c r="C1415" s="213" t="s">
        <v>373</v>
      </c>
      <c r="D1415" s="160"/>
      <c r="E1415" s="153"/>
      <c r="F1415" s="153"/>
      <c r="G1415" s="153"/>
      <c r="H1415" s="206"/>
      <c r="I1415" s="212"/>
      <c r="J1415" s="184"/>
      <c r="K1415" s="221"/>
      <c r="L1415" s="184"/>
      <c r="M1415" s="219"/>
      <c r="N1415" s="183"/>
      <c r="O1415" s="226"/>
      <c r="P1415" s="207"/>
      <c r="Q1415" s="568"/>
    </row>
    <row r="1416" spans="1:17" ht="15.75" hidden="1" customHeight="1" outlineLevel="3">
      <c r="A1416" s="274"/>
      <c r="B1416" s="143"/>
      <c r="C1416" s="142" t="s">
        <v>384</v>
      </c>
      <c r="D1416" s="160"/>
      <c r="E1416" s="153"/>
      <c r="F1416" s="153"/>
      <c r="G1416" s="153"/>
      <c r="H1416" s="206"/>
      <c r="I1416" s="212"/>
      <c r="J1416" s="184"/>
      <c r="K1416" s="221"/>
      <c r="L1416" s="184"/>
      <c r="M1416" s="219"/>
      <c r="N1416" s="183"/>
      <c r="O1416" s="226"/>
      <c r="P1416" s="207"/>
      <c r="Q1416" s="569"/>
    </row>
    <row r="1417" spans="1:17" ht="15.75" hidden="1" customHeight="1" outlineLevel="3">
      <c r="A1417" s="274"/>
      <c r="B1417" s="143"/>
      <c r="C1417" s="162" t="s">
        <v>375</v>
      </c>
      <c r="D1417" s="160"/>
      <c r="E1417" s="153"/>
      <c r="F1417" s="153"/>
      <c r="G1417" s="153"/>
      <c r="H1417" s="206"/>
      <c r="I1417" s="212"/>
      <c r="J1417" s="184"/>
      <c r="K1417" s="221"/>
      <c r="L1417" s="184"/>
      <c r="M1417" s="219"/>
      <c r="N1417" s="183"/>
      <c r="O1417" s="226"/>
      <c r="P1417" s="207"/>
      <c r="Q1417" s="569"/>
    </row>
    <row r="1418" spans="1:17" ht="15.75" hidden="1" customHeight="1" outlineLevel="3">
      <c r="A1418" s="274"/>
      <c r="B1418" s="143"/>
      <c r="C1418" s="162" t="s">
        <v>376</v>
      </c>
      <c r="D1418" s="160"/>
      <c r="E1418" s="153"/>
      <c r="F1418" s="153"/>
      <c r="G1418" s="153"/>
      <c r="H1418" s="206"/>
      <c r="I1418" s="212"/>
      <c r="J1418" s="184"/>
      <c r="K1418" s="221"/>
      <c r="L1418" s="184"/>
      <c r="M1418" s="219"/>
      <c r="N1418" s="183"/>
      <c r="O1418" s="226"/>
      <c r="P1418" s="207"/>
      <c r="Q1418" s="569"/>
    </row>
    <row r="1419" spans="1:17" ht="15.75" hidden="1" customHeight="1" outlineLevel="3">
      <c r="A1419" s="274"/>
      <c r="B1419" s="143"/>
      <c r="C1419" s="162" t="s">
        <v>377</v>
      </c>
      <c r="D1419" s="160"/>
      <c r="E1419" s="153"/>
      <c r="F1419" s="153"/>
      <c r="G1419" s="153"/>
      <c r="H1419" s="206"/>
      <c r="I1419" s="212"/>
      <c r="J1419" s="184"/>
      <c r="K1419" s="221"/>
      <c r="L1419" s="184"/>
      <c r="M1419" s="219"/>
      <c r="N1419" s="183"/>
      <c r="O1419" s="226"/>
      <c r="P1419" s="207"/>
      <c r="Q1419" s="569"/>
    </row>
    <row r="1420" spans="1:17" ht="15.75" hidden="1" customHeight="1" outlineLevel="3">
      <c r="A1420" s="274"/>
      <c r="B1420" s="143"/>
      <c r="C1420" s="162" t="s">
        <v>266</v>
      </c>
      <c r="D1420" s="160"/>
      <c r="E1420" s="153"/>
      <c r="F1420" s="153"/>
      <c r="G1420" s="153"/>
      <c r="H1420" s="206"/>
      <c r="I1420" s="212"/>
      <c r="J1420" s="184"/>
      <c r="K1420" s="221"/>
      <c r="L1420" s="184"/>
      <c r="M1420" s="219"/>
      <c r="N1420" s="159"/>
      <c r="O1420" s="226"/>
      <c r="P1420" s="207"/>
      <c r="Q1420" s="568"/>
    </row>
    <row r="1421" spans="1:17" s="211" customFormat="1" ht="15.75" hidden="1" customHeight="1" outlineLevel="3">
      <c r="A1421" s="551"/>
      <c r="B1421" s="159"/>
      <c r="C1421" s="159" t="s">
        <v>475</v>
      </c>
      <c r="D1421" s="180"/>
      <c r="E1421" s="148"/>
      <c r="F1421" s="148"/>
      <c r="G1421" s="148"/>
      <c r="H1421" s="198"/>
      <c r="I1421" s="146"/>
      <c r="J1421" s="147"/>
      <c r="K1421" s="221"/>
      <c r="L1421" s="147"/>
      <c r="M1421" s="219"/>
      <c r="N1421" s="149">
        <v>350000</v>
      </c>
      <c r="O1421" s="226">
        <f>N1421*1.73</f>
        <v>605500</v>
      </c>
      <c r="P1421" s="150">
        <f t="shared" ref="P1421:P1422" si="102">SUM(I1421,K1421,M1421,O1421)</f>
        <v>605500</v>
      </c>
      <c r="Q1421" s="569"/>
    </row>
    <row r="1422" spans="1:17" s="211" customFormat="1" ht="15.75" hidden="1" customHeight="1" outlineLevel="2" collapsed="1">
      <c r="A1422" s="551"/>
      <c r="B1422" s="159"/>
      <c r="C1422" s="142" t="s">
        <v>481</v>
      </c>
      <c r="D1422" s="180"/>
      <c r="E1422" s="148"/>
      <c r="F1422" s="148"/>
      <c r="G1422" s="148"/>
      <c r="H1422" s="198"/>
      <c r="I1422" s="146"/>
      <c r="J1422" s="147"/>
      <c r="K1422" s="217"/>
      <c r="L1422" s="147"/>
      <c r="M1422" s="219"/>
      <c r="N1422" s="149">
        <f>SUM(N1421)</f>
        <v>350000</v>
      </c>
      <c r="O1422" s="226">
        <f>N1422*1.73</f>
        <v>605500</v>
      </c>
      <c r="P1422" s="150">
        <f t="shared" si="102"/>
        <v>605500</v>
      </c>
      <c r="Q1422" s="569" t="s">
        <v>1301</v>
      </c>
    </row>
    <row r="1423" spans="1:17" s="211" customFormat="1" ht="15.75" hidden="1" customHeight="1" outlineLevel="3">
      <c r="A1423" s="551"/>
      <c r="B1423" s="142" t="s">
        <v>482</v>
      </c>
      <c r="C1423" s="159"/>
      <c r="D1423" s="180"/>
      <c r="E1423" s="148"/>
      <c r="F1423" s="148"/>
      <c r="G1423" s="148"/>
      <c r="H1423" s="198"/>
      <c r="I1423" s="146"/>
      <c r="J1423" s="147"/>
      <c r="K1423" s="217"/>
      <c r="L1423" s="147"/>
      <c r="M1423" s="219"/>
      <c r="N1423" s="149"/>
      <c r="O1423" s="226"/>
      <c r="P1423" s="150"/>
      <c r="Q1423" s="569"/>
    </row>
    <row r="1424" spans="1:17" ht="15.75" hidden="1" customHeight="1" outlineLevel="3">
      <c r="A1424" s="274"/>
      <c r="B1424" s="143"/>
      <c r="C1424" s="142" t="s">
        <v>380</v>
      </c>
      <c r="D1424" s="160"/>
      <c r="E1424" s="153"/>
      <c r="F1424" s="153"/>
      <c r="G1424" s="153"/>
      <c r="H1424" s="206"/>
      <c r="I1424" s="212"/>
      <c r="J1424" s="184"/>
      <c r="K1424" s="217"/>
      <c r="L1424" s="184"/>
      <c r="M1424" s="219"/>
      <c r="N1424" s="183"/>
      <c r="O1424" s="226"/>
      <c r="P1424" s="207"/>
      <c r="Q1424" s="569"/>
    </row>
    <row r="1425" spans="1:17" ht="15.75" hidden="1" customHeight="1" outlineLevel="3">
      <c r="A1425" s="274"/>
      <c r="B1425" s="143"/>
      <c r="C1425" s="213" t="s">
        <v>396</v>
      </c>
      <c r="D1425" s="160"/>
      <c r="E1425" s="153"/>
      <c r="F1425" s="153"/>
      <c r="G1425" s="153"/>
      <c r="H1425" s="206"/>
      <c r="I1425" s="212"/>
      <c r="J1425" s="184"/>
      <c r="K1425" s="217"/>
      <c r="L1425" s="184"/>
      <c r="M1425" s="219"/>
      <c r="N1425" s="183"/>
      <c r="O1425" s="226"/>
      <c r="P1425" s="207"/>
      <c r="Q1425" s="569"/>
    </row>
    <row r="1426" spans="1:17" ht="15.75" hidden="1" customHeight="1" outlineLevel="3">
      <c r="A1426" s="274"/>
      <c r="B1426" s="143"/>
      <c r="C1426" s="213" t="s">
        <v>357</v>
      </c>
      <c r="D1426" s="160"/>
      <c r="E1426" s="153"/>
      <c r="F1426" s="153"/>
      <c r="G1426" s="153"/>
      <c r="H1426" s="206"/>
      <c r="I1426" s="212"/>
      <c r="J1426" s="184"/>
      <c r="K1426" s="217"/>
      <c r="L1426" s="184"/>
      <c r="M1426" s="219"/>
      <c r="N1426" s="183"/>
      <c r="O1426" s="226"/>
      <c r="P1426" s="207"/>
      <c r="Q1426" s="569"/>
    </row>
    <row r="1427" spans="1:17" ht="15.75" hidden="1" customHeight="1" outlineLevel="3">
      <c r="A1427" s="274"/>
      <c r="B1427" s="143"/>
      <c r="C1427" s="213" t="s">
        <v>358</v>
      </c>
      <c r="D1427" s="160"/>
      <c r="E1427" s="153"/>
      <c r="F1427" s="153"/>
      <c r="G1427" s="153"/>
      <c r="H1427" s="206"/>
      <c r="I1427" s="203"/>
      <c r="J1427" s="186"/>
      <c r="K1427" s="217"/>
      <c r="L1427" s="184"/>
      <c r="M1427" s="219"/>
      <c r="N1427" s="183"/>
      <c r="O1427" s="226"/>
      <c r="P1427" s="207"/>
      <c r="Q1427" s="569"/>
    </row>
    <row r="1428" spans="1:17" ht="15.75" hidden="1" customHeight="1" outlineLevel="3">
      <c r="A1428" s="274"/>
      <c r="B1428" s="143"/>
      <c r="C1428" s="213" t="s">
        <v>359</v>
      </c>
      <c r="D1428" s="160"/>
      <c r="E1428" s="153"/>
      <c r="F1428" s="153"/>
      <c r="G1428" s="153"/>
      <c r="H1428" s="206"/>
      <c r="I1428" s="212"/>
      <c r="J1428" s="184"/>
      <c r="K1428" s="217"/>
      <c r="L1428" s="184"/>
      <c r="M1428" s="219"/>
      <c r="N1428" s="183"/>
      <c r="O1428" s="226"/>
      <c r="P1428" s="207"/>
      <c r="Q1428" s="569"/>
    </row>
    <row r="1429" spans="1:17" ht="15.75" hidden="1" customHeight="1" outlineLevel="3">
      <c r="A1429" s="274"/>
      <c r="B1429" s="143"/>
      <c r="C1429" s="213" t="s">
        <v>388</v>
      </c>
      <c r="D1429" s="160"/>
      <c r="E1429" s="153"/>
      <c r="F1429" s="153"/>
      <c r="G1429" s="153"/>
      <c r="H1429" s="206"/>
      <c r="I1429" s="212"/>
      <c r="J1429" s="184"/>
      <c r="K1429" s="217"/>
      <c r="L1429" s="184"/>
      <c r="M1429" s="219"/>
      <c r="N1429" s="183"/>
      <c r="O1429" s="226"/>
      <c r="P1429" s="207"/>
      <c r="Q1429" s="569"/>
    </row>
    <row r="1430" spans="1:17" ht="15.75" hidden="1" customHeight="1" outlineLevel="3">
      <c r="A1430" s="274"/>
      <c r="B1430" s="143"/>
      <c r="C1430" s="142" t="s">
        <v>381</v>
      </c>
      <c r="D1430" s="160"/>
      <c r="E1430" s="153"/>
      <c r="F1430" s="153"/>
      <c r="G1430" s="153"/>
      <c r="H1430" s="206"/>
      <c r="I1430" s="212"/>
      <c r="J1430" s="184"/>
      <c r="K1430" s="217"/>
      <c r="L1430" s="184"/>
      <c r="M1430" s="219"/>
      <c r="N1430" s="183"/>
      <c r="O1430" s="226"/>
      <c r="P1430" s="207"/>
      <c r="Q1430" s="569"/>
    </row>
    <row r="1431" spans="1:17" ht="15.75" hidden="1" customHeight="1" outlineLevel="3">
      <c r="A1431" s="274"/>
      <c r="B1431" s="143"/>
      <c r="C1431" s="213" t="s">
        <v>362</v>
      </c>
      <c r="D1431" s="160"/>
      <c r="E1431" s="153"/>
      <c r="F1431" s="153"/>
      <c r="G1431" s="153"/>
      <c r="H1431" s="206"/>
      <c r="I1431" s="212"/>
      <c r="J1431" s="184"/>
      <c r="K1431" s="217"/>
      <c r="L1431" s="184"/>
      <c r="M1431" s="219"/>
      <c r="N1431" s="183"/>
      <c r="O1431" s="226"/>
      <c r="P1431" s="207"/>
      <c r="Q1431" s="569"/>
    </row>
    <row r="1432" spans="1:17" ht="15.75" hidden="1" customHeight="1" outlineLevel="3">
      <c r="A1432" s="274"/>
      <c r="B1432" s="143"/>
      <c r="C1432" s="213" t="s">
        <v>363</v>
      </c>
      <c r="D1432" s="160"/>
      <c r="E1432" s="153"/>
      <c r="F1432" s="153"/>
      <c r="G1432" s="153"/>
      <c r="H1432" s="206"/>
      <c r="I1432" s="212"/>
      <c r="J1432" s="184"/>
      <c r="K1432" s="217"/>
      <c r="L1432" s="184"/>
      <c r="M1432" s="219"/>
      <c r="N1432" s="183"/>
      <c r="O1432" s="226"/>
      <c r="P1432" s="207"/>
      <c r="Q1432" s="569"/>
    </row>
    <row r="1433" spans="1:17" ht="15.75" hidden="1" customHeight="1" outlineLevel="3">
      <c r="A1433" s="274"/>
      <c r="B1433" s="143"/>
      <c r="C1433" s="213" t="s">
        <v>358</v>
      </c>
      <c r="D1433" s="160"/>
      <c r="E1433" s="153"/>
      <c r="F1433" s="153"/>
      <c r="G1433" s="153"/>
      <c r="H1433" s="206"/>
      <c r="I1433" s="212"/>
      <c r="J1433" s="184"/>
      <c r="K1433" s="217"/>
      <c r="L1433" s="184"/>
      <c r="M1433" s="219"/>
      <c r="N1433" s="183"/>
      <c r="O1433" s="226"/>
      <c r="P1433" s="207"/>
      <c r="Q1433" s="569"/>
    </row>
    <row r="1434" spans="1:17" ht="15.75" hidden="1" customHeight="1" outlineLevel="3">
      <c r="A1434" s="274"/>
      <c r="B1434" s="143"/>
      <c r="C1434" s="213" t="s">
        <v>364</v>
      </c>
      <c r="D1434" s="160"/>
      <c r="E1434" s="153"/>
      <c r="F1434" s="153"/>
      <c r="G1434" s="153"/>
      <c r="H1434" s="206"/>
      <c r="I1434" s="212"/>
      <c r="J1434" s="184"/>
      <c r="K1434" s="217"/>
      <c r="L1434" s="184"/>
      <c r="M1434" s="219"/>
      <c r="N1434" s="183"/>
      <c r="O1434" s="226"/>
      <c r="P1434" s="207"/>
      <c r="Q1434" s="569"/>
    </row>
    <row r="1435" spans="1:17" ht="15.75" hidden="1" customHeight="1" outlineLevel="3">
      <c r="A1435" s="274"/>
      <c r="B1435" s="143"/>
      <c r="C1435" s="142" t="s">
        <v>382</v>
      </c>
      <c r="D1435" s="160"/>
      <c r="E1435" s="153"/>
      <c r="F1435" s="153"/>
      <c r="G1435" s="153"/>
      <c r="H1435" s="206"/>
      <c r="I1435" s="212"/>
      <c r="J1435" s="184"/>
      <c r="K1435" s="217"/>
      <c r="L1435" s="184"/>
      <c r="M1435" s="219"/>
      <c r="N1435" s="183"/>
      <c r="O1435" s="226"/>
      <c r="P1435" s="207"/>
      <c r="Q1435" s="569"/>
    </row>
    <row r="1436" spans="1:17" ht="15.75" hidden="1" customHeight="1" outlineLevel="3">
      <c r="A1436" s="274"/>
      <c r="B1436" s="143"/>
      <c r="C1436" s="213" t="s">
        <v>366</v>
      </c>
      <c r="D1436" s="160"/>
      <c r="E1436" s="153"/>
      <c r="F1436" s="153"/>
      <c r="G1436" s="153"/>
      <c r="H1436" s="206"/>
      <c r="I1436" s="212"/>
      <c r="J1436" s="184"/>
      <c r="K1436" s="217"/>
      <c r="L1436" s="184"/>
      <c r="M1436" s="219"/>
      <c r="N1436" s="183"/>
      <c r="O1436" s="226"/>
      <c r="P1436" s="207"/>
      <c r="Q1436" s="569"/>
    </row>
    <row r="1437" spans="1:17" ht="15.75" hidden="1" customHeight="1" outlineLevel="3">
      <c r="A1437" s="274"/>
      <c r="B1437" s="143"/>
      <c r="C1437" s="213" t="s">
        <v>358</v>
      </c>
      <c r="D1437" s="160"/>
      <c r="E1437" s="153"/>
      <c r="F1437" s="153"/>
      <c r="G1437" s="153"/>
      <c r="H1437" s="206"/>
      <c r="I1437" s="212"/>
      <c r="J1437" s="184"/>
      <c r="K1437" s="217"/>
      <c r="L1437" s="184"/>
      <c r="M1437" s="219"/>
      <c r="N1437" s="183"/>
      <c r="O1437" s="226"/>
      <c r="P1437" s="207"/>
      <c r="Q1437" s="569"/>
    </row>
    <row r="1438" spans="1:17" ht="15.75" hidden="1" customHeight="1" outlineLevel="3">
      <c r="A1438" s="274"/>
      <c r="B1438" s="143"/>
      <c r="C1438" s="213" t="s">
        <v>367</v>
      </c>
      <c r="D1438" s="160"/>
      <c r="E1438" s="153"/>
      <c r="F1438" s="153"/>
      <c r="G1438" s="153"/>
      <c r="H1438" s="206"/>
      <c r="I1438" s="212"/>
      <c r="J1438" s="184"/>
      <c r="K1438" s="217"/>
      <c r="L1438" s="184"/>
      <c r="M1438" s="219"/>
      <c r="N1438" s="183"/>
      <c r="O1438" s="226"/>
      <c r="P1438" s="207"/>
      <c r="Q1438" s="569"/>
    </row>
    <row r="1439" spans="1:17" ht="15.75" hidden="1" customHeight="1" outlineLevel="3">
      <c r="A1439" s="274"/>
      <c r="B1439" s="143"/>
      <c r="C1439" s="213" t="s">
        <v>368</v>
      </c>
      <c r="D1439" s="160"/>
      <c r="E1439" s="153"/>
      <c r="F1439" s="153"/>
      <c r="G1439" s="153"/>
      <c r="H1439" s="206"/>
      <c r="I1439" s="212"/>
      <c r="J1439" s="184"/>
      <c r="K1439" s="217"/>
      <c r="L1439" s="184"/>
      <c r="M1439" s="219"/>
      <c r="N1439" s="183"/>
      <c r="O1439" s="226"/>
      <c r="P1439" s="207"/>
      <c r="Q1439" s="569"/>
    </row>
    <row r="1440" spans="1:17" ht="15.75" hidden="1" customHeight="1" outlineLevel="3">
      <c r="A1440" s="274"/>
      <c r="B1440" s="143"/>
      <c r="C1440" s="142" t="s">
        <v>383</v>
      </c>
      <c r="D1440" s="160"/>
      <c r="E1440" s="153"/>
      <c r="F1440" s="153"/>
      <c r="G1440" s="153"/>
      <c r="H1440" s="206"/>
      <c r="I1440" s="212"/>
      <c r="J1440" s="184"/>
      <c r="K1440" s="217"/>
      <c r="L1440" s="184"/>
      <c r="M1440" s="219"/>
      <c r="N1440" s="183"/>
      <c r="O1440" s="226"/>
      <c r="P1440" s="207"/>
      <c r="Q1440" s="569"/>
    </row>
    <row r="1441" spans="1:17" ht="15.75" hidden="1" customHeight="1" outlineLevel="3">
      <c r="A1441" s="274"/>
      <c r="B1441" s="143"/>
      <c r="C1441" s="213" t="s">
        <v>370</v>
      </c>
      <c r="D1441" s="160"/>
      <c r="E1441" s="153"/>
      <c r="F1441" s="153"/>
      <c r="G1441" s="153"/>
      <c r="H1441" s="206"/>
      <c r="I1441" s="212"/>
      <c r="J1441" s="184"/>
      <c r="K1441" s="217"/>
      <c r="L1441" s="184"/>
      <c r="M1441" s="219"/>
      <c r="N1441" s="183"/>
      <c r="O1441" s="226"/>
      <c r="P1441" s="207"/>
      <c r="Q1441" s="569"/>
    </row>
    <row r="1442" spans="1:17" ht="15.75" hidden="1" customHeight="1" outlineLevel="3">
      <c r="A1442" s="274"/>
      <c r="B1442" s="143"/>
      <c r="C1442" s="213" t="s">
        <v>371</v>
      </c>
      <c r="D1442" s="160"/>
      <c r="E1442" s="153"/>
      <c r="F1442" s="153"/>
      <c r="G1442" s="153"/>
      <c r="H1442" s="206"/>
      <c r="I1442" s="212"/>
      <c r="J1442" s="184"/>
      <c r="K1442" s="217"/>
      <c r="L1442" s="184"/>
      <c r="M1442" s="219"/>
      <c r="N1442" s="183"/>
      <c r="O1442" s="226"/>
      <c r="P1442" s="207"/>
      <c r="Q1442" s="569"/>
    </row>
    <row r="1443" spans="1:17" ht="15.75" hidden="1" customHeight="1" outlineLevel="3">
      <c r="A1443" s="274"/>
      <c r="B1443" s="143"/>
      <c r="C1443" s="213" t="s">
        <v>372</v>
      </c>
      <c r="D1443" s="160"/>
      <c r="E1443" s="153"/>
      <c r="F1443" s="153"/>
      <c r="G1443" s="153"/>
      <c r="H1443" s="206"/>
      <c r="I1443" s="212"/>
      <c r="J1443" s="184"/>
      <c r="K1443" s="217"/>
      <c r="L1443" s="184"/>
      <c r="M1443" s="219"/>
      <c r="N1443" s="183"/>
      <c r="O1443" s="226"/>
      <c r="P1443" s="207"/>
      <c r="Q1443" s="569"/>
    </row>
    <row r="1444" spans="1:17" ht="15.75" hidden="1" customHeight="1" outlineLevel="3">
      <c r="A1444" s="274"/>
      <c r="B1444" s="143"/>
      <c r="C1444" s="213" t="s">
        <v>373</v>
      </c>
      <c r="D1444" s="160"/>
      <c r="E1444" s="153"/>
      <c r="F1444" s="153"/>
      <c r="G1444" s="153"/>
      <c r="H1444" s="206"/>
      <c r="I1444" s="212"/>
      <c r="J1444" s="184"/>
      <c r="K1444" s="217"/>
      <c r="L1444" s="184"/>
      <c r="M1444" s="219"/>
      <c r="N1444" s="183"/>
      <c r="O1444" s="226"/>
      <c r="P1444" s="207"/>
      <c r="Q1444" s="568"/>
    </row>
    <row r="1445" spans="1:17" ht="15.75" hidden="1" customHeight="1" outlineLevel="3">
      <c r="A1445" s="274"/>
      <c r="B1445" s="143"/>
      <c r="C1445" s="142" t="s">
        <v>384</v>
      </c>
      <c r="D1445" s="160"/>
      <c r="E1445" s="153"/>
      <c r="F1445" s="153"/>
      <c r="G1445" s="153"/>
      <c r="H1445" s="206"/>
      <c r="I1445" s="212"/>
      <c r="J1445" s="184"/>
      <c r="K1445" s="217"/>
      <c r="L1445" s="184"/>
      <c r="M1445" s="219"/>
      <c r="N1445" s="183"/>
      <c r="O1445" s="226"/>
      <c r="P1445" s="207"/>
      <c r="Q1445" s="569"/>
    </row>
    <row r="1446" spans="1:17" ht="15.75" hidden="1" customHeight="1" outlineLevel="3">
      <c r="A1446" s="274"/>
      <c r="B1446" s="143"/>
      <c r="C1446" s="162" t="s">
        <v>375</v>
      </c>
      <c r="D1446" s="160"/>
      <c r="E1446" s="153"/>
      <c r="F1446" s="153"/>
      <c r="G1446" s="153"/>
      <c r="H1446" s="206"/>
      <c r="I1446" s="212"/>
      <c r="J1446" s="184"/>
      <c r="K1446" s="217"/>
      <c r="L1446" s="184"/>
      <c r="M1446" s="219"/>
      <c r="N1446" s="183"/>
      <c r="O1446" s="226"/>
      <c r="P1446" s="207"/>
      <c r="Q1446" s="569"/>
    </row>
    <row r="1447" spans="1:17" ht="15.75" hidden="1" customHeight="1" outlineLevel="3">
      <c r="A1447" s="274"/>
      <c r="B1447" s="143"/>
      <c r="C1447" s="162" t="s">
        <v>376</v>
      </c>
      <c r="D1447" s="160"/>
      <c r="E1447" s="153"/>
      <c r="F1447" s="153"/>
      <c r="G1447" s="153"/>
      <c r="H1447" s="206"/>
      <c r="I1447" s="212"/>
      <c r="J1447" s="184"/>
      <c r="K1447" s="217"/>
      <c r="L1447" s="184"/>
      <c r="M1447" s="219"/>
      <c r="N1447" s="183"/>
      <c r="O1447" s="226"/>
      <c r="P1447" s="207"/>
      <c r="Q1447" s="569"/>
    </row>
    <row r="1448" spans="1:17" ht="15.75" hidden="1" customHeight="1" outlineLevel="3">
      <c r="A1448" s="274"/>
      <c r="B1448" s="143"/>
      <c r="C1448" s="162" t="s">
        <v>377</v>
      </c>
      <c r="D1448" s="160"/>
      <c r="E1448" s="153"/>
      <c r="F1448" s="153"/>
      <c r="G1448" s="153"/>
      <c r="H1448" s="206"/>
      <c r="I1448" s="212"/>
      <c r="J1448" s="184"/>
      <c r="K1448" s="217"/>
      <c r="L1448" s="184"/>
      <c r="M1448" s="219"/>
      <c r="N1448" s="183"/>
      <c r="O1448" s="226"/>
      <c r="P1448" s="207"/>
      <c r="Q1448" s="569"/>
    </row>
    <row r="1449" spans="1:17" ht="15.75" hidden="1" customHeight="1" outlineLevel="3">
      <c r="A1449" s="274"/>
      <c r="B1449" s="143"/>
      <c r="C1449" s="162" t="s">
        <v>266</v>
      </c>
      <c r="D1449" s="160"/>
      <c r="E1449" s="153"/>
      <c r="F1449" s="153"/>
      <c r="G1449" s="153"/>
      <c r="H1449" s="206"/>
      <c r="I1449" s="212"/>
      <c r="J1449" s="184"/>
      <c r="K1449" s="217"/>
      <c r="L1449" s="184"/>
      <c r="M1449" s="219"/>
      <c r="N1449" s="159"/>
      <c r="O1449" s="226"/>
      <c r="P1449" s="207"/>
      <c r="Q1449" s="568"/>
    </row>
    <row r="1450" spans="1:17" s="211" customFormat="1" ht="15.75" hidden="1" customHeight="1" outlineLevel="2" collapsed="1">
      <c r="A1450" s="551"/>
      <c r="B1450" s="159"/>
      <c r="C1450" s="142" t="s">
        <v>482</v>
      </c>
      <c r="D1450" s="180"/>
      <c r="E1450" s="148"/>
      <c r="F1450" s="148"/>
      <c r="G1450" s="148"/>
      <c r="H1450" s="198"/>
      <c r="I1450" s="146"/>
      <c r="J1450" s="147"/>
      <c r="K1450" s="217"/>
      <c r="L1450" s="147"/>
      <c r="M1450" s="219"/>
      <c r="N1450" s="149"/>
      <c r="O1450" s="226"/>
      <c r="P1450" s="150"/>
      <c r="Q1450" s="569"/>
    </row>
    <row r="1451" spans="1:17" ht="15.75" hidden="1" customHeight="1" outlineLevel="1" collapsed="1">
      <c r="A1451" s="550"/>
      <c r="B1451" s="152"/>
      <c r="C1451" s="432" t="s">
        <v>483</v>
      </c>
      <c r="D1451" s="220">
        <f>SUM(D1309,D1224,D1422,D1253,D1365,D1393,D1281,D1337,D1450)</f>
        <v>610000</v>
      </c>
      <c r="E1451" s="217">
        <f>SUM(E1309,E1224,E1422,E1253,E1365,E1393,E1281,E1337,E1450)</f>
        <v>77625</v>
      </c>
      <c r="F1451" s="217"/>
      <c r="G1451" s="217">
        <f>SUM(G1309,G1224,G1422,G1253,G1365,G1393,G1281,G1337,G1450)</f>
        <v>443487.14999999991</v>
      </c>
      <c r="H1451" s="226">
        <f>SUM(H1224,H1253,H1281,H1309,H1337,H1365,H1393,H1422,H1450)</f>
        <v>459009.20024999988</v>
      </c>
      <c r="I1451" s="150">
        <f>SUM(I1309,I1224,I1422,I1253,I1365,I1393,I1281,I1337,I1450)</f>
        <v>1590121.3502499997</v>
      </c>
      <c r="J1451" s="147">
        <f>SUM(J1309,J1224,J1422,J1253,J1365,J1393,J1281,J1337,J1450)</f>
        <v>2336000</v>
      </c>
      <c r="K1451" s="221">
        <f>J1451*1.23</f>
        <v>2873280</v>
      </c>
      <c r="L1451" s="147">
        <f>SUM(L1309,L1224,L1422,L1253,L1365,L1393,L1281,L1337,L1450)</f>
        <v>666000</v>
      </c>
      <c r="M1451" s="219">
        <f>L1451*1.46</f>
        <v>972360</v>
      </c>
      <c r="N1451" s="149">
        <f>SUM(N1309,N1224,N1422,N1253,N1365,N1393,N1281,N1337,N1450)</f>
        <v>1060000</v>
      </c>
      <c r="O1451" s="226">
        <f>N1451*1.73</f>
        <v>1833800</v>
      </c>
      <c r="P1451" s="150">
        <f t="shared" ref="P1451" si="103">SUM(I1451,K1451,M1451,O1451)</f>
        <v>7269561.3502500001</v>
      </c>
      <c r="Q1451" s="569"/>
    </row>
    <row r="1452" spans="1:17" ht="15.75" hidden="1" customHeight="1" outlineLevel="2">
      <c r="A1452" s="550"/>
      <c r="B1452" s="142" t="s">
        <v>433</v>
      </c>
      <c r="C1452" s="152"/>
      <c r="D1452" s="160"/>
      <c r="E1452" s="153"/>
      <c r="F1452" s="153"/>
      <c r="G1452" s="153"/>
      <c r="H1452" s="206"/>
      <c r="I1452" s="146"/>
      <c r="J1452" s="147"/>
      <c r="K1452" s="221"/>
      <c r="L1452" s="147"/>
      <c r="M1452" s="219"/>
      <c r="N1452" s="149"/>
      <c r="O1452" s="226"/>
      <c r="P1452" s="150"/>
      <c r="Q1452" s="568"/>
    </row>
    <row r="1453" spans="1:17" s="211" customFormat="1" ht="15.75" hidden="1" customHeight="1" outlineLevel="3">
      <c r="A1453" s="551"/>
      <c r="B1453" s="142" t="s">
        <v>434</v>
      </c>
      <c r="C1453" s="159"/>
      <c r="D1453" s="180"/>
      <c r="E1453" s="148"/>
      <c r="F1453" s="148"/>
      <c r="G1453" s="148"/>
      <c r="H1453" s="198"/>
      <c r="I1453" s="146"/>
      <c r="J1453" s="147"/>
      <c r="K1453" s="221"/>
      <c r="L1453" s="147"/>
      <c r="M1453" s="219"/>
      <c r="N1453" s="149"/>
      <c r="O1453" s="226"/>
      <c r="P1453" s="150" t="s">
        <v>390</v>
      </c>
      <c r="Q1453" s="568"/>
    </row>
    <row r="1454" spans="1:17" ht="15.75" hidden="1" customHeight="1" outlineLevel="3">
      <c r="A1454" s="274"/>
      <c r="B1454" s="143"/>
      <c r="C1454" s="142" t="s">
        <v>380</v>
      </c>
      <c r="D1454" s="160"/>
      <c r="E1454" s="153"/>
      <c r="F1454" s="153"/>
      <c r="G1454" s="153"/>
      <c r="H1454" s="206"/>
      <c r="I1454" s="212"/>
      <c r="J1454" s="184"/>
      <c r="K1454" s="221"/>
      <c r="L1454" s="184"/>
      <c r="M1454" s="219"/>
      <c r="N1454" s="183"/>
      <c r="O1454" s="226"/>
      <c r="P1454" s="207"/>
      <c r="Q1454" s="569"/>
    </row>
    <row r="1455" spans="1:17" ht="15.75" hidden="1" customHeight="1" outlineLevel="3">
      <c r="A1455" s="274"/>
      <c r="B1455" s="143"/>
      <c r="C1455" s="213" t="s">
        <v>396</v>
      </c>
      <c r="D1455" s="160"/>
      <c r="E1455" s="153"/>
      <c r="F1455" s="153"/>
      <c r="G1455" s="153"/>
      <c r="H1455" s="206"/>
      <c r="I1455" s="212"/>
      <c r="J1455" s="184"/>
      <c r="K1455" s="221"/>
      <c r="L1455" s="184"/>
      <c r="M1455" s="219"/>
      <c r="N1455" s="183"/>
      <c r="O1455" s="226"/>
      <c r="P1455" s="207"/>
      <c r="Q1455" s="569"/>
    </row>
    <row r="1456" spans="1:17" ht="15.75" hidden="1" customHeight="1" outlineLevel="3">
      <c r="A1456" s="274"/>
      <c r="B1456" s="143"/>
      <c r="C1456" s="213" t="s">
        <v>357</v>
      </c>
      <c r="D1456" s="160"/>
      <c r="E1456" s="153"/>
      <c r="F1456" s="153"/>
      <c r="G1456" s="153"/>
      <c r="H1456" s="206"/>
      <c r="I1456" s="212"/>
      <c r="J1456" s="184"/>
      <c r="K1456" s="221"/>
      <c r="L1456" s="184"/>
      <c r="M1456" s="219"/>
      <c r="N1456" s="183"/>
      <c r="O1456" s="226"/>
      <c r="P1456" s="207"/>
      <c r="Q1456" s="569"/>
    </row>
    <row r="1457" spans="1:17" ht="15.75" hidden="1" customHeight="1" outlineLevel="3">
      <c r="A1457" s="274"/>
      <c r="B1457" s="143"/>
      <c r="C1457" s="213" t="s">
        <v>358</v>
      </c>
      <c r="D1457" s="160"/>
      <c r="E1457" s="153"/>
      <c r="F1457" s="153"/>
      <c r="G1457" s="153"/>
      <c r="H1457" s="206"/>
      <c r="I1457" s="203"/>
      <c r="J1457" s="186"/>
      <c r="K1457" s="221"/>
      <c r="L1457" s="184"/>
      <c r="M1457" s="219"/>
      <c r="N1457" s="183"/>
      <c r="O1457" s="226"/>
      <c r="P1457" s="207"/>
      <c r="Q1457" s="569"/>
    </row>
    <row r="1458" spans="1:17" ht="15.75" hidden="1" customHeight="1" outlineLevel="3">
      <c r="A1458" s="274"/>
      <c r="B1458" s="143"/>
      <c r="C1458" s="213" t="s">
        <v>359</v>
      </c>
      <c r="D1458" s="160"/>
      <c r="E1458" s="153"/>
      <c r="F1458" s="153"/>
      <c r="G1458" s="153"/>
      <c r="H1458" s="206"/>
      <c r="I1458" s="212"/>
      <c r="J1458" s="184"/>
      <c r="K1458" s="221"/>
      <c r="L1458" s="184"/>
      <c r="M1458" s="219"/>
      <c r="N1458" s="183"/>
      <c r="O1458" s="226"/>
      <c r="P1458" s="207"/>
      <c r="Q1458" s="569"/>
    </row>
    <row r="1459" spans="1:17" ht="15.75" hidden="1" customHeight="1" outlineLevel="3">
      <c r="A1459" s="274"/>
      <c r="B1459" s="143"/>
      <c r="C1459" s="213" t="s">
        <v>388</v>
      </c>
      <c r="D1459" s="160"/>
      <c r="E1459" s="153"/>
      <c r="F1459" s="153"/>
      <c r="G1459" s="153"/>
      <c r="H1459" s="206"/>
      <c r="I1459" s="212"/>
      <c r="J1459" s="184"/>
      <c r="K1459" s="221"/>
      <c r="L1459" s="184"/>
      <c r="M1459" s="219"/>
      <c r="N1459" s="183"/>
      <c r="O1459" s="226"/>
      <c r="P1459" s="207"/>
      <c r="Q1459" s="569"/>
    </row>
    <row r="1460" spans="1:17" ht="15.75" hidden="1" customHeight="1" outlineLevel="3">
      <c r="A1460" s="274"/>
      <c r="B1460" s="143"/>
      <c r="C1460" s="142" t="s">
        <v>381</v>
      </c>
      <c r="D1460" s="160"/>
      <c r="E1460" s="153"/>
      <c r="F1460" s="153"/>
      <c r="G1460" s="153"/>
      <c r="H1460" s="206"/>
      <c r="I1460" s="212"/>
      <c r="J1460" s="184"/>
      <c r="K1460" s="221"/>
      <c r="L1460" s="184"/>
      <c r="M1460" s="219"/>
      <c r="N1460" s="183"/>
      <c r="O1460" s="226"/>
      <c r="P1460" s="207"/>
      <c r="Q1460" s="569"/>
    </row>
    <row r="1461" spans="1:17" ht="15.75" hidden="1" customHeight="1" outlineLevel="3">
      <c r="A1461" s="274"/>
      <c r="B1461" s="143"/>
      <c r="C1461" s="213" t="s">
        <v>362</v>
      </c>
      <c r="D1461" s="160"/>
      <c r="E1461" s="153"/>
      <c r="F1461" s="153"/>
      <c r="G1461" s="153"/>
      <c r="H1461" s="206"/>
      <c r="I1461" s="212"/>
      <c r="J1461" s="184"/>
      <c r="K1461" s="221"/>
      <c r="L1461" s="184"/>
      <c r="M1461" s="219"/>
      <c r="N1461" s="183"/>
      <c r="O1461" s="226"/>
      <c r="P1461" s="207"/>
      <c r="Q1461" s="569"/>
    </row>
    <row r="1462" spans="1:17" ht="15.75" hidden="1" customHeight="1" outlineLevel="3">
      <c r="A1462" s="274"/>
      <c r="B1462" s="143"/>
      <c r="C1462" s="213" t="s">
        <v>363</v>
      </c>
      <c r="D1462" s="160"/>
      <c r="E1462" s="153"/>
      <c r="F1462" s="153"/>
      <c r="G1462" s="153"/>
      <c r="H1462" s="206"/>
      <c r="I1462" s="212"/>
      <c r="J1462" s="184" t="s">
        <v>390</v>
      </c>
      <c r="K1462" s="221"/>
      <c r="L1462" s="405"/>
      <c r="M1462" s="219"/>
      <c r="N1462" s="183"/>
      <c r="O1462" s="226"/>
      <c r="P1462" s="207" t="s">
        <v>390</v>
      </c>
      <c r="Q1462" s="569"/>
    </row>
    <row r="1463" spans="1:17" ht="15.75" hidden="1" customHeight="1" outlineLevel="3">
      <c r="A1463" s="274"/>
      <c r="B1463" s="143"/>
      <c r="C1463" s="213" t="s">
        <v>358</v>
      </c>
      <c r="D1463" s="160"/>
      <c r="E1463" s="153"/>
      <c r="F1463" s="153"/>
      <c r="G1463" s="153"/>
      <c r="H1463" s="206"/>
      <c r="I1463" s="212"/>
      <c r="J1463" s="184"/>
      <c r="K1463" s="221"/>
      <c r="L1463" s="184"/>
      <c r="M1463" s="219"/>
      <c r="N1463" s="183"/>
      <c r="O1463" s="226"/>
      <c r="P1463" s="207"/>
      <c r="Q1463" s="569"/>
    </row>
    <row r="1464" spans="1:17" ht="15.75" hidden="1" customHeight="1" outlineLevel="3">
      <c r="A1464" s="274"/>
      <c r="B1464" s="143"/>
      <c r="C1464" s="213" t="s">
        <v>364</v>
      </c>
      <c r="D1464" s="160"/>
      <c r="E1464" s="153"/>
      <c r="F1464" s="153"/>
      <c r="G1464" s="153"/>
      <c r="H1464" s="206"/>
      <c r="I1464" s="212"/>
      <c r="J1464" s="184"/>
      <c r="K1464" s="221"/>
      <c r="L1464" s="184"/>
      <c r="M1464" s="219"/>
      <c r="N1464" s="183"/>
      <c r="O1464" s="226"/>
      <c r="P1464" s="207"/>
      <c r="Q1464" s="569"/>
    </row>
    <row r="1465" spans="1:17" ht="15.75" hidden="1" customHeight="1" outlineLevel="3">
      <c r="A1465" s="274"/>
      <c r="B1465" s="143"/>
      <c r="C1465" s="142" t="s">
        <v>382</v>
      </c>
      <c r="D1465" s="160"/>
      <c r="E1465" s="153"/>
      <c r="F1465" s="153"/>
      <c r="G1465" s="153"/>
      <c r="H1465" s="206"/>
      <c r="I1465" s="212"/>
      <c r="J1465" s="184"/>
      <c r="K1465" s="221"/>
      <c r="L1465" s="184"/>
      <c r="M1465" s="219"/>
      <c r="N1465" s="183"/>
      <c r="O1465" s="226"/>
      <c r="P1465" s="207"/>
      <c r="Q1465" s="569"/>
    </row>
    <row r="1466" spans="1:17" ht="15.75" hidden="1" customHeight="1" outlineLevel="3">
      <c r="A1466" s="274"/>
      <c r="B1466" s="143"/>
      <c r="C1466" s="213" t="s">
        <v>366</v>
      </c>
      <c r="D1466" s="160"/>
      <c r="E1466" s="153"/>
      <c r="F1466" s="153"/>
      <c r="G1466" s="153"/>
      <c r="H1466" s="206"/>
      <c r="I1466" s="212"/>
      <c r="J1466" s="184"/>
      <c r="K1466" s="221"/>
      <c r="L1466" s="184"/>
      <c r="M1466" s="219"/>
      <c r="N1466" s="183"/>
      <c r="O1466" s="226"/>
      <c r="P1466" s="207"/>
      <c r="Q1466" s="569"/>
    </row>
    <row r="1467" spans="1:17" ht="15.75" hidden="1" customHeight="1" outlineLevel="3">
      <c r="A1467" s="274"/>
      <c r="B1467" s="143"/>
      <c r="C1467" s="213" t="s">
        <v>358</v>
      </c>
      <c r="D1467" s="160"/>
      <c r="E1467" s="153"/>
      <c r="F1467" s="153"/>
      <c r="G1467" s="153"/>
      <c r="H1467" s="206"/>
      <c r="I1467" s="212"/>
      <c r="J1467" s="184"/>
      <c r="K1467" s="221"/>
      <c r="L1467" s="184"/>
      <c r="M1467" s="219"/>
      <c r="N1467" s="183"/>
      <c r="O1467" s="226"/>
      <c r="P1467" s="207"/>
      <c r="Q1467" s="569"/>
    </row>
    <row r="1468" spans="1:17" ht="15.75" hidden="1" customHeight="1" outlineLevel="3">
      <c r="A1468" s="274"/>
      <c r="B1468" s="143"/>
      <c r="C1468" s="213" t="s">
        <v>367</v>
      </c>
      <c r="D1468" s="160"/>
      <c r="E1468" s="153"/>
      <c r="F1468" s="153"/>
      <c r="G1468" s="153"/>
      <c r="H1468" s="206"/>
      <c r="I1468" s="212"/>
      <c r="J1468" s="184"/>
      <c r="K1468" s="221"/>
      <c r="L1468" s="184"/>
      <c r="M1468" s="219"/>
      <c r="N1468" s="183"/>
      <c r="O1468" s="226"/>
      <c r="P1468" s="207"/>
      <c r="Q1468" s="569"/>
    </row>
    <row r="1469" spans="1:17" ht="15.75" hidden="1" customHeight="1" outlineLevel="3">
      <c r="A1469" s="274"/>
      <c r="B1469" s="143"/>
      <c r="C1469" s="213" t="s">
        <v>368</v>
      </c>
      <c r="D1469" s="160"/>
      <c r="E1469" s="153"/>
      <c r="F1469" s="153"/>
      <c r="G1469" s="153"/>
      <c r="H1469" s="206"/>
      <c r="I1469" s="156"/>
      <c r="J1469" s="184"/>
      <c r="K1469" s="221"/>
      <c r="L1469" s="184"/>
      <c r="M1469" s="219"/>
      <c r="N1469" s="183"/>
      <c r="O1469" s="226"/>
      <c r="P1469" s="150"/>
      <c r="Q1469" s="569"/>
    </row>
    <row r="1470" spans="1:17" ht="15.75" hidden="1" customHeight="1" outlineLevel="3">
      <c r="A1470" s="274"/>
      <c r="B1470" s="143"/>
      <c r="C1470" s="142" t="s">
        <v>383</v>
      </c>
      <c r="D1470" s="160"/>
      <c r="E1470" s="153"/>
      <c r="F1470" s="153"/>
      <c r="G1470" s="153"/>
      <c r="H1470" s="206"/>
      <c r="I1470" s="156"/>
      <c r="J1470" s="184"/>
      <c r="K1470" s="221"/>
      <c r="L1470" s="184"/>
      <c r="M1470" s="219"/>
      <c r="N1470" s="183"/>
      <c r="O1470" s="226"/>
      <c r="P1470" s="207"/>
      <c r="Q1470" s="569"/>
    </row>
    <row r="1471" spans="1:17" ht="15.75" hidden="1" customHeight="1" outlineLevel="3">
      <c r="A1471" s="274"/>
      <c r="B1471" s="143"/>
      <c r="C1471" s="213" t="s">
        <v>370</v>
      </c>
      <c r="D1471" s="160"/>
      <c r="E1471" s="153"/>
      <c r="F1471" s="153"/>
      <c r="G1471" s="153"/>
      <c r="H1471" s="206"/>
      <c r="I1471" s="156"/>
      <c r="J1471" s="184">
        <v>114500</v>
      </c>
      <c r="K1471" s="221">
        <f>J1471*1.23</f>
        <v>140835</v>
      </c>
      <c r="L1471" s="184"/>
      <c r="M1471" s="219"/>
      <c r="N1471" s="183"/>
      <c r="O1471" s="226"/>
      <c r="P1471" s="150">
        <f t="shared" ref="P1471:P1473" si="104">SUM(I1471,K1471,M1471,O1471)</f>
        <v>140835</v>
      </c>
      <c r="Q1471" s="569"/>
    </row>
    <row r="1472" spans="1:17" ht="15.75" hidden="1" customHeight="1" outlineLevel="3">
      <c r="A1472" s="274"/>
      <c r="B1472" s="143"/>
      <c r="C1472" s="213" t="s">
        <v>371</v>
      </c>
      <c r="D1472" s="160"/>
      <c r="E1472" s="153"/>
      <c r="F1472" s="185"/>
      <c r="G1472" s="153">
        <f>CIP!$AP$106</f>
        <v>240591.77887499993</v>
      </c>
      <c r="H1472" s="206"/>
      <c r="I1472" s="156">
        <f>SUM(D1472:H1472)</f>
        <v>240591.77887499993</v>
      </c>
      <c r="J1472" s="215"/>
      <c r="K1472" s="221"/>
      <c r="L1472" s="184"/>
      <c r="M1472" s="219"/>
      <c r="N1472" s="215"/>
      <c r="O1472" s="226"/>
      <c r="P1472" s="207">
        <f>SUM(I1472:O1472)</f>
        <v>240591.77887499993</v>
      </c>
      <c r="Q1472" s="569" t="s">
        <v>1305</v>
      </c>
    </row>
    <row r="1473" spans="1:17" ht="15.75" hidden="1" customHeight="1" outlineLevel="3">
      <c r="A1473" s="274"/>
      <c r="B1473" s="143"/>
      <c r="C1473" s="213" t="s">
        <v>372</v>
      </c>
      <c r="D1473" s="160"/>
      <c r="E1473" s="153"/>
      <c r="F1473" s="153"/>
      <c r="G1473" s="153"/>
      <c r="H1473" s="206"/>
      <c r="I1473" s="156"/>
      <c r="J1473" s="184">
        <v>75500</v>
      </c>
      <c r="K1473" s="221">
        <f>J1473*1.23</f>
        <v>92865</v>
      </c>
      <c r="L1473" s="184"/>
      <c r="M1473" s="219"/>
      <c r="N1473" s="183"/>
      <c r="O1473" s="226"/>
      <c r="P1473" s="150">
        <f t="shared" si="104"/>
        <v>92865</v>
      </c>
      <c r="Q1473" s="569"/>
    </row>
    <row r="1474" spans="1:17" ht="15.75" hidden="1" customHeight="1" outlineLevel="3">
      <c r="A1474" s="274"/>
      <c r="B1474" s="143"/>
      <c r="C1474" s="213" t="s">
        <v>373</v>
      </c>
      <c r="D1474" s="160"/>
      <c r="E1474" s="153"/>
      <c r="F1474" s="153"/>
      <c r="G1474" s="153"/>
      <c r="H1474" s="206"/>
      <c r="I1474" s="156"/>
      <c r="J1474" s="184"/>
      <c r="K1474" s="221"/>
      <c r="L1474" s="184"/>
      <c r="M1474" s="219"/>
      <c r="N1474" s="183"/>
      <c r="O1474" s="226"/>
      <c r="P1474" s="207"/>
      <c r="Q1474" s="568"/>
    </row>
    <row r="1475" spans="1:17" ht="15.75" hidden="1" customHeight="1" outlineLevel="3">
      <c r="A1475" s="274"/>
      <c r="B1475" s="143"/>
      <c r="C1475" s="142" t="s">
        <v>384</v>
      </c>
      <c r="D1475" s="160"/>
      <c r="E1475" s="153"/>
      <c r="F1475" s="153"/>
      <c r="G1475" s="153"/>
      <c r="H1475" s="206"/>
      <c r="I1475" s="156"/>
      <c r="J1475" s="184"/>
      <c r="K1475" s="221"/>
      <c r="L1475" s="184"/>
      <c r="M1475" s="219"/>
      <c r="N1475" s="183"/>
      <c r="O1475" s="226"/>
      <c r="P1475" s="207"/>
      <c r="Q1475" s="569"/>
    </row>
    <row r="1476" spans="1:17" ht="15.75" hidden="1" customHeight="1" outlineLevel="3">
      <c r="A1476" s="274"/>
      <c r="B1476" s="143"/>
      <c r="C1476" s="162" t="s">
        <v>375</v>
      </c>
      <c r="D1476" s="160"/>
      <c r="E1476" s="153"/>
      <c r="F1476" s="153"/>
      <c r="G1476" s="153"/>
      <c r="H1476" s="206"/>
      <c r="I1476" s="156"/>
      <c r="J1476" s="184"/>
      <c r="K1476" s="221"/>
      <c r="L1476" s="184"/>
      <c r="M1476" s="219"/>
      <c r="N1476" s="183"/>
      <c r="O1476" s="226"/>
      <c r="P1476" s="150"/>
      <c r="Q1476" s="569"/>
    </row>
    <row r="1477" spans="1:17" ht="15.75" hidden="1" customHeight="1" outlineLevel="3">
      <c r="A1477" s="274"/>
      <c r="B1477" s="143"/>
      <c r="C1477" s="162" t="s">
        <v>376</v>
      </c>
      <c r="D1477" s="160"/>
      <c r="E1477" s="153"/>
      <c r="F1477" s="153"/>
      <c r="G1477" s="153"/>
      <c r="H1477" s="206"/>
      <c r="I1477" s="156"/>
      <c r="J1477" s="184"/>
      <c r="K1477" s="221"/>
      <c r="L1477" s="184"/>
      <c r="M1477" s="219"/>
      <c r="N1477" s="183"/>
      <c r="O1477" s="226"/>
      <c r="P1477" s="207"/>
      <c r="Q1477" s="569"/>
    </row>
    <row r="1478" spans="1:17" ht="15.75" hidden="1" customHeight="1" outlineLevel="3">
      <c r="A1478" s="274"/>
      <c r="B1478" s="143"/>
      <c r="C1478" s="162" t="s">
        <v>377</v>
      </c>
      <c r="D1478" s="160"/>
      <c r="E1478" s="153"/>
      <c r="F1478" s="153"/>
      <c r="G1478" s="153"/>
      <c r="H1478" s="206"/>
      <c r="I1478" s="156"/>
      <c r="J1478" s="184"/>
      <c r="K1478" s="221"/>
      <c r="L1478" s="184"/>
      <c r="M1478" s="219"/>
      <c r="N1478" s="183"/>
      <c r="O1478" s="226"/>
      <c r="P1478" s="207"/>
      <c r="Q1478" s="569"/>
    </row>
    <row r="1479" spans="1:17" ht="15.75" hidden="1" customHeight="1" outlineLevel="3">
      <c r="A1479" s="274"/>
      <c r="B1479" s="143"/>
      <c r="C1479" s="162" t="s">
        <v>400</v>
      </c>
      <c r="D1479" s="160"/>
      <c r="E1479" s="153"/>
      <c r="F1479" s="153"/>
      <c r="G1479" s="153"/>
      <c r="H1479" s="206"/>
      <c r="I1479" s="156"/>
      <c r="J1479" s="184"/>
      <c r="K1479" s="221"/>
      <c r="L1479" s="184"/>
      <c r="M1479" s="219"/>
      <c r="N1479" s="183"/>
      <c r="O1479" s="226"/>
      <c r="P1479" s="150"/>
      <c r="Q1479" s="568"/>
    </row>
    <row r="1480" spans="1:17" ht="15.75" hidden="1" customHeight="1" outlineLevel="2" collapsed="1">
      <c r="A1480" s="274"/>
      <c r="B1480" s="423"/>
      <c r="C1480" s="262" t="s">
        <v>434</v>
      </c>
      <c r="D1480" s="296"/>
      <c r="E1480" s="222"/>
      <c r="F1480" s="222"/>
      <c r="G1480" s="222">
        <f>SUM(G1458:G1479)</f>
        <v>240591.77887499993</v>
      </c>
      <c r="H1480" s="417"/>
      <c r="I1480" s="207">
        <f>SUM(D1480:H1480)</f>
        <v>240591.77887499993</v>
      </c>
      <c r="J1480" s="184">
        <f>SUM(J1454:J1479)</f>
        <v>190000</v>
      </c>
      <c r="K1480" s="222">
        <f>J1480*1.23</f>
        <v>233700</v>
      </c>
      <c r="L1480" s="184"/>
      <c r="M1480" s="217"/>
      <c r="N1480" s="183"/>
      <c r="O1480" s="226"/>
      <c r="P1480" s="150">
        <f t="shared" ref="P1480" si="105">SUM(I1480,K1480,M1480,O1480)</f>
        <v>474291.77887499996</v>
      </c>
      <c r="Q1480" s="568"/>
    </row>
    <row r="1481" spans="1:17" s="211" customFormat="1" ht="15.75" hidden="1" customHeight="1" outlineLevel="3">
      <c r="A1481" s="551"/>
      <c r="B1481" s="262" t="s">
        <v>435</v>
      </c>
      <c r="C1481" s="422"/>
      <c r="D1481" s="187"/>
      <c r="E1481" s="185"/>
      <c r="F1481" s="185"/>
      <c r="G1481" s="185"/>
      <c r="H1481" s="205"/>
      <c r="I1481" s="420"/>
      <c r="J1481" s="184"/>
      <c r="K1481" s="419"/>
      <c r="L1481" s="147"/>
      <c r="M1481" s="219"/>
      <c r="N1481" s="149"/>
      <c r="O1481" s="226"/>
      <c r="P1481" s="150"/>
      <c r="Q1481" s="582"/>
    </row>
    <row r="1482" spans="1:17" s="211" customFormat="1" ht="15.75" hidden="1" customHeight="1" outlineLevel="2" collapsed="1">
      <c r="A1482" s="551"/>
      <c r="B1482" s="262"/>
      <c r="C1482" s="262" t="s">
        <v>1207</v>
      </c>
      <c r="D1482" s="187"/>
      <c r="E1482" s="185"/>
      <c r="F1482" s="185"/>
      <c r="G1482" s="185"/>
      <c r="H1482" s="205"/>
      <c r="I1482" s="420"/>
      <c r="J1482" s="184"/>
      <c r="K1482" s="222"/>
      <c r="L1482" s="147"/>
      <c r="M1482" s="219"/>
      <c r="N1482" s="149"/>
      <c r="O1482" s="226"/>
      <c r="P1482" s="150"/>
      <c r="Q1482" s="579" t="s">
        <v>1306</v>
      </c>
    </row>
    <row r="1483" spans="1:17" s="211" customFormat="1" ht="15.75" hidden="1" customHeight="1" outlineLevel="3">
      <c r="A1483" s="551"/>
      <c r="B1483" s="262" t="s">
        <v>436</v>
      </c>
      <c r="C1483" s="425"/>
      <c r="D1483" s="187"/>
      <c r="E1483" s="185"/>
      <c r="F1483" s="185"/>
      <c r="G1483" s="185"/>
      <c r="H1483" s="205"/>
      <c r="I1483" s="420"/>
      <c r="J1483" s="184"/>
      <c r="K1483" s="222"/>
      <c r="L1483" s="147"/>
      <c r="M1483" s="219"/>
      <c r="N1483" s="149"/>
      <c r="O1483" s="226"/>
      <c r="P1483" s="150"/>
      <c r="Q1483" s="579"/>
    </row>
    <row r="1484" spans="1:17" s="211" customFormat="1" ht="15.75" hidden="1" customHeight="1" outlineLevel="2" collapsed="1">
      <c r="A1484" s="551"/>
      <c r="B1484" s="262"/>
      <c r="C1484" s="262" t="s">
        <v>1208</v>
      </c>
      <c r="D1484" s="187"/>
      <c r="E1484" s="185"/>
      <c r="F1484" s="185"/>
      <c r="G1484" s="185"/>
      <c r="H1484" s="205"/>
      <c r="I1484" s="420"/>
      <c r="J1484" s="184"/>
      <c r="K1484" s="222"/>
      <c r="L1484" s="147"/>
      <c r="M1484" s="219"/>
      <c r="N1484" s="149"/>
      <c r="O1484" s="226"/>
      <c r="P1484" s="150"/>
      <c r="Q1484" s="579" t="s">
        <v>1307</v>
      </c>
    </row>
    <row r="1485" spans="1:17" s="211" customFormat="1" ht="15.75" hidden="1" customHeight="1" outlineLevel="3">
      <c r="A1485" s="551"/>
      <c r="B1485" s="262" t="s">
        <v>437</v>
      </c>
      <c r="C1485" s="422"/>
      <c r="D1485" s="187"/>
      <c r="E1485" s="185"/>
      <c r="F1485" s="185"/>
      <c r="G1485" s="185"/>
      <c r="H1485" s="205"/>
      <c r="I1485" s="156"/>
      <c r="J1485" s="184"/>
      <c r="K1485" s="419"/>
      <c r="L1485" s="147"/>
      <c r="M1485" s="217"/>
      <c r="N1485" s="149"/>
      <c r="O1485" s="226"/>
      <c r="P1485" s="150"/>
      <c r="Q1485" s="572"/>
    </row>
    <row r="1486" spans="1:17" ht="15.75" hidden="1" customHeight="1" outlineLevel="3">
      <c r="A1486" s="274"/>
      <c r="B1486" s="423"/>
      <c r="C1486" s="262" t="s">
        <v>380</v>
      </c>
      <c r="D1486" s="225"/>
      <c r="E1486" s="202"/>
      <c r="F1486" s="202"/>
      <c r="G1486" s="202"/>
      <c r="H1486" s="201"/>
      <c r="I1486" s="156"/>
      <c r="J1486" s="184"/>
      <c r="K1486" s="419"/>
      <c r="L1486" s="184"/>
      <c r="M1486" s="217"/>
      <c r="N1486" s="183"/>
      <c r="O1486" s="226"/>
      <c r="P1486" s="207"/>
      <c r="Q1486" s="572"/>
    </row>
    <row r="1487" spans="1:17" ht="15.75" hidden="1" customHeight="1" outlineLevel="3">
      <c r="A1487" s="274"/>
      <c r="B1487" s="423"/>
      <c r="C1487" s="424" t="s">
        <v>396</v>
      </c>
      <c r="D1487" s="225"/>
      <c r="E1487" s="202"/>
      <c r="F1487" s="202"/>
      <c r="G1487" s="202"/>
      <c r="H1487" s="201"/>
      <c r="I1487" s="156"/>
      <c r="J1487" s="184"/>
      <c r="K1487" s="419"/>
      <c r="L1487" s="184"/>
      <c r="M1487" s="217"/>
      <c r="N1487" s="183"/>
      <c r="O1487" s="226"/>
      <c r="P1487" s="207"/>
      <c r="Q1487" s="572"/>
    </row>
    <row r="1488" spans="1:17" ht="15.75" hidden="1" customHeight="1" outlineLevel="3">
      <c r="A1488" s="274"/>
      <c r="B1488" s="423"/>
      <c r="C1488" s="424" t="s">
        <v>357</v>
      </c>
      <c r="D1488" s="225"/>
      <c r="E1488" s="202"/>
      <c r="F1488" s="202"/>
      <c r="G1488" s="202"/>
      <c r="H1488" s="201"/>
      <c r="I1488" s="156"/>
      <c r="J1488" s="184"/>
      <c r="K1488" s="419"/>
      <c r="L1488" s="184"/>
      <c r="M1488" s="217"/>
      <c r="N1488" s="183"/>
      <c r="O1488" s="226"/>
      <c r="P1488" s="207"/>
      <c r="Q1488" s="572"/>
    </row>
    <row r="1489" spans="1:17" ht="15.75" hidden="1" customHeight="1" outlineLevel="3">
      <c r="A1489" s="274"/>
      <c r="B1489" s="423"/>
      <c r="C1489" s="424" t="s">
        <v>358</v>
      </c>
      <c r="D1489" s="225"/>
      <c r="E1489" s="202"/>
      <c r="F1489" s="202"/>
      <c r="G1489" s="202"/>
      <c r="H1489" s="201"/>
      <c r="I1489" s="203"/>
      <c r="J1489" s="186"/>
      <c r="K1489" s="419"/>
      <c r="L1489" s="184"/>
      <c r="M1489" s="217"/>
      <c r="N1489" s="183"/>
      <c r="O1489" s="226"/>
      <c r="P1489" s="207"/>
      <c r="Q1489" s="572"/>
    </row>
    <row r="1490" spans="1:17" ht="15.75" hidden="1" customHeight="1" outlineLevel="3">
      <c r="A1490" s="274"/>
      <c r="B1490" s="423"/>
      <c r="C1490" s="424" t="s">
        <v>359</v>
      </c>
      <c r="D1490" s="225"/>
      <c r="E1490" s="202"/>
      <c r="F1490" s="202"/>
      <c r="G1490" s="202"/>
      <c r="H1490" s="201"/>
      <c r="I1490" s="156"/>
      <c r="J1490" s="184"/>
      <c r="K1490" s="419"/>
      <c r="L1490" s="184"/>
      <c r="M1490" s="217"/>
      <c r="N1490" s="183"/>
      <c r="O1490" s="226"/>
      <c r="P1490" s="207"/>
      <c r="Q1490" s="572"/>
    </row>
    <row r="1491" spans="1:17" ht="15.75" hidden="1" customHeight="1" outlineLevel="3">
      <c r="A1491" s="274"/>
      <c r="B1491" s="423"/>
      <c r="C1491" s="424" t="s">
        <v>388</v>
      </c>
      <c r="D1491" s="225"/>
      <c r="E1491" s="202"/>
      <c r="F1491" s="202"/>
      <c r="G1491" s="202"/>
      <c r="H1491" s="201"/>
      <c r="I1491" s="156"/>
      <c r="J1491" s="184"/>
      <c r="K1491" s="419"/>
      <c r="L1491" s="184"/>
      <c r="M1491" s="217"/>
      <c r="N1491" s="183"/>
      <c r="O1491" s="226"/>
      <c r="P1491" s="207"/>
      <c r="Q1491" s="572"/>
    </row>
    <row r="1492" spans="1:17" ht="15.75" hidden="1" customHeight="1" outlineLevel="3">
      <c r="A1492" s="274"/>
      <c r="B1492" s="423"/>
      <c r="C1492" s="262" t="s">
        <v>381</v>
      </c>
      <c r="D1492" s="225"/>
      <c r="E1492" s="202"/>
      <c r="F1492" s="202"/>
      <c r="G1492" s="202"/>
      <c r="H1492" s="201"/>
      <c r="I1492" s="156"/>
      <c r="J1492" s="184"/>
      <c r="K1492" s="419"/>
      <c r="L1492" s="184"/>
      <c r="M1492" s="217"/>
      <c r="N1492" s="183"/>
      <c r="O1492" s="226"/>
      <c r="P1492" s="207"/>
      <c r="Q1492" s="572"/>
    </row>
    <row r="1493" spans="1:17" ht="15.75" hidden="1" customHeight="1" outlineLevel="3">
      <c r="A1493" s="274"/>
      <c r="B1493" s="423"/>
      <c r="C1493" s="424" t="s">
        <v>362</v>
      </c>
      <c r="D1493" s="225"/>
      <c r="E1493" s="202"/>
      <c r="F1493" s="202"/>
      <c r="G1493" s="202"/>
      <c r="H1493" s="201"/>
      <c r="I1493" s="156"/>
      <c r="J1493" s="184"/>
      <c r="K1493" s="419"/>
      <c r="L1493" s="184"/>
      <c r="M1493" s="217"/>
      <c r="N1493" s="183"/>
      <c r="O1493" s="226"/>
      <c r="P1493" s="207"/>
      <c r="Q1493" s="572"/>
    </row>
    <row r="1494" spans="1:17" ht="15.75" hidden="1" customHeight="1" outlineLevel="3">
      <c r="A1494" s="274"/>
      <c r="B1494" s="423"/>
      <c r="C1494" s="424" t="s">
        <v>363</v>
      </c>
      <c r="D1494" s="225"/>
      <c r="E1494" s="202"/>
      <c r="F1494" s="202"/>
      <c r="G1494" s="202"/>
      <c r="H1494" s="201"/>
      <c r="I1494" s="156"/>
      <c r="J1494" s="184"/>
      <c r="K1494" s="419"/>
      <c r="L1494" s="405"/>
      <c r="M1494" s="217"/>
      <c r="N1494" s="183"/>
      <c r="O1494" s="226"/>
      <c r="P1494" s="207"/>
      <c r="Q1494" s="572"/>
    </row>
    <row r="1495" spans="1:17" ht="15.75" hidden="1" customHeight="1" outlineLevel="3">
      <c r="A1495" s="274"/>
      <c r="B1495" s="423"/>
      <c r="C1495" s="424" t="s">
        <v>358</v>
      </c>
      <c r="D1495" s="225"/>
      <c r="E1495" s="202"/>
      <c r="F1495" s="202"/>
      <c r="G1495" s="202"/>
      <c r="H1495" s="201"/>
      <c r="I1495" s="156"/>
      <c r="J1495" s="184"/>
      <c r="K1495" s="419"/>
      <c r="L1495" s="184"/>
      <c r="M1495" s="217"/>
      <c r="N1495" s="183"/>
      <c r="O1495" s="226"/>
      <c r="P1495" s="207"/>
      <c r="Q1495" s="572"/>
    </row>
    <row r="1496" spans="1:17" ht="15.75" hidden="1" customHeight="1" outlineLevel="3">
      <c r="A1496" s="274"/>
      <c r="B1496" s="423"/>
      <c r="C1496" s="424" t="s">
        <v>364</v>
      </c>
      <c r="D1496" s="225"/>
      <c r="E1496" s="202"/>
      <c r="F1496" s="202"/>
      <c r="G1496" s="202"/>
      <c r="H1496" s="201"/>
      <c r="I1496" s="156"/>
      <c r="J1496" s="184"/>
      <c r="K1496" s="419"/>
      <c r="L1496" s="184"/>
      <c r="M1496" s="217"/>
      <c r="N1496" s="183"/>
      <c r="O1496" s="226"/>
      <c r="P1496" s="207"/>
      <c r="Q1496" s="572"/>
    </row>
    <row r="1497" spans="1:17" ht="15.75" hidden="1" customHeight="1" outlineLevel="3">
      <c r="A1497" s="274"/>
      <c r="B1497" s="423"/>
      <c r="C1497" s="262" t="s">
        <v>382</v>
      </c>
      <c r="D1497" s="225"/>
      <c r="E1497" s="202"/>
      <c r="F1497" s="202"/>
      <c r="G1497" s="202"/>
      <c r="H1497" s="201"/>
      <c r="I1497" s="156"/>
      <c r="J1497" s="184"/>
      <c r="K1497" s="419"/>
      <c r="L1497" s="184"/>
      <c r="M1497" s="217"/>
      <c r="N1497" s="183"/>
      <c r="O1497" s="226"/>
      <c r="P1497" s="207"/>
      <c r="Q1497" s="572"/>
    </row>
    <row r="1498" spans="1:17" ht="15.75" hidden="1" customHeight="1" outlineLevel="3">
      <c r="A1498" s="274"/>
      <c r="B1498" s="423"/>
      <c r="C1498" s="424" t="s">
        <v>366</v>
      </c>
      <c r="D1498" s="225"/>
      <c r="E1498" s="202"/>
      <c r="F1498" s="202"/>
      <c r="G1498" s="202"/>
      <c r="H1498" s="201"/>
      <c r="I1498" s="156"/>
      <c r="J1498" s="184"/>
      <c r="K1498" s="419"/>
      <c r="L1498" s="184"/>
      <c r="M1498" s="217"/>
      <c r="N1498" s="183"/>
      <c r="O1498" s="226"/>
      <c r="P1498" s="207"/>
      <c r="Q1498" s="572"/>
    </row>
    <row r="1499" spans="1:17" ht="15.75" hidden="1" customHeight="1" outlineLevel="3">
      <c r="A1499" s="274"/>
      <c r="B1499" s="423"/>
      <c r="C1499" s="424" t="s">
        <v>358</v>
      </c>
      <c r="D1499" s="225"/>
      <c r="E1499" s="202"/>
      <c r="F1499" s="202"/>
      <c r="G1499" s="202"/>
      <c r="H1499" s="201"/>
      <c r="I1499" s="156"/>
      <c r="J1499" s="184"/>
      <c r="K1499" s="419"/>
      <c r="L1499" s="184"/>
      <c r="M1499" s="217"/>
      <c r="N1499" s="183"/>
      <c r="O1499" s="226"/>
      <c r="P1499" s="207"/>
      <c r="Q1499" s="572"/>
    </row>
    <row r="1500" spans="1:17" ht="15.75" hidden="1" customHeight="1" outlineLevel="3">
      <c r="A1500" s="274"/>
      <c r="B1500" s="423"/>
      <c r="C1500" s="424" t="s">
        <v>367</v>
      </c>
      <c r="D1500" s="225"/>
      <c r="E1500" s="202"/>
      <c r="F1500" s="202"/>
      <c r="G1500" s="202"/>
      <c r="H1500" s="201"/>
      <c r="I1500" s="156"/>
      <c r="J1500" s="184"/>
      <c r="K1500" s="419"/>
      <c r="L1500" s="184"/>
      <c r="M1500" s="217"/>
      <c r="N1500" s="183"/>
      <c r="O1500" s="226"/>
      <c r="P1500" s="207"/>
      <c r="Q1500" s="572"/>
    </row>
    <row r="1501" spans="1:17" ht="15.75" hidden="1" customHeight="1" outlineLevel="3">
      <c r="A1501" s="274"/>
      <c r="B1501" s="423"/>
      <c r="C1501" s="424" t="s">
        <v>368</v>
      </c>
      <c r="D1501" s="225"/>
      <c r="E1501" s="202"/>
      <c r="F1501" s="202"/>
      <c r="G1501" s="202"/>
      <c r="H1501" s="201"/>
      <c r="I1501" s="156"/>
      <c r="J1501" s="184"/>
      <c r="K1501" s="419"/>
      <c r="L1501" s="184"/>
      <c r="M1501" s="217"/>
      <c r="N1501" s="183"/>
      <c r="O1501" s="226"/>
      <c r="P1501" s="207"/>
      <c r="Q1501" s="572"/>
    </row>
    <row r="1502" spans="1:17" ht="15.75" hidden="1" customHeight="1" outlineLevel="3">
      <c r="A1502" s="274"/>
      <c r="B1502" s="423"/>
      <c r="C1502" s="262" t="s">
        <v>383</v>
      </c>
      <c r="D1502" s="225"/>
      <c r="E1502" s="202"/>
      <c r="F1502" s="202"/>
      <c r="G1502" s="202"/>
      <c r="H1502" s="201"/>
      <c r="I1502" s="156"/>
      <c r="J1502" s="184"/>
      <c r="K1502" s="419"/>
      <c r="L1502" s="184"/>
      <c r="M1502" s="217"/>
      <c r="N1502" s="183"/>
      <c r="O1502" s="226"/>
      <c r="P1502" s="207"/>
      <c r="Q1502" s="572"/>
    </row>
    <row r="1503" spans="1:17" ht="15.75" hidden="1" customHeight="1" outlineLevel="3">
      <c r="A1503" s="274"/>
      <c r="B1503" s="423"/>
      <c r="C1503" s="424" t="s">
        <v>370</v>
      </c>
      <c r="D1503" s="225"/>
      <c r="E1503" s="202"/>
      <c r="F1503" s="202"/>
      <c r="G1503" s="202"/>
      <c r="H1503" s="201"/>
      <c r="I1503" s="156"/>
      <c r="J1503" s="184"/>
      <c r="K1503" s="419"/>
      <c r="L1503" s="184"/>
      <c r="M1503" s="217"/>
      <c r="N1503" s="183"/>
      <c r="O1503" s="226"/>
      <c r="P1503" s="150">
        <f t="shared" ref="P1503:P1505" si="106">SUM(I1503,K1503,M1503,O1503)</f>
        <v>0</v>
      </c>
      <c r="Q1503" s="572" t="s">
        <v>1308</v>
      </c>
    </row>
    <row r="1504" spans="1:17" ht="15.75" hidden="1" customHeight="1" outlineLevel="3">
      <c r="A1504" s="274"/>
      <c r="B1504" s="423"/>
      <c r="C1504" s="424" t="s">
        <v>371</v>
      </c>
      <c r="D1504" s="225"/>
      <c r="E1504" s="202"/>
      <c r="F1504" s="202"/>
      <c r="G1504" s="202"/>
      <c r="H1504" s="201"/>
      <c r="I1504" s="156"/>
      <c r="J1504" s="184"/>
      <c r="K1504" s="419"/>
      <c r="L1504" s="184"/>
      <c r="M1504" s="217"/>
      <c r="N1504" s="183"/>
      <c r="O1504" s="226"/>
      <c r="P1504" s="207"/>
      <c r="Q1504" s="572"/>
    </row>
    <row r="1505" spans="1:17" ht="15.75" hidden="1" customHeight="1" outlineLevel="3">
      <c r="A1505" s="274"/>
      <c r="B1505" s="423"/>
      <c r="C1505" s="424" t="s">
        <v>372</v>
      </c>
      <c r="D1505" s="225"/>
      <c r="E1505" s="202"/>
      <c r="F1505" s="202"/>
      <c r="G1505" s="202"/>
      <c r="H1505" s="201"/>
      <c r="I1505" s="156"/>
      <c r="J1505" s="183">
        <v>115000</v>
      </c>
      <c r="K1505" s="419">
        <f>J1505*1.23</f>
        <v>141450</v>
      </c>
      <c r="L1505" s="184"/>
      <c r="M1505" s="217"/>
      <c r="N1505" s="183"/>
      <c r="O1505" s="226"/>
      <c r="P1505" s="150">
        <f t="shared" si="106"/>
        <v>141450</v>
      </c>
      <c r="Q1505" s="572" t="s">
        <v>1301</v>
      </c>
    </row>
    <row r="1506" spans="1:17" ht="15.75" hidden="1" customHeight="1" outlineLevel="3">
      <c r="A1506" s="274"/>
      <c r="B1506" s="423"/>
      <c r="C1506" s="424" t="s">
        <v>373</v>
      </c>
      <c r="D1506" s="225"/>
      <c r="E1506" s="202"/>
      <c r="F1506" s="202"/>
      <c r="G1506" s="202"/>
      <c r="H1506" s="201"/>
      <c r="I1506" s="156"/>
      <c r="J1506" s="184"/>
      <c r="K1506" s="419"/>
      <c r="L1506" s="184"/>
      <c r="M1506" s="217"/>
      <c r="N1506" s="183"/>
      <c r="O1506" s="226"/>
      <c r="P1506" s="207"/>
      <c r="Q1506" s="579"/>
    </row>
    <row r="1507" spans="1:17" ht="15.75" hidden="1" customHeight="1" outlineLevel="3">
      <c r="A1507" s="274"/>
      <c r="B1507" s="423"/>
      <c r="C1507" s="262" t="s">
        <v>384</v>
      </c>
      <c r="D1507" s="225"/>
      <c r="E1507" s="202"/>
      <c r="F1507" s="202"/>
      <c r="G1507" s="202"/>
      <c r="H1507" s="201"/>
      <c r="I1507" s="156"/>
      <c r="J1507" s="184"/>
      <c r="K1507" s="419"/>
      <c r="L1507" s="184"/>
      <c r="M1507" s="217"/>
      <c r="N1507" s="183"/>
      <c r="O1507" s="226"/>
      <c r="P1507" s="207"/>
      <c r="Q1507" s="572"/>
    </row>
    <row r="1508" spans="1:17" ht="15.75" hidden="1" customHeight="1" outlineLevel="3">
      <c r="A1508" s="274"/>
      <c r="B1508" s="423"/>
      <c r="C1508" s="425" t="s">
        <v>375</v>
      </c>
      <c r="D1508" s="225"/>
      <c r="E1508" s="202"/>
      <c r="F1508" s="202"/>
      <c r="G1508" s="202"/>
      <c r="H1508" s="201"/>
      <c r="I1508" s="156"/>
      <c r="J1508" s="184"/>
      <c r="K1508" s="419"/>
      <c r="L1508" s="184"/>
      <c r="M1508" s="217"/>
      <c r="N1508" s="183"/>
      <c r="O1508" s="226"/>
      <c r="P1508" s="207"/>
      <c r="Q1508" s="572"/>
    </row>
    <row r="1509" spans="1:17" ht="15.75" hidden="1" customHeight="1" outlineLevel="3">
      <c r="A1509" s="274"/>
      <c r="B1509" s="423"/>
      <c r="C1509" s="425" t="s">
        <v>376</v>
      </c>
      <c r="D1509" s="225"/>
      <c r="E1509" s="202"/>
      <c r="F1509" s="202"/>
      <c r="G1509" s="202"/>
      <c r="H1509" s="201"/>
      <c r="I1509" s="156"/>
      <c r="J1509" s="184"/>
      <c r="K1509" s="419"/>
      <c r="L1509" s="184"/>
      <c r="M1509" s="217"/>
      <c r="N1509" s="183"/>
      <c r="O1509" s="226"/>
      <c r="P1509" s="207"/>
      <c r="Q1509" s="572"/>
    </row>
    <row r="1510" spans="1:17" ht="15.75" hidden="1" customHeight="1" outlineLevel="3">
      <c r="A1510" s="274"/>
      <c r="B1510" s="423"/>
      <c r="C1510" s="425" t="s">
        <v>377</v>
      </c>
      <c r="D1510" s="225"/>
      <c r="E1510" s="202"/>
      <c r="F1510" s="202"/>
      <c r="G1510" s="202"/>
      <c r="H1510" s="201"/>
      <c r="I1510" s="156"/>
      <c r="J1510" s="184"/>
      <c r="K1510" s="419"/>
      <c r="L1510" s="184"/>
      <c r="M1510" s="217"/>
      <c r="N1510" s="183"/>
      <c r="O1510" s="226"/>
      <c r="P1510" s="207"/>
      <c r="Q1510" s="572"/>
    </row>
    <row r="1511" spans="1:17" ht="15.75" hidden="1" customHeight="1" outlineLevel="3">
      <c r="A1511" s="274"/>
      <c r="B1511" s="423"/>
      <c r="C1511" s="425" t="s">
        <v>400</v>
      </c>
      <c r="D1511" s="225"/>
      <c r="E1511" s="202"/>
      <c r="F1511" s="202"/>
      <c r="G1511" s="202"/>
      <c r="H1511" s="201"/>
      <c r="I1511" s="156"/>
      <c r="J1511" s="185"/>
      <c r="K1511" s="419"/>
      <c r="L1511" s="184"/>
      <c r="M1511" s="217"/>
      <c r="N1511" s="183"/>
      <c r="O1511" s="226"/>
      <c r="P1511" s="207"/>
      <c r="Q1511" s="579"/>
    </row>
    <row r="1512" spans="1:17" ht="15.75" hidden="1" customHeight="1" outlineLevel="3">
      <c r="A1512" s="274"/>
      <c r="B1512" s="423"/>
      <c r="C1512" s="425" t="s">
        <v>438</v>
      </c>
      <c r="D1512" s="225"/>
      <c r="E1512" s="202"/>
      <c r="F1512" s="202"/>
      <c r="G1512" s="202"/>
      <c r="H1512" s="201"/>
      <c r="I1512" s="156"/>
      <c r="J1512" s="185">
        <v>5000000</v>
      </c>
      <c r="K1512" s="419">
        <f>J1512*1.23</f>
        <v>6150000</v>
      </c>
      <c r="L1512" s="184"/>
      <c r="M1512" s="217"/>
      <c r="N1512" s="183"/>
      <c r="O1512" s="226"/>
      <c r="P1512" s="150">
        <f t="shared" ref="P1512:P1513" si="107">SUM(I1512,K1512,M1512,O1512)</f>
        <v>6150000</v>
      </c>
      <c r="Q1512" s="579"/>
    </row>
    <row r="1513" spans="1:17" ht="15.75" hidden="1" customHeight="1" outlineLevel="2" collapsed="1">
      <c r="A1513" s="274"/>
      <c r="B1513" s="423"/>
      <c r="C1513" s="262" t="s">
        <v>437</v>
      </c>
      <c r="D1513" s="296"/>
      <c r="E1513" s="222"/>
      <c r="F1513" s="222"/>
      <c r="G1513" s="222"/>
      <c r="H1513" s="417"/>
      <c r="I1513" s="207"/>
      <c r="J1513" s="185">
        <f>SUM(J1488:J1512)</f>
        <v>5115000</v>
      </c>
      <c r="K1513" s="222">
        <f>J1513*1.23</f>
        <v>6291450</v>
      </c>
      <c r="L1513" s="184"/>
      <c r="M1513" s="217"/>
      <c r="N1513" s="183"/>
      <c r="O1513" s="226"/>
      <c r="P1513" s="150">
        <f t="shared" si="107"/>
        <v>6291450</v>
      </c>
      <c r="Q1513" s="579" t="s">
        <v>1309</v>
      </c>
    </row>
    <row r="1514" spans="1:17" s="211" customFormat="1" ht="15.75" hidden="1" customHeight="1" outlineLevel="3">
      <c r="A1514" s="551"/>
      <c r="B1514" s="262" t="s">
        <v>439</v>
      </c>
      <c r="C1514" s="425"/>
      <c r="D1514" s="187"/>
      <c r="E1514" s="185"/>
      <c r="F1514" s="185"/>
      <c r="G1514" s="185"/>
      <c r="H1514" s="205"/>
      <c r="I1514" s="156"/>
      <c r="J1514" s="184"/>
      <c r="K1514" s="419"/>
      <c r="L1514" s="147"/>
      <c r="M1514" s="217"/>
      <c r="N1514" s="149"/>
      <c r="O1514" s="226"/>
      <c r="P1514" s="150"/>
      <c r="Q1514" s="572"/>
    </row>
    <row r="1515" spans="1:17" ht="15.75" hidden="1" customHeight="1" outlineLevel="3">
      <c r="A1515" s="274"/>
      <c r="B1515" s="423"/>
      <c r="C1515" s="262" t="s">
        <v>380</v>
      </c>
      <c r="D1515" s="225"/>
      <c r="E1515" s="202"/>
      <c r="F1515" s="202"/>
      <c r="G1515" s="202"/>
      <c r="H1515" s="201"/>
      <c r="I1515" s="156"/>
      <c r="J1515" s="184"/>
      <c r="K1515" s="419"/>
      <c r="L1515" s="184"/>
      <c r="M1515" s="217"/>
      <c r="N1515" s="183"/>
      <c r="O1515" s="226"/>
      <c r="P1515" s="207"/>
      <c r="Q1515" s="572"/>
    </row>
    <row r="1516" spans="1:17" ht="15.75" hidden="1" customHeight="1" outlineLevel="3">
      <c r="A1516" s="274"/>
      <c r="B1516" s="423"/>
      <c r="C1516" s="424" t="s">
        <v>396</v>
      </c>
      <c r="D1516" s="225"/>
      <c r="E1516" s="202"/>
      <c r="F1516" s="202"/>
      <c r="G1516" s="202"/>
      <c r="H1516" s="201"/>
      <c r="I1516" s="156"/>
      <c r="J1516" s="184"/>
      <c r="K1516" s="419"/>
      <c r="L1516" s="184"/>
      <c r="M1516" s="217"/>
      <c r="N1516" s="183"/>
      <c r="O1516" s="226"/>
      <c r="P1516" s="207"/>
      <c r="Q1516" s="572" t="s">
        <v>1310</v>
      </c>
    </row>
    <row r="1517" spans="1:17" ht="15.75" hidden="1" customHeight="1" outlineLevel="3">
      <c r="A1517" s="274"/>
      <c r="B1517" s="423"/>
      <c r="C1517" s="424" t="s">
        <v>357</v>
      </c>
      <c r="D1517" s="225"/>
      <c r="E1517" s="202"/>
      <c r="F1517" s="202"/>
      <c r="G1517" s="202"/>
      <c r="H1517" s="201"/>
      <c r="I1517" s="156"/>
      <c r="J1517" s="184"/>
      <c r="K1517" s="419"/>
      <c r="L1517" s="184"/>
      <c r="M1517" s="217"/>
      <c r="N1517" s="183"/>
      <c r="O1517" s="226"/>
      <c r="P1517" s="207"/>
      <c r="Q1517" s="572"/>
    </row>
    <row r="1518" spans="1:17" ht="15.75" hidden="1" customHeight="1" outlineLevel="3">
      <c r="A1518" s="274"/>
      <c r="B1518" s="423"/>
      <c r="C1518" s="424" t="s">
        <v>358</v>
      </c>
      <c r="D1518" s="225"/>
      <c r="E1518" s="202"/>
      <c r="F1518" s="202"/>
      <c r="G1518" s="202"/>
      <c r="H1518" s="201"/>
      <c r="I1518" s="203"/>
      <c r="J1518" s="422"/>
      <c r="K1518" s="419"/>
      <c r="L1518" s="184"/>
      <c r="M1518" s="217"/>
      <c r="N1518" s="183"/>
      <c r="O1518" s="226"/>
      <c r="P1518" s="207"/>
      <c r="Q1518" s="572"/>
    </row>
    <row r="1519" spans="1:17" ht="15.75" hidden="1" customHeight="1" outlineLevel="3">
      <c r="A1519" s="274"/>
      <c r="B1519" s="423"/>
      <c r="C1519" s="424" t="s">
        <v>359</v>
      </c>
      <c r="D1519" s="225"/>
      <c r="E1519" s="202"/>
      <c r="F1519" s="202"/>
      <c r="G1519" s="202"/>
      <c r="H1519" s="201"/>
      <c r="I1519" s="156"/>
      <c r="J1519" s="184"/>
      <c r="K1519" s="419"/>
      <c r="L1519" s="184"/>
      <c r="M1519" s="217"/>
      <c r="N1519" s="183"/>
      <c r="O1519" s="226"/>
      <c r="P1519" s="207"/>
      <c r="Q1519" s="572"/>
    </row>
    <row r="1520" spans="1:17" ht="15.75" hidden="1" customHeight="1" outlineLevel="3">
      <c r="A1520" s="274"/>
      <c r="B1520" s="423"/>
      <c r="C1520" s="424" t="s">
        <v>388</v>
      </c>
      <c r="D1520" s="225"/>
      <c r="E1520" s="202"/>
      <c r="F1520" s="202"/>
      <c r="G1520" s="202"/>
      <c r="H1520" s="201"/>
      <c r="I1520" s="156"/>
      <c r="J1520" s="184"/>
      <c r="K1520" s="419"/>
      <c r="L1520" s="184"/>
      <c r="M1520" s="217"/>
      <c r="N1520" s="183"/>
      <c r="O1520" s="226"/>
      <c r="P1520" s="207"/>
      <c r="Q1520" s="572"/>
    </row>
    <row r="1521" spans="1:17" ht="15.75" hidden="1" customHeight="1" outlineLevel="3">
      <c r="A1521" s="274"/>
      <c r="B1521" s="423"/>
      <c r="C1521" s="262" t="s">
        <v>381</v>
      </c>
      <c r="D1521" s="225"/>
      <c r="E1521" s="202"/>
      <c r="F1521" s="202"/>
      <c r="G1521" s="202"/>
      <c r="H1521" s="201"/>
      <c r="I1521" s="156"/>
      <c r="J1521" s="184"/>
      <c r="K1521" s="419"/>
      <c r="L1521" s="184"/>
      <c r="M1521" s="217"/>
      <c r="N1521" s="183"/>
      <c r="O1521" s="226"/>
      <c r="P1521" s="207"/>
      <c r="Q1521" s="572"/>
    </row>
    <row r="1522" spans="1:17" ht="15.75" hidden="1" customHeight="1" outlineLevel="3">
      <c r="A1522" s="274"/>
      <c r="B1522" s="423"/>
      <c r="C1522" s="424" t="s">
        <v>362</v>
      </c>
      <c r="D1522" s="225"/>
      <c r="E1522" s="202"/>
      <c r="F1522" s="202"/>
      <c r="G1522" s="202"/>
      <c r="H1522" s="201"/>
      <c r="I1522" s="156"/>
      <c r="J1522" s="184"/>
      <c r="K1522" s="419"/>
      <c r="L1522" s="184"/>
      <c r="M1522" s="217"/>
      <c r="N1522" s="183"/>
      <c r="O1522" s="226"/>
      <c r="P1522" s="207"/>
      <c r="Q1522" s="572"/>
    </row>
    <row r="1523" spans="1:17" ht="15.75" hidden="1" customHeight="1" outlineLevel="3">
      <c r="A1523" s="274"/>
      <c r="B1523" s="423"/>
      <c r="C1523" s="424" t="s">
        <v>363</v>
      </c>
      <c r="D1523" s="225"/>
      <c r="E1523" s="202"/>
      <c r="F1523" s="202"/>
      <c r="G1523" s="202"/>
      <c r="H1523" s="205"/>
      <c r="I1523" s="156"/>
      <c r="J1523" s="184"/>
      <c r="K1523" s="419"/>
      <c r="L1523" s="405"/>
      <c r="M1523" s="217"/>
      <c r="N1523" s="183"/>
      <c r="O1523" s="226"/>
      <c r="P1523" s="207"/>
      <c r="Q1523" s="572"/>
    </row>
    <row r="1524" spans="1:17" ht="15.75" hidden="1" customHeight="1" outlineLevel="3">
      <c r="A1524" s="274"/>
      <c r="B1524" s="423"/>
      <c r="C1524" s="424" t="s">
        <v>358</v>
      </c>
      <c r="D1524" s="225"/>
      <c r="E1524" s="202"/>
      <c r="F1524" s="202"/>
      <c r="G1524" s="202"/>
      <c r="H1524" s="201"/>
      <c r="I1524" s="156"/>
      <c r="J1524" s="184"/>
      <c r="K1524" s="419"/>
      <c r="L1524" s="184"/>
      <c r="M1524" s="217"/>
      <c r="N1524" s="183"/>
      <c r="O1524" s="226"/>
      <c r="P1524" s="207"/>
      <c r="Q1524" s="572"/>
    </row>
    <row r="1525" spans="1:17" ht="15.75" hidden="1" customHeight="1" outlineLevel="3">
      <c r="A1525" s="274"/>
      <c r="B1525" s="423"/>
      <c r="C1525" s="424" t="s">
        <v>364</v>
      </c>
      <c r="D1525" s="225"/>
      <c r="E1525" s="202"/>
      <c r="F1525" s="202"/>
      <c r="G1525" s="202"/>
      <c r="H1525" s="201"/>
      <c r="I1525" s="156"/>
      <c r="J1525" s="184"/>
      <c r="K1525" s="419"/>
      <c r="L1525" s="184"/>
      <c r="M1525" s="217"/>
      <c r="N1525" s="183"/>
      <c r="O1525" s="226"/>
      <c r="P1525" s="207"/>
      <c r="Q1525" s="572"/>
    </row>
    <row r="1526" spans="1:17" ht="15.75" hidden="1" customHeight="1" outlineLevel="3">
      <c r="A1526" s="274"/>
      <c r="B1526" s="423"/>
      <c r="C1526" s="262" t="s">
        <v>382</v>
      </c>
      <c r="D1526" s="225"/>
      <c r="E1526" s="202"/>
      <c r="F1526" s="202"/>
      <c r="G1526" s="202"/>
      <c r="H1526" s="201"/>
      <c r="I1526" s="156"/>
      <c r="J1526" s="184"/>
      <c r="K1526" s="419"/>
      <c r="L1526" s="184"/>
      <c r="M1526" s="217"/>
      <c r="N1526" s="183"/>
      <c r="O1526" s="226"/>
      <c r="P1526" s="207"/>
      <c r="Q1526" s="572"/>
    </row>
    <row r="1527" spans="1:17" ht="15.75" hidden="1" customHeight="1" outlineLevel="3">
      <c r="A1527" s="274"/>
      <c r="B1527" s="423"/>
      <c r="C1527" s="424" t="s">
        <v>366</v>
      </c>
      <c r="D1527" s="225"/>
      <c r="E1527" s="202"/>
      <c r="F1527" s="202"/>
      <c r="G1527" s="202"/>
      <c r="H1527" s="201"/>
      <c r="I1527" s="156"/>
      <c r="J1527" s="184"/>
      <c r="K1527" s="419"/>
      <c r="L1527" s="184"/>
      <c r="M1527" s="217"/>
      <c r="N1527" s="183"/>
      <c r="O1527" s="226"/>
      <c r="P1527" s="207"/>
      <c r="Q1527" s="572"/>
    </row>
    <row r="1528" spans="1:17" ht="15.75" hidden="1" customHeight="1" outlineLevel="3">
      <c r="A1528" s="274"/>
      <c r="B1528" s="423"/>
      <c r="C1528" s="424" t="s">
        <v>358</v>
      </c>
      <c r="D1528" s="225"/>
      <c r="E1528" s="202"/>
      <c r="F1528" s="202"/>
      <c r="G1528" s="202"/>
      <c r="H1528" s="201"/>
      <c r="I1528" s="156"/>
      <c r="J1528" s="186"/>
      <c r="K1528" s="419"/>
      <c r="L1528" s="184"/>
      <c r="M1528" s="217"/>
      <c r="N1528" s="183"/>
      <c r="O1528" s="226"/>
      <c r="P1528" s="207"/>
      <c r="Q1528" s="572" t="s">
        <v>1311</v>
      </c>
    </row>
    <row r="1529" spans="1:17" ht="15.75" hidden="1" customHeight="1" outlineLevel="3">
      <c r="A1529" s="274"/>
      <c r="B1529" s="423"/>
      <c r="C1529" s="424" t="s">
        <v>367</v>
      </c>
      <c r="D1529" s="225"/>
      <c r="E1529" s="202"/>
      <c r="F1529" s="202"/>
      <c r="G1529" s="202"/>
      <c r="H1529" s="201"/>
      <c r="I1529" s="156"/>
      <c r="J1529" s="187">
        <v>109000</v>
      </c>
      <c r="K1529" s="419">
        <f>J1529*1.23</f>
        <v>134070</v>
      </c>
      <c r="L1529" s="184" t="s">
        <v>393</v>
      </c>
      <c r="M1529" s="217"/>
      <c r="N1529" s="183"/>
      <c r="O1529" s="226"/>
      <c r="P1529" s="150">
        <f t="shared" ref="P1529" si="108">SUM(I1529,K1529,M1529,O1529)</f>
        <v>134070</v>
      </c>
      <c r="Q1529" s="572"/>
    </row>
    <row r="1530" spans="1:17" ht="15.75" hidden="1" customHeight="1" outlineLevel="3">
      <c r="A1530" s="274"/>
      <c r="B1530" s="423"/>
      <c r="C1530" s="424" t="s">
        <v>368</v>
      </c>
      <c r="D1530" s="225"/>
      <c r="E1530" s="202"/>
      <c r="F1530" s="202"/>
      <c r="G1530" s="202"/>
      <c r="H1530" s="201"/>
      <c r="I1530" s="156"/>
      <c r="J1530" s="184"/>
      <c r="K1530" s="419"/>
      <c r="L1530" s="184"/>
      <c r="M1530" s="217"/>
      <c r="N1530" s="183"/>
      <c r="O1530" s="226"/>
      <c r="P1530" s="207"/>
      <c r="Q1530" s="572"/>
    </row>
    <row r="1531" spans="1:17" ht="15.75" hidden="1" customHeight="1" outlineLevel="3">
      <c r="A1531" s="274"/>
      <c r="B1531" s="423"/>
      <c r="C1531" s="262" t="s">
        <v>383</v>
      </c>
      <c r="D1531" s="225"/>
      <c r="E1531" s="202"/>
      <c r="F1531" s="202"/>
      <c r="G1531" s="202"/>
      <c r="H1531" s="201"/>
      <c r="I1531" s="156"/>
      <c r="J1531" s="184"/>
      <c r="K1531" s="419"/>
      <c r="L1531" s="184"/>
      <c r="M1531" s="217"/>
      <c r="N1531" s="183"/>
      <c r="O1531" s="226"/>
      <c r="P1531" s="207"/>
      <c r="Q1531" s="572"/>
    </row>
    <row r="1532" spans="1:17" ht="15.75" hidden="1" customHeight="1" outlineLevel="3">
      <c r="A1532" s="274"/>
      <c r="B1532" s="423"/>
      <c r="C1532" s="424" t="s">
        <v>370</v>
      </c>
      <c r="D1532" s="225"/>
      <c r="E1532" s="202"/>
      <c r="F1532" s="202"/>
      <c r="G1532" s="202"/>
      <c r="H1532" s="201"/>
      <c r="I1532" s="156"/>
      <c r="J1532" s="184"/>
      <c r="K1532" s="419"/>
      <c r="L1532" s="184"/>
      <c r="M1532" s="217"/>
      <c r="N1532" s="183"/>
      <c r="O1532" s="226"/>
      <c r="P1532" s="207"/>
      <c r="Q1532" s="572"/>
    </row>
    <row r="1533" spans="1:17" ht="15.75" hidden="1" customHeight="1" outlineLevel="3">
      <c r="A1533" s="274"/>
      <c r="B1533" s="423"/>
      <c r="C1533" s="424" t="s">
        <v>371</v>
      </c>
      <c r="D1533" s="225"/>
      <c r="E1533" s="202"/>
      <c r="F1533" s="202"/>
      <c r="G1533" s="202"/>
      <c r="H1533" s="201"/>
      <c r="I1533" s="156"/>
      <c r="J1533" s="184"/>
      <c r="K1533" s="419"/>
      <c r="L1533" s="184"/>
      <c r="M1533" s="217"/>
      <c r="N1533" s="183"/>
      <c r="O1533" s="226"/>
      <c r="P1533" s="207"/>
      <c r="Q1533" s="572"/>
    </row>
    <row r="1534" spans="1:17" ht="15.75" hidden="1" customHeight="1" outlineLevel="3">
      <c r="A1534" s="274"/>
      <c r="B1534" s="423"/>
      <c r="C1534" s="424" t="s">
        <v>372</v>
      </c>
      <c r="D1534" s="225"/>
      <c r="E1534" s="202"/>
      <c r="F1534" s="202"/>
      <c r="G1534" s="202"/>
      <c r="H1534" s="201"/>
      <c r="I1534" s="156"/>
      <c r="J1534" s="184"/>
      <c r="K1534" s="419"/>
      <c r="L1534" s="184"/>
      <c r="M1534" s="217"/>
      <c r="N1534" s="183"/>
      <c r="O1534" s="226"/>
      <c r="P1534" s="207"/>
      <c r="Q1534" s="572"/>
    </row>
    <row r="1535" spans="1:17" ht="15.75" hidden="1" customHeight="1" outlineLevel="3">
      <c r="A1535" s="274"/>
      <c r="B1535" s="423"/>
      <c r="C1535" s="424" t="s">
        <v>373</v>
      </c>
      <c r="D1535" s="225"/>
      <c r="E1535" s="202"/>
      <c r="F1535" s="202"/>
      <c r="G1535" s="202"/>
      <c r="H1535" s="201"/>
      <c r="I1535" s="156"/>
      <c r="J1535" s="184"/>
      <c r="K1535" s="419"/>
      <c r="L1535" s="184"/>
      <c r="M1535" s="217"/>
      <c r="N1535" s="183"/>
      <c r="O1535" s="226"/>
      <c r="P1535" s="207"/>
      <c r="Q1535" s="579"/>
    </row>
    <row r="1536" spans="1:17" ht="15.75" hidden="1" customHeight="1" outlineLevel="3">
      <c r="A1536" s="274"/>
      <c r="B1536" s="423"/>
      <c r="C1536" s="262" t="s">
        <v>384</v>
      </c>
      <c r="D1536" s="225"/>
      <c r="E1536" s="202"/>
      <c r="F1536" s="202"/>
      <c r="G1536" s="202"/>
      <c r="H1536" s="201"/>
      <c r="I1536" s="156"/>
      <c r="J1536" s="184"/>
      <c r="K1536" s="419"/>
      <c r="L1536" s="184"/>
      <c r="M1536" s="217"/>
      <c r="N1536" s="183"/>
      <c r="O1536" s="226"/>
      <c r="P1536" s="207"/>
      <c r="Q1536" s="572"/>
    </row>
    <row r="1537" spans="1:17" ht="15.75" hidden="1" customHeight="1" outlineLevel="3">
      <c r="A1537" s="274"/>
      <c r="B1537" s="423"/>
      <c r="C1537" s="425" t="s">
        <v>375</v>
      </c>
      <c r="D1537" s="225"/>
      <c r="E1537" s="202"/>
      <c r="F1537" s="202"/>
      <c r="G1537" s="202"/>
      <c r="H1537" s="201"/>
      <c r="I1537" s="156"/>
      <c r="J1537" s="184"/>
      <c r="K1537" s="419"/>
      <c r="L1537" s="184"/>
      <c r="M1537" s="217"/>
      <c r="N1537" s="183"/>
      <c r="O1537" s="226"/>
      <c r="P1537" s="207"/>
      <c r="Q1537" s="572"/>
    </row>
    <row r="1538" spans="1:17" ht="15.75" hidden="1" customHeight="1" outlineLevel="3">
      <c r="A1538" s="274"/>
      <c r="B1538" s="423"/>
      <c r="C1538" s="425" t="s">
        <v>376</v>
      </c>
      <c r="D1538" s="225"/>
      <c r="E1538" s="202"/>
      <c r="F1538" s="202"/>
      <c r="G1538" s="202"/>
      <c r="H1538" s="201"/>
      <c r="I1538" s="156"/>
      <c r="J1538" s="184"/>
      <c r="K1538" s="419"/>
      <c r="L1538" s="184"/>
      <c r="M1538" s="217"/>
      <c r="N1538" s="183"/>
      <c r="O1538" s="226"/>
      <c r="P1538" s="207"/>
      <c r="Q1538" s="572"/>
    </row>
    <row r="1539" spans="1:17" ht="15.75" hidden="1" customHeight="1" outlineLevel="3">
      <c r="A1539" s="274"/>
      <c r="B1539" s="423"/>
      <c r="C1539" s="425" t="s">
        <v>377</v>
      </c>
      <c r="D1539" s="225"/>
      <c r="E1539" s="202"/>
      <c r="F1539" s="202"/>
      <c r="G1539" s="202"/>
      <c r="H1539" s="201"/>
      <c r="I1539" s="156"/>
      <c r="J1539" s="184"/>
      <c r="K1539" s="419"/>
      <c r="L1539" s="184"/>
      <c r="M1539" s="217"/>
      <c r="N1539" s="183"/>
      <c r="O1539" s="226"/>
      <c r="P1539" s="207"/>
      <c r="Q1539" s="572"/>
    </row>
    <row r="1540" spans="1:17" ht="15.75" hidden="1" customHeight="1" outlineLevel="3">
      <c r="A1540" s="274"/>
      <c r="B1540" s="423"/>
      <c r="C1540" s="425" t="s">
        <v>400</v>
      </c>
      <c r="D1540" s="225"/>
      <c r="E1540" s="202"/>
      <c r="F1540" s="202"/>
      <c r="G1540" s="202"/>
      <c r="H1540" s="201"/>
      <c r="I1540" s="156"/>
      <c r="J1540" s="184"/>
      <c r="K1540" s="419"/>
      <c r="L1540" s="184"/>
      <c r="M1540" s="217"/>
      <c r="N1540" s="183"/>
      <c r="O1540" s="226"/>
      <c r="P1540" s="207"/>
      <c r="Q1540" s="579"/>
    </row>
    <row r="1541" spans="1:17" ht="15.75" hidden="1" customHeight="1" outlineLevel="3">
      <c r="A1541" s="274"/>
      <c r="B1541" s="423"/>
      <c r="C1541" s="425" t="s">
        <v>440</v>
      </c>
      <c r="D1541" s="225"/>
      <c r="E1541" s="202"/>
      <c r="F1541" s="185"/>
      <c r="G1541" s="202"/>
      <c r="H1541" s="342">
        <f>CIP!$AQ$148</f>
        <v>573761.50031249982</v>
      </c>
      <c r="I1541" s="156">
        <f>SUM(D1541:H1541)</f>
        <v>573761.50031249982</v>
      </c>
      <c r="J1541" s="184">
        <v>7000000</v>
      </c>
      <c r="K1541" s="419">
        <f>J1541*1.23</f>
        <v>8610000</v>
      </c>
      <c r="L1541" s="184"/>
      <c r="M1541" s="217"/>
      <c r="N1541" s="183"/>
      <c r="O1541" s="226"/>
      <c r="P1541" s="150">
        <f t="shared" ref="P1541:P1542" si="109">SUM(I1541,K1541,M1541,O1541)</f>
        <v>9183761.5003124997</v>
      </c>
      <c r="Q1541" s="579"/>
    </row>
    <row r="1542" spans="1:17" ht="15.75" hidden="1" customHeight="1" outlineLevel="2" collapsed="1">
      <c r="A1542" s="274"/>
      <c r="B1542" s="423"/>
      <c r="C1542" s="262" t="s">
        <v>439</v>
      </c>
      <c r="D1542" s="296"/>
      <c r="E1542" s="222"/>
      <c r="F1542" s="222"/>
      <c r="G1542" s="222"/>
      <c r="H1542" s="417">
        <f>SUM(H1515:H1541)</f>
        <v>573761.50031249982</v>
      </c>
      <c r="I1542" s="207">
        <f>SUM(D1542:H1542)</f>
        <v>573761.50031249982</v>
      </c>
      <c r="J1542" s="184">
        <f>SUM(J1514:J1541)</f>
        <v>7109000</v>
      </c>
      <c r="K1542" s="222">
        <f>J1542*1.23</f>
        <v>8744070</v>
      </c>
      <c r="L1542" s="184"/>
      <c r="M1542" s="217"/>
      <c r="N1542" s="183"/>
      <c r="O1542" s="226"/>
      <c r="P1542" s="150">
        <f t="shared" si="109"/>
        <v>9317831.5003124997</v>
      </c>
      <c r="Q1542" s="572" t="s">
        <v>1312</v>
      </c>
    </row>
    <row r="1543" spans="1:17" s="211" customFormat="1" ht="15.75" hidden="1" customHeight="1" outlineLevel="3">
      <c r="A1543" s="551"/>
      <c r="B1543" s="262" t="s">
        <v>441</v>
      </c>
      <c r="C1543" s="422"/>
      <c r="D1543" s="187"/>
      <c r="E1543" s="185"/>
      <c r="F1543" s="185"/>
      <c r="G1543" s="185"/>
      <c r="H1543" s="205"/>
      <c r="I1543" s="156"/>
      <c r="J1543" s="184"/>
      <c r="K1543" s="419"/>
      <c r="L1543" s="147"/>
      <c r="M1543" s="219"/>
      <c r="N1543" s="149"/>
      <c r="O1543" s="226"/>
      <c r="P1543" s="150"/>
      <c r="Q1543" s="569"/>
    </row>
    <row r="1544" spans="1:17" ht="15.75" hidden="1" customHeight="1" outlineLevel="3">
      <c r="A1544" s="274"/>
      <c r="B1544" s="423"/>
      <c r="C1544" s="425" t="s">
        <v>266</v>
      </c>
      <c r="D1544" s="225"/>
      <c r="E1544" s="202"/>
      <c r="F1544" s="202"/>
      <c r="G1544" s="202"/>
      <c r="H1544" s="201"/>
      <c r="I1544" s="156"/>
      <c r="J1544" s="422"/>
      <c r="K1544" s="419"/>
      <c r="L1544" s="184"/>
      <c r="M1544" s="219"/>
      <c r="N1544" s="183"/>
      <c r="O1544" s="226"/>
      <c r="P1544" s="207"/>
      <c r="Q1544" s="568" t="s">
        <v>1313</v>
      </c>
    </row>
    <row r="1545" spans="1:17" ht="15.75" hidden="1" customHeight="1" outlineLevel="2" collapsed="1">
      <c r="A1545" s="274"/>
      <c r="B1545" s="423"/>
      <c r="C1545" s="262" t="s">
        <v>441</v>
      </c>
      <c r="D1545" s="225"/>
      <c r="E1545" s="202"/>
      <c r="F1545" s="202"/>
      <c r="G1545" s="202"/>
      <c r="H1545" s="201"/>
      <c r="I1545" s="156"/>
      <c r="J1545" s="422"/>
      <c r="K1545" s="419"/>
      <c r="L1545" s="184"/>
      <c r="M1545" s="219"/>
      <c r="N1545" s="183"/>
      <c r="O1545" s="226"/>
      <c r="P1545" s="207"/>
      <c r="Q1545" s="569" t="s">
        <v>1314</v>
      </c>
    </row>
    <row r="1546" spans="1:17" s="211" customFormat="1" ht="15.75" hidden="1" customHeight="1" outlineLevel="3">
      <c r="A1546" s="551"/>
      <c r="B1546" s="262" t="s">
        <v>442</v>
      </c>
      <c r="C1546" s="422"/>
      <c r="D1546" s="187"/>
      <c r="E1546" s="185"/>
      <c r="F1546" s="185"/>
      <c r="G1546" s="185"/>
      <c r="H1546" s="205"/>
      <c r="I1546" s="156"/>
      <c r="J1546" s="184"/>
      <c r="K1546" s="419"/>
      <c r="L1546" s="147"/>
      <c r="M1546" s="217"/>
      <c r="N1546" s="149"/>
      <c r="O1546" s="226"/>
      <c r="P1546" s="150"/>
      <c r="Q1546" s="569"/>
    </row>
    <row r="1547" spans="1:17" ht="15.75" hidden="1" customHeight="1" outlineLevel="3">
      <c r="A1547" s="274"/>
      <c r="B1547" s="423"/>
      <c r="C1547" s="262" t="s">
        <v>380</v>
      </c>
      <c r="D1547" s="225"/>
      <c r="E1547" s="202"/>
      <c r="F1547" s="202"/>
      <c r="G1547" s="202"/>
      <c r="H1547" s="201"/>
      <c r="I1547" s="156"/>
      <c r="J1547" s="184"/>
      <c r="K1547" s="419"/>
      <c r="L1547" s="184"/>
      <c r="M1547" s="217"/>
      <c r="N1547" s="183"/>
      <c r="O1547" s="226"/>
      <c r="P1547" s="207"/>
      <c r="Q1547" s="569"/>
    </row>
    <row r="1548" spans="1:17" ht="15.75" hidden="1" customHeight="1" outlineLevel="3">
      <c r="A1548" s="274"/>
      <c r="B1548" s="423"/>
      <c r="C1548" s="424" t="s">
        <v>396</v>
      </c>
      <c r="D1548" s="225"/>
      <c r="E1548" s="202"/>
      <c r="F1548" s="202"/>
      <c r="G1548" s="202"/>
      <c r="H1548" s="201"/>
      <c r="I1548" s="156"/>
      <c r="J1548" s="184"/>
      <c r="K1548" s="419"/>
      <c r="L1548" s="184"/>
      <c r="M1548" s="217"/>
      <c r="N1548" s="183"/>
      <c r="O1548" s="226"/>
      <c r="P1548" s="207"/>
      <c r="Q1548" s="569"/>
    </row>
    <row r="1549" spans="1:17" ht="15.75" hidden="1" customHeight="1" outlineLevel="3">
      <c r="A1549" s="274"/>
      <c r="B1549" s="423"/>
      <c r="C1549" s="424" t="s">
        <v>357</v>
      </c>
      <c r="D1549" s="225"/>
      <c r="E1549" s="202"/>
      <c r="F1549" s="202"/>
      <c r="G1549" s="202"/>
      <c r="H1549" s="201"/>
      <c r="I1549" s="156"/>
      <c r="J1549" s="184"/>
      <c r="K1549" s="419"/>
      <c r="L1549" s="184"/>
      <c r="M1549" s="217"/>
      <c r="N1549" s="183"/>
      <c r="O1549" s="226"/>
      <c r="P1549" s="207"/>
      <c r="Q1549" s="569"/>
    </row>
    <row r="1550" spans="1:17" ht="15.75" hidden="1" customHeight="1" outlineLevel="3">
      <c r="A1550" s="274"/>
      <c r="B1550" s="423"/>
      <c r="C1550" s="424" t="s">
        <v>358</v>
      </c>
      <c r="D1550" s="225"/>
      <c r="E1550" s="202"/>
      <c r="F1550" s="202"/>
      <c r="G1550" s="202"/>
      <c r="H1550" s="201"/>
      <c r="I1550" s="203"/>
      <c r="J1550" s="186">
        <v>75000</v>
      </c>
      <c r="K1550" s="419">
        <f>J1550*1.23</f>
        <v>92250</v>
      </c>
      <c r="L1550" s="184"/>
      <c r="M1550" s="217"/>
      <c r="N1550" s="183"/>
      <c r="O1550" s="226"/>
      <c r="P1550" s="150">
        <f t="shared" ref="P1550" si="110">SUM(I1550,K1550,M1550,O1550)</f>
        <v>92250</v>
      </c>
      <c r="Q1550" s="569" t="s">
        <v>1315</v>
      </c>
    </row>
    <row r="1551" spans="1:17" ht="15.75" hidden="1" customHeight="1" outlineLevel="3">
      <c r="A1551" s="274"/>
      <c r="B1551" s="423"/>
      <c r="C1551" s="424" t="s">
        <v>359</v>
      </c>
      <c r="D1551" s="225"/>
      <c r="E1551" s="202"/>
      <c r="F1551" s="202"/>
      <c r="G1551" s="202"/>
      <c r="H1551" s="201"/>
      <c r="I1551" s="156"/>
      <c r="J1551" s="184"/>
      <c r="K1551" s="419"/>
      <c r="L1551" s="184"/>
      <c r="M1551" s="217"/>
      <c r="N1551" s="183"/>
      <c r="O1551" s="226"/>
      <c r="P1551" s="207"/>
      <c r="Q1551" s="569"/>
    </row>
    <row r="1552" spans="1:17" ht="15.75" hidden="1" customHeight="1" outlineLevel="3">
      <c r="A1552" s="274"/>
      <c r="B1552" s="423"/>
      <c r="C1552" s="424" t="s">
        <v>388</v>
      </c>
      <c r="D1552" s="225"/>
      <c r="E1552" s="202"/>
      <c r="F1552" s="202"/>
      <c r="G1552" s="202"/>
      <c r="H1552" s="201"/>
      <c r="I1552" s="156"/>
      <c r="J1552" s="184"/>
      <c r="K1552" s="419"/>
      <c r="L1552" s="184"/>
      <c r="M1552" s="217"/>
      <c r="N1552" s="183"/>
      <c r="O1552" s="226"/>
      <c r="P1552" s="207"/>
      <c r="Q1552" s="569"/>
    </row>
    <row r="1553" spans="1:17" ht="15.75" hidden="1" customHeight="1" outlineLevel="3">
      <c r="A1553" s="274"/>
      <c r="B1553" s="423"/>
      <c r="C1553" s="262" t="s">
        <v>381</v>
      </c>
      <c r="D1553" s="225"/>
      <c r="E1553" s="202"/>
      <c r="F1553" s="202"/>
      <c r="G1553" s="202"/>
      <c r="H1553" s="201"/>
      <c r="I1553" s="156"/>
      <c r="J1553" s="184"/>
      <c r="K1553" s="419"/>
      <c r="L1553" s="184"/>
      <c r="M1553" s="217"/>
      <c r="N1553" s="183"/>
      <c r="O1553" s="226"/>
      <c r="P1553" s="207"/>
      <c r="Q1553" s="569"/>
    </row>
    <row r="1554" spans="1:17" ht="15.75" hidden="1" customHeight="1" outlineLevel="3">
      <c r="A1554" s="274"/>
      <c r="B1554" s="423"/>
      <c r="C1554" s="424" t="s">
        <v>362</v>
      </c>
      <c r="D1554" s="225"/>
      <c r="E1554" s="202"/>
      <c r="F1554" s="202"/>
      <c r="G1554" s="202"/>
      <c r="H1554" s="201"/>
      <c r="I1554" s="156"/>
      <c r="J1554" s="184"/>
      <c r="K1554" s="419"/>
      <c r="L1554" s="184"/>
      <c r="M1554" s="217"/>
      <c r="N1554" s="183"/>
      <c r="O1554" s="226"/>
      <c r="P1554" s="207"/>
      <c r="Q1554" s="569"/>
    </row>
    <row r="1555" spans="1:17" ht="15.75" hidden="1" customHeight="1" outlineLevel="3">
      <c r="A1555" s="274"/>
      <c r="B1555" s="423"/>
      <c r="C1555" s="424" t="s">
        <v>363</v>
      </c>
      <c r="D1555" s="225"/>
      <c r="E1555" s="202"/>
      <c r="F1555" s="202"/>
      <c r="G1555" s="202"/>
      <c r="H1555" s="205"/>
      <c r="I1555" s="156"/>
      <c r="J1555" s="215">
        <v>108000</v>
      </c>
      <c r="K1555" s="419">
        <f>J1555*1.23</f>
        <v>132840</v>
      </c>
      <c r="L1555" s="405"/>
      <c r="M1555" s="217"/>
      <c r="N1555" s="183"/>
      <c r="O1555" s="226"/>
      <c r="P1555" s="150">
        <f t="shared" ref="P1555" si="111">SUM(I1555,K1555,M1555,O1555)</f>
        <v>132840</v>
      </c>
      <c r="Q1555" s="569"/>
    </row>
    <row r="1556" spans="1:17" ht="15.75" hidden="1" customHeight="1" outlineLevel="3">
      <c r="A1556" s="274"/>
      <c r="B1556" s="423"/>
      <c r="C1556" s="424" t="s">
        <v>358</v>
      </c>
      <c r="D1556" s="225"/>
      <c r="E1556" s="202"/>
      <c r="F1556" s="202"/>
      <c r="G1556" s="202"/>
      <c r="H1556" s="201"/>
      <c r="I1556" s="156"/>
      <c r="J1556" s="184"/>
      <c r="K1556" s="419"/>
      <c r="L1556" s="184"/>
      <c r="M1556" s="217"/>
      <c r="N1556" s="183"/>
      <c r="O1556" s="226"/>
      <c r="P1556" s="207"/>
      <c r="Q1556" s="569"/>
    </row>
    <row r="1557" spans="1:17" ht="15.75" hidden="1" customHeight="1" outlineLevel="3">
      <c r="A1557" s="274"/>
      <c r="B1557" s="423"/>
      <c r="C1557" s="424" t="s">
        <v>364</v>
      </c>
      <c r="D1557" s="225"/>
      <c r="E1557" s="202"/>
      <c r="F1557" s="202"/>
      <c r="G1557" s="202"/>
      <c r="H1557" s="201"/>
      <c r="I1557" s="156"/>
      <c r="J1557" s="184"/>
      <c r="K1557" s="419"/>
      <c r="L1557" s="184"/>
      <c r="M1557" s="217"/>
      <c r="N1557" s="183"/>
      <c r="O1557" s="226"/>
      <c r="P1557" s="207"/>
      <c r="Q1557" s="569"/>
    </row>
    <row r="1558" spans="1:17" ht="15.75" hidden="1" customHeight="1" outlineLevel="3">
      <c r="A1558" s="274"/>
      <c r="B1558" s="423"/>
      <c r="C1558" s="262" t="s">
        <v>382</v>
      </c>
      <c r="D1558" s="225"/>
      <c r="E1558" s="202"/>
      <c r="F1558" s="202"/>
      <c r="G1558" s="202"/>
      <c r="H1558" s="201"/>
      <c r="I1558" s="156"/>
      <c r="J1558" s="184"/>
      <c r="K1558" s="419"/>
      <c r="L1558" s="184"/>
      <c r="M1558" s="217"/>
      <c r="N1558" s="183"/>
      <c r="O1558" s="226"/>
      <c r="P1558" s="207"/>
      <c r="Q1558" s="569"/>
    </row>
    <row r="1559" spans="1:17" ht="15.75" hidden="1" customHeight="1" outlineLevel="3">
      <c r="A1559" s="274"/>
      <c r="B1559" s="423"/>
      <c r="C1559" s="424" t="s">
        <v>366</v>
      </c>
      <c r="D1559" s="225"/>
      <c r="E1559" s="202"/>
      <c r="F1559" s="202"/>
      <c r="G1559" s="202"/>
      <c r="H1559" s="201"/>
      <c r="I1559" s="156"/>
      <c r="J1559" s="184"/>
      <c r="K1559" s="419"/>
      <c r="L1559" s="184"/>
      <c r="M1559" s="217"/>
      <c r="N1559" s="183"/>
      <c r="O1559" s="226"/>
      <c r="P1559" s="207"/>
      <c r="Q1559" s="569"/>
    </row>
    <row r="1560" spans="1:17" ht="15.75" hidden="1" customHeight="1" outlineLevel="3">
      <c r="A1560" s="274"/>
      <c r="B1560" s="423"/>
      <c r="C1560" s="424" t="s">
        <v>358</v>
      </c>
      <c r="D1560" s="225"/>
      <c r="E1560" s="202"/>
      <c r="F1560" s="202"/>
      <c r="G1560" s="202"/>
      <c r="H1560" s="201"/>
      <c r="I1560" s="156"/>
      <c r="J1560" s="184"/>
      <c r="K1560" s="419"/>
      <c r="L1560" s="184"/>
      <c r="M1560" s="217"/>
      <c r="N1560" s="183"/>
      <c r="O1560" s="226"/>
      <c r="P1560" s="207"/>
      <c r="Q1560" s="569"/>
    </row>
    <row r="1561" spans="1:17" ht="15.75" hidden="1" customHeight="1" outlineLevel="3">
      <c r="A1561" s="274"/>
      <c r="B1561" s="423"/>
      <c r="C1561" s="424" t="s">
        <v>367</v>
      </c>
      <c r="D1561" s="225"/>
      <c r="E1561" s="202"/>
      <c r="F1561" s="202"/>
      <c r="G1561" s="202"/>
      <c r="H1561" s="201"/>
      <c r="I1561" s="156"/>
      <c r="J1561" s="184">
        <v>106500</v>
      </c>
      <c r="K1561" s="419">
        <f>J1561*1.23</f>
        <v>130995</v>
      </c>
      <c r="L1561" s="184"/>
      <c r="M1561" s="217"/>
      <c r="N1561" s="183"/>
      <c r="O1561" s="226"/>
      <c r="P1561" s="150">
        <f t="shared" ref="P1561" si="112">SUM(I1561,K1561,M1561,O1561)</f>
        <v>130995</v>
      </c>
      <c r="Q1561" s="569"/>
    </row>
    <row r="1562" spans="1:17" ht="15.75" hidden="1" customHeight="1" outlineLevel="3">
      <c r="A1562" s="274"/>
      <c r="B1562" s="423"/>
      <c r="C1562" s="424" t="s">
        <v>368</v>
      </c>
      <c r="D1562" s="225"/>
      <c r="E1562" s="202"/>
      <c r="F1562" s="202"/>
      <c r="G1562" s="202"/>
      <c r="H1562" s="201"/>
      <c r="I1562" s="156"/>
      <c r="J1562" s="184"/>
      <c r="K1562" s="419"/>
      <c r="L1562" s="184"/>
      <c r="M1562" s="217"/>
      <c r="N1562" s="183"/>
      <c r="O1562" s="226"/>
      <c r="P1562" s="207"/>
      <c r="Q1562" s="569"/>
    </row>
    <row r="1563" spans="1:17" ht="15.75" hidden="1" customHeight="1" outlineLevel="3">
      <c r="A1563" s="274"/>
      <c r="B1563" s="423"/>
      <c r="C1563" s="262" t="s">
        <v>383</v>
      </c>
      <c r="D1563" s="225"/>
      <c r="E1563" s="202"/>
      <c r="F1563" s="202"/>
      <c r="G1563" s="202"/>
      <c r="H1563" s="201"/>
      <c r="I1563" s="156"/>
      <c r="J1563" s="184"/>
      <c r="K1563" s="419"/>
      <c r="L1563" s="184"/>
      <c r="M1563" s="217"/>
      <c r="N1563" s="183"/>
      <c r="O1563" s="226"/>
      <c r="P1563" s="207"/>
      <c r="Q1563" s="569"/>
    </row>
    <row r="1564" spans="1:17" ht="15.75" hidden="1" customHeight="1" outlineLevel="3">
      <c r="A1564" s="274"/>
      <c r="B1564" s="423"/>
      <c r="C1564" s="424" t="s">
        <v>370</v>
      </c>
      <c r="D1564" s="225"/>
      <c r="E1564" s="202"/>
      <c r="F1564" s="202"/>
      <c r="G1564" s="202"/>
      <c r="H1564" s="201"/>
      <c r="I1564" s="156"/>
      <c r="J1564" s="184"/>
      <c r="K1564" s="419"/>
      <c r="L1564" s="184"/>
      <c r="M1564" s="217"/>
      <c r="N1564" s="183"/>
      <c r="O1564" s="226"/>
      <c r="P1564" s="207"/>
      <c r="Q1564" s="569" t="s">
        <v>1316</v>
      </c>
    </row>
    <row r="1565" spans="1:17" ht="15.75" hidden="1" customHeight="1" outlineLevel="3">
      <c r="A1565" s="274"/>
      <c r="B1565" s="423"/>
      <c r="C1565" s="424" t="s">
        <v>371</v>
      </c>
      <c r="D1565" s="225"/>
      <c r="E1565" s="202"/>
      <c r="F1565" s="202"/>
      <c r="G1565" s="202"/>
      <c r="H1565" s="201"/>
      <c r="I1565" s="156"/>
      <c r="J1565" s="184"/>
      <c r="K1565" s="419"/>
      <c r="L1565" s="184"/>
      <c r="M1565" s="217"/>
      <c r="N1565" s="183"/>
      <c r="O1565" s="226"/>
      <c r="P1565" s="207"/>
      <c r="Q1565" s="569"/>
    </row>
    <row r="1566" spans="1:17" ht="15.75" hidden="1" customHeight="1" outlineLevel="3">
      <c r="A1566" s="274"/>
      <c r="B1566" s="423"/>
      <c r="C1566" s="424" t="s">
        <v>372</v>
      </c>
      <c r="D1566" s="225"/>
      <c r="E1566" s="202"/>
      <c r="F1566" s="202"/>
      <c r="G1566" s="202"/>
      <c r="H1566" s="201"/>
      <c r="I1566" s="156"/>
      <c r="J1566" s="184"/>
      <c r="K1566" s="419"/>
      <c r="L1566" s="184"/>
      <c r="M1566" s="217"/>
      <c r="N1566" s="183"/>
      <c r="O1566" s="226"/>
      <c r="P1566" s="207"/>
      <c r="Q1566" s="569"/>
    </row>
    <row r="1567" spans="1:17" ht="15.75" hidden="1" customHeight="1" outlineLevel="3">
      <c r="A1567" s="274"/>
      <c r="B1567" s="423"/>
      <c r="C1567" s="424" t="s">
        <v>373</v>
      </c>
      <c r="D1567" s="225"/>
      <c r="E1567" s="202"/>
      <c r="F1567" s="202"/>
      <c r="G1567" s="202"/>
      <c r="H1567" s="201"/>
      <c r="I1567" s="156"/>
      <c r="J1567" s="184"/>
      <c r="K1567" s="419"/>
      <c r="L1567" s="184"/>
      <c r="M1567" s="217"/>
      <c r="N1567" s="183"/>
      <c r="O1567" s="226"/>
      <c r="P1567" s="207"/>
      <c r="Q1567" s="568"/>
    </row>
    <row r="1568" spans="1:17" ht="15.75" hidden="1" customHeight="1" outlineLevel="3">
      <c r="A1568" s="274"/>
      <c r="B1568" s="423"/>
      <c r="C1568" s="262" t="s">
        <v>384</v>
      </c>
      <c r="D1568" s="225"/>
      <c r="E1568" s="202"/>
      <c r="F1568" s="202"/>
      <c r="G1568" s="202"/>
      <c r="H1568" s="201"/>
      <c r="I1568" s="156"/>
      <c r="J1568" s="184"/>
      <c r="K1568" s="419"/>
      <c r="L1568" s="184"/>
      <c r="M1568" s="217"/>
      <c r="N1568" s="183"/>
      <c r="O1568" s="226"/>
      <c r="P1568" s="207"/>
      <c r="Q1568" s="569"/>
    </row>
    <row r="1569" spans="1:17" ht="15.75" hidden="1" customHeight="1" outlineLevel="3">
      <c r="A1569" s="274"/>
      <c r="B1569" s="423"/>
      <c r="C1569" s="425" t="s">
        <v>375</v>
      </c>
      <c r="D1569" s="225"/>
      <c r="E1569" s="202"/>
      <c r="F1569" s="202"/>
      <c r="G1569" s="202"/>
      <c r="H1569" s="201"/>
      <c r="I1569" s="156"/>
      <c r="J1569" s="184"/>
      <c r="K1569" s="419"/>
      <c r="L1569" s="184"/>
      <c r="M1569" s="217"/>
      <c r="N1569" s="183"/>
      <c r="O1569" s="226"/>
      <c r="P1569" s="207"/>
      <c r="Q1569" s="569"/>
    </row>
    <row r="1570" spans="1:17" ht="15.75" hidden="1" customHeight="1" outlineLevel="3">
      <c r="A1570" s="274"/>
      <c r="B1570" s="423"/>
      <c r="C1570" s="425" t="s">
        <v>376</v>
      </c>
      <c r="D1570" s="225"/>
      <c r="E1570" s="202"/>
      <c r="F1570" s="202"/>
      <c r="G1570" s="202"/>
      <c r="H1570" s="201"/>
      <c r="I1570" s="156"/>
      <c r="J1570" s="184"/>
      <c r="K1570" s="419"/>
      <c r="L1570" s="184"/>
      <c r="M1570" s="217"/>
      <c r="N1570" s="183"/>
      <c r="O1570" s="226"/>
      <c r="P1570" s="207"/>
      <c r="Q1570" s="569"/>
    </row>
    <row r="1571" spans="1:17" ht="15.75" hidden="1" customHeight="1" outlineLevel="3">
      <c r="A1571" s="274"/>
      <c r="B1571" s="423"/>
      <c r="C1571" s="425" t="s">
        <v>377</v>
      </c>
      <c r="D1571" s="225"/>
      <c r="E1571" s="202"/>
      <c r="F1571" s="202"/>
      <c r="G1571" s="202"/>
      <c r="H1571" s="201"/>
      <c r="I1571" s="156"/>
      <c r="J1571" s="184"/>
      <c r="K1571" s="419"/>
      <c r="L1571" s="184"/>
      <c r="M1571" s="217"/>
      <c r="N1571" s="183"/>
      <c r="O1571" s="226"/>
      <c r="P1571" s="207"/>
      <c r="Q1571" s="569"/>
    </row>
    <row r="1572" spans="1:17" ht="15.75" hidden="1" customHeight="1" outlineLevel="3">
      <c r="A1572" s="274"/>
      <c r="B1572" s="423"/>
      <c r="C1572" s="425" t="s">
        <v>400</v>
      </c>
      <c r="D1572" s="225"/>
      <c r="E1572" s="202"/>
      <c r="F1572" s="202"/>
      <c r="G1572" s="202"/>
      <c r="H1572" s="201"/>
      <c r="I1572" s="156"/>
      <c r="J1572" s="184">
        <v>202500</v>
      </c>
      <c r="K1572" s="419">
        <f t="shared" ref="K1572:K1573" si="113">J1572*1.23</f>
        <v>249075</v>
      </c>
      <c r="L1572" s="184"/>
      <c r="M1572" s="217"/>
      <c r="N1572" s="183"/>
      <c r="O1572" s="226"/>
      <c r="P1572" s="150">
        <f t="shared" ref="P1572:P1573" si="114">SUM(I1572,K1572,M1572,O1572)</f>
        <v>249075</v>
      </c>
      <c r="Q1572" s="568"/>
    </row>
    <row r="1573" spans="1:17" ht="15.75" hidden="1" customHeight="1" outlineLevel="2" collapsed="1">
      <c r="A1573" s="274"/>
      <c r="B1573" s="423"/>
      <c r="C1573" s="262" t="s">
        <v>442</v>
      </c>
      <c r="D1573" s="225"/>
      <c r="E1573" s="222"/>
      <c r="F1573" s="222"/>
      <c r="G1573" s="222"/>
      <c r="H1573" s="417"/>
      <c r="I1573" s="207"/>
      <c r="J1573" s="184">
        <f>SUM(J1547:J1572)</f>
        <v>492000</v>
      </c>
      <c r="K1573" s="222">
        <f t="shared" si="113"/>
        <v>605160</v>
      </c>
      <c r="L1573" s="184"/>
      <c r="M1573" s="217"/>
      <c r="N1573" s="183"/>
      <c r="O1573" s="226"/>
      <c r="P1573" s="150">
        <f t="shared" si="114"/>
        <v>605160</v>
      </c>
      <c r="Q1573" s="569" t="s">
        <v>1317</v>
      </c>
    </row>
    <row r="1574" spans="1:17" s="211" customFormat="1" ht="15.75" hidden="1" customHeight="1" outlineLevel="4">
      <c r="A1574" s="551"/>
      <c r="B1574" s="262" t="s">
        <v>443</v>
      </c>
      <c r="C1574" s="422"/>
      <c r="D1574" s="187"/>
      <c r="E1574" s="185"/>
      <c r="F1574" s="185"/>
      <c r="G1574" s="185"/>
      <c r="H1574" s="205"/>
      <c r="I1574" s="156"/>
      <c r="J1574" s="184"/>
      <c r="K1574" s="419"/>
      <c r="L1574" s="147"/>
      <c r="M1574" s="219"/>
      <c r="N1574" s="149"/>
      <c r="O1574" s="226"/>
      <c r="P1574" s="150"/>
      <c r="Q1574" s="569"/>
    </row>
    <row r="1575" spans="1:17" ht="15.75" hidden="1" customHeight="1" outlineLevel="4">
      <c r="A1575" s="274"/>
      <c r="B1575" s="423"/>
      <c r="C1575" s="262" t="s">
        <v>380</v>
      </c>
      <c r="D1575" s="225"/>
      <c r="E1575" s="202"/>
      <c r="F1575" s="202"/>
      <c r="G1575" s="202"/>
      <c r="H1575" s="201"/>
      <c r="I1575" s="156"/>
      <c r="J1575" s="184"/>
      <c r="K1575" s="419"/>
      <c r="L1575" s="184"/>
      <c r="M1575" s="219"/>
      <c r="N1575" s="183"/>
      <c r="O1575" s="226"/>
      <c r="P1575" s="207"/>
      <c r="Q1575" s="569"/>
    </row>
    <row r="1576" spans="1:17" ht="15.75" hidden="1" customHeight="1" outlineLevel="4">
      <c r="A1576" s="274"/>
      <c r="B1576" s="423"/>
      <c r="C1576" s="424" t="s">
        <v>396</v>
      </c>
      <c r="D1576" s="225"/>
      <c r="E1576" s="202"/>
      <c r="F1576" s="202"/>
      <c r="G1576" s="202"/>
      <c r="H1576" s="201"/>
      <c r="I1576" s="156"/>
      <c r="J1576" s="184"/>
      <c r="K1576" s="419"/>
      <c r="L1576" s="184"/>
      <c r="M1576" s="219"/>
      <c r="N1576" s="183"/>
      <c r="O1576" s="226"/>
      <c r="P1576" s="207"/>
      <c r="Q1576" s="569"/>
    </row>
    <row r="1577" spans="1:17" ht="15.75" hidden="1" customHeight="1" outlineLevel="4">
      <c r="A1577" s="274"/>
      <c r="B1577" s="423"/>
      <c r="C1577" s="424" t="s">
        <v>357</v>
      </c>
      <c r="D1577" s="225"/>
      <c r="E1577" s="202"/>
      <c r="F1577" s="202"/>
      <c r="G1577" s="202"/>
      <c r="H1577" s="201"/>
      <c r="I1577" s="156"/>
      <c r="J1577" s="184"/>
      <c r="K1577" s="419"/>
      <c r="L1577" s="184"/>
      <c r="M1577" s="219"/>
      <c r="N1577" s="183"/>
      <c r="O1577" s="226"/>
      <c r="P1577" s="207"/>
      <c r="Q1577" s="569"/>
    </row>
    <row r="1578" spans="1:17" ht="15.75" hidden="1" customHeight="1" outlineLevel="4">
      <c r="A1578" s="274"/>
      <c r="B1578" s="423"/>
      <c r="C1578" s="424" t="s">
        <v>358</v>
      </c>
      <c r="D1578" s="225"/>
      <c r="E1578" s="202"/>
      <c r="F1578" s="202"/>
      <c r="G1578" s="202"/>
      <c r="H1578" s="201"/>
      <c r="I1578" s="203"/>
      <c r="J1578" s="186"/>
      <c r="K1578" s="419"/>
      <c r="L1578" s="184"/>
      <c r="M1578" s="219"/>
      <c r="N1578" s="183"/>
      <c r="O1578" s="226"/>
      <c r="P1578" s="207"/>
      <c r="Q1578" s="569"/>
    </row>
    <row r="1579" spans="1:17" ht="15.75" hidden="1" customHeight="1" outlineLevel="4">
      <c r="A1579" s="274"/>
      <c r="B1579" s="423"/>
      <c r="C1579" s="424" t="s">
        <v>359</v>
      </c>
      <c r="D1579" s="225"/>
      <c r="E1579" s="202"/>
      <c r="F1579" s="202"/>
      <c r="G1579" s="202"/>
      <c r="H1579" s="201"/>
      <c r="I1579" s="156"/>
      <c r="J1579" s="184"/>
      <c r="K1579" s="419"/>
      <c r="L1579" s="184"/>
      <c r="M1579" s="219"/>
      <c r="N1579" s="183"/>
      <c r="O1579" s="226"/>
      <c r="P1579" s="207"/>
      <c r="Q1579" s="569"/>
    </row>
    <row r="1580" spans="1:17" ht="15.75" hidden="1" customHeight="1" outlineLevel="4">
      <c r="A1580" s="274"/>
      <c r="B1580" s="423"/>
      <c r="C1580" s="424" t="s">
        <v>388</v>
      </c>
      <c r="D1580" s="225"/>
      <c r="E1580" s="202"/>
      <c r="F1580" s="202"/>
      <c r="G1580" s="202"/>
      <c r="H1580" s="201"/>
      <c r="I1580" s="156"/>
      <c r="J1580" s="184"/>
      <c r="K1580" s="419"/>
      <c r="L1580" s="184"/>
      <c r="M1580" s="219"/>
      <c r="N1580" s="183"/>
      <c r="O1580" s="226"/>
      <c r="P1580" s="207"/>
      <c r="Q1580" s="569"/>
    </row>
    <row r="1581" spans="1:17" ht="15.75" hidden="1" customHeight="1" outlineLevel="4">
      <c r="A1581" s="274"/>
      <c r="B1581" s="423"/>
      <c r="C1581" s="262" t="s">
        <v>381</v>
      </c>
      <c r="D1581" s="225"/>
      <c r="E1581" s="202"/>
      <c r="F1581" s="202"/>
      <c r="G1581" s="202"/>
      <c r="H1581" s="201"/>
      <c r="I1581" s="156"/>
      <c r="J1581" s="184"/>
      <c r="K1581" s="419"/>
      <c r="L1581" s="184"/>
      <c r="M1581" s="219"/>
      <c r="N1581" s="183"/>
      <c r="O1581" s="226"/>
      <c r="P1581" s="207"/>
      <c r="Q1581" s="569"/>
    </row>
    <row r="1582" spans="1:17" ht="15.75" hidden="1" customHeight="1" outlineLevel="4">
      <c r="A1582" s="274"/>
      <c r="B1582" s="423"/>
      <c r="C1582" s="424" t="s">
        <v>362</v>
      </c>
      <c r="D1582" s="225"/>
      <c r="E1582" s="202"/>
      <c r="F1582" s="202"/>
      <c r="G1582" s="202"/>
      <c r="H1582" s="201"/>
      <c r="I1582" s="156"/>
      <c r="J1582" s="184"/>
      <c r="K1582" s="419"/>
      <c r="L1582" s="184"/>
      <c r="M1582" s="219"/>
      <c r="N1582" s="183"/>
      <c r="O1582" s="226"/>
      <c r="P1582" s="207"/>
      <c r="Q1582" s="569"/>
    </row>
    <row r="1583" spans="1:17" ht="15.75" hidden="1" customHeight="1" outlineLevel="4">
      <c r="A1583" s="274"/>
      <c r="B1583" s="423"/>
      <c r="C1583" s="424" t="s">
        <v>363</v>
      </c>
      <c r="D1583" s="225"/>
      <c r="E1583" s="202"/>
      <c r="F1583" s="202"/>
      <c r="G1583" s="202"/>
      <c r="H1583" s="201"/>
      <c r="I1583" s="156"/>
      <c r="J1583" s="184"/>
      <c r="K1583" s="419"/>
      <c r="L1583" s="405"/>
      <c r="M1583" s="219"/>
      <c r="N1583" s="183"/>
      <c r="O1583" s="226"/>
      <c r="P1583" s="207"/>
      <c r="Q1583" s="569"/>
    </row>
    <row r="1584" spans="1:17" ht="15.75" hidden="1" customHeight="1" outlineLevel="4">
      <c r="A1584" s="274"/>
      <c r="B1584" s="423"/>
      <c r="C1584" s="424" t="s">
        <v>358</v>
      </c>
      <c r="D1584" s="225"/>
      <c r="E1584" s="202"/>
      <c r="F1584" s="202"/>
      <c r="G1584" s="202"/>
      <c r="H1584" s="201"/>
      <c r="I1584" s="156"/>
      <c r="J1584" s="184"/>
      <c r="K1584" s="419"/>
      <c r="L1584" s="184"/>
      <c r="M1584" s="219"/>
      <c r="N1584" s="183"/>
      <c r="O1584" s="226"/>
      <c r="P1584" s="207"/>
      <c r="Q1584" s="569"/>
    </row>
    <row r="1585" spans="1:17" ht="15.75" hidden="1" customHeight="1" outlineLevel="4">
      <c r="A1585" s="274"/>
      <c r="B1585" s="423"/>
      <c r="C1585" s="424" t="s">
        <v>364</v>
      </c>
      <c r="D1585" s="225"/>
      <c r="E1585" s="202"/>
      <c r="F1585" s="202"/>
      <c r="G1585" s="202"/>
      <c r="H1585" s="201"/>
      <c r="I1585" s="156"/>
      <c r="J1585" s="185">
        <v>84000</v>
      </c>
      <c r="K1585" s="419">
        <f>J1585*1.23</f>
        <v>103320</v>
      </c>
      <c r="L1585" s="159"/>
      <c r="M1585" s="219"/>
      <c r="N1585" s="183"/>
      <c r="O1585" s="226"/>
      <c r="P1585" s="150">
        <f t="shared" ref="P1585" si="115">SUM(I1585,K1585,M1585,O1585)</f>
        <v>103320</v>
      </c>
      <c r="Q1585" s="569"/>
    </row>
    <row r="1586" spans="1:17" ht="15.75" hidden="1" customHeight="1" outlineLevel="4">
      <c r="A1586" s="274"/>
      <c r="B1586" s="423"/>
      <c r="C1586" s="262" t="s">
        <v>382</v>
      </c>
      <c r="D1586" s="225"/>
      <c r="E1586" s="202"/>
      <c r="F1586" s="202"/>
      <c r="G1586" s="202"/>
      <c r="H1586" s="201"/>
      <c r="I1586" s="156"/>
      <c r="J1586" s="184"/>
      <c r="K1586" s="419"/>
      <c r="L1586" s="184"/>
      <c r="M1586" s="219"/>
      <c r="N1586" s="183"/>
      <c r="O1586" s="226"/>
      <c r="P1586" s="207"/>
      <c r="Q1586" s="569"/>
    </row>
    <row r="1587" spans="1:17" ht="15.75" hidden="1" customHeight="1" outlineLevel="4">
      <c r="A1587" s="274"/>
      <c r="B1587" s="423"/>
      <c r="C1587" s="424" t="s">
        <v>366</v>
      </c>
      <c r="D1587" s="225"/>
      <c r="E1587" s="202"/>
      <c r="F1587" s="202"/>
      <c r="G1587" s="202"/>
      <c r="H1587" s="201"/>
      <c r="I1587" s="156"/>
      <c r="J1587" s="184"/>
      <c r="K1587" s="419"/>
      <c r="L1587" s="184"/>
      <c r="M1587" s="219"/>
      <c r="N1587" s="183"/>
      <c r="O1587" s="226"/>
      <c r="P1587" s="207"/>
      <c r="Q1587" s="569"/>
    </row>
    <row r="1588" spans="1:17" ht="15.75" hidden="1" customHeight="1" outlineLevel="4">
      <c r="A1588" s="274"/>
      <c r="B1588" s="423"/>
      <c r="C1588" s="424" t="s">
        <v>358</v>
      </c>
      <c r="D1588" s="225"/>
      <c r="E1588" s="202"/>
      <c r="F1588" s="202"/>
      <c r="G1588" s="202"/>
      <c r="H1588" s="201"/>
      <c r="I1588" s="156"/>
      <c r="J1588" s="184"/>
      <c r="K1588" s="419"/>
      <c r="L1588" s="184"/>
      <c r="M1588" s="219"/>
      <c r="N1588" s="183"/>
      <c r="O1588" s="226"/>
      <c r="P1588" s="207"/>
      <c r="Q1588" s="569"/>
    </row>
    <row r="1589" spans="1:17" ht="15.75" hidden="1" customHeight="1" outlineLevel="4">
      <c r="A1589" s="274"/>
      <c r="B1589" s="423"/>
      <c r="C1589" s="424" t="s">
        <v>367</v>
      </c>
      <c r="D1589" s="225"/>
      <c r="E1589" s="202"/>
      <c r="F1589" s="202"/>
      <c r="G1589" s="202"/>
      <c r="H1589" s="201"/>
      <c r="I1589" s="156"/>
      <c r="J1589" s="184"/>
      <c r="K1589" s="419"/>
      <c r="L1589" s="184"/>
      <c r="M1589" s="219"/>
      <c r="N1589" s="183"/>
      <c r="O1589" s="226"/>
      <c r="P1589" s="207"/>
      <c r="Q1589" s="569"/>
    </row>
    <row r="1590" spans="1:17" ht="15.75" hidden="1" customHeight="1" outlineLevel="4">
      <c r="A1590" s="274"/>
      <c r="B1590" s="423"/>
      <c r="C1590" s="424" t="s">
        <v>368</v>
      </c>
      <c r="D1590" s="225"/>
      <c r="E1590" s="202"/>
      <c r="F1590" s="202"/>
      <c r="G1590" s="202"/>
      <c r="H1590" s="201"/>
      <c r="I1590" s="156"/>
      <c r="J1590" s="184"/>
      <c r="K1590" s="419"/>
      <c r="L1590" s="184"/>
      <c r="M1590" s="219"/>
      <c r="N1590" s="183"/>
      <c r="O1590" s="226"/>
      <c r="P1590" s="150"/>
      <c r="Q1590" s="569"/>
    </row>
    <row r="1591" spans="1:17" ht="15.75" hidden="1" customHeight="1" outlineLevel="4">
      <c r="A1591" s="274"/>
      <c r="B1591" s="423"/>
      <c r="C1591" s="262" t="s">
        <v>383</v>
      </c>
      <c r="D1591" s="225"/>
      <c r="E1591" s="202"/>
      <c r="F1591" s="202"/>
      <c r="G1591" s="202"/>
      <c r="H1591" s="201"/>
      <c r="I1591" s="156"/>
      <c r="J1591" s="184"/>
      <c r="K1591" s="419"/>
      <c r="L1591" s="184"/>
      <c r="M1591" s="219"/>
      <c r="N1591" s="183"/>
      <c r="O1591" s="226"/>
      <c r="P1591" s="207"/>
      <c r="Q1591" s="569"/>
    </row>
    <row r="1592" spans="1:17" ht="15.75" hidden="1" customHeight="1" outlineLevel="4">
      <c r="A1592" s="274"/>
      <c r="B1592" s="423"/>
      <c r="C1592" s="424" t="s">
        <v>370</v>
      </c>
      <c r="D1592" s="225"/>
      <c r="E1592" s="202"/>
      <c r="F1592" s="202"/>
      <c r="G1592" s="202"/>
      <c r="H1592" s="201"/>
      <c r="I1592" s="156"/>
      <c r="J1592" s="184"/>
      <c r="K1592" s="419"/>
      <c r="L1592" s="184"/>
      <c r="M1592" s="219"/>
      <c r="N1592" s="183"/>
      <c r="O1592" s="226"/>
      <c r="P1592" s="207"/>
      <c r="Q1592" s="569"/>
    </row>
    <row r="1593" spans="1:17" ht="15.75" hidden="1" customHeight="1" outlineLevel="4">
      <c r="A1593" s="274"/>
      <c r="B1593" s="423"/>
      <c r="C1593" s="424" t="s">
        <v>371</v>
      </c>
      <c r="D1593" s="225"/>
      <c r="E1593" s="202"/>
      <c r="F1593" s="202"/>
      <c r="G1593" s="202"/>
      <c r="H1593" s="201"/>
      <c r="I1593" s="156"/>
      <c r="J1593" s="184"/>
      <c r="K1593" s="419"/>
      <c r="L1593" s="184"/>
      <c r="M1593" s="219"/>
      <c r="N1593" s="183"/>
      <c r="O1593" s="226"/>
      <c r="P1593" s="207"/>
      <c r="Q1593" s="569"/>
    </row>
    <row r="1594" spans="1:17" ht="15.75" hidden="1" customHeight="1" outlineLevel="4">
      <c r="A1594" s="274"/>
      <c r="B1594" s="423"/>
      <c r="C1594" s="424" t="s">
        <v>372</v>
      </c>
      <c r="D1594" s="225"/>
      <c r="E1594" s="202"/>
      <c r="F1594" s="202"/>
      <c r="G1594" s="202"/>
      <c r="H1594" s="201"/>
      <c r="I1594" s="156"/>
      <c r="J1594" s="184"/>
      <c r="K1594" s="419"/>
      <c r="L1594" s="184"/>
      <c r="M1594" s="219"/>
      <c r="N1594" s="183"/>
      <c r="O1594" s="226"/>
      <c r="P1594" s="207"/>
      <c r="Q1594" s="569"/>
    </row>
    <row r="1595" spans="1:17" ht="15.75" hidden="1" customHeight="1" outlineLevel="4">
      <c r="A1595" s="274"/>
      <c r="B1595" s="423"/>
      <c r="C1595" s="424" t="s">
        <v>373</v>
      </c>
      <c r="D1595" s="225"/>
      <c r="E1595" s="202"/>
      <c r="F1595" s="202"/>
      <c r="G1595" s="202"/>
      <c r="H1595" s="201"/>
      <c r="I1595" s="156"/>
      <c r="J1595" s="184"/>
      <c r="K1595" s="419"/>
      <c r="L1595" s="184"/>
      <c r="M1595" s="219"/>
      <c r="N1595" s="183"/>
      <c r="O1595" s="226"/>
      <c r="P1595" s="207"/>
      <c r="Q1595" s="568"/>
    </row>
    <row r="1596" spans="1:17" ht="15.75" hidden="1" customHeight="1" outlineLevel="4">
      <c r="A1596" s="274"/>
      <c r="B1596" s="423"/>
      <c r="C1596" s="262" t="s">
        <v>384</v>
      </c>
      <c r="D1596" s="225"/>
      <c r="E1596" s="202"/>
      <c r="F1596" s="202"/>
      <c r="G1596" s="202"/>
      <c r="H1596" s="201"/>
      <c r="I1596" s="156"/>
      <c r="J1596" s="184"/>
      <c r="K1596" s="419"/>
      <c r="L1596" s="184"/>
      <c r="M1596" s="219"/>
      <c r="N1596" s="183"/>
      <c r="O1596" s="226"/>
      <c r="P1596" s="207"/>
      <c r="Q1596" s="569"/>
    </row>
    <row r="1597" spans="1:17" ht="15.75" hidden="1" customHeight="1" outlineLevel="4">
      <c r="A1597" s="274"/>
      <c r="B1597" s="423"/>
      <c r="C1597" s="425" t="s">
        <v>375</v>
      </c>
      <c r="D1597" s="225"/>
      <c r="E1597" s="202"/>
      <c r="F1597" s="202"/>
      <c r="G1597" s="202"/>
      <c r="H1597" s="201"/>
      <c r="I1597" s="156"/>
      <c r="J1597" s="184"/>
      <c r="K1597" s="419"/>
      <c r="L1597" s="184"/>
      <c r="M1597" s="219"/>
      <c r="N1597" s="183"/>
      <c r="O1597" s="226"/>
      <c r="P1597" s="207"/>
      <c r="Q1597" s="569"/>
    </row>
    <row r="1598" spans="1:17" ht="15.75" hidden="1" customHeight="1" outlineLevel="4">
      <c r="A1598" s="274"/>
      <c r="B1598" s="423"/>
      <c r="C1598" s="425" t="s">
        <v>376</v>
      </c>
      <c r="D1598" s="225"/>
      <c r="E1598" s="202"/>
      <c r="F1598" s="202"/>
      <c r="G1598" s="202"/>
      <c r="H1598" s="201"/>
      <c r="I1598" s="156"/>
      <c r="J1598" s="184">
        <v>80000</v>
      </c>
      <c r="K1598" s="419">
        <f>J1598*1.23</f>
        <v>98400</v>
      </c>
      <c r="L1598" s="184"/>
      <c r="M1598" s="219"/>
      <c r="N1598" s="183"/>
      <c r="O1598" s="226"/>
      <c r="P1598" s="150">
        <f t="shared" ref="P1598" si="116">SUM(I1598,K1598,M1598,O1598)</f>
        <v>98400</v>
      </c>
      <c r="Q1598" s="569" t="s">
        <v>1318</v>
      </c>
    </row>
    <row r="1599" spans="1:17" ht="15.75" hidden="1" customHeight="1" outlineLevel="4">
      <c r="A1599" s="274"/>
      <c r="B1599" s="423"/>
      <c r="C1599" s="425" t="s">
        <v>377</v>
      </c>
      <c r="D1599" s="225"/>
      <c r="E1599" s="202"/>
      <c r="F1599" s="202"/>
      <c r="G1599" s="202"/>
      <c r="H1599" s="201"/>
      <c r="I1599" s="156"/>
      <c r="J1599" s="184"/>
      <c r="K1599" s="419"/>
      <c r="L1599" s="184"/>
      <c r="M1599" s="219"/>
      <c r="N1599" s="183"/>
      <c r="O1599" s="226"/>
      <c r="P1599" s="207"/>
      <c r="Q1599" s="569"/>
    </row>
    <row r="1600" spans="1:17" ht="15.75" hidden="1" customHeight="1" outlineLevel="4">
      <c r="A1600" s="274"/>
      <c r="B1600" s="423"/>
      <c r="C1600" s="425" t="s">
        <v>400</v>
      </c>
      <c r="D1600" s="187">
        <f>CIP!$AM$27</f>
        <v>275000</v>
      </c>
      <c r="E1600" s="202"/>
      <c r="F1600" s="202"/>
      <c r="G1600" s="202"/>
      <c r="H1600" s="201"/>
      <c r="I1600" s="156">
        <f>SUM(D1600:H1600)</f>
        <v>275000</v>
      </c>
      <c r="J1600" s="184"/>
      <c r="K1600" s="419"/>
      <c r="L1600" s="184"/>
      <c r="M1600" s="219"/>
      <c r="N1600" s="183"/>
      <c r="O1600" s="226"/>
      <c r="P1600" s="150">
        <f t="shared" ref="P1600:P1601" si="117">SUM(I1600,K1600,M1600,O1600)</f>
        <v>275000</v>
      </c>
      <c r="Q1600" s="568"/>
    </row>
    <row r="1601" spans="1:17" ht="15.75" hidden="1" customHeight="1" outlineLevel="2" collapsed="1">
      <c r="A1601" s="274"/>
      <c r="B1601" s="423"/>
      <c r="C1601" s="262" t="s">
        <v>443</v>
      </c>
      <c r="D1601" s="296">
        <f>SUM(D1575:D1600)</f>
        <v>275000</v>
      </c>
      <c r="E1601" s="222"/>
      <c r="F1601" s="222"/>
      <c r="G1601" s="222"/>
      <c r="H1601" s="417"/>
      <c r="I1601" s="207">
        <f>SUM(I1575:I1600)</f>
        <v>275000</v>
      </c>
      <c r="J1601" s="184">
        <f>SUM(J1575:J1600)</f>
        <v>164000</v>
      </c>
      <c r="K1601" s="222">
        <f>J1601*1.23</f>
        <v>201720</v>
      </c>
      <c r="L1601" s="184"/>
      <c r="M1601" s="217"/>
      <c r="N1601" s="183"/>
      <c r="O1601" s="226"/>
      <c r="P1601" s="150">
        <f t="shared" si="117"/>
        <v>476720</v>
      </c>
      <c r="Q1601" s="568"/>
    </row>
    <row r="1602" spans="1:17" s="211" customFormat="1" ht="15.75" hidden="1" customHeight="1" outlineLevel="3">
      <c r="A1602" s="551"/>
      <c r="B1602" s="262" t="s">
        <v>444</v>
      </c>
      <c r="C1602" s="422"/>
      <c r="D1602" s="187"/>
      <c r="E1602" s="185"/>
      <c r="F1602" s="185"/>
      <c r="G1602" s="185"/>
      <c r="H1602" s="205"/>
      <c r="I1602" s="156"/>
      <c r="J1602" s="184"/>
      <c r="K1602" s="419"/>
      <c r="L1602" s="147"/>
      <c r="M1602" s="219"/>
      <c r="N1602" s="149"/>
      <c r="O1602" s="226"/>
      <c r="P1602" s="150"/>
      <c r="Q1602" s="569"/>
    </row>
    <row r="1603" spans="1:17" ht="15.75" hidden="1" customHeight="1" outlineLevel="3">
      <c r="A1603" s="274"/>
      <c r="B1603" s="423"/>
      <c r="C1603" s="262" t="s">
        <v>380</v>
      </c>
      <c r="D1603" s="225"/>
      <c r="E1603" s="202"/>
      <c r="F1603" s="202"/>
      <c r="G1603" s="202"/>
      <c r="H1603" s="201"/>
      <c r="I1603" s="156"/>
      <c r="J1603" s="184"/>
      <c r="K1603" s="419"/>
      <c r="L1603" s="184"/>
      <c r="M1603" s="219"/>
      <c r="N1603" s="183"/>
      <c r="O1603" s="226"/>
      <c r="P1603" s="207"/>
      <c r="Q1603" s="569"/>
    </row>
    <row r="1604" spans="1:17" ht="15.75" hidden="1" customHeight="1" outlineLevel="3">
      <c r="A1604" s="274"/>
      <c r="B1604" s="423"/>
      <c r="C1604" s="424" t="s">
        <v>396</v>
      </c>
      <c r="D1604" s="225"/>
      <c r="E1604" s="202"/>
      <c r="F1604" s="185">
        <f>CIP!$AO$84</f>
        <v>160683.74999999997</v>
      </c>
      <c r="G1604" s="202"/>
      <c r="H1604" s="201"/>
      <c r="I1604" s="156">
        <f>SUM(D1604:H1604)</f>
        <v>160683.74999999997</v>
      </c>
      <c r="J1604" s="184"/>
      <c r="K1604" s="419"/>
      <c r="L1604" s="184"/>
      <c r="M1604" s="219"/>
      <c r="N1604" s="183"/>
      <c r="O1604" s="226"/>
      <c r="P1604" s="150">
        <f t="shared" ref="P1604:P1606" si="118">SUM(I1604,K1604,M1604,O1604)</f>
        <v>160683.74999999997</v>
      </c>
      <c r="Q1604" s="569"/>
    </row>
    <row r="1605" spans="1:17" ht="15.75" hidden="1" customHeight="1" outlineLevel="3">
      <c r="A1605" s="274"/>
      <c r="B1605" s="423"/>
      <c r="C1605" s="424" t="s">
        <v>357</v>
      </c>
      <c r="D1605" s="225"/>
      <c r="E1605" s="202"/>
      <c r="F1605" s="202"/>
      <c r="G1605" s="202"/>
      <c r="H1605" s="201"/>
      <c r="I1605" s="156"/>
      <c r="J1605" s="184"/>
      <c r="K1605" s="419"/>
      <c r="L1605" s="184"/>
      <c r="M1605" s="219"/>
      <c r="N1605" s="183"/>
      <c r="O1605" s="226"/>
      <c r="P1605" s="207"/>
      <c r="Q1605" s="569"/>
    </row>
    <row r="1606" spans="1:17" ht="15.75" hidden="1" customHeight="1" outlineLevel="3">
      <c r="A1606" s="274"/>
      <c r="B1606" s="423"/>
      <c r="C1606" s="424" t="s">
        <v>358</v>
      </c>
      <c r="D1606" s="225"/>
      <c r="E1606" s="202"/>
      <c r="F1606" s="216"/>
      <c r="G1606" s="202"/>
      <c r="H1606" s="201"/>
      <c r="I1606" s="203"/>
      <c r="J1606" s="216">
        <v>50000</v>
      </c>
      <c r="K1606" s="419">
        <f>J1606*1.23</f>
        <v>61500</v>
      </c>
      <c r="L1606" s="184"/>
      <c r="M1606" s="219"/>
      <c r="N1606" s="183"/>
      <c r="O1606" s="226"/>
      <c r="P1606" s="150">
        <f t="shared" si="118"/>
        <v>61500</v>
      </c>
      <c r="Q1606" s="569" t="s">
        <v>1286</v>
      </c>
    </row>
    <row r="1607" spans="1:17" ht="15.75" hidden="1" customHeight="1" outlineLevel="3">
      <c r="A1607" s="274"/>
      <c r="B1607" s="423"/>
      <c r="C1607" s="424" t="s">
        <v>359</v>
      </c>
      <c r="D1607" s="225"/>
      <c r="E1607" s="202"/>
      <c r="F1607" s="202"/>
      <c r="G1607" s="202"/>
      <c r="H1607" s="201"/>
      <c r="I1607" s="156"/>
      <c r="J1607" s="184"/>
      <c r="K1607" s="419"/>
      <c r="L1607" s="184"/>
      <c r="M1607" s="219"/>
      <c r="N1607" s="183"/>
      <c r="O1607" s="226"/>
      <c r="P1607" s="207"/>
      <c r="Q1607" s="569"/>
    </row>
    <row r="1608" spans="1:17" ht="15.75" hidden="1" customHeight="1" outlineLevel="3">
      <c r="A1608" s="274"/>
      <c r="B1608" s="423"/>
      <c r="C1608" s="424" t="s">
        <v>388</v>
      </c>
      <c r="D1608" s="225"/>
      <c r="E1608" s="185"/>
      <c r="F1608" s="185"/>
      <c r="G1608" s="202"/>
      <c r="H1608" s="201"/>
      <c r="I1608" s="156"/>
      <c r="J1608" s="184"/>
      <c r="K1608" s="419"/>
      <c r="L1608" s="184"/>
      <c r="M1608" s="219"/>
      <c r="N1608" s="183"/>
      <c r="O1608" s="226"/>
      <c r="P1608" s="207"/>
      <c r="Q1608" s="569" t="s">
        <v>1243</v>
      </c>
    </row>
    <row r="1609" spans="1:17" ht="15.75" hidden="1" customHeight="1" outlineLevel="3">
      <c r="A1609" s="274"/>
      <c r="B1609" s="423"/>
      <c r="C1609" s="262" t="s">
        <v>381</v>
      </c>
      <c r="D1609" s="225"/>
      <c r="E1609" s="202"/>
      <c r="F1609" s="202"/>
      <c r="G1609" s="202"/>
      <c r="H1609" s="201"/>
      <c r="I1609" s="156"/>
      <c r="J1609" s="184"/>
      <c r="K1609" s="419"/>
      <c r="L1609" s="184"/>
      <c r="M1609" s="219"/>
      <c r="N1609" s="183"/>
      <c r="O1609" s="226"/>
      <c r="P1609" s="207"/>
      <c r="Q1609" s="569"/>
    </row>
    <row r="1610" spans="1:17" ht="15.75" hidden="1" customHeight="1" outlineLevel="3">
      <c r="A1610" s="274"/>
      <c r="B1610" s="423"/>
      <c r="C1610" s="424" t="s">
        <v>362</v>
      </c>
      <c r="D1610" s="225"/>
      <c r="E1610" s="202"/>
      <c r="F1610" s="202"/>
      <c r="G1610" s="202"/>
      <c r="H1610" s="201"/>
      <c r="I1610" s="156"/>
      <c r="J1610" s="184"/>
      <c r="K1610" s="419"/>
      <c r="L1610" s="184"/>
      <c r="M1610" s="219"/>
      <c r="N1610" s="183"/>
      <c r="O1610" s="226"/>
      <c r="P1610" s="207"/>
      <c r="Q1610" s="569"/>
    </row>
    <row r="1611" spans="1:17" ht="15.75" hidden="1" customHeight="1" outlineLevel="3">
      <c r="A1611" s="274"/>
      <c r="B1611" s="423"/>
      <c r="C1611" s="424" t="s">
        <v>363</v>
      </c>
      <c r="D1611" s="225"/>
      <c r="E1611" s="202"/>
      <c r="F1611" s="202"/>
      <c r="G1611" s="202"/>
      <c r="H1611" s="201"/>
      <c r="I1611" s="156"/>
      <c r="J1611" s="184"/>
      <c r="K1611" s="419"/>
      <c r="L1611" s="405"/>
      <c r="M1611" s="219"/>
      <c r="N1611" s="183"/>
      <c r="O1611" s="226"/>
      <c r="P1611" s="207"/>
      <c r="Q1611" s="569"/>
    </row>
    <row r="1612" spans="1:17" ht="15.75" hidden="1" customHeight="1" outlineLevel="3">
      <c r="A1612" s="274"/>
      <c r="B1612" s="423"/>
      <c r="C1612" s="424" t="s">
        <v>358</v>
      </c>
      <c r="D1612" s="225"/>
      <c r="E1612" s="202"/>
      <c r="F1612" s="202"/>
      <c r="G1612" s="202"/>
      <c r="H1612" s="201"/>
      <c r="I1612" s="156"/>
      <c r="J1612" s="184"/>
      <c r="K1612" s="419"/>
      <c r="L1612" s="184"/>
      <c r="M1612" s="219"/>
      <c r="N1612" s="183"/>
      <c r="O1612" s="226"/>
      <c r="P1612" s="207"/>
      <c r="Q1612" s="569"/>
    </row>
    <row r="1613" spans="1:17" ht="15.75" hidden="1" customHeight="1" outlineLevel="3">
      <c r="A1613" s="274"/>
      <c r="B1613" s="423"/>
      <c r="C1613" s="424" t="s">
        <v>364</v>
      </c>
      <c r="D1613" s="225"/>
      <c r="E1613" s="202"/>
      <c r="F1613" s="202"/>
      <c r="G1613" s="202"/>
      <c r="H1613" s="201"/>
      <c r="I1613" s="156"/>
      <c r="J1613" s="184"/>
      <c r="K1613" s="419"/>
      <c r="L1613" s="184">
        <v>176000</v>
      </c>
      <c r="M1613" s="219">
        <f>L1613*1.46</f>
        <v>256960</v>
      </c>
      <c r="N1613" s="183"/>
      <c r="O1613" s="226"/>
      <c r="P1613" s="150">
        <f t="shared" ref="P1613" si="119">SUM(I1613,K1613,M1613,O1613)</f>
        <v>256960</v>
      </c>
      <c r="Q1613" s="569"/>
    </row>
    <row r="1614" spans="1:17" ht="15.75" hidden="1" customHeight="1" outlineLevel="3">
      <c r="A1614" s="274"/>
      <c r="B1614" s="423"/>
      <c r="C1614" s="262" t="s">
        <v>382</v>
      </c>
      <c r="D1614" s="225"/>
      <c r="E1614" s="202"/>
      <c r="F1614" s="202"/>
      <c r="G1614" s="202"/>
      <c r="H1614" s="201"/>
      <c r="I1614" s="156"/>
      <c r="J1614" s="184"/>
      <c r="K1614" s="419"/>
      <c r="L1614" s="184"/>
      <c r="M1614" s="219"/>
      <c r="N1614" s="183"/>
      <c r="O1614" s="226"/>
      <c r="P1614" s="207"/>
      <c r="Q1614" s="569"/>
    </row>
    <row r="1615" spans="1:17" ht="15.75" hidden="1" customHeight="1" outlineLevel="3">
      <c r="A1615" s="274"/>
      <c r="B1615" s="423"/>
      <c r="C1615" s="424" t="s">
        <v>366</v>
      </c>
      <c r="D1615" s="225"/>
      <c r="E1615" s="202"/>
      <c r="F1615" s="202"/>
      <c r="G1615" s="202"/>
      <c r="H1615" s="201"/>
      <c r="I1615" s="156"/>
      <c r="J1615" s="184"/>
      <c r="K1615" s="419"/>
      <c r="L1615" s="184"/>
      <c r="M1615" s="219"/>
      <c r="N1615" s="183"/>
      <c r="O1615" s="226"/>
      <c r="P1615" s="207"/>
      <c r="Q1615" s="569"/>
    </row>
    <row r="1616" spans="1:17" ht="15.75" hidden="1" customHeight="1" outlineLevel="3">
      <c r="A1616" s="274"/>
      <c r="B1616" s="423"/>
      <c r="C1616" s="424" t="s">
        <v>358</v>
      </c>
      <c r="D1616" s="225"/>
      <c r="E1616" s="202"/>
      <c r="F1616" s="202"/>
      <c r="G1616" s="202"/>
      <c r="H1616" s="201"/>
      <c r="I1616" s="156"/>
      <c r="J1616" s="184"/>
      <c r="K1616" s="419"/>
      <c r="L1616" s="184"/>
      <c r="M1616" s="219"/>
      <c r="N1616" s="183"/>
      <c r="O1616" s="226"/>
      <c r="P1616" s="207"/>
      <c r="Q1616" s="569"/>
    </row>
    <row r="1617" spans="1:17" ht="15.75" hidden="1" customHeight="1" outlineLevel="3">
      <c r="A1617" s="274"/>
      <c r="B1617" s="423"/>
      <c r="C1617" s="424" t="s">
        <v>367</v>
      </c>
      <c r="D1617" s="225"/>
      <c r="E1617" s="202"/>
      <c r="F1617" s="202"/>
      <c r="G1617" s="202"/>
      <c r="H1617" s="201"/>
      <c r="I1617" s="156"/>
      <c r="J1617" s="184"/>
      <c r="K1617" s="419"/>
      <c r="L1617" s="184"/>
      <c r="M1617" s="219"/>
      <c r="N1617" s="183"/>
      <c r="O1617" s="226"/>
      <c r="P1617" s="207"/>
      <c r="Q1617" s="569"/>
    </row>
    <row r="1618" spans="1:17" ht="15.75" hidden="1" customHeight="1" outlineLevel="3">
      <c r="A1618" s="274"/>
      <c r="B1618" s="423"/>
      <c r="C1618" s="424" t="s">
        <v>368</v>
      </c>
      <c r="D1618" s="225"/>
      <c r="E1618" s="202"/>
      <c r="F1618" s="202"/>
      <c r="G1618" s="202"/>
      <c r="H1618" s="201"/>
      <c r="I1618" s="156"/>
      <c r="J1618" s="184"/>
      <c r="K1618" s="419"/>
      <c r="L1618" s="184"/>
      <c r="M1618" s="219"/>
      <c r="N1618" s="183"/>
      <c r="O1618" s="226"/>
      <c r="P1618" s="150"/>
      <c r="Q1618" s="569"/>
    </row>
    <row r="1619" spans="1:17" ht="15.75" hidden="1" customHeight="1" outlineLevel="3">
      <c r="A1619" s="274"/>
      <c r="B1619" s="423"/>
      <c r="C1619" s="262" t="s">
        <v>383</v>
      </c>
      <c r="D1619" s="225"/>
      <c r="E1619" s="202"/>
      <c r="F1619" s="202"/>
      <c r="G1619" s="202"/>
      <c r="H1619" s="201"/>
      <c r="I1619" s="156"/>
      <c r="J1619" s="184"/>
      <c r="K1619" s="419"/>
      <c r="L1619" s="184"/>
      <c r="M1619" s="219"/>
      <c r="N1619" s="183"/>
      <c r="O1619" s="226"/>
      <c r="P1619" s="207"/>
      <c r="Q1619" s="569"/>
    </row>
    <row r="1620" spans="1:17" ht="15.75" hidden="1" customHeight="1" outlineLevel="3">
      <c r="A1620" s="274"/>
      <c r="B1620" s="423"/>
      <c r="C1620" s="424" t="s">
        <v>370</v>
      </c>
      <c r="D1620" s="225"/>
      <c r="E1620" s="202"/>
      <c r="F1620" s="202"/>
      <c r="G1620" s="202"/>
      <c r="H1620" s="201"/>
      <c r="I1620" s="156"/>
      <c r="J1620" s="184"/>
      <c r="K1620" s="419"/>
      <c r="L1620" s="184"/>
      <c r="M1620" s="219"/>
      <c r="N1620" s="183"/>
      <c r="O1620" s="226"/>
      <c r="P1620" s="207"/>
      <c r="Q1620" s="569"/>
    </row>
    <row r="1621" spans="1:17" ht="15.75" hidden="1" customHeight="1" outlineLevel="3">
      <c r="A1621" s="274"/>
      <c r="B1621" s="423"/>
      <c r="C1621" s="424" t="s">
        <v>371</v>
      </c>
      <c r="D1621" s="225"/>
      <c r="E1621" s="202"/>
      <c r="F1621" s="202"/>
      <c r="G1621" s="202"/>
      <c r="H1621" s="201"/>
      <c r="I1621" s="156"/>
      <c r="J1621" s="184">
        <v>130500</v>
      </c>
      <c r="K1621" s="419">
        <f t="shared" ref="K1621:K1622" si="120">J1621*1.23</f>
        <v>160515</v>
      </c>
      <c r="L1621" s="184"/>
      <c r="M1621" s="219"/>
      <c r="N1621" s="183"/>
      <c r="O1621" s="226"/>
      <c r="P1621" s="150">
        <f t="shared" ref="P1621:P1622" si="121">SUM(I1621,K1621,M1621,O1621)</f>
        <v>160515</v>
      </c>
      <c r="Q1621" s="569" t="s">
        <v>1319</v>
      </c>
    </row>
    <row r="1622" spans="1:17" ht="15.75" hidden="1" customHeight="1" outlineLevel="3">
      <c r="A1622" s="274"/>
      <c r="B1622" s="423"/>
      <c r="C1622" s="424" t="s">
        <v>372</v>
      </c>
      <c r="D1622" s="225"/>
      <c r="E1622" s="202"/>
      <c r="F1622" s="202"/>
      <c r="G1622" s="202"/>
      <c r="H1622" s="201"/>
      <c r="I1622" s="156"/>
      <c r="J1622" s="184">
        <v>225000</v>
      </c>
      <c r="K1622" s="419">
        <f t="shared" si="120"/>
        <v>276750</v>
      </c>
      <c r="L1622" s="184"/>
      <c r="M1622" s="219"/>
      <c r="N1622" s="183"/>
      <c r="O1622" s="226"/>
      <c r="P1622" s="150">
        <f t="shared" si="121"/>
        <v>276750</v>
      </c>
      <c r="Q1622" s="569"/>
    </row>
    <row r="1623" spans="1:17" ht="15.75" hidden="1" customHeight="1" outlineLevel="3">
      <c r="A1623" s="274"/>
      <c r="B1623" s="423"/>
      <c r="C1623" s="424" t="s">
        <v>373</v>
      </c>
      <c r="D1623" s="225"/>
      <c r="E1623" s="202"/>
      <c r="F1623" s="202"/>
      <c r="G1623" s="202"/>
      <c r="H1623" s="201"/>
      <c r="I1623" s="156"/>
      <c r="J1623" s="184"/>
      <c r="K1623" s="419"/>
      <c r="L1623" s="184"/>
      <c r="M1623" s="219"/>
      <c r="N1623" s="183"/>
      <c r="O1623" s="226"/>
      <c r="P1623" s="207"/>
      <c r="Q1623" s="568"/>
    </row>
    <row r="1624" spans="1:17" ht="15.75" hidden="1" customHeight="1" outlineLevel="3">
      <c r="A1624" s="274"/>
      <c r="B1624" s="423"/>
      <c r="C1624" s="262" t="s">
        <v>384</v>
      </c>
      <c r="D1624" s="225"/>
      <c r="E1624" s="202"/>
      <c r="F1624" s="202"/>
      <c r="G1624" s="202"/>
      <c r="H1624" s="201"/>
      <c r="I1624" s="156"/>
      <c r="J1624" s="184"/>
      <c r="K1624" s="419"/>
      <c r="L1624" s="184"/>
      <c r="M1624" s="219"/>
      <c r="N1624" s="183"/>
      <c r="O1624" s="226"/>
      <c r="P1624" s="207"/>
      <c r="Q1624" s="569"/>
    </row>
    <row r="1625" spans="1:17" ht="15.75" hidden="1" customHeight="1" outlineLevel="3">
      <c r="A1625" s="274"/>
      <c r="B1625" s="423"/>
      <c r="C1625" s="425" t="s">
        <v>375</v>
      </c>
      <c r="D1625" s="225"/>
      <c r="E1625" s="202"/>
      <c r="F1625" s="202"/>
      <c r="G1625" s="202"/>
      <c r="H1625" s="201"/>
      <c r="I1625" s="156"/>
      <c r="J1625" s="184"/>
      <c r="K1625" s="419"/>
      <c r="L1625" s="184"/>
      <c r="M1625" s="219"/>
      <c r="N1625" s="183"/>
      <c r="O1625" s="226"/>
      <c r="P1625" s="207"/>
      <c r="Q1625" s="569"/>
    </row>
    <row r="1626" spans="1:17" ht="15.75" hidden="1" customHeight="1" outlineLevel="3">
      <c r="A1626" s="274"/>
      <c r="B1626" s="423"/>
      <c r="C1626" s="425" t="s">
        <v>376</v>
      </c>
      <c r="D1626" s="225"/>
      <c r="E1626" s="202"/>
      <c r="F1626" s="202"/>
      <c r="G1626" s="202"/>
      <c r="H1626" s="201"/>
      <c r="I1626" s="156"/>
      <c r="J1626" s="184"/>
      <c r="K1626" s="419"/>
      <c r="L1626" s="184"/>
      <c r="M1626" s="219"/>
      <c r="N1626" s="183"/>
      <c r="O1626" s="226"/>
      <c r="P1626" s="207"/>
      <c r="Q1626" s="569"/>
    </row>
    <row r="1627" spans="1:17" ht="15.75" hidden="1" customHeight="1" outlineLevel="3">
      <c r="A1627" s="274"/>
      <c r="B1627" s="423"/>
      <c r="C1627" s="425" t="s">
        <v>377</v>
      </c>
      <c r="D1627" s="225"/>
      <c r="E1627" s="202"/>
      <c r="F1627" s="202"/>
      <c r="G1627" s="202"/>
      <c r="H1627" s="201"/>
      <c r="I1627" s="156"/>
      <c r="J1627" s="184"/>
      <c r="K1627" s="419"/>
      <c r="L1627" s="184"/>
      <c r="M1627" s="219"/>
      <c r="N1627" s="183"/>
      <c r="O1627" s="226"/>
      <c r="P1627" s="207"/>
      <c r="Q1627" s="569"/>
    </row>
    <row r="1628" spans="1:17" ht="15.75" hidden="1" customHeight="1" outlineLevel="3">
      <c r="A1628" s="274"/>
      <c r="B1628" s="423"/>
      <c r="C1628" s="425" t="s">
        <v>400</v>
      </c>
      <c r="D1628" s="225"/>
      <c r="E1628" s="202"/>
      <c r="F1628" s="202"/>
      <c r="G1628" s="202"/>
      <c r="H1628" s="201"/>
      <c r="I1628" s="156"/>
      <c r="J1628" s="184">
        <v>183500</v>
      </c>
      <c r="K1628" s="419">
        <f t="shared" ref="K1628:K1629" si="122">J1628*1.23</f>
        <v>225705</v>
      </c>
      <c r="L1628" s="184"/>
      <c r="M1628" s="219"/>
      <c r="N1628" s="183"/>
      <c r="O1628" s="226"/>
      <c r="P1628" s="150">
        <f t="shared" ref="P1628:P1632" si="123">SUM(I1628,K1628,M1628,O1628)</f>
        <v>225705</v>
      </c>
      <c r="Q1628" s="568"/>
    </row>
    <row r="1629" spans="1:17" ht="15.75" hidden="1" customHeight="1" outlineLevel="2" collapsed="1">
      <c r="A1629" s="274"/>
      <c r="B1629" s="423"/>
      <c r="C1629" s="262" t="s">
        <v>444</v>
      </c>
      <c r="D1629" s="296"/>
      <c r="E1629" s="222"/>
      <c r="F1629" s="222">
        <f>SUM(F1603:F1628)</f>
        <v>160683.74999999997</v>
      </c>
      <c r="G1629" s="222"/>
      <c r="H1629" s="417"/>
      <c r="I1629" s="207">
        <f>SUM(I1603:I1628)</f>
        <v>160683.74999999997</v>
      </c>
      <c r="J1629" s="184">
        <f>SUM(J1603:J1628)</f>
        <v>589000</v>
      </c>
      <c r="K1629" s="222">
        <f t="shared" si="122"/>
        <v>724470</v>
      </c>
      <c r="L1629" s="184">
        <f>SUM(L1603:L1628)</f>
        <v>176000</v>
      </c>
      <c r="M1629" s="217">
        <f>L1629*1.46</f>
        <v>256960</v>
      </c>
      <c r="N1629" s="183"/>
      <c r="O1629" s="226"/>
      <c r="P1629" s="150">
        <f t="shared" si="123"/>
        <v>1142113.75</v>
      </c>
      <c r="Q1629" s="568"/>
    </row>
    <row r="1630" spans="1:17" s="211" customFormat="1" ht="15.75" hidden="1" customHeight="1" outlineLevel="3">
      <c r="A1630" s="551"/>
      <c r="B1630" s="262" t="s">
        <v>445</v>
      </c>
      <c r="C1630" s="422"/>
      <c r="D1630" s="187"/>
      <c r="E1630" s="185"/>
      <c r="F1630" s="185"/>
      <c r="G1630" s="185"/>
      <c r="H1630" s="205"/>
      <c r="I1630" s="156"/>
      <c r="J1630" s="184"/>
      <c r="K1630" s="419"/>
      <c r="L1630" s="147"/>
      <c r="M1630" s="219"/>
      <c r="N1630" s="149"/>
      <c r="O1630" s="226"/>
      <c r="P1630" s="150"/>
      <c r="Q1630" s="569"/>
    </row>
    <row r="1631" spans="1:17" ht="15.75" hidden="1" customHeight="1" outlineLevel="3">
      <c r="A1631" s="274"/>
      <c r="B1631" s="423"/>
      <c r="C1631" s="425" t="s">
        <v>266</v>
      </c>
      <c r="D1631" s="225"/>
      <c r="E1631" s="202"/>
      <c r="F1631" s="202"/>
      <c r="G1631" s="202"/>
      <c r="H1631" s="201"/>
      <c r="I1631" s="156"/>
      <c r="J1631" s="184"/>
      <c r="K1631" s="419"/>
      <c r="L1631" s="184">
        <v>1500000</v>
      </c>
      <c r="M1631" s="219">
        <f>L1631*1.46</f>
        <v>2190000</v>
      </c>
      <c r="N1631" s="183"/>
      <c r="O1631" s="226"/>
      <c r="P1631" s="150">
        <f t="shared" si="123"/>
        <v>2190000</v>
      </c>
      <c r="Q1631" s="568" t="s">
        <v>1279</v>
      </c>
    </row>
    <row r="1632" spans="1:17" ht="15.75" hidden="1" customHeight="1" outlineLevel="2" collapsed="1">
      <c r="A1632" s="274"/>
      <c r="B1632" s="423"/>
      <c r="C1632" s="262" t="s">
        <v>445</v>
      </c>
      <c r="D1632" s="225"/>
      <c r="E1632" s="202"/>
      <c r="F1632" s="202"/>
      <c r="G1632" s="202"/>
      <c r="H1632" s="201"/>
      <c r="I1632" s="156"/>
      <c r="J1632" s="184"/>
      <c r="K1632" s="222"/>
      <c r="L1632" s="184">
        <f>SUM(L1631)</f>
        <v>1500000</v>
      </c>
      <c r="M1632" s="219">
        <f>SUM(M1631)</f>
        <v>2190000</v>
      </c>
      <c r="N1632" s="183"/>
      <c r="O1632" s="226"/>
      <c r="P1632" s="150">
        <f t="shared" si="123"/>
        <v>2190000</v>
      </c>
      <c r="Q1632" s="572" t="s">
        <v>1320</v>
      </c>
    </row>
    <row r="1633" spans="1:17" s="211" customFormat="1" ht="15.75" hidden="1" customHeight="1" outlineLevel="3">
      <c r="A1633" s="551"/>
      <c r="B1633" s="262" t="s">
        <v>446</v>
      </c>
      <c r="C1633" s="422"/>
      <c r="D1633" s="187"/>
      <c r="E1633" s="185"/>
      <c r="F1633" s="185"/>
      <c r="G1633" s="185"/>
      <c r="H1633" s="205"/>
      <c r="I1633" s="156"/>
      <c r="J1633" s="184"/>
      <c r="K1633" s="419"/>
      <c r="L1633" s="147"/>
      <c r="M1633" s="219"/>
      <c r="N1633" s="149"/>
      <c r="O1633" s="226"/>
      <c r="P1633" s="150"/>
      <c r="Q1633" s="572"/>
    </row>
    <row r="1634" spans="1:17" ht="15.75" hidden="1" customHeight="1" outlineLevel="3">
      <c r="A1634" s="274"/>
      <c r="B1634" s="423"/>
      <c r="C1634" s="262" t="s">
        <v>380</v>
      </c>
      <c r="D1634" s="225"/>
      <c r="E1634" s="202"/>
      <c r="F1634" s="202"/>
      <c r="G1634" s="202"/>
      <c r="H1634" s="201"/>
      <c r="I1634" s="156"/>
      <c r="J1634" s="215"/>
      <c r="K1634" s="419"/>
      <c r="L1634" s="184"/>
      <c r="M1634" s="219"/>
      <c r="N1634" s="183"/>
      <c r="O1634" s="226"/>
      <c r="P1634" s="207"/>
      <c r="Q1634" s="572"/>
    </row>
    <row r="1635" spans="1:17" ht="15.75" hidden="1" customHeight="1" outlineLevel="3">
      <c r="A1635" s="274"/>
      <c r="B1635" s="423"/>
      <c r="C1635" s="424" t="s">
        <v>396</v>
      </c>
      <c r="D1635" s="225"/>
      <c r="E1635" s="202"/>
      <c r="F1635" s="202"/>
      <c r="G1635" s="202"/>
      <c r="H1635" s="201"/>
      <c r="I1635" s="156"/>
      <c r="J1635" s="184">
        <v>100000</v>
      </c>
      <c r="K1635" s="419">
        <f>J1635*1.23</f>
        <v>123000</v>
      </c>
      <c r="L1635" s="231"/>
      <c r="M1635" s="219"/>
      <c r="N1635" s="183"/>
      <c r="O1635" s="226"/>
      <c r="P1635" s="150">
        <f t="shared" ref="P1635" si="124">SUM(I1635,K1635,M1635,O1635)</f>
        <v>123000</v>
      </c>
      <c r="Q1635" s="572"/>
    </row>
    <row r="1636" spans="1:17" ht="15.75" hidden="1" customHeight="1" outlineLevel="3">
      <c r="A1636" s="274"/>
      <c r="B1636" s="423"/>
      <c r="C1636" s="424" t="s">
        <v>357</v>
      </c>
      <c r="D1636" s="225"/>
      <c r="E1636" s="202"/>
      <c r="F1636" s="202"/>
      <c r="G1636" s="202"/>
      <c r="H1636" s="201"/>
      <c r="I1636" s="156"/>
      <c r="J1636" s="184"/>
      <c r="K1636" s="419"/>
      <c r="L1636" s="184"/>
      <c r="M1636" s="219"/>
      <c r="N1636" s="183"/>
      <c r="O1636" s="226"/>
      <c r="P1636" s="207"/>
      <c r="Q1636" s="572"/>
    </row>
    <row r="1637" spans="1:17" ht="15.75" hidden="1" customHeight="1" outlineLevel="3">
      <c r="A1637" s="274"/>
      <c r="B1637" s="423"/>
      <c r="C1637" s="424" t="s">
        <v>358</v>
      </c>
      <c r="D1637" s="225"/>
      <c r="E1637" s="202"/>
      <c r="F1637" s="202"/>
      <c r="G1637" s="202"/>
      <c r="H1637" s="201"/>
      <c r="I1637" s="203"/>
      <c r="J1637" s="184"/>
      <c r="K1637" s="419"/>
      <c r="L1637" s="186"/>
      <c r="M1637" s="219"/>
      <c r="N1637" s="183"/>
      <c r="O1637" s="226"/>
      <c r="P1637" s="207"/>
      <c r="Q1637" s="572"/>
    </row>
    <row r="1638" spans="1:17" ht="15.75" hidden="1" customHeight="1" outlineLevel="3">
      <c r="A1638" s="274"/>
      <c r="B1638" s="423"/>
      <c r="C1638" s="424" t="s">
        <v>359</v>
      </c>
      <c r="D1638" s="225"/>
      <c r="E1638" s="202"/>
      <c r="F1638" s="202"/>
      <c r="G1638" s="202"/>
      <c r="H1638" s="201"/>
      <c r="I1638" s="156" t="s">
        <v>390</v>
      </c>
      <c r="J1638" s="184"/>
      <c r="K1638" s="419"/>
      <c r="L1638" s="184"/>
      <c r="M1638" s="219"/>
      <c r="N1638" s="183"/>
      <c r="O1638" s="226"/>
      <c r="P1638" s="207"/>
      <c r="Q1638" s="572"/>
    </row>
    <row r="1639" spans="1:17" ht="15.75" hidden="1" customHeight="1" outlineLevel="3">
      <c r="A1639" s="274"/>
      <c r="B1639" s="423"/>
      <c r="C1639" s="424" t="s">
        <v>388</v>
      </c>
      <c r="D1639" s="225"/>
      <c r="E1639" s="202"/>
      <c r="F1639" s="202"/>
      <c r="G1639" s="202"/>
      <c r="H1639" s="201"/>
      <c r="I1639" s="156"/>
      <c r="J1639" s="184"/>
      <c r="K1639" s="419"/>
      <c r="L1639" s="184"/>
      <c r="M1639" s="219"/>
      <c r="N1639" s="183"/>
      <c r="O1639" s="226"/>
      <c r="P1639" s="207"/>
      <c r="Q1639" s="572"/>
    </row>
    <row r="1640" spans="1:17" ht="15.75" hidden="1" customHeight="1" outlineLevel="3">
      <c r="A1640" s="274"/>
      <c r="B1640" s="423"/>
      <c r="C1640" s="262" t="s">
        <v>381</v>
      </c>
      <c r="D1640" s="225"/>
      <c r="E1640" s="202"/>
      <c r="F1640" s="202"/>
      <c r="G1640" s="202"/>
      <c r="H1640" s="201"/>
      <c r="I1640" s="156"/>
      <c r="J1640" s="184"/>
      <c r="K1640" s="419"/>
      <c r="L1640" s="184"/>
      <c r="M1640" s="219"/>
      <c r="N1640" s="183"/>
      <c r="O1640" s="226"/>
      <c r="P1640" s="207"/>
      <c r="Q1640" s="572"/>
    </row>
    <row r="1641" spans="1:17" ht="15.75" hidden="1" customHeight="1" outlineLevel="3">
      <c r="A1641" s="274"/>
      <c r="B1641" s="423"/>
      <c r="C1641" s="424" t="s">
        <v>362</v>
      </c>
      <c r="D1641" s="225"/>
      <c r="E1641" s="202"/>
      <c r="F1641" s="202"/>
      <c r="G1641" s="202"/>
      <c r="H1641" s="201"/>
      <c r="I1641" s="156"/>
      <c r="J1641" s="184"/>
      <c r="K1641" s="419"/>
      <c r="L1641" s="184"/>
      <c r="M1641" s="219"/>
      <c r="N1641" s="183"/>
      <c r="O1641" s="226"/>
      <c r="P1641" s="207"/>
      <c r="Q1641" s="572"/>
    </row>
    <row r="1642" spans="1:17" ht="15.75" hidden="1" customHeight="1" outlineLevel="3">
      <c r="A1642" s="274"/>
      <c r="B1642" s="423"/>
      <c r="C1642" s="424" t="s">
        <v>363</v>
      </c>
      <c r="D1642" s="225"/>
      <c r="E1642" s="202"/>
      <c r="F1642" s="202"/>
      <c r="G1642" s="202"/>
      <c r="H1642" s="201"/>
      <c r="I1642" s="156"/>
      <c r="J1642" s="184"/>
      <c r="K1642" s="419"/>
      <c r="L1642" s="184"/>
      <c r="M1642" s="219"/>
      <c r="N1642" s="183"/>
      <c r="O1642" s="226"/>
      <c r="P1642" s="207"/>
      <c r="Q1642" s="572"/>
    </row>
    <row r="1643" spans="1:17" ht="15.75" hidden="1" customHeight="1" outlineLevel="3">
      <c r="A1643" s="274"/>
      <c r="B1643" s="423"/>
      <c r="C1643" s="424" t="s">
        <v>358</v>
      </c>
      <c r="D1643" s="225"/>
      <c r="E1643" s="202"/>
      <c r="F1643" s="202"/>
      <c r="G1643" s="202"/>
      <c r="H1643" s="201"/>
      <c r="I1643" s="156"/>
      <c r="J1643" s="184"/>
      <c r="K1643" s="419"/>
      <c r="L1643" s="184"/>
      <c r="M1643" s="219"/>
      <c r="N1643" s="183"/>
      <c r="O1643" s="226"/>
      <c r="P1643" s="207"/>
      <c r="Q1643" s="572"/>
    </row>
    <row r="1644" spans="1:17" ht="15.75" hidden="1" customHeight="1" outlineLevel="3">
      <c r="A1644" s="274"/>
      <c r="B1644" s="423"/>
      <c r="C1644" s="424" t="s">
        <v>364</v>
      </c>
      <c r="D1644" s="225"/>
      <c r="E1644" s="202"/>
      <c r="F1644" s="202"/>
      <c r="G1644" s="202"/>
      <c r="H1644" s="201"/>
      <c r="I1644" s="156"/>
      <c r="J1644" s="184"/>
      <c r="K1644" s="419"/>
      <c r="L1644" s="184"/>
      <c r="M1644" s="219"/>
      <c r="N1644" s="183"/>
      <c r="O1644" s="226"/>
      <c r="P1644" s="207"/>
      <c r="Q1644" s="572"/>
    </row>
    <row r="1645" spans="1:17" ht="15.75" hidden="1" customHeight="1" outlineLevel="3">
      <c r="A1645" s="274"/>
      <c r="B1645" s="423"/>
      <c r="C1645" s="262" t="s">
        <v>382</v>
      </c>
      <c r="D1645" s="225"/>
      <c r="E1645" s="202"/>
      <c r="F1645" s="202"/>
      <c r="G1645" s="202"/>
      <c r="H1645" s="201"/>
      <c r="I1645" s="156"/>
      <c r="J1645" s="184"/>
      <c r="K1645" s="419"/>
      <c r="L1645" s="184"/>
      <c r="M1645" s="219"/>
      <c r="N1645" s="183"/>
      <c r="O1645" s="226"/>
      <c r="P1645" s="207"/>
      <c r="Q1645" s="572"/>
    </row>
    <row r="1646" spans="1:17" ht="15.75" hidden="1" customHeight="1" outlineLevel="3">
      <c r="A1646" s="274"/>
      <c r="B1646" s="423"/>
      <c r="C1646" s="424" t="s">
        <v>366</v>
      </c>
      <c r="D1646" s="225"/>
      <c r="E1646" s="202"/>
      <c r="F1646" s="202"/>
      <c r="G1646" s="202"/>
      <c r="H1646" s="201"/>
      <c r="I1646" s="156"/>
      <c r="J1646" s="184"/>
      <c r="K1646" s="419"/>
      <c r="L1646" s="184"/>
      <c r="M1646" s="219"/>
      <c r="N1646" s="183"/>
      <c r="O1646" s="226"/>
      <c r="P1646" s="207"/>
      <c r="Q1646" s="572"/>
    </row>
    <row r="1647" spans="1:17" ht="15.75" hidden="1" customHeight="1" outlineLevel="3">
      <c r="A1647" s="274"/>
      <c r="B1647" s="423"/>
      <c r="C1647" s="424" t="s">
        <v>358</v>
      </c>
      <c r="D1647" s="225"/>
      <c r="E1647" s="202"/>
      <c r="F1647" s="202"/>
      <c r="G1647" s="202"/>
      <c r="H1647" s="201"/>
      <c r="I1647" s="156"/>
      <c r="J1647" s="184"/>
      <c r="K1647" s="419"/>
      <c r="L1647" s="184"/>
      <c r="M1647" s="219"/>
      <c r="N1647" s="183"/>
      <c r="O1647" s="226"/>
      <c r="P1647" s="207"/>
      <c r="Q1647" s="572"/>
    </row>
    <row r="1648" spans="1:17" ht="15.75" hidden="1" customHeight="1" outlineLevel="3">
      <c r="A1648" s="274"/>
      <c r="B1648" s="423"/>
      <c r="C1648" s="424" t="s">
        <v>367</v>
      </c>
      <c r="D1648" s="225"/>
      <c r="E1648" s="202"/>
      <c r="F1648" s="202"/>
      <c r="G1648" s="202"/>
      <c r="H1648" s="201"/>
      <c r="I1648" s="156"/>
      <c r="J1648" s="184"/>
      <c r="K1648" s="419"/>
      <c r="L1648" s="184"/>
      <c r="M1648" s="219"/>
      <c r="N1648" s="183"/>
      <c r="O1648" s="226"/>
      <c r="P1648" s="207"/>
      <c r="Q1648" s="572"/>
    </row>
    <row r="1649" spans="1:17" ht="15.75" hidden="1" customHeight="1" outlineLevel="3">
      <c r="A1649" s="274"/>
      <c r="B1649" s="423"/>
      <c r="C1649" s="424" t="s">
        <v>368</v>
      </c>
      <c r="D1649" s="225"/>
      <c r="E1649" s="202"/>
      <c r="F1649" s="202"/>
      <c r="G1649" s="202"/>
      <c r="H1649" s="201"/>
      <c r="I1649" s="156"/>
      <c r="J1649" s="184"/>
      <c r="K1649" s="419"/>
      <c r="L1649" s="184"/>
      <c r="M1649" s="219"/>
      <c r="N1649" s="183"/>
      <c r="O1649" s="226"/>
      <c r="P1649" s="150"/>
      <c r="Q1649" s="572"/>
    </row>
    <row r="1650" spans="1:17" ht="15.75" hidden="1" customHeight="1" outlineLevel="3">
      <c r="A1650" s="274"/>
      <c r="B1650" s="423"/>
      <c r="C1650" s="262" t="s">
        <v>383</v>
      </c>
      <c r="D1650" s="225"/>
      <c r="E1650" s="202"/>
      <c r="F1650" s="202"/>
      <c r="G1650" s="202"/>
      <c r="H1650" s="201"/>
      <c r="I1650" s="156"/>
      <c r="J1650" s="184"/>
      <c r="K1650" s="419"/>
      <c r="L1650" s="184"/>
      <c r="M1650" s="219"/>
      <c r="N1650" s="183"/>
      <c r="O1650" s="226"/>
      <c r="P1650" s="150"/>
      <c r="Q1650" s="572"/>
    </row>
    <row r="1651" spans="1:17" ht="15.75" hidden="1" customHeight="1" outlineLevel="3">
      <c r="A1651" s="274"/>
      <c r="B1651" s="423"/>
      <c r="C1651" s="424" t="s">
        <v>370</v>
      </c>
      <c r="D1651" s="225"/>
      <c r="E1651" s="202"/>
      <c r="F1651" s="202"/>
      <c r="G1651" s="202"/>
      <c r="H1651" s="201"/>
      <c r="I1651" s="156"/>
      <c r="J1651" s="184"/>
      <c r="K1651" s="419"/>
      <c r="L1651" s="184">
        <v>313500</v>
      </c>
      <c r="M1651" s="219">
        <f>L1651*1.46</f>
        <v>457710</v>
      </c>
      <c r="N1651" s="183"/>
      <c r="O1651" s="226"/>
      <c r="P1651" s="150">
        <f t="shared" ref="P1651:P1660" si="125">SUM(I1651,K1651,M1651,O1651)</f>
        <v>457710</v>
      </c>
      <c r="Q1651" s="572"/>
    </row>
    <row r="1652" spans="1:17" ht="15.75" hidden="1" customHeight="1" outlineLevel="3">
      <c r="A1652" s="274"/>
      <c r="B1652" s="423"/>
      <c r="C1652" s="424" t="s">
        <v>371</v>
      </c>
      <c r="D1652" s="225"/>
      <c r="E1652" s="202"/>
      <c r="F1652" s="202"/>
      <c r="G1652" s="202"/>
      <c r="H1652" s="201"/>
      <c r="I1652" s="156"/>
      <c r="J1652" s="184"/>
      <c r="K1652" s="419"/>
      <c r="L1652" s="184"/>
      <c r="M1652" s="219"/>
      <c r="N1652" s="183"/>
      <c r="O1652" s="226"/>
      <c r="P1652" s="150"/>
      <c r="Q1652" s="572"/>
    </row>
    <row r="1653" spans="1:17" ht="15.75" hidden="1" customHeight="1" outlineLevel="3">
      <c r="A1653" s="274"/>
      <c r="B1653" s="423"/>
      <c r="C1653" s="424" t="s">
        <v>372</v>
      </c>
      <c r="D1653" s="225"/>
      <c r="E1653" s="202"/>
      <c r="F1653" s="202"/>
      <c r="G1653" s="202"/>
      <c r="H1653" s="201"/>
      <c r="I1653" s="156"/>
      <c r="J1653" s="184"/>
      <c r="K1653" s="419"/>
      <c r="L1653" s="184"/>
      <c r="M1653" s="219"/>
      <c r="N1653" s="183"/>
      <c r="O1653" s="226"/>
      <c r="P1653" s="150"/>
      <c r="Q1653" s="572"/>
    </row>
    <row r="1654" spans="1:17" ht="15.75" hidden="1" customHeight="1" outlineLevel="3">
      <c r="A1654" s="274"/>
      <c r="B1654" s="423"/>
      <c r="C1654" s="424" t="s">
        <v>373</v>
      </c>
      <c r="D1654" s="225"/>
      <c r="E1654" s="202"/>
      <c r="F1654" s="202"/>
      <c r="G1654" s="202"/>
      <c r="H1654" s="201"/>
      <c r="I1654" s="156"/>
      <c r="J1654" s="184"/>
      <c r="K1654" s="419"/>
      <c r="L1654" s="184"/>
      <c r="M1654" s="219"/>
      <c r="N1654" s="183"/>
      <c r="O1654" s="226"/>
      <c r="P1654" s="150"/>
      <c r="Q1654" s="579"/>
    </row>
    <row r="1655" spans="1:17" ht="15.75" hidden="1" customHeight="1" outlineLevel="3">
      <c r="A1655" s="274"/>
      <c r="B1655" s="423"/>
      <c r="C1655" s="262" t="s">
        <v>384</v>
      </c>
      <c r="D1655" s="225"/>
      <c r="E1655" s="202"/>
      <c r="F1655" s="202"/>
      <c r="G1655" s="202"/>
      <c r="H1655" s="201"/>
      <c r="I1655" s="156"/>
      <c r="J1655" s="184"/>
      <c r="K1655" s="419"/>
      <c r="L1655" s="184"/>
      <c r="M1655" s="219"/>
      <c r="N1655" s="183"/>
      <c r="O1655" s="226"/>
      <c r="P1655" s="150"/>
      <c r="Q1655" s="572"/>
    </row>
    <row r="1656" spans="1:17" ht="15.75" hidden="1" customHeight="1" outlineLevel="3">
      <c r="A1656" s="274"/>
      <c r="B1656" s="423"/>
      <c r="C1656" s="425" t="s">
        <v>375</v>
      </c>
      <c r="D1656" s="225"/>
      <c r="E1656" s="202"/>
      <c r="F1656" s="202"/>
      <c r="G1656" s="202"/>
      <c r="H1656" s="201"/>
      <c r="I1656" s="156"/>
      <c r="J1656" s="184"/>
      <c r="K1656" s="419"/>
      <c r="L1656" s="184"/>
      <c r="M1656" s="219"/>
      <c r="N1656" s="183"/>
      <c r="O1656" s="226"/>
      <c r="P1656" s="150"/>
      <c r="Q1656" s="572"/>
    </row>
    <row r="1657" spans="1:17" ht="15.75" hidden="1" customHeight="1" outlineLevel="3">
      <c r="A1657" s="274"/>
      <c r="B1657" s="423"/>
      <c r="C1657" s="425" t="s">
        <v>376</v>
      </c>
      <c r="D1657" s="225"/>
      <c r="E1657" s="202"/>
      <c r="F1657" s="202"/>
      <c r="G1657" s="202"/>
      <c r="H1657" s="201"/>
      <c r="I1657" s="156"/>
      <c r="J1657" s="184"/>
      <c r="K1657" s="419"/>
      <c r="L1657" s="184"/>
      <c r="M1657" s="219"/>
      <c r="N1657" s="183"/>
      <c r="O1657" s="226"/>
      <c r="P1657" s="150"/>
      <c r="Q1657" s="572"/>
    </row>
    <row r="1658" spans="1:17" ht="15.75" hidden="1" customHeight="1" outlineLevel="3">
      <c r="A1658" s="274"/>
      <c r="B1658" s="423"/>
      <c r="C1658" s="425" t="s">
        <v>377</v>
      </c>
      <c r="D1658" s="225"/>
      <c r="E1658" s="202"/>
      <c r="F1658" s="202"/>
      <c r="G1658" s="202"/>
      <c r="H1658" s="201"/>
      <c r="I1658" s="156"/>
      <c r="J1658" s="184"/>
      <c r="K1658" s="419"/>
      <c r="L1658" s="184"/>
      <c r="M1658" s="219"/>
      <c r="N1658" s="183"/>
      <c r="O1658" s="226"/>
      <c r="P1658" s="150"/>
      <c r="Q1658" s="572"/>
    </row>
    <row r="1659" spans="1:17" ht="15.75" hidden="1" customHeight="1" outlineLevel="3">
      <c r="A1659" s="274"/>
      <c r="B1659" s="423"/>
      <c r="C1659" s="425" t="s">
        <v>400</v>
      </c>
      <c r="D1659" s="225"/>
      <c r="E1659" s="202"/>
      <c r="F1659" s="202"/>
      <c r="G1659" s="202"/>
      <c r="H1659" s="201"/>
      <c r="I1659" s="156"/>
      <c r="J1659" s="184"/>
      <c r="K1659" s="419"/>
      <c r="L1659" s="184">
        <v>160500</v>
      </c>
      <c r="M1659" s="219">
        <f t="shared" ref="M1659:M1660" si="126">L1659*1.46</f>
        <v>234330</v>
      </c>
      <c r="N1659" s="183"/>
      <c r="O1659" s="226"/>
      <c r="P1659" s="150">
        <f t="shared" si="125"/>
        <v>234330</v>
      </c>
      <c r="Q1659" s="579"/>
    </row>
    <row r="1660" spans="1:17" ht="15.75" hidden="1" customHeight="1" outlineLevel="2" collapsed="1">
      <c r="A1660" s="274"/>
      <c r="B1660" s="423"/>
      <c r="C1660" s="262" t="s">
        <v>446</v>
      </c>
      <c r="D1660" s="225"/>
      <c r="E1660" s="202"/>
      <c r="F1660" s="202"/>
      <c r="G1660" s="202"/>
      <c r="H1660" s="201"/>
      <c r="I1660" s="156"/>
      <c r="J1660" s="184">
        <f>SUM(J1634:J1659)</f>
        <v>100000</v>
      </c>
      <c r="K1660" s="222">
        <f>J1660*1.23</f>
        <v>123000</v>
      </c>
      <c r="L1660" s="184">
        <f>SUM(L1634:L1659)</f>
        <v>474000</v>
      </c>
      <c r="M1660" s="217">
        <f t="shared" si="126"/>
        <v>692040</v>
      </c>
      <c r="N1660" s="183"/>
      <c r="O1660" s="226"/>
      <c r="P1660" s="150">
        <f t="shared" si="125"/>
        <v>815040</v>
      </c>
      <c r="Q1660" s="572" t="s">
        <v>1378</v>
      </c>
    </row>
    <row r="1661" spans="1:17" s="211" customFormat="1" ht="15.75" hidden="1" customHeight="1" outlineLevel="3">
      <c r="A1661" s="551"/>
      <c r="B1661" s="262" t="s">
        <v>447</v>
      </c>
      <c r="C1661" s="422"/>
      <c r="D1661" s="187"/>
      <c r="E1661" s="185"/>
      <c r="F1661" s="185"/>
      <c r="G1661" s="185"/>
      <c r="H1661" s="205"/>
      <c r="I1661" s="156"/>
      <c r="J1661" s="184"/>
      <c r="K1661" s="419"/>
      <c r="L1661" s="147"/>
      <c r="M1661" s="219"/>
      <c r="N1661" s="149"/>
      <c r="O1661" s="226"/>
      <c r="P1661" s="150"/>
      <c r="Q1661" s="580"/>
    </row>
    <row r="1662" spans="1:17" s="211" customFormat="1" ht="15.75" hidden="1" customHeight="1" outlineLevel="2" collapsed="1">
      <c r="A1662" s="551"/>
      <c r="B1662" s="422"/>
      <c r="C1662" s="262" t="s">
        <v>447</v>
      </c>
      <c r="D1662" s="187"/>
      <c r="E1662" s="185"/>
      <c r="F1662" s="185"/>
      <c r="G1662" s="185"/>
      <c r="H1662" s="205"/>
      <c r="I1662" s="156"/>
      <c r="J1662" s="184"/>
      <c r="K1662" s="222"/>
      <c r="L1662" s="147"/>
      <c r="M1662" s="219"/>
      <c r="N1662" s="149"/>
      <c r="O1662" s="226"/>
      <c r="P1662" s="150"/>
      <c r="Q1662" s="572" t="s">
        <v>1321</v>
      </c>
    </row>
    <row r="1663" spans="1:17" s="211" customFormat="1" ht="15.75" hidden="1" customHeight="1" outlineLevel="3">
      <c r="A1663" s="551"/>
      <c r="B1663" s="262" t="s">
        <v>448</v>
      </c>
      <c r="C1663" s="422"/>
      <c r="D1663" s="187"/>
      <c r="E1663" s="185"/>
      <c r="F1663" s="185"/>
      <c r="G1663" s="185"/>
      <c r="H1663" s="205"/>
      <c r="I1663" s="156"/>
      <c r="J1663" s="184"/>
      <c r="K1663" s="419"/>
      <c r="L1663" s="147"/>
      <c r="M1663" s="219"/>
      <c r="N1663" s="149"/>
      <c r="O1663" s="226"/>
      <c r="P1663" s="150"/>
      <c r="Q1663" s="572"/>
    </row>
    <row r="1664" spans="1:17" ht="15.75" hidden="1" customHeight="1" outlineLevel="3">
      <c r="A1664" s="274"/>
      <c r="B1664" s="423"/>
      <c r="C1664" s="425" t="s">
        <v>266</v>
      </c>
      <c r="D1664" s="225"/>
      <c r="E1664" s="202"/>
      <c r="F1664" s="202"/>
      <c r="G1664" s="202"/>
      <c r="H1664" s="201"/>
      <c r="I1664" s="156"/>
      <c r="J1664" s="422"/>
      <c r="K1664" s="419"/>
      <c r="L1664" s="184">
        <v>206000</v>
      </c>
      <c r="M1664" s="219">
        <f>L1664*1.46</f>
        <v>300760</v>
      </c>
      <c r="N1664" s="159"/>
      <c r="O1664" s="226"/>
      <c r="P1664" s="150">
        <f t="shared" ref="P1664:P1665" si="127">SUM(I1664,K1664,M1664,O1664)</f>
        <v>300760</v>
      </c>
      <c r="Q1664" s="579" t="s">
        <v>1322</v>
      </c>
    </row>
    <row r="1665" spans="1:17" ht="15.75" hidden="1" customHeight="1" outlineLevel="2" collapsed="1">
      <c r="A1665" s="274"/>
      <c r="B1665" s="423"/>
      <c r="C1665" s="262" t="s">
        <v>448</v>
      </c>
      <c r="D1665" s="225"/>
      <c r="E1665" s="202"/>
      <c r="F1665" s="202"/>
      <c r="G1665" s="202"/>
      <c r="H1665" s="201"/>
      <c r="I1665" s="156"/>
      <c r="J1665" s="422"/>
      <c r="K1665" s="419"/>
      <c r="L1665" s="184">
        <f>SUM(L1664)</f>
        <v>206000</v>
      </c>
      <c r="M1665" s="219">
        <f>L1665*1.46</f>
        <v>300760</v>
      </c>
      <c r="N1665" s="159"/>
      <c r="O1665" s="226"/>
      <c r="P1665" s="150">
        <f t="shared" si="127"/>
        <v>300760</v>
      </c>
      <c r="Q1665" s="579" t="s">
        <v>1322</v>
      </c>
    </row>
    <row r="1666" spans="1:17" s="211" customFormat="1" ht="15.75" hidden="1" customHeight="1" outlineLevel="3">
      <c r="A1666" s="551"/>
      <c r="B1666" s="262" t="s">
        <v>449</v>
      </c>
      <c r="C1666" s="422"/>
      <c r="D1666" s="187"/>
      <c r="E1666" s="185"/>
      <c r="F1666" s="185"/>
      <c r="G1666" s="185"/>
      <c r="H1666" s="205"/>
      <c r="I1666" s="156"/>
      <c r="J1666" s="184"/>
      <c r="K1666" s="419"/>
      <c r="L1666" s="147"/>
      <c r="M1666" s="219"/>
      <c r="N1666" s="149"/>
      <c r="O1666" s="226"/>
      <c r="P1666" s="150"/>
      <c r="Q1666" s="572"/>
    </row>
    <row r="1667" spans="1:17" ht="15.75" hidden="1" customHeight="1" outlineLevel="3">
      <c r="A1667" s="274"/>
      <c r="B1667" s="423"/>
      <c r="C1667" s="425" t="s">
        <v>266</v>
      </c>
      <c r="D1667" s="225"/>
      <c r="E1667" s="202"/>
      <c r="F1667" s="202"/>
      <c r="G1667" s="202"/>
      <c r="H1667" s="201"/>
      <c r="I1667" s="156"/>
      <c r="J1667" s="184"/>
      <c r="K1667" s="419"/>
      <c r="L1667" s="184"/>
      <c r="M1667" s="219"/>
      <c r="N1667" s="183"/>
      <c r="O1667" s="226"/>
      <c r="P1667" s="207"/>
      <c r="Q1667" s="579"/>
    </row>
    <row r="1668" spans="1:17" ht="15.75" hidden="1" customHeight="1" outlineLevel="2" collapsed="1">
      <c r="A1668" s="274"/>
      <c r="B1668" s="423"/>
      <c r="C1668" s="262" t="s">
        <v>449</v>
      </c>
      <c r="D1668" s="225"/>
      <c r="E1668" s="202"/>
      <c r="F1668" s="202"/>
      <c r="G1668" s="202"/>
      <c r="H1668" s="201"/>
      <c r="I1668" s="156"/>
      <c r="J1668" s="184"/>
      <c r="K1668" s="222"/>
      <c r="L1668" s="147">
        <v>200000</v>
      </c>
      <c r="M1668" s="219">
        <f>L1668*1.46</f>
        <v>292000</v>
      </c>
      <c r="N1668" s="183"/>
      <c r="O1668" s="226"/>
      <c r="P1668" s="207"/>
      <c r="Q1668" s="572" t="s">
        <v>1323</v>
      </c>
    </row>
    <row r="1669" spans="1:17" s="211" customFormat="1" ht="15.75" hidden="1" customHeight="1" outlineLevel="3">
      <c r="A1669" s="551"/>
      <c r="B1669" s="262" t="s">
        <v>450</v>
      </c>
      <c r="C1669" s="422"/>
      <c r="D1669" s="187"/>
      <c r="E1669" s="185"/>
      <c r="F1669" s="185"/>
      <c r="G1669" s="185"/>
      <c r="H1669" s="205"/>
      <c r="I1669" s="420"/>
      <c r="J1669" s="184"/>
      <c r="K1669" s="222"/>
      <c r="L1669" s="147"/>
      <c r="M1669" s="219"/>
      <c r="N1669" s="149"/>
      <c r="O1669" s="226"/>
      <c r="P1669" s="150"/>
      <c r="Q1669" s="580"/>
    </row>
    <row r="1670" spans="1:17" s="211" customFormat="1" ht="15.75" hidden="1" customHeight="1" outlineLevel="2" collapsed="1">
      <c r="A1670" s="551"/>
      <c r="B1670" s="422"/>
      <c r="C1670" s="262" t="s">
        <v>450</v>
      </c>
      <c r="D1670" s="187"/>
      <c r="E1670" s="185"/>
      <c r="F1670" s="185"/>
      <c r="G1670" s="185"/>
      <c r="H1670" s="205"/>
      <c r="I1670" s="420"/>
      <c r="J1670" s="184"/>
      <c r="K1670" s="222"/>
      <c r="L1670" s="147"/>
      <c r="M1670" s="219"/>
      <c r="N1670" s="149"/>
      <c r="O1670" s="226"/>
      <c r="P1670" s="150"/>
      <c r="Q1670" s="572" t="s">
        <v>1325</v>
      </c>
    </row>
    <row r="1671" spans="1:17" s="211" customFormat="1" ht="15.75" hidden="1" customHeight="1" outlineLevel="3">
      <c r="A1671" s="551"/>
      <c r="B1671" s="262" t="s">
        <v>451</v>
      </c>
      <c r="C1671" s="422"/>
      <c r="D1671" s="187"/>
      <c r="E1671" s="185"/>
      <c r="F1671" s="185"/>
      <c r="G1671" s="185"/>
      <c r="H1671" s="205"/>
      <c r="I1671" s="156"/>
      <c r="J1671" s="184"/>
      <c r="K1671" s="419"/>
      <c r="L1671" s="147"/>
      <c r="M1671" s="219"/>
      <c r="N1671" s="149"/>
      <c r="O1671" s="226"/>
      <c r="P1671" s="150"/>
      <c r="Q1671" s="572"/>
    </row>
    <row r="1672" spans="1:17" ht="15.75" hidden="1" customHeight="1" outlineLevel="3">
      <c r="A1672" s="274"/>
      <c r="B1672" s="423"/>
      <c r="C1672" s="425" t="s">
        <v>266</v>
      </c>
      <c r="D1672" s="225"/>
      <c r="E1672" s="202"/>
      <c r="F1672" s="202"/>
      <c r="G1672" s="202"/>
      <c r="H1672" s="201"/>
      <c r="I1672" s="156"/>
      <c r="J1672" s="422"/>
      <c r="K1672" s="419"/>
      <c r="L1672" s="159"/>
      <c r="M1672" s="219"/>
      <c r="N1672" s="183">
        <v>104000</v>
      </c>
      <c r="O1672" s="226">
        <f>N1672*1.73</f>
        <v>179920</v>
      </c>
      <c r="P1672" s="150">
        <f t="shared" ref="P1672:P1673" si="128">SUM(I1672,K1672,M1672,O1672)</f>
        <v>179920</v>
      </c>
      <c r="Q1672" s="579"/>
    </row>
    <row r="1673" spans="1:17" ht="15.75" hidden="1" customHeight="1" outlineLevel="2" collapsed="1">
      <c r="A1673" s="274"/>
      <c r="B1673" s="423"/>
      <c r="C1673" s="262" t="s">
        <v>451</v>
      </c>
      <c r="D1673" s="225"/>
      <c r="E1673" s="202"/>
      <c r="F1673" s="202"/>
      <c r="G1673" s="202"/>
      <c r="H1673" s="201"/>
      <c r="I1673" s="156"/>
      <c r="J1673" s="422"/>
      <c r="K1673" s="419"/>
      <c r="L1673" s="159"/>
      <c r="M1673" s="219"/>
      <c r="N1673" s="183">
        <f>SUM(N1672)</f>
        <v>104000</v>
      </c>
      <c r="O1673" s="226">
        <f>N1673*1.73</f>
        <v>179920</v>
      </c>
      <c r="P1673" s="150">
        <f t="shared" si="128"/>
        <v>179920</v>
      </c>
      <c r="Q1673" s="572" t="s">
        <v>475</v>
      </c>
    </row>
    <row r="1674" spans="1:17" s="211" customFormat="1" ht="15.75" hidden="1" customHeight="1" outlineLevel="3">
      <c r="A1674" s="551"/>
      <c r="B1674" s="262" t="s">
        <v>452</v>
      </c>
      <c r="C1674" s="422"/>
      <c r="D1674" s="187"/>
      <c r="E1674" s="185"/>
      <c r="F1674" s="185"/>
      <c r="G1674" s="185"/>
      <c r="H1674" s="205"/>
      <c r="I1674" s="156"/>
      <c r="J1674" s="184"/>
      <c r="K1674" s="419"/>
      <c r="L1674" s="147"/>
      <c r="M1674" s="219"/>
      <c r="N1674" s="149"/>
      <c r="O1674" s="226"/>
      <c r="P1674" s="150"/>
      <c r="Q1674" s="572"/>
    </row>
    <row r="1675" spans="1:17" ht="15.75" hidden="1" customHeight="1" outlineLevel="3">
      <c r="A1675" s="274"/>
      <c r="B1675" s="423"/>
      <c r="C1675" s="425" t="s">
        <v>266</v>
      </c>
      <c r="D1675" s="225"/>
      <c r="E1675" s="202"/>
      <c r="F1675" s="202"/>
      <c r="G1675" s="202"/>
      <c r="H1675" s="201"/>
      <c r="I1675" s="156"/>
      <c r="J1675" s="184"/>
      <c r="K1675" s="419"/>
      <c r="L1675" s="184"/>
      <c r="M1675" s="219"/>
      <c r="N1675" s="183">
        <v>123000</v>
      </c>
      <c r="O1675" s="226">
        <f>N1675*1.73</f>
        <v>212790</v>
      </c>
      <c r="P1675" s="150">
        <f t="shared" ref="P1675:P1676" si="129">SUM(I1675,K1675,M1675,O1675)</f>
        <v>212790</v>
      </c>
      <c r="Q1675" s="572" t="s">
        <v>475</v>
      </c>
    </row>
    <row r="1676" spans="1:17" ht="15.75" hidden="1" customHeight="1" outlineLevel="2" collapsed="1">
      <c r="A1676" s="274"/>
      <c r="B1676" s="423"/>
      <c r="C1676" s="262" t="s">
        <v>452</v>
      </c>
      <c r="D1676" s="225"/>
      <c r="E1676" s="202"/>
      <c r="F1676" s="202"/>
      <c r="G1676" s="202"/>
      <c r="H1676" s="201"/>
      <c r="I1676" s="156"/>
      <c r="J1676" s="184"/>
      <c r="K1676" s="222"/>
      <c r="L1676" s="184"/>
      <c r="M1676" s="219"/>
      <c r="N1676" s="183">
        <f>SUM(N1675)</f>
        <v>123000</v>
      </c>
      <c r="O1676" s="226">
        <f>N1676*1.73</f>
        <v>212790</v>
      </c>
      <c r="P1676" s="150">
        <f t="shared" si="129"/>
        <v>212790</v>
      </c>
      <c r="Q1676" s="572" t="s">
        <v>475</v>
      </c>
    </row>
    <row r="1677" spans="1:17" s="211" customFormat="1" ht="15.75" hidden="1" customHeight="1" outlineLevel="3">
      <c r="A1677" s="551"/>
      <c r="B1677" s="262" t="s">
        <v>453</v>
      </c>
      <c r="C1677" s="422"/>
      <c r="D1677" s="187"/>
      <c r="E1677" s="185"/>
      <c r="F1677" s="185"/>
      <c r="G1677" s="185"/>
      <c r="H1677" s="205"/>
      <c r="I1677" s="420"/>
      <c r="J1677" s="184"/>
      <c r="K1677" s="222"/>
      <c r="L1677" s="147"/>
      <c r="M1677" s="219"/>
      <c r="N1677" s="149"/>
      <c r="O1677" s="226"/>
      <c r="P1677" s="150"/>
      <c r="Q1677" s="572" t="s">
        <v>1324</v>
      </c>
    </row>
    <row r="1678" spans="1:17" s="211" customFormat="1" ht="15.75" hidden="1" customHeight="1" outlineLevel="2" collapsed="1">
      <c r="A1678" s="551"/>
      <c r="B1678" s="422"/>
      <c r="C1678" s="262" t="s">
        <v>453</v>
      </c>
      <c r="D1678" s="187"/>
      <c r="E1678" s="185"/>
      <c r="F1678" s="185"/>
      <c r="G1678" s="185"/>
      <c r="H1678" s="205"/>
      <c r="I1678" s="420"/>
      <c r="J1678" s="184"/>
      <c r="K1678" s="222"/>
      <c r="L1678" s="147"/>
      <c r="M1678" s="219"/>
      <c r="N1678" s="149"/>
      <c r="O1678" s="226"/>
      <c r="P1678" s="150"/>
      <c r="Q1678" s="572" t="s">
        <v>1325</v>
      </c>
    </row>
    <row r="1679" spans="1:17" s="211" customFormat="1" ht="15.75" hidden="1" customHeight="1" outlineLevel="3">
      <c r="A1679" s="551"/>
      <c r="B1679" s="262" t="s">
        <v>454</v>
      </c>
      <c r="C1679" s="422"/>
      <c r="D1679" s="187"/>
      <c r="E1679" s="185"/>
      <c r="F1679" s="185"/>
      <c r="G1679" s="185"/>
      <c r="H1679" s="205"/>
      <c r="I1679" s="156"/>
      <c r="J1679" s="184"/>
      <c r="K1679" s="222"/>
      <c r="L1679" s="147"/>
      <c r="M1679" s="219"/>
      <c r="N1679" s="149"/>
      <c r="O1679" s="226"/>
      <c r="P1679" s="150"/>
      <c r="Q1679" s="572"/>
    </row>
    <row r="1680" spans="1:17" s="211" customFormat="1" ht="15.75" hidden="1" customHeight="1" outlineLevel="2" collapsed="1">
      <c r="A1680" s="551"/>
      <c r="B1680" s="422"/>
      <c r="C1680" s="262" t="s">
        <v>454</v>
      </c>
      <c r="D1680" s="187"/>
      <c r="E1680" s="185"/>
      <c r="F1680" s="185"/>
      <c r="G1680" s="185"/>
      <c r="H1680" s="205"/>
      <c r="I1680" s="156"/>
      <c r="J1680" s="184"/>
      <c r="K1680" s="222"/>
      <c r="L1680" s="147"/>
      <c r="M1680" s="219"/>
      <c r="N1680" s="149"/>
      <c r="O1680" s="226"/>
      <c r="P1680" s="150"/>
      <c r="Q1680" s="572" t="s">
        <v>1326</v>
      </c>
    </row>
    <row r="1681" spans="1:17" ht="15.75" hidden="1" customHeight="1" outlineLevel="1" collapsed="1">
      <c r="A1681" s="550"/>
      <c r="B1681" s="152"/>
      <c r="C1681" s="433" t="s">
        <v>455</v>
      </c>
      <c r="D1681" s="220">
        <f>SUM(D1480,D1482,D1484,D1513,D1542,D1545,D1573,D1601,D1629,D1632,D1660,D1662,D1665,D1668,D1670,D1673,D1676,D1678,D1680)</f>
        <v>275000</v>
      </c>
      <c r="E1681" s="217"/>
      <c r="F1681" s="220">
        <f t="shared" ref="F1681:H1681" si="130">SUM(F1480,F1482,F1484,F1513,F1542,F1545,F1573,F1601,F1629,F1632,F1660,F1662,F1665,F1668,F1670,F1673,F1676,F1678,F1680)</f>
        <v>160683.74999999997</v>
      </c>
      <c r="G1681" s="220">
        <f t="shared" si="130"/>
        <v>240591.77887499993</v>
      </c>
      <c r="H1681" s="220">
        <f t="shared" si="130"/>
        <v>573761.50031249982</v>
      </c>
      <c r="I1681" s="150">
        <f>SUM(I1480,I1482,I1484,I1513,I1542,I1545,I1573,I1601,I1629,I1632,I1660,I1662,I1665,I1668,I1670,I1673,I1676,I1678,I1680)</f>
        <v>1250037.0291874998</v>
      </c>
      <c r="J1681" s="147">
        <f>SUM(J1480,J1482,J1484,J1513,J1542,J1545,J1573,J1601,J1629,J1632,J1660,J1662,J1665,J1668,J1670,J1673,J1676,J1678,J1680)</f>
        <v>13759000</v>
      </c>
      <c r="K1681" s="221">
        <f>J1681*1.23</f>
        <v>16923570</v>
      </c>
      <c r="L1681" s="147">
        <f>SUM(L1480,L1482,L1484,L1513,L1542,L1545,L1573,L1601,L1629,L1632,L1660,L1662,L1665,L1668,L1670,L1673,L1676,L1678,L1680)</f>
        <v>2556000</v>
      </c>
      <c r="M1681" s="219">
        <f>L1681*1.46</f>
        <v>3731760</v>
      </c>
      <c r="N1681" s="149">
        <f>SUM(N1480,N1482,N1484,N1513,N1542,N1545,N1573,N1601,N1629,N1632,N1660,N1662,N1665,N1668,N1670,N1673,N1676,N1678,N1680)</f>
        <v>227000</v>
      </c>
      <c r="O1681" s="226">
        <f>N1681*1.73</f>
        <v>392710</v>
      </c>
      <c r="P1681" s="150">
        <f t="shared" ref="P1681:P1685" si="131">SUM(I1681,K1681,M1681,O1681)</f>
        <v>22298077.0291875</v>
      </c>
      <c r="Q1681" s="569"/>
    </row>
    <row r="1682" spans="1:17" ht="15.75" hidden="1" customHeight="1" outlineLevel="1">
      <c r="A1682" s="550"/>
      <c r="B1682" s="152"/>
      <c r="C1682" s="269" t="s">
        <v>1195</v>
      </c>
      <c r="D1682" s="326">
        <f>CIP!$AM$12</f>
        <v>125000</v>
      </c>
      <c r="E1682" s="310">
        <f>CIP!$AN$50</f>
        <v>103499.99999999999</v>
      </c>
      <c r="F1682" s="310">
        <f>CIP!$AO$71</f>
        <v>107122.49999999999</v>
      </c>
      <c r="G1682" s="310">
        <f>CIP!$AP$107</f>
        <v>110871.78749999998</v>
      </c>
      <c r="H1682" s="436">
        <f>CIP!$AQ$129</f>
        <v>114752.30006249997</v>
      </c>
      <c r="I1682" s="150">
        <f>SUM(D1682:H1682)</f>
        <v>561246.58756249992</v>
      </c>
      <c r="J1682" s="147">
        <v>500000</v>
      </c>
      <c r="K1682" s="221">
        <f>J1682*1.23</f>
        <v>615000</v>
      </c>
      <c r="L1682" s="147">
        <v>500000</v>
      </c>
      <c r="M1682" s="219">
        <f>L1682*1.46</f>
        <v>730000</v>
      </c>
      <c r="N1682" s="149">
        <v>500000</v>
      </c>
      <c r="O1682" s="226">
        <f>N1682*1.73</f>
        <v>865000</v>
      </c>
      <c r="P1682" s="150">
        <f t="shared" ref="P1682:P1683" si="132">SUM(I1682,K1682,M1682,O1682)</f>
        <v>2771246.5875625</v>
      </c>
      <c r="Q1682" s="569"/>
    </row>
    <row r="1683" spans="1:17" ht="15.75" hidden="1" customHeight="1" outlineLevel="1">
      <c r="A1683" s="550"/>
      <c r="B1683" s="152"/>
      <c r="C1683" s="269" t="s">
        <v>1196</v>
      </c>
      <c r="D1683" s="326">
        <f>CIP!$AM$21</f>
        <v>1000000</v>
      </c>
      <c r="E1683" s="310">
        <f>CIP!$AN$47</f>
        <v>1034999.9999999999</v>
      </c>
      <c r="F1683" s="217">
        <f>CIP!$AO$68</f>
        <v>1071224.9999999998</v>
      </c>
      <c r="G1683" s="217">
        <f>CIP!$AP$99</f>
        <v>554358.93749999988</v>
      </c>
      <c r="H1683" s="226"/>
      <c r="I1683" s="150">
        <f>SUM(D1683:H1683)</f>
        <v>3660583.9375</v>
      </c>
      <c r="J1683" s="147">
        <v>1000000</v>
      </c>
      <c r="K1683" s="221">
        <f>J1683*1.23</f>
        <v>1230000</v>
      </c>
      <c r="L1683" s="147">
        <v>1000000</v>
      </c>
      <c r="M1683" s="219">
        <f>L1683*1.46</f>
        <v>1460000</v>
      </c>
      <c r="N1683" s="231">
        <v>1000000</v>
      </c>
      <c r="O1683" s="226">
        <f>N1683*1.73</f>
        <v>1730000</v>
      </c>
      <c r="P1683" s="150">
        <f t="shared" si="132"/>
        <v>8080583.9375</v>
      </c>
      <c r="Q1683" s="569" t="s">
        <v>1327</v>
      </c>
    </row>
    <row r="1684" spans="1:17" s="140" customFormat="1" ht="15.75" customHeight="1" collapsed="1">
      <c r="A1684" s="552"/>
      <c r="B1684" s="521"/>
      <c r="C1684" s="526" t="s">
        <v>496</v>
      </c>
      <c r="D1684" s="528">
        <f t="shared" ref="D1684:J1684" si="133">SUM(D958,D1195,D1451,D1681,D1682,D1683)</f>
        <v>9670000</v>
      </c>
      <c r="E1684" s="528">
        <f t="shared" si="133"/>
        <v>7878335</v>
      </c>
      <c r="F1684" s="528">
        <f t="shared" si="133"/>
        <v>11178062.550224999</v>
      </c>
      <c r="G1684" s="528">
        <f t="shared" si="133"/>
        <v>2525659.3192499997</v>
      </c>
      <c r="H1684" s="528">
        <f t="shared" si="133"/>
        <v>1308176.2207124997</v>
      </c>
      <c r="I1684" s="529">
        <f t="shared" si="133"/>
        <v>32560233.090187497</v>
      </c>
      <c r="J1684" s="530">
        <f t="shared" si="133"/>
        <v>33809000</v>
      </c>
      <c r="K1684" s="531">
        <f>J1684*1.23</f>
        <v>41585070</v>
      </c>
      <c r="L1684" s="537">
        <f>SUM(L958,L1195,L1451,L1681,L1682,L1683)</f>
        <v>17864000</v>
      </c>
      <c r="M1684" s="532">
        <f>L1684*1.46</f>
        <v>26081440</v>
      </c>
      <c r="N1684" s="530">
        <f>SUM(N958,N1195,N1451,N1681,N1682,N1683)</f>
        <v>20737000</v>
      </c>
      <c r="O1684" s="533">
        <f>N1684*1.73</f>
        <v>35875010</v>
      </c>
      <c r="P1684" s="529">
        <f t="shared" si="131"/>
        <v>136101753.09018749</v>
      </c>
      <c r="Q1684" s="583" t="s">
        <v>393</v>
      </c>
    </row>
    <row r="1685" spans="1:17" ht="18" customHeight="1">
      <c r="A1685" s="275"/>
      <c r="B1685" s="607" t="s">
        <v>497</v>
      </c>
      <c r="C1685" s="605"/>
      <c r="D1685" s="220">
        <f t="shared" ref="D1685:O1685" si="134">SUM(D670,D1684)</f>
        <v>32575000</v>
      </c>
      <c r="E1685" s="220">
        <f t="shared" si="134"/>
        <v>26335709.9375</v>
      </c>
      <c r="F1685" s="220">
        <f t="shared" si="134"/>
        <v>39834985.807237498</v>
      </c>
      <c r="G1685" s="220">
        <f t="shared" si="134"/>
        <v>26921567.021284122</v>
      </c>
      <c r="H1685" s="220">
        <f t="shared" si="134"/>
        <v>20190941.453994021</v>
      </c>
      <c r="I1685" s="510">
        <f t="shared" si="134"/>
        <v>145858204.22001562</v>
      </c>
      <c r="J1685" s="541">
        <f t="shared" si="134"/>
        <v>145269447</v>
      </c>
      <c r="K1685" s="510">
        <f t="shared" si="134"/>
        <v>178681419.81</v>
      </c>
      <c r="L1685" s="517">
        <f t="shared" si="134"/>
        <v>107239000</v>
      </c>
      <c r="M1685" s="510">
        <f t="shared" si="134"/>
        <v>156568940</v>
      </c>
      <c r="N1685" s="541">
        <f t="shared" si="134"/>
        <v>98437000</v>
      </c>
      <c r="O1685" s="510">
        <f t="shared" si="134"/>
        <v>170296010</v>
      </c>
      <c r="P1685" s="516">
        <f t="shared" si="131"/>
        <v>651404574.03001559</v>
      </c>
      <c r="Q1685" s="576"/>
    </row>
    <row r="1686" spans="1:17" ht="12" customHeight="1">
      <c r="A1686" s="550"/>
      <c r="B1686" s="152"/>
      <c r="C1686" s="152"/>
      <c r="D1686" s="160"/>
      <c r="E1686" s="153"/>
      <c r="F1686" s="153"/>
      <c r="G1686" s="153"/>
      <c r="H1686" s="206"/>
      <c r="I1686" s="161"/>
      <c r="J1686" s="210"/>
      <c r="K1686" s="224"/>
      <c r="L1686" s="210"/>
      <c r="M1686" s="151"/>
      <c r="N1686" s="402"/>
      <c r="O1686" s="409"/>
      <c r="P1686" s="218"/>
      <c r="Q1686" s="569"/>
    </row>
    <row r="1687" spans="1:17" ht="15.75">
      <c r="A1687" s="553" t="s">
        <v>498</v>
      </c>
      <c r="B1687" s="234"/>
      <c r="C1687" s="240"/>
      <c r="D1687" s="237"/>
      <c r="E1687" s="235"/>
      <c r="F1687" s="235"/>
      <c r="G1687" s="235"/>
      <c r="H1687" s="236"/>
      <c r="I1687" s="238"/>
      <c r="J1687" s="403"/>
      <c r="K1687" s="239"/>
      <c r="L1687" s="403"/>
      <c r="M1687" s="240"/>
      <c r="N1687" s="406"/>
      <c r="O1687" s="410"/>
      <c r="P1687" s="241"/>
      <c r="Q1687" s="584"/>
    </row>
    <row r="1688" spans="1:17" ht="15.75" hidden="1" customHeight="1" outlineLevel="1">
      <c r="A1688" s="275" t="s">
        <v>499</v>
      </c>
      <c r="B1688" s="152"/>
      <c r="C1688" s="152"/>
      <c r="D1688" s="160"/>
      <c r="E1688" s="153"/>
      <c r="F1688" s="153"/>
      <c r="G1688" s="153"/>
      <c r="H1688" s="154"/>
      <c r="I1688" s="242"/>
      <c r="J1688" s="404"/>
      <c r="K1688" s="243"/>
      <c r="L1688" s="404"/>
      <c r="M1688" s="244"/>
      <c r="N1688" s="407"/>
      <c r="O1688" s="411"/>
      <c r="P1688" s="245"/>
      <c r="Q1688" s="585"/>
    </row>
    <row r="1689" spans="1:17" ht="18.75" hidden="1" outlineLevel="2">
      <c r="A1689" s="554"/>
      <c r="B1689" s="143"/>
      <c r="C1689" s="142" t="s">
        <v>500</v>
      </c>
      <c r="D1689" s="160"/>
      <c r="E1689" s="153"/>
      <c r="F1689" s="153"/>
      <c r="G1689" s="153"/>
      <c r="H1689" s="154"/>
      <c r="I1689" s="242"/>
      <c r="J1689" s="404"/>
      <c r="K1689" s="243"/>
      <c r="L1689" s="404"/>
      <c r="M1689" s="244"/>
      <c r="N1689" s="407"/>
      <c r="O1689" s="411"/>
      <c r="P1689" s="245"/>
      <c r="Q1689" s="585"/>
    </row>
    <row r="1690" spans="1:17" hidden="1" outlineLevel="3">
      <c r="A1690" s="550"/>
      <c r="B1690" s="152">
        <v>71</v>
      </c>
      <c r="C1690" s="152" t="s">
        <v>501</v>
      </c>
      <c r="D1690" s="160">
        <v>180000</v>
      </c>
      <c r="E1690" s="158"/>
      <c r="F1690" s="158"/>
      <c r="G1690" s="158"/>
      <c r="H1690" s="151"/>
      <c r="I1690" s="161"/>
      <c r="J1690" s="210"/>
      <c r="K1690" s="224"/>
      <c r="L1690" s="210"/>
      <c r="M1690" s="151"/>
      <c r="N1690" s="402"/>
      <c r="O1690" s="409"/>
      <c r="P1690" s="161"/>
      <c r="Q1690" s="224"/>
    </row>
    <row r="1691" spans="1:17" hidden="1" outlineLevel="3">
      <c r="A1691" s="555"/>
      <c r="B1691" s="370">
        <v>68</v>
      </c>
      <c r="C1691" s="370" t="s">
        <v>502</v>
      </c>
      <c r="D1691" s="160">
        <v>100080</v>
      </c>
      <c r="E1691" s="158"/>
      <c r="F1691" s="158"/>
      <c r="G1691" s="158"/>
      <c r="H1691" s="151"/>
      <c r="I1691" s="161"/>
      <c r="J1691" s="210"/>
      <c r="K1691" s="224"/>
      <c r="L1691" s="210"/>
      <c r="M1691" s="151"/>
      <c r="N1691" s="402"/>
      <c r="O1691" s="409"/>
      <c r="P1691" s="161"/>
      <c r="Q1691" s="224"/>
    </row>
    <row r="1692" spans="1:17" hidden="1" outlineLevel="3">
      <c r="A1692" s="550"/>
      <c r="B1692" s="152">
        <v>52</v>
      </c>
      <c r="C1692" s="152" t="s">
        <v>503</v>
      </c>
      <c r="D1692" s="160">
        <v>82800</v>
      </c>
      <c r="E1692" s="158"/>
      <c r="F1692" s="158"/>
      <c r="G1692" s="158"/>
      <c r="H1692" s="151"/>
      <c r="I1692" s="161"/>
      <c r="J1692" s="210"/>
      <c r="K1692" s="224"/>
      <c r="L1692" s="210"/>
      <c r="M1692" s="151"/>
      <c r="N1692" s="402"/>
      <c r="O1692" s="409"/>
      <c r="P1692" s="161"/>
      <c r="Q1692" s="224"/>
    </row>
    <row r="1693" spans="1:17" hidden="1" outlineLevel="3">
      <c r="A1693" s="550"/>
      <c r="B1693" s="152">
        <v>51</v>
      </c>
      <c r="C1693" s="152" t="s">
        <v>504</v>
      </c>
      <c r="D1693" s="160">
        <v>295920</v>
      </c>
      <c r="E1693" s="158"/>
      <c r="F1693" s="158"/>
      <c r="G1693" s="158"/>
      <c r="H1693" s="151"/>
      <c r="I1693" s="161"/>
      <c r="J1693" s="210"/>
      <c r="K1693" s="224"/>
      <c r="L1693" s="210"/>
      <c r="M1693" s="151"/>
      <c r="N1693" s="402"/>
      <c r="O1693" s="409"/>
      <c r="P1693" s="161"/>
      <c r="Q1693" s="224"/>
    </row>
    <row r="1694" spans="1:17" hidden="1" outlineLevel="3">
      <c r="A1694" s="550"/>
      <c r="B1694" s="152">
        <v>66</v>
      </c>
      <c r="C1694" s="152" t="s">
        <v>505</v>
      </c>
      <c r="D1694" s="160">
        <v>117216</v>
      </c>
      <c r="E1694" s="158"/>
      <c r="F1694" s="158"/>
      <c r="G1694" s="158"/>
      <c r="H1694" s="151"/>
      <c r="I1694" s="161"/>
      <c r="J1694" s="210"/>
      <c r="K1694" s="224"/>
      <c r="L1694" s="210"/>
      <c r="M1694" s="151"/>
      <c r="N1694" s="402"/>
      <c r="O1694" s="409"/>
      <c r="P1694" s="161"/>
      <c r="Q1694" s="224"/>
    </row>
    <row r="1695" spans="1:17" hidden="1" outlineLevel="3">
      <c r="A1695" s="555"/>
      <c r="B1695" s="370">
        <v>75</v>
      </c>
      <c r="C1695" s="370" t="s">
        <v>506</v>
      </c>
      <c r="D1695" s="160">
        <v>12816</v>
      </c>
      <c r="E1695" s="158"/>
      <c r="F1695" s="158"/>
      <c r="G1695" s="158"/>
      <c r="H1695" s="151"/>
      <c r="I1695" s="161"/>
      <c r="J1695" s="210"/>
      <c r="K1695" s="224"/>
      <c r="L1695" s="210"/>
      <c r="M1695" s="151"/>
      <c r="N1695" s="402"/>
      <c r="O1695" s="409"/>
      <c r="P1695" s="161"/>
      <c r="Q1695" s="224"/>
    </row>
    <row r="1696" spans="1:17" hidden="1" outlineLevel="3">
      <c r="A1696" s="550"/>
      <c r="B1696" s="152">
        <v>78</v>
      </c>
      <c r="C1696" s="152" t="s">
        <v>507</v>
      </c>
      <c r="D1696" s="160">
        <v>39960</v>
      </c>
      <c r="E1696" s="158"/>
      <c r="F1696" s="158"/>
      <c r="G1696" s="158"/>
      <c r="H1696" s="151"/>
      <c r="I1696" s="161"/>
      <c r="J1696" s="210"/>
      <c r="K1696" s="224"/>
      <c r="L1696" s="210"/>
      <c r="M1696" s="151"/>
      <c r="N1696" s="402"/>
      <c r="O1696" s="409"/>
      <c r="P1696" s="161"/>
      <c r="Q1696" s="224"/>
    </row>
    <row r="1697" spans="1:17" hidden="1" outlineLevel="3">
      <c r="A1697" s="550"/>
      <c r="B1697" s="152">
        <v>54</v>
      </c>
      <c r="C1697" s="152" t="s">
        <v>508</v>
      </c>
      <c r="D1697" s="160">
        <v>50688</v>
      </c>
      <c r="E1697" s="158"/>
      <c r="F1697" s="158"/>
      <c r="G1697" s="158"/>
      <c r="H1697" s="151"/>
      <c r="I1697" s="161"/>
      <c r="J1697" s="210"/>
      <c r="K1697" s="224"/>
      <c r="L1697" s="210"/>
      <c r="M1697" s="151"/>
      <c r="N1697" s="402"/>
      <c r="O1697" s="409"/>
      <c r="P1697" s="161"/>
      <c r="Q1697" s="224"/>
    </row>
    <row r="1698" spans="1:17" hidden="1" outlineLevel="3">
      <c r="A1698" s="550"/>
      <c r="B1698" s="152">
        <v>66</v>
      </c>
      <c r="C1698" s="152" t="s">
        <v>509</v>
      </c>
      <c r="D1698" s="160">
        <v>67392</v>
      </c>
      <c r="E1698" s="158"/>
      <c r="F1698" s="158"/>
      <c r="G1698" s="158"/>
      <c r="H1698" s="151"/>
      <c r="I1698" s="161"/>
      <c r="J1698" s="210"/>
      <c r="K1698" s="224"/>
      <c r="L1698" s="210"/>
      <c r="M1698" s="151"/>
      <c r="N1698" s="402"/>
      <c r="O1698" s="409"/>
      <c r="P1698" s="161"/>
      <c r="Q1698" s="224"/>
    </row>
    <row r="1699" spans="1:17" hidden="1" outlineLevel="3">
      <c r="A1699" s="555"/>
      <c r="B1699" s="370">
        <v>69</v>
      </c>
      <c r="C1699" s="370" t="s">
        <v>510</v>
      </c>
      <c r="D1699" s="160">
        <v>75456</v>
      </c>
      <c r="E1699" s="158"/>
      <c r="F1699" s="158"/>
      <c r="G1699" s="158"/>
      <c r="H1699" s="151"/>
      <c r="I1699" s="161"/>
      <c r="J1699" s="210"/>
      <c r="K1699" s="224"/>
      <c r="L1699" s="210"/>
      <c r="M1699" s="151"/>
      <c r="N1699" s="402"/>
      <c r="O1699" s="409"/>
      <c r="P1699" s="161"/>
      <c r="Q1699" s="224"/>
    </row>
    <row r="1700" spans="1:17" hidden="1" outlineLevel="3">
      <c r="A1700" s="550"/>
      <c r="B1700" s="370">
        <v>68</v>
      </c>
      <c r="C1700" s="152" t="s">
        <v>511</v>
      </c>
      <c r="D1700" s="160">
        <v>88000</v>
      </c>
      <c r="E1700" s="158"/>
      <c r="F1700" s="158"/>
      <c r="G1700" s="158"/>
      <c r="H1700" s="151"/>
      <c r="I1700" s="161"/>
      <c r="J1700" s="210"/>
      <c r="K1700" s="224"/>
      <c r="L1700" s="210"/>
      <c r="M1700" s="151"/>
      <c r="N1700" s="402"/>
      <c r="O1700" s="409"/>
      <c r="P1700" s="161"/>
      <c r="Q1700" s="224"/>
    </row>
    <row r="1701" spans="1:17" hidden="1" outlineLevel="3">
      <c r="A1701" s="550"/>
      <c r="B1701" s="370">
        <v>72</v>
      </c>
      <c r="C1701" s="152" t="s">
        <v>512</v>
      </c>
      <c r="D1701" s="160">
        <v>88000</v>
      </c>
      <c r="E1701" s="158"/>
      <c r="F1701" s="158"/>
      <c r="G1701" s="158"/>
      <c r="H1701" s="151"/>
      <c r="I1701" s="161"/>
      <c r="J1701" s="210"/>
      <c r="K1701" s="224"/>
      <c r="L1701" s="210"/>
      <c r="M1701" s="151"/>
      <c r="N1701" s="402"/>
      <c r="O1701" s="409"/>
      <c r="P1701" s="161"/>
      <c r="Q1701" s="224"/>
    </row>
    <row r="1702" spans="1:17" hidden="1" outlineLevel="3">
      <c r="A1702" s="550"/>
      <c r="B1702" s="370">
        <v>57</v>
      </c>
      <c r="C1702" s="152" t="s">
        <v>513</v>
      </c>
      <c r="D1702" s="160">
        <v>183816</v>
      </c>
      <c r="E1702" s="158"/>
      <c r="F1702" s="158"/>
      <c r="G1702" s="158"/>
      <c r="H1702" s="151"/>
      <c r="I1702" s="161"/>
      <c r="J1702" s="210"/>
      <c r="K1702" s="224"/>
      <c r="L1702" s="210"/>
      <c r="M1702" s="151"/>
      <c r="N1702" s="402"/>
      <c r="O1702" s="409"/>
      <c r="P1702" s="161"/>
      <c r="Q1702" s="224"/>
    </row>
    <row r="1703" spans="1:17" s="249" customFormat="1" hidden="1" outlineLevel="3">
      <c r="A1703" s="555"/>
      <c r="B1703" s="370">
        <v>54</v>
      </c>
      <c r="C1703" s="370" t="s">
        <v>514</v>
      </c>
      <c r="D1703" s="225">
        <v>534384</v>
      </c>
      <c r="E1703" s="214"/>
      <c r="F1703" s="214"/>
      <c r="G1703" s="214"/>
      <c r="H1703" s="246"/>
      <c r="I1703" s="247"/>
      <c r="J1703" s="405"/>
      <c r="K1703" s="248"/>
      <c r="L1703" s="405"/>
      <c r="M1703" s="246"/>
      <c r="N1703" s="393"/>
      <c r="O1703" s="412"/>
      <c r="P1703" s="247"/>
      <c r="Q1703" s="248"/>
    </row>
    <row r="1704" spans="1:17" s="249" customFormat="1" hidden="1" outlineLevel="3">
      <c r="A1704" s="555"/>
      <c r="B1704" s="370"/>
      <c r="C1704" s="424" t="s">
        <v>746</v>
      </c>
      <c r="D1704" s="296">
        <f>SUM(D1690:D1703)</f>
        <v>1916528</v>
      </c>
      <c r="E1704" s="214"/>
      <c r="F1704" s="214"/>
      <c r="G1704" s="214"/>
      <c r="H1704" s="246"/>
      <c r="I1704" s="247"/>
      <c r="J1704" s="405"/>
      <c r="K1704" s="248"/>
      <c r="L1704" s="405"/>
      <c r="M1704" s="246"/>
      <c r="N1704" s="393"/>
      <c r="O1704" s="412"/>
      <c r="P1704" s="247"/>
      <c r="Q1704" s="248"/>
    </row>
    <row r="1705" spans="1:17" s="249" customFormat="1" hidden="1" outlineLevel="3">
      <c r="A1705" s="555"/>
      <c r="B1705" s="370">
        <v>50</v>
      </c>
      <c r="C1705" s="370" t="s">
        <v>515</v>
      </c>
      <c r="D1705" s="225">
        <v>161496</v>
      </c>
      <c r="E1705" s="214"/>
      <c r="F1705" s="214"/>
      <c r="G1705" s="214"/>
      <c r="H1705" s="246"/>
      <c r="I1705" s="247" t="s">
        <v>390</v>
      </c>
      <c r="J1705" s="405"/>
      <c r="K1705" s="248"/>
      <c r="L1705" s="405"/>
      <c r="M1705" s="246"/>
      <c r="N1705" s="393"/>
      <c r="O1705" s="412"/>
      <c r="P1705" s="247"/>
      <c r="Q1705" s="248"/>
    </row>
    <row r="1706" spans="1:17" s="249" customFormat="1" hidden="1" outlineLevel="3">
      <c r="A1706" s="555"/>
      <c r="B1706" s="370">
        <v>52</v>
      </c>
      <c r="C1706" s="370" t="s">
        <v>516</v>
      </c>
      <c r="D1706" s="225">
        <v>112320</v>
      </c>
      <c r="E1706" s="214"/>
      <c r="F1706" s="214"/>
      <c r="G1706" s="214"/>
      <c r="H1706" s="246"/>
      <c r="I1706" s="247"/>
      <c r="J1706" s="405"/>
      <c r="K1706" s="248"/>
      <c r="L1706" s="405"/>
      <c r="M1706" s="246"/>
      <c r="N1706" s="393"/>
      <c r="O1706" s="412"/>
      <c r="P1706" s="247"/>
      <c r="Q1706" s="248"/>
    </row>
    <row r="1707" spans="1:17" s="249" customFormat="1" hidden="1" outlineLevel="3">
      <c r="A1707" s="555"/>
      <c r="B1707" s="370">
        <v>52</v>
      </c>
      <c r="C1707" s="370" t="s">
        <v>517</v>
      </c>
      <c r="D1707" s="225">
        <v>41832</v>
      </c>
      <c r="E1707" s="214"/>
      <c r="F1707" s="214"/>
      <c r="G1707" s="214"/>
      <c r="H1707" s="246"/>
      <c r="I1707" s="247"/>
      <c r="J1707" s="405"/>
      <c r="K1707" s="248"/>
      <c r="L1707" s="405"/>
      <c r="M1707" s="246"/>
      <c r="N1707" s="393"/>
      <c r="O1707" s="412"/>
      <c r="P1707" s="247"/>
      <c r="Q1707" s="248"/>
    </row>
    <row r="1708" spans="1:17" s="249" customFormat="1" hidden="1" outlineLevel="3">
      <c r="A1708" s="555"/>
      <c r="B1708" s="370">
        <v>53</v>
      </c>
      <c r="C1708" s="370" t="s">
        <v>518</v>
      </c>
      <c r="D1708" s="225">
        <v>234576</v>
      </c>
      <c r="E1708" s="214"/>
      <c r="F1708" s="214"/>
      <c r="G1708" s="214"/>
      <c r="H1708" s="246"/>
      <c r="I1708" s="247"/>
      <c r="J1708" s="405"/>
      <c r="K1708" s="248"/>
      <c r="L1708" s="405"/>
      <c r="M1708" s="246"/>
      <c r="N1708" s="393"/>
      <c r="O1708" s="412"/>
      <c r="P1708" s="247"/>
      <c r="Q1708" s="248"/>
    </row>
    <row r="1709" spans="1:17" s="249" customFormat="1" hidden="1" outlineLevel="3">
      <c r="A1709" s="555"/>
      <c r="B1709" s="370">
        <v>51</v>
      </c>
      <c r="C1709" s="370" t="s">
        <v>519</v>
      </c>
      <c r="D1709" s="225">
        <v>77760</v>
      </c>
      <c r="E1709" s="214"/>
      <c r="F1709" s="214"/>
      <c r="G1709" s="214"/>
      <c r="H1709" s="246"/>
      <c r="I1709" s="247"/>
      <c r="J1709" s="405"/>
      <c r="K1709" s="248"/>
      <c r="L1709" s="405"/>
      <c r="M1709" s="246"/>
      <c r="N1709" s="393"/>
      <c r="O1709" s="412"/>
      <c r="P1709" s="247"/>
      <c r="Q1709" s="248"/>
    </row>
    <row r="1710" spans="1:17" s="249" customFormat="1" hidden="1" outlineLevel="3">
      <c r="A1710" s="555"/>
      <c r="B1710" s="370">
        <v>57</v>
      </c>
      <c r="C1710" s="370" t="s">
        <v>520</v>
      </c>
      <c r="D1710" s="225">
        <v>50400</v>
      </c>
      <c r="E1710" s="214"/>
      <c r="F1710" s="214"/>
      <c r="G1710" s="214"/>
      <c r="H1710" s="246"/>
      <c r="I1710" s="247"/>
      <c r="J1710" s="405"/>
      <c r="K1710" s="248"/>
      <c r="L1710" s="405"/>
      <c r="M1710" s="246"/>
      <c r="N1710" s="393"/>
      <c r="O1710" s="412"/>
      <c r="P1710" s="247"/>
      <c r="Q1710" s="248"/>
    </row>
    <row r="1711" spans="1:17" s="249" customFormat="1" hidden="1" outlineLevel="3">
      <c r="A1711" s="555"/>
      <c r="B1711" s="370">
        <v>46</v>
      </c>
      <c r="C1711" s="370" t="s">
        <v>521</v>
      </c>
      <c r="D1711" s="225">
        <v>32328</v>
      </c>
      <c r="E1711" s="214"/>
      <c r="F1711" s="214"/>
      <c r="G1711" s="214"/>
      <c r="H1711" s="246"/>
      <c r="I1711" s="247"/>
      <c r="J1711" s="405"/>
      <c r="K1711" s="248"/>
      <c r="L1711" s="405"/>
      <c r="M1711" s="246"/>
      <c r="N1711" s="393"/>
      <c r="O1711" s="412"/>
      <c r="P1711" s="247"/>
      <c r="Q1711" s="248"/>
    </row>
    <row r="1712" spans="1:17" s="249" customFormat="1" hidden="1" outlineLevel="3">
      <c r="A1712" s="555"/>
      <c r="B1712" s="370"/>
      <c r="C1712" s="424" t="s">
        <v>863</v>
      </c>
      <c r="D1712" s="296">
        <f>SUM(D1705:D1711)</f>
        <v>710712</v>
      </c>
      <c r="E1712" s="214"/>
      <c r="F1712" s="214"/>
      <c r="G1712" s="214"/>
      <c r="H1712" s="246"/>
      <c r="I1712" s="247"/>
      <c r="J1712" s="405"/>
      <c r="K1712" s="248"/>
      <c r="L1712" s="405"/>
      <c r="M1712" s="246"/>
      <c r="N1712" s="393"/>
      <c r="O1712" s="412"/>
      <c r="P1712" s="247"/>
      <c r="Q1712" s="248"/>
    </row>
    <row r="1713" spans="1:17" s="249" customFormat="1" ht="15.75" hidden="1" customHeight="1" outlineLevel="2" collapsed="1">
      <c r="A1713" s="555"/>
      <c r="B1713" s="370"/>
      <c r="C1713" s="262" t="s">
        <v>742</v>
      </c>
      <c r="D1713" s="296">
        <f>SUM(D1704,D1712)</f>
        <v>2627240</v>
      </c>
      <c r="E1713" s="214"/>
      <c r="F1713" s="214"/>
      <c r="G1713" s="214"/>
      <c r="H1713" s="246"/>
      <c r="I1713" s="207">
        <f>SUM(D1713:H1713)</f>
        <v>2627240</v>
      </c>
      <c r="J1713" s="405"/>
      <c r="K1713" s="248"/>
      <c r="L1713" s="405"/>
      <c r="M1713" s="246"/>
      <c r="N1713" s="393"/>
      <c r="O1713" s="412"/>
      <c r="P1713" s="247"/>
      <c r="Q1713" s="248"/>
    </row>
    <row r="1714" spans="1:17" hidden="1" outlineLevel="3">
      <c r="A1714" s="550"/>
      <c r="B1714" s="152">
        <v>68</v>
      </c>
      <c r="C1714" s="152" t="s">
        <v>522</v>
      </c>
      <c r="D1714" s="160"/>
      <c r="E1714" s="153">
        <v>360000</v>
      </c>
      <c r="F1714" s="158"/>
      <c r="G1714" s="158"/>
      <c r="H1714" s="151"/>
      <c r="I1714" s="218"/>
      <c r="J1714" s="210"/>
      <c r="K1714" s="224"/>
      <c r="L1714" s="210"/>
      <c r="M1714" s="151"/>
      <c r="N1714" s="402"/>
      <c r="O1714" s="409"/>
      <c r="P1714" s="161"/>
      <c r="Q1714" s="224"/>
    </row>
    <row r="1715" spans="1:17" hidden="1" outlineLevel="3">
      <c r="A1715" s="550"/>
      <c r="B1715" s="152">
        <v>56</v>
      </c>
      <c r="C1715" s="152" t="s">
        <v>523</v>
      </c>
      <c r="D1715" s="155"/>
      <c r="E1715" s="153">
        <v>152280</v>
      </c>
      <c r="F1715" s="158"/>
      <c r="G1715" s="158"/>
      <c r="H1715" s="151"/>
      <c r="I1715" s="218"/>
      <c r="J1715" s="210"/>
      <c r="K1715" s="224"/>
      <c r="L1715" s="210"/>
      <c r="M1715" s="151"/>
      <c r="N1715" s="402"/>
      <c r="O1715" s="409"/>
      <c r="P1715" s="161"/>
      <c r="Q1715" s="224"/>
    </row>
    <row r="1716" spans="1:17" hidden="1" outlineLevel="3">
      <c r="A1716" s="550"/>
      <c r="B1716" s="152">
        <v>55</v>
      </c>
      <c r="C1716" s="152" t="s">
        <v>524</v>
      </c>
      <c r="D1716" s="155"/>
      <c r="E1716" s="153">
        <v>40032</v>
      </c>
      <c r="F1716" s="158"/>
      <c r="G1716" s="158"/>
      <c r="H1716" s="151"/>
      <c r="I1716" s="218"/>
      <c r="J1716" s="210"/>
      <c r="K1716" s="224"/>
      <c r="L1716" s="210"/>
      <c r="M1716" s="151"/>
      <c r="N1716" s="402"/>
      <c r="O1716" s="409"/>
      <c r="P1716" s="161"/>
      <c r="Q1716" s="224"/>
    </row>
    <row r="1717" spans="1:17" hidden="1" outlineLevel="3">
      <c r="A1717" s="550"/>
      <c r="B1717" s="152">
        <v>78</v>
      </c>
      <c r="C1717" s="152" t="s">
        <v>525</v>
      </c>
      <c r="D1717" s="155"/>
      <c r="E1717" s="153">
        <v>111312</v>
      </c>
      <c r="F1717" s="158"/>
      <c r="G1717" s="158"/>
      <c r="H1717" s="151"/>
      <c r="I1717" s="218"/>
      <c r="J1717" s="210"/>
      <c r="K1717" s="224"/>
      <c r="L1717" s="210"/>
      <c r="M1717" s="151"/>
      <c r="N1717" s="402"/>
      <c r="O1717" s="409"/>
      <c r="P1717" s="161"/>
      <c r="Q1717" s="224"/>
    </row>
    <row r="1718" spans="1:17" hidden="1" outlineLevel="3">
      <c r="A1718" s="550"/>
      <c r="B1718" s="152">
        <v>70</v>
      </c>
      <c r="C1718" s="152" t="s">
        <v>526</v>
      </c>
      <c r="D1718" s="155"/>
      <c r="E1718" s="153">
        <v>322992</v>
      </c>
      <c r="F1718" s="158"/>
      <c r="G1718" s="158"/>
      <c r="H1718" s="151"/>
      <c r="I1718" s="218"/>
      <c r="J1718" s="210"/>
      <c r="K1718" s="224"/>
      <c r="L1718" s="210"/>
      <c r="M1718" s="151"/>
      <c r="N1718" s="402"/>
      <c r="O1718" s="409"/>
      <c r="P1718" s="161"/>
      <c r="Q1718" s="224"/>
    </row>
    <row r="1719" spans="1:17" hidden="1" outlineLevel="3">
      <c r="A1719" s="550"/>
      <c r="B1719" s="152">
        <v>53</v>
      </c>
      <c r="C1719" s="152" t="s">
        <v>527</v>
      </c>
      <c r="D1719" s="155"/>
      <c r="E1719" s="153">
        <v>40646</v>
      </c>
      <c r="F1719" s="158"/>
      <c r="G1719" s="158"/>
      <c r="H1719" s="151"/>
      <c r="I1719" s="218"/>
      <c r="J1719" s="210"/>
      <c r="K1719" s="224"/>
      <c r="L1719" s="210"/>
      <c r="M1719" s="151"/>
      <c r="N1719" s="402"/>
      <c r="O1719" s="409"/>
      <c r="P1719" s="161"/>
      <c r="Q1719" s="224"/>
    </row>
    <row r="1720" spans="1:17" hidden="1" outlineLevel="3">
      <c r="A1720" s="550"/>
      <c r="B1720" s="152">
        <v>43</v>
      </c>
      <c r="C1720" s="152" t="s">
        <v>528</v>
      </c>
      <c r="D1720" s="155"/>
      <c r="E1720" s="153">
        <v>57024</v>
      </c>
      <c r="F1720" s="158"/>
      <c r="G1720" s="158"/>
      <c r="H1720" s="151"/>
      <c r="I1720" s="218"/>
      <c r="J1720" s="210"/>
      <c r="K1720" s="224"/>
      <c r="L1720" s="210"/>
      <c r="M1720" s="151"/>
      <c r="N1720" s="402"/>
      <c r="O1720" s="409"/>
      <c r="P1720" s="161"/>
      <c r="Q1720" s="224"/>
    </row>
    <row r="1721" spans="1:17" hidden="1" outlineLevel="3">
      <c r="A1721" s="550"/>
      <c r="B1721" s="152">
        <v>56</v>
      </c>
      <c r="C1721" s="152" t="s">
        <v>529</v>
      </c>
      <c r="D1721" s="155"/>
      <c r="E1721" s="153">
        <v>214272</v>
      </c>
      <c r="F1721" s="158"/>
      <c r="G1721" s="158"/>
      <c r="H1721" s="151"/>
      <c r="I1721" s="218"/>
      <c r="J1721" s="210"/>
      <c r="K1721" s="224"/>
      <c r="L1721" s="210"/>
      <c r="M1721" s="151"/>
      <c r="N1721" s="402"/>
      <c r="O1721" s="409"/>
      <c r="P1721" s="161"/>
      <c r="Q1721" s="224"/>
    </row>
    <row r="1722" spans="1:17" hidden="1" outlineLevel="3">
      <c r="A1722" s="550"/>
      <c r="B1722" s="152">
        <v>55</v>
      </c>
      <c r="C1722" s="152" t="s">
        <v>531</v>
      </c>
      <c r="D1722" s="155"/>
      <c r="E1722" s="153">
        <v>205200</v>
      </c>
      <c r="F1722" s="158"/>
      <c r="G1722" s="158"/>
      <c r="H1722" s="151"/>
      <c r="I1722" s="218"/>
      <c r="J1722" s="210"/>
      <c r="K1722" s="224"/>
      <c r="L1722" s="210"/>
      <c r="M1722" s="151"/>
      <c r="N1722" s="402"/>
      <c r="O1722" s="409"/>
      <c r="P1722" s="161"/>
      <c r="Q1722" s="224"/>
    </row>
    <row r="1723" spans="1:17" hidden="1" outlineLevel="3">
      <c r="A1723" s="550"/>
      <c r="B1723" s="152">
        <v>52</v>
      </c>
      <c r="C1723" s="152" t="s">
        <v>532</v>
      </c>
      <c r="D1723" s="155"/>
      <c r="E1723" s="153">
        <v>151200</v>
      </c>
      <c r="F1723" s="158"/>
      <c r="G1723" s="158"/>
      <c r="H1723" s="151"/>
      <c r="I1723" s="218"/>
      <c r="J1723" s="210"/>
      <c r="K1723" s="224"/>
      <c r="L1723" s="210"/>
      <c r="M1723" s="151"/>
      <c r="N1723" s="402"/>
      <c r="O1723" s="409"/>
      <c r="P1723" s="161"/>
      <c r="Q1723" s="224"/>
    </row>
    <row r="1724" spans="1:17" hidden="1" outlineLevel="3">
      <c r="A1724" s="550"/>
      <c r="B1724" s="152">
        <v>57</v>
      </c>
      <c r="C1724" s="152" t="s">
        <v>533</v>
      </c>
      <c r="D1724" s="155"/>
      <c r="E1724" s="153">
        <v>259200</v>
      </c>
      <c r="F1724" s="158"/>
      <c r="G1724" s="158"/>
      <c r="H1724" s="151"/>
      <c r="I1724" s="218"/>
      <c r="J1724" s="210"/>
      <c r="K1724" s="224"/>
      <c r="L1724" s="210"/>
      <c r="M1724" s="151"/>
      <c r="N1724" s="402"/>
      <c r="O1724" s="409"/>
      <c r="P1724" s="161"/>
      <c r="Q1724" s="224"/>
    </row>
    <row r="1725" spans="1:17" hidden="1" outlineLevel="3">
      <c r="A1725" s="550"/>
      <c r="B1725" s="152">
        <v>79</v>
      </c>
      <c r="C1725" s="152" t="s">
        <v>534</v>
      </c>
      <c r="D1725" s="155"/>
      <c r="E1725" s="153">
        <v>326880</v>
      </c>
      <c r="F1725" s="158"/>
      <c r="G1725" s="158"/>
      <c r="H1725" s="151"/>
      <c r="I1725" s="218"/>
      <c r="J1725" s="210"/>
      <c r="K1725" s="224"/>
      <c r="L1725" s="210"/>
      <c r="M1725" s="151"/>
      <c r="N1725" s="402"/>
      <c r="O1725" s="409"/>
      <c r="P1725" s="161"/>
      <c r="Q1725" s="224"/>
    </row>
    <row r="1726" spans="1:17" hidden="1" outlineLevel="3">
      <c r="A1726" s="550"/>
      <c r="B1726" s="152"/>
      <c r="C1726" s="424" t="s">
        <v>746</v>
      </c>
      <c r="D1726" s="155"/>
      <c r="E1726" s="217">
        <f>SUM(E1714:E1725)</f>
        <v>2241038</v>
      </c>
      <c r="F1726" s="158"/>
      <c r="G1726" s="158"/>
      <c r="H1726" s="151"/>
      <c r="I1726" s="218"/>
      <c r="J1726" s="210"/>
      <c r="K1726" s="224"/>
      <c r="L1726" s="210"/>
      <c r="M1726" s="151"/>
      <c r="N1726" s="402"/>
      <c r="O1726" s="409"/>
      <c r="P1726" s="161"/>
      <c r="Q1726" s="224"/>
    </row>
    <row r="1727" spans="1:17" s="249" customFormat="1" hidden="1" outlineLevel="3">
      <c r="A1727" s="555"/>
      <c r="B1727" s="370">
        <v>53</v>
      </c>
      <c r="C1727" s="370" t="s">
        <v>535</v>
      </c>
      <c r="D1727" s="277"/>
      <c r="E1727" s="202">
        <v>101232</v>
      </c>
      <c r="F1727" s="214"/>
      <c r="G1727" s="214"/>
      <c r="H1727" s="246"/>
      <c r="I1727" s="299"/>
      <c r="J1727" s="405"/>
      <c r="K1727" s="248"/>
      <c r="L1727" s="405"/>
      <c r="M1727" s="246"/>
      <c r="N1727" s="393"/>
      <c r="O1727" s="412"/>
      <c r="P1727" s="247"/>
      <c r="Q1727" s="248"/>
    </row>
    <row r="1728" spans="1:17" s="249" customFormat="1" hidden="1" outlineLevel="3">
      <c r="A1728" s="555"/>
      <c r="B1728" s="370">
        <v>57</v>
      </c>
      <c r="C1728" s="370" t="s">
        <v>536</v>
      </c>
      <c r="D1728" s="277"/>
      <c r="E1728" s="202">
        <v>22752</v>
      </c>
      <c r="F1728" s="214"/>
      <c r="G1728" s="214"/>
      <c r="H1728" s="246"/>
      <c r="I1728" s="299"/>
      <c r="J1728" s="405"/>
      <c r="K1728" s="248"/>
      <c r="L1728" s="405"/>
      <c r="M1728" s="246"/>
      <c r="N1728" s="393"/>
      <c r="O1728" s="412"/>
      <c r="P1728" s="247"/>
      <c r="Q1728" s="248"/>
    </row>
    <row r="1729" spans="1:17" s="249" customFormat="1" hidden="1" outlineLevel="3">
      <c r="A1729" s="279"/>
      <c r="B1729" s="370">
        <v>62</v>
      </c>
      <c r="C1729" s="370" t="s">
        <v>537</v>
      </c>
      <c r="D1729" s="277"/>
      <c r="E1729" s="202">
        <v>117360</v>
      </c>
      <c r="F1729" s="214"/>
      <c r="G1729" s="214"/>
      <c r="H1729" s="246"/>
      <c r="I1729" s="299"/>
      <c r="J1729" s="405"/>
      <c r="K1729" s="248"/>
      <c r="L1729" s="405"/>
      <c r="M1729" s="246"/>
      <c r="N1729" s="393"/>
      <c r="O1729" s="412"/>
      <c r="P1729" s="247"/>
      <c r="Q1729" s="581"/>
    </row>
    <row r="1730" spans="1:17" s="249" customFormat="1" hidden="1" outlineLevel="3">
      <c r="A1730" s="555"/>
      <c r="B1730" s="370">
        <v>65</v>
      </c>
      <c r="C1730" s="370" t="s">
        <v>538</v>
      </c>
      <c r="D1730" s="277"/>
      <c r="E1730" s="202">
        <v>60984</v>
      </c>
      <c r="F1730" s="214"/>
      <c r="G1730" s="214"/>
      <c r="H1730" s="246"/>
      <c r="I1730" s="299"/>
      <c r="J1730" s="405"/>
      <c r="K1730" s="248"/>
      <c r="L1730" s="405"/>
      <c r="M1730" s="246"/>
      <c r="N1730" s="393"/>
      <c r="O1730" s="412"/>
      <c r="P1730" s="247"/>
      <c r="Q1730" s="248"/>
    </row>
    <row r="1731" spans="1:17" s="249" customFormat="1" hidden="1" outlineLevel="3">
      <c r="A1731" s="555"/>
      <c r="B1731" s="370">
        <v>55</v>
      </c>
      <c r="C1731" s="370" t="s">
        <v>539</v>
      </c>
      <c r="D1731" s="277"/>
      <c r="E1731" s="202">
        <v>131760</v>
      </c>
      <c r="F1731" s="214"/>
      <c r="G1731" s="214"/>
      <c r="H1731" s="246" t="s">
        <v>390</v>
      </c>
      <c r="I1731" s="299"/>
      <c r="J1731" s="405"/>
      <c r="K1731" s="248"/>
      <c r="L1731" s="405"/>
      <c r="M1731" s="246"/>
      <c r="N1731" s="393"/>
      <c r="O1731" s="412"/>
      <c r="P1731" s="247"/>
      <c r="Q1731" s="248"/>
    </row>
    <row r="1732" spans="1:17" s="249" customFormat="1" hidden="1" outlineLevel="3">
      <c r="A1732" s="555"/>
      <c r="B1732" s="370">
        <v>87</v>
      </c>
      <c r="C1732" s="370" t="s">
        <v>540</v>
      </c>
      <c r="D1732" s="277"/>
      <c r="E1732" s="202">
        <v>90720</v>
      </c>
      <c r="F1732" s="214"/>
      <c r="G1732" s="214"/>
      <c r="H1732" s="246"/>
      <c r="I1732" s="299"/>
      <c r="J1732" s="405"/>
      <c r="K1732" s="248"/>
      <c r="L1732" s="405"/>
      <c r="M1732" s="246"/>
      <c r="N1732" s="393"/>
      <c r="O1732" s="412"/>
      <c r="P1732" s="247"/>
      <c r="Q1732" s="248"/>
    </row>
    <row r="1733" spans="1:17" s="249" customFormat="1" hidden="1" outlineLevel="3">
      <c r="A1733" s="555"/>
      <c r="B1733" s="538">
        <v>86</v>
      </c>
      <c r="C1733" s="538" t="s">
        <v>530</v>
      </c>
      <c r="D1733" s="277"/>
      <c r="E1733" s="202">
        <v>75000</v>
      </c>
      <c r="F1733" s="214"/>
      <c r="G1733" s="214"/>
      <c r="H1733" s="246"/>
      <c r="I1733" s="299"/>
      <c r="J1733" s="405"/>
      <c r="K1733" s="248"/>
      <c r="L1733" s="405"/>
      <c r="M1733" s="246"/>
      <c r="N1733" s="393"/>
      <c r="O1733" s="412"/>
      <c r="P1733" s="247"/>
      <c r="Q1733" s="248"/>
    </row>
    <row r="1734" spans="1:17" s="249" customFormat="1" hidden="1" outlineLevel="3">
      <c r="A1734" s="555"/>
      <c r="B1734" s="370">
        <v>76</v>
      </c>
      <c r="C1734" s="370" t="s">
        <v>872</v>
      </c>
      <c r="D1734" s="277"/>
      <c r="E1734" s="202">
        <v>191304</v>
      </c>
      <c r="F1734" s="214"/>
      <c r="G1734" s="214"/>
      <c r="H1734" s="246"/>
      <c r="I1734" s="299"/>
      <c r="J1734" s="405"/>
      <c r="K1734" s="248"/>
      <c r="L1734" s="405"/>
      <c r="M1734" s="246"/>
      <c r="N1734" s="393"/>
      <c r="O1734" s="412"/>
      <c r="P1734" s="247"/>
      <c r="Q1734" s="248"/>
    </row>
    <row r="1735" spans="1:17" s="249" customFormat="1" hidden="1" outlineLevel="3">
      <c r="A1735" s="555"/>
      <c r="B1735" s="370"/>
      <c r="C1735" s="424" t="s">
        <v>863</v>
      </c>
      <c r="D1735" s="277"/>
      <c r="E1735" s="222">
        <f>SUM(E1727:E1734)</f>
        <v>791112</v>
      </c>
      <c r="F1735" s="214"/>
      <c r="G1735" s="214"/>
      <c r="H1735" s="246"/>
      <c r="I1735" s="299"/>
      <c r="J1735" s="405"/>
      <c r="K1735" s="248"/>
      <c r="L1735" s="405"/>
      <c r="M1735" s="246"/>
      <c r="N1735" s="393"/>
      <c r="O1735" s="412"/>
      <c r="P1735" s="247"/>
      <c r="Q1735" s="248"/>
    </row>
    <row r="1736" spans="1:17" s="249" customFormat="1" hidden="1" outlineLevel="2" collapsed="1">
      <c r="A1736" s="555"/>
      <c r="B1736" s="370"/>
      <c r="C1736" s="262" t="s">
        <v>743</v>
      </c>
      <c r="D1736" s="277"/>
      <c r="E1736" s="222">
        <f>SUM(E1726,E1735)</f>
        <v>3032150</v>
      </c>
      <c r="F1736" s="214"/>
      <c r="G1736" s="214"/>
      <c r="H1736" s="246"/>
      <c r="I1736" s="207">
        <f>CIP!$AN$45</f>
        <v>3032150.4899999998</v>
      </c>
      <c r="J1736" s="405"/>
      <c r="K1736" s="248"/>
      <c r="L1736" s="405"/>
      <c r="M1736" s="246"/>
      <c r="N1736" s="393"/>
      <c r="O1736" s="412"/>
      <c r="P1736" s="247"/>
      <c r="Q1736" s="248"/>
    </row>
    <row r="1737" spans="1:17" hidden="1" outlineLevel="3">
      <c r="A1737" s="550"/>
      <c r="B1737" s="152">
        <v>74</v>
      </c>
      <c r="C1737" s="152" t="s">
        <v>541</v>
      </c>
      <c r="D1737" s="155"/>
      <c r="E1737" s="158"/>
      <c r="F1737" s="153">
        <v>494064</v>
      </c>
      <c r="G1737" s="158"/>
      <c r="H1737" s="151"/>
      <c r="I1737" s="218"/>
      <c r="J1737" s="210"/>
      <c r="K1737" s="224"/>
      <c r="L1737" s="210"/>
      <c r="M1737" s="151"/>
      <c r="N1737" s="402"/>
      <c r="O1737" s="409"/>
      <c r="P1737" s="161"/>
      <c r="Q1737" s="224"/>
    </row>
    <row r="1738" spans="1:17" hidden="1" outlineLevel="3">
      <c r="A1738" s="550"/>
      <c r="B1738" s="152">
        <v>67</v>
      </c>
      <c r="C1738" s="152" t="s">
        <v>542</v>
      </c>
      <c r="D1738" s="155"/>
      <c r="E1738" s="158"/>
      <c r="F1738" s="153">
        <v>460800</v>
      </c>
      <c r="G1738" s="158"/>
      <c r="H1738" s="151"/>
      <c r="I1738" s="218"/>
      <c r="J1738" s="210"/>
      <c r="K1738" s="224"/>
      <c r="L1738" s="210"/>
      <c r="M1738" s="151"/>
      <c r="N1738" s="402"/>
      <c r="O1738" s="409"/>
      <c r="P1738" s="161"/>
      <c r="Q1738" s="224"/>
    </row>
    <row r="1739" spans="1:17" hidden="1" outlineLevel="3">
      <c r="A1739" s="550"/>
      <c r="B1739" s="152">
        <v>57</v>
      </c>
      <c r="C1739" s="152" t="s">
        <v>513</v>
      </c>
      <c r="D1739" s="155"/>
      <c r="E1739" s="158"/>
      <c r="F1739" s="153">
        <v>183816</v>
      </c>
      <c r="G1739" s="158"/>
      <c r="H1739" s="151"/>
      <c r="I1739" s="218"/>
      <c r="J1739" s="210"/>
      <c r="K1739" s="224"/>
      <c r="L1739" s="210"/>
      <c r="M1739" s="151"/>
      <c r="N1739" s="402"/>
      <c r="O1739" s="409"/>
      <c r="P1739" s="161"/>
      <c r="Q1739" s="224"/>
    </row>
    <row r="1740" spans="1:17" hidden="1" outlineLevel="3">
      <c r="A1740" s="550"/>
      <c r="B1740" s="152">
        <v>87</v>
      </c>
      <c r="C1740" s="152" t="s">
        <v>543</v>
      </c>
      <c r="D1740" s="155"/>
      <c r="E1740" s="158"/>
      <c r="F1740" s="153">
        <v>207072</v>
      </c>
      <c r="G1740" s="158"/>
      <c r="H1740" s="151"/>
      <c r="I1740" s="218"/>
      <c r="J1740" s="210"/>
      <c r="K1740" s="224"/>
      <c r="L1740" s="210"/>
      <c r="M1740" s="151"/>
      <c r="N1740" s="402"/>
      <c r="O1740" s="409"/>
      <c r="P1740" s="161"/>
      <c r="Q1740" s="224"/>
    </row>
    <row r="1741" spans="1:17" hidden="1" outlineLevel="3">
      <c r="A1741" s="550"/>
      <c r="B1741" s="152">
        <v>54</v>
      </c>
      <c r="C1741" s="152" t="s">
        <v>544</v>
      </c>
      <c r="D1741" s="155"/>
      <c r="E1741" s="158"/>
      <c r="F1741" s="153">
        <v>226008</v>
      </c>
      <c r="G1741" s="158"/>
      <c r="H1741" s="151"/>
      <c r="I1741" s="218"/>
      <c r="J1741" s="210"/>
      <c r="K1741" s="224"/>
      <c r="L1741" s="210"/>
      <c r="M1741" s="151"/>
      <c r="N1741" s="402"/>
      <c r="O1741" s="409"/>
      <c r="P1741" s="161"/>
      <c r="Q1741" s="224"/>
    </row>
    <row r="1742" spans="1:17" hidden="1" outlineLevel="3">
      <c r="A1742" s="275"/>
      <c r="B1742" s="152">
        <v>52</v>
      </c>
      <c r="C1742" s="152" t="s">
        <v>545</v>
      </c>
      <c r="D1742" s="155"/>
      <c r="E1742" s="158"/>
      <c r="F1742" s="153">
        <v>133848</v>
      </c>
      <c r="G1742" s="158"/>
      <c r="H1742" s="151"/>
      <c r="I1742" s="218"/>
      <c r="J1742" s="210"/>
      <c r="K1742" s="224"/>
      <c r="L1742" s="210"/>
      <c r="M1742" s="151"/>
      <c r="N1742" s="402"/>
      <c r="O1742" s="409"/>
      <c r="P1742" s="161"/>
      <c r="Q1742" s="569"/>
    </row>
    <row r="1743" spans="1:17" hidden="1" outlineLevel="3">
      <c r="A1743" s="550"/>
      <c r="B1743" s="152">
        <v>65</v>
      </c>
      <c r="C1743" s="152" t="s">
        <v>546</v>
      </c>
      <c r="D1743" s="155"/>
      <c r="E1743" s="158"/>
      <c r="F1743" s="153">
        <v>70848</v>
      </c>
      <c r="G1743" s="158"/>
      <c r="H1743" s="151"/>
      <c r="I1743" s="218"/>
      <c r="J1743" s="210"/>
      <c r="K1743" s="224"/>
      <c r="L1743" s="210"/>
      <c r="M1743" s="151"/>
      <c r="N1743" s="402"/>
      <c r="O1743" s="409"/>
      <c r="P1743" s="161"/>
      <c r="Q1743" s="224"/>
    </row>
    <row r="1744" spans="1:17" hidden="1" outlineLevel="3">
      <c r="A1744" s="550"/>
      <c r="B1744" s="152">
        <v>53</v>
      </c>
      <c r="C1744" s="152" t="s">
        <v>547</v>
      </c>
      <c r="D1744" s="155"/>
      <c r="E1744" s="158"/>
      <c r="F1744" s="153">
        <v>100224</v>
      </c>
      <c r="G1744" s="158"/>
      <c r="H1744" s="151"/>
      <c r="I1744" s="218"/>
      <c r="J1744" s="210"/>
      <c r="K1744" s="224"/>
      <c r="L1744" s="210"/>
      <c r="M1744" s="151"/>
      <c r="N1744" s="402"/>
      <c r="O1744" s="409"/>
      <c r="P1744" s="161"/>
      <c r="Q1744" s="224"/>
    </row>
    <row r="1745" spans="1:17" hidden="1" outlineLevel="3">
      <c r="A1745" s="550"/>
      <c r="B1745" s="152">
        <v>74</v>
      </c>
      <c r="C1745" s="152" t="s">
        <v>548</v>
      </c>
      <c r="D1745" s="155"/>
      <c r="E1745" s="158"/>
      <c r="F1745" s="153">
        <v>36000</v>
      </c>
      <c r="G1745" s="158"/>
      <c r="H1745" s="151"/>
      <c r="I1745" s="218"/>
      <c r="J1745" s="210"/>
      <c r="K1745" s="224"/>
      <c r="L1745" s="210"/>
      <c r="M1745" s="151"/>
      <c r="N1745" s="402"/>
      <c r="O1745" s="409"/>
      <c r="P1745" s="161"/>
      <c r="Q1745" s="224"/>
    </row>
    <row r="1746" spans="1:17" hidden="1" outlineLevel="3">
      <c r="A1746" s="550"/>
      <c r="B1746" s="152">
        <v>51</v>
      </c>
      <c r="C1746" s="152" t="s">
        <v>549</v>
      </c>
      <c r="D1746" s="155"/>
      <c r="E1746" s="158"/>
      <c r="F1746" s="153">
        <v>59040</v>
      </c>
      <c r="G1746" s="158"/>
      <c r="H1746" s="151"/>
      <c r="I1746" s="218"/>
      <c r="J1746" s="210"/>
      <c r="K1746" s="224"/>
      <c r="L1746" s="210"/>
      <c r="M1746" s="151"/>
      <c r="N1746" s="402"/>
      <c r="O1746" s="409"/>
      <c r="P1746" s="161"/>
      <c r="Q1746" s="224"/>
    </row>
    <row r="1747" spans="1:17" hidden="1" outlineLevel="3">
      <c r="A1747" s="550"/>
      <c r="B1747" s="152">
        <v>55</v>
      </c>
      <c r="C1747" s="152" t="s">
        <v>550</v>
      </c>
      <c r="D1747" s="155"/>
      <c r="E1747" s="158"/>
      <c r="F1747" s="153">
        <v>32400</v>
      </c>
      <c r="G1747" s="158"/>
      <c r="H1747" s="151"/>
      <c r="I1747" s="218"/>
      <c r="J1747" s="210"/>
      <c r="K1747" s="224"/>
      <c r="L1747" s="210"/>
      <c r="M1747" s="151"/>
      <c r="N1747" s="402"/>
      <c r="O1747" s="409"/>
      <c r="P1747" s="161"/>
      <c r="Q1747" s="224"/>
    </row>
    <row r="1748" spans="1:17" hidden="1" outlineLevel="3">
      <c r="A1748" s="550"/>
      <c r="B1748" s="152">
        <v>54</v>
      </c>
      <c r="C1748" s="152" t="s">
        <v>551</v>
      </c>
      <c r="D1748" s="155"/>
      <c r="E1748" s="158"/>
      <c r="F1748" s="153">
        <v>62928</v>
      </c>
      <c r="G1748" s="158"/>
      <c r="H1748" s="151"/>
      <c r="I1748" s="218"/>
      <c r="J1748" s="210"/>
      <c r="K1748" s="224"/>
      <c r="L1748" s="210"/>
      <c r="M1748" s="151"/>
      <c r="N1748" s="402"/>
      <c r="O1748" s="409"/>
      <c r="P1748" s="161"/>
      <c r="Q1748" s="224"/>
    </row>
    <row r="1749" spans="1:17" hidden="1" outlineLevel="3">
      <c r="A1749" s="550"/>
      <c r="B1749" s="152">
        <v>70</v>
      </c>
      <c r="C1749" s="152" t="s">
        <v>552</v>
      </c>
      <c r="D1749" s="155"/>
      <c r="E1749" s="158"/>
      <c r="F1749" s="153">
        <v>72000</v>
      </c>
      <c r="G1749" s="158"/>
      <c r="H1749" s="151"/>
      <c r="I1749" s="218"/>
      <c r="J1749" s="210"/>
      <c r="K1749" s="224"/>
      <c r="L1749" s="210"/>
      <c r="M1749" s="151"/>
      <c r="N1749" s="402"/>
      <c r="O1749" s="409"/>
      <c r="P1749" s="161"/>
      <c r="Q1749" s="224"/>
    </row>
    <row r="1750" spans="1:17" hidden="1" outlineLevel="3">
      <c r="A1750" s="550"/>
      <c r="B1750" s="152">
        <v>67</v>
      </c>
      <c r="C1750" s="152" t="s">
        <v>553</v>
      </c>
      <c r="D1750" s="155"/>
      <c r="E1750" s="158"/>
      <c r="F1750" s="153">
        <v>92664</v>
      </c>
      <c r="G1750" s="158"/>
      <c r="H1750" s="151"/>
      <c r="I1750" s="218"/>
      <c r="J1750" s="210"/>
      <c r="K1750" s="224"/>
      <c r="L1750" s="210"/>
      <c r="M1750" s="151"/>
      <c r="N1750" s="402"/>
      <c r="O1750" s="409"/>
      <c r="P1750" s="161"/>
      <c r="Q1750" s="224"/>
    </row>
    <row r="1751" spans="1:17" hidden="1" outlineLevel="3">
      <c r="A1751" s="550"/>
      <c r="B1751" s="152">
        <v>51</v>
      </c>
      <c r="C1751" s="152" t="s">
        <v>554</v>
      </c>
      <c r="D1751" s="155"/>
      <c r="E1751" s="158"/>
      <c r="F1751" s="153">
        <v>20412</v>
      </c>
      <c r="G1751" s="158"/>
      <c r="H1751" s="151"/>
      <c r="I1751" s="218"/>
      <c r="J1751" s="210"/>
      <c r="K1751" s="224"/>
      <c r="L1751" s="210"/>
      <c r="M1751" s="151"/>
      <c r="N1751" s="402"/>
      <c r="O1751" s="409"/>
      <c r="P1751" s="161"/>
      <c r="Q1751" s="224"/>
    </row>
    <row r="1752" spans="1:17" hidden="1" outlineLevel="3">
      <c r="A1752" s="550"/>
      <c r="B1752" s="152"/>
      <c r="C1752" s="424" t="s">
        <v>746</v>
      </c>
      <c r="D1752" s="155"/>
      <c r="E1752" s="158"/>
      <c r="F1752" s="217">
        <f>SUM(F1737:F1751)</f>
        <v>2252124</v>
      </c>
      <c r="G1752" s="158"/>
      <c r="H1752" s="151"/>
      <c r="I1752" s="218"/>
      <c r="J1752" s="210"/>
      <c r="K1752" s="224"/>
      <c r="L1752" s="210"/>
      <c r="M1752" s="151"/>
      <c r="N1752" s="402"/>
      <c r="O1752" s="409"/>
      <c r="P1752" s="161"/>
      <c r="Q1752" s="224"/>
    </row>
    <row r="1753" spans="1:17" s="249" customFormat="1" hidden="1" outlineLevel="3">
      <c r="A1753" s="555"/>
      <c r="B1753" s="370">
        <v>73</v>
      </c>
      <c r="C1753" s="370" t="s">
        <v>555</v>
      </c>
      <c r="D1753" s="277"/>
      <c r="E1753" s="214"/>
      <c r="F1753" s="202">
        <v>280800</v>
      </c>
      <c r="G1753" s="214"/>
      <c r="H1753" s="246"/>
      <c r="I1753" s="299"/>
      <c r="J1753" s="405"/>
      <c r="K1753" s="248"/>
      <c r="L1753" s="405"/>
      <c r="M1753" s="246"/>
      <c r="N1753" s="393"/>
      <c r="O1753" s="412"/>
      <c r="P1753" s="247"/>
      <c r="Q1753" s="248"/>
    </row>
    <row r="1754" spans="1:17" s="249" customFormat="1" hidden="1" outlineLevel="3">
      <c r="A1754" s="555"/>
      <c r="B1754" s="370">
        <v>44</v>
      </c>
      <c r="C1754" s="370" t="s">
        <v>556</v>
      </c>
      <c r="D1754" s="277"/>
      <c r="E1754" s="214"/>
      <c r="F1754" s="202">
        <v>22608</v>
      </c>
      <c r="G1754" s="214"/>
      <c r="H1754" s="246"/>
      <c r="I1754" s="299"/>
      <c r="J1754" s="405"/>
      <c r="K1754" s="248"/>
      <c r="L1754" s="405"/>
      <c r="M1754" s="246"/>
      <c r="N1754" s="393"/>
      <c r="O1754" s="412"/>
      <c r="P1754" s="247"/>
      <c r="Q1754" s="248"/>
    </row>
    <row r="1755" spans="1:17" s="249" customFormat="1" hidden="1" outlineLevel="3">
      <c r="A1755" s="555"/>
      <c r="B1755" s="370">
        <v>50</v>
      </c>
      <c r="C1755" s="370" t="s">
        <v>557</v>
      </c>
      <c r="D1755" s="277"/>
      <c r="E1755" s="214"/>
      <c r="F1755" s="202">
        <v>19152</v>
      </c>
      <c r="G1755" s="214"/>
      <c r="H1755" s="246"/>
      <c r="I1755" s="299"/>
      <c r="J1755" s="405"/>
      <c r="K1755" s="248"/>
      <c r="L1755" s="405"/>
      <c r="M1755" s="246"/>
      <c r="N1755" s="393"/>
      <c r="O1755" s="412"/>
      <c r="P1755" s="247"/>
      <c r="Q1755" s="248"/>
    </row>
    <row r="1756" spans="1:17" s="249" customFormat="1" hidden="1" outlineLevel="3">
      <c r="A1756" s="555"/>
      <c r="B1756" s="370">
        <v>44</v>
      </c>
      <c r="C1756" s="370" t="s">
        <v>558</v>
      </c>
      <c r="D1756" s="277"/>
      <c r="E1756" s="214"/>
      <c r="F1756" s="202">
        <v>70416</v>
      </c>
      <c r="G1756" s="214"/>
      <c r="H1756" s="246"/>
      <c r="I1756" s="299"/>
      <c r="J1756" s="405"/>
      <c r="K1756" s="248"/>
      <c r="L1756" s="405"/>
      <c r="M1756" s="246"/>
      <c r="N1756" s="393"/>
      <c r="O1756" s="412"/>
      <c r="P1756" s="247"/>
      <c r="Q1756" s="248"/>
    </row>
    <row r="1757" spans="1:17" s="249" customFormat="1" hidden="1" outlineLevel="3">
      <c r="A1757" s="555"/>
      <c r="B1757" s="370">
        <v>76</v>
      </c>
      <c r="C1757" s="370" t="s">
        <v>559</v>
      </c>
      <c r="D1757" s="277"/>
      <c r="E1757" s="214"/>
      <c r="F1757" s="202">
        <v>55512</v>
      </c>
      <c r="G1757" s="214"/>
      <c r="H1757" s="246"/>
      <c r="I1757" s="299"/>
      <c r="J1757" s="405"/>
      <c r="K1757" s="248"/>
      <c r="L1757" s="405"/>
      <c r="M1757" s="246"/>
      <c r="N1757" s="393"/>
      <c r="O1757" s="412"/>
      <c r="P1757" s="247"/>
      <c r="Q1757" s="248"/>
    </row>
    <row r="1758" spans="1:17" s="249" customFormat="1" hidden="1" outlineLevel="3">
      <c r="A1758" s="555"/>
      <c r="B1758" s="370">
        <v>55</v>
      </c>
      <c r="C1758" s="370" t="s">
        <v>561</v>
      </c>
      <c r="D1758" s="277"/>
      <c r="E1758" s="214"/>
      <c r="F1758" s="202">
        <v>95760</v>
      </c>
      <c r="G1758" s="214"/>
      <c r="H1758" s="246"/>
      <c r="I1758" s="299"/>
      <c r="J1758" s="405"/>
      <c r="K1758" s="248"/>
      <c r="L1758" s="405"/>
      <c r="M1758" s="246"/>
      <c r="N1758" s="393"/>
      <c r="O1758" s="412"/>
      <c r="P1758" s="247"/>
      <c r="Q1758" s="248"/>
    </row>
    <row r="1759" spans="1:17" s="249" customFormat="1" hidden="1" outlineLevel="3">
      <c r="A1759" s="555"/>
      <c r="B1759" s="370"/>
      <c r="C1759" s="424" t="s">
        <v>863</v>
      </c>
      <c r="D1759" s="277"/>
      <c r="E1759" s="214"/>
      <c r="F1759" s="222">
        <f>SUM(F1753:F1758)</f>
        <v>544248</v>
      </c>
      <c r="G1759" s="214"/>
      <c r="H1759" s="246"/>
      <c r="I1759" s="299"/>
      <c r="J1759" s="405"/>
      <c r="K1759" s="248"/>
      <c r="L1759" s="405"/>
      <c r="M1759" s="246"/>
      <c r="N1759" s="393"/>
      <c r="O1759" s="412"/>
      <c r="P1759" s="247"/>
      <c r="Q1759" s="248"/>
    </row>
    <row r="1760" spans="1:17" s="249" customFormat="1" hidden="1" outlineLevel="2" collapsed="1">
      <c r="A1760" s="555"/>
      <c r="B1760" s="370"/>
      <c r="C1760" s="262" t="s">
        <v>744</v>
      </c>
      <c r="D1760" s="277"/>
      <c r="E1760" s="214"/>
      <c r="F1760" s="222">
        <f>SUM(F1752,F1759)</f>
        <v>2796372</v>
      </c>
      <c r="G1760" s="214"/>
      <c r="H1760" s="246"/>
      <c r="I1760" s="207">
        <f>CIP!$AO$67</f>
        <v>2796371.8026749995</v>
      </c>
      <c r="J1760" s="405"/>
      <c r="K1760" s="248"/>
      <c r="L1760" s="405"/>
      <c r="M1760" s="246"/>
      <c r="N1760" s="393"/>
      <c r="O1760" s="412"/>
      <c r="P1760" s="247"/>
      <c r="Q1760" s="248"/>
    </row>
    <row r="1761" spans="1:17" hidden="1" outlineLevel="3">
      <c r="A1761" s="550"/>
      <c r="B1761" s="152">
        <v>65</v>
      </c>
      <c r="C1761" s="152" t="s">
        <v>562</v>
      </c>
      <c r="D1761" s="155"/>
      <c r="E1761" s="158"/>
      <c r="F1761" s="153" t="s">
        <v>390</v>
      </c>
      <c r="G1761" s="153">
        <v>138672</v>
      </c>
      <c r="H1761" s="151"/>
      <c r="I1761" s="218"/>
      <c r="J1761" s="210"/>
      <c r="K1761" s="224"/>
      <c r="L1761" s="210"/>
      <c r="M1761" s="151"/>
      <c r="N1761" s="402"/>
      <c r="O1761" s="409"/>
      <c r="P1761" s="161"/>
      <c r="Q1761" s="224"/>
    </row>
    <row r="1762" spans="1:17" hidden="1" outlineLevel="3">
      <c r="A1762" s="550"/>
      <c r="B1762" s="152">
        <v>64</v>
      </c>
      <c r="C1762" s="152" t="s">
        <v>563</v>
      </c>
      <c r="D1762" s="155"/>
      <c r="E1762" s="158"/>
      <c r="F1762" s="158"/>
      <c r="G1762" s="153">
        <v>115632</v>
      </c>
      <c r="H1762" s="151"/>
      <c r="I1762" s="218"/>
      <c r="J1762" s="210"/>
      <c r="K1762" s="224"/>
      <c r="L1762" s="210"/>
      <c r="M1762" s="151"/>
      <c r="N1762" s="402"/>
      <c r="O1762" s="409"/>
      <c r="P1762" s="161"/>
      <c r="Q1762" s="224"/>
    </row>
    <row r="1763" spans="1:17" hidden="1" outlineLevel="3">
      <c r="A1763" s="550"/>
      <c r="B1763" s="152">
        <v>71</v>
      </c>
      <c r="C1763" s="152" t="s">
        <v>564</v>
      </c>
      <c r="D1763" s="155"/>
      <c r="E1763" s="158"/>
      <c r="F1763" s="158"/>
      <c r="G1763" s="153">
        <v>40320</v>
      </c>
      <c r="H1763" s="151"/>
      <c r="I1763" s="218"/>
      <c r="J1763" s="210"/>
      <c r="K1763" s="224"/>
      <c r="L1763" s="210"/>
      <c r="M1763" s="151"/>
      <c r="N1763" s="402"/>
      <c r="O1763" s="409"/>
      <c r="P1763" s="161"/>
      <c r="Q1763" s="224"/>
    </row>
    <row r="1764" spans="1:17" hidden="1" outlineLevel="3">
      <c r="A1764" s="550"/>
      <c r="B1764" s="152">
        <v>87</v>
      </c>
      <c r="C1764" s="152" t="s">
        <v>565</v>
      </c>
      <c r="D1764" s="155"/>
      <c r="E1764" s="158"/>
      <c r="F1764" s="158"/>
      <c r="G1764" s="153">
        <v>615816</v>
      </c>
      <c r="H1764" s="151"/>
      <c r="I1764" s="218"/>
      <c r="J1764" s="210"/>
      <c r="K1764" s="224"/>
      <c r="L1764" s="210"/>
      <c r="M1764" s="151"/>
      <c r="N1764" s="402"/>
      <c r="O1764" s="409"/>
      <c r="P1764" s="161"/>
      <c r="Q1764" s="224"/>
    </row>
    <row r="1765" spans="1:17" hidden="1" outlineLevel="3">
      <c r="A1765" s="550"/>
      <c r="B1765" s="152">
        <v>52</v>
      </c>
      <c r="C1765" s="152" t="s">
        <v>566</v>
      </c>
      <c r="D1765" s="155"/>
      <c r="E1765" s="158"/>
      <c r="F1765" s="158"/>
      <c r="G1765" s="153">
        <v>82008</v>
      </c>
      <c r="H1765" s="151"/>
      <c r="I1765" s="218"/>
      <c r="J1765" s="210"/>
      <c r="K1765" s="224"/>
      <c r="L1765" s="210"/>
      <c r="M1765" s="151"/>
      <c r="N1765" s="402"/>
      <c r="O1765" s="409"/>
      <c r="P1765" s="161"/>
      <c r="Q1765" s="224"/>
    </row>
    <row r="1766" spans="1:17" hidden="1" outlineLevel="3">
      <c r="A1766" s="550"/>
      <c r="B1766" s="152">
        <v>52</v>
      </c>
      <c r="C1766" s="152" t="s">
        <v>568</v>
      </c>
      <c r="D1766" s="155"/>
      <c r="E1766" s="158"/>
      <c r="F1766" s="158"/>
      <c r="G1766" s="153">
        <v>120744</v>
      </c>
      <c r="H1766" s="151"/>
      <c r="I1766" s="218"/>
      <c r="J1766" s="210"/>
      <c r="K1766" s="224"/>
      <c r="L1766" s="210"/>
      <c r="M1766" s="151"/>
      <c r="N1766" s="402"/>
      <c r="O1766" s="409"/>
      <c r="P1766" s="161"/>
      <c r="Q1766" s="224"/>
    </row>
    <row r="1767" spans="1:17" hidden="1" outlineLevel="3">
      <c r="A1767" s="550"/>
      <c r="B1767" s="152">
        <v>52</v>
      </c>
      <c r="C1767" s="152" t="s">
        <v>569</v>
      </c>
      <c r="D1767" s="155"/>
      <c r="E1767" s="158"/>
      <c r="F1767" s="158"/>
      <c r="G1767" s="153">
        <v>122976</v>
      </c>
      <c r="H1767" s="151"/>
      <c r="I1767" s="218"/>
      <c r="J1767" s="210"/>
      <c r="K1767" s="224"/>
      <c r="L1767" s="210"/>
      <c r="M1767" s="151"/>
      <c r="N1767" s="402"/>
      <c r="O1767" s="409"/>
      <c r="P1767" s="161"/>
      <c r="Q1767" s="224"/>
    </row>
    <row r="1768" spans="1:17" hidden="1" outlineLevel="3">
      <c r="A1768" s="550"/>
      <c r="B1768" s="152">
        <v>38</v>
      </c>
      <c r="C1768" s="152" t="s">
        <v>570</v>
      </c>
      <c r="D1768" s="155"/>
      <c r="E1768" s="158"/>
      <c r="F1768" s="158"/>
      <c r="G1768" s="153">
        <v>55656</v>
      </c>
      <c r="H1768" s="151"/>
      <c r="I1768" s="218"/>
      <c r="J1768" s="210"/>
      <c r="K1768" s="224"/>
      <c r="L1768" s="210"/>
      <c r="M1768" s="151"/>
      <c r="N1768" s="402"/>
      <c r="O1768" s="409"/>
      <c r="P1768" s="161"/>
      <c r="Q1768" s="224"/>
    </row>
    <row r="1769" spans="1:17" hidden="1" outlineLevel="3">
      <c r="A1769" s="550"/>
      <c r="B1769" s="152">
        <v>52</v>
      </c>
      <c r="C1769" s="152" t="s">
        <v>571</v>
      </c>
      <c r="D1769" s="155"/>
      <c r="E1769" s="158"/>
      <c r="F1769" s="158"/>
      <c r="G1769" s="153">
        <v>146592</v>
      </c>
      <c r="H1769" s="151"/>
      <c r="I1769" s="218"/>
      <c r="J1769" s="210"/>
      <c r="K1769" s="224"/>
      <c r="L1769" s="210"/>
      <c r="M1769" s="151"/>
      <c r="N1769" s="402"/>
      <c r="O1769" s="409"/>
      <c r="P1769" s="161"/>
      <c r="Q1769" s="224"/>
    </row>
    <row r="1770" spans="1:17" hidden="1" outlineLevel="3">
      <c r="A1770" s="550"/>
      <c r="B1770" s="152">
        <v>55</v>
      </c>
      <c r="C1770" s="152" t="s">
        <v>572</v>
      </c>
      <c r="D1770" s="155"/>
      <c r="E1770" s="158"/>
      <c r="F1770" s="158"/>
      <c r="G1770" s="153">
        <v>338400</v>
      </c>
      <c r="H1770" s="151"/>
      <c r="I1770" s="218"/>
      <c r="J1770" s="210"/>
      <c r="K1770" s="224"/>
      <c r="L1770" s="210"/>
      <c r="M1770" s="151"/>
      <c r="N1770" s="402"/>
      <c r="O1770" s="409"/>
      <c r="P1770" s="161"/>
      <c r="Q1770" s="224"/>
    </row>
    <row r="1771" spans="1:17" hidden="1" outlineLevel="3">
      <c r="A1771" s="550"/>
      <c r="B1771" s="152">
        <v>56</v>
      </c>
      <c r="C1771" s="152" t="s">
        <v>573</v>
      </c>
      <c r="D1771" s="155"/>
      <c r="E1771" s="158"/>
      <c r="F1771" s="158"/>
      <c r="G1771" s="153">
        <v>307080</v>
      </c>
      <c r="H1771" s="151"/>
      <c r="I1771" s="218"/>
      <c r="J1771" s="210"/>
      <c r="K1771" s="224"/>
      <c r="L1771" s="210"/>
      <c r="M1771" s="151"/>
      <c r="N1771" s="402"/>
      <c r="O1771" s="409"/>
      <c r="P1771" s="161"/>
      <c r="Q1771" s="224"/>
    </row>
    <row r="1772" spans="1:17" hidden="1" outlineLevel="3">
      <c r="A1772" s="550"/>
      <c r="B1772" s="152">
        <v>51</v>
      </c>
      <c r="C1772" s="152" t="s">
        <v>574</v>
      </c>
      <c r="D1772" s="155"/>
      <c r="E1772" s="158"/>
      <c r="F1772" s="158"/>
      <c r="G1772" s="153">
        <v>100152</v>
      </c>
      <c r="H1772" s="151"/>
      <c r="I1772" s="218"/>
      <c r="J1772" s="210"/>
      <c r="K1772" s="224"/>
      <c r="L1772" s="210"/>
      <c r="M1772" s="151"/>
      <c r="N1772" s="402"/>
      <c r="O1772" s="409"/>
      <c r="P1772" s="161"/>
      <c r="Q1772" s="224"/>
    </row>
    <row r="1773" spans="1:17" hidden="1" outlineLevel="3">
      <c r="A1773" s="550"/>
      <c r="B1773" s="152">
        <v>44</v>
      </c>
      <c r="C1773" s="152" t="s">
        <v>576</v>
      </c>
      <c r="D1773" s="155"/>
      <c r="E1773" s="158"/>
      <c r="F1773" s="158"/>
      <c r="G1773" s="153">
        <v>48888</v>
      </c>
      <c r="H1773" s="151"/>
      <c r="I1773" s="218"/>
      <c r="J1773" s="210"/>
      <c r="K1773" s="224"/>
      <c r="L1773" s="210"/>
      <c r="M1773" s="151"/>
      <c r="N1773" s="402"/>
      <c r="O1773" s="409"/>
      <c r="P1773" s="161"/>
      <c r="Q1773" s="224"/>
    </row>
    <row r="1774" spans="1:17" hidden="1" outlineLevel="3">
      <c r="A1774" s="550"/>
      <c r="B1774" s="152"/>
      <c r="C1774" s="424" t="s">
        <v>746</v>
      </c>
      <c r="D1774" s="155"/>
      <c r="E1774" s="158"/>
      <c r="F1774" s="158"/>
      <c r="G1774" s="217">
        <f>SUM(G1761:G1773)</f>
        <v>2232936</v>
      </c>
      <c r="H1774" s="151"/>
      <c r="I1774" s="218"/>
      <c r="J1774" s="210"/>
      <c r="K1774" s="224"/>
      <c r="L1774" s="210"/>
      <c r="M1774" s="151"/>
      <c r="N1774" s="402"/>
      <c r="O1774" s="409"/>
      <c r="P1774" s="161"/>
      <c r="Q1774" s="224"/>
    </row>
    <row r="1775" spans="1:17" s="249" customFormat="1" hidden="1" outlineLevel="3">
      <c r="A1775" s="555"/>
      <c r="B1775" s="370">
        <v>61</v>
      </c>
      <c r="C1775" s="370" t="s">
        <v>577</v>
      </c>
      <c r="D1775" s="277"/>
      <c r="E1775" s="214"/>
      <c r="F1775" s="214"/>
      <c r="G1775" s="202">
        <v>411984</v>
      </c>
      <c r="H1775" s="246"/>
      <c r="I1775" s="299"/>
      <c r="J1775" s="405"/>
      <c r="K1775" s="248"/>
      <c r="L1775" s="405"/>
      <c r="M1775" s="246"/>
      <c r="N1775" s="393"/>
      <c r="O1775" s="412"/>
      <c r="P1775" s="247"/>
      <c r="Q1775" s="248"/>
    </row>
    <row r="1776" spans="1:17" s="249" customFormat="1" hidden="1" outlineLevel="3">
      <c r="A1776" s="555"/>
      <c r="B1776" s="370">
        <v>55</v>
      </c>
      <c r="C1776" s="370" t="s">
        <v>578</v>
      </c>
      <c r="D1776" s="277"/>
      <c r="E1776" s="214"/>
      <c r="F1776" s="214"/>
      <c r="G1776" s="202">
        <v>76752</v>
      </c>
      <c r="H1776" s="246"/>
      <c r="I1776" s="299"/>
      <c r="J1776" s="405"/>
      <c r="K1776" s="248"/>
      <c r="L1776" s="405"/>
      <c r="M1776" s="246"/>
      <c r="N1776" s="393"/>
      <c r="O1776" s="412"/>
      <c r="P1776" s="247"/>
      <c r="Q1776" s="248"/>
    </row>
    <row r="1777" spans="1:17" s="249" customFormat="1" hidden="1" outlineLevel="3">
      <c r="A1777" s="555"/>
      <c r="B1777" s="370">
        <v>67</v>
      </c>
      <c r="C1777" s="370" t="s">
        <v>560</v>
      </c>
      <c r="D1777" s="277"/>
      <c r="E1777" s="214"/>
      <c r="F1777" s="214"/>
      <c r="G1777" s="202">
        <v>108432</v>
      </c>
      <c r="H1777" s="246"/>
      <c r="I1777" s="299"/>
      <c r="J1777" s="405"/>
      <c r="K1777" s="248"/>
      <c r="L1777" s="405"/>
      <c r="M1777" s="246"/>
      <c r="N1777" s="393"/>
      <c r="O1777" s="412"/>
      <c r="P1777" s="247"/>
      <c r="Q1777" s="248"/>
    </row>
    <row r="1778" spans="1:17" s="249" customFormat="1" hidden="1" outlineLevel="3">
      <c r="A1778" s="555"/>
      <c r="B1778" s="370">
        <v>76</v>
      </c>
      <c r="C1778" s="370" t="s">
        <v>567</v>
      </c>
      <c r="D1778" s="277"/>
      <c r="E1778" s="214"/>
      <c r="F1778" s="214"/>
      <c r="G1778" s="202">
        <v>29376</v>
      </c>
      <c r="H1778" s="246"/>
      <c r="I1778" s="299"/>
      <c r="J1778" s="405"/>
      <c r="K1778" s="248"/>
      <c r="L1778" s="405"/>
      <c r="M1778" s="246"/>
      <c r="N1778" s="393"/>
      <c r="O1778" s="412"/>
      <c r="P1778" s="247"/>
      <c r="Q1778" s="248"/>
    </row>
    <row r="1779" spans="1:17" s="249" customFormat="1" hidden="1" outlineLevel="3">
      <c r="A1779" s="555"/>
      <c r="B1779" s="370">
        <v>47</v>
      </c>
      <c r="C1779" s="370" t="s">
        <v>575</v>
      </c>
      <c r="D1779" s="277"/>
      <c r="E1779" s="214"/>
      <c r="F1779" s="214"/>
      <c r="G1779" s="202">
        <v>45000</v>
      </c>
      <c r="H1779" s="246"/>
      <c r="I1779" s="299"/>
      <c r="J1779" s="405"/>
      <c r="K1779" s="248"/>
      <c r="L1779" s="405"/>
      <c r="M1779" s="246"/>
      <c r="N1779" s="393"/>
      <c r="O1779" s="412"/>
      <c r="P1779" s="247"/>
      <c r="Q1779" s="248"/>
    </row>
    <row r="1780" spans="1:17" s="249" customFormat="1" hidden="1" outlineLevel="3">
      <c r="A1780" s="555"/>
      <c r="B1780" s="370"/>
      <c r="C1780" s="424" t="s">
        <v>863</v>
      </c>
      <c r="D1780" s="277"/>
      <c r="E1780" s="214"/>
      <c r="F1780" s="214"/>
      <c r="G1780" s="222">
        <f>SUM(G1775:G1779)</f>
        <v>671544</v>
      </c>
      <c r="H1780" s="246"/>
      <c r="I1780" s="299"/>
      <c r="J1780" s="405"/>
      <c r="K1780" s="248"/>
      <c r="L1780" s="405"/>
      <c r="M1780" s="246"/>
      <c r="N1780" s="393"/>
      <c r="O1780" s="412"/>
      <c r="P1780" s="247"/>
      <c r="Q1780" s="248"/>
    </row>
    <row r="1781" spans="1:17" s="249" customFormat="1" hidden="1" outlineLevel="2" collapsed="1">
      <c r="A1781" s="555"/>
      <c r="B1781" s="370"/>
      <c r="C1781" s="262" t="s">
        <v>747</v>
      </c>
      <c r="D1781" s="277"/>
      <c r="E1781" s="214"/>
      <c r="F1781" s="214"/>
      <c r="G1781" s="222">
        <f>SUM(G1774,G1780)</f>
        <v>2904480</v>
      </c>
      <c r="H1781" s="246"/>
      <c r="I1781" s="207">
        <f>CIP!$AP$109</f>
        <v>2904480.4991906243</v>
      </c>
      <c r="J1781" s="405"/>
      <c r="K1781" s="248"/>
      <c r="L1781" s="405"/>
      <c r="M1781" s="246"/>
      <c r="N1781" s="393"/>
      <c r="O1781" s="412"/>
      <c r="P1781" s="247"/>
      <c r="Q1781" s="248"/>
    </row>
    <row r="1782" spans="1:17" hidden="1" outlineLevel="3">
      <c r="A1782" s="550"/>
      <c r="B1782" s="152">
        <v>72</v>
      </c>
      <c r="C1782" s="152" t="s">
        <v>745</v>
      </c>
      <c r="D1782" s="155"/>
      <c r="E1782" s="158"/>
      <c r="F1782" s="158"/>
      <c r="G1782" s="158" t="s">
        <v>390</v>
      </c>
      <c r="H1782" s="154">
        <v>188640</v>
      </c>
      <c r="I1782" s="150"/>
      <c r="J1782" s="210"/>
      <c r="K1782" s="224"/>
      <c r="L1782" s="210"/>
      <c r="M1782" s="151"/>
      <c r="N1782" s="402"/>
      <c r="O1782" s="409"/>
      <c r="P1782" s="161"/>
      <c r="Q1782" s="224"/>
    </row>
    <row r="1783" spans="1:17" hidden="1" outlineLevel="3">
      <c r="A1783" s="550"/>
      <c r="B1783" s="152">
        <v>58</v>
      </c>
      <c r="C1783" s="152" t="s">
        <v>579</v>
      </c>
      <c r="D1783" s="155"/>
      <c r="E1783" s="158"/>
      <c r="F1783" s="158"/>
      <c r="G1783" s="158"/>
      <c r="H1783" s="154">
        <v>274680</v>
      </c>
      <c r="I1783" s="150"/>
      <c r="J1783" s="210"/>
      <c r="K1783" s="224"/>
      <c r="L1783" s="210"/>
      <c r="M1783" s="151"/>
      <c r="N1783" s="402"/>
      <c r="O1783" s="409"/>
      <c r="P1783" s="161"/>
      <c r="Q1783" s="224"/>
    </row>
    <row r="1784" spans="1:17" hidden="1" outlineLevel="3">
      <c r="A1784" s="550"/>
      <c r="B1784" s="152">
        <v>45</v>
      </c>
      <c r="C1784" s="152" t="s">
        <v>580</v>
      </c>
      <c r="D1784" s="155"/>
      <c r="E1784" s="158"/>
      <c r="F1784" s="158"/>
      <c r="G1784" s="158"/>
      <c r="H1784" s="154">
        <v>168696</v>
      </c>
      <c r="I1784" s="150"/>
      <c r="J1784" s="210"/>
      <c r="K1784" s="224"/>
      <c r="L1784" s="210"/>
      <c r="M1784" s="151"/>
      <c r="N1784" s="402"/>
      <c r="O1784" s="409"/>
      <c r="P1784" s="161"/>
      <c r="Q1784" s="224"/>
    </row>
    <row r="1785" spans="1:17" hidden="1" outlineLevel="3">
      <c r="A1785" s="550"/>
      <c r="B1785" s="152">
        <v>81</v>
      </c>
      <c r="C1785" s="152" t="s">
        <v>581</v>
      </c>
      <c r="D1785" s="155"/>
      <c r="E1785" s="158"/>
      <c r="F1785" s="158"/>
      <c r="G1785" s="158"/>
      <c r="H1785" s="154">
        <v>385000</v>
      </c>
      <c r="I1785" s="150"/>
      <c r="J1785" s="210"/>
      <c r="K1785" s="224"/>
      <c r="L1785" s="210"/>
      <c r="M1785" s="151"/>
      <c r="N1785" s="402"/>
      <c r="O1785" s="409"/>
      <c r="P1785" s="161"/>
      <c r="Q1785" s="224"/>
    </row>
    <row r="1786" spans="1:17" hidden="1" outlineLevel="3">
      <c r="A1786" s="550"/>
      <c r="B1786" s="152">
        <v>52</v>
      </c>
      <c r="C1786" s="152" t="s">
        <v>582</v>
      </c>
      <c r="D1786" s="155"/>
      <c r="E1786" s="158" t="s">
        <v>390</v>
      </c>
      <c r="F1786" s="158"/>
      <c r="G1786" s="158"/>
      <c r="H1786" s="154">
        <v>232704</v>
      </c>
      <c r="I1786" s="150"/>
      <c r="J1786" s="210"/>
      <c r="K1786" s="224"/>
      <c r="L1786" s="210"/>
      <c r="M1786" s="151"/>
      <c r="N1786" s="402"/>
      <c r="O1786" s="409"/>
      <c r="P1786" s="161"/>
      <c r="Q1786" s="224"/>
    </row>
    <row r="1787" spans="1:17" hidden="1" outlineLevel="3">
      <c r="A1787" s="550"/>
      <c r="B1787" s="152">
        <v>57</v>
      </c>
      <c r="C1787" s="152" t="s">
        <v>583</v>
      </c>
      <c r="D1787" s="155"/>
      <c r="E1787" s="158"/>
      <c r="F1787" s="158"/>
      <c r="G1787" s="158" t="s">
        <v>390</v>
      </c>
      <c r="H1787" s="154">
        <v>49608</v>
      </c>
      <c r="I1787" s="150"/>
      <c r="J1787" s="210"/>
      <c r="K1787" s="224"/>
      <c r="L1787" s="210"/>
      <c r="M1787" s="151"/>
      <c r="N1787" s="402"/>
      <c r="O1787" s="409"/>
      <c r="P1787" s="161"/>
      <c r="Q1787" s="224"/>
    </row>
    <row r="1788" spans="1:17" hidden="1" outlineLevel="3">
      <c r="A1788" s="550"/>
      <c r="B1788" s="152">
        <v>52</v>
      </c>
      <c r="C1788" s="152" t="s">
        <v>584</v>
      </c>
      <c r="D1788" s="155"/>
      <c r="E1788" s="158"/>
      <c r="F1788" s="158"/>
      <c r="G1788" s="158"/>
      <c r="H1788" s="154">
        <v>239040</v>
      </c>
      <c r="I1788" s="150"/>
      <c r="J1788" s="210"/>
      <c r="K1788" s="224"/>
      <c r="L1788" s="210"/>
      <c r="M1788" s="151"/>
      <c r="N1788" s="402"/>
      <c r="O1788" s="409"/>
      <c r="P1788" s="161"/>
      <c r="Q1788" s="224"/>
    </row>
    <row r="1789" spans="1:17" hidden="1" outlineLevel="3">
      <c r="A1789" s="550"/>
      <c r="B1789" s="152">
        <v>57</v>
      </c>
      <c r="C1789" s="152" t="s">
        <v>585</v>
      </c>
      <c r="D1789" s="155"/>
      <c r="E1789" s="158"/>
      <c r="F1789" s="158" t="s">
        <v>390</v>
      </c>
      <c r="G1789" s="158"/>
      <c r="H1789" s="154">
        <v>28800</v>
      </c>
      <c r="I1789" s="150"/>
      <c r="J1789" s="210"/>
      <c r="K1789" s="224"/>
      <c r="L1789" s="210"/>
      <c r="M1789" s="151"/>
      <c r="N1789" s="402"/>
      <c r="O1789" s="409"/>
      <c r="P1789" s="161"/>
      <c r="Q1789" s="224"/>
    </row>
    <row r="1790" spans="1:17" hidden="1" outlineLevel="3">
      <c r="A1790" s="550"/>
      <c r="B1790" s="152">
        <v>53</v>
      </c>
      <c r="C1790" s="152" t="s">
        <v>586</v>
      </c>
      <c r="D1790" s="155"/>
      <c r="E1790" s="158"/>
      <c r="F1790" s="158"/>
      <c r="G1790" s="158"/>
      <c r="H1790" s="154">
        <v>41760</v>
      </c>
      <c r="I1790" s="150"/>
      <c r="J1790" s="210"/>
      <c r="K1790" s="224"/>
      <c r="L1790" s="210"/>
      <c r="M1790" s="151"/>
      <c r="N1790" s="402"/>
      <c r="O1790" s="409"/>
      <c r="P1790" s="161"/>
      <c r="Q1790" s="224"/>
    </row>
    <row r="1791" spans="1:17" hidden="1" outlineLevel="3">
      <c r="A1791" s="275"/>
      <c r="B1791" s="152">
        <v>47</v>
      </c>
      <c r="C1791" s="152" t="s">
        <v>588</v>
      </c>
      <c r="D1791" s="155"/>
      <c r="E1791" s="158"/>
      <c r="F1791" s="158"/>
      <c r="G1791" s="158"/>
      <c r="H1791" s="154">
        <v>16704</v>
      </c>
      <c r="I1791" s="150"/>
      <c r="J1791" s="210"/>
      <c r="K1791" s="224"/>
      <c r="L1791" s="210"/>
      <c r="M1791" s="151"/>
      <c r="N1791" s="402"/>
      <c r="O1791" s="409"/>
      <c r="P1791" s="161"/>
      <c r="Q1791" s="569"/>
    </row>
    <row r="1792" spans="1:17" hidden="1" outlineLevel="3">
      <c r="A1792" s="275"/>
      <c r="B1792" s="152">
        <v>48</v>
      </c>
      <c r="C1792" s="152" t="s">
        <v>589</v>
      </c>
      <c r="D1792" s="155"/>
      <c r="E1792" s="158"/>
      <c r="F1792" s="158"/>
      <c r="G1792" s="158"/>
      <c r="H1792" s="154">
        <v>60768</v>
      </c>
      <c r="I1792" s="150"/>
      <c r="J1792" s="210"/>
      <c r="K1792" s="224"/>
      <c r="L1792" s="210"/>
      <c r="M1792" s="151"/>
      <c r="N1792" s="402"/>
      <c r="O1792" s="409"/>
      <c r="P1792" s="161"/>
      <c r="Q1792" s="569"/>
    </row>
    <row r="1793" spans="1:17" hidden="1" outlineLevel="3">
      <c r="A1793" s="275"/>
      <c r="B1793" s="152">
        <v>58</v>
      </c>
      <c r="C1793" s="152" t="s">
        <v>590</v>
      </c>
      <c r="D1793" s="155"/>
      <c r="E1793" s="158"/>
      <c r="F1793" s="158"/>
      <c r="G1793" s="158"/>
      <c r="H1793" s="154">
        <v>79416</v>
      </c>
      <c r="I1793" s="150"/>
      <c r="J1793" s="210"/>
      <c r="K1793" s="224"/>
      <c r="L1793" s="210"/>
      <c r="M1793" s="151"/>
      <c r="N1793" s="402"/>
      <c r="O1793" s="409"/>
      <c r="P1793" s="161"/>
      <c r="Q1793" s="569"/>
    </row>
    <row r="1794" spans="1:17" hidden="1" outlineLevel="3">
      <c r="A1794" s="275"/>
      <c r="B1794" s="152">
        <v>55</v>
      </c>
      <c r="C1794" s="152" t="s">
        <v>591</v>
      </c>
      <c r="D1794" s="155"/>
      <c r="E1794" s="158"/>
      <c r="F1794" s="158"/>
      <c r="G1794" s="158"/>
      <c r="H1794" s="154">
        <v>42840</v>
      </c>
      <c r="I1794" s="150"/>
      <c r="J1794" s="210"/>
      <c r="K1794" s="224"/>
      <c r="L1794" s="210"/>
      <c r="M1794" s="151"/>
      <c r="N1794" s="402"/>
      <c r="O1794" s="409"/>
      <c r="P1794" s="161"/>
      <c r="Q1794" s="569"/>
    </row>
    <row r="1795" spans="1:17" hidden="1" outlineLevel="3">
      <c r="A1795" s="550"/>
      <c r="B1795" s="152">
        <v>64</v>
      </c>
      <c r="C1795" s="152" t="s">
        <v>592</v>
      </c>
      <c r="D1795" s="155"/>
      <c r="E1795" s="158"/>
      <c r="F1795" s="158"/>
      <c r="G1795" s="158"/>
      <c r="H1795" s="154">
        <v>82440</v>
      </c>
      <c r="I1795" s="150"/>
      <c r="J1795" s="210"/>
      <c r="K1795" s="224"/>
      <c r="L1795" s="210"/>
      <c r="M1795" s="151"/>
      <c r="N1795" s="402"/>
      <c r="O1795" s="409"/>
      <c r="P1795" s="161"/>
      <c r="Q1795" s="224"/>
    </row>
    <row r="1796" spans="1:17" hidden="1" outlineLevel="3">
      <c r="A1796" s="275"/>
      <c r="B1796" s="152">
        <v>56</v>
      </c>
      <c r="C1796" s="152" t="s">
        <v>593</v>
      </c>
      <c r="D1796" s="155"/>
      <c r="E1796" s="158"/>
      <c r="F1796" s="158"/>
      <c r="G1796" s="158"/>
      <c r="H1796" s="154">
        <v>40824</v>
      </c>
      <c r="I1796" s="150"/>
      <c r="J1796" s="210"/>
      <c r="K1796" s="224"/>
      <c r="L1796" s="210"/>
      <c r="M1796" s="151"/>
      <c r="N1796" s="402"/>
      <c r="O1796" s="409"/>
      <c r="P1796" s="161"/>
      <c r="Q1796" s="569"/>
    </row>
    <row r="1797" spans="1:17" hidden="1" outlineLevel="3">
      <c r="A1797" s="275"/>
      <c r="B1797" s="152">
        <v>56</v>
      </c>
      <c r="C1797" s="152" t="s">
        <v>594</v>
      </c>
      <c r="D1797" s="155"/>
      <c r="E1797" s="158"/>
      <c r="F1797" s="158"/>
      <c r="G1797" s="158"/>
      <c r="H1797" s="154">
        <v>38664</v>
      </c>
      <c r="I1797" s="150"/>
      <c r="J1797" s="210"/>
      <c r="K1797" s="224"/>
      <c r="L1797" s="210"/>
      <c r="M1797" s="151"/>
      <c r="N1797" s="402"/>
      <c r="O1797" s="409"/>
      <c r="P1797" s="161"/>
      <c r="Q1797" s="569"/>
    </row>
    <row r="1798" spans="1:17" hidden="1" outlineLevel="3">
      <c r="A1798" s="275"/>
      <c r="B1798" s="152">
        <v>57</v>
      </c>
      <c r="C1798" s="152" t="s">
        <v>595</v>
      </c>
      <c r="D1798" s="155"/>
      <c r="E1798" s="158"/>
      <c r="F1798" s="158"/>
      <c r="G1798" s="158"/>
      <c r="H1798" s="154">
        <v>35784</v>
      </c>
      <c r="I1798" s="150"/>
      <c r="J1798" s="210"/>
      <c r="K1798" s="224"/>
      <c r="L1798" s="210"/>
      <c r="M1798" s="151"/>
      <c r="N1798" s="402"/>
      <c r="O1798" s="409"/>
      <c r="P1798" s="161"/>
      <c r="Q1798" s="569"/>
    </row>
    <row r="1799" spans="1:17" hidden="1" outlineLevel="3">
      <c r="A1799" s="275"/>
      <c r="B1799" s="152">
        <v>54</v>
      </c>
      <c r="C1799" s="152" t="s">
        <v>596</v>
      </c>
      <c r="D1799" s="155"/>
      <c r="E1799" s="158"/>
      <c r="F1799" s="158"/>
      <c r="G1799" s="158"/>
      <c r="H1799" s="154">
        <v>68685</v>
      </c>
      <c r="I1799" s="150"/>
      <c r="J1799" s="210"/>
      <c r="K1799" s="224"/>
      <c r="L1799" s="210"/>
      <c r="M1799" s="151"/>
      <c r="N1799" s="402"/>
      <c r="O1799" s="409"/>
      <c r="P1799" s="161"/>
      <c r="Q1799" s="569"/>
    </row>
    <row r="1800" spans="1:17" hidden="1" outlineLevel="3">
      <c r="A1800" s="275"/>
      <c r="B1800" s="152">
        <v>55</v>
      </c>
      <c r="C1800" s="152" t="s">
        <v>597</v>
      </c>
      <c r="D1800" s="155"/>
      <c r="E1800" s="158"/>
      <c r="F1800" s="158"/>
      <c r="G1800" s="158"/>
      <c r="H1800" s="154">
        <v>59040</v>
      </c>
      <c r="I1800" s="150"/>
      <c r="J1800" s="210"/>
      <c r="K1800" s="224"/>
      <c r="L1800" s="210"/>
      <c r="M1800" s="151"/>
      <c r="N1800" s="402"/>
      <c r="O1800" s="409"/>
      <c r="P1800" s="161"/>
      <c r="Q1800" s="569"/>
    </row>
    <row r="1801" spans="1:17" hidden="1" outlineLevel="3">
      <c r="A1801" s="275"/>
      <c r="B1801" s="152">
        <v>56</v>
      </c>
      <c r="C1801" s="152" t="s">
        <v>598</v>
      </c>
      <c r="D1801" s="155"/>
      <c r="E1801" s="158"/>
      <c r="F1801" s="158"/>
      <c r="G1801" s="158"/>
      <c r="H1801" s="154">
        <v>41184</v>
      </c>
      <c r="I1801" s="150"/>
      <c r="J1801" s="210"/>
      <c r="K1801" s="224"/>
      <c r="L1801" s="210"/>
      <c r="M1801" s="151"/>
      <c r="N1801" s="402"/>
      <c r="O1801" s="409"/>
      <c r="P1801" s="161"/>
      <c r="Q1801" s="569"/>
    </row>
    <row r="1802" spans="1:17" hidden="1" outlineLevel="3">
      <c r="A1802" s="275"/>
      <c r="B1802" s="152">
        <v>55</v>
      </c>
      <c r="C1802" s="152" t="s">
        <v>599</v>
      </c>
      <c r="D1802" s="155"/>
      <c r="E1802" s="158"/>
      <c r="F1802" s="158"/>
      <c r="G1802" s="158"/>
      <c r="H1802" s="154">
        <v>22176</v>
      </c>
      <c r="I1802" s="150"/>
      <c r="J1802" s="210"/>
      <c r="K1802" s="224"/>
      <c r="L1802" s="210"/>
      <c r="M1802" s="151"/>
      <c r="N1802" s="402"/>
      <c r="O1802" s="409"/>
      <c r="P1802" s="161"/>
      <c r="Q1802" s="569"/>
    </row>
    <row r="1803" spans="1:17" hidden="1" outlineLevel="3">
      <c r="A1803" s="550"/>
      <c r="B1803" s="152">
        <v>54</v>
      </c>
      <c r="C1803" s="152" t="s">
        <v>600</v>
      </c>
      <c r="D1803" s="155"/>
      <c r="E1803" s="158"/>
      <c r="F1803" s="158"/>
      <c r="G1803" s="158"/>
      <c r="H1803" s="154">
        <v>33552</v>
      </c>
      <c r="I1803" s="150"/>
      <c r="J1803" s="210"/>
      <c r="K1803" s="224"/>
      <c r="L1803" s="210"/>
      <c r="M1803" s="151"/>
      <c r="N1803" s="402"/>
      <c r="O1803" s="409"/>
      <c r="P1803" s="161"/>
      <c r="Q1803" s="224"/>
    </row>
    <row r="1804" spans="1:17" hidden="1" outlineLevel="3">
      <c r="A1804" s="550"/>
      <c r="B1804" s="152"/>
      <c r="C1804" s="424" t="s">
        <v>746</v>
      </c>
      <c r="D1804" s="155"/>
      <c r="E1804" s="158"/>
      <c r="F1804" s="158"/>
      <c r="G1804" s="158"/>
      <c r="H1804" s="219">
        <f>SUM(H1782:H1803)</f>
        <v>2231005</v>
      </c>
      <c r="I1804" s="150"/>
      <c r="J1804" s="210"/>
      <c r="K1804" s="224"/>
      <c r="L1804" s="210"/>
      <c r="M1804" s="151"/>
      <c r="N1804" s="402"/>
      <c r="O1804" s="409"/>
      <c r="P1804" s="161"/>
      <c r="Q1804" s="224"/>
    </row>
    <row r="1805" spans="1:17" s="249" customFormat="1" hidden="1" outlineLevel="3">
      <c r="A1805" s="555"/>
      <c r="B1805" s="370">
        <v>76</v>
      </c>
      <c r="C1805" s="370" t="s">
        <v>601</v>
      </c>
      <c r="D1805" s="277"/>
      <c r="E1805" s="214"/>
      <c r="F1805" s="214"/>
      <c r="G1805" s="214" t="s">
        <v>390</v>
      </c>
      <c r="H1805" s="200">
        <v>146808</v>
      </c>
      <c r="I1805" s="207"/>
      <c r="J1805" s="405"/>
      <c r="K1805" s="248"/>
      <c r="L1805" s="405"/>
      <c r="M1805" s="246"/>
      <c r="N1805" s="393"/>
      <c r="O1805" s="412"/>
      <c r="P1805" s="247"/>
      <c r="Q1805" s="248"/>
    </row>
    <row r="1806" spans="1:17" s="249" customFormat="1" hidden="1" outlineLevel="3">
      <c r="A1806" s="555"/>
      <c r="B1806" s="370">
        <v>75</v>
      </c>
      <c r="C1806" s="370" t="s">
        <v>602</v>
      </c>
      <c r="D1806" s="277"/>
      <c r="E1806" s="214"/>
      <c r="F1806" s="214"/>
      <c r="G1806" s="214"/>
      <c r="H1806" s="200">
        <v>412776</v>
      </c>
      <c r="I1806" s="207"/>
      <c r="J1806" s="405"/>
      <c r="K1806" s="248"/>
      <c r="L1806" s="405"/>
      <c r="M1806" s="246"/>
      <c r="N1806" s="393"/>
      <c r="O1806" s="412"/>
      <c r="P1806" s="247"/>
      <c r="Q1806" s="248"/>
    </row>
    <row r="1807" spans="1:17" s="249" customFormat="1" hidden="1" outlineLevel="3">
      <c r="A1807" s="555"/>
      <c r="B1807" s="370">
        <v>45</v>
      </c>
      <c r="C1807" s="370" t="s">
        <v>587</v>
      </c>
      <c r="D1807" s="277"/>
      <c r="E1807" s="214"/>
      <c r="F1807" s="214"/>
      <c r="G1807" s="214"/>
      <c r="H1807" s="200">
        <v>65736</v>
      </c>
      <c r="I1807" s="207"/>
      <c r="J1807" s="405"/>
      <c r="K1807" s="248"/>
      <c r="L1807" s="405"/>
      <c r="M1807" s="246"/>
      <c r="N1807" s="393"/>
      <c r="O1807" s="412"/>
      <c r="P1807" s="247"/>
      <c r="Q1807" s="248"/>
    </row>
    <row r="1808" spans="1:17" s="249" customFormat="1" hidden="1" outlineLevel="3">
      <c r="A1808" s="555"/>
      <c r="B1808" s="370">
        <v>71</v>
      </c>
      <c r="C1808" s="370" t="s">
        <v>763</v>
      </c>
      <c r="D1808" s="277"/>
      <c r="E1808" s="214"/>
      <c r="F1808" s="214"/>
      <c r="G1808" s="214"/>
      <c r="H1808" s="200">
        <v>127872</v>
      </c>
      <c r="I1808" s="207"/>
      <c r="J1808" s="405"/>
      <c r="K1808" s="248"/>
      <c r="L1808" s="405"/>
      <c r="M1808" s="246"/>
      <c r="N1808" s="393"/>
      <c r="O1808" s="412"/>
      <c r="P1808" s="247"/>
      <c r="Q1808" s="248"/>
    </row>
    <row r="1809" spans="1:19" s="249" customFormat="1" hidden="1" outlineLevel="3">
      <c r="A1809" s="555"/>
      <c r="B1809" s="370"/>
      <c r="C1809" s="424" t="s">
        <v>863</v>
      </c>
      <c r="D1809" s="277"/>
      <c r="E1809" s="214"/>
      <c r="F1809" s="214"/>
      <c r="G1809" s="214"/>
      <c r="H1809" s="223">
        <f>SUM(H1805:H1808)</f>
        <v>753192</v>
      </c>
      <c r="I1809" s="207"/>
      <c r="J1809" s="405"/>
      <c r="K1809" s="248"/>
      <c r="L1809" s="405"/>
      <c r="M1809" s="246"/>
      <c r="N1809" s="393"/>
      <c r="O1809" s="412"/>
      <c r="P1809" s="247"/>
      <c r="Q1809" s="248"/>
    </row>
    <row r="1810" spans="1:19" s="249" customFormat="1" hidden="1" outlineLevel="2" collapsed="1">
      <c r="A1810" s="555"/>
      <c r="B1810" s="370"/>
      <c r="C1810" s="262" t="s">
        <v>748</v>
      </c>
      <c r="D1810" s="277"/>
      <c r="E1810" s="214"/>
      <c r="F1810" s="214"/>
      <c r="G1810" s="214"/>
      <c r="H1810" s="223">
        <f>SUM(H1804,H1809)</f>
        <v>2984197</v>
      </c>
      <c r="I1810" s="207">
        <f>CIP!$AQ$126</f>
        <v>2984196.6768903462</v>
      </c>
      <c r="J1810" s="405"/>
      <c r="K1810" s="248"/>
      <c r="L1810" s="405"/>
      <c r="M1810" s="246"/>
      <c r="N1810" s="393"/>
      <c r="O1810" s="412"/>
      <c r="P1810" s="247"/>
      <c r="Q1810" s="248"/>
    </row>
    <row r="1811" spans="1:19" s="249" customFormat="1" hidden="1" outlineLevel="1" collapsed="1">
      <c r="A1811" s="555"/>
      <c r="B1811" s="370"/>
      <c r="C1811" s="262" t="s">
        <v>500</v>
      </c>
      <c r="D1811" s="296">
        <f>CIP!$AM$17</f>
        <v>2627240</v>
      </c>
      <c r="E1811" s="222">
        <f>CIP!$AN$45</f>
        <v>3032150.4899999998</v>
      </c>
      <c r="F1811" s="222">
        <f>CIP!$AO$67</f>
        <v>2796371.8026749995</v>
      </c>
      <c r="G1811" s="222">
        <f>CIP!$AP$109</f>
        <v>2904480.4991906243</v>
      </c>
      <c r="H1811" s="223">
        <f>CIP!$AQ$126</f>
        <v>2984196.6768903462</v>
      </c>
      <c r="I1811" s="207">
        <f>SUM(D1811:H1811)</f>
        <v>14344439.468755972</v>
      </c>
      <c r="J1811" s="184">
        <v>14000000</v>
      </c>
      <c r="K1811" s="221">
        <f t="shared" ref="K1811:K1812" si="135">J1811*1.23</f>
        <v>17220000</v>
      </c>
      <c r="L1811" s="184">
        <v>14000000</v>
      </c>
      <c r="M1811" s="219">
        <f t="shared" ref="M1811:M1812" si="136">L1811*1.46</f>
        <v>20440000</v>
      </c>
      <c r="N1811" s="215">
        <v>14000000</v>
      </c>
      <c r="O1811" s="226">
        <f t="shared" ref="O1811:O1812" si="137">N1811*1.73</f>
        <v>24220000</v>
      </c>
      <c r="P1811" s="150">
        <f t="shared" ref="P1811:P1815" si="138">SUM(I1811,K1811,M1811,O1811)</f>
        <v>76224439.468755975</v>
      </c>
      <c r="Q1811" s="248"/>
    </row>
    <row r="1812" spans="1:19" s="249" customFormat="1" hidden="1" outlineLevel="1">
      <c r="A1812" s="555"/>
      <c r="B1812" s="370"/>
      <c r="C1812" s="262" t="s">
        <v>873</v>
      </c>
      <c r="D1812" s="296"/>
      <c r="E1812" s="222">
        <f>CIP!$AN$63</f>
        <v>75000.239999999991</v>
      </c>
      <c r="F1812" s="222">
        <f>CIP!$AO$89</f>
        <v>74999.675924999989</v>
      </c>
      <c r="G1812" s="222">
        <f>CIP!$AP$112</f>
        <v>75000.32937224998</v>
      </c>
      <c r="H1812" s="222">
        <f>CIP!$AQ$141</f>
        <v>74999.808274848736</v>
      </c>
      <c r="I1812" s="207">
        <f>SUM(D1812:H1812)</f>
        <v>300000.05357209872</v>
      </c>
      <c r="J1812" s="184">
        <v>325000</v>
      </c>
      <c r="K1812" s="221">
        <f t="shared" si="135"/>
        <v>399750</v>
      </c>
      <c r="L1812" s="184">
        <v>325000</v>
      </c>
      <c r="M1812" s="219">
        <f t="shared" si="136"/>
        <v>474500</v>
      </c>
      <c r="N1812" s="215">
        <v>325000</v>
      </c>
      <c r="O1812" s="226">
        <f t="shared" si="137"/>
        <v>562250</v>
      </c>
      <c r="P1812" s="150">
        <f t="shared" si="138"/>
        <v>1736500.0535720987</v>
      </c>
      <c r="Q1812" s="248"/>
    </row>
    <row r="1813" spans="1:19" ht="16.5" hidden="1" customHeight="1" outlineLevel="1">
      <c r="A1813" s="554"/>
      <c r="B1813" s="250"/>
      <c r="C1813" s="142" t="s">
        <v>603</v>
      </c>
      <c r="D1813" s="220">
        <f>CIP!$AM$24</f>
        <v>400000</v>
      </c>
      <c r="E1813" s="217"/>
      <c r="F1813" s="217"/>
      <c r="G1813" s="217"/>
      <c r="H1813" s="226"/>
      <c r="I1813" s="245">
        <f t="shared" ref="I1813" si="139">SUM(D1813:H1813)</f>
        <v>400000</v>
      </c>
      <c r="J1813" s="404"/>
      <c r="K1813" s="297"/>
      <c r="L1813" s="404"/>
      <c r="M1813" s="298"/>
      <c r="N1813" s="407"/>
      <c r="O1813" s="413"/>
      <c r="P1813" s="150">
        <f t="shared" si="138"/>
        <v>400000</v>
      </c>
      <c r="Q1813" s="586" t="s">
        <v>1328</v>
      </c>
    </row>
    <row r="1814" spans="1:19" ht="16.5" hidden="1" customHeight="1" outlineLevel="1">
      <c r="A1814" s="554"/>
      <c r="B1814" s="250"/>
      <c r="C1814" s="142" t="s">
        <v>880</v>
      </c>
      <c r="D1814" s="254"/>
      <c r="E1814" s="217"/>
      <c r="F1814" s="217">
        <f>CIP!$AO$94</f>
        <v>250000.34804999997</v>
      </c>
      <c r="G1814" s="217"/>
      <c r="H1814" s="307"/>
      <c r="I1814" s="245">
        <f>SUM(D1814:H1814)</f>
        <v>250000.34804999997</v>
      </c>
      <c r="J1814" s="404"/>
      <c r="K1814" s="297"/>
      <c r="L1814" s="404"/>
      <c r="M1814" s="372"/>
      <c r="N1814" s="408"/>
      <c r="O1814" s="413"/>
      <c r="P1814" s="150">
        <f t="shared" si="138"/>
        <v>250000.34804999997</v>
      </c>
      <c r="Q1814" s="586"/>
    </row>
    <row r="1815" spans="1:19" s="140" customFormat="1" ht="16.5" customHeight="1" collapsed="1">
      <c r="A1815" s="556"/>
      <c r="B1815" s="250"/>
      <c r="C1815" s="271" t="s">
        <v>604</v>
      </c>
      <c r="D1815" s="510">
        <f>SUM(D1811:D1814)</f>
        <v>3027240</v>
      </c>
      <c r="E1815" s="514">
        <f>SUM(E1811:E1814)</f>
        <v>3107150.7299999995</v>
      </c>
      <c r="F1815" s="514">
        <f>SUM(F1811:F1814)</f>
        <v>3121371.8266499997</v>
      </c>
      <c r="G1815" s="514">
        <f>SUM(G1811:G1814)</f>
        <v>2979480.8285628743</v>
      </c>
      <c r="H1815" s="515">
        <f>SUM(H1811:H1814)</f>
        <v>3059196.4851651951</v>
      </c>
      <c r="I1815" s="516">
        <f>SUM(D1815:H1815)</f>
        <v>15294439.87037807</v>
      </c>
      <c r="J1815" s="517">
        <f>SUM(J1811:J1813)</f>
        <v>14325000</v>
      </c>
      <c r="K1815" s="518">
        <f t="shared" ref="K1815" si="140">J1815*1.23</f>
        <v>17619750</v>
      </c>
      <c r="L1815" s="517">
        <f t="shared" ref="L1815:N1815" si="141">SUM(L1811:L1813)</f>
        <v>14325000</v>
      </c>
      <c r="M1815" s="519">
        <f t="shared" ref="M1815" si="142">L1815*1.46</f>
        <v>20914500</v>
      </c>
      <c r="N1815" s="534">
        <f t="shared" si="141"/>
        <v>14325000</v>
      </c>
      <c r="O1815" s="515">
        <f t="shared" ref="O1815" si="143">N1815*1.73</f>
        <v>24782250</v>
      </c>
      <c r="P1815" s="516">
        <f t="shared" si="138"/>
        <v>78610939.870378077</v>
      </c>
      <c r="Q1815" s="587"/>
      <c r="S1815" s="140" t="s">
        <v>390</v>
      </c>
    </row>
    <row r="1816" spans="1:19" hidden="1" outlineLevel="1">
      <c r="A1816" s="275" t="s">
        <v>605</v>
      </c>
      <c r="B1816" s="152"/>
      <c r="C1816" s="270"/>
      <c r="D1816" s="160"/>
      <c r="E1816" s="153"/>
      <c r="F1816" s="153"/>
      <c r="G1816" s="153"/>
      <c r="H1816" s="206"/>
      <c r="I1816" s="150"/>
      <c r="J1816" s="147"/>
      <c r="K1816" s="221"/>
      <c r="L1816" s="147"/>
      <c r="M1816" s="219"/>
      <c r="N1816" s="149"/>
      <c r="O1816" s="226"/>
      <c r="P1816" s="150"/>
      <c r="Q1816" s="576"/>
    </row>
    <row r="1817" spans="1:19" ht="18.75" hidden="1" outlineLevel="1">
      <c r="A1817" s="554"/>
      <c r="B1817" s="142" t="s">
        <v>606</v>
      </c>
      <c r="C1817" s="142"/>
      <c r="D1817" s="220"/>
      <c r="E1817" s="217"/>
      <c r="F1817" s="217"/>
      <c r="G1817" s="217"/>
      <c r="H1817" s="226"/>
      <c r="I1817" s="150"/>
      <c r="J1817" s="147"/>
      <c r="K1817" s="221"/>
      <c r="L1817" s="147"/>
      <c r="M1817" s="219"/>
      <c r="N1817" s="149"/>
      <c r="O1817" s="226"/>
      <c r="P1817" s="150"/>
      <c r="Q1817" s="576"/>
    </row>
    <row r="1818" spans="1:19" ht="18.75" hidden="1" outlineLevel="1">
      <c r="A1818" s="554"/>
      <c r="B1818" s="152"/>
      <c r="C1818" s="142" t="s">
        <v>817</v>
      </c>
      <c r="D1818" s="180"/>
      <c r="E1818" s="148"/>
      <c r="F1818" s="148"/>
      <c r="G1818" s="148">
        <f>CIP!$AP$119</f>
        <v>125000.17938112497</v>
      </c>
      <c r="H1818" s="226"/>
      <c r="I1818" s="150">
        <f>SUM(D1818:H1818)</f>
        <v>125000.17938112497</v>
      </c>
      <c r="J1818" s="147"/>
      <c r="K1818" s="221"/>
      <c r="L1818" s="147"/>
      <c r="M1818" s="219"/>
      <c r="N1818" s="149">
        <v>125000</v>
      </c>
      <c r="O1818" s="515">
        <f>N1818*1.73</f>
        <v>216250</v>
      </c>
      <c r="P1818" s="150">
        <f>SUM(I1818,K1818,M1818,O1818)</f>
        <v>341250.17938112497</v>
      </c>
      <c r="Q1818" s="576"/>
    </row>
    <row r="1819" spans="1:19" ht="18.75" hidden="1" outlineLevel="1">
      <c r="A1819" s="554"/>
      <c r="B1819" s="152"/>
      <c r="C1819" s="142" t="s">
        <v>1206</v>
      </c>
      <c r="D1819" s="180"/>
      <c r="E1819" s="148"/>
      <c r="F1819" s="148"/>
      <c r="G1819" s="148"/>
      <c r="H1819" s="226"/>
      <c r="I1819" s="150"/>
      <c r="J1819" s="147"/>
      <c r="K1819" s="221"/>
      <c r="L1819" s="231">
        <v>125000</v>
      </c>
      <c r="M1819" s="519">
        <f>L1819*1.46</f>
        <v>182500</v>
      </c>
      <c r="N1819" s="149"/>
      <c r="O1819" s="515"/>
      <c r="P1819" s="150">
        <f>SUM(I1819,K1819,M1819,O1819)</f>
        <v>182500</v>
      </c>
      <c r="Q1819" s="576"/>
    </row>
    <row r="1820" spans="1:19" ht="18.75" hidden="1" outlineLevel="1">
      <c r="A1820" s="554"/>
      <c r="B1820" s="142" t="s">
        <v>607</v>
      </c>
      <c r="C1820" s="142"/>
      <c r="D1820" s="180"/>
      <c r="E1820" s="148"/>
      <c r="F1820" s="148"/>
      <c r="G1820" s="148"/>
      <c r="H1820" s="226"/>
      <c r="I1820" s="150"/>
      <c r="J1820" s="147"/>
      <c r="K1820" s="221"/>
      <c r="L1820" s="147"/>
      <c r="M1820" s="219"/>
      <c r="N1820" s="149"/>
      <c r="O1820" s="226"/>
      <c r="P1820" s="150"/>
      <c r="Q1820" s="576"/>
    </row>
    <row r="1821" spans="1:19" ht="18.75" hidden="1" outlineLevel="1">
      <c r="A1821" s="554"/>
      <c r="B1821" s="142"/>
      <c r="C1821" s="142" t="s">
        <v>1204</v>
      </c>
      <c r="D1821" s="180"/>
      <c r="E1821" s="148"/>
      <c r="F1821" s="148"/>
      <c r="G1821" s="148"/>
      <c r="H1821" s="226"/>
      <c r="I1821" s="150"/>
      <c r="J1821" s="147">
        <v>125000</v>
      </c>
      <c r="K1821" s="518">
        <f>J1821*1.23</f>
        <v>153750</v>
      </c>
      <c r="L1821" s="147"/>
      <c r="M1821" s="219"/>
      <c r="N1821" s="149"/>
      <c r="O1821" s="515"/>
      <c r="P1821" s="150">
        <f>SUM(I1821,K1821,M1821,O1821)</f>
        <v>153750</v>
      </c>
      <c r="Q1821" s="576"/>
    </row>
    <row r="1822" spans="1:19" ht="18.75" hidden="1" outlineLevel="1">
      <c r="A1822" s="554"/>
      <c r="B1822" s="142"/>
      <c r="C1822" s="142" t="s">
        <v>1205</v>
      </c>
      <c r="D1822" s="180"/>
      <c r="E1822" s="148"/>
      <c r="F1822" s="148"/>
      <c r="G1822" s="148"/>
      <c r="H1822" s="226"/>
      <c r="I1822" s="150"/>
      <c r="J1822" s="147">
        <v>125000</v>
      </c>
      <c r="K1822" s="518">
        <f>J1822*1.23</f>
        <v>153750</v>
      </c>
      <c r="L1822" s="147"/>
      <c r="M1822" s="519"/>
      <c r="N1822" s="149"/>
      <c r="O1822" s="226"/>
      <c r="P1822" s="150">
        <f>SUM(I1822,K1822,M1822,O1822)</f>
        <v>153750</v>
      </c>
      <c r="Q1822" s="576"/>
    </row>
    <row r="1823" spans="1:19" ht="18.75" hidden="1" outlineLevel="1">
      <c r="A1823" s="554"/>
      <c r="B1823" s="152"/>
      <c r="C1823" s="142" t="s">
        <v>608</v>
      </c>
      <c r="D1823" s="180">
        <f>CIP!$AM$131</f>
        <v>50000</v>
      </c>
      <c r="E1823" s="148">
        <f>CIP!$AN$131</f>
        <v>49999.814999999995</v>
      </c>
      <c r="F1823" s="148">
        <f>CIP!$AO$131</f>
        <v>50000.498099999997</v>
      </c>
      <c r="G1823" s="148">
        <f>CIP!$AP$131</f>
        <v>49999.850008874986</v>
      </c>
      <c r="H1823" s="198">
        <f>CIP!$AQ$131</f>
        <v>49999.872183232488</v>
      </c>
      <c r="I1823" s="150">
        <f>SUM(D1823:H1823)</f>
        <v>250000.03529210747</v>
      </c>
      <c r="J1823" s="147">
        <v>100000</v>
      </c>
      <c r="K1823" s="518">
        <f>J1823*1.23</f>
        <v>123000</v>
      </c>
      <c r="L1823" s="147">
        <v>200000</v>
      </c>
      <c r="M1823" s="519">
        <f>L1823*1.46</f>
        <v>292000</v>
      </c>
      <c r="N1823" s="149">
        <v>200000</v>
      </c>
      <c r="O1823" s="515">
        <f>N1823*1.73</f>
        <v>346000</v>
      </c>
      <c r="P1823" s="150">
        <f>SUM(I1823,K1823,M1823,O1823)</f>
        <v>1011000.0352921075</v>
      </c>
      <c r="Q1823" s="576"/>
    </row>
    <row r="1824" spans="1:19" s="140" customFormat="1" ht="16.5" customHeight="1" collapsed="1">
      <c r="A1824" s="556"/>
      <c r="B1824" s="250"/>
      <c r="C1824" s="271" t="s">
        <v>609</v>
      </c>
      <c r="D1824" s="510">
        <f>SUM(D1817:D1823)</f>
        <v>50000</v>
      </c>
      <c r="E1824" s="514">
        <f>SUM(E1817:E1823)</f>
        <v>49999.814999999995</v>
      </c>
      <c r="F1824" s="514">
        <f>SUM(F1817:F1823)</f>
        <v>50000.498099999997</v>
      </c>
      <c r="G1824" s="514">
        <f>SUM(G1817:G1823)</f>
        <v>175000.02938999995</v>
      </c>
      <c r="H1824" s="515">
        <f>SUM(H1817:H1823)</f>
        <v>49999.872183232488</v>
      </c>
      <c r="I1824" s="516">
        <f>SUM(D1824:H1824)</f>
        <v>375000.21467323246</v>
      </c>
      <c r="J1824" s="517">
        <f>SUM(J1818:J1823)</f>
        <v>350000</v>
      </c>
      <c r="K1824" s="518">
        <f>J1824*1.23</f>
        <v>430500</v>
      </c>
      <c r="L1824" s="517">
        <f>SUM(L1818:L1823)</f>
        <v>325000</v>
      </c>
      <c r="M1824" s="519">
        <f>L1824*1.46</f>
        <v>474500</v>
      </c>
      <c r="N1824" s="233">
        <f>SUM(N1817:N1823)</f>
        <v>325000</v>
      </c>
      <c r="O1824" s="515">
        <f>N1824*1.73</f>
        <v>562250</v>
      </c>
      <c r="P1824" s="516">
        <f t="shared" ref="P1824:P1829" si="144">SUM(I1824,K1824,M1824,O1824)</f>
        <v>1842250.2146732325</v>
      </c>
      <c r="Q1824" s="518"/>
    </row>
    <row r="1825" spans="1:19" hidden="1" outlineLevel="1">
      <c r="A1825" s="275" t="s">
        <v>610</v>
      </c>
      <c r="B1825" s="152"/>
      <c r="C1825" s="181"/>
      <c r="D1825" s="160"/>
      <c r="E1825" s="153"/>
      <c r="F1825" s="153"/>
      <c r="G1825" s="153"/>
      <c r="H1825" s="206"/>
      <c r="I1825" s="150"/>
      <c r="J1825" s="147"/>
      <c r="K1825" s="221"/>
      <c r="L1825" s="147"/>
      <c r="M1825" s="219"/>
      <c r="N1825" s="149"/>
      <c r="O1825" s="226"/>
      <c r="P1825" s="150"/>
      <c r="Q1825" s="576"/>
    </row>
    <row r="1826" spans="1:19" hidden="1" outlineLevel="1">
      <c r="A1826" s="550"/>
      <c r="B1826" s="152"/>
      <c r="C1826" s="142" t="s">
        <v>611</v>
      </c>
      <c r="D1826" s="160">
        <f>CIP!$AM$41</f>
        <v>150000</v>
      </c>
      <c r="E1826" s="153">
        <f>CIP!$AN$61</f>
        <v>150000.47999999998</v>
      </c>
      <c r="F1826" s="153">
        <f>CIP!$AO$90</f>
        <v>150000.42307499997</v>
      </c>
      <c r="G1826" s="153">
        <f>CIP!$AP$121</f>
        <v>149999.55002662496</v>
      </c>
      <c r="H1826" s="206">
        <f>CIP!$AQ$151</f>
        <v>149999.61654969747</v>
      </c>
      <c r="I1826" s="150">
        <f>SUM(D1826:H1826)</f>
        <v>750000.06965132232</v>
      </c>
      <c r="J1826" s="147">
        <v>750000</v>
      </c>
      <c r="K1826" s="221">
        <f>J1826*1.23</f>
        <v>922500</v>
      </c>
      <c r="L1826" s="147">
        <v>750000</v>
      </c>
      <c r="M1826" s="219">
        <f>L1826*1.46</f>
        <v>1095000</v>
      </c>
      <c r="N1826" s="149">
        <v>750000</v>
      </c>
      <c r="O1826" s="226">
        <f>N1826*1.73</f>
        <v>1297500</v>
      </c>
      <c r="P1826" s="150">
        <f t="shared" si="144"/>
        <v>4065000.0696513224</v>
      </c>
      <c r="Q1826" s="576"/>
    </row>
    <row r="1827" spans="1:19" hidden="1" outlineLevel="1">
      <c r="A1827" s="550"/>
      <c r="B1827" s="152"/>
      <c r="C1827" s="142" t="s">
        <v>838</v>
      </c>
      <c r="D1827" s="160">
        <f>CIP!$AM$46</f>
        <v>62000</v>
      </c>
      <c r="E1827" s="153">
        <f>CIP!$AN$69</f>
        <v>65722.5</v>
      </c>
      <c r="F1827" s="153"/>
      <c r="G1827" s="153">
        <f>CIP!$AP$86</f>
        <v>70403.585062499988</v>
      </c>
      <c r="H1827" s="206">
        <f>CIP!$AQ$101</f>
        <v>72867.710539687483</v>
      </c>
      <c r="I1827" s="150">
        <f>SUM(D1827:H1827)</f>
        <v>270993.79560218746</v>
      </c>
      <c r="J1827" s="147">
        <v>300000</v>
      </c>
      <c r="K1827" s="221">
        <f>J1827*1.23</f>
        <v>369000</v>
      </c>
      <c r="L1827" s="147">
        <v>300000</v>
      </c>
      <c r="M1827" s="219">
        <f>L1827*1.46</f>
        <v>438000</v>
      </c>
      <c r="N1827" s="147">
        <v>300000</v>
      </c>
      <c r="O1827" s="226">
        <f>N1827*1.73</f>
        <v>519000</v>
      </c>
      <c r="P1827" s="150">
        <f t="shared" si="144"/>
        <v>1596993.7956021875</v>
      </c>
      <c r="Q1827" s="576"/>
    </row>
    <row r="1828" spans="1:19" hidden="1" outlineLevel="1">
      <c r="A1828" s="550"/>
      <c r="B1828" s="152"/>
      <c r="C1828" s="142" t="s">
        <v>1202</v>
      </c>
      <c r="D1828" s="160"/>
      <c r="E1828" s="153"/>
      <c r="F1828" s="153">
        <f>CIP!$AO$81</f>
        <v>160683.74999999997</v>
      </c>
      <c r="G1828" s="153"/>
      <c r="H1828" s="206"/>
      <c r="I1828" s="150">
        <f>SUM(D1828:H1828)</f>
        <v>160683.74999999997</v>
      </c>
      <c r="J1828" s="147">
        <v>150000</v>
      </c>
      <c r="K1828" s="221">
        <f>J1828*1.23</f>
        <v>184500</v>
      </c>
      <c r="L1828" s="147"/>
      <c r="M1828" s="219"/>
      <c r="N1828" s="149"/>
      <c r="O1828" s="226"/>
      <c r="P1828" s="150">
        <f t="shared" si="144"/>
        <v>345183.75</v>
      </c>
      <c r="Q1828" s="588" t="s">
        <v>1329</v>
      </c>
    </row>
    <row r="1829" spans="1:19" s="140" customFormat="1" ht="16.5" customHeight="1" collapsed="1">
      <c r="A1829" s="549"/>
      <c r="B1829" s="250"/>
      <c r="C1829" s="271" t="s">
        <v>612</v>
      </c>
      <c r="D1829" s="510">
        <f>SUM(D1825:D1828)</f>
        <v>212000</v>
      </c>
      <c r="E1829" s="514">
        <f t="shared" ref="E1829:H1829" si="145">SUM(E1825:E1828)</f>
        <v>215722.97999999998</v>
      </c>
      <c r="F1829" s="514">
        <f t="shared" si="145"/>
        <v>310684.17307499994</v>
      </c>
      <c r="G1829" s="514">
        <f t="shared" si="145"/>
        <v>220403.13508912496</v>
      </c>
      <c r="H1829" s="515">
        <f t="shared" si="145"/>
        <v>222867.32708938495</v>
      </c>
      <c r="I1829" s="516">
        <f>SUM(D1829:H1829)</f>
        <v>1181677.6152535097</v>
      </c>
      <c r="J1829" s="517">
        <f>SUM(J1826:J1828)</f>
        <v>1200000</v>
      </c>
      <c r="K1829" s="518">
        <f>J1829*1.23</f>
        <v>1476000</v>
      </c>
      <c r="L1829" s="517">
        <f>SUM(L1826:L1828)</f>
        <v>1050000</v>
      </c>
      <c r="M1829" s="519">
        <f>L1829*1.46</f>
        <v>1533000</v>
      </c>
      <c r="N1829" s="233">
        <f>SUM(N1826:N1828)</f>
        <v>1050000</v>
      </c>
      <c r="O1829" s="515">
        <f>N1829*1.73</f>
        <v>1816500</v>
      </c>
      <c r="P1829" s="516">
        <f t="shared" si="144"/>
        <v>6007177.61525351</v>
      </c>
      <c r="Q1829" s="518"/>
    </row>
    <row r="1830" spans="1:19" hidden="1" outlineLevel="1">
      <c r="A1830" s="275" t="s">
        <v>613</v>
      </c>
      <c r="B1830" s="152"/>
      <c r="C1830" s="181"/>
      <c r="D1830" s="160"/>
      <c r="E1830" s="153"/>
      <c r="F1830" s="153"/>
      <c r="G1830" s="153"/>
      <c r="H1830" s="206"/>
      <c r="I1830" s="150"/>
      <c r="J1830" s="147"/>
      <c r="K1830" s="221"/>
      <c r="L1830" s="147"/>
      <c r="M1830" s="219"/>
      <c r="N1830" s="149"/>
      <c r="O1830" s="226"/>
      <c r="P1830" s="150"/>
      <c r="Q1830" s="576"/>
    </row>
    <row r="1831" spans="1:19" hidden="1" outlineLevel="1">
      <c r="A1831" s="550"/>
      <c r="B1831" s="152"/>
      <c r="C1831" s="142" t="s">
        <v>806</v>
      </c>
      <c r="D1831" s="340">
        <f>CIP!$AM$74</f>
        <v>50000</v>
      </c>
      <c r="E1831" s="153"/>
      <c r="F1831" s="153">
        <f>CIP!$AO$74</f>
        <v>50000.498099999997</v>
      </c>
      <c r="G1831" s="153"/>
      <c r="H1831" s="206"/>
      <c r="I1831" s="150">
        <f>SUM(D1831:H1831)</f>
        <v>100000.4981</v>
      </c>
      <c r="J1831" s="147"/>
      <c r="K1831" s="221"/>
      <c r="L1831" s="147"/>
      <c r="M1831" s="219"/>
      <c r="N1831" s="149"/>
      <c r="O1831" s="226"/>
      <c r="P1831" s="150"/>
      <c r="Q1831" s="576"/>
    </row>
    <row r="1832" spans="1:19" s="140" customFormat="1" ht="16.5" customHeight="1" collapsed="1">
      <c r="A1832" s="552"/>
      <c r="B1832" s="513"/>
      <c r="C1832" s="535" t="s">
        <v>614</v>
      </c>
      <c r="D1832" s="528">
        <f>SUM(D1830:D1831)</f>
        <v>50000</v>
      </c>
      <c r="E1832" s="536"/>
      <c r="F1832" s="536">
        <f>SUM(F1830:F1831)</f>
        <v>50000.498099999997</v>
      </c>
      <c r="G1832" s="536"/>
      <c r="H1832" s="533"/>
      <c r="I1832" s="529">
        <f>SUM(D1832:H1832)</f>
        <v>100000.4981</v>
      </c>
      <c r="J1832" s="537">
        <v>100000</v>
      </c>
      <c r="K1832" s="531">
        <f>J1832*1.23</f>
        <v>123000</v>
      </c>
      <c r="L1832" s="537">
        <v>100000</v>
      </c>
      <c r="M1832" s="532">
        <f>L1832*1.46</f>
        <v>146000</v>
      </c>
      <c r="N1832" s="527">
        <v>100000</v>
      </c>
      <c r="O1832" s="533">
        <f>N1832*1.73</f>
        <v>173000</v>
      </c>
      <c r="P1832" s="529">
        <f t="shared" ref="P1832:P1833" si="146">SUM(I1832,K1832,M1832,O1832)</f>
        <v>542000.49809999997</v>
      </c>
      <c r="Q1832" s="518"/>
    </row>
    <row r="1833" spans="1:19" ht="18" customHeight="1">
      <c r="A1833" s="550"/>
      <c r="B1833" s="605" t="s">
        <v>615</v>
      </c>
      <c r="C1833" s="606"/>
      <c r="D1833" s="220">
        <f t="shared" ref="D1833:J1833" si="147">SUM(D1815,D1824,D1829,D1832)</f>
        <v>3339240</v>
      </c>
      <c r="E1833" s="217">
        <f t="shared" si="147"/>
        <v>3372873.5249999994</v>
      </c>
      <c r="F1833" s="217">
        <f t="shared" si="147"/>
        <v>3532056.9959249995</v>
      </c>
      <c r="G1833" s="217">
        <f t="shared" si="147"/>
        <v>3374883.9930419992</v>
      </c>
      <c r="H1833" s="226">
        <f t="shared" si="147"/>
        <v>3332063.6844378128</v>
      </c>
      <c r="I1833" s="516">
        <f t="shared" si="147"/>
        <v>16951118.198404811</v>
      </c>
      <c r="J1833" s="542">
        <f t="shared" si="147"/>
        <v>15975000</v>
      </c>
      <c r="K1833" s="518">
        <f>J1833*1.23</f>
        <v>19649250</v>
      </c>
      <c r="L1833" s="542">
        <f>SUM(L1815,L1824,L1829,L1832)</f>
        <v>15800000</v>
      </c>
      <c r="M1833" s="519">
        <f>L1833*1.46</f>
        <v>23068000</v>
      </c>
      <c r="N1833" s="543">
        <f>SUM(N1815,N1824,N1829,N1832)</f>
        <v>15800000</v>
      </c>
      <c r="O1833" s="515">
        <f>N1833*1.73</f>
        <v>27334000</v>
      </c>
      <c r="P1833" s="516">
        <f t="shared" si="146"/>
        <v>87002368.198404819</v>
      </c>
      <c r="Q1833" s="589"/>
      <c r="S1833" t="s">
        <v>393</v>
      </c>
    </row>
    <row r="1834" spans="1:19" ht="11.25" customHeight="1">
      <c r="A1834" s="550"/>
      <c r="B1834" s="152"/>
      <c r="C1834" s="152"/>
      <c r="D1834" s="160"/>
      <c r="E1834" s="153"/>
      <c r="F1834" s="153"/>
      <c r="G1834" s="153"/>
      <c r="H1834" s="206"/>
      <c r="I1834" s="161"/>
      <c r="J1834" s="210"/>
      <c r="K1834" s="224"/>
      <c r="L1834" s="210"/>
      <c r="M1834" s="151"/>
      <c r="N1834" s="402"/>
      <c r="O1834" s="409"/>
      <c r="P1834" s="218"/>
      <c r="Q1834" s="569"/>
    </row>
    <row r="1835" spans="1:19" ht="15.75">
      <c r="A1835" s="557" t="s">
        <v>616</v>
      </c>
      <c r="B1835" s="251"/>
      <c r="C1835" s="251"/>
      <c r="D1835" s="237"/>
      <c r="E1835" s="235"/>
      <c r="F1835" s="235"/>
      <c r="G1835" s="235"/>
      <c r="H1835" s="236"/>
      <c r="I1835" s="238"/>
      <c r="J1835" s="403"/>
      <c r="K1835" s="239"/>
      <c r="L1835" s="403"/>
      <c r="M1835" s="240"/>
      <c r="N1835" s="406"/>
      <c r="O1835" s="410"/>
      <c r="P1835" s="241"/>
      <c r="Q1835" s="584"/>
    </row>
    <row r="1836" spans="1:19" ht="15.75" hidden="1" outlineLevel="1">
      <c r="A1836" s="275" t="s">
        <v>617</v>
      </c>
      <c r="B1836" s="152"/>
      <c r="C1836" s="250"/>
      <c r="D1836" s="160"/>
      <c r="E1836" s="153"/>
      <c r="F1836" s="153"/>
      <c r="G1836" s="153"/>
      <c r="H1836" s="154"/>
      <c r="I1836" s="163"/>
      <c r="J1836" s="147"/>
      <c r="K1836" s="157"/>
      <c r="L1836" s="147"/>
      <c r="M1836" s="154"/>
      <c r="N1836" s="149"/>
      <c r="O1836" s="206"/>
      <c r="P1836" s="150"/>
      <c r="Q1836" s="576"/>
    </row>
    <row r="1837" spans="1:19" ht="18.75" hidden="1" outlineLevel="1">
      <c r="A1837" s="554"/>
      <c r="B1837" s="426" t="s">
        <v>807</v>
      </c>
      <c r="C1837" s="264"/>
      <c r="D1837" s="160"/>
      <c r="E1837" s="153"/>
      <c r="F1837" s="153"/>
      <c r="G1837" s="153"/>
      <c r="H1837" s="206"/>
      <c r="I1837" s="163"/>
      <c r="J1837" s="147"/>
      <c r="K1837" s="157"/>
      <c r="L1837" s="147"/>
      <c r="M1837" s="157"/>
      <c r="N1837" s="231"/>
      <c r="O1837" s="206"/>
      <c r="P1837" s="150"/>
      <c r="Q1837" s="568" t="s">
        <v>390</v>
      </c>
    </row>
    <row r="1838" spans="1:19" ht="18.75" hidden="1" outlineLevel="2">
      <c r="A1838" s="554"/>
      <c r="B1838" s="159"/>
      <c r="C1838" s="264" t="s">
        <v>749</v>
      </c>
      <c r="D1838" s="160">
        <v>854800</v>
      </c>
      <c r="E1838" s="157"/>
      <c r="F1838" s="157"/>
      <c r="G1838" s="157"/>
      <c r="H1838" s="192"/>
      <c r="I1838" s="163"/>
      <c r="J1838" s="147"/>
      <c r="K1838" s="157"/>
      <c r="L1838" s="147"/>
      <c r="M1838" s="192"/>
      <c r="N1838" s="231"/>
      <c r="O1838" s="206"/>
      <c r="P1838" s="150"/>
      <c r="Q1838" s="568"/>
    </row>
    <row r="1839" spans="1:19" ht="18.75" hidden="1" outlineLevel="2">
      <c r="A1839" s="554"/>
      <c r="B1839" s="159"/>
      <c r="C1839" s="264" t="s">
        <v>750</v>
      </c>
      <c r="D1839" s="160">
        <v>167000</v>
      </c>
      <c r="E1839" s="157"/>
      <c r="F1839" s="157"/>
      <c r="G1839" s="157"/>
      <c r="H1839" s="192"/>
      <c r="I1839" s="163"/>
      <c r="J1839" s="147"/>
      <c r="K1839" s="157"/>
      <c r="L1839" s="147"/>
      <c r="M1839" s="192"/>
      <c r="N1839" s="231"/>
      <c r="O1839" s="206"/>
      <c r="P1839" s="150"/>
      <c r="Q1839" s="568"/>
    </row>
    <row r="1840" spans="1:19" ht="18.75" hidden="1" outlineLevel="2">
      <c r="A1840" s="554"/>
      <c r="B1840" s="159"/>
      <c r="C1840" s="264" t="s">
        <v>751</v>
      </c>
      <c r="D1840" s="160">
        <v>114400</v>
      </c>
      <c r="E1840" s="157"/>
      <c r="F1840" s="157"/>
      <c r="G1840" s="157"/>
      <c r="H1840" s="192"/>
      <c r="I1840" s="163"/>
      <c r="J1840" s="147"/>
      <c r="K1840" s="157"/>
      <c r="L1840" s="147"/>
      <c r="M1840" s="192"/>
      <c r="N1840" s="231"/>
      <c r="O1840" s="206"/>
      <c r="P1840" s="150"/>
      <c r="Q1840" s="568"/>
    </row>
    <row r="1841" spans="1:17" ht="18.75" hidden="1" outlineLevel="2">
      <c r="A1841" s="554"/>
      <c r="B1841" s="159"/>
      <c r="C1841" s="303" t="s">
        <v>754</v>
      </c>
      <c r="D1841" s="160">
        <v>800000</v>
      </c>
      <c r="E1841" s="157"/>
      <c r="F1841" s="157"/>
      <c r="G1841" s="157"/>
      <c r="H1841" s="192"/>
      <c r="I1841" s="163"/>
      <c r="J1841" s="147"/>
      <c r="K1841" s="157"/>
      <c r="L1841" s="147"/>
      <c r="M1841" s="192"/>
      <c r="N1841" s="231"/>
      <c r="O1841" s="206"/>
      <c r="P1841" s="150"/>
      <c r="Q1841" s="568"/>
    </row>
    <row r="1842" spans="1:17" ht="18.75" hidden="1" outlineLevel="2">
      <c r="A1842" s="554"/>
      <c r="B1842" s="159"/>
      <c r="C1842" s="303" t="s">
        <v>755</v>
      </c>
      <c r="D1842" s="160">
        <v>250000</v>
      </c>
      <c r="E1842" s="157"/>
      <c r="F1842" s="157"/>
      <c r="G1842" s="157"/>
      <c r="H1842" s="192"/>
      <c r="I1842" s="163"/>
      <c r="J1842" s="147"/>
      <c r="K1842" s="157"/>
      <c r="L1842" s="147"/>
      <c r="M1842" s="192"/>
      <c r="N1842" s="231"/>
      <c r="O1842" s="206"/>
      <c r="P1842" s="150"/>
      <c r="Q1842" s="568"/>
    </row>
    <row r="1843" spans="1:17" ht="18.75" hidden="1" outlineLevel="2">
      <c r="A1843" s="554"/>
      <c r="B1843" s="159"/>
      <c r="C1843" s="303" t="s">
        <v>756</v>
      </c>
      <c r="D1843" s="160">
        <v>600000</v>
      </c>
      <c r="E1843" s="157"/>
      <c r="F1843" s="157"/>
      <c r="G1843" s="157"/>
      <c r="H1843" s="192"/>
      <c r="I1843" s="163"/>
      <c r="J1843" s="147"/>
      <c r="K1843" s="157"/>
      <c r="L1843" s="147"/>
      <c r="M1843" s="192"/>
      <c r="N1843" s="231"/>
      <c r="O1843" s="206"/>
      <c r="P1843" s="150"/>
      <c r="Q1843" s="568"/>
    </row>
    <row r="1844" spans="1:17" ht="18.75" hidden="1" outlineLevel="2">
      <c r="A1844" s="554"/>
      <c r="B1844" s="159"/>
      <c r="C1844" s="303" t="s">
        <v>757</v>
      </c>
      <c r="D1844" s="160">
        <v>450000</v>
      </c>
      <c r="E1844" s="157"/>
      <c r="F1844" s="157"/>
      <c r="G1844" s="157"/>
      <c r="H1844" s="192"/>
      <c r="I1844" s="163"/>
      <c r="J1844" s="147"/>
      <c r="K1844" s="157"/>
      <c r="L1844" s="147"/>
      <c r="M1844" s="192"/>
      <c r="N1844" s="231"/>
      <c r="O1844" s="206"/>
      <c r="P1844" s="150"/>
      <c r="Q1844" s="568"/>
    </row>
    <row r="1845" spans="1:17" ht="18.75" hidden="1" outlineLevel="2">
      <c r="A1845" s="554"/>
      <c r="B1845" s="159"/>
      <c r="C1845" s="303" t="s">
        <v>758</v>
      </c>
      <c r="D1845" s="160">
        <v>214800</v>
      </c>
      <c r="E1845" s="157"/>
      <c r="F1845" s="157"/>
      <c r="G1845" s="157"/>
      <c r="H1845" s="192"/>
      <c r="I1845" s="163"/>
      <c r="J1845" s="147"/>
      <c r="K1845" s="157"/>
      <c r="L1845" s="147"/>
      <c r="M1845" s="192"/>
      <c r="N1845" s="231"/>
      <c r="O1845" s="206"/>
      <c r="P1845" s="150"/>
      <c r="Q1845" s="568"/>
    </row>
    <row r="1846" spans="1:17" ht="18.75" hidden="1" outlineLevel="2">
      <c r="A1846" s="554"/>
      <c r="B1846" s="159"/>
      <c r="C1846" s="303" t="s">
        <v>759</v>
      </c>
      <c r="D1846" s="160">
        <v>400000</v>
      </c>
      <c r="E1846" s="157"/>
      <c r="F1846" s="157"/>
      <c r="G1846" s="157"/>
      <c r="H1846" s="192"/>
      <c r="I1846" s="163"/>
      <c r="J1846" s="147"/>
      <c r="K1846" s="157"/>
      <c r="L1846" s="147"/>
      <c r="M1846" s="192"/>
      <c r="N1846" s="231"/>
      <c r="O1846" s="206"/>
      <c r="P1846" s="150"/>
      <c r="Q1846" s="568"/>
    </row>
    <row r="1847" spans="1:17" ht="18.75" hidden="1" outlineLevel="1" collapsed="1">
      <c r="A1847" s="554"/>
      <c r="B1847" s="159"/>
      <c r="C1847" s="320" t="s">
        <v>808</v>
      </c>
      <c r="D1847" s="220">
        <f>CIP!$AM$9</f>
        <v>3851000</v>
      </c>
      <c r="E1847" s="157"/>
      <c r="F1847" s="157"/>
      <c r="G1847" s="157"/>
      <c r="H1847" s="192"/>
      <c r="I1847" s="150">
        <f>SUM(D1847:H1847)</f>
        <v>3851000</v>
      </c>
      <c r="J1847" s="147"/>
      <c r="K1847" s="157"/>
      <c r="L1847" s="147"/>
      <c r="M1847" s="192"/>
      <c r="N1847" s="231"/>
      <c r="O1847" s="206"/>
      <c r="P1847" s="150"/>
      <c r="Q1847" s="568"/>
    </row>
    <row r="1848" spans="1:17" ht="18.75" hidden="1" outlineLevel="2">
      <c r="A1848" s="554"/>
      <c r="B1848" s="159"/>
      <c r="C1848" s="303" t="s">
        <v>760</v>
      </c>
      <c r="D1848" s="160"/>
      <c r="E1848" s="157">
        <v>1260000</v>
      </c>
      <c r="F1848" s="157"/>
      <c r="G1848" s="157"/>
      <c r="H1848" s="192"/>
      <c r="I1848" s="150"/>
      <c r="J1848" s="147"/>
      <c r="K1848" s="157"/>
      <c r="L1848" s="147"/>
      <c r="M1848" s="192"/>
      <c r="N1848" s="231"/>
      <c r="O1848" s="206"/>
      <c r="P1848" s="150"/>
      <c r="Q1848" s="568"/>
    </row>
    <row r="1849" spans="1:17" ht="18.75" hidden="1" outlineLevel="2">
      <c r="A1849" s="554"/>
      <c r="B1849" s="159"/>
      <c r="C1849" s="303" t="s">
        <v>761</v>
      </c>
      <c r="D1849" s="160"/>
      <c r="E1849" s="157">
        <v>167200</v>
      </c>
      <c r="F1849" s="157"/>
      <c r="G1849" s="157"/>
      <c r="H1849" s="192"/>
      <c r="I1849" s="150"/>
      <c r="J1849" s="147"/>
      <c r="K1849" s="157"/>
      <c r="L1849" s="147"/>
      <c r="M1849" s="192"/>
      <c r="N1849" s="231"/>
      <c r="O1849" s="206"/>
      <c r="P1849" s="150"/>
      <c r="Q1849" s="568"/>
    </row>
    <row r="1850" spans="1:17" ht="18.75" hidden="1" outlineLevel="2">
      <c r="A1850" s="554"/>
      <c r="B1850" s="159"/>
      <c r="C1850" s="303" t="s">
        <v>762</v>
      </c>
      <c r="D1850" s="160"/>
      <c r="E1850" s="157">
        <v>81000</v>
      </c>
      <c r="F1850" s="157"/>
      <c r="G1850" s="157"/>
      <c r="H1850" s="192"/>
      <c r="I1850" s="150"/>
      <c r="J1850" s="147"/>
      <c r="K1850" s="157"/>
      <c r="L1850" s="147"/>
      <c r="M1850" s="192"/>
      <c r="N1850" s="231"/>
      <c r="O1850" s="206"/>
      <c r="P1850" s="150"/>
      <c r="Q1850" s="568"/>
    </row>
    <row r="1851" spans="1:17" ht="18.75" hidden="1" outlineLevel="2">
      <c r="A1851" s="554"/>
      <c r="B1851" s="159"/>
      <c r="C1851" s="304" t="s">
        <v>762</v>
      </c>
      <c r="D1851" s="160"/>
      <c r="E1851" s="157">
        <v>400000</v>
      </c>
      <c r="F1851" s="157"/>
      <c r="G1851" s="157"/>
      <c r="H1851" s="192"/>
      <c r="I1851" s="150"/>
      <c r="J1851" s="147"/>
      <c r="K1851" s="157"/>
      <c r="L1851" s="147"/>
      <c r="M1851" s="154"/>
      <c r="N1851" s="149"/>
      <c r="O1851" s="206"/>
      <c r="P1851" s="150"/>
      <c r="Q1851" s="588"/>
    </row>
    <row r="1852" spans="1:17" ht="18.75" hidden="1" outlineLevel="2">
      <c r="A1852" s="554"/>
      <c r="B1852" s="159"/>
      <c r="C1852" s="304" t="s">
        <v>764</v>
      </c>
      <c r="D1852" s="160"/>
      <c r="E1852" s="157">
        <v>270000</v>
      </c>
      <c r="F1852" s="157"/>
      <c r="G1852" s="157"/>
      <c r="H1852" s="192"/>
      <c r="I1852" s="150"/>
      <c r="J1852" s="147"/>
      <c r="K1852" s="157"/>
      <c r="L1852" s="147"/>
      <c r="M1852" s="154"/>
      <c r="N1852" s="149"/>
      <c r="O1852" s="206"/>
      <c r="P1852" s="150"/>
      <c r="Q1852" s="568"/>
    </row>
    <row r="1853" spans="1:17" ht="18.75" hidden="1" outlineLevel="2">
      <c r="A1853" s="554"/>
      <c r="B1853" s="159"/>
      <c r="C1853" s="304" t="s">
        <v>763</v>
      </c>
      <c r="D1853" s="160"/>
      <c r="E1853" s="157">
        <v>380000</v>
      </c>
      <c r="F1853" s="157"/>
      <c r="G1853" s="157"/>
      <c r="H1853" s="192"/>
      <c r="I1853" s="150"/>
      <c r="J1853" s="147"/>
      <c r="K1853" s="157"/>
      <c r="L1853" s="147"/>
      <c r="M1853" s="154"/>
      <c r="N1853" s="149"/>
      <c r="O1853" s="206"/>
      <c r="P1853" s="150"/>
      <c r="Q1853" s="568"/>
    </row>
    <row r="1854" spans="1:17" ht="18.75" hidden="1" outlineLevel="2">
      <c r="A1854" s="554"/>
      <c r="B1854" s="159"/>
      <c r="C1854" s="304" t="s">
        <v>765</v>
      </c>
      <c r="D1854" s="160"/>
      <c r="E1854" s="157">
        <v>1100000</v>
      </c>
      <c r="F1854" s="157"/>
      <c r="G1854" s="157"/>
      <c r="H1854" s="192"/>
      <c r="I1854" s="150"/>
      <c r="J1854" s="147"/>
      <c r="K1854" s="157"/>
      <c r="L1854" s="147"/>
      <c r="M1854" s="154"/>
      <c r="N1854" s="149"/>
      <c r="O1854" s="206"/>
      <c r="P1854" s="150"/>
      <c r="Q1854" s="568"/>
    </row>
    <row r="1855" spans="1:17" ht="18.75" hidden="1" outlineLevel="2">
      <c r="A1855" s="554"/>
      <c r="B1855" s="159"/>
      <c r="C1855" s="304" t="s">
        <v>766</v>
      </c>
      <c r="D1855" s="160"/>
      <c r="E1855" s="157">
        <v>550800</v>
      </c>
      <c r="F1855" s="157"/>
      <c r="G1855" s="157"/>
      <c r="H1855" s="192"/>
      <c r="I1855" s="150"/>
      <c r="J1855" s="147"/>
      <c r="K1855" s="157"/>
      <c r="L1855" s="147"/>
      <c r="M1855" s="154"/>
      <c r="N1855" s="149"/>
      <c r="O1855" s="206"/>
      <c r="P1855" s="150"/>
      <c r="Q1855" s="568"/>
    </row>
    <row r="1856" spans="1:17" ht="18.75" hidden="1" outlineLevel="1" collapsed="1">
      <c r="A1856" s="554"/>
      <c r="B1856" s="159"/>
      <c r="C1856" s="320" t="s">
        <v>809</v>
      </c>
      <c r="D1856" s="160"/>
      <c r="E1856" s="221">
        <f>CIP!$AN$39</f>
        <v>4356315</v>
      </c>
      <c r="F1856" s="157"/>
      <c r="G1856" s="157"/>
      <c r="H1856" s="192"/>
      <c r="I1856" s="150">
        <f>SUM(D1856:H1856)</f>
        <v>4356315</v>
      </c>
      <c r="J1856" s="147"/>
      <c r="K1856" s="157"/>
      <c r="L1856" s="147"/>
      <c r="M1856" s="154"/>
      <c r="N1856" s="149"/>
      <c r="O1856" s="206"/>
      <c r="P1856" s="150"/>
      <c r="Q1856" s="568"/>
    </row>
    <row r="1857" spans="1:17" ht="18.75" hidden="1" outlineLevel="1">
      <c r="A1857" s="554"/>
      <c r="B1857" s="142" t="s">
        <v>810</v>
      </c>
      <c r="C1857" s="320"/>
      <c r="D1857" s="220"/>
      <c r="E1857" s="157"/>
      <c r="F1857" s="157"/>
      <c r="G1857" s="157"/>
      <c r="H1857" s="192"/>
      <c r="I1857" s="150"/>
      <c r="J1857" s="147"/>
      <c r="K1857" s="157"/>
      <c r="L1857" s="147"/>
      <c r="M1857" s="192"/>
      <c r="N1857" s="231"/>
      <c r="O1857" s="206"/>
      <c r="P1857" s="150"/>
      <c r="Q1857" s="568"/>
    </row>
    <row r="1858" spans="1:17" ht="18.75" hidden="1" outlineLevel="2">
      <c r="A1858" s="554"/>
      <c r="B1858" s="159"/>
      <c r="C1858" s="264" t="s">
        <v>752</v>
      </c>
      <c r="D1858" s="160">
        <v>64000</v>
      </c>
      <c r="E1858" s="157"/>
      <c r="F1858" s="157"/>
      <c r="G1858" s="157"/>
      <c r="H1858" s="192"/>
      <c r="I1858" s="150"/>
      <c r="J1858" s="147"/>
      <c r="K1858" s="157"/>
      <c r="L1858" s="147"/>
      <c r="M1858" s="192"/>
      <c r="N1858" s="231"/>
      <c r="O1858" s="206"/>
      <c r="P1858" s="150"/>
      <c r="Q1858" s="568"/>
    </row>
    <row r="1859" spans="1:17" ht="18.75" hidden="1" outlineLevel="2">
      <c r="A1859" s="554"/>
      <c r="B1859" s="159"/>
      <c r="C1859" s="264" t="s">
        <v>753</v>
      </c>
      <c r="D1859" s="160">
        <v>100000</v>
      </c>
      <c r="E1859" s="157"/>
      <c r="F1859" s="157"/>
      <c r="G1859" s="157"/>
      <c r="H1859" s="192"/>
      <c r="I1859" s="150"/>
      <c r="J1859" s="147"/>
      <c r="K1859" s="157"/>
      <c r="L1859" s="147"/>
      <c r="M1859" s="192"/>
      <c r="N1859" s="231"/>
      <c r="O1859" s="206"/>
      <c r="P1859" s="150"/>
      <c r="Q1859" s="568"/>
    </row>
    <row r="1860" spans="1:17" ht="18.75" hidden="1" outlineLevel="1" collapsed="1">
      <c r="A1860" s="554"/>
      <c r="B1860" s="159"/>
      <c r="C1860" s="320" t="s">
        <v>813</v>
      </c>
      <c r="D1860" s="220">
        <f>CIP!$AM$20</f>
        <v>164000</v>
      </c>
      <c r="E1860" s="157"/>
      <c r="F1860" s="157"/>
      <c r="G1860" s="157"/>
      <c r="H1860" s="192"/>
      <c r="I1860" s="150">
        <f>SUM(D1860:H1860)</f>
        <v>164000</v>
      </c>
      <c r="J1860" s="147"/>
      <c r="K1860" s="157"/>
      <c r="L1860" s="147"/>
      <c r="M1860" s="192"/>
      <c r="N1860" s="231"/>
      <c r="O1860" s="206"/>
      <c r="P1860" s="150"/>
      <c r="Q1860" s="568"/>
    </row>
    <row r="1861" spans="1:17" ht="18.75" hidden="1" outlineLevel="2">
      <c r="A1861" s="554"/>
      <c r="B1861" s="159"/>
      <c r="C1861" s="302" t="s">
        <v>767</v>
      </c>
      <c r="D1861" s="195"/>
      <c r="E1861" s="221"/>
      <c r="F1861" s="157">
        <v>180000</v>
      </c>
      <c r="G1861" s="157"/>
      <c r="H1861" s="192"/>
      <c r="I1861" s="150"/>
      <c r="J1861" s="147"/>
      <c r="K1861" s="157"/>
      <c r="L1861" s="147"/>
      <c r="M1861" s="154"/>
      <c r="N1861" s="149"/>
      <c r="O1861" s="206"/>
      <c r="P1861" s="150"/>
      <c r="Q1861" s="568"/>
    </row>
    <row r="1862" spans="1:17" ht="18.75" hidden="1" outlineLevel="2">
      <c r="A1862" s="554"/>
      <c r="B1862" s="159"/>
      <c r="C1862" s="302" t="s">
        <v>768</v>
      </c>
      <c r="D1862" s="195"/>
      <c r="E1862" s="221"/>
      <c r="F1862" s="157">
        <v>517680</v>
      </c>
      <c r="G1862" s="157"/>
      <c r="H1862" s="192"/>
      <c r="I1862" s="150"/>
      <c r="J1862" s="147"/>
      <c r="K1862" s="157"/>
      <c r="L1862" s="147"/>
      <c r="M1862" s="154"/>
      <c r="N1862" s="149"/>
      <c r="O1862" s="206"/>
      <c r="P1862" s="150"/>
      <c r="Q1862" s="568"/>
    </row>
    <row r="1863" spans="1:17" ht="18.75" hidden="1" outlineLevel="2">
      <c r="A1863" s="554"/>
      <c r="B1863" s="159"/>
      <c r="C1863" s="302" t="s">
        <v>769</v>
      </c>
      <c r="D1863" s="195"/>
      <c r="E1863" s="221"/>
      <c r="F1863" s="157">
        <v>523600</v>
      </c>
      <c r="G1863" s="157"/>
      <c r="H1863" s="192"/>
      <c r="I1863" s="150"/>
      <c r="J1863" s="147"/>
      <c r="K1863" s="157"/>
      <c r="L1863" s="147"/>
      <c r="M1863" s="154"/>
      <c r="N1863" s="149"/>
      <c r="O1863" s="206"/>
      <c r="P1863" s="150"/>
      <c r="Q1863" s="568"/>
    </row>
    <row r="1864" spans="1:17" ht="18.75" hidden="1" outlineLevel="2">
      <c r="A1864" s="554"/>
      <c r="B1864" s="159"/>
      <c r="C1864" s="305" t="s">
        <v>770</v>
      </c>
      <c r="D1864" s="195"/>
      <c r="E1864" s="153"/>
      <c r="F1864" s="157">
        <v>117720</v>
      </c>
      <c r="G1864" s="157"/>
      <c r="H1864" s="192"/>
      <c r="I1864" s="150"/>
      <c r="J1864" s="147"/>
      <c r="K1864" s="157"/>
      <c r="L1864" s="147"/>
      <c r="M1864" s="154"/>
      <c r="N1864" s="149"/>
      <c r="O1864" s="206"/>
      <c r="P1864" s="150"/>
      <c r="Q1864" s="568"/>
    </row>
    <row r="1865" spans="1:17" ht="18.75" hidden="1" outlineLevel="2">
      <c r="A1865" s="554"/>
      <c r="B1865" s="159"/>
      <c r="C1865" s="305" t="s">
        <v>771</v>
      </c>
      <c r="D1865" s="195"/>
      <c r="E1865" s="157"/>
      <c r="F1865" s="147">
        <v>1539540</v>
      </c>
      <c r="G1865" s="157"/>
      <c r="H1865" s="192"/>
      <c r="I1865" s="150"/>
      <c r="J1865" s="147"/>
      <c r="K1865" s="157"/>
      <c r="L1865" s="147"/>
      <c r="M1865" s="154"/>
      <c r="N1865" s="149"/>
      <c r="O1865" s="206"/>
      <c r="P1865" s="150"/>
      <c r="Q1865" s="568"/>
    </row>
    <row r="1866" spans="1:17" ht="18.75" hidden="1" outlineLevel="2">
      <c r="A1866" s="554"/>
      <c r="B1866" s="159"/>
      <c r="C1866" s="305" t="s">
        <v>772</v>
      </c>
      <c r="D1866" s="195"/>
      <c r="E1866" s="157"/>
      <c r="F1866" s="147">
        <v>104400</v>
      </c>
      <c r="G1866" s="157"/>
      <c r="H1866" s="192"/>
      <c r="I1866" s="150"/>
      <c r="J1866" s="147"/>
      <c r="K1866" s="157"/>
      <c r="L1866" s="147"/>
      <c r="M1866" s="154"/>
      <c r="N1866" s="149"/>
      <c r="O1866" s="206"/>
      <c r="P1866" s="150"/>
      <c r="Q1866" s="568"/>
    </row>
    <row r="1867" spans="1:17" ht="18.75" hidden="1" outlineLevel="2">
      <c r="A1867" s="554"/>
      <c r="B1867" s="159"/>
      <c r="C1867" s="305" t="s">
        <v>773</v>
      </c>
      <c r="D1867" s="195"/>
      <c r="E1867" s="157"/>
      <c r="F1867" s="147">
        <v>80000</v>
      </c>
      <c r="G1867" s="157"/>
      <c r="H1867" s="192"/>
      <c r="I1867" s="150"/>
      <c r="J1867" s="147"/>
      <c r="K1867" s="157"/>
      <c r="L1867" s="147"/>
      <c r="M1867" s="154"/>
      <c r="N1867" s="149"/>
      <c r="O1867" s="206"/>
      <c r="P1867" s="150"/>
      <c r="Q1867" s="568"/>
    </row>
    <row r="1868" spans="1:17" ht="18.75" hidden="1" outlineLevel="2">
      <c r="A1868" s="554"/>
      <c r="B1868" s="159"/>
      <c r="C1868" s="306" t="s">
        <v>564</v>
      </c>
      <c r="D1868" s="195"/>
      <c r="E1868" s="157"/>
      <c r="F1868" s="147">
        <v>112200</v>
      </c>
      <c r="G1868" s="157"/>
      <c r="H1868" s="192"/>
      <c r="I1868" s="150"/>
      <c r="J1868" s="147"/>
      <c r="K1868" s="157"/>
      <c r="L1868" s="147"/>
      <c r="M1868" s="154"/>
      <c r="N1868" s="149"/>
      <c r="O1868" s="206"/>
      <c r="P1868" s="150"/>
      <c r="Q1868" s="568"/>
    </row>
    <row r="1869" spans="1:17" ht="18.75" hidden="1" outlineLevel="2">
      <c r="A1869" s="554"/>
      <c r="B1869" s="159"/>
      <c r="C1869" s="306" t="s">
        <v>774</v>
      </c>
      <c r="D1869" s="195"/>
      <c r="E1869" s="157"/>
      <c r="F1869" s="147">
        <v>346680</v>
      </c>
      <c r="G1869" s="157"/>
      <c r="H1869" s="192"/>
      <c r="I1869" s="150"/>
      <c r="J1869" s="147"/>
      <c r="K1869" s="157"/>
      <c r="L1869" s="147"/>
      <c r="M1869" s="154"/>
      <c r="N1869" s="149"/>
      <c r="O1869" s="206"/>
      <c r="P1869" s="150"/>
      <c r="Q1869" s="568"/>
    </row>
    <row r="1870" spans="1:17" ht="18.75" hidden="1" outlineLevel="2">
      <c r="A1870" s="554"/>
      <c r="B1870" s="159"/>
      <c r="C1870" s="306" t="s">
        <v>563</v>
      </c>
      <c r="D1870" s="195"/>
      <c r="E1870" s="157"/>
      <c r="F1870" s="147">
        <v>321200</v>
      </c>
      <c r="G1870" s="157"/>
      <c r="H1870" s="192"/>
      <c r="I1870" s="150"/>
      <c r="J1870" s="147"/>
      <c r="K1870" s="157"/>
      <c r="L1870" s="147"/>
      <c r="M1870" s="154"/>
      <c r="N1870" s="149"/>
      <c r="O1870" s="206"/>
      <c r="P1870" s="150"/>
      <c r="Q1870" s="568"/>
    </row>
    <row r="1871" spans="1:17" ht="18.75" hidden="1" outlineLevel="2">
      <c r="A1871" s="554"/>
      <c r="B1871" s="159"/>
      <c r="C1871" s="306" t="s">
        <v>811</v>
      </c>
      <c r="D1871" s="195"/>
      <c r="E1871" s="157"/>
      <c r="F1871" s="147">
        <v>111600</v>
      </c>
      <c r="G1871" s="157"/>
      <c r="H1871" s="192"/>
      <c r="I1871" s="150"/>
      <c r="J1871" s="147"/>
      <c r="K1871" s="157"/>
      <c r="L1871" s="147"/>
      <c r="M1871" s="154"/>
      <c r="N1871" s="149"/>
      <c r="O1871" s="206"/>
      <c r="P1871" s="150"/>
      <c r="Q1871" s="568"/>
    </row>
    <row r="1872" spans="1:17" ht="18.75" hidden="1" outlineLevel="2">
      <c r="A1872" s="554"/>
      <c r="B1872" s="159"/>
      <c r="C1872" s="322" t="s">
        <v>812</v>
      </c>
      <c r="D1872" s="195"/>
      <c r="E1872" s="157"/>
      <c r="F1872" s="147">
        <v>79560</v>
      </c>
      <c r="G1872" s="157"/>
      <c r="H1872" s="192"/>
      <c r="I1872" s="150"/>
      <c r="J1872" s="147"/>
      <c r="K1872" s="157"/>
      <c r="L1872" s="147"/>
      <c r="M1872" s="154"/>
      <c r="N1872" s="149"/>
      <c r="O1872" s="206"/>
      <c r="P1872" s="150"/>
      <c r="Q1872" s="568"/>
    </row>
    <row r="1873" spans="1:17" ht="18.75" hidden="1" outlineLevel="1" collapsed="1">
      <c r="A1873" s="554"/>
      <c r="B1873" s="159"/>
      <c r="C1873" s="320" t="s">
        <v>814</v>
      </c>
      <c r="D1873" s="195"/>
      <c r="E1873" s="153"/>
      <c r="F1873" s="221">
        <f>CIP!$AO$72</f>
        <v>4321514.4704999998</v>
      </c>
      <c r="G1873" s="157"/>
      <c r="H1873" s="192"/>
      <c r="I1873" s="150">
        <f>SUM(D1873:H1873)</f>
        <v>4321514.4704999998</v>
      </c>
      <c r="J1873" s="147"/>
      <c r="K1873" s="157"/>
      <c r="L1873" s="147"/>
      <c r="M1873" s="154"/>
      <c r="N1873" s="149"/>
      <c r="O1873" s="206"/>
      <c r="P1873" s="150"/>
      <c r="Q1873" s="568"/>
    </row>
    <row r="1874" spans="1:17" ht="18.75" hidden="1" outlineLevel="2">
      <c r="A1874" s="554"/>
      <c r="B1874" s="159"/>
      <c r="C1874" s="305" t="s">
        <v>777</v>
      </c>
      <c r="D1874" s="160"/>
      <c r="E1874" s="157"/>
      <c r="F1874" s="221"/>
      <c r="G1874" s="157">
        <v>471600</v>
      </c>
      <c r="H1874" s="192"/>
      <c r="I1874" s="150"/>
      <c r="J1874" s="147"/>
      <c r="K1874" s="157"/>
      <c r="L1874" s="147"/>
      <c r="M1874" s="154"/>
      <c r="N1874" s="149"/>
      <c r="O1874" s="206"/>
      <c r="P1874" s="150"/>
      <c r="Q1874" s="568"/>
    </row>
    <row r="1875" spans="1:17" ht="18.75" hidden="1" outlineLevel="2">
      <c r="A1875" s="554"/>
      <c r="B1875" s="159"/>
      <c r="C1875" s="305" t="s">
        <v>775</v>
      </c>
      <c r="D1875" s="160"/>
      <c r="E1875" s="157"/>
      <c r="F1875" s="221"/>
      <c r="G1875" s="157">
        <v>240000</v>
      </c>
      <c r="H1875" s="192"/>
      <c r="I1875" s="150"/>
      <c r="J1875" s="147"/>
      <c r="K1875" s="157"/>
      <c r="L1875" s="147"/>
      <c r="M1875" s="154"/>
      <c r="N1875" s="149"/>
      <c r="O1875" s="206"/>
      <c r="P1875" s="150"/>
      <c r="Q1875" s="568"/>
    </row>
    <row r="1876" spans="1:17" ht="18.75" hidden="1" outlineLevel="2">
      <c r="A1876" s="554"/>
      <c r="B1876" s="159"/>
      <c r="C1876" s="305" t="s">
        <v>776</v>
      </c>
      <c r="D1876" s="160"/>
      <c r="E1876" s="157"/>
      <c r="F1876" s="221"/>
      <c r="G1876" s="157">
        <v>519000</v>
      </c>
      <c r="H1876" s="192"/>
      <c r="I1876" s="150"/>
      <c r="J1876" s="147"/>
      <c r="K1876" s="157"/>
      <c r="L1876" s="147"/>
      <c r="M1876" s="154"/>
      <c r="N1876" s="149"/>
      <c r="O1876" s="206"/>
      <c r="P1876" s="150"/>
      <c r="Q1876" s="568"/>
    </row>
    <row r="1877" spans="1:17" ht="18.75" hidden="1" outlineLevel="2">
      <c r="A1877" s="554"/>
      <c r="B1877" s="159"/>
      <c r="C1877" s="305" t="s">
        <v>567</v>
      </c>
      <c r="D1877" s="160"/>
      <c r="E1877" s="157"/>
      <c r="F1877" s="221"/>
      <c r="G1877" s="157">
        <v>81000</v>
      </c>
      <c r="H1877" s="192"/>
      <c r="I1877" s="150"/>
      <c r="J1877" s="147"/>
      <c r="K1877" s="157"/>
      <c r="L1877" s="147"/>
      <c r="M1877" s="154"/>
      <c r="N1877" s="149"/>
      <c r="O1877" s="206"/>
      <c r="P1877" s="150"/>
      <c r="Q1877" s="568"/>
    </row>
    <row r="1878" spans="1:17" ht="18.75" hidden="1" outlineLevel="2">
      <c r="A1878" s="554"/>
      <c r="B1878" s="159"/>
      <c r="C1878" s="304" t="s">
        <v>586</v>
      </c>
      <c r="D1878" s="160"/>
      <c r="E1878" s="157"/>
      <c r="F1878" s="157"/>
      <c r="G1878" s="157">
        <v>62400</v>
      </c>
      <c r="H1878" s="192"/>
      <c r="I1878" s="150"/>
      <c r="J1878" s="147"/>
      <c r="K1878" s="157"/>
      <c r="L1878" s="147"/>
      <c r="M1878" s="154"/>
      <c r="N1878" s="149"/>
      <c r="O1878" s="206"/>
      <c r="P1878" s="150"/>
      <c r="Q1878" s="568"/>
    </row>
    <row r="1879" spans="1:17" ht="18.75" hidden="1" outlineLevel="2">
      <c r="A1879" s="554"/>
      <c r="B1879" s="159"/>
      <c r="C1879" s="304" t="s">
        <v>555</v>
      </c>
      <c r="D1879" s="160"/>
      <c r="E1879" s="157"/>
      <c r="F1879" s="157"/>
      <c r="G1879" s="157">
        <v>702000</v>
      </c>
      <c r="H1879" s="192"/>
      <c r="I1879" s="150"/>
      <c r="J1879" s="147"/>
      <c r="K1879" s="157"/>
      <c r="L1879" s="147"/>
      <c r="M1879" s="154"/>
      <c r="N1879" s="149"/>
      <c r="O1879" s="206"/>
      <c r="P1879" s="150"/>
      <c r="Q1879" s="568"/>
    </row>
    <row r="1880" spans="1:17" ht="18.75" hidden="1" outlineLevel="2">
      <c r="A1880" s="554"/>
      <c r="B1880" s="159"/>
      <c r="C1880" s="304" t="s">
        <v>778</v>
      </c>
      <c r="D1880" s="160"/>
      <c r="E1880" s="157"/>
      <c r="F1880" s="157"/>
      <c r="G1880" s="157">
        <v>188800</v>
      </c>
      <c r="H1880" s="192"/>
      <c r="I1880" s="150"/>
      <c r="J1880" s="147"/>
      <c r="K1880" s="157"/>
      <c r="L1880" s="147"/>
      <c r="M1880" s="154"/>
      <c r="N1880" s="149"/>
      <c r="O1880" s="206"/>
      <c r="P1880" s="150"/>
      <c r="Q1880" s="568"/>
    </row>
    <row r="1881" spans="1:17" ht="18.75" hidden="1" outlineLevel="2">
      <c r="A1881" s="554"/>
      <c r="B1881" s="159"/>
      <c r="C1881" s="304" t="s">
        <v>779</v>
      </c>
      <c r="D1881" s="160"/>
      <c r="E1881" s="157"/>
      <c r="F1881" s="157"/>
      <c r="G1881" s="157">
        <v>183200</v>
      </c>
      <c r="H1881" s="192"/>
      <c r="I1881" s="150"/>
      <c r="J1881" s="147"/>
      <c r="K1881" s="157"/>
      <c r="L1881" s="147"/>
      <c r="M1881" s="154"/>
      <c r="N1881" s="149"/>
      <c r="O1881" s="206"/>
      <c r="P1881" s="150"/>
      <c r="Q1881" s="568"/>
    </row>
    <row r="1882" spans="1:17" ht="18.75" hidden="1" outlineLevel="2">
      <c r="A1882" s="554"/>
      <c r="B1882" s="159"/>
      <c r="C1882" s="157" t="s">
        <v>583</v>
      </c>
      <c r="D1882" s="160"/>
      <c r="E1882" s="157"/>
      <c r="F1882" s="157"/>
      <c r="G1882" s="157">
        <v>124020</v>
      </c>
      <c r="H1882" s="192"/>
      <c r="I1882" s="150"/>
      <c r="J1882" s="147"/>
      <c r="K1882" s="157"/>
      <c r="L1882" s="147"/>
      <c r="M1882" s="154"/>
      <c r="N1882" s="149"/>
      <c r="O1882" s="206"/>
      <c r="P1882" s="150"/>
      <c r="Q1882" s="568"/>
    </row>
    <row r="1883" spans="1:17" ht="18.75" hidden="1" outlineLevel="2">
      <c r="A1883" s="554"/>
      <c r="B1883" s="159"/>
      <c r="C1883" s="304" t="s">
        <v>780</v>
      </c>
      <c r="D1883" s="160"/>
      <c r="E1883" s="157"/>
      <c r="F1883" s="157"/>
      <c r="G1883" s="157">
        <v>238500</v>
      </c>
      <c r="H1883" s="192"/>
      <c r="I1883" s="150"/>
      <c r="J1883" s="147"/>
      <c r="K1883" s="157"/>
      <c r="L1883" s="147"/>
      <c r="M1883" s="154"/>
      <c r="N1883" s="149"/>
      <c r="O1883" s="206"/>
      <c r="P1883" s="150"/>
      <c r="Q1883" s="568"/>
    </row>
    <row r="1884" spans="1:17" ht="18.75" hidden="1" outlineLevel="2">
      <c r="A1884" s="554"/>
      <c r="B1884" s="159"/>
      <c r="C1884" s="304" t="s">
        <v>331</v>
      </c>
      <c r="D1884" s="160"/>
      <c r="E1884" s="157"/>
      <c r="F1884" s="157"/>
      <c r="G1884" s="157">
        <v>40000</v>
      </c>
      <c r="H1884" s="192"/>
      <c r="I1884" s="150"/>
      <c r="J1884" s="147"/>
      <c r="K1884" s="157"/>
      <c r="L1884" s="147"/>
      <c r="M1884" s="154"/>
      <c r="N1884" s="149"/>
      <c r="O1884" s="206"/>
      <c r="P1884" s="150"/>
      <c r="Q1884" s="568"/>
    </row>
    <row r="1885" spans="1:17" ht="18.75" hidden="1" outlineLevel="2">
      <c r="A1885" s="554"/>
      <c r="B1885" s="159"/>
      <c r="C1885" s="304" t="s">
        <v>781</v>
      </c>
      <c r="D1885" s="160"/>
      <c r="E1885" s="157"/>
      <c r="F1885" s="157"/>
      <c r="G1885" s="157">
        <v>20000</v>
      </c>
      <c r="H1885" s="192"/>
      <c r="I1885" s="150"/>
      <c r="J1885" s="147"/>
      <c r="K1885" s="157"/>
      <c r="L1885" s="147"/>
      <c r="M1885" s="154"/>
      <c r="N1885" s="149"/>
      <c r="O1885" s="206"/>
      <c r="P1885" s="150"/>
      <c r="Q1885" s="568"/>
    </row>
    <row r="1886" spans="1:17" ht="18.75" hidden="1" outlineLevel="2">
      <c r="A1886" s="554"/>
      <c r="B1886" s="159"/>
      <c r="C1886" s="304" t="s">
        <v>782</v>
      </c>
      <c r="D1886" s="160"/>
      <c r="E1886" s="157"/>
      <c r="F1886" s="157"/>
      <c r="G1886" s="157">
        <v>74400</v>
      </c>
      <c r="H1886" s="192"/>
      <c r="I1886" s="150"/>
      <c r="J1886" s="147"/>
      <c r="K1886" s="157"/>
      <c r="L1886" s="147"/>
      <c r="M1886" s="154"/>
      <c r="N1886" s="149"/>
      <c r="O1886" s="206"/>
      <c r="P1886" s="150"/>
      <c r="Q1886" s="568"/>
    </row>
    <row r="1887" spans="1:17" ht="18.75" hidden="1" outlineLevel="2">
      <c r="A1887" s="554"/>
      <c r="B1887" s="159"/>
      <c r="C1887" s="304" t="s">
        <v>783</v>
      </c>
      <c r="D1887" s="160"/>
      <c r="E1887" s="157"/>
      <c r="F1887" s="157"/>
      <c r="G1887" s="157">
        <v>194400</v>
      </c>
      <c r="H1887" s="192"/>
      <c r="I1887" s="150"/>
      <c r="J1887" s="147"/>
      <c r="K1887" s="157"/>
      <c r="L1887" s="147"/>
      <c r="M1887" s="154"/>
      <c r="N1887" s="149"/>
      <c r="O1887" s="206"/>
      <c r="P1887" s="150"/>
      <c r="Q1887" s="568"/>
    </row>
    <row r="1888" spans="1:17" ht="18.75" hidden="1" outlineLevel="2">
      <c r="A1888" s="554"/>
      <c r="B1888" s="159"/>
      <c r="C1888" s="304" t="s">
        <v>784</v>
      </c>
      <c r="D1888" s="160"/>
      <c r="E1888" s="157"/>
      <c r="F1888" s="157"/>
      <c r="G1888" s="157">
        <v>141200</v>
      </c>
      <c r="H1888" s="192"/>
      <c r="I1888" s="150"/>
      <c r="J1888" s="147"/>
      <c r="K1888" s="157"/>
      <c r="L1888" s="147"/>
      <c r="M1888" s="154"/>
      <c r="N1888" s="149"/>
      <c r="O1888" s="206"/>
      <c r="P1888" s="150"/>
      <c r="Q1888" s="568"/>
    </row>
    <row r="1889" spans="1:17" ht="18.75" hidden="1" outlineLevel="2">
      <c r="A1889" s="554"/>
      <c r="B1889" s="159"/>
      <c r="C1889" s="304" t="s">
        <v>785</v>
      </c>
      <c r="D1889" s="160"/>
      <c r="E1889" s="157"/>
      <c r="F1889" s="157"/>
      <c r="G1889" s="157">
        <v>119880</v>
      </c>
      <c r="H1889" s="192"/>
      <c r="I1889" s="150"/>
      <c r="J1889" s="147"/>
      <c r="K1889" s="157"/>
      <c r="L1889" s="147"/>
      <c r="M1889" s="154"/>
      <c r="N1889" s="149"/>
      <c r="O1889" s="206"/>
      <c r="P1889" s="150"/>
      <c r="Q1889" s="568"/>
    </row>
    <row r="1890" spans="1:17" ht="18.75" hidden="1" outlineLevel="2">
      <c r="A1890" s="554"/>
      <c r="B1890" s="159"/>
      <c r="C1890" s="304" t="s">
        <v>332</v>
      </c>
      <c r="D1890" s="160"/>
      <c r="E1890" s="157"/>
      <c r="F1890" s="157"/>
      <c r="G1890" s="157">
        <v>39000</v>
      </c>
      <c r="H1890" s="192"/>
      <c r="I1890" s="150"/>
      <c r="J1890" s="147"/>
      <c r="K1890" s="157"/>
      <c r="L1890" s="147"/>
      <c r="M1890" s="154"/>
      <c r="N1890" s="149"/>
      <c r="O1890" s="206"/>
      <c r="P1890" s="150"/>
      <c r="Q1890" s="568"/>
    </row>
    <row r="1891" spans="1:17" ht="18.75" hidden="1" outlineLevel="2">
      <c r="A1891" s="554"/>
      <c r="B1891" s="159"/>
      <c r="C1891" s="304" t="s">
        <v>786</v>
      </c>
      <c r="D1891" s="160"/>
      <c r="E1891" s="157"/>
      <c r="F1891" s="157"/>
      <c r="G1891" s="157">
        <v>150400</v>
      </c>
      <c r="H1891" s="192"/>
      <c r="I1891" s="150"/>
      <c r="J1891" s="147"/>
      <c r="K1891" s="157"/>
      <c r="L1891" s="147"/>
      <c r="M1891" s="154"/>
      <c r="N1891" s="149"/>
      <c r="O1891" s="206"/>
      <c r="P1891" s="150"/>
      <c r="Q1891" s="568"/>
    </row>
    <row r="1892" spans="1:17" ht="18.75" hidden="1" outlineLevel="2">
      <c r="A1892" s="554"/>
      <c r="B1892" s="159"/>
      <c r="C1892" s="304" t="s">
        <v>787</v>
      </c>
      <c r="D1892" s="160"/>
      <c r="E1892" s="157"/>
      <c r="F1892" s="157"/>
      <c r="G1892" s="157">
        <v>110000</v>
      </c>
      <c r="H1892" s="192"/>
      <c r="I1892" s="150"/>
      <c r="J1892" s="147"/>
      <c r="K1892" s="157"/>
      <c r="L1892" s="147"/>
      <c r="M1892" s="154"/>
      <c r="N1892" s="149"/>
      <c r="O1892" s="206"/>
      <c r="P1892" s="150"/>
      <c r="Q1892" s="568"/>
    </row>
    <row r="1893" spans="1:17" ht="18.75" hidden="1" outlineLevel="2">
      <c r="A1893" s="554"/>
      <c r="B1893" s="159"/>
      <c r="C1893" s="304" t="s">
        <v>576</v>
      </c>
      <c r="D1893" s="160"/>
      <c r="E1893" s="157"/>
      <c r="F1893" s="157"/>
      <c r="G1893" s="157">
        <v>134400</v>
      </c>
      <c r="H1893" s="192"/>
      <c r="I1893" s="150"/>
      <c r="J1893" s="147"/>
      <c r="K1893" s="157"/>
      <c r="L1893" s="147"/>
      <c r="M1893" s="154"/>
      <c r="N1893" s="149"/>
      <c r="O1893" s="206"/>
      <c r="P1893" s="150"/>
      <c r="Q1893" s="568"/>
    </row>
    <row r="1894" spans="1:17" ht="18.75" hidden="1" outlineLevel="2">
      <c r="A1894" s="554"/>
      <c r="B1894" s="159"/>
      <c r="C1894" s="304" t="s">
        <v>333</v>
      </c>
      <c r="D1894" s="160"/>
      <c r="E1894" s="157"/>
      <c r="F1894" s="157"/>
      <c r="G1894" s="157">
        <v>184000</v>
      </c>
      <c r="H1894" s="192"/>
      <c r="I1894" s="150"/>
      <c r="J1894" s="147"/>
      <c r="K1894" s="157"/>
      <c r="L1894" s="147"/>
      <c r="M1894" s="154"/>
      <c r="N1894" s="149"/>
      <c r="O1894" s="206"/>
      <c r="P1894" s="150"/>
      <c r="Q1894" s="568"/>
    </row>
    <row r="1895" spans="1:17" ht="18.75" hidden="1" outlineLevel="1" collapsed="1">
      <c r="A1895" s="554"/>
      <c r="B1895" s="159"/>
      <c r="C1895" s="320" t="s">
        <v>815</v>
      </c>
      <c r="D1895" s="160"/>
      <c r="E1895" s="157"/>
      <c r="F1895" s="157"/>
      <c r="G1895" s="221">
        <f>CIP!$AP$103</f>
        <v>4455050.165324999</v>
      </c>
      <c r="H1895" s="192"/>
      <c r="I1895" s="150">
        <f t="shared" ref="I1895:I1915" si="148">SUM(D1895:H1895)</f>
        <v>4455050.165324999</v>
      </c>
      <c r="J1895" s="147"/>
      <c r="K1895" s="157"/>
      <c r="L1895" s="147"/>
      <c r="M1895" s="154"/>
      <c r="N1895" s="149"/>
      <c r="O1895" s="206"/>
      <c r="P1895" s="150"/>
      <c r="Q1895" s="568"/>
    </row>
    <row r="1896" spans="1:17" ht="18.75" hidden="1" outlineLevel="2">
      <c r="A1896" s="554"/>
      <c r="B1896" s="159"/>
      <c r="C1896" s="304" t="s">
        <v>788</v>
      </c>
      <c r="D1896" s="160"/>
      <c r="E1896" s="157"/>
      <c r="F1896" s="157"/>
      <c r="G1896" s="221"/>
      <c r="H1896" s="192">
        <v>133600</v>
      </c>
      <c r="I1896" s="150"/>
      <c r="J1896" s="147"/>
      <c r="K1896" s="157"/>
      <c r="L1896" s="147"/>
      <c r="M1896" s="154"/>
      <c r="N1896" s="149"/>
      <c r="O1896" s="206"/>
      <c r="P1896" s="150"/>
      <c r="Q1896" s="568"/>
    </row>
    <row r="1897" spans="1:17" ht="18.75" hidden="1" outlineLevel="2">
      <c r="A1897" s="554"/>
      <c r="B1897" s="159"/>
      <c r="C1897" s="304" t="s">
        <v>789</v>
      </c>
      <c r="D1897" s="160"/>
      <c r="E1897" s="157"/>
      <c r="F1897" s="157"/>
      <c r="G1897" s="221"/>
      <c r="H1897" s="192">
        <v>55200</v>
      </c>
      <c r="I1897" s="150"/>
      <c r="J1897" s="147"/>
      <c r="K1897" s="157"/>
      <c r="L1897" s="147"/>
      <c r="M1897" s="154"/>
      <c r="N1897" s="149"/>
      <c r="O1897" s="206"/>
      <c r="P1897" s="150"/>
      <c r="Q1897" s="568"/>
    </row>
    <row r="1898" spans="1:17" ht="18.75" hidden="1" outlineLevel="2">
      <c r="A1898" s="554"/>
      <c r="B1898" s="159"/>
      <c r="C1898" s="304" t="s">
        <v>566</v>
      </c>
      <c r="D1898" s="160"/>
      <c r="E1898" s="157"/>
      <c r="F1898" s="157"/>
      <c r="G1898" s="221"/>
      <c r="H1898" s="192">
        <v>228600</v>
      </c>
      <c r="I1898" s="150"/>
      <c r="J1898" s="147"/>
      <c r="K1898" s="157"/>
      <c r="L1898" s="147"/>
      <c r="M1898" s="154"/>
      <c r="N1898" s="149"/>
      <c r="O1898" s="206"/>
      <c r="P1898" s="150"/>
      <c r="Q1898" s="568"/>
    </row>
    <row r="1899" spans="1:17" ht="18.75" hidden="1" outlineLevel="2">
      <c r="A1899" s="554"/>
      <c r="B1899" s="159"/>
      <c r="C1899" s="304" t="s">
        <v>790</v>
      </c>
      <c r="D1899" s="160"/>
      <c r="E1899" s="157"/>
      <c r="F1899" s="157"/>
      <c r="G1899" s="221"/>
      <c r="H1899" s="192">
        <v>57600</v>
      </c>
      <c r="I1899" s="150"/>
      <c r="J1899" s="147"/>
      <c r="K1899" s="157"/>
      <c r="L1899" s="147"/>
      <c r="M1899" s="154"/>
      <c r="N1899" s="149"/>
      <c r="O1899" s="206"/>
      <c r="P1899" s="150"/>
      <c r="Q1899" s="568"/>
    </row>
    <row r="1900" spans="1:17" ht="18.75" hidden="1" outlineLevel="2">
      <c r="A1900" s="554"/>
      <c r="B1900" s="159"/>
      <c r="C1900" s="304" t="s">
        <v>579</v>
      </c>
      <c r="D1900" s="160"/>
      <c r="E1900" s="157"/>
      <c r="F1900" s="157"/>
      <c r="G1900" s="221"/>
      <c r="H1900" s="192">
        <v>830000</v>
      </c>
      <c r="I1900" s="150"/>
      <c r="J1900" s="147"/>
      <c r="K1900" s="157"/>
      <c r="L1900" s="147"/>
      <c r="M1900" s="154"/>
      <c r="N1900" s="149"/>
      <c r="O1900" s="206"/>
      <c r="P1900" s="150"/>
      <c r="Q1900" s="568"/>
    </row>
    <row r="1901" spans="1:17" ht="18.75" hidden="1" outlineLevel="2">
      <c r="A1901" s="554"/>
      <c r="B1901" s="159"/>
      <c r="C1901" s="304" t="s">
        <v>334</v>
      </c>
      <c r="D1901" s="160"/>
      <c r="E1901" s="157"/>
      <c r="F1901" s="157"/>
      <c r="G1901" s="157"/>
      <c r="H1901" s="192">
        <v>160400</v>
      </c>
      <c r="I1901" s="150"/>
      <c r="J1901" s="147"/>
      <c r="K1901" s="157"/>
      <c r="L1901" s="147"/>
      <c r="M1901" s="154"/>
      <c r="N1901" s="149"/>
      <c r="O1901" s="206"/>
      <c r="P1901" s="150"/>
      <c r="Q1901" s="568"/>
    </row>
    <row r="1902" spans="1:17" ht="18.75" hidden="1" outlineLevel="2">
      <c r="A1902" s="554"/>
      <c r="B1902" s="159"/>
      <c r="C1902" s="304" t="s">
        <v>791</v>
      </c>
      <c r="D1902" s="160"/>
      <c r="E1902" s="157"/>
      <c r="F1902" s="157"/>
      <c r="G1902" s="157"/>
      <c r="H1902" s="192">
        <v>191200</v>
      </c>
      <c r="I1902" s="150"/>
      <c r="J1902" s="147"/>
      <c r="K1902" s="157"/>
      <c r="L1902" s="147"/>
      <c r="M1902" s="154"/>
      <c r="N1902" s="149"/>
      <c r="O1902" s="206"/>
      <c r="P1902" s="150"/>
      <c r="Q1902" s="568"/>
    </row>
    <row r="1903" spans="1:17" ht="18.75" hidden="1" outlineLevel="2">
      <c r="A1903" s="554"/>
      <c r="B1903" s="159"/>
      <c r="C1903" s="304" t="s">
        <v>792</v>
      </c>
      <c r="D1903" s="160"/>
      <c r="E1903" s="157"/>
      <c r="F1903" s="157"/>
      <c r="G1903" s="157"/>
      <c r="H1903" s="192">
        <v>128400</v>
      </c>
      <c r="I1903" s="150"/>
      <c r="J1903" s="147"/>
      <c r="K1903" s="157"/>
      <c r="L1903" s="147"/>
      <c r="M1903" s="154"/>
      <c r="N1903" s="149"/>
      <c r="O1903" s="206"/>
      <c r="P1903" s="150"/>
      <c r="Q1903" s="568"/>
    </row>
    <row r="1904" spans="1:17" ht="18.75" hidden="1" outlineLevel="2">
      <c r="A1904" s="554"/>
      <c r="B1904" s="159"/>
      <c r="C1904" s="304" t="s">
        <v>574</v>
      </c>
      <c r="D1904" s="160"/>
      <c r="E1904" s="157"/>
      <c r="F1904" s="157"/>
      <c r="G1904" s="157"/>
      <c r="H1904" s="192">
        <v>240800</v>
      </c>
      <c r="I1904" s="150"/>
      <c r="J1904" s="147"/>
      <c r="K1904" s="157"/>
      <c r="L1904" s="147"/>
      <c r="M1904" s="154"/>
      <c r="N1904" s="149"/>
      <c r="O1904" s="206"/>
      <c r="P1904" s="150"/>
      <c r="Q1904" s="568"/>
    </row>
    <row r="1905" spans="1:17" ht="18.75" hidden="1" outlineLevel="2">
      <c r="A1905" s="554"/>
      <c r="B1905" s="159"/>
      <c r="C1905" s="304" t="s">
        <v>793</v>
      </c>
      <c r="D1905" s="160"/>
      <c r="E1905" s="157"/>
      <c r="F1905" s="157"/>
      <c r="G1905" s="157"/>
      <c r="H1905" s="192">
        <v>321200</v>
      </c>
      <c r="I1905" s="150"/>
      <c r="J1905" s="147"/>
      <c r="K1905" s="157"/>
      <c r="L1905" s="147"/>
      <c r="M1905" s="154"/>
      <c r="N1905" s="149"/>
      <c r="O1905" s="206"/>
      <c r="P1905" s="150"/>
      <c r="Q1905" s="568"/>
    </row>
    <row r="1906" spans="1:17" ht="18.75" hidden="1" outlineLevel="2">
      <c r="A1906" s="554"/>
      <c r="B1906" s="159"/>
      <c r="C1906" s="304" t="s">
        <v>794</v>
      </c>
      <c r="D1906" s="160"/>
      <c r="E1906" s="157"/>
      <c r="F1906" s="157"/>
      <c r="G1906" s="157"/>
      <c r="H1906" s="192">
        <v>196000</v>
      </c>
      <c r="I1906" s="150"/>
      <c r="J1906" s="147"/>
      <c r="K1906" s="157"/>
      <c r="L1906" s="147"/>
      <c r="M1906" s="154"/>
      <c r="N1906" s="149"/>
      <c r="O1906" s="206"/>
      <c r="P1906" s="150"/>
      <c r="Q1906" s="568"/>
    </row>
    <row r="1907" spans="1:17" ht="18.75" hidden="1" outlineLevel="2">
      <c r="A1907" s="554"/>
      <c r="B1907" s="159"/>
      <c r="C1907" s="304" t="s">
        <v>795</v>
      </c>
      <c r="D1907" s="160"/>
      <c r="E1907" s="157"/>
      <c r="F1907" s="157"/>
      <c r="G1907" s="157"/>
      <c r="H1907" s="192">
        <v>210000</v>
      </c>
      <c r="I1907" s="150"/>
      <c r="J1907" s="147"/>
      <c r="K1907" s="157"/>
      <c r="L1907" s="147"/>
      <c r="M1907" s="154"/>
      <c r="N1907" s="149"/>
      <c r="O1907" s="206"/>
      <c r="P1907" s="150"/>
      <c r="Q1907" s="568"/>
    </row>
    <row r="1908" spans="1:17" ht="18.75" hidden="1" outlineLevel="2">
      <c r="A1908" s="554"/>
      <c r="B1908" s="159"/>
      <c r="C1908" s="304" t="s">
        <v>540</v>
      </c>
      <c r="D1908" s="160"/>
      <c r="E1908" s="157"/>
      <c r="F1908" s="157"/>
      <c r="G1908" s="157"/>
      <c r="H1908" s="192">
        <v>226800</v>
      </c>
      <c r="I1908" s="150"/>
      <c r="J1908" s="147"/>
      <c r="K1908" s="157"/>
      <c r="L1908" s="147"/>
      <c r="M1908" s="154"/>
      <c r="N1908" s="149"/>
      <c r="O1908" s="206"/>
      <c r="P1908" s="150"/>
      <c r="Q1908" s="568"/>
    </row>
    <row r="1909" spans="1:17" ht="18.75" hidden="1" outlineLevel="2">
      <c r="A1909" s="554"/>
      <c r="B1909" s="159"/>
      <c r="C1909" s="304" t="s">
        <v>796</v>
      </c>
      <c r="D1909" s="160"/>
      <c r="E1909" s="157"/>
      <c r="F1909" s="157"/>
      <c r="G1909" s="157"/>
      <c r="H1909" s="192">
        <v>304200</v>
      </c>
      <c r="I1909" s="150"/>
      <c r="J1909" s="147"/>
      <c r="K1909" s="157"/>
      <c r="L1909" s="147"/>
      <c r="M1909" s="154"/>
      <c r="N1909" s="149"/>
      <c r="O1909" s="206"/>
      <c r="P1909" s="150"/>
      <c r="Q1909" s="568"/>
    </row>
    <row r="1910" spans="1:17" ht="18.75" hidden="1" outlineLevel="2">
      <c r="A1910" s="554"/>
      <c r="B1910" s="159"/>
      <c r="C1910" s="304" t="s">
        <v>797</v>
      </c>
      <c r="D1910" s="160"/>
      <c r="E1910" s="157"/>
      <c r="F1910" s="157"/>
      <c r="G1910" s="157"/>
      <c r="H1910" s="192">
        <v>27600</v>
      </c>
      <c r="I1910" s="150"/>
      <c r="J1910" s="147"/>
      <c r="K1910" s="157"/>
      <c r="L1910" s="147"/>
      <c r="M1910" s="154"/>
      <c r="N1910" s="149"/>
      <c r="O1910" s="206"/>
      <c r="P1910" s="150"/>
      <c r="Q1910" s="568"/>
    </row>
    <row r="1911" spans="1:17" ht="18.75" hidden="1" outlineLevel="2">
      <c r="A1911" s="554"/>
      <c r="B1911" s="159"/>
      <c r="C1911" s="304" t="s">
        <v>798</v>
      </c>
      <c r="D1911" s="160"/>
      <c r="E1911" s="157"/>
      <c r="F1911" s="157"/>
      <c r="G1911" s="157"/>
      <c r="H1911" s="192">
        <v>240800</v>
      </c>
      <c r="I1911" s="150"/>
      <c r="J1911" s="147"/>
      <c r="K1911" s="157"/>
      <c r="L1911" s="147"/>
      <c r="M1911" s="154"/>
      <c r="N1911" s="149"/>
      <c r="O1911" s="206"/>
      <c r="P1911" s="150"/>
      <c r="Q1911" s="568"/>
    </row>
    <row r="1912" spans="1:17" ht="18.75" hidden="1" outlineLevel="2">
      <c r="A1912" s="554"/>
      <c r="B1912" s="159"/>
      <c r="C1912" s="304" t="s">
        <v>799</v>
      </c>
      <c r="D1912" s="160"/>
      <c r="E1912" s="157"/>
      <c r="F1912" s="157"/>
      <c r="G1912" s="157"/>
      <c r="H1912" s="192">
        <v>111600</v>
      </c>
      <c r="I1912" s="150"/>
      <c r="J1912" s="147"/>
      <c r="K1912" s="157"/>
      <c r="L1912" s="147"/>
      <c r="M1912" s="154"/>
      <c r="N1912" s="149"/>
      <c r="O1912" s="206"/>
      <c r="P1912" s="150"/>
      <c r="Q1912" s="568"/>
    </row>
    <row r="1913" spans="1:17" ht="18.75" hidden="1" outlineLevel="2">
      <c r="A1913" s="554"/>
      <c r="B1913" s="159"/>
      <c r="C1913" s="304" t="s">
        <v>800</v>
      </c>
      <c r="D1913" s="160"/>
      <c r="E1913" s="157"/>
      <c r="F1913" s="157"/>
      <c r="G1913" s="157"/>
      <c r="H1913" s="192">
        <v>119600</v>
      </c>
      <c r="I1913" s="150"/>
      <c r="J1913" s="147"/>
      <c r="K1913" s="157"/>
      <c r="L1913" s="147"/>
      <c r="M1913" s="154"/>
      <c r="N1913" s="149"/>
      <c r="O1913" s="206"/>
      <c r="P1913" s="150"/>
      <c r="Q1913" s="568"/>
    </row>
    <row r="1914" spans="1:17" ht="18.75" hidden="1" outlineLevel="2">
      <c r="A1914" s="554"/>
      <c r="B1914" s="159"/>
      <c r="C1914" s="304" t="s">
        <v>801</v>
      </c>
      <c r="D1914" s="160"/>
      <c r="E1914" s="157"/>
      <c r="F1914" s="157"/>
      <c r="G1914" s="157"/>
      <c r="H1914" s="192">
        <v>291000</v>
      </c>
      <c r="I1914" s="150"/>
      <c r="J1914" s="147"/>
      <c r="K1914" s="157"/>
      <c r="L1914" s="147"/>
      <c r="M1914" s="154"/>
      <c r="N1914" s="149"/>
      <c r="O1914" s="206"/>
      <c r="P1914" s="150"/>
      <c r="Q1914" s="568"/>
    </row>
    <row r="1915" spans="1:17" ht="18.75" hidden="1" outlineLevel="1" collapsed="1">
      <c r="A1915" s="554"/>
      <c r="B1915" s="159"/>
      <c r="C1915" s="320" t="s">
        <v>816</v>
      </c>
      <c r="D1915" s="160"/>
      <c r="E1915" s="157"/>
      <c r="F1915" s="157"/>
      <c r="G1915" s="157"/>
      <c r="H1915" s="307">
        <f>CIP!$AQ$135</f>
        <v>4675697.2183466237</v>
      </c>
      <c r="I1915" s="150">
        <f t="shared" si="148"/>
        <v>4675697.2183466237</v>
      </c>
      <c r="J1915" s="147"/>
      <c r="K1915" s="157"/>
      <c r="L1915" s="147"/>
      <c r="M1915" s="154"/>
      <c r="N1915" s="149"/>
      <c r="O1915" s="206"/>
      <c r="P1915" s="150"/>
      <c r="Q1915" s="568"/>
    </row>
    <row r="1916" spans="1:17" ht="16.5" customHeight="1" collapsed="1">
      <c r="A1916" s="554"/>
      <c r="B1916" s="250"/>
      <c r="C1916" s="181" t="s">
        <v>618</v>
      </c>
      <c r="D1916" s="220">
        <f>SUM(D1847,D1860)</f>
        <v>4015000</v>
      </c>
      <c r="E1916" s="217">
        <f>SUM(E1856)</f>
        <v>4356315</v>
      </c>
      <c r="F1916" s="217">
        <f>SUM(F1873)</f>
        <v>4321514.4704999998</v>
      </c>
      <c r="G1916" s="217">
        <f>SUM(G1895)</f>
        <v>4455050.165324999</v>
      </c>
      <c r="H1916" s="226">
        <f>SUM(H1915)</f>
        <v>4675697.2183466237</v>
      </c>
      <c r="I1916" s="150">
        <f>SUM(D1916:H1916)</f>
        <v>21823576.854171626</v>
      </c>
      <c r="J1916" s="147">
        <v>20301000</v>
      </c>
      <c r="K1916" s="217">
        <f>J1916*1.23</f>
        <v>24970230</v>
      </c>
      <c r="L1916" s="147">
        <v>20301000</v>
      </c>
      <c r="M1916" s="219">
        <f>L1916*1.46</f>
        <v>29639460</v>
      </c>
      <c r="N1916" s="231">
        <v>20301000</v>
      </c>
      <c r="O1916" s="226">
        <f>N1916*1.73</f>
        <v>35120730</v>
      </c>
      <c r="P1916" s="150">
        <f t="shared" ref="P1916:P1920" si="149">SUM(I1916,K1916,M1916,O1916)</f>
        <v>111553996.85417163</v>
      </c>
      <c r="Q1916" s="568" t="s">
        <v>390</v>
      </c>
    </row>
    <row r="1917" spans="1:17" ht="15.75" hidden="1" outlineLevel="1">
      <c r="A1917" s="275" t="s">
        <v>619</v>
      </c>
      <c r="B1917" s="152"/>
      <c r="C1917" s="271"/>
      <c r="D1917" s="160"/>
      <c r="E1917" s="153"/>
      <c r="F1917" s="153"/>
      <c r="G1917" s="153"/>
      <c r="H1917" s="206"/>
      <c r="I1917" s="150"/>
      <c r="J1917" s="147"/>
      <c r="K1917" s="221"/>
      <c r="L1917" s="147"/>
      <c r="M1917" s="219"/>
      <c r="N1917" s="149"/>
      <c r="O1917" s="226"/>
      <c r="P1917" s="150"/>
      <c r="Q1917" s="568"/>
    </row>
    <row r="1918" spans="1:17" ht="18.75" hidden="1" outlineLevel="1">
      <c r="A1918" s="554"/>
      <c r="B1918" s="159"/>
      <c r="C1918" s="426" t="s">
        <v>620</v>
      </c>
      <c r="D1918" s="160"/>
      <c r="E1918" s="153"/>
      <c r="F1918" s="153"/>
      <c r="G1918" s="153"/>
      <c r="H1918" s="206"/>
      <c r="I1918" s="150"/>
      <c r="J1918" s="147"/>
      <c r="K1918" s="221"/>
      <c r="L1918" s="147">
        <v>100000</v>
      </c>
      <c r="M1918" s="219">
        <f>L1918*1.46</f>
        <v>146000</v>
      </c>
      <c r="N1918" s="149"/>
      <c r="O1918" s="226"/>
      <c r="P1918" s="150">
        <f t="shared" si="149"/>
        <v>146000</v>
      </c>
      <c r="Q1918" s="568" t="s">
        <v>1330</v>
      </c>
    </row>
    <row r="1919" spans="1:17" ht="18.75" hidden="1" outlineLevel="1">
      <c r="A1919" s="554"/>
      <c r="B1919" s="159"/>
      <c r="C1919" s="426" t="s">
        <v>621</v>
      </c>
      <c r="D1919" s="160"/>
      <c r="E1919" s="153">
        <f>CIP!$AN$66</f>
        <v>103499.99999999999</v>
      </c>
      <c r="F1919" s="153"/>
      <c r="G1919" s="153"/>
      <c r="H1919" s="206"/>
      <c r="I1919" s="150">
        <f>SUM(D1919:H1919)</f>
        <v>103499.99999999999</v>
      </c>
      <c r="J1919" s="147"/>
      <c r="K1919" s="221"/>
      <c r="L1919" s="147"/>
      <c r="M1919" s="219"/>
      <c r="N1919" s="149">
        <v>100000</v>
      </c>
      <c r="O1919" s="226">
        <f>N1919*1.73</f>
        <v>173000</v>
      </c>
      <c r="P1919" s="150">
        <f t="shared" si="149"/>
        <v>276500</v>
      </c>
      <c r="Q1919" s="568" t="s">
        <v>1331</v>
      </c>
    </row>
    <row r="1920" spans="1:17" ht="18.75" hidden="1" outlineLevel="1">
      <c r="A1920" s="554"/>
      <c r="B1920" s="159"/>
      <c r="C1920" s="426" t="s">
        <v>622</v>
      </c>
      <c r="D1920" s="160"/>
      <c r="E1920" s="153"/>
      <c r="F1920" s="153"/>
      <c r="G1920" s="153"/>
      <c r="H1920" s="206"/>
      <c r="I1920" s="150"/>
      <c r="J1920" s="147">
        <v>100000</v>
      </c>
      <c r="K1920" s="221">
        <f>J1920*1.23</f>
        <v>123000</v>
      </c>
      <c r="L1920" s="147"/>
      <c r="M1920" s="219"/>
      <c r="N1920" s="149"/>
      <c r="O1920" s="226"/>
      <c r="P1920" s="150">
        <f t="shared" si="149"/>
        <v>123000</v>
      </c>
      <c r="Q1920" s="568" t="s">
        <v>1330</v>
      </c>
    </row>
    <row r="1921" spans="1:17" ht="16.5" customHeight="1" collapsed="1">
      <c r="A1921" s="554"/>
      <c r="B1921" s="250"/>
      <c r="C1921" s="181" t="s">
        <v>623</v>
      </c>
      <c r="D1921" s="220"/>
      <c r="E1921" s="222">
        <f>SUM(E1918:E1920)</f>
        <v>103499.99999999999</v>
      </c>
      <c r="F1921" s="222"/>
      <c r="G1921" s="217"/>
      <c r="H1921" s="226"/>
      <c r="I1921" s="150">
        <f>SUM(I1918:I1920)</f>
        <v>103499.99999999999</v>
      </c>
      <c r="J1921" s="147">
        <f>SUM(J1918:J1920)</f>
        <v>100000</v>
      </c>
      <c r="K1921" s="217">
        <f>J1921*1.23</f>
        <v>123000</v>
      </c>
      <c r="L1921" s="147">
        <f>SUM(L1918:L1920)</f>
        <v>100000</v>
      </c>
      <c r="M1921" s="219">
        <f>L1921*1.46</f>
        <v>146000</v>
      </c>
      <c r="N1921" s="149">
        <f>SUM(N1918:N1920)</f>
        <v>100000</v>
      </c>
      <c r="O1921" s="226">
        <f>N1921*1.73</f>
        <v>173000</v>
      </c>
      <c r="P1921" s="150">
        <f t="shared" ref="P1921:P1926" si="150">SUM(I1921,K1921,M1921,O1921)</f>
        <v>545500</v>
      </c>
      <c r="Q1921" s="568"/>
    </row>
    <row r="1922" spans="1:17" ht="15.75" hidden="1" outlineLevel="1">
      <c r="A1922" s="275" t="s">
        <v>624</v>
      </c>
      <c r="B1922" s="152"/>
      <c r="C1922" s="271"/>
      <c r="D1922" s="160"/>
      <c r="E1922" s="202"/>
      <c r="F1922" s="202"/>
      <c r="G1922" s="153"/>
      <c r="H1922" s="206"/>
      <c r="I1922" s="150"/>
      <c r="J1922" s="147"/>
      <c r="K1922" s="217"/>
      <c r="L1922" s="147"/>
      <c r="M1922" s="219"/>
      <c r="N1922" s="149"/>
      <c r="O1922" s="226"/>
      <c r="P1922" s="150"/>
      <c r="Q1922" s="568"/>
    </row>
    <row r="1923" spans="1:17" ht="18.75" hidden="1" outlineLevel="1">
      <c r="A1923" s="554"/>
      <c r="B1923" s="152"/>
      <c r="C1923" s="142" t="s">
        <v>625</v>
      </c>
      <c r="D1923" s="160"/>
      <c r="E1923" s="202"/>
      <c r="F1923" s="202"/>
      <c r="G1923" s="153"/>
      <c r="H1923" s="201">
        <v>344257</v>
      </c>
      <c r="I1923" s="150">
        <f>SUM(D1923:H1923)</f>
        <v>344257</v>
      </c>
      <c r="J1923" s="147"/>
      <c r="K1923" s="217"/>
      <c r="L1923" s="147"/>
      <c r="M1923" s="219"/>
      <c r="N1923" s="149"/>
      <c r="O1923" s="226"/>
      <c r="P1923" s="150">
        <f t="shared" si="150"/>
        <v>344257</v>
      </c>
      <c r="Q1923" s="568" t="s">
        <v>1332</v>
      </c>
    </row>
    <row r="1924" spans="1:17" ht="18.75" hidden="1" outlineLevel="1">
      <c r="A1924" s="554"/>
      <c r="B1924" s="159"/>
      <c r="C1924" s="142" t="s">
        <v>626</v>
      </c>
      <c r="D1924" s="160"/>
      <c r="E1924" s="202"/>
      <c r="F1924" s="202"/>
      <c r="G1924" s="153"/>
      <c r="H1924" s="201">
        <v>344257</v>
      </c>
      <c r="I1924" s="150">
        <f>SUM(D1924:H1924)</f>
        <v>344257</v>
      </c>
      <c r="J1924" s="147"/>
      <c r="K1924" s="217"/>
      <c r="L1924" s="147"/>
      <c r="M1924" s="219"/>
      <c r="N1924" s="149"/>
      <c r="O1924" s="226"/>
      <c r="P1924" s="150">
        <f t="shared" si="150"/>
        <v>344257</v>
      </c>
      <c r="Q1924" s="568" t="s">
        <v>1332</v>
      </c>
    </row>
    <row r="1925" spans="1:17" ht="18.75" hidden="1" outlineLevel="1">
      <c r="A1925" s="554"/>
      <c r="B1925" s="159"/>
      <c r="C1925" s="142" t="s">
        <v>627</v>
      </c>
      <c r="D1925" s="160"/>
      <c r="E1925" s="202"/>
      <c r="F1925" s="202"/>
      <c r="G1925" s="153"/>
      <c r="H1925" s="206"/>
      <c r="I1925" s="150"/>
      <c r="J1925" s="147"/>
      <c r="K1925" s="217"/>
      <c r="L1925" s="147">
        <v>600000</v>
      </c>
      <c r="M1925" s="219">
        <f>L1925*1.46</f>
        <v>876000</v>
      </c>
      <c r="N1925" s="149"/>
      <c r="O1925" s="226"/>
      <c r="P1925" s="150">
        <f t="shared" si="150"/>
        <v>876000</v>
      </c>
      <c r="Q1925" s="568" t="s">
        <v>1333</v>
      </c>
    </row>
    <row r="1926" spans="1:17" ht="16.5" customHeight="1" collapsed="1">
      <c r="A1926" s="554"/>
      <c r="B1926" s="250"/>
      <c r="C1926" s="181" t="s">
        <v>628</v>
      </c>
      <c r="D1926" s="220"/>
      <c r="E1926" s="222"/>
      <c r="F1926" s="222"/>
      <c r="G1926" s="217"/>
      <c r="H1926" s="417">
        <f>CIP!$AQ$138</f>
        <v>688513.80037499976</v>
      </c>
      <c r="I1926" s="150">
        <f>SUM(D1926:H1926)</f>
        <v>688513.80037499976</v>
      </c>
      <c r="J1926" s="147"/>
      <c r="K1926" s="217"/>
      <c r="L1926" s="147">
        <f>SUM(L1923:L1925)</f>
        <v>600000</v>
      </c>
      <c r="M1926" s="219">
        <f>L1926*1.46</f>
        <v>876000</v>
      </c>
      <c r="N1926" s="149"/>
      <c r="O1926" s="226"/>
      <c r="P1926" s="150">
        <f t="shared" si="150"/>
        <v>1564513.8003749996</v>
      </c>
      <c r="Q1926" s="568"/>
    </row>
    <row r="1927" spans="1:17" ht="15.75" hidden="1" outlineLevel="1">
      <c r="A1927" s="275" t="s">
        <v>629</v>
      </c>
      <c r="B1927" s="152"/>
      <c r="C1927" s="271"/>
      <c r="D1927" s="160"/>
      <c r="E1927" s="153"/>
      <c r="F1927" s="153"/>
      <c r="G1927" s="153"/>
      <c r="H1927" s="206"/>
      <c r="I1927" s="163"/>
      <c r="J1927" s="147"/>
      <c r="K1927" s="217"/>
      <c r="L1927" s="147"/>
      <c r="M1927" s="219"/>
      <c r="N1927" s="149"/>
      <c r="O1927" s="226"/>
      <c r="P1927" s="150"/>
      <c r="Q1927" s="568"/>
    </row>
    <row r="1928" spans="1:17" ht="15.75" hidden="1" outlineLevel="1">
      <c r="A1928" s="275"/>
      <c r="B1928" s="142" t="s">
        <v>630</v>
      </c>
      <c r="C1928" s="271"/>
      <c r="D1928" s="160"/>
      <c r="E1928" s="153"/>
      <c r="F1928" s="153"/>
      <c r="G1928" s="153"/>
      <c r="H1928" s="206"/>
      <c r="I1928" s="163"/>
      <c r="J1928" s="147"/>
      <c r="K1928" s="217"/>
      <c r="L1928" s="147"/>
      <c r="M1928" s="219"/>
      <c r="N1928" s="149"/>
      <c r="O1928" s="226"/>
      <c r="P1928" s="150"/>
      <c r="Q1928" s="568"/>
    </row>
    <row r="1929" spans="1:17" ht="18.75" hidden="1" outlineLevel="1">
      <c r="A1929" s="554"/>
      <c r="B1929" s="159"/>
      <c r="C1929" s="271" t="s">
        <v>372</v>
      </c>
      <c r="D1929" s="160"/>
      <c r="E1929" s="153"/>
      <c r="F1929" s="153"/>
      <c r="G1929" s="153"/>
      <c r="H1929" s="206"/>
      <c r="I1929" s="163"/>
      <c r="J1929" s="147"/>
      <c r="K1929" s="217"/>
      <c r="L1929" s="147"/>
      <c r="M1929" s="219"/>
      <c r="N1929" s="149">
        <v>150000</v>
      </c>
      <c r="O1929" s="226">
        <f>N1929*1.73</f>
        <v>259500</v>
      </c>
      <c r="P1929" s="150">
        <f>SUM(L1929:N1929)</f>
        <v>150000</v>
      </c>
      <c r="Q1929" s="568" t="s">
        <v>1334</v>
      </c>
    </row>
    <row r="1930" spans="1:17" ht="18.75" hidden="1" outlineLevel="1">
      <c r="A1930" s="554"/>
      <c r="B1930" s="159"/>
      <c r="C1930" s="181" t="s">
        <v>631</v>
      </c>
      <c r="D1930" s="160"/>
      <c r="E1930" s="153"/>
      <c r="F1930" s="153"/>
      <c r="G1930" s="153"/>
      <c r="H1930" s="206"/>
      <c r="I1930" s="163"/>
      <c r="J1930" s="147"/>
      <c r="K1930" s="217"/>
      <c r="L1930" s="147">
        <v>100000</v>
      </c>
      <c r="M1930" s="219">
        <f>L1930*1.46</f>
        <v>146000</v>
      </c>
      <c r="N1930" s="149"/>
      <c r="O1930" s="226"/>
      <c r="P1930" s="150">
        <f>SUM(L1930:N1930)</f>
        <v>246000</v>
      </c>
      <c r="Q1930" s="568" t="s">
        <v>1335</v>
      </c>
    </row>
    <row r="1931" spans="1:17" ht="16.5" customHeight="1" collapsed="1">
      <c r="A1931" s="554"/>
      <c r="B1931" s="250"/>
      <c r="C1931" s="181" t="s">
        <v>632</v>
      </c>
      <c r="D1931" s="220"/>
      <c r="E1931" s="217"/>
      <c r="F1931" s="217"/>
      <c r="G1931" s="217"/>
      <c r="H1931" s="226"/>
      <c r="I1931" s="150"/>
      <c r="J1931" s="147"/>
      <c r="K1931" s="217"/>
      <c r="L1931" s="147">
        <f>SUM(L1929:L1930)</f>
        <v>100000</v>
      </c>
      <c r="M1931" s="219">
        <f>L1931*1.46</f>
        <v>146000</v>
      </c>
      <c r="N1931" s="149">
        <f>SUM(N1929:N1930)</f>
        <v>150000</v>
      </c>
      <c r="O1931" s="226">
        <f>N1931*1.73</f>
        <v>259500</v>
      </c>
      <c r="P1931" s="150">
        <f t="shared" ref="P1931:P1933" si="151">SUM(I1931,K1931,M1931,O1931)</f>
        <v>405500</v>
      </c>
      <c r="Q1931" s="568"/>
    </row>
    <row r="1932" spans="1:17" ht="16.5" customHeight="1">
      <c r="A1932" s="558"/>
      <c r="B1932" s="173"/>
      <c r="C1932" s="520" t="s">
        <v>1004</v>
      </c>
      <c r="D1932" s="175"/>
      <c r="E1932" s="174"/>
      <c r="F1932" s="174"/>
      <c r="G1932" s="174"/>
      <c r="H1932" s="229"/>
      <c r="I1932" s="176"/>
      <c r="J1932" s="193"/>
      <c r="K1932" s="505"/>
      <c r="L1932" s="193"/>
      <c r="M1932" s="512"/>
      <c r="N1932" s="194">
        <v>15000000</v>
      </c>
      <c r="O1932" s="506">
        <f>N1932*1.73</f>
        <v>25950000</v>
      </c>
      <c r="P1932" s="178">
        <f t="shared" si="151"/>
        <v>25950000</v>
      </c>
      <c r="Q1932" s="568" t="s">
        <v>1336</v>
      </c>
    </row>
    <row r="1933" spans="1:17" ht="18" customHeight="1">
      <c r="A1933" s="550"/>
      <c r="B1933" s="608" t="s">
        <v>633</v>
      </c>
      <c r="C1933" s="609"/>
      <c r="D1933" s="510">
        <f>SUM(D1916,D1921,D1926,D1931)</f>
        <v>4015000</v>
      </c>
      <c r="E1933" s="514">
        <f t="shared" ref="E1933:H1933" si="152">SUM(E1916,E1921,E1926,E1931)</f>
        <v>4459815</v>
      </c>
      <c r="F1933" s="514">
        <f t="shared" si="152"/>
        <v>4321514.4704999998</v>
      </c>
      <c r="G1933" s="514">
        <f t="shared" si="152"/>
        <v>4455050.165324999</v>
      </c>
      <c r="H1933" s="515">
        <f t="shared" si="152"/>
        <v>5364211.0187216233</v>
      </c>
      <c r="I1933" s="516">
        <f>SUM(I1916,I1921,I1926,I1931)</f>
        <v>22615590.654546626</v>
      </c>
      <c r="J1933" s="517">
        <f>SUM(J1916,J1921,J1926,J1931)</f>
        <v>20401000</v>
      </c>
      <c r="K1933" s="518">
        <f>J1933*1.23</f>
        <v>25093230</v>
      </c>
      <c r="L1933" s="517">
        <f>SUM(L1916,L1921,L1926,L1931)</f>
        <v>21101000</v>
      </c>
      <c r="M1933" s="519">
        <f>L1933*1.46</f>
        <v>30807460</v>
      </c>
      <c r="N1933" s="233">
        <f>SUM(N1916,N1921,N1926,N1931,N1932)</f>
        <v>35551000</v>
      </c>
      <c r="O1933" s="515">
        <f>N1933*1.73</f>
        <v>61503230</v>
      </c>
      <c r="P1933" s="516">
        <f t="shared" si="151"/>
        <v>140019510.65454662</v>
      </c>
      <c r="Q1933" s="576"/>
    </row>
    <row r="1934" spans="1:17" ht="12" customHeight="1">
      <c r="A1934" s="550"/>
      <c r="B1934" s="252"/>
      <c r="C1934" s="252"/>
      <c r="D1934" s="160"/>
      <c r="E1934" s="153"/>
      <c r="F1934" s="153"/>
      <c r="G1934" s="153"/>
      <c r="H1934" s="206"/>
      <c r="I1934" s="163"/>
      <c r="J1934" s="157"/>
      <c r="K1934" s="153"/>
      <c r="L1934" s="157"/>
      <c r="M1934" s="154"/>
      <c r="N1934" s="154"/>
      <c r="O1934" s="206"/>
      <c r="P1934" s="150"/>
      <c r="Q1934" s="569"/>
    </row>
    <row r="1935" spans="1:17" ht="15.75" customHeight="1">
      <c r="A1935" s="557" t="s">
        <v>634</v>
      </c>
      <c r="B1935" s="253"/>
      <c r="C1935" s="251"/>
      <c r="D1935" s="237"/>
      <c r="E1935" s="235"/>
      <c r="F1935" s="235"/>
      <c r="G1935" s="235"/>
      <c r="H1935" s="236"/>
      <c r="I1935" s="238"/>
      <c r="J1935" s="239"/>
      <c r="K1935" s="239"/>
      <c r="L1935" s="239"/>
      <c r="M1935" s="240"/>
      <c r="N1935" s="240"/>
      <c r="O1935" s="410"/>
      <c r="P1935" s="241"/>
      <c r="Q1935" s="584"/>
    </row>
    <row r="1936" spans="1:17" ht="15.75" hidden="1" outlineLevel="1">
      <c r="A1936" s="275" t="s">
        <v>635</v>
      </c>
      <c r="B1936" s="152"/>
      <c r="C1936" s="143"/>
      <c r="D1936" s="160"/>
      <c r="E1936" s="153"/>
      <c r="F1936" s="153"/>
      <c r="G1936" s="153"/>
      <c r="H1936" s="154"/>
      <c r="I1936" s="150"/>
      <c r="J1936" s="157" t="s">
        <v>390</v>
      </c>
      <c r="K1936" s="157"/>
      <c r="L1936" s="157" t="s">
        <v>390</v>
      </c>
      <c r="M1936" s="154"/>
      <c r="N1936" s="154"/>
      <c r="O1936" s="206"/>
      <c r="P1936" s="150"/>
      <c r="Q1936" s="568"/>
    </row>
    <row r="1937" spans="1:17" hidden="1" outlineLevel="1">
      <c r="A1937" s="559"/>
      <c r="B1937" s="159"/>
      <c r="C1937" s="426" t="s">
        <v>636</v>
      </c>
      <c r="D1937" s="160">
        <f>CIP!$AM$8</f>
        <v>4741625</v>
      </c>
      <c r="E1937" s="153"/>
      <c r="F1937" s="153"/>
      <c r="G1937" s="153"/>
      <c r="H1937" s="154"/>
      <c r="I1937" s="150">
        <f>SUM(D1937:H1937)</f>
        <v>4741625</v>
      </c>
      <c r="J1937" s="157"/>
      <c r="K1937" s="157"/>
      <c r="L1937" s="157"/>
      <c r="M1937" s="154"/>
      <c r="N1937" s="154"/>
      <c r="O1937" s="206"/>
      <c r="P1937" s="150"/>
      <c r="Q1937" s="568" t="s">
        <v>1337</v>
      </c>
    </row>
    <row r="1938" spans="1:17" hidden="1" outlineLevel="1">
      <c r="A1938" s="559"/>
      <c r="B1938" s="159"/>
      <c r="C1938" s="426" t="s">
        <v>637</v>
      </c>
      <c r="D1938" s="160">
        <f>CIP!$AM$38</f>
        <v>523710</v>
      </c>
      <c r="E1938" s="153">
        <f>CIP!$AN$38</f>
        <v>3454700.6249999995</v>
      </c>
      <c r="F1938" s="153"/>
      <c r="G1938" s="153"/>
      <c r="H1938" s="154"/>
      <c r="I1938" s="150">
        <f>SUM(D1938:H1938)</f>
        <v>3978410.6249999995</v>
      </c>
      <c r="J1938" s="157"/>
      <c r="K1938" s="157"/>
      <c r="L1938" s="157"/>
      <c r="M1938" s="154"/>
      <c r="N1938" s="154"/>
      <c r="O1938" s="206"/>
      <c r="P1938" s="150"/>
      <c r="Q1938" s="568"/>
    </row>
    <row r="1939" spans="1:17" hidden="1" outlineLevel="1">
      <c r="A1939" s="559"/>
      <c r="B1939" s="159"/>
      <c r="C1939" s="426" t="s">
        <v>638</v>
      </c>
      <c r="D1939" s="160"/>
      <c r="E1939" s="153">
        <f>CIP!$AN$48</f>
        <v>1301538.375</v>
      </c>
      <c r="F1939" s="153">
        <f>CIP!$AO$48</f>
        <v>5626743.2156249993</v>
      </c>
      <c r="G1939" s="153"/>
      <c r="H1939" s="154"/>
      <c r="I1939" s="150">
        <f>SUM(D1939:H1939)</f>
        <v>6928281.5906249993</v>
      </c>
      <c r="J1939" s="157"/>
      <c r="K1939" s="157"/>
      <c r="L1939" s="157"/>
      <c r="M1939" s="154"/>
      <c r="N1939" s="154"/>
      <c r="O1939" s="206"/>
      <c r="P1939" s="150"/>
      <c r="Q1939" s="568"/>
    </row>
    <row r="1940" spans="1:17" hidden="1" outlineLevel="1">
      <c r="A1940" s="559"/>
      <c r="B1940" s="159"/>
      <c r="C1940" s="426" t="s">
        <v>639</v>
      </c>
      <c r="D1940" s="160"/>
      <c r="E1940" s="153"/>
      <c r="F1940" s="153">
        <f>CIP!$AO$75</f>
        <v>609794.83124999993</v>
      </c>
      <c r="G1940" s="153">
        <f>CIP!$AP$75</f>
        <v>3758137.827046874</v>
      </c>
      <c r="H1940" s="154"/>
      <c r="I1940" s="150">
        <f>SUM(D1940:H1940)</f>
        <v>4367932.6582968738</v>
      </c>
      <c r="J1940" s="157"/>
      <c r="K1940" s="157"/>
      <c r="L1940" s="157"/>
      <c r="M1940" s="154"/>
      <c r="N1940" s="154"/>
      <c r="O1940" s="206"/>
      <c r="P1940" s="150"/>
      <c r="Q1940" s="568"/>
    </row>
    <row r="1941" spans="1:17" hidden="1" outlineLevel="1">
      <c r="A1941" s="559"/>
      <c r="B1941" s="159"/>
      <c r="C1941" s="426" t="s">
        <v>640</v>
      </c>
      <c r="D1941" s="160"/>
      <c r="E1941" s="153"/>
      <c r="F1941" s="153"/>
      <c r="G1941" s="153">
        <f>CIP!$AP$104</f>
        <v>631137.65034374991</v>
      </c>
      <c r="H1941" s="154">
        <f>CIP!$AQ$104</f>
        <v>4516771.0203750646</v>
      </c>
      <c r="I1941" s="150">
        <f>SUM(D1941:H1941)</f>
        <v>5147908.6707188142</v>
      </c>
      <c r="J1941" s="157"/>
      <c r="K1941" s="157"/>
      <c r="L1941" s="157"/>
      <c r="M1941" s="154"/>
      <c r="N1941" s="154"/>
      <c r="O1941" s="206"/>
      <c r="P1941" s="150"/>
      <c r="Q1941" s="568"/>
    </row>
    <row r="1942" spans="1:17" ht="16.5" customHeight="1" collapsed="1">
      <c r="A1942" s="275"/>
      <c r="B1942" s="152"/>
      <c r="C1942" s="181" t="s">
        <v>641</v>
      </c>
      <c r="D1942" s="220">
        <f>SUM(D1937:D1941)</f>
        <v>5265335</v>
      </c>
      <c r="E1942" s="217">
        <f>SUM(E1937:E1941)</f>
        <v>4756239</v>
      </c>
      <c r="F1942" s="217">
        <f>SUM(F1937:F1941)</f>
        <v>6236538.0468749991</v>
      </c>
      <c r="G1942" s="217">
        <f>SUM(G1937:G1941)</f>
        <v>4389275.4773906237</v>
      </c>
      <c r="H1942" s="226">
        <f>SUM(H1938:H1941)</f>
        <v>4516771.0203750646</v>
      </c>
      <c r="I1942" s="150">
        <f t="shared" ref="I1942" si="153">SUM(D1942:H1942)</f>
        <v>25164158.54464069</v>
      </c>
      <c r="J1942" s="147">
        <v>19204426</v>
      </c>
      <c r="K1942" s="221">
        <f>J1942*1.23</f>
        <v>23621443.98</v>
      </c>
      <c r="L1942" s="147">
        <v>10700000</v>
      </c>
      <c r="M1942" s="219">
        <f>L1942*1.46</f>
        <v>15622000</v>
      </c>
      <c r="N1942" s="154">
        <v>14500000</v>
      </c>
      <c r="O1942" s="226">
        <f>N1942*1.73</f>
        <v>25085000</v>
      </c>
      <c r="P1942" s="150">
        <f t="shared" ref="P1942:P1955" si="154">SUM(I1942,K1942,M1942,O1942)</f>
        <v>89492602.524640694</v>
      </c>
      <c r="Q1942" s="568" t="s">
        <v>1337</v>
      </c>
    </row>
    <row r="1943" spans="1:17" ht="15.75" hidden="1" outlineLevel="1">
      <c r="A1943" s="275" t="s">
        <v>619</v>
      </c>
      <c r="B1943" s="152"/>
      <c r="C1943" s="250"/>
      <c r="D1943" s="160"/>
      <c r="E1943" s="153"/>
      <c r="F1943" s="153"/>
      <c r="G1943" s="153"/>
      <c r="H1943" s="206"/>
      <c r="I1943" s="150"/>
      <c r="J1943" s="147"/>
      <c r="K1943" s="221"/>
      <c r="L1943" s="147"/>
      <c r="M1943" s="219"/>
      <c r="N1943" s="154"/>
      <c r="O1943" s="226"/>
      <c r="P1943" s="150"/>
      <c r="Q1943" s="568"/>
    </row>
    <row r="1944" spans="1:17" hidden="1" outlineLevel="1">
      <c r="A1944" s="275"/>
      <c r="B1944" s="152"/>
      <c r="C1944" s="142" t="s">
        <v>642</v>
      </c>
      <c r="D1944" s="160">
        <f>CIP!$AM$55</f>
        <v>120000</v>
      </c>
      <c r="E1944" s="153"/>
      <c r="F1944" s="153"/>
      <c r="G1944" s="153">
        <f>CIP!$AP$55</f>
        <v>144133.32374999995</v>
      </c>
      <c r="H1944" s="206">
        <f>CIP!$AQ$55</f>
        <v>149177.99008124997</v>
      </c>
      <c r="I1944" s="150">
        <f>SUM(D1944:H1944)</f>
        <v>413311.31383124995</v>
      </c>
      <c r="J1944" s="147">
        <v>250000</v>
      </c>
      <c r="K1944" s="221">
        <f>J1944*1.23</f>
        <v>307500</v>
      </c>
      <c r="L1944" s="147">
        <v>250000</v>
      </c>
      <c r="M1944" s="219">
        <f>L1944*1.46</f>
        <v>365000</v>
      </c>
      <c r="N1944" s="154">
        <v>250000</v>
      </c>
      <c r="O1944" s="226">
        <f>N1944*1.73</f>
        <v>432500</v>
      </c>
      <c r="P1944" s="150">
        <f t="shared" si="154"/>
        <v>1518311.31383125</v>
      </c>
      <c r="Q1944" s="568" t="s">
        <v>1338</v>
      </c>
    </row>
    <row r="1945" spans="1:17" hidden="1" outlineLevel="1">
      <c r="A1945" s="275"/>
      <c r="B1945" s="152"/>
      <c r="C1945" s="142" t="s">
        <v>805</v>
      </c>
      <c r="D1945" s="160">
        <f>CIP!$AM$33</f>
        <v>100000</v>
      </c>
      <c r="E1945" s="153"/>
      <c r="F1945" s="153"/>
      <c r="G1945" s="153"/>
      <c r="H1945" s="206"/>
      <c r="I1945" s="150">
        <v>100000</v>
      </c>
      <c r="J1945" s="147">
        <v>100000</v>
      </c>
      <c r="K1945" s="221">
        <f t="shared" ref="K1945:K1946" si="155">J1945*1.23</f>
        <v>123000</v>
      </c>
      <c r="L1945" s="147"/>
      <c r="M1945" s="219"/>
      <c r="N1945" s="154">
        <v>100000</v>
      </c>
      <c r="O1945" s="226">
        <f>N1945*1.73</f>
        <v>173000</v>
      </c>
      <c r="P1945" s="150">
        <f t="shared" si="154"/>
        <v>396000</v>
      </c>
      <c r="Q1945" s="568"/>
    </row>
    <row r="1946" spans="1:17" hidden="1" outlineLevel="1">
      <c r="A1946" s="275"/>
      <c r="B1946" s="152"/>
      <c r="C1946" s="142" t="s">
        <v>643</v>
      </c>
      <c r="D1946" s="160"/>
      <c r="E1946" s="153"/>
      <c r="F1946" s="153"/>
      <c r="G1946" s="153"/>
      <c r="H1946" s="206"/>
      <c r="I1946" s="150"/>
      <c r="J1946" s="147">
        <v>100000</v>
      </c>
      <c r="K1946" s="221">
        <f t="shared" si="155"/>
        <v>123000</v>
      </c>
      <c r="L1946" s="147"/>
      <c r="M1946" s="219"/>
      <c r="N1946" s="154"/>
      <c r="O1946" s="226"/>
      <c r="P1946" s="150">
        <f t="shared" si="154"/>
        <v>123000</v>
      </c>
      <c r="Q1946" s="568"/>
    </row>
    <row r="1947" spans="1:17" hidden="1" outlineLevel="1">
      <c r="A1947" s="275"/>
      <c r="B1947" s="152"/>
      <c r="C1947" s="142" t="s">
        <v>644</v>
      </c>
      <c r="D1947" s="160">
        <f>CIP!$AM$25</f>
        <v>100000</v>
      </c>
      <c r="E1947" s="153"/>
      <c r="F1947" s="153"/>
      <c r="G1947" s="153"/>
      <c r="H1947" s="206"/>
      <c r="I1947" s="150">
        <f>SUM(D1947:H1947)</f>
        <v>100000</v>
      </c>
      <c r="J1947" s="147"/>
      <c r="K1947" s="221"/>
      <c r="L1947" s="147">
        <v>100000</v>
      </c>
      <c r="M1947" s="219">
        <f>L1947*1.46</f>
        <v>146000</v>
      </c>
      <c r="N1947" s="154"/>
      <c r="O1947" s="226"/>
      <c r="P1947" s="150">
        <f t="shared" si="154"/>
        <v>246000</v>
      </c>
      <c r="Q1947" s="568"/>
    </row>
    <row r="1948" spans="1:17" hidden="1" outlineLevel="1">
      <c r="A1948" s="275"/>
      <c r="B1948" s="152"/>
      <c r="C1948" s="142" t="s">
        <v>645</v>
      </c>
      <c r="D1948" s="160"/>
      <c r="E1948" s="153"/>
      <c r="F1948" s="153">
        <f>CIP!$AO$82</f>
        <v>107122.49999999999</v>
      </c>
      <c r="G1948" s="153"/>
      <c r="H1948" s="206"/>
      <c r="I1948" s="150">
        <f>SUM(D1948:H1948)</f>
        <v>107122.49999999999</v>
      </c>
      <c r="J1948" s="147"/>
      <c r="K1948" s="221"/>
      <c r="L1948" s="147"/>
      <c r="M1948" s="219"/>
      <c r="N1948" s="154">
        <v>100000</v>
      </c>
      <c r="O1948" s="226">
        <f>N1948*1.73</f>
        <v>173000</v>
      </c>
      <c r="P1948" s="150">
        <f t="shared" si="154"/>
        <v>280122.5</v>
      </c>
      <c r="Q1948" s="568"/>
    </row>
    <row r="1949" spans="1:17" hidden="1" outlineLevel="1">
      <c r="A1949" s="275"/>
      <c r="B1949" s="152"/>
      <c r="C1949" s="142" t="s">
        <v>646</v>
      </c>
      <c r="D1949" s="160"/>
      <c r="E1949" s="153"/>
      <c r="F1949" s="153"/>
      <c r="G1949" s="153"/>
      <c r="H1949" s="206"/>
      <c r="I1949" s="150"/>
      <c r="J1949" s="147">
        <v>100000</v>
      </c>
      <c r="K1949" s="221">
        <f>J1949*1.23</f>
        <v>123000</v>
      </c>
      <c r="L1949" s="147"/>
      <c r="M1949" s="219"/>
      <c r="N1949" s="154"/>
      <c r="O1949" s="226"/>
      <c r="P1949" s="150">
        <f t="shared" si="154"/>
        <v>123000</v>
      </c>
      <c r="Q1949" s="568"/>
    </row>
    <row r="1950" spans="1:17" hidden="1" outlineLevel="1">
      <c r="A1950" s="275"/>
      <c r="B1950" s="152"/>
      <c r="C1950" s="142" t="s">
        <v>647</v>
      </c>
      <c r="D1950" s="160"/>
      <c r="E1950" s="153"/>
      <c r="F1950" s="153"/>
      <c r="G1950" s="153"/>
      <c r="H1950" s="206"/>
      <c r="I1950" s="150"/>
      <c r="J1950" s="147"/>
      <c r="K1950" s="221"/>
      <c r="L1950" s="147">
        <v>100000</v>
      </c>
      <c r="M1950" s="219">
        <f>L1950*1.46</f>
        <v>146000</v>
      </c>
      <c r="N1950" s="154"/>
      <c r="O1950" s="226"/>
      <c r="P1950" s="150">
        <f t="shared" si="154"/>
        <v>146000</v>
      </c>
      <c r="Q1950" s="568"/>
    </row>
    <row r="1951" spans="1:17" hidden="1" outlineLevel="1">
      <c r="A1951" s="275"/>
      <c r="B1951" s="152"/>
      <c r="C1951" s="142" t="s">
        <v>648</v>
      </c>
      <c r="D1951" s="160"/>
      <c r="E1951" s="153"/>
      <c r="F1951" s="153"/>
      <c r="G1951" s="153"/>
      <c r="H1951" s="206"/>
      <c r="I1951" s="150"/>
      <c r="J1951" s="147"/>
      <c r="K1951" s="221"/>
      <c r="L1951" s="147"/>
      <c r="M1951" s="219"/>
      <c r="N1951" s="154">
        <v>100000</v>
      </c>
      <c r="O1951" s="226">
        <f>N1951*1.73</f>
        <v>173000</v>
      </c>
      <c r="P1951" s="150">
        <f t="shared" si="154"/>
        <v>173000</v>
      </c>
      <c r="Q1951" s="568"/>
    </row>
    <row r="1952" spans="1:17" hidden="1" outlineLevel="1">
      <c r="A1952" s="275"/>
      <c r="B1952" s="152"/>
      <c r="C1952" s="142" t="s">
        <v>649</v>
      </c>
      <c r="D1952" s="160"/>
      <c r="E1952" s="153"/>
      <c r="F1952" s="153"/>
      <c r="G1952" s="153"/>
      <c r="H1952" s="206">
        <f>CIP!$AQ$128</f>
        <v>114752.30006249997</v>
      </c>
      <c r="I1952" s="150">
        <f>SUM(D1952:H1952)</f>
        <v>114752.30006249997</v>
      </c>
      <c r="J1952" s="147"/>
      <c r="K1952" s="221"/>
      <c r="L1952" s="147"/>
      <c r="M1952" s="219"/>
      <c r="N1952" s="154"/>
      <c r="O1952" s="226"/>
      <c r="P1952" s="150">
        <f t="shared" si="154"/>
        <v>114752.30006249997</v>
      </c>
      <c r="Q1952" s="568"/>
    </row>
    <row r="1953" spans="1:17" hidden="1" outlineLevel="1">
      <c r="A1953" s="275"/>
      <c r="B1953" s="152"/>
      <c r="C1953" s="142" t="s">
        <v>650</v>
      </c>
      <c r="D1953" s="160"/>
      <c r="E1953" s="153"/>
      <c r="F1953" s="153"/>
      <c r="G1953" s="153"/>
      <c r="H1953" s="206"/>
      <c r="I1953" s="150"/>
      <c r="J1953" s="147">
        <v>100000</v>
      </c>
      <c r="K1953" s="221">
        <f t="shared" ref="K1953:K1954" si="156">J1953*1.23</f>
        <v>123000</v>
      </c>
      <c r="L1953" s="147"/>
      <c r="M1953" s="219"/>
      <c r="N1953" s="154"/>
      <c r="O1953" s="226"/>
      <c r="P1953" s="150">
        <f t="shared" si="154"/>
        <v>123000</v>
      </c>
      <c r="Q1953" s="568"/>
    </row>
    <row r="1954" spans="1:17" ht="16.5" customHeight="1" collapsed="1">
      <c r="A1954" s="559"/>
      <c r="B1954" s="264"/>
      <c r="C1954" s="520" t="s">
        <v>623</v>
      </c>
      <c r="D1954" s="504">
        <f>SUM(D1944:D1953)</f>
        <v>320000</v>
      </c>
      <c r="E1954" s="505"/>
      <c r="F1954" s="505">
        <f t="shared" ref="F1954:N1954" si="157">SUM(F1944:F1953)</f>
        <v>107122.49999999999</v>
      </c>
      <c r="G1954" s="505">
        <f t="shared" si="157"/>
        <v>144133.32374999995</v>
      </c>
      <c r="H1954" s="506">
        <f t="shared" si="157"/>
        <v>263930.29014374991</v>
      </c>
      <c r="I1954" s="178">
        <f t="shared" si="157"/>
        <v>835186.11389374989</v>
      </c>
      <c r="J1954" s="193">
        <f t="shared" si="157"/>
        <v>650000</v>
      </c>
      <c r="K1954" s="507">
        <f t="shared" si="156"/>
        <v>799500</v>
      </c>
      <c r="L1954" s="193">
        <f t="shared" si="157"/>
        <v>450000</v>
      </c>
      <c r="M1954" s="512">
        <f>L1954*1.46</f>
        <v>657000</v>
      </c>
      <c r="N1954" s="194">
        <f t="shared" si="157"/>
        <v>550000</v>
      </c>
      <c r="O1954" s="506">
        <f>N1954*1.73</f>
        <v>951500</v>
      </c>
      <c r="P1954" s="178">
        <f t="shared" si="154"/>
        <v>3243186.1138937501</v>
      </c>
      <c r="Q1954" s="568"/>
    </row>
    <row r="1955" spans="1:17" ht="18" customHeight="1">
      <c r="A1955" s="550"/>
      <c r="B1955" s="605" t="s">
        <v>651</v>
      </c>
      <c r="C1955" s="606"/>
      <c r="D1955" s="510">
        <f>SUM(D1942,D1954)</f>
        <v>5585335</v>
      </c>
      <c r="E1955" s="514">
        <f t="shared" ref="E1955:H1955" si="158">SUM(E1942,E1954)</f>
        <v>4756239</v>
      </c>
      <c r="F1955" s="514">
        <f t="shared" si="158"/>
        <v>6343660.5468749991</v>
      </c>
      <c r="G1955" s="514">
        <f t="shared" si="158"/>
        <v>4533408.8011406232</v>
      </c>
      <c r="H1955" s="515">
        <f t="shared" si="158"/>
        <v>4780701.3105188143</v>
      </c>
      <c r="I1955" s="516">
        <f>SUM(I1954,I1942)</f>
        <v>25999344.658534441</v>
      </c>
      <c r="J1955" s="517">
        <f>SUM(J1942,J1954)</f>
        <v>19854426</v>
      </c>
      <c r="K1955" s="518">
        <f>J1955*1.23</f>
        <v>24420943.98</v>
      </c>
      <c r="L1955" s="517">
        <f>SUM(L1942,L1954)</f>
        <v>11150000</v>
      </c>
      <c r="M1955" s="519">
        <f>L1955*1.46</f>
        <v>16279000</v>
      </c>
      <c r="N1955" s="517">
        <f>SUM(N1942,N1954)</f>
        <v>15050000</v>
      </c>
      <c r="O1955" s="515">
        <f>N1955*1.73</f>
        <v>26036500</v>
      </c>
      <c r="P1955" s="516">
        <f t="shared" si="154"/>
        <v>92735788.638534442</v>
      </c>
      <c r="Q1955" s="568"/>
    </row>
    <row r="1956" spans="1:17" ht="12" customHeight="1">
      <c r="A1956" s="550"/>
      <c r="B1956" s="321"/>
      <c r="C1956" s="321"/>
      <c r="D1956" s="220"/>
      <c r="E1956" s="217"/>
      <c r="F1956" s="217"/>
      <c r="G1956" s="217"/>
      <c r="H1956" s="226"/>
      <c r="I1956" s="150"/>
      <c r="J1956" s="147"/>
      <c r="K1956" s="221"/>
      <c r="L1956" s="147"/>
      <c r="M1956" s="219"/>
      <c r="N1956" s="219"/>
      <c r="O1956" s="226"/>
      <c r="P1956" s="150"/>
      <c r="Q1956" s="568"/>
    </row>
    <row r="1957" spans="1:17" ht="15.75">
      <c r="A1957" s="557" t="s">
        <v>1197</v>
      </c>
      <c r="B1957" s="251"/>
      <c r="C1957" s="251"/>
      <c r="D1957" s="237"/>
      <c r="E1957" s="235"/>
      <c r="F1957" s="235"/>
      <c r="G1957" s="235"/>
      <c r="H1957" s="236"/>
      <c r="I1957" s="238"/>
      <c r="J1957" s="239"/>
      <c r="K1957" s="239"/>
      <c r="L1957" s="239"/>
      <c r="M1957" s="240"/>
      <c r="N1957" s="240"/>
      <c r="O1957" s="410"/>
      <c r="P1957" s="241"/>
      <c r="Q1957" s="584"/>
    </row>
    <row r="1958" spans="1:17" ht="15.75" hidden="1" outlineLevel="1">
      <c r="A1958" s="278" t="s">
        <v>652</v>
      </c>
      <c r="C1958" s="141"/>
      <c r="D1958" s="160"/>
      <c r="E1958" s="153"/>
      <c r="F1958" s="153"/>
      <c r="G1958" s="153"/>
      <c r="H1958" s="154"/>
      <c r="I1958" s="163"/>
      <c r="J1958" s="157"/>
      <c r="K1958" s="157"/>
      <c r="L1958" s="157"/>
      <c r="M1958" s="154"/>
      <c r="N1958" s="154"/>
      <c r="O1958" s="206"/>
      <c r="P1958" s="150"/>
      <c r="Q1958" s="568"/>
    </row>
    <row r="1959" spans="1:17" ht="18.75" hidden="1" outlineLevel="1">
      <c r="A1959" s="554"/>
      <c r="B1959" s="143"/>
      <c r="C1959" s="426" t="s">
        <v>325</v>
      </c>
      <c r="D1959" s="160"/>
      <c r="E1959" s="153"/>
      <c r="F1959" s="154"/>
      <c r="G1959" s="153">
        <f>CIP!$AP$118</f>
        <v>388051.25624999992</v>
      </c>
      <c r="H1959" s="154"/>
      <c r="I1959" s="150">
        <f>SUM(D1959:H1959)</f>
        <v>388051.25624999992</v>
      </c>
      <c r="J1959" s="157"/>
      <c r="K1959" s="157"/>
      <c r="L1959" s="157"/>
      <c r="M1959" s="154"/>
      <c r="N1959" s="154"/>
      <c r="O1959" s="206"/>
      <c r="P1959" s="150">
        <f t="shared" ref="P1959:P1974" si="159">SUM(I1959,K1959,M1959,O1959)</f>
        <v>388051.25624999992</v>
      </c>
      <c r="Q1959" s="568"/>
    </row>
    <row r="1960" spans="1:17" ht="18.75" hidden="1" outlineLevel="1">
      <c r="A1960" s="554"/>
      <c r="B1960" s="143"/>
      <c r="C1960" s="426" t="s">
        <v>653</v>
      </c>
      <c r="D1960" s="195"/>
      <c r="E1960" s="153">
        <f>CIP!$AN$65</f>
        <v>206999.99999999997</v>
      </c>
      <c r="F1960" s="154"/>
      <c r="G1960" s="153"/>
      <c r="H1960" s="153">
        <f>CIP!$AQ$150</f>
        <v>149177.99008124997</v>
      </c>
      <c r="I1960" s="150">
        <f>SUM(D1960:H1960)</f>
        <v>356177.99008124997</v>
      </c>
      <c r="J1960" s="157">
        <v>360000</v>
      </c>
      <c r="K1960" s="221">
        <f>J1960*1.23</f>
        <v>442800</v>
      </c>
      <c r="L1960" s="157">
        <v>390000</v>
      </c>
      <c r="M1960" s="219">
        <f>L1960*1.46</f>
        <v>569400</v>
      </c>
      <c r="N1960" s="154">
        <v>430000</v>
      </c>
      <c r="O1960" s="226">
        <f>N1960*1.73</f>
        <v>743900</v>
      </c>
      <c r="P1960" s="150">
        <f t="shared" si="159"/>
        <v>2112277.9900812497</v>
      </c>
      <c r="Q1960" s="568" t="s">
        <v>1339</v>
      </c>
    </row>
    <row r="1961" spans="1:17" ht="16.5" customHeight="1" collapsed="1">
      <c r="A1961" s="554"/>
      <c r="B1961" s="143"/>
      <c r="C1961" s="142" t="s">
        <v>654</v>
      </c>
      <c r="D1961" s="220"/>
      <c r="E1961" s="217">
        <f>SUM(E1959:E1960)</f>
        <v>206999.99999999997</v>
      </c>
      <c r="F1961" s="217"/>
      <c r="G1961" s="217">
        <f>SUM(G1959:G1960)</f>
        <v>388051.25624999992</v>
      </c>
      <c r="H1961" s="226">
        <f>SUM(H1959:H1960)</f>
        <v>149177.99008124997</v>
      </c>
      <c r="I1961" s="150">
        <f>SUM(D1961:H1961)</f>
        <v>744229.24633124983</v>
      </c>
      <c r="J1961" s="147">
        <f>SUM(J1958:J1960)</f>
        <v>360000</v>
      </c>
      <c r="K1961" s="221">
        <f>J1961*1.23</f>
        <v>442800</v>
      </c>
      <c r="L1961" s="147">
        <f>SUM(L1958:L1960)</f>
        <v>390000</v>
      </c>
      <c r="M1961" s="219">
        <f>L1961*1.46</f>
        <v>569400</v>
      </c>
      <c r="N1961" s="149">
        <f>SUM(N1958:N1960)</f>
        <v>430000</v>
      </c>
      <c r="O1961" s="226">
        <f>N1961*1.73</f>
        <v>743900</v>
      </c>
      <c r="P1961" s="150">
        <f t="shared" si="159"/>
        <v>2500329.2463312498</v>
      </c>
      <c r="Q1961" s="568"/>
    </row>
    <row r="1962" spans="1:17" ht="15.75" hidden="1" outlineLevel="1">
      <c r="A1962" s="275" t="s">
        <v>619</v>
      </c>
      <c r="B1962" s="152"/>
      <c r="C1962" s="250"/>
      <c r="D1962" s="160"/>
      <c r="E1962" s="153"/>
      <c r="F1962" s="153"/>
      <c r="G1962" s="153"/>
      <c r="H1962" s="206"/>
      <c r="I1962" s="163"/>
      <c r="J1962" s="147"/>
      <c r="K1962" s="221"/>
      <c r="L1962" s="147"/>
      <c r="M1962" s="219"/>
      <c r="N1962" s="149"/>
      <c r="O1962" s="226"/>
      <c r="P1962" s="150"/>
      <c r="Q1962" s="568"/>
    </row>
    <row r="1963" spans="1:17" hidden="1" outlineLevel="1">
      <c r="A1963" s="275"/>
      <c r="B1963" s="152"/>
      <c r="C1963" s="142" t="s">
        <v>1031</v>
      </c>
      <c r="D1963" s="160"/>
      <c r="E1963" s="153"/>
      <c r="F1963" s="153">
        <f>CIP!$AO$95</f>
        <v>160683.74999999997</v>
      </c>
      <c r="G1963" s="153"/>
      <c r="H1963" s="206"/>
      <c r="I1963" s="150">
        <f>SUM(D1963:H1963)</f>
        <v>160683.74999999997</v>
      </c>
      <c r="J1963" s="147"/>
      <c r="K1963" s="221"/>
      <c r="L1963" s="147"/>
      <c r="M1963" s="219"/>
      <c r="N1963" s="149"/>
      <c r="O1963" s="226"/>
      <c r="P1963" s="150">
        <f t="shared" si="159"/>
        <v>160683.74999999997</v>
      </c>
      <c r="Q1963" s="568" t="s">
        <v>1340</v>
      </c>
    </row>
    <row r="1964" spans="1:17" hidden="1" outlineLevel="1">
      <c r="A1964" s="275"/>
      <c r="B1964" s="152"/>
      <c r="C1964" s="142" t="s">
        <v>655</v>
      </c>
      <c r="D1964" s="160"/>
      <c r="E1964" s="153"/>
      <c r="F1964" s="153"/>
      <c r="G1964" s="153"/>
      <c r="H1964" s="206"/>
      <c r="I1964" s="163"/>
      <c r="J1964" s="147"/>
      <c r="K1964" s="221"/>
      <c r="L1964" s="147">
        <v>150000</v>
      </c>
      <c r="M1964" s="219">
        <f t="shared" ref="M1964:M1974" si="160">L1964*1.46</f>
        <v>219000</v>
      </c>
      <c r="N1964" s="149"/>
      <c r="O1964" s="226"/>
      <c r="P1964" s="150">
        <f t="shared" si="159"/>
        <v>219000</v>
      </c>
      <c r="Q1964" s="568" t="s">
        <v>1341</v>
      </c>
    </row>
    <row r="1965" spans="1:17" ht="16.5" customHeight="1" collapsed="1">
      <c r="A1965" s="275"/>
      <c r="B1965" s="152"/>
      <c r="C1965" s="142" t="s">
        <v>623</v>
      </c>
      <c r="D1965" s="220"/>
      <c r="E1965" s="217"/>
      <c r="F1965" s="217">
        <f>SUM(F1963:F1964)</f>
        <v>160683.74999999997</v>
      </c>
      <c r="G1965" s="217"/>
      <c r="H1965" s="226"/>
      <c r="I1965" s="150">
        <f>SUM(D1965:H1965)</f>
        <v>160683.74999999997</v>
      </c>
      <c r="J1965" s="147"/>
      <c r="K1965" s="221"/>
      <c r="L1965" s="147">
        <f>SUM(L1962:L1964)</f>
        <v>150000</v>
      </c>
      <c r="M1965" s="219">
        <f t="shared" si="160"/>
        <v>219000</v>
      </c>
      <c r="N1965" s="149"/>
      <c r="O1965" s="226"/>
      <c r="P1965" s="150">
        <f t="shared" si="159"/>
        <v>379683.75</v>
      </c>
      <c r="Q1965" s="568"/>
    </row>
    <row r="1966" spans="1:17" hidden="1" outlineLevel="1">
      <c r="A1966" s="275" t="s">
        <v>656</v>
      </c>
      <c r="B1966" s="152"/>
      <c r="C1966" s="142"/>
      <c r="D1966" s="160"/>
      <c r="E1966" s="153"/>
      <c r="F1966" s="153"/>
      <c r="G1966" s="153"/>
      <c r="H1966" s="206"/>
      <c r="I1966" s="163"/>
      <c r="J1966" s="147"/>
      <c r="K1966" s="221"/>
      <c r="L1966" s="147"/>
      <c r="M1966" s="219"/>
      <c r="N1966" s="149"/>
      <c r="O1966" s="226"/>
      <c r="P1966" s="150"/>
      <c r="Q1966" s="568"/>
    </row>
    <row r="1967" spans="1:17" hidden="1" outlineLevel="1">
      <c r="A1967" s="550"/>
      <c r="B1967" s="152"/>
      <c r="C1967" s="142" t="s">
        <v>657</v>
      </c>
      <c r="D1967" s="160"/>
      <c r="E1967" s="153"/>
      <c r="F1967" s="153"/>
      <c r="G1967" s="153"/>
      <c r="H1967" s="206"/>
      <c r="I1967" s="163"/>
      <c r="J1967" s="147"/>
      <c r="K1967" s="221"/>
      <c r="L1967" s="147">
        <v>60000</v>
      </c>
      <c r="M1967" s="219">
        <f t="shared" si="160"/>
        <v>87600</v>
      </c>
      <c r="N1967" s="149"/>
      <c r="O1967" s="226"/>
      <c r="P1967" s="150">
        <f t="shared" si="159"/>
        <v>87600</v>
      </c>
      <c r="Q1967" s="568" t="s">
        <v>1342</v>
      </c>
    </row>
    <row r="1968" spans="1:17" hidden="1" outlineLevel="1">
      <c r="A1968" s="550"/>
      <c r="B1968" s="152"/>
      <c r="C1968" s="142" t="s">
        <v>658</v>
      </c>
      <c r="D1968" s="160"/>
      <c r="E1968" s="153"/>
      <c r="F1968" s="153"/>
      <c r="G1968" s="153"/>
      <c r="H1968" s="206"/>
      <c r="I1968" s="163"/>
      <c r="J1968" s="147">
        <v>175000</v>
      </c>
      <c r="K1968" s="221">
        <f t="shared" ref="K1968:K1974" si="161">J1968*1.23</f>
        <v>215250</v>
      </c>
      <c r="L1968" s="147"/>
      <c r="M1968" s="219"/>
      <c r="N1968" s="149">
        <v>175000</v>
      </c>
      <c r="O1968" s="226">
        <f t="shared" ref="O1968:O1969" si="162">N1968*1.73</f>
        <v>302750</v>
      </c>
      <c r="P1968" s="150">
        <f t="shared" si="159"/>
        <v>518000</v>
      </c>
      <c r="Q1968" s="568" t="s">
        <v>1343</v>
      </c>
    </row>
    <row r="1969" spans="1:20" ht="16.5" customHeight="1" collapsed="1">
      <c r="A1969" s="550"/>
      <c r="B1969" s="152"/>
      <c r="C1969" s="142" t="s">
        <v>659</v>
      </c>
      <c r="D1969" s="220"/>
      <c r="E1969" s="217"/>
      <c r="F1969" s="217"/>
      <c r="G1969" s="217"/>
      <c r="H1969" s="226"/>
      <c r="I1969" s="150"/>
      <c r="J1969" s="147">
        <f>SUM(J1967:J1968)</f>
        <v>175000</v>
      </c>
      <c r="K1969" s="221">
        <f t="shared" si="161"/>
        <v>215250</v>
      </c>
      <c r="L1969" s="147">
        <f>SUM(L1967:L1968)</f>
        <v>60000</v>
      </c>
      <c r="M1969" s="219">
        <f t="shared" si="160"/>
        <v>87600</v>
      </c>
      <c r="N1969" s="149">
        <f>SUM(N1967:N1968)</f>
        <v>175000</v>
      </c>
      <c r="O1969" s="226">
        <f t="shared" si="162"/>
        <v>302750</v>
      </c>
      <c r="P1969" s="150">
        <f t="shared" si="159"/>
        <v>605600</v>
      </c>
      <c r="Q1969" s="568"/>
    </row>
    <row r="1970" spans="1:20" hidden="1" outlineLevel="1">
      <c r="A1970" s="275" t="s">
        <v>660</v>
      </c>
      <c r="B1970" s="152"/>
      <c r="C1970" s="142"/>
      <c r="D1970" s="160"/>
      <c r="E1970" s="153"/>
      <c r="F1970" s="153"/>
      <c r="G1970" s="153"/>
      <c r="H1970" s="206"/>
      <c r="I1970" s="150"/>
      <c r="J1970" s="147"/>
      <c r="K1970" s="221"/>
      <c r="L1970" s="147"/>
      <c r="M1970" s="219"/>
      <c r="N1970" s="149"/>
      <c r="O1970" s="226"/>
      <c r="P1970" s="150"/>
      <c r="Q1970" s="576"/>
    </row>
    <row r="1971" spans="1:20" hidden="1" outlineLevel="1">
      <c r="A1971" s="275"/>
      <c r="B1971" s="152"/>
      <c r="C1971" s="142" t="s">
        <v>661</v>
      </c>
      <c r="D1971" s="160"/>
      <c r="E1971" s="153">
        <f>CIP!$AN$57</f>
        <v>103499.99999999999</v>
      </c>
      <c r="F1971" s="153"/>
      <c r="G1971" s="153"/>
      <c r="H1971" s="206"/>
      <c r="I1971" s="150">
        <f>SUM(D1971:H1971)</f>
        <v>103499.99999999999</v>
      </c>
      <c r="J1971" s="147">
        <v>700000</v>
      </c>
      <c r="K1971" s="221">
        <f t="shared" si="161"/>
        <v>861000</v>
      </c>
      <c r="L1971" s="147">
        <v>200000</v>
      </c>
      <c r="M1971" s="219">
        <f t="shared" si="160"/>
        <v>292000</v>
      </c>
      <c r="N1971" s="149"/>
      <c r="O1971" s="226"/>
      <c r="P1971" s="150">
        <f t="shared" si="159"/>
        <v>1256500</v>
      </c>
      <c r="Q1971" s="576"/>
    </row>
    <row r="1972" spans="1:20" hidden="1" outlineLevel="1">
      <c r="A1972" s="275"/>
      <c r="B1972" s="152"/>
      <c r="C1972" s="142" t="s">
        <v>662</v>
      </c>
      <c r="D1972" s="160"/>
      <c r="E1972" s="153"/>
      <c r="F1972" s="153"/>
      <c r="G1972" s="153">
        <f>CIP!$AP$120</f>
        <v>712905.59362499986</v>
      </c>
      <c r="H1972" s="206"/>
      <c r="I1972" s="150">
        <f>SUM(D1972:H1972)</f>
        <v>712905.59362499986</v>
      </c>
      <c r="J1972" s="147"/>
      <c r="K1972" s="221"/>
      <c r="L1972" s="147"/>
      <c r="M1972" s="219"/>
      <c r="N1972" s="149"/>
      <c r="O1972" s="226"/>
      <c r="P1972" s="150">
        <f t="shared" si="159"/>
        <v>712905.59362499986</v>
      </c>
      <c r="Q1972" s="576"/>
    </row>
    <row r="1973" spans="1:20" ht="16.5" customHeight="1" collapsed="1">
      <c r="A1973" s="559"/>
      <c r="B1973" s="264"/>
      <c r="C1973" s="520" t="s">
        <v>663</v>
      </c>
      <c r="D1973" s="504"/>
      <c r="E1973" s="505">
        <f>SUM(E1971:E1972)</f>
        <v>103499.99999999999</v>
      </c>
      <c r="F1973" s="505"/>
      <c r="G1973" s="505">
        <f>SUM(G1970:G1972)</f>
        <v>712905.59362499986</v>
      </c>
      <c r="H1973" s="506"/>
      <c r="I1973" s="178">
        <f>SUM(I1971:I1972)</f>
        <v>816405.59362499986</v>
      </c>
      <c r="J1973" s="193">
        <f>SUM(J1971)</f>
        <v>700000</v>
      </c>
      <c r="K1973" s="507">
        <f t="shared" si="161"/>
        <v>861000</v>
      </c>
      <c r="L1973" s="193">
        <f>SUM(L1970:L1971)</f>
        <v>200000</v>
      </c>
      <c r="M1973" s="512">
        <f t="shared" si="160"/>
        <v>292000</v>
      </c>
      <c r="N1973" s="194"/>
      <c r="O1973" s="506"/>
      <c r="P1973" s="178">
        <f t="shared" si="159"/>
        <v>1969405.5936249997</v>
      </c>
      <c r="Q1973" s="576"/>
    </row>
    <row r="1974" spans="1:20" ht="18" customHeight="1">
      <c r="A1974" s="550"/>
      <c r="B1974" s="605" t="s">
        <v>1198</v>
      </c>
      <c r="C1974" s="606"/>
      <c r="D1974" s="510"/>
      <c r="E1974" s="514">
        <f>SUM(E1961,E1965,E1969,E1973)</f>
        <v>310499.99999999994</v>
      </c>
      <c r="F1974" s="514">
        <f>SUM(F1961,F1965,F1969,F1973)</f>
        <v>160683.74999999997</v>
      </c>
      <c r="G1974" s="514">
        <f t="shared" ref="G1974:H1974" si="163">SUM(G1961,G1965,G1969,G1973)</f>
        <v>1100956.8498749998</v>
      </c>
      <c r="H1974" s="515">
        <f t="shared" si="163"/>
        <v>149177.99008124997</v>
      </c>
      <c r="I1974" s="516">
        <f>SUM(D1974:H1974)</f>
        <v>1721318.5899562498</v>
      </c>
      <c r="J1974" s="517">
        <f>SUM(J1961,J1965,J1969,J1973)</f>
        <v>1235000</v>
      </c>
      <c r="K1974" s="518">
        <f t="shared" si="161"/>
        <v>1519050</v>
      </c>
      <c r="L1974" s="517">
        <f>SUM(L1961,L1965,L1969,L1973)</f>
        <v>800000</v>
      </c>
      <c r="M1974" s="519">
        <f t="shared" si="160"/>
        <v>1168000</v>
      </c>
      <c r="N1974" s="517">
        <f>SUM(N1961,N1965,N1969,N1973)</f>
        <v>605000</v>
      </c>
      <c r="O1974" s="515">
        <f>N1974*1.73</f>
        <v>1046650</v>
      </c>
      <c r="P1974" s="516">
        <f t="shared" si="159"/>
        <v>5455018.58995625</v>
      </c>
      <c r="Q1974" s="568"/>
    </row>
    <row r="1975" spans="1:20" ht="12" customHeight="1">
      <c r="A1975" s="550"/>
      <c r="B1975" s="152"/>
      <c r="C1975" s="152"/>
      <c r="D1975" s="160"/>
      <c r="E1975" s="153"/>
      <c r="F1975" s="153"/>
      <c r="G1975" s="153"/>
      <c r="H1975" s="206"/>
      <c r="I1975" s="163"/>
      <c r="J1975" s="157"/>
      <c r="K1975" s="157"/>
      <c r="L1975" s="157"/>
      <c r="M1975" s="154"/>
      <c r="N1975" s="154"/>
      <c r="O1975" s="206"/>
      <c r="P1975" s="150"/>
      <c r="Q1975" s="569"/>
    </row>
    <row r="1976" spans="1:20" ht="15.75">
      <c r="A1976" s="553" t="s">
        <v>664</v>
      </c>
      <c r="B1976" s="234"/>
      <c r="C1976" s="240"/>
      <c r="D1976" s="237"/>
      <c r="E1976" s="235"/>
      <c r="F1976" s="235"/>
      <c r="G1976" s="235"/>
      <c r="H1976" s="236"/>
      <c r="I1976" s="238"/>
      <c r="J1976" s="239"/>
      <c r="K1976" s="239"/>
      <c r="L1976" s="239"/>
      <c r="M1976" s="240"/>
      <c r="N1976" s="240"/>
      <c r="O1976" s="410"/>
      <c r="P1976" s="241"/>
      <c r="Q1976" s="584"/>
    </row>
    <row r="1977" spans="1:20" s="211" customFormat="1" hidden="1" outlineLevel="1">
      <c r="A1977" s="275" t="s">
        <v>665</v>
      </c>
      <c r="B1977" s="159"/>
      <c r="C1977" s="142"/>
      <c r="D1977" s="180"/>
      <c r="E1977" s="148"/>
      <c r="F1977" s="148"/>
      <c r="G1977" s="148"/>
      <c r="H1977" s="149"/>
      <c r="I1977" s="146"/>
      <c r="J1977" s="147"/>
      <c r="K1977" s="147"/>
      <c r="L1977" s="147"/>
      <c r="M1977" s="149"/>
      <c r="N1977" s="149"/>
      <c r="O1977" s="198"/>
      <c r="P1977" s="150"/>
      <c r="Q1977" s="590"/>
      <c r="R1977" s="383"/>
      <c r="S1977" s="383"/>
      <c r="T1977" s="383"/>
    </row>
    <row r="1978" spans="1:20" hidden="1" outlineLevel="2">
      <c r="A1978" s="274"/>
      <c r="B1978" s="142" t="s">
        <v>666</v>
      </c>
      <c r="C1978" s="152"/>
      <c r="D1978" s="180"/>
      <c r="E1978" s="148"/>
      <c r="F1978" s="148"/>
      <c r="G1978" s="148"/>
      <c r="H1978" s="149"/>
      <c r="I1978" s="146"/>
      <c r="J1978" s="147"/>
      <c r="K1978" s="147"/>
      <c r="L1978" s="147"/>
      <c r="M1978" s="149"/>
      <c r="N1978" s="149"/>
      <c r="O1978" s="198"/>
      <c r="P1978" s="150"/>
      <c r="Q1978" s="591"/>
      <c r="R1978" s="260"/>
      <c r="S1978" s="260"/>
      <c r="T1978" s="260"/>
    </row>
    <row r="1979" spans="1:20" hidden="1" outlineLevel="2">
      <c r="A1979" s="274"/>
      <c r="B1979" s="142"/>
      <c r="C1979" s="213" t="s">
        <v>667</v>
      </c>
      <c r="D1979" s="180"/>
      <c r="E1979" s="148"/>
      <c r="F1979" s="148"/>
      <c r="G1979" s="148"/>
      <c r="H1979" s="148">
        <v>200000</v>
      </c>
      <c r="I1979" s="146">
        <f>SUM(D1979:H1979)</f>
        <v>200000</v>
      </c>
      <c r="J1979" s="148">
        <v>270000</v>
      </c>
      <c r="K1979" s="147"/>
      <c r="L1979" s="211"/>
      <c r="M1979" s="159"/>
      <c r="N1979" s="149"/>
      <c r="O1979" s="198"/>
      <c r="P1979" s="150"/>
      <c r="Q1979" s="591"/>
      <c r="R1979" s="260"/>
      <c r="S1979" s="260"/>
      <c r="T1979" s="260"/>
    </row>
    <row r="1980" spans="1:20" hidden="1" outlineLevel="2">
      <c r="A1980" s="274"/>
      <c r="B1980" s="142"/>
      <c r="C1980" s="213" t="s">
        <v>668</v>
      </c>
      <c r="D1980" s="180"/>
      <c r="E1980" s="148"/>
      <c r="F1980" s="148"/>
      <c r="G1980" s="148"/>
      <c r="H1980" s="148">
        <v>200000</v>
      </c>
      <c r="I1980" s="146">
        <f>SUM(D1980:H1980)</f>
        <v>200000</v>
      </c>
      <c r="J1980" s="147"/>
      <c r="K1980" s="147"/>
      <c r="L1980" s="147"/>
      <c r="M1980" s="149"/>
      <c r="N1980" s="149"/>
      <c r="O1980" s="198"/>
      <c r="P1980" s="150"/>
      <c r="Q1980" s="591"/>
      <c r="R1980" s="260"/>
      <c r="S1980" s="260"/>
      <c r="T1980" s="260"/>
    </row>
    <row r="1981" spans="1:20" hidden="1" outlineLevel="2">
      <c r="A1981" s="274"/>
      <c r="B1981" s="152"/>
      <c r="C1981" s="213" t="s">
        <v>669</v>
      </c>
      <c r="D1981" s="180"/>
      <c r="E1981" s="148"/>
      <c r="F1981" s="148"/>
      <c r="G1981" s="148"/>
      <c r="H1981" s="148">
        <v>800000</v>
      </c>
      <c r="I1981" s="146">
        <f>SUM(D1981:H1981)</f>
        <v>800000</v>
      </c>
      <c r="J1981" s="148">
        <v>890000</v>
      </c>
      <c r="K1981" s="148"/>
      <c r="L1981" s="147"/>
      <c r="M1981" s="149"/>
      <c r="N1981" s="149"/>
      <c r="O1981" s="198"/>
      <c r="P1981" s="150"/>
      <c r="Q1981" s="591" t="s">
        <v>1344</v>
      </c>
      <c r="R1981" s="260"/>
      <c r="S1981" s="260"/>
      <c r="T1981" s="260"/>
    </row>
    <row r="1982" spans="1:20" hidden="1" outlineLevel="2">
      <c r="A1982" s="274"/>
      <c r="B1982" s="152"/>
      <c r="C1982" s="213" t="s">
        <v>670</v>
      </c>
      <c r="D1982" s="180"/>
      <c r="E1982" s="148"/>
      <c r="F1982" s="148"/>
      <c r="G1982" s="148"/>
      <c r="H1982" s="148"/>
      <c r="I1982" s="146"/>
      <c r="J1982" s="147"/>
      <c r="K1982" s="147"/>
      <c r="L1982" s="147"/>
      <c r="M1982" s="149"/>
      <c r="N1982" s="149"/>
      <c r="O1982" s="198"/>
      <c r="P1982" s="150"/>
      <c r="Q1982" s="591"/>
      <c r="R1982" s="260"/>
      <c r="S1982" s="260"/>
      <c r="T1982" s="260"/>
    </row>
    <row r="1983" spans="1:20" hidden="1" outlineLevel="2">
      <c r="A1983" s="274"/>
      <c r="B1983" s="152"/>
      <c r="C1983" s="213" t="s">
        <v>671</v>
      </c>
      <c r="D1983" s="180"/>
      <c r="E1983" s="148"/>
      <c r="F1983" s="148"/>
      <c r="G1983" s="148"/>
      <c r="H1983" s="148">
        <v>300000</v>
      </c>
      <c r="I1983" s="146">
        <f>SUM(D1983:H1983)</f>
        <v>300000</v>
      </c>
      <c r="J1983" s="147"/>
      <c r="K1983" s="147"/>
      <c r="L1983" s="147"/>
      <c r="M1983" s="149"/>
      <c r="N1983" s="149"/>
      <c r="O1983" s="198"/>
      <c r="P1983" s="150"/>
      <c r="Q1983" s="591"/>
      <c r="R1983" s="260"/>
      <c r="S1983" s="260"/>
      <c r="T1983" s="260"/>
    </row>
    <row r="1984" spans="1:20" hidden="1" outlineLevel="2">
      <c r="A1984" s="274"/>
      <c r="B1984" s="152"/>
      <c r="C1984" s="213" t="s">
        <v>672</v>
      </c>
      <c r="D1984" s="180"/>
      <c r="E1984" s="148"/>
      <c r="F1984" s="148"/>
      <c r="G1984" s="148"/>
      <c r="H1984" s="148"/>
      <c r="I1984" s="146"/>
      <c r="J1984" s="147">
        <v>760000</v>
      </c>
      <c r="K1984" s="147"/>
      <c r="L1984" s="147"/>
      <c r="M1984" s="149"/>
      <c r="N1984" s="149"/>
      <c r="O1984" s="198"/>
      <c r="P1984" s="150"/>
      <c r="Q1984" s="591"/>
      <c r="R1984" s="260"/>
      <c r="S1984" s="260"/>
      <c r="T1984" s="260"/>
    </row>
    <row r="1985" spans="1:20" hidden="1" outlineLevel="2">
      <c r="A1985" s="274"/>
      <c r="B1985" s="152"/>
      <c r="C1985" s="213" t="s">
        <v>673</v>
      </c>
      <c r="D1985" s="180"/>
      <c r="E1985" s="148"/>
      <c r="F1985" s="148"/>
      <c r="G1985" s="148"/>
      <c r="H1985" s="148"/>
      <c r="I1985" s="146"/>
      <c r="J1985" s="147"/>
      <c r="K1985" s="147"/>
      <c r="L1985" s="147"/>
      <c r="M1985" s="149"/>
      <c r="N1985" s="149"/>
      <c r="O1985" s="198"/>
      <c r="P1985" s="150"/>
      <c r="Q1985" s="591"/>
      <c r="R1985" s="260"/>
      <c r="S1985" s="260"/>
      <c r="T1985" s="260"/>
    </row>
    <row r="1986" spans="1:20" hidden="1" outlineLevel="2">
      <c r="A1986" s="274"/>
      <c r="B1986" s="152"/>
      <c r="C1986" s="213" t="s">
        <v>674</v>
      </c>
      <c r="D1986" s="180"/>
      <c r="E1986" s="148"/>
      <c r="F1986" s="148"/>
      <c r="G1986" s="148"/>
      <c r="H1986" s="148"/>
      <c r="I1986" s="146"/>
      <c r="J1986" s="148">
        <v>270000</v>
      </c>
      <c r="K1986" s="148"/>
      <c r="L1986" s="147"/>
      <c r="M1986" s="149"/>
      <c r="N1986" s="149"/>
      <c r="O1986" s="198"/>
      <c r="P1986" s="150"/>
      <c r="Q1986" s="591"/>
      <c r="R1986" s="260"/>
      <c r="S1986" s="260"/>
      <c r="T1986" s="260"/>
    </row>
    <row r="1987" spans="1:20" hidden="1" outlineLevel="2">
      <c r="A1987" s="274"/>
      <c r="B1987" s="152"/>
      <c r="C1987" s="213" t="s">
        <v>675</v>
      </c>
      <c r="D1987" s="180"/>
      <c r="E1987" s="148"/>
      <c r="F1987" s="227"/>
      <c r="G1987" s="227"/>
      <c r="H1987" s="148"/>
      <c r="I1987" s="146"/>
      <c r="J1987" s="147"/>
      <c r="K1987" s="147"/>
      <c r="L1987" s="147"/>
      <c r="M1987" s="149"/>
      <c r="N1987" s="149"/>
      <c r="O1987" s="198"/>
      <c r="P1987" s="150"/>
      <c r="Q1987" s="591"/>
      <c r="R1987" s="260"/>
      <c r="S1987" s="260"/>
      <c r="T1987" s="260"/>
    </row>
    <row r="1988" spans="1:20" hidden="1" outlineLevel="2">
      <c r="A1988" s="274"/>
      <c r="B1988" s="152"/>
      <c r="C1988" s="213" t="s">
        <v>676</v>
      </c>
      <c r="D1988" s="180"/>
      <c r="E1988" s="148"/>
      <c r="F1988" s="148"/>
      <c r="G1988" s="148"/>
      <c r="H1988" s="148"/>
      <c r="I1988" s="146"/>
      <c r="J1988" s="147"/>
      <c r="K1988" s="147"/>
      <c r="L1988" s="147"/>
      <c r="M1988" s="149"/>
      <c r="N1988" s="149"/>
      <c r="O1988" s="198"/>
      <c r="P1988" s="150"/>
      <c r="Q1988" s="591"/>
      <c r="R1988" s="260"/>
      <c r="S1988" s="260"/>
      <c r="T1988" s="260"/>
    </row>
    <row r="1989" spans="1:20" hidden="1" outlineLevel="2">
      <c r="A1989" s="274"/>
      <c r="B1989" s="152"/>
      <c r="C1989" s="213" t="s">
        <v>677</v>
      </c>
      <c r="D1989" s="261"/>
      <c r="E1989" s="148"/>
      <c r="F1989" s="148"/>
      <c r="G1989" s="148"/>
      <c r="H1989" s="147">
        <v>150000</v>
      </c>
      <c r="I1989" s="146">
        <f>SUM(D1989:H1989)</f>
        <v>150000</v>
      </c>
      <c r="J1989" s="255">
        <v>175000</v>
      </c>
      <c r="K1989" s="147"/>
      <c r="L1989" s="147"/>
      <c r="M1989" s="149"/>
      <c r="N1989" s="149"/>
      <c r="O1989" s="198"/>
      <c r="P1989" s="150"/>
      <c r="Q1989" s="591"/>
      <c r="R1989" s="260"/>
      <c r="S1989" s="260"/>
      <c r="T1989" s="260"/>
    </row>
    <row r="1990" spans="1:20" hidden="1" outlineLevel="1" collapsed="1">
      <c r="A1990" s="274"/>
      <c r="B1990" s="152"/>
      <c r="C1990" s="142" t="s">
        <v>666</v>
      </c>
      <c r="D1990" s="367"/>
      <c r="E1990" s="257"/>
      <c r="F1990" s="257"/>
      <c r="G1990" s="257"/>
      <c r="H1990" s="309">
        <f>CIP!$AQ$146</f>
        <v>1893412.9510312495</v>
      </c>
      <c r="I1990" s="259">
        <f>SUM(D1990:H1990)</f>
        <v>1893412.9510312495</v>
      </c>
      <c r="J1990" s="373">
        <f>SUM(J1979:J1989)</f>
        <v>2365000</v>
      </c>
      <c r="K1990" s="221">
        <f>J1990*1.23</f>
        <v>2908950</v>
      </c>
      <c r="L1990" s="182"/>
      <c r="M1990" s="258"/>
      <c r="N1990" s="258"/>
      <c r="O1990" s="414"/>
      <c r="P1990" s="150">
        <f t="shared" ref="P1990" si="164">SUM(I1990,K1990,M1990,O1990)</f>
        <v>4802362.951031249</v>
      </c>
      <c r="Q1990" s="591" t="s">
        <v>1379</v>
      </c>
      <c r="R1990" s="260"/>
      <c r="S1990" s="260"/>
      <c r="T1990" s="260"/>
    </row>
    <row r="1991" spans="1:20" hidden="1" outlineLevel="2">
      <c r="A1991" s="274"/>
      <c r="B1991" s="142" t="s">
        <v>678</v>
      </c>
      <c r="C1991" s="152"/>
      <c r="D1991" s="180"/>
      <c r="E1991" s="148"/>
      <c r="F1991" s="148"/>
      <c r="G1991" s="148"/>
      <c r="H1991" s="148"/>
      <c r="I1991" s="146"/>
      <c r="J1991" s="147"/>
      <c r="K1991" s="147"/>
      <c r="L1991" s="231"/>
      <c r="M1991" s="149"/>
      <c r="N1991" s="149"/>
      <c r="O1991" s="198"/>
      <c r="P1991" s="150"/>
      <c r="Q1991" s="591"/>
      <c r="R1991" s="260"/>
      <c r="S1991" s="260"/>
      <c r="T1991" s="260"/>
    </row>
    <row r="1992" spans="1:20" hidden="1" outlineLevel="2">
      <c r="A1992" s="274"/>
      <c r="B1992" s="142"/>
      <c r="C1992" s="213" t="s">
        <v>667</v>
      </c>
      <c r="D1992" s="180"/>
      <c r="E1992" s="148"/>
      <c r="F1992" s="148"/>
      <c r="G1992" s="148"/>
      <c r="H1992" s="148"/>
      <c r="I1992" s="146"/>
      <c r="J1992" s="148"/>
      <c r="K1992" s="147"/>
      <c r="L1992" s="231">
        <v>190000</v>
      </c>
      <c r="M1992" s="219">
        <f t="shared" ref="M1992:M1993" si="165">L1992*1.46</f>
        <v>277400</v>
      </c>
      <c r="N1992" s="149"/>
      <c r="O1992" s="198"/>
      <c r="P1992" s="150">
        <f t="shared" ref="P1992:P2035" si="166">SUM(I1992,K1992,M1992,O1992)</f>
        <v>277400</v>
      </c>
      <c r="Q1992" s="591"/>
      <c r="R1992" s="260"/>
      <c r="S1992" s="260"/>
      <c r="T1992" s="260"/>
    </row>
    <row r="1993" spans="1:20" hidden="1" outlineLevel="2">
      <c r="A1993" s="274"/>
      <c r="B1993" s="152"/>
      <c r="C1993" s="213" t="s">
        <v>669</v>
      </c>
      <c r="D1993" s="180"/>
      <c r="E1993" s="148"/>
      <c r="F1993" s="148"/>
      <c r="G1993" s="148"/>
      <c r="H1993" s="148"/>
      <c r="I1993" s="146"/>
      <c r="J1993" s="148">
        <v>450000</v>
      </c>
      <c r="K1993" s="221">
        <f>J1993*1.23</f>
        <v>553500</v>
      </c>
      <c r="L1993" s="231">
        <v>210000</v>
      </c>
      <c r="M1993" s="219">
        <f t="shared" si="165"/>
        <v>306600</v>
      </c>
      <c r="N1993" s="149"/>
      <c r="O1993" s="198"/>
      <c r="P1993" s="150">
        <f t="shared" si="166"/>
        <v>860100</v>
      </c>
      <c r="Q1993" s="591"/>
      <c r="R1993" s="260"/>
      <c r="S1993" s="260"/>
      <c r="T1993" s="260"/>
    </row>
    <row r="1994" spans="1:20" hidden="1" outlineLevel="2">
      <c r="A1994" s="274"/>
      <c r="B1994" s="152"/>
      <c r="C1994" s="213" t="s">
        <v>670</v>
      </c>
      <c r="D1994" s="180"/>
      <c r="E1994" s="148"/>
      <c r="F1994" s="148"/>
      <c r="G1994" s="148"/>
      <c r="H1994" s="148"/>
      <c r="I1994" s="146"/>
      <c r="J1994" s="148"/>
      <c r="K1994" s="147"/>
      <c r="L1994" s="231"/>
      <c r="M1994" s="231"/>
      <c r="N1994" s="149"/>
      <c r="O1994" s="198"/>
      <c r="P1994" s="150"/>
      <c r="Q1994" s="591"/>
      <c r="R1994" s="260"/>
      <c r="S1994" s="260"/>
      <c r="T1994" s="260"/>
    </row>
    <row r="1995" spans="1:20" hidden="1" outlineLevel="2">
      <c r="A1995" s="274"/>
      <c r="B1995" s="152"/>
      <c r="C1995" s="213" t="s">
        <v>671</v>
      </c>
      <c r="D1995" s="180"/>
      <c r="E1995" s="148"/>
      <c r="F1995" s="148"/>
      <c r="G1995" s="148"/>
      <c r="H1995" s="148"/>
      <c r="I1995" s="146"/>
      <c r="J1995" s="148">
        <v>200000</v>
      </c>
      <c r="K1995" s="221">
        <f t="shared" ref="K1995:K1996" si="167">J1995*1.23</f>
        <v>246000</v>
      </c>
      <c r="L1995" s="231"/>
      <c r="M1995" s="231"/>
      <c r="N1995" s="149"/>
      <c r="O1995" s="198"/>
      <c r="P1995" s="150">
        <f t="shared" si="166"/>
        <v>246000</v>
      </c>
      <c r="Q1995" s="591"/>
      <c r="R1995" s="260"/>
      <c r="S1995" s="260"/>
      <c r="T1995" s="260"/>
    </row>
    <row r="1996" spans="1:20" hidden="1" outlineLevel="2">
      <c r="A1996" s="274"/>
      <c r="B1996" s="152"/>
      <c r="C1996" s="213" t="s">
        <v>672</v>
      </c>
      <c r="D1996" s="180"/>
      <c r="E1996" s="148"/>
      <c r="F1996" s="148"/>
      <c r="G1996" s="148"/>
      <c r="H1996" s="148"/>
      <c r="I1996" s="146"/>
      <c r="J1996" s="148">
        <v>150000</v>
      </c>
      <c r="K1996" s="221">
        <f t="shared" si="167"/>
        <v>184500</v>
      </c>
      <c r="L1996" s="231">
        <v>175000</v>
      </c>
      <c r="M1996" s="219">
        <f t="shared" ref="M1996" si="168">L1996*1.46</f>
        <v>255500</v>
      </c>
      <c r="N1996" s="149"/>
      <c r="O1996" s="198"/>
      <c r="P1996" s="150">
        <f t="shared" si="166"/>
        <v>440000</v>
      </c>
      <c r="Q1996" s="591"/>
      <c r="R1996" s="260"/>
      <c r="S1996" s="260"/>
      <c r="T1996" s="260"/>
    </row>
    <row r="1997" spans="1:20" hidden="1" outlineLevel="2">
      <c r="A1997" s="274"/>
      <c r="B1997" s="152"/>
      <c r="C1997" s="213" t="s">
        <v>673</v>
      </c>
      <c r="D1997" s="180"/>
      <c r="E1997" s="148"/>
      <c r="F1997" s="148"/>
      <c r="G1997" s="148"/>
      <c r="H1997" s="148"/>
      <c r="I1997" s="146"/>
      <c r="J1997" s="148"/>
      <c r="K1997" s="147"/>
      <c r="L1997" s="231"/>
      <c r="M1997" s="231"/>
      <c r="N1997" s="149"/>
      <c r="O1997" s="198"/>
      <c r="P1997" s="150"/>
      <c r="Q1997" s="591"/>
      <c r="R1997" s="260"/>
      <c r="S1997" s="260"/>
      <c r="T1997" s="260"/>
    </row>
    <row r="1998" spans="1:20" hidden="1" outlineLevel="2">
      <c r="A1998" s="274"/>
      <c r="B1998" s="152"/>
      <c r="C1998" s="213" t="s">
        <v>674</v>
      </c>
      <c r="D1998" s="180"/>
      <c r="E1998" s="148"/>
      <c r="F1998" s="148"/>
      <c r="G1998" s="148"/>
      <c r="H1998" s="148"/>
      <c r="I1998" s="146"/>
      <c r="J1998" s="148"/>
      <c r="K1998" s="147"/>
      <c r="L1998" s="231">
        <v>240000</v>
      </c>
      <c r="M1998" s="219">
        <f t="shared" ref="M1998" si="169">L1998*1.46</f>
        <v>350400</v>
      </c>
      <c r="N1998" s="149"/>
      <c r="O1998" s="198"/>
      <c r="P1998" s="150">
        <f t="shared" si="166"/>
        <v>350400</v>
      </c>
      <c r="Q1998" s="591"/>
      <c r="R1998" s="260"/>
      <c r="S1998" s="260"/>
      <c r="T1998" s="260"/>
    </row>
    <row r="1999" spans="1:20" hidden="1" outlineLevel="2">
      <c r="A1999" s="274"/>
      <c r="B1999" s="152"/>
      <c r="C1999" s="213" t="s">
        <v>675</v>
      </c>
      <c r="D1999" s="180"/>
      <c r="E1999" s="148"/>
      <c r="F1999" s="148"/>
      <c r="G1999" s="148"/>
      <c r="H1999" s="148"/>
      <c r="I1999" s="146"/>
      <c r="J1999" s="148"/>
      <c r="K1999" s="147"/>
      <c r="L1999" s="231"/>
      <c r="M1999" s="231"/>
      <c r="N1999" s="149"/>
      <c r="O1999" s="198"/>
      <c r="P1999" s="150"/>
      <c r="Q1999" s="591"/>
      <c r="R1999" s="260"/>
      <c r="S1999" s="260"/>
      <c r="T1999" s="260"/>
    </row>
    <row r="2000" spans="1:20" hidden="1" outlineLevel="2">
      <c r="A2000" s="274"/>
      <c r="B2000" s="152"/>
      <c r="C2000" s="213" t="s">
        <v>1380</v>
      </c>
      <c r="D2000" s="180"/>
      <c r="E2000" s="148"/>
      <c r="F2000" s="148"/>
      <c r="G2000" s="148"/>
      <c r="H2000" s="148"/>
      <c r="I2000" s="146"/>
      <c r="J2000" s="148"/>
      <c r="K2000" s="147"/>
      <c r="L2000" s="147"/>
      <c r="M2000" s="231"/>
      <c r="N2000" s="149"/>
      <c r="O2000" s="198"/>
      <c r="P2000" s="150"/>
      <c r="Q2000" s="591" t="s">
        <v>1345</v>
      </c>
      <c r="R2000" s="260"/>
      <c r="S2000" s="260"/>
      <c r="T2000" s="260"/>
    </row>
    <row r="2001" spans="1:20" hidden="1" outlineLevel="2">
      <c r="A2001" s="274"/>
      <c r="B2001" s="152"/>
      <c r="C2001" s="213" t="s">
        <v>677</v>
      </c>
      <c r="D2001" s="180"/>
      <c r="E2001" s="148"/>
      <c r="F2001" s="148"/>
      <c r="G2001" s="148"/>
      <c r="H2001" s="148"/>
      <c r="I2001" s="146"/>
      <c r="J2001" s="146"/>
      <c r="K2001" s="147"/>
      <c r="L2001" s="147"/>
      <c r="M2001" s="231"/>
      <c r="N2001" s="149"/>
      <c r="O2001" s="198"/>
      <c r="P2001" s="150"/>
      <c r="Q2001" s="591"/>
      <c r="R2001" s="260"/>
      <c r="S2001" s="260"/>
      <c r="T2001" s="260"/>
    </row>
    <row r="2002" spans="1:20" hidden="1" outlineLevel="1" collapsed="1">
      <c r="A2002" s="274"/>
      <c r="B2002" s="152"/>
      <c r="C2002" s="142" t="s">
        <v>678</v>
      </c>
      <c r="D2002" s="256"/>
      <c r="E2002" s="257"/>
      <c r="F2002" s="257"/>
      <c r="G2002" s="257"/>
      <c r="H2002" s="257"/>
      <c r="I2002" s="179"/>
      <c r="J2002" s="310">
        <f>SUM(J1992:J2000)</f>
        <v>800000</v>
      </c>
      <c r="K2002" s="221">
        <f>J2002*1.23</f>
        <v>984000</v>
      </c>
      <c r="L2002" s="309">
        <f>SUM(L1992:L2000)</f>
        <v>815000</v>
      </c>
      <c r="M2002" s="219">
        <f t="shared" ref="M2002" si="170">L2002*1.46</f>
        <v>1189900</v>
      </c>
      <c r="N2002" s="258"/>
      <c r="O2002" s="414"/>
      <c r="P2002" s="150">
        <f t="shared" si="166"/>
        <v>2173900</v>
      </c>
      <c r="Q2002" s="591" t="s">
        <v>1346</v>
      </c>
      <c r="R2002" s="260"/>
      <c r="S2002" s="260"/>
      <c r="T2002" s="260"/>
    </row>
    <row r="2003" spans="1:20" hidden="1" outlineLevel="2">
      <c r="A2003" s="275"/>
      <c r="B2003" s="142" t="s">
        <v>679</v>
      </c>
      <c r="C2003" s="152"/>
      <c r="D2003" s="180"/>
      <c r="E2003" s="148"/>
      <c r="F2003" s="148"/>
      <c r="G2003" s="148"/>
      <c r="H2003" s="149"/>
      <c r="I2003" s="146"/>
      <c r="J2003" s="147"/>
      <c r="K2003" s="147"/>
      <c r="L2003" s="147"/>
      <c r="M2003" s="149"/>
      <c r="N2003" s="149"/>
      <c r="O2003" s="198"/>
      <c r="P2003" s="150"/>
      <c r="Q2003" s="591"/>
      <c r="R2003" s="260"/>
      <c r="S2003" s="260"/>
      <c r="T2003" s="260"/>
    </row>
    <row r="2004" spans="1:20" hidden="1" outlineLevel="2">
      <c r="A2004" s="274"/>
      <c r="B2004" s="152"/>
      <c r="C2004" s="213" t="s">
        <v>266</v>
      </c>
      <c r="D2004" s="180">
        <f>CIP!$AM$30</f>
        <v>100000</v>
      </c>
      <c r="E2004" s="148"/>
      <c r="F2004" s="148"/>
      <c r="G2004" s="148"/>
      <c r="H2004" s="149"/>
      <c r="I2004" s="146">
        <f>SUM(D2004:H2004)</f>
        <v>100000</v>
      </c>
      <c r="J2004" s="147"/>
      <c r="K2004" s="147"/>
      <c r="L2004" s="147"/>
      <c r="M2004" s="149"/>
      <c r="N2004" s="149"/>
      <c r="O2004" s="198"/>
      <c r="P2004" s="150">
        <f t="shared" si="166"/>
        <v>100000</v>
      </c>
      <c r="Q2004" s="591" t="s">
        <v>1347</v>
      </c>
      <c r="R2004" s="260"/>
      <c r="S2004" s="260"/>
      <c r="T2004" s="260"/>
    </row>
    <row r="2005" spans="1:20" hidden="1" outlineLevel="1" collapsed="1">
      <c r="A2005" s="274"/>
      <c r="B2005" s="152"/>
      <c r="C2005" s="142" t="s">
        <v>679</v>
      </c>
      <c r="D2005" s="220">
        <f>SUM(D2004)</f>
        <v>100000</v>
      </c>
      <c r="E2005" s="217"/>
      <c r="F2005" s="217"/>
      <c r="G2005" s="217"/>
      <c r="H2005" s="219"/>
      <c r="I2005" s="150">
        <f>SUM(D2005:H2005)</f>
        <v>100000</v>
      </c>
      <c r="J2005" s="147"/>
      <c r="K2005" s="147"/>
      <c r="L2005" s="147"/>
      <c r="M2005" s="149"/>
      <c r="N2005" s="149"/>
      <c r="O2005" s="198"/>
      <c r="P2005" s="150">
        <f t="shared" si="166"/>
        <v>100000</v>
      </c>
      <c r="Q2005" s="591" t="s">
        <v>1348</v>
      </c>
      <c r="R2005" s="260"/>
      <c r="S2005" s="260"/>
      <c r="T2005" s="260"/>
    </row>
    <row r="2006" spans="1:20" hidden="1" outlineLevel="2">
      <c r="A2006" s="274"/>
      <c r="B2006" s="142" t="s">
        <v>680</v>
      </c>
      <c r="C2006" s="152"/>
      <c r="D2006" s="180"/>
      <c r="E2006" s="148"/>
      <c r="F2006" s="148"/>
      <c r="G2006" s="148"/>
      <c r="H2006" s="149"/>
      <c r="I2006" s="146"/>
      <c r="J2006" s="147"/>
      <c r="K2006" s="147"/>
      <c r="L2006" s="147"/>
      <c r="M2006" s="149"/>
      <c r="N2006" s="149"/>
      <c r="O2006" s="198"/>
      <c r="P2006" s="150"/>
      <c r="Q2006" s="591"/>
      <c r="R2006" s="260"/>
      <c r="S2006" s="260"/>
      <c r="T2006" s="260"/>
    </row>
    <row r="2007" spans="1:20" hidden="1" outlineLevel="2">
      <c r="A2007" s="274"/>
      <c r="B2007" s="152"/>
      <c r="C2007" s="213" t="s">
        <v>669</v>
      </c>
      <c r="D2007" s="180"/>
      <c r="E2007" s="148"/>
      <c r="F2007" s="148"/>
      <c r="G2007" s="148"/>
      <c r="H2007" s="149"/>
      <c r="I2007" s="146"/>
      <c r="J2007" s="147"/>
      <c r="K2007" s="147"/>
      <c r="L2007" s="147"/>
      <c r="M2007" s="149"/>
      <c r="N2007" s="149"/>
      <c r="O2007" s="198"/>
      <c r="P2007" s="150"/>
      <c r="Q2007" s="591"/>
      <c r="R2007" s="260"/>
      <c r="S2007" s="260"/>
      <c r="T2007" s="260"/>
    </row>
    <row r="2008" spans="1:20" hidden="1" outlineLevel="2">
      <c r="A2008" s="274"/>
      <c r="B2008" s="152"/>
      <c r="C2008" s="213" t="s">
        <v>670</v>
      </c>
      <c r="D2008" s="180"/>
      <c r="E2008" s="148"/>
      <c r="F2008" s="148"/>
      <c r="G2008" s="148"/>
      <c r="H2008" s="149"/>
      <c r="I2008" s="146"/>
      <c r="J2008" s="147"/>
      <c r="K2008" s="147"/>
      <c r="L2008" s="147"/>
      <c r="M2008" s="149"/>
      <c r="N2008" s="149"/>
      <c r="O2008" s="198"/>
      <c r="P2008" s="150"/>
      <c r="Q2008" s="591"/>
      <c r="R2008" s="260"/>
      <c r="S2008" s="260"/>
      <c r="T2008" s="260"/>
    </row>
    <row r="2009" spans="1:20" hidden="1" outlineLevel="2">
      <c r="A2009" s="274"/>
      <c r="B2009" s="152"/>
      <c r="C2009" s="213" t="s">
        <v>671</v>
      </c>
      <c r="D2009" s="180"/>
      <c r="E2009" s="148"/>
      <c r="F2009" s="148"/>
      <c r="G2009" s="148"/>
      <c r="H2009" s="149"/>
      <c r="I2009" s="146"/>
      <c r="J2009" s="147"/>
      <c r="K2009" s="147"/>
      <c r="L2009" s="147"/>
      <c r="M2009" s="149"/>
      <c r="N2009" s="149"/>
      <c r="O2009" s="198"/>
      <c r="P2009" s="150"/>
      <c r="Q2009" s="591"/>
      <c r="R2009" s="260"/>
      <c r="S2009" s="260"/>
      <c r="T2009" s="260"/>
    </row>
    <row r="2010" spans="1:20" hidden="1" outlineLevel="2">
      <c r="A2010" s="274"/>
      <c r="B2010" s="152"/>
      <c r="C2010" s="213" t="s">
        <v>672</v>
      </c>
      <c r="D2010" s="180"/>
      <c r="E2010" s="148"/>
      <c r="F2010" s="148"/>
      <c r="G2010" s="148"/>
      <c r="H2010" s="149"/>
      <c r="I2010" s="146"/>
      <c r="J2010" s="147"/>
      <c r="K2010" s="147"/>
      <c r="L2010" s="147"/>
      <c r="M2010" s="149"/>
      <c r="N2010" s="149"/>
      <c r="O2010" s="198"/>
      <c r="P2010" s="150"/>
      <c r="Q2010" s="591"/>
      <c r="R2010" s="260"/>
      <c r="S2010" s="260"/>
      <c r="T2010" s="260"/>
    </row>
    <row r="2011" spans="1:20" hidden="1" outlineLevel="2">
      <c r="A2011" s="274"/>
      <c r="B2011" s="152"/>
      <c r="C2011" s="213" t="s">
        <v>673</v>
      </c>
      <c r="D2011" s="180"/>
      <c r="E2011" s="148"/>
      <c r="F2011" s="148"/>
      <c r="G2011" s="148"/>
      <c r="H2011" s="149"/>
      <c r="I2011" s="146"/>
      <c r="J2011" s="147">
        <v>150000</v>
      </c>
      <c r="K2011" s="221">
        <f>J2011*1.23</f>
        <v>184500</v>
      </c>
      <c r="L2011" s="147"/>
      <c r="M2011" s="149"/>
      <c r="N2011" s="149"/>
      <c r="O2011" s="198"/>
      <c r="P2011" s="150">
        <f t="shared" si="166"/>
        <v>184500</v>
      </c>
      <c r="Q2011" s="591"/>
      <c r="R2011" s="260"/>
      <c r="S2011" s="260"/>
      <c r="T2011" s="260"/>
    </row>
    <row r="2012" spans="1:20" hidden="1" outlineLevel="2">
      <c r="A2012" s="274"/>
      <c r="B2012" s="152"/>
      <c r="C2012" s="213" t="s">
        <v>674</v>
      </c>
      <c r="D2012" s="180"/>
      <c r="E2012" s="148"/>
      <c r="F2012" s="148"/>
      <c r="G2012" s="148"/>
      <c r="H2012" s="149"/>
      <c r="I2012" s="146"/>
      <c r="J2012" s="147"/>
      <c r="K2012" s="147"/>
      <c r="L2012" s="147"/>
      <c r="M2012" s="149"/>
      <c r="N2012" s="149"/>
      <c r="O2012" s="198"/>
      <c r="P2012" s="150">
        <f t="shared" si="166"/>
        <v>0</v>
      </c>
      <c r="Q2012" s="591"/>
      <c r="R2012" s="260"/>
      <c r="S2012" s="260"/>
      <c r="T2012" s="260"/>
    </row>
    <row r="2013" spans="1:20" hidden="1" outlineLevel="2">
      <c r="A2013" s="274"/>
      <c r="B2013" s="152"/>
      <c r="C2013" s="213" t="s">
        <v>675</v>
      </c>
      <c r="D2013" s="180"/>
      <c r="E2013" s="148"/>
      <c r="F2013" s="148"/>
      <c r="G2013" s="148"/>
      <c r="H2013" s="149"/>
      <c r="I2013" s="146"/>
      <c r="J2013" s="147"/>
      <c r="K2013" s="147"/>
      <c r="L2013" s="147"/>
      <c r="M2013" s="149"/>
      <c r="N2013" s="149"/>
      <c r="O2013" s="198"/>
      <c r="P2013" s="150">
        <f t="shared" si="166"/>
        <v>0</v>
      </c>
      <c r="Q2013" s="591"/>
      <c r="R2013" s="260"/>
      <c r="S2013" s="260"/>
      <c r="T2013" s="260"/>
    </row>
    <row r="2014" spans="1:20" hidden="1" outlineLevel="2">
      <c r="A2014" s="274"/>
      <c r="B2014" s="152"/>
      <c r="C2014" s="213" t="s">
        <v>266</v>
      </c>
      <c r="D2014" s="180"/>
      <c r="E2014" s="148"/>
      <c r="F2014" s="148"/>
      <c r="G2014" s="148"/>
      <c r="H2014" s="149"/>
      <c r="I2014" s="146"/>
      <c r="J2014" s="147"/>
      <c r="K2014" s="147"/>
      <c r="L2014" s="147"/>
      <c r="M2014" s="149"/>
      <c r="N2014" s="149"/>
      <c r="O2014" s="198"/>
      <c r="P2014" s="150">
        <f t="shared" si="166"/>
        <v>0</v>
      </c>
      <c r="Q2014" s="591"/>
      <c r="R2014" s="260"/>
      <c r="S2014" s="260"/>
      <c r="T2014" s="260"/>
    </row>
    <row r="2015" spans="1:20" hidden="1" outlineLevel="1" collapsed="1">
      <c r="A2015" s="274"/>
      <c r="B2015" s="152"/>
      <c r="C2015" s="142" t="s">
        <v>680</v>
      </c>
      <c r="D2015" s="180"/>
      <c r="E2015" s="148"/>
      <c r="F2015" s="148"/>
      <c r="G2015" s="148"/>
      <c r="H2015" s="149"/>
      <c r="I2015" s="146"/>
      <c r="J2015" s="221">
        <f>SUM(J2007:J2014)</f>
        <v>150000</v>
      </c>
      <c r="K2015" s="221">
        <f>J2015*1.23</f>
        <v>184500</v>
      </c>
      <c r="L2015" s="147"/>
      <c r="M2015" s="149"/>
      <c r="N2015" s="149"/>
      <c r="O2015" s="198"/>
      <c r="P2015" s="150">
        <f t="shared" si="166"/>
        <v>184500</v>
      </c>
      <c r="Q2015" s="591"/>
      <c r="R2015" s="260"/>
      <c r="S2015" s="260"/>
      <c r="T2015" s="260"/>
    </row>
    <row r="2016" spans="1:20" hidden="1" outlineLevel="2">
      <c r="A2016" s="560"/>
      <c r="B2016" s="142" t="s">
        <v>681</v>
      </c>
      <c r="C2016" s="152"/>
      <c r="D2016" s="180"/>
      <c r="E2016" s="148"/>
      <c r="F2016" s="148"/>
      <c r="G2016" s="148"/>
      <c r="H2016" s="149"/>
      <c r="I2016" s="146"/>
      <c r="J2016" s="147"/>
      <c r="K2016" s="147"/>
      <c r="L2016" s="147"/>
      <c r="M2016" s="149"/>
      <c r="N2016" s="149"/>
      <c r="O2016" s="198"/>
      <c r="P2016" s="150"/>
      <c r="Q2016" s="591"/>
      <c r="R2016" s="260"/>
      <c r="S2016" s="260"/>
      <c r="T2016" s="260"/>
    </row>
    <row r="2017" spans="1:20" hidden="1" outlineLevel="2">
      <c r="A2017" s="274"/>
      <c r="B2017" s="152"/>
      <c r="C2017" s="213" t="s">
        <v>669</v>
      </c>
      <c r="D2017" s="180"/>
      <c r="E2017" s="148"/>
      <c r="F2017" s="148"/>
      <c r="G2017" s="148"/>
      <c r="H2017" s="149"/>
      <c r="I2017" s="146"/>
      <c r="J2017" s="147">
        <v>150000</v>
      </c>
      <c r="K2017" s="221">
        <f>J2017*1.23</f>
        <v>184500</v>
      </c>
      <c r="L2017" s="147"/>
      <c r="M2017" s="149"/>
      <c r="N2017" s="149"/>
      <c r="O2017" s="198"/>
      <c r="P2017" s="150">
        <f t="shared" si="166"/>
        <v>184500</v>
      </c>
      <c r="Q2017" s="591" t="s">
        <v>1349</v>
      </c>
      <c r="R2017" s="260"/>
      <c r="S2017" s="260"/>
      <c r="T2017" s="260"/>
    </row>
    <row r="2018" spans="1:20" hidden="1" outlineLevel="2">
      <c r="A2018" s="274"/>
      <c r="B2018" s="152"/>
      <c r="C2018" s="213" t="s">
        <v>670</v>
      </c>
      <c r="D2018" s="180"/>
      <c r="E2018" s="148"/>
      <c r="F2018" s="148"/>
      <c r="G2018" s="148"/>
      <c r="H2018" s="149"/>
      <c r="I2018" s="146"/>
      <c r="J2018" s="147"/>
      <c r="K2018" s="147"/>
      <c r="L2018" s="147"/>
      <c r="M2018" s="149"/>
      <c r="N2018" s="149"/>
      <c r="O2018" s="198"/>
      <c r="P2018" s="150"/>
      <c r="Q2018" s="591"/>
      <c r="R2018" s="260"/>
      <c r="S2018" s="260"/>
      <c r="T2018" s="260"/>
    </row>
    <row r="2019" spans="1:20" hidden="1" outlineLevel="2">
      <c r="A2019" s="274"/>
      <c r="B2019" s="152"/>
      <c r="C2019" s="213" t="s">
        <v>671</v>
      </c>
      <c r="D2019" s="180"/>
      <c r="E2019" s="148"/>
      <c r="F2019" s="148"/>
      <c r="G2019" s="148"/>
      <c r="H2019" s="149"/>
      <c r="I2019" s="146"/>
      <c r="J2019" s="147"/>
      <c r="K2019" s="147"/>
      <c r="L2019" s="147"/>
      <c r="M2019" s="149"/>
      <c r="N2019" s="149"/>
      <c r="O2019" s="198"/>
      <c r="P2019" s="150"/>
      <c r="Q2019" s="591"/>
      <c r="R2019" s="260"/>
      <c r="S2019" s="260"/>
      <c r="T2019" s="260"/>
    </row>
    <row r="2020" spans="1:20" hidden="1" outlineLevel="2">
      <c r="A2020" s="274"/>
      <c r="B2020" s="152"/>
      <c r="C2020" s="213" t="s">
        <v>672</v>
      </c>
      <c r="D2020" s="180"/>
      <c r="E2020" s="148"/>
      <c r="F2020" s="148"/>
      <c r="G2020" s="148"/>
      <c r="H2020" s="149"/>
      <c r="I2020" s="146"/>
      <c r="J2020" s="147"/>
      <c r="K2020" s="147"/>
      <c r="L2020" s="147"/>
      <c r="M2020" s="149"/>
      <c r="N2020" s="149"/>
      <c r="O2020" s="198"/>
      <c r="P2020" s="150"/>
      <c r="Q2020" s="591"/>
      <c r="R2020" s="260"/>
      <c r="S2020" s="260"/>
      <c r="T2020" s="260"/>
    </row>
    <row r="2021" spans="1:20" hidden="1" outlineLevel="2">
      <c r="A2021" s="274"/>
      <c r="B2021" s="152"/>
      <c r="C2021" s="213" t="s">
        <v>673</v>
      </c>
      <c r="D2021" s="180"/>
      <c r="E2021" s="148"/>
      <c r="F2021" s="148"/>
      <c r="G2021" s="148"/>
      <c r="H2021" s="149"/>
      <c r="I2021" s="146"/>
      <c r="J2021" s="147"/>
      <c r="K2021" s="147"/>
      <c r="L2021" s="147"/>
      <c r="M2021" s="149"/>
      <c r="N2021" s="149"/>
      <c r="O2021" s="198"/>
      <c r="P2021" s="150"/>
      <c r="Q2021" s="591"/>
      <c r="R2021" s="260"/>
      <c r="S2021" s="260"/>
      <c r="T2021" s="260"/>
    </row>
    <row r="2022" spans="1:20" hidden="1" outlineLevel="2">
      <c r="A2022" s="274"/>
      <c r="B2022" s="152"/>
      <c r="C2022" s="213" t="s">
        <v>674</v>
      </c>
      <c r="D2022" s="180"/>
      <c r="E2022" s="148"/>
      <c r="F2022" s="148"/>
      <c r="G2022" s="148"/>
      <c r="H2022" s="149"/>
      <c r="I2022" s="146"/>
      <c r="J2022" s="147"/>
      <c r="K2022" s="147"/>
      <c r="L2022" s="147"/>
      <c r="M2022" s="149"/>
      <c r="N2022" s="149"/>
      <c r="O2022" s="198"/>
      <c r="P2022" s="150"/>
      <c r="Q2022" s="591"/>
      <c r="R2022" s="260"/>
      <c r="S2022" s="260"/>
      <c r="T2022" s="260"/>
    </row>
    <row r="2023" spans="1:20" hidden="1" outlineLevel="2">
      <c r="A2023" s="274"/>
      <c r="B2023" s="152"/>
      <c r="C2023" s="213" t="s">
        <v>675</v>
      </c>
      <c r="D2023" s="180"/>
      <c r="E2023" s="148"/>
      <c r="F2023" s="148"/>
      <c r="G2023" s="148"/>
      <c r="H2023" s="149"/>
      <c r="I2023" s="146"/>
      <c r="J2023" s="147"/>
      <c r="K2023" s="147"/>
      <c r="L2023" s="147"/>
      <c r="M2023" s="149"/>
      <c r="N2023" s="149"/>
      <c r="O2023" s="198"/>
      <c r="P2023" s="150"/>
      <c r="Q2023" s="591"/>
      <c r="R2023" s="260"/>
      <c r="S2023" s="260"/>
      <c r="T2023" s="260"/>
    </row>
    <row r="2024" spans="1:20" hidden="1" outlineLevel="2">
      <c r="A2024" s="274"/>
      <c r="B2024" s="152"/>
      <c r="C2024" s="213" t="s">
        <v>682</v>
      </c>
      <c r="D2024" s="180"/>
      <c r="E2024" s="148"/>
      <c r="F2024" s="148"/>
      <c r="G2024" s="148"/>
      <c r="H2024" s="149"/>
      <c r="I2024" s="146"/>
      <c r="J2024" s="147"/>
      <c r="K2024" s="147"/>
      <c r="L2024" s="147"/>
      <c r="M2024" s="149"/>
      <c r="N2024" s="149"/>
      <c r="O2024" s="198"/>
      <c r="P2024" s="150"/>
      <c r="Q2024" s="591"/>
      <c r="R2024" s="260"/>
      <c r="S2024" s="260"/>
      <c r="T2024" s="260"/>
    </row>
    <row r="2025" spans="1:20" hidden="1" outlineLevel="1" collapsed="1">
      <c r="A2025" s="274"/>
      <c r="B2025" s="152"/>
      <c r="C2025" s="142" t="s">
        <v>681</v>
      </c>
      <c r="D2025" s="180"/>
      <c r="E2025" s="148"/>
      <c r="F2025" s="148"/>
      <c r="G2025" s="148"/>
      <c r="H2025" s="149"/>
      <c r="I2025" s="146"/>
      <c r="J2025" s="221">
        <f>SUM(J2017:J2024)</f>
        <v>150000</v>
      </c>
      <c r="K2025" s="221">
        <f>J2025*1.23</f>
        <v>184500</v>
      </c>
      <c r="L2025" s="147"/>
      <c r="M2025" s="149"/>
      <c r="N2025" s="149"/>
      <c r="O2025" s="198"/>
      <c r="P2025" s="150">
        <f t="shared" si="166"/>
        <v>184500</v>
      </c>
      <c r="Q2025" s="591"/>
      <c r="R2025" s="260"/>
      <c r="S2025" s="260"/>
      <c r="T2025" s="260"/>
    </row>
    <row r="2026" spans="1:20" hidden="1" outlineLevel="2">
      <c r="A2026" s="274"/>
      <c r="B2026" s="142" t="s">
        <v>683</v>
      </c>
      <c r="C2026" s="142"/>
      <c r="D2026" s="180"/>
      <c r="E2026" s="147"/>
      <c r="F2026" s="147"/>
      <c r="G2026" s="147"/>
      <c r="H2026" s="231"/>
      <c r="I2026" s="146"/>
      <c r="J2026" s="147"/>
      <c r="K2026" s="147"/>
      <c r="L2026" s="147"/>
      <c r="M2026" s="231"/>
      <c r="N2026" s="231"/>
      <c r="O2026" s="198"/>
      <c r="P2026" s="150"/>
      <c r="Q2026" s="591"/>
      <c r="R2026" s="260"/>
      <c r="S2026" s="260"/>
      <c r="T2026" s="260"/>
    </row>
    <row r="2027" spans="1:20" hidden="1" outlineLevel="2">
      <c r="A2027" s="274"/>
      <c r="B2027" s="152"/>
      <c r="C2027" s="213" t="s">
        <v>669</v>
      </c>
      <c r="D2027" s="180"/>
      <c r="E2027" s="148"/>
      <c r="F2027" s="148"/>
      <c r="G2027" s="148"/>
      <c r="H2027" s="149"/>
      <c r="I2027" s="146"/>
      <c r="J2027" s="148">
        <v>220000</v>
      </c>
      <c r="K2027" s="221">
        <f>J2027*1.23</f>
        <v>270600</v>
      </c>
      <c r="L2027" s="147"/>
      <c r="M2027" s="149"/>
      <c r="N2027" s="149"/>
      <c r="O2027" s="198"/>
      <c r="P2027" s="150">
        <f t="shared" si="166"/>
        <v>270600</v>
      </c>
      <c r="Q2027" s="591" t="s">
        <v>1350</v>
      </c>
      <c r="R2027" s="260"/>
      <c r="S2027" s="260"/>
      <c r="T2027" s="260"/>
    </row>
    <row r="2028" spans="1:20" hidden="1" outlineLevel="2">
      <c r="A2028" s="274"/>
      <c r="B2028" s="152"/>
      <c r="C2028" s="213" t="s">
        <v>670</v>
      </c>
      <c r="D2028" s="180"/>
      <c r="E2028" s="148"/>
      <c r="F2028" s="148"/>
      <c r="G2028" s="148"/>
      <c r="H2028" s="149"/>
      <c r="I2028" s="146"/>
      <c r="J2028" s="147"/>
      <c r="K2028" s="147"/>
      <c r="L2028" s="147"/>
      <c r="M2028" s="149"/>
      <c r="N2028" s="149"/>
      <c r="O2028" s="198"/>
      <c r="P2028" s="150"/>
      <c r="Q2028" s="591"/>
      <c r="R2028" s="260"/>
      <c r="S2028" s="260"/>
      <c r="T2028" s="260"/>
    </row>
    <row r="2029" spans="1:20" hidden="1" outlineLevel="2">
      <c r="A2029" s="274"/>
      <c r="B2029" s="152"/>
      <c r="C2029" s="213" t="s">
        <v>671</v>
      </c>
      <c r="D2029" s="180"/>
      <c r="E2029" s="148"/>
      <c r="F2029" s="148"/>
      <c r="G2029" s="148"/>
      <c r="H2029" s="149"/>
      <c r="I2029" s="146"/>
      <c r="J2029" s="147"/>
      <c r="K2029" s="147"/>
      <c r="L2029" s="147"/>
      <c r="M2029" s="149"/>
      <c r="N2029" s="149"/>
      <c r="O2029" s="198"/>
      <c r="P2029" s="150"/>
      <c r="Q2029" s="591"/>
      <c r="R2029" s="260"/>
      <c r="S2029" s="260"/>
      <c r="T2029" s="260"/>
    </row>
    <row r="2030" spans="1:20" hidden="1" outlineLevel="2">
      <c r="A2030" s="274"/>
      <c r="B2030" s="152"/>
      <c r="C2030" s="213" t="s">
        <v>672</v>
      </c>
      <c r="D2030" s="261"/>
      <c r="E2030" s="148"/>
      <c r="F2030" s="148"/>
      <c r="G2030" s="148"/>
      <c r="H2030" s="149"/>
      <c r="I2030" s="146"/>
      <c r="J2030" s="147"/>
      <c r="K2030" s="147"/>
      <c r="L2030" s="147"/>
      <c r="M2030" s="149"/>
      <c r="N2030" s="149"/>
      <c r="O2030" s="198"/>
      <c r="P2030" s="150"/>
      <c r="Q2030" s="591"/>
      <c r="R2030" s="260"/>
      <c r="S2030" s="260"/>
      <c r="T2030" s="260"/>
    </row>
    <row r="2031" spans="1:20" hidden="1" outlineLevel="2">
      <c r="A2031" s="274"/>
      <c r="B2031" s="152"/>
      <c r="C2031" s="213" t="s">
        <v>673</v>
      </c>
      <c r="D2031" s="180"/>
      <c r="E2031" s="148"/>
      <c r="F2031" s="148"/>
      <c r="G2031" s="148"/>
      <c r="H2031" s="149"/>
      <c r="I2031" s="146"/>
      <c r="J2031" s="147"/>
      <c r="K2031" s="147"/>
      <c r="L2031" s="147"/>
      <c r="M2031" s="149"/>
      <c r="N2031" s="149"/>
      <c r="O2031" s="198"/>
      <c r="P2031" s="150"/>
      <c r="Q2031" s="591"/>
      <c r="R2031" s="260"/>
      <c r="S2031" s="260"/>
      <c r="T2031" s="260"/>
    </row>
    <row r="2032" spans="1:20" hidden="1" outlineLevel="2">
      <c r="A2032" s="274"/>
      <c r="B2032" s="152"/>
      <c r="C2032" s="213" t="s">
        <v>674</v>
      </c>
      <c r="D2032" s="180"/>
      <c r="E2032" s="148"/>
      <c r="F2032" s="148"/>
      <c r="G2032" s="148"/>
      <c r="H2032" s="149"/>
      <c r="I2032" s="146"/>
      <c r="J2032" s="147"/>
      <c r="K2032" s="147"/>
      <c r="L2032" s="147"/>
      <c r="M2032" s="149"/>
      <c r="N2032" s="149"/>
      <c r="O2032" s="198"/>
      <c r="P2032" s="150"/>
      <c r="Q2032" s="591"/>
      <c r="R2032" s="260"/>
      <c r="S2032" s="260"/>
      <c r="T2032" s="260"/>
    </row>
    <row r="2033" spans="1:20" hidden="1" outlineLevel="2">
      <c r="A2033" s="274"/>
      <c r="B2033" s="152"/>
      <c r="C2033" s="213" t="s">
        <v>675</v>
      </c>
      <c r="D2033" s="180"/>
      <c r="E2033" s="148"/>
      <c r="F2033" s="148"/>
      <c r="G2033" s="148"/>
      <c r="H2033" s="149"/>
      <c r="I2033" s="146"/>
      <c r="J2033" s="147"/>
      <c r="K2033" s="147"/>
      <c r="L2033" s="147"/>
      <c r="M2033" s="149"/>
      <c r="N2033" s="149"/>
      <c r="O2033" s="198"/>
      <c r="P2033" s="150"/>
      <c r="Q2033" s="591"/>
      <c r="R2033" s="260"/>
      <c r="S2033" s="260"/>
      <c r="T2033" s="260"/>
    </row>
    <row r="2034" spans="1:20" hidden="1" outlineLevel="2">
      <c r="A2034" s="274"/>
      <c r="B2034" s="152"/>
      <c r="C2034" s="213" t="s">
        <v>266</v>
      </c>
      <c r="D2034" s="180"/>
      <c r="E2034" s="148"/>
      <c r="F2034" s="148"/>
      <c r="G2034" s="148"/>
      <c r="H2034" s="149"/>
      <c r="I2034" s="146"/>
      <c r="J2034" s="147"/>
      <c r="K2034" s="147"/>
      <c r="L2034" s="147"/>
      <c r="M2034" s="149"/>
      <c r="N2034" s="149"/>
      <c r="O2034" s="198"/>
      <c r="P2034" s="150"/>
      <c r="Q2034" s="591"/>
      <c r="R2034" s="260"/>
      <c r="S2034" s="260"/>
      <c r="T2034" s="260"/>
    </row>
    <row r="2035" spans="1:20" hidden="1" outlineLevel="1" collapsed="1">
      <c r="A2035" s="274"/>
      <c r="B2035" s="152"/>
      <c r="C2035" s="142" t="s">
        <v>684</v>
      </c>
      <c r="D2035" s="180"/>
      <c r="E2035" s="147"/>
      <c r="F2035" s="147"/>
      <c r="G2035" s="147"/>
      <c r="H2035" s="231"/>
      <c r="I2035" s="146"/>
      <c r="J2035" s="221">
        <f>SUM(J2026:J2034)</f>
        <v>220000</v>
      </c>
      <c r="K2035" s="221">
        <f>J2035*1.23</f>
        <v>270600</v>
      </c>
      <c r="L2035" s="147"/>
      <c r="M2035" s="231"/>
      <c r="N2035" s="148"/>
      <c r="O2035" s="198"/>
      <c r="P2035" s="150">
        <f t="shared" si="166"/>
        <v>270600</v>
      </c>
      <c r="Q2035" s="591"/>
      <c r="R2035" s="260"/>
      <c r="S2035" s="260"/>
      <c r="T2035" s="260"/>
    </row>
    <row r="2036" spans="1:20" hidden="1" outlineLevel="2">
      <c r="A2036" s="274"/>
      <c r="B2036" s="142" t="s">
        <v>685</v>
      </c>
      <c r="C2036" s="142"/>
      <c r="D2036" s="180"/>
      <c r="E2036" s="147"/>
      <c r="F2036" s="147"/>
      <c r="G2036" s="147"/>
      <c r="H2036" s="231"/>
      <c r="I2036" s="146"/>
      <c r="J2036" s="147"/>
      <c r="K2036" s="147"/>
      <c r="L2036" s="147"/>
      <c r="M2036" s="231"/>
      <c r="N2036" s="148"/>
      <c r="O2036" s="198"/>
      <c r="P2036" s="150"/>
      <c r="Q2036" s="591"/>
      <c r="R2036" s="260"/>
      <c r="S2036" s="260"/>
      <c r="T2036" s="260"/>
    </row>
    <row r="2037" spans="1:20" hidden="1" outlineLevel="2">
      <c r="A2037" s="274"/>
      <c r="B2037" s="152"/>
      <c r="C2037" s="213" t="s">
        <v>669</v>
      </c>
      <c r="D2037" s="180"/>
      <c r="E2037" s="148"/>
      <c r="F2037" s="148"/>
      <c r="G2037" s="148"/>
      <c r="H2037" s="149"/>
      <c r="I2037" s="146"/>
      <c r="J2037" s="148">
        <v>220000</v>
      </c>
      <c r="K2037" s="221">
        <f>J2037*1.23</f>
        <v>270600</v>
      </c>
      <c r="L2037" s="147"/>
      <c r="M2037" s="149"/>
      <c r="N2037" s="148"/>
      <c r="O2037" s="198"/>
      <c r="P2037" s="150">
        <f t="shared" ref="P2037:P2066" si="171">SUM(I2037,K2037,M2037,O2037)</f>
        <v>270600</v>
      </c>
      <c r="Q2037" s="591" t="s">
        <v>1350</v>
      </c>
      <c r="R2037" s="260"/>
      <c r="S2037" s="260"/>
      <c r="T2037" s="260"/>
    </row>
    <row r="2038" spans="1:20" hidden="1" outlineLevel="2">
      <c r="A2038" s="274"/>
      <c r="B2038" s="152"/>
      <c r="C2038" s="213" t="s">
        <v>670</v>
      </c>
      <c r="D2038" s="180"/>
      <c r="E2038" s="148"/>
      <c r="F2038" s="148"/>
      <c r="G2038" s="148"/>
      <c r="H2038" s="149"/>
      <c r="I2038" s="146"/>
      <c r="J2038" s="148"/>
      <c r="K2038" s="148"/>
      <c r="L2038" s="147"/>
      <c r="M2038" s="149"/>
      <c r="N2038" s="148"/>
      <c r="O2038" s="198"/>
      <c r="P2038" s="150"/>
      <c r="Q2038" s="591"/>
      <c r="R2038" s="260"/>
      <c r="S2038" s="260"/>
      <c r="T2038" s="260"/>
    </row>
    <row r="2039" spans="1:20" hidden="1" outlineLevel="2">
      <c r="A2039" s="274"/>
      <c r="B2039" s="152"/>
      <c r="C2039" s="213" t="s">
        <v>671</v>
      </c>
      <c r="D2039" s="180"/>
      <c r="E2039" s="148"/>
      <c r="F2039" s="148"/>
      <c r="G2039" s="148"/>
      <c r="H2039" s="149"/>
      <c r="I2039" s="146"/>
      <c r="J2039" s="148"/>
      <c r="K2039" s="148"/>
      <c r="L2039" s="147"/>
      <c r="M2039" s="149"/>
      <c r="N2039" s="148"/>
      <c r="O2039" s="198"/>
      <c r="P2039" s="150"/>
      <c r="Q2039" s="591"/>
      <c r="R2039" s="260"/>
      <c r="S2039" s="260"/>
      <c r="T2039" s="260"/>
    </row>
    <row r="2040" spans="1:20" hidden="1" outlineLevel="2">
      <c r="A2040" s="274"/>
      <c r="B2040" s="152"/>
      <c r="C2040" s="213" t="s">
        <v>672</v>
      </c>
      <c r="D2040" s="261"/>
      <c r="E2040" s="148"/>
      <c r="F2040" s="148"/>
      <c r="G2040" s="148"/>
      <c r="H2040" s="149"/>
      <c r="I2040" s="146"/>
      <c r="J2040" s="148"/>
      <c r="K2040" s="148"/>
      <c r="L2040" s="147"/>
      <c r="M2040" s="149"/>
      <c r="N2040" s="148"/>
      <c r="O2040" s="198"/>
      <c r="P2040" s="150"/>
      <c r="Q2040" s="591"/>
      <c r="R2040" s="260"/>
      <c r="S2040" s="260"/>
      <c r="T2040" s="260"/>
    </row>
    <row r="2041" spans="1:20" hidden="1" outlineLevel="2">
      <c r="A2041" s="274"/>
      <c r="B2041" s="152"/>
      <c r="C2041" s="213" t="s">
        <v>673</v>
      </c>
      <c r="D2041" s="180"/>
      <c r="E2041" s="148"/>
      <c r="F2041" s="148"/>
      <c r="G2041" s="148"/>
      <c r="H2041" s="149"/>
      <c r="I2041" s="146"/>
      <c r="J2041" s="148"/>
      <c r="K2041" s="148"/>
      <c r="L2041" s="147"/>
      <c r="M2041" s="149"/>
      <c r="N2041" s="148"/>
      <c r="O2041" s="198"/>
      <c r="P2041" s="150"/>
      <c r="Q2041" s="591"/>
      <c r="R2041" s="260"/>
      <c r="S2041" s="260"/>
      <c r="T2041" s="260"/>
    </row>
    <row r="2042" spans="1:20" hidden="1" outlineLevel="2">
      <c r="A2042" s="274"/>
      <c r="B2042" s="152"/>
      <c r="C2042" s="213" t="s">
        <v>674</v>
      </c>
      <c r="D2042" s="180"/>
      <c r="E2042" s="148"/>
      <c r="F2042" s="148"/>
      <c r="G2042" s="148"/>
      <c r="H2042" s="149"/>
      <c r="I2042" s="146"/>
      <c r="J2042" s="148"/>
      <c r="K2042" s="148"/>
      <c r="L2042" s="147"/>
      <c r="M2042" s="149"/>
      <c r="N2042" s="148"/>
      <c r="O2042" s="198"/>
      <c r="P2042" s="150"/>
      <c r="Q2042" s="591"/>
      <c r="R2042" s="260"/>
      <c r="S2042" s="260"/>
      <c r="T2042" s="260"/>
    </row>
    <row r="2043" spans="1:20" hidden="1" outlineLevel="2">
      <c r="A2043" s="274"/>
      <c r="B2043" s="152"/>
      <c r="C2043" s="213" t="s">
        <v>675</v>
      </c>
      <c r="D2043" s="180"/>
      <c r="E2043" s="148"/>
      <c r="F2043" s="148"/>
      <c r="G2043" s="148"/>
      <c r="H2043" s="149"/>
      <c r="I2043" s="146"/>
      <c r="J2043" s="148"/>
      <c r="K2043" s="148"/>
      <c r="L2043" s="147"/>
      <c r="M2043" s="149"/>
      <c r="N2043" s="148"/>
      <c r="O2043" s="198"/>
      <c r="P2043" s="150"/>
      <c r="Q2043" s="591"/>
      <c r="R2043" s="260"/>
      <c r="S2043" s="260"/>
      <c r="T2043" s="260"/>
    </row>
    <row r="2044" spans="1:20" hidden="1" outlineLevel="2">
      <c r="A2044" s="274"/>
      <c r="B2044" s="152"/>
      <c r="C2044" s="213" t="s">
        <v>266</v>
      </c>
      <c r="D2044" s="180"/>
      <c r="E2044" s="148"/>
      <c r="F2044" s="148"/>
      <c r="G2044" s="148"/>
      <c r="H2044" s="149"/>
      <c r="I2044" s="146"/>
      <c r="J2044" s="148"/>
      <c r="K2044" s="148"/>
      <c r="L2044" s="147"/>
      <c r="M2044" s="149"/>
      <c r="N2044" s="148"/>
      <c r="O2044" s="198"/>
      <c r="P2044" s="150"/>
      <c r="Q2044" s="591"/>
      <c r="R2044" s="260"/>
      <c r="S2044" s="260"/>
      <c r="T2044" s="260"/>
    </row>
    <row r="2045" spans="1:20" hidden="1" outlineLevel="1" collapsed="1">
      <c r="A2045" s="274"/>
      <c r="B2045" s="152"/>
      <c r="C2045" s="142" t="s">
        <v>685</v>
      </c>
      <c r="D2045" s="180"/>
      <c r="E2045" s="147"/>
      <c r="F2045" s="147"/>
      <c r="G2045" s="147"/>
      <c r="H2045" s="231"/>
      <c r="I2045" s="146"/>
      <c r="J2045" s="221">
        <f>SUM(J2037:J2044)</f>
        <v>220000</v>
      </c>
      <c r="K2045" s="221">
        <f>J2045*1.23</f>
        <v>270600</v>
      </c>
      <c r="L2045" s="147"/>
      <c r="M2045" s="231"/>
      <c r="N2045" s="148"/>
      <c r="O2045" s="198"/>
      <c r="P2045" s="150">
        <f t="shared" si="171"/>
        <v>270600</v>
      </c>
      <c r="Q2045" s="591"/>
      <c r="R2045" s="260"/>
      <c r="S2045" s="260"/>
      <c r="T2045" s="260"/>
    </row>
    <row r="2046" spans="1:20" hidden="1" outlineLevel="2">
      <c r="A2046" s="274"/>
      <c r="B2046" s="142" t="s">
        <v>686</v>
      </c>
      <c r="C2046" s="142"/>
      <c r="D2046" s="180"/>
      <c r="E2046" s="147"/>
      <c r="F2046" s="147"/>
      <c r="G2046" s="147"/>
      <c r="H2046" s="231"/>
      <c r="I2046" s="146"/>
      <c r="J2046" s="147"/>
      <c r="K2046" s="147"/>
      <c r="L2046" s="147"/>
      <c r="M2046" s="231"/>
      <c r="N2046" s="148"/>
      <c r="O2046" s="198"/>
      <c r="P2046" s="150"/>
      <c r="Q2046" s="591"/>
      <c r="R2046" s="260"/>
      <c r="S2046" s="260"/>
      <c r="T2046" s="260"/>
    </row>
    <row r="2047" spans="1:20" hidden="1" outlineLevel="2">
      <c r="A2047" s="274"/>
      <c r="B2047" s="152"/>
      <c r="C2047" s="213" t="s">
        <v>669</v>
      </c>
      <c r="D2047" s="180"/>
      <c r="E2047" s="148"/>
      <c r="F2047" s="148"/>
      <c r="G2047" s="148"/>
      <c r="H2047" s="149"/>
      <c r="I2047" s="146"/>
      <c r="J2047" s="147"/>
      <c r="K2047" s="147"/>
      <c r="L2047" s="147"/>
      <c r="M2047" s="149"/>
      <c r="N2047" s="148"/>
      <c r="O2047" s="198"/>
      <c r="P2047" s="150"/>
      <c r="Q2047" s="591"/>
      <c r="R2047" s="260"/>
      <c r="S2047" s="260"/>
      <c r="T2047" s="260"/>
    </row>
    <row r="2048" spans="1:20" hidden="1" outlineLevel="2">
      <c r="A2048" s="274"/>
      <c r="B2048" s="152"/>
      <c r="C2048" s="213" t="s">
        <v>670</v>
      </c>
      <c r="D2048" s="180"/>
      <c r="E2048" s="148"/>
      <c r="F2048" s="148"/>
      <c r="G2048" s="148"/>
      <c r="H2048" s="149"/>
      <c r="I2048" s="146"/>
      <c r="J2048" s="147"/>
      <c r="K2048" s="147"/>
      <c r="L2048" s="147"/>
      <c r="M2048" s="149"/>
      <c r="N2048" s="148"/>
      <c r="O2048" s="198"/>
      <c r="P2048" s="150"/>
      <c r="Q2048" s="591"/>
      <c r="R2048" s="260"/>
      <c r="S2048" s="260"/>
      <c r="T2048" s="260"/>
    </row>
    <row r="2049" spans="1:20" hidden="1" outlineLevel="2">
      <c r="A2049" s="274"/>
      <c r="B2049" s="152"/>
      <c r="C2049" s="213" t="s">
        <v>671</v>
      </c>
      <c r="D2049" s="180"/>
      <c r="E2049" s="148"/>
      <c r="F2049" s="148"/>
      <c r="G2049" s="148"/>
      <c r="H2049" s="149"/>
      <c r="I2049" s="146"/>
      <c r="J2049" s="147"/>
      <c r="K2049" s="147"/>
      <c r="L2049" s="147"/>
      <c r="M2049" s="149"/>
      <c r="N2049" s="148"/>
      <c r="O2049" s="198"/>
      <c r="P2049" s="150"/>
      <c r="Q2049" s="591"/>
      <c r="R2049" s="260"/>
      <c r="S2049" s="260"/>
      <c r="T2049" s="260"/>
    </row>
    <row r="2050" spans="1:20" hidden="1" outlineLevel="2">
      <c r="A2050" s="274"/>
      <c r="B2050" s="152"/>
      <c r="C2050" s="213" t="s">
        <v>672</v>
      </c>
      <c r="D2050" s="261">
        <f>CIP!$AM$59</f>
        <v>45000</v>
      </c>
      <c r="E2050" s="148">
        <f>CIP!$AN$59</f>
        <v>46575</v>
      </c>
      <c r="F2050" s="148"/>
      <c r="G2050" s="148"/>
      <c r="H2050" s="149"/>
      <c r="I2050" s="146">
        <f>SUM(D2050:H2050)</f>
        <v>91575</v>
      </c>
      <c r="J2050" s="147"/>
      <c r="K2050" s="147"/>
      <c r="L2050" s="147"/>
      <c r="M2050" s="149"/>
      <c r="N2050" s="148"/>
      <c r="O2050" s="198"/>
      <c r="P2050" s="150">
        <f t="shared" si="171"/>
        <v>91575</v>
      </c>
      <c r="Q2050" s="591" t="s">
        <v>1351</v>
      </c>
      <c r="R2050" s="260"/>
      <c r="S2050" s="260"/>
      <c r="T2050" s="260"/>
    </row>
    <row r="2051" spans="1:20" hidden="1" outlineLevel="2">
      <c r="A2051" s="274"/>
      <c r="B2051" s="152"/>
      <c r="C2051" s="213" t="s">
        <v>673</v>
      </c>
      <c r="D2051" s="180"/>
      <c r="E2051" s="148"/>
      <c r="F2051" s="148"/>
      <c r="G2051" s="148"/>
      <c r="H2051" s="149"/>
      <c r="I2051" s="146"/>
      <c r="J2051" s="147"/>
      <c r="K2051" s="147"/>
      <c r="L2051" s="147"/>
      <c r="M2051" s="149"/>
      <c r="N2051" s="148"/>
      <c r="O2051" s="198"/>
      <c r="P2051" s="150"/>
      <c r="Q2051" s="591"/>
      <c r="R2051" s="260"/>
      <c r="S2051" s="260"/>
      <c r="T2051" s="260"/>
    </row>
    <row r="2052" spans="1:20" hidden="1" outlineLevel="2">
      <c r="A2052" s="274"/>
      <c r="B2052" s="152"/>
      <c r="C2052" s="213" t="s">
        <v>674</v>
      </c>
      <c r="D2052" s="180"/>
      <c r="E2052" s="148"/>
      <c r="F2052" s="148"/>
      <c r="G2052" s="148"/>
      <c r="H2052" s="149"/>
      <c r="I2052" s="146"/>
      <c r="J2052" s="147"/>
      <c r="K2052" s="147"/>
      <c r="L2052" s="147"/>
      <c r="M2052" s="149"/>
      <c r="N2052" s="148"/>
      <c r="O2052" s="198"/>
      <c r="P2052" s="150"/>
      <c r="Q2052" s="591"/>
      <c r="R2052" s="260"/>
      <c r="S2052" s="260"/>
      <c r="T2052" s="260"/>
    </row>
    <row r="2053" spans="1:20" hidden="1" outlineLevel="2">
      <c r="A2053" s="274"/>
      <c r="B2053" s="152"/>
      <c r="C2053" s="213" t="s">
        <v>675</v>
      </c>
      <c r="D2053" s="180"/>
      <c r="E2053" s="148"/>
      <c r="F2053" s="148"/>
      <c r="G2053" s="148"/>
      <c r="H2053" s="149"/>
      <c r="I2053" s="146"/>
      <c r="J2053" s="147"/>
      <c r="K2053" s="147"/>
      <c r="L2053" s="147"/>
      <c r="M2053" s="149"/>
      <c r="N2053" s="148"/>
      <c r="O2053" s="198"/>
      <c r="P2053" s="150"/>
      <c r="Q2053" s="591"/>
      <c r="R2053" s="260"/>
      <c r="S2053" s="260"/>
      <c r="T2053" s="260"/>
    </row>
    <row r="2054" spans="1:20" hidden="1" outlineLevel="2">
      <c r="A2054" s="274"/>
      <c r="B2054" s="152"/>
      <c r="C2054" s="213" t="s">
        <v>266</v>
      </c>
      <c r="D2054" s="180"/>
      <c r="E2054" s="148"/>
      <c r="F2054" s="148"/>
      <c r="G2054" s="148"/>
      <c r="H2054" s="149"/>
      <c r="I2054" s="146"/>
      <c r="J2054" s="147"/>
      <c r="K2054" s="147"/>
      <c r="L2054" s="147"/>
      <c r="M2054" s="149"/>
      <c r="N2054" s="148"/>
      <c r="O2054" s="198"/>
      <c r="P2054" s="150"/>
      <c r="Q2054" s="591"/>
      <c r="R2054" s="260"/>
      <c r="S2054" s="260"/>
      <c r="T2054" s="260"/>
    </row>
    <row r="2055" spans="1:20" hidden="1" outlineLevel="1" collapsed="1">
      <c r="A2055" s="274"/>
      <c r="B2055" s="152"/>
      <c r="C2055" s="142" t="s">
        <v>686</v>
      </c>
      <c r="D2055" s="220">
        <f>SUM(D2047:D2054)</f>
        <v>45000</v>
      </c>
      <c r="E2055" s="221">
        <f>SUM(E2047:E2054)</f>
        <v>46575</v>
      </c>
      <c r="F2055" s="221"/>
      <c r="G2055" s="221"/>
      <c r="H2055" s="307"/>
      <c r="I2055" s="150">
        <f>SUM(D2055:H2055)</f>
        <v>91575</v>
      </c>
      <c r="J2055" s="147"/>
      <c r="K2055" s="147"/>
      <c r="L2055" s="147"/>
      <c r="M2055" s="231"/>
      <c r="N2055" s="148"/>
      <c r="O2055" s="198"/>
      <c r="P2055" s="150">
        <f t="shared" si="171"/>
        <v>91575</v>
      </c>
      <c r="Q2055" s="591" t="s">
        <v>1352</v>
      </c>
      <c r="R2055" s="260"/>
      <c r="S2055" s="260"/>
      <c r="T2055" s="260"/>
    </row>
    <row r="2056" spans="1:20" hidden="1" outlineLevel="2">
      <c r="A2056" s="274"/>
      <c r="B2056" s="142" t="s">
        <v>687</v>
      </c>
      <c r="C2056" s="142"/>
      <c r="D2056" s="180"/>
      <c r="E2056" s="147"/>
      <c r="F2056" s="147"/>
      <c r="G2056" s="147"/>
      <c r="H2056" s="231"/>
      <c r="I2056" s="146"/>
      <c r="J2056" s="147"/>
      <c r="K2056" s="147"/>
      <c r="L2056" s="147"/>
      <c r="M2056" s="231"/>
      <c r="N2056" s="148"/>
      <c r="O2056" s="198"/>
      <c r="P2056" s="150"/>
      <c r="Q2056" s="569"/>
      <c r="S2056" s="260"/>
    </row>
    <row r="2057" spans="1:20" hidden="1" outlineLevel="2">
      <c r="A2057" s="274"/>
      <c r="B2057" s="152"/>
      <c r="C2057" s="213" t="s">
        <v>669</v>
      </c>
      <c r="D2057" s="180"/>
      <c r="E2057" s="148"/>
      <c r="F2057" s="148"/>
      <c r="G2057" s="148"/>
      <c r="H2057" s="149"/>
      <c r="I2057" s="146"/>
      <c r="J2057" s="147"/>
      <c r="K2057" s="147"/>
      <c r="L2057" s="147">
        <v>250000</v>
      </c>
      <c r="M2057" s="219">
        <f t="shared" ref="M2057" si="172">L2057*1.46</f>
        <v>365000</v>
      </c>
      <c r="N2057" s="148"/>
      <c r="O2057" s="198"/>
      <c r="P2057" s="150">
        <f t="shared" si="171"/>
        <v>365000</v>
      </c>
      <c r="Q2057" s="569" t="s">
        <v>1353</v>
      </c>
      <c r="S2057" s="224"/>
    </row>
    <row r="2058" spans="1:20" hidden="1" outlineLevel="2">
      <c r="A2058" s="274"/>
      <c r="B2058" s="152"/>
      <c r="C2058" s="213" t="s">
        <v>670</v>
      </c>
      <c r="D2058" s="180"/>
      <c r="E2058" s="148"/>
      <c r="F2058" s="148"/>
      <c r="G2058" s="148"/>
      <c r="H2058" s="149"/>
      <c r="I2058" s="146"/>
      <c r="J2058" s="147"/>
      <c r="K2058" s="147"/>
      <c r="L2058" s="147"/>
      <c r="M2058" s="149"/>
      <c r="N2058" s="148"/>
      <c r="O2058" s="198"/>
      <c r="P2058" s="150"/>
      <c r="Q2058" s="569"/>
      <c r="S2058" s="224"/>
    </row>
    <row r="2059" spans="1:20" hidden="1" outlineLevel="2">
      <c r="A2059" s="274"/>
      <c r="B2059" s="152"/>
      <c r="C2059" s="213" t="s">
        <v>671</v>
      </c>
      <c r="D2059" s="180"/>
      <c r="E2059" s="148"/>
      <c r="F2059" s="148"/>
      <c r="G2059" s="148"/>
      <c r="H2059" s="149"/>
      <c r="I2059" s="146"/>
      <c r="J2059" s="147"/>
      <c r="K2059" s="147"/>
      <c r="L2059" s="147"/>
      <c r="M2059" s="149"/>
      <c r="N2059" s="148"/>
      <c r="O2059" s="198"/>
      <c r="P2059" s="150"/>
      <c r="Q2059" s="569"/>
      <c r="S2059" s="224"/>
    </row>
    <row r="2060" spans="1:20" hidden="1" outlineLevel="2">
      <c r="A2060" s="274"/>
      <c r="B2060" s="152"/>
      <c r="C2060" s="213" t="s">
        <v>672</v>
      </c>
      <c r="D2060" s="261"/>
      <c r="E2060" s="148"/>
      <c r="F2060" s="148"/>
      <c r="G2060" s="148"/>
      <c r="H2060" s="149"/>
      <c r="I2060" s="146"/>
      <c r="J2060" s="147"/>
      <c r="K2060" s="147"/>
      <c r="L2060" s="147"/>
      <c r="M2060" s="149"/>
      <c r="N2060" s="148"/>
      <c r="O2060" s="198"/>
      <c r="P2060" s="150"/>
      <c r="Q2060" s="569"/>
      <c r="S2060" s="224"/>
    </row>
    <row r="2061" spans="1:20" hidden="1" outlineLevel="2">
      <c r="A2061" s="274"/>
      <c r="B2061" s="152"/>
      <c r="C2061" s="213" t="s">
        <v>673</v>
      </c>
      <c r="D2061" s="180"/>
      <c r="E2061" s="148"/>
      <c r="F2061" s="148"/>
      <c r="G2061" s="148"/>
      <c r="H2061" s="149"/>
      <c r="I2061" s="146"/>
      <c r="J2061" s="147"/>
      <c r="K2061" s="147"/>
      <c r="L2061" s="147"/>
      <c r="M2061" s="149"/>
      <c r="N2061" s="148"/>
      <c r="O2061" s="198"/>
      <c r="P2061" s="150"/>
      <c r="Q2061" s="569"/>
      <c r="S2061" s="224"/>
    </row>
    <row r="2062" spans="1:20" hidden="1" outlineLevel="2">
      <c r="A2062" s="274"/>
      <c r="B2062" s="152"/>
      <c r="C2062" s="213" t="s">
        <v>674</v>
      </c>
      <c r="D2062" s="180"/>
      <c r="E2062" s="148"/>
      <c r="F2062" s="148"/>
      <c r="G2062" s="148"/>
      <c r="H2062" s="149"/>
      <c r="I2062" s="146"/>
      <c r="J2062" s="147"/>
      <c r="K2062" s="147"/>
      <c r="L2062" s="147"/>
      <c r="M2062" s="149"/>
      <c r="N2062" s="148"/>
      <c r="O2062" s="198"/>
      <c r="P2062" s="150"/>
      <c r="Q2062" s="569"/>
      <c r="S2062" s="224"/>
    </row>
    <row r="2063" spans="1:20" hidden="1" outlineLevel="2">
      <c r="A2063" s="274"/>
      <c r="B2063" s="152"/>
      <c r="C2063" s="213" t="s">
        <v>675</v>
      </c>
      <c r="D2063" s="180"/>
      <c r="E2063" s="148"/>
      <c r="F2063" s="148"/>
      <c r="G2063" s="148"/>
      <c r="H2063" s="149"/>
      <c r="I2063" s="146"/>
      <c r="J2063" s="147"/>
      <c r="K2063" s="147"/>
      <c r="L2063" s="147"/>
      <c r="M2063" s="149"/>
      <c r="N2063" s="148"/>
      <c r="O2063" s="198"/>
      <c r="P2063" s="150"/>
      <c r="Q2063" s="569"/>
      <c r="S2063" s="224"/>
    </row>
    <row r="2064" spans="1:20" hidden="1" outlineLevel="2">
      <c r="A2064" s="274"/>
      <c r="B2064" s="152"/>
      <c r="C2064" s="213" t="s">
        <v>266</v>
      </c>
      <c r="D2064" s="180"/>
      <c r="E2064" s="148"/>
      <c r="F2064" s="148"/>
      <c r="G2064" s="148"/>
      <c r="H2064" s="149"/>
      <c r="I2064" s="146"/>
      <c r="J2064" s="147"/>
      <c r="K2064" s="147"/>
      <c r="L2064" s="147"/>
      <c r="M2064" s="149"/>
      <c r="N2064" s="148"/>
      <c r="O2064" s="198"/>
      <c r="P2064" s="150"/>
      <c r="Q2064" s="569"/>
      <c r="S2064" s="224"/>
    </row>
    <row r="2065" spans="1:19" hidden="1" outlineLevel="1" collapsed="1">
      <c r="A2065" s="274"/>
      <c r="B2065" s="152"/>
      <c r="C2065" s="142" t="s">
        <v>687</v>
      </c>
      <c r="D2065" s="180"/>
      <c r="E2065" s="147"/>
      <c r="F2065" s="147"/>
      <c r="G2065" s="147"/>
      <c r="H2065" s="231"/>
      <c r="I2065" s="146"/>
      <c r="J2065" s="147"/>
      <c r="K2065" s="147"/>
      <c r="L2065" s="221">
        <f>SUM(L2057:L2064)</f>
        <v>250000</v>
      </c>
      <c r="M2065" s="219">
        <f t="shared" ref="M2065" si="173">L2065*1.46</f>
        <v>365000</v>
      </c>
      <c r="N2065" s="148"/>
      <c r="O2065" s="198"/>
      <c r="P2065" s="150">
        <f t="shared" si="171"/>
        <v>365000</v>
      </c>
      <c r="Q2065" s="569"/>
      <c r="S2065" s="260"/>
    </row>
    <row r="2066" spans="1:19" s="211" customFormat="1" ht="16.5" customHeight="1" collapsed="1">
      <c r="A2066" s="275"/>
      <c r="B2066" s="159"/>
      <c r="C2066" s="142" t="s">
        <v>688</v>
      </c>
      <c r="D2066" s="220">
        <f>SUM(D1990,D2002,D2005,D2015,D2025,D2055,D2065)</f>
        <v>145000</v>
      </c>
      <c r="E2066" s="220">
        <f t="shared" ref="E2066:H2066" si="174">SUM(E1990,E2002,E2005,E2015,E2025,E2055,E2065)</f>
        <v>46575</v>
      </c>
      <c r="F2066" s="220"/>
      <c r="G2066" s="220"/>
      <c r="H2066" s="220">
        <f t="shared" si="174"/>
        <v>1893412.9510312495</v>
      </c>
      <c r="I2066" s="150">
        <f>SUM(I1990,I2002,I2005,I2015,I2025,I2035,I2045,I2055,I2065)</f>
        <v>2084987.9510312495</v>
      </c>
      <c r="J2066" s="147">
        <f>SUM(J1990,J2002,J2005,J2015,J2025,J2035,J2045,J2055,J2065)</f>
        <v>3905000</v>
      </c>
      <c r="K2066" s="220">
        <f>SUM(K1990,K2002,K2005,K2015,K2025,K2035,K2045,K2055,K2065)</f>
        <v>4803150</v>
      </c>
      <c r="L2066" s="231">
        <f>SUM(L1990,L2002,L2005,L2015,L2025,L2035,L2045,L2055,L2065)</f>
        <v>1065000</v>
      </c>
      <c r="M2066" s="217">
        <f>SUM(M1990,M2002,M2005,M2015,M2025,M2035,M2045,M2055,M2065)</f>
        <v>1554900</v>
      </c>
      <c r="N2066" s="147"/>
      <c r="O2066" s="226"/>
      <c r="P2066" s="516">
        <f t="shared" si="171"/>
        <v>8443037.951031249</v>
      </c>
      <c r="Q2066" s="568" t="s">
        <v>1354</v>
      </c>
    </row>
    <row r="2067" spans="1:19" s="211" customFormat="1" hidden="1" outlineLevel="1">
      <c r="A2067" s="275" t="s">
        <v>689</v>
      </c>
      <c r="B2067" s="159"/>
      <c r="C2067" s="142"/>
      <c r="D2067" s="180"/>
      <c r="E2067" s="148"/>
      <c r="F2067" s="148"/>
      <c r="G2067" s="148"/>
      <c r="H2067" s="149"/>
      <c r="I2067" s="146"/>
      <c r="J2067" s="147"/>
      <c r="K2067" s="221"/>
      <c r="L2067" s="147"/>
      <c r="M2067" s="219"/>
      <c r="N2067" s="148"/>
      <c r="O2067" s="226"/>
      <c r="P2067" s="150"/>
      <c r="Q2067" s="568"/>
    </row>
    <row r="2068" spans="1:19" s="211" customFormat="1" hidden="1" outlineLevel="2">
      <c r="A2068" s="276"/>
      <c r="B2068" s="142" t="s">
        <v>429</v>
      </c>
      <c r="C2068" s="159"/>
      <c r="D2068" s="180"/>
      <c r="E2068" s="148"/>
      <c r="F2068" s="148"/>
      <c r="G2068" s="148"/>
      <c r="H2068" s="149"/>
      <c r="I2068" s="146"/>
      <c r="J2068" s="147"/>
      <c r="K2068" s="221"/>
      <c r="L2068" s="147"/>
      <c r="M2068" s="219"/>
      <c r="N2068" s="148"/>
      <c r="O2068" s="226"/>
      <c r="P2068" s="150"/>
      <c r="Q2068" s="568"/>
    </row>
    <row r="2069" spans="1:19" hidden="1" outlineLevel="2">
      <c r="A2069" s="274"/>
      <c r="B2069" s="152"/>
      <c r="C2069" s="213" t="s">
        <v>669</v>
      </c>
      <c r="D2069" s="180"/>
      <c r="E2069" s="148"/>
      <c r="F2069" s="148"/>
      <c r="G2069" s="148"/>
      <c r="H2069" s="149"/>
      <c r="I2069" s="146"/>
      <c r="J2069" s="147">
        <v>630000</v>
      </c>
      <c r="K2069" s="221">
        <f>J2069*1.23</f>
        <v>774900</v>
      </c>
      <c r="L2069" s="147">
        <v>500000</v>
      </c>
      <c r="M2069" s="219">
        <f t="shared" ref="M2069" si="175">L2069*1.46</f>
        <v>730000</v>
      </c>
      <c r="N2069" s="148"/>
      <c r="O2069" s="226"/>
      <c r="P2069" s="150">
        <f t="shared" ref="P2069" si="176">SUM(I2069,K2069,M2069,O2069)</f>
        <v>1504900</v>
      </c>
      <c r="Q2069" s="569" t="s">
        <v>1355</v>
      </c>
      <c r="S2069" s="224"/>
    </row>
    <row r="2070" spans="1:19" hidden="1" outlineLevel="2">
      <c r="A2070" s="274"/>
      <c r="B2070" s="152"/>
      <c r="C2070" s="213" t="s">
        <v>670</v>
      </c>
      <c r="D2070" s="180"/>
      <c r="E2070" s="148"/>
      <c r="F2070" s="148"/>
      <c r="G2070" s="148"/>
      <c r="H2070" s="149"/>
      <c r="I2070" s="146"/>
      <c r="J2070" s="147"/>
      <c r="K2070" s="221"/>
      <c r="L2070" s="147"/>
      <c r="M2070" s="219"/>
      <c r="N2070" s="148"/>
      <c r="O2070" s="226"/>
      <c r="P2070" s="150"/>
      <c r="Q2070" s="569"/>
      <c r="S2070" s="224"/>
    </row>
    <row r="2071" spans="1:19" hidden="1" outlineLevel="2">
      <c r="A2071" s="274"/>
      <c r="B2071" s="152"/>
      <c r="C2071" s="213" t="s">
        <v>671</v>
      </c>
      <c r="D2071" s="180"/>
      <c r="E2071" s="148"/>
      <c r="F2071" s="148"/>
      <c r="G2071" s="148"/>
      <c r="H2071" s="149"/>
      <c r="I2071" s="146"/>
      <c r="J2071" s="147"/>
      <c r="K2071" s="221"/>
      <c r="L2071" s="147"/>
      <c r="M2071" s="219"/>
      <c r="N2071" s="148"/>
      <c r="O2071" s="226"/>
      <c r="P2071" s="150"/>
      <c r="Q2071" s="569"/>
      <c r="S2071" s="224"/>
    </row>
    <row r="2072" spans="1:19" hidden="1" outlineLevel="2">
      <c r="A2072" s="274"/>
      <c r="B2072" s="152"/>
      <c r="C2072" s="213" t="s">
        <v>672</v>
      </c>
      <c r="D2072" s="180"/>
      <c r="E2072" s="148"/>
      <c r="F2072" s="148"/>
      <c r="G2072" s="148"/>
      <c r="H2072" s="149"/>
      <c r="I2072" s="146"/>
      <c r="J2072" s="147"/>
      <c r="K2072" s="221"/>
      <c r="L2072" s="147"/>
      <c r="M2072" s="219"/>
      <c r="N2072" s="148"/>
      <c r="O2072" s="226"/>
      <c r="P2072" s="150"/>
      <c r="Q2072" s="569"/>
      <c r="S2072" s="224"/>
    </row>
    <row r="2073" spans="1:19" hidden="1" outlineLevel="2">
      <c r="A2073" s="274"/>
      <c r="B2073" s="152"/>
      <c r="C2073" s="213" t="s">
        <v>673</v>
      </c>
      <c r="D2073" s="180"/>
      <c r="E2073" s="148"/>
      <c r="F2073" s="148"/>
      <c r="G2073" s="148"/>
      <c r="H2073" s="149"/>
      <c r="I2073" s="146"/>
      <c r="J2073" s="147"/>
      <c r="K2073" s="221"/>
      <c r="L2073" s="147"/>
      <c r="M2073" s="219"/>
      <c r="N2073" s="148"/>
      <c r="O2073" s="226"/>
      <c r="P2073" s="150"/>
      <c r="Q2073" s="569"/>
      <c r="S2073" s="224"/>
    </row>
    <row r="2074" spans="1:19" hidden="1" outlineLevel="2">
      <c r="A2074" s="274"/>
      <c r="B2074" s="152"/>
      <c r="C2074" s="213" t="s">
        <v>674</v>
      </c>
      <c r="D2074" s="180"/>
      <c r="E2074" s="148"/>
      <c r="F2074" s="148"/>
      <c r="G2074" s="148"/>
      <c r="H2074" s="149"/>
      <c r="I2074" s="146"/>
      <c r="J2074" s="147"/>
      <c r="K2074" s="221"/>
      <c r="L2074" s="147"/>
      <c r="M2074" s="219"/>
      <c r="N2074" s="148"/>
      <c r="O2074" s="226"/>
      <c r="P2074" s="150"/>
      <c r="Q2074" s="569"/>
      <c r="S2074" s="224"/>
    </row>
    <row r="2075" spans="1:19" hidden="1" outlineLevel="2">
      <c r="A2075" s="274"/>
      <c r="B2075" s="152"/>
      <c r="C2075" s="213" t="s">
        <v>675</v>
      </c>
      <c r="D2075" s="180"/>
      <c r="E2075" s="148"/>
      <c r="F2075" s="148"/>
      <c r="G2075" s="148"/>
      <c r="H2075" s="149"/>
      <c r="I2075" s="146"/>
      <c r="J2075" s="147"/>
      <c r="K2075" s="221"/>
      <c r="L2075" s="147"/>
      <c r="M2075" s="219"/>
      <c r="N2075" s="148"/>
      <c r="O2075" s="226"/>
      <c r="P2075" s="150"/>
      <c r="Q2075" s="569"/>
      <c r="S2075" s="224"/>
    </row>
    <row r="2076" spans="1:19" hidden="1" outlineLevel="2">
      <c r="A2076" s="274"/>
      <c r="B2076" s="152"/>
      <c r="C2076" s="213" t="s">
        <v>266</v>
      </c>
      <c r="D2076" s="180"/>
      <c r="E2076" s="148"/>
      <c r="F2076" s="148"/>
      <c r="G2076" s="148"/>
      <c r="H2076" s="149"/>
      <c r="I2076" s="146"/>
      <c r="J2076" s="147"/>
      <c r="K2076" s="221"/>
      <c r="L2076" s="147"/>
      <c r="M2076" s="219"/>
      <c r="N2076" s="148"/>
      <c r="O2076" s="226"/>
      <c r="P2076" s="150"/>
      <c r="Q2076" s="569"/>
      <c r="S2076" s="224"/>
    </row>
    <row r="2077" spans="1:19" hidden="1" outlineLevel="1" collapsed="1">
      <c r="A2077" s="274"/>
      <c r="B2077" s="152"/>
      <c r="C2077" s="142" t="s">
        <v>429</v>
      </c>
      <c r="D2077" s="180"/>
      <c r="E2077" s="148"/>
      <c r="F2077" s="148"/>
      <c r="G2077" s="148"/>
      <c r="H2077" s="149"/>
      <c r="I2077" s="146"/>
      <c r="J2077" s="147">
        <f>SUM(J2069:J2076)</f>
        <v>630000</v>
      </c>
      <c r="K2077" s="221">
        <f t="shared" ref="K2077:K2087" si="177">J2077*1.23</f>
        <v>774900</v>
      </c>
      <c r="L2077" s="147">
        <f>SUM(L2068:L2076)</f>
        <v>500000</v>
      </c>
      <c r="M2077" s="219">
        <f t="shared" ref="M2077" si="178">L2077*1.46</f>
        <v>730000</v>
      </c>
      <c r="N2077" s="148"/>
      <c r="O2077" s="226"/>
      <c r="P2077" s="150">
        <f t="shared" ref="P2077:P2087" si="179">SUM(I2077,K2077,M2077,O2077)</f>
        <v>1504900</v>
      </c>
      <c r="Q2077" s="569"/>
      <c r="S2077" s="260"/>
    </row>
    <row r="2078" spans="1:19" s="211" customFormat="1" hidden="1" outlineLevel="2">
      <c r="A2078" s="276"/>
      <c r="B2078" s="142" t="s">
        <v>415</v>
      </c>
      <c r="C2078" s="159"/>
      <c r="D2078" s="180"/>
      <c r="E2078" s="148"/>
      <c r="F2078" s="148"/>
      <c r="G2078" s="148"/>
      <c r="H2078" s="149"/>
      <c r="I2078" s="146"/>
      <c r="J2078" s="147"/>
      <c r="K2078" s="221"/>
      <c r="L2078" s="147"/>
      <c r="M2078" s="219"/>
      <c r="N2078" s="148"/>
      <c r="O2078" s="226"/>
      <c r="P2078" s="150"/>
      <c r="Q2078" s="568"/>
    </row>
    <row r="2079" spans="1:19" hidden="1" outlineLevel="2">
      <c r="A2079" s="274"/>
      <c r="B2079" s="152"/>
      <c r="C2079" s="213" t="s">
        <v>669</v>
      </c>
      <c r="D2079" s="180"/>
      <c r="E2079" s="148"/>
      <c r="F2079" s="148"/>
      <c r="G2079" s="148"/>
      <c r="H2079" s="149"/>
      <c r="I2079" s="146"/>
      <c r="J2079" s="147">
        <v>1715000</v>
      </c>
      <c r="K2079" s="221">
        <f t="shared" si="177"/>
        <v>2109450</v>
      </c>
      <c r="L2079" s="147"/>
      <c r="M2079" s="219"/>
      <c r="N2079" s="148"/>
      <c r="O2079" s="226"/>
      <c r="P2079" s="150">
        <f t="shared" si="179"/>
        <v>2109450</v>
      </c>
      <c r="Q2079" s="569" t="s">
        <v>1356</v>
      </c>
      <c r="S2079" s="224"/>
    </row>
    <row r="2080" spans="1:19" hidden="1" outlineLevel="2">
      <c r="A2080" s="274"/>
      <c r="B2080" s="152"/>
      <c r="C2080" s="213" t="s">
        <v>670</v>
      </c>
      <c r="D2080" s="180"/>
      <c r="E2080" s="148"/>
      <c r="F2080" s="148"/>
      <c r="G2080" s="148"/>
      <c r="H2080" s="149"/>
      <c r="I2080" s="146"/>
      <c r="J2080" s="147"/>
      <c r="K2080" s="221"/>
      <c r="L2080" s="147"/>
      <c r="M2080" s="219"/>
      <c r="N2080" s="148"/>
      <c r="O2080" s="226"/>
      <c r="P2080" s="150"/>
      <c r="Q2080" s="569"/>
      <c r="S2080" s="224"/>
    </row>
    <row r="2081" spans="1:19" hidden="1" outlineLevel="2">
      <c r="A2081" s="274"/>
      <c r="B2081" s="152"/>
      <c r="C2081" s="213" t="s">
        <v>671</v>
      </c>
      <c r="D2081" s="180"/>
      <c r="E2081" s="148"/>
      <c r="F2081" s="148"/>
      <c r="G2081" s="148"/>
      <c r="H2081" s="149"/>
      <c r="I2081" s="146"/>
      <c r="J2081" s="147"/>
      <c r="K2081" s="221"/>
      <c r="L2081" s="147"/>
      <c r="M2081" s="219"/>
      <c r="N2081" s="148"/>
      <c r="O2081" s="226"/>
      <c r="P2081" s="150"/>
      <c r="Q2081" s="569"/>
      <c r="S2081" s="224"/>
    </row>
    <row r="2082" spans="1:19" hidden="1" outlineLevel="2">
      <c r="A2082" s="274"/>
      <c r="B2082" s="152"/>
      <c r="C2082" s="213" t="s">
        <v>672</v>
      </c>
      <c r="D2082" s="180"/>
      <c r="E2082" s="148"/>
      <c r="F2082" s="148"/>
      <c r="G2082" s="148"/>
      <c r="H2082" s="149"/>
      <c r="I2082" s="146"/>
      <c r="J2082" s="147"/>
      <c r="K2082" s="221"/>
      <c r="L2082" s="147"/>
      <c r="M2082" s="219"/>
      <c r="N2082" s="148"/>
      <c r="O2082" s="226"/>
      <c r="P2082" s="150"/>
      <c r="Q2082" s="569"/>
      <c r="S2082" s="224"/>
    </row>
    <row r="2083" spans="1:19" hidden="1" outlineLevel="2">
      <c r="A2083" s="274"/>
      <c r="B2083" s="152"/>
      <c r="C2083" s="213" t="s">
        <v>673</v>
      </c>
      <c r="D2083" s="180"/>
      <c r="E2083" s="148"/>
      <c r="F2083" s="148"/>
      <c r="G2083" s="148"/>
      <c r="H2083" s="149"/>
      <c r="I2083" s="146"/>
      <c r="J2083" s="147"/>
      <c r="K2083" s="221"/>
      <c r="L2083" s="147"/>
      <c r="M2083" s="219"/>
      <c r="N2083" s="148"/>
      <c r="O2083" s="226"/>
      <c r="P2083" s="150"/>
      <c r="Q2083" s="569"/>
      <c r="S2083" s="224"/>
    </row>
    <row r="2084" spans="1:19" hidden="1" outlineLevel="2">
      <c r="A2084" s="274"/>
      <c r="B2084" s="152"/>
      <c r="C2084" s="213" t="s">
        <v>674</v>
      </c>
      <c r="D2084" s="180"/>
      <c r="E2084" s="148"/>
      <c r="F2084" s="148"/>
      <c r="G2084" s="148"/>
      <c r="H2084" s="149"/>
      <c r="I2084" s="146"/>
      <c r="J2084" s="147"/>
      <c r="K2084" s="221"/>
      <c r="L2084" s="147"/>
      <c r="M2084" s="219"/>
      <c r="N2084" s="148"/>
      <c r="O2084" s="226"/>
      <c r="P2084" s="150"/>
      <c r="Q2084" s="569"/>
      <c r="S2084" s="224"/>
    </row>
    <row r="2085" spans="1:19" hidden="1" outlineLevel="2">
      <c r="A2085" s="274"/>
      <c r="B2085" s="152"/>
      <c r="C2085" s="213" t="s">
        <v>675</v>
      </c>
      <c r="D2085" s="180"/>
      <c r="E2085" s="148"/>
      <c r="F2085" s="148"/>
      <c r="G2085" s="148"/>
      <c r="H2085" s="149"/>
      <c r="I2085" s="146"/>
      <c r="J2085" s="147"/>
      <c r="K2085" s="221"/>
      <c r="L2085" s="147"/>
      <c r="M2085" s="219"/>
      <c r="N2085" s="148"/>
      <c r="O2085" s="226"/>
      <c r="P2085" s="150"/>
      <c r="Q2085" s="569"/>
      <c r="S2085" s="224"/>
    </row>
    <row r="2086" spans="1:19" hidden="1" outlineLevel="2">
      <c r="A2086" s="274"/>
      <c r="B2086" s="152"/>
      <c r="C2086" s="213" t="s">
        <v>266</v>
      </c>
      <c r="D2086" s="180"/>
      <c r="E2086" s="148"/>
      <c r="F2086" s="148"/>
      <c r="G2086" s="148"/>
      <c r="H2086" s="149"/>
      <c r="I2086" s="146"/>
      <c r="J2086" s="147"/>
      <c r="K2086" s="221"/>
      <c r="L2086" s="147"/>
      <c r="M2086" s="219"/>
      <c r="N2086" s="148"/>
      <c r="O2086" s="226"/>
      <c r="P2086" s="150"/>
      <c r="Q2086" s="569"/>
      <c r="S2086" s="224"/>
    </row>
    <row r="2087" spans="1:19" hidden="1" outlineLevel="1" collapsed="1">
      <c r="A2087" s="274"/>
      <c r="B2087" s="152"/>
      <c r="C2087" s="142" t="s">
        <v>415</v>
      </c>
      <c r="D2087" s="180"/>
      <c r="E2087" s="148"/>
      <c r="F2087" s="148"/>
      <c r="G2087" s="148"/>
      <c r="H2087" s="149"/>
      <c r="I2087" s="146"/>
      <c r="J2087" s="147">
        <f>SUM(J2078:J2086)</f>
        <v>1715000</v>
      </c>
      <c r="K2087" s="221">
        <f t="shared" si="177"/>
        <v>2109450</v>
      </c>
      <c r="L2087" s="147"/>
      <c r="M2087" s="219"/>
      <c r="N2087" s="148"/>
      <c r="O2087" s="226"/>
      <c r="P2087" s="150">
        <f t="shared" si="179"/>
        <v>2109450</v>
      </c>
      <c r="Q2087" s="569"/>
      <c r="S2087" s="260"/>
    </row>
    <row r="2088" spans="1:19" s="211" customFormat="1" hidden="1" outlineLevel="2">
      <c r="A2088" s="276"/>
      <c r="B2088" s="142" t="s">
        <v>408</v>
      </c>
      <c r="C2088" s="159"/>
      <c r="D2088" s="180"/>
      <c r="E2088" s="148"/>
      <c r="F2088" s="148"/>
      <c r="G2088" s="148"/>
      <c r="H2088" s="149"/>
      <c r="I2088" s="146"/>
      <c r="J2088" s="147"/>
      <c r="K2088" s="221"/>
      <c r="L2088" s="147"/>
      <c r="M2088" s="219"/>
      <c r="N2088" s="148"/>
      <c r="O2088" s="226"/>
      <c r="P2088" s="150"/>
      <c r="Q2088" s="568"/>
    </row>
    <row r="2089" spans="1:19" hidden="1" outlineLevel="2">
      <c r="A2089" s="274"/>
      <c r="B2089" s="152"/>
      <c r="C2089" s="213" t="s">
        <v>669</v>
      </c>
      <c r="D2089" s="180"/>
      <c r="E2089" s="148"/>
      <c r="F2089" s="148"/>
      <c r="G2089" s="148"/>
      <c r="H2089" s="149"/>
      <c r="I2089" s="146"/>
      <c r="J2089" s="147"/>
      <c r="K2089" s="221"/>
      <c r="L2089" s="147"/>
      <c r="M2089" s="219"/>
      <c r="N2089" s="148"/>
      <c r="O2089" s="226"/>
      <c r="P2089" s="150"/>
      <c r="Q2089" s="569"/>
      <c r="S2089" s="224"/>
    </row>
    <row r="2090" spans="1:19" hidden="1" outlineLevel="2">
      <c r="A2090" s="274"/>
      <c r="B2090" s="152"/>
      <c r="C2090" s="213" t="s">
        <v>670</v>
      </c>
      <c r="D2090" s="180"/>
      <c r="E2090" s="148"/>
      <c r="F2090" s="148"/>
      <c r="G2090" s="148"/>
      <c r="H2090" s="149"/>
      <c r="I2090" s="146"/>
      <c r="J2090" s="147"/>
      <c r="K2090" s="221"/>
      <c r="L2090" s="147"/>
      <c r="M2090" s="219"/>
      <c r="N2090" s="148"/>
      <c r="O2090" s="226"/>
      <c r="P2090" s="150"/>
      <c r="Q2090" s="569"/>
      <c r="S2090" s="224"/>
    </row>
    <row r="2091" spans="1:19" hidden="1" outlineLevel="2">
      <c r="A2091" s="274"/>
      <c r="B2091" s="152"/>
      <c r="C2091" s="213" t="s">
        <v>671</v>
      </c>
      <c r="D2091" s="180"/>
      <c r="E2091" s="148"/>
      <c r="F2091" s="148"/>
      <c r="G2091" s="148"/>
      <c r="H2091" s="149"/>
      <c r="I2091" s="146"/>
      <c r="J2091" s="147"/>
      <c r="K2091" s="221"/>
      <c r="L2091" s="147"/>
      <c r="M2091" s="219"/>
      <c r="N2091" s="148"/>
      <c r="O2091" s="226"/>
      <c r="P2091" s="150"/>
      <c r="Q2091" s="569"/>
      <c r="S2091" s="224"/>
    </row>
    <row r="2092" spans="1:19" hidden="1" outlineLevel="2">
      <c r="A2092" s="274"/>
      <c r="B2092" s="152"/>
      <c r="C2092" s="213" t="s">
        <v>672</v>
      </c>
      <c r="D2092" s="180"/>
      <c r="E2092" s="148"/>
      <c r="F2092" s="148"/>
      <c r="G2092" s="148"/>
      <c r="H2092" s="149"/>
      <c r="I2092" s="146"/>
      <c r="J2092" s="147"/>
      <c r="K2092" s="221"/>
      <c r="L2092" s="147"/>
      <c r="M2092" s="219"/>
      <c r="N2092" s="148"/>
      <c r="O2092" s="226"/>
      <c r="P2092" s="150"/>
      <c r="Q2092" s="569"/>
      <c r="S2092" s="224"/>
    </row>
    <row r="2093" spans="1:19" hidden="1" outlineLevel="2">
      <c r="A2093" s="274"/>
      <c r="B2093" s="152"/>
      <c r="C2093" s="213" t="s">
        <v>673</v>
      </c>
      <c r="D2093" s="180"/>
      <c r="E2093" s="148"/>
      <c r="F2093" s="148"/>
      <c r="G2093" s="148"/>
      <c r="H2093" s="149"/>
      <c r="I2093" s="146"/>
      <c r="J2093" s="147"/>
      <c r="K2093" s="221"/>
      <c r="L2093" s="147"/>
      <c r="M2093" s="219"/>
      <c r="N2093" s="148"/>
      <c r="O2093" s="226"/>
      <c r="P2093" s="150"/>
      <c r="Q2093" s="569"/>
      <c r="S2093" s="224"/>
    </row>
    <row r="2094" spans="1:19" hidden="1" outlineLevel="2">
      <c r="A2094" s="274"/>
      <c r="B2094" s="152"/>
      <c r="C2094" s="213" t="s">
        <v>674</v>
      </c>
      <c r="D2094" s="180"/>
      <c r="E2094" s="148"/>
      <c r="F2094" s="148"/>
      <c r="G2094" s="148"/>
      <c r="H2094" s="149"/>
      <c r="I2094" s="146"/>
      <c r="J2094" s="147"/>
      <c r="K2094" s="221"/>
      <c r="L2094" s="147"/>
      <c r="M2094" s="219"/>
      <c r="N2094" s="148"/>
      <c r="O2094" s="226"/>
      <c r="P2094" s="150"/>
      <c r="Q2094" s="569"/>
      <c r="S2094" s="224"/>
    </row>
    <row r="2095" spans="1:19" hidden="1" outlineLevel="2">
      <c r="A2095" s="274"/>
      <c r="B2095" s="152"/>
      <c r="C2095" s="213" t="s">
        <v>675</v>
      </c>
      <c r="D2095" s="180"/>
      <c r="E2095" s="148"/>
      <c r="F2095" s="148"/>
      <c r="G2095" s="148"/>
      <c r="H2095" s="149"/>
      <c r="I2095" s="146"/>
      <c r="J2095" s="147"/>
      <c r="K2095" s="221"/>
      <c r="L2095" s="147"/>
      <c r="M2095" s="219"/>
      <c r="N2095" s="148"/>
      <c r="O2095" s="226"/>
      <c r="P2095" s="150"/>
      <c r="Q2095" s="569"/>
      <c r="S2095" s="224"/>
    </row>
    <row r="2096" spans="1:19" hidden="1" outlineLevel="2">
      <c r="A2096" s="274"/>
      <c r="B2096" s="152"/>
      <c r="C2096" s="213" t="s">
        <v>266</v>
      </c>
      <c r="D2096" s="180"/>
      <c r="E2096" s="148"/>
      <c r="F2096" s="148"/>
      <c r="G2096" s="148"/>
      <c r="H2096" s="149"/>
      <c r="I2096" s="146"/>
      <c r="J2096" s="147"/>
      <c r="K2096" s="221"/>
      <c r="L2096" s="147"/>
      <c r="M2096" s="219"/>
      <c r="N2096" s="148"/>
      <c r="O2096" s="226"/>
      <c r="P2096" s="150"/>
      <c r="Q2096" s="569"/>
      <c r="S2096" s="224"/>
    </row>
    <row r="2097" spans="1:21" hidden="1" outlineLevel="1" collapsed="1">
      <c r="A2097" s="274"/>
      <c r="B2097" s="152"/>
      <c r="C2097" s="142" t="s">
        <v>408</v>
      </c>
      <c r="D2097" s="180"/>
      <c r="E2097" s="148"/>
      <c r="F2097" s="148"/>
      <c r="G2097" s="148"/>
      <c r="H2097" s="149"/>
      <c r="I2097" s="146"/>
      <c r="J2097" s="147"/>
      <c r="K2097" s="221"/>
      <c r="L2097" s="147"/>
      <c r="M2097" s="219"/>
      <c r="N2097" s="148"/>
      <c r="O2097" s="226"/>
      <c r="P2097" s="150"/>
      <c r="Q2097" s="569"/>
      <c r="S2097" s="260"/>
    </row>
    <row r="2098" spans="1:21" s="211" customFormat="1" ht="16.5" customHeight="1" collapsed="1">
      <c r="A2098" s="276"/>
      <c r="B2098" s="159"/>
      <c r="C2098" s="142" t="s">
        <v>690</v>
      </c>
      <c r="D2098" s="220"/>
      <c r="E2098" s="217"/>
      <c r="F2098" s="217"/>
      <c r="G2098" s="217"/>
      <c r="H2098" s="219"/>
      <c r="I2098" s="150"/>
      <c r="J2098" s="147">
        <f>SUM(J2077,J2087,J2097)</f>
        <v>2345000</v>
      </c>
      <c r="K2098" s="221">
        <f>J2098*1.23</f>
        <v>2884350</v>
      </c>
      <c r="L2098" s="147">
        <f>SUM(L2077,L2087,L2097)</f>
        <v>500000</v>
      </c>
      <c r="M2098" s="219">
        <f t="shared" ref="M2098" si="180">L2098*1.46</f>
        <v>730000</v>
      </c>
      <c r="N2098" s="148"/>
      <c r="O2098" s="226"/>
      <c r="P2098" s="150">
        <f t="shared" ref="P2098" si="181">SUM(I2098,K2098,M2098,O2098)</f>
        <v>3614350</v>
      </c>
      <c r="Q2098" s="568"/>
    </row>
    <row r="2099" spans="1:21" s="211" customFormat="1" hidden="1" outlineLevel="1">
      <c r="A2099" s="275" t="s">
        <v>691</v>
      </c>
      <c r="B2099" s="159"/>
      <c r="C2099" s="142"/>
      <c r="D2099" s="180"/>
      <c r="E2099" s="148"/>
      <c r="F2099" s="148"/>
      <c r="G2099" s="148"/>
      <c r="H2099" s="149"/>
      <c r="I2099" s="146"/>
      <c r="J2099" s="147"/>
      <c r="K2099" s="221"/>
      <c r="L2099" s="147"/>
      <c r="M2099" s="219"/>
      <c r="N2099" s="148"/>
      <c r="O2099" s="226"/>
      <c r="P2099" s="150"/>
      <c r="Q2099" s="568"/>
    </row>
    <row r="2100" spans="1:21" s="211" customFormat="1" hidden="1" outlineLevel="1">
      <c r="A2100" s="275"/>
      <c r="B2100" s="159"/>
      <c r="C2100" s="142" t="s">
        <v>692</v>
      </c>
      <c r="D2100" s="180"/>
      <c r="E2100" s="148"/>
      <c r="F2100" s="148"/>
      <c r="G2100" s="148"/>
      <c r="H2100" s="149"/>
      <c r="I2100" s="146"/>
      <c r="J2100" s="147">
        <v>148135</v>
      </c>
      <c r="K2100" s="221">
        <f>J2100*1.23</f>
        <v>182206.05</v>
      </c>
      <c r="L2100" s="147"/>
      <c r="M2100" s="219"/>
      <c r="N2100" s="148"/>
      <c r="O2100" s="226"/>
      <c r="P2100" s="150">
        <f t="shared" ref="P2100:P2106" si="182">SUM(I2100,K2100,M2100,O2100)</f>
        <v>182206.05</v>
      </c>
      <c r="Q2100" s="568"/>
    </row>
    <row r="2101" spans="1:21" s="211" customFormat="1" hidden="1" outlineLevel="1">
      <c r="A2101" s="275"/>
      <c r="B2101" s="159"/>
      <c r="C2101" s="142" t="s">
        <v>693</v>
      </c>
      <c r="D2101" s="180"/>
      <c r="E2101" s="148"/>
      <c r="F2101" s="148"/>
      <c r="G2101" s="148"/>
      <c r="H2101" s="149"/>
      <c r="I2101" s="146"/>
      <c r="J2101" s="148">
        <v>146000</v>
      </c>
      <c r="K2101" s="221">
        <f t="shared" ref="K2101:K2102" si="183">J2101*1.23</f>
        <v>179580</v>
      </c>
      <c r="L2101" s="147"/>
      <c r="M2101" s="219"/>
      <c r="N2101" s="149"/>
      <c r="O2101" s="226"/>
      <c r="P2101" s="150">
        <f t="shared" si="182"/>
        <v>179580</v>
      </c>
      <c r="Q2101" s="568"/>
    </row>
    <row r="2102" spans="1:21" s="211" customFormat="1" hidden="1" outlineLevel="1">
      <c r="A2102" s="275"/>
      <c r="B2102" s="159"/>
      <c r="C2102" s="142" t="s">
        <v>694</v>
      </c>
      <c r="D2102" s="180"/>
      <c r="E2102" s="148"/>
      <c r="F2102" s="148"/>
      <c r="G2102" s="148"/>
      <c r="H2102" s="149"/>
      <c r="I2102" s="146"/>
      <c r="J2102" s="149">
        <v>406600</v>
      </c>
      <c r="K2102" s="221">
        <f t="shared" si="183"/>
        <v>500118</v>
      </c>
      <c r="L2102" s="231"/>
      <c r="M2102" s="219"/>
      <c r="N2102" s="149"/>
      <c r="O2102" s="226"/>
      <c r="P2102" s="150">
        <f t="shared" si="182"/>
        <v>500118</v>
      </c>
      <c r="Q2102" s="568"/>
    </row>
    <row r="2103" spans="1:21" s="211" customFormat="1" hidden="1" outlineLevel="1">
      <c r="A2103" s="275"/>
      <c r="B2103" s="159"/>
      <c r="C2103" s="142" t="s">
        <v>695</v>
      </c>
      <c r="D2103" s="180"/>
      <c r="E2103" s="148"/>
      <c r="F2103" s="148"/>
      <c r="G2103" s="148"/>
      <c r="H2103" s="149"/>
      <c r="I2103" s="146"/>
      <c r="J2103" s="147"/>
      <c r="K2103" s="221"/>
      <c r="L2103" s="147">
        <v>1601195</v>
      </c>
      <c r="M2103" s="219">
        <f>L2103*1.46</f>
        <v>2337744.6999999997</v>
      </c>
      <c r="N2103" s="149">
        <v>1500000</v>
      </c>
      <c r="O2103" s="226">
        <f>N2103*1.73</f>
        <v>2595000</v>
      </c>
      <c r="P2103" s="150">
        <f t="shared" si="182"/>
        <v>4932744.6999999993</v>
      </c>
      <c r="Q2103" s="568"/>
    </row>
    <row r="2104" spans="1:21" s="211" customFormat="1" ht="15.75" hidden="1" customHeight="1" outlineLevel="1">
      <c r="A2104" s="275"/>
      <c r="B2104" s="159"/>
      <c r="C2104" s="142" t="s">
        <v>696</v>
      </c>
      <c r="D2104" s="180"/>
      <c r="E2104" s="148"/>
      <c r="F2104" s="148"/>
      <c r="G2104" s="148"/>
      <c r="H2104" s="149"/>
      <c r="I2104" s="146"/>
      <c r="J2104" s="147"/>
      <c r="K2104" s="221"/>
      <c r="L2104" s="147"/>
      <c r="M2104" s="219"/>
      <c r="N2104" s="149">
        <v>360000</v>
      </c>
      <c r="O2104" s="226">
        <f t="shared" ref="O2104:O2106" si="184">N2104*1.73</f>
        <v>622800</v>
      </c>
      <c r="P2104" s="150">
        <f t="shared" si="182"/>
        <v>622800</v>
      </c>
      <c r="Q2104" s="568"/>
    </row>
    <row r="2105" spans="1:21" s="211" customFormat="1" ht="16.5" customHeight="1" collapsed="1">
      <c r="A2105" s="559"/>
      <c r="B2105" s="173"/>
      <c r="C2105" s="520" t="s">
        <v>697</v>
      </c>
      <c r="D2105" s="504"/>
      <c r="E2105" s="505"/>
      <c r="F2105" s="505"/>
      <c r="G2105" s="505"/>
      <c r="H2105" s="512"/>
      <c r="I2105" s="178"/>
      <c r="J2105" s="193">
        <f>SUM(J2100:J2104)</f>
        <v>700735</v>
      </c>
      <c r="K2105" s="507">
        <f>J2105*1.23</f>
        <v>861904.04999999993</v>
      </c>
      <c r="L2105" s="193">
        <f>SUM(L2100:L2104)</f>
        <v>1601195</v>
      </c>
      <c r="M2105" s="512">
        <f>L2105*1.46</f>
        <v>2337744.6999999997</v>
      </c>
      <c r="N2105" s="194">
        <f>SUM(N2100:N2104)</f>
        <v>1860000</v>
      </c>
      <c r="O2105" s="506">
        <f t="shared" si="184"/>
        <v>3217800</v>
      </c>
      <c r="P2105" s="178">
        <f t="shared" si="182"/>
        <v>6417448.75</v>
      </c>
      <c r="Q2105" s="568"/>
    </row>
    <row r="2106" spans="1:21" ht="18" customHeight="1">
      <c r="A2106" s="550"/>
      <c r="B2106" s="605" t="s">
        <v>698</v>
      </c>
      <c r="C2106" s="606"/>
      <c r="D2106" s="510">
        <f>SUM(D2066,D2098,D2105)</f>
        <v>145000</v>
      </c>
      <c r="E2106" s="514">
        <f>SUM(E2066,E2098,E2105)</f>
        <v>46575</v>
      </c>
      <c r="F2106" s="514"/>
      <c r="G2106" s="514"/>
      <c r="H2106" s="515">
        <f>SUM(H2066,H2098,H2105)</f>
        <v>1893412.9510312495</v>
      </c>
      <c r="I2106" s="516">
        <f>SUM(I2066,I2098,I2105)</f>
        <v>2084987.9510312495</v>
      </c>
      <c r="J2106" s="517">
        <f>SUM(J2066,J2098,J2105)</f>
        <v>6950735</v>
      </c>
      <c r="K2106" s="518">
        <f>J2106*1.23</f>
        <v>8549404.0500000007</v>
      </c>
      <c r="L2106" s="517">
        <f>SUM(L2066,L2098,L2105)</f>
        <v>3166195</v>
      </c>
      <c r="M2106" s="519">
        <f>L2106*1.46</f>
        <v>4622644.7</v>
      </c>
      <c r="N2106" s="233">
        <f>SUM(N2066,N2098,N2105)</f>
        <v>1860000</v>
      </c>
      <c r="O2106" s="515">
        <f t="shared" si="184"/>
        <v>3217800</v>
      </c>
      <c r="P2106" s="516">
        <f t="shared" si="182"/>
        <v>18474836.701031249</v>
      </c>
      <c r="Q2106" s="568"/>
    </row>
    <row r="2107" spans="1:21" ht="12" customHeight="1">
      <c r="A2107" s="550"/>
      <c r="B2107" s="152"/>
      <c r="C2107" s="152"/>
      <c r="D2107" s="160"/>
      <c r="E2107" s="153"/>
      <c r="F2107" s="153"/>
      <c r="G2107" s="153"/>
      <c r="H2107" s="154"/>
      <c r="I2107" s="163"/>
      <c r="J2107" s="147"/>
      <c r="K2107" s="157"/>
      <c r="L2107" s="157"/>
      <c r="M2107" s="166"/>
      <c r="N2107" s="154"/>
      <c r="O2107" s="206"/>
      <c r="P2107" s="150"/>
      <c r="Q2107" s="569"/>
    </row>
    <row r="2108" spans="1:21" ht="15.75" customHeight="1">
      <c r="A2108" s="553" t="s">
        <v>699</v>
      </c>
      <c r="B2108" s="234"/>
      <c r="C2108" s="240"/>
      <c r="D2108" s="237"/>
      <c r="E2108" s="235"/>
      <c r="F2108" s="235"/>
      <c r="G2108" s="235"/>
      <c r="H2108" s="236"/>
      <c r="I2108" s="238"/>
      <c r="J2108" s="239"/>
      <c r="K2108" s="239"/>
      <c r="L2108" s="239"/>
      <c r="M2108" s="240"/>
      <c r="N2108" s="240"/>
      <c r="O2108" s="410"/>
      <c r="P2108" s="241"/>
      <c r="Q2108" s="584"/>
      <c r="U2108" t="s">
        <v>390</v>
      </c>
    </row>
    <row r="2109" spans="1:21" ht="15.75" hidden="1" customHeight="1" outlineLevel="1">
      <c r="A2109" s="278" t="s">
        <v>700</v>
      </c>
      <c r="B2109" s="152"/>
      <c r="C2109" s="272"/>
      <c r="D2109" s="160"/>
      <c r="E2109" s="153"/>
      <c r="F2109" s="153"/>
      <c r="G2109" s="153"/>
      <c r="H2109" s="154"/>
      <c r="I2109" s="163"/>
      <c r="J2109" s="157"/>
      <c r="K2109" s="157"/>
      <c r="L2109" s="157"/>
      <c r="M2109" s="154"/>
      <c r="N2109" s="154"/>
      <c r="O2109" s="206"/>
      <c r="P2109" s="150"/>
      <c r="Q2109" s="568"/>
    </row>
    <row r="2110" spans="1:21" ht="15.75" hidden="1" customHeight="1" outlineLevel="1">
      <c r="A2110" s="275"/>
      <c r="B2110" s="152"/>
      <c r="C2110" s="142" t="s">
        <v>701</v>
      </c>
      <c r="D2110" s="160"/>
      <c r="E2110" s="153"/>
      <c r="F2110" s="153"/>
      <c r="G2110" s="153"/>
      <c r="H2110" s="154"/>
      <c r="I2110" s="163"/>
      <c r="J2110" s="157"/>
      <c r="K2110" s="157"/>
      <c r="L2110" s="157"/>
      <c r="M2110" s="154"/>
      <c r="N2110" s="154">
        <v>1000000</v>
      </c>
      <c r="O2110" s="226">
        <f t="shared" ref="O2110" si="185">N2110*1.73</f>
        <v>1730000</v>
      </c>
      <c r="P2110" s="150">
        <f t="shared" ref="P2110:P2156" si="186">SUM(I2110,K2110,M2110,O2110)</f>
        <v>1730000</v>
      </c>
      <c r="Q2110" s="568"/>
    </row>
    <row r="2111" spans="1:21" ht="15.75" hidden="1" customHeight="1" outlineLevel="1">
      <c r="A2111" s="559"/>
      <c r="B2111" s="152"/>
      <c r="C2111" s="142" t="s">
        <v>702</v>
      </c>
      <c r="D2111" s="160"/>
      <c r="E2111" s="153"/>
      <c r="F2111" s="153"/>
      <c r="G2111" s="153"/>
      <c r="H2111" s="154"/>
      <c r="I2111" s="150"/>
      <c r="J2111" s="157">
        <v>1000000</v>
      </c>
      <c r="K2111" s="221">
        <f>J2111*1.23</f>
        <v>1230000</v>
      </c>
      <c r="L2111" s="157"/>
      <c r="M2111" s="154"/>
      <c r="N2111" s="154"/>
      <c r="O2111" s="206"/>
      <c r="P2111" s="150">
        <f t="shared" si="186"/>
        <v>1230000</v>
      </c>
      <c r="Q2111" s="568"/>
    </row>
    <row r="2112" spans="1:21" ht="15.75" hidden="1" customHeight="1" outlineLevel="1">
      <c r="A2112" s="275"/>
      <c r="B2112" s="152"/>
      <c r="C2112" s="142" t="s">
        <v>703</v>
      </c>
      <c r="D2112" s="160"/>
      <c r="E2112" s="153"/>
      <c r="F2112" s="153"/>
      <c r="G2112" s="153"/>
      <c r="H2112" s="154"/>
      <c r="I2112" s="150"/>
      <c r="J2112" s="157"/>
      <c r="K2112" s="157"/>
      <c r="L2112" s="157">
        <v>1000000</v>
      </c>
      <c r="M2112" s="219">
        <f t="shared" ref="M2112" si="187">L2112*1.46</f>
        <v>1460000</v>
      </c>
      <c r="N2112" s="154"/>
      <c r="O2112" s="206"/>
      <c r="P2112" s="150">
        <f t="shared" si="186"/>
        <v>1460000</v>
      </c>
      <c r="Q2112" s="568"/>
    </row>
    <row r="2113" spans="1:17" ht="15.75" hidden="1" customHeight="1" outlineLevel="1">
      <c r="A2113" s="559"/>
      <c r="B2113" s="152"/>
      <c r="C2113" s="142" t="s">
        <v>704</v>
      </c>
      <c r="D2113" s="160"/>
      <c r="E2113" s="153"/>
      <c r="F2113" s="153">
        <f>CIP!$AO$70</f>
        <v>642734.99999999988</v>
      </c>
      <c r="G2113" s="153"/>
      <c r="H2113" s="154"/>
      <c r="I2113" s="150">
        <f>SUM(D2113:H2113)</f>
        <v>642734.99999999988</v>
      </c>
      <c r="J2113" s="157"/>
      <c r="K2113" s="157"/>
      <c r="L2113" s="157"/>
      <c r="M2113" s="154"/>
      <c r="N2113" s="154">
        <v>600000</v>
      </c>
      <c r="O2113" s="226">
        <f t="shared" ref="O2113" si="188">N2113*1.73</f>
        <v>1038000</v>
      </c>
      <c r="P2113" s="150">
        <f t="shared" si="186"/>
        <v>1680735</v>
      </c>
      <c r="Q2113" s="568"/>
    </row>
    <row r="2114" spans="1:17" ht="15.75" hidden="1" customHeight="1" outlineLevel="1">
      <c r="A2114" s="559"/>
      <c r="B2114" s="152"/>
      <c r="C2114" s="142" t="s">
        <v>705</v>
      </c>
      <c r="D2114" s="160"/>
      <c r="E2114" s="153"/>
      <c r="F2114" s="153"/>
      <c r="G2114" s="153"/>
      <c r="H2114" s="154"/>
      <c r="I2114" s="150"/>
      <c r="J2114" s="157">
        <v>600000</v>
      </c>
      <c r="K2114" s="221">
        <f>J2114*1.23</f>
        <v>738000</v>
      </c>
      <c r="L2114" s="157"/>
      <c r="M2114" s="154"/>
      <c r="N2114" s="154"/>
      <c r="O2114" s="206"/>
      <c r="P2114" s="150">
        <f t="shared" si="186"/>
        <v>738000</v>
      </c>
      <c r="Q2114" s="568"/>
    </row>
    <row r="2115" spans="1:17" ht="15.75" hidden="1" customHeight="1" outlineLevel="1">
      <c r="A2115" s="559"/>
      <c r="B2115" s="152"/>
      <c r="C2115" s="142" t="s">
        <v>706</v>
      </c>
      <c r="D2115" s="160"/>
      <c r="E2115" s="153"/>
      <c r="F2115" s="153"/>
      <c r="G2115" s="153"/>
      <c r="H2115" s="154">
        <f>CIP!$AQ$134</f>
        <v>688513.80037499976</v>
      </c>
      <c r="I2115" s="150">
        <f>SUM(D2115:H2115)</f>
        <v>688513.80037499976</v>
      </c>
      <c r="J2115" s="157"/>
      <c r="K2115" s="157"/>
      <c r="N2115" s="154">
        <v>600000</v>
      </c>
      <c r="O2115" s="226">
        <f t="shared" ref="O2115" si="189">N2115*1.73</f>
        <v>1038000</v>
      </c>
      <c r="P2115" s="150">
        <f t="shared" si="186"/>
        <v>1726513.8003749996</v>
      </c>
      <c r="Q2115" s="568"/>
    </row>
    <row r="2116" spans="1:17" ht="15.75" hidden="1" customHeight="1" outlineLevel="1">
      <c r="A2116" s="559"/>
      <c r="B2116" s="152"/>
      <c r="C2116" s="142" t="s">
        <v>707</v>
      </c>
      <c r="D2116" s="160"/>
      <c r="E2116" s="153"/>
      <c r="F2116" s="153"/>
      <c r="G2116" s="153"/>
      <c r="H2116" s="154"/>
      <c r="I2116" s="150"/>
      <c r="J2116" s="157"/>
      <c r="K2116" s="157"/>
      <c r="L2116" s="157">
        <v>600000</v>
      </c>
      <c r="M2116" s="219">
        <f t="shared" ref="M2116:M2117" si="190">L2116*1.46</f>
        <v>876000</v>
      </c>
      <c r="N2116" s="154"/>
      <c r="O2116" s="206"/>
      <c r="P2116" s="150">
        <f t="shared" si="186"/>
        <v>876000</v>
      </c>
      <c r="Q2116" s="568"/>
    </row>
    <row r="2117" spans="1:17" ht="15.75" hidden="1" customHeight="1" outlineLevel="1">
      <c r="A2117" s="559"/>
      <c r="B2117" s="152"/>
      <c r="C2117" s="142" t="s">
        <v>708</v>
      </c>
      <c r="D2117" s="160"/>
      <c r="E2117" s="153"/>
      <c r="F2117" s="153"/>
      <c r="G2117" s="153"/>
      <c r="H2117" s="154"/>
      <c r="I2117" s="150"/>
      <c r="J2117" s="157"/>
      <c r="K2117" s="157"/>
      <c r="L2117" s="157">
        <v>600000</v>
      </c>
      <c r="M2117" s="219">
        <f t="shared" si="190"/>
        <v>876000</v>
      </c>
      <c r="N2117" s="154"/>
      <c r="O2117" s="206"/>
      <c r="P2117" s="150">
        <f t="shared" si="186"/>
        <v>876000</v>
      </c>
      <c r="Q2117" s="568"/>
    </row>
    <row r="2118" spans="1:17" ht="15.75" hidden="1" customHeight="1" outlineLevel="1">
      <c r="A2118" s="559"/>
      <c r="B2118" s="152"/>
      <c r="C2118" s="142" t="s">
        <v>709</v>
      </c>
      <c r="D2118" s="160"/>
      <c r="E2118" s="153"/>
      <c r="F2118" s="153"/>
      <c r="G2118" s="153"/>
      <c r="H2118" s="154"/>
      <c r="I2118" s="150"/>
      <c r="J2118" s="157"/>
      <c r="K2118" s="157"/>
      <c r="L2118" s="157"/>
      <c r="M2118" s="154"/>
      <c r="N2118" s="154">
        <v>600000</v>
      </c>
      <c r="O2118" s="226">
        <f t="shared" ref="O2118:O2119" si="191">N2118*1.73</f>
        <v>1038000</v>
      </c>
      <c r="P2118" s="150">
        <f t="shared" si="186"/>
        <v>1038000</v>
      </c>
      <c r="Q2118" s="568"/>
    </row>
    <row r="2119" spans="1:17" ht="15.75" hidden="1" customHeight="1" outlineLevel="1">
      <c r="A2119" s="559"/>
      <c r="B2119" s="152"/>
      <c r="C2119" s="142" t="s">
        <v>710</v>
      </c>
      <c r="D2119" s="160"/>
      <c r="E2119" s="153"/>
      <c r="F2119" s="153"/>
      <c r="G2119" s="263"/>
      <c r="H2119" s="263"/>
      <c r="I2119" s="163"/>
      <c r="J2119" s="258">
        <v>600000</v>
      </c>
      <c r="K2119" s="217">
        <f t="shared" ref="K2119:K2125" si="192">J2119*1.23</f>
        <v>738000</v>
      </c>
      <c r="L2119" s="157"/>
      <c r="M2119" s="154"/>
      <c r="N2119" s="154">
        <v>600000</v>
      </c>
      <c r="O2119" s="226">
        <f t="shared" si="191"/>
        <v>1038000</v>
      </c>
      <c r="P2119" s="150">
        <f t="shared" si="186"/>
        <v>1776000</v>
      </c>
      <c r="Q2119" s="582"/>
    </row>
    <row r="2120" spans="1:17" hidden="1" outlineLevel="1">
      <c r="A2120" s="559"/>
      <c r="B2120" s="152"/>
      <c r="C2120" s="142" t="s">
        <v>711</v>
      </c>
      <c r="D2120" s="160"/>
      <c r="E2120" s="153"/>
      <c r="F2120" s="153"/>
      <c r="G2120" s="153"/>
      <c r="H2120" s="154"/>
      <c r="I2120" s="163"/>
      <c r="J2120" s="154">
        <v>125000</v>
      </c>
      <c r="K2120" s="217">
        <f t="shared" si="192"/>
        <v>153750</v>
      </c>
      <c r="L2120" s="157"/>
      <c r="M2120" s="154"/>
      <c r="N2120" s="154"/>
      <c r="O2120" s="206"/>
      <c r="P2120" s="150">
        <f t="shared" si="186"/>
        <v>153750</v>
      </c>
      <c r="Q2120" s="568"/>
    </row>
    <row r="2121" spans="1:17" hidden="1" outlineLevel="1">
      <c r="A2121" s="559"/>
      <c r="B2121" s="152"/>
      <c r="C2121" s="142" t="s">
        <v>712</v>
      </c>
      <c r="D2121" s="160"/>
      <c r="E2121" s="153"/>
      <c r="F2121" s="153"/>
      <c r="G2121" s="153"/>
      <c r="H2121" s="154"/>
      <c r="I2121" s="163"/>
      <c r="J2121" s="154">
        <v>80000</v>
      </c>
      <c r="K2121" s="217">
        <f t="shared" si="192"/>
        <v>98400</v>
      </c>
      <c r="L2121" s="157"/>
      <c r="M2121" s="154"/>
      <c r="N2121" s="154"/>
      <c r="O2121" s="206"/>
      <c r="P2121" s="150">
        <f t="shared" si="186"/>
        <v>98400</v>
      </c>
      <c r="Q2121" s="568"/>
    </row>
    <row r="2122" spans="1:17" hidden="1" outlineLevel="1">
      <c r="A2122" s="559"/>
      <c r="B2122" s="152"/>
      <c r="C2122" s="142" t="s">
        <v>1032</v>
      </c>
      <c r="D2122" s="160"/>
      <c r="E2122" s="153"/>
      <c r="F2122" s="153"/>
      <c r="G2122" s="153"/>
      <c r="H2122" s="154"/>
      <c r="I2122" s="163"/>
      <c r="J2122" s="157">
        <v>125000</v>
      </c>
      <c r="K2122" s="221">
        <f t="shared" si="192"/>
        <v>153750</v>
      </c>
      <c r="L2122" s="157"/>
      <c r="M2122" s="154"/>
      <c r="N2122" s="154"/>
      <c r="O2122" s="206"/>
      <c r="P2122" s="150">
        <f t="shared" si="186"/>
        <v>153750</v>
      </c>
      <c r="Q2122" s="568"/>
    </row>
    <row r="2123" spans="1:17" hidden="1" outlineLevel="1">
      <c r="A2123" s="559"/>
      <c r="B2123" s="152"/>
      <c r="C2123" s="142" t="s">
        <v>713</v>
      </c>
      <c r="D2123" s="160"/>
      <c r="E2123" s="153"/>
      <c r="F2123" s="153"/>
      <c r="G2123" s="153"/>
      <c r="H2123" s="154"/>
      <c r="I2123" s="163"/>
      <c r="J2123" s="157">
        <v>200000</v>
      </c>
      <c r="K2123" s="221">
        <f t="shared" si="192"/>
        <v>246000</v>
      </c>
      <c r="L2123" s="157"/>
      <c r="M2123" s="154"/>
      <c r="N2123" s="154"/>
      <c r="O2123" s="206"/>
      <c r="P2123" s="150">
        <f t="shared" si="186"/>
        <v>246000</v>
      </c>
      <c r="Q2123" s="568"/>
    </row>
    <row r="2124" spans="1:17" hidden="1" outlineLevel="1">
      <c r="A2124" s="559"/>
      <c r="B2124" s="152"/>
      <c r="C2124" s="142" t="s">
        <v>714</v>
      </c>
      <c r="D2124" s="160"/>
      <c r="E2124" s="153"/>
      <c r="F2124" s="153"/>
      <c r="G2124" s="153"/>
      <c r="H2124" s="154"/>
      <c r="I2124" s="163"/>
      <c r="J2124" s="157"/>
      <c r="K2124" s="157"/>
      <c r="L2124" s="157">
        <v>200000</v>
      </c>
      <c r="M2124" s="219">
        <f t="shared" ref="M2124" si="193">L2124*1.46</f>
        <v>292000</v>
      </c>
      <c r="N2124" s="154"/>
      <c r="O2124" s="206"/>
      <c r="P2124" s="150">
        <f t="shared" si="186"/>
        <v>292000</v>
      </c>
      <c r="Q2124" s="568"/>
    </row>
    <row r="2125" spans="1:17" hidden="1" outlineLevel="1">
      <c r="A2125" s="559"/>
      <c r="B2125" s="152"/>
      <c r="C2125" s="142" t="s">
        <v>715</v>
      </c>
      <c r="D2125" s="160"/>
      <c r="E2125" s="153"/>
      <c r="F2125" s="153"/>
      <c r="G2125" s="153"/>
      <c r="H2125" s="154"/>
      <c r="I2125" s="163"/>
      <c r="J2125" s="157">
        <v>400000</v>
      </c>
      <c r="K2125" s="221">
        <f t="shared" si="192"/>
        <v>492000</v>
      </c>
      <c r="L2125" s="157"/>
      <c r="M2125" s="154"/>
      <c r="N2125" s="154">
        <v>400000</v>
      </c>
      <c r="O2125" s="226">
        <f t="shared" ref="O2125:O2126" si="194">N2125*1.73</f>
        <v>692000</v>
      </c>
      <c r="P2125" s="150">
        <f t="shared" si="186"/>
        <v>1184000</v>
      </c>
      <c r="Q2125" s="568"/>
    </row>
    <row r="2126" spans="1:17" ht="16.5" customHeight="1" collapsed="1">
      <c r="A2126" s="275"/>
      <c r="B2126" s="152"/>
      <c r="C2126" s="142" t="s">
        <v>716</v>
      </c>
      <c r="D2126" s="220"/>
      <c r="E2126" s="217"/>
      <c r="F2126" s="217">
        <f>SUM(F2110:F2125)</f>
        <v>642734.99999999988</v>
      </c>
      <c r="G2126" s="217"/>
      <c r="H2126" s="226">
        <f>SUM(H2110:H2125)</f>
        <v>688513.80037499976</v>
      </c>
      <c r="I2126" s="150">
        <f>SUM(I2110:I2123)</f>
        <v>1331248.8003749996</v>
      </c>
      <c r="J2126" s="221">
        <f>SUM(J2110:J2125)</f>
        <v>3130000</v>
      </c>
      <c r="K2126" s="221">
        <f t="shared" ref="K2126" si="195">J2126*1.23</f>
        <v>3849900</v>
      </c>
      <c r="L2126" s="221">
        <f>SUM(L2110:L2125)</f>
        <v>2400000</v>
      </c>
      <c r="M2126" s="217">
        <f t="shared" ref="M2126" si="196">L2126*1.46</f>
        <v>3504000</v>
      </c>
      <c r="N2126" s="219">
        <f>SUM(N2110:N2125)</f>
        <v>3800000</v>
      </c>
      <c r="O2126" s="226">
        <f t="shared" si="194"/>
        <v>6574000</v>
      </c>
      <c r="P2126" s="150">
        <f t="shared" si="186"/>
        <v>15259148.800375</v>
      </c>
      <c r="Q2126" s="568"/>
    </row>
    <row r="2127" spans="1:17" hidden="1" outlineLevel="1">
      <c r="A2127" s="276" t="s">
        <v>472</v>
      </c>
      <c r="B2127" s="181"/>
      <c r="C2127" s="152"/>
      <c r="D2127" s="180"/>
      <c r="E2127" s="148"/>
      <c r="F2127" s="148"/>
      <c r="G2127" s="148"/>
      <c r="H2127" s="198"/>
      <c r="I2127" s="150"/>
      <c r="J2127" s="147"/>
      <c r="K2127" s="147"/>
      <c r="L2127" s="147"/>
      <c r="M2127" s="148"/>
      <c r="N2127" s="149"/>
      <c r="O2127" s="198"/>
      <c r="P2127" s="150"/>
      <c r="Q2127" s="568"/>
    </row>
    <row r="2128" spans="1:17" hidden="1" outlineLevel="2">
      <c r="A2128" s="550"/>
      <c r="B2128" s="142" t="s">
        <v>717</v>
      </c>
      <c r="C2128" s="152"/>
      <c r="D2128" s="180"/>
      <c r="E2128" s="148"/>
      <c r="F2128" s="148"/>
      <c r="G2128" s="148"/>
      <c r="H2128" s="198"/>
      <c r="I2128" s="150"/>
      <c r="J2128" s="147"/>
      <c r="K2128" s="147"/>
      <c r="L2128" s="147"/>
      <c r="M2128" s="148"/>
      <c r="N2128" s="149"/>
      <c r="O2128" s="198"/>
      <c r="P2128" s="150"/>
      <c r="Q2128" s="568"/>
    </row>
    <row r="2129" spans="1:17" ht="15.75" hidden="1" customHeight="1" outlineLevel="2">
      <c r="A2129" s="550"/>
      <c r="B2129" s="142"/>
      <c r="C2129" s="142" t="s">
        <v>1033</v>
      </c>
      <c r="D2129" s="187"/>
      <c r="E2129" s="148">
        <f>CIP!$AN$58</f>
        <v>310500</v>
      </c>
      <c r="F2129" s="148"/>
      <c r="G2129" s="148">
        <f>CIP!$AP$122</f>
        <v>332615.36249999993</v>
      </c>
      <c r="H2129" s="198"/>
      <c r="I2129" s="150">
        <f t="shared" ref="I2129:I2135" si="197">SUM(D2129:H2129)</f>
        <v>643115.36249999993</v>
      </c>
      <c r="J2129" s="147">
        <v>300000</v>
      </c>
      <c r="K2129" s="221">
        <f t="shared" ref="K2129:K2137" si="198">J2129*1.23</f>
        <v>369000</v>
      </c>
      <c r="L2129" s="147">
        <v>300000</v>
      </c>
      <c r="M2129" s="217">
        <f t="shared" ref="M2129:M2137" si="199">L2129*1.46</f>
        <v>438000</v>
      </c>
      <c r="N2129" s="231">
        <v>300000</v>
      </c>
      <c r="O2129" s="226">
        <f t="shared" ref="O2129:O2137" si="200">N2129*1.73</f>
        <v>519000</v>
      </c>
      <c r="P2129" s="150">
        <f t="shared" si="186"/>
        <v>1969115.3624999998</v>
      </c>
      <c r="Q2129" s="568"/>
    </row>
    <row r="2130" spans="1:17" ht="15.75" hidden="1" customHeight="1" outlineLevel="2">
      <c r="A2130" s="550"/>
      <c r="B2130" s="142"/>
      <c r="C2130" s="142" t="s">
        <v>718</v>
      </c>
      <c r="D2130" s="187">
        <f>CIP!$AM$31</f>
        <v>172000</v>
      </c>
      <c r="E2130" s="148"/>
      <c r="F2130" s="148"/>
      <c r="G2130" s="148"/>
      <c r="H2130" s="198"/>
      <c r="I2130" s="150">
        <f t="shared" si="197"/>
        <v>172000</v>
      </c>
      <c r="J2130" s="147">
        <v>172000</v>
      </c>
      <c r="K2130" s="221">
        <f t="shared" si="198"/>
        <v>211560</v>
      </c>
      <c r="L2130" s="147">
        <v>172000</v>
      </c>
      <c r="M2130" s="217">
        <f t="shared" si="199"/>
        <v>251120</v>
      </c>
      <c r="N2130" s="231">
        <v>172000</v>
      </c>
      <c r="O2130" s="226">
        <f t="shared" si="200"/>
        <v>297560</v>
      </c>
      <c r="P2130" s="150">
        <f t="shared" si="186"/>
        <v>932240</v>
      </c>
      <c r="Q2130" s="568"/>
    </row>
    <row r="2131" spans="1:17" ht="15.75" hidden="1" customHeight="1" outlineLevel="2">
      <c r="A2131" s="550"/>
      <c r="B2131" s="142"/>
      <c r="C2131" s="142" t="s">
        <v>719</v>
      </c>
      <c r="D2131" s="187"/>
      <c r="E2131" s="148"/>
      <c r="F2131" s="148"/>
      <c r="G2131" s="148"/>
      <c r="H2131" s="198"/>
      <c r="I2131" s="150"/>
      <c r="J2131" s="147">
        <v>150000</v>
      </c>
      <c r="K2131" s="221">
        <f t="shared" si="198"/>
        <v>184500</v>
      </c>
      <c r="L2131" s="147"/>
      <c r="M2131" s="217"/>
      <c r="N2131" s="149">
        <v>150000</v>
      </c>
      <c r="O2131" s="226">
        <f t="shared" si="200"/>
        <v>259500</v>
      </c>
      <c r="P2131" s="150">
        <f t="shared" si="186"/>
        <v>444000</v>
      </c>
      <c r="Q2131" s="568"/>
    </row>
    <row r="2132" spans="1:17" ht="15.75" hidden="1" customHeight="1" outlineLevel="2">
      <c r="A2132" s="550"/>
      <c r="B2132" s="142"/>
      <c r="C2132" s="142" t="s">
        <v>720</v>
      </c>
      <c r="D2132" s="187"/>
      <c r="E2132" s="148"/>
      <c r="F2132" s="495">
        <f>CIP!$AO$80</f>
        <v>289230.74999999994</v>
      </c>
      <c r="G2132" s="148"/>
      <c r="H2132" s="198"/>
      <c r="I2132" s="150">
        <f t="shared" si="197"/>
        <v>289230.74999999994</v>
      </c>
      <c r="J2132" s="147"/>
      <c r="K2132" s="221"/>
      <c r="L2132" s="147">
        <v>270000</v>
      </c>
      <c r="M2132" s="217">
        <f t="shared" si="199"/>
        <v>394200</v>
      </c>
      <c r="N2132" s="149"/>
      <c r="O2132" s="226"/>
      <c r="P2132" s="150">
        <f t="shared" si="186"/>
        <v>683430.75</v>
      </c>
      <c r="Q2132" s="568"/>
    </row>
    <row r="2133" spans="1:17" ht="15.75" hidden="1" customHeight="1" outlineLevel="2">
      <c r="A2133" s="550"/>
      <c r="B2133" s="142"/>
      <c r="C2133" s="142" t="s">
        <v>721</v>
      </c>
      <c r="D2133" s="187"/>
      <c r="E2133" s="148"/>
      <c r="F2133" s="148"/>
      <c r="G2133" s="148"/>
      <c r="H2133" s="198">
        <f>CIP!$AQ$147</f>
        <v>172128.45009374994</v>
      </c>
      <c r="I2133" s="150">
        <f>SUM(D2133:H2133)</f>
        <v>172128.45009374994</v>
      </c>
      <c r="J2133" s="147">
        <v>172000</v>
      </c>
      <c r="K2133" s="221">
        <f t="shared" si="198"/>
        <v>211560</v>
      </c>
      <c r="L2133" s="147"/>
      <c r="M2133" s="217"/>
      <c r="N2133" s="149">
        <v>172000</v>
      </c>
      <c r="O2133" s="226">
        <f t="shared" si="200"/>
        <v>297560</v>
      </c>
      <c r="P2133" s="150">
        <f t="shared" si="186"/>
        <v>681248.45009374991</v>
      </c>
      <c r="Q2133" s="568"/>
    </row>
    <row r="2134" spans="1:17" ht="15.75" hidden="1" customHeight="1" outlineLevel="2">
      <c r="A2134" s="550"/>
      <c r="B2134" s="142"/>
      <c r="C2134" s="142" t="s">
        <v>722</v>
      </c>
      <c r="D2134" s="187"/>
      <c r="E2134" s="148"/>
      <c r="F2134" s="148"/>
      <c r="G2134" s="148"/>
      <c r="H2134" s="198"/>
      <c r="I2134" s="150"/>
      <c r="J2134" s="147">
        <v>150000</v>
      </c>
      <c r="K2134" s="221">
        <f t="shared" si="198"/>
        <v>184500</v>
      </c>
      <c r="L2134" s="147">
        <v>150000</v>
      </c>
      <c r="M2134" s="217">
        <f t="shared" si="199"/>
        <v>219000</v>
      </c>
      <c r="N2134" s="149">
        <v>150000</v>
      </c>
      <c r="O2134" s="226">
        <f t="shared" si="200"/>
        <v>259500</v>
      </c>
      <c r="P2134" s="150">
        <f t="shared" si="186"/>
        <v>663000</v>
      </c>
      <c r="Q2134" s="568"/>
    </row>
    <row r="2135" spans="1:17" ht="15.75" hidden="1" customHeight="1" outlineLevel="2">
      <c r="A2135" s="550"/>
      <c r="B2135" s="142"/>
      <c r="C2135" s="142" t="s">
        <v>723</v>
      </c>
      <c r="D2135" s="187">
        <f>CIP!$AM$37</f>
        <v>110000</v>
      </c>
      <c r="E2135" s="148"/>
      <c r="F2135" s="148"/>
      <c r="G2135" s="148"/>
      <c r="H2135" s="198">
        <f>CIP!$AQ$130</f>
        <v>126227.53006874997</v>
      </c>
      <c r="I2135" s="150">
        <f t="shared" si="197"/>
        <v>236227.53006874997</v>
      </c>
      <c r="J2135" s="147"/>
      <c r="K2135" s="221"/>
      <c r="L2135" s="147">
        <v>110000</v>
      </c>
      <c r="M2135" s="217">
        <f t="shared" si="199"/>
        <v>160600</v>
      </c>
      <c r="N2135" s="149"/>
      <c r="O2135" s="226"/>
      <c r="P2135" s="150">
        <f t="shared" si="186"/>
        <v>396827.53006874997</v>
      </c>
      <c r="Q2135" s="568"/>
    </row>
    <row r="2136" spans="1:17" ht="15.75" hidden="1" customHeight="1" outlineLevel="2">
      <c r="A2136" s="550"/>
      <c r="B2136" s="142"/>
      <c r="C2136" s="142" t="s">
        <v>724</v>
      </c>
      <c r="D2136" s="180"/>
      <c r="E2136" s="148"/>
      <c r="F2136" s="148"/>
      <c r="G2136" s="148"/>
      <c r="H2136" s="198"/>
      <c r="I2136" s="150"/>
      <c r="J2136" s="147">
        <v>125000</v>
      </c>
      <c r="K2136" s="221">
        <f t="shared" si="198"/>
        <v>153750</v>
      </c>
      <c r="L2136" s="147">
        <v>125000</v>
      </c>
      <c r="M2136" s="217">
        <f t="shared" si="199"/>
        <v>182500</v>
      </c>
      <c r="N2136" s="149">
        <v>125000</v>
      </c>
      <c r="O2136" s="226">
        <f t="shared" si="200"/>
        <v>216250</v>
      </c>
      <c r="P2136" s="150">
        <f t="shared" si="186"/>
        <v>552500</v>
      </c>
      <c r="Q2136" s="568"/>
    </row>
    <row r="2137" spans="1:17" ht="15.75" hidden="1" customHeight="1" outlineLevel="2">
      <c r="A2137" s="550"/>
      <c r="B2137" s="142"/>
      <c r="C2137" s="142" t="s">
        <v>725</v>
      </c>
      <c r="D2137" s="180"/>
      <c r="E2137" s="148"/>
      <c r="F2137" s="148"/>
      <c r="G2137" s="148"/>
      <c r="H2137" s="198"/>
      <c r="I2137" s="150"/>
      <c r="J2137" s="147">
        <v>160000</v>
      </c>
      <c r="K2137" s="221">
        <f t="shared" si="198"/>
        <v>196800</v>
      </c>
      <c r="L2137" s="147">
        <v>160000</v>
      </c>
      <c r="M2137" s="217">
        <f t="shared" si="199"/>
        <v>233600</v>
      </c>
      <c r="N2137" s="149">
        <v>160000</v>
      </c>
      <c r="O2137" s="226">
        <f t="shared" si="200"/>
        <v>276800</v>
      </c>
      <c r="P2137" s="150">
        <f t="shared" si="186"/>
        <v>707200</v>
      </c>
      <c r="Q2137" s="568"/>
    </row>
    <row r="2138" spans="1:17" ht="15.75" hidden="1" customHeight="1" outlineLevel="1" collapsed="1">
      <c r="A2138" s="550"/>
      <c r="B2138" s="142"/>
      <c r="C2138" s="308" t="s">
        <v>802</v>
      </c>
      <c r="D2138" s="220">
        <f t="shared" ref="D2138:I2138" si="201">SUM(D2129:D2137)</f>
        <v>282000</v>
      </c>
      <c r="E2138" s="217">
        <f t="shared" si="201"/>
        <v>310500</v>
      </c>
      <c r="F2138" s="217">
        <f t="shared" si="201"/>
        <v>289230.74999999994</v>
      </c>
      <c r="G2138" s="217">
        <f t="shared" si="201"/>
        <v>332615.36249999993</v>
      </c>
      <c r="H2138" s="226">
        <f t="shared" si="201"/>
        <v>298355.98016249994</v>
      </c>
      <c r="I2138" s="259">
        <f t="shared" si="201"/>
        <v>1512702.0926624998</v>
      </c>
      <c r="J2138" s="309">
        <f>SUM(J2128:J2137)</f>
        <v>1229000</v>
      </c>
      <c r="K2138" s="221">
        <f>J2138*1.23</f>
        <v>1511670</v>
      </c>
      <c r="L2138" s="309">
        <f>SUM(L2128:L2137)</f>
        <v>1287000</v>
      </c>
      <c r="M2138" s="217">
        <f t="shared" ref="M2138" si="202">L2138*1.46</f>
        <v>1879020</v>
      </c>
      <c r="N2138" s="311">
        <f>SUM(N2128:N2137)</f>
        <v>1229000</v>
      </c>
      <c r="O2138" s="226">
        <f t="shared" ref="O2138" si="203">N2138*1.73</f>
        <v>2126170</v>
      </c>
      <c r="P2138" s="150">
        <f t="shared" si="186"/>
        <v>7029562.0926625002</v>
      </c>
      <c r="Q2138" s="568"/>
    </row>
    <row r="2139" spans="1:17" ht="15.75" hidden="1" customHeight="1" outlineLevel="2">
      <c r="A2139" s="550"/>
      <c r="B2139" s="142" t="s">
        <v>616</v>
      </c>
      <c r="C2139" s="142"/>
      <c r="D2139" s="180"/>
      <c r="E2139" s="148"/>
      <c r="F2139" s="148"/>
      <c r="G2139" s="148"/>
      <c r="H2139" s="198"/>
      <c r="I2139" s="150"/>
      <c r="J2139" s="147"/>
      <c r="K2139" s="147"/>
      <c r="L2139" s="147"/>
      <c r="M2139" s="148"/>
      <c r="N2139" s="149"/>
      <c r="O2139" s="198"/>
      <c r="P2139" s="150"/>
      <c r="Q2139" s="568"/>
    </row>
    <row r="2140" spans="1:17" ht="15.75" hidden="1" customHeight="1" outlineLevel="2">
      <c r="A2140" s="550"/>
      <c r="B2140" s="142"/>
      <c r="C2140" s="142" t="s">
        <v>1183</v>
      </c>
      <c r="D2140" s="180">
        <f>CIP!$AM$32</f>
        <v>130000</v>
      </c>
      <c r="E2140" s="148">
        <f>CIP!$AN$56</f>
        <v>134550</v>
      </c>
      <c r="F2140" s="148">
        <f>CIP!$AO$93</f>
        <v>139259.24999999997</v>
      </c>
      <c r="G2140" s="341">
        <f>CIP!$AP$123</f>
        <v>144133.32374999995</v>
      </c>
      <c r="H2140" s="198">
        <f>CIP!$AQ$140</f>
        <v>149177.99008124997</v>
      </c>
      <c r="I2140" s="150">
        <f>SUM(D2140:H2140)</f>
        <v>697120.56383124995</v>
      </c>
      <c r="J2140" s="147">
        <v>520000</v>
      </c>
      <c r="K2140" s="221">
        <f t="shared" ref="K2140:K2141" si="204">J2140*1.23</f>
        <v>639600</v>
      </c>
      <c r="L2140" s="147">
        <v>520000</v>
      </c>
      <c r="M2140" s="217">
        <f t="shared" ref="M2140:M2142" si="205">L2140*1.46</f>
        <v>759200</v>
      </c>
      <c r="N2140" s="149">
        <v>520000</v>
      </c>
      <c r="O2140" s="226">
        <f t="shared" ref="O2140:O2142" si="206">N2140*1.73</f>
        <v>899600</v>
      </c>
      <c r="P2140" s="150">
        <f t="shared" si="186"/>
        <v>2995520.5638312502</v>
      </c>
      <c r="Q2140" s="568"/>
    </row>
    <row r="2141" spans="1:17" ht="15.75" hidden="1" customHeight="1" outlineLevel="2">
      <c r="A2141" s="550"/>
      <c r="B2141" s="142"/>
      <c r="C2141" s="142" t="s">
        <v>726</v>
      </c>
      <c r="D2141" s="180"/>
      <c r="E2141" s="148"/>
      <c r="F2141" s="148"/>
      <c r="G2141" s="148">
        <f>CIP!$AP$124</f>
        <v>133046.14499999996</v>
      </c>
      <c r="H2141" s="198"/>
      <c r="I2141" s="150">
        <f>SUM(D2141:H2141)</f>
        <v>133046.14499999996</v>
      </c>
      <c r="J2141" s="147">
        <v>120000</v>
      </c>
      <c r="K2141" s="221">
        <f t="shared" si="204"/>
        <v>147600</v>
      </c>
      <c r="L2141" s="147">
        <v>120000</v>
      </c>
      <c r="M2141" s="217">
        <f t="shared" si="205"/>
        <v>175200</v>
      </c>
      <c r="N2141" s="149">
        <v>120000</v>
      </c>
      <c r="O2141" s="226">
        <f t="shared" si="206"/>
        <v>207600</v>
      </c>
      <c r="P2141" s="150">
        <f t="shared" si="186"/>
        <v>663446.14500000002</v>
      </c>
      <c r="Q2141" s="568"/>
    </row>
    <row r="2142" spans="1:17" ht="15.75" hidden="1" customHeight="1" outlineLevel="1" collapsed="1">
      <c r="A2142" s="550"/>
      <c r="B2142" s="142"/>
      <c r="C2142" s="308" t="s">
        <v>803</v>
      </c>
      <c r="D2142" s="326">
        <f>SUM(D2140:D2141)</f>
        <v>130000</v>
      </c>
      <c r="E2142" s="310">
        <f>SUM(E2139:E2141)</f>
        <v>134550</v>
      </c>
      <c r="F2142" s="310">
        <f>SUM(F2140:F2141)</f>
        <v>139259.24999999997</v>
      </c>
      <c r="G2142" s="310">
        <f>SUM(G2140:G2141)</f>
        <v>277179.46874999988</v>
      </c>
      <c r="H2142" s="436">
        <f>SUM(H2140:H2141)</f>
        <v>149177.99008124997</v>
      </c>
      <c r="I2142" s="259">
        <f>SUM(I2140:I2141)</f>
        <v>830166.70883124997</v>
      </c>
      <c r="J2142" s="309">
        <f>SUM(J2140:J2141)</f>
        <v>640000</v>
      </c>
      <c r="K2142" s="221">
        <f>J2142*1.23</f>
        <v>787200</v>
      </c>
      <c r="L2142" s="309">
        <f>SUM(L2140:L2141)</f>
        <v>640000</v>
      </c>
      <c r="M2142" s="217">
        <f t="shared" si="205"/>
        <v>934400</v>
      </c>
      <c r="N2142" s="310">
        <f>SUM(N2140:N2141)</f>
        <v>640000</v>
      </c>
      <c r="O2142" s="226">
        <f t="shared" si="206"/>
        <v>1107200</v>
      </c>
      <c r="P2142" s="150">
        <f t="shared" si="186"/>
        <v>3658966.7088312497</v>
      </c>
      <c r="Q2142" s="568"/>
    </row>
    <row r="2143" spans="1:17" ht="15.75" hidden="1" customHeight="1" outlineLevel="2">
      <c r="A2143" s="550"/>
      <c r="B2143" s="142" t="s">
        <v>634</v>
      </c>
      <c r="C2143" s="142"/>
      <c r="D2143" s="180"/>
      <c r="E2143" s="148"/>
      <c r="F2143" s="148"/>
      <c r="G2143" s="148"/>
      <c r="H2143" s="198"/>
      <c r="I2143" s="150"/>
      <c r="J2143" s="147"/>
      <c r="K2143" s="147"/>
      <c r="L2143" s="147"/>
      <c r="M2143" s="148"/>
      <c r="N2143" s="148"/>
      <c r="O2143" s="198"/>
      <c r="P2143" s="150"/>
      <c r="Q2143" s="568"/>
    </row>
    <row r="2144" spans="1:17" ht="15.75" hidden="1" customHeight="1" outlineLevel="2">
      <c r="A2144" s="550"/>
      <c r="B2144" s="142"/>
      <c r="C2144" s="142" t="s">
        <v>726</v>
      </c>
      <c r="D2144" s="180">
        <f>CIP!$AM$34</f>
        <v>120000</v>
      </c>
      <c r="E2144" s="148"/>
      <c r="F2144" s="148"/>
      <c r="G2144" s="148"/>
      <c r="H2144" s="198"/>
      <c r="I2144" s="150">
        <v>120000</v>
      </c>
      <c r="J2144" s="147">
        <v>120000</v>
      </c>
      <c r="K2144" s="221">
        <f t="shared" ref="K2144:K2148" si="207">J2144*1.23</f>
        <v>147600</v>
      </c>
      <c r="L2144" s="147"/>
      <c r="M2144" s="148"/>
      <c r="N2144" s="148">
        <v>120000</v>
      </c>
      <c r="O2144" s="226">
        <f t="shared" ref="O2144:O2148" si="208">N2144*1.73</f>
        <v>207600</v>
      </c>
      <c r="P2144" s="150">
        <f t="shared" si="186"/>
        <v>475200</v>
      </c>
      <c r="Q2144" s="568"/>
    </row>
    <row r="2145" spans="1:17" ht="15.75" hidden="1" customHeight="1" outlineLevel="2">
      <c r="A2145" s="550"/>
      <c r="B2145" s="159"/>
      <c r="C2145" s="308" t="s">
        <v>837</v>
      </c>
      <c r="D2145" s="180">
        <f>CIP!$AM$35</f>
        <v>200000</v>
      </c>
      <c r="E2145" s="148"/>
      <c r="F2145" s="148"/>
      <c r="G2145" s="148"/>
      <c r="H2145" s="198"/>
      <c r="I2145" s="150">
        <f>SUM(D2145:H2145)</f>
        <v>200000</v>
      </c>
      <c r="J2145" s="147">
        <v>200000</v>
      </c>
      <c r="K2145" s="221">
        <f t="shared" si="207"/>
        <v>246000</v>
      </c>
      <c r="L2145" s="147"/>
      <c r="M2145" s="148"/>
      <c r="N2145" s="148">
        <v>200000</v>
      </c>
      <c r="O2145" s="226">
        <f t="shared" si="208"/>
        <v>346000</v>
      </c>
      <c r="P2145" s="150">
        <f t="shared" si="186"/>
        <v>792000</v>
      </c>
      <c r="Q2145" s="568"/>
    </row>
    <row r="2146" spans="1:17" ht="15.75" hidden="1" customHeight="1" outlineLevel="2">
      <c r="A2146" s="550"/>
      <c r="B2146" s="159"/>
      <c r="C2146" s="142" t="s">
        <v>727</v>
      </c>
      <c r="D2146" s="180"/>
      <c r="E2146" s="148">
        <f>CIP!$AN$62</f>
        <v>248399.99999999997</v>
      </c>
      <c r="F2146" s="148"/>
      <c r="G2146" s="148"/>
      <c r="H2146" s="198"/>
      <c r="I2146" s="150">
        <f>SUM(D2146:H2146)</f>
        <v>248399.99999999997</v>
      </c>
      <c r="J2146" s="147"/>
      <c r="K2146" s="221"/>
      <c r="L2146" s="147">
        <v>240000</v>
      </c>
      <c r="M2146" s="217">
        <f t="shared" ref="M2146:M2148" si="209">L2146*1.46</f>
        <v>350400</v>
      </c>
      <c r="N2146" s="148"/>
      <c r="O2146" s="226"/>
      <c r="P2146" s="150">
        <f t="shared" si="186"/>
        <v>598800</v>
      </c>
      <c r="Q2146" s="568"/>
    </row>
    <row r="2147" spans="1:17" ht="15.75" hidden="1" customHeight="1" outlineLevel="2">
      <c r="A2147" s="550"/>
      <c r="B2147" s="159"/>
      <c r="C2147" s="142" t="s">
        <v>728</v>
      </c>
      <c r="D2147" s="180"/>
      <c r="E2147" s="148"/>
      <c r="F2147" s="148">
        <f>CIP!$AO$92</f>
        <v>171395.99999999997</v>
      </c>
      <c r="G2147" s="148"/>
      <c r="H2147" s="198"/>
      <c r="I2147" s="150">
        <f>SUM(D2147:H2147)</f>
        <v>171395.99999999997</v>
      </c>
      <c r="J2147" s="147"/>
      <c r="K2147" s="221"/>
      <c r="L2147" s="147">
        <v>160000</v>
      </c>
      <c r="M2147" s="217">
        <f t="shared" si="209"/>
        <v>233600</v>
      </c>
      <c r="N2147" s="148"/>
      <c r="O2147" s="226"/>
      <c r="P2147" s="150">
        <f t="shared" si="186"/>
        <v>404996</v>
      </c>
      <c r="Q2147" s="568"/>
    </row>
    <row r="2148" spans="1:17" ht="15.75" hidden="1" customHeight="1" outlineLevel="2">
      <c r="A2148" s="550"/>
      <c r="B2148" s="159"/>
      <c r="C2148" s="142" t="s">
        <v>1034</v>
      </c>
      <c r="D2148" s="180"/>
      <c r="E2148" s="148"/>
      <c r="F2148" s="148"/>
      <c r="G2148" s="148"/>
      <c r="H2148" s="198">
        <f>CIP!$AQ$152</f>
        <v>344256.90018749988</v>
      </c>
      <c r="I2148" s="150">
        <f>SUM(D2148:H2148)</f>
        <v>344256.90018749988</v>
      </c>
      <c r="J2148" s="147">
        <v>300000</v>
      </c>
      <c r="K2148" s="221">
        <f t="shared" si="207"/>
        <v>369000</v>
      </c>
      <c r="L2148" s="147">
        <v>150000</v>
      </c>
      <c r="M2148" s="217">
        <f t="shared" si="209"/>
        <v>219000</v>
      </c>
      <c r="N2148" s="148">
        <v>300000</v>
      </c>
      <c r="O2148" s="226">
        <f t="shared" si="208"/>
        <v>519000</v>
      </c>
      <c r="P2148" s="150">
        <f t="shared" si="186"/>
        <v>1451256.9001874998</v>
      </c>
      <c r="Q2148" s="568"/>
    </row>
    <row r="2149" spans="1:17" ht="15.75" hidden="1" customHeight="1" outlineLevel="1" collapsed="1">
      <c r="A2149" s="550"/>
      <c r="B2149" s="159"/>
      <c r="C2149" s="308" t="s">
        <v>804</v>
      </c>
      <c r="D2149" s="220">
        <f>SUM(D2144:D2148)</f>
        <v>320000</v>
      </c>
      <c r="E2149" s="217">
        <f>SUM(E2144:E2148)</f>
        <v>248399.99999999997</v>
      </c>
      <c r="F2149" s="217">
        <f>SUM(F2144:F2148)</f>
        <v>171395.99999999997</v>
      </c>
      <c r="G2149" s="217"/>
      <c r="H2149" s="226">
        <f>SUM(H2144:H2148)</f>
        <v>344256.90018749988</v>
      </c>
      <c r="I2149" s="150">
        <f>SUM(I2144:I2148)</f>
        <v>1084052.9001874998</v>
      </c>
      <c r="J2149" s="309">
        <f>SUM(J2143:J2148)</f>
        <v>620000</v>
      </c>
      <c r="K2149" s="221">
        <f>J2149*1.23</f>
        <v>762600</v>
      </c>
      <c r="L2149" s="309">
        <f>SUM(L2144:L2148)</f>
        <v>550000</v>
      </c>
      <c r="M2149" s="217">
        <f t="shared" ref="M2149:M2153" si="210">L2149*1.46</f>
        <v>803000</v>
      </c>
      <c r="N2149" s="310">
        <f>SUM(N2143:N2148)</f>
        <v>620000</v>
      </c>
      <c r="O2149" s="226">
        <f t="shared" ref="O2149:O2150" si="211">N2149*1.73</f>
        <v>1072600</v>
      </c>
      <c r="P2149" s="150">
        <f t="shared" si="186"/>
        <v>3722252.9001874998</v>
      </c>
      <c r="Q2149" s="568"/>
    </row>
    <row r="2150" spans="1:17" ht="15.75" customHeight="1" collapsed="1">
      <c r="A2150" s="550"/>
      <c r="B2150" s="159"/>
      <c r="C2150" s="181" t="s">
        <v>483</v>
      </c>
      <c r="D2150" s="220">
        <f>SUM(D2138,D2142,D2149)</f>
        <v>732000</v>
      </c>
      <c r="E2150" s="217">
        <f>SUM(E2138,E2142,E2149)</f>
        <v>693450</v>
      </c>
      <c r="F2150" s="217">
        <f>SUM(F2138,F2142,F2149)</f>
        <v>599885.99999999988</v>
      </c>
      <c r="G2150" s="217">
        <f>SUM(G2138,G2142,G2149)</f>
        <v>609794.83124999981</v>
      </c>
      <c r="H2150" s="226">
        <f>SUM(H2138,H2142,H2149)</f>
        <v>791790.87043124973</v>
      </c>
      <c r="I2150" s="150">
        <f>SUM(D2150:H2150)</f>
        <v>3426921.7016812498</v>
      </c>
      <c r="J2150" s="221">
        <f>SUM(J2138,J2142,J2149)</f>
        <v>2489000</v>
      </c>
      <c r="K2150" s="221">
        <f>SUM(K2138,K2142,K2149)</f>
        <v>3061470</v>
      </c>
      <c r="L2150" s="221">
        <f>SUM(L2138,L2142,L2149)</f>
        <v>2477000</v>
      </c>
      <c r="M2150" s="217">
        <f t="shared" si="210"/>
        <v>3616420</v>
      </c>
      <c r="N2150" s="221">
        <f>SUM(N2138,N2142,N2149)</f>
        <v>2489000</v>
      </c>
      <c r="O2150" s="226">
        <f t="shared" si="211"/>
        <v>4305970</v>
      </c>
      <c r="P2150" s="150">
        <f t="shared" si="186"/>
        <v>14410781.701681249</v>
      </c>
      <c r="Q2150" s="568"/>
    </row>
    <row r="2151" spans="1:17" ht="15.75" hidden="1" customHeight="1" outlineLevel="1">
      <c r="A2151" s="275" t="s">
        <v>433</v>
      </c>
      <c r="B2151" s="152"/>
      <c r="C2151" s="250"/>
      <c r="D2151" s="180"/>
      <c r="E2151" s="148"/>
      <c r="F2151" s="148"/>
      <c r="G2151" s="148"/>
      <c r="H2151" s="198"/>
      <c r="I2151" s="146"/>
      <c r="J2151" s="147"/>
      <c r="K2151" s="147"/>
      <c r="L2151" s="147"/>
      <c r="M2151" s="148"/>
      <c r="N2151" s="148"/>
      <c r="O2151" s="198"/>
      <c r="P2151" s="150"/>
      <c r="Q2151" s="568"/>
    </row>
    <row r="2152" spans="1:17" ht="15.75" hidden="1" customHeight="1" outlineLevel="1">
      <c r="A2152" s="550"/>
      <c r="B2152" s="143"/>
      <c r="C2152" s="142" t="s">
        <v>327</v>
      </c>
      <c r="D2152" s="180"/>
      <c r="E2152" s="148"/>
      <c r="F2152" s="148">
        <f>CIP!$AO$91</f>
        <v>176752.12499999997</v>
      </c>
      <c r="G2152" s="148"/>
      <c r="H2152" s="198"/>
      <c r="I2152" s="150">
        <f>SUM(D2152:H2152)</f>
        <v>176752.12499999997</v>
      </c>
      <c r="J2152" s="147"/>
      <c r="K2152" s="147"/>
      <c r="L2152" s="147">
        <v>165000</v>
      </c>
      <c r="M2152" s="217">
        <f t="shared" si="210"/>
        <v>240900</v>
      </c>
      <c r="N2152" s="148"/>
      <c r="O2152" s="198"/>
      <c r="P2152" s="150">
        <f t="shared" si="186"/>
        <v>417652.125</v>
      </c>
      <c r="Q2152" s="568"/>
    </row>
    <row r="2153" spans="1:17" ht="15.75" hidden="1" customHeight="1" outlineLevel="1">
      <c r="A2153" s="550"/>
      <c r="B2153" s="143"/>
      <c r="C2153" s="142" t="s">
        <v>328</v>
      </c>
      <c r="D2153" s="180"/>
      <c r="E2153" s="148"/>
      <c r="F2153" s="148"/>
      <c r="G2153" s="148"/>
      <c r="H2153" s="198"/>
      <c r="I2153" s="146"/>
      <c r="J2153" s="147"/>
      <c r="K2153" s="147"/>
      <c r="L2153" s="147">
        <v>240000</v>
      </c>
      <c r="M2153" s="217">
        <f t="shared" si="210"/>
        <v>350400</v>
      </c>
      <c r="N2153" s="148"/>
      <c r="O2153" s="198"/>
      <c r="P2153" s="150">
        <f t="shared" si="186"/>
        <v>350400</v>
      </c>
      <c r="Q2153" s="568"/>
    </row>
    <row r="2154" spans="1:17" ht="15.75" hidden="1" customHeight="1" outlineLevel="1">
      <c r="A2154" s="550"/>
      <c r="B2154" s="143"/>
      <c r="C2154" s="142" t="s">
        <v>729</v>
      </c>
      <c r="D2154" s="180"/>
      <c r="E2154" s="148"/>
      <c r="F2154" s="148"/>
      <c r="G2154" s="148"/>
      <c r="H2154" s="198"/>
      <c r="I2154" s="146"/>
      <c r="J2154" s="147">
        <v>95000</v>
      </c>
      <c r="K2154" s="221">
        <f t="shared" ref="K2154:K2156" si="212">J2154*1.23</f>
        <v>116850</v>
      </c>
      <c r="L2154" s="147"/>
      <c r="M2154" s="148"/>
      <c r="N2154" s="148">
        <v>95000</v>
      </c>
      <c r="O2154" s="226">
        <f t="shared" ref="O2154" si="213">N2154*1.73</f>
        <v>164350</v>
      </c>
      <c r="P2154" s="150">
        <f t="shared" si="186"/>
        <v>281200</v>
      </c>
      <c r="Q2154" s="568"/>
    </row>
    <row r="2155" spans="1:17" ht="15.75" hidden="1" customHeight="1" outlineLevel="1">
      <c r="A2155" s="550"/>
      <c r="B2155" s="143"/>
      <c r="C2155" s="142" t="s">
        <v>730</v>
      </c>
      <c r="D2155" s="180"/>
      <c r="E2155" s="148"/>
      <c r="F2155" s="148"/>
      <c r="G2155" s="148"/>
      <c r="H2155" s="198"/>
      <c r="I2155" s="146"/>
      <c r="J2155" s="182">
        <v>88000</v>
      </c>
      <c r="K2155" s="221">
        <f t="shared" si="212"/>
        <v>108240</v>
      </c>
      <c r="L2155" s="147"/>
      <c r="M2155" s="148"/>
      <c r="N2155" s="496"/>
      <c r="O2155" s="497"/>
      <c r="P2155" s="150">
        <f t="shared" si="186"/>
        <v>108240</v>
      </c>
      <c r="Q2155" s="568"/>
    </row>
    <row r="2156" spans="1:17" ht="15.75" customHeight="1" collapsed="1">
      <c r="A2156" s="561"/>
      <c r="B2156" s="521"/>
      <c r="C2156" s="520" t="s">
        <v>731</v>
      </c>
      <c r="D2156" s="504"/>
      <c r="E2156" s="505"/>
      <c r="F2156" s="505">
        <f>SUM(F2152:F2155)</f>
        <v>176752.12499999997</v>
      </c>
      <c r="G2156" s="505"/>
      <c r="H2156" s="506"/>
      <c r="I2156" s="178">
        <f>SUM(I2152:I2155)</f>
        <v>176752.12499999997</v>
      </c>
      <c r="J2156" s="507">
        <f>SUM(J2152:J2155)</f>
        <v>183000</v>
      </c>
      <c r="K2156" s="507">
        <f t="shared" si="212"/>
        <v>225090</v>
      </c>
      <c r="L2156" s="507">
        <f>SUM(L2152:L2155)</f>
        <v>405000</v>
      </c>
      <c r="M2156" s="505">
        <f t="shared" ref="M2156" si="214">L2156*1.46</f>
        <v>591300</v>
      </c>
      <c r="N2156" s="505">
        <f>SUM(N2152:N2155)</f>
        <v>95000</v>
      </c>
      <c r="O2156" s="506">
        <f t="shared" ref="O2156" si="215">N2156*1.73</f>
        <v>164350</v>
      </c>
      <c r="P2156" s="178">
        <f t="shared" si="186"/>
        <v>1157492.125</v>
      </c>
      <c r="Q2156" s="568"/>
    </row>
    <row r="2157" spans="1:17" ht="18" customHeight="1">
      <c r="A2157" s="549"/>
      <c r="B2157" s="143"/>
      <c r="C2157" s="321" t="s">
        <v>734</v>
      </c>
      <c r="D2157" s="510">
        <f t="shared" ref="D2157:J2157" si="216">SUM(D2126,D2150,D2156)</f>
        <v>732000</v>
      </c>
      <c r="E2157" s="514">
        <f t="shared" si="216"/>
        <v>693450</v>
      </c>
      <c r="F2157" s="514">
        <f t="shared" si="216"/>
        <v>1419373.1249999998</v>
      </c>
      <c r="G2157" s="514">
        <f t="shared" si="216"/>
        <v>609794.83124999981</v>
      </c>
      <c r="H2157" s="515">
        <f t="shared" si="216"/>
        <v>1480304.6708062496</v>
      </c>
      <c r="I2157" s="510">
        <f t="shared" si="216"/>
        <v>4934922.6270562494</v>
      </c>
      <c r="J2157" s="510">
        <f t="shared" si="216"/>
        <v>5802000</v>
      </c>
      <c r="K2157" s="510">
        <f t="shared" ref="K2157:P2157" si="217">SUM(K2126,K2150,K2156)</f>
        <v>7136460</v>
      </c>
      <c r="L2157" s="518">
        <f t="shared" si="217"/>
        <v>5282000</v>
      </c>
      <c r="M2157" s="514">
        <f t="shared" si="217"/>
        <v>7711720</v>
      </c>
      <c r="N2157" s="514">
        <f t="shared" si="217"/>
        <v>6384000</v>
      </c>
      <c r="O2157" s="515">
        <f t="shared" si="217"/>
        <v>11044320</v>
      </c>
      <c r="P2157" s="516">
        <f t="shared" si="217"/>
        <v>30827422.627056248</v>
      </c>
      <c r="Q2157" s="568"/>
    </row>
    <row r="2158" spans="1:17" ht="12" customHeight="1">
      <c r="A2158" s="561"/>
      <c r="B2158" s="264"/>
      <c r="C2158" s="503"/>
      <c r="D2158" s="504"/>
      <c r="E2158" s="505"/>
      <c r="F2158" s="505"/>
      <c r="G2158" s="505"/>
      <c r="H2158" s="506"/>
      <c r="I2158" s="150"/>
      <c r="J2158" s="507"/>
      <c r="K2158" s="507"/>
      <c r="L2158" s="507"/>
      <c r="M2158" s="505"/>
      <c r="N2158" s="505"/>
      <c r="O2158" s="506"/>
      <c r="P2158" s="150"/>
      <c r="Q2158" s="592"/>
    </row>
    <row r="2159" spans="1:17" s="249" customFormat="1" ht="16.5" customHeight="1">
      <c r="A2159" s="545" t="s">
        <v>1193</v>
      </c>
      <c r="B2159" s="133"/>
      <c r="C2159" s="133"/>
      <c r="D2159" s="446"/>
      <c r="E2159" s="444"/>
      <c r="F2159" s="444"/>
      <c r="G2159" s="444"/>
      <c r="H2159" s="445"/>
      <c r="I2159" s="447"/>
      <c r="J2159" s="448"/>
      <c r="K2159" s="449"/>
      <c r="L2159" s="448"/>
      <c r="M2159" s="445"/>
      <c r="N2159" s="450"/>
      <c r="O2159" s="445"/>
      <c r="P2159" s="447"/>
      <c r="Q2159" s="449"/>
    </row>
    <row r="2160" spans="1:17" ht="15.75" hidden="1" customHeight="1" outlineLevel="1">
      <c r="A2160" s="276" t="s">
        <v>732</v>
      </c>
      <c r="B2160" s="152"/>
      <c r="C2160" s="142"/>
      <c r="D2160" s="180"/>
      <c r="E2160" s="148"/>
      <c r="F2160" s="148"/>
      <c r="G2160" s="148"/>
      <c r="H2160" s="198"/>
      <c r="I2160" s="146"/>
      <c r="J2160" s="147"/>
      <c r="K2160" s="147"/>
      <c r="L2160" s="147"/>
      <c r="M2160" s="149"/>
      <c r="N2160" s="149"/>
      <c r="O2160" s="198"/>
      <c r="P2160" s="150"/>
      <c r="Q2160" s="568"/>
    </row>
    <row r="2161" spans="1:17" ht="15.75" hidden="1" customHeight="1" outlineLevel="1">
      <c r="A2161" s="276"/>
      <c r="B2161" s="152"/>
      <c r="C2161" s="142" t="s">
        <v>733</v>
      </c>
      <c r="D2161" s="180">
        <f>CIP!$AM$29</f>
        <v>250000</v>
      </c>
      <c r="E2161" s="148">
        <f>CIP!$AN$29</f>
        <v>258749.99999999997</v>
      </c>
      <c r="F2161" s="148">
        <f>CIP!$AO$29</f>
        <v>267806.24999999994</v>
      </c>
      <c r="G2161" s="148">
        <f>CIP!$AP$29</f>
        <v>277179.46874999994</v>
      </c>
      <c r="H2161" s="198">
        <f>CIP!$AQ$29</f>
        <v>286880.75015624991</v>
      </c>
      <c r="I2161" s="150">
        <f>SUM(D2161:H2161)</f>
        <v>1340616.4689062499</v>
      </c>
      <c r="J2161" s="147">
        <v>1000000</v>
      </c>
      <c r="K2161" s="221">
        <f t="shared" ref="K2161:K2162" si="218">J2161*1.23</f>
        <v>1230000</v>
      </c>
      <c r="L2161" s="147">
        <v>1000000</v>
      </c>
      <c r="M2161" s="219">
        <f t="shared" ref="M2161" si="219">L2161*1.46</f>
        <v>1460000</v>
      </c>
      <c r="N2161" s="147">
        <v>1000000</v>
      </c>
      <c r="O2161" s="226">
        <f t="shared" ref="O2161:O2162" si="220">N2161*1.73</f>
        <v>1730000</v>
      </c>
      <c r="P2161" s="150">
        <f t="shared" ref="P2161:P2163" si="221">SUM(I2161,K2161,M2161,O2161)</f>
        <v>5760616.4689062499</v>
      </c>
      <c r="Q2161" s="568"/>
    </row>
    <row r="2162" spans="1:17" ht="15.75" hidden="1" customHeight="1" outlineLevel="1">
      <c r="A2162" s="562"/>
      <c r="B2162" s="264"/>
      <c r="C2162" s="520" t="s">
        <v>1035</v>
      </c>
      <c r="D2162" s="511"/>
      <c r="E2162" s="396"/>
      <c r="F2162" s="396"/>
      <c r="G2162" s="396"/>
      <c r="H2162" s="523"/>
      <c r="I2162" s="524"/>
      <c r="J2162" s="396">
        <v>210000</v>
      </c>
      <c r="K2162" s="507">
        <f t="shared" si="218"/>
        <v>258300</v>
      </c>
      <c r="L2162" s="193"/>
      <c r="M2162" s="194"/>
      <c r="N2162" s="194">
        <v>210000</v>
      </c>
      <c r="O2162" s="506">
        <f t="shared" si="220"/>
        <v>363300</v>
      </c>
      <c r="P2162" s="178">
        <f t="shared" si="221"/>
        <v>621600</v>
      </c>
      <c r="Q2162" s="568"/>
    </row>
    <row r="2163" spans="1:17" ht="18" customHeight="1" collapsed="1">
      <c r="A2163" s="276"/>
      <c r="B2163" s="152"/>
      <c r="C2163" s="563" t="s">
        <v>1194</v>
      </c>
      <c r="D2163" s="510">
        <f>CIP!$AM$29</f>
        <v>250000</v>
      </c>
      <c r="E2163" s="514">
        <f>CIP!$AN$29</f>
        <v>258749.99999999997</v>
      </c>
      <c r="F2163" s="514">
        <f>CIP!$AO$29</f>
        <v>267806.24999999994</v>
      </c>
      <c r="G2163" s="514">
        <f>CIP!$AP$29</f>
        <v>277179.46874999994</v>
      </c>
      <c r="H2163" s="515">
        <f>CIP!$AQ$29</f>
        <v>286880.75015624991</v>
      </c>
      <c r="I2163" s="516">
        <f>SUM(I2161)</f>
        <v>1340616.4689062499</v>
      </c>
      <c r="J2163" s="517">
        <f t="shared" ref="J2163:O2163" si="222">SUM(J2161:J2162)</f>
        <v>1210000</v>
      </c>
      <c r="K2163" s="518">
        <f t="shared" si="222"/>
        <v>1488300</v>
      </c>
      <c r="L2163" s="517">
        <f t="shared" si="222"/>
        <v>1000000</v>
      </c>
      <c r="M2163" s="519">
        <f t="shared" si="222"/>
        <v>1460000</v>
      </c>
      <c r="N2163" s="517">
        <f t="shared" si="222"/>
        <v>1210000</v>
      </c>
      <c r="O2163" s="515">
        <f t="shared" si="222"/>
        <v>2093300</v>
      </c>
      <c r="P2163" s="516">
        <f t="shared" si="221"/>
        <v>6382216.4689062499</v>
      </c>
      <c r="Q2163" s="568"/>
    </row>
    <row r="2164" spans="1:17" ht="12.75" customHeight="1">
      <c r="A2164" s="561"/>
      <c r="B2164" s="264"/>
      <c r="C2164" s="264"/>
      <c r="D2164" s="437"/>
      <c r="E2164" s="438"/>
      <c r="F2164" s="438"/>
      <c r="G2164" s="438"/>
      <c r="H2164" s="439"/>
      <c r="I2164" s="176"/>
      <c r="J2164" s="177"/>
      <c r="K2164" s="498"/>
      <c r="L2164" s="498"/>
      <c r="M2164" s="499"/>
      <c r="N2164" s="499"/>
      <c r="O2164" s="500"/>
      <c r="P2164" s="178"/>
      <c r="Q2164" s="593"/>
    </row>
    <row r="2165" spans="1:17" s="268" customFormat="1" ht="24" customHeight="1">
      <c r="A2165" s="265"/>
      <c r="B2165" s="266"/>
      <c r="C2165" s="522" t="s">
        <v>735</v>
      </c>
      <c r="D2165" s="375">
        <f t="shared" ref="D2165:P2165" si="223">SUM(D1685,D1833,D1933,D1955,D1974,D2106,D2157,D2163)</f>
        <v>46641575</v>
      </c>
      <c r="E2165" s="375">
        <f t="shared" si="223"/>
        <v>40233912.462499999</v>
      </c>
      <c r="F2165" s="375">
        <f t="shared" si="223"/>
        <v>55880080.9455375</v>
      </c>
      <c r="G2165" s="375">
        <f t="shared" si="223"/>
        <v>41272841.13066674</v>
      </c>
      <c r="H2165" s="375">
        <f t="shared" si="223"/>
        <v>37477693.829747282</v>
      </c>
      <c r="I2165" s="375">
        <f t="shared" si="223"/>
        <v>221506103.36845148</v>
      </c>
      <c r="J2165" s="501">
        <f t="shared" si="223"/>
        <v>216697608</v>
      </c>
      <c r="K2165" s="375">
        <f t="shared" si="223"/>
        <v>266538057.84</v>
      </c>
      <c r="L2165" s="501">
        <f t="shared" si="223"/>
        <v>165538195</v>
      </c>
      <c r="M2165" s="375">
        <f t="shared" si="223"/>
        <v>241685764.69999999</v>
      </c>
      <c r="N2165" s="501">
        <f t="shared" si="223"/>
        <v>174897000</v>
      </c>
      <c r="O2165" s="375">
        <f t="shared" si="223"/>
        <v>302571810</v>
      </c>
      <c r="P2165" s="267">
        <f t="shared" si="223"/>
        <v>1032301735.9084514</v>
      </c>
      <c r="Q2165" s="594"/>
    </row>
    <row r="2166" spans="1:17">
      <c r="A2166" s="131"/>
    </row>
    <row r="2167" spans="1:17" ht="15.75">
      <c r="A2167" s="604"/>
      <c r="B2167" s="604"/>
      <c r="C2167" s="604"/>
      <c r="D2167" s="604"/>
      <c r="E2167" s="604"/>
      <c r="F2167" s="604"/>
      <c r="G2167" s="604"/>
      <c r="H2167" s="604"/>
      <c r="I2167" s="604"/>
      <c r="J2167" s="604"/>
      <c r="K2167" s="604"/>
      <c r="L2167" s="604"/>
      <c r="M2167" s="604"/>
      <c r="N2167" s="604"/>
      <c r="O2167" s="604"/>
      <c r="P2167" s="604"/>
      <c r="Q2167"/>
    </row>
    <row r="2168" spans="1:17">
      <c r="A2168" s="131"/>
      <c r="P2168"/>
      <c r="Q2168"/>
    </row>
    <row r="2169" spans="1:17" ht="15.75">
      <c r="A2169" s="604"/>
      <c r="B2169" s="604"/>
      <c r="C2169" s="604"/>
      <c r="D2169" s="604"/>
      <c r="E2169" s="604"/>
      <c r="F2169" s="604"/>
      <c r="G2169" s="604"/>
      <c r="H2169" s="604"/>
      <c r="I2169" s="604"/>
      <c r="J2169" s="604"/>
      <c r="K2169" s="604"/>
      <c r="L2169" s="604"/>
      <c r="M2169" s="604"/>
      <c r="N2169" s="604"/>
      <c r="O2169" s="604"/>
      <c r="P2169" s="604"/>
      <c r="Q2169"/>
    </row>
    <row r="2170" spans="1:17">
      <c r="A2170" s="131"/>
      <c r="P2170"/>
      <c r="Q2170"/>
    </row>
    <row r="2171" spans="1:17">
      <c r="A2171" s="131"/>
      <c r="P2171"/>
      <c r="Q2171"/>
    </row>
    <row r="2172" spans="1:17">
      <c r="A2172" s="131"/>
      <c r="P2172"/>
      <c r="Q2172"/>
    </row>
    <row r="2173" spans="1:17">
      <c r="A2173" s="131"/>
      <c r="P2173"/>
      <c r="Q2173"/>
    </row>
    <row r="2174" spans="1:17">
      <c r="A2174" s="131"/>
      <c r="P2174"/>
      <c r="Q2174"/>
    </row>
    <row r="2175" spans="1:17">
      <c r="A2175" s="131"/>
      <c r="P2175"/>
      <c r="Q2175"/>
    </row>
    <row r="2176" spans="1:17">
      <c r="A2176" s="131"/>
      <c r="P2176"/>
      <c r="Q2176"/>
    </row>
    <row r="2177" spans="1:17">
      <c r="A2177" s="131"/>
      <c r="P2177"/>
      <c r="Q2177"/>
    </row>
    <row r="2178" spans="1:17">
      <c r="A2178" s="131"/>
      <c r="P2178"/>
      <c r="Q2178"/>
    </row>
    <row r="2179" spans="1:17">
      <c r="A2179" s="131"/>
      <c r="P2179"/>
      <c r="Q2179"/>
    </row>
    <row r="2180" spans="1:17">
      <c r="A2180" s="131"/>
      <c r="P2180"/>
      <c r="Q2180"/>
    </row>
    <row r="2181" spans="1:17">
      <c r="A2181" s="131"/>
      <c r="P2181"/>
      <c r="Q2181"/>
    </row>
    <row r="2182" spans="1:17">
      <c r="A2182" s="131"/>
      <c r="P2182"/>
      <c r="Q2182"/>
    </row>
    <row r="2183" spans="1:17">
      <c r="A2183" s="131"/>
      <c r="P2183"/>
      <c r="Q2183"/>
    </row>
    <row r="2184" spans="1:17">
      <c r="A2184" s="131"/>
      <c r="P2184"/>
      <c r="Q2184"/>
    </row>
    <row r="2185" spans="1:17">
      <c r="A2185" s="131"/>
      <c r="P2185"/>
      <c r="Q2185"/>
    </row>
    <row r="2186" spans="1:17">
      <c r="A2186" s="131"/>
      <c r="P2186"/>
      <c r="Q2186"/>
    </row>
    <row r="2187" spans="1:17">
      <c r="A2187" s="131"/>
      <c r="P2187"/>
      <c r="Q2187"/>
    </row>
    <row r="2188" spans="1:17">
      <c r="A2188" s="131"/>
      <c r="P2188"/>
      <c r="Q2188"/>
    </row>
    <row r="2189" spans="1:17">
      <c r="A2189" s="131"/>
      <c r="P2189"/>
      <c r="Q2189"/>
    </row>
    <row r="2190" spans="1:17">
      <c r="A2190" s="131"/>
      <c r="P2190"/>
      <c r="Q2190"/>
    </row>
    <row r="2191" spans="1:17">
      <c r="A2191" s="131"/>
      <c r="P2191"/>
      <c r="Q2191"/>
    </row>
    <row r="2192" spans="1:17">
      <c r="A2192" s="131"/>
      <c r="P2192"/>
      <c r="Q2192"/>
    </row>
    <row r="2193" spans="1:17">
      <c r="A2193" s="131"/>
      <c r="P2193"/>
      <c r="Q2193"/>
    </row>
    <row r="2194" spans="1:17">
      <c r="A2194" s="131"/>
      <c r="P2194"/>
      <c r="Q2194"/>
    </row>
    <row r="2195" spans="1:17">
      <c r="A2195" s="131"/>
      <c r="P2195"/>
      <c r="Q2195"/>
    </row>
    <row r="2196" spans="1:17">
      <c r="A2196" s="131"/>
      <c r="P2196"/>
      <c r="Q2196"/>
    </row>
    <row r="2197" spans="1:17">
      <c r="A2197" s="131"/>
      <c r="P2197"/>
      <c r="Q2197"/>
    </row>
    <row r="2198" spans="1:17">
      <c r="A2198" s="131"/>
      <c r="P2198"/>
      <c r="Q2198"/>
    </row>
    <row r="2199" spans="1:17">
      <c r="A2199" s="131"/>
      <c r="P2199"/>
      <c r="Q2199"/>
    </row>
    <row r="2200" spans="1:17">
      <c r="A2200" s="131"/>
      <c r="P2200"/>
      <c r="Q2200"/>
    </row>
    <row r="2201" spans="1:17">
      <c r="A2201" s="131"/>
      <c r="P2201"/>
      <c r="Q2201"/>
    </row>
    <row r="2202" spans="1:17">
      <c r="A2202" s="131"/>
      <c r="P2202"/>
      <c r="Q2202"/>
    </row>
    <row r="2203" spans="1:17">
      <c r="A2203" s="131"/>
      <c r="P2203"/>
      <c r="Q2203"/>
    </row>
    <row r="2204" spans="1:17">
      <c r="A2204" s="131"/>
      <c r="P2204"/>
      <c r="Q2204"/>
    </row>
    <row r="2205" spans="1:17">
      <c r="A2205" s="131"/>
      <c r="P2205"/>
      <c r="Q2205"/>
    </row>
    <row r="2206" spans="1:17">
      <c r="A2206" s="131"/>
      <c r="P2206"/>
      <c r="Q2206"/>
    </row>
    <row r="2207" spans="1:17">
      <c r="A2207" s="131"/>
      <c r="P2207"/>
      <c r="Q2207"/>
    </row>
    <row r="2208" spans="1:17">
      <c r="A2208" s="131"/>
      <c r="P2208"/>
      <c r="Q2208"/>
    </row>
    <row r="2209" spans="1:17">
      <c r="A2209" s="131"/>
      <c r="P2209"/>
      <c r="Q2209"/>
    </row>
    <row r="2210" spans="1:17">
      <c r="A2210" s="131"/>
      <c r="P2210"/>
      <c r="Q2210"/>
    </row>
    <row r="2211" spans="1:17">
      <c r="A2211" s="131"/>
      <c r="P2211"/>
      <c r="Q2211"/>
    </row>
    <row r="2212" spans="1:17">
      <c r="A2212" s="131"/>
      <c r="P2212"/>
      <c r="Q2212"/>
    </row>
    <row r="2213" spans="1:17">
      <c r="A2213" s="131"/>
      <c r="P2213"/>
      <c r="Q2213"/>
    </row>
    <row r="2214" spans="1:17">
      <c r="A2214" s="131"/>
      <c r="P2214"/>
      <c r="Q2214"/>
    </row>
    <row r="2215" spans="1:17">
      <c r="A2215" s="131"/>
      <c r="P2215"/>
      <c r="Q2215"/>
    </row>
    <row r="2216" spans="1:17">
      <c r="A2216" s="131"/>
      <c r="P2216"/>
      <c r="Q2216"/>
    </row>
    <row r="2217" spans="1:17">
      <c r="A2217" s="131"/>
      <c r="P2217"/>
      <c r="Q2217"/>
    </row>
    <row r="2218" spans="1:17">
      <c r="A2218" s="131"/>
      <c r="P2218"/>
      <c r="Q2218"/>
    </row>
    <row r="2219" spans="1:17">
      <c r="A2219" s="131"/>
      <c r="P2219"/>
      <c r="Q2219"/>
    </row>
    <row r="2220" spans="1:17">
      <c r="A2220" s="131"/>
      <c r="P2220"/>
      <c r="Q2220"/>
    </row>
    <row r="2221" spans="1:17">
      <c r="A2221" s="131"/>
      <c r="P2221"/>
      <c r="Q2221"/>
    </row>
    <row r="2222" spans="1:17">
      <c r="A2222" s="131"/>
      <c r="P2222"/>
      <c r="Q2222"/>
    </row>
    <row r="2223" spans="1:17">
      <c r="A2223" s="131"/>
      <c r="P2223"/>
      <c r="Q2223"/>
    </row>
    <row r="2224" spans="1:17">
      <c r="A2224" s="131"/>
      <c r="P2224"/>
      <c r="Q2224"/>
    </row>
    <row r="2225" spans="1:17">
      <c r="A2225" s="131"/>
      <c r="P2225"/>
      <c r="Q2225"/>
    </row>
    <row r="2226" spans="1:17">
      <c r="A2226" s="131"/>
      <c r="P2226"/>
      <c r="Q2226"/>
    </row>
    <row r="2227" spans="1:17">
      <c r="A2227" s="131"/>
      <c r="P2227"/>
      <c r="Q2227"/>
    </row>
    <row r="2228" spans="1:17">
      <c r="A2228" s="131"/>
      <c r="P2228"/>
      <c r="Q2228"/>
    </row>
    <row r="2229" spans="1:17">
      <c r="A2229" s="131"/>
      <c r="P2229"/>
      <c r="Q2229"/>
    </row>
    <row r="2230" spans="1:17">
      <c r="A2230" s="131"/>
      <c r="P2230"/>
      <c r="Q2230"/>
    </row>
    <row r="2231" spans="1:17">
      <c r="A2231" s="131"/>
      <c r="P2231"/>
      <c r="Q2231"/>
    </row>
    <row r="2232" spans="1:17">
      <c r="A2232" s="131"/>
      <c r="P2232"/>
      <c r="Q2232"/>
    </row>
    <row r="2233" spans="1:17">
      <c r="A2233" s="131"/>
      <c r="P2233"/>
      <c r="Q2233"/>
    </row>
    <row r="2234" spans="1:17">
      <c r="A2234" s="131"/>
      <c r="P2234"/>
      <c r="Q2234"/>
    </row>
    <row r="2235" spans="1:17">
      <c r="A2235" s="131"/>
      <c r="P2235"/>
      <c r="Q2235"/>
    </row>
    <row r="2236" spans="1:17">
      <c r="A2236" s="131"/>
      <c r="P2236"/>
      <c r="Q2236"/>
    </row>
    <row r="2237" spans="1:17">
      <c r="A2237" s="131"/>
      <c r="P2237"/>
      <c r="Q2237"/>
    </row>
    <row r="2238" spans="1:17">
      <c r="A2238" s="131"/>
      <c r="P2238"/>
      <c r="Q2238"/>
    </row>
    <row r="2239" spans="1:17">
      <c r="A2239" s="131"/>
      <c r="P2239"/>
      <c r="Q2239"/>
    </row>
    <row r="2240" spans="1:17">
      <c r="A2240" s="131"/>
      <c r="P2240"/>
      <c r="Q2240"/>
    </row>
    <row r="2241" spans="1:17">
      <c r="A2241" s="131"/>
      <c r="P2241"/>
      <c r="Q2241"/>
    </row>
    <row r="2242" spans="1:17">
      <c r="A2242" s="131"/>
      <c r="P2242"/>
      <c r="Q2242"/>
    </row>
    <row r="2243" spans="1:17">
      <c r="A2243" s="131"/>
      <c r="P2243"/>
      <c r="Q2243"/>
    </row>
    <row r="2244" spans="1:17">
      <c r="A2244" s="131"/>
      <c r="P2244"/>
      <c r="Q2244"/>
    </row>
    <row r="2245" spans="1:17">
      <c r="A2245" s="131"/>
      <c r="P2245"/>
      <c r="Q2245"/>
    </row>
    <row r="2246" spans="1:17">
      <c r="A2246" s="131"/>
      <c r="P2246"/>
      <c r="Q2246"/>
    </row>
    <row r="2247" spans="1:17">
      <c r="A2247" s="131"/>
      <c r="P2247"/>
      <c r="Q2247"/>
    </row>
    <row r="2248" spans="1:17">
      <c r="A2248" s="131"/>
      <c r="P2248"/>
      <c r="Q2248"/>
    </row>
    <row r="2249" spans="1:17">
      <c r="A2249" s="131"/>
      <c r="P2249"/>
      <c r="Q2249"/>
    </row>
    <row r="2250" spans="1:17">
      <c r="A2250" s="131"/>
      <c r="P2250"/>
      <c r="Q2250"/>
    </row>
    <row r="2251" spans="1:17">
      <c r="A2251" s="131"/>
      <c r="P2251"/>
      <c r="Q2251"/>
    </row>
    <row r="2252" spans="1:17">
      <c r="A2252" s="131"/>
      <c r="P2252"/>
      <c r="Q2252"/>
    </row>
    <row r="2253" spans="1:17">
      <c r="A2253" s="131"/>
      <c r="P2253"/>
      <c r="Q2253"/>
    </row>
    <row r="2254" spans="1:17">
      <c r="A2254" s="131"/>
      <c r="P2254"/>
      <c r="Q2254"/>
    </row>
    <row r="2255" spans="1:17">
      <c r="A2255" s="131"/>
      <c r="P2255"/>
      <c r="Q2255"/>
    </row>
    <row r="2256" spans="1:17">
      <c r="A2256" s="131"/>
      <c r="P2256"/>
      <c r="Q2256"/>
    </row>
    <row r="2257" spans="1:17">
      <c r="A2257" s="131"/>
      <c r="P2257"/>
      <c r="Q2257"/>
    </row>
    <row r="2258" spans="1:17">
      <c r="A2258" s="131"/>
      <c r="P2258"/>
      <c r="Q2258"/>
    </row>
    <row r="2259" spans="1:17">
      <c r="A2259" s="131"/>
      <c r="P2259"/>
      <c r="Q2259"/>
    </row>
    <row r="2260" spans="1:17">
      <c r="A2260" s="131"/>
      <c r="P2260"/>
      <c r="Q2260"/>
    </row>
    <row r="2261" spans="1:17">
      <c r="A2261" s="131"/>
      <c r="P2261"/>
      <c r="Q2261"/>
    </row>
    <row r="2262" spans="1:17">
      <c r="A2262" s="131"/>
      <c r="P2262"/>
      <c r="Q2262"/>
    </row>
    <row r="2263" spans="1:17">
      <c r="A2263" s="131"/>
      <c r="P2263"/>
      <c r="Q2263"/>
    </row>
    <row r="2264" spans="1:17">
      <c r="A2264" s="131"/>
      <c r="P2264"/>
      <c r="Q2264"/>
    </row>
    <row r="2265" spans="1:17">
      <c r="A2265" s="131"/>
      <c r="P2265"/>
      <c r="Q2265"/>
    </row>
    <row r="2266" spans="1:17">
      <c r="A2266" s="131"/>
      <c r="P2266"/>
      <c r="Q2266"/>
    </row>
    <row r="2267" spans="1:17">
      <c r="A2267" s="131"/>
      <c r="P2267"/>
      <c r="Q2267"/>
    </row>
    <row r="2268" spans="1:17">
      <c r="A2268" s="131"/>
      <c r="P2268"/>
      <c r="Q2268"/>
    </row>
    <row r="2269" spans="1:17">
      <c r="A2269" s="131"/>
      <c r="P2269"/>
      <c r="Q2269"/>
    </row>
    <row r="2270" spans="1:17">
      <c r="A2270" s="131"/>
      <c r="P2270"/>
      <c r="Q2270"/>
    </row>
    <row r="2271" spans="1:17">
      <c r="A2271" s="131"/>
      <c r="P2271"/>
      <c r="Q2271"/>
    </row>
    <row r="2272" spans="1:17">
      <c r="A2272" s="131"/>
      <c r="P2272"/>
      <c r="Q2272"/>
    </row>
    <row r="2273" spans="1:17">
      <c r="A2273" s="131"/>
      <c r="P2273"/>
      <c r="Q2273"/>
    </row>
    <row r="2274" spans="1:17">
      <c r="A2274" s="131"/>
      <c r="P2274"/>
      <c r="Q2274"/>
    </row>
    <row r="2275" spans="1:17">
      <c r="A2275" s="131"/>
      <c r="P2275"/>
      <c r="Q2275"/>
    </row>
    <row r="2276" spans="1:17">
      <c r="A2276" s="131"/>
      <c r="P2276"/>
      <c r="Q2276"/>
    </row>
    <row r="2277" spans="1:17">
      <c r="A2277" s="131"/>
      <c r="P2277"/>
      <c r="Q2277"/>
    </row>
    <row r="2278" spans="1:17">
      <c r="A2278" s="131"/>
      <c r="P2278"/>
      <c r="Q2278"/>
    </row>
    <row r="2279" spans="1:17">
      <c r="A2279" s="131"/>
      <c r="P2279"/>
      <c r="Q2279"/>
    </row>
    <row r="2280" spans="1:17">
      <c r="A2280" s="131"/>
      <c r="P2280"/>
      <c r="Q2280"/>
    </row>
    <row r="2281" spans="1:17">
      <c r="A2281" s="131"/>
      <c r="P2281"/>
      <c r="Q2281"/>
    </row>
    <row r="2282" spans="1:17">
      <c r="A2282" s="131"/>
      <c r="P2282"/>
      <c r="Q2282"/>
    </row>
    <row r="2283" spans="1:17">
      <c r="A2283" s="131"/>
      <c r="P2283"/>
      <c r="Q2283"/>
    </row>
    <row r="2284" spans="1:17">
      <c r="A2284" s="131"/>
      <c r="P2284"/>
      <c r="Q2284"/>
    </row>
    <row r="2285" spans="1:17">
      <c r="A2285" s="131"/>
      <c r="P2285"/>
      <c r="Q2285"/>
    </row>
    <row r="2286" spans="1:17">
      <c r="A2286" s="131"/>
      <c r="P2286"/>
      <c r="Q2286"/>
    </row>
    <row r="2287" spans="1:17">
      <c r="A2287" s="131"/>
      <c r="P2287"/>
      <c r="Q2287"/>
    </row>
    <row r="2288" spans="1:17">
      <c r="A2288" s="131"/>
      <c r="P2288"/>
      <c r="Q2288"/>
    </row>
    <row r="2289" spans="1:17">
      <c r="A2289" s="131"/>
      <c r="P2289"/>
      <c r="Q2289"/>
    </row>
    <row r="2290" spans="1:17">
      <c r="A2290" s="131"/>
      <c r="P2290"/>
      <c r="Q2290"/>
    </row>
    <row r="2291" spans="1:17">
      <c r="A2291" s="131"/>
      <c r="P2291"/>
      <c r="Q2291"/>
    </row>
    <row r="2292" spans="1:17">
      <c r="A2292" s="131"/>
      <c r="P2292"/>
      <c r="Q2292"/>
    </row>
    <row r="2293" spans="1:17">
      <c r="A2293" s="131"/>
      <c r="P2293"/>
      <c r="Q2293"/>
    </row>
    <row r="2294" spans="1:17">
      <c r="A2294" s="131"/>
      <c r="P2294"/>
      <c r="Q2294"/>
    </row>
    <row r="2295" spans="1:17">
      <c r="A2295" s="131"/>
      <c r="P2295"/>
      <c r="Q2295"/>
    </row>
    <row r="2296" spans="1:17">
      <c r="A2296" s="131"/>
      <c r="P2296"/>
      <c r="Q2296"/>
    </row>
    <row r="2297" spans="1:17">
      <c r="A2297" s="131"/>
      <c r="P2297"/>
      <c r="Q2297"/>
    </row>
    <row r="2298" spans="1:17">
      <c r="A2298" s="131"/>
      <c r="P2298"/>
      <c r="Q2298"/>
    </row>
    <row r="2299" spans="1:17">
      <c r="A2299" s="131"/>
      <c r="P2299"/>
      <c r="Q2299"/>
    </row>
    <row r="2300" spans="1:17">
      <c r="A2300" s="131"/>
      <c r="P2300"/>
      <c r="Q2300"/>
    </row>
    <row r="2301" spans="1:17">
      <c r="A2301" s="131"/>
      <c r="P2301"/>
      <c r="Q2301"/>
    </row>
    <row r="2302" spans="1:17">
      <c r="A2302" s="131"/>
      <c r="P2302"/>
      <c r="Q2302"/>
    </row>
    <row r="2303" spans="1:17">
      <c r="A2303" s="131"/>
      <c r="P2303"/>
      <c r="Q2303"/>
    </row>
    <row r="2304" spans="1:17">
      <c r="A2304" s="131"/>
      <c r="P2304"/>
      <c r="Q2304"/>
    </row>
    <row r="2305" spans="1:17">
      <c r="A2305" s="131"/>
      <c r="P2305"/>
      <c r="Q2305"/>
    </row>
    <row r="2306" spans="1:17">
      <c r="A2306" s="131"/>
      <c r="P2306"/>
      <c r="Q2306"/>
    </row>
    <row r="2307" spans="1:17">
      <c r="A2307" s="131"/>
      <c r="P2307"/>
      <c r="Q2307"/>
    </row>
    <row r="2308" spans="1:17">
      <c r="A2308" s="131"/>
      <c r="P2308"/>
      <c r="Q2308"/>
    </row>
    <row r="2309" spans="1:17">
      <c r="A2309" s="131"/>
      <c r="P2309"/>
      <c r="Q2309"/>
    </row>
    <row r="2310" spans="1:17">
      <c r="A2310" s="131"/>
      <c r="P2310"/>
      <c r="Q2310"/>
    </row>
    <row r="2311" spans="1:17">
      <c r="A2311" s="131"/>
      <c r="P2311"/>
      <c r="Q2311"/>
    </row>
    <row r="2312" spans="1:17">
      <c r="A2312" s="131"/>
      <c r="P2312"/>
      <c r="Q2312"/>
    </row>
    <row r="2313" spans="1:17">
      <c r="A2313" s="131"/>
      <c r="P2313"/>
      <c r="Q2313"/>
    </row>
    <row r="2314" spans="1:17">
      <c r="A2314" s="131"/>
      <c r="P2314"/>
      <c r="Q2314"/>
    </row>
    <row r="2315" spans="1:17">
      <c r="A2315" s="131"/>
      <c r="P2315"/>
      <c r="Q2315"/>
    </row>
    <row r="2316" spans="1:17">
      <c r="A2316" s="131"/>
      <c r="P2316"/>
      <c r="Q2316"/>
    </row>
    <row r="2317" spans="1:17">
      <c r="A2317" s="131"/>
      <c r="P2317"/>
      <c r="Q2317"/>
    </row>
    <row r="2318" spans="1:17">
      <c r="A2318" s="131"/>
      <c r="P2318"/>
      <c r="Q2318"/>
    </row>
    <row r="2319" spans="1:17">
      <c r="A2319" s="131"/>
      <c r="P2319"/>
      <c r="Q2319"/>
    </row>
    <row r="2320" spans="1:17">
      <c r="A2320" s="131"/>
      <c r="P2320"/>
      <c r="Q2320"/>
    </row>
    <row r="2321" spans="1:17">
      <c r="A2321" s="131"/>
      <c r="P2321"/>
      <c r="Q2321"/>
    </row>
    <row r="2322" spans="1:17">
      <c r="A2322" s="131"/>
      <c r="P2322"/>
      <c r="Q2322"/>
    </row>
    <row r="2323" spans="1:17">
      <c r="A2323" s="131"/>
      <c r="P2323"/>
      <c r="Q2323"/>
    </row>
    <row r="2324" spans="1:17">
      <c r="A2324" s="131"/>
      <c r="P2324"/>
      <c r="Q2324"/>
    </row>
    <row r="2325" spans="1:17">
      <c r="A2325" s="131"/>
      <c r="P2325"/>
      <c r="Q2325"/>
    </row>
    <row r="2326" spans="1:17">
      <c r="A2326" s="131"/>
      <c r="P2326"/>
      <c r="Q2326"/>
    </row>
    <row r="2327" spans="1:17">
      <c r="A2327" s="131"/>
      <c r="P2327"/>
      <c r="Q2327"/>
    </row>
    <row r="2328" spans="1:17">
      <c r="A2328" s="131"/>
      <c r="P2328"/>
      <c r="Q2328"/>
    </row>
    <row r="2329" spans="1:17">
      <c r="A2329" s="131"/>
      <c r="P2329"/>
      <c r="Q2329"/>
    </row>
    <row r="2330" spans="1:17">
      <c r="A2330" s="131"/>
      <c r="P2330"/>
      <c r="Q2330"/>
    </row>
    <row r="2331" spans="1:17">
      <c r="A2331" s="131"/>
      <c r="P2331"/>
      <c r="Q2331"/>
    </row>
    <row r="2332" spans="1:17">
      <c r="A2332" s="131"/>
      <c r="P2332"/>
      <c r="Q2332"/>
    </row>
    <row r="2333" spans="1:17">
      <c r="A2333" s="131"/>
      <c r="P2333"/>
      <c r="Q2333"/>
    </row>
    <row r="2334" spans="1:17">
      <c r="A2334" s="131"/>
      <c r="P2334"/>
      <c r="Q2334"/>
    </row>
    <row r="2335" spans="1:17">
      <c r="A2335" s="131"/>
      <c r="P2335"/>
      <c r="Q2335"/>
    </row>
    <row r="2336" spans="1:17">
      <c r="A2336" s="131"/>
      <c r="P2336"/>
      <c r="Q2336"/>
    </row>
    <row r="2337" spans="1:17">
      <c r="A2337" s="131"/>
      <c r="P2337"/>
      <c r="Q2337"/>
    </row>
    <row r="2338" spans="1:17">
      <c r="A2338" s="131"/>
      <c r="P2338"/>
      <c r="Q2338"/>
    </row>
    <row r="2339" spans="1:17">
      <c r="A2339" s="131"/>
      <c r="P2339"/>
      <c r="Q2339"/>
    </row>
    <row r="2340" spans="1:17">
      <c r="A2340" s="131"/>
      <c r="P2340"/>
      <c r="Q2340"/>
    </row>
    <row r="2341" spans="1:17">
      <c r="A2341" s="131"/>
      <c r="P2341"/>
      <c r="Q2341"/>
    </row>
    <row r="2342" spans="1:17">
      <c r="A2342" s="131"/>
      <c r="P2342"/>
      <c r="Q2342"/>
    </row>
    <row r="2343" spans="1:17">
      <c r="A2343" s="131"/>
      <c r="P2343"/>
      <c r="Q2343"/>
    </row>
    <row r="2344" spans="1:17">
      <c r="A2344" s="131"/>
      <c r="P2344"/>
      <c r="Q2344"/>
    </row>
    <row r="2345" spans="1:17">
      <c r="A2345" s="131"/>
      <c r="P2345"/>
      <c r="Q2345"/>
    </row>
    <row r="2346" spans="1:17">
      <c r="A2346" s="131"/>
      <c r="P2346"/>
      <c r="Q2346"/>
    </row>
    <row r="2347" spans="1:17">
      <c r="A2347" s="131"/>
      <c r="P2347"/>
      <c r="Q2347"/>
    </row>
    <row r="2348" spans="1:17">
      <c r="A2348" s="131"/>
      <c r="P2348"/>
      <c r="Q2348"/>
    </row>
    <row r="2349" spans="1:17">
      <c r="A2349" s="131"/>
      <c r="P2349"/>
      <c r="Q2349"/>
    </row>
    <row r="2350" spans="1:17">
      <c r="A2350" s="131"/>
      <c r="P2350"/>
      <c r="Q2350"/>
    </row>
    <row r="2351" spans="1:17">
      <c r="A2351" s="131"/>
      <c r="P2351"/>
      <c r="Q2351"/>
    </row>
    <row r="2352" spans="1:17">
      <c r="A2352" s="131"/>
      <c r="P2352"/>
      <c r="Q2352"/>
    </row>
    <row r="2353" spans="1:17">
      <c r="A2353" s="131"/>
      <c r="P2353"/>
      <c r="Q2353"/>
    </row>
    <row r="2354" spans="1:17">
      <c r="A2354" s="131"/>
      <c r="P2354"/>
      <c r="Q2354"/>
    </row>
    <row r="2355" spans="1:17">
      <c r="A2355" s="131"/>
      <c r="P2355"/>
      <c r="Q2355"/>
    </row>
    <row r="2356" spans="1:17">
      <c r="A2356" s="131"/>
      <c r="P2356"/>
      <c r="Q2356"/>
    </row>
    <row r="2357" spans="1:17">
      <c r="A2357" s="131"/>
      <c r="P2357"/>
      <c r="Q2357"/>
    </row>
    <row r="2358" spans="1:17">
      <c r="A2358" s="131"/>
      <c r="P2358"/>
      <c r="Q2358"/>
    </row>
    <row r="2359" spans="1:17">
      <c r="A2359" s="131"/>
      <c r="P2359"/>
      <c r="Q2359"/>
    </row>
    <row r="2360" spans="1:17">
      <c r="A2360" s="131"/>
      <c r="P2360"/>
      <c r="Q2360"/>
    </row>
    <row r="2361" spans="1:17">
      <c r="A2361" s="131"/>
      <c r="P2361"/>
      <c r="Q2361"/>
    </row>
    <row r="2362" spans="1:17">
      <c r="A2362" s="131"/>
      <c r="P2362"/>
      <c r="Q2362"/>
    </row>
    <row r="2363" spans="1:17">
      <c r="A2363" s="131"/>
      <c r="P2363"/>
      <c r="Q2363"/>
    </row>
    <row r="2364" spans="1:17">
      <c r="A2364" s="131"/>
      <c r="P2364"/>
      <c r="Q2364"/>
    </row>
    <row r="2365" spans="1:17">
      <c r="A2365" s="131"/>
      <c r="P2365"/>
      <c r="Q2365"/>
    </row>
    <row r="2366" spans="1:17">
      <c r="A2366" s="131"/>
      <c r="P2366"/>
      <c r="Q2366"/>
    </row>
    <row r="2367" spans="1:17">
      <c r="A2367" s="131"/>
      <c r="P2367"/>
      <c r="Q2367"/>
    </row>
    <row r="2368" spans="1:17">
      <c r="A2368" s="131"/>
      <c r="P2368"/>
      <c r="Q2368"/>
    </row>
    <row r="2369" spans="1:17">
      <c r="A2369" s="131"/>
      <c r="P2369"/>
      <c r="Q2369"/>
    </row>
    <row r="2370" spans="1:17">
      <c r="A2370" s="131"/>
      <c r="P2370"/>
      <c r="Q2370"/>
    </row>
    <row r="2371" spans="1:17">
      <c r="A2371" s="131"/>
      <c r="P2371"/>
      <c r="Q2371"/>
    </row>
    <row r="2372" spans="1:17">
      <c r="A2372" s="131"/>
      <c r="P2372"/>
      <c r="Q2372"/>
    </row>
    <row r="2373" spans="1:17">
      <c r="A2373" s="131"/>
      <c r="P2373"/>
      <c r="Q2373"/>
    </row>
    <row r="2374" spans="1:17">
      <c r="A2374" s="131"/>
      <c r="P2374"/>
      <c r="Q2374"/>
    </row>
    <row r="2375" spans="1:17">
      <c r="A2375" s="131"/>
      <c r="P2375"/>
      <c r="Q2375"/>
    </row>
    <row r="2376" spans="1:17">
      <c r="A2376" s="131"/>
      <c r="P2376"/>
      <c r="Q2376"/>
    </row>
  </sheetData>
  <mergeCells count="8">
    <mergeCell ref="A2167:P2167"/>
    <mergeCell ref="A2169:P2169"/>
    <mergeCell ref="B2106:C2106"/>
    <mergeCell ref="B1685:C1685"/>
    <mergeCell ref="B1833:C1833"/>
    <mergeCell ref="B1933:C1933"/>
    <mergeCell ref="B1955:C1955"/>
    <mergeCell ref="B1974:C1974"/>
  </mergeCells>
  <dataValidations disablePrompts="1" count="1">
    <dataValidation allowBlank="1" showDropDown="1" showInputMessage="1" showErrorMessage="1" sqref="C1874:C1881 C1883:C1894 C1896:C1914 C1851:C1855 C1864:C1867"/>
  </dataValidations>
  <pageMargins left="1.3" right="1.3" top="0.4" bottom="0.45" header="0.3" footer="0.25"/>
  <pageSetup scale="68" fitToHeight="0" orientation="landscape" r:id="rId1"/>
  <headerFooter>
    <oddFooter>&amp;C&amp;14 Tab 4. Consolidated 20-Year Projection by Asset Category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21</vt:i4>
      </vt:variant>
    </vt:vector>
  </HeadingPairs>
  <TitlesOfParts>
    <vt:vector size="24" baseType="lpstr">
      <vt:lpstr>CIP</vt:lpstr>
      <vt:lpstr>Lists</vt:lpstr>
      <vt:lpstr>20 Year Plan</vt:lpstr>
      <vt:lpstr>CondWeight</vt:lpstr>
      <vt:lpstr>Consequence_Ratings</vt:lpstr>
      <vt:lpstr>Efactor</vt:lpstr>
      <vt:lpstr>Funding_Source</vt:lpstr>
      <vt:lpstr>Overall_Condition</vt:lpstr>
      <vt:lpstr>Percent_Life_Left</vt:lpstr>
      <vt:lpstr>PLifeWeight</vt:lpstr>
      <vt:lpstr>'20 Year Plan'!Print_Area</vt:lpstr>
      <vt:lpstr>CIP!Print_Area</vt:lpstr>
      <vt:lpstr>'20 Year Plan'!Print_Titles</vt:lpstr>
      <vt:lpstr>CIP!Print_Titles</vt:lpstr>
      <vt:lpstr>t</vt:lpstr>
      <vt:lpstr>Weight1</vt:lpstr>
      <vt:lpstr>Weight2</vt:lpstr>
      <vt:lpstr>Weight3</vt:lpstr>
      <vt:lpstr>Weight4</vt:lpstr>
      <vt:lpstr>Weight5</vt:lpstr>
      <vt:lpstr>Weight6</vt:lpstr>
      <vt:lpstr>Weight7</vt:lpstr>
      <vt:lpstr>Weight8</vt:lpstr>
      <vt:lpstr>WSum</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Perez</dc:creator>
  <cp:lastModifiedBy>bbarrett</cp:lastModifiedBy>
  <cp:lastPrinted>2012-10-15T06:05:41Z</cp:lastPrinted>
  <dcterms:created xsi:type="dcterms:W3CDTF">2012-07-10T14:48:06Z</dcterms:created>
  <dcterms:modified xsi:type="dcterms:W3CDTF">2012-10-17T22:10:11Z</dcterms:modified>
</cp:coreProperties>
</file>