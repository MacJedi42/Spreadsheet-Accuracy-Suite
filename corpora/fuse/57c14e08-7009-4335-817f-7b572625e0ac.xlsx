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90" windowWidth="7545" windowHeight="4380"/>
  </bookViews>
  <sheets>
    <sheet name="Multi-Year Comparison" sheetId="4" r:id="rId1"/>
    <sheet name="FY 2005-2006 Summary" sheetId="1" r:id="rId2"/>
    <sheet name="FY 2006-2007 Summary" sheetId="2" r:id="rId3"/>
    <sheet name="FY 2007-2008 Summary" sheetId="3" r:id="rId4"/>
    <sheet name="FY 2008-2009 Summary" sheetId="5" r:id="rId5"/>
    <sheet name="FY 2009-2010 Summary" sheetId="6" r:id="rId6"/>
    <sheet name="FY 2010-2011 Summary" sheetId="7" r:id="rId7"/>
    <sheet name="FY2011-2012 Summary" sheetId="8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May_00" localSheetId="2">'[2]September 2006'!#REF!</definedName>
    <definedName name="May_00" localSheetId="3">#REF!</definedName>
    <definedName name="May_00">'[1]September 2005'!#REF!</definedName>
  </definedNames>
  <calcPr calcId="125725"/>
</workbook>
</file>

<file path=xl/calcChain.xml><?xml version="1.0" encoding="utf-8"?>
<calcChain xmlns="http://schemas.openxmlformats.org/spreadsheetml/2006/main">
  <c r="I23" i="4"/>
  <c r="I34"/>
  <c r="H23"/>
  <c r="G33" i="7"/>
  <c r="F33"/>
  <c r="E33"/>
  <c r="G22"/>
  <c r="F22"/>
  <c r="E22"/>
  <c r="D11"/>
  <c r="E11"/>
  <c r="C11"/>
  <c r="G10"/>
  <c r="F10"/>
  <c r="E10"/>
  <c r="E9"/>
  <c r="E8"/>
  <c r="E7"/>
  <c r="E6"/>
  <c r="E5"/>
  <c r="E4"/>
  <c r="G3"/>
  <c r="G11"/>
  <c r="F3"/>
  <c r="F11"/>
  <c r="E3"/>
  <c r="E11" i="3"/>
  <c r="E11" i="2"/>
  <c r="E10" i="1"/>
  <c r="G34" i="4"/>
  <c r="G23"/>
  <c r="G33" i="6"/>
  <c r="F33"/>
  <c r="E33"/>
  <c r="G22"/>
  <c r="F22"/>
  <c r="E22"/>
  <c r="G11"/>
  <c r="F11"/>
  <c r="D11"/>
  <c r="C11"/>
  <c r="E11"/>
  <c r="E10"/>
  <c r="E9"/>
  <c r="E8"/>
  <c r="E7"/>
  <c r="E6"/>
  <c r="E5"/>
  <c r="E4"/>
  <c r="E3"/>
  <c r="F34" i="4"/>
  <c r="F23"/>
  <c r="G33" i="5"/>
  <c r="F33"/>
  <c r="E33"/>
  <c r="G22"/>
  <c r="F22"/>
  <c r="E22"/>
  <c r="D11"/>
  <c r="C11"/>
  <c r="G10"/>
  <c r="F10"/>
  <c r="E10"/>
  <c r="G9"/>
  <c r="G11"/>
  <c r="F9"/>
  <c r="E9"/>
  <c r="F8"/>
  <c r="E8"/>
  <c r="E7"/>
  <c r="E6"/>
  <c r="E5"/>
  <c r="E4"/>
  <c r="E3"/>
  <c r="C34" i="4"/>
  <c r="E34"/>
  <c r="D34"/>
  <c r="C23"/>
  <c r="E23"/>
  <c r="D23"/>
  <c r="E3" i="3"/>
  <c r="E4"/>
  <c r="F4"/>
  <c r="E5"/>
  <c r="F5"/>
  <c r="G5"/>
  <c r="G11"/>
  <c r="E6"/>
  <c r="F6"/>
  <c r="G6"/>
  <c r="E7"/>
  <c r="E8"/>
  <c r="F8"/>
  <c r="G8"/>
  <c r="E9"/>
  <c r="F9"/>
  <c r="G9"/>
  <c r="E10"/>
  <c r="C11"/>
  <c r="D11"/>
  <c r="F11"/>
  <c r="E22"/>
  <c r="F22"/>
  <c r="G22"/>
  <c r="E33"/>
  <c r="F33"/>
  <c r="G33"/>
  <c r="E3" i="2"/>
  <c r="E4"/>
  <c r="E5"/>
  <c r="E6"/>
  <c r="E7"/>
  <c r="F7"/>
  <c r="G7"/>
  <c r="G11"/>
  <c r="E8"/>
  <c r="E9"/>
  <c r="E10"/>
  <c r="F10"/>
  <c r="G10"/>
  <c r="C11"/>
  <c r="D11"/>
  <c r="F11"/>
  <c r="E22"/>
  <c r="F22"/>
  <c r="G22"/>
  <c r="E33"/>
  <c r="F33"/>
  <c r="G33"/>
  <c r="E3" i="1"/>
  <c r="E4"/>
  <c r="E5"/>
  <c r="E6"/>
  <c r="E7"/>
  <c r="E8"/>
  <c r="E9"/>
  <c r="F9"/>
  <c r="G9"/>
  <c r="G10"/>
  <c r="C10"/>
  <c r="D10"/>
  <c r="F10"/>
  <c r="E22"/>
  <c r="F22"/>
  <c r="G22"/>
  <c r="E33"/>
  <c r="F33"/>
  <c r="G33"/>
  <c r="Q40"/>
  <c r="R40"/>
  <c r="F11" i="5"/>
  <c r="E11"/>
</calcChain>
</file>

<file path=xl/sharedStrings.xml><?xml version="1.0" encoding="utf-8"?>
<sst xmlns="http://schemas.openxmlformats.org/spreadsheetml/2006/main" count="408" uniqueCount="84">
  <si>
    <t>USRC AWARDS SUMMARY
FY 2005-2006</t>
  </si>
  <si>
    <t>Month</t>
  </si>
  <si>
    <t>Year</t>
  </si>
  <si>
    <t>Proposals</t>
  </si>
  <si>
    <t>Awards</t>
  </si>
  <si>
    <t>% Funding</t>
  </si>
  <si>
    <t>Amount Requested</t>
  </si>
  <si>
    <t>Amount Awarded</t>
  </si>
  <si>
    <t xml:space="preserve">May </t>
  </si>
  <si>
    <t>2005</t>
  </si>
  <si>
    <t xml:space="preserve">September </t>
  </si>
  <si>
    <t>October</t>
  </si>
  <si>
    <t>November</t>
  </si>
  <si>
    <t>December</t>
  </si>
  <si>
    <t>February</t>
  </si>
  <si>
    <t>2006</t>
  </si>
  <si>
    <t>March</t>
  </si>
  <si>
    <t>SUMMARY</t>
  </si>
  <si>
    <t>TOTAL AWARDS BY COLLEGE FOR FY 2005-2006</t>
  </si>
  <si>
    <t>College/Academic Unit</t>
  </si>
  <si>
    <t># Proposals</t>
  </si>
  <si>
    <t># Awards</t>
  </si>
  <si>
    <t>Business and Information Technology</t>
  </si>
  <si>
    <t>Education and Educational Technology</t>
  </si>
  <si>
    <t>Fine Arts</t>
  </si>
  <si>
    <t>Health and Human Services</t>
  </si>
  <si>
    <t>Humanities and Social Sciences</t>
  </si>
  <si>
    <t>Natural Sciences and Mathematics</t>
  </si>
  <si>
    <t>University Services</t>
  </si>
  <si>
    <t>Totals</t>
  </si>
  <si>
    <t>TOTAL AWARDS BY CATEGORY BY 2005-2006 YEAR</t>
  </si>
  <si>
    <t>#</t>
  </si>
  <si>
    <t>Category Description</t>
  </si>
  <si>
    <t>Coop. Pgms with Industry/Community</t>
  </si>
  <si>
    <t>Small Research Grants</t>
  </si>
  <si>
    <t>Innovative Teaching Projects</t>
  </si>
  <si>
    <t>To Present Papers at Int'l Meetings</t>
  </si>
  <si>
    <t>Student/Faculty Research Awards</t>
  </si>
  <si>
    <t>New Investigator Awards</t>
  </si>
  <si>
    <t>Domestic Travel</t>
  </si>
  <si>
    <t>USRC AWARDS SUMMARY
FY 2006-2007</t>
  </si>
  <si>
    <t>2007</t>
  </si>
  <si>
    <t xml:space="preserve">April </t>
  </si>
  <si>
    <t>TOTAL AWARDS BY COLLEGE FOR FY 2006-2007</t>
  </si>
  <si>
    <t xml:space="preserve">TOTAL AWARDS BY CATEGORY FOR FY 2006-2007  </t>
  </si>
  <si>
    <t>USRC AWARDS SUMMARY
FY 2007-2008</t>
  </si>
  <si>
    <t>2008</t>
  </si>
  <si>
    <t>TOTAL AWARDS BY COLLEGE FOR FY 2007-2008</t>
  </si>
  <si>
    <t xml:space="preserve">TOTAL AWARDS BY CATEGORY FOR FY 2007-2008  </t>
  </si>
  <si>
    <t>2005-2006</t>
  </si>
  <si>
    <t>2006-2007</t>
  </si>
  <si>
    <t>2007-2008</t>
  </si>
  <si>
    <t>AY</t>
  </si>
  <si>
    <t>`</t>
  </si>
  <si>
    <t>University Senate Research Committee Small Grant Proposals and Awards</t>
  </si>
  <si>
    <t>USRC AWARDS SUMMARY
FY 2008-2009</t>
  </si>
  <si>
    <t>2009</t>
  </si>
  <si>
    <t>April</t>
  </si>
  <si>
    <t>TOTAL AWARDS BY COLLEGE FOR FY 2008-2009</t>
  </si>
  <si>
    <t xml:space="preserve">TOTAL AWARDS BY CATEGORY FOR FY 2008-2009  </t>
  </si>
  <si>
    <t>2008-2009</t>
  </si>
  <si>
    <t>Coop. Pgms Industry/Community</t>
  </si>
  <si>
    <t>Awards by Category</t>
  </si>
  <si>
    <t>Amount Awarded by Category</t>
  </si>
  <si>
    <t>USRC AWARDS SUMMARY
FY 2009-2010</t>
  </si>
  <si>
    <t>2010</t>
  </si>
  <si>
    <t>TOTAL AWARDS BY COLLEGE FOR FY 2009-2010</t>
  </si>
  <si>
    <t>TOTAL AWARDS BY CATEGORY FOR FY 2009-2010</t>
  </si>
  <si>
    <t>Cooperative Programs</t>
  </si>
  <si>
    <t>Research and Scholarship</t>
  </si>
  <si>
    <t>International Presentations</t>
  </si>
  <si>
    <t>Presentations within the United States</t>
  </si>
  <si>
    <t>2009-2010</t>
  </si>
  <si>
    <t>USRC AWARDS SUMMARY
2010-2011</t>
  </si>
  <si>
    <t>TOTAL AWARDS BY COLLEGE FOR 2010-2011</t>
  </si>
  <si>
    <t>TOTAL AWARDS BY CATEGORY FOR 2010-2011</t>
  </si>
  <si>
    <t>2011</t>
  </si>
  <si>
    <t>2010-2011</t>
  </si>
  <si>
    <t>2005-2006 through 2011-2012</t>
  </si>
  <si>
    <t>2011-2012</t>
  </si>
  <si>
    <t>USRC AWARDS SUMMARY
2011-2012</t>
  </si>
  <si>
    <t>2012</t>
  </si>
  <si>
    <t>TOTAL AWARDS BY COLLEGE FOR 2011-2012</t>
  </si>
  <si>
    <t>TOTAL AWARDS BY CATEGORY FOR 2011-2012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</si>
</sst>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7" formatCode="&quot;$&quot;#,##0.00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8">
    <xf numFmtId="0" fontId="0" fillId="0" borderId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0" fontId="5" fillId="0" borderId="0"/>
    <xf numFmtId="0" fontId="3" fillId="0" borderId="0"/>
    <xf numFmtId="0" fontId="7" fillId="0" borderId="0"/>
    <xf numFmtId="0" fontId="6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8" fillId="0" borderId="0"/>
    <xf numFmtId="0" fontId="7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39">
    <xf numFmtId="0" fontId="0" fillId="0" borderId="0" xfId="0"/>
    <xf numFmtId="49" fontId="2" fillId="0" borderId="1" xfId="0" applyNumberFormat="1" applyFont="1" applyBorder="1"/>
    <xf numFmtId="49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3" fillId="0" borderId="2" xfId="23" applyFont="1" applyBorder="1" applyAlignment="1">
      <alignment horizontal="center"/>
    </xf>
    <xf numFmtId="44" fontId="3" fillId="0" borderId="2" xfId="0" applyNumberFormat="1" applyFont="1" applyBorder="1" applyAlignment="1">
      <alignment horizontal="center"/>
    </xf>
    <xf numFmtId="44" fontId="3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0" fontId="3" fillId="0" borderId="5" xfId="0" applyFont="1" applyBorder="1" applyAlignment="1">
      <alignment horizontal="center"/>
    </xf>
    <xf numFmtId="44" fontId="3" fillId="0" borderId="5" xfId="0" applyNumberFormat="1" applyFont="1" applyBorder="1" applyAlignment="1">
      <alignment horizontal="center"/>
    </xf>
    <xf numFmtId="44" fontId="3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1" fillId="0" borderId="6" xfId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44" fontId="3" fillId="0" borderId="8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4" fontId="3" fillId="0" borderId="11" xfId="0" applyNumberFormat="1" applyFont="1" applyBorder="1" applyAlignment="1">
      <alignment horizontal="center"/>
    </xf>
    <xf numFmtId="0" fontId="0" fillId="0" borderId="0" xfId="0" applyBorder="1"/>
    <xf numFmtId="0" fontId="2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5" xfId="0" applyFont="1" applyFill="1" applyBorder="1"/>
    <xf numFmtId="44" fontId="0" fillId="0" borderId="0" xfId="0" applyNumberFormat="1"/>
    <xf numFmtId="44" fontId="1" fillId="0" borderId="0" xfId="1"/>
    <xf numFmtId="0" fontId="2" fillId="2" borderId="16" xfId="0" applyFont="1" applyFill="1" applyBorder="1"/>
    <xf numFmtId="0" fontId="2" fillId="2" borderId="17" xfId="0" applyFont="1" applyFill="1" applyBorder="1" applyAlignment="1">
      <alignment horizontal="center"/>
    </xf>
    <xf numFmtId="10" fontId="2" fillId="2" borderId="17" xfId="0" applyNumberFormat="1" applyFont="1" applyFill="1" applyBorder="1" applyAlignment="1">
      <alignment horizontal="center"/>
    </xf>
    <xf numFmtId="44" fontId="2" fillId="2" borderId="17" xfId="0" applyNumberFormat="1" applyFont="1" applyFill="1" applyBorder="1" applyAlignment="1">
      <alignment horizontal="center"/>
    </xf>
    <xf numFmtId="44" fontId="2" fillId="2" borderId="18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4" fontId="3" fillId="0" borderId="3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44" fontId="3" fillId="0" borderId="6" xfId="0" applyNumberFormat="1" applyFont="1" applyFill="1" applyBorder="1" applyAlignment="1">
      <alignment horizontal="center"/>
    </xf>
    <xf numFmtId="44" fontId="3" fillId="0" borderId="0" xfId="0" applyNumberFormat="1" applyFont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44" fontId="3" fillId="0" borderId="0" xfId="0" applyNumberFormat="1" applyFont="1" applyFill="1" applyBorder="1" applyAlignment="1">
      <alignment horizontal="center"/>
    </xf>
    <xf numFmtId="44" fontId="3" fillId="0" borderId="0" xfId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7" fontId="0" fillId="0" borderId="0" xfId="0" applyNumberFormat="1" applyBorder="1"/>
    <xf numFmtId="167" fontId="0" fillId="0" borderId="0" xfId="0" applyNumberFormat="1" applyFill="1" applyBorder="1"/>
    <xf numFmtId="0" fontId="0" fillId="0" borderId="0" xfId="0" applyFill="1" applyBorder="1"/>
    <xf numFmtId="0" fontId="4" fillId="0" borderId="0" xfId="0" applyFont="1" applyBorder="1"/>
    <xf numFmtId="167" fontId="4" fillId="0" borderId="0" xfId="0" applyNumberFormat="1" applyFont="1" applyFill="1" applyBorder="1"/>
    <xf numFmtId="9" fontId="0" fillId="0" borderId="0" xfId="0" applyNumberFormat="1" applyBorder="1"/>
    <xf numFmtId="9" fontId="3" fillId="0" borderId="0" xfId="23" applyFont="1" applyFill="1" applyBorder="1" applyAlignment="1">
      <alignment horizontal="center"/>
    </xf>
    <xf numFmtId="44" fontId="0" fillId="0" borderId="0" xfId="0" applyNumberForma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44" fontId="3" fillId="0" borderId="0" xfId="0" applyNumberFormat="1" applyFont="1" applyFill="1" applyBorder="1"/>
    <xf numFmtId="44" fontId="0" fillId="0" borderId="10" xfId="0" applyNumberFormat="1" applyBorder="1" applyAlignment="1">
      <alignment horizontal="center"/>
    </xf>
    <xf numFmtId="44" fontId="0" fillId="0" borderId="11" xfId="0" applyNumberFormat="1" applyBorder="1" applyAlignment="1">
      <alignment horizontal="center"/>
    </xf>
    <xf numFmtId="44" fontId="0" fillId="3" borderId="16" xfId="0" applyNumberFormat="1" applyFill="1" applyBorder="1" applyAlignment="1">
      <alignment horizontal="center"/>
    </xf>
    <xf numFmtId="10" fontId="3" fillId="0" borderId="2" xfId="23" applyNumberFormat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5" fillId="0" borderId="2" xfId="11" applyBorder="1" applyAlignment="1">
      <alignment horizontal="center"/>
    </xf>
    <xf numFmtId="0" fontId="5" fillId="0" borderId="5" xfId="11" applyFill="1" applyBorder="1" applyAlignment="1">
      <alignment horizontal="center"/>
    </xf>
    <xf numFmtId="0" fontId="5" fillId="0" borderId="10" xfId="11" applyFill="1" applyBorder="1" applyAlignment="1">
      <alignment horizontal="center"/>
    </xf>
    <xf numFmtId="0" fontId="6" fillId="0" borderId="0" xfId="10"/>
    <xf numFmtId="0" fontId="2" fillId="2" borderId="12" xfId="10" applyFont="1" applyFill="1" applyBorder="1"/>
    <xf numFmtId="0" fontId="2" fillId="2" borderId="13" xfId="10" applyFont="1" applyFill="1" applyBorder="1" applyAlignment="1">
      <alignment horizontal="center"/>
    </xf>
    <xf numFmtId="0" fontId="2" fillId="2" borderId="13" xfId="10" applyFont="1" applyFill="1" applyBorder="1" applyAlignment="1">
      <alignment horizontal="center" wrapText="1"/>
    </xf>
    <xf numFmtId="0" fontId="2" fillId="2" borderId="14" xfId="10" applyFont="1" applyFill="1" applyBorder="1" applyAlignment="1">
      <alignment horizontal="center"/>
    </xf>
    <xf numFmtId="0" fontId="2" fillId="2" borderId="14" xfId="10" applyFont="1" applyFill="1" applyBorder="1"/>
    <xf numFmtId="0" fontId="2" fillId="2" borderId="15" xfId="10" applyFont="1" applyFill="1" applyBorder="1"/>
    <xf numFmtId="49" fontId="2" fillId="0" borderId="1" xfId="10" applyNumberFormat="1" applyFont="1" applyBorder="1"/>
    <xf numFmtId="49" fontId="2" fillId="0" borderId="2" xfId="10" applyNumberFormat="1" applyFont="1" applyBorder="1" applyAlignment="1">
      <alignment horizontal="center"/>
    </xf>
    <xf numFmtId="0" fontId="3" fillId="0" borderId="2" xfId="10" applyFont="1" applyBorder="1" applyAlignment="1">
      <alignment horizontal="center"/>
    </xf>
    <xf numFmtId="10" fontId="3" fillId="0" borderId="2" xfId="24" applyNumberFormat="1" applyFont="1" applyBorder="1" applyAlignment="1">
      <alignment horizontal="center"/>
    </xf>
    <xf numFmtId="44" fontId="3" fillId="0" borderId="2" xfId="10" applyNumberFormat="1" applyFont="1" applyBorder="1" applyAlignment="1">
      <alignment horizontal="center"/>
    </xf>
    <xf numFmtId="44" fontId="3" fillId="0" borderId="3" xfId="10" applyNumberFormat="1" applyFont="1" applyBorder="1" applyAlignment="1">
      <alignment horizontal="center"/>
    </xf>
    <xf numFmtId="44" fontId="6" fillId="0" borderId="0" xfId="10" applyNumberFormat="1"/>
    <xf numFmtId="49" fontId="2" fillId="0" borderId="4" xfId="10" applyNumberFormat="1" applyFont="1" applyBorder="1"/>
    <xf numFmtId="0" fontId="3" fillId="0" borderId="5" xfId="10" applyFont="1" applyBorder="1" applyAlignment="1">
      <alignment horizontal="center"/>
    </xf>
    <xf numFmtId="44" fontId="3" fillId="0" borderId="5" xfId="10" applyNumberFormat="1" applyFont="1" applyBorder="1" applyAlignment="1">
      <alignment horizontal="center"/>
    </xf>
    <xf numFmtId="44" fontId="3" fillId="0" borderId="6" xfId="10" applyNumberFormat="1" applyFont="1" applyBorder="1" applyAlignment="1">
      <alignment horizontal="center"/>
    </xf>
    <xf numFmtId="0" fontId="6" fillId="0" borderId="5" xfId="10" applyBorder="1" applyAlignment="1">
      <alignment horizontal="center"/>
    </xf>
    <xf numFmtId="44" fontId="6" fillId="0" borderId="5" xfId="10" applyNumberFormat="1" applyBorder="1" applyAlignment="1">
      <alignment horizontal="center"/>
    </xf>
    <xf numFmtId="44" fontId="6" fillId="0" borderId="6" xfId="2" applyFont="1" applyBorder="1" applyAlignment="1">
      <alignment horizontal="center"/>
    </xf>
    <xf numFmtId="44" fontId="6" fillId="0" borderId="6" xfId="10" applyNumberFormat="1" applyBorder="1" applyAlignment="1">
      <alignment horizontal="center"/>
    </xf>
    <xf numFmtId="44" fontId="6" fillId="0" borderId="0" xfId="2" applyFont="1"/>
    <xf numFmtId="0" fontId="2" fillId="2" borderId="16" xfId="10" applyFont="1" applyFill="1" applyBorder="1"/>
    <xf numFmtId="0" fontId="2" fillId="2" borderId="17" xfId="10" applyFont="1" applyFill="1" applyBorder="1" applyAlignment="1">
      <alignment horizontal="center"/>
    </xf>
    <xf numFmtId="10" fontId="2" fillId="2" borderId="17" xfId="10" applyNumberFormat="1" applyFont="1" applyFill="1" applyBorder="1" applyAlignment="1">
      <alignment horizontal="center"/>
    </xf>
    <xf numFmtId="44" fontId="2" fillId="2" borderId="17" xfId="10" applyNumberFormat="1" applyFont="1" applyFill="1" applyBorder="1" applyAlignment="1">
      <alignment horizontal="center"/>
    </xf>
    <xf numFmtId="44" fontId="2" fillId="2" borderId="18" xfId="10" applyNumberFormat="1" applyFont="1" applyFill="1" applyBorder="1" applyAlignment="1">
      <alignment horizontal="center"/>
    </xf>
    <xf numFmtId="0" fontId="2" fillId="2" borderId="15" xfId="10" applyFont="1" applyFill="1" applyBorder="1" applyAlignment="1">
      <alignment horizontal="center"/>
    </xf>
    <xf numFmtId="0" fontId="6" fillId="0" borderId="2" xfId="10" applyFill="1" applyBorder="1" applyAlignment="1">
      <alignment horizontal="center"/>
    </xf>
    <xf numFmtId="44" fontId="3" fillId="0" borderId="3" xfId="10" applyNumberFormat="1" applyFont="1" applyFill="1" applyBorder="1" applyAlignment="1">
      <alignment horizontal="center"/>
    </xf>
    <xf numFmtId="0" fontId="6" fillId="0" borderId="5" xfId="10" applyFill="1" applyBorder="1" applyAlignment="1">
      <alignment horizontal="center"/>
    </xf>
    <xf numFmtId="44" fontId="3" fillId="0" borderId="6" xfId="10" applyNumberFormat="1" applyFont="1" applyFill="1" applyBorder="1" applyAlignment="1">
      <alignment horizontal="center"/>
    </xf>
    <xf numFmtId="0" fontId="6" fillId="0" borderId="7" xfId="10" applyBorder="1" applyAlignment="1">
      <alignment horizontal="center"/>
    </xf>
    <xf numFmtId="44" fontId="3" fillId="0" borderId="8" xfId="10" applyNumberFormat="1" applyFont="1" applyBorder="1" applyAlignment="1">
      <alignment horizontal="center"/>
    </xf>
    <xf numFmtId="0" fontId="2" fillId="2" borderId="19" xfId="10" applyFont="1" applyFill="1" applyBorder="1" applyAlignment="1">
      <alignment horizontal="center"/>
    </xf>
    <xf numFmtId="0" fontId="6" fillId="0" borderId="1" xfId="10" applyBorder="1" applyAlignment="1">
      <alignment horizontal="center"/>
    </xf>
    <xf numFmtId="0" fontId="6" fillId="0" borderId="2" xfId="10" applyBorder="1" applyAlignment="1">
      <alignment horizontal="center"/>
    </xf>
    <xf numFmtId="0" fontId="6" fillId="0" borderId="2" xfId="14" applyBorder="1" applyAlignment="1">
      <alignment horizontal="center"/>
    </xf>
    <xf numFmtId="0" fontId="6" fillId="0" borderId="4" xfId="10" applyBorder="1" applyAlignment="1">
      <alignment horizontal="center"/>
    </xf>
    <xf numFmtId="0" fontId="6" fillId="0" borderId="5" xfId="14" applyFill="1" applyBorder="1" applyAlignment="1">
      <alignment horizontal="center"/>
    </xf>
    <xf numFmtId="44" fontId="3" fillId="0" borderId="6" xfId="11" applyNumberFormat="1" applyFont="1" applyFill="1" applyBorder="1" applyAlignment="1">
      <alignment horizontal="center"/>
    </xf>
    <xf numFmtId="0" fontId="6" fillId="0" borderId="9" xfId="10" applyBorder="1" applyAlignment="1">
      <alignment horizontal="center"/>
    </xf>
    <xf numFmtId="0" fontId="6" fillId="0" borderId="10" xfId="10" applyFill="1" applyBorder="1" applyAlignment="1">
      <alignment horizontal="center"/>
    </xf>
    <xf numFmtId="0" fontId="6" fillId="0" borderId="10" xfId="14" applyFill="1" applyBorder="1" applyAlignment="1">
      <alignment horizontal="center"/>
    </xf>
    <xf numFmtId="44" fontId="3" fillId="0" borderId="11" xfId="11" applyNumberFormat="1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7" xfId="11" applyFill="1" applyBorder="1" applyAlignment="1">
      <alignment horizontal="center"/>
    </xf>
    <xf numFmtId="44" fontId="2" fillId="2" borderId="21" xfId="0" applyNumberFormat="1" applyFont="1" applyFill="1" applyBorder="1" applyAlignment="1">
      <alignment horizontal="center"/>
    </xf>
    <xf numFmtId="44" fontId="2" fillId="2" borderId="21" xfId="10" applyNumberFormat="1" applyFont="1" applyFill="1" applyBorder="1" applyAlignment="1">
      <alignment horizontal="center"/>
    </xf>
    <xf numFmtId="44" fontId="3" fillId="0" borderId="8" xfId="11" applyNumberFormat="1" applyFont="1" applyBorder="1" applyAlignment="1">
      <alignment horizontal="center"/>
    </xf>
    <xf numFmtId="0" fontId="2" fillId="2" borderId="22" xfId="0" applyFont="1" applyFill="1" applyBorder="1" applyAlignment="1">
      <alignment horizontal="right"/>
    </xf>
    <xf numFmtId="0" fontId="2" fillId="2" borderId="23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center"/>
    </xf>
    <xf numFmtId="0" fontId="2" fillId="3" borderId="14" xfId="0" applyFont="1" applyFill="1" applyBorder="1"/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5" xfId="0" applyFont="1" applyFill="1" applyBorder="1"/>
    <xf numFmtId="44" fontId="2" fillId="3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44" fontId="3" fillId="3" borderId="16" xfId="0" applyNumberFormat="1" applyFont="1" applyFill="1" applyBorder="1" applyAlignment="1">
      <alignment horizontal="center"/>
    </xf>
    <xf numFmtId="44" fontId="2" fillId="3" borderId="18" xfId="0" applyNumberFormat="1" applyFont="1" applyFill="1" applyBorder="1" applyAlignment="1">
      <alignment horizontal="center"/>
    </xf>
    <xf numFmtId="10" fontId="2" fillId="2" borderId="24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49" fontId="2" fillId="2" borderId="15" xfId="0" applyNumberFormat="1" applyFont="1" applyFill="1" applyBorder="1" applyAlignment="1">
      <alignment horizontal="center"/>
    </xf>
    <xf numFmtId="44" fontId="3" fillId="0" borderId="3" xfId="1" applyFont="1" applyFill="1" applyBorder="1" applyAlignment="1">
      <alignment horizontal="center"/>
    </xf>
    <xf numFmtId="44" fontId="3" fillId="0" borderId="6" xfId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7" fillId="0" borderId="0" xfId="10" applyFont="1"/>
    <xf numFmtId="44" fontId="7" fillId="0" borderId="0" xfId="10" applyNumberFormat="1" applyFont="1"/>
    <xf numFmtId="0" fontId="7" fillId="0" borderId="5" xfId="10" applyFont="1" applyBorder="1" applyAlignment="1">
      <alignment horizontal="center"/>
    </xf>
    <xf numFmtId="44" fontId="7" fillId="0" borderId="5" xfId="10" applyNumberFormat="1" applyFont="1" applyBorder="1" applyAlignment="1">
      <alignment horizontal="center"/>
    </xf>
    <xf numFmtId="44" fontId="7" fillId="0" borderId="6" xfId="2" applyFont="1" applyBorder="1" applyAlignment="1">
      <alignment horizontal="center"/>
    </xf>
    <xf numFmtId="44" fontId="7" fillId="0" borderId="6" xfId="10" applyNumberFormat="1" applyFont="1" applyBorder="1" applyAlignment="1">
      <alignment horizontal="center"/>
    </xf>
    <xf numFmtId="44" fontId="7" fillId="0" borderId="0" xfId="2" applyFont="1"/>
    <xf numFmtId="0" fontId="7" fillId="0" borderId="2" xfId="10" applyFont="1" applyFill="1" applyBorder="1" applyAlignment="1">
      <alignment horizontal="center"/>
    </xf>
    <xf numFmtId="0" fontId="7" fillId="0" borderId="5" xfId="10" applyFont="1" applyFill="1" applyBorder="1" applyAlignment="1">
      <alignment horizontal="center"/>
    </xf>
    <xf numFmtId="0" fontId="7" fillId="0" borderId="7" xfId="10" applyFont="1" applyBorder="1" applyAlignment="1">
      <alignment horizontal="center"/>
    </xf>
    <xf numFmtId="0" fontId="7" fillId="0" borderId="1" xfId="10" applyFont="1" applyBorder="1" applyAlignment="1">
      <alignment horizontal="center"/>
    </xf>
    <xf numFmtId="0" fontId="7" fillId="0" borderId="2" xfId="10" applyFont="1" applyBorder="1" applyAlignment="1">
      <alignment horizontal="center"/>
    </xf>
    <xf numFmtId="0" fontId="7" fillId="0" borderId="2" xfId="14" applyFont="1" applyBorder="1" applyAlignment="1">
      <alignment horizontal="center"/>
    </xf>
    <xf numFmtId="0" fontId="7" fillId="0" borderId="4" xfId="10" applyFont="1" applyBorder="1" applyAlignment="1">
      <alignment horizontal="center"/>
    </xf>
    <xf numFmtId="0" fontId="7" fillId="0" borderId="5" xfId="14" applyFont="1" applyFill="1" applyBorder="1" applyAlignment="1">
      <alignment horizontal="center"/>
    </xf>
    <xf numFmtId="0" fontId="7" fillId="0" borderId="9" xfId="10" applyFont="1" applyBorder="1" applyAlignment="1">
      <alignment horizontal="center"/>
    </xf>
    <xf numFmtId="0" fontId="7" fillId="0" borderId="10" xfId="10" applyFont="1" applyFill="1" applyBorder="1" applyAlignment="1">
      <alignment horizontal="center"/>
    </xf>
    <xf numFmtId="0" fontId="7" fillId="0" borderId="10" xfId="14" applyFont="1" applyFill="1" applyBorder="1" applyAlignment="1">
      <alignment horizontal="center"/>
    </xf>
    <xf numFmtId="44" fontId="0" fillId="0" borderId="0" xfId="1" applyFont="1"/>
    <xf numFmtId="0" fontId="3" fillId="0" borderId="25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44" fontId="3" fillId="0" borderId="21" xfId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3" fillId="0" borderId="28" xfId="10" applyFont="1" applyFill="1" applyBorder="1" applyAlignment="1">
      <alignment horizontal="center"/>
    </xf>
    <xf numFmtId="0" fontId="3" fillId="0" borderId="29" xfId="10" applyFont="1" applyFill="1" applyBorder="1" applyAlignment="1">
      <alignment horizontal="center"/>
    </xf>
    <xf numFmtId="0" fontId="3" fillId="0" borderId="30" xfId="10" applyFont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3" fillId="0" borderId="3" xfId="15" applyBorder="1" applyAlignment="1">
      <alignment horizontal="center"/>
    </xf>
    <xf numFmtId="0" fontId="3" fillId="0" borderId="6" xfId="15" applyFill="1" applyBorder="1" applyAlignment="1">
      <alignment horizontal="center"/>
    </xf>
    <xf numFmtId="0" fontId="3" fillId="0" borderId="8" xfId="15" applyFill="1" applyBorder="1" applyAlignment="1">
      <alignment horizontal="center"/>
    </xf>
    <xf numFmtId="0" fontId="2" fillId="3" borderId="15" xfId="12" applyFont="1" applyFill="1" applyBorder="1" applyAlignment="1">
      <alignment horizontal="center"/>
    </xf>
    <xf numFmtId="44" fontId="2" fillId="2" borderId="18" xfId="12" applyNumberFormat="1" applyFont="1" applyFill="1" applyBorder="1" applyAlignment="1">
      <alignment horizontal="center"/>
    </xf>
    <xf numFmtId="44" fontId="3" fillId="0" borderId="3" xfId="12" applyNumberFormat="1" applyFont="1" applyFill="1" applyBorder="1" applyAlignment="1">
      <alignment horizontal="center"/>
    </xf>
    <xf numFmtId="44" fontId="3" fillId="0" borderId="6" xfId="12" applyNumberFormat="1" applyFont="1" applyFill="1" applyBorder="1" applyAlignment="1">
      <alignment horizontal="center"/>
    </xf>
    <xf numFmtId="44" fontId="3" fillId="0" borderId="11" xfId="12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4" fontId="3" fillId="0" borderId="0" xfId="1" applyFont="1" applyFill="1" applyBorder="1" applyAlignment="1">
      <alignment horizontal="center"/>
    </xf>
    <xf numFmtId="0" fontId="2" fillId="2" borderId="17" xfId="18" applyFont="1" applyFill="1" applyBorder="1" applyAlignment="1">
      <alignment horizontal="center"/>
    </xf>
    <xf numFmtId="44" fontId="2" fillId="2" borderId="18" xfId="13" applyNumberFormat="1" applyFont="1" applyFill="1" applyBorder="1" applyAlignment="1">
      <alignment horizontal="center"/>
    </xf>
    <xf numFmtId="0" fontId="7" fillId="0" borderId="0" xfId="13"/>
    <xf numFmtId="0" fontId="2" fillId="2" borderId="12" xfId="13" applyFont="1" applyFill="1" applyBorder="1"/>
    <xf numFmtId="0" fontId="2" fillId="2" borderId="13" xfId="13" applyFont="1" applyFill="1" applyBorder="1" applyAlignment="1">
      <alignment horizontal="center"/>
    </xf>
    <xf numFmtId="0" fontId="2" fillId="2" borderId="13" xfId="13" applyFont="1" applyFill="1" applyBorder="1" applyAlignment="1">
      <alignment horizontal="center" wrapText="1"/>
    </xf>
    <xf numFmtId="0" fontId="2" fillId="2" borderId="14" xfId="13" applyFont="1" applyFill="1" applyBorder="1" applyAlignment="1">
      <alignment horizontal="center"/>
    </xf>
    <xf numFmtId="0" fontId="2" fillId="2" borderId="14" xfId="13" applyFont="1" applyFill="1" applyBorder="1"/>
    <xf numFmtId="0" fontId="2" fillId="2" borderId="15" xfId="13" applyFont="1" applyFill="1" applyBorder="1"/>
    <xf numFmtId="49" fontId="2" fillId="0" borderId="1" xfId="13" applyNumberFormat="1" applyFont="1" applyBorder="1"/>
    <xf numFmtId="49" fontId="2" fillId="0" borderId="2" xfId="13" applyNumberFormat="1" applyFont="1" applyBorder="1" applyAlignment="1">
      <alignment horizontal="center"/>
    </xf>
    <xf numFmtId="0" fontId="3" fillId="0" borderId="2" xfId="13" applyFont="1" applyBorder="1" applyAlignment="1">
      <alignment horizontal="center"/>
    </xf>
    <xf numFmtId="10" fontId="3" fillId="0" borderId="2" xfId="26" applyNumberFormat="1" applyFont="1" applyBorder="1" applyAlignment="1">
      <alignment horizontal="center"/>
    </xf>
    <xf numFmtId="44" fontId="3" fillId="0" borderId="2" xfId="13" applyNumberFormat="1" applyFont="1" applyBorder="1" applyAlignment="1">
      <alignment horizontal="center"/>
    </xf>
    <xf numFmtId="44" fontId="3" fillId="0" borderId="3" xfId="13" applyNumberFormat="1" applyFont="1" applyBorder="1" applyAlignment="1">
      <alignment horizontal="center"/>
    </xf>
    <xf numFmtId="44" fontId="7" fillId="0" borderId="0" xfId="13" applyNumberFormat="1"/>
    <xf numFmtId="49" fontId="2" fillId="0" borderId="4" xfId="13" applyNumberFormat="1" applyFont="1" applyBorder="1"/>
    <xf numFmtId="0" fontId="3" fillId="0" borderId="5" xfId="13" applyFont="1" applyBorder="1" applyAlignment="1">
      <alignment horizontal="center"/>
    </xf>
    <xf numFmtId="44" fontId="3" fillId="0" borderId="5" xfId="13" applyNumberFormat="1" applyFont="1" applyBorder="1" applyAlignment="1">
      <alignment horizontal="center"/>
    </xf>
    <xf numFmtId="44" fontId="3" fillId="0" borderId="6" xfId="13" applyNumberFormat="1" applyFont="1" applyBorder="1" applyAlignment="1">
      <alignment horizontal="center"/>
    </xf>
    <xf numFmtId="0" fontId="7" fillId="0" borderId="5" xfId="13" applyBorder="1" applyAlignment="1">
      <alignment horizontal="center"/>
    </xf>
    <xf numFmtId="44" fontId="7" fillId="0" borderId="5" xfId="13" applyNumberFormat="1" applyBorder="1" applyAlignment="1">
      <alignment horizontal="center"/>
    </xf>
    <xf numFmtId="44" fontId="7" fillId="0" borderId="6" xfId="4" applyFont="1" applyBorder="1" applyAlignment="1">
      <alignment horizontal="center"/>
    </xf>
    <xf numFmtId="44" fontId="7" fillId="0" borderId="6" xfId="13" applyNumberFormat="1" applyBorder="1" applyAlignment="1">
      <alignment horizontal="center"/>
    </xf>
    <xf numFmtId="44" fontId="7" fillId="0" borderId="0" xfId="4" applyFont="1"/>
    <xf numFmtId="0" fontId="2" fillId="2" borderId="16" xfId="13" applyFont="1" applyFill="1" applyBorder="1"/>
    <xf numFmtId="0" fontId="2" fillId="2" borderId="17" xfId="13" applyFont="1" applyFill="1" applyBorder="1" applyAlignment="1">
      <alignment horizontal="center"/>
    </xf>
    <xf numFmtId="10" fontId="2" fillId="2" borderId="17" xfId="13" applyNumberFormat="1" applyFont="1" applyFill="1" applyBorder="1" applyAlignment="1">
      <alignment horizontal="center"/>
    </xf>
    <xf numFmtId="44" fontId="2" fillId="2" borderId="17" xfId="13" applyNumberFormat="1" applyFont="1" applyFill="1" applyBorder="1" applyAlignment="1">
      <alignment horizontal="center"/>
    </xf>
    <xf numFmtId="0" fontId="2" fillId="2" borderId="15" xfId="13" applyFont="1" applyFill="1" applyBorder="1" applyAlignment="1">
      <alignment horizontal="center"/>
    </xf>
    <xf numFmtId="0" fontId="7" fillId="0" borderId="2" xfId="13" applyFill="1" applyBorder="1" applyAlignment="1">
      <alignment horizontal="center"/>
    </xf>
    <xf numFmtId="44" fontId="3" fillId="0" borderId="3" xfId="13" applyNumberFormat="1" applyFont="1" applyFill="1" applyBorder="1" applyAlignment="1">
      <alignment horizontal="center"/>
    </xf>
    <xf numFmtId="0" fontId="7" fillId="0" borderId="5" xfId="13" applyFill="1" applyBorder="1" applyAlignment="1">
      <alignment horizontal="center"/>
    </xf>
    <xf numFmtId="44" fontId="3" fillId="0" borderId="6" xfId="13" applyNumberFormat="1" applyFont="1" applyFill="1" applyBorder="1" applyAlignment="1">
      <alignment horizontal="center"/>
    </xf>
    <xf numFmtId="0" fontId="7" fillId="0" borderId="7" xfId="13" applyBorder="1" applyAlignment="1">
      <alignment horizontal="center"/>
    </xf>
    <xf numFmtId="44" fontId="3" fillId="0" borderId="8" xfId="13" applyNumberFormat="1" applyFont="1" applyBorder="1" applyAlignment="1">
      <alignment horizontal="center"/>
    </xf>
    <xf numFmtId="0" fontId="2" fillId="2" borderId="19" xfId="13" applyFont="1" applyFill="1" applyBorder="1" applyAlignment="1">
      <alignment horizontal="center"/>
    </xf>
    <xf numFmtId="0" fontId="7" fillId="0" borderId="1" xfId="13" applyBorder="1" applyAlignment="1">
      <alignment horizontal="center"/>
    </xf>
    <xf numFmtId="0" fontId="7" fillId="0" borderId="2" xfId="13" applyBorder="1" applyAlignment="1">
      <alignment horizontal="center"/>
    </xf>
    <xf numFmtId="0" fontId="7" fillId="0" borderId="4" xfId="13" applyBorder="1" applyAlignment="1">
      <alignment horizontal="center"/>
    </xf>
    <xf numFmtId="0" fontId="7" fillId="0" borderId="9" xfId="13" applyBorder="1" applyAlignment="1">
      <alignment horizontal="center"/>
    </xf>
    <xf numFmtId="0" fontId="7" fillId="0" borderId="2" xfId="16" applyBorder="1" applyAlignment="1">
      <alignment horizontal="center"/>
    </xf>
    <xf numFmtId="44" fontId="3" fillId="0" borderId="11" xfId="13" applyNumberFormat="1" applyFont="1" applyBorder="1" applyAlignment="1">
      <alignment horizontal="center"/>
    </xf>
    <xf numFmtId="44" fontId="0" fillId="0" borderId="0" xfId="4" applyFont="1"/>
    <xf numFmtId="0" fontId="7" fillId="0" borderId="10" xfId="13" applyFill="1" applyBorder="1" applyAlignment="1">
      <alignment horizontal="center"/>
    </xf>
    <xf numFmtId="0" fontId="7" fillId="0" borderId="5" xfId="16" applyFill="1" applyBorder="1" applyAlignment="1">
      <alignment horizontal="center"/>
    </xf>
    <xf numFmtId="0" fontId="7" fillId="0" borderId="10" xfId="16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2" fillId="2" borderId="38" xfId="0" applyFont="1" applyFill="1" applyBorder="1" applyAlignment="1">
      <alignment horizontal="left"/>
    </xf>
    <xf numFmtId="0" fontId="2" fillId="2" borderId="39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center"/>
    </xf>
    <xf numFmtId="0" fontId="0" fillId="0" borderId="34" xfId="0" applyBorder="1" applyAlignment="1"/>
    <xf numFmtId="0" fontId="0" fillId="0" borderId="35" xfId="0" applyBorder="1" applyAlignment="1"/>
    <xf numFmtId="0" fontId="2" fillId="3" borderId="34" xfId="0" applyFont="1" applyFill="1" applyBorder="1" applyAlignment="1">
      <alignment horizontal="center"/>
    </xf>
    <xf numFmtId="0" fontId="0" fillId="3" borderId="34" xfId="0" applyFill="1" applyBorder="1" applyAlignment="1"/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2" fillId="0" borderId="33" xfId="0" applyFont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2" borderId="34" xfId="0" applyFont="1" applyFill="1" applyBorder="1" applyAlignment="1">
      <alignment horizontal="right"/>
    </xf>
    <xf numFmtId="0" fontId="2" fillId="2" borderId="42" xfId="0" applyFont="1" applyFill="1" applyBorder="1" applyAlignment="1">
      <alignment horizontal="right"/>
    </xf>
    <xf numFmtId="0" fontId="2" fillId="2" borderId="35" xfId="0" applyFont="1" applyFill="1" applyBorder="1" applyAlignment="1">
      <alignment horizontal="center"/>
    </xf>
    <xf numFmtId="0" fontId="2" fillId="3" borderId="12" xfId="0" applyFont="1" applyFill="1" applyBorder="1" applyAlignment="1"/>
    <xf numFmtId="0" fontId="0" fillId="3" borderId="14" xfId="0" applyFill="1" applyBorder="1" applyAlignment="1"/>
    <xf numFmtId="0" fontId="0" fillId="0" borderId="29" xfId="0" applyBorder="1" applyAlignment="1"/>
    <xf numFmtId="0" fontId="0" fillId="0" borderId="40" xfId="0" applyBorder="1" applyAlignment="1"/>
    <xf numFmtId="0" fontId="0" fillId="0" borderId="43" xfId="0" applyBorder="1" applyAlignment="1"/>
    <xf numFmtId="0" fontId="0" fillId="0" borderId="7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8" xfId="0" applyBorder="1" applyAlignment="1"/>
    <xf numFmtId="0" fontId="0" fillId="0" borderId="41" xfId="0" applyBorder="1" applyAlignment="1"/>
    <xf numFmtId="0" fontId="0" fillId="0" borderId="46" xfId="0" applyBorder="1" applyAlignment="1"/>
    <xf numFmtId="0" fontId="0" fillId="0" borderId="47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2" fillId="2" borderId="33" xfId="0" applyFont="1" applyFill="1" applyBorder="1" applyAlignment="1">
      <alignment horizontal="right"/>
    </xf>
    <xf numFmtId="0" fontId="2" fillId="2" borderId="19" xfId="0" applyFont="1" applyFill="1" applyBorder="1" applyAlignment="1"/>
    <xf numFmtId="0" fontId="2" fillId="2" borderId="48" xfId="0" applyFont="1" applyFill="1" applyBorder="1" applyAlignment="1"/>
    <xf numFmtId="0" fontId="2" fillId="2" borderId="13" xfId="0" applyFont="1" applyFill="1" applyBorder="1" applyAlignment="1"/>
    <xf numFmtId="0" fontId="0" fillId="0" borderId="36" xfId="0" applyBorder="1" applyAlignment="1"/>
    <xf numFmtId="0" fontId="0" fillId="0" borderId="49" xfId="0" applyBorder="1" applyAlignment="1"/>
    <xf numFmtId="0" fontId="0" fillId="0" borderId="37" xfId="0" applyBorder="1" applyAlignment="1"/>
    <xf numFmtId="0" fontId="0" fillId="0" borderId="30" xfId="0" applyBorder="1" applyAlignment="1"/>
    <xf numFmtId="0" fontId="3" fillId="0" borderId="50" xfId="0" applyFont="1" applyBorder="1" applyAlignment="1"/>
    <xf numFmtId="0" fontId="2" fillId="0" borderId="33" xfId="10" applyFont="1" applyBorder="1" applyAlignment="1">
      <alignment horizontal="center" wrapText="1"/>
    </xf>
    <xf numFmtId="0" fontId="2" fillId="0" borderId="34" xfId="10" applyFont="1" applyBorder="1" applyAlignment="1">
      <alignment horizontal="center" wrapText="1"/>
    </xf>
    <xf numFmtId="0" fontId="2" fillId="0" borderId="34" xfId="10" applyFont="1" applyBorder="1" applyAlignment="1">
      <alignment horizontal="center"/>
    </xf>
    <xf numFmtId="0" fontId="2" fillId="0" borderId="35" xfId="10" applyFont="1" applyBorder="1" applyAlignment="1">
      <alignment horizontal="center"/>
    </xf>
    <xf numFmtId="0" fontId="2" fillId="2" borderId="33" xfId="10" applyFont="1" applyFill="1" applyBorder="1" applyAlignment="1">
      <alignment horizontal="center"/>
    </xf>
    <xf numFmtId="0" fontId="2" fillId="2" borderId="34" xfId="10" applyFont="1" applyFill="1" applyBorder="1" applyAlignment="1">
      <alignment horizontal="center"/>
    </xf>
    <xf numFmtId="0" fontId="2" fillId="2" borderId="35" xfId="10" applyFont="1" applyFill="1" applyBorder="1" applyAlignment="1">
      <alignment horizontal="center"/>
    </xf>
    <xf numFmtId="0" fontId="2" fillId="2" borderId="19" xfId="10" applyFont="1" applyFill="1" applyBorder="1" applyAlignment="1"/>
    <xf numFmtId="0" fontId="2" fillId="2" borderId="48" xfId="10" applyFont="1" applyFill="1" applyBorder="1" applyAlignment="1"/>
    <xf numFmtId="0" fontId="2" fillId="2" borderId="13" xfId="10" applyFont="1" applyFill="1" applyBorder="1" applyAlignment="1"/>
    <xf numFmtId="0" fontId="6" fillId="0" borderId="52" xfId="10" applyBorder="1" applyAlignment="1"/>
    <xf numFmtId="0" fontId="6" fillId="0" borderId="53" xfId="10" applyBorder="1" applyAlignment="1"/>
    <xf numFmtId="0" fontId="6" fillId="0" borderId="51" xfId="10" applyBorder="1" applyAlignment="1"/>
    <xf numFmtId="0" fontId="6" fillId="0" borderId="46" xfId="10" applyBorder="1" applyAlignment="1"/>
    <xf numFmtId="0" fontId="6" fillId="0" borderId="47" xfId="10" applyBorder="1" applyAlignment="1"/>
    <xf numFmtId="0" fontId="6" fillId="0" borderId="40" xfId="10" applyBorder="1" applyAlignment="1"/>
    <xf numFmtId="0" fontId="6" fillId="0" borderId="36" xfId="10" applyBorder="1" applyAlignment="1"/>
    <xf numFmtId="0" fontId="6" fillId="0" borderId="49" xfId="10" applyBorder="1" applyAlignment="1"/>
    <xf numFmtId="0" fontId="6" fillId="0" borderId="37" xfId="10" applyBorder="1" applyAlignment="1"/>
    <xf numFmtId="0" fontId="2" fillId="2" borderId="33" xfId="10" applyFont="1" applyFill="1" applyBorder="1" applyAlignment="1">
      <alignment horizontal="right"/>
    </xf>
    <xf numFmtId="0" fontId="2" fillId="2" borderId="34" xfId="10" applyFont="1" applyFill="1" applyBorder="1" applyAlignment="1">
      <alignment horizontal="right"/>
    </xf>
    <xf numFmtId="0" fontId="2" fillId="2" borderId="42" xfId="10" applyFont="1" applyFill="1" applyBorder="1" applyAlignment="1">
      <alignment horizontal="right"/>
    </xf>
    <xf numFmtId="0" fontId="0" fillId="0" borderId="30" xfId="10" applyFont="1" applyBorder="1" applyAlignment="1"/>
    <xf numFmtId="0" fontId="0" fillId="0" borderId="50" xfId="10" applyFont="1" applyBorder="1" applyAlignment="1"/>
    <xf numFmtId="0" fontId="0" fillId="0" borderId="29" xfId="10" applyFont="1" applyBorder="1" applyAlignment="1"/>
    <xf numFmtId="0" fontId="6" fillId="0" borderId="29" xfId="10" applyBorder="1" applyAlignment="1"/>
    <xf numFmtId="0" fontId="7" fillId="0" borderId="52" xfId="10" applyFont="1" applyBorder="1" applyAlignment="1"/>
    <xf numFmtId="0" fontId="7" fillId="0" borderId="53" xfId="10" applyFont="1" applyBorder="1" applyAlignment="1"/>
    <xf numFmtId="0" fontId="7" fillId="0" borderId="51" xfId="10" applyFont="1" applyBorder="1" applyAlignment="1"/>
    <xf numFmtId="0" fontId="7" fillId="0" borderId="46" xfId="10" applyFont="1" applyBorder="1" applyAlignment="1"/>
    <xf numFmtId="0" fontId="7" fillId="0" borderId="47" xfId="10" applyFont="1" applyBorder="1" applyAlignment="1"/>
    <xf numFmtId="0" fontId="7" fillId="0" borderId="40" xfId="10" applyFont="1" applyBorder="1" applyAlignment="1"/>
    <xf numFmtId="0" fontId="7" fillId="0" borderId="36" xfId="10" applyFont="1" applyBorder="1" applyAlignment="1"/>
    <xf numFmtId="0" fontId="7" fillId="0" borderId="49" xfId="10" applyFont="1" applyBorder="1" applyAlignment="1"/>
    <xf numFmtId="0" fontId="7" fillId="0" borderId="37" xfId="10" applyFont="1" applyBorder="1" applyAlignment="1"/>
    <xf numFmtId="0" fontId="7" fillId="0" borderId="29" xfId="10" applyFont="1" applyBorder="1" applyAlignment="1"/>
    <xf numFmtId="0" fontId="2" fillId="0" borderId="33" xfId="13" applyFont="1" applyBorder="1" applyAlignment="1">
      <alignment horizontal="center" wrapText="1"/>
    </xf>
    <xf numFmtId="0" fontId="2" fillId="0" borderId="34" xfId="13" applyFont="1" applyBorder="1" applyAlignment="1">
      <alignment horizontal="center" wrapText="1"/>
    </xf>
    <xf numFmtId="0" fontId="2" fillId="0" borderId="34" xfId="13" applyFont="1" applyBorder="1" applyAlignment="1">
      <alignment horizontal="center"/>
    </xf>
    <xf numFmtId="0" fontId="2" fillId="0" borderId="35" xfId="13" applyFont="1" applyBorder="1" applyAlignment="1">
      <alignment horizontal="center"/>
    </xf>
    <xf numFmtId="0" fontId="7" fillId="0" borderId="46" xfId="13" applyBorder="1" applyAlignment="1"/>
    <xf numFmtId="0" fontId="7" fillId="0" borderId="47" xfId="13" applyBorder="1" applyAlignment="1"/>
    <xf numFmtId="0" fontId="7" fillId="0" borderId="40" xfId="13" applyBorder="1" applyAlignment="1"/>
    <xf numFmtId="0" fontId="2" fillId="2" borderId="33" xfId="13" applyFont="1" applyFill="1" applyBorder="1" applyAlignment="1">
      <alignment horizontal="center"/>
    </xf>
    <xf numFmtId="0" fontId="2" fillId="2" borderId="34" xfId="13" applyFont="1" applyFill="1" applyBorder="1" applyAlignment="1">
      <alignment horizontal="center"/>
    </xf>
    <xf numFmtId="0" fontId="2" fillId="2" borderId="35" xfId="13" applyFont="1" applyFill="1" applyBorder="1" applyAlignment="1">
      <alignment horizontal="center"/>
    </xf>
    <xf numFmtId="0" fontId="7" fillId="0" borderId="52" xfId="13" applyBorder="1" applyAlignment="1"/>
    <xf numFmtId="0" fontId="7" fillId="0" borderId="53" xfId="13" applyBorder="1" applyAlignment="1"/>
    <xf numFmtId="0" fontId="7" fillId="0" borderId="51" xfId="13" applyBorder="1" applyAlignment="1"/>
    <xf numFmtId="0" fontId="2" fillId="2" borderId="33" xfId="13" applyFont="1" applyFill="1" applyBorder="1" applyAlignment="1">
      <alignment horizontal="right"/>
    </xf>
    <xf numFmtId="0" fontId="2" fillId="2" borderId="34" xfId="13" applyFont="1" applyFill="1" applyBorder="1" applyAlignment="1">
      <alignment horizontal="right"/>
    </xf>
    <xf numFmtId="0" fontId="2" fillId="2" borderId="42" xfId="13" applyFont="1" applyFill="1" applyBorder="1" applyAlignment="1">
      <alignment horizontal="right"/>
    </xf>
    <xf numFmtId="0" fontId="2" fillId="2" borderId="19" xfId="13" applyFont="1" applyFill="1" applyBorder="1" applyAlignment="1"/>
    <xf numFmtId="0" fontId="2" fillId="2" borderId="48" xfId="13" applyFont="1" applyFill="1" applyBorder="1" applyAlignment="1"/>
    <xf numFmtId="0" fontId="2" fillId="2" borderId="13" xfId="13" applyFont="1" applyFill="1" applyBorder="1" applyAlignment="1"/>
    <xf numFmtId="0" fontId="7" fillId="0" borderId="36" xfId="13" applyBorder="1" applyAlignment="1"/>
    <xf numFmtId="0" fontId="7" fillId="0" borderId="49" xfId="13" applyBorder="1" applyAlignment="1"/>
    <xf numFmtId="0" fontId="7" fillId="0" borderId="37" xfId="13" applyBorder="1" applyAlignment="1"/>
    <xf numFmtId="0" fontId="0" fillId="0" borderId="50" xfId="13" applyFont="1" applyBorder="1" applyAlignment="1"/>
    <xf numFmtId="0" fontId="0" fillId="0" borderId="29" xfId="13" applyFont="1" applyBorder="1" applyAlignment="1"/>
    <xf numFmtId="0" fontId="7" fillId="0" borderId="29" xfId="13" applyBorder="1" applyAlignment="1"/>
    <xf numFmtId="0" fontId="0" fillId="0" borderId="30" xfId="13" applyFont="1" applyBorder="1" applyAlignment="1"/>
  </cellXfs>
  <cellStyles count="28">
    <cellStyle name="Currency" xfId="1" builtinId="4"/>
    <cellStyle name="Currency 2" xfId="2"/>
    <cellStyle name="Currency 2 2" xfId="3"/>
    <cellStyle name="Currency 2 2 2" xfId="4"/>
    <cellStyle name="Currency 2 3" xfId="5"/>
    <cellStyle name="Currency 3" xfId="6"/>
    <cellStyle name="Currency 3 2" xfId="7"/>
    <cellStyle name="Currency 4" xfId="8"/>
    <cellStyle name="Currency 5" xfId="9"/>
    <cellStyle name="Normal" xfId="0" builtinId="0"/>
    <cellStyle name="Normal 2" xfId="10"/>
    <cellStyle name="Normal 2 2" xfId="11"/>
    <cellStyle name="Normal 2 2 2" xfId="12"/>
    <cellStyle name="Normal 2 2 3" xfId="13"/>
    <cellStyle name="Normal 2 3" xfId="14"/>
    <cellStyle name="Normal 2 3 2" xfId="15"/>
    <cellStyle name="Normal 2 3 3" xfId="16"/>
    <cellStyle name="Normal 2 4" xfId="17"/>
    <cellStyle name="Normal 2 5" xfId="18"/>
    <cellStyle name="Normal 3" xfId="19"/>
    <cellStyle name="Normal 3 2" xfId="20"/>
    <cellStyle name="Normal 4" xfId="21"/>
    <cellStyle name="Normal 5" xfId="22"/>
    <cellStyle name="Percent" xfId="23" builtinId="5"/>
    <cellStyle name="Percent 2" xfId="24"/>
    <cellStyle name="Percent 2 2" xfId="25"/>
    <cellStyle name="Percent 2 2 2" xfId="26"/>
    <cellStyle name="Percent 2 3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searchADean\Senate%20Programs\USRC\FY0506\0506%20Summaries\FY2005-2006%20USRC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searchADean\Senate%20Programs\USRC\FY0607\0607%20Summaries\FY2006-2007%20USRCSummar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searchADean\Senate%20Programs\USRC\FY0708\07-08%20Summaries\FY2007-2008%20USRC%20Summ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searchADean\Senate\USRC\FY0809\08-09%20Summaries\FY2008-2009%20USRCSummar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searchADean\Senate\USRC\FY1011\FY1011\10-11%20Summaries\FY2010-2011USRC%20Summar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Y 2005-2006 Summary"/>
      <sheetName val="May 2005"/>
      <sheetName val="September 2005"/>
      <sheetName val="October 2005"/>
      <sheetName val="November 2005"/>
      <sheetName val="December 2005"/>
      <sheetName val="February 2006"/>
      <sheetName val="March 2006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41">
          <cell r="D41">
            <v>27455</v>
          </cell>
          <cell r="E41">
            <v>18776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Y 2006-2007 Summary"/>
      <sheetName val="May 2006"/>
      <sheetName val="September 2006"/>
      <sheetName val="October 2006"/>
      <sheetName val="November 2006"/>
      <sheetName val="December 2006"/>
      <sheetName val="February 2007"/>
      <sheetName val="March 2007"/>
      <sheetName val="April 2007"/>
      <sheetName val="Michele's 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2">
          <cell r="D22">
            <v>12053.53</v>
          </cell>
          <cell r="E22">
            <v>9802</v>
          </cell>
        </row>
      </sheetData>
      <sheetData sheetId="6" refreshError="1"/>
      <sheetData sheetId="7" refreshError="1"/>
      <sheetData sheetId="8">
        <row r="16">
          <cell r="D16">
            <v>9207.68</v>
          </cell>
          <cell r="E16">
            <v>5707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Y 2007-2008 Summary"/>
      <sheetName val="May 2007"/>
      <sheetName val="September 2007"/>
      <sheetName val="October 2007"/>
      <sheetName val="November 2007"/>
      <sheetName val="December 2007"/>
      <sheetName val="February 2008"/>
      <sheetName val="March 2008"/>
      <sheetName val="April 2008"/>
    </sheetNames>
    <sheetDataSet>
      <sheetData sheetId="0" refreshError="1"/>
      <sheetData sheetId="1" refreshError="1"/>
      <sheetData sheetId="2">
        <row r="25">
          <cell r="D25">
            <v>25429.1</v>
          </cell>
        </row>
      </sheetData>
      <sheetData sheetId="3">
        <row r="24">
          <cell r="D24">
            <v>14504.09</v>
          </cell>
          <cell r="E24">
            <v>11855</v>
          </cell>
        </row>
      </sheetData>
      <sheetData sheetId="4">
        <row r="22">
          <cell r="D22">
            <v>16848</v>
          </cell>
          <cell r="E22">
            <v>11893</v>
          </cell>
        </row>
      </sheetData>
      <sheetData sheetId="5" refreshError="1"/>
      <sheetData sheetId="6">
        <row r="30">
          <cell r="D30">
            <v>24873.86</v>
          </cell>
          <cell r="E30">
            <v>20712</v>
          </cell>
        </row>
      </sheetData>
      <sheetData sheetId="7">
        <row r="27">
          <cell r="D27">
            <v>21127.5</v>
          </cell>
          <cell r="E27">
            <v>16128</v>
          </cell>
        </row>
      </sheetData>
      <sheetData sheetId="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Y 2008-2009 Summary"/>
      <sheetName val="May 2008"/>
      <sheetName val="September 2008"/>
      <sheetName val="October 2008"/>
      <sheetName val="November 2008"/>
      <sheetName val="December 2008"/>
      <sheetName val="February 2009"/>
      <sheetName val="March 2009"/>
      <sheetName val="April 2009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40">
          <cell r="D40">
            <v>31181.22</v>
          </cell>
        </row>
      </sheetData>
      <sheetData sheetId="7">
        <row r="32">
          <cell r="D32">
            <v>23935.95</v>
          </cell>
          <cell r="E32">
            <v>13278</v>
          </cell>
        </row>
      </sheetData>
      <sheetData sheetId="8">
        <row r="23">
          <cell r="D23">
            <v>19666</v>
          </cell>
          <cell r="E23">
            <v>12496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0-2011"/>
      <sheetName val="May 2010"/>
      <sheetName val="September 2010"/>
      <sheetName val="October 2010"/>
      <sheetName val="November 2010"/>
      <sheetName val="December 2010"/>
      <sheetName val="February 2011"/>
      <sheetName val="March 2011"/>
      <sheetName val="April 2011"/>
      <sheetName val="May 2011"/>
      <sheetName val="Sheet1"/>
    </sheetNames>
    <sheetDataSet>
      <sheetData sheetId="0" refreshError="1"/>
      <sheetData sheetId="1">
        <row r="27">
          <cell r="D27">
            <v>25289</v>
          </cell>
          <cell r="E27">
            <v>17184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7">
          <cell r="D27">
            <v>38231.03</v>
          </cell>
          <cell r="E27">
            <v>19250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I58"/>
  <sheetViews>
    <sheetView tabSelected="1" zoomScaleNormal="100" workbookViewId="0">
      <selection activeCell="C37" sqref="C37"/>
    </sheetView>
  </sheetViews>
  <sheetFormatPr defaultRowHeight="12.75"/>
  <cols>
    <col min="1" max="1" width="16.7109375" customWidth="1"/>
    <col min="2" max="2" width="18.7109375" customWidth="1"/>
    <col min="3" max="3" width="21.140625" customWidth="1"/>
    <col min="4" max="4" width="16.85546875" bestFit="1" customWidth="1"/>
    <col min="5" max="5" width="17.5703125" bestFit="1" customWidth="1"/>
    <col min="6" max="6" width="16.85546875" bestFit="1" customWidth="1"/>
    <col min="7" max="7" width="13.5703125" customWidth="1"/>
    <col min="8" max="9" width="12.28515625" bestFit="1" customWidth="1"/>
    <col min="10" max="10" width="11.42578125" bestFit="1" customWidth="1"/>
    <col min="11" max="11" width="10.140625" bestFit="1" customWidth="1"/>
    <col min="13" max="13" width="11.140625" bestFit="1" customWidth="1"/>
  </cols>
  <sheetData>
    <row r="1" spans="1:9">
      <c r="A1" s="229" t="s">
        <v>54</v>
      </c>
      <c r="B1" s="229"/>
      <c r="C1" s="229"/>
      <c r="D1" s="229"/>
      <c r="E1" s="229"/>
    </row>
    <row r="2" spans="1:9">
      <c r="A2" s="230" t="s">
        <v>78</v>
      </c>
      <c r="B2" s="230"/>
      <c r="C2" s="230"/>
      <c r="D2" s="230"/>
    </row>
    <row r="3" spans="1:9" ht="13.5" thickBot="1">
      <c r="A3" s="51"/>
      <c r="B3" s="51"/>
      <c r="C3" s="51"/>
      <c r="D3" s="51"/>
    </row>
    <row r="4" spans="1:9" ht="13.5" thickBot="1">
      <c r="A4" s="135" t="s">
        <v>52</v>
      </c>
      <c r="B4" s="30" t="s">
        <v>3</v>
      </c>
      <c r="C4" s="30" t="s">
        <v>4</v>
      </c>
      <c r="D4" s="136" t="s">
        <v>7</v>
      </c>
    </row>
    <row r="5" spans="1:9" ht="13.5" thickTop="1">
      <c r="A5" s="140" t="s">
        <v>49</v>
      </c>
      <c r="B5" s="139">
        <v>113</v>
      </c>
      <c r="C5" s="139">
        <v>86</v>
      </c>
      <c r="D5" s="137">
        <v>86020</v>
      </c>
    </row>
    <row r="6" spans="1:9">
      <c r="A6" s="141" t="s">
        <v>50</v>
      </c>
      <c r="B6" s="124">
        <v>146</v>
      </c>
      <c r="C6" s="124">
        <v>105</v>
      </c>
      <c r="D6" s="138">
        <v>96630</v>
      </c>
    </row>
    <row r="7" spans="1:9">
      <c r="A7" s="141" t="s">
        <v>51</v>
      </c>
      <c r="B7" s="124">
        <v>171</v>
      </c>
      <c r="C7" s="124">
        <v>132</v>
      </c>
      <c r="D7" s="138">
        <v>132630.1</v>
      </c>
    </row>
    <row r="8" spans="1:9">
      <c r="A8" s="141" t="s">
        <v>60</v>
      </c>
      <c r="B8" s="124">
        <v>180</v>
      </c>
      <c r="C8" s="124">
        <v>130</v>
      </c>
      <c r="D8" s="138">
        <v>111515.22</v>
      </c>
    </row>
    <row r="9" spans="1:9">
      <c r="A9" s="141" t="s">
        <v>72</v>
      </c>
      <c r="B9" s="124">
        <v>160</v>
      </c>
      <c r="C9" s="124">
        <v>109</v>
      </c>
      <c r="D9" s="138">
        <v>100111</v>
      </c>
    </row>
    <row r="10" spans="1:9" ht="13.5" thickBot="1">
      <c r="A10" s="161" t="s">
        <v>77</v>
      </c>
      <c r="B10" s="162">
        <v>137</v>
      </c>
      <c r="C10" s="162">
        <v>96</v>
      </c>
      <c r="D10" s="163">
        <v>116761</v>
      </c>
    </row>
    <row r="11" spans="1:9" ht="13.5" thickBot="1">
      <c r="A11" s="161" t="s">
        <v>79</v>
      </c>
      <c r="B11" s="182">
        <v>157</v>
      </c>
      <c r="C11" s="182">
        <v>102</v>
      </c>
      <c r="D11" s="183">
        <v>131023</v>
      </c>
    </row>
    <row r="12" spans="1:9">
      <c r="A12" s="180"/>
      <c r="B12" s="180"/>
      <c r="C12" s="180"/>
      <c r="D12" s="181"/>
    </row>
    <row r="13" spans="1:9" s="54" customFormat="1" ht="13.5" thickBot="1">
      <c r="A13" s="50"/>
      <c r="B13" s="50"/>
      <c r="C13" s="58"/>
      <c r="D13" s="59"/>
      <c r="E13" s="59"/>
    </row>
    <row r="14" spans="1:9" s="54" customFormat="1" ht="13.5" thickBot="1">
      <c r="A14" s="237" t="s">
        <v>62</v>
      </c>
      <c r="B14" s="238"/>
      <c r="C14" s="238"/>
      <c r="D14" s="238"/>
      <c r="E14" s="238"/>
      <c r="F14" s="238"/>
      <c r="G14" s="238"/>
      <c r="H14" s="238"/>
      <c r="I14" s="239"/>
    </row>
    <row r="15" spans="1:9" s="54" customFormat="1" ht="13.5" thickBot="1">
      <c r="A15" s="235" t="s">
        <v>32</v>
      </c>
      <c r="B15" s="236"/>
      <c r="C15" s="116" t="s">
        <v>49</v>
      </c>
      <c r="D15" s="116" t="s">
        <v>50</v>
      </c>
      <c r="E15" s="116" t="s">
        <v>51</v>
      </c>
      <c r="F15" s="116" t="s">
        <v>60</v>
      </c>
      <c r="G15" s="168" t="s">
        <v>72</v>
      </c>
      <c r="H15" s="164" t="s">
        <v>77</v>
      </c>
      <c r="I15" s="164" t="s">
        <v>79</v>
      </c>
    </row>
    <row r="16" spans="1:9" s="54" customFormat="1" ht="13.5" thickTop="1">
      <c r="A16" s="231" t="s">
        <v>33</v>
      </c>
      <c r="B16" s="232"/>
      <c r="C16" s="17">
        <v>0</v>
      </c>
      <c r="D16" s="17">
        <v>1</v>
      </c>
      <c r="E16" s="17">
        <v>3</v>
      </c>
      <c r="F16" s="67">
        <v>4</v>
      </c>
      <c r="G16" s="165">
        <v>0</v>
      </c>
      <c r="H16" s="172">
        <v>1</v>
      </c>
      <c r="I16" s="172">
        <v>0</v>
      </c>
    </row>
    <row r="17" spans="1:9" s="54" customFormat="1">
      <c r="A17" s="233" t="s">
        <v>34</v>
      </c>
      <c r="B17" s="234"/>
      <c r="C17" s="11">
        <v>12</v>
      </c>
      <c r="D17" s="43">
        <v>8</v>
      </c>
      <c r="E17" s="43">
        <v>12</v>
      </c>
      <c r="F17" s="68">
        <v>12</v>
      </c>
      <c r="G17" s="166">
        <v>8</v>
      </c>
      <c r="H17" s="173">
        <v>11</v>
      </c>
      <c r="I17" s="173">
        <v>11</v>
      </c>
    </row>
    <row r="18" spans="1:9" s="54" customFormat="1">
      <c r="A18" s="233" t="s">
        <v>35</v>
      </c>
      <c r="B18" s="234"/>
      <c r="C18" s="11">
        <v>3</v>
      </c>
      <c r="D18" s="43">
        <v>3</v>
      </c>
      <c r="E18" s="43">
        <v>3</v>
      </c>
      <c r="F18" s="68">
        <v>3</v>
      </c>
      <c r="G18" s="166">
        <v>1</v>
      </c>
      <c r="H18" s="173">
        <v>1</v>
      </c>
      <c r="I18" s="173">
        <v>1</v>
      </c>
    </row>
    <row r="19" spans="1:9" s="54" customFormat="1">
      <c r="A19" s="233" t="s">
        <v>36</v>
      </c>
      <c r="B19" s="234"/>
      <c r="C19" s="11">
        <v>29</v>
      </c>
      <c r="D19" s="43">
        <v>39</v>
      </c>
      <c r="E19" s="43">
        <v>42</v>
      </c>
      <c r="F19" s="68">
        <v>36</v>
      </c>
      <c r="G19" s="166">
        <v>39</v>
      </c>
      <c r="H19" s="173">
        <v>7</v>
      </c>
      <c r="I19" s="173">
        <v>43</v>
      </c>
    </row>
    <row r="20" spans="1:9" s="54" customFormat="1">
      <c r="A20" s="233" t="s">
        <v>37</v>
      </c>
      <c r="B20" s="234"/>
      <c r="C20" s="11">
        <v>4</v>
      </c>
      <c r="D20" s="43">
        <v>4</v>
      </c>
      <c r="E20" s="43">
        <v>13</v>
      </c>
      <c r="F20" s="68">
        <v>5</v>
      </c>
      <c r="G20" s="166">
        <v>4</v>
      </c>
      <c r="H20" s="173">
        <v>4</v>
      </c>
      <c r="I20" s="173">
        <v>1</v>
      </c>
    </row>
    <row r="21" spans="1:9" s="54" customFormat="1">
      <c r="A21" s="233" t="s">
        <v>38</v>
      </c>
      <c r="B21" s="234"/>
      <c r="C21" s="11">
        <v>4</v>
      </c>
      <c r="D21" s="43">
        <v>3</v>
      </c>
      <c r="E21" s="43">
        <v>9</v>
      </c>
      <c r="F21" s="68">
        <v>1</v>
      </c>
      <c r="G21" s="166">
        <v>3</v>
      </c>
      <c r="H21" s="173">
        <v>29</v>
      </c>
      <c r="I21" s="173">
        <v>3</v>
      </c>
    </row>
    <row r="22" spans="1:9" s="54" customFormat="1" ht="13.5" thickBot="1">
      <c r="A22" s="242" t="s">
        <v>39</v>
      </c>
      <c r="B22" s="243"/>
      <c r="C22" s="18">
        <v>34</v>
      </c>
      <c r="D22" s="117">
        <v>47</v>
      </c>
      <c r="E22" s="117">
        <v>50</v>
      </c>
      <c r="F22" s="118">
        <v>69</v>
      </c>
      <c r="G22" s="167">
        <v>54</v>
      </c>
      <c r="H22" s="174">
        <v>43</v>
      </c>
      <c r="I22" s="174">
        <v>43</v>
      </c>
    </row>
    <row r="23" spans="1:9" s="54" customFormat="1" ht="13.5" thickBot="1">
      <c r="A23" s="122" t="s">
        <v>29</v>
      </c>
      <c r="B23" s="123"/>
      <c r="C23" s="169">
        <f t="shared" ref="C23:H23" si="0">SUM(C16:C22)</f>
        <v>86</v>
      </c>
      <c r="D23" s="169">
        <f t="shared" si="0"/>
        <v>105</v>
      </c>
      <c r="E23" s="169">
        <f t="shared" si="0"/>
        <v>132</v>
      </c>
      <c r="F23" s="169">
        <f t="shared" si="0"/>
        <v>130</v>
      </c>
      <c r="G23" s="170">
        <f t="shared" si="0"/>
        <v>109</v>
      </c>
      <c r="H23" s="171">
        <f t="shared" si="0"/>
        <v>96</v>
      </c>
      <c r="I23" s="171">
        <f>SUM(I16:I22)</f>
        <v>102</v>
      </c>
    </row>
    <row r="24" spans="1:9" s="54" customFormat="1" ht="13.5" thickBot="1">
      <c r="A24"/>
      <c r="B24"/>
      <c r="C24"/>
      <c r="D24"/>
      <c r="E24"/>
    </row>
    <row r="25" spans="1:9" s="54" customFormat="1" ht="13.5" thickBot="1">
      <c r="A25" s="237" t="s">
        <v>63</v>
      </c>
      <c r="B25" s="240"/>
      <c r="C25" s="240"/>
      <c r="D25" s="240"/>
      <c r="E25" s="240"/>
      <c r="F25" s="240"/>
      <c r="G25" s="241"/>
      <c r="H25" s="238"/>
      <c r="I25" s="239"/>
    </row>
    <row r="26" spans="1:9" s="54" customFormat="1" ht="13.5" thickBot="1">
      <c r="A26" s="235" t="s">
        <v>32</v>
      </c>
      <c r="B26" s="236"/>
      <c r="C26" s="116" t="s">
        <v>49</v>
      </c>
      <c r="D26" s="116" t="s">
        <v>50</v>
      </c>
      <c r="E26" s="116" t="s">
        <v>51</v>
      </c>
      <c r="F26" s="116" t="s">
        <v>60</v>
      </c>
      <c r="G26" s="164" t="s">
        <v>72</v>
      </c>
      <c r="H26" s="175" t="s">
        <v>77</v>
      </c>
      <c r="I26" s="175" t="s">
        <v>79</v>
      </c>
    </row>
    <row r="27" spans="1:9" s="54" customFormat="1" ht="13.5" thickTop="1">
      <c r="A27" s="231" t="s">
        <v>33</v>
      </c>
      <c r="B27" s="232"/>
      <c r="C27" s="6">
        <v>0</v>
      </c>
      <c r="D27" s="6">
        <v>1500</v>
      </c>
      <c r="E27" s="42">
        <v>3630</v>
      </c>
      <c r="F27" s="42">
        <v>5752</v>
      </c>
      <c r="G27" s="100">
        <v>0</v>
      </c>
      <c r="H27" s="177">
        <v>1740</v>
      </c>
      <c r="I27" s="177">
        <v>0</v>
      </c>
    </row>
    <row r="28" spans="1:9" s="54" customFormat="1">
      <c r="A28" s="233" t="s">
        <v>34</v>
      </c>
      <c r="B28" s="234"/>
      <c r="C28" s="10">
        <v>16105</v>
      </c>
      <c r="D28" s="10">
        <v>11120</v>
      </c>
      <c r="E28" s="44">
        <v>16814</v>
      </c>
      <c r="F28" s="44">
        <v>15989</v>
      </c>
      <c r="G28" s="111">
        <v>11339</v>
      </c>
      <c r="H28" s="178">
        <v>16543</v>
      </c>
      <c r="I28" s="178">
        <v>20012</v>
      </c>
    </row>
    <row r="29" spans="1:9" s="54" customFormat="1">
      <c r="A29" s="233" t="s">
        <v>35</v>
      </c>
      <c r="B29" s="234"/>
      <c r="C29" s="10">
        <v>4500</v>
      </c>
      <c r="D29" s="10">
        <v>3500</v>
      </c>
      <c r="E29" s="44">
        <v>4500</v>
      </c>
      <c r="F29" s="44">
        <v>2578</v>
      </c>
      <c r="G29" s="111">
        <v>1149</v>
      </c>
      <c r="H29" s="178">
        <v>1500</v>
      </c>
      <c r="I29" s="178">
        <v>500</v>
      </c>
    </row>
    <row r="30" spans="1:9" s="54" customFormat="1">
      <c r="A30" s="233" t="s">
        <v>36</v>
      </c>
      <c r="B30" s="234"/>
      <c r="C30" s="10">
        <v>39919</v>
      </c>
      <c r="D30" s="10">
        <v>50387</v>
      </c>
      <c r="E30" s="44">
        <v>57780</v>
      </c>
      <c r="F30" s="44">
        <v>48542.22</v>
      </c>
      <c r="G30" s="111">
        <v>53401</v>
      </c>
      <c r="H30" s="178">
        <v>11764</v>
      </c>
      <c r="I30" s="178">
        <v>74307</v>
      </c>
    </row>
    <row r="31" spans="1:9" s="54" customFormat="1">
      <c r="A31" s="233" t="s">
        <v>37</v>
      </c>
      <c r="B31" s="234"/>
      <c r="C31" s="10">
        <v>4347</v>
      </c>
      <c r="D31" s="10">
        <v>5015</v>
      </c>
      <c r="E31" s="44">
        <v>15509.1</v>
      </c>
      <c r="F31" s="44">
        <v>4097</v>
      </c>
      <c r="G31" s="111">
        <v>4394</v>
      </c>
      <c r="H31" s="178">
        <v>6348</v>
      </c>
      <c r="I31" s="178">
        <v>1988</v>
      </c>
    </row>
    <row r="32" spans="1:9" s="54" customFormat="1">
      <c r="A32" s="233" t="s">
        <v>38</v>
      </c>
      <c r="B32" s="234"/>
      <c r="C32" s="10">
        <v>5975</v>
      </c>
      <c r="D32" s="10">
        <v>3955</v>
      </c>
      <c r="E32" s="44">
        <v>10925</v>
      </c>
      <c r="F32" s="44">
        <v>1500</v>
      </c>
      <c r="G32" s="111">
        <v>3718</v>
      </c>
      <c r="H32" s="178">
        <v>53186</v>
      </c>
      <c r="I32" s="178">
        <v>5935</v>
      </c>
    </row>
    <row r="33" spans="1:9" s="54" customFormat="1" ht="13.5" thickBot="1">
      <c r="A33" s="242" t="s">
        <v>39</v>
      </c>
      <c r="B33" s="243"/>
      <c r="C33" s="19">
        <v>15174</v>
      </c>
      <c r="D33" s="19">
        <v>21153</v>
      </c>
      <c r="E33" s="19">
        <v>23472</v>
      </c>
      <c r="F33" s="19">
        <v>33057</v>
      </c>
      <c r="G33" s="121">
        <v>26110</v>
      </c>
      <c r="H33" s="179">
        <v>25680</v>
      </c>
      <c r="I33" s="179">
        <v>28281</v>
      </c>
    </row>
    <row r="34" spans="1:9" s="54" customFormat="1" ht="13.5" thickBot="1">
      <c r="A34" s="122" t="s">
        <v>29</v>
      </c>
      <c r="B34" s="123"/>
      <c r="C34" s="119">
        <f>SUM(C27:C33)</f>
        <v>86020</v>
      </c>
      <c r="D34" s="119">
        <f>SUM(D27:D33)</f>
        <v>96630</v>
      </c>
      <c r="E34" s="119">
        <f>SUM(E27:E33)</f>
        <v>132630.1</v>
      </c>
      <c r="F34" s="119">
        <f>SUM(F27:F33)</f>
        <v>111515.22</v>
      </c>
      <c r="G34" s="120">
        <f>SUM(G27:G33)</f>
        <v>100111</v>
      </c>
      <c r="H34" s="176">
        <v>116761</v>
      </c>
      <c r="I34" s="176">
        <f>SUM(I27:I33)</f>
        <v>131023</v>
      </c>
    </row>
    <row r="35" spans="1:9" s="54" customFormat="1">
      <c r="A35" s="50"/>
      <c r="B35" s="60"/>
      <c r="C35" s="60"/>
      <c r="D35" s="61"/>
    </row>
    <row r="36" spans="1:9" s="54" customFormat="1"/>
    <row r="37" spans="1:9" s="54" customFormat="1"/>
    <row r="38" spans="1:9" s="54" customFormat="1"/>
    <row r="39" spans="1:9" s="54" customFormat="1"/>
    <row r="40" spans="1:9" s="54" customFormat="1">
      <c r="A40" s="50"/>
      <c r="B40" s="60"/>
      <c r="C40" s="60"/>
      <c r="D40" s="61"/>
    </row>
    <row r="41" spans="1:9" s="54" customFormat="1">
      <c r="A41" s="50"/>
      <c r="B41" s="60"/>
      <c r="C41" s="60"/>
      <c r="D41" s="61"/>
    </row>
    <row r="42" spans="1:9" s="54" customFormat="1">
      <c r="A42" s="50"/>
      <c r="B42" s="60"/>
      <c r="C42" s="60"/>
      <c r="D42" s="61"/>
    </row>
    <row r="43" spans="1:9" s="54" customFormat="1">
      <c r="A43" s="50"/>
      <c r="B43" s="60"/>
      <c r="C43" s="60"/>
      <c r="D43" s="61"/>
    </row>
    <row r="44" spans="1:9" s="54" customFormat="1">
      <c r="A44" s="50"/>
      <c r="B44" s="60"/>
      <c r="C44" s="60"/>
      <c r="D44" s="61"/>
    </row>
    <row r="45" spans="1:9" s="54" customFormat="1">
      <c r="A45" s="50"/>
      <c r="B45" s="60"/>
      <c r="C45" s="60"/>
      <c r="D45" s="61"/>
    </row>
    <row r="58" spans="7:7">
      <c r="G58" t="s">
        <v>53</v>
      </c>
    </row>
  </sheetData>
  <mergeCells count="22">
    <mergeCell ref="A32:B32"/>
    <mergeCell ref="A20:B20"/>
    <mergeCell ref="A22:B22"/>
    <mergeCell ref="A33:B33"/>
    <mergeCell ref="A29:B29"/>
    <mergeCell ref="A30:B30"/>
    <mergeCell ref="A31:B31"/>
    <mergeCell ref="A28:B28"/>
    <mergeCell ref="A18:B18"/>
    <mergeCell ref="A21:B21"/>
    <mergeCell ref="A31:B31"/>
    <mergeCell ref="A32:B32"/>
    <mergeCell ref="A19:B19"/>
    <mergeCell ref="A1:E1"/>
    <mergeCell ref="A2:D2"/>
    <mergeCell ref="A16:B16"/>
    <mergeCell ref="A17:B17"/>
    <mergeCell ref="A27:B27"/>
    <mergeCell ref="A15:B15"/>
    <mergeCell ref="A26:B26"/>
    <mergeCell ref="A14:I14"/>
    <mergeCell ref="A25:I25"/>
  </mergeCells>
  <phoneticPr fontId="0" type="noConversion"/>
  <printOptions horizontalCentered="1"/>
  <pageMargins left="0.75" right="0.75" top="1" bottom="1" header="0.5" footer="0.5"/>
  <pageSetup scale="91" orientation="landscape" r:id="rId1"/>
  <headerFooter alignWithMargins="0">
    <oddFooter>&amp;L&amp;Z&amp;F&amp;R&amp;D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R42"/>
  <sheetViews>
    <sheetView workbookViewId="0">
      <selection activeCell="I18" sqref="I18"/>
    </sheetView>
  </sheetViews>
  <sheetFormatPr defaultRowHeight="12.75"/>
  <cols>
    <col min="1" max="1" width="11.5703125" bestFit="1" customWidth="1"/>
    <col min="2" max="2" width="8.7109375" style="16" customWidth="1"/>
    <col min="3" max="3" width="14.7109375" customWidth="1"/>
    <col min="4" max="4" width="18.7109375" customWidth="1"/>
    <col min="5" max="5" width="12.7109375" customWidth="1"/>
    <col min="6" max="6" width="17.85546875" bestFit="1" customWidth="1"/>
    <col min="7" max="7" width="16.7109375" customWidth="1"/>
    <col min="9" max="9" width="10.28515625" bestFit="1" customWidth="1"/>
    <col min="11" max="11" width="11.28515625" bestFit="1" customWidth="1"/>
    <col min="12" max="12" width="11.42578125" bestFit="1" customWidth="1"/>
    <col min="13" max="13" width="10.140625" bestFit="1" customWidth="1"/>
    <col min="15" max="15" width="11.140625" bestFit="1" customWidth="1"/>
  </cols>
  <sheetData>
    <row r="1" spans="1:7" ht="32.25" customHeight="1" thickBot="1">
      <c r="A1" s="244" t="s">
        <v>0</v>
      </c>
      <c r="B1" s="245"/>
      <c r="C1" s="246"/>
      <c r="D1" s="246"/>
      <c r="E1" s="246"/>
      <c r="F1" s="246"/>
      <c r="G1" s="247"/>
    </row>
    <row r="2" spans="1:7" ht="13.5" thickBot="1">
      <c r="A2" s="27" t="s">
        <v>1</v>
      </c>
      <c r="B2" s="28" t="s">
        <v>2</v>
      </c>
      <c r="C2" s="29" t="s">
        <v>3</v>
      </c>
      <c r="D2" s="30" t="s">
        <v>4</v>
      </c>
      <c r="E2" s="31" t="s">
        <v>5</v>
      </c>
      <c r="F2" s="31" t="s">
        <v>6</v>
      </c>
      <c r="G2" s="32" t="s">
        <v>7</v>
      </c>
    </row>
    <row r="3" spans="1:7" ht="13.5" thickTop="1">
      <c r="A3" s="1" t="s">
        <v>8</v>
      </c>
      <c r="B3" s="2" t="s">
        <v>9</v>
      </c>
      <c r="C3" s="3">
        <v>10</v>
      </c>
      <c r="D3" s="3">
        <v>10</v>
      </c>
      <c r="E3" s="4">
        <f t="shared" ref="E3:E9" si="0">D3/C3</f>
        <v>1</v>
      </c>
      <c r="F3" s="5">
        <v>13807.94</v>
      </c>
      <c r="G3" s="6">
        <v>12620</v>
      </c>
    </row>
    <row r="4" spans="1:7">
      <c r="A4" s="7" t="s">
        <v>10</v>
      </c>
      <c r="B4" s="2" t="s">
        <v>9</v>
      </c>
      <c r="C4" s="8">
        <v>8</v>
      </c>
      <c r="D4" s="8">
        <v>7</v>
      </c>
      <c r="E4" s="4">
        <f t="shared" si="0"/>
        <v>0.875</v>
      </c>
      <c r="F4" s="9">
        <v>9592</v>
      </c>
      <c r="G4" s="10">
        <v>9300</v>
      </c>
    </row>
    <row r="5" spans="1:7">
      <c r="A5" s="7" t="s">
        <v>11</v>
      </c>
      <c r="B5" s="2" t="s">
        <v>9</v>
      </c>
      <c r="C5" s="11">
        <v>9</v>
      </c>
      <c r="D5" s="11">
        <v>3</v>
      </c>
      <c r="E5" s="4">
        <f t="shared" si="0"/>
        <v>0.33333333333333331</v>
      </c>
      <c r="F5" s="12">
        <v>24700</v>
      </c>
      <c r="G5" s="13">
        <v>3500</v>
      </c>
    </row>
    <row r="6" spans="1:7">
      <c r="A6" s="7" t="s">
        <v>12</v>
      </c>
      <c r="B6" s="2" t="s">
        <v>9</v>
      </c>
      <c r="C6" s="11">
        <v>13</v>
      </c>
      <c r="D6" s="11">
        <v>10</v>
      </c>
      <c r="E6" s="4">
        <f t="shared" si="0"/>
        <v>0.76923076923076927</v>
      </c>
      <c r="F6" s="12">
        <v>14254.88</v>
      </c>
      <c r="G6" s="14">
        <v>11293</v>
      </c>
    </row>
    <row r="7" spans="1:7">
      <c r="A7" s="7" t="s">
        <v>13</v>
      </c>
      <c r="B7" s="2" t="s">
        <v>9</v>
      </c>
      <c r="C7" s="11">
        <v>13</v>
      </c>
      <c r="D7" s="11">
        <v>12</v>
      </c>
      <c r="E7" s="4">
        <f t="shared" si="0"/>
        <v>0.92307692307692313</v>
      </c>
      <c r="F7" s="12">
        <v>12372</v>
      </c>
      <c r="G7" s="14">
        <v>11662</v>
      </c>
    </row>
    <row r="8" spans="1:7">
      <c r="A8" s="7" t="s">
        <v>14</v>
      </c>
      <c r="B8" s="15" t="s">
        <v>15</v>
      </c>
      <c r="C8" s="11">
        <v>24</v>
      </c>
      <c r="D8" s="11">
        <v>18</v>
      </c>
      <c r="E8" s="4">
        <f t="shared" si="0"/>
        <v>0.75</v>
      </c>
      <c r="F8" s="12">
        <v>25892.38</v>
      </c>
      <c r="G8" s="14">
        <v>18869</v>
      </c>
    </row>
    <row r="9" spans="1:7" ht="13.5" thickBot="1">
      <c r="A9" s="7" t="s">
        <v>16</v>
      </c>
      <c r="B9" s="15" t="s">
        <v>15</v>
      </c>
      <c r="C9" s="11">
        <v>36</v>
      </c>
      <c r="D9" s="11">
        <v>26</v>
      </c>
      <c r="E9" s="4">
        <f t="shared" si="0"/>
        <v>0.72222222222222221</v>
      </c>
      <c r="F9" s="62">
        <f>'[1]March 2006'!D41</f>
        <v>27455</v>
      </c>
      <c r="G9" s="63">
        <f>'[1]March 2006'!E41</f>
        <v>18776</v>
      </c>
    </row>
    <row r="10" spans="1:7" ht="13.5" thickBot="1">
      <c r="A10" s="36" t="s">
        <v>17</v>
      </c>
      <c r="B10" s="36"/>
      <c r="C10" s="36">
        <f>SUM(C3:C9)</f>
        <v>113</v>
      </c>
      <c r="D10" s="36">
        <f>SUM(D3:D9)</f>
        <v>86</v>
      </c>
      <c r="E10" s="134">
        <f>D10/C10</f>
        <v>0.76106194690265483</v>
      </c>
      <c r="F10" s="130">
        <f>SUM(F3:F9)</f>
        <v>128074.20000000001</v>
      </c>
      <c r="G10" s="133">
        <f>SUM(G3:G9)</f>
        <v>86020</v>
      </c>
    </row>
    <row r="12" spans="1:7" ht="13.5" thickBot="1"/>
    <row r="13" spans="1:7" ht="13.5" thickBot="1">
      <c r="B13" s="237" t="s">
        <v>18</v>
      </c>
      <c r="C13" s="240"/>
      <c r="D13" s="240"/>
      <c r="E13" s="240"/>
      <c r="F13" s="240"/>
      <c r="G13" s="251"/>
    </row>
    <row r="14" spans="1:7" ht="13.5" thickBot="1">
      <c r="B14" s="252" t="s">
        <v>19</v>
      </c>
      <c r="C14" s="253"/>
      <c r="D14" s="253"/>
      <c r="E14" s="125" t="s">
        <v>20</v>
      </c>
      <c r="F14" s="126" t="s">
        <v>21</v>
      </c>
      <c r="G14" s="127" t="s">
        <v>7</v>
      </c>
    </row>
    <row r="15" spans="1:7" ht="13.5" thickTop="1">
      <c r="B15" s="231" t="s">
        <v>22</v>
      </c>
      <c r="C15" s="232"/>
      <c r="D15" s="232"/>
      <c r="E15" s="17">
        <v>17</v>
      </c>
      <c r="F15" s="17">
        <v>12</v>
      </c>
      <c r="G15" s="6">
        <v>12000</v>
      </c>
    </row>
    <row r="16" spans="1:7">
      <c r="B16" s="233" t="s">
        <v>23</v>
      </c>
      <c r="C16" s="234"/>
      <c r="D16" s="234"/>
      <c r="E16" s="11">
        <v>18</v>
      </c>
      <c r="F16" s="11">
        <v>13</v>
      </c>
      <c r="G16" s="10">
        <v>10722</v>
      </c>
    </row>
    <row r="17" spans="2:16">
      <c r="B17" s="233" t="s">
        <v>24</v>
      </c>
      <c r="C17" s="234"/>
      <c r="D17" s="234"/>
      <c r="E17" s="11">
        <v>9</v>
      </c>
      <c r="F17" s="11">
        <v>7</v>
      </c>
      <c r="G17" s="10">
        <v>8305</v>
      </c>
    </row>
    <row r="18" spans="2:16">
      <c r="B18" s="233" t="s">
        <v>25</v>
      </c>
      <c r="C18" s="234"/>
      <c r="D18" s="234"/>
      <c r="E18" s="11">
        <v>12</v>
      </c>
      <c r="F18" s="11">
        <v>8</v>
      </c>
      <c r="G18" s="10">
        <v>7120</v>
      </c>
    </row>
    <row r="19" spans="2:16">
      <c r="B19" s="233" t="s">
        <v>26</v>
      </c>
      <c r="C19" s="234"/>
      <c r="D19" s="234"/>
      <c r="E19" s="11">
        <v>32</v>
      </c>
      <c r="F19" s="11">
        <v>26</v>
      </c>
      <c r="G19" s="10">
        <v>24074</v>
      </c>
    </row>
    <row r="20" spans="2:16">
      <c r="B20" s="233" t="s">
        <v>27</v>
      </c>
      <c r="C20" s="234"/>
      <c r="D20" s="234"/>
      <c r="E20" s="11">
        <v>21</v>
      </c>
      <c r="F20" s="11">
        <v>18</v>
      </c>
      <c r="G20" s="10">
        <v>22358</v>
      </c>
    </row>
    <row r="21" spans="2:16" ht="13.5" thickBot="1">
      <c r="B21" s="256" t="s">
        <v>28</v>
      </c>
      <c r="C21" s="257"/>
      <c r="D21" s="257"/>
      <c r="E21" s="18">
        <v>4</v>
      </c>
      <c r="F21" s="18">
        <v>2</v>
      </c>
      <c r="G21" s="19">
        <v>1441</v>
      </c>
    </row>
    <row r="22" spans="2:16" ht="13.5" thickBot="1">
      <c r="B22" s="248" t="s">
        <v>29</v>
      </c>
      <c r="C22" s="249"/>
      <c r="D22" s="250"/>
      <c r="E22" s="131">
        <f>SUM(E15:E21)</f>
        <v>113</v>
      </c>
      <c r="F22" s="131">
        <f>SUM(F15:F21)</f>
        <v>86</v>
      </c>
      <c r="G22" s="64">
        <f>SUM(G15:G21)</f>
        <v>86020</v>
      </c>
    </row>
    <row r="23" spans="2:16" ht="13.5" thickBot="1"/>
    <row r="24" spans="2:16" ht="13.5" thickBot="1">
      <c r="B24" s="237" t="s">
        <v>30</v>
      </c>
      <c r="C24" s="240"/>
      <c r="D24" s="240"/>
      <c r="E24" s="240"/>
      <c r="F24" s="240"/>
      <c r="G24" s="251"/>
    </row>
    <row r="25" spans="2:16" ht="13.5" thickBot="1">
      <c r="B25" s="128" t="s">
        <v>31</v>
      </c>
      <c r="C25" s="125" t="s">
        <v>32</v>
      </c>
      <c r="D25" s="125"/>
      <c r="E25" s="125" t="s">
        <v>20</v>
      </c>
      <c r="F25" s="126" t="s">
        <v>21</v>
      </c>
      <c r="G25" s="129" t="s">
        <v>7</v>
      </c>
    </row>
    <row r="26" spans="2:16" ht="13.5" thickTop="1">
      <c r="B26" s="20">
        <v>1</v>
      </c>
      <c r="C26" s="260" t="s">
        <v>33</v>
      </c>
      <c r="D26" s="261"/>
      <c r="E26" s="17">
        <v>0</v>
      </c>
      <c r="F26" s="17">
        <v>0</v>
      </c>
      <c r="G26" s="6">
        <v>0</v>
      </c>
    </row>
    <row r="27" spans="2:16">
      <c r="B27" s="21">
        <v>2</v>
      </c>
      <c r="C27" s="254" t="s">
        <v>34</v>
      </c>
      <c r="D27" s="255"/>
      <c r="E27" s="11">
        <v>20</v>
      </c>
      <c r="F27" s="11">
        <v>12</v>
      </c>
      <c r="G27" s="10">
        <v>16105</v>
      </c>
    </row>
    <row r="28" spans="2:16">
      <c r="B28" s="21">
        <v>3</v>
      </c>
      <c r="C28" s="254" t="s">
        <v>35</v>
      </c>
      <c r="D28" s="255"/>
      <c r="E28" s="11">
        <v>3</v>
      </c>
      <c r="F28" s="11">
        <v>3</v>
      </c>
      <c r="G28" s="10">
        <v>4500</v>
      </c>
    </row>
    <row r="29" spans="2:16">
      <c r="B29" s="21">
        <v>4</v>
      </c>
      <c r="C29" s="254" t="s">
        <v>36</v>
      </c>
      <c r="D29" s="255"/>
      <c r="E29" s="11">
        <v>36</v>
      </c>
      <c r="F29" s="11">
        <v>29</v>
      </c>
      <c r="G29" s="10">
        <v>39919</v>
      </c>
    </row>
    <row r="30" spans="2:16">
      <c r="B30" s="21">
        <v>5</v>
      </c>
      <c r="C30" s="254" t="s">
        <v>37</v>
      </c>
      <c r="D30" s="255"/>
      <c r="E30" s="11">
        <v>6</v>
      </c>
      <c r="F30" s="11">
        <v>4</v>
      </c>
      <c r="G30" s="10">
        <v>4347</v>
      </c>
      <c r="I30" s="26"/>
      <c r="J30" s="26"/>
      <c r="K30" s="26"/>
      <c r="L30" s="26"/>
      <c r="M30" s="26"/>
      <c r="N30" s="26"/>
      <c r="O30" s="26"/>
      <c r="P30" s="26"/>
    </row>
    <row r="31" spans="2:16">
      <c r="B31" s="21">
        <v>6</v>
      </c>
      <c r="C31" s="254" t="s">
        <v>38</v>
      </c>
      <c r="D31" s="255"/>
      <c r="E31" s="11">
        <v>6</v>
      </c>
      <c r="F31" s="11">
        <v>4</v>
      </c>
      <c r="G31" s="10">
        <v>5975</v>
      </c>
      <c r="I31" s="26"/>
      <c r="J31" s="22"/>
      <c r="K31" s="22"/>
      <c r="L31" s="22"/>
      <c r="M31" s="22"/>
      <c r="N31" s="230"/>
      <c r="O31" s="230"/>
      <c r="P31" s="230"/>
    </row>
    <row r="32" spans="2:16" ht="13.5" thickBot="1">
      <c r="B32" s="23">
        <v>7</v>
      </c>
      <c r="C32" s="258" t="s">
        <v>39</v>
      </c>
      <c r="D32" s="259"/>
      <c r="E32" s="24">
        <v>42</v>
      </c>
      <c r="F32" s="24">
        <v>34</v>
      </c>
      <c r="G32" s="25">
        <v>15174</v>
      </c>
      <c r="I32" s="26"/>
      <c r="J32" s="26"/>
      <c r="K32" s="26"/>
      <c r="L32" s="52"/>
      <c r="M32" s="52"/>
      <c r="N32" s="26"/>
      <c r="O32" s="26"/>
      <c r="P32" s="26"/>
    </row>
    <row r="33" spans="2:18" ht="13.5" thickBot="1">
      <c r="B33" s="248" t="s">
        <v>29</v>
      </c>
      <c r="C33" s="249"/>
      <c r="D33" s="250"/>
      <c r="E33" s="131">
        <f>SUM(E26:E32)</f>
        <v>113</v>
      </c>
      <c r="F33" s="131">
        <f>SUM(F26:F32)</f>
        <v>86</v>
      </c>
      <c r="G33" s="132">
        <f>SUM(G26:G32)</f>
        <v>86020</v>
      </c>
      <c r="I33" s="26"/>
      <c r="J33" s="26"/>
      <c r="K33" s="26"/>
      <c r="L33" s="52"/>
      <c r="M33" s="52"/>
      <c r="N33" s="26"/>
      <c r="O33" s="26"/>
      <c r="P33" s="26"/>
    </row>
    <row r="34" spans="2:18">
      <c r="I34" s="26"/>
      <c r="J34" s="26"/>
      <c r="K34" s="26"/>
      <c r="L34" s="52"/>
      <c r="M34" s="52"/>
      <c r="N34" s="26"/>
      <c r="O34" s="26"/>
      <c r="P34" s="26"/>
    </row>
    <row r="35" spans="2:18">
      <c r="I35" s="26"/>
      <c r="J35" s="26"/>
      <c r="K35" s="26"/>
      <c r="L35" s="26"/>
      <c r="M35" s="26"/>
      <c r="N35" s="26"/>
      <c r="O35" s="26"/>
      <c r="P35" s="26"/>
    </row>
    <row r="36" spans="2:18">
      <c r="I36" s="26"/>
      <c r="J36" s="26"/>
      <c r="K36" s="26"/>
      <c r="L36" s="53"/>
      <c r="M36" s="52"/>
      <c r="N36" s="26"/>
      <c r="O36" s="26"/>
      <c r="P36" s="26"/>
    </row>
    <row r="37" spans="2:18">
      <c r="I37" s="26"/>
      <c r="J37" s="26"/>
      <c r="K37" s="26"/>
      <c r="L37" s="53"/>
      <c r="M37" s="52"/>
      <c r="N37" s="26"/>
      <c r="O37" s="52"/>
      <c r="P37" s="26"/>
    </row>
    <row r="38" spans="2:18">
      <c r="I38" s="54"/>
      <c r="J38" s="55"/>
      <c r="K38" s="26"/>
      <c r="L38" s="56"/>
      <c r="M38" s="53"/>
      <c r="N38" s="26"/>
      <c r="O38" s="26"/>
      <c r="P38" s="26"/>
    </row>
    <row r="39" spans="2:18">
      <c r="I39" s="26"/>
      <c r="J39" s="26"/>
      <c r="K39" s="26"/>
      <c r="L39" s="26"/>
      <c r="M39" s="26"/>
      <c r="N39" s="26"/>
      <c r="O39" s="26"/>
      <c r="P39" s="26"/>
    </row>
    <row r="40" spans="2:18">
      <c r="I40" s="26"/>
      <c r="J40" s="26"/>
      <c r="K40" s="26"/>
      <c r="L40" s="26"/>
      <c r="M40" s="26"/>
      <c r="N40" s="26"/>
      <c r="O40" s="57"/>
      <c r="P40" s="26"/>
      <c r="Q40">
        <f>ROUND(((49*0.55)+49),2)</f>
        <v>75.95</v>
      </c>
      <c r="R40">
        <f>ROUND(((60025.25*0.43)+60025.25),2)</f>
        <v>85836.11</v>
      </c>
    </row>
    <row r="41" spans="2:18">
      <c r="I41" s="26"/>
      <c r="J41" s="26"/>
      <c r="K41" s="26"/>
      <c r="L41" s="26"/>
      <c r="M41" s="26"/>
      <c r="N41" s="26"/>
      <c r="O41" s="26"/>
      <c r="P41" s="26"/>
    </row>
    <row r="42" spans="2:18">
      <c r="I42" s="26"/>
      <c r="J42" s="26"/>
      <c r="K42" s="26"/>
      <c r="L42" s="26"/>
      <c r="M42" s="26"/>
      <c r="N42" s="26"/>
      <c r="O42" s="26"/>
      <c r="P42" s="26"/>
    </row>
  </sheetData>
  <mergeCells count="21">
    <mergeCell ref="N31:P31"/>
    <mergeCell ref="C26:D26"/>
    <mergeCell ref="C27:D27"/>
    <mergeCell ref="C28:D28"/>
    <mergeCell ref="C30:D30"/>
    <mergeCell ref="C29:D29"/>
    <mergeCell ref="B33:D33"/>
    <mergeCell ref="B20:D20"/>
    <mergeCell ref="B21:D21"/>
    <mergeCell ref="B24:G24"/>
    <mergeCell ref="C32:D32"/>
    <mergeCell ref="C31:D31"/>
    <mergeCell ref="A1:G1"/>
    <mergeCell ref="B22:D22"/>
    <mergeCell ref="B15:D15"/>
    <mergeCell ref="B13:G13"/>
    <mergeCell ref="B14:D14"/>
    <mergeCell ref="B17:D17"/>
    <mergeCell ref="B19:D19"/>
    <mergeCell ref="B18:D18"/>
    <mergeCell ref="B16:D16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>
    <oddFooter>&amp;L&amp;F&amp;R&amp;D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I33"/>
  <sheetViews>
    <sheetView workbookViewId="0">
      <selection activeCell="E12" sqref="E12"/>
    </sheetView>
  </sheetViews>
  <sheetFormatPr defaultRowHeight="12.75"/>
  <cols>
    <col min="1" max="1" width="11.5703125" bestFit="1" customWidth="1"/>
    <col min="2" max="2" width="8.7109375" style="16" customWidth="1"/>
    <col min="3" max="3" width="14.7109375" customWidth="1"/>
    <col min="4" max="4" width="18.7109375" customWidth="1"/>
    <col min="5" max="5" width="12.7109375" customWidth="1"/>
    <col min="6" max="6" width="17.85546875" bestFit="1" customWidth="1"/>
    <col min="7" max="7" width="16.7109375" customWidth="1"/>
    <col min="9" max="9" width="11.28515625" bestFit="1" customWidth="1"/>
    <col min="11" max="11" width="11.28515625" bestFit="1" customWidth="1"/>
    <col min="12" max="12" width="11.42578125" bestFit="1" customWidth="1"/>
    <col min="13" max="13" width="10.140625" bestFit="1" customWidth="1"/>
  </cols>
  <sheetData>
    <row r="1" spans="1:9" ht="32.25" customHeight="1" thickBot="1">
      <c r="A1" s="244" t="s">
        <v>40</v>
      </c>
      <c r="B1" s="245"/>
      <c r="C1" s="246"/>
      <c r="D1" s="246"/>
      <c r="E1" s="246"/>
      <c r="F1" s="246"/>
      <c r="G1" s="247"/>
    </row>
    <row r="2" spans="1:9" ht="13.5" thickBot="1">
      <c r="A2" s="27" t="s">
        <v>1</v>
      </c>
      <c r="B2" s="28" t="s">
        <v>2</v>
      </c>
      <c r="C2" s="29" t="s">
        <v>3</v>
      </c>
      <c r="D2" s="30" t="s">
        <v>4</v>
      </c>
      <c r="E2" s="31" t="s">
        <v>5</v>
      </c>
      <c r="F2" s="31" t="s">
        <v>6</v>
      </c>
      <c r="G2" s="32" t="s">
        <v>7</v>
      </c>
    </row>
    <row r="3" spans="1:9" ht="13.5" thickTop="1">
      <c r="A3" s="1" t="s">
        <v>8</v>
      </c>
      <c r="B3" s="2" t="s">
        <v>15</v>
      </c>
      <c r="C3" s="3">
        <v>26</v>
      </c>
      <c r="D3" s="3">
        <v>21</v>
      </c>
      <c r="E3" s="4">
        <f t="shared" ref="E3:E10" si="0">D3/C3</f>
        <v>0.80769230769230771</v>
      </c>
      <c r="F3" s="5">
        <v>31201.39</v>
      </c>
      <c r="G3" s="6">
        <v>24172</v>
      </c>
      <c r="I3" s="33"/>
    </row>
    <row r="4" spans="1:9">
      <c r="A4" s="7" t="s">
        <v>10</v>
      </c>
      <c r="B4" s="2" t="s">
        <v>15</v>
      </c>
      <c r="C4" s="8">
        <v>14</v>
      </c>
      <c r="D4" s="8">
        <v>13</v>
      </c>
      <c r="E4" s="4">
        <f t="shared" si="0"/>
        <v>0.9285714285714286</v>
      </c>
      <c r="F4" s="9">
        <v>15423.2</v>
      </c>
      <c r="G4" s="10">
        <v>13397</v>
      </c>
    </row>
    <row r="5" spans="1:9">
      <c r="A5" s="7" t="s">
        <v>11</v>
      </c>
      <c r="B5" s="2" t="s">
        <v>15</v>
      </c>
      <c r="C5" s="11">
        <v>11</v>
      </c>
      <c r="D5" s="11">
        <v>8</v>
      </c>
      <c r="E5" s="4">
        <f t="shared" si="0"/>
        <v>0.72727272727272729</v>
      </c>
      <c r="F5" s="12">
        <v>9334</v>
      </c>
      <c r="G5" s="13">
        <v>5834</v>
      </c>
    </row>
    <row r="6" spans="1:9">
      <c r="A6" s="7" t="s">
        <v>12</v>
      </c>
      <c r="B6" s="2" t="s">
        <v>15</v>
      </c>
      <c r="C6" s="11">
        <v>23</v>
      </c>
      <c r="D6" s="11">
        <v>11</v>
      </c>
      <c r="E6" s="4">
        <f t="shared" si="0"/>
        <v>0.47826086956521741</v>
      </c>
      <c r="F6" s="12">
        <v>22450.080000000002</v>
      </c>
      <c r="G6" s="14">
        <v>11189</v>
      </c>
    </row>
    <row r="7" spans="1:9">
      <c r="A7" s="7" t="s">
        <v>13</v>
      </c>
      <c r="B7" s="2" t="s">
        <v>15</v>
      </c>
      <c r="C7" s="11">
        <v>17</v>
      </c>
      <c r="D7" s="11">
        <v>13</v>
      </c>
      <c r="E7" s="4">
        <f t="shared" si="0"/>
        <v>0.76470588235294112</v>
      </c>
      <c r="F7" s="12">
        <f>'[2]December 2006'!D22</f>
        <v>12053.53</v>
      </c>
      <c r="G7" s="14">
        <f>'[2]December 2006'!E22</f>
        <v>9802</v>
      </c>
      <c r="I7" s="34"/>
    </row>
    <row r="8" spans="1:9">
      <c r="A8" s="7" t="s">
        <v>14</v>
      </c>
      <c r="B8" s="2" t="s">
        <v>41</v>
      </c>
      <c r="C8" s="11">
        <v>23</v>
      </c>
      <c r="D8" s="11">
        <v>18</v>
      </c>
      <c r="E8" s="4">
        <f t="shared" si="0"/>
        <v>0.78260869565217395</v>
      </c>
      <c r="F8" s="12">
        <v>21936</v>
      </c>
      <c r="G8" s="14">
        <v>16936</v>
      </c>
    </row>
    <row r="9" spans="1:9">
      <c r="A9" s="7" t="s">
        <v>16</v>
      </c>
      <c r="B9" s="2" t="s">
        <v>41</v>
      </c>
      <c r="C9" s="11">
        <v>21</v>
      </c>
      <c r="D9" s="11">
        <v>13</v>
      </c>
      <c r="E9" s="4">
        <f t="shared" si="0"/>
        <v>0.61904761904761907</v>
      </c>
      <c r="F9" s="12">
        <v>15303.33</v>
      </c>
      <c r="G9" s="14">
        <v>9593</v>
      </c>
    </row>
    <row r="10" spans="1:9" ht="13.5" thickBot="1">
      <c r="A10" s="7" t="s">
        <v>42</v>
      </c>
      <c r="B10" s="2" t="s">
        <v>41</v>
      </c>
      <c r="C10" s="11">
        <v>11</v>
      </c>
      <c r="D10" s="11">
        <v>8</v>
      </c>
      <c r="E10" s="4">
        <f t="shared" si="0"/>
        <v>0.72727272727272729</v>
      </c>
      <c r="F10" s="12">
        <f>'[2]April 2007'!D16</f>
        <v>9207.68</v>
      </c>
      <c r="G10" s="14">
        <f>'[2]April 2007'!E16</f>
        <v>5707</v>
      </c>
    </row>
    <row r="11" spans="1:9" ht="13.5" thickBot="1">
      <c r="A11" s="35" t="s">
        <v>17</v>
      </c>
      <c r="B11" s="36"/>
      <c r="C11" s="36">
        <f>SUM(C3:C10)</f>
        <v>146</v>
      </c>
      <c r="D11" s="36">
        <f>SUM(D3:D10)</f>
        <v>105</v>
      </c>
      <c r="E11" s="37">
        <f>D11/C11</f>
        <v>0.71917808219178081</v>
      </c>
      <c r="F11" s="38">
        <f>SUM(F3:F10)</f>
        <v>136909.21</v>
      </c>
      <c r="G11" s="39">
        <f>SUM(G3:G10)</f>
        <v>96630</v>
      </c>
    </row>
    <row r="12" spans="1:9" ht="13.5" thickBot="1"/>
    <row r="13" spans="1:9" ht="13.5" thickBot="1">
      <c r="B13" s="237" t="s">
        <v>43</v>
      </c>
      <c r="C13" s="240"/>
      <c r="D13" s="240"/>
      <c r="E13" s="240"/>
      <c r="F13" s="240"/>
      <c r="G13" s="251"/>
    </row>
    <row r="14" spans="1:9" ht="13.5" thickBot="1">
      <c r="B14" s="269" t="s">
        <v>19</v>
      </c>
      <c r="C14" s="270"/>
      <c r="D14" s="271"/>
      <c r="E14" s="31" t="s">
        <v>20</v>
      </c>
      <c r="F14" s="30" t="s">
        <v>21</v>
      </c>
      <c r="G14" s="40" t="s">
        <v>7</v>
      </c>
    </row>
    <row r="15" spans="1:9" ht="13.5" thickTop="1">
      <c r="B15" s="266" t="s">
        <v>22</v>
      </c>
      <c r="C15" s="267"/>
      <c r="D15" s="265"/>
      <c r="E15" s="41">
        <v>17</v>
      </c>
      <c r="F15" s="41">
        <v>12</v>
      </c>
      <c r="G15" s="42">
        <v>10914</v>
      </c>
    </row>
    <row r="16" spans="1:9">
      <c r="B16" s="262" t="s">
        <v>23</v>
      </c>
      <c r="C16" s="263"/>
      <c r="D16" s="255"/>
      <c r="E16" s="43">
        <v>29</v>
      </c>
      <c r="F16" s="43">
        <v>18</v>
      </c>
      <c r="G16" s="44">
        <v>13152</v>
      </c>
    </row>
    <row r="17" spans="2:9">
      <c r="B17" s="262" t="s">
        <v>24</v>
      </c>
      <c r="C17" s="263"/>
      <c r="D17" s="255"/>
      <c r="E17" s="43">
        <v>3</v>
      </c>
      <c r="F17" s="43">
        <v>3</v>
      </c>
      <c r="G17" s="44">
        <v>3334</v>
      </c>
    </row>
    <row r="18" spans="2:9">
      <c r="B18" s="262" t="s">
        <v>25</v>
      </c>
      <c r="C18" s="263"/>
      <c r="D18" s="255"/>
      <c r="E18" s="43">
        <v>9</v>
      </c>
      <c r="F18" s="43">
        <v>4</v>
      </c>
      <c r="G18" s="44">
        <v>2500</v>
      </c>
    </row>
    <row r="19" spans="2:9">
      <c r="B19" s="262" t="s">
        <v>26</v>
      </c>
      <c r="C19" s="263"/>
      <c r="D19" s="255"/>
      <c r="E19" s="43">
        <v>49</v>
      </c>
      <c r="F19" s="43">
        <v>35</v>
      </c>
      <c r="G19" s="44">
        <v>34321</v>
      </c>
    </row>
    <row r="20" spans="2:9">
      <c r="B20" s="262" t="s">
        <v>27</v>
      </c>
      <c r="C20" s="263"/>
      <c r="D20" s="255"/>
      <c r="E20" s="43">
        <v>36</v>
      </c>
      <c r="F20" s="43">
        <v>31</v>
      </c>
      <c r="G20" s="44">
        <v>30481</v>
      </c>
      <c r="I20" s="45"/>
    </row>
    <row r="21" spans="2:9" ht="13.5" thickBot="1">
      <c r="B21" s="272" t="s">
        <v>28</v>
      </c>
      <c r="C21" s="273"/>
      <c r="D21" s="274"/>
      <c r="E21" s="18">
        <v>3</v>
      </c>
      <c r="F21" s="18">
        <v>2</v>
      </c>
      <c r="G21" s="19">
        <v>1928</v>
      </c>
      <c r="I21" s="45"/>
    </row>
    <row r="22" spans="2:9" ht="13.5" thickBot="1">
      <c r="B22" s="268" t="s">
        <v>29</v>
      </c>
      <c r="C22" s="249"/>
      <c r="D22" s="250"/>
      <c r="E22" s="36">
        <f>SUM(E15:E21)</f>
        <v>146</v>
      </c>
      <c r="F22" s="36">
        <f>SUM(F15:F21)</f>
        <v>105</v>
      </c>
      <c r="G22" s="39">
        <f>SUM(G15:G21)</f>
        <v>96630</v>
      </c>
      <c r="I22" s="45"/>
    </row>
    <row r="23" spans="2:9" ht="13.5" thickBot="1">
      <c r="I23" s="45"/>
    </row>
    <row r="24" spans="2:9" ht="13.5" thickBot="1">
      <c r="B24" s="237" t="s">
        <v>44</v>
      </c>
      <c r="C24" s="240"/>
      <c r="D24" s="240"/>
      <c r="E24" s="240"/>
      <c r="F24" s="240"/>
      <c r="G24" s="251"/>
      <c r="I24" s="45"/>
    </row>
    <row r="25" spans="2:9" ht="13.5" thickBot="1">
      <c r="B25" s="46" t="s">
        <v>31</v>
      </c>
      <c r="C25" s="31" t="s">
        <v>32</v>
      </c>
      <c r="D25" s="31"/>
      <c r="E25" s="31" t="s">
        <v>20</v>
      </c>
      <c r="F25" s="30" t="s">
        <v>21</v>
      </c>
      <c r="G25" s="32" t="s">
        <v>7</v>
      </c>
      <c r="I25" s="45"/>
    </row>
    <row r="26" spans="2:9" ht="13.5" thickTop="1">
      <c r="B26" s="20">
        <v>1</v>
      </c>
      <c r="C26" s="264" t="s">
        <v>33</v>
      </c>
      <c r="D26" s="265"/>
      <c r="E26" s="17">
        <v>4</v>
      </c>
      <c r="F26" s="17">
        <v>1</v>
      </c>
      <c r="G26" s="6">
        <v>1500</v>
      </c>
      <c r="I26" s="45"/>
    </row>
    <row r="27" spans="2:9">
      <c r="B27" s="21">
        <v>2</v>
      </c>
      <c r="C27" s="254" t="s">
        <v>34</v>
      </c>
      <c r="D27" s="255"/>
      <c r="E27" s="43">
        <v>11</v>
      </c>
      <c r="F27" s="43">
        <v>8</v>
      </c>
      <c r="G27" s="10">
        <v>11120</v>
      </c>
      <c r="I27" s="45"/>
    </row>
    <row r="28" spans="2:9">
      <c r="B28" s="21">
        <v>3</v>
      </c>
      <c r="C28" s="254" t="s">
        <v>35</v>
      </c>
      <c r="D28" s="255"/>
      <c r="E28" s="43">
        <v>3</v>
      </c>
      <c r="F28" s="43">
        <v>3</v>
      </c>
      <c r="G28" s="10">
        <v>3500</v>
      </c>
      <c r="I28" s="33"/>
    </row>
    <row r="29" spans="2:9">
      <c r="B29" s="21">
        <v>4</v>
      </c>
      <c r="C29" s="254" t="s">
        <v>36</v>
      </c>
      <c r="D29" s="255"/>
      <c r="E29" s="43">
        <v>53</v>
      </c>
      <c r="F29" s="43">
        <v>39</v>
      </c>
      <c r="G29" s="10">
        <v>50387</v>
      </c>
    </row>
    <row r="30" spans="2:9">
      <c r="B30" s="21">
        <v>5</v>
      </c>
      <c r="C30" s="254" t="s">
        <v>37</v>
      </c>
      <c r="D30" s="255"/>
      <c r="E30" s="43">
        <v>4</v>
      </c>
      <c r="F30" s="43">
        <v>4</v>
      </c>
      <c r="G30" s="10">
        <v>5015</v>
      </c>
    </row>
    <row r="31" spans="2:9">
      <c r="B31" s="21">
        <v>6</v>
      </c>
      <c r="C31" s="254" t="s">
        <v>38</v>
      </c>
      <c r="D31" s="255"/>
      <c r="E31" s="43">
        <v>4</v>
      </c>
      <c r="F31" s="43">
        <v>3</v>
      </c>
      <c r="G31" s="10">
        <v>3955</v>
      </c>
    </row>
    <row r="32" spans="2:9" ht="13.5" thickBot="1">
      <c r="B32" s="23">
        <v>7</v>
      </c>
      <c r="C32" s="275" t="s">
        <v>39</v>
      </c>
      <c r="D32" s="274"/>
      <c r="E32" s="47">
        <v>67</v>
      </c>
      <c r="F32" s="47">
        <v>47</v>
      </c>
      <c r="G32" s="25">
        <v>21153</v>
      </c>
    </row>
    <row r="33" spans="2:7" ht="13.5" thickBot="1">
      <c r="B33" s="268" t="s">
        <v>29</v>
      </c>
      <c r="C33" s="249"/>
      <c r="D33" s="250"/>
      <c r="E33" s="36">
        <f>SUM(E26:E32)</f>
        <v>146</v>
      </c>
      <c r="F33" s="36">
        <f>SUM(F26:F32)</f>
        <v>105</v>
      </c>
      <c r="G33" s="39">
        <f>SUM(G26:G32)</f>
        <v>96630</v>
      </c>
    </row>
  </sheetData>
  <mergeCells count="20">
    <mergeCell ref="B17:D17"/>
    <mergeCell ref="B16:D16"/>
    <mergeCell ref="B14:D14"/>
    <mergeCell ref="B33:D33"/>
    <mergeCell ref="B20:D20"/>
    <mergeCell ref="B21:D21"/>
    <mergeCell ref="B24:G24"/>
    <mergeCell ref="C32:D32"/>
    <mergeCell ref="C31:D31"/>
    <mergeCell ref="C30:D30"/>
    <mergeCell ref="C29:D29"/>
    <mergeCell ref="A1:G1"/>
    <mergeCell ref="B18:D18"/>
    <mergeCell ref="C28:D28"/>
    <mergeCell ref="C26:D26"/>
    <mergeCell ref="C27:D27"/>
    <mergeCell ref="B13:G13"/>
    <mergeCell ref="B15:D15"/>
    <mergeCell ref="B22:D22"/>
    <mergeCell ref="B19:D19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>
    <oddFooter>&amp;L&amp;F&amp;R&amp;D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I35"/>
  <sheetViews>
    <sheetView workbookViewId="0">
      <selection activeCell="E12" sqref="E12"/>
    </sheetView>
  </sheetViews>
  <sheetFormatPr defaultRowHeight="12.75"/>
  <cols>
    <col min="1" max="1" width="11.5703125" bestFit="1" customWidth="1"/>
    <col min="2" max="2" width="8.7109375" style="16" customWidth="1"/>
    <col min="3" max="3" width="14.7109375" customWidth="1"/>
    <col min="4" max="4" width="18.7109375" customWidth="1"/>
    <col min="5" max="5" width="12.7109375" customWidth="1"/>
    <col min="6" max="6" width="17.85546875" bestFit="1" customWidth="1"/>
    <col min="7" max="7" width="16.7109375" customWidth="1"/>
    <col min="9" max="11" width="11.28515625" bestFit="1" customWidth="1"/>
    <col min="12" max="12" width="11.42578125" bestFit="1" customWidth="1"/>
    <col min="13" max="13" width="10.140625" bestFit="1" customWidth="1"/>
  </cols>
  <sheetData>
    <row r="1" spans="1:9" ht="32.25" customHeight="1" thickBot="1">
      <c r="A1" s="244" t="s">
        <v>45</v>
      </c>
      <c r="B1" s="245"/>
      <c r="C1" s="246"/>
      <c r="D1" s="246"/>
      <c r="E1" s="246"/>
      <c r="F1" s="246"/>
      <c r="G1" s="247"/>
    </row>
    <row r="2" spans="1:9" ht="13.5" thickBot="1">
      <c r="A2" s="27" t="s">
        <v>1</v>
      </c>
      <c r="B2" s="28" t="s">
        <v>2</v>
      </c>
      <c r="C2" s="29" t="s">
        <v>3</v>
      </c>
      <c r="D2" s="30" t="s">
        <v>4</v>
      </c>
      <c r="E2" s="31" t="s">
        <v>5</v>
      </c>
      <c r="F2" s="31" t="s">
        <v>6</v>
      </c>
      <c r="G2" s="32" t="s">
        <v>7</v>
      </c>
    </row>
    <row r="3" spans="1:9" ht="13.5" thickTop="1">
      <c r="A3" s="1" t="s">
        <v>8</v>
      </c>
      <c r="B3" s="2" t="s">
        <v>41</v>
      </c>
      <c r="C3" s="3">
        <v>33</v>
      </c>
      <c r="D3" s="3">
        <v>21</v>
      </c>
      <c r="E3" s="4">
        <f t="shared" ref="E3:E10" si="0">D3/C3</f>
        <v>0.63636363636363635</v>
      </c>
      <c r="F3" s="5">
        <v>38154.76</v>
      </c>
      <c r="G3" s="6">
        <v>22418</v>
      </c>
      <c r="I3" s="33"/>
    </row>
    <row r="4" spans="1:9">
      <c r="A4" s="7" t="s">
        <v>10</v>
      </c>
      <c r="B4" s="2" t="s">
        <v>41</v>
      </c>
      <c r="C4" s="8">
        <v>20</v>
      </c>
      <c r="D4" s="8">
        <v>16</v>
      </c>
      <c r="E4" s="4">
        <f t="shared" si="0"/>
        <v>0.8</v>
      </c>
      <c r="F4" s="9">
        <f>'[3]September 2007'!D25</f>
        <v>25429.1</v>
      </c>
      <c r="G4" s="10">
        <v>19310</v>
      </c>
    </row>
    <row r="5" spans="1:9">
      <c r="A5" s="7" t="s">
        <v>11</v>
      </c>
      <c r="B5" s="2" t="s">
        <v>41</v>
      </c>
      <c r="C5" s="11">
        <v>19</v>
      </c>
      <c r="D5" s="11">
        <v>16</v>
      </c>
      <c r="E5" s="4">
        <f t="shared" si="0"/>
        <v>0.84210526315789469</v>
      </c>
      <c r="F5" s="12">
        <f>'[3]October 2007'!D24</f>
        <v>14504.09</v>
      </c>
      <c r="G5" s="13">
        <f>'[3]October 2007'!E24</f>
        <v>11855</v>
      </c>
    </row>
    <row r="6" spans="1:9">
      <c r="A6" s="7" t="s">
        <v>12</v>
      </c>
      <c r="B6" s="2" t="s">
        <v>41</v>
      </c>
      <c r="C6" s="11">
        <v>19</v>
      </c>
      <c r="D6" s="11">
        <v>14</v>
      </c>
      <c r="E6" s="4">
        <f t="shared" si="0"/>
        <v>0.73684210526315785</v>
      </c>
      <c r="F6" s="12">
        <f>'[3]November 2007'!D22</f>
        <v>16848</v>
      </c>
      <c r="G6" s="14">
        <f>'[3]November 2007'!E22</f>
        <v>11893</v>
      </c>
    </row>
    <row r="7" spans="1:9">
      <c r="A7" s="7" t="s">
        <v>13</v>
      </c>
      <c r="B7" s="2" t="s">
        <v>41</v>
      </c>
      <c r="C7" s="11">
        <v>14</v>
      </c>
      <c r="D7" s="11">
        <v>11</v>
      </c>
      <c r="E7" s="4">
        <f t="shared" si="0"/>
        <v>0.7857142857142857</v>
      </c>
      <c r="F7" s="12">
        <v>16311.6</v>
      </c>
      <c r="G7" s="14">
        <v>11597.1</v>
      </c>
      <c r="I7" s="34"/>
    </row>
    <row r="8" spans="1:9">
      <c r="A8" s="7" t="s">
        <v>14</v>
      </c>
      <c r="B8" s="2" t="s">
        <v>46</v>
      </c>
      <c r="C8" s="11">
        <v>25</v>
      </c>
      <c r="D8" s="11">
        <v>21</v>
      </c>
      <c r="E8" s="4">
        <f t="shared" si="0"/>
        <v>0.84</v>
      </c>
      <c r="F8" s="12">
        <f>'[3]February 2008'!D30</f>
        <v>24873.86</v>
      </c>
      <c r="G8" s="14">
        <f>'[3]February 2008'!E30</f>
        <v>20712</v>
      </c>
    </row>
    <row r="9" spans="1:9">
      <c r="A9" s="7" t="s">
        <v>16</v>
      </c>
      <c r="B9" s="2" t="s">
        <v>46</v>
      </c>
      <c r="C9" s="11">
        <v>22</v>
      </c>
      <c r="D9" s="11">
        <v>16</v>
      </c>
      <c r="E9" s="4">
        <f t="shared" si="0"/>
        <v>0.72727272727272729</v>
      </c>
      <c r="F9" s="12">
        <f>'[3]March 2008'!D27</f>
        <v>21127.5</v>
      </c>
      <c r="G9" s="14">
        <f>'[3]March 2008'!E27</f>
        <v>16128</v>
      </c>
    </row>
    <row r="10" spans="1:9" ht="13.5" thickBot="1">
      <c r="A10" s="7" t="s">
        <v>42</v>
      </c>
      <c r="B10" s="2" t="s">
        <v>46</v>
      </c>
      <c r="C10" s="11">
        <v>19</v>
      </c>
      <c r="D10" s="11">
        <v>17</v>
      </c>
      <c r="E10" s="4">
        <f t="shared" si="0"/>
        <v>0.89473684210526316</v>
      </c>
      <c r="F10" s="12">
        <v>21665.27</v>
      </c>
      <c r="G10" s="14">
        <v>18717</v>
      </c>
    </row>
    <row r="11" spans="1:9" ht="13.5" thickBot="1">
      <c r="A11" s="35" t="s">
        <v>17</v>
      </c>
      <c r="B11" s="36"/>
      <c r="C11" s="36">
        <f>SUM(C3:C10)</f>
        <v>171</v>
      </c>
      <c r="D11" s="36">
        <f>SUM(D3:D10)</f>
        <v>132</v>
      </c>
      <c r="E11" s="37">
        <f>D11/C11</f>
        <v>0.77192982456140347</v>
      </c>
      <c r="F11" s="38">
        <f>SUM(F3:F10)</f>
        <v>178914.18</v>
      </c>
      <c r="G11" s="39">
        <f>SUM(G3:G10)</f>
        <v>132630.1</v>
      </c>
    </row>
    <row r="12" spans="1:9" ht="13.5" thickBot="1"/>
    <row r="13" spans="1:9" ht="13.5" thickBot="1">
      <c r="B13" s="237" t="s">
        <v>47</v>
      </c>
      <c r="C13" s="240"/>
      <c r="D13" s="240"/>
      <c r="E13" s="240"/>
      <c r="F13" s="240"/>
      <c r="G13" s="251"/>
    </row>
    <row r="14" spans="1:9" ht="13.5" thickBot="1">
      <c r="B14" s="269" t="s">
        <v>19</v>
      </c>
      <c r="C14" s="270"/>
      <c r="D14" s="271"/>
      <c r="E14" s="31" t="s">
        <v>20</v>
      </c>
      <c r="F14" s="30" t="s">
        <v>21</v>
      </c>
      <c r="G14" s="40" t="s">
        <v>7</v>
      </c>
    </row>
    <row r="15" spans="1:9" ht="13.5" thickTop="1">
      <c r="B15" s="266" t="s">
        <v>22</v>
      </c>
      <c r="C15" s="267"/>
      <c r="D15" s="265"/>
      <c r="E15" s="41">
        <v>17</v>
      </c>
      <c r="F15" s="41">
        <v>13</v>
      </c>
      <c r="G15" s="42">
        <v>15000</v>
      </c>
    </row>
    <row r="16" spans="1:9">
      <c r="B16" s="262" t="s">
        <v>23</v>
      </c>
      <c r="C16" s="263"/>
      <c r="D16" s="255"/>
      <c r="E16" s="43">
        <v>38</v>
      </c>
      <c r="F16" s="43">
        <v>31</v>
      </c>
      <c r="G16" s="44">
        <v>25353</v>
      </c>
    </row>
    <row r="17" spans="2:9">
      <c r="B17" s="262" t="s">
        <v>24</v>
      </c>
      <c r="C17" s="263"/>
      <c r="D17" s="255"/>
      <c r="E17" s="43">
        <v>13</v>
      </c>
      <c r="F17" s="43">
        <v>12</v>
      </c>
      <c r="G17" s="44">
        <v>15166</v>
      </c>
      <c r="I17" s="48"/>
    </row>
    <row r="18" spans="2:9">
      <c r="B18" s="262" t="s">
        <v>25</v>
      </c>
      <c r="C18" s="263"/>
      <c r="D18" s="255"/>
      <c r="E18" s="43">
        <v>26</v>
      </c>
      <c r="F18" s="43">
        <v>21</v>
      </c>
      <c r="G18" s="44">
        <v>21249</v>
      </c>
    </row>
    <row r="19" spans="2:9">
      <c r="B19" s="262" t="s">
        <v>26</v>
      </c>
      <c r="C19" s="263"/>
      <c r="D19" s="255"/>
      <c r="E19" s="43">
        <v>39</v>
      </c>
      <c r="F19" s="43">
        <v>28</v>
      </c>
      <c r="G19" s="44">
        <v>26805</v>
      </c>
    </row>
    <row r="20" spans="2:9">
      <c r="B20" s="262" t="s">
        <v>27</v>
      </c>
      <c r="C20" s="263"/>
      <c r="D20" s="255"/>
      <c r="E20" s="43">
        <v>37</v>
      </c>
      <c r="F20" s="43">
        <v>26</v>
      </c>
      <c r="G20" s="44">
        <v>28198</v>
      </c>
      <c r="I20" s="34"/>
    </row>
    <row r="21" spans="2:9" ht="13.5" thickBot="1">
      <c r="B21" s="272" t="s">
        <v>28</v>
      </c>
      <c r="C21" s="273"/>
      <c r="D21" s="274"/>
      <c r="E21" s="18">
        <v>1</v>
      </c>
      <c r="F21" s="18">
        <v>1</v>
      </c>
      <c r="G21" s="19">
        <v>859.1</v>
      </c>
      <c r="I21" s="34"/>
    </row>
    <row r="22" spans="2:9" ht="13.5" thickBot="1">
      <c r="B22" s="268" t="s">
        <v>29</v>
      </c>
      <c r="C22" s="249"/>
      <c r="D22" s="250"/>
      <c r="E22" s="36">
        <f>SUM(E15:E21)</f>
        <v>171</v>
      </c>
      <c r="F22" s="36">
        <f>SUM(F15:F21)</f>
        <v>132</v>
      </c>
      <c r="G22" s="39">
        <f>SUM(G15:G21)</f>
        <v>132630.1</v>
      </c>
      <c r="I22" s="33"/>
    </row>
    <row r="23" spans="2:9" ht="13.5" thickBot="1"/>
    <row r="24" spans="2:9" ht="13.5" thickBot="1">
      <c r="B24" s="237" t="s">
        <v>48</v>
      </c>
      <c r="C24" s="240"/>
      <c r="D24" s="240"/>
      <c r="E24" s="240"/>
      <c r="F24" s="240"/>
      <c r="G24" s="251"/>
    </row>
    <row r="25" spans="2:9" ht="13.5" thickBot="1">
      <c r="B25" s="46" t="s">
        <v>31</v>
      </c>
      <c r="C25" s="31" t="s">
        <v>32</v>
      </c>
      <c r="D25" s="31"/>
      <c r="E25" s="31" t="s">
        <v>20</v>
      </c>
      <c r="F25" s="30" t="s">
        <v>21</v>
      </c>
      <c r="G25" s="32" t="s">
        <v>7</v>
      </c>
      <c r="I25" s="49"/>
    </row>
    <row r="26" spans="2:9" ht="13.5" thickTop="1">
      <c r="B26" s="20">
        <v>1</v>
      </c>
      <c r="C26" s="264" t="s">
        <v>33</v>
      </c>
      <c r="D26" s="265"/>
      <c r="E26" s="17">
        <v>3</v>
      </c>
      <c r="F26" s="17">
        <v>3</v>
      </c>
      <c r="G26" s="42">
        <v>3630</v>
      </c>
      <c r="I26" s="49"/>
    </row>
    <row r="27" spans="2:9">
      <c r="B27" s="21">
        <v>2</v>
      </c>
      <c r="C27" s="254" t="s">
        <v>34</v>
      </c>
      <c r="D27" s="255"/>
      <c r="E27" s="43">
        <v>14</v>
      </c>
      <c r="F27" s="43">
        <v>12</v>
      </c>
      <c r="G27" s="44">
        <v>16814</v>
      </c>
      <c r="I27" s="45"/>
    </row>
    <row r="28" spans="2:9">
      <c r="B28" s="21">
        <v>3</v>
      </c>
      <c r="C28" s="254" t="s">
        <v>35</v>
      </c>
      <c r="D28" s="255"/>
      <c r="E28" s="43">
        <v>3</v>
      </c>
      <c r="F28" s="43">
        <v>3</v>
      </c>
      <c r="G28" s="44">
        <v>4500</v>
      </c>
      <c r="I28" s="33"/>
    </row>
    <row r="29" spans="2:9">
      <c r="B29" s="21">
        <v>4</v>
      </c>
      <c r="C29" s="254" t="s">
        <v>36</v>
      </c>
      <c r="D29" s="255"/>
      <c r="E29" s="43">
        <v>52</v>
      </c>
      <c r="F29" s="43">
        <v>42</v>
      </c>
      <c r="G29" s="44">
        <v>57780</v>
      </c>
    </row>
    <row r="30" spans="2:9">
      <c r="B30" s="21">
        <v>5</v>
      </c>
      <c r="C30" s="254" t="s">
        <v>37</v>
      </c>
      <c r="D30" s="255"/>
      <c r="E30" s="43">
        <v>16</v>
      </c>
      <c r="F30" s="43">
        <v>13</v>
      </c>
      <c r="G30" s="44">
        <v>15509.1</v>
      </c>
    </row>
    <row r="31" spans="2:9">
      <c r="B31" s="21">
        <v>6</v>
      </c>
      <c r="C31" s="254" t="s">
        <v>38</v>
      </c>
      <c r="D31" s="255"/>
      <c r="E31" s="43">
        <v>14</v>
      </c>
      <c r="F31" s="43">
        <v>9</v>
      </c>
      <c r="G31" s="44">
        <v>10925</v>
      </c>
      <c r="I31" s="48"/>
    </row>
    <row r="32" spans="2:9" ht="13.5" thickBot="1">
      <c r="B32" s="23">
        <v>7</v>
      </c>
      <c r="C32" s="275" t="s">
        <v>39</v>
      </c>
      <c r="D32" s="274"/>
      <c r="E32" s="47">
        <v>69</v>
      </c>
      <c r="F32" s="47">
        <v>50</v>
      </c>
      <c r="G32" s="25">
        <v>23472</v>
      </c>
    </row>
    <row r="33" spans="2:7" ht="13.5" thickBot="1">
      <c r="B33" s="268" t="s">
        <v>29</v>
      </c>
      <c r="C33" s="249"/>
      <c r="D33" s="250"/>
      <c r="E33" s="36">
        <f>SUM(E26:E32)</f>
        <v>171</v>
      </c>
      <c r="F33" s="36">
        <f>SUM(F26:F32)</f>
        <v>132</v>
      </c>
      <c r="G33" s="39">
        <f>SUM(G26:G32)</f>
        <v>132630.1</v>
      </c>
    </row>
    <row r="35" spans="2:7">
      <c r="E35" s="50"/>
      <c r="F35" s="50"/>
    </row>
  </sheetData>
  <mergeCells count="20">
    <mergeCell ref="C29:D29"/>
    <mergeCell ref="A1:G1"/>
    <mergeCell ref="B18:D18"/>
    <mergeCell ref="C28:D28"/>
    <mergeCell ref="C26:D26"/>
    <mergeCell ref="C27:D27"/>
    <mergeCell ref="B13:G13"/>
    <mergeCell ref="B15:D15"/>
    <mergeCell ref="B22:D22"/>
    <mergeCell ref="B19:D19"/>
    <mergeCell ref="B17:D17"/>
    <mergeCell ref="B16:D16"/>
    <mergeCell ref="B14:D14"/>
    <mergeCell ref="B33:D33"/>
    <mergeCell ref="B20:D20"/>
    <mergeCell ref="B21:D21"/>
    <mergeCell ref="B24:G24"/>
    <mergeCell ref="C32:D32"/>
    <mergeCell ref="C31:D31"/>
    <mergeCell ref="C30:D30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>
    <oddFooter>&amp;L&amp;F&amp;R&amp;D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zoomScaleNormal="100" workbookViewId="0">
      <selection activeCell="H19" sqref="H19"/>
    </sheetView>
  </sheetViews>
  <sheetFormatPr defaultRowHeight="12.75"/>
  <cols>
    <col min="1" max="1" width="10.7109375" customWidth="1"/>
    <col min="2" max="2" width="9.5703125" customWidth="1"/>
    <col min="3" max="3" width="12.42578125" customWidth="1"/>
    <col min="4" max="4" width="14.5703125" customWidth="1"/>
    <col min="5" max="5" width="11.42578125" bestFit="1" customWidth="1"/>
    <col min="6" max="6" width="18.42578125" bestFit="1" customWidth="1"/>
    <col min="7" max="7" width="16.85546875" bestFit="1" customWidth="1"/>
  </cols>
  <sheetData>
    <row r="1" spans="1:7" ht="26.25" customHeight="1" thickBot="1">
      <c r="A1" s="244" t="s">
        <v>55</v>
      </c>
      <c r="B1" s="245"/>
      <c r="C1" s="246"/>
      <c r="D1" s="246"/>
      <c r="E1" s="246"/>
      <c r="F1" s="246"/>
      <c r="G1" s="247"/>
    </row>
    <row r="2" spans="1:7" ht="13.5" thickBot="1">
      <c r="A2" s="27" t="s">
        <v>1</v>
      </c>
      <c r="B2" s="28" t="s">
        <v>2</v>
      </c>
      <c r="C2" s="29" t="s">
        <v>3</v>
      </c>
      <c r="D2" s="30" t="s">
        <v>4</v>
      </c>
      <c r="E2" s="31" t="s">
        <v>5</v>
      </c>
      <c r="F2" s="31" t="s">
        <v>6</v>
      </c>
      <c r="G2" s="32" t="s">
        <v>7</v>
      </c>
    </row>
    <row r="3" spans="1:7" ht="13.5" thickTop="1">
      <c r="A3" s="1" t="s">
        <v>8</v>
      </c>
      <c r="B3" s="2" t="s">
        <v>46</v>
      </c>
      <c r="C3" s="3">
        <v>22</v>
      </c>
      <c r="D3" s="3">
        <v>21</v>
      </c>
      <c r="E3" s="65">
        <f t="shared" ref="E3:E10" si="0">D3/C3</f>
        <v>0.95454545454545459</v>
      </c>
      <c r="F3" s="5">
        <v>23131</v>
      </c>
      <c r="G3" s="6">
        <v>21221</v>
      </c>
    </row>
    <row r="4" spans="1:7">
      <c r="A4" s="7" t="s">
        <v>10</v>
      </c>
      <c r="B4" s="2" t="s">
        <v>46</v>
      </c>
      <c r="C4" s="8">
        <v>23</v>
      </c>
      <c r="D4" s="8">
        <v>16</v>
      </c>
      <c r="E4" s="65">
        <f t="shared" si="0"/>
        <v>0.69565217391304346</v>
      </c>
      <c r="F4" s="9">
        <v>20129.12</v>
      </c>
      <c r="G4" s="10">
        <v>13680</v>
      </c>
    </row>
    <row r="5" spans="1:7">
      <c r="A5" s="7" t="s">
        <v>11</v>
      </c>
      <c r="B5" s="2" t="s">
        <v>46</v>
      </c>
      <c r="C5" s="11">
        <v>27</v>
      </c>
      <c r="D5" s="11">
        <v>22</v>
      </c>
      <c r="E5" s="65">
        <f t="shared" si="0"/>
        <v>0.81481481481481477</v>
      </c>
      <c r="F5" s="12">
        <v>20993.57</v>
      </c>
      <c r="G5" s="66">
        <v>13807.22</v>
      </c>
    </row>
    <row r="6" spans="1:7">
      <c r="A6" s="7" t="s">
        <v>12</v>
      </c>
      <c r="B6" s="2" t="s">
        <v>46</v>
      </c>
      <c r="C6" s="11">
        <v>14</v>
      </c>
      <c r="D6" s="11">
        <v>8</v>
      </c>
      <c r="E6" s="65">
        <f t="shared" si="0"/>
        <v>0.5714285714285714</v>
      </c>
      <c r="F6" s="12">
        <v>14283.86</v>
      </c>
      <c r="G6" s="14">
        <v>8590</v>
      </c>
    </row>
    <row r="7" spans="1:7">
      <c r="A7" s="7" t="s">
        <v>13</v>
      </c>
      <c r="B7" s="2" t="s">
        <v>46</v>
      </c>
      <c r="C7" s="11">
        <v>14</v>
      </c>
      <c r="D7" s="11">
        <v>10</v>
      </c>
      <c r="E7" s="65">
        <f t="shared" si="0"/>
        <v>0.7142857142857143</v>
      </c>
      <c r="F7" s="12">
        <v>10993</v>
      </c>
      <c r="G7" s="14">
        <v>7993</v>
      </c>
    </row>
    <row r="8" spans="1:7">
      <c r="A8" s="7" t="s">
        <v>14</v>
      </c>
      <c r="B8" s="2" t="s">
        <v>56</v>
      </c>
      <c r="C8" s="11">
        <v>35</v>
      </c>
      <c r="D8" s="11">
        <v>24</v>
      </c>
      <c r="E8" s="65">
        <f t="shared" si="0"/>
        <v>0.68571428571428572</v>
      </c>
      <c r="F8" s="12">
        <f>'[4]February 2009'!D40</f>
        <v>31181.22</v>
      </c>
      <c r="G8" s="14">
        <v>20450</v>
      </c>
    </row>
    <row r="9" spans="1:7">
      <c r="A9" s="7" t="s">
        <v>16</v>
      </c>
      <c r="B9" s="2" t="s">
        <v>56</v>
      </c>
      <c r="C9" s="11">
        <v>27</v>
      </c>
      <c r="D9" s="11">
        <v>15</v>
      </c>
      <c r="E9" s="65">
        <f t="shared" si="0"/>
        <v>0.55555555555555558</v>
      </c>
      <c r="F9" s="12">
        <f>'[4]March 2009'!D32</f>
        <v>23935.95</v>
      </c>
      <c r="G9" s="14">
        <f>'[4]March 2009'!E32</f>
        <v>13278</v>
      </c>
    </row>
    <row r="10" spans="1:7" ht="13.5" thickBot="1">
      <c r="A10" s="7" t="s">
        <v>57</v>
      </c>
      <c r="B10" s="2" t="s">
        <v>56</v>
      </c>
      <c r="C10" s="11">
        <v>18</v>
      </c>
      <c r="D10" s="11">
        <v>14</v>
      </c>
      <c r="E10" s="65">
        <f t="shared" si="0"/>
        <v>0.77777777777777779</v>
      </c>
      <c r="F10" s="12">
        <f>'[4]April 2009'!D23</f>
        <v>19666</v>
      </c>
      <c r="G10" s="14">
        <f>'[4]April 2009'!E23</f>
        <v>12496</v>
      </c>
    </row>
    <row r="11" spans="1:7" ht="13.5" thickBot="1">
      <c r="A11" s="35" t="s">
        <v>17</v>
      </c>
      <c r="B11" s="36"/>
      <c r="C11" s="36">
        <f>SUM(C3:C10)</f>
        <v>180</v>
      </c>
      <c r="D11" s="36">
        <f>SUM(D3:D10)</f>
        <v>130</v>
      </c>
      <c r="E11" s="37">
        <f>D11/C11</f>
        <v>0.72222222222222221</v>
      </c>
      <c r="F11" s="38">
        <f>SUM(F3:F10)</f>
        <v>164313.72</v>
      </c>
      <c r="G11" s="39">
        <f>SUM(G3:G10)</f>
        <v>111515.22</v>
      </c>
    </row>
    <row r="12" spans="1:7" ht="13.5" thickBot="1">
      <c r="B12" s="16"/>
    </row>
    <row r="13" spans="1:7" ht="13.5" thickBot="1">
      <c r="B13" s="237" t="s">
        <v>58</v>
      </c>
      <c r="C13" s="240"/>
      <c r="D13" s="240"/>
      <c r="E13" s="240"/>
      <c r="F13" s="240"/>
      <c r="G13" s="251"/>
    </row>
    <row r="14" spans="1:7" ht="13.5" thickBot="1">
      <c r="B14" s="269" t="s">
        <v>19</v>
      </c>
      <c r="C14" s="270"/>
      <c r="D14" s="271"/>
      <c r="E14" s="31" t="s">
        <v>20</v>
      </c>
      <c r="F14" s="30" t="s">
        <v>21</v>
      </c>
      <c r="G14" s="40" t="s">
        <v>7</v>
      </c>
    </row>
    <row r="15" spans="1:7" ht="13.5" thickTop="1">
      <c r="B15" s="266" t="s">
        <v>22</v>
      </c>
      <c r="C15" s="267"/>
      <c r="D15" s="265"/>
      <c r="E15" s="41">
        <v>21</v>
      </c>
      <c r="F15" s="41">
        <v>16</v>
      </c>
      <c r="G15" s="42">
        <v>13756</v>
      </c>
    </row>
    <row r="16" spans="1:7">
      <c r="B16" s="262" t="s">
        <v>23</v>
      </c>
      <c r="C16" s="263"/>
      <c r="D16" s="255"/>
      <c r="E16" s="43">
        <v>53</v>
      </c>
      <c r="F16" s="43">
        <v>37</v>
      </c>
      <c r="G16" s="44">
        <v>24915</v>
      </c>
    </row>
    <row r="17" spans="2:7">
      <c r="B17" s="262" t="s">
        <v>24</v>
      </c>
      <c r="C17" s="263"/>
      <c r="D17" s="255"/>
      <c r="E17" s="43">
        <v>13</v>
      </c>
      <c r="F17" s="43">
        <v>10</v>
      </c>
      <c r="G17" s="44">
        <v>10635</v>
      </c>
    </row>
    <row r="18" spans="2:7">
      <c r="B18" s="262" t="s">
        <v>25</v>
      </c>
      <c r="C18" s="263"/>
      <c r="D18" s="255"/>
      <c r="E18" s="43">
        <v>15</v>
      </c>
      <c r="F18" s="43">
        <v>10</v>
      </c>
      <c r="G18" s="44">
        <v>6460</v>
      </c>
    </row>
    <row r="19" spans="2:7">
      <c r="B19" s="262" t="s">
        <v>26</v>
      </c>
      <c r="C19" s="263"/>
      <c r="D19" s="255"/>
      <c r="E19" s="43">
        <v>38</v>
      </c>
      <c r="F19" s="43">
        <v>26</v>
      </c>
      <c r="G19" s="44">
        <v>27166.22</v>
      </c>
    </row>
    <row r="20" spans="2:7">
      <c r="B20" s="262" t="s">
        <v>27</v>
      </c>
      <c r="C20" s="263"/>
      <c r="D20" s="255"/>
      <c r="E20" s="43">
        <v>37</v>
      </c>
      <c r="F20" s="43">
        <v>29</v>
      </c>
      <c r="G20" s="44">
        <v>26943</v>
      </c>
    </row>
    <row r="21" spans="2:7" ht="13.5" thickBot="1">
      <c r="B21" s="272" t="s">
        <v>28</v>
      </c>
      <c r="C21" s="273"/>
      <c r="D21" s="274"/>
      <c r="E21" s="18">
        <v>3</v>
      </c>
      <c r="F21" s="18">
        <v>2</v>
      </c>
      <c r="G21" s="19">
        <v>1640</v>
      </c>
    </row>
    <row r="22" spans="2:7" ht="13.5" thickBot="1">
      <c r="B22" s="268" t="s">
        <v>29</v>
      </c>
      <c r="C22" s="249"/>
      <c r="D22" s="250"/>
      <c r="E22" s="36">
        <f>SUM(E15:E21)</f>
        <v>180</v>
      </c>
      <c r="F22" s="36">
        <f>SUM(F15:F21)</f>
        <v>130</v>
      </c>
      <c r="G22" s="39">
        <f>SUM(G15:G21)</f>
        <v>111515.22</v>
      </c>
    </row>
    <row r="23" spans="2:7" ht="13.5" thickBot="1">
      <c r="B23" s="16"/>
    </row>
    <row r="24" spans="2:7" ht="13.5" thickBot="1">
      <c r="B24" s="237" t="s">
        <v>59</v>
      </c>
      <c r="C24" s="240"/>
      <c r="D24" s="240"/>
      <c r="E24" s="240"/>
      <c r="F24" s="240"/>
      <c r="G24" s="251"/>
    </row>
    <row r="25" spans="2:7" ht="13.5" thickBot="1">
      <c r="B25" s="46" t="s">
        <v>31</v>
      </c>
      <c r="C25" s="31" t="s">
        <v>32</v>
      </c>
      <c r="D25" s="31"/>
      <c r="E25" s="31" t="s">
        <v>20</v>
      </c>
      <c r="F25" s="30" t="s">
        <v>21</v>
      </c>
      <c r="G25" s="32" t="s">
        <v>7</v>
      </c>
    </row>
    <row r="26" spans="2:7" ht="13.5" thickTop="1">
      <c r="B26" s="20">
        <v>1</v>
      </c>
      <c r="C26" s="276" t="s">
        <v>61</v>
      </c>
      <c r="D26" s="265"/>
      <c r="E26" s="67">
        <v>10</v>
      </c>
      <c r="F26" s="67">
        <v>4</v>
      </c>
      <c r="G26" s="42">
        <v>5752</v>
      </c>
    </row>
    <row r="27" spans="2:7">
      <c r="B27" s="21">
        <v>2</v>
      </c>
      <c r="C27" s="254" t="s">
        <v>34</v>
      </c>
      <c r="D27" s="255"/>
      <c r="E27" s="68">
        <v>14</v>
      </c>
      <c r="F27" s="68">
        <v>12</v>
      </c>
      <c r="G27" s="44">
        <v>15989</v>
      </c>
    </row>
    <row r="28" spans="2:7">
      <c r="B28" s="21">
        <v>3</v>
      </c>
      <c r="C28" s="254" t="s">
        <v>35</v>
      </c>
      <c r="D28" s="255"/>
      <c r="E28" s="68">
        <v>3</v>
      </c>
      <c r="F28" s="68">
        <v>3</v>
      </c>
      <c r="G28" s="44">
        <v>2578</v>
      </c>
    </row>
    <row r="29" spans="2:7">
      <c r="B29" s="21">
        <v>4</v>
      </c>
      <c r="C29" s="254" t="s">
        <v>36</v>
      </c>
      <c r="D29" s="255"/>
      <c r="E29" s="68">
        <v>46</v>
      </c>
      <c r="F29" s="68">
        <v>36</v>
      </c>
      <c r="G29" s="44">
        <v>48542.22</v>
      </c>
    </row>
    <row r="30" spans="2:7">
      <c r="B30" s="21">
        <v>5</v>
      </c>
      <c r="C30" s="254" t="s">
        <v>37</v>
      </c>
      <c r="D30" s="255"/>
      <c r="E30" s="68">
        <v>11</v>
      </c>
      <c r="F30" s="68">
        <v>5</v>
      </c>
      <c r="G30" s="44">
        <v>4097</v>
      </c>
    </row>
    <row r="31" spans="2:7">
      <c r="B31" s="21">
        <v>6</v>
      </c>
      <c r="C31" s="254" t="s">
        <v>38</v>
      </c>
      <c r="D31" s="255"/>
      <c r="E31" s="68">
        <v>3</v>
      </c>
      <c r="F31" s="68">
        <v>1</v>
      </c>
      <c r="G31" s="44">
        <v>1500</v>
      </c>
    </row>
    <row r="32" spans="2:7" ht="13.5" thickBot="1">
      <c r="B32" s="23">
        <v>7</v>
      </c>
      <c r="C32" s="275" t="s">
        <v>39</v>
      </c>
      <c r="D32" s="274"/>
      <c r="E32" s="69">
        <v>93</v>
      </c>
      <c r="F32" s="69">
        <v>69</v>
      </c>
      <c r="G32" s="25">
        <v>33057</v>
      </c>
    </row>
    <row r="33" spans="2:7" ht="13.5" thickBot="1">
      <c r="B33" s="268" t="s">
        <v>29</v>
      </c>
      <c r="C33" s="249"/>
      <c r="D33" s="250"/>
      <c r="E33" s="36">
        <f>SUM(E26:E32)</f>
        <v>180</v>
      </c>
      <c r="F33" s="36">
        <f>SUM(F26:F32)</f>
        <v>130</v>
      </c>
      <c r="G33" s="39">
        <f>SUM(G26:G32)</f>
        <v>111515.22</v>
      </c>
    </row>
  </sheetData>
  <mergeCells count="20">
    <mergeCell ref="C32:D32"/>
    <mergeCell ref="B33:D33"/>
    <mergeCell ref="A1:G1"/>
    <mergeCell ref="C26:D26"/>
    <mergeCell ref="C27:D27"/>
    <mergeCell ref="C28:D28"/>
    <mergeCell ref="C29:D29"/>
    <mergeCell ref="C30:D30"/>
    <mergeCell ref="C31:D31"/>
    <mergeCell ref="B18:D18"/>
    <mergeCell ref="B19:D19"/>
    <mergeCell ref="B20:D20"/>
    <mergeCell ref="B21:D21"/>
    <mergeCell ref="B22:D22"/>
    <mergeCell ref="B24:G24"/>
    <mergeCell ref="B13:G13"/>
    <mergeCell ref="B14:D14"/>
    <mergeCell ref="B15:D15"/>
    <mergeCell ref="B16:D16"/>
    <mergeCell ref="B17:D17"/>
  </mergeCells>
  <pageMargins left="0.7" right="0.7" top="0.75" bottom="0.75" header="0.3" footer="0.3"/>
  <pageSetup scale="98" orientation="portrait" r:id="rId1"/>
  <headerFooter>
    <oddFooter>&amp;C&amp;Z&amp;F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I35"/>
  <sheetViews>
    <sheetView zoomScaleNormal="100" workbookViewId="0">
      <selection activeCell="J24" sqref="J24"/>
    </sheetView>
  </sheetViews>
  <sheetFormatPr defaultRowHeight="12.75"/>
  <cols>
    <col min="1" max="1" width="11.5703125" bestFit="1" customWidth="1"/>
    <col min="2" max="2" width="8.7109375" customWidth="1"/>
    <col min="3" max="3" width="14.7109375" customWidth="1"/>
    <col min="4" max="4" width="18.7109375" customWidth="1"/>
    <col min="5" max="5" width="12.7109375" customWidth="1"/>
    <col min="6" max="6" width="17.85546875" bestFit="1" customWidth="1"/>
    <col min="7" max="7" width="16.7109375" customWidth="1"/>
    <col min="9" max="11" width="11.28515625" bestFit="1" customWidth="1"/>
    <col min="12" max="12" width="11.42578125" bestFit="1" customWidth="1"/>
    <col min="13" max="13" width="10.140625" bestFit="1" customWidth="1"/>
  </cols>
  <sheetData>
    <row r="1" spans="1:9" ht="32.25" customHeight="1" thickBot="1">
      <c r="A1" s="277" t="s">
        <v>64</v>
      </c>
      <c r="B1" s="278"/>
      <c r="C1" s="279"/>
      <c r="D1" s="279"/>
      <c r="E1" s="279"/>
      <c r="F1" s="279"/>
      <c r="G1" s="280"/>
      <c r="H1" s="70"/>
      <c r="I1" s="70"/>
    </row>
    <row r="2" spans="1:9" ht="13.5" thickBot="1">
      <c r="A2" s="71" t="s">
        <v>1</v>
      </c>
      <c r="B2" s="72" t="s">
        <v>2</v>
      </c>
      <c r="C2" s="73" t="s">
        <v>3</v>
      </c>
      <c r="D2" s="74" t="s">
        <v>4</v>
      </c>
      <c r="E2" s="75" t="s">
        <v>5</v>
      </c>
      <c r="F2" s="75" t="s">
        <v>6</v>
      </c>
      <c r="G2" s="76" t="s">
        <v>7</v>
      </c>
      <c r="H2" s="70"/>
      <c r="I2" s="70"/>
    </row>
    <row r="3" spans="1:9" ht="13.5" thickTop="1">
      <c r="A3" s="77" t="s">
        <v>8</v>
      </c>
      <c r="B3" s="78" t="s">
        <v>56</v>
      </c>
      <c r="C3" s="79">
        <v>28</v>
      </c>
      <c r="D3" s="79">
        <v>20</v>
      </c>
      <c r="E3" s="80">
        <f t="shared" ref="E3:E10" si="0">D3/C3</f>
        <v>0.7142857142857143</v>
      </c>
      <c r="F3" s="81">
        <v>34209.46</v>
      </c>
      <c r="G3" s="82">
        <v>22815</v>
      </c>
      <c r="H3" s="70"/>
      <c r="I3" s="83"/>
    </row>
    <row r="4" spans="1:9">
      <c r="A4" s="84" t="s">
        <v>10</v>
      </c>
      <c r="B4" s="78" t="s">
        <v>56</v>
      </c>
      <c r="C4" s="85">
        <v>14</v>
      </c>
      <c r="D4" s="85">
        <v>11</v>
      </c>
      <c r="E4" s="80">
        <f t="shared" si="0"/>
        <v>0.7857142857142857</v>
      </c>
      <c r="F4" s="86">
        <v>13287.52</v>
      </c>
      <c r="G4" s="87">
        <v>9022</v>
      </c>
      <c r="H4" s="70"/>
      <c r="I4" s="70"/>
    </row>
    <row r="5" spans="1:9">
      <c r="A5" s="84" t="s">
        <v>11</v>
      </c>
      <c r="B5" s="78" t="s">
        <v>56</v>
      </c>
      <c r="C5" s="88">
        <v>18</v>
      </c>
      <c r="D5" s="88">
        <v>13</v>
      </c>
      <c r="E5" s="80">
        <f t="shared" si="0"/>
        <v>0.72222222222222221</v>
      </c>
      <c r="F5" s="89">
        <v>15425</v>
      </c>
      <c r="G5" s="90">
        <v>9925</v>
      </c>
      <c r="H5" s="70"/>
      <c r="I5" s="70"/>
    </row>
    <row r="6" spans="1:9">
      <c r="A6" s="84" t="s">
        <v>12</v>
      </c>
      <c r="B6" s="78" t="s">
        <v>56</v>
      </c>
      <c r="C6" s="88">
        <v>12</v>
      </c>
      <c r="D6" s="88">
        <v>8</v>
      </c>
      <c r="E6" s="80">
        <f t="shared" si="0"/>
        <v>0.66666666666666663</v>
      </c>
      <c r="F6" s="89">
        <v>12375</v>
      </c>
      <c r="G6" s="91">
        <v>7375</v>
      </c>
      <c r="H6" s="70"/>
      <c r="I6" s="70"/>
    </row>
    <row r="7" spans="1:9">
      <c r="A7" s="84" t="s">
        <v>13</v>
      </c>
      <c r="B7" s="78" t="s">
        <v>56</v>
      </c>
      <c r="C7" s="88">
        <v>12</v>
      </c>
      <c r="D7" s="88">
        <v>7</v>
      </c>
      <c r="E7" s="80">
        <f t="shared" si="0"/>
        <v>0.58333333333333337</v>
      </c>
      <c r="F7" s="89">
        <v>15901</v>
      </c>
      <c r="G7" s="91">
        <v>7500</v>
      </c>
      <c r="H7" s="70"/>
      <c r="I7" s="92"/>
    </row>
    <row r="8" spans="1:9">
      <c r="A8" s="84" t="s">
        <v>14</v>
      </c>
      <c r="B8" s="78" t="s">
        <v>65</v>
      </c>
      <c r="C8" s="88">
        <v>23</v>
      </c>
      <c r="D8" s="88">
        <v>10</v>
      </c>
      <c r="E8" s="80">
        <f t="shared" si="0"/>
        <v>0.43478260869565216</v>
      </c>
      <c r="F8" s="89">
        <v>21868</v>
      </c>
      <c r="G8" s="91">
        <v>8000</v>
      </c>
      <c r="H8" s="70"/>
      <c r="I8" s="70"/>
    </row>
    <row r="9" spans="1:9">
      <c r="A9" s="84" t="s">
        <v>16</v>
      </c>
      <c r="B9" s="78" t="s">
        <v>65</v>
      </c>
      <c r="C9" s="88">
        <v>35</v>
      </c>
      <c r="D9" s="88">
        <v>27</v>
      </c>
      <c r="E9" s="80">
        <f t="shared" si="0"/>
        <v>0.77142857142857146</v>
      </c>
      <c r="F9" s="89">
        <v>33701</v>
      </c>
      <c r="G9" s="91">
        <v>21505</v>
      </c>
      <c r="H9" s="70"/>
      <c r="I9" s="70"/>
    </row>
    <row r="10" spans="1:9" ht="13.5" thickBot="1">
      <c r="A10" s="84" t="s">
        <v>42</v>
      </c>
      <c r="B10" s="78" t="s">
        <v>65</v>
      </c>
      <c r="C10" s="88">
        <v>18</v>
      </c>
      <c r="D10" s="88">
        <v>13</v>
      </c>
      <c r="E10" s="80">
        <f t="shared" si="0"/>
        <v>0.72222222222222221</v>
      </c>
      <c r="F10" s="89">
        <v>18969</v>
      </c>
      <c r="G10" s="91">
        <v>13969</v>
      </c>
      <c r="H10" s="70"/>
      <c r="I10" s="70"/>
    </row>
    <row r="11" spans="1:9" ht="13.5" thickBot="1">
      <c r="A11" s="93" t="s">
        <v>17</v>
      </c>
      <c r="B11" s="94"/>
      <c r="C11" s="94">
        <f>SUM(C3:C10)</f>
        <v>160</v>
      </c>
      <c r="D11" s="94">
        <f>SUM(D3:D10)</f>
        <v>109</v>
      </c>
      <c r="E11" s="95">
        <f>D11/C11</f>
        <v>0.68125000000000002</v>
      </c>
      <c r="F11" s="96">
        <f>SUM(F3:F10)</f>
        <v>165735.97999999998</v>
      </c>
      <c r="G11" s="97">
        <f>SUM(G3:G10)</f>
        <v>100111</v>
      </c>
      <c r="H11" s="70"/>
      <c r="I11" s="70"/>
    </row>
    <row r="12" spans="1:9" ht="13.5" thickBot="1">
      <c r="A12" s="70"/>
      <c r="B12" s="70"/>
      <c r="C12" s="70"/>
      <c r="D12" s="70"/>
      <c r="E12" s="70"/>
      <c r="F12" s="70"/>
      <c r="G12" s="70"/>
      <c r="H12" s="70"/>
      <c r="I12" s="70"/>
    </row>
    <row r="13" spans="1:9" ht="13.5" thickBot="1">
      <c r="A13" s="70"/>
      <c r="B13" s="281" t="s">
        <v>66</v>
      </c>
      <c r="C13" s="282"/>
      <c r="D13" s="282"/>
      <c r="E13" s="282"/>
      <c r="F13" s="282"/>
      <c r="G13" s="283"/>
      <c r="H13" s="70"/>
      <c r="I13" s="70"/>
    </row>
    <row r="14" spans="1:9" ht="13.5" thickBot="1">
      <c r="A14" s="70"/>
      <c r="B14" s="284" t="s">
        <v>19</v>
      </c>
      <c r="C14" s="285"/>
      <c r="D14" s="286"/>
      <c r="E14" s="75" t="s">
        <v>20</v>
      </c>
      <c r="F14" s="74" t="s">
        <v>21</v>
      </c>
      <c r="G14" s="98"/>
      <c r="H14" s="70"/>
      <c r="I14" s="70"/>
    </row>
    <row r="15" spans="1:9" ht="13.5" thickTop="1">
      <c r="A15" s="70"/>
      <c r="B15" s="287" t="s">
        <v>22</v>
      </c>
      <c r="C15" s="288"/>
      <c r="D15" s="289"/>
      <c r="E15" s="99">
        <v>12</v>
      </c>
      <c r="F15" s="99">
        <v>9</v>
      </c>
      <c r="G15" s="100">
        <v>7850</v>
      </c>
      <c r="H15" s="70"/>
      <c r="I15" s="70"/>
    </row>
    <row r="16" spans="1:9">
      <c r="A16" s="70"/>
      <c r="B16" s="290" t="s">
        <v>23</v>
      </c>
      <c r="C16" s="291"/>
      <c r="D16" s="292"/>
      <c r="E16" s="101">
        <v>43</v>
      </c>
      <c r="F16" s="101">
        <v>32</v>
      </c>
      <c r="G16" s="102">
        <v>24463</v>
      </c>
      <c r="H16" s="70"/>
    </row>
    <row r="17" spans="2:9">
      <c r="B17" s="290" t="s">
        <v>24</v>
      </c>
      <c r="C17" s="291"/>
      <c r="D17" s="292"/>
      <c r="E17" s="101">
        <v>15</v>
      </c>
      <c r="F17" s="101">
        <v>7</v>
      </c>
      <c r="G17" s="102">
        <v>9500</v>
      </c>
    </row>
    <row r="18" spans="2:9">
      <c r="B18" s="290" t="s">
        <v>25</v>
      </c>
      <c r="C18" s="291"/>
      <c r="D18" s="292"/>
      <c r="E18" s="101">
        <v>18</v>
      </c>
      <c r="F18" s="101">
        <v>13</v>
      </c>
      <c r="G18" s="102">
        <v>10875</v>
      </c>
    </row>
    <row r="19" spans="2:9">
      <c r="B19" s="290" t="s">
        <v>26</v>
      </c>
      <c r="C19" s="291"/>
      <c r="D19" s="292"/>
      <c r="E19" s="101">
        <v>35</v>
      </c>
      <c r="F19" s="101">
        <v>23</v>
      </c>
      <c r="G19" s="102">
        <v>22556</v>
      </c>
    </row>
    <row r="20" spans="2:9">
      <c r="B20" s="290" t="s">
        <v>27</v>
      </c>
      <c r="C20" s="291"/>
      <c r="D20" s="292"/>
      <c r="E20" s="101">
        <v>36</v>
      </c>
      <c r="F20" s="101">
        <v>24</v>
      </c>
      <c r="G20" s="102">
        <v>24367</v>
      </c>
    </row>
    <row r="21" spans="2:9" ht="13.5" thickBot="1">
      <c r="B21" s="293" t="s">
        <v>28</v>
      </c>
      <c r="C21" s="294"/>
      <c r="D21" s="295"/>
      <c r="E21" s="103">
        <v>1</v>
      </c>
      <c r="F21" s="103">
        <v>1</v>
      </c>
      <c r="G21" s="104">
        <v>500</v>
      </c>
    </row>
    <row r="22" spans="2:9" ht="13.5" thickBot="1">
      <c r="B22" s="296" t="s">
        <v>29</v>
      </c>
      <c r="C22" s="297"/>
      <c r="D22" s="298"/>
      <c r="E22" s="94">
        <f>SUM(E15:E21)</f>
        <v>160</v>
      </c>
      <c r="F22" s="94">
        <f>SUM(F15:F21)</f>
        <v>109</v>
      </c>
      <c r="G22" s="97">
        <f>SUM(G15:G21)</f>
        <v>100111</v>
      </c>
    </row>
    <row r="23" spans="2:9" ht="13.5" thickBot="1">
      <c r="B23" s="70"/>
      <c r="C23" s="70"/>
      <c r="D23" s="70"/>
      <c r="E23" s="70"/>
      <c r="F23" s="70"/>
      <c r="G23" s="70"/>
    </row>
    <row r="24" spans="2:9" ht="13.5" thickBot="1">
      <c r="B24" s="281" t="s">
        <v>67</v>
      </c>
      <c r="C24" s="282"/>
      <c r="D24" s="282"/>
      <c r="E24" s="282"/>
      <c r="F24" s="282"/>
      <c r="G24" s="283"/>
    </row>
    <row r="25" spans="2:9" ht="13.5" thickBot="1">
      <c r="B25" s="105" t="s">
        <v>31</v>
      </c>
      <c r="C25" s="75" t="s">
        <v>32</v>
      </c>
      <c r="D25" s="75"/>
      <c r="E25" s="75" t="s">
        <v>20</v>
      </c>
      <c r="F25" s="74" t="s">
        <v>21</v>
      </c>
      <c r="G25" s="76" t="s">
        <v>7</v>
      </c>
    </row>
    <row r="26" spans="2:9" ht="13.5" thickTop="1">
      <c r="B26" s="106">
        <v>1</v>
      </c>
      <c r="C26" s="300" t="s">
        <v>68</v>
      </c>
      <c r="D26" s="289"/>
      <c r="E26" s="107">
        <v>1</v>
      </c>
      <c r="F26" s="108">
        <v>0</v>
      </c>
      <c r="G26" s="100">
        <v>0</v>
      </c>
    </row>
    <row r="27" spans="2:9">
      <c r="B27" s="109">
        <v>2</v>
      </c>
      <c r="C27" s="301" t="s">
        <v>69</v>
      </c>
      <c r="D27" s="292"/>
      <c r="E27" s="101">
        <v>16</v>
      </c>
      <c r="F27" s="110">
        <v>8</v>
      </c>
      <c r="G27" s="111">
        <v>11339</v>
      </c>
    </row>
    <row r="28" spans="2:9">
      <c r="B28" s="109">
        <v>3</v>
      </c>
      <c r="C28" s="302" t="s">
        <v>35</v>
      </c>
      <c r="D28" s="292"/>
      <c r="E28" s="101">
        <v>2</v>
      </c>
      <c r="F28" s="110">
        <v>1</v>
      </c>
      <c r="G28" s="111">
        <v>1149</v>
      </c>
    </row>
    <row r="29" spans="2:9">
      <c r="B29" s="109">
        <v>4</v>
      </c>
      <c r="C29" s="302" t="s">
        <v>37</v>
      </c>
      <c r="D29" s="292"/>
      <c r="E29" s="101">
        <v>8</v>
      </c>
      <c r="F29" s="110">
        <v>4</v>
      </c>
      <c r="G29" s="111">
        <v>4394</v>
      </c>
    </row>
    <row r="30" spans="2:9">
      <c r="B30" s="109">
        <v>5</v>
      </c>
      <c r="C30" s="302" t="s">
        <v>38</v>
      </c>
      <c r="D30" s="292"/>
      <c r="E30" s="101">
        <v>5</v>
      </c>
      <c r="F30" s="110">
        <v>3</v>
      </c>
      <c r="G30" s="111">
        <v>3718</v>
      </c>
      <c r="H30" s="70"/>
      <c r="I30" s="70"/>
    </row>
    <row r="31" spans="2:9">
      <c r="B31" s="109">
        <v>6</v>
      </c>
      <c r="C31" s="301" t="s">
        <v>70</v>
      </c>
      <c r="D31" s="292"/>
      <c r="E31" s="101">
        <v>59</v>
      </c>
      <c r="F31" s="110">
        <v>39</v>
      </c>
      <c r="G31" s="111">
        <v>53401</v>
      </c>
    </row>
    <row r="32" spans="2:9" ht="13.5" thickBot="1">
      <c r="B32" s="112">
        <v>7</v>
      </c>
      <c r="C32" s="299" t="s">
        <v>71</v>
      </c>
      <c r="D32" s="295"/>
      <c r="E32" s="113">
        <v>69</v>
      </c>
      <c r="F32" s="114">
        <v>54</v>
      </c>
      <c r="G32" s="115">
        <v>26110</v>
      </c>
    </row>
    <row r="33" spans="2:7" ht="13.5" thickBot="1">
      <c r="B33" s="296" t="s">
        <v>29</v>
      </c>
      <c r="C33" s="297"/>
      <c r="D33" s="298"/>
      <c r="E33" s="94">
        <f>SUM(E26:E32)</f>
        <v>160</v>
      </c>
      <c r="F33" s="94">
        <f>SUM(F26:F32)</f>
        <v>109</v>
      </c>
      <c r="G33" s="97">
        <f>SUM(G26:G32)</f>
        <v>100111</v>
      </c>
    </row>
    <row r="35" spans="2:7">
      <c r="B35" s="70"/>
      <c r="C35" s="70"/>
      <c r="D35" s="70"/>
      <c r="E35" s="70"/>
      <c r="F35" s="70"/>
      <c r="G35" s="70"/>
    </row>
  </sheetData>
  <mergeCells count="20">
    <mergeCell ref="C32:D32"/>
    <mergeCell ref="B33:D33"/>
    <mergeCell ref="C26:D26"/>
    <mergeCell ref="C27:D27"/>
    <mergeCell ref="C28:D28"/>
    <mergeCell ref="C29:D29"/>
    <mergeCell ref="C30:D30"/>
    <mergeCell ref="C31:D31"/>
    <mergeCell ref="B18:D18"/>
    <mergeCell ref="B19:D19"/>
    <mergeCell ref="B20:D20"/>
    <mergeCell ref="B21:D21"/>
    <mergeCell ref="B22:D22"/>
    <mergeCell ref="B24:G24"/>
    <mergeCell ref="A1:G1"/>
    <mergeCell ref="B13:G13"/>
    <mergeCell ref="B14:D14"/>
    <mergeCell ref="B15:D15"/>
    <mergeCell ref="B16:D16"/>
    <mergeCell ref="B17:D17"/>
  </mergeCells>
  <pageMargins left="0.7" right="0.7" top="0.75" bottom="0.75" header="0.3" footer="0.3"/>
  <pageSetup scale="9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selection activeCell="K31" sqref="K31"/>
    </sheetView>
  </sheetViews>
  <sheetFormatPr defaultRowHeight="12.75"/>
  <cols>
    <col min="1" max="1" width="11.5703125" bestFit="1" customWidth="1"/>
    <col min="2" max="2" width="8.7109375" customWidth="1"/>
    <col min="3" max="3" width="14.7109375" customWidth="1"/>
    <col min="4" max="4" width="18.7109375" customWidth="1"/>
    <col min="5" max="5" width="12.7109375" customWidth="1"/>
    <col min="6" max="6" width="17.85546875" bestFit="1" customWidth="1"/>
    <col min="7" max="7" width="16.7109375" customWidth="1"/>
    <col min="8" max="11" width="11.28515625" bestFit="1" customWidth="1"/>
    <col min="12" max="12" width="6.140625" customWidth="1"/>
    <col min="13" max="13" width="10.140625" bestFit="1" customWidth="1"/>
  </cols>
  <sheetData>
    <row r="1" spans="1:9" ht="32.25" customHeight="1" thickBot="1">
      <c r="A1" s="277" t="s">
        <v>73</v>
      </c>
      <c r="B1" s="278"/>
      <c r="C1" s="279"/>
      <c r="D1" s="279"/>
      <c r="E1" s="279"/>
      <c r="F1" s="279"/>
      <c r="G1" s="280"/>
      <c r="H1" s="142"/>
      <c r="I1" s="142"/>
    </row>
    <row r="2" spans="1:9" ht="13.5" thickBot="1">
      <c r="A2" s="71" t="s">
        <v>1</v>
      </c>
      <c r="B2" s="72" t="s">
        <v>2</v>
      </c>
      <c r="C2" s="73" t="s">
        <v>3</v>
      </c>
      <c r="D2" s="74" t="s">
        <v>4</v>
      </c>
      <c r="E2" s="75" t="s">
        <v>5</v>
      </c>
      <c r="F2" s="75" t="s">
        <v>6</v>
      </c>
      <c r="G2" s="76" t="s">
        <v>7</v>
      </c>
      <c r="H2" s="142"/>
      <c r="I2" s="142"/>
    </row>
    <row r="3" spans="1:9" ht="13.5" thickTop="1">
      <c r="A3" s="77" t="s">
        <v>8</v>
      </c>
      <c r="B3" s="78" t="s">
        <v>65</v>
      </c>
      <c r="C3" s="79">
        <v>20</v>
      </c>
      <c r="D3" s="79">
        <v>13</v>
      </c>
      <c r="E3" s="80">
        <f t="shared" ref="E3:E10" si="0">D3/C3</f>
        <v>0.65</v>
      </c>
      <c r="F3" s="81">
        <f>'[5]May 2010'!D27</f>
        <v>25289</v>
      </c>
      <c r="G3" s="82">
        <f>'[5]May 2010'!E27</f>
        <v>17184</v>
      </c>
      <c r="H3" s="142"/>
      <c r="I3" s="143"/>
    </row>
    <row r="4" spans="1:9">
      <c r="A4" s="84" t="s">
        <v>10</v>
      </c>
      <c r="B4" s="78" t="s">
        <v>65</v>
      </c>
      <c r="C4" s="85">
        <v>17</v>
      </c>
      <c r="D4" s="85">
        <v>13</v>
      </c>
      <c r="E4" s="80">
        <f t="shared" si="0"/>
        <v>0.76470588235294112</v>
      </c>
      <c r="F4" s="86">
        <v>21459</v>
      </c>
      <c r="G4" s="87">
        <v>17582</v>
      </c>
      <c r="H4" s="142"/>
      <c r="I4" s="142"/>
    </row>
    <row r="5" spans="1:9">
      <c r="A5" s="84" t="s">
        <v>11</v>
      </c>
      <c r="B5" s="78" t="s">
        <v>65</v>
      </c>
      <c r="C5" s="144">
        <v>14</v>
      </c>
      <c r="D5" s="144">
        <v>9</v>
      </c>
      <c r="E5" s="80">
        <f t="shared" si="0"/>
        <v>0.6428571428571429</v>
      </c>
      <c r="F5" s="145">
        <v>15775</v>
      </c>
      <c r="G5" s="146">
        <v>10104</v>
      </c>
      <c r="H5" s="142"/>
      <c r="I5" s="142"/>
    </row>
    <row r="6" spans="1:9">
      <c r="A6" s="84" t="s">
        <v>12</v>
      </c>
      <c r="B6" s="78" t="s">
        <v>65</v>
      </c>
      <c r="C6" s="144">
        <v>15</v>
      </c>
      <c r="D6" s="144">
        <v>10</v>
      </c>
      <c r="E6" s="80">
        <f t="shared" si="0"/>
        <v>0.66666666666666663</v>
      </c>
      <c r="F6" s="145">
        <v>15447</v>
      </c>
      <c r="G6" s="147">
        <v>10378</v>
      </c>
      <c r="H6" s="142"/>
      <c r="I6" s="142"/>
    </row>
    <row r="7" spans="1:9">
      <c r="A7" s="84" t="s">
        <v>13</v>
      </c>
      <c r="B7" s="78" t="s">
        <v>65</v>
      </c>
      <c r="C7" s="144">
        <v>7</v>
      </c>
      <c r="D7" s="144">
        <v>5</v>
      </c>
      <c r="E7" s="80">
        <f t="shared" si="0"/>
        <v>0.7142857142857143</v>
      </c>
      <c r="F7" s="145">
        <v>8502</v>
      </c>
      <c r="G7" s="147">
        <v>5650</v>
      </c>
      <c r="H7" s="142"/>
      <c r="I7" s="148"/>
    </row>
    <row r="8" spans="1:9">
      <c r="A8" s="84" t="s">
        <v>14</v>
      </c>
      <c r="B8" s="78" t="s">
        <v>76</v>
      </c>
      <c r="C8" s="144">
        <v>21</v>
      </c>
      <c r="D8" s="144">
        <v>17</v>
      </c>
      <c r="E8" s="80">
        <f t="shared" si="0"/>
        <v>0.80952380952380953</v>
      </c>
      <c r="F8" s="145">
        <v>23182.5</v>
      </c>
      <c r="G8" s="147">
        <v>16550</v>
      </c>
      <c r="H8" s="142"/>
      <c r="I8" s="142"/>
    </row>
    <row r="9" spans="1:9">
      <c r="A9" s="84" t="s">
        <v>16</v>
      </c>
      <c r="B9" s="78" t="s">
        <v>76</v>
      </c>
      <c r="C9" s="144">
        <v>21</v>
      </c>
      <c r="D9" s="144">
        <v>17</v>
      </c>
      <c r="E9" s="80">
        <f t="shared" si="0"/>
        <v>0.80952380952380953</v>
      </c>
      <c r="F9" s="145">
        <v>26129.25</v>
      </c>
      <c r="G9" s="147">
        <v>20063</v>
      </c>
      <c r="H9" s="142"/>
      <c r="I9" s="142"/>
    </row>
    <row r="10" spans="1:9" ht="13.5" thickBot="1">
      <c r="A10" s="84" t="s">
        <v>42</v>
      </c>
      <c r="B10" s="78" t="s">
        <v>76</v>
      </c>
      <c r="C10" s="144">
        <v>22</v>
      </c>
      <c r="D10" s="144">
        <v>12</v>
      </c>
      <c r="E10" s="80">
        <f t="shared" si="0"/>
        <v>0.54545454545454541</v>
      </c>
      <c r="F10" s="145">
        <f>'[5]April 2011'!D27</f>
        <v>38231.03</v>
      </c>
      <c r="G10" s="147">
        <f>'[5]April 2011'!E27</f>
        <v>19250</v>
      </c>
      <c r="H10" s="142"/>
      <c r="I10" s="142"/>
    </row>
    <row r="11" spans="1:9" ht="13.5" thickBot="1">
      <c r="A11" s="93" t="s">
        <v>17</v>
      </c>
      <c r="B11" s="94"/>
      <c r="C11" s="94">
        <f>SUM(C3:C10)</f>
        <v>137</v>
      </c>
      <c r="D11" s="94">
        <f>SUM(D3:D10)</f>
        <v>96</v>
      </c>
      <c r="E11" s="95">
        <f>D11/C11</f>
        <v>0.7007299270072993</v>
      </c>
      <c r="F11" s="96">
        <f>SUM(F3:F10)</f>
        <v>174014.78</v>
      </c>
      <c r="G11" s="97">
        <f>SUM(G3:G10)</f>
        <v>116761</v>
      </c>
      <c r="H11" s="142"/>
      <c r="I11" s="142"/>
    </row>
    <row r="12" spans="1:9" ht="13.5" thickBot="1">
      <c r="A12" s="142"/>
      <c r="B12" s="142"/>
      <c r="C12" s="142"/>
      <c r="D12" s="142"/>
      <c r="E12" s="142"/>
      <c r="F12" s="142"/>
      <c r="G12" s="142"/>
      <c r="H12" s="142"/>
      <c r="I12" s="142"/>
    </row>
    <row r="13" spans="1:9" ht="13.5" thickBot="1">
      <c r="A13" s="142"/>
      <c r="B13" s="281" t="s">
        <v>74</v>
      </c>
      <c r="C13" s="282"/>
      <c r="D13" s="282"/>
      <c r="E13" s="282"/>
      <c r="F13" s="282"/>
      <c r="G13" s="283"/>
      <c r="H13" s="142"/>
    </row>
    <row r="14" spans="1:9" ht="13.5" thickBot="1">
      <c r="A14" s="142"/>
      <c r="B14" s="284" t="s">
        <v>19</v>
      </c>
      <c r="C14" s="285"/>
      <c r="D14" s="286"/>
      <c r="E14" s="75" t="s">
        <v>20</v>
      </c>
      <c r="F14" s="74" t="s">
        <v>21</v>
      </c>
      <c r="G14" s="98"/>
      <c r="H14" s="142"/>
    </row>
    <row r="15" spans="1:9" ht="13.5" thickTop="1">
      <c r="A15" s="142"/>
      <c r="B15" s="303" t="s">
        <v>22</v>
      </c>
      <c r="C15" s="304"/>
      <c r="D15" s="305"/>
      <c r="E15" s="149">
        <v>11</v>
      </c>
      <c r="F15" s="149">
        <v>10</v>
      </c>
      <c r="G15" s="100">
        <v>13981</v>
      </c>
    </row>
    <row r="16" spans="1:9">
      <c r="A16" s="142"/>
      <c r="B16" s="306" t="s">
        <v>23</v>
      </c>
      <c r="C16" s="307"/>
      <c r="D16" s="308"/>
      <c r="E16" s="150">
        <v>37</v>
      </c>
      <c r="F16" s="150">
        <v>30</v>
      </c>
      <c r="G16" s="102">
        <v>31675</v>
      </c>
    </row>
    <row r="17" spans="2:7">
      <c r="B17" s="306" t="s">
        <v>24</v>
      </c>
      <c r="C17" s="307"/>
      <c r="D17" s="308"/>
      <c r="E17" s="150">
        <v>16</v>
      </c>
      <c r="F17" s="150">
        <v>12</v>
      </c>
      <c r="G17" s="102">
        <v>15719</v>
      </c>
    </row>
    <row r="18" spans="2:7">
      <c r="B18" s="306" t="s">
        <v>25</v>
      </c>
      <c r="C18" s="307"/>
      <c r="D18" s="308"/>
      <c r="E18" s="150">
        <v>11</v>
      </c>
      <c r="F18" s="150">
        <v>6</v>
      </c>
      <c r="G18" s="102">
        <v>5733</v>
      </c>
    </row>
    <row r="19" spans="2:7">
      <c r="B19" s="306" t="s">
        <v>26</v>
      </c>
      <c r="C19" s="307"/>
      <c r="D19" s="308"/>
      <c r="E19" s="150">
        <v>31</v>
      </c>
      <c r="F19" s="150">
        <v>17</v>
      </c>
      <c r="G19" s="102">
        <v>21468</v>
      </c>
    </row>
    <row r="20" spans="2:7">
      <c r="B20" s="306" t="s">
        <v>27</v>
      </c>
      <c r="C20" s="307"/>
      <c r="D20" s="308"/>
      <c r="E20" s="150">
        <v>29</v>
      </c>
      <c r="F20" s="150">
        <v>19</v>
      </c>
      <c r="G20" s="102">
        <v>26685</v>
      </c>
    </row>
    <row r="21" spans="2:7" ht="13.5" thickBot="1">
      <c r="B21" s="309" t="s">
        <v>28</v>
      </c>
      <c r="C21" s="310"/>
      <c r="D21" s="311"/>
      <c r="E21" s="151">
        <v>2</v>
      </c>
      <c r="F21" s="151">
        <v>2</v>
      </c>
      <c r="G21" s="104">
        <v>1500</v>
      </c>
    </row>
    <row r="22" spans="2:7" ht="13.5" thickBot="1">
      <c r="B22" s="296" t="s">
        <v>29</v>
      </c>
      <c r="C22" s="297"/>
      <c r="D22" s="298"/>
      <c r="E22" s="94">
        <f>SUM(E15:E21)</f>
        <v>137</v>
      </c>
      <c r="F22" s="94">
        <f>SUM(F15:F21)</f>
        <v>96</v>
      </c>
      <c r="G22" s="97">
        <f>SUM(G15:G21)</f>
        <v>116761</v>
      </c>
    </row>
    <row r="23" spans="2:7" ht="13.5" thickBot="1">
      <c r="B23" s="142"/>
      <c r="C23" s="142"/>
      <c r="D23" s="142"/>
      <c r="E23" s="142"/>
      <c r="F23" s="142"/>
      <c r="G23" s="142"/>
    </row>
    <row r="24" spans="2:7" ht="13.5" thickBot="1">
      <c r="B24" s="281" t="s">
        <v>75</v>
      </c>
      <c r="C24" s="282"/>
      <c r="D24" s="282"/>
      <c r="E24" s="282"/>
      <c r="F24" s="282"/>
      <c r="G24" s="283"/>
    </row>
    <row r="25" spans="2:7" ht="13.5" thickBot="1">
      <c r="B25" s="105" t="s">
        <v>31</v>
      </c>
      <c r="C25" s="75" t="s">
        <v>32</v>
      </c>
      <c r="D25" s="75"/>
      <c r="E25" s="75" t="s">
        <v>20</v>
      </c>
      <c r="F25" s="74" t="s">
        <v>21</v>
      </c>
      <c r="G25" s="76" t="s">
        <v>7</v>
      </c>
    </row>
    <row r="26" spans="2:7" ht="13.5" thickTop="1">
      <c r="B26" s="152">
        <v>1</v>
      </c>
      <c r="C26" s="300" t="s">
        <v>68</v>
      </c>
      <c r="D26" s="305"/>
      <c r="E26" s="153">
        <v>3</v>
      </c>
      <c r="F26" s="154">
        <v>1</v>
      </c>
      <c r="G26" s="100">
        <v>1740</v>
      </c>
    </row>
    <row r="27" spans="2:7">
      <c r="B27" s="155">
        <v>2</v>
      </c>
      <c r="C27" s="301" t="s">
        <v>69</v>
      </c>
      <c r="D27" s="308"/>
      <c r="E27" s="150">
        <v>20</v>
      </c>
      <c r="F27" s="156">
        <v>11</v>
      </c>
      <c r="G27" s="111">
        <v>16543</v>
      </c>
    </row>
    <row r="28" spans="2:7">
      <c r="B28" s="155">
        <v>3</v>
      </c>
      <c r="C28" s="312" t="s">
        <v>35</v>
      </c>
      <c r="D28" s="308"/>
      <c r="E28" s="150">
        <v>2</v>
      </c>
      <c r="F28" s="156">
        <v>1</v>
      </c>
      <c r="G28" s="111">
        <v>1500</v>
      </c>
    </row>
    <row r="29" spans="2:7">
      <c r="B29" s="155">
        <v>4</v>
      </c>
      <c r="C29" s="312" t="s">
        <v>37</v>
      </c>
      <c r="D29" s="308"/>
      <c r="E29" s="150">
        <v>14</v>
      </c>
      <c r="F29" s="156">
        <v>7</v>
      </c>
      <c r="G29" s="111">
        <v>11764</v>
      </c>
    </row>
    <row r="30" spans="2:7">
      <c r="B30" s="155">
        <v>5</v>
      </c>
      <c r="C30" s="312" t="s">
        <v>38</v>
      </c>
      <c r="D30" s="308"/>
      <c r="E30" s="150">
        <v>6</v>
      </c>
      <c r="F30" s="156">
        <v>4</v>
      </c>
      <c r="G30" s="111">
        <v>6348</v>
      </c>
    </row>
    <row r="31" spans="2:7">
      <c r="B31" s="155">
        <v>6</v>
      </c>
      <c r="C31" s="301" t="s">
        <v>70</v>
      </c>
      <c r="D31" s="308"/>
      <c r="E31" s="150">
        <v>42</v>
      </c>
      <c r="F31" s="156">
        <v>29</v>
      </c>
      <c r="G31" s="111">
        <v>53186</v>
      </c>
    </row>
    <row r="32" spans="2:7" ht="13.5" thickBot="1">
      <c r="B32" s="157">
        <v>7</v>
      </c>
      <c r="C32" s="299" t="s">
        <v>71</v>
      </c>
      <c r="D32" s="311"/>
      <c r="E32" s="158">
        <v>50</v>
      </c>
      <c r="F32" s="159">
        <v>43</v>
      </c>
      <c r="G32" s="115">
        <v>25680</v>
      </c>
    </row>
    <row r="33" spans="2:7" ht="13.5" thickBot="1">
      <c r="B33" s="296" t="s">
        <v>29</v>
      </c>
      <c r="C33" s="297"/>
      <c r="D33" s="298"/>
      <c r="E33" s="94">
        <f>SUM(E26:E32)</f>
        <v>137</v>
      </c>
      <c r="F33" s="94">
        <f>SUM(F26:F32)</f>
        <v>96</v>
      </c>
      <c r="G33" s="97">
        <f>SUM(G26:G32)</f>
        <v>116761</v>
      </c>
    </row>
    <row r="35" spans="2:7">
      <c r="B35" s="142"/>
      <c r="C35" s="142"/>
      <c r="D35" s="142"/>
      <c r="E35" s="142"/>
      <c r="F35" s="142"/>
      <c r="G35" s="142"/>
    </row>
    <row r="36" spans="2:7">
      <c r="G36" s="160"/>
    </row>
  </sheetData>
  <mergeCells count="20">
    <mergeCell ref="C32:D32"/>
    <mergeCell ref="B33:D33"/>
    <mergeCell ref="C26:D26"/>
    <mergeCell ref="C27:D27"/>
    <mergeCell ref="C28:D28"/>
    <mergeCell ref="C29:D29"/>
    <mergeCell ref="C30:D30"/>
    <mergeCell ref="C31:D31"/>
    <mergeCell ref="B18:D18"/>
    <mergeCell ref="B19:D19"/>
    <mergeCell ref="B20:D20"/>
    <mergeCell ref="B21:D21"/>
    <mergeCell ref="B22:D22"/>
    <mergeCell ref="B24:G24"/>
    <mergeCell ref="A1:G1"/>
    <mergeCell ref="B13:G13"/>
    <mergeCell ref="B14:D14"/>
    <mergeCell ref="B15:D15"/>
    <mergeCell ref="B16:D16"/>
    <mergeCell ref="B17:D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selection activeCell="K23" sqref="K23"/>
    </sheetView>
  </sheetViews>
  <sheetFormatPr defaultRowHeight="12.75"/>
  <cols>
    <col min="1" max="1" width="11.5703125" bestFit="1" customWidth="1"/>
    <col min="3" max="3" width="15.85546875" customWidth="1"/>
    <col min="4" max="4" width="19.7109375" customWidth="1"/>
    <col min="5" max="5" width="11.42578125" bestFit="1" customWidth="1"/>
    <col min="6" max="6" width="18.42578125" bestFit="1" customWidth="1"/>
    <col min="7" max="7" width="16.85546875" bestFit="1" customWidth="1"/>
  </cols>
  <sheetData>
    <row r="1" spans="1:9" ht="31.5" customHeight="1" thickBot="1">
      <c r="A1" s="313" t="s">
        <v>80</v>
      </c>
      <c r="B1" s="314"/>
      <c r="C1" s="315"/>
      <c r="D1" s="315"/>
      <c r="E1" s="315"/>
      <c r="F1" s="315"/>
      <c r="G1" s="316"/>
      <c r="H1" s="184"/>
      <c r="I1" s="184"/>
    </row>
    <row r="2" spans="1:9" ht="13.5" thickBot="1">
      <c r="A2" s="185" t="s">
        <v>1</v>
      </c>
      <c r="B2" s="186" t="s">
        <v>2</v>
      </c>
      <c r="C2" s="187" t="s">
        <v>3</v>
      </c>
      <c r="D2" s="188" t="s">
        <v>4</v>
      </c>
      <c r="E2" s="189" t="s">
        <v>5</v>
      </c>
      <c r="F2" s="189" t="s">
        <v>6</v>
      </c>
      <c r="G2" s="190" t="s">
        <v>7</v>
      </c>
      <c r="H2" s="184"/>
      <c r="I2" s="184"/>
    </row>
    <row r="3" spans="1:9" ht="13.5" thickTop="1">
      <c r="A3" s="191" t="s">
        <v>8</v>
      </c>
      <c r="B3" s="192" t="s">
        <v>76</v>
      </c>
      <c r="C3" s="193">
        <v>30</v>
      </c>
      <c r="D3" s="193">
        <v>24</v>
      </c>
      <c r="E3" s="194">
        <v>0.8</v>
      </c>
      <c r="F3" s="195">
        <v>50304</v>
      </c>
      <c r="G3" s="196">
        <v>34728</v>
      </c>
      <c r="H3" s="184"/>
      <c r="I3" s="197"/>
    </row>
    <row r="4" spans="1:9">
      <c r="A4" s="198" t="s">
        <v>10</v>
      </c>
      <c r="B4" s="192" t="s">
        <v>76</v>
      </c>
      <c r="C4" s="199">
        <v>17</v>
      </c>
      <c r="D4" s="199">
        <v>9</v>
      </c>
      <c r="E4" s="194">
        <v>0.52941176470588236</v>
      </c>
      <c r="F4" s="200">
        <v>17850.8</v>
      </c>
      <c r="G4" s="201">
        <v>11801</v>
      </c>
      <c r="H4" s="184"/>
      <c r="I4" s="184"/>
    </row>
    <row r="5" spans="1:9">
      <c r="A5" s="198" t="s">
        <v>11</v>
      </c>
      <c r="B5" s="192" t="s">
        <v>76</v>
      </c>
      <c r="C5" s="202">
        <v>17</v>
      </c>
      <c r="D5" s="202">
        <v>11</v>
      </c>
      <c r="E5" s="194">
        <v>0.6470588235294118</v>
      </c>
      <c r="F5" s="203">
        <v>19342</v>
      </c>
      <c r="G5" s="204">
        <v>12156</v>
      </c>
      <c r="H5" s="184"/>
      <c r="I5" s="184"/>
    </row>
    <row r="6" spans="1:9">
      <c r="A6" s="198" t="s">
        <v>12</v>
      </c>
      <c r="B6" s="192" t="s">
        <v>76</v>
      </c>
      <c r="C6" s="202">
        <v>16</v>
      </c>
      <c r="D6" s="202">
        <v>10</v>
      </c>
      <c r="E6" s="194">
        <v>0.625</v>
      </c>
      <c r="F6" s="203">
        <v>19230</v>
      </c>
      <c r="G6" s="205">
        <v>10296</v>
      </c>
      <c r="H6" s="184"/>
      <c r="I6" s="184"/>
    </row>
    <row r="7" spans="1:9">
      <c r="A7" s="198" t="s">
        <v>13</v>
      </c>
      <c r="B7" s="192" t="s">
        <v>76</v>
      </c>
      <c r="C7" s="202">
        <v>7</v>
      </c>
      <c r="D7" s="202">
        <v>5</v>
      </c>
      <c r="E7" s="194">
        <v>0.7142857142857143</v>
      </c>
      <c r="F7" s="203">
        <v>9850</v>
      </c>
      <c r="G7" s="205">
        <v>7500</v>
      </c>
      <c r="H7" s="184"/>
      <c r="I7" s="206"/>
    </row>
    <row r="8" spans="1:9">
      <c r="A8" s="198" t="s">
        <v>14</v>
      </c>
      <c r="B8" s="192" t="s">
        <v>81</v>
      </c>
      <c r="C8" s="202">
        <v>16</v>
      </c>
      <c r="D8" s="202">
        <v>13</v>
      </c>
      <c r="E8" s="194">
        <v>0.8125</v>
      </c>
      <c r="F8" s="203">
        <v>14910.85</v>
      </c>
      <c r="G8" s="205">
        <v>11449</v>
      </c>
      <c r="H8" s="184"/>
      <c r="I8" s="184"/>
    </row>
    <row r="9" spans="1:9">
      <c r="A9" s="198" t="s">
        <v>16</v>
      </c>
      <c r="B9" s="192" t="s">
        <v>81</v>
      </c>
      <c r="C9" s="202">
        <v>24</v>
      </c>
      <c r="D9" s="202">
        <v>13</v>
      </c>
      <c r="E9" s="194">
        <v>0.54166666666666663</v>
      </c>
      <c r="F9" s="203">
        <v>28404.37</v>
      </c>
      <c r="G9" s="205">
        <v>14291</v>
      </c>
      <c r="H9" s="184"/>
      <c r="I9" s="184"/>
    </row>
    <row r="10" spans="1:9" ht="13.5" thickBot="1">
      <c r="A10" s="198" t="s">
        <v>42</v>
      </c>
      <c r="B10" s="192" t="s">
        <v>81</v>
      </c>
      <c r="C10" s="202">
        <v>30</v>
      </c>
      <c r="D10" s="202">
        <v>17</v>
      </c>
      <c r="E10" s="194">
        <v>0.56666666666666665</v>
      </c>
      <c r="F10" s="203">
        <v>48454.8</v>
      </c>
      <c r="G10" s="205">
        <v>28802</v>
      </c>
      <c r="H10" s="184"/>
      <c r="I10" s="184"/>
    </row>
    <row r="11" spans="1:9" ht="13.5" thickBot="1">
      <c r="A11" s="207" t="s">
        <v>17</v>
      </c>
      <c r="B11" s="208"/>
      <c r="C11" s="208">
        <v>157</v>
      </c>
      <c r="D11" s="208">
        <v>102</v>
      </c>
      <c r="E11" s="209">
        <v>0.64968152866242035</v>
      </c>
      <c r="F11" s="210">
        <v>208346.82</v>
      </c>
      <c r="G11" s="183">
        <v>131023</v>
      </c>
      <c r="H11" s="184"/>
      <c r="I11" s="184"/>
    </row>
    <row r="12" spans="1:9" ht="13.5" thickBot="1">
      <c r="A12" s="184"/>
      <c r="B12" s="184"/>
      <c r="C12" s="184"/>
      <c r="D12" s="184"/>
      <c r="E12" s="184"/>
      <c r="F12" s="184"/>
      <c r="G12" s="184"/>
      <c r="H12" s="184"/>
      <c r="I12" s="184"/>
    </row>
    <row r="13" spans="1:9" ht="13.5" thickBot="1">
      <c r="A13" s="184"/>
      <c r="B13" s="320" t="s">
        <v>82</v>
      </c>
      <c r="C13" s="321"/>
      <c r="D13" s="321"/>
      <c r="E13" s="321"/>
      <c r="F13" s="321"/>
      <c r="G13" s="322"/>
      <c r="H13" s="184"/>
    </row>
    <row r="14" spans="1:9" ht="13.5" thickBot="1">
      <c r="A14" s="184"/>
      <c r="B14" s="329" t="s">
        <v>19</v>
      </c>
      <c r="C14" s="330"/>
      <c r="D14" s="331"/>
      <c r="E14" s="189" t="s">
        <v>20</v>
      </c>
      <c r="F14" s="188" t="s">
        <v>21</v>
      </c>
      <c r="G14" s="211" t="s">
        <v>7</v>
      </c>
      <c r="H14" s="184"/>
    </row>
    <row r="15" spans="1:9" ht="13.5" thickTop="1">
      <c r="A15" s="184"/>
      <c r="B15" s="323" t="s">
        <v>22</v>
      </c>
      <c r="C15" s="324"/>
      <c r="D15" s="325"/>
      <c r="E15" s="212">
        <v>11</v>
      </c>
      <c r="F15" s="212">
        <v>10</v>
      </c>
      <c r="G15" s="213">
        <v>16250</v>
      </c>
    </row>
    <row r="16" spans="1:9">
      <c r="A16" s="184"/>
      <c r="B16" s="317" t="s">
        <v>23</v>
      </c>
      <c r="C16" s="318"/>
      <c r="D16" s="319"/>
      <c r="E16" s="214">
        <v>31</v>
      </c>
      <c r="F16" s="214">
        <v>23</v>
      </c>
      <c r="G16" s="215">
        <v>22685</v>
      </c>
    </row>
    <row r="17" spans="2:7">
      <c r="B17" s="317" t="s">
        <v>24</v>
      </c>
      <c r="C17" s="318"/>
      <c r="D17" s="319"/>
      <c r="E17" s="214">
        <v>12</v>
      </c>
      <c r="F17" s="214">
        <v>5</v>
      </c>
      <c r="G17" s="215">
        <v>7392</v>
      </c>
    </row>
    <row r="18" spans="2:7">
      <c r="B18" s="317" t="s">
        <v>25</v>
      </c>
      <c r="C18" s="318"/>
      <c r="D18" s="319"/>
      <c r="E18" s="214">
        <v>25</v>
      </c>
      <c r="F18" s="214">
        <v>11</v>
      </c>
      <c r="G18" s="215">
        <v>14853</v>
      </c>
    </row>
    <row r="19" spans="2:7">
      <c r="B19" s="317" t="s">
        <v>26</v>
      </c>
      <c r="C19" s="318"/>
      <c r="D19" s="319"/>
      <c r="E19" s="214">
        <v>41</v>
      </c>
      <c r="F19" s="214">
        <v>28</v>
      </c>
      <c r="G19" s="215">
        <v>38980</v>
      </c>
    </row>
    <row r="20" spans="2:7">
      <c r="B20" s="317" t="s">
        <v>27</v>
      </c>
      <c r="C20" s="318"/>
      <c r="D20" s="319"/>
      <c r="E20" s="214">
        <v>33</v>
      </c>
      <c r="F20" s="214">
        <v>23</v>
      </c>
      <c r="G20" s="215">
        <v>29106</v>
      </c>
    </row>
    <row r="21" spans="2:7" ht="13.5" thickBot="1">
      <c r="B21" s="332" t="s">
        <v>28</v>
      </c>
      <c r="C21" s="333"/>
      <c r="D21" s="334"/>
      <c r="E21" s="216">
        <v>4</v>
      </c>
      <c r="F21" s="216">
        <v>2</v>
      </c>
      <c r="G21" s="217">
        <v>1757</v>
      </c>
    </row>
    <row r="22" spans="2:7" ht="13.5" thickBot="1">
      <c r="B22" s="326" t="s">
        <v>29</v>
      </c>
      <c r="C22" s="327"/>
      <c r="D22" s="328"/>
      <c r="E22" s="208">
        <v>157</v>
      </c>
      <c r="F22" s="208">
        <v>102</v>
      </c>
      <c r="G22" s="183">
        <v>131023</v>
      </c>
    </row>
    <row r="23" spans="2:7" ht="13.5" thickBot="1">
      <c r="B23" s="184"/>
      <c r="C23" s="184"/>
      <c r="D23" s="184"/>
      <c r="E23" s="184"/>
      <c r="F23" s="184"/>
      <c r="G23" s="184"/>
    </row>
    <row r="24" spans="2:7" ht="13.5" thickBot="1">
      <c r="B24" s="320" t="s">
        <v>83</v>
      </c>
      <c r="C24" s="321"/>
      <c r="D24" s="321"/>
      <c r="E24" s="321"/>
      <c r="F24" s="321"/>
      <c r="G24" s="322"/>
    </row>
    <row r="25" spans="2:7" ht="13.5" thickBot="1">
      <c r="B25" s="218" t="s">
        <v>31</v>
      </c>
      <c r="C25" s="189" t="s">
        <v>32</v>
      </c>
      <c r="D25" s="189"/>
      <c r="E25" s="189" t="s">
        <v>20</v>
      </c>
      <c r="F25" s="188" t="s">
        <v>21</v>
      </c>
      <c r="G25" s="190" t="s">
        <v>7</v>
      </c>
    </row>
    <row r="26" spans="2:7" ht="13.5" thickTop="1">
      <c r="B26" s="219">
        <v>1</v>
      </c>
      <c r="C26" s="335" t="s">
        <v>68</v>
      </c>
      <c r="D26" s="325"/>
      <c r="E26" s="220"/>
      <c r="F26" s="223"/>
      <c r="G26" s="213"/>
    </row>
    <row r="27" spans="2:7">
      <c r="B27" s="221">
        <v>2</v>
      </c>
      <c r="C27" s="336" t="s">
        <v>69</v>
      </c>
      <c r="D27" s="319"/>
      <c r="E27" s="214">
        <v>16</v>
      </c>
      <c r="F27" s="227">
        <v>11</v>
      </c>
      <c r="G27" s="215">
        <v>20012</v>
      </c>
    </row>
    <row r="28" spans="2:7">
      <c r="B28" s="221">
        <v>3</v>
      </c>
      <c r="C28" s="337" t="s">
        <v>35</v>
      </c>
      <c r="D28" s="319"/>
      <c r="E28" s="214">
        <v>1</v>
      </c>
      <c r="F28" s="227">
        <v>1</v>
      </c>
      <c r="G28" s="215">
        <v>500</v>
      </c>
    </row>
    <row r="29" spans="2:7">
      <c r="B29" s="221">
        <v>4</v>
      </c>
      <c r="C29" s="337" t="s">
        <v>37</v>
      </c>
      <c r="D29" s="319"/>
      <c r="E29" s="214">
        <v>6</v>
      </c>
      <c r="F29" s="227">
        <v>1</v>
      </c>
      <c r="G29" s="215">
        <v>1988</v>
      </c>
    </row>
    <row r="30" spans="2:7">
      <c r="B30" s="221">
        <v>5</v>
      </c>
      <c r="C30" s="337" t="s">
        <v>38</v>
      </c>
      <c r="D30" s="319"/>
      <c r="E30" s="214">
        <v>7</v>
      </c>
      <c r="F30" s="227">
        <v>3</v>
      </c>
      <c r="G30" s="215">
        <v>5935</v>
      </c>
    </row>
    <row r="31" spans="2:7">
      <c r="B31" s="221">
        <v>6</v>
      </c>
      <c r="C31" s="336" t="s">
        <v>70</v>
      </c>
      <c r="D31" s="319"/>
      <c r="E31" s="214">
        <v>64</v>
      </c>
      <c r="F31" s="227">
        <v>43</v>
      </c>
      <c r="G31" s="215">
        <v>74307</v>
      </c>
    </row>
    <row r="32" spans="2:7" ht="13.5" thickBot="1">
      <c r="B32" s="222">
        <v>7</v>
      </c>
      <c r="C32" s="338" t="s">
        <v>71</v>
      </c>
      <c r="D32" s="334"/>
      <c r="E32" s="226">
        <v>63</v>
      </c>
      <c r="F32" s="228">
        <v>43</v>
      </c>
      <c r="G32" s="224">
        <v>28281</v>
      </c>
    </row>
    <row r="33" spans="2:7" ht="13.5" thickBot="1">
      <c r="B33" s="326" t="s">
        <v>29</v>
      </c>
      <c r="C33" s="327"/>
      <c r="D33" s="328"/>
      <c r="E33" s="208">
        <v>157</v>
      </c>
      <c r="F33" s="208">
        <v>102</v>
      </c>
      <c r="G33" s="183">
        <v>131023</v>
      </c>
    </row>
    <row r="35" spans="2:7">
      <c r="B35" s="184"/>
      <c r="C35" s="184"/>
      <c r="D35" s="184"/>
      <c r="E35" s="184"/>
      <c r="F35" s="184"/>
      <c r="G35" s="184"/>
    </row>
    <row r="36" spans="2:7">
      <c r="G36" s="225"/>
    </row>
  </sheetData>
  <mergeCells count="20">
    <mergeCell ref="B21:D21"/>
    <mergeCell ref="B33:D33"/>
    <mergeCell ref="B24:G24"/>
    <mergeCell ref="C26:D26"/>
    <mergeCell ref="C27:D27"/>
    <mergeCell ref="C28:D28"/>
    <mergeCell ref="C31:D31"/>
    <mergeCell ref="C29:D29"/>
    <mergeCell ref="C30:D30"/>
    <mergeCell ref="C32:D32"/>
    <mergeCell ref="A1:G1"/>
    <mergeCell ref="B18:D18"/>
    <mergeCell ref="B13:G13"/>
    <mergeCell ref="B15:D15"/>
    <mergeCell ref="B22:D22"/>
    <mergeCell ref="B19:D19"/>
    <mergeCell ref="B17:D17"/>
    <mergeCell ref="B16:D16"/>
    <mergeCell ref="B14:D14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Multi-Year Comparison</vt:lpstr>
      <vt:lpstr>FY 2005-2006 Summary</vt:lpstr>
      <vt:lpstr>FY 2006-2007 Summary</vt:lpstr>
      <vt:lpstr>FY 2007-2008 Summary</vt:lpstr>
      <vt:lpstr>FY 2008-2009 Summary</vt:lpstr>
      <vt:lpstr>FY 2009-2010 Summary</vt:lpstr>
      <vt:lpstr>FY 2010-2011 Summary</vt:lpstr>
      <vt:lpstr>FY2011-2012 Summary</vt:lpstr>
    </vt:vector>
  </TitlesOfParts>
  <Company>IUP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micheles</dc:creator>
  <cp:lastModifiedBy>jserio</cp:lastModifiedBy>
  <cp:lastPrinted>2010-07-16T15:40:34Z</cp:lastPrinted>
  <dcterms:created xsi:type="dcterms:W3CDTF">2008-04-18T19:13:38Z</dcterms:created>
  <dcterms:modified xsi:type="dcterms:W3CDTF">2012-08-15T19:01:14Z</dcterms:modified>
</cp:coreProperties>
</file>