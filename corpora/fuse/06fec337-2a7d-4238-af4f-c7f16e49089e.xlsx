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5480" windowHeight="10740"/>
  </bookViews>
  <sheets>
    <sheet name="Primary Layout" sheetId="1" r:id="rId1"/>
  </sheets>
  <calcPr calcId="145621"/>
</workbook>
</file>

<file path=xl/sharedStrings.xml><?xml version="1.0" encoding="utf-8"?>
<sst xmlns="http://schemas.openxmlformats.org/spreadsheetml/2006/main" count="87" uniqueCount="87">
  <si>
    <t/>
  </si>
  <si>
    <t>ID:</t>
  </si>
  <si>
    <t>00844480</t>
  </si>
  <si>
    <t>Notes/Supplemental Information:</t>
  </si>
  <si>
    <t>Contact: Karen Dunleavy @ 516-773-2744</t>
  </si>
  <si>
    <t>REIT Name:</t>
  </si>
  <si>
    <t>One Liberty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</si>
  <si>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</si>
  <si>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</si>
  <si>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</si>
  <si>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</si>
  <si>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</si>
  <si>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</si>
  <si>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</si>
  <si>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</si>
  <si>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</si>
  <si>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</si>
  <si>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</si>
  <si>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</si>
  <si>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</si>
  <si>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</si>
  <si>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</si>
  <si>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</si>
  <si>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</si>
  <si>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</si>
  <si>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</si>
  <si>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</si>
  <si>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</si>
  <si>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</si>
  <si>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</si>
  <si>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</si>
  <si>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</si>
  <si>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</si>
  <si>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</si>
  <si>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</si>
  <si>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</si>
  <si>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</si>
  <si>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</si>
  <si>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</si>
  <si>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</si>
  <si>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</si>
  <si>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</si>
  <si>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</si>
  <si>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</si>
  <si>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</si>
  <si>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</si>
  <si>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</si>
  <si>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</si>
  <si>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</si>
  <si>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</si>
  <si>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</si>
  <si>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</si>
  <si>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</si>
  <si>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</si>
  <si>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</si>
  <si>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</si>
  <si>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</si>
  <si>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</si>
  <si>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</si>
  <si>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</si>
  <si>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</si>
  <si>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</si>
  <si>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</si>
  <si>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</si>
  <si>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</si>
  <si>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</si>
  <si>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</si>
  <si>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</si>
  <si>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</si>
  <si>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</si>
  <si>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</si>
  <si>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</si>
  <si>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</si>
  <si>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</si>
  <si>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</si>
  <si>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</si>
  <si>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</si>
  <si>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</si>
  <si>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</si>
  <si>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</si>
  <si>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</si>
  <si>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</si>
  <si>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</si>
  <si>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</si>
  <si>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</si>
  <si>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</si>
  <si>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OLP</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</si>
</sst>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0.000000"/>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u/>
      <sz val="1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4">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 fontId="1" fillId="0" borderId="0" xfId="0">
      <alignment horizontal="center"/>
      <protection locked="0"/>
    </xf>
    <xf numFmtId="165" fontId="1" fillId="0" borderId="0" xfId="0">
      <alignment horizontal="center"/>
      <protection locked="0"/>
    </xf>
    <xf numFmtId="0" fontId="9" fillId="0" borderId="0" xfId="0">
      <alignment horizontal="center"/>
      <protection locked="0"/>
    </xf>
    <xf numFmtId="14" fontId="1" fillId="0" borderId="0" xfId="0">
      <alignment horizontal="right"/>
      <protection locked="0"/>
    </xf>
    <xf numFmtId="14" fontId="1" fillId="0" borderId="0" xfId="0">
      <alignment horizontal="right"/>
      <protection locked="0"/>
    </xf>
    <xf numFmtId="14" fontId="1" fillId="0" borderId="11" xfId="0">
      <alignment horizontal="right"/>
      <protection locked="0"/>
    </xf>
    <xf numFmtId="0" fontId="9" fillId="0" borderId="0" xfId="0">
      <alignment horizontal="center"/>
      <protection locked="0"/>
    </xf>
    <xf numFmtId="14" fontId="1" fillId="0" borderId="11" xfId="0">
      <alignment horizontal="right"/>
      <protection locked="0"/>
    </xf>
    <xf numFmtId="14" fontId="1" fillId="0" borderId="11" xfId="0">
      <alignment horizontal="righ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9"/>
  <sheetViews>
    <sheetView tabSelected="1" workbookViewId="0">
      <pane ySplit="18" topLeftCell="A19" activePane="bottomLeft" state="frozen"/>
      <selection pane="bottomLeft" activeCell="B6" sqref="B6"/>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100" t="s">
        <v>4</v>
      </c>
      <c r="L2" s="101"/>
      <c r="M2" s="101"/>
      <c r="N2" s="101"/>
      <c r="O2" s="101"/>
      <c r="P2" s="101"/>
      <c r="Q2" s="102"/>
    </row>
    <row r="3">
      <c r="A3" s="4" t="s">
        <v>5</v>
      </c>
      <c r="B3" s="9" t="s">
        <v>6</v>
      </c>
      <c r="C3" s="10"/>
      <c r="D3" s="10"/>
      <c r="E3" s="10"/>
      <c r="F3" s="11"/>
      <c r="G3" s="12"/>
      <c r="H3" s="13"/>
      <c r="J3" s="13"/>
      <c r="K3" s="103"/>
      <c r="L3" s="104"/>
      <c r="M3" s="104"/>
      <c r="N3" s="104"/>
      <c r="O3" s="104"/>
      <c r="P3" s="104"/>
      <c r="Q3" s="105"/>
      <c r="R3" s="13"/>
      <c r="S3" s="13"/>
      <c r="T3" s="13"/>
      <c r="U3" s="13"/>
      <c r="V3" s="13"/>
      <c r="W3" s="13"/>
      <c r="X3" s="13"/>
      <c r="Y3" s="13"/>
      <c r="Z3" s="13"/>
      <c r="AA3" s="13"/>
      <c r="AB3" s="13"/>
      <c r="AC3" s="13"/>
      <c r="AD3" s="13"/>
    </row>
    <row r="4">
      <c r="A4" s="4" t="s">
        <v>7</v>
      </c>
      <c r="B4" s="14">
        <v>2012</v>
      </c>
      <c r="C4" s="15"/>
      <c r="D4" s="15"/>
      <c r="E4" s="15"/>
      <c r="F4" s="15"/>
      <c r="G4" s="16"/>
      <c r="K4" s="103"/>
      <c r="L4" s="104"/>
      <c r="M4" s="104"/>
      <c r="N4" s="104"/>
      <c r="O4" s="104"/>
      <c r="P4" s="104"/>
      <c r="Q4" s="105"/>
    </row>
    <row r="5">
      <c r="A5" s="13"/>
      <c r="B5" s="13"/>
      <c r="C5" s="13"/>
      <c r="D5" s="13"/>
      <c r="E5" s="13"/>
      <c r="F5" s="13"/>
      <c r="G5" s="13"/>
      <c r="H5" s="13"/>
      <c r="J5" s="13"/>
      <c r="K5" s="106"/>
      <c r="L5" s="107"/>
      <c r="M5" s="107"/>
      <c r="N5" s="107"/>
      <c r="O5" s="107"/>
      <c r="P5" s="107"/>
      <c r="Q5" s="108"/>
      <c r="R5" s="13"/>
      <c r="S5" s="13"/>
      <c r="T5" s="13"/>
      <c r="U5" s="13"/>
      <c r="V5" s="13"/>
      <c r="W5" s="13"/>
      <c r="X5" s="13"/>
      <c r="Y5" s="13"/>
      <c r="Z5" s="13"/>
      <c r="AA5" s="13"/>
      <c r="AB5" s="13"/>
      <c r="AC5" s="13"/>
      <c r="AD5" s="13"/>
    </row>
    <row r="6">
      <c r="A6" s="8" t="s">
        <v>8</v>
      </c>
      <c r="B6" s="90">
        <v>41296</v>
      </c>
      <c r="C6" s="13"/>
      <c r="D6" s="17" t="s">
        <v>9</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9" t="s">
        <v>10</v>
      </c>
      <c r="B9" s="109"/>
      <c r="C9" s="109"/>
      <c r="D9" s="109"/>
      <c r="E9" s="109"/>
      <c r="F9" s="109"/>
      <c r="G9" s="109"/>
      <c r="H9" s="109"/>
      <c r="I9" s="109"/>
      <c r="J9" s="109"/>
      <c r="K9" s="109"/>
      <c r="L9" s="109"/>
      <c r="M9" s="109"/>
      <c r="N9" s="20"/>
      <c r="O9" s="20"/>
      <c r="P9" s="20"/>
      <c r="Q9" s="13"/>
      <c r="R9" s="13"/>
      <c r="S9" s="13"/>
      <c r="T9" s="13"/>
      <c r="U9" s="13"/>
      <c r="V9" s="13"/>
      <c r="W9" s="13"/>
      <c r="X9" s="13"/>
      <c r="Y9" s="13"/>
      <c r="Z9" s="13"/>
      <c r="AA9" s="13"/>
      <c r="AB9" s="13"/>
      <c r="AC9" s="13"/>
      <c r="AD9" s="13"/>
    </row>
    <row r="10">
      <c r="A10" s="109"/>
      <c r="B10" s="109"/>
      <c r="C10" s="109"/>
      <c r="D10" s="109"/>
      <c r="E10" s="109"/>
      <c r="F10" s="109"/>
      <c r="G10" s="109"/>
      <c r="H10" s="109"/>
      <c r="I10" s="109"/>
      <c r="J10" s="109"/>
      <c r="K10" s="109"/>
      <c r="L10" s="109"/>
      <c r="M10" s="109"/>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10" t="s">
        <v>11</v>
      </c>
      <c r="B13" s="110"/>
      <c r="C13" s="110"/>
      <c r="D13" s="11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111" t="s">
        <v>13</v>
      </c>
      <c r="L15" s="112"/>
      <c r="M15" s="113"/>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91" t="s">
        <v>85</v>
      </c>
      <c r="B20" s="91">
        <v>682406103</v>
      </c>
      <c r="C20" s="92" t="s">
        <v>86</v>
      </c>
      <c r="D20" s="93"/>
      <c r="E20" s="93"/>
      <c r="F20" s="93"/>
      <c r="G20" s="94">
        <v>40904</v>
      </c>
      <c r="H20" s="95">
        <v>40899</v>
      </c>
      <c r="I20" s="96">
        <v>40912</v>
      </c>
      <c r="J20" s="64">
        <f>+K20+L20+M20</f>
      </c>
      <c r="K20" s="54">
        <v>0.04</v>
      </c>
      <c r="L20" s="54"/>
      <c r="M20" s="54">
        <v>0.29</v>
      </c>
      <c r="N20" s="64">
        <v>0.063</v>
      </c>
      <c r="O20" s="65"/>
      <c r="P20" s="56"/>
      <c r="Q20" s="66">
        <f>+N20</f>
      </c>
      <c r="R20" s="64"/>
      <c r="S20" s="56"/>
      <c r="T20" s="56"/>
      <c r="U20" s="64"/>
      <c r="V20" s="64">
        <v>0.227</v>
      </c>
      <c r="W20" s="64">
        <v>0.05</v>
      </c>
      <c r="X20" s="56"/>
      <c r="Y20" s="64"/>
      <c r="Z20" s="64"/>
      <c r="AA20" s="56"/>
      <c r="AB20" s="64"/>
      <c r="AC20" s="64"/>
      <c r="AD20" s="56"/>
      <c r="AE20" s="56"/>
      <c r="AF20" s="67"/>
      <c r="AG20" s="38"/>
    </row>
    <row r="21">
      <c r="A21" s="91" t="s">
        <v>85</v>
      </c>
      <c r="B21" s="91">
        <v>682406103</v>
      </c>
      <c r="C21" s="92" t="s">
        <v>86</v>
      </c>
      <c r="D21" s="93"/>
      <c r="E21" s="93"/>
      <c r="F21" s="93"/>
      <c r="G21" s="94">
        <v>40988</v>
      </c>
      <c r="H21" s="95">
        <v>40984</v>
      </c>
      <c r="I21" s="96">
        <v>41001</v>
      </c>
      <c r="J21" s="64">
        <f ref="J21:J24" t="shared" si="1">+K21+L21+M21</f>
      </c>
      <c r="K21" s="54"/>
      <c r="L21" s="54"/>
      <c r="M21" s="54">
        <v>0.33</v>
      </c>
      <c r="N21" s="64">
        <v>0.085</v>
      </c>
      <c r="O21" s="65"/>
      <c r="P21" s="56"/>
      <c r="Q21" s="66">
        <f ref="Q21:Q24" t="shared" si="2">+N21</f>
      </c>
      <c r="R21" s="64"/>
      <c r="S21" s="56"/>
      <c r="T21" s="56"/>
      <c r="U21" s="64"/>
      <c r="V21" s="64">
        <v>0.245</v>
      </c>
      <c r="W21" s="64">
        <v>0.07</v>
      </c>
      <c r="X21" s="56"/>
      <c r="Y21" s="64"/>
      <c r="Z21" s="64"/>
      <c r="AA21" s="56"/>
      <c r="AB21" s="64"/>
      <c r="AC21" s="64"/>
      <c r="AD21" s="56"/>
      <c r="AE21" s="56"/>
      <c r="AF21" s="67"/>
      <c r="AG21" s="38"/>
    </row>
    <row r="22" s="2" customFormat="1">
      <c r="A22" s="91" t="s">
        <v>85</v>
      </c>
      <c r="B22" s="91">
        <v>682406103</v>
      </c>
      <c r="C22" s="92" t="s">
        <v>86</v>
      </c>
      <c r="D22" s="93"/>
      <c r="E22" s="93"/>
      <c r="F22" s="93"/>
      <c r="G22" s="94">
        <v>41086</v>
      </c>
      <c r="H22" s="95">
        <v>41082</v>
      </c>
      <c r="I22" s="96">
        <v>41096</v>
      </c>
      <c r="J22" s="64">
        <f t="shared" si="1"/>
      </c>
      <c r="K22" s="54"/>
      <c r="L22" s="54"/>
      <c r="M22" s="54">
        <v>0.33</v>
      </c>
      <c r="N22" s="64">
        <v>0.085</v>
      </c>
      <c r="O22" s="65"/>
      <c r="P22" s="56"/>
      <c r="Q22" s="66">
        <f t="shared" si="2"/>
      </c>
      <c r="R22" s="64"/>
      <c r="S22" s="56"/>
      <c r="T22" s="56"/>
      <c r="U22" s="64"/>
      <c r="V22" s="64">
        <v>0.245</v>
      </c>
      <c r="W22" s="64">
        <v>0.07</v>
      </c>
      <c r="X22" s="56"/>
      <c r="Y22" s="64"/>
      <c r="Z22" s="64"/>
      <c r="AA22" s="56"/>
      <c r="AB22" s="64"/>
      <c r="AC22" s="64"/>
      <c r="AD22" s="56"/>
      <c r="AE22" s="56"/>
      <c r="AF22" s="67"/>
      <c r="AG22" s="38"/>
    </row>
    <row r="23">
      <c r="A23" s="91" t="s">
        <v>85</v>
      </c>
      <c r="B23" s="91">
        <v>682406103</v>
      </c>
      <c r="C23" s="92" t="s">
        <v>86</v>
      </c>
      <c r="D23" s="93"/>
      <c r="E23" s="97"/>
      <c r="F23" s="97"/>
      <c r="G23" s="95">
        <v>41177</v>
      </c>
      <c r="H23" s="95">
        <v>41173</v>
      </c>
      <c r="I23" s="98">
        <v>41186</v>
      </c>
      <c r="J23" s="64">
        <f t="shared" si="1"/>
      </c>
      <c r="K23" s="54"/>
      <c r="L23" s="54"/>
      <c r="M23" s="54">
        <v>0.33</v>
      </c>
      <c r="N23" s="54">
        <v>0.085</v>
      </c>
      <c r="O23" s="68"/>
      <c r="P23" s="69"/>
      <c r="Q23" s="66">
        <f t="shared" si="2"/>
      </c>
      <c r="R23" s="54"/>
      <c r="S23" s="69"/>
      <c r="T23" s="69"/>
      <c r="U23" s="54"/>
      <c r="V23" s="54">
        <v>0.245</v>
      </c>
      <c r="W23" s="54">
        <v>0.07</v>
      </c>
      <c r="X23" s="69"/>
      <c r="Y23" s="54"/>
      <c r="Z23" s="54"/>
      <c r="AA23" s="69"/>
      <c r="AB23" s="54"/>
      <c r="AC23" s="54"/>
      <c r="AD23" s="69"/>
      <c r="AE23" s="69"/>
      <c r="AF23" s="71"/>
      <c r="AG23" s="38"/>
    </row>
    <row r="24">
      <c r="A24" s="91" t="s">
        <v>85</v>
      </c>
      <c r="B24" s="91">
        <v>682406103</v>
      </c>
      <c r="C24" s="92" t="s">
        <v>86</v>
      </c>
      <c r="D24" s="93"/>
      <c r="E24" s="93"/>
      <c r="F24" s="93"/>
      <c r="G24" s="94">
        <v>41270</v>
      </c>
      <c r="H24" s="95">
        <v>41267</v>
      </c>
      <c r="I24" s="99">
        <v>41278</v>
      </c>
      <c r="J24" s="64">
        <f t="shared" si="1"/>
      </c>
      <c r="K24" s="54"/>
      <c r="L24" s="54"/>
      <c r="M24" s="54">
        <v>0.35</v>
      </c>
      <c r="N24" s="54">
        <v>0.105</v>
      </c>
      <c r="O24" s="68"/>
      <c r="P24" s="69"/>
      <c r="Q24" s="66">
        <f t="shared" si="2"/>
      </c>
      <c r="R24" s="54"/>
      <c r="S24" s="69"/>
      <c r="T24" s="69"/>
      <c r="U24" s="54"/>
      <c r="V24" s="54">
        <v>0.245</v>
      </c>
      <c r="W24" s="54">
        <v>0.07</v>
      </c>
      <c r="X24" s="69"/>
      <c r="Y24" s="54"/>
      <c r="Z24" s="54"/>
      <c r="AA24" s="69"/>
      <c r="AB24" s="54"/>
      <c r="AC24" s="54"/>
      <c r="AD24" s="69"/>
      <c r="AE24" s="69"/>
      <c r="AF24" s="71"/>
      <c r="AG24" s="38"/>
    </row>
    <row r="25">
      <c r="A25" s="84">
        <f>IF(COUNTA(M20:M24)=0,"",IF(COUNTA(F20:F24)=0,IF(COUNTA(D20:D24)=0,"Totals - Final","Totals - Estimated"),"Totals - Corrected"))</f>
      </c>
      <c r="B25" s="87">
        <f>IF(ISNA(INDEX(B20:B24,MAX(MATCH(REPT("z",255),B20:B24)))),"",INDEX(B20:B24,MAX(MATCH(REPT("z",255),B20:B24))))</f>
      </c>
      <c r="C25" s="87">
        <f>IF(ISNA(INDEX(C20:C24,MAX(MATCH(REPT("z",255),C20:C24)))),"",INDEX(C20:C24,MAX(MATCH(REPT("z",255),C20:C24))))</f>
      </c>
      <c r="D25" s="87">
        <f>IF(ISNA(INDEX(A20:A24,MAX(MATCH(REPT("z",255),A20:A24)))),"",INDEX(A20:A24,MAX(MATCH(REPT("z",255),A20:A24))))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64"/>
      <c r="O28" s="65"/>
      <c r="P28" s="56"/>
      <c r="Q28" s="66"/>
      <c r="R28" s="64"/>
      <c r="S28" s="56"/>
      <c r="T28" s="56"/>
      <c r="U28" s="64"/>
      <c r="V28" s="64"/>
      <c r="W28" s="64"/>
      <c r="X28" s="56"/>
      <c r="Y28" s="64"/>
      <c r="Z28" s="64"/>
      <c r="AA28" s="56"/>
      <c r="AB28" s="64"/>
      <c r="AC28" s="64"/>
      <c r="AD28" s="56"/>
      <c r="AE28" s="56"/>
      <c r="AF28" s="67"/>
      <c r="AG28" s="38"/>
    </row>
    <row r="29">
      <c r="A29" s="60"/>
      <c r="B29" s="61"/>
      <c r="C29" s="61"/>
      <c r="D29" s="62"/>
      <c r="E29" s="62"/>
      <c r="F29" s="62"/>
      <c r="G29" s="63"/>
      <c r="H29" s="63"/>
      <c r="I29" s="63"/>
      <c r="J29" s="6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72"/>
      <c r="B30" s="73"/>
      <c r="C30" s="73"/>
      <c r="D30" s="74"/>
      <c r="E30" s="74"/>
      <c r="F30" s="74"/>
      <c r="G30" s="75"/>
      <c r="H30" s="75"/>
      <c r="I30" s="75"/>
      <c r="J30" s="54"/>
      <c r="K30" s="54"/>
      <c r="L30" s="54"/>
      <c r="M30" s="54"/>
      <c r="N30" s="54"/>
      <c r="O30" s="68"/>
      <c r="P30" s="69"/>
      <c r="Q30" s="70"/>
      <c r="R30" s="54"/>
      <c r="S30" s="69"/>
      <c r="T30" s="69"/>
      <c r="U30" s="54"/>
      <c r="V30" s="54"/>
      <c r="W30" s="54"/>
      <c r="X30" s="69"/>
      <c r="Y30" s="54"/>
      <c r="Z30" s="54"/>
      <c r="AA30" s="69"/>
      <c r="AB30" s="54"/>
      <c r="AC30" s="54"/>
      <c r="AD30" s="69"/>
      <c r="AE30" s="69"/>
      <c r="AF30" s="71"/>
      <c r="AG30" s="38"/>
    </row>
    <row r="31">
      <c r="A31" s="84">
        <f>IF(COUNTA(M27:M30)=0,"",IF(COUNTA(F27:F30)=0,IF(COUNTA(D27:D30)=0,"Totals - Final","Totals - Estimated"),"Totals - Corrected"))</f>
      </c>
      <c r="B31" s="87">
        <f>IF(ISNA(INDEX(B27:B30,MAX(MATCH(REPT("z",255),B27:B30)))),"",INDEX(B27:B30,MAX(MATCH(REPT("z",255),B27:B30))))</f>
      </c>
      <c r="C31" s="87">
        <f>IF(ISNA(INDEX(C27:C30,MAX(MATCH(REPT("z",255),C27:C30)))),"",INDEX(C27:C30,MAX(MATCH(REPT("z",255),C27:C30))))</f>
      </c>
      <c r="D31" s="87">
        <f>IF(ISNA(INDEX(A27:A30,MAX(MATCH(REPT("z",255),A27:A30)))),"",INDEX(A27:A30,MAX(MATCH(REPT("z",255),A27:A30))))</f>
      </c>
      <c r="E31" s="85"/>
      <c r="F31" s="85"/>
      <c r="G31" s="86"/>
      <c r="H31" s="86"/>
      <c r="I31" s="86"/>
      <c r="J31" s="76">
        <f ref="J31:J31" t="array">SUM(IF(NOT(ISBLANK($B26:$B30)),J26:J30,""))</f>
      </c>
      <c r="K31" s="76">
        <f ref="K31:K31" t="array">SUM(IF(NOT(ISBLANK($B26:$B30)),K26:K30,""))</f>
      </c>
      <c r="L31" s="76">
        <f ref="L31:L31" t="array">SUM(IF(NOT(ISBLANK($B26:$B30)),L26:L30,""))</f>
      </c>
      <c r="M31" s="76">
        <f ref="M31:M31" t="array">SUM(IF(NOT(ISBLANK($B26:$B30)),M26:M30,""))</f>
      </c>
      <c r="N31" s="76">
        <f ref="N31:N31" t="array">SUM(IF(NOT(ISBLANK($B26:$B30)),N26:N30,""))</f>
      </c>
      <c r="O31" s="76">
        <f ref="O31:O31" t="array">SUM(IF(NOT(ISBLANK($B26:$B30)),O26:O30,""))</f>
      </c>
      <c r="P31" s="77"/>
      <c r="Q31" s="76">
        <f ref="Q31:Q31" t="array">SUM(IF(NOT(ISBLANK($B26:$B30)),Q26:Q30,""))</f>
      </c>
      <c r="R31" s="76">
        <f ref="R31:R31" t="array">SUM(IF(NOT(ISBLANK($B26:$B30)),R26:R30,""))</f>
      </c>
      <c r="S31" s="77"/>
      <c r="T31" s="77"/>
      <c r="U31" s="76">
        <f ref="U31:U31" t="array">SUM(IF(NOT(ISBLANK($B26:$B30)),U26:U30,""))</f>
      </c>
      <c r="V31" s="76">
        <f ref="V31:V31" t="array">SUM(IF(NOT(ISBLANK($B26:$B30)),V26:V30,""))</f>
      </c>
      <c r="W31" s="76">
        <f ref="W31:W31" t="array">SUM(IF(NOT(ISBLANK($B26:$B30)),W26:W30,""))</f>
      </c>
      <c r="X31" s="77"/>
      <c r="Y31" s="76">
        <f ref="Y31:Y31" t="array">SUM(IF(NOT(ISBLANK($B26:$B30)),Y26:Y30,""))</f>
      </c>
      <c r="Z31" s="76">
        <f ref="Z31:Z31" t="array">SUM(IF(NOT(ISBLANK($B26:$B30)),Z26:Z30,""))</f>
      </c>
      <c r="AA31" s="77"/>
      <c r="AB31" s="76">
        <f ref="AB31:AB31" t="array">SUM(IF(NOT(ISBLANK($B26:$B30)),AB26:AB30,""))</f>
      </c>
      <c r="AC31" s="76">
        <f ref="AC31:AC31" t="array">SUM(IF(NOT(ISBLANK($B26:$B30)),AC26:AC30,""))</f>
      </c>
      <c r="AD31" s="77"/>
      <c r="AE31" s="77"/>
      <c r="AF31" s="78"/>
      <c r="AG31" s="79">
        <v>1</v>
      </c>
    </row>
    <row r="32" ht="0" hidden="1">
      <c r="A32" s="50"/>
      <c r="B32" s="51"/>
      <c r="C32" s="51"/>
      <c r="D32" s="80"/>
      <c r="E32" s="80"/>
      <c r="F32" s="80"/>
      <c r="G32" s="81"/>
      <c r="H32" s="81"/>
      <c r="I32" s="81"/>
      <c r="J32" s="53"/>
      <c r="K32" s="54"/>
      <c r="L32" s="54"/>
      <c r="M32" s="54"/>
      <c r="N32" s="53"/>
      <c r="O32" s="55"/>
      <c r="P32" s="82"/>
      <c r="Q32" s="57"/>
      <c r="R32" s="53"/>
      <c r="S32" s="82"/>
      <c r="T32" s="82"/>
      <c r="U32" s="53"/>
      <c r="V32" s="53"/>
      <c r="W32" s="53"/>
      <c r="X32" s="82"/>
      <c r="Y32" s="53"/>
      <c r="Z32" s="53"/>
      <c r="AA32" s="82"/>
      <c r="AB32" s="53"/>
      <c r="AC32" s="53"/>
      <c r="AD32" s="82"/>
      <c r="AE32" s="82"/>
      <c r="AF32" s="83"/>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84">
        <f>IF(COUNTA(M33:M36)=0,"",IF(COUNTA(F33:F36)=0,IF(COUNTA(D33:D36)=0,"Totals - Final","Totals - Estimated"),"Totals - Corrected"))</f>
      </c>
      <c r="B37" s="87">
        <f>IF(ISNA(INDEX(B33:B36,MAX(MATCH(REPT("z",255),B33:B36)))),"",INDEX(B33:B36,MAX(MATCH(REPT("z",255),B33:B36))))</f>
      </c>
      <c r="C37" s="87">
        <f>IF(ISNA(INDEX(C33:C36,MAX(MATCH(REPT("z",255),C33:C36)))),"",INDEX(C33:C36,MAX(MATCH(REPT("z",255),C33:C36))))</f>
      </c>
      <c r="D37" s="87">
        <f>IF(ISNA(INDEX(A33:A36,MAX(MATCH(REPT("z",255),A33:A36)))),"",INDEX(A33:A36,MAX(MATCH(REPT("z",255),A33:A36))))</f>
      </c>
      <c r="E37" s="85"/>
      <c r="F37" s="85"/>
      <c r="G37" s="86"/>
      <c r="H37" s="86"/>
      <c r="I37" s="86"/>
      <c r="J37" s="76">
        <f ref="J37:J37" t="array">SUM(IF(NOT(ISBLANK($B32:$B36)),J32:J36,""))</f>
      </c>
      <c r="K37" s="76">
        <f ref="K37:K37" t="array">SUM(IF(NOT(ISBLANK($B32:$B36)),K32:K36,""))</f>
      </c>
      <c r="L37" s="76">
        <f ref="L37:L37" t="array">SUM(IF(NOT(ISBLANK($B32:$B36)),L32:L36,""))</f>
      </c>
      <c r="M37" s="76">
        <f ref="M37:M37" t="array">SUM(IF(NOT(ISBLANK($B32:$B36)),M32:M36,""))</f>
      </c>
      <c r="N37" s="76">
        <f ref="N37:N37" t="array">SUM(IF(NOT(ISBLANK($B32:$B36)),N32:N36,""))</f>
      </c>
      <c r="O37" s="76">
        <f ref="O37:O37" t="array">SUM(IF(NOT(ISBLANK($B32:$B36)),O32:O36,""))</f>
      </c>
      <c r="P37" s="77"/>
      <c r="Q37" s="76">
        <f ref="Q37:Q37" t="array">SUM(IF(NOT(ISBLANK($B32:$B36)),Q32:Q36,""))</f>
      </c>
      <c r="R37" s="76">
        <f ref="R37:R37" t="array">SUM(IF(NOT(ISBLANK($B32:$B36)),R32:R36,""))</f>
      </c>
      <c r="S37" s="77"/>
      <c r="T37" s="77"/>
      <c r="U37" s="76">
        <f ref="U37:U37" t="array">SUM(IF(NOT(ISBLANK($B32:$B36)),U32:U36,""))</f>
      </c>
      <c r="V37" s="76">
        <f ref="V37:V37" t="array">SUM(IF(NOT(ISBLANK($B32:$B36)),V32:V36,""))</f>
      </c>
      <c r="W37" s="76">
        <f ref="W37:W37" t="array">SUM(IF(NOT(ISBLANK($B32:$B36)),W32:W36,""))</f>
      </c>
      <c r="X37" s="77"/>
      <c r="Y37" s="76">
        <f ref="Y37:Y37" t="array">SUM(IF(NOT(ISBLANK($B32:$B36)),Y32:Y36,""))</f>
      </c>
      <c r="Z37" s="76">
        <f ref="Z37:Z37" t="array">SUM(IF(NOT(ISBLANK($B32:$B36)),Z32:Z36,""))</f>
      </c>
      <c r="AA37" s="77"/>
      <c r="AB37" s="76">
        <f ref="AB37:AB37" t="array">SUM(IF(NOT(ISBLANK($B32:$B36)),AB32:AB36,""))</f>
      </c>
      <c r="AC37" s="76">
        <f ref="AC37:AC37" t="array">SUM(IF(NOT(ISBLANK($B32:$B36)),AC32:AC36,""))</f>
      </c>
      <c r="AD37" s="77"/>
      <c r="AE37" s="77"/>
      <c r="AF37" s="78"/>
      <c r="AG37" s="79">
        <v>1</v>
      </c>
    </row>
    <row r="38" ht="0" hidden="1">
      <c r="A38" s="50"/>
      <c r="B38" s="51"/>
      <c r="C38" s="51"/>
      <c r="D38" s="80"/>
      <c r="E38" s="80"/>
      <c r="F38" s="80"/>
      <c r="G38" s="81"/>
      <c r="H38" s="81"/>
      <c r="I38" s="81"/>
      <c r="J38" s="53"/>
      <c r="K38" s="54"/>
      <c r="L38" s="54"/>
      <c r="M38" s="54"/>
      <c r="N38" s="53"/>
      <c r="O38" s="55"/>
      <c r="P38" s="82"/>
      <c r="Q38" s="57"/>
      <c r="R38" s="53"/>
      <c r="S38" s="82"/>
      <c r="T38" s="82"/>
      <c r="U38" s="53"/>
      <c r="V38" s="53"/>
      <c r="W38" s="53"/>
      <c r="X38" s="82"/>
      <c r="Y38" s="53"/>
      <c r="Z38" s="53"/>
      <c r="AA38" s="82"/>
      <c r="AB38" s="53"/>
      <c r="AC38" s="53"/>
      <c r="AD38" s="82"/>
      <c r="AE38" s="82"/>
      <c r="AF38" s="83"/>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84">
        <f>IF(COUNTA(M39:M42)=0,"",IF(COUNTA(F39:F42)=0,IF(COUNTA(D39:D42)=0,"Totals - Final","Totals - Estimated"),"Totals - Corrected"))</f>
      </c>
      <c r="B43" s="87">
        <f>IF(ISNA(INDEX(B39:B42,MAX(MATCH(REPT("z",255),B39:B42)))),"",INDEX(B39:B42,MAX(MATCH(REPT("z",255),B39:B42))))</f>
      </c>
      <c r="C43" s="87">
        <f>IF(ISNA(INDEX(C39:C42,MAX(MATCH(REPT("z",255),C39:C42)))),"",INDEX(C39:C42,MAX(MATCH(REPT("z",255),C39:C42))))</f>
      </c>
      <c r="D43" s="87">
        <f>IF(ISNA(INDEX(A39:A42,MAX(MATCH(REPT("z",255),A39:A42)))),"",INDEX(A39:A42,MAX(MATCH(REPT("z",255),A39:A42))))</f>
      </c>
      <c r="E43" s="85"/>
      <c r="F43" s="85"/>
      <c r="G43" s="86"/>
      <c r="H43" s="86"/>
      <c r="I43" s="86"/>
      <c r="J43" s="76">
        <f ref="J43:J43" t="array">SUM(IF(NOT(ISBLANK($B38:$B42)),J38:J42,""))</f>
      </c>
      <c r="K43" s="76">
        <f ref="K43:K43" t="array">SUM(IF(NOT(ISBLANK($B38:$B42)),K38:K42,""))</f>
      </c>
      <c r="L43" s="76">
        <f ref="L43:L43" t="array">SUM(IF(NOT(ISBLANK($B38:$B42)),L38:L42,""))</f>
      </c>
      <c r="M43" s="76">
        <f ref="M43:M43" t="array">SUM(IF(NOT(ISBLANK($B38:$B42)),M38:M42,""))</f>
      </c>
      <c r="N43" s="76">
        <f ref="N43:N43" t="array">SUM(IF(NOT(ISBLANK($B38:$B42)),N38:N42,""))</f>
      </c>
      <c r="O43" s="76">
        <f ref="O43:O43" t="array">SUM(IF(NOT(ISBLANK($B38:$B42)),O38:O42,""))</f>
      </c>
      <c r="P43" s="77"/>
      <c r="Q43" s="76">
        <f ref="Q43:Q43" t="array">SUM(IF(NOT(ISBLANK($B38:$B42)),Q38:Q42,""))</f>
      </c>
      <c r="R43" s="76">
        <f ref="R43:R43" t="array">SUM(IF(NOT(ISBLANK($B38:$B42)),R38:R42,""))</f>
      </c>
      <c r="S43" s="77"/>
      <c r="T43" s="77"/>
      <c r="U43" s="76">
        <f ref="U43:U43" t="array">SUM(IF(NOT(ISBLANK($B38:$B42)),U38:U42,""))</f>
      </c>
      <c r="V43" s="76">
        <f ref="V43:V43" t="array">SUM(IF(NOT(ISBLANK($B38:$B42)),V38:V42,""))</f>
      </c>
      <c r="W43" s="76">
        <f ref="W43:W43" t="array">SUM(IF(NOT(ISBLANK($B38:$B42)),W38:W42,""))</f>
      </c>
      <c r="X43" s="77"/>
      <c r="Y43" s="76">
        <f ref="Y43:Y43" t="array">SUM(IF(NOT(ISBLANK($B38:$B42)),Y38:Y42,""))</f>
      </c>
      <c r="Z43" s="76">
        <f ref="Z43:Z43" t="array">SUM(IF(NOT(ISBLANK($B38:$B42)),Z38:Z42,""))</f>
      </c>
      <c r="AA43" s="77"/>
      <c r="AB43" s="76">
        <f ref="AB43:AB43" t="array">SUM(IF(NOT(ISBLANK($B38:$B42)),AB38:AB42,""))</f>
      </c>
      <c r="AC43" s="76">
        <f ref="AC43:AC43" t="array">SUM(IF(NOT(ISBLANK($B38:$B42)),AC38:AC42,""))</f>
      </c>
      <c r="AD43" s="77"/>
      <c r="AE43" s="77"/>
      <c r="AF43" s="78"/>
      <c r="AG43" s="79">
        <v>1</v>
      </c>
    </row>
    <row r="44" ht="0" hidden="1">
      <c r="A44" s="50"/>
      <c r="B44" s="51"/>
      <c r="C44" s="51"/>
      <c r="D44" s="80"/>
      <c r="E44" s="80"/>
      <c r="F44" s="80"/>
      <c r="G44" s="81"/>
      <c r="H44" s="81"/>
      <c r="I44" s="81"/>
      <c r="J44" s="53"/>
      <c r="K44" s="54"/>
      <c r="L44" s="54"/>
      <c r="M44" s="54"/>
      <c r="N44" s="53"/>
      <c r="O44" s="55"/>
      <c r="P44" s="82"/>
      <c r="Q44" s="57"/>
      <c r="R44" s="53"/>
      <c r="S44" s="82"/>
      <c r="T44" s="82"/>
      <c r="U44" s="53"/>
      <c r="V44" s="53"/>
      <c r="W44" s="53"/>
      <c r="X44" s="82"/>
      <c r="Y44" s="53"/>
      <c r="Z44" s="53"/>
      <c r="AA44" s="82"/>
      <c r="AB44" s="53"/>
      <c r="AC44" s="53"/>
      <c r="AD44" s="82"/>
      <c r="AE44" s="82"/>
      <c r="AF44" s="83"/>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84">
        <f>IF(COUNTA(M45:M48)=0,"",IF(COUNTA(F45:F48)=0,IF(COUNTA(D45:D48)=0,"Totals - Final","Totals - Estimated"),"Totals - Corrected"))</f>
      </c>
      <c r="B49" s="87">
        <f>IF(ISNA(INDEX(B45:B48,MAX(MATCH(REPT("z",255),B45:B48)))),"",INDEX(B45:B48,MAX(MATCH(REPT("z",255),B45:B48))))</f>
      </c>
      <c r="C49" s="87">
        <f>IF(ISNA(INDEX(C45:C48,MAX(MATCH(REPT("z",255),C45:C48)))),"",INDEX(C45:C48,MAX(MATCH(REPT("z",255),C45:C48))))</f>
      </c>
      <c r="D49" s="87">
        <f>IF(ISNA(INDEX(A45:A48,MAX(MATCH(REPT("z",255),A45:A48)))),"",INDEX(A45:A48,MAX(MATCH(REPT("z",255),A45:A48))))</f>
      </c>
      <c r="E49" s="85"/>
      <c r="F49" s="85"/>
      <c r="G49" s="86"/>
      <c r="H49" s="86"/>
      <c r="I49" s="86"/>
      <c r="J49" s="76">
        <f ref="J49:J49" t="array">SUM(IF(NOT(ISBLANK($B44:$B48)),J44:J48,""))</f>
      </c>
      <c r="K49" s="76">
        <f ref="K49:K49" t="array">SUM(IF(NOT(ISBLANK($B44:$B48)),K44:K48,""))</f>
      </c>
      <c r="L49" s="76">
        <f ref="L49:L49" t="array">SUM(IF(NOT(ISBLANK($B44:$B48)),L44:L48,""))</f>
      </c>
      <c r="M49" s="76">
        <f ref="M49:M49" t="array">SUM(IF(NOT(ISBLANK($B44:$B48)),M44:M48,""))</f>
      </c>
      <c r="N49" s="76">
        <f ref="N49:N49" t="array">SUM(IF(NOT(ISBLANK($B44:$B48)),N44:N48,""))</f>
      </c>
      <c r="O49" s="76">
        <f ref="O49:O49" t="array">SUM(IF(NOT(ISBLANK($B44:$B48)),O44:O48,""))</f>
      </c>
      <c r="P49" s="77"/>
      <c r="Q49" s="76">
        <f ref="Q49:Q49" t="array">SUM(IF(NOT(ISBLANK($B44:$B48)),Q44:Q48,""))</f>
      </c>
      <c r="R49" s="76">
        <f ref="R49:R49" t="array">SUM(IF(NOT(ISBLANK($B44:$B48)),R44:R48,""))</f>
      </c>
      <c r="S49" s="77"/>
      <c r="T49" s="77"/>
      <c r="U49" s="76">
        <f ref="U49:U49" t="array">SUM(IF(NOT(ISBLANK($B44:$B48)),U44:U48,""))</f>
      </c>
      <c r="V49" s="76">
        <f ref="V49:V49" t="array">SUM(IF(NOT(ISBLANK($B44:$B48)),V44:V48,""))</f>
      </c>
      <c r="W49" s="76">
        <f ref="W49:W49" t="array">SUM(IF(NOT(ISBLANK($B44:$B48)),W44:W48,""))</f>
      </c>
      <c r="X49" s="77"/>
      <c r="Y49" s="76">
        <f ref="Y49:Y49" t="array">SUM(IF(NOT(ISBLANK($B44:$B48)),Y44:Y48,""))</f>
      </c>
      <c r="Z49" s="76">
        <f ref="Z49:Z49" t="array">SUM(IF(NOT(ISBLANK($B44:$B48)),Z44:Z48,""))</f>
      </c>
      <c r="AA49" s="77"/>
      <c r="AB49" s="76">
        <f ref="AB49:AB49" t="array">SUM(IF(NOT(ISBLANK($B44:$B48)),AB44:AB48,""))</f>
      </c>
      <c r="AC49" s="76">
        <f ref="AC49:AC49" t="array">SUM(IF(NOT(ISBLANK($B44:$B48)),AC44:AC48,""))</f>
      </c>
      <c r="AD49" s="77"/>
      <c r="AE49" s="77"/>
      <c r="AF49" s="78"/>
      <c r="AG49" s="79">
        <v>1</v>
      </c>
    </row>
    <row r="50" ht="0" hidden="1">
      <c r="A50" s="50"/>
      <c r="B50" s="51"/>
      <c r="C50" s="51"/>
      <c r="D50" s="80"/>
      <c r="E50" s="80"/>
      <c r="F50" s="80"/>
      <c r="G50" s="81"/>
      <c r="H50" s="81"/>
      <c r="I50" s="81"/>
      <c r="J50" s="53"/>
      <c r="K50" s="54"/>
      <c r="L50" s="54"/>
      <c r="M50" s="54"/>
      <c r="N50" s="53"/>
      <c r="O50" s="55"/>
      <c r="P50" s="82"/>
      <c r="Q50" s="57"/>
      <c r="R50" s="53"/>
      <c r="S50" s="82"/>
      <c r="T50" s="82"/>
      <c r="U50" s="53"/>
      <c r="V50" s="53"/>
      <c r="W50" s="53"/>
      <c r="X50" s="82"/>
      <c r="Y50" s="53"/>
      <c r="Z50" s="53"/>
      <c r="AA50" s="82"/>
      <c r="AB50" s="53"/>
      <c r="AC50" s="53"/>
      <c r="AD50" s="82"/>
      <c r="AE50" s="82"/>
      <c r="AF50" s="83"/>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84">
        <f>IF(COUNTA(M51:M54)=0,"",IF(COUNTA(F51:F54)=0,IF(COUNTA(D51:D54)=0,"Totals - Final","Totals - Estimated"),"Totals - Corrected"))</f>
      </c>
      <c r="B55" s="87">
        <f>IF(ISNA(INDEX(B51:B54,MAX(MATCH(REPT("z",255),B51:B54)))),"",INDEX(B51:B54,MAX(MATCH(REPT("z",255),B51:B54))))</f>
      </c>
      <c r="C55" s="87">
        <f>IF(ISNA(INDEX(C51:C54,MAX(MATCH(REPT("z",255),C51:C54)))),"",INDEX(C51:C54,MAX(MATCH(REPT("z",255),C51:C54))))</f>
      </c>
      <c r="D55" s="87">
        <f>IF(ISNA(INDEX(A51:A54,MAX(MATCH(REPT("z",255),A51:A54)))),"",INDEX(A51:A54,MAX(MATCH(REPT("z",255),A51:A54))))</f>
      </c>
      <c r="E55" s="85"/>
      <c r="F55" s="85"/>
      <c r="G55" s="86"/>
      <c r="H55" s="86"/>
      <c r="I55" s="86"/>
      <c r="J55" s="76">
        <f ref="J55:J55" t="array">SUM(IF(NOT(ISBLANK($B50:$B54)),J50:J54,""))</f>
      </c>
      <c r="K55" s="76">
        <f ref="K55:K55" t="array">SUM(IF(NOT(ISBLANK($B50:$B54)),K50:K54,""))</f>
      </c>
      <c r="L55" s="76">
        <f ref="L55:L55" t="array">SUM(IF(NOT(ISBLANK($B50:$B54)),L50:L54,""))</f>
      </c>
      <c r="M55" s="76">
        <f ref="M55:M55" t="array">SUM(IF(NOT(ISBLANK($B50:$B54)),M50:M54,""))</f>
      </c>
      <c r="N55" s="76">
        <f ref="N55:N55" t="array">SUM(IF(NOT(ISBLANK($B50:$B54)),N50:N54,""))</f>
      </c>
      <c r="O55" s="76">
        <f ref="O55:O55" t="array">SUM(IF(NOT(ISBLANK($B50:$B54)),O50:O54,""))</f>
      </c>
      <c r="P55" s="77"/>
      <c r="Q55" s="76">
        <f ref="Q55:Q55" t="array">SUM(IF(NOT(ISBLANK($B50:$B54)),Q50:Q54,""))</f>
      </c>
      <c r="R55" s="76">
        <f ref="R55:R55" t="array">SUM(IF(NOT(ISBLANK($B50:$B54)),R50:R54,""))</f>
      </c>
      <c r="S55" s="77"/>
      <c r="T55" s="77"/>
      <c r="U55" s="76">
        <f ref="U55:U55" t="array">SUM(IF(NOT(ISBLANK($B50:$B54)),U50:U54,""))</f>
      </c>
      <c r="V55" s="76">
        <f ref="V55:V55" t="array">SUM(IF(NOT(ISBLANK($B50:$B54)),V50:V54,""))</f>
      </c>
      <c r="W55" s="76">
        <f ref="W55:W55" t="array">SUM(IF(NOT(ISBLANK($B50:$B54)),W50:W54,""))</f>
      </c>
      <c r="X55" s="77"/>
      <c r="Y55" s="76">
        <f ref="Y55:Y55" t="array">SUM(IF(NOT(ISBLANK($B50:$B54)),Y50:Y54,""))</f>
      </c>
      <c r="Z55" s="76">
        <f ref="Z55:Z55" t="array">SUM(IF(NOT(ISBLANK($B50:$B54)),Z50:Z54,""))</f>
      </c>
      <c r="AA55" s="77"/>
      <c r="AB55" s="76">
        <f ref="AB55:AB55" t="array">SUM(IF(NOT(ISBLANK($B50:$B54)),AB50:AB54,""))</f>
      </c>
      <c r="AC55" s="76">
        <f ref="AC55:AC55" t="array">SUM(IF(NOT(ISBLANK($B50:$B54)),AC50:AC54,""))</f>
      </c>
      <c r="AD55" s="77"/>
      <c r="AE55" s="77"/>
      <c r="AF55" s="78"/>
      <c r="AG55" s="79">
        <v>1</v>
      </c>
    </row>
    <row r="56" ht="0" hidden="1">
      <c r="A56" s="50"/>
      <c r="B56" s="51"/>
      <c r="C56" s="51"/>
      <c r="D56" s="80"/>
      <c r="E56" s="80"/>
      <c r="F56" s="80"/>
      <c r="G56" s="81"/>
      <c r="H56" s="81"/>
      <c r="I56" s="81"/>
      <c r="J56" s="53"/>
      <c r="K56" s="54"/>
      <c r="L56" s="54"/>
      <c r="M56" s="54"/>
      <c r="N56" s="53"/>
      <c r="O56" s="55"/>
      <c r="P56" s="82"/>
      <c r="Q56" s="57"/>
      <c r="R56" s="53"/>
      <c r="S56" s="82"/>
      <c r="T56" s="82"/>
      <c r="U56" s="53"/>
      <c r="V56" s="53"/>
      <c r="W56" s="53"/>
      <c r="X56" s="82"/>
      <c r="Y56" s="53"/>
      <c r="Z56" s="53"/>
      <c r="AA56" s="82"/>
      <c r="AB56" s="53"/>
      <c r="AC56" s="53"/>
      <c r="AD56" s="82"/>
      <c r="AE56" s="82"/>
      <c r="AF56" s="83"/>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84">
        <f>IF(COUNTA(M57:M60)=0,"",IF(COUNTA(F57:F60)=0,IF(COUNTA(D57:D60)=0,"Totals - Final","Totals - Estimated"),"Totals - Corrected"))</f>
      </c>
      <c r="B61" s="87">
        <f>IF(ISNA(INDEX(B57:B60,MAX(MATCH(REPT("z",255),B57:B60)))),"",INDEX(B57:B60,MAX(MATCH(REPT("z",255),B57:B60))))</f>
      </c>
      <c r="C61" s="87">
        <f>IF(ISNA(INDEX(C57:C60,MAX(MATCH(REPT("z",255),C57:C60)))),"",INDEX(C57:C60,MAX(MATCH(REPT("z",255),C57:C60))))</f>
      </c>
      <c r="D61" s="87">
        <f>IF(ISNA(INDEX(A57:A60,MAX(MATCH(REPT("z",255),A57:A60)))),"",INDEX(A57:A60,MAX(MATCH(REPT("z",255),A57:A60))))</f>
      </c>
      <c r="E61" s="85"/>
      <c r="F61" s="85"/>
      <c r="G61" s="86"/>
      <c r="H61" s="86"/>
      <c r="I61" s="86"/>
      <c r="J61" s="76">
        <f ref="J61:J61" t="array">SUM(IF(NOT(ISBLANK($B56:$B60)),J56:J60,""))</f>
      </c>
      <c r="K61" s="76">
        <f ref="K61:K61" t="array">SUM(IF(NOT(ISBLANK($B56:$B60)),K56:K60,""))</f>
      </c>
      <c r="L61" s="76">
        <f ref="L61:L61" t="array">SUM(IF(NOT(ISBLANK($B56:$B60)),L56:L60,""))</f>
      </c>
      <c r="M61" s="76">
        <f ref="M61:M61" t="array">SUM(IF(NOT(ISBLANK($B56:$B60)),M56:M60,""))</f>
      </c>
      <c r="N61" s="76">
        <f ref="N61:N61" t="array">SUM(IF(NOT(ISBLANK($B56:$B60)),N56:N60,""))</f>
      </c>
      <c r="O61" s="76">
        <f ref="O61:O61" t="array">SUM(IF(NOT(ISBLANK($B56:$B60)),O56:O60,""))</f>
      </c>
      <c r="P61" s="77"/>
      <c r="Q61" s="76">
        <f ref="Q61:Q61" t="array">SUM(IF(NOT(ISBLANK($B56:$B60)),Q56:Q60,""))</f>
      </c>
      <c r="R61" s="76">
        <f ref="R61:R61" t="array">SUM(IF(NOT(ISBLANK($B56:$B60)),R56:R60,""))</f>
      </c>
      <c r="S61" s="77"/>
      <c r="T61" s="77"/>
      <c r="U61" s="76">
        <f ref="U61:U61" t="array">SUM(IF(NOT(ISBLANK($B56:$B60)),U56:U60,""))</f>
      </c>
      <c r="V61" s="76">
        <f ref="V61:V61" t="array">SUM(IF(NOT(ISBLANK($B56:$B60)),V56:V60,""))</f>
      </c>
      <c r="W61" s="76">
        <f ref="W61:W61" t="array">SUM(IF(NOT(ISBLANK($B56:$B60)),W56:W60,""))</f>
      </c>
      <c r="X61" s="77"/>
      <c r="Y61" s="76">
        <f ref="Y61:Y61" t="array">SUM(IF(NOT(ISBLANK($B56:$B60)),Y56:Y60,""))</f>
      </c>
      <c r="Z61" s="76">
        <f ref="Z61:Z61" t="array">SUM(IF(NOT(ISBLANK($B56:$B60)),Z56:Z60,""))</f>
      </c>
      <c r="AA61" s="77"/>
      <c r="AB61" s="76">
        <f ref="AB61:AB61" t="array">SUM(IF(NOT(ISBLANK($B56:$B60)),AB56:AB60,""))</f>
      </c>
      <c r="AC61" s="76">
        <f ref="AC61:AC61" t="array">SUM(IF(NOT(ISBLANK($B56:$B60)),AC56:AC60,""))</f>
      </c>
      <c r="AD61" s="77"/>
      <c r="AE61" s="77"/>
      <c r="AF61" s="78"/>
      <c r="AG61" s="79">
        <v>1</v>
      </c>
    </row>
    <row r="62" ht="0" hidden="1">
      <c r="A62" s="50"/>
      <c r="B62" s="51"/>
      <c r="C62" s="51"/>
      <c r="D62" s="80"/>
      <c r="E62" s="80"/>
      <c r="F62" s="80"/>
      <c r="G62" s="81"/>
      <c r="H62" s="81"/>
      <c r="I62" s="81"/>
      <c r="J62" s="53"/>
      <c r="K62" s="54"/>
      <c r="L62" s="54"/>
      <c r="M62" s="54"/>
      <c r="N62" s="53"/>
      <c r="O62" s="55"/>
      <c r="P62" s="82"/>
      <c r="Q62" s="57"/>
      <c r="R62" s="53"/>
      <c r="S62" s="82"/>
      <c r="T62" s="82"/>
      <c r="U62" s="53"/>
      <c r="V62" s="53"/>
      <c r="W62" s="53"/>
      <c r="X62" s="82"/>
      <c r="Y62" s="53"/>
      <c r="Z62" s="53"/>
      <c r="AA62" s="82"/>
      <c r="AB62" s="53"/>
      <c r="AC62" s="53"/>
      <c r="AD62" s="82"/>
      <c r="AE62" s="82"/>
      <c r="AF62" s="83"/>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84">
        <f>IF(COUNTA(M63:M66)=0,"",IF(COUNTA(F63:F66)=0,IF(COUNTA(D63:D66)=0,"Totals - Final","Totals - Estimated"),"Totals - Corrected"))</f>
      </c>
      <c r="B67" s="87">
        <f>IF(ISNA(INDEX(B63:B66,MAX(MATCH(REPT("z",255),B63:B66)))),"",INDEX(B63:B66,MAX(MATCH(REPT("z",255),B63:B66))))</f>
      </c>
      <c r="C67" s="87">
        <f>IF(ISNA(INDEX(C63:C66,MAX(MATCH(REPT("z",255),C63:C66)))),"",INDEX(C63:C66,MAX(MATCH(REPT("z",255),C63:C66))))</f>
      </c>
      <c r="D67" s="87">
        <f>IF(ISNA(INDEX(A63:A66,MAX(MATCH(REPT("z",255),A63:A66)))),"",INDEX(A63:A66,MAX(MATCH(REPT("z",255),A63:A66))))</f>
      </c>
      <c r="E67" s="85"/>
      <c r="F67" s="85"/>
      <c r="G67" s="86"/>
      <c r="H67" s="86"/>
      <c r="I67" s="86"/>
      <c r="J67" s="76">
        <f ref="J67:J67" t="array">SUM(IF(NOT(ISBLANK($B62:$B66)),J62:J66,""))</f>
      </c>
      <c r="K67" s="76">
        <f ref="K67:K67" t="array">SUM(IF(NOT(ISBLANK($B62:$B66)),K62:K66,""))</f>
      </c>
      <c r="L67" s="76">
        <f ref="L67:L67" t="array">SUM(IF(NOT(ISBLANK($B62:$B66)),L62:L66,""))</f>
      </c>
      <c r="M67" s="76">
        <f ref="M67:M67" t="array">SUM(IF(NOT(ISBLANK($B62:$B66)),M62:M66,""))</f>
      </c>
      <c r="N67" s="76">
        <f ref="N67:N67" t="array">SUM(IF(NOT(ISBLANK($B62:$B66)),N62:N66,""))</f>
      </c>
      <c r="O67" s="76">
        <f ref="O67:O67" t="array">SUM(IF(NOT(ISBLANK($B62:$B66)),O62:O66,""))</f>
      </c>
      <c r="P67" s="77"/>
      <c r="Q67" s="76">
        <f ref="Q67:Q67" t="array">SUM(IF(NOT(ISBLANK($B62:$B66)),Q62:Q66,""))</f>
      </c>
      <c r="R67" s="76">
        <f ref="R67:R67" t="array">SUM(IF(NOT(ISBLANK($B62:$B66)),R62:R66,""))</f>
      </c>
      <c r="S67" s="77"/>
      <c r="T67" s="77"/>
      <c r="U67" s="76">
        <f ref="U67:U67" t="array">SUM(IF(NOT(ISBLANK($B62:$B66)),U62:U66,""))</f>
      </c>
      <c r="V67" s="76">
        <f ref="V67:V67" t="array">SUM(IF(NOT(ISBLANK($B62:$B66)),V62:V66,""))</f>
      </c>
      <c r="W67" s="76">
        <f ref="W67:W67" t="array">SUM(IF(NOT(ISBLANK($B62:$B66)),W62:W66,""))</f>
      </c>
      <c r="X67" s="77"/>
      <c r="Y67" s="76">
        <f ref="Y67:Y67" t="array">SUM(IF(NOT(ISBLANK($B62:$B66)),Y62:Y66,""))</f>
      </c>
      <c r="Z67" s="76">
        <f ref="Z67:Z67" t="array">SUM(IF(NOT(ISBLANK($B62:$B66)),Z62:Z66,""))</f>
      </c>
      <c r="AA67" s="77"/>
      <c r="AB67" s="76">
        <f ref="AB67:AB67" t="array">SUM(IF(NOT(ISBLANK($B62:$B66)),AB62:AB66,""))</f>
      </c>
      <c r="AC67" s="76">
        <f ref="AC67:AC67" t="array">SUM(IF(NOT(ISBLANK($B62:$B66)),AC62:AC66,""))</f>
      </c>
      <c r="AD67" s="77"/>
      <c r="AE67" s="77"/>
      <c r="AF67" s="78"/>
      <c r="AG67" s="79">
        <v>1</v>
      </c>
    </row>
    <row r="68" ht="0" hidden="1">
      <c r="A68" s="50"/>
      <c r="B68" s="51"/>
      <c r="C68" s="51"/>
      <c r="D68" s="80"/>
      <c r="E68" s="80"/>
      <c r="F68" s="80"/>
      <c r="G68" s="81"/>
      <c r="H68" s="81"/>
      <c r="I68" s="81"/>
      <c r="J68" s="53"/>
      <c r="K68" s="54"/>
      <c r="L68" s="54"/>
      <c r="M68" s="54"/>
      <c r="N68" s="53"/>
      <c r="O68" s="55"/>
      <c r="P68" s="82"/>
      <c r="Q68" s="57"/>
      <c r="R68" s="53"/>
      <c r="S68" s="82"/>
      <c r="T68" s="82"/>
      <c r="U68" s="53"/>
      <c r="V68" s="53"/>
      <c r="W68" s="53"/>
      <c r="X68" s="82"/>
      <c r="Y68" s="53"/>
      <c r="Z68" s="53"/>
      <c r="AA68" s="82"/>
      <c r="AB68" s="53"/>
      <c r="AC68" s="53"/>
      <c r="AD68" s="82"/>
      <c r="AE68" s="82"/>
      <c r="AF68" s="83"/>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84">
        <f>IF(COUNTA(M69:M72)=0,"",IF(COUNTA(F69:F72)=0,IF(COUNTA(D69:D72)=0,"Totals - Final","Totals - Estimated"),"Totals - Corrected"))</f>
      </c>
      <c r="B73" s="87">
        <f>IF(ISNA(INDEX(B69:B72,MAX(MATCH(REPT("z",255),B69:B72)))),"",INDEX(B69:B72,MAX(MATCH(REPT("z",255),B69:B72))))</f>
      </c>
      <c r="C73" s="87">
        <f>IF(ISNA(INDEX(C69:C72,MAX(MATCH(REPT("z",255),C69:C72)))),"",INDEX(C69:C72,MAX(MATCH(REPT("z",255),C69:C72))))</f>
      </c>
      <c r="D73" s="87">
        <f>IF(ISNA(INDEX(A69:A72,MAX(MATCH(REPT("z",255),A69:A72)))),"",INDEX(A69:A72,MAX(MATCH(REPT("z",255),A69:A72))))</f>
      </c>
      <c r="E73" s="85"/>
      <c r="F73" s="85"/>
      <c r="G73" s="86"/>
      <c r="H73" s="86"/>
      <c r="I73" s="86"/>
      <c r="J73" s="76">
        <f ref="J73:J73" t="array">SUM(IF(NOT(ISBLANK($B68:$B72)),J68:J72,""))</f>
      </c>
      <c r="K73" s="76">
        <f ref="K73:K73" t="array">SUM(IF(NOT(ISBLANK($B68:$B72)),K68:K72,""))</f>
      </c>
      <c r="L73" s="76">
        <f ref="L73:L73" t="array">SUM(IF(NOT(ISBLANK($B68:$B72)),L68:L72,""))</f>
      </c>
      <c r="M73" s="76">
        <f ref="M73:M73" t="array">SUM(IF(NOT(ISBLANK($B68:$B72)),M68:M72,""))</f>
      </c>
      <c r="N73" s="76">
        <f ref="N73:N73" t="array">SUM(IF(NOT(ISBLANK($B68:$B72)),N68:N72,""))</f>
      </c>
      <c r="O73" s="76">
        <f ref="O73:O73" t="array">SUM(IF(NOT(ISBLANK($B68:$B72)),O68:O72,""))</f>
      </c>
      <c r="P73" s="77"/>
      <c r="Q73" s="76">
        <f ref="Q73:Q73" t="array">SUM(IF(NOT(ISBLANK($B68:$B72)),Q68:Q72,""))</f>
      </c>
      <c r="R73" s="76">
        <f ref="R73:R73" t="array">SUM(IF(NOT(ISBLANK($B68:$B72)),R68:R72,""))</f>
      </c>
      <c r="S73" s="77"/>
      <c r="T73" s="77"/>
      <c r="U73" s="76">
        <f ref="U73:U73" t="array">SUM(IF(NOT(ISBLANK($B68:$B72)),U68:U72,""))</f>
      </c>
      <c r="V73" s="76">
        <f ref="V73:V73" t="array">SUM(IF(NOT(ISBLANK($B68:$B72)),V68:V72,""))</f>
      </c>
      <c r="W73" s="76">
        <f ref="W73:W73" t="array">SUM(IF(NOT(ISBLANK($B68:$B72)),W68:W72,""))</f>
      </c>
      <c r="X73" s="77"/>
      <c r="Y73" s="76">
        <f ref="Y73:Y73" t="array">SUM(IF(NOT(ISBLANK($B68:$B72)),Y68:Y72,""))</f>
      </c>
      <c r="Z73" s="76">
        <f ref="Z73:Z73" t="array">SUM(IF(NOT(ISBLANK($B68:$B72)),Z68:Z72,""))</f>
      </c>
      <c r="AA73" s="77"/>
      <c r="AB73" s="76">
        <f ref="AB73:AB73" t="array">SUM(IF(NOT(ISBLANK($B68:$B72)),AB68:AB72,""))</f>
      </c>
      <c r="AC73" s="76">
        <f ref="AC73:AC73" t="array">SUM(IF(NOT(ISBLANK($B68:$B72)),AC68:AC72,""))</f>
      </c>
      <c r="AD73" s="77"/>
      <c r="AE73" s="77"/>
      <c r="AF73" s="78"/>
      <c r="AG73" s="79">
        <v>1</v>
      </c>
    </row>
    <row r="74" ht="0" hidden="1">
      <c r="A74" s="50"/>
      <c r="B74" s="51"/>
      <c r="C74" s="51"/>
      <c r="D74" s="80"/>
      <c r="E74" s="80"/>
      <c r="F74" s="80"/>
      <c r="G74" s="81"/>
      <c r="H74" s="81"/>
      <c r="I74" s="81"/>
      <c r="J74" s="53"/>
      <c r="K74" s="54"/>
      <c r="L74" s="54"/>
      <c r="M74" s="54"/>
      <c r="N74" s="53"/>
      <c r="O74" s="55"/>
      <c r="P74" s="82"/>
      <c r="Q74" s="57"/>
      <c r="R74" s="53"/>
      <c r="S74" s="82"/>
      <c r="T74" s="82"/>
      <c r="U74" s="53"/>
      <c r="V74" s="53"/>
      <c r="W74" s="53"/>
      <c r="X74" s="82"/>
      <c r="Y74" s="53"/>
      <c r="Z74" s="53"/>
      <c r="AA74" s="82"/>
      <c r="AB74" s="53"/>
      <c r="AC74" s="53"/>
      <c r="AD74" s="82"/>
      <c r="AE74" s="82"/>
      <c r="AF74" s="83"/>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84">
        <f>IF(COUNTA(M75:M78)=0,"",IF(COUNTA(F75:F78)=0,IF(COUNTA(D75:D78)=0,"Totals - Final","Totals - Estimated"),"Totals - Corrected"))</f>
      </c>
      <c r="B79" s="87">
        <f>IF(ISNA(INDEX(B75:B78,MAX(MATCH(REPT("z",255),B75:B78)))),"",INDEX(B75:B78,MAX(MATCH(REPT("z",255),B75:B78))))</f>
      </c>
      <c r="C79" s="87">
        <f>IF(ISNA(INDEX(C75:C78,MAX(MATCH(REPT("z",255),C75:C78)))),"",INDEX(C75:C78,MAX(MATCH(REPT("z",255),C75:C78))))</f>
      </c>
      <c r="D79" s="87">
        <f>IF(ISNA(INDEX(A75:A78,MAX(MATCH(REPT("z",255),A75:A78)))),"",INDEX(A75:A78,MAX(MATCH(REPT("z",255),A75:A78))))</f>
      </c>
      <c r="E79" s="85"/>
      <c r="F79" s="85"/>
      <c r="G79" s="86"/>
      <c r="H79" s="86"/>
      <c r="I79" s="86"/>
      <c r="J79" s="76">
        <f ref="J79:J79" t="array">SUM(IF(NOT(ISBLANK($B74:$B78)),J74:J78,""))</f>
      </c>
      <c r="K79" s="76">
        <f ref="K79:K79" t="array">SUM(IF(NOT(ISBLANK($B74:$B78)),K74:K78,""))</f>
      </c>
      <c r="L79" s="76">
        <f ref="L79:L79" t="array">SUM(IF(NOT(ISBLANK($B74:$B78)),L74:L78,""))</f>
      </c>
      <c r="M79" s="76">
        <f ref="M79:M79" t="array">SUM(IF(NOT(ISBLANK($B74:$B78)),M74:M78,""))</f>
      </c>
      <c r="N79" s="76">
        <f ref="N79:N79" t="array">SUM(IF(NOT(ISBLANK($B74:$B78)),N74:N78,""))</f>
      </c>
      <c r="O79" s="76">
        <f ref="O79:O79" t="array">SUM(IF(NOT(ISBLANK($B74:$B78)),O74:O78,""))</f>
      </c>
      <c r="P79" s="77"/>
      <c r="Q79" s="76">
        <f ref="Q79:Q79" t="array">SUM(IF(NOT(ISBLANK($B74:$B78)),Q74:Q78,""))</f>
      </c>
      <c r="R79" s="76">
        <f ref="R79:R79" t="array">SUM(IF(NOT(ISBLANK($B74:$B78)),R74:R78,""))</f>
      </c>
      <c r="S79" s="77"/>
      <c r="T79" s="77"/>
      <c r="U79" s="76">
        <f ref="U79:U79" t="array">SUM(IF(NOT(ISBLANK($B74:$B78)),U74:U78,""))</f>
      </c>
      <c r="V79" s="76">
        <f ref="V79:V79" t="array">SUM(IF(NOT(ISBLANK($B74:$B78)),V74:V78,""))</f>
      </c>
      <c r="W79" s="76">
        <f ref="W79:W79" t="array">SUM(IF(NOT(ISBLANK($B74:$B78)),W74:W78,""))</f>
      </c>
      <c r="X79" s="77"/>
      <c r="Y79" s="76">
        <f ref="Y79:Y79" t="array">SUM(IF(NOT(ISBLANK($B74:$B78)),Y74:Y78,""))</f>
      </c>
      <c r="Z79" s="76">
        <f ref="Z79:Z79" t="array">SUM(IF(NOT(ISBLANK($B74:$B78)),Z74:Z78,""))</f>
      </c>
      <c r="AA79" s="77"/>
      <c r="AB79" s="76">
        <f ref="AB79:AB79" t="array">SUM(IF(NOT(ISBLANK($B74:$B78)),AB74:AB78,""))</f>
      </c>
      <c r="AC79" s="76">
        <f ref="AC79:AC79" t="array">SUM(IF(NOT(ISBLANK($B74:$B78)),AC74:AC78,""))</f>
      </c>
      <c r="AD79" s="77"/>
      <c r="AE79" s="77"/>
      <c r="AF79" s="78"/>
      <c r="AG79" s="79">
        <v>1</v>
      </c>
    </row>
    <row r="80" ht="0" hidden="1">
      <c r="A80" s="50"/>
      <c r="B80" s="51"/>
      <c r="C80" s="51"/>
      <c r="D80" s="80"/>
      <c r="E80" s="80"/>
      <c r="F80" s="80"/>
      <c r="G80" s="81"/>
      <c r="H80" s="81"/>
      <c r="I80" s="81"/>
      <c r="J80" s="53"/>
      <c r="K80" s="54"/>
      <c r="L80" s="54"/>
      <c r="M80" s="54"/>
      <c r="N80" s="53"/>
      <c r="O80" s="55"/>
      <c r="P80" s="82"/>
      <c r="Q80" s="57"/>
      <c r="R80" s="53"/>
      <c r="S80" s="82"/>
      <c r="T80" s="82"/>
      <c r="U80" s="53"/>
      <c r="V80" s="53"/>
      <c r="W80" s="53"/>
      <c r="X80" s="82"/>
      <c r="Y80" s="53"/>
      <c r="Z80" s="53"/>
      <c r="AA80" s="82"/>
      <c r="AB80" s="53"/>
      <c r="AC80" s="53"/>
      <c r="AD80" s="82"/>
      <c r="AE80" s="82"/>
      <c r="AF80" s="83"/>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84">
        <f>IF(COUNTA(M81:M84)=0,"",IF(COUNTA(F81:F84)=0,IF(COUNTA(D81:D84)=0,"Totals - Final","Totals - Estimated"),"Totals - Corrected"))</f>
      </c>
      <c r="B85" s="87">
        <f>IF(ISNA(INDEX(B81:B84,MAX(MATCH(REPT("z",255),B81:B84)))),"",INDEX(B81:B84,MAX(MATCH(REPT("z",255),B81:B84))))</f>
      </c>
      <c r="C85" s="87">
        <f>IF(ISNA(INDEX(C81:C84,MAX(MATCH(REPT("z",255),C81:C84)))),"",INDEX(C81:C84,MAX(MATCH(REPT("z",255),C81:C84))))</f>
      </c>
      <c r="D85" s="87">
        <f>IF(ISNA(INDEX(A81:A84,MAX(MATCH(REPT("z",255),A81:A84)))),"",INDEX(A81:A84,MAX(MATCH(REPT("z",255),A81:A84))))</f>
      </c>
      <c r="E85" s="85"/>
      <c r="F85" s="85"/>
      <c r="G85" s="86"/>
      <c r="H85" s="86"/>
      <c r="I85" s="86"/>
      <c r="J85" s="76">
        <f ref="J85:J85" t="array">SUM(IF(NOT(ISBLANK($B80:$B84)),J80:J84,""))</f>
      </c>
      <c r="K85" s="76">
        <f ref="K85:K85" t="array">SUM(IF(NOT(ISBLANK($B80:$B84)),K80:K84,""))</f>
      </c>
      <c r="L85" s="76">
        <f ref="L85:L85" t="array">SUM(IF(NOT(ISBLANK($B80:$B84)),L80:L84,""))</f>
      </c>
      <c r="M85" s="76">
        <f ref="M85:M85" t="array">SUM(IF(NOT(ISBLANK($B80:$B84)),M80:M84,""))</f>
      </c>
      <c r="N85" s="76">
        <f ref="N85:N85" t="array">SUM(IF(NOT(ISBLANK($B80:$B84)),N80:N84,""))</f>
      </c>
      <c r="O85" s="76">
        <f ref="O85:O85" t="array">SUM(IF(NOT(ISBLANK($B80:$B84)),O80:O84,""))</f>
      </c>
      <c r="P85" s="77"/>
      <c r="Q85" s="76">
        <f ref="Q85:Q85" t="array">SUM(IF(NOT(ISBLANK($B80:$B84)),Q80:Q84,""))</f>
      </c>
      <c r="R85" s="76">
        <f ref="R85:R85" t="array">SUM(IF(NOT(ISBLANK($B80:$B84)),R80:R84,""))</f>
      </c>
      <c r="S85" s="77"/>
      <c r="T85" s="77"/>
      <c r="U85" s="76">
        <f ref="U85:U85" t="array">SUM(IF(NOT(ISBLANK($B80:$B84)),U80:U84,""))</f>
      </c>
      <c r="V85" s="76">
        <f ref="V85:V85" t="array">SUM(IF(NOT(ISBLANK($B80:$B84)),V80:V84,""))</f>
      </c>
      <c r="W85" s="76">
        <f ref="W85:W85" t="array">SUM(IF(NOT(ISBLANK($B80:$B84)),W80:W84,""))</f>
      </c>
      <c r="X85" s="77"/>
      <c r="Y85" s="76">
        <f ref="Y85:Y85" t="array">SUM(IF(NOT(ISBLANK($B80:$B84)),Y80:Y84,""))</f>
      </c>
      <c r="Z85" s="76">
        <f ref="Z85:Z85" t="array">SUM(IF(NOT(ISBLANK($B80:$B84)),Z80:Z84,""))</f>
      </c>
      <c r="AA85" s="77"/>
      <c r="AB85" s="76">
        <f ref="AB85:AB85" t="array">SUM(IF(NOT(ISBLANK($B80:$B84)),AB80:AB84,""))</f>
      </c>
      <c r="AC85" s="76">
        <f ref="AC85:AC85" t="array">SUM(IF(NOT(ISBLANK($B80:$B84)),AC80:AC84,""))</f>
      </c>
      <c r="AD85" s="77"/>
      <c r="AE85" s="77"/>
      <c r="AF85" s="78"/>
      <c r="AG85" s="79">
        <v>1</v>
      </c>
    </row>
    <row r="86" ht="0" hidden="1">
      <c r="A86" s="50"/>
      <c r="B86" s="51"/>
      <c r="C86" s="51"/>
      <c r="D86" s="80"/>
      <c r="E86" s="80"/>
      <c r="F86" s="80"/>
      <c r="G86" s="81"/>
      <c r="H86" s="81"/>
      <c r="I86" s="81"/>
      <c r="J86" s="53"/>
      <c r="K86" s="54"/>
      <c r="L86" s="54"/>
      <c r="M86" s="54"/>
      <c r="N86" s="53"/>
      <c r="O86" s="55"/>
      <c r="P86" s="82"/>
      <c r="Q86" s="57"/>
      <c r="R86" s="53"/>
      <c r="S86" s="82"/>
      <c r="T86" s="82"/>
      <c r="U86" s="53"/>
      <c r="V86" s="53"/>
      <c r="W86" s="53"/>
      <c r="X86" s="82"/>
      <c r="Y86" s="53"/>
      <c r="Z86" s="53"/>
      <c r="AA86" s="82"/>
      <c r="AB86" s="53"/>
      <c r="AC86" s="53"/>
      <c r="AD86" s="82"/>
      <c r="AE86" s="82"/>
      <c r="AF86" s="83"/>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84">
        <f>IF(COUNTA(M87:M90)=0,"",IF(COUNTA(F87:F90)=0,IF(COUNTA(D87:D90)=0,"Totals - Final","Totals - Estimated"),"Totals - Corrected"))</f>
      </c>
      <c r="B91" s="87">
        <f>IF(ISNA(INDEX(B87:B90,MAX(MATCH(REPT("z",255),B87:B90)))),"",INDEX(B87:B90,MAX(MATCH(REPT("z",255),B87:B90))))</f>
      </c>
      <c r="C91" s="87">
        <f>IF(ISNA(INDEX(C87:C90,MAX(MATCH(REPT("z",255),C87:C90)))),"",INDEX(C87:C90,MAX(MATCH(REPT("z",255),C87:C90))))</f>
      </c>
      <c r="D91" s="87">
        <f>IF(ISNA(INDEX(A87:A90,MAX(MATCH(REPT("z",255),A87:A90)))),"",INDEX(A87:A90,MAX(MATCH(REPT("z",255),A87:A90))))</f>
      </c>
      <c r="E91" s="85"/>
      <c r="F91" s="85"/>
      <c r="G91" s="86"/>
      <c r="H91" s="86"/>
      <c r="I91" s="86"/>
      <c r="J91" s="76">
        <f ref="J91:J91" t="array">SUM(IF(NOT(ISBLANK($B86:$B90)),J86:J90,""))</f>
      </c>
      <c r="K91" s="76">
        <f ref="K91:K91" t="array">SUM(IF(NOT(ISBLANK($B86:$B90)),K86:K90,""))</f>
      </c>
      <c r="L91" s="76">
        <f ref="L91:L91" t="array">SUM(IF(NOT(ISBLANK($B86:$B90)),L86:L90,""))</f>
      </c>
      <c r="M91" s="76">
        <f ref="M91:M91" t="array">SUM(IF(NOT(ISBLANK($B86:$B90)),M86:M90,""))</f>
      </c>
      <c r="N91" s="76">
        <f ref="N91:N91" t="array">SUM(IF(NOT(ISBLANK($B86:$B90)),N86:N90,""))</f>
      </c>
      <c r="O91" s="76">
        <f ref="O91:O91" t="array">SUM(IF(NOT(ISBLANK($B86:$B90)),O86:O90,""))</f>
      </c>
      <c r="P91" s="77"/>
      <c r="Q91" s="76">
        <f ref="Q91:Q91" t="array">SUM(IF(NOT(ISBLANK($B86:$B90)),Q86:Q90,""))</f>
      </c>
      <c r="R91" s="76">
        <f ref="R91:R91" t="array">SUM(IF(NOT(ISBLANK($B86:$B90)),R86:R90,""))</f>
      </c>
      <c r="S91" s="77"/>
      <c r="T91" s="77"/>
      <c r="U91" s="76">
        <f ref="U91:U91" t="array">SUM(IF(NOT(ISBLANK($B86:$B90)),U86:U90,""))</f>
      </c>
      <c r="V91" s="76">
        <f ref="V91:V91" t="array">SUM(IF(NOT(ISBLANK($B86:$B90)),V86:V90,""))</f>
      </c>
      <c r="W91" s="76">
        <f ref="W91:W91" t="array">SUM(IF(NOT(ISBLANK($B86:$B90)),W86:W90,""))</f>
      </c>
      <c r="X91" s="77"/>
      <c r="Y91" s="76">
        <f ref="Y91:Y91" t="array">SUM(IF(NOT(ISBLANK($B86:$B90)),Y86:Y90,""))</f>
      </c>
      <c r="Z91" s="76">
        <f ref="Z91:Z91" t="array">SUM(IF(NOT(ISBLANK($B86:$B90)),Z86:Z90,""))</f>
      </c>
      <c r="AA91" s="77"/>
      <c r="AB91" s="76">
        <f ref="AB91:AB91" t="array">SUM(IF(NOT(ISBLANK($B86:$B90)),AB86:AB90,""))</f>
      </c>
      <c r="AC91" s="76">
        <f ref="AC91:AC91" t="array">SUM(IF(NOT(ISBLANK($B86:$B90)),AC86:AC90,""))</f>
      </c>
      <c r="AD91" s="77"/>
      <c r="AE91" s="77"/>
      <c r="AF91" s="78"/>
      <c r="AG91" s="79">
        <v>1</v>
      </c>
    </row>
    <row r="92" ht="0" hidden="1">
      <c r="A92" s="50"/>
      <c r="B92" s="51"/>
      <c r="C92" s="51"/>
      <c r="D92" s="80"/>
      <c r="E92" s="80"/>
      <c r="F92" s="80"/>
      <c r="G92" s="81"/>
      <c r="H92" s="81"/>
      <c r="I92" s="81"/>
      <c r="J92" s="53"/>
      <c r="K92" s="54"/>
      <c r="L92" s="54"/>
      <c r="M92" s="54"/>
      <c r="N92" s="53"/>
      <c r="O92" s="55"/>
      <c r="P92" s="82"/>
      <c r="Q92" s="57"/>
      <c r="R92" s="53"/>
      <c r="S92" s="82"/>
      <c r="T92" s="82"/>
      <c r="U92" s="53"/>
      <c r="V92" s="53"/>
      <c r="W92" s="53"/>
      <c r="X92" s="82"/>
      <c r="Y92" s="53"/>
      <c r="Z92" s="53"/>
      <c r="AA92" s="82"/>
      <c r="AB92" s="53"/>
      <c r="AC92" s="53"/>
      <c r="AD92" s="82"/>
      <c r="AE92" s="82"/>
      <c r="AF92" s="83"/>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84">
        <f>IF(COUNTA(M93:M96)=0,"",IF(COUNTA(F93:F96)=0,IF(COUNTA(D93:D96)=0,"Totals - Final","Totals - Estimated"),"Totals - Corrected"))</f>
      </c>
      <c r="B97" s="87">
        <f>IF(ISNA(INDEX(B93:B96,MAX(MATCH(REPT("z",255),B93:B96)))),"",INDEX(B93:B96,MAX(MATCH(REPT("z",255),B93:B96))))</f>
      </c>
      <c r="C97" s="87">
        <f>IF(ISNA(INDEX(C93:C96,MAX(MATCH(REPT("z",255),C93:C96)))),"",INDEX(C93:C96,MAX(MATCH(REPT("z",255),C93:C96))))</f>
      </c>
      <c r="D97" s="87">
        <f>IF(ISNA(INDEX(A93:A96,MAX(MATCH(REPT("z",255),A93:A96)))),"",INDEX(A93:A96,MAX(MATCH(REPT("z",255),A93:A96))))</f>
      </c>
      <c r="E97" s="85"/>
      <c r="F97" s="85"/>
      <c r="G97" s="86"/>
      <c r="H97" s="86"/>
      <c r="I97" s="86"/>
      <c r="J97" s="76">
        <f ref="J97:J97" t="array">SUM(IF(NOT(ISBLANK($B92:$B96)),J92:J96,""))</f>
      </c>
      <c r="K97" s="76">
        <f ref="K97:K97" t="array">SUM(IF(NOT(ISBLANK($B92:$B96)),K92:K96,""))</f>
      </c>
      <c r="L97" s="76">
        <f ref="L97:L97" t="array">SUM(IF(NOT(ISBLANK($B92:$B96)),L92:L96,""))</f>
      </c>
      <c r="M97" s="76">
        <f ref="M97:M97" t="array">SUM(IF(NOT(ISBLANK($B92:$B96)),M92:M96,""))</f>
      </c>
      <c r="N97" s="76">
        <f ref="N97:N97" t="array">SUM(IF(NOT(ISBLANK($B92:$B96)),N92:N96,""))</f>
      </c>
      <c r="O97" s="76">
        <f ref="O97:O97" t="array">SUM(IF(NOT(ISBLANK($B92:$B96)),O92:O96,""))</f>
      </c>
      <c r="P97" s="77"/>
      <c r="Q97" s="76">
        <f ref="Q97:Q97" t="array">SUM(IF(NOT(ISBLANK($B92:$B96)),Q92:Q96,""))</f>
      </c>
      <c r="R97" s="76">
        <f ref="R97:R97" t="array">SUM(IF(NOT(ISBLANK($B92:$B96)),R92:R96,""))</f>
      </c>
      <c r="S97" s="77"/>
      <c r="T97" s="77"/>
      <c r="U97" s="76">
        <f ref="U97:U97" t="array">SUM(IF(NOT(ISBLANK($B92:$B96)),U92:U96,""))</f>
      </c>
      <c r="V97" s="76">
        <f ref="V97:V97" t="array">SUM(IF(NOT(ISBLANK($B92:$B96)),V92:V96,""))</f>
      </c>
      <c r="W97" s="76">
        <f ref="W97:W97" t="array">SUM(IF(NOT(ISBLANK($B92:$B96)),W92:W96,""))</f>
      </c>
      <c r="X97" s="77"/>
      <c r="Y97" s="76">
        <f ref="Y97:Y97" t="array">SUM(IF(NOT(ISBLANK($B92:$B96)),Y92:Y96,""))</f>
      </c>
      <c r="Z97" s="76">
        <f ref="Z97:Z97" t="array">SUM(IF(NOT(ISBLANK($B92:$B96)),Z92:Z96,""))</f>
      </c>
      <c r="AA97" s="77"/>
      <c r="AB97" s="76">
        <f ref="AB97:AB97" t="array">SUM(IF(NOT(ISBLANK($B92:$B96)),AB92:AB96,""))</f>
      </c>
      <c r="AC97" s="76">
        <f ref="AC97:AC97" t="array">SUM(IF(NOT(ISBLANK($B92:$B96)),AC92:AC96,""))</f>
      </c>
      <c r="AD97" s="77"/>
      <c r="AE97" s="77"/>
      <c r="AF97" s="78"/>
      <c r="AG97" s="79">
        <v>1</v>
      </c>
    </row>
    <row r="98" ht="0" hidden="1">
      <c r="A98" s="50"/>
      <c r="B98" s="51"/>
      <c r="C98" s="51"/>
      <c r="D98" s="80"/>
      <c r="E98" s="80"/>
      <c r="F98" s="80"/>
      <c r="G98" s="81"/>
      <c r="H98" s="81"/>
      <c r="I98" s="81"/>
      <c r="J98" s="53"/>
      <c r="K98" s="54"/>
      <c r="L98" s="54"/>
      <c r="M98" s="54"/>
      <c r="N98" s="53"/>
      <c r="O98" s="55"/>
      <c r="P98" s="82"/>
      <c r="Q98" s="57"/>
      <c r="R98" s="53"/>
      <c r="S98" s="82"/>
      <c r="T98" s="82"/>
      <c r="U98" s="53"/>
      <c r="V98" s="53"/>
      <c r="W98" s="53"/>
      <c r="X98" s="82"/>
      <c r="Y98" s="53"/>
      <c r="Z98" s="53"/>
      <c r="AA98" s="82"/>
      <c r="AB98" s="53"/>
      <c r="AC98" s="53"/>
      <c r="AD98" s="82"/>
      <c r="AE98" s="82"/>
      <c r="AF98" s="83"/>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84">
        <f>IF(COUNTA(M99:M102)=0,"",IF(COUNTA(F99:F102)=0,IF(COUNTA(D99:D102)=0,"Totals - Final","Totals - Estimated"),"Totals - Corrected"))</f>
      </c>
      <c r="B103" s="87">
        <f>IF(ISNA(INDEX(B99:B102,MAX(MATCH(REPT("z",255),B99:B102)))),"",INDEX(B99:B102,MAX(MATCH(REPT("z",255),B99:B102))))</f>
      </c>
      <c r="C103" s="87">
        <f>IF(ISNA(INDEX(C99:C102,MAX(MATCH(REPT("z",255),C99:C102)))),"",INDEX(C99:C102,MAX(MATCH(REPT("z",255),C99:C102))))</f>
      </c>
      <c r="D103" s="87">
        <f>IF(ISNA(INDEX(A99:A102,MAX(MATCH(REPT("z",255),A99:A102)))),"",INDEX(A99:A102,MAX(MATCH(REPT("z",255),A99:A102))))</f>
      </c>
      <c r="E103" s="85"/>
      <c r="F103" s="85"/>
      <c r="G103" s="86"/>
      <c r="H103" s="86"/>
      <c r="I103" s="86"/>
      <c r="J103" s="76">
        <f ref="J103:J103" t="array">SUM(IF(NOT(ISBLANK($B98:$B102)),J98:J102,""))</f>
      </c>
      <c r="K103" s="76">
        <f ref="K103:K103" t="array">SUM(IF(NOT(ISBLANK($B98:$B102)),K98:K102,""))</f>
      </c>
      <c r="L103" s="76">
        <f ref="L103:L103" t="array">SUM(IF(NOT(ISBLANK($B98:$B102)),L98:L102,""))</f>
      </c>
      <c r="M103" s="76">
        <f ref="M103:M103" t="array">SUM(IF(NOT(ISBLANK($B98:$B102)),M98:M102,""))</f>
      </c>
      <c r="N103" s="76">
        <f ref="N103:N103" t="array">SUM(IF(NOT(ISBLANK($B98:$B102)),N98:N102,""))</f>
      </c>
      <c r="O103" s="76">
        <f ref="O103:O103" t="array">SUM(IF(NOT(ISBLANK($B98:$B102)),O98:O102,""))</f>
      </c>
      <c r="P103" s="77"/>
      <c r="Q103" s="76">
        <f ref="Q103:Q103" t="array">SUM(IF(NOT(ISBLANK($B98:$B102)),Q98:Q102,""))</f>
      </c>
      <c r="R103" s="76">
        <f ref="R103:R103" t="array">SUM(IF(NOT(ISBLANK($B98:$B102)),R98:R102,""))</f>
      </c>
      <c r="S103" s="77"/>
      <c r="T103" s="77"/>
      <c r="U103" s="76">
        <f ref="U103:U103" t="array">SUM(IF(NOT(ISBLANK($B98:$B102)),U98:U102,""))</f>
      </c>
      <c r="V103" s="76">
        <f ref="V103:V103" t="array">SUM(IF(NOT(ISBLANK($B98:$B102)),V98:V102,""))</f>
      </c>
      <c r="W103" s="76">
        <f ref="W103:W103" t="array">SUM(IF(NOT(ISBLANK($B98:$B102)),W98:W102,""))</f>
      </c>
      <c r="X103" s="77"/>
      <c r="Y103" s="76">
        <f ref="Y103:Y103" t="array">SUM(IF(NOT(ISBLANK($B98:$B102)),Y98:Y102,""))</f>
      </c>
      <c r="Z103" s="76">
        <f ref="Z103:Z103" t="array">SUM(IF(NOT(ISBLANK($B98:$B102)),Z98:Z102,""))</f>
      </c>
      <c r="AA103" s="77"/>
      <c r="AB103" s="76">
        <f ref="AB103:AB103" t="array">SUM(IF(NOT(ISBLANK($B98:$B102)),AB98:AB102,""))</f>
      </c>
      <c r="AC103" s="76">
        <f ref="AC103:AC103" t="array">SUM(IF(NOT(ISBLANK($B98:$B102)),AC98:AC102,""))</f>
      </c>
      <c r="AD103" s="77"/>
      <c r="AE103" s="77"/>
      <c r="AF103" s="78"/>
      <c r="AG103" s="79">
        <v>1</v>
      </c>
    </row>
    <row r="104" ht="0" hidden="1">
      <c r="A104" s="50"/>
      <c r="B104" s="51"/>
      <c r="C104" s="51"/>
      <c r="D104" s="80"/>
      <c r="E104" s="80"/>
      <c r="F104" s="80"/>
      <c r="G104" s="81"/>
      <c r="H104" s="81"/>
      <c r="I104" s="81"/>
      <c r="J104" s="53"/>
      <c r="K104" s="54"/>
      <c r="L104" s="54"/>
      <c r="M104" s="54"/>
      <c r="N104" s="53"/>
      <c r="O104" s="55"/>
      <c r="P104" s="82"/>
      <c r="Q104" s="57"/>
      <c r="R104" s="53"/>
      <c r="S104" s="82"/>
      <c r="T104" s="82"/>
      <c r="U104" s="53"/>
      <c r="V104" s="53"/>
      <c r="W104" s="53"/>
      <c r="X104" s="82"/>
      <c r="Y104" s="53"/>
      <c r="Z104" s="53"/>
      <c r="AA104" s="82"/>
      <c r="AB104" s="53"/>
      <c r="AC104" s="53"/>
      <c r="AD104" s="82"/>
      <c r="AE104" s="82"/>
      <c r="AF104" s="83"/>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84">
        <f>IF(COUNTA(M105:M108)=0,"",IF(COUNTA(F105:F108)=0,IF(COUNTA(D105:D108)=0,"Totals - Final","Totals - Estimated"),"Totals - Corrected"))</f>
      </c>
      <c r="B109" s="87">
        <f>IF(ISNA(INDEX(B105:B108,MAX(MATCH(REPT("z",255),B105:B108)))),"",INDEX(B105:B108,MAX(MATCH(REPT("z",255),B105:B108))))</f>
      </c>
      <c r="C109" s="87">
        <f>IF(ISNA(INDEX(C105:C108,MAX(MATCH(REPT("z",255),C105:C108)))),"",INDEX(C105:C108,MAX(MATCH(REPT("z",255),C105:C108))))</f>
      </c>
      <c r="D109" s="87">
        <f>IF(ISNA(INDEX(A105:A108,MAX(MATCH(REPT("z",255),A105:A108)))),"",INDEX(A105:A108,MAX(MATCH(REPT("z",255),A105:A108))))</f>
      </c>
      <c r="E109" s="85"/>
      <c r="F109" s="85"/>
      <c r="G109" s="86"/>
      <c r="H109" s="86"/>
      <c r="I109" s="86"/>
      <c r="J109" s="76">
        <f ref="J109:J109" t="array">SUM(IF(NOT(ISBLANK($B104:$B108)),J104:J108,""))</f>
      </c>
      <c r="K109" s="76">
        <f ref="K109:K109" t="array">SUM(IF(NOT(ISBLANK($B104:$B108)),K104:K108,""))</f>
      </c>
      <c r="L109" s="76">
        <f ref="L109:L109" t="array">SUM(IF(NOT(ISBLANK($B104:$B108)),L104:L108,""))</f>
      </c>
      <c r="M109" s="76">
        <f ref="M109:M109" t="array">SUM(IF(NOT(ISBLANK($B104:$B108)),M104:M108,""))</f>
      </c>
      <c r="N109" s="76">
        <f ref="N109:N109" t="array">SUM(IF(NOT(ISBLANK($B104:$B108)),N104:N108,""))</f>
      </c>
      <c r="O109" s="76">
        <f ref="O109:O109" t="array">SUM(IF(NOT(ISBLANK($B104:$B108)),O104:O108,""))</f>
      </c>
      <c r="P109" s="77"/>
      <c r="Q109" s="76">
        <f ref="Q109:Q109" t="array">SUM(IF(NOT(ISBLANK($B104:$B108)),Q104:Q108,""))</f>
      </c>
      <c r="R109" s="76">
        <f ref="R109:R109" t="array">SUM(IF(NOT(ISBLANK($B104:$B108)),R104:R108,""))</f>
      </c>
      <c r="S109" s="77"/>
      <c r="T109" s="77"/>
      <c r="U109" s="76">
        <f ref="U109:U109" t="array">SUM(IF(NOT(ISBLANK($B104:$B108)),U104:U108,""))</f>
      </c>
      <c r="V109" s="76">
        <f ref="V109:V109" t="array">SUM(IF(NOT(ISBLANK($B104:$B108)),V104:V108,""))</f>
      </c>
      <c r="W109" s="76">
        <f ref="W109:W109" t="array">SUM(IF(NOT(ISBLANK($B104:$B108)),W104:W108,""))</f>
      </c>
      <c r="X109" s="77"/>
      <c r="Y109" s="76">
        <f ref="Y109:Y109" t="array">SUM(IF(NOT(ISBLANK($B104:$B108)),Y104:Y108,""))</f>
      </c>
      <c r="Z109" s="76">
        <f ref="Z109:Z109" t="array">SUM(IF(NOT(ISBLANK($B104:$B108)),Z104:Z108,""))</f>
      </c>
      <c r="AA109" s="77"/>
      <c r="AB109" s="76">
        <f ref="AB109:AB109" t="array">SUM(IF(NOT(ISBLANK($B104:$B108)),AB104:AB108,""))</f>
      </c>
      <c r="AC109" s="76">
        <f ref="AC109:AC109" t="array">SUM(IF(NOT(ISBLANK($B104:$B108)),AC104:AC108,""))</f>
      </c>
      <c r="AD109" s="77"/>
      <c r="AE109" s="77"/>
      <c r="AF109" s="78"/>
      <c r="AG109" s="79">
        <v>1</v>
      </c>
    </row>
    <row r="110" ht="0" hidden="1">
      <c r="A110" s="50"/>
      <c r="B110" s="51"/>
      <c r="C110" s="51"/>
      <c r="D110" s="80"/>
      <c r="E110" s="80"/>
      <c r="F110" s="80"/>
      <c r="G110" s="81"/>
      <c r="H110" s="81"/>
      <c r="I110" s="81"/>
      <c r="J110" s="53"/>
      <c r="K110" s="54"/>
      <c r="L110" s="54"/>
      <c r="M110" s="54"/>
      <c r="N110" s="53"/>
      <c r="O110" s="55"/>
      <c r="P110" s="82"/>
      <c r="Q110" s="57"/>
      <c r="R110" s="53"/>
      <c r="S110" s="82"/>
      <c r="T110" s="82"/>
      <c r="U110" s="53"/>
      <c r="V110" s="53"/>
      <c r="W110" s="53"/>
      <c r="X110" s="82"/>
      <c r="Y110" s="53"/>
      <c r="Z110" s="53"/>
      <c r="AA110" s="82"/>
      <c r="AB110" s="53"/>
      <c r="AC110" s="53"/>
      <c r="AD110" s="82"/>
      <c r="AE110" s="82"/>
      <c r="AF110" s="83"/>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84">
        <f>IF(COUNTA(M111:M114)=0,"",IF(COUNTA(F111:F114)=0,IF(COUNTA(D111:D114)=0,"Totals - Final","Totals - Estimated"),"Totals - Corrected"))</f>
      </c>
      <c r="B115" s="87">
        <f>IF(ISNA(INDEX(B111:B114,MAX(MATCH(REPT("z",255),B111:B114)))),"",INDEX(B111:B114,MAX(MATCH(REPT("z",255),B111:B114))))</f>
      </c>
      <c r="C115" s="87">
        <f>IF(ISNA(INDEX(C111:C114,MAX(MATCH(REPT("z",255),C111:C114)))),"",INDEX(C111:C114,MAX(MATCH(REPT("z",255),C111:C114))))</f>
      </c>
      <c r="D115" s="87">
        <f>IF(ISNA(INDEX(A111:A114,MAX(MATCH(REPT("z",255),A111:A114)))),"",INDEX(A111:A114,MAX(MATCH(REPT("z",255),A111:A114))))</f>
      </c>
      <c r="E115" s="85"/>
      <c r="F115" s="85"/>
      <c r="G115" s="86"/>
      <c r="H115" s="86"/>
      <c r="I115" s="86"/>
      <c r="J115" s="76">
        <f ref="J115:J115" t="array">SUM(IF(NOT(ISBLANK($B110:$B114)),J110:J114,""))</f>
      </c>
      <c r="K115" s="76">
        <f ref="K115:K115" t="array">SUM(IF(NOT(ISBLANK($B110:$B114)),K110:K114,""))</f>
      </c>
      <c r="L115" s="76">
        <f ref="L115:L115" t="array">SUM(IF(NOT(ISBLANK($B110:$B114)),L110:L114,""))</f>
      </c>
      <c r="M115" s="76">
        <f ref="M115:M115" t="array">SUM(IF(NOT(ISBLANK($B110:$B114)),M110:M114,""))</f>
      </c>
      <c r="N115" s="76">
        <f ref="N115:N115" t="array">SUM(IF(NOT(ISBLANK($B110:$B114)),N110:N114,""))</f>
      </c>
      <c r="O115" s="76">
        <f ref="O115:O115" t="array">SUM(IF(NOT(ISBLANK($B110:$B114)),O110:O114,""))</f>
      </c>
      <c r="P115" s="77"/>
      <c r="Q115" s="76">
        <f ref="Q115:Q115" t="array">SUM(IF(NOT(ISBLANK($B110:$B114)),Q110:Q114,""))</f>
      </c>
      <c r="R115" s="76">
        <f ref="R115:R115" t="array">SUM(IF(NOT(ISBLANK($B110:$B114)),R110:R114,""))</f>
      </c>
      <c r="S115" s="77"/>
      <c r="T115" s="77"/>
      <c r="U115" s="76">
        <f ref="U115:U115" t="array">SUM(IF(NOT(ISBLANK($B110:$B114)),U110:U114,""))</f>
      </c>
      <c r="V115" s="76">
        <f ref="V115:V115" t="array">SUM(IF(NOT(ISBLANK($B110:$B114)),V110:V114,""))</f>
      </c>
      <c r="W115" s="76">
        <f ref="W115:W115" t="array">SUM(IF(NOT(ISBLANK($B110:$B114)),W110:W114,""))</f>
      </c>
      <c r="X115" s="77"/>
      <c r="Y115" s="76">
        <f ref="Y115:Y115" t="array">SUM(IF(NOT(ISBLANK($B110:$B114)),Y110:Y114,""))</f>
      </c>
      <c r="Z115" s="76">
        <f ref="Z115:Z115" t="array">SUM(IF(NOT(ISBLANK($B110:$B114)),Z110:Z114,""))</f>
      </c>
      <c r="AA115" s="77"/>
      <c r="AB115" s="76">
        <f ref="AB115:AB115" t="array">SUM(IF(NOT(ISBLANK($B110:$B114)),AB110:AB114,""))</f>
      </c>
      <c r="AC115" s="76">
        <f ref="AC115:AC115" t="array">SUM(IF(NOT(ISBLANK($B110:$B114)),AC110:AC114,""))</f>
      </c>
      <c r="AD115" s="77"/>
      <c r="AE115" s="77"/>
      <c r="AF115" s="78"/>
      <c r="AG115" s="79">
        <v>1</v>
      </c>
    </row>
    <row r="116" ht="0" hidden="1">
      <c r="A116" s="50"/>
      <c r="B116" s="51"/>
      <c r="C116" s="51"/>
      <c r="D116" s="80"/>
      <c r="E116" s="80"/>
      <c r="F116" s="80"/>
      <c r="G116" s="81"/>
      <c r="H116" s="81"/>
      <c r="I116" s="81"/>
      <c r="J116" s="53"/>
      <c r="K116" s="54"/>
      <c r="L116" s="54"/>
      <c r="M116" s="54"/>
      <c r="N116" s="53"/>
      <c r="O116" s="55"/>
      <c r="P116" s="82"/>
      <c r="Q116" s="57"/>
      <c r="R116" s="53"/>
      <c r="S116" s="82"/>
      <c r="T116" s="82"/>
      <c r="U116" s="53"/>
      <c r="V116" s="53"/>
      <c r="W116" s="53"/>
      <c r="X116" s="82"/>
      <c r="Y116" s="53"/>
      <c r="Z116" s="53"/>
      <c r="AA116" s="82"/>
      <c r="AB116" s="53"/>
      <c r="AC116" s="53"/>
      <c r="AD116" s="82"/>
      <c r="AE116" s="82"/>
      <c r="AF116" s="83"/>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84">
        <f>IF(COUNTA(M117:M120)=0,"",IF(COUNTA(F117:F120)=0,IF(COUNTA(D117:D120)=0,"Totals - Final","Totals - Estimated"),"Totals - Corrected"))</f>
      </c>
      <c r="B121" s="87">
        <f>IF(ISNA(INDEX(B117:B120,MAX(MATCH(REPT("z",255),B117:B120)))),"",INDEX(B117:B120,MAX(MATCH(REPT("z",255),B117:B120))))</f>
      </c>
      <c r="C121" s="87">
        <f>IF(ISNA(INDEX(C117:C120,MAX(MATCH(REPT("z",255),C117:C120)))),"",INDEX(C117:C120,MAX(MATCH(REPT("z",255),C117:C120))))</f>
      </c>
      <c r="D121" s="87">
        <f>IF(ISNA(INDEX(A117:A120,MAX(MATCH(REPT("z",255),A117:A120)))),"",INDEX(A117:A120,MAX(MATCH(REPT("z",255),A117:A120))))</f>
      </c>
      <c r="E121" s="85"/>
      <c r="F121" s="85"/>
      <c r="G121" s="86"/>
      <c r="H121" s="86"/>
      <c r="I121" s="86"/>
      <c r="J121" s="76">
        <f ref="J121:J121" t="array">SUM(IF(NOT(ISBLANK($B116:$B120)),J116:J120,""))</f>
      </c>
      <c r="K121" s="76">
        <f ref="K121:K121" t="array">SUM(IF(NOT(ISBLANK($B116:$B120)),K116:K120,""))</f>
      </c>
      <c r="L121" s="76">
        <f ref="L121:L121" t="array">SUM(IF(NOT(ISBLANK($B116:$B120)),L116:L120,""))</f>
      </c>
      <c r="M121" s="76">
        <f ref="M121:M121" t="array">SUM(IF(NOT(ISBLANK($B116:$B120)),M116:M120,""))</f>
      </c>
      <c r="N121" s="76">
        <f ref="N121:N121" t="array">SUM(IF(NOT(ISBLANK($B116:$B120)),N116:N120,""))</f>
      </c>
      <c r="O121" s="76">
        <f ref="O121:O121" t="array">SUM(IF(NOT(ISBLANK($B116:$B120)),O116:O120,""))</f>
      </c>
      <c r="P121" s="77"/>
      <c r="Q121" s="76">
        <f ref="Q121:Q121" t="array">SUM(IF(NOT(ISBLANK($B116:$B120)),Q116:Q120,""))</f>
      </c>
      <c r="R121" s="76">
        <f ref="R121:R121" t="array">SUM(IF(NOT(ISBLANK($B116:$B120)),R116:R120,""))</f>
      </c>
      <c r="S121" s="77"/>
      <c r="T121" s="77"/>
      <c r="U121" s="76">
        <f ref="U121:U121" t="array">SUM(IF(NOT(ISBLANK($B116:$B120)),U116:U120,""))</f>
      </c>
      <c r="V121" s="76">
        <f ref="V121:V121" t="array">SUM(IF(NOT(ISBLANK($B116:$B120)),V116:V120,""))</f>
      </c>
      <c r="W121" s="76">
        <f ref="W121:W121" t="array">SUM(IF(NOT(ISBLANK($B116:$B120)),W116:W120,""))</f>
      </c>
      <c r="X121" s="77"/>
      <c r="Y121" s="76">
        <f ref="Y121:Y121" t="array">SUM(IF(NOT(ISBLANK($B116:$B120)),Y116:Y120,""))</f>
      </c>
      <c r="Z121" s="76">
        <f ref="Z121:Z121" t="array">SUM(IF(NOT(ISBLANK($B116:$B120)),Z116:Z120,""))</f>
      </c>
      <c r="AA121" s="77"/>
      <c r="AB121" s="76">
        <f ref="AB121:AB121" t="array">SUM(IF(NOT(ISBLANK($B116:$B120)),AB116:AB120,""))</f>
      </c>
      <c r="AC121" s="76">
        <f ref="AC121:AC121" t="array">SUM(IF(NOT(ISBLANK($B116:$B120)),AC116:AC120,""))</f>
      </c>
      <c r="AD121" s="77"/>
      <c r="AE121" s="77"/>
      <c r="AF121" s="78"/>
      <c r="AG121" s="79">
        <v>1</v>
      </c>
    </row>
    <row r="122" ht="0" hidden="1">
      <c r="A122" s="50"/>
      <c r="B122" s="51"/>
      <c r="C122" s="51"/>
      <c r="D122" s="80"/>
      <c r="E122" s="80"/>
      <c r="F122" s="80"/>
      <c r="G122" s="81"/>
      <c r="H122" s="81"/>
      <c r="I122" s="81"/>
      <c r="J122" s="53"/>
      <c r="K122" s="54"/>
      <c r="L122" s="54"/>
      <c r="M122" s="54"/>
      <c r="N122" s="53"/>
      <c r="O122" s="55"/>
      <c r="P122" s="82"/>
      <c r="Q122" s="57"/>
      <c r="R122" s="53"/>
      <c r="S122" s="82"/>
      <c r="T122" s="82"/>
      <c r="U122" s="53"/>
      <c r="V122" s="53"/>
      <c r="W122" s="53"/>
      <c r="X122" s="82"/>
      <c r="Y122" s="53"/>
      <c r="Z122" s="53"/>
      <c r="AA122" s="82"/>
      <c r="AB122" s="53"/>
      <c r="AC122" s="53"/>
      <c r="AD122" s="82"/>
      <c r="AE122" s="82"/>
      <c r="AF122" s="83"/>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84">
        <f>IF(COUNTA(M123:M126)=0,"",IF(COUNTA(F123:F126)=0,IF(COUNTA(D123:D126)=0,"Totals - Final","Totals - Estimated"),"Totals - Corrected"))</f>
      </c>
      <c r="B127" s="87">
        <f>IF(ISNA(INDEX(B123:B126,MAX(MATCH(REPT("z",255),B123:B126)))),"",INDEX(B123:B126,MAX(MATCH(REPT("z",255),B123:B126))))</f>
      </c>
      <c r="C127" s="87">
        <f>IF(ISNA(INDEX(C123:C126,MAX(MATCH(REPT("z",255),C123:C126)))),"",INDEX(C123:C126,MAX(MATCH(REPT("z",255),C123:C126))))</f>
      </c>
      <c r="D127" s="87">
        <f>IF(ISNA(INDEX(A123:A126,MAX(MATCH(REPT("z",255),A123:A126)))),"",INDEX(A123:A126,MAX(MATCH(REPT("z",255),A123:A126))))</f>
      </c>
      <c r="E127" s="85"/>
      <c r="F127" s="85"/>
      <c r="G127" s="86"/>
      <c r="H127" s="86"/>
      <c r="I127" s="86"/>
      <c r="J127" s="76">
        <f ref="J127:J127" t="array">SUM(IF(NOT(ISBLANK($B122:$B126)),J122:J126,""))</f>
      </c>
      <c r="K127" s="76">
        <f ref="K127:K127" t="array">SUM(IF(NOT(ISBLANK($B122:$B126)),K122:K126,""))</f>
      </c>
      <c r="L127" s="76">
        <f ref="L127:L127" t="array">SUM(IF(NOT(ISBLANK($B122:$B126)),L122:L126,""))</f>
      </c>
      <c r="M127" s="76">
        <f ref="M127:M127" t="array">SUM(IF(NOT(ISBLANK($B122:$B126)),M122:M126,""))</f>
      </c>
      <c r="N127" s="76">
        <f ref="N127:N127" t="array">SUM(IF(NOT(ISBLANK($B122:$B126)),N122:N126,""))</f>
      </c>
      <c r="O127" s="76">
        <f ref="O127:O127" t="array">SUM(IF(NOT(ISBLANK($B122:$B126)),O122:O126,""))</f>
      </c>
      <c r="P127" s="77"/>
      <c r="Q127" s="76">
        <f ref="Q127:Q127" t="array">SUM(IF(NOT(ISBLANK($B122:$B126)),Q122:Q126,""))</f>
      </c>
      <c r="R127" s="76">
        <f ref="R127:R127" t="array">SUM(IF(NOT(ISBLANK($B122:$B126)),R122:R126,""))</f>
      </c>
      <c r="S127" s="77"/>
      <c r="T127" s="77"/>
      <c r="U127" s="76">
        <f ref="U127:U127" t="array">SUM(IF(NOT(ISBLANK($B122:$B126)),U122:U126,""))</f>
      </c>
      <c r="V127" s="76">
        <f ref="V127:V127" t="array">SUM(IF(NOT(ISBLANK($B122:$B126)),V122:V126,""))</f>
      </c>
      <c r="W127" s="76">
        <f ref="W127:W127" t="array">SUM(IF(NOT(ISBLANK($B122:$B126)),W122:W126,""))</f>
      </c>
      <c r="X127" s="77"/>
      <c r="Y127" s="76">
        <f ref="Y127:Y127" t="array">SUM(IF(NOT(ISBLANK($B122:$B126)),Y122:Y126,""))</f>
      </c>
      <c r="Z127" s="76">
        <f ref="Z127:Z127" t="array">SUM(IF(NOT(ISBLANK($B122:$B126)),Z122:Z126,""))</f>
      </c>
      <c r="AA127" s="77"/>
      <c r="AB127" s="76">
        <f ref="AB127:AB127" t="array">SUM(IF(NOT(ISBLANK($B122:$B126)),AB122:AB126,""))</f>
      </c>
      <c r="AC127" s="76">
        <f ref="AC127:AC127" t="array">SUM(IF(NOT(ISBLANK($B122:$B126)),AC122:AC126,""))</f>
      </c>
      <c r="AD127" s="77"/>
      <c r="AE127" s="77"/>
      <c r="AF127" s="78"/>
      <c r="AG127" s="79">
        <v>1</v>
      </c>
    </row>
    <row r="128" ht="0" hidden="1">
      <c r="A128" s="50"/>
      <c r="B128" s="51"/>
      <c r="C128" s="51"/>
      <c r="D128" s="80"/>
      <c r="E128" s="80"/>
      <c r="F128" s="80"/>
      <c r="G128" s="81"/>
      <c r="H128" s="81"/>
      <c r="I128" s="81"/>
      <c r="J128" s="53"/>
      <c r="K128" s="54"/>
      <c r="L128" s="54"/>
      <c r="M128" s="54"/>
      <c r="N128" s="53"/>
      <c r="O128" s="55"/>
      <c r="P128" s="82"/>
      <c r="Q128" s="57"/>
      <c r="R128" s="53"/>
      <c r="S128" s="82"/>
      <c r="T128" s="82"/>
      <c r="U128" s="53"/>
      <c r="V128" s="53"/>
      <c r="W128" s="53"/>
      <c r="X128" s="82"/>
      <c r="Y128" s="53"/>
      <c r="Z128" s="53"/>
      <c r="AA128" s="82"/>
      <c r="AB128" s="53"/>
      <c r="AC128" s="53"/>
      <c r="AD128" s="82"/>
      <c r="AE128" s="82"/>
      <c r="AF128" s="83"/>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84">
        <f>IF(COUNTA(M129:M132)=0,"",IF(COUNTA(F129:F132)=0,IF(COUNTA(D129:D132)=0,"Totals - Final","Totals - Estimated"),"Totals - Corrected"))</f>
      </c>
      <c r="B133" s="87">
        <f>IF(ISNA(INDEX(B129:B132,MAX(MATCH(REPT("z",255),B129:B132)))),"",INDEX(B129:B132,MAX(MATCH(REPT("z",255),B129:B132))))</f>
      </c>
      <c r="C133" s="87">
        <f>IF(ISNA(INDEX(C129:C132,MAX(MATCH(REPT("z",255),C129:C132)))),"",INDEX(C129:C132,MAX(MATCH(REPT("z",255),C129:C132))))</f>
      </c>
      <c r="D133" s="87">
        <f>IF(ISNA(INDEX(A129:A132,MAX(MATCH(REPT("z",255),A129:A132)))),"",INDEX(A129:A132,MAX(MATCH(REPT("z",255),A129:A132))))</f>
      </c>
      <c r="E133" s="85"/>
      <c r="F133" s="85"/>
      <c r="G133" s="86"/>
      <c r="H133" s="86"/>
      <c r="I133" s="86"/>
      <c r="J133" s="76">
        <f ref="J133:J133" t="array">SUM(IF(NOT(ISBLANK($B128:$B132)),J128:J132,""))</f>
      </c>
      <c r="K133" s="76">
        <f ref="K133:K133" t="array">SUM(IF(NOT(ISBLANK($B128:$B132)),K128:K132,""))</f>
      </c>
      <c r="L133" s="76">
        <f ref="L133:L133" t="array">SUM(IF(NOT(ISBLANK($B128:$B132)),L128:L132,""))</f>
      </c>
      <c r="M133" s="76">
        <f ref="M133:M133" t="array">SUM(IF(NOT(ISBLANK($B128:$B132)),M128:M132,""))</f>
      </c>
      <c r="N133" s="76">
        <f ref="N133:N133" t="array">SUM(IF(NOT(ISBLANK($B128:$B132)),N128:N132,""))</f>
      </c>
      <c r="O133" s="76">
        <f ref="O133:O133" t="array">SUM(IF(NOT(ISBLANK($B128:$B132)),O128:O132,""))</f>
      </c>
      <c r="P133" s="77"/>
      <c r="Q133" s="76">
        <f ref="Q133:Q133" t="array">SUM(IF(NOT(ISBLANK($B128:$B132)),Q128:Q132,""))</f>
      </c>
      <c r="R133" s="76">
        <f ref="R133:R133" t="array">SUM(IF(NOT(ISBLANK($B128:$B132)),R128:R132,""))</f>
      </c>
      <c r="S133" s="77"/>
      <c r="T133" s="77"/>
      <c r="U133" s="76">
        <f ref="U133:U133" t="array">SUM(IF(NOT(ISBLANK($B128:$B132)),U128:U132,""))</f>
      </c>
      <c r="V133" s="76">
        <f ref="V133:V133" t="array">SUM(IF(NOT(ISBLANK($B128:$B132)),V128:V132,""))</f>
      </c>
      <c r="W133" s="76">
        <f ref="W133:W133" t="array">SUM(IF(NOT(ISBLANK($B128:$B132)),W128:W132,""))</f>
      </c>
      <c r="X133" s="77"/>
      <c r="Y133" s="76">
        <f ref="Y133:Y133" t="array">SUM(IF(NOT(ISBLANK($B128:$B132)),Y128:Y132,""))</f>
      </c>
      <c r="Z133" s="76">
        <f ref="Z133:Z133" t="array">SUM(IF(NOT(ISBLANK($B128:$B132)),Z128:Z132,""))</f>
      </c>
      <c r="AA133" s="77"/>
      <c r="AB133" s="76">
        <f ref="AB133:AB133" t="array">SUM(IF(NOT(ISBLANK($B128:$B132)),AB128:AB132,""))</f>
      </c>
      <c r="AC133" s="76">
        <f ref="AC133:AC133" t="array">SUM(IF(NOT(ISBLANK($B128:$B132)),AC128:AC132,""))</f>
      </c>
      <c r="AD133" s="77"/>
      <c r="AE133" s="77"/>
      <c r="AF133" s="78"/>
      <c r="AG133" s="79">
        <v>1</v>
      </c>
    </row>
    <row r="134" ht="0" hidden="1">
      <c r="A134" s="50"/>
      <c r="B134" s="51"/>
      <c r="C134" s="51"/>
      <c r="D134" s="80"/>
      <c r="E134" s="80"/>
      <c r="F134" s="80"/>
      <c r="G134" s="81"/>
      <c r="H134" s="81"/>
      <c r="I134" s="81"/>
      <c r="J134" s="53"/>
      <c r="K134" s="54"/>
      <c r="L134" s="54"/>
      <c r="M134" s="54"/>
      <c r="N134" s="53"/>
      <c r="O134" s="55"/>
      <c r="P134" s="82"/>
      <c r="Q134" s="57"/>
      <c r="R134" s="53"/>
      <c r="S134" s="82"/>
      <c r="T134" s="82"/>
      <c r="U134" s="53"/>
      <c r="V134" s="53"/>
      <c r="W134" s="53"/>
      <c r="X134" s="82"/>
      <c r="Y134" s="53"/>
      <c r="Z134" s="53"/>
      <c r="AA134" s="82"/>
      <c r="AB134" s="53"/>
      <c r="AC134" s="53"/>
      <c r="AD134" s="82"/>
      <c r="AE134" s="82"/>
      <c r="AF134" s="83"/>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84">
        <f>IF(COUNTA(M135:M138)=0,"",IF(COUNTA(F135:F138)=0,IF(COUNTA(D135:D138)=0,"Totals - Final","Totals - Estimated"),"Totals - Corrected"))</f>
      </c>
      <c r="B139" s="87">
        <f>IF(ISNA(INDEX(B135:B138,MAX(MATCH(REPT("z",255),B135:B138)))),"",INDEX(B135:B138,MAX(MATCH(REPT("z",255),B135:B138))))</f>
      </c>
      <c r="C139" s="87">
        <f>IF(ISNA(INDEX(C135:C138,MAX(MATCH(REPT("z",255),C135:C138)))),"",INDEX(C135:C138,MAX(MATCH(REPT("z",255),C135:C138))))</f>
      </c>
      <c r="D139" s="87">
        <f>IF(ISNA(INDEX(A135:A138,MAX(MATCH(REPT("z",255),A135:A138)))),"",INDEX(A135:A138,MAX(MATCH(REPT("z",255),A135:A138))))</f>
      </c>
      <c r="E139" s="85"/>
      <c r="F139" s="85"/>
      <c r="G139" s="86"/>
      <c r="H139" s="86"/>
      <c r="I139" s="86"/>
      <c r="J139" s="76">
        <f ref="J139:J139" t="array">SUM(IF(NOT(ISBLANK($B134:$B138)),J134:J138,""))</f>
      </c>
      <c r="K139" s="76">
        <f ref="K139:K139" t="array">SUM(IF(NOT(ISBLANK($B134:$B138)),K134:K138,""))</f>
      </c>
      <c r="L139" s="76">
        <f ref="L139:L139" t="array">SUM(IF(NOT(ISBLANK($B134:$B138)),L134:L138,""))</f>
      </c>
      <c r="M139" s="76">
        <f ref="M139:M139" t="array">SUM(IF(NOT(ISBLANK($B134:$B138)),M134:M138,""))</f>
      </c>
      <c r="N139" s="76">
        <f ref="N139:N139" t="array">SUM(IF(NOT(ISBLANK($B134:$B138)),N134:N138,""))</f>
      </c>
      <c r="O139" s="76">
        <f ref="O139:O139" t="array">SUM(IF(NOT(ISBLANK($B134:$B138)),O134:O138,""))</f>
      </c>
      <c r="P139" s="77"/>
      <c r="Q139" s="76">
        <f ref="Q139:Q139" t="array">SUM(IF(NOT(ISBLANK($B134:$B138)),Q134:Q138,""))</f>
      </c>
      <c r="R139" s="76">
        <f ref="R139:R139" t="array">SUM(IF(NOT(ISBLANK($B134:$B138)),R134:R138,""))</f>
      </c>
      <c r="S139" s="77"/>
      <c r="T139" s="77"/>
      <c r="U139" s="76">
        <f ref="U139:U139" t="array">SUM(IF(NOT(ISBLANK($B134:$B138)),U134:U138,""))</f>
      </c>
      <c r="V139" s="76">
        <f ref="V139:V139" t="array">SUM(IF(NOT(ISBLANK($B134:$B138)),V134:V138,""))</f>
      </c>
      <c r="W139" s="76">
        <f ref="W139:W139" t="array">SUM(IF(NOT(ISBLANK($B134:$B138)),W134:W138,""))</f>
      </c>
      <c r="X139" s="77"/>
      <c r="Y139" s="76">
        <f ref="Y139:Y139" t="array">SUM(IF(NOT(ISBLANK($B134:$B138)),Y134:Y138,""))</f>
      </c>
      <c r="Z139" s="76">
        <f ref="Z139:Z139" t="array">SUM(IF(NOT(ISBLANK($B134:$B138)),Z134:Z138,""))</f>
      </c>
      <c r="AA139" s="77"/>
      <c r="AB139" s="76">
        <f ref="AB139:AB139" t="array">SUM(IF(NOT(ISBLANK($B134:$B138)),AB134:AB138,""))</f>
      </c>
      <c r="AC139" s="76">
        <f ref="AC139:AC139" t="array">SUM(IF(NOT(ISBLANK($B134:$B138)),AC134:AC138,""))</f>
      </c>
      <c r="AD139" s="77"/>
      <c r="AE139" s="77"/>
      <c r="AF139" s="78"/>
      <c r="AG139" s="79">
        <v>1</v>
      </c>
    </row>
    <row r="140" ht="0" hidden="1">
      <c r="A140" s="50"/>
      <c r="B140" s="51"/>
      <c r="C140" s="51"/>
      <c r="D140" s="80"/>
      <c r="E140" s="80"/>
      <c r="F140" s="80"/>
      <c r="G140" s="81"/>
      <c r="H140" s="81"/>
      <c r="I140" s="81"/>
      <c r="J140" s="53"/>
      <c r="K140" s="54"/>
      <c r="L140" s="54"/>
      <c r="M140" s="54"/>
      <c r="N140" s="53"/>
      <c r="O140" s="55"/>
      <c r="P140" s="82"/>
      <c r="Q140" s="57"/>
      <c r="R140" s="53"/>
      <c r="S140" s="82"/>
      <c r="T140" s="82"/>
      <c r="U140" s="53"/>
      <c r="V140" s="53"/>
      <c r="W140" s="53"/>
      <c r="X140" s="82"/>
      <c r="Y140" s="53"/>
      <c r="Z140" s="53"/>
      <c r="AA140" s="82"/>
      <c r="AB140" s="53"/>
      <c r="AC140" s="53"/>
      <c r="AD140" s="82"/>
      <c r="AE140" s="82"/>
      <c r="AF140" s="83"/>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84">
        <f>IF(COUNTA(M141:M144)=0,"",IF(COUNTA(F141:F144)=0,IF(COUNTA(D141:D144)=0,"Totals - Final","Totals - Estimated"),"Totals - Corrected"))</f>
      </c>
      <c r="B145" s="87">
        <f>IF(ISNA(INDEX(B141:B144,MAX(MATCH(REPT("z",255),B141:B144)))),"",INDEX(B141:B144,MAX(MATCH(REPT("z",255),B141:B144))))</f>
      </c>
      <c r="C145" s="87">
        <f>IF(ISNA(INDEX(C141:C144,MAX(MATCH(REPT("z",255),C141:C144)))),"",INDEX(C141:C144,MAX(MATCH(REPT("z",255),C141:C144))))</f>
      </c>
      <c r="D145" s="87">
        <f>IF(ISNA(INDEX(A141:A144,MAX(MATCH(REPT("z",255),A141:A144)))),"",INDEX(A141:A144,MAX(MATCH(REPT("z",255),A141:A144))))</f>
      </c>
      <c r="E145" s="85"/>
      <c r="F145" s="85"/>
      <c r="G145" s="86"/>
      <c r="H145" s="86"/>
      <c r="I145" s="86"/>
      <c r="J145" s="76">
        <f ref="J145:J145" t="array">SUM(IF(NOT(ISBLANK($B140:$B144)),J140:J144,""))</f>
      </c>
      <c r="K145" s="76">
        <f ref="K145:K145" t="array">SUM(IF(NOT(ISBLANK($B140:$B144)),K140:K144,""))</f>
      </c>
      <c r="L145" s="76">
        <f ref="L145:L145" t="array">SUM(IF(NOT(ISBLANK($B140:$B144)),L140:L144,""))</f>
      </c>
      <c r="M145" s="76">
        <f ref="M145:M145" t="array">SUM(IF(NOT(ISBLANK($B140:$B144)),M140:M144,""))</f>
      </c>
      <c r="N145" s="76">
        <f ref="N145:N145" t="array">SUM(IF(NOT(ISBLANK($B140:$B144)),N140:N144,""))</f>
      </c>
      <c r="O145" s="76">
        <f ref="O145:O145" t="array">SUM(IF(NOT(ISBLANK($B140:$B144)),O140:O144,""))</f>
      </c>
      <c r="P145" s="77"/>
      <c r="Q145" s="76">
        <f ref="Q145:Q145" t="array">SUM(IF(NOT(ISBLANK($B140:$B144)),Q140:Q144,""))</f>
      </c>
      <c r="R145" s="76">
        <f ref="R145:R145" t="array">SUM(IF(NOT(ISBLANK($B140:$B144)),R140:R144,""))</f>
      </c>
      <c r="S145" s="77"/>
      <c r="T145" s="77"/>
      <c r="U145" s="76">
        <f ref="U145:U145" t="array">SUM(IF(NOT(ISBLANK($B140:$B144)),U140:U144,""))</f>
      </c>
      <c r="V145" s="76">
        <f ref="V145:V145" t="array">SUM(IF(NOT(ISBLANK($B140:$B144)),V140:V144,""))</f>
      </c>
      <c r="W145" s="76">
        <f ref="W145:W145" t="array">SUM(IF(NOT(ISBLANK($B140:$B144)),W140:W144,""))</f>
      </c>
      <c r="X145" s="77"/>
      <c r="Y145" s="76">
        <f ref="Y145:Y145" t="array">SUM(IF(NOT(ISBLANK($B140:$B144)),Y140:Y144,""))</f>
      </c>
      <c r="Z145" s="76">
        <f ref="Z145:Z145" t="array">SUM(IF(NOT(ISBLANK($B140:$B144)),Z140:Z144,""))</f>
      </c>
      <c r="AA145" s="77"/>
      <c r="AB145" s="76">
        <f ref="AB145:AB145" t="array">SUM(IF(NOT(ISBLANK($B140:$B144)),AB140:AB144,""))</f>
      </c>
      <c r="AC145" s="76">
        <f ref="AC145:AC145" t="array">SUM(IF(NOT(ISBLANK($B140:$B144)),AC140:AC144,""))</f>
      </c>
      <c r="AD145" s="77"/>
      <c r="AE145" s="77"/>
      <c r="AF145" s="78"/>
      <c r="AG145" s="79">
        <v>1</v>
      </c>
    </row>
    <row r="146" ht="0" hidden="1">
      <c r="A146" s="50"/>
      <c r="B146" s="51"/>
      <c r="C146" s="51"/>
      <c r="D146" s="80"/>
      <c r="E146" s="80"/>
      <c r="F146" s="80"/>
      <c r="G146" s="81"/>
      <c r="H146" s="81"/>
      <c r="I146" s="81"/>
      <c r="J146" s="53"/>
      <c r="K146" s="54"/>
      <c r="L146" s="54"/>
      <c r="M146" s="54"/>
      <c r="N146" s="53"/>
      <c r="O146" s="55"/>
      <c r="P146" s="82"/>
      <c r="Q146" s="57"/>
      <c r="R146" s="53"/>
      <c r="S146" s="82"/>
      <c r="T146" s="82"/>
      <c r="U146" s="53"/>
      <c r="V146" s="53"/>
      <c r="W146" s="53"/>
      <c r="X146" s="82"/>
      <c r="Y146" s="53"/>
      <c r="Z146" s="53"/>
      <c r="AA146" s="82"/>
      <c r="AB146" s="53"/>
      <c r="AC146" s="53"/>
      <c r="AD146" s="82"/>
      <c r="AE146" s="82"/>
      <c r="AF146" s="83"/>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84">
        <f>IF(COUNTA(M147:M150)=0,"",IF(COUNTA(F147:F150)=0,IF(COUNTA(D147:D150)=0,"Totals - Final","Totals - Estimated"),"Totals - Corrected"))</f>
      </c>
      <c r="B151" s="87">
        <f>IF(ISNA(INDEX(B147:B150,MAX(MATCH(REPT("z",255),B147:B150)))),"",INDEX(B147:B150,MAX(MATCH(REPT("z",255),B147:B150))))</f>
      </c>
      <c r="C151" s="87">
        <f>IF(ISNA(INDEX(C147:C150,MAX(MATCH(REPT("z",255),C147:C150)))),"",INDEX(C147:C150,MAX(MATCH(REPT("z",255),C147:C150))))</f>
      </c>
      <c r="D151" s="87">
        <f>IF(ISNA(INDEX(A147:A150,MAX(MATCH(REPT("z",255),A147:A150)))),"",INDEX(A147:A150,MAX(MATCH(REPT("z",255),A147:A150))))</f>
      </c>
      <c r="E151" s="85"/>
      <c r="F151" s="85"/>
      <c r="G151" s="86"/>
      <c r="H151" s="86"/>
      <c r="I151" s="86"/>
      <c r="J151" s="76">
        <f ref="J151:J151" t="array">SUM(IF(NOT(ISBLANK($B146:$B150)),J146:J150,""))</f>
      </c>
      <c r="K151" s="76">
        <f ref="K151:K151" t="array">SUM(IF(NOT(ISBLANK($B146:$B150)),K146:K150,""))</f>
      </c>
      <c r="L151" s="76">
        <f ref="L151:L151" t="array">SUM(IF(NOT(ISBLANK($B146:$B150)),L146:L150,""))</f>
      </c>
      <c r="M151" s="76">
        <f ref="M151:M151" t="array">SUM(IF(NOT(ISBLANK($B146:$B150)),M146:M150,""))</f>
      </c>
      <c r="N151" s="76">
        <f ref="N151:N151" t="array">SUM(IF(NOT(ISBLANK($B146:$B150)),N146:N150,""))</f>
      </c>
      <c r="O151" s="76">
        <f ref="O151:O151" t="array">SUM(IF(NOT(ISBLANK($B146:$B150)),O146:O150,""))</f>
      </c>
      <c r="P151" s="77"/>
      <c r="Q151" s="76">
        <f ref="Q151:Q151" t="array">SUM(IF(NOT(ISBLANK($B146:$B150)),Q146:Q150,""))</f>
      </c>
      <c r="R151" s="76">
        <f ref="R151:R151" t="array">SUM(IF(NOT(ISBLANK($B146:$B150)),R146:R150,""))</f>
      </c>
      <c r="S151" s="77"/>
      <c r="T151" s="77"/>
      <c r="U151" s="76">
        <f ref="U151:U151" t="array">SUM(IF(NOT(ISBLANK($B146:$B150)),U146:U150,""))</f>
      </c>
      <c r="V151" s="76">
        <f ref="V151:V151" t="array">SUM(IF(NOT(ISBLANK($B146:$B150)),V146:V150,""))</f>
      </c>
      <c r="W151" s="76">
        <f ref="W151:W151" t="array">SUM(IF(NOT(ISBLANK($B146:$B150)),W146:W150,""))</f>
      </c>
      <c r="X151" s="77"/>
      <c r="Y151" s="76">
        <f ref="Y151:Y151" t="array">SUM(IF(NOT(ISBLANK($B146:$B150)),Y146:Y150,""))</f>
      </c>
      <c r="Z151" s="76">
        <f ref="Z151:Z151" t="array">SUM(IF(NOT(ISBLANK($B146:$B150)),Z146:Z150,""))</f>
      </c>
      <c r="AA151" s="77"/>
      <c r="AB151" s="76">
        <f ref="AB151:AB151" t="array">SUM(IF(NOT(ISBLANK($B146:$B150)),AB146:AB150,""))</f>
      </c>
      <c r="AC151" s="76">
        <f ref="AC151:AC151" t="array">SUM(IF(NOT(ISBLANK($B146:$B150)),AC146:AC150,""))</f>
      </c>
      <c r="AD151" s="77"/>
      <c r="AE151" s="77"/>
      <c r="AF151" s="78"/>
      <c r="AG151" s="79">
        <v>1</v>
      </c>
    </row>
    <row r="152" ht="0" hidden="1">
      <c r="A152" s="50"/>
      <c r="B152" s="51"/>
      <c r="C152" s="51"/>
      <c r="D152" s="80"/>
      <c r="E152" s="80"/>
      <c r="F152" s="80"/>
      <c r="G152" s="81"/>
      <c r="H152" s="81"/>
      <c r="I152" s="81"/>
      <c r="J152" s="53"/>
      <c r="K152" s="54"/>
      <c r="L152" s="54"/>
      <c r="M152" s="54"/>
      <c r="N152" s="53"/>
      <c r="O152" s="55"/>
      <c r="P152" s="82"/>
      <c r="Q152" s="57"/>
      <c r="R152" s="53"/>
      <c r="S152" s="82"/>
      <c r="T152" s="82"/>
      <c r="U152" s="53"/>
      <c r="V152" s="53"/>
      <c r="W152" s="53"/>
      <c r="X152" s="82"/>
      <c r="Y152" s="53"/>
      <c r="Z152" s="53"/>
      <c r="AA152" s="82"/>
      <c r="AB152" s="53"/>
      <c r="AC152" s="53"/>
      <c r="AD152" s="82"/>
      <c r="AE152" s="82"/>
      <c r="AF152" s="83"/>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84">
        <f>IF(COUNTA(M153:M156)=0,"",IF(COUNTA(F153:F156)=0,IF(COUNTA(D153:D156)=0,"Totals - Final","Totals - Estimated"),"Totals - Corrected"))</f>
      </c>
      <c r="B157" s="87">
        <f>IF(ISNA(INDEX(B153:B156,MAX(MATCH(REPT("z",255),B153:B156)))),"",INDEX(B153:B156,MAX(MATCH(REPT("z",255),B153:B156))))</f>
      </c>
      <c r="C157" s="87">
        <f>IF(ISNA(INDEX(C153:C156,MAX(MATCH(REPT("z",255),C153:C156)))),"",INDEX(C153:C156,MAX(MATCH(REPT("z",255),C153:C156))))</f>
      </c>
      <c r="D157" s="87">
        <f>IF(ISNA(INDEX(A153:A156,MAX(MATCH(REPT("z",255),A153:A156)))),"",INDEX(A153:A156,MAX(MATCH(REPT("z",255),A153:A156))))</f>
      </c>
      <c r="E157" s="85"/>
      <c r="F157" s="85"/>
      <c r="G157" s="86"/>
      <c r="H157" s="86"/>
      <c r="I157" s="86"/>
      <c r="J157" s="76">
        <f ref="J157:J157" t="array">SUM(IF(NOT(ISBLANK($B152:$B156)),J152:J156,""))</f>
      </c>
      <c r="K157" s="76">
        <f ref="K157:K157" t="array">SUM(IF(NOT(ISBLANK($B152:$B156)),K152:K156,""))</f>
      </c>
      <c r="L157" s="76">
        <f ref="L157:L157" t="array">SUM(IF(NOT(ISBLANK($B152:$B156)),L152:L156,""))</f>
      </c>
      <c r="M157" s="76">
        <f ref="M157:M157" t="array">SUM(IF(NOT(ISBLANK($B152:$B156)),M152:M156,""))</f>
      </c>
      <c r="N157" s="76">
        <f ref="N157:N157" t="array">SUM(IF(NOT(ISBLANK($B152:$B156)),N152:N156,""))</f>
      </c>
      <c r="O157" s="76">
        <f ref="O157:O157" t="array">SUM(IF(NOT(ISBLANK($B152:$B156)),O152:O156,""))</f>
      </c>
      <c r="P157" s="77"/>
      <c r="Q157" s="76">
        <f ref="Q157:Q157" t="array">SUM(IF(NOT(ISBLANK($B152:$B156)),Q152:Q156,""))</f>
      </c>
      <c r="R157" s="76">
        <f ref="R157:R157" t="array">SUM(IF(NOT(ISBLANK($B152:$B156)),R152:R156,""))</f>
      </c>
      <c r="S157" s="77"/>
      <c r="T157" s="77"/>
      <c r="U157" s="76">
        <f ref="U157:U157" t="array">SUM(IF(NOT(ISBLANK($B152:$B156)),U152:U156,""))</f>
      </c>
      <c r="V157" s="76">
        <f ref="V157:V157" t="array">SUM(IF(NOT(ISBLANK($B152:$B156)),V152:V156,""))</f>
      </c>
      <c r="W157" s="76">
        <f ref="W157:W157" t="array">SUM(IF(NOT(ISBLANK($B152:$B156)),W152:W156,""))</f>
      </c>
      <c r="X157" s="77"/>
      <c r="Y157" s="76">
        <f ref="Y157:Y157" t="array">SUM(IF(NOT(ISBLANK($B152:$B156)),Y152:Y156,""))</f>
      </c>
      <c r="Z157" s="76">
        <f ref="Z157:Z157" t="array">SUM(IF(NOT(ISBLANK($B152:$B156)),Z152:Z156,""))</f>
      </c>
      <c r="AA157" s="77"/>
      <c r="AB157" s="76">
        <f ref="AB157:AB157" t="array">SUM(IF(NOT(ISBLANK($B152:$B156)),AB152:AB156,""))</f>
      </c>
      <c r="AC157" s="76">
        <f ref="AC157:AC157" t="array">SUM(IF(NOT(ISBLANK($B152:$B156)),AC152:AC156,""))</f>
      </c>
      <c r="AD157" s="77"/>
      <c r="AE157" s="77"/>
      <c r="AF157" s="78"/>
      <c r="AG157" s="79">
        <v>1</v>
      </c>
    </row>
    <row r="158" ht="0" hidden="1">
      <c r="A158" s="50"/>
      <c r="B158" s="51"/>
      <c r="C158" s="51"/>
      <c r="D158" s="80"/>
      <c r="E158" s="80"/>
      <c r="F158" s="80"/>
      <c r="G158" s="81"/>
      <c r="H158" s="81"/>
      <c r="I158" s="81"/>
      <c r="J158" s="53"/>
      <c r="K158" s="54"/>
      <c r="L158" s="54"/>
      <c r="M158" s="54"/>
      <c r="N158" s="53"/>
      <c r="O158" s="55"/>
      <c r="P158" s="82"/>
      <c r="Q158" s="57"/>
      <c r="R158" s="53"/>
      <c r="S158" s="82"/>
      <c r="T158" s="82"/>
      <c r="U158" s="53"/>
      <c r="V158" s="53"/>
      <c r="W158" s="53"/>
      <c r="X158" s="82"/>
      <c r="Y158" s="53"/>
      <c r="Z158" s="53"/>
      <c r="AA158" s="82"/>
      <c r="AB158" s="53"/>
      <c r="AC158" s="53"/>
      <c r="AD158" s="82"/>
      <c r="AE158" s="82"/>
      <c r="AF158" s="83"/>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84">
        <f>IF(COUNTA(M159:M162)=0,"",IF(COUNTA(F159:F162)=0,IF(COUNTA(D159:D162)=0,"Totals - Final","Totals - Estimated"),"Totals - Corrected"))</f>
      </c>
      <c r="B163" s="87">
        <f>IF(ISNA(INDEX(B159:B162,MAX(MATCH(REPT("z",255),B159:B162)))),"",INDEX(B159:B162,MAX(MATCH(REPT("z",255),B159:B162))))</f>
      </c>
      <c r="C163" s="87">
        <f>IF(ISNA(INDEX(C159:C162,MAX(MATCH(REPT("z",255),C159:C162)))),"",INDEX(C159:C162,MAX(MATCH(REPT("z",255),C159:C162))))</f>
      </c>
      <c r="D163" s="87">
        <f>IF(ISNA(INDEX(A159:A162,MAX(MATCH(REPT("z",255),A159:A162)))),"",INDEX(A159:A162,MAX(MATCH(REPT("z",255),A159:A162))))</f>
      </c>
      <c r="E163" s="85"/>
      <c r="F163" s="85"/>
      <c r="G163" s="86"/>
      <c r="H163" s="86"/>
      <c r="I163" s="86"/>
      <c r="J163" s="76">
        <f ref="J163:J163" t="array">SUM(IF(NOT(ISBLANK($B158:$B162)),J158:J162,""))</f>
      </c>
      <c r="K163" s="76">
        <f ref="K163:K163" t="array">SUM(IF(NOT(ISBLANK($B158:$B162)),K158:K162,""))</f>
      </c>
      <c r="L163" s="76">
        <f ref="L163:L163" t="array">SUM(IF(NOT(ISBLANK($B158:$B162)),L158:L162,""))</f>
      </c>
      <c r="M163" s="76">
        <f ref="M163:M163" t="array">SUM(IF(NOT(ISBLANK($B158:$B162)),M158:M162,""))</f>
      </c>
      <c r="N163" s="76">
        <f ref="N163:N163" t="array">SUM(IF(NOT(ISBLANK($B158:$B162)),N158:N162,""))</f>
      </c>
      <c r="O163" s="76">
        <f ref="O163:O163" t="array">SUM(IF(NOT(ISBLANK($B158:$B162)),O158:O162,""))</f>
      </c>
      <c r="P163" s="77"/>
      <c r="Q163" s="76">
        <f ref="Q163:Q163" t="array">SUM(IF(NOT(ISBLANK($B158:$B162)),Q158:Q162,""))</f>
      </c>
      <c r="R163" s="76">
        <f ref="R163:R163" t="array">SUM(IF(NOT(ISBLANK($B158:$B162)),R158:R162,""))</f>
      </c>
      <c r="S163" s="77"/>
      <c r="T163" s="77"/>
      <c r="U163" s="76">
        <f ref="U163:U163" t="array">SUM(IF(NOT(ISBLANK($B158:$B162)),U158:U162,""))</f>
      </c>
      <c r="V163" s="76">
        <f ref="V163:V163" t="array">SUM(IF(NOT(ISBLANK($B158:$B162)),V158:V162,""))</f>
      </c>
      <c r="W163" s="76">
        <f ref="W163:W163" t="array">SUM(IF(NOT(ISBLANK($B158:$B162)),W158:W162,""))</f>
      </c>
      <c r="X163" s="77"/>
      <c r="Y163" s="76">
        <f ref="Y163:Y163" t="array">SUM(IF(NOT(ISBLANK($B158:$B162)),Y158:Y162,""))</f>
      </c>
      <c r="Z163" s="76">
        <f ref="Z163:Z163" t="array">SUM(IF(NOT(ISBLANK($B158:$B162)),Z158:Z162,""))</f>
      </c>
      <c r="AA163" s="77"/>
      <c r="AB163" s="76">
        <f ref="AB163:AB163" t="array">SUM(IF(NOT(ISBLANK($B158:$B162)),AB158:AB162,""))</f>
      </c>
      <c r="AC163" s="76">
        <f ref="AC163:AC163" t="array">SUM(IF(NOT(ISBLANK($B158:$B162)),AC158:AC162,""))</f>
      </c>
      <c r="AD163" s="77"/>
      <c r="AE163" s="77"/>
      <c r="AF163" s="78"/>
      <c r="AG163" s="79">
        <v>1</v>
      </c>
    </row>
    <row r="164" ht="0" hidden="1">
      <c r="A164" s="50"/>
      <c r="B164" s="51"/>
      <c r="C164" s="51"/>
      <c r="D164" s="80"/>
      <c r="E164" s="80"/>
      <c r="F164" s="80"/>
      <c r="G164" s="81"/>
      <c r="H164" s="81"/>
      <c r="I164" s="81"/>
      <c r="J164" s="53"/>
      <c r="K164" s="54"/>
      <c r="L164" s="54"/>
      <c r="M164" s="54"/>
      <c r="N164" s="53"/>
      <c r="O164" s="55"/>
      <c r="P164" s="82"/>
      <c r="Q164" s="57"/>
      <c r="R164" s="53"/>
      <c r="S164" s="82"/>
      <c r="T164" s="82"/>
      <c r="U164" s="53"/>
      <c r="V164" s="53"/>
      <c r="W164" s="53"/>
      <c r="X164" s="82"/>
      <c r="Y164" s="53"/>
      <c r="Z164" s="53"/>
      <c r="AA164" s="82"/>
      <c r="AB164" s="53"/>
      <c r="AC164" s="53"/>
      <c r="AD164" s="82"/>
      <c r="AE164" s="82"/>
      <c r="AF164" s="83"/>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84">
        <f>IF(COUNTA(M165:M168)=0,"",IF(COUNTA(F165:F168)=0,IF(COUNTA(D165:D168)=0,"Totals - Final","Totals - Estimated"),"Totals - Corrected"))</f>
      </c>
      <c r="B169" s="87">
        <f>IF(ISNA(INDEX(B165:B168,MAX(MATCH(REPT("z",255),B165:B168)))),"",INDEX(B165:B168,MAX(MATCH(REPT("z",255),B165:B168))))</f>
      </c>
      <c r="C169" s="87">
        <f>IF(ISNA(INDEX(C165:C168,MAX(MATCH(REPT("z",255),C165:C168)))),"",INDEX(C165:C168,MAX(MATCH(REPT("z",255),C165:C168))))</f>
      </c>
      <c r="D169" s="87">
        <f>IF(ISNA(INDEX(A165:A168,MAX(MATCH(REPT("z",255),A165:A168)))),"",INDEX(A165:A168,MAX(MATCH(REPT("z",255),A165:A168))))</f>
      </c>
      <c r="E169" s="85"/>
      <c r="F169" s="85"/>
      <c r="G169" s="86"/>
      <c r="H169" s="86"/>
      <c r="I169" s="86"/>
      <c r="J169" s="76">
        <f ref="J169:J169" t="array">SUM(IF(NOT(ISBLANK($B164:$B168)),J164:J168,""))</f>
      </c>
      <c r="K169" s="76">
        <f ref="K169:K169" t="array">SUM(IF(NOT(ISBLANK($B164:$B168)),K164:K168,""))</f>
      </c>
      <c r="L169" s="76">
        <f ref="L169:L169" t="array">SUM(IF(NOT(ISBLANK($B164:$B168)),L164:L168,""))</f>
      </c>
      <c r="M169" s="76">
        <f ref="M169:M169" t="array">SUM(IF(NOT(ISBLANK($B164:$B168)),M164:M168,""))</f>
      </c>
      <c r="N169" s="76">
        <f ref="N169:N169" t="array">SUM(IF(NOT(ISBLANK($B164:$B168)),N164:N168,""))</f>
      </c>
      <c r="O169" s="76">
        <f ref="O169:O169" t="array">SUM(IF(NOT(ISBLANK($B164:$B168)),O164:O168,""))</f>
      </c>
      <c r="P169" s="77"/>
      <c r="Q169" s="76">
        <f ref="Q169:Q169" t="array">SUM(IF(NOT(ISBLANK($B164:$B168)),Q164:Q168,""))</f>
      </c>
      <c r="R169" s="76">
        <f ref="R169:R169" t="array">SUM(IF(NOT(ISBLANK($B164:$B168)),R164:R168,""))</f>
      </c>
      <c r="S169" s="77"/>
      <c r="T169" s="77"/>
      <c r="U169" s="76">
        <f ref="U169:U169" t="array">SUM(IF(NOT(ISBLANK($B164:$B168)),U164:U168,""))</f>
      </c>
      <c r="V169" s="76">
        <f ref="V169:V169" t="array">SUM(IF(NOT(ISBLANK($B164:$B168)),V164:V168,""))</f>
      </c>
      <c r="W169" s="76">
        <f ref="W169:W169" t="array">SUM(IF(NOT(ISBLANK($B164:$B168)),W164:W168,""))</f>
      </c>
      <c r="X169" s="77"/>
      <c r="Y169" s="76">
        <f ref="Y169:Y169" t="array">SUM(IF(NOT(ISBLANK($B164:$B168)),Y164:Y168,""))</f>
      </c>
      <c r="Z169" s="76">
        <f ref="Z169:Z169" t="array">SUM(IF(NOT(ISBLANK($B164:$B168)),Z164:Z168,""))</f>
      </c>
      <c r="AA169" s="77"/>
      <c r="AB169" s="76">
        <f ref="AB169:AB169" t="array">SUM(IF(NOT(ISBLANK($B164:$B168)),AB164:AB168,""))</f>
      </c>
      <c r="AC169" s="76">
        <f ref="AC169:AC169" t="array">SUM(IF(NOT(ISBLANK($B164:$B168)),AC164:AC168,""))</f>
      </c>
      <c r="AD169" s="77"/>
      <c r="AE169" s="77"/>
      <c r="AF169" s="78"/>
      <c r="AG169" s="79">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6:AG30 A38:AG42 A44:AG48 A50:AG54 A56:AG60 A62:AG66 A68:AG72 A74:AG78 A80:AG84 A86:AG90 A92:AG96 A98:AG102 A104:AG108 A110:AG114 A116:AG120 A122:AG126 A128:AG132 A134:AG138 A140:AG144 A146:AG150 A152:AG156 A158:AG162 A164:AG168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6:A30 A32:A36 A38:A42 A44:A48 A50:A54 A56:A60 A62:A66 A68:A72 A74:A78 A80:A84 A86:A90 A92:A96 A98:A102 A104:A108 A110:A114 A116:A120 A122:A126 A128:A132 A134:A138 A140:A144 A146:A150 A152:A156 A158:A162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4:F168 F32:F36 F38:F42 F44:F48 F50:F54 F56:F60 F62:F66 F68:F72 F74:F78 F80:F84 F86:F90 F92:F96 F98:F102 F104:F108 F110:F114 F116:F120 F122:F126 F128:F132 F134:F138 F140:F144 F146:F150 F152:F156 F158:F162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4:E168 E32:E36 E38:E42 E44:E48 E50:E54 E56:E60 E62:E66 E68:E72 E74:E78 E80:E84 E86:E90 E92:E96 E98:E102 E104:E108 E110:E114 E116:E120 E122:E126 E128:E132 E134:E138 E140:E144 E146:E150 E152:E156 E158:E162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4:D168 D32:D36 D38:D42 D44:D48 D50:D54 D56:D60 D62:D66 D68:D72 D74:D78 D80:D84 D86:D90 D92:D96 D98:D102 D104:D108 D110:D114 D116:D120 D122:D126 D128:D132 D134:D138 D140:D144 D146:D150 D152:D156 D158:D162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Karen Dunleavy</cp:lastModifiedBy>
  <dcterms:created xsi:type="dcterms:W3CDTF">2012-11-27T14:14:45Z</dcterms:created>
  <dcterms:modified xsi:type="dcterms:W3CDTF">2013-01-22T15:00:15Z</dcterms:modified>
</cp:coreProperties>
</file>