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lockStructure="1"/>
  <bookViews>
    <workbookView xWindow="120" yWindow="45" windowWidth="15135" windowHeight="8130"/>
  </bookViews>
  <sheets>
    <sheet name="Sheet1" sheetId="1" r:id="rId1"/>
  </sheets>
  <calcPr calcId="144525"/>
</workbook>
</file>

<file path=xl/calcChain.xml><?xml version="1.0" encoding="utf-8"?>
<calcChain xmlns="http://schemas.openxmlformats.org/spreadsheetml/2006/main">
  <c r="C7" i="1" l="1"/>
  <c r="G7" i="1" s="1"/>
  <c r="C8" i="1"/>
  <c r="D23" i="1" s="1"/>
  <c r="C9" i="1"/>
  <c r="D22" i="1" s="1"/>
  <c r="G16" i="1"/>
  <c r="D27" i="1" s="1"/>
  <c r="G15" i="1"/>
  <c r="D26" i="1" s="1"/>
  <c r="G9" i="1"/>
  <c r="G8" i="1" l="1"/>
  <c r="G11" i="1"/>
  <c r="G13" i="1" s="1"/>
  <c r="G18" i="1" s="1"/>
  <c r="D25" i="1" l="1"/>
  <c r="D28" i="1" s="1"/>
</calcChain>
</file>

<file path=xl/sharedStrings.xml><?xml version="1.0" encoding="utf-8"?>
<sst xmlns="http://schemas.openxmlformats.org/spreadsheetml/2006/main" count="29" uniqueCount="29">
  <si>
    <t>Estimated Daily Participation</t>
  </si>
  <si>
    <t>Free</t>
  </si>
  <si>
    <t>Reduced</t>
  </si>
  <si>
    <t>Paid</t>
  </si>
  <si>
    <t># of Operating Days</t>
  </si>
  <si>
    <t>National School Lunch Program Estimated Reimbursement</t>
  </si>
  <si>
    <t xml:space="preserve">Local Funding: </t>
  </si>
  <si>
    <t xml:space="preserve">Federal Funding: </t>
  </si>
  <si>
    <t>State:</t>
  </si>
  <si>
    <t xml:space="preserve">Commodities: </t>
  </si>
  <si>
    <r>
      <t xml:space="preserve">     </t>
    </r>
    <r>
      <rPr>
        <b/>
        <sz val="11"/>
        <color indexed="8"/>
        <rFont val="Calibri"/>
        <family val="2"/>
      </rPr>
      <t xml:space="preserve">  Total Program Funds/Month:</t>
    </r>
  </si>
  <si>
    <t xml:space="preserve">                             Paid: </t>
  </si>
  <si>
    <t xml:space="preserve">                             Reduced: </t>
  </si>
  <si>
    <t xml:space="preserve">                   Free:</t>
  </si>
  <si>
    <t xml:space="preserve">                   Reduced:</t>
  </si>
  <si>
    <t xml:space="preserve">                   Paid: </t>
  </si>
  <si>
    <t>**Liquor Tax</t>
  </si>
  <si>
    <t>*Reimbursement Rates:</t>
  </si>
  <si>
    <t xml:space="preserve">**State reimbursement changes throughout the year based on state liquor tax funds.  </t>
  </si>
  <si>
    <t>Estimated Lunch Program Funding</t>
  </si>
  <si>
    <t xml:space="preserve">INSTRUCTIONS: Enter the number of children you expect to participate in your lunch program each day in the box above entitled "Estimated Daily Participation." The spreadsheet will give you an estimated monthly reimbursement amount from the National School Lunch Program based on average percentages of eligible free, reduced and paid students.  Actual reimbursement will depend on current reimbursement rates and your actual percentages of eligible free, reduced-price and paid children and lunch participation. </t>
  </si>
  <si>
    <t xml:space="preserve">Daily Average Total </t>
  </si>
  <si>
    <t>Monthly  Federal Reimbursement</t>
  </si>
  <si>
    <t>Total Estimated Reimbursement</t>
  </si>
  <si>
    <t>2010-2011 Rates</t>
  </si>
  <si>
    <t>***Commodities</t>
  </si>
  <si>
    <t>*Federal reimbursement and commodity rates change each year and become effective July 1st through June 30th.</t>
  </si>
  <si>
    <t>***Commodities are ordered by schools in lieu of cash. A dollar amount is assigned to schools based on projected and past number of meals served.</t>
  </si>
  <si>
    <t>**State reimbursement is only distributed to public institutions run under the aupice of the Board of Education participating in the National School Lunch Program.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</si>
</sst>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0000"/>
  </numFmts>
  <fonts count="4" x14ac:knownFonts="1">
    <font>
      <sz val="11"/>
      <color theme="1"/>
      <name val="Calibri"/>
      <family val="2"/>
      <scheme val="minor"/>
    </font>
    <font>
      <b/>
      <sz val="11"/>
      <color indexed="8"/>
      <name val="Calibri"/>
      <family val="2"/>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8" tint="0.59999389629810485"/>
        <bgColor indexed="64"/>
      </patternFill>
    </fill>
  </fills>
  <borders count="2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7">
    <xf numFmtId="0" fontId="0" fillId="0" borderId="0" xfId="0"/>
    <xf numFmtId="0" fontId="3" fillId="0" borderId="0" xfId="0" applyFont="1" applyAlignment="1"/>
    <xf numFmtId="0" fontId="0" fillId="0" borderId="0" xfId="0" applyBorder="1"/>
    <xf numFmtId="0" fontId="0" fillId="0" borderId="0" xfId="0" applyBorder="1" applyAlignment="1">
      <alignment horizontal="center"/>
    </xf>
    <xf numFmtId="0" fontId="0" fillId="0" borderId="1" xfId="0" applyBorder="1"/>
    <xf numFmtId="0" fontId="0" fillId="0" borderId="2" xfId="0" applyBorder="1"/>
    <xf numFmtId="164" fontId="0" fillId="0" borderId="2" xfId="0" applyNumberFormat="1" applyBorder="1"/>
    <xf numFmtId="0" fontId="0" fillId="2" borderId="3" xfId="0" applyFill="1" applyBorder="1"/>
    <xf numFmtId="0" fontId="0" fillId="0" borderId="0" xfId="0" applyBorder="1" applyAlignment="1" applyProtection="1">
      <alignment horizontal="center"/>
      <protection locked="0"/>
    </xf>
    <xf numFmtId="1" fontId="0" fillId="0" borderId="0" xfId="0" applyNumberFormat="1" applyBorder="1" applyAlignment="1">
      <alignment horizontal="center"/>
    </xf>
    <xf numFmtId="164" fontId="0" fillId="0" borderId="0" xfId="0" applyNumberFormat="1" applyBorder="1" applyAlignment="1">
      <alignment horizontal="center"/>
    </xf>
    <xf numFmtId="165" fontId="0" fillId="0" borderId="0" xfId="0" applyNumberFormat="1" applyBorder="1" applyAlignment="1">
      <alignment horizontal="center"/>
    </xf>
    <xf numFmtId="164" fontId="0" fillId="0" borderId="0" xfId="0" applyNumberFormat="1" applyBorder="1" applyProtection="1">
      <protection locked="0"/>
    </xf>
    <xf numFmtId="0" fontId="0" fillId="0" borderId="0" xfId="0" applyBorder="1" applyAlignment="1">
      <alignment horizontal="right"/>
    </xf>
    <xf numFmtId="0" fontId="0" fillId="0" borderId="0" xfId="0" applyFill="1" applyBorder="1" applyAlignment="1">
      <alignment horizontal="right"/>
    </xf>
    <xf numFmtId="164" fontId="0" fillId="0" borderId="0" xfId="0" applyNumberFormat="1" applyBorder="1" applyProtection="1"/>
    <xf numFmtId="0" fontId="2" fillId="0" borderId="1" xfId="0" applyFont="1" applyBorder="1"/>
    <xf numFmtId="0" fontId="2" fillId="3" borderId="5" xfId="0" applyFont="1" applyFill="1" applyBorder="1" applyAlignment="1" applyProtection="1">
      <alignment horizontal="center"/>
      <protection locked="0"/>
    </xf>
    <xf numFmtId="0" fontId="0" fillId="0" borderId="0" xfId="0" applyBorder="1" applyAlignment="1" applyProtection="1">
      <alignment horizontal="center"/>
    </xf>
    <xf numFmtId="0" fontId="2" fillId="2" borderId="3" xfId="0" applyFont="1" applyFill="1" applyBorder="1"/>
    <xf numFmtId="0" fontId="2" fillId="2" borderId="4" xfId="0" applyFont="1" applyFill="1" applyBorder="1"/>
    <xf numFmtId="164" fontId="2" fillId="2" borderId="6" xfId="0" applyNumberFormat="1" applyFont="1" applyFill="1" applyBorder="1"/>
    <xf numFmtId="0" fontId="2" fillId="0" borderId="0" xfId="0" applyFont="1"/>
    <xf numFmtId="0" fontId="0" fillId="0" borderId="0" xfId="0" applyFill="1" applyAlignment="1">
      <alignment horizontal="center" vertical="top"/>
    </xf>
    <xf numFmtId="0" fontId="0" fillId="0" borderId="0" xfId="0" applyNumberFormat="1" applyAlignment="1">
      <alignment horizontal="center" wrapText="1"/>
    </xf>
    <xf numFmtId="164" fontId="0" fillId="0" borderId="0" xfId="0" applyNumberFormat="1" applyBorder="1"/>
    <xf numFmtId="164" fontId="2" fillId="2" borderId="4" xfId="0" applyNumberFormat="1" applyFont="1" applyFill="1" applyBorder="1"/>
    <xf numFmtId="0" fontId="2" fillId="0" borderId="0" xfId="0" applyFont="1" applyBorder="1"/>
    <xf numFmtId="0" fontId="0" fillId="0" borderId="0" xfId="0" applyFill="1" applyBorder="1"/>
    <xf numFmtId="164" fontId="0" fillId="0" borderId="0" xfId="0" applyNumberFormat="1" applyFill="1" applyBorder="1" applyProtection="1">
      <protection locked="0"/>
    </xf>
    <xf numFmtId="164" fontId="0" fillId="0" borderId="0" xfId="0" applyNumberFormat="1" applyFill="1" applyBorder="1" applyProtection="1"/>
    <xf numFmtId="164" fontId="0" fillId="0" borderId="0" xfId="0" applyNumberFormat="1" applyFill="1" applyBorder="1"/>
    <xf numFmtId="164" fontId="2" fillId="0" borderId="0" xfId="0" applyNumberFormat="1" applyFont="1" applyFill="1" applyBorder="1"/>
    <xf numFmtId="0" fontId="0" fillId="2" borderId="4" xfId="0" applyFill="1" applyBorder="1"/>
    <xf numFmtId="0" fontId="0" fillId="0" borderId="17" xfId="0" applyBorder="1" applyAlignment="1">
      <alignment horizontal="left" wrapText="1"/>
    </xf>
    <xf numFmtId="0" fontId="0" fillId="0" borderId="0" xfId="0" applyBorder="1" applyAlignment="1">
      <alignment horizontal="left" wrapText="1"/>
    </xf>
    <xf numFmtId="0" fontId="0" fillId="0" borderId="18" xfId="0" applyBorder="1" applyAlignment="1">
      <alignment horizontal="left" wrapText="1"/>
    </xf>
    <xf numFmtId="0" fontId="3" fillId="0" borderId="0" xfId="0" applyFont="1" applyFill="1" applyBorder="1" applyAlignment="1">
      <alignment horizontal="center"/>
    </xf>
    <xf numFmtId="0" fontId="3" fillId="4" borderId="10" xfId="0" applyFont="1" applyFill="1" applyBorder="1" applyAlignment="1">
      <alignment horizontal="center"/>
    </xf>
    <xf numFmtId="0" fontId="3" fillId="4" borderId="11" xfId="0" applyFont="1" applyFill="1" applyBorder="1" applyAlignment="1">
      <alignment horizontal="center"/>
    </xf>
    <xf numFmtId="0" fontId="3" fillId="4" borderId="12" xfId="0" applyFont="1" applyFill="1" applyBorder="1" applyAlignment="1">
      <alignment horizontal="center"/>
    </xf>
    <xf numFmtId="0" fontId="0" fillId="4" borderId="7" xfId="0" applyNumberFormat="1" applyFill="1" applyBorder="1" applyAlignment="1">
      <alignment horizontal="left" wrapText="1"/>
    </xf>
    <xf numFmtId="0" fontId="0" fillId="4" borderId="8" xfId="0" applyNumberFormat="1" applyFill="1" applyBorder="1" applyAlignment="1">
      <alignment horizontal="left" wrapText="1"/>
    </xf>
    <xf numFmtId="0" fontId="0" fillId="4" borderId="9" xfId="0" applyNumberFormat="1" applyFill="1" applyBorder="1" applyAlignment="1">
      <alignment horizontal="left" wrapText="1"/>
    </xf>
    <xf numFmtId="0" fontId="0" fillId="4" borderId="1" xfId="0" applyNumberFormat="1" applyFill="1" applyBorder="1" applyAlignment="1">
      <alignment horizontal="left" wrapText="1"/>
    </xf>
    <xf numFmtId="0" fontId="0" fillId="4" borderId="0" xfId="0" applyNumberFormat="1" applyFill="1" applyBorder="1" applyAlignment="1">
      <alignment horizontal="left" wrapText="1"/>
    </xf>
    <xf numFmtId="0" fontId="0" fillId="4" borderId="2" xfId="0" applyNumberFormat="1" applyFill="1" applyBorder="1" applyAlignment="1">
      <alignment horizontal="left" wrapText="1"/>
    </xf>
    <xf numFmtId="0" fontId="0" fillId="4" borderId="3" xfId="0" applyNumberFormat="1" applyFill="1" applyBorder="1" applyAlignment="1">
      <alignment horizontal="left" wrapText="1"/>
    </xf>
    <xf numFmtId="0" fontId="0" fillId="4" borderId="4" xfId="0" applyNumberFormat="1" applyFill="1" applyBorder="1" applyAlignment="1">
      <alignment horizontal="left" wrapText="1"/>
    </xf>
    <xf numFmtId="0" fontId="0" fillId="4" borderId="6" xfId="0" applyNumberFormat="1" applyFill="1" applyBorder="1" applyAlignment="1">
      <alignment horizontal="left" wrapText="1"/>
    </xf>
    <xf numFmtId="0" fontId="0" fillId="0" borderId="14"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0" fillId="0" borderId="0" xfId="0" applyBorder="1" applyAlignment="1">
      <alignment horizontal="left"/>
    </xf>
    <xf numFmtId="0" fontId="0" fillId="0" borderId="19" xfId="0" applyBorder="1" applyAlignment="1">
      <alignment horizontal="left" wrapText="1"/>
    </xf>
    <xf numFmtId="0" fontId="0" fillId="0" borderId="13" xfId="0" applyBorder="1" applyAlignment="1">
      <alignment horizontal="left" wrapText="1"/>
    </xf>
    <xf numFmtId="0" fontId="0" fillId="0" borderId="20"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tabSelected="1" workbookViewId="0">
      <selection activeCell="H33" sqref="H33"/>
    </sheetView>
  </sheetViews>
  <sheetFormatPr defaultRowHeight="15" x14ac:dyDescent="0.25"/>
  <cols>
    <col min="1" max="1" width="8" customWidth="1"/>
    <col min="2" max="2" width="29.28515625" bestFit="1" customWidth="1"/>
    <col min="4" max="4" width="15.140625" customWidth="1"/>
    <col min="5" max="5" width="18.28515625" customWidth="1"/>
    <col min="6" max="6" width="23.28515625" customWidth="1"/>
    <col min="7" max="7" width="13.85546875" bestFit="1" customWidth="1"/>
  </cols>
  <sheetData>
    <row r="1" spans="1:8" ht="21.75" thickBot="1" x14ac:dyDescent="0.4">
      <c r="G1" s="1"/>
      <c r="H1" s="1"/>
    </row>
    <row r="2" spans="1:8" ht="21.75" thickBot="1" x14ac:dyDescent="0.4">
      <c r="B2" s="38" t="s">
        <v>5</v>
      </c>
      <c r="C2" s="39"/>
      <c r="D2" s="39"/>
      <c r="E2" s="39"/>
      <c r="F2" s="39"/>
      <c r="G2" s="40"/>
    </row>
    <row r="3" spans="1:8" x14ac:dyDescent="0.25">
      <c r="B3" s="4"/>
      <c r="C3" s="2"/>
      <c r="D3" s="2"/>
      <c r="E3" s="2"/>
      <c r="F3" s="2"/>
      <c r="G3" s="5"/>
    </row>
    <row r="4" spans="1:8" x14ac:dyDescent="0.25">
      <c r="B4" s="16" t="s">
        <v>0</v>
      </c>
      <c r="C4" s="17">
        <v>200</v>
      </c>
      <c r="D4" s="8"/>
      <c r="F4" s="2"/>
      <c r="G4" s="5"/>
    </row>
    <row r="5" spans="1:8" x14ac:dyDescent="0.25">
      <c r="B5" s="4" t="s">
        <v>4</v>
      </c>
      <c r="C5" s="18">
        <v>21</v>
      </c>
      <c r="D5" s="8"/>
      <c r="E5" s="27" t="s">
        <v>24</v>
      </c>
      <c r="F5" s="2"/>
      <c r="G5" s="5"/>
    </row>
    <row r="6" spans="1:8" x14ac:dyDescent="0.25">
      <c r="B6" s="4"/>
      <c r="C6" s="3"/>
      <c r="D6" s="3"/>
      <c r="E6" s="53" t="s">
        <v>17</v>
      </c>
      <c r="F6" s="53"/>
      <c r="G6" s="5"/>
    </row>
    <row r="7" spans="1:8" x14ac:dyDescent="0.25">
      <c r="B7" s="4" t="s">
        <v>1</v>
      </c>
      <c r="C7" s="9">
        <f>ROUNDUP(0.24*C4,0)</f>
        <v>48</v>
      </c>
      <c r="D7" s="9"/>
      <c r="E7" s="13" t="s">
        <v>13</v>
      </c>
      <c r="F7" s="10">
        <v>2.72</v>
      </c>
      <c r="G7" s="6">
        <f>C7*F7</f>
        <v>130.56</v>
      </c>
    </row>
    <row r="8" spans="1:8" x14ac:dyDescent="0.25">
      <c r="B8" s="4" t="s">
        <v>2</v>
      </c>
      <c r="C8" s="9">
        <f>ROUNDUP(0.16*C4,0)</f>
        <v>32</v>
      </c>
      <c r="D8" s="9"/>
      <c r="E8" s="13" t="s">
        <v>14</v>
      </c>
      <c r="F8" s="10">
        <v>2.3199999999999998</v>
      </c>
      <c r="G8" s="6">
        <f>C8*F8</f>
        <v>74.239999999999995</v>
      </c>
    </row>
    <row r="9" spans="1:8" x14ac:dyDescent="0.25">
      <c r="B9" s="4" t="s">
        <v>3</v>
      </c>
      <c r="C9" s="9">
        <f>ROUNDUP(0.6*C4,0)</f>
        <v>120</v>
      </c>
      <c r="D9" s="9"/>
      <c r="E9" s="14" t="s">
        <v>15</v>
      </c>
      <c r="F9" s="10">
        <v>0.26</v>
      </c>
      <c r="G9" s="6">
        <f>C9*F9</f>
        <v>31.200000000000003</v>
      </c>
    </row>
    <row r="10" spans="1:8" x14ac:dyDescent="0.25">
      <c r="B10" s="4"/>
      <c r="C10" s="3"/>
      <c r="D10" s="3"/>
      <c r="E10" s="2"/>
      <c r="F10" s="2"/>
      <c r="G10" s="5"/>
    </row>
    <row r="11" spans="1:8" x14ac:dyDescent="0.25">
      <c r="B11" s="4"/>
      <c r="C11" s="3"/>
      <c r="D11" s="3"/>
      <c r="E11" s="2"/>
      <c r="F11" s="13" t="s">
        <v>21</v>
      </c>
      <c r="G11" s="6">
        <f>SUM(G7:G9)</f>
        <v>236</v>
      </c>
    </row>
    <row r="12" spans="1:8" x14ac:dyDescent="0.25">
      <c r="A12" s="2"/>
      <c r="B12" s="4"/>
      <c r="C12" s="2"/>
      <c r="D12" s="3"/>
      <c r="E12" s="2"/>
      <c r="F12" s="13"/>
      <c r="G12" s="5"/>
    </row>
    <row r="13" spans="1:8" x14ac:dyDescent="0.25">
      <c r="B13" s="4"/>
      <c r="C13" s="3"/>
      <c r="D13" s="3"/>
      <c r="E13" s="2"/>
      <c r="F13" s="13" t="s">
        <v>22</v>
      </c>
      <c r="G13" s="6">
        <f>G11*C5</f>
        <v>4956</v>
      </c>
    </row>
    <row r="14" spans="1:8" x14ac:dyDescent="0.25">
      <c r="B14" s="4"/>
      <c r="C14" s="3"/>
      <c r="D14" s="3"/>
      <c r="E14" s="2"/>
      <c r="F14" s="2"/>
      <c r="G14" s="5"/>
    </row>
    <row r="15" spans="1:8" x14ac:dyDescent="0.25">
      <c r="B15" s="4"/>
      <c r="C15" s="2"/>
      <c r="D15" s="11"/>
      <c r="E15" s="3" t="s">
        <v>16</v>
      </c>
      <c r="F15" s="11">
        <v>0.17</v>
      </c>
      <c r="G15" s="6">
        <f>F15*C4*C5</f>
        <v>714</v>
      </c>
    </row>
    <row r="16" spans="1:8" x14ac:dyDescent="0.25">
      <c r="B16" s="4"/>
      <c r="C16" s="2"/>
      <c r="D16" s="11"/>
      <c r="E16" s="3" t="s">
        <v>25</v>
      </c>
      <c r="F16" s="11">
        <v>0.20250000000000001</v>
      </c>
      <c r="G16" s="6">
        <f>C4*F16*C5</f>
        <v>850.5</v>
      </c>
    </row>
    <row r="17" spans="2:8" x14ac:dyDescent="0.25">
      <c r="B17" s="4"/>
      <c r="C17" s="2"/>
      <c r="D17" s="2"/>
      <c r="E17" s="2"/>
      <c r="F17" s="2"/>
      <c r="G17" s="5"/>
    </row>
    <row r="18" spans="2:8" s="22" customFormat="1" ht="15.75" thickBot="1" x14ac:dyDescent="0.3">
      <c r="B18" s="19" t="s">
        <v>23</v>
      </c>
      <c r="C18" s="20"/>
      <c r="D18" s="20"/>
      <c r="E18" s="20"/>
      <c r="F18" s="20"/>
      <c r="G18" s="21">
        <f>SUM(G15:G16,G13)</f>
        <v>6520.5</v>
      </c>
    </row>
    <row r="19" spans="2:8" ht="15.75" thickBot="1" x14ac:dyDescent="0.3"/>
    <row r="20" spans="2:8" ht="20.25" customHeight="1" thickBot="1" x14ac:dyDescent="0.4">
      <c r="B20" s="38" t="s">
        <v>19</v>
      </c>
      <c r="C20" s="39"/>
      <c r="D20" s="40"/>
      <c r="E20" s="41" t="s">
        <v>20</v>
      </c>
      <c r="F20" s="42"/>
      <c r="G20" s="43"/>
      <c r="H20" s="23"/>
    </row>
    <row r="21" spans="2:8" x14ac:dyDescent="0.25">
      <c r="B21" s="4" t="s">
        <v>6</v>
      </c>
      <c r="C21" s="2"/>
      <c r="D21" s="2"/>
      <c r="E21" s="44"/>
      <c r="F21" s="45"/>
      <c r="G21" s="46"/>
      <c r="H21" s="23"/>
    </row>
    <row r="22" spans="2:8" x14ac:dyDescent="0.25">
      <c r="B22" s="4" t="s">
        <v>11</v>
      </c>
      <c r="C22" s="12">
        <v>2</v>
      </c>
      <c r="D22" s="25">
        <f>C22*C9*C5</f>
        <v>5040</v>
      </c>
      <c r="E22" s="44"/>
      <c r="F22" s="45"/>
      <c r="G22" s="46"/>
      <c r="H22" s="23"/>
    </row>
    <row r="23" spans="2:8" x14ac:dyDescent="0.25">
      <c r="B23" s="4" t="s">
        <v>12</v>
      </c>
      <c r="C23" s="15">
        <v>0.4</v>
      </c>
      <c r="D23" s="25">
        <f>C23*C5*C8</f>
        <v>268.8</v>
      </c>
      <c r="E23" s="44"/>
      <c r="F23" s="45"/>
      <c r="G23" s="46"/>
      <c r="H23" s="23"/>
    </row>
    <row r="24" spans="2:8" x14ac:dyDescent="0.25">
      <c r="B24" s="4"/>
      <c r="C24" s="2"/>
      <c r="D24" s="2"/>
      <c r="E24" s="44"/>
      <c r="F24" s="45"/>
      <c r="G24" s="46"/>
      <c r="H24" s="23"/>
    </row>
    <row r="25" spans="2:8" x14ac:dyDescent="0.25">
      <c r="B25" s="4" t="s">
        <v>7</v>
      </c>
      <c r="C25" s="2"/>
      <c r="D25" s="25">
        <f>G13</f>
        <v>4956</v>
      </c>
      <c r="E25" s="44"/>
      <c r="F25" s="45"/>
      <c r="G25" s="46"/>
      <c r="H25" s="23"/>
    </row>
    <row r="26" spans="2:8" x14ac:dyDescent="0.25">
      <c r="B26" s="4" t="s">
        <v>8</v>
      </c>
      <c r="C26" s="2"/>
      <c r="D26" s="25">
        <f>G15</f>
        <v>714</v>
      </c>
      <c r="E26" s="44"/>
      <c r="F26" s="45"/>
      <c r="G26" s="46"/>
      <c r="H26" s="23"/>
    </row>
    <row r="27" spans="2:8" x14ac:dyDescent="0.25">
      <c r="B27" s="4" t="s">
        <v>9</v>
      </c>
      <c r="C27" s="2"/>
      <c r="D27" s="25">
        <f>G16</f>
        <v>850.5</v>
      </c>
      <c r="E27" s="44"/>
      <c r="F27" s="45"/>
      <c r="G27" s="46"/>
      <c r="H27" s="23"/>
    </row>
    <row r="28" spans="2:8" ht="15.75" thickBot="1" x14ac:dyDescent="0.3">
      <c r="B28" s="7" t="s">
        <v>10</v>
      </c>
      <c r="C28" s="33"/>
      <c r="D28" s="26">
        <f>SUM(D25:D27,D23,D22)</f>
        <v>11829.3</v>
      </c>
      <c r="E28" s="47"/>
      <c r="F28" s="48"/>
      <c r="G28" s="49"/>
      <c r="H28" s="23"/>
    </row>
    <row r="29" spans="2:8" x14ac:dyDescent="0.25">
      <c r="F29" s="24"/>
      <c r="G29" s="24"/>
      <c r="H29" s="23"/>
    </row>
    <row r="30" spans="2:8" ht="18" customHeight="1" x14ac:dyDescent="0.25">
      <c r="B30" s="50" t="s">
        <v>26</v>
      </c>
      <c r="C30" s="51"/>
      <c r="D30" s="51"/>
      <c r="E30" s="51"/>
      <c r="F30" s="51"/>
      <c r="G30" s="52"/>
    </row>
    <row r="31" spans="2:8" x14ac:dyDescent="0.25">
      <c r="B31" s="34" t="s">
        <v>18</v>
      </c>
      <c r="C31" s="35"/>
      <c r="D31" s="35"/>
      <c r="E31" s="35"/>
      <c r="F31" s="35"/>
      <c r="G31" s="36"/>
    </row>
    <row r="32" spans="2:8" x14ac:dyDescent="0.25">
      <c r="B32" s="34" t="s">
        <v>28</v>
      </c>
      <c r="C32" s="35"/>
      <c r="D32" s="35"/>
      <c r="E32" s="35"/>
      <c r="F32" s="35"/>
      <c r="G32" s="36"/>
    </row>
    <row r="33" spans="2:7" ht="28.5" customHeight="1" x14ac:dyDescent="0.25">
      <c r="B33" s="54" t="s">
        <v>27</v>
      </c>
      <c r="C33" s="55"/>
      <c r="D33" s="55"/>
      <c r="E33" s="55"/>
      <c r="F33" s="55"/>
      <c r="G33" s="56"/>
    </row>
    <row r="35" spans="2:7" x14ac:dyDescent="0.25">
      <c r="F35" s="2"/>
    </row>
    <row r="36" spans="2:7" ht="21" x14ac:dyDescent="0.35">
      <c r="B36" s="37"/>
      <c r="C36" s="37"/>
      <c r="D36" s="37"/>
      <c r="E36" s="28"/>
    </row>
    <row r="37" spans="2:7" x14ac:dyDescent="0.25">
      <c r="B37" s="28"/>
      <c r="C37" s="28"/>
      <c r="D37" s="28"/>
      <c r="E37" s="28"/>
    </row>
    <row r="38" spans="2:7" x14ac:dyDescent="0.25">
      <c r="B38" s="28"/>
      <c r="C38" s="29"/>
      <c r="D38" s="31"/>
      <c r="E38" s="28"/>
    </row>
    <row r="39" spans="2:7" x14ac:dyDescent="0.25">
      <c r="B39" s="28"/>
      <c r="C39" s="30"/>
      <c r="D39" s="31"/>
      <c r="E39" s="28"/>
    </row>
    <row r="40" spans="2:7" x14ac:dyDescent="0.25">
      <c r="B40" s="28"/>
      <c r="C40" s="28"/>
      <c r="D40" s="28"/>
      <c r="E40" s="28"/>
    </row>
    <row r="41" spans="2:7" x14ac:dyDescent="0.25">
      <c r="B41" s="28"/>
      <c r="C41" s="28"/>
      <c r="D41" s="31"/>
      <c r="E41" s="28"/>
    </row>
    <row r="42" spans="2:7" x14ac:dyDescent="0.25">
      <c r="B42" s="28"/>
      <c r="C42" s="28"/>
      <c r="D42" s="31"/>
      <c r="E42" s="28"/>
    </row>
    <row r="43" spans="2:7" x14ac:dyDescent="0.25">
      <c r="B43" s="28"/>
      <c r="C43" s="28"/>
      <c r="D43" s="31"/>
      <c r="E43" s="28"/>
    </row>
    <row r="44" spans="2:7" x14ac:dyDescent="0.25">
      <c r="B44" s="28"/>
      <c r="C44" s="28"/>
      <c r="D44" s="32"/>
      <c r="E44" s="28"/>
    </row>
  </sheetData>
  <sheetProtection selectLockedCells="1"/>
  <mergeCells count="9">
    <mergeCell ref="B32:G32"/>
    <mergeCell ref="B36:D36"/>
    <mergeCell ref="B2:G2"/>
    <mergeCell ref="B20:D20"/>
    <mergeCell ref="E20:G28"/>
    <mergeCell ref="B30:G30"/>
    <mergeCell ref="B31:G31"/>
    <mergeCell ref="E6:F6"/>
    <mergeCell ref="B33:G33"/>
  </mergeCells>
  <pageMargins left="0.7" right="0.7" top="0.75" bottom="0.75" header="0.3" footer="0.3"/>
  <pageSetup scale="9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USOE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DAdams</dc:creator>
  <cp:lastModifiedBy>EChecketts</cp:lastModifiedBy>
  <cp:lastPrinted>2008-10-21T21:10:28Z</cp:lastPrinted>
  <dcterms:created xsi:type="dcterms:W3CDTF">2008-09-04T14:34:40Z</dcterms:created>
  <dcterms:modified xsi:type="dcterms:W3CDTF">2011-03-31T17:54:22Z</dcterms:modified>
</cp:coreProperties>
</file>