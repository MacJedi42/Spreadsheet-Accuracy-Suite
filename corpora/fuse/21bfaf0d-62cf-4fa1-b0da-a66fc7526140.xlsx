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90" yWindow="1680" windowWidth="20610" windowHeight="7875" activeTab="1"/>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NoMetricMessage">'Overall Metrics'!$X$3</definedName>
    <definedName name="NotAvailable">'Overall Metrics'!$X$2</definedName>
    <definedName name="ValidBooleansDefaultFalse">Misc!$F$2:$F$5</definedName>
    <definedName name="ValidEdgeStyles">Misc!$B$2:$B$11</definedName>
    <definedName name="ValidEdgeVisibilities">Misc!$A$2:$A$7</definedName>
    <definedName name="ValidGroupShapes">Misc!$E$2:$E$19</definedName>
    <definedName name="ValidVertexLabelPositions">Misc!$G$2:$G$21</definedName>
    <definedName name="ValidVertexShapes">Misc!$D$2:$D$23</definedName>
    <definedName name="ValidVertexVisibilities">Misc!$C$2:$C$9</definedName>
  </definedNames>
  <calcPr calcId="145621"/>
</workbook>
</file>

<file path=xl/calcChain.xml><?xml version="1.0" encoding="utf-8"?>
<calcChain xmlns="http://schemas.openxmlformats.org/spreadsheetml/2006/main">
  <c r="D111" i="1" l="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39" i="1"/>
  <c r="D38" i="1"/>
  <c r="D37" i="1"/>
  <c r="D36" i="1"/>
  <c r="D35" i="1"/>
  <c r="D34" i="1"/>
  <c r="D33" i="1"/>
  <c r="D32" i="1"/>
  <c r="D66" i="1"/>
  <c r="D65" i="1"/>
  <c r="D64" i="1"/>
  <c r="D63" i="1"/>
  <c r="D62" i="1"/>
  <c r="D61" i="1"/>
  <c r="D60" i="1"/>
  <c r="D59" i="1"/>
  <c r="D58" i="1"/>
  <c r="D57" i="1"/>
  <c r="D56" i="1"/>
  <c r="D55" i="1"/>
  <c r="D54" i="1"/>
  <c r="D53" i="1"/>
  <c r="D52" i="1"/>
  <c r="D51" i="1"/>
  <c r="D50" i="1"/>
  <c r="D49" i="1"/>
  <c r="D48" i="1"/>
  <c r="D47" i="1"/>
  <c r="D46" i="1"/>
  <c r="D45" i="1"/>
  <c r="D44" i="1"/>
  <c r="D43" i="1"/>
  <c r="D42" i="1"/>
  <c r="D41" i="1"/>
  <c r="D40"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B124" i="7" l="1"/>
  <c r="B123" i="7"/>
  <c r="B126" i="7"/>
  <c r="B125" i="7"/>
  <c r="P45" i="7"/>
  <c r="Q45" i="7" s="1"/>
  <c r="P2" i="7"/>
  <c r="B138" i="7"/>
  <c r="B137" i="7"/>
  <c r="B140" i="7"/>
  <c r="B139" i="7"/>
  <c r="R45" i="7"/>
  <c r="S45" i="7" s="1"/>
  <c r="R2" i="7"/>
  <c r="B110" i="7"/>
  <c r="B109" i="7"/>
  <c r="B112" i="7"/>
  <c r="B111" i="7"/>
  <c r="N45" i="7"/>
  <c r="O45" i="7" s="1"/>
  <c r="N2" i="7"/>
  <c r="B96" i="7"/>
  <c r="B95" i="7"/>
  <c r="B82" i="7"/>
  <c r="B81" i="7"/>
  <c r="B98" i="7"/>
  <c r="B97" i="7"/>
  <c r="L45" i="7"/>
  <c r="M45" i="7" s="1"/>
  <c r="L2" i="7"/>
  <c r="B68" i="7"/>
  <c r="B67" i="7"/>
  <c r="B54" i="7"/>
  <c r="B53" i="7"/>
  <c r="B84" i="7"/>
  <c r="B83" i="7"/>
  <c r="J45" i="7"/>
  <c r="K45" i="7" s="1"/>
  <c r="J2" i="7"/>
  <c r="B70" i="7"/>
  <c r="B69" i="7"/>
  <c r="H45" i="7"/>
  <c r="I45" i="7" s="1"/>
  <c r="H2" i="7"/>
  <c r="B56" i="7"/>
  <c r="B55" i="7"/>
  <c r="F45" i="7"/>
  <c r="G45" i="7" s="1"/>
  <c r="F2" i="7"/>
  <c r="B40" i="7"/>
  <c r="B39" i="7"/>
  <c r="B42" i="7"/>
  <c r="B41" i="7"/>
  <c r="T2" i="7"/>
  <c r="T45" i="7"/>
  <c r="X2" i="7" l="1"/>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U45" i="7"/>
  <c r="Q3" i="7" l="1"/>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family val="2"/>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This and other graph metrics can be computed with the Graph Metrics button in the Analysis group in the NodeXL Ribbon tab</t>
        </r>
        <r>
          <rPr>
            <sz val="9"/>
            <color indexed="81"/>
            <rFont val="Tahoma"/>
            <family val="2"/>
          </rPr>
          <t>.</t>
        </r>
        <r>
          <rPr>
            <sz val="9"/>
            <color indexed="81"/>
            <rFont val="Tahoma"/>
            <family val="2"/>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This and other graph metrics can be computed with the Graph Metrics button in the Analysis group in the NodeXL Ribbon tab.
</t>
        </r>
      </text>
    </comment>
    <comment ref="S2" authorId="0">
      <text>
        <r>
          <rPr>
            <b/>
            <sz val="8"/>
            <color indexed="81"/>
            <rFont val="Tahoma"/>
            <family val="2"/>
          </rPr>
          <t xml:space="preserve">Vertex In-Degree
</t>
        </r>
        <r>
          <rPr>
            <sz val="8"/>
            <color indexed="81"/>
            <rFont val="Tahoma"/>
            <family val="2"/>
          </rPr>
          <t xml:space="preserve">This and other graph metrics can be computed with the Graph Metrics button in the Analysis group in the NodeXL Ribbon tab.
</t>
        </r>
      </text>
    </comment>
    <comment ref="T2" authorId="0">
      <text>
        <r>
          <rPr>
            <b/>
            <sz val="8"/>
            <color indexed="81"/>
            <rFont val="Tahoma"/>
            <family val="2"/>
          </rPr>
          <t xml:space="preserve">Vertex Out-Degree
</t>
        </r>
        <r>
          <rPr>
            <sz val="8"/>
            <color indexed="81"/>
            <rFont val="Tahoma"/>
            <family val="2"/>
          </rPr>
          <t xml:space="preserve">This and other graph metrics can be computed with the Graph Metrics button in the Analysis group in the NodeXL Ribbon tab.
</t>
        </r>
      </text>
    </comment>
    <comment ref="U2" authorId="0">
      <text>
        <r>
          <rPr>
            <b/>
            <sz val="8"/>
            <color indexed="81"/>
            <rFont val="Tahoma"/>
            <family val="2"/>
          </rPr>
          <t xml:space="preserve">Vertex Betweenness Centrality
</t>
        </r>
        <r>
          <rPr>
            <sz val="8"/>
            <color indexed="81"/>
            <rFont val="Tahoma"/>
            <family val="2"/>
          </rPr>
          <t xml:space="preserve">This and other graph metrics can be computed with the Graph Metrics button in the Analysis group in the NodeXL Ribbon tab.
</t>
        </r>
      </text>
    </comment>
    <comment ref="V2" authorId="0">
      <text>
        <r>
          <rPr>
            <b/>
            <sz val="8"/>
            <color indexed="81"/>
            <rFont val="Tahoma"/>
            <family val="2"/>
          </rPr>
          <t xml:space="preserve">Vertex Closeness Centrality
</t>
        </r>
        <r>
          <rPr>
            <sz val="8"/>
            <color indexed="81"/>
            <rFont val="Tahoma"/>
            <family val="2"/>
          </rPr>
          <t xml:space="preserve">This and other graph metrics can be computed with the Graph Metrics button in the Analysis group in the NodeXL Ribbon tab.
</t>
        </r>
      </text>
    </comment>
    <comment ref="W2" authorId="0">
      <text>
        <r>
          <rPr>
            <b/>
            <sz val="8"/>
            <color indexed="81"/>
            <rFont val="Tahoma"/>
            <family val="2"/>
          </rPr>
          <t xml:space="preserve">Vertex Eigenvector Centrality
</t>
        </r>
        <r>
          <rPr>
            <sz val="8"/>
            <color indexed="81"/>
            <rFont val="Tahoma"/>
            <family val="2"/>
          </rPr>
          <t xml:space="preserve">This and other graph metrics can be computed with the Graph Metrics button in the Analysis group in the NodeXL Ribbon tab.
</t>
        </r>
      </text>
    </comment>
    <comment ref="X2" authorId="2">
      <text>
        <r>
          <rPr>
            <b/>
            <sz val="8"/>
            <color indexed="81"/>
            <rFont val="Tahoma"/>
            <family val="2"/>
          </rPr>
          <t xml:space="preserve">Vertex PageRank
</t>
        </r>
        <r>
          <rPr>
            <sz val="8"/>
            <color indexed="81"/>
            <rFont val="Tahoma"/>
            <family val="2"/>
          </rPr>
          <t>This and other graph metrics can be computed with the Graph Metrics button in the Analysis group in the NodeXL Ribbon tab.</t>
        </r>
      </text>
    </comment>
    <comment ref="Y2" authorId="0">
      <text>
        <r>
          <rPr>
            <b/>
            <sz val="8"/>
            <color indexed="81"/>
            <rFont val="Tahoma"/>
            <family val="2"/>
          </rPr>
          <t xml:space="preserve">Vertex Clustering Coefficient
</t>
        </r>
        <r>
          <rPr>
            <sz val="8"/>
            <color indexed="81"/>
            <rFont val="Tahoma"/>
            <family val="2"/>
          </rPr>
          <t xml:space="preserve">This and other graph metrics can be computed with the Graph Metrics button in the Analysis group in the NodeXL Ribbon tab.
</t>
        </r>
      </text>
    </comment>
    <comment ref="Z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B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 xml:space="preserve">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E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family val="2"/>
          </rPr>
          <t xml:space="preserve">
</t>
        </r>
      </text>
    </comment>
    <comment ref="H2" authorId="1">
      <text>
        <r>
          <rPr>
            <b/>
            <sz val="8"/>
            <color indexed="81"/>
            <rFont val="Tahoma"/>
            <family val="2"/>
          </rPr>
          <t xml:space="preserve">Group Vertices
</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I2" authorId="1">
      <text>
        <r>
          <rPr>
            <b/>
            <sz val="8"/>
            <color indexed="81"/>
            <rFont val="Tahoma"/>
            <family val="2"/>
          </rPr>
          <t>Group Unique Edges</t>
        </r>
        <r>
          <rPr>
            <sz val="8"/>
            <color indexed="81"/>
            <rFont val="Tahoma"/>
            <family val="2"/>
          </rPr>
          <t xml:space="preserve">
This and other graph metrics can be computed with the Graph Metrics button in the Analysis group in the NodeXL Ribbon tab.</t>
        </r>
      </text>
    </comment>
    <comment ref="J2" authorId="1">
      <text>
        <r>
          <rPr>
            <b/>
            <sz val="8"/>
            <color indexed="81"/>
            <rFont val="Tahoma"/>
            <family val="2"/>
          </rPr>
          <t>Group Edges With Duplicates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K2" authorId="1">
      <text>
        <r>
          <rPr>
            <b/>
            <sz val="8"/>
            <color indexed="81"/>
            <rFont val="Tahoma"/>
            <family val="2"/>
          </rPr>
          <t>Group Total Edges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L2" authorId="1">
      <text>
        <r>
          <rPr>
            <b/>
            <sz val="8"/>
            <color indexed="81"/>
            <rFont val="Tahoma"/>
            <family val="2"/>
          </rPr>
          <t>Group Self-Loops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M2" authorId="1">
      <text>
        <r>
          <rPr>
            <b/>
            <sz val="8"/>
            <color indexed="81"/>
            <rFont val="Tahoma"/>
            <family val="2"/>
          </rPr>
          <t>Group Connected Components</t>
        </r>
        <r>
          <rPr>
            <sz val="8"/>
            <color indexed="81"/>
            <rFont val="Tahoma"/>
            <family val="2"/>
          </rPr>
          <t xml:space="preserve">
This and other graph metrics can be computed with the Graph Metrics button in the Analysis group in the NodeXL Ribbon tab.</t>
        </r>
        <r>
          <rPr>
            <b/>
            <sz val="8"/>
            <color indexed="81"/>
            <rFont val="Tahoma"/>
            <family val="2"/>
          </rPr>
          <t xml:space="preserve">
</t>
        </r>
      </text>
    </comment>
    <comment ref="N2" authorId="1">
      <text>
        <r>
          <rPr>
            <b/>
            <sz val="8"/>
            <color indexed="81"/>
            <rFont val="Tahoma"/>
            <family val="2"/>
          </rPr>
          <t>Group Single-Vertex Connected Components</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O2" authorId="1">
      <text>
        <r>
          <rPr>
            <b/>
            <sz val="8"/>
            <color indexed="81"/>
            <rFont val="Tahoma"/>
            <family val="2"/>
          </rPr>
          <t>Group Maximum Vertices in a Connected Component</t>
        </r>
        <r>
          <rPr>
            <sz val="8"/>
            <color indexed="81"/>
            <rFont val="Tahoma"/>
            <family val="2"/>
          </rPr>
          <t xml:space="preserve">
This and other graph metrics can be computed with the Graph Metrics button in the Analysis group in the NodeXL Ribbon tab.
</t>
        </r>
        <r>
          <rPr>
            <sz val="9"/>
            <color indexed="81"/>
            <rFont val="Tahoma"/>
            <family val="2"/>
          </rPr>
          <t xml:space="preserve">
</t>
        </r>
      </text>
    </comment>
    <comment ref="P2" authorId="1">
      <text>
        <r>
          <rPr>
            <b/>
            <sz val="8"/>
            <color indexed="81"/>
            <rFont val="Tahoma"/>
            <family val="2"/>
          </rPr>
          <t>Group Maximum Edges in a Connected Component</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 ref="Q2" authorId="1">
      <text>
        <r>
          <rPr>
            <b/>
            <sz val="8"/>
            <color indexed="81"/>
            <rFont val="Tahoma"/>
            <family val="2"/>
          </rPr>
          <t>Group Maximum Geodesic Distance (Diameter)</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R2" authorId="1">
      <text>
        <r>
          <rPr>
            <b/>
            <sz val="8"/>
            <color indexed="81"/>
            <rFont val="Tahoma"/>
            <family val="2"/>
          </rPr>
          <t>Group Average Geodesic Distance</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S2" authorId="1">
      <text>
        <r>
          <rPr>
            <b/>
            <sz val="8"/>
            <color indexed="81"/>
            <rFont val="Tahoma"/>
            <family val="2"/>
          </rPr>
          <t>Group Graph Density</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family val="2"/>
          </rPr>
          <t xml:space="preserve">
</t>
        </r>
        <r>
          <rPr>
            <sz val="9"/>
            <color indexed="81"/>
            <rFont val="Tahoma"/>
            <family val="2"/>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<sst xmlns="http://schemas.openxmlformats.org/spreadsheetml/2006/main" count="601" uniqueCount="211">
  <si>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</si>
  <si>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</si>
  <si>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</si>
  <si>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</si>
  <si>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</si>
  <si>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</si>
  <si>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</si>
  <si>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</si>
  <si>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</si>
  <si>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</si>
  <si>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</si>
  <si>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</si>
  <si>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</si>
  <si>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</si>
  <si>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</si>
  <si>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</si>
  <si>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</si>
  <si>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</si>
  <si>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</si>
  <si>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</si>
  <si>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</si>
  <si>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</si>
  <si>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</si>
  <si>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</si>
  <si>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</si>
  <si>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</si>
  <si>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</si>
  <si>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</si>
  <si>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</si>
  <si>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</si>
  <si>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</si>
  <si>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Undirected</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</si>
  <si>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</si>
  <si>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</si>
  <si>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</si>
  <si>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</si>
  <si>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</si>
  <si>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</si>
  <si>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</si>
  <si>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</si>
  <si>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</si>
  <si>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</si>
  <si>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</si>
  <si>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</si>
  <si>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</si>
  <si>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</si>
  <si>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</si>
  <si>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</si>
  <si>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</si>
  <si>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</si>
  <si>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</si>
  <si>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</si>
  <si>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</si>
  <si>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</si>
  <si>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</si>
  <si>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</si>
  <si>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</si>
  <si>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</si>
  <si>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</si>
  <si>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</si>
  <si>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</si>
  <si>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</si>
  <si>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</si>
  <si>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</si>
  <si>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</si>
  <si>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</si>
  <si>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</si>
  <si>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</si>
  <si>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</si>
  <si>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</si>
  <si>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</si>
  <si>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</si>
  <si>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</si>
  <si>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</si>
  <si>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</si>
  <si>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</si>
  <si>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</si>
  <si>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</si>
  <si>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</si>
  <si>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</si>
  <si>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</si>
  <si>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</si>
  <si>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</si>
  <si>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</si>
  <si>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</si>
  <si>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</si>
  <si>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</si>
  <si>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</si>
  <si>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</si>
  <si>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</si>
  <si>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</si>
  <si>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</si>
  <si>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</si>
  <si>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</si>
  <si>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</si>
  <si>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</si>
  <si>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</si>
  <si>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</si>
  <si>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</si>
  <si>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</si>
  <si>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</si>
  <si>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</si>
  <si>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</si>
  <si>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</si>
  <si>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</si>
  <si>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</si>
  <si>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</si>
  <si>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</si>
  <si>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</si>
  <si>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</si>
  <si>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</si>
  <si>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</si>
  <si>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</si>
  <si>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</si>
  <si>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</si>
  <si>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</si>
  <si>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</si>
  <si>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</si>
  <si>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</si>
  <si>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</si>
  <si>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</si>
  <si>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</si>
  <si>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</si>
  <si>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</si>
  <si>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</si>
  <si>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</si>
  <si>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</si>
  <si>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</si>
  <si>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</si>
  <si>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</si>
  <si>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</si>
  <si>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</si>
  <si>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</si>
  <si>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</si>
  <si>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</si>
  <si>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</si>
  <si>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</si>
  <si>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</si>
  <si>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</si>
  <si>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</si>
  <si>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</si>
  <si>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</si>
  <si>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</si>
  <si>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</si>
  <si>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</si>
  <si>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</si>
  <si>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</si>
  <si>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</si>
  <si>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</si>
  <si>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</si>
  <si>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</si>
  <si>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</si>
  <si>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</si>
  <si>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</si>
  <si>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</si>
  <si>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</si>
  <si>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</si>
  <si>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</si>
  <si>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</si>
  <si>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</si>
  <si>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</si>
  <si>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</si>
  <si>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</si>
  <si>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</si>
  <si>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</si>
  <si>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</si>
  <si>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</si>
  <si>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</si>
  <si>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Workbook Settings 1</t>
  </si>
  <si>
    <t>Workbook Settings Cell Count</t>
  </si>
  <si>
    <t>Black</t>
  </si>
  <si>
    <t>Blue</t>
  </si>
  <si>
    <t>Red</t>
  </si>
  <si>
    <t>Graph History</t>
  </si>
  <si>
    <t>Grupo 2</t>
  </si>
  <si>
    <t>Grupo 3</t>
  </si>
  <si>
    <t>Grupo 4</t>
  </si>
  <si>
    <t>Grupo 5</t>
  </si>
  <si>
    <t>Grupo 6</t>
  </si>
  <si>
    <t>Grupo 7</t>
  </si>
  <si>
    <t>Grupo 8</t>
  </si>
  <si>
    <t>Grupo 9</t>
  </si>
  <si>
    <t>Grupo 10</t>
  </si>
  <si>
    <t>Grupo 11</t>
  </si>
  <si>
    <t>Grupo 12</t>
  </si>
  <si>
    <t>Grupo 13</t>
  </si>
  <si>
    <t>&lt;?xml version="1.0" encoding="utf-8"?&gt;_x000D_
&lt;configuration&gt;_x000D_
  &lt;configSections&gt;_x000D_
    &lt;sectionGroup name="userSettings" type="System.Configuration.UserSettingsGroup, System, Version=2.0.0.0, Culture=neutral, PublicKeyToken=b77a5c561934e089"&gt;_x000D_
      &lt;section name="LayoutUserSettings"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&lt;/sectionGroup&gt;_x000D_
  &lt;/configSections&gt;_x000D_
  &lt;userSettings&gt;_x000D_
    &lt;LayoutUserSettings&gt;_x000D_
      &lt;setting name="Layout" serializeAs="String"&gt;_x000D_
        &lt;value&gt;Circle&lt;/value&gt;_x000D_
      &lt;/setting&gt;_x000D_
      &lt;setting name="LayoutStyle" serializeAs="String"&gt;_x000D_
        &lt;value&gt;Normal&lt;/value&gt;_x000D_
      &lt;/setting&gt;_x000D_
      &lt;setting name="Margin" serializeAs="String"&gt;_x000D_
        &lt;value&gt;6&lt;/value&gt;_x000D_
      &lt;/setting&gt;_x000D_
      &lt;setting name="FruchtermanReingoldIterations" serializeAs="String"&gt;_x000D_
        &lt;value&gt;10&lt;/value&gt;_x000D_
      &lt;/setting&gt;_x000D_
      &lt;setting name="FruchtermanReingoldC" serializeAs="String"&gt;_x000D_
        &lt;value&gt;3&lt;/value&gt;_x000D_
      &lt;/setting&gt;_x000D_
      &lt;setting name="IntergroupEdgeStyle" serializeAs="String"&gt;_x000D_
        &lt;value&gt;Show&lt;/value&gt;_x000D_
      &lt;/setting&gt;_x000D_
    &lt;/LayoutUserSettings&gt;_x000D_
    &lt;GeneralUserSettings4&gt;_x000D_
      &lt;setting name="ShowGraphLegend" serializeAs="String"&gt;_x000D_
        &lt;value&gt;False&lt;/value&gt;_x000D_
      &lt;/setting&gt;_x000D_
      &lt;setting name="ReadEdgeLabels" serializeAs="String"&gt;_x000D_
        &lt;value&gt;True&lt;/value&gt;_x000D_
      &lt;/setting&gt;_x000D_
      &lt;setting name="ClearTablesBeforeImport" serializeAs="String"&gt;_x000D_
        &lt;value&gt;True&lt;/value&gt;_x000D_
      &lt;/setting&gt;_x000D_
      &lt;setting name="SaveImportDescription" serializeAs="String"&gt;_x000D_
        &lt;value&gt;False&lt;/value&gt;_x000D_
      &lt;/setting&gt;_x000D_
      &lt;setting name="ShowGraphAxes" serializeAs="String"&gt;_x000D_
        &lt;value&gt;False&lt;/value&gt;_x000D_
      &lt;/setting&gt;_x000D_
      &lt;setting name="ReadGroupLabels" serializeAs="String"&gt;_x000D_
        &lt;value&gt;True&lt;/value&gt;_x000D_
      &lt;/setting&gt;_x000D_
      &lt;setting name="ReadVertexLabels" serializeAs="String"&gt;_x000D_
        &lt;value&gt;True&lt;/value&gt;_x000D_
      &lt;/setting&gt;_x000D_
    &lt;/GeneralUserSettings4&gt;_x000D_
    &lt;GraphZoomAndScaleUserSettings&gt;_x000D_
      &lt;setting name="GraphScale" serializeAs="String"&gt;_x000D_
        &lt;value&gt;1&lt;/value&gt;_x000D_
      &lt;/setting&gt;_x000D_
    &lt;/GraphZoomAndScaleUserSettings&gt;_x000D_
  &lt;/userSettings&gt;_x000D_
&lt;/configuration&gt;</t>
  </si>
  <si>
    <t>LayoutAlgorithm░The graph was laid out using the Circle layout algorithm.▓GraphDirectedness░The graph is undirected.</t>
  </si>
  <si>
    <t>Green</t>
  </si>
  <si>
    <t>Orange</t>
  </si>
  <si>
    <t>Purple</t>
  </si>
  <si>
    <t>Aqua</t>
  </si>
  <si>
    <t>Brown</t>
  </si>
  <si>
    <t>Pink</t>
  </si>
  <si>
    <t>lime</t>
  </si>
  <si>
    <t>Maroon</t>
  </si>
  <si>
    <t>Gray</t>
  </si>
  <si>
    <t>Violet</t>
  </si>
  <si>
    <t xml:space="preserve">Grupo 1 - Materials and Components </t>
  </si>
  <si>
    <t>Grupo 2  - Electronics and Photonics</t>
  </si>
  <si>
    <t>Grupo 3 - Information and Communication</t>
  </si>
  <si>
    <t>Grupo 4 - Life Sciences and Biotechnology</t>
  </si>
  <si>
    <t>Grupo 5 - Health and Nutrition</t>
  </si>
  <si>
    <t>Grupo 6 - Communication and Knowledge</t>
  </si>
  <si>
    <t>Grupo 7 - Mobility and Transport</t>
  </si>
  <si>
    <t>Grupo 8 - Energy and Resources</t>
  </si>
  <si>
    <t>Grupo 9 - Environment and Nature</t>
  </si>
  <si>
    <t>Grupo 10 - Building and Living</t>
  </si>
  <si>
    <t>Grupo 11 - Lifestyle and Leisure</t>
  </si>
  <si>
    <t xml:space="preserve">Grupo 12 - Production and Enterprises </t>
  </si>
  <si>
    <t>Grupo 13 - Security and Safety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</si>
</sst>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
    <numFmt numFmtId="167" formatCode="0.000"/>
  </numFmts>
  <fonts count="11"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family val="2"/>
    </font>
    <font>
      <sz val="9"/>
      <color indexed="81"/>
      <name val="Tahoma"/>
      <family val="2"/>
    </font>
    <font>
      <sz val="11"/>
      <color theme="1"/>
      <name val="Calibri"/>
      <family val="2"/>
      <scheme val="minor"/>
    </font>
  </fonts>
  <fills count="11">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79998168889431442"/>
        <bgColor indexed="65"/>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diagonal/>
    </border>
  </borders>
  <cellStyleXfs count="11">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xf numFmtId="0" fontId="5" fillId="10" borderId="0" applyNumberFormat="0" applyBorder="0" applyAlignment="0" applyProtection="0"/>
    <xf numFmtId="9" fontId="5" fillId="0" borderId="0" applyFont="0" applyFill="0" applyBorder="0" applyAlignment="0" applyProtection="0"/>
  </cellStyleXfs>
  <cellXfs count="119">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167" fontId="10" fillId="4" borderId="1" xfId="5" applyNumberFormat="1" applyFon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10" fillId="5" borderId="1" xfId="4" applyNumberFormat="1" applyFont="1" applyAlignment="1">
      <alignment wrapText="1"/>
    </xf>
    <xf numFmtId="0" fontId="6" fillId="6" borderId="1" xfId="6" applyNumberFormat="1"/>
    <xf numFmtId="0" fontId="5" fillId="4" borderId="1" xfId="5" applyNumberFormat="1" applyAlignment="1">
      <alignment wrapText="1"/>
    </xf>
    <xf numFmtId="49" fontId="5" fillId="10" borderId="0" xfId="9" applyNumberFormat="1" applyAlignment="1">
      <alignment wrapText="1"/>
    </xf>
    <xf numFmtId="1" fontId="0" fillId="5" borderId="1" xfId="4" applyNumberFormat="1" applyFont="1"/>
    <xf numFmtId="0" fontId="0" fillId="2" borderId="1" xfId="1" applyNumberFormat="1" applyFont="1"/>
    <xf numFmtId="0" fontId="10" fillId="2" borderId="1" xfId="1" applyNumberFormat="1" applyFont="1" applyAlignment="1">
      <alignment wrapText="1"/>
    </xf>
    <xf numFmtId="0" fontId="0" fillId="5" borderId="8" xfId="4" applyNumberFormat="1" applyFont="1" applyBorder="1" applyAlignment="1">
      <alignment wrapText="1"/>
    </xf>
    <xf numFmtId="0" fontId="10" fillId="5" borderId="8" xfId="4" applyNumberFormat="1" applyFont="1" applyBorder="1" applyAlignment="1">
      <alignment wrapText="1"/>
    </xf>
    <xf numFmtId="1" fontId="0" fillId="5" borderId="8" xfId="4" applyNumberFormat="1" applyFont="1" applyBorder="1" applyAlignment="1">
      <alignment wrapText="1"/>
    </xf>
    <xf numFmtId="0" fontId="6" fillId="6" borderId="8" xfId="6" applyNumberFormat="1" applyBorder="1" applyAlignment="1">
      <alignment wrapText="1"/>
    </xf>
    <xf numFmtId="0" fontId="5" fillId="4" borderId="8" xfId="5" applyNumberFormat="1" applyBorder="1" applyAlignment="1">
      <alignment wrapText="1"/>
    </xf>
    <xf numFmtId="0" fontId="10" fillId="2" borderId="8" xfId="1" applyNumberFormat="1" applyFont="1" applyBorder="1" applyAlignment="1">
      <alignment wrapText="1"/>
    </xf>
    <xf numFmtId="0" fontId="0" fillId="0" borderId="0" xfId="2" applyNumberFormat="1" applyFont="1" applyBorder="1" applyAlignment="1">
      <alignment wrapText="1"/>
    </xf>
    <xf numFmtId="164" fontId="0" fillId="5" borderId="1" xfId="4" applyNumberFormat="1" applyFont="1"/>
    <xf numFmtId="0" fontId="0" fillId="3" borderId="1" xfId="7" applyNumberFormat="1" applyFont="1"/>
    <xf numFmtId="164" fontId="0" fillId="3" borderId="1" xfId="7" applyNumberFormat="1" applyFont="1"/>
    <xf numFmtId="165" fontId="0" fillId="3" borderId="1" xfId="7" applyNumberFormat="1" applyFont="1"/>
    <xf numFmtId="166" fontId="0" fillId="3" borderId="1" xfId="7" applyNumberFormat="1" applyFont="1"/>
    <xf numFmtId="1" fontId="10" fillId="4" borderId="1" xfId="5" applyNumberFormat="1" applyFont="1" applyAlignment="1"/>
    <xf numFmtId="0" fontId="0" fillId="0" borderId="0" xfId="2" applyNumberFormat="1" applyFont="1"/>
    <xf numFmtId="49" fontId="0" fillId="0" borderId="0" xfId="3" applyNumberFormat="1" applyFont="1" applyBorder="1"/>
    <xf numFmtId="0" fontId="0" fillId="5" borderId="8" xfId="4" applyNumberFormat="1" applyFont="1" applyBorder="1"/>
    <xf numFmtId="164" fontId="0" fillId="5" borderId="8" xfId="4" applyNumberFormat="1" applyFont="1" applyBorder="1"/>
    <xf numFmtId="1" fontId="0" fillId="5" borderId="8" xfId="4" applyNumberFormat="1" applyFont="1" applyBorder="1"/>
    <xf numFmtId="49" fontId="6" fillId="6" borderId="8" xfId="6" applyNumberFormat="1" applyBorder="1"/>
    <xf numFmtId="0" fontId="6" fillId="6" borderId="8" xfId="6" applyNumberFormat="1" applyBorder="1"/>
    <xf numFmtId="164" fontId="0" fillId="3" borderId="8" xfId="7" applyNumberFormat="1" applyFont="1" applyBorder="1"/>
    <xf numFmtId="165" fontId="0" fillId="3" borderId="8" xfId="7" applyNumberFormat="1" applyFont="1" applyBorder="1"/>
    <xf numFmtId="0" fontId="0" fillId="3" borderId="8" xfId="7" applyNumberFormat="1" applyFont="1" applyBorder="1"/>
    <xf numFmtId="166" fontId="0" fillId="3" borderId="8" xfId="7" applyNumberFormat="1" applyFont="1" applyBorder="1"/>
    <xf numFmtId="1" fontId="10" fillId="4" borderId="8" xfId="5" applyNumberFormat="1" applyFont="1" applyBorder="1" applyAlignment="1"/>
    <xf numFmtId="167" fontId="10" fillId="4" borderId="8" xfId="5" applyNumberFormat="1" applyFont="1" applyBorder="1" applyAlignment="1"/>
    <xf numFmtId="0" fontId="0" fillId="2" borderId="8" xfId="1" applyNumberFormat="1" applyFont="1" applyBorder="1"/>
    <xf numFmtId="0" fontId="0" fillId="0" borderId="0" xfId="2" applyNumberFormat="1" applyFont="1" applyBorder="1"/>
    <xf numFmtId="49" fontId="5" fillId="0" borderId="0" xfId="3" applyNumberFormat="1" applyAlignment="1">
      <alignment wrapText="1"/>
    </xf>
    <xf numFmtId="0" fontId="0" fillId="0" borderId="0" xfId="0"/>
    <xf numFmtId="0" fontId="0" fillId="0" borderId="0" xfId="0"/>
    <xf numFmtId="2" fontId="6" fillId="6" borderId="1" xfId="10" applyNumberFormat="1" applyFont="1" applyFill="1" applyBorder="1" applyAlignment="1">
      <alignment wrapText="1"/>
    </xf>
    <xf numFmtId="2" fontId="0" fillId="0" borderId="0" xfId="10" applyNumberFormat="1" applyFont="1" applyAlignment="1">
      <alignment wrapText="1"/>
    </xf>
    <xf numFmtId="2" fontId="0" fillId="5" borderId="1" xfId="4" applyNumberFormat="1" applyFont="1" applyAlignment="1">
      <alignment wrapText="1"/>
    </xf>
    <xf numFmtId="2" fontId="0" fillId="0" borderId="0" xfId="10" applyNumberFormat="1" applyFont="1"/>
    <xf numFmtId="2" fontId="6" fillId="6" borderId="1" xfId="10" applyNumberFormat="1" applyFont="1" applyFill="1"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1">
    <cellStyle name="20% - Accent1" xfId="9" builtinId="30"/>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 name="Percent" xfId="10" builtinId="5"/>
  </cellStyles>
  <dxfs count="93">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
      <numFmt numFmtId="30" formatCode="@"/>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numFmt numFmtId="0" formatCode="General"/>
    </dxf>
    <dxf>
      <numFmt numFmtId="0" formatCode="General"/>
    </dxf>
    <dxf>
      <numFmt numFmtId="30" formatCode="@"/>
    </dxf>
    <dxf>
      <alignment horizontal="general" vertical="bottom" textRotation="0" wrapText="1"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numFmt numFmtId="166" formatCode="#,##0.000"/>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numFmt numFmtId="0" formatCode="General"/>
      <alignment horizontal="general" vertical="bottom" textRotation="0" wrapText="1" relative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1" defaultTableStyle="TableStyleMedium9" defaultPivotStyle="PivotStyleLight16">
    <tableStyle name="NodeXL Table" pivot="0" count="1">
      <tableStyleElement type="headerRow" dxfId="9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0</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38891776"/>
        <c:axId val="112104512"/>
      </c:barChart>
      <c:catAx>
        <c:axId val="138891776"/>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112104512"/>
        <c:crosses val="autoZero"/>
        <c:auto val="1"/>
        <c:lblAlgn val="ctr"/>
        <c:lblOffset val="100"/>
        <c:noMultiLvlLbl val="0"/>
      </c:catAx>
      <c:valAx>
        <c:axId val="11210451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38891776"/>
        <c:crosses val="autoZero"/>
        <c:crossBetween val="between"/>
      </c:valAx>
    </c:plotArea>
    <c:plotVisOnly val="0"/>
    <c:dispBlanksAs val="gap"/>
    <c:showDLblsOverMax val="0"/>
  </c:chart>
  <c:printSettings>
    <c:headerFooter/>
    <c:pageMargins b="0.75000000000001454" l="0.70000000000000062" r="0.70000000000000062" t="0.7500000000000145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0</c:v>
                </c:pt>
              </c:strCache>
            </c:strRef>
          </c:tx>
          <c:spPr>
            <a:solidFill>
              <a:schemeClr val="accent1"/>
            </a:solidFill>
          </c:spPr>
          <c:invertIfNegative val="0"/>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38892800"/>
        <c:axId val="112106240"/>
      </c:barChart>
      <c:catAx>
        <c:axId val="138892800"/>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112106240"/>
        <c:crosses val="autoZero"/>
        <c:auto val="1"/>
        <c:lblAlgn val="ctr"/>
        <c:lblOffset val="100"/>
        <c:noMultiLvlLbl val="0"/>
      </c:catAx>
      <c:valAx>
        <c:axId val="11210624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3889280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0</c:v>
                </c:pt>
              </c:strCache>
            </c:strRef>
          </c:tx>
          <c:spPr>
            <a:solidFill>
              <a:schemeClr val="accent1"/>
            </a:solidFill>
          </c:spPr>
          <c:invertIfNegative val="0"/>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38893312"/>
        <c:axId val="138601024"/>
      </c:barChart>
      <c:catAx>
        <c:axId val="138893312"/>
        <c:scaling>
          <c:orientation val="minMax"/>
        </c:scaling>
        <c:delete val="1"/>
        <c:axPos val="b"/>
        <c:title>
          <c:tx>
            <c:rich>
              <a:bodyPr/>
              <a:lstStyle/>
              <a:p>
                <a:pPr>
                  <a:defRPr/>
                </a:pPr>
                <a:r>
                  <a:rPr lang="en-US"/>
                  <a:t>Out-Degree</a:t>
                </a:r>
              </a:p>
            </c:rich>
          </c:tx>
          <c:layout>
            <c:manualLayout>
              <c:xMode val="edge"/>
              <c:yMode val="edge"/>
              <c:x val="0.41379516818709683"/>
              <c:y val="0.80898890864449824"/>
            </c:manualLayout>
          </c:layout>
          <c:overlay val="0"/>
        </c:title>
        <c:numFmt formatCode="#,##0.00" sourceLinked="1"/>
        <c:majorTickMark val="out"/>
        <c:minorTickMark val="none"/>
        <c:tickLblPos val="none"/>
        <c:crossAx val="138601024"/>
        <c:crosses val="autoZero"/>
        <c:auto val="1"/>
        <c:lblAlgn val="ctr"/>
        <c:lblOffset val="100"/>
        <c:noMultiLvlLbl val="0"/>
      </c:catAx>
      <c:valAx>
        <c:axId val="13860102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38893312"/>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0</c:v>
                </c:pt>
              </c:strCache>
            </c:strRef>
          </c:tx>
          <c:spPr>
            <a:solidFill>
              <a:schemeClr val="accent1"/>
            </a:solidFill>
          </c:spPr>
          <c:invertIfNegative val="0"/>
          <c:cat>
            <c:numRef>
              <c:f>'Overall Metrics'!$J$2:$J$45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Metrics'!$K$2:$K$45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38893824"/>
        <c:axId val="138602752"/>
      </c:barChart>
      <c:catAx>
        <c:axId val="138893824"/>
        <c:scaling>
          <c:orientation val="minMax"/>
        </c:scaling>
        <c:delete val="1"/>
        <c:axPos val="b"/>
        <c:title>
          <c:tx>
            <c:rich>
              <a:bodyPr/>
              <a:lstStyle/>
              <a:p>
                <a:pPr>
                  <a:defRPr/>
                </a:pPr>
                <a:r>
                  <a:rPr lang="en-US"/>
                  <a:t>Betweenness Centrality</a:t>
                </a:r>
              </a:p>
            </c:rich>
          </c:tx>
          <c:layout>
            <c:manualLayout>
              <c:xMode val="edge"/>
              <c:yMode val="edge"/>
              <c:x val="0.32728710116055826"/>
              <c:y val="0.82619320971975252"/>
            </c:manualLayout>
          </c:layout>
          <c:overlay val="0"/>
        </c:title>
        <c:numFmt formatCode="#,##0.00" sourceLinked="1"/>
        <c:majorTickMark val="out"/>
        <c:minorTickMark val="none"/>
        <c:tickLblPos val="none"/>
        <c:crossAx val="138602752"/>
        <c:crosses val="autoZero"/>
        <c:auto val="1"/>
        <c:lblAlgn val="ctr"/>
        <c:lblOffset val="100"/>
        <c:noMultiLvlLbl val="0"/>
      </c:catAx>
      <c:valAx>
        <c:axId val="13860275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3889382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0</c:v>
                </c:pt>
              </c:strCache>
            </c:strRef>
          </c:tx>
          <c:spPr>
            <a:solidFill>
              <a:schemeClr val="accent1"/>
            </a:solidFill>
          </c:spPr>
          <c:invertIfNegative val="0"/>
          <c:cat>
            <c:numRef>
              <c:f>'Overall Metrics'!$L$2:$L$45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Metrics'!$M$2:$M$45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38894848"/>
        <c:axId val="138604480"/>
      </c:barChart>
      <c:catAx>
        <c:axId val="138894848"/>
        <c:scaling>
          <c:orientation val="minMax"/>
        </c:scaling>
        <c:delete val="1"/>
        <c:axPos val="b"/>
        <c:title>
          <c:tx>
            <c:rich>
              <a:bodyPr/>
              <a:lstStyle/>
              <a:p>
                <a:pPr>
                  <a:defRPr/>
                </a:pPr>
                <a:r>
                  <a:rPr lang="en-US"/>
                  <a:t>Closeness Centrality</a:t>
                </a:r>
              </a:p>
            </c:rich>
          </c:tx>
          <c:layout>
            <c:manualLayout>
              <c:xMode val="edge"/>
              <c:yMode val="edge"/>
              <c:x val="0.35406086287408151"/>
              <c:y val="0.82619320971975252"/>
            </c:manualLayout>
          </c:layout>
          <c:overlay val="0"/>
        </c:title>
        <c:numFmt formatCode="#,##0.00" sourceLinked="1"/>
        <c:majorTickMark val="out"/>
        <c:minorTickMark val="none"/>
        <c:tickLblPos val="none"/>
        <c:crossAx val="138604480"/>
        <c:crosses val="autoZero"/>
        <c:auto val="1"/>
        <c:lblAlgn val="ctr"/>
        <c:lblOffset val="100"/>
        <c:noMultiLvlLbl val="0"/>
      </c:catAx>
      <c:valAx>
        <c:axId val="13860448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3889484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0</c:v>
                </c:pt>
              </c:strCache>
            </c:strRef>
          </c:tx>
          <c:spPr>
            <a:solidFill>
              <a:schemeClr val="accent1"/>
            </a:solidFill>
          </c:spPr>
          <c:invertIfNegative val="0"/>
          <c:cat>
            <c:numRef>
              <c:f>'Overall Metrics'!$N$2:$N$45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0921216"/>
        <c:axId val="138606208"/>
      </c:barChart>
      <c:catAx>
        <c:axId val="150921216"/>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
              <c:y val="0.82619320971975252"/>
            </c:manualLayout>
          </c:layout>
          <c:overlay val="0"/>
        </c:title>
        <c:numFmt formatCode="#,##0.00" sourceLinked="1"/>
        <c:majorTickMark val="out"/>
        <c:minorTickMark val="none"/>
        <c:tickLblPos val="none"/>
        <c:crossAx val="138606208"/>
        <c:crosses val="autoZero"/>
        <c:auto val="1"/>
        <c:lblAlgn val="ctr"/>
        <c:lblOffset val="100"/>
        <c:noMultiLvlLbl val="0"/>
      </c:catAx>
      <c:valAx>
        <c:axId val="13860620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092121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0921728"/>
        <c:axId val="138607936"/>
      </c:barChart>
      <c:catAx>
        <c:axId val="150921728"/>
        <c:scaling>
          <c:orientation val="minMax"/>
        </c:scaling>
        <c:delete val="1"/>
        <c:axPos val="b"/>
        <c:title>
          <c:tx>
            <c:rich>
              <a:bodyPr/>
              <a:lstStyle/>
              <a:p>
                <a:pPr>
                  <a:defRPr/>
                </a:pPr>
                <a:r>
                  <a:rPr lang="en-US"/>
                  <a:t>Clustering Coefficient</a:t>
                </a:r>
              </a:p>
            </c:rich>
          </c:tx>
          <c:layout>
            <c:manualLayout>
              <c:xMode val="edge"/>
              <c:yMode val="edge"/>
              <c:x val="0.33732726180313022"/>
              <c:y val="0.82619320971975252"/>
            </c:manualLayout>
          </c:layout>
          <c:overlay val="0"/>
        </c:title>
        <c:numFmt formatCode="#,##0.00" sourceLinked="1"/>
        <c:majorTickMark val="out"/>
        <c:minorTickMark val="none"/>
        <c:tickLblPos val="none"/>
        <c:crossAx val="138607936"/>
        <c:crosses val="autoZero"/>
        <c:auto val="1"/>
        <c:lblAlgn val="ctr"/>
        <c:lblOffset val="100"/>
        <c:noMultiLvlLbl val="0"/>
      </c:catAx>
      <c:valAx>
        <c:axId val="13860793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092172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0922240"/>
        <c:axId val="155452544"/>
      </c:barChart>
      <c:catAx>
        <c:axId val="150922240"/>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155452544"/>
        <c:crosses val="autoZero"/>
        <c:auto val="1"/>
        <c:lblAlgn val="ctr"/>
        <c:lblOffset val="100"/>
        <c:noMultiLvlLbl val="0"/>
      </c:catAx>
      <c:valAx>
        <c:axId val="15545254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092224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586E-3"/>
          <c:y val="8.0430855234004828E-3"/>
          <c:w val="0.99723592884220991"/>
          <c:h val="0.98391246548724587"/>
        </c:manualLayout>
      </c:layout>
      <c:barChart>
        <c:barDir val="col"/>
        <c:grouping val="clustered"/>
        <c:varyColors val="0"/>
        <c:ser>
          <c:idx val="1"/>
          <c:order val="0"/>
          <c:tx>
            <c:strRef>
              <c:f>'Overall Metrics'!$U$2</c:f>
              <c:strCache>
                <c:ptCount val="1"/>
                <c:pt idx="0">
                  <c:v>#REF!</c:v>
                </c:pt>
              </c:strCache>
            </c:strRef>
          </c:tx>
          <c:spPr>
            <a:solidFill>
              <a:schemeClr val="accent1"/>
            </a:solidFill>
          </c:spPr>
          <c:invertIfNegative val="0"/>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0923264"/>
        <c:axId val="155455424"/>
      </c:barChart>
      <c:catAx>
        <c:axId val="150923264"/>
        <c:scaling>
          <c:orientation val="minMax"/>
        </c:scaling>
        <c:delete val="1"/>
        <c:axPos val="b"/>
        <c:numFmt formatCode="#,##0.00" sourceLinked="1"/>
        <c:majorTickMark val="out"/>
        <c:minorTickMark val="none"/>
        <c:tickLblPos val="none"/>
        <c:crossAx val="155455424"/>
        <c:crosses val="autoZero"/>
        <c:auto val="1"/>
        <c:lblAlgn val="ctr"/>
        <c:lblOffset val="100"/>
        <c:noMultiLvlLbl val="0"/>
      </c:catAx>
      <c:valAx>
        <c:axId val="155455424"/>
        <c:scaling>
          <c:orientation val="minMax"/>
        </c:scaling>
        <c:delete val="1"/>
        <c:axPos val="l"/>
        <c:numFmt formatCode="General" sourceLinked="1"/>
        <c:majorTickMark val="out"/>
        <c:minorTickMark val="none"/>
        <c:tickLblPos val="none"/>
        <c:crossAx val="150923264"/>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30</xdr:row>
      <xdr:rowOff>38100</xdr:rowOff>
    </xdr:from>
    <xdr:to>
      <xdr:col>1</xdr:col>
      <xdr:colOff>918209</xdr:colOff>
      <xdr:row>37</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44</xdr:row>
      <xdr:rowOff>38100</xdr:rowOff>
    </xdr:from>
    <xdr:to>
      <xdr:col>1</xdr:col>
      <xdr:colOff>918209</xdr:colOff>
      <xdr:row>51</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58</xdr:row>
      <xdr:rowOff>28575</xdr:rowOff>
    </xdr:from>
    <xdr:to>
      <xdr:col>1</xdr:col>
      <xdr:colOff>918209</xdr:colOff>
      <xdr:row>65</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72</xdr:row>
      <xdr:rowOff>9525</xdr:rowOff>
    </xdr:from>
    <xdr:to>
      <xdr:col>1</xdr:col>
      <xdr:colOff>918210</xdr:colOff>
      <xdr:row>79</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86</xdr:row>
      <xdr:rowOff>19050</xdr:rowOff>
    </xdr:from>
    <xdr:to>
      <xdr:col>2</xdr:col>
      <xdr:colOff>0</xdr:colOff>
      <xdr:row>93</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100</xdr:row>
      <xdr:rowOff>19050</xdr:rowOff>
    </xdr:from>
    <xdr:to>
      <xdr:col>1</xdr:col>
      <xdr:colOff>918210</xdr:colOff>
      <xdr:row>107</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128</xdr:row>
      <xdr:rowOff>9525</xdr:rowOff>
    </xdr:from>
    <xdr:to>
      <xdr:col>1</xdr:col>
      <xdr:colOff>918210</xdr:colOff>
      <xdr:row>135</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1</xdr:col>
      <xdr:colOff>918210</xdr:colOff>
      <xdr:row>121</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1</xdr:row>
      <xdr:rowOff>0</xdr:rowOff>
    </xdr:from>
    <xdr:to>
      <xdr:col>21</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N114" totalsRowShown="0" headerRowDxfId="91" dataDxfId="90">
  <autoFilter ref="A2:N114"/>
  <tableColumns count="14">
    <tableColumn id="1" name="Vertex 1" dataDxfId="89" dataCellStyle="20% - Accent1"/>
    <tableColumn id="2" name="Vertex 2" dataDxfId="88" dataCellStyle="NodeXL Required"/>
    <tableColumn id="3" name="Color" dataDxfId="87" dataCellStyle="NodeXL Visual Property"/>
    <tableColumn id="4" name="Width" dataDxfId="86" dataCellStyle="NodeXL Visual Property"/>
    <tableColumn id="11" name="Style" dataDxfId="85" dataCellStyle="NodeXL Visual Property"/>
    <tableColumn id="5" name="Opacity" dataDxfId="84" dataCellStyle="NodeXL Visual Property"/>
    <tableColumn id="6" name="Visibility" dataDxfId="83" dataCellStyle="NodeXL Visual Property"/>
    <tableColumn id="10" name="Label" dataDxfId="82" dataCellStyle="Percent"/>
    <tableColumn id="12" name="Label Text Color" dataDxfId="81" dataCellStyle="NodeXL Label"/>
    <tableColumn id="13" name="Label Font Size" dataDxfId="80" dataCellStyle="NodeXL Label"/>
    <tableColumn id="14" name="Reciprocated?" dataDxfId="79" dataCellStyle="NodeXL Graph Metric"/>
    <tableColumn id="7" name="ID" dataDxfId="78" dataCellStyle="NodeXL Do Not Edit"/>
    <tableColumn id="9" name="Dynamic Filter" dataDxfId="77" dataCellStyle="NodeXL Do Not Edit"/>
    <tableColumn id="8" name="Add Your Own Columns Here" dataDxfId="76" dataCellStyle="NodeXL Other Column"/>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B24" totalsRowShown="0" headerRowDxfId="75" dataDxfId="74">
  <autoFilter ref="A2:AB24"/>
  <tableColumns count="28">
    <tableColumn id="1" name="Vertex" dataDxfId="73" dataCellStyle="NodeXL Required"/>
    <tableColumn id="2" name="Color" dataDxfId="72" dataCellStyle="NodeXL Visual Property"/>
    <tableColumn id="5" name="Shape" dataDxfId="71" dataCellStyle="NodeXL Visual Property"/>
    <tableColumn id="6" name="Size" dataDxfId="70" dataCellStyle="NodeXL Visual Property"/>
    <tableColumn id="4" name="Opacity" dataDxfId="69" dataCellStyle="NodeXL Visual Property"/>
    <tableColumn id="7" name="Image File" dataDxfId="68" dataCellStyle="NodeXL Visual Property"/>
    <tableColumn id="3" name="Visibility" dataDxfId="67" dataCellStyle="NodeXL Visual Property"/>
    <tableColumn id="10" name="Label" dataDxfId="66" dataCellStyle="NodeXL Label"/>
    <tableColumn id="16" name="Label Fill Color" dataDxfId="65" dataCellStyle="NodeXL Label"/>
    <tableColumn id="9" name="Label Position" dataDxfId="64" dataCellStyle="NodeXL Label"/>
    <tableColumn id="8" name="Tooltip" dataDxfId="63" dataCellStyle="NodeXL Label"/>
    <tableColumn id="18" name="Layout Order" dataDxfId="62" dataCellStyle="NodeXL Layout"/>
    <tableColumn id="13" name="X" dataDxfId="61" dataCellStyle="NodeXL Layout"/>
    <tableColumn id="14" name="Y" dataDxfId="60" dataCellStyle="NodeXL Layout"/>
    <tableColumn id="12" name="Locked?" dataDxfId="59" dataCellStyle="NodeXL Layout"/>
    <tableColumn id="19" name="Polar R" dataDxfId="58" dataCellStyle="NodeXL Layout"/>
    <tableColumn id="20" name="Polar Angle" dataDxfId="57" dataCellStyle="NodeXL Layout"/>
    <tableColumn id="21" name="Degree" dataDxfId="56" dataCellStyle="NodeXL Graph Metric"/>
    <tableColumn id="22" name="In-Degree" dataDxfId="55" dataCellStyle="NodeXL Graph Metric"/>
    <tableColumn id="23" name="Out-Degree" dataDxfId="54" dataCellStyle="NodeXL Graph Metric"/>
    <tableColumn id="24" name="Betweenness Centrality" dataDxfId="53" dataCellStyle="NodeXL Graph Metric"/>
    <tableColumn id="25" name="Closeness Centrality" dataDxfId="52" dataCellStyle="NodeXL Graph Metric"/>
    <tableColumn id="26" name="Eigenvector Centrality" dataDxfId="51" dataCellStyle="NodeXL Graph Metric"/>
    <tableColumn id="15" name="PageRank" dataDxfId="50" dataCellStyle="NodeXL Graph Metric"/>
    <tableColumn id="27" name="Clustering Coefficient" dataDxfId="49" dataCellStyle="NodeXL Graph Metric"/>
    <tableColumn id="11" name="ID" dataDxfId="48" dataCellStyle="NodeXL Do Not Edit"/>
    <tableColumn id="28" name="Dynamic Filter" dataDxfId="47" dataCellStyle="NodeXL Do Not Edit"/>
    <tableColumn id="17" name="Add Your Own Columns Here" dataDxfId="46" dataCellStyle="NodeXL Other Column"/>
  </tableColumns>
  <tableStyleInfo name="NodeXL Table" showFirstColumn="0" showLastColumn="0" showRowStripes="0" showColumnStripes="0"/>
</table>
</file>

<file path=xl/tables/table3.xml><?xml version="1.0" encoding="utf-8"?>
<table xmlns="http://schemas.openxmlformats.org/spreadsheetml/2006/main" id="4" name="Groups" displayName="Groups" ref="A2:S3" insertRow="1" totalsRowShown="0" headerRowDxfId="45">
  <autoFilter ref="A2:S3"/>
  <tableColumns count="19">
    <tableColumn id="1" name="Group" dataDxfId="44" dataCellStyle="NodeXL Required"/>
    <tableColumn id="2" name="Vertex Color" dataDxfId="43" dataCellStyle="NodeXL Visual Property"/>
    <tableColumn id="3" name="Vertex Shape" dataDxfId="42" dataCellStyle="NodeXL Visual Property"/>
    <tableColumn id="4" name="Collapsed?" dataCellStyle="NodeXL Visual Property"/>
    <tableColumn id="18" name="Label" dataDxfId="41" dataCellStyle="NodeXL Label"/>
    <tableColumn id="6" name="ID" dataDxfId="40" dataCellStyle="NodeXL Do Not Edit"/>
    <tableColumn id="19" name="Collapsed Properties" dataDxfId="39" dataCellStyle="NodeXL Do Not Edit"/>
    <tableColumn id="5" name="Vertices" dataDxfId="38" dataCellStyle="NodeXL Graph Metric"/>
    <tableColumn id="7" name="Unique Edges" dataDxfId="37" dataCellStyle="NodeXL Graph Metric"/>
    <tableColumn id="8" name="Edges With Duplicates" dataDxfId="36" dataCellStyle="NodeXL Graph Metric"/>
    <tableColumn id="9" name="Total Edges" dataDxfId="35" dataCellStyle="NodeXL Graph Metric"/>
    <tableColumn id="10" name="Self-Loops" dataDxfId="34" dataCellStyle="NodeXL Graph Metric"/>
    <tableColumn id="11" name="Connected Components" dataDxfId="33" dataCellStyle="NodeXL Graph Metric"/>
    <tableColumn id="12" name="Single-Vertex Connected Components" dataDxfId="32" dataCellStyle="NodeXL Graph Metric"/>
    <tableColumn id="13" name="Maximum Vertices in a Connected Component" dataDxfId="31" dataCellStyle="NodeXL Graph Metric"/>
    <tableColumn id="14" name="Maximum Edges in a Connected Component" dataDxfId="30" dataCellStyle="NodeXL Graph Metric"/>
    <tableColumn id="15" name="Maximum Geodesic Distance (Diameter)" dataDxfId="29" dataCellStyle="NodeXL Graph Metric"/>
    <tableColumn id="16" name="Average Geodesic Distance" dataDxfId="28" dataCellStyle="NodeXL Graph Metric"/>
    <tableColumn id="17" name="Graph Density" dataDxfId="27" dataCellStyle="NodeXL Graph Metric"/>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23" totalsRowShown="0" headerRowDxfId="26" dataDxfId="25">
  <autoFilter ref="A1:C23"/>
  <tableColumns count="3">
    <tableColumn id="1" name="Group" dataDxfId="24"/>
    <tableColumn id="2" name="Vertex" dataDxfId="23"/>
    <tableColumn id="3" name="Vertex ID" dataDxfId="22"/>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3" totalsRowShown="0" dataCellStyle="NodeXL Graph Metric">
  <autoFilter ref="A1:B23"/>
  <tableColumns count="2">
    <tableColumn id="1" name="Graph Metric" dataDxfId="21" dataCellStyle="NodeXL Graph Metric"/>
    <tableColumn id="2" name="Value" dataDxfId="20"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tableColumns count="18">
    <tableColumn id="1" name="Degree Bin" dataDxfId="19"/>
    <tableColumn id="2" name="Degree Frequency" dataDxfId="18">
      <calculatedColumnFormula>COUNTIF(Vertices[Degree], "&gt;= " &amp; D2) - COUNTIF(Vertices[Degree], "&gt;=" &amp; D3)</calculatedColumnFormula>
    </tableColumn>
    <tableColumn id="3" name="In-Degree Bin" dataDxfId="17"/>
    <tableColumn id="4" name="In-Degree Frequency" dataDxfId="16">
      <calculatedColumnFormula>COUNTIF(Vertices[In-Degree], "&gt;= " &amp; F2) - COUNTIF(Vertices[In-Degree], "&gt;=" &amp; F3)</calculatedColumnFormula>
    </tableColumn>
    <tableColumn id="5" name="Out-Degree Bin" dataDxfId="15"/>
    <tableColumn id="6" name="Out-Degree Frequency" dataDxfId="14">
      <calculatedColumnFormula>COUNTIF(Vertices[Out-Degree], "&gt;= " &amp; H2) - COUNTIF(Vertices[Out-Degree], "&gt;=" &amp; H3)</calculatedColumnFormula>
    </tableColumn>
    <tableColumn id="7" name="Betweenness Centrality Bin" dataDxfId="13"/>
    <tableColumn id="8" name="Betweenness Centrality Frequency" dataDxfId="12">
      <calculatedColumnFormula>COUNTIF(Vertices[Betweenness Centrality], "&gt;= " &amp; J2) - COUNTIF(Vertices[Betweenness Centrality], "&gt;=" &amp; J3)</calculatedColumnFormula>
    </tableColumn>
    <tableColumn id="9" name="Closeness Centrality Bin" dataDxfId="11"/>
    <tableColumn id="10" name="Closeness Centrality Frequency" dataDxfId="10">
      <calculatedColumnFormula>COUNTIF(Vertices[Closeness Centrality], "&gt;= " &amp; L2) - COUNTIF(Vertices[Closeness Centrality], "&gt;=" &amp; L3)</calculatedColumnFormula>
    </tableColumn>
    <tableColumn id="11" name="Eigenvector Centrality Bin" dataDxfId="9"/>
    <tableColumn id="12" name="Eigenvector Centrality Frequency" dataDxfId="8">
      <calculatedColumnFormula>COUNTIF(Vertices[Eigenvector Centrality], "&gt;= " &amp; N2) - COUNTIF(Vertices[Eigenvector Centrality], "&gt;=" &amp; N3)</calculatedColumnFormula>
    </tableColumn>
    <tableColumn id="18" name="PageRank Bin" dataDxfId="7"/>
    <tableColumn id="17" name="PageRank Frequency" dataDxfId="6">
      <calculatedColumnFormula>COUNTIF(Vertices[Eigenvector Centrality], "&gt;= " &amp; P2) - COUNTIF(Vertices[Eigenvector Centrality], "&gt;=" &amp; P3)</calculatedColumnFormula>
    </tableColumn>
    <tableColumn id="13" name="Clustering Coefficient Bin" dataDxfId="5"/>
    <tableColumn id="14" name="Clustering Coefficient Frequency" dataDxfId="4">
      <calculatedColumnFormula>COUNTIF(Vertices[Clustering Coefficient], "&gt;= " &amp; R2) - COUNTIF(Vertices[Clustering Coefficient], "&gt;=" &amp; R3)</calculatedColumnFormula>
    </tableColumn>
    <tableColumn id="15" name="Dynamic Filter Bin" dataDxfId="3"/>
    <tableColumn id="16" name="Dynamic Filter Frequency" dataDxfId="2">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6:B28" totalsRowShown="0" dataCellStyle="NodeXL Graph Metric">
  <autoFilter ref="A26:B28"/>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I1:J7" totalsRowShown="0" headerRowDxfId="1">
  <autoFilter ref="I1:J7"/>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L1:O2" totalsRowShown="0" headerRowDxfId="0">
  <autoFilter ref="L1:O2"/>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114"/>
  <sheetViews>
    <sheetView workbookViewId="0">
      <pane xSplit="2" ySplit="2" topLeftCell="C9" activePane="bottomRight" state="frozen"/>
      <selection pane="topRight" activeCell="C1" sqref="C1"/>
      <selection pane="bottomLeft" activeCell="A3" sqref="A3"/>
      <selection pane="bottomRight" activeCell="B102" sqref="B102"/>
    </sheetView>
  </sheetViews>
  <sheetFormatPr defaultRowHeight="15" x14ac:dyDescent="0.25"/>
  <cols>
    <col min="1" max="1" width="34" style="1" bestFit="1" customWidth="1"/>
    <col min="2" max="2" width="34.42578125" style="1" bestFit="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11.5703125" style="108" bestFit="1" customWidth="1"/>
    <col min="9" max="9" width="12.28515625" style="3" bestFit="1" customWidth="1"/>
    <col min="10" max="10" width="12.42578125" style="3" bestFit="1" customWidth="1"/>
    <col min="11" max="11" width="15.5703125" style="3" hidden="1" customWidth="1"/>
    <col min="12" max="12" width="11" hidden="1" customWidth="1"/>
    <col min="13" max="13" width="10.85546875" hidden="1" customWidth="1"/>
    <col min="14" max="14" width="16" bestFit="1" customWidth="1"/>
  </cols>
  <sheetData>
    <row r="1" spans="1:14" x14ac:dyDescent="0.25">
      <c r="C1" s="18" t="s">
        <v>40</v>
      </c>
      <c r="D1" s="19"/>
      <c r="E1" s="19"/>
      <c r="F1" s="19"/>
      <c r="G1" s="18"/>
      <c r="H1" s="109" t="s">
        <v>44</v>
      </c>
      <c r="I1" s="66"/>
      <c r="J1" s="66"/>
      <c r="K1" s="35" t="s">
        <v>43</v>
      </c>
      <c r="L1" s="20" t="s">
        <v>41</v>
      </c>
      <c r="M1" s="20"/>
      <c r="N1" s="17" t="s">
        <v>42</v>
      </c>
    </row>
    <row r="2" spans="1:14" ht="30" customHeight="1" x14ac:dyDescent="0.25">
      <c r="A2" s="11" t="s">
        <v>0</v>
      </c>
      <c r="B2" s="11" t="s">
        <v>1</v>
      </c>
      <c r="C2" s="13" t="s">
        <v>2</v>
      </c>
      <c r="D2" s="13" t="s">
        <v>3</v>
      </c>
      <c r="E2" s="13" t="s">
        <v>131</v>
      </c>
      <c r="F2" s="13" t="s">
        <v>4</v>
      </c>
      <c r="G2" s="13" t="s">
        <v>11</v>
      </c>
      <c r="H2" s="106" t="s">
        <v>47</v>
      </c>
      <c r="I2" s="13" t="s">
        <v>161</v>
      </c>
      <c r="J2" s="13" t="s">
        <v>162</v>
      </c>
      <c r="K2" s="13" t="s">
        <v>166</v>
      </c>
      <c r="L2" s="13" t="s">
        <v>12</v>
      </c>
      <c r="M2" s="13" t="s">
        <v>39</v>
      </c>
      <c r="N2" s="13" t="s">
        <v>26</v>
      </c>
    </row>
    <row r="3" spans="1:14" ht="15" customHeight="1" x14ac:dyDescent="0.25">
      <c r="A3" s="70" t="s">
        <v>198</v>
      </c>
      <c r="B3" t="s">
        <v>198</v>
      </c>
      <c r="C3" s="54" t="s">
        <v>170</v>
      </c>
      <c r="D3" s="107">
        <f>(35/70)*5</f>
        <v>2.5</v>
      </c>
      <c r="E3" s="67"/>
      <c r="F3" s="56"/>
      <c r="G3" s="54"/>
      <c r="H3" s="105"/>
      <c r="I3" s="57"/>
      <c r="J3" s="57"/>
      <c r="K3" s="69"/>
      <c r="L3" s="63">
        <v>3</v>
      </c>
      <c r="M3" s="63"/>
      <c r="N3" s="64"/>
    </row>
    <row r="4" spans="1:14" ht="15" customHeight="1" x14ac:dyDescent="0.25">
      <c r="A4" s="70" t="s">
        <v>198</v>
      </c>
      <c r="B4" s="50" t="s">
        <v>174</v>
      </c>
      <c r="C4" s="54" t="s">
        <v>170</v>
      </c>
      <c r="D4" s="107">
        <f>(12/70)*5</f>
        <v>0.85714285714285721</v>
      </c>
      <c r="E4" s="75"/>
      <c r="F4" s="76"/>
      <c r="G4" s="74"/>
      <c r="H4" s="105"/>
      <c r="I4" s="77"/>
      <c r="J4" s="77"/>
      <c r="K4" s="78"/>
      <c r="L4" s="79">
        <v>4</v>
      </c>
      <c r="M4" s="79"/>
      <c r="N4" s="80"/>
    </row>
    <row r="5" spans="1:14" x14ac:dyDescent="0.25">
      <c r="A5" s="70" t="s">
        <v>198</v>
      </c>
      <c r="B5" s="50" t="s">
        <v>176</v>
      </c>
      <c r="C5" s="54" t="s">
        <v>170</v>
      </c>
      <c r="D5" s="107">
        <f>(3/70)*5</f>
        <v>0.2142857142857143</v>
      </c>
      <c r="E5" s="75"/>
      <c r="F5" s="76"/>
      <c r="G5" s="74"/>
      <c r="H5" s="105"/>
      <c r="I5" s="77"/>
      <c r="J5" s="77"/>
      <c r="K5" s="78"/>
      <c r="L5" s="79">
        <v>5</v>
      </c>
      <c r="M5" s="79"/>
      <c r="N5" s="80"/>
    </row>
    <row r="6" spans="1:14" x14ac:dyDescent="0.25">
      <c r="A6" s="70" t="s">
        <v>198</v>
      </c>
      <c r="B6" s="102" t="s">
        <v>177</v>
      </c>
      <c r="C6" s="54" t="s">
        <v>170</v>
      </c>
      <c r="D6" s="107">
        <f>(3/70)*5</f>
        <v>0.2142857142857143</v>
      </c>
      <c r="E6" s="75"/>
      <c r="F6" s="76"/>
      <c r="G6" s="74"/>
      <c r="H6" s="105"/>
      <c r="I6" s="77"/>
      <c r="J6" s="77"/>
      <c r="K6" s="78"/>
      <c r="L6" s="79">
        <v>6</v>
      </c>
      <c r="M6" s="79"/>
      <c r="N6" s="80"/>
    </row>
    <row r="7" spans="1:14" x14ac:dyDescent="0.25">
      <c r="A7" s="70" t="s">
        <v>198</v>
      </c>
      <c r="B7" s="102" t="s">
        <v>179</v>
      </c>
      <c r="C7" s="54" t="s">
        <v>170</v>
      </c>
      <c r="D7" s="107">
        <f>(4/70)*5</f>
        <v>0.2857142857142857</v>
      </c>
      <c r="E7" s="75"/>
      <c r="F7" s="76"/>
      <c r="G7" s="74"/>
      <c r="H7" s="105"/>
      <c r="I7" s="77"/>
      <c r="J7" s="77"/>
      <c r="K7" s="78"/>
      <c r="L7" s="79">
        <v>7</v>
      </c>
      <c r="M7" s="79"/>
      <c r="N7" s="80"/>
    </row>
    <row r="8" spans="1:14" x14ac:dyDescent="0.25">
      <c r="A8" s="70" t="s">
        <v>198</v>
      </c>
      <c r="B8" s="102" t="s">
        <v>180</v>
      </c>
      <c r="C8" s="54" t="s">
        <v>170</v>
      </c>
      <c r="D8" s="107">
        <f>(3/70)*5</f>
        <v>0.2142857142857143</v>
      </c>
      <c r="E8" s="75"/>
      <c r="F8" s="76"/>
      <c r="G8" s="74"/>
      <c r="H8" s="105"/>
      <c r="I8" s="77"/>
      <c r="J8" s="77"/>
      <c r="K8" s="78"/>
      <c r="L8" s="79">
        <v>8</v>
      </c>
      <c r="M8" s="79"/>
      <c r="N8" s="80"/>
    </row>
    <row r="9" spans="1:14" x14ac:dyDescent="0.25">
      <c r="A9" s="70" t="s">
        <v>198</v>
      </c>
      <c r="B9" s="102" t="s">
        <v>182</v>
      </c>
      <c r="C9" s="54" t="s">
        <v>170</v>
      </c>
      <c r="D9" s="107">
        <f>(4/70)*5</f>
        <v>0.2857142857142857</v>
      </c>
      <c r="E9" s="75"/>
      <c r="F9" s="76"/>
      <c r="G9" s="74"/>
      <c r="H9" s="105"/>
      <c r="I9" s="77"/>
      <c r="J9" s="77"/>
      <c r="K9" s="78"/>
      <c r="L9" s="79">
        <v>9</v>
      </c>
      <c r="M9" s="79"/>
      <c r="N9" s="80"/>
    </row>
    <row r="10" spans="1:14" x14ac:dyDescent="0.25">
      <c r="A10" s="70" t="s">
        <v>198</v>
      </c>
      <c r="B10" s="102" t="s">
        <v>184</v>
      </c>
      <c r="C10" s="54" t="s">
        <v>170</v>
      </c>
      <c r="D10" s="107">
        <f>(6/70)*5</f>
        <v>0.4285714285714286</v>
      </c>
      <c r="E10" s="67"/>
      <c r="F10" s="56"/>
      <c r="G10" s="54"/>
      <c r="H10" s="105"/>
      <c r="I10" s="57"/>
      <c r="J10" s="57"/>
      <c r="K10" s="69"/>
      <c r="L10" s="73">
        <v>10</v>
      </c>
      <c r="M10" s="73"/>
      <c r="N10" s="64"/>
    </row>
    <row r="11" spans="1:14" x14ac:dyDescent="0.25">
      <c r="A11" s="70" t="s">
        <v>174</v>
      </c>
      <c r="B11" t="s">
        <v>198</v>
      </c>
      <c r="C11" s="54" t="s">
        <v>171</v>
      </c>
      <c r="D11" s="107">
        <f>(5/57)*5</f>
        <v>0.43859649122807015</v>
      </c>
      <c r="E11" s="67"/>
      <c r="F11" s="56"/>
      <c r="G11" s="54"/>
      <c r="H11" s="105"/>
      <c r="I11" s="57"/>
      <c r="J11" s="57"/>
      <c r="K11" s="69"/>
      <c r="L11" s="73">
        <v>11</v>
      </c>
      <c r="M11" s="73"/>
      <c r="N11" s="64"/>
    </row>
    <row r="12" spans="1:14" x14ac:dyDescent="0.25">
      <c r="A12" s="70" t="s">
        <v>174</v>
      </c>
      <c r="B12" t="s">
        <v>174</v>
      </c>
      <c r="C12" s="54" t="s">
        <v>171</v>
      </c>
      <c r="D12" s="107">
        <f>33/57*5</f>
        <v>2.8947368421052633</v>
      </c>
      <c r="E12" s="67"/>
      <c r="F12" s="56"/>
      <c r="G12" s="54"/>
      <c r="H12" s="105"/>
      <c r="I12" s="57"/>
      <c r="J12" s="57"/>
      <c r="K12" s="69"/>
      <c r="L12" s="73">
        <v>12</v>
      </c>
      <c r="M12" s="73"/>
      <c r="N12" s="64"/>
    </row>
    <row r="13" spans="1:14" x14ac:dyDescent="0.25">
      <c r="A13" s="70" t="s">
        <v>174</v>
      </c>
      <c r="B13" t="s">
        <v>175</v>
      </c>
      <c r="C13" s="54" t="s">
        <v>171</v>
      </c>
      <c r="D13" s="107">
        <f>2/57*5</f>
        <v>0.17543859649122806</v>
      </c>
      <c r="E13" s="67"/>
      <c r="F13" s="56"/>
      <c r="G13" s="54"/>
      <c r="H13" s="105"/>
      <c r="I13" s="57"/>
      <c r="J13" s="57"/>
      <c r="K13" s="69"/>
      <c r="L13" s="73">
        <v>13</v>
      </c>
      <c r="M13" s="73"/>
      <c r="N13" s="64"/>
    </row>
    <row r="14" spans="1:14" x14ac:dyDescent="0.25">
      <c r="A14" s="70" t="s">
        <v>174</v>
      </c>
      <c r="B14" t="s">
        <v>177</v>
      </c>
      <c r="C14" s="54" t="s">
        <v>171</v>
      </c>
      <c r="D14" s="107">
        <f>4/57*5</f>
        <v>0.35087719298245612</v>
      </c>
      <c r="E14" s="67"/>
      <c r="F14" s="56"/>
      <c r="G14" s="54"/>
      <c r="H14" s="105"/>
      <c r="I14" s="57"/>
      <c r="J14" s="57"/>
      <c r="K14" s="69"/>
      <c r="L14" s="73">
        <v>14</v>
      </c>
      <c r="M14" s="73"/>
      <c r="N14" s="64"/>
    </row>
    <row r="15" spans="1:14" x14ac:dyDescent="0.25">
      <c r="A15" s="70" t="s">
        <v>174</v>
      </c>
      <c r="B15" s="50" t="s">
        <v>178</v>
      </c>
      <c r="C15" s="54" t="s">
        <v>171</v>
      </c>
      <c r="D15" s="107">
        <f>2/57*5</f>
        <v>0.17543859649122806</v>
      </c>
      <c r="E15" s="67"/>
      <c r="F15" s="56"/>
      <c r="G15" s="54"/>
      <c r="H15" s="105"/>
      <c r="I15" s="57"/>
      <c r="J15" s="57"/>
      <c r="K15" s="69"/>
      <c r="L15" s="73">
        <v>15</v>
      </c>
      <c r="M15" s="73"/>
      <c r="N15" s="64"/>
    </row>
    <row r="16" spans="1:14" x14ac:dyDescent="0.25">
      <c r="A16" s="70" t="s">
        <v>174</v>
      </c>
      <c r="B16" s="50" t="s">
        <v>179</v>
      </c>
      <c r="C16" s="54" t="s">
        <v>171</v>
      </c>
      <c r="D16" s="107">
        <f>3/57*5</f>
        <v>0.26315789473684209</v>
      </c>
      <c r="E16" s="67"/>
      <c r="F16" s="56"/>
      <c r="G16" s="54"/>
      <c r="H16" s="105"/>
      <c r="I16" s="57"/>
      <c r="J16" s="57"/>
      <c r="K16" s="69"/>
      <c r="L16" s="73">
        <v>16</v>
      </c>
      <c r="M16" s="73"/>
      <c r="N16" s="64"/>
    </row>
    <row r="17" spans="1:14" x14ac:dyDescent="0.25">
      <c r="A17" s="70" t="s">
        <v>174</v>
      </c>
      <c r="B17" s="50" t="s">
        <v>180</v>
      </c>
      <c r="C17" s="54" t="s">
        <v>171</v>
      </c>
      <c r="D17" s="107">
        <f>5/57*5</f>
        <v>0.43859649122807015</v>
      </c>
      <c r="E17" s="67"/>
      <c r="F17" s="56"/>
      <c r="G17" s="54"/>
      <c r="H17" s="105"/>
      <c r="I17" s="57"/>
      <c r="J17" s="57"/>
      <c r="K17" s="69"/>
      <c r="L17" s="73">
        <v>17</v>
      </c>
      <c r="M17" s="73"/>
      <c r="N17" s="64"/>
    </row>
    <row r="18" spans="1:14" x14ac:dyDescent="0.25">
      <c r="A18" s="70" t="s">
        <v>174</v>
      </c>
      <c r="B18" s="50" t="s">
        <v>184</v>
      </c>
      <c r="C18" s="54" t="s">
        <v>171</v>
      </c>
      <c r="D18" s="107">
        <f>3/57*5</f>
        <v>0.26315789473684209</v>
      </c>
      <c r="E18" s="67"/>
      <c r="F18" s="56"/>
      <c r="G18" s="54"/>
      <c r="H18" s="105"/>
      <c r="I18" s="57"/>
      <c r="J18" s="57"/>
      <c r="K18" s="69"/>
      <c r="L18" s="73">
        <v>18</v>
      </c>
      <c r="M18" s="73"/>
      <c r="N18" s="64"/>
    </row>
    <row r="19" spans="1:14" x14ac:dyDescent="0.25">
      <c r="A19" s="70" t="s">
        <v>175</v>
      </c>
      <c r="B19" t="s">
        <v>174</v>
      </c>
      <c r="C19" s="54" t="s">
        <v>172</v>
      </c>
      <c r="D19" s="107">
        <f>7/29*5</f>
        <v>1.2068965517241379</v>
      </c>
      <c r="E19" s="67"/>
      <c r="F19" s="56"/>
      <c r="G19" s="54"/>
      <c r="H19" s="105"/>
      <c r="I19" s="57"/>
      <c r="J19" s="57"/>
      <c r="K19" s="69"/>
      <c r="L19" s="73">
        <v>19</v>
      </c>
      <c r="M19" s="73"/>
      <c r="N19" s="64"/>
    </row>
    <row r="20" spans="1:14" x14ac:dyDescent="0.25">
      <c r="A20" s="70" t="s">
        <v>175</v>
      </c>
      <c r="B20" s="50" t="s">
        <v>175</v>
      </c>
      <c r="C20" s="54" t="s">
        <v>172</v>
      </c>
      <c r="D20" s="107">
        <f>7/29*5</f>
        <v>1.2068965517241379</v>
      </c>
      <c r="E20" s="67"/>
      <c r="F20" s="56"/>
      <c r="G20" s="54"/>
      <c r="H20" s="105"/>
      <c r="I20" s="57"/>
      <c r="J20" s="57"/>
      <c r="K20" s="69"/>
      <c r="L20" s="73">
        <v>20</v>
      </c>
      <c r="M20" s="73"/>
      <c r="N20" s="64"/>
    </row>
    <row r="21" spans="1:14" x14ac:dyDescent="0.25">
      <c r="A21" s="70" t="s">
        <v>175</v>
      </c>
      <c r="B21" t="s">
        <v>178</v>
      </c>
      <c r="C21" s="54" t="s">
        <v>172</v>
      </c>
      <c r="D21" s="107">
        <f>12/29*5</f>
        <v>2.0689655172413794</v>
      </c>
      <c r="E21" s="67"/>
      <c r="F21" s="56"/>
      <c r="G21" s="54"/>
      <c r="H21" s="105"/>
      <c r="I21" s="57"/>
      <c r="J21" s="57"/>
      <c r="K21" s="69"/>
      <c r="L21" s="73">
        <v>21</v>
      </c>
      <c r="M21" s="73"/>
      <c r="N21" s="64"/>
    </row>
    <row r="22" spans="1:14" x14ac:dyDescent="0.25">
      <c r="A22" s="70" t="s">
        <v>175</v>
      </c>
      <c r="B22" t="s">
        <v>184</v>
      </c>
      <c r="C22" s="54" t="s">
        <v>172</v>
      </c>
      <c r="D22" s="107">
        <f>1/29*5</f>
        <v>0.17241379310344829</v>
      </c>
      <c r="E22" s="67"/>
      <c r="F22" s="56"/>
      <c r="G22" s="54"/>
      <c r="H22" s="105"/>
      <c r="I22" s="57"/>
      <c r="J22" s="57"/>
      <c r="K22" s="69"/>
      <c r="L22" s="73">
        <v>22</v>
      </c>
      <c r="M22" s="73"/>
      <c r="N22" s="64"/>
    </row>
    <row r="23" spans="1:14" x14ac:dyDescent="0.25">
      <c r="A23" s="70" t="s">
        <v>175</v>
      </c>
      <c r="B23" t="s">
        <v>185</v>
      </c>
      <c r="C23" s="54" t="s">
        <v>172</v>
      </c>
      <c r="D23" s="107">
        <f>2/29*5</f>
        <v>0.34482758620689657</v>
      </c>
      <c r="E23" s="67"/>
      <c r="F23" s="56"/>
      <c r="G23" s="54"/>
      <c r="H23" s="105"/>
      <c r="I23" s="57"/>
      <c r="J23" s="57"/>
      <c r="K23" s="69"/>
      <c r="L23" s="73">
        <v>23</v>
      </c>
      <c r="M23" s="73"/>
      <c r="N23" s="64"/>
    </row>
    <row r="24" spans="1:14" x14ac:dyDescent="0.25">
      <c r="A24" s="70" t="s">
        <v>176</v>
      </c>
      <c r="B24" s="103" t="s">
        <v>198</v>
      </c>
      <c r="C24" s="54" t="s">
        <v>188</v>
      </c>
      <c r="D24" s="107">
        <f>2/25*5</f>
        <v>0.4</v>
      </c>
      <c r="E24" s="67"/>
      <c r="F24" s="56"/>
      <c r="G24" s="54"/>
      <c r="H24" s="105"/>
      <c r="I24" s="57"/>
      <c r="J24" s="57"/>
      <c r="K24" s="69"/>
      <c r="L24" s="73">
        <v>24</v>
      </c>
      <c r="M24" s="73"/>
      <c r="N24" s="64"/>
    </row>
    <row r="25" spans="1:14" x14ac:dyDescent="0.25">
      <c r="A25" s="70" t="s">
        <v>176</v>
      </c>
      <c r="B25" s="103" t="s">
        <v>174</v>
      </c>
      <c r="C25" s="54" t="s">
        <v>188</v>
      </c>
      <c r="D25" s="107">
        <f>2/25*5</f>
        <v>0.4</v>
      </c>
      <c r="E25" s="67"/>
      <c r="F25" s="56"/>
      <c r="G25" s="54"/>
      <c r="H25" s="105"/>
      <c r="I25" s="57"/>
      <c r="J25" s="57"/>
      <c r="K25" s="69"/>
      <c r="L25" s="73">
        <v>25</v>
      </c>
      <c r="M25" s="73"/>
      <c r="N25" s="64"/>
    </row>
    <row r="26" spans="1:14" x14ac:dyDescent="0.25">
      <c r="A26" s="70" t="s">
        <v>176</v>
      </c>
      <c r="B26" s="103" t="s">
        <v>176</v>
      </c>
      <c r="C26" s="54" t="s">
        <v>188</v>
      </c>
      <c r="D26" s="107">
        <f>9/25*5</f>
        <v>1.7999999999999998</v>
      </c>
      <c r="E26" s="67"/>
      <c r="F26" s="56"/>
      <c r="G26" s="54"/>
      <c r="H26" s="105"/>
      <c r="I26" s="57"/>
      <c r="J26" s="57"/>
      <c r="K26" s="69"/>
      <c r="L26" s="73">
        <v>26</v>
      </c>
      <c r="M26" s="73"/>
      <c r="N26" s="64"/>
    </row>
    <row r="27" spans="1:14" x14ac:dyDescent="0.25">
      <c r="A27" s="70" t="s">
        <v>176</v>
      </c>
      <c r="B27" s="50" t="s">
        <v>177</v>
      </c>
      <c r="C27" s="54" t="s">
        <v>188</v>
      </c>
      <c r="D27" s="107">
        <f>7/25*5</f>
        <v>1.4000000000000001</v>
      </c>
      <c r="E27" s="75"/>
      <c r="F27" s="76"/>
      <c r="G27" s="74"/>
      <c r="H27" s="105"/>
      <c r="I27" s="77"/>
      <c r="J27" s="77"/>
      <c r="K27" s="78"/>
      <c r="L27" s="79">
        <v>27</v>
      </c>
      <c r="M27" s="79"/>
      <c r="N27" s="80"/>
    </row>
    <row r="28" spans="1:14" x14ac:dyDescent="0.25">
      <c r="A28" s="70" t="s">
        <v>176</v>
      </c>
      <c r="B28" s="50" t="s">
        <v>179</v>
      </c>
      <c r="C28" s="54" t="s">
        <v>188</v>
      </c>
      <c r="D28" s="107">
        <f>1/25*5</f>
        <v>0.2</v>
      </c>
      <c r="E28" s="67"/>
      <c r="F28" s="56"/>
      <c r="G28" s="54"/>
      <c r="H28" s="105"/>
      <c r="I28" s="57"/>
      <c r="J28" s="57"/>
      <c r="K28" s="69"/>
      <c r="L28" s="73">
        <v>28</v>
      </c>
      <c r="M28" s="73"/>
      <c r="N28" s="64"/>
    </row>
    <row r="29" spans="1:14" x14ac:dyDescent="0.25">
      <c r="A29" s="70" t="s">
        <v>176</v>
      </c>
      <c r="B29" s="50" t="s">
        <v>180</v>
      </c>
      <c r="C29" s="54" t="s">
        <v>188</v>
      </c>
      <c r="D29" s="107">
        <f>1/25*5</f>
        <v>0.2</v>
      </c>
      <c r="E29" s="67"/>
      <c r="F29" s="56"/>
      <c r="G29" s="54"/>
      <c r="H29" s="105"/>
      <c r="I29" s="57"/>
      <c r="J29" s="57"/>
      <c r="K29" s="69"/>
      <c r="L29" s="73">
        <v>29</v>
      </c>
      <c r="M29" s="73"/>
      <c r="N29" s="64"/>
    </row>
    <row r="30" spans="1:14" x14ac:dyDescent="0.25">
      <c r="A30" s="70" t="s">
        <v>176</v>
      </c>
      <c r="B30" s="50" t="s">
        <v>183</v>
      </c>
      <c r="C30" s="54" t="s">
        <v>188</v>
      </c>
      <c r="D30" s="107">
        <f>1/25*5</f>
        <v>0.2</v>
      </c>
      <c r="E30" s="67"/>
      <c r="F30" s="56"/>
      <c r="G30" s="54"/>
      <c r="H30" s="105"/>
      <c r="I30" s="57"/>
      <c r="J30" s="57"/>
      <c r="K30" s="69"/>
      <c r="L30" s="73">
        <v>30</v>
      </c>
      <c r="M30" s="73"/>
      <c r="N30" s="64"/>
    </row>
    <row r="31" spans="1:14" x14ac:dyDescent="0.25">
      <c r="A31" s="70" t="s">
        <v>176</v>
      </c>
      <c r="B31" s="50" t="s">
        <v>184</v>
      </c>
      <c r="C31" s="54" t="s">
        <v>188</v>
      </c>
      <c r="D31" s="107">
        <f>2/25*5</f>
        <v>0.4</v>
      </c>
      <c r="E31" s="67"/>
      <c r="F31" s="56"/>
      <c r="G31" s="54"/>
      <c r="H31" s="105"/>
      <c r="I31" s="57"/>
      <c r="J31" s="57"/>
      <c r="K31" s="69"/>
      <c r="L31" s="73">
        <v>31</v>
      </c>
      <c r="M31" s="73"/>
      <c r="N31" s="64"/>
    </row>
    <row r="32" spans="1:14" x14ac:dyDescent="0.25">
      <c r="A32" s="70" t="s">
        <v>177</v>
      </c>
      <c r="B32" s="104" t="s">
        <v>198</v>
      </c>
      <c r="C32" s="54" t="s">
        <v>189</v>
      </c>
      <c r="D32" s="107">
        <f>4/54*5</f>
        <v>0.37037037037037035</v>
      </c>
      <c r="E32" s="67"/>
      <c r="F32" s="56"/>
      <c r="G32" s="54"/>
      <c r="H32" s="105"/>
      <c r="I32" s="57"/>
      <c r="J32" s="57"/>
      <c r="K32" s="69"/>
      <c r="L32" s="73">
        <v>32</v>
      </c>
      <c r="M32" s="73"/>
      <c r="N32" s="64"/>
    </row>
    <row r="33" spans="1:14" x14ac:dyDescent="0.25">
      <c r="A33" s="70" t="s">
        <v>177</v>
      </c>
      <c r="B33" s="104" t="s">
        <v>174</v>
      </c>
      <c r="C33" s="54" t="s">
        <v>189</v>
      </c>
      <c r="D33" s="107">
        <f>9/54*5</f>
        <v>0.83333333333333326</v>
      </c>
      <c r="E33" s="67"/>
      <c r="F33" s="56"/>
      <c r="G33" s="54"/>
      <c r="H33" s="105"/>
      <c r="I33" s="57"/>
      <c r="J33" s="57"/>
      <c r="K33" s="69"/>
      <c r="L33" s="73">
        <v>33</v>
      </c>
      <c r="M33" s="73"/>
      <c r="N33" s="64"/>
    </row>
    <row r="34" spans="1:14" x14ac:dyDescent="0.25">
      <c r="A34" s="70" t="s">
        <v>177</v>
      </c>
      <c r="B34" s="104" t="s">
        <v>175</v>
      </c>
      <c r="C34" s="54" t="s">
        <v>189</v>
      </c>
      <c r="D34" s="107">
        <f>6/54*5</f>
        <v>0.55555555555555558</v>
      </c>
      <c r="E34" s="67"/>
      <c r="F34" s="56"/>
      <c r="G34" s="54"/>
      <c r="H34" s="105"/>
      <c r="I34" s="57"/>
      <c r="J34" s="57"/>
      <c r="K34" s="69"/>
      <c r="L34" s="73">
        <v>34</v>
      </c>
      <c r="M34" s="73"/>
      <c r="N34" s="64"/>
    </row>
    <row r="35" spans="1:14" x14ac:dyDescent="0.25">
      <c r="A35" s="70" t="s">
        <v>177</v>
      </c>
      <c r="B35" s="104" t="s">
        <v>176</v>
      </c>
      <c r="C35" s="54" t="s">
        <v>189</v>
      </c>
      <c r="D35" s="107">
        <f>8/54*5</f>
        <v>0.7407407407407407</v>
      </c>
      <c r="E35" s="67"/>
      <c r="F35" s="56"/>
      <c r="G35" s="54"/>
      <c r="H35" s="105"/>
      <c r="I35" s="57"/>
      <c r="J35" s="57"/>
      <c r="K35" s="69"/>
      <c r="L35" s="73">
        <v>35</v>
      </c>
      <c r="M35" s="73"/>
      <c r="N35" s="64"/>
    </row>
    <row r="36" spans="1:14" x14ac:dyDescent="0.25">
      <c r="A36" s="70" t="s">
        <v>177</v>
      </c>
      <c r="B36" s="104" t="s">
        <v>177</v>
      </c>
      <c r="C36" s="54" t="s">
        <v>189</v>
      </c>
      <c r="D36" s="107">
        <f>19/54*5</f>
        <v>1.7592592592592593</v>
      </c>
      <c r="E36" s="67"/>
      <c r="F36" s="56"/>
      <c r="G36" s="54"/>
      <c r="H36" s="105"/>
      <c r="I36" s="57"/>
      <c r="J36" s="57"/>
      <c r="K36" s="69"/>
      <c r="L36" s="73">
        <v>36</v>
      </c>
      <c r="M36" s="73"/>
      <c r="N36" s="64"/>
    </row>
    <row r="37" spans="1:14" x14ac:dyDescent="0.25">
      <c r="A37" s="70" t="s">
        <v>177</v>
      </c>
      <c r="B37" s="104" t="s">
        <v>178</v>
      </c>
      <c r="C37" s="54" t="s">
        <v>189</v>
      </c>
      <c r="D37" s="107">
        <f>4/54*5</f>
        <v>0.37037037037037035</v>
      </c>
      <c r="E37" s="54"/>
      <c r="F37" s="56"/>
      <c r="G37" s="54"/>
      <c r="H37" s="105"/>
      <c r="I37" s="57"/>
      <c r="J37" s="57"/>
      <c r="K37" s="69"/>
      <c r="L37" s="63">
        <v>37</v>
      </c>
      <c r="M37" s="63"/>
      <c r="N37" s="64"/>
    </row>
    <row r="38" spans="1:14" x14ac:dyDescent="0.25">
      <c r="A38" s="70" t="s">
        <v>177</v>
      </c>
      <c r="B38" s="104" t="s">
        <v>184</v>
      </c>
      <c r="C38" s="54" t="s">
        <v>189</v>
      </c>
      <c r="D38" s="107">
        <f>3/54*5</f>
        <v>0.27777777777777779</v>
      </c>
      <c r="E38" s="54"/>
      <c r="F38" s="56"/>
      <c r="G38" s="54"/>
      <c r="H38" s="105"/>
      <c r="I38" s="57"/>
      <c r="J38" s="57"/>
      <c r="K38" s="69"/>
      <c r="L38" s="63">
        <v>38</v>
      </c>
      <c r="M38" s="63"/>
      <c r="N38" s="64"/>
    </row>
    <row r="39" spans="1:14" x14ac:dyDescent="0.25">
      <c r="A39" s="70" t="s">
        <v>177</v>
      </c>
      <c r="B39" s="104" t="s">
        <v>185</v>
      </c>
      <c r="C39" s="54" t="s">
        <v>189</v>
      </c>
      <c r="D39" s="107">
        <f>1/54*5</f>
        <v>9.2592592592592587E-2</v>
      </c>
      <c r="E39" s="54"/>
      <c r="F39" s="56"/>
      <c r="G39" s="54"/>
      <c r="H39" s="105"/>
      <c r="I39" s="57"/>
      <c r="J39" s="57"/>
      <c r="K39" s="69"/>
      <c r="L39" s="63">
        <v>39</v>
      </c>
      <c r="M39" s="63"/>
      <c r="N39" s="64"/>
    </row>
    <row r="40" spans="1:14" x14ac:dyDescent="0.25">
      <c r="A40" s="70" t="s">
        <v>178</v>
      </c>
      <c r="B40" s="110" t="s">
        <v>198</v>
      </c>
      <c r="C40" s="54" t="s">
        <v>190</v>
      </c>
      <c r="D40" s="107">
        <f>1/36*5</f>
        <v>0.1388888888888889</v>
      </c>
      <c r="E40" s="54"/>
      <c r="F40" s="56"/>
      <c r="G40" s="54"/>
      <c r="H40" s="105"/>
      <c r="I40" s="57"/>
      <c r="J40" s="57"/>
      <c r="K40" s="69"/>
      <c r="L40" s="63">
        <v>40</v>
      </c>
      <c r="M40" s="63"/>
      <c r="N40" s="64"/>
    </row>
    <row r="41" spans="1:14" x14ac:dyDescent="0.25">
      <c r="A41" s="70" t="s">
        <v>178</v>
      </c>
      <c r="B41" s="110" t="s">
        <v>174</v>
      </c>
      <c r="C41" s="54" t="s">
        <v>190</v>
      </c>
      <c r="D41" s="107">
        <f>1/36*5</f>
        <v>0.1388888888888889</v>
      </c>
      <c r="E41" s="54"/>
      <c r="F41" s="56"/>
      <c r="G41" s="54"/>
      <c r="H41" s="105"/>
      <c r="I41" s="57"/>
      <c r="J41" s="57"/>
      <c r="K41" s="69"/>
      <c r="L41" s="63">
        <v>41</v>
      </c>
      <c r="M41" s="63"/>
      <c r="N41" s="64"/>
    </row>
    <row r="42" spans="1:14" x14ac:dyDescent="0.25">
      <c r="A42" s="70" t="s">
        <v>178</v>
      </c>
      <c r="B42" s="110" t="s">
        <v>175</v>
      </c>
      <c r="C42" s="54" t="s">
        <v>190</v>
      </c>
      <c r="D42" s="107">
        <f>13/36*5</f>
        <v>1.8055555555555556</v>
      </c>
      <c r="E42" s="54"/>
      <c r="F42" s="56"/>
      <c r="G42" s="54"/>
      <c r="H42" s="105"/>
      <c r="I42" s="57"/>
      <c r="J42" s="57"/>
      <c r="K42" s="69"/>
      <c r="L42" s="63">
        <v>42</v>
      </c>
      <c r="M42" s="63"/>
      <c r="N42" s="64"/>
    </row>
    <row r="43" spans="1:14" x14ac:dyDescent="0.25">
      <c r="A43" s="70" t="s">
        <v>178</v>
      </c>
      <c r="B43" s="110" t="s">
        <v>177</v>
      </c>
      <c r="C43" s="54" t="s">
        <v>190</v>
      </c>
      <c r="D43" s="107">
        <f>1/36*5</f>
        <v>0.1388888888888889</v>
      </c>
      <c r="E43" s="54"/>
      <c r="F43" s="56"/>
      <c r="G43" s="54"/>
      <c r="H43" s="105"/>
      <c r="I43" s="57"/>
      <c r="J43" s="57"/>
      <c r="K43" s="69"/>
      <c r="L43" s="63">
        <v>43</v>
      </c>
      <c r="M43" s="63"/>
      <c r="N43" s="64"/>
    </row>
    <row r="44" spans="1:14" x14ac:dyDescent="0.25">
      <c r="A44" s="70" t="s">
        <v>178</v>
      </c>
      <c r="B44" s="50" t="s">
        <v>178</v>
      </c>
      <c r="C44" s="54" t="s">
        <v>190</v>
      </c>
      <c r="D44" s="107">
        <f>17/36*5</f>
        <v>2.3611111111111112</v>
      </c>
      <c r="E44" s="54"/>
      <c r="F44" s="56"/>
      <c r="G44" s="54"/>
      <c r="H44" s="105"/>
      <c r="I44" s="57"/>
      <c r="J44" s="57"/>
      <c r="K44" s="69"/>
      <c r="L44" s="63">
        <v>44</v>
      </c>
      <c r="M44" s="63"/>
      <c r="N44" s="64"/>
    </row>
    <row r="45" spans="1:14" x14ac:dyDescent="0.25">
      <c r="A45" s="70" t="s">
        <v>178</v>
      </c>
      <c r="B45" s="50" t="s">
        <v>179</v>
      </c>
      <c r="C45" s="54" t="s">
        <v>190</v>
      </c>
      <c r="D45" s="107">
        <f>1/36*5</f>
        <v>0.1388888888888889</v>
      </c>
      <c r="E45" s="54"/>
      <c r="F45" s="56"/>
      <c r="G45" s="54"/>
      <c r="H45" s="105"/>
      <c r="I45" s="57"/>
      <c r="J45" s="57"/>
      <c r="K45" s="69"/>
      <c r="L45" s="63">
        <v>45</v>
      </c>
      <c r="M45" s="63"/>
      <c r="N45" s="64"/>
    </row>
    <row r="46" spans="1:14" x14ac:dyDescent="0.25">
      <c r="A46" s="70" t="s">
        <v>178</v>
      </c>
      <c r="B46" s="50" t="s">
        <v>184</v>
      </c>
      <c r="C46" s="54" t="s">
        <v>190</v>
      </c>
      <c r="D46" s="107">
        <f>1/36*5</f>
        <v>0.1388888888888889</v>
      </c>
      <c r="E46" s="54"/>
      <c r="F46" s="56"/>
      <c r="G46" s="54"/>
      <c r="H46" s="105"/>
      <c r="I46" s="57"/>
      <c r="J46" s="57"/>
      <c r="K46" s="69"/>
      <c r="L46" s="63">
        <v>46</v>
      </c>
      <c r="M46" s="63"/>
      <c r="N46" s="64"/>
    </row>
    <row r="47" spans="1:14" x14ac:dyDescent="0.25">
      <c r="A47" s="70" t="s">
        <v>178</v>
      </c>
      <c r="B47" s="50" t="s">
        <v>185</v>
      </c>
      <c r="C47" s="54" t="s">
        <v>190</v>
      </c>
      <c r="D47" s="107">
        <f>1/36*5</f>
        <v>0.1388888888888889</v>
      </c>
      <c r="E47" s="54"/>
      <c r="F47" s="56"/>
      <c r="G47" s="54"/>
      <c r="H47" s="105"/>
      <c r="I47" s="57"/>
      <c r="J47" s="57"/>
      <c r="K47" s="69"/>
      <c r="L47" s="63">
        <v>47</v>
      </c>
      <c r="M47" s="63"/>
      <c r="N47" s="64"/>
    </row>
    <row r="48" spans="1:14" x14ac:dyDescent="0.25">
      <c r="A48" s="70" t="s">
        <v>179</v>
      </c>
      <c r="B48" s="111" t="s">
        <v>198</v>
      </c>
      <c r="C48" s="15" t="s">
        <v>191</v>
      </c>
      <c r="D48" s="107">
        <f>4/33*5</f>
        <v>0.60606060606060608</v>
      </c>
      <c r="E48" s="54"/>
      <c r="F48" s="56"/>
      <c r="G48" s="54"/>
      <c r="H48" s="105"/>
      <c r="I48" s="57"/>
      <c r="J48" s="57"/>
      <c r="K48" s="69"/>
      <c r="L48" s="63">
        <v>48</v>
      </c>
      <c r="M48" s="63"/>
      <c r="N48" s="64"/>
    </row>
    <row r="49" spans="1:14" x14ac:dyDescent="0.25">
      <c r="A49" s="70" t="s">
        <v>179</v>
      </c>
      <c r="B49" s="111" t="s">
        <v>174</v>
      </c>
      <c r="C49" s="15" t="s">
        <v>191</v>
      </c>
      <c r="D49" s="107">
        <f>6/33*5</f>
        <v>0.90909090909090917</v>
      </c>
      <c r="E49" s="54"/>
      <c r="F49" s="56"/>
      <c r="G49" s="54"/>
      <c r="H49" s="105"/>
      <c r="I49" s="57"/>
      <c r="J49" s="57"/>
      <c r="K49" s="69"/>
      <c r="L49" s="63">
        <v>49</v>
      </c>
      <c r="M49" s="63"/>
      <c r="N49" s="64"/>
    </row>
    <row r="50" spans="1:14" x14ac:dyDescent="0.25">
      <c r="A50" s="70" t="s">
        <v>179</v>
      </c>
      <c r="B50" s="111" t="s">
        <v>175</v>
      </c>
      <c r="C50" s="15" t="s">
        <v>191</v>
      </c>
      <c r="D50" s="107">
        <f>2/33*5</f>
        <v>0.30303030303030304</v>
      </c>
      <c r="E50" s="54"/>
      <c r="F50" s="56"/>
      <c r="G50" s="54"/>
      <c r="H50" s="105"/>
      <c r="I50" s="57"/>
      <c r="J50" s="57"/>
      <c r="K50" s="69"/>
      <c r="L50" s="63">
        <v>50</v>
      </c>
      <c r="M50" s="63"/>
      <c r="N50" s="64"/>
    </row>
    <row r="51" spans="1:14" x14ac:dyDescent="0.25">
      <c r="A51" s="70" t="s">
        <v>179</v>
      </c>
      <c r="B51" s="111" t="s">
        <v>176</v>
      </c>
      <c r="C51" s="15" t="s">
        <v>191</v>
      </c>
      <c r="D51" s="107">
        <f>1/33*5</f>
        <v>0.15151515151515152</v>
      </c>
      <c r="E51" s="54"/>
      <c r="F51" s="56"/>
      <c r="G51" s="54"/>
      <c r="H51" s="105"/>
      <c r="I51" s="57"/>
      <c r="J51" s="57"/>
      <c r="K51" s="69"/>
      <c r="L51" s="63">
        <v>51</v>
      </c>
      <c r="M51" s="63"/>
      <c r="N51" s="64"/>
    </row>
    <row r="52" spans="1:14" x14ac:dyDescent="0.25">
      <c r="A52" s="70" t="s">
        <v>179</v>
      </c>
      <c r="B52" s="111" t="s">
        <v>178</v>
      </c>
      <c r="C52" s="15" t="s">
        <v>191</v>
      </c>
      <c r="D52" s="107">
        <f>1/33*5</f>
        <v>0.15151515151515152</v>
      </c>
      <c r="E52" s="54"/>
      <c r="F52" s="56"/>
      <c r="G52" s="54"/>
      <c r="H52" s="105"/>
      <c r="I52" s="57"/>
      <c r="J52" s="57"/>
      <c r="K52" s="69"/>
      <c r="L52" s="63">
        <v>52</v>
      </c>
      <c r="M52" s="63"/>
      <c r="N52" s="64"/>
    </row>
    <row r="53" spans="1:14" x14ac:dyDescent="0.25">
      <c r="A53" s="70" t="s">
        <v>179</v>
      </c>
      <c r="B53" s="50" t="s">
        <v>179</v>
      </c>
      <c r="C53" s="15" t="s">
        <v>191</v>
      </c>
      <c r="D53" s="107">
        <f>6/33*5</f>
        <v>0.90909090909090917</v>
      </c>
      <c r="E53" s="54"/>
      <c r="F53" s="56"/>
      <c r="G53" s="54"/>
      <c r="H53" s="105"/>
      <c r="I53" s="57"/>
      <c r="J53" s="57"/>
      <c r="K53" s="69"/>
      <c r="L53" s="63">
        <v>53</v>
      </c>
      <c r="M53" s="63"/>
      <c r="N53" s="64"/>
    </row>
    <row r="54" spans="1:14" x14ac:dyDescent="0.25">
      <c r="A54" s="70" t="s">
        <v>179</v>
      </c>
      <c r="B54" s="50" t="s">
        <v>180</v>
      </c>
      <c r="C54" s="15" t="s">
        <v>191</v>
      </c>
      <c r="D54" s="107">
        <f>4/33*5</f>
        <v>0.60606060606060608</v>
      </c>
      <c r="E54" s="54"/>
      <c r="F54" s="56"/>
      <c r="G54" s="54"/>
      <c r="H54" s="105"/>
      <c r="I54" s="57"/>
      <c r="J54" s="57"/>
      <c r="K54" s="69"/>
      <c r="L54" s="63">
        <v>54</v>
      </c>
      <c r="M54" s="63"/>
      <c r="N54" s="64"/>
    </row>
    <row r="55" spans="1:14" x14ac:dyDescent="0.25">
      <c r="A55" s="70" t="s">
        <v>179</v>
      </c>
      <c r="B55" s="50" t="s">
        <v>181</v>
      </c>
      <c r="C55" s="15" t="s">
        <v>191</v>
      </c>
      <c r="D55" s="107">
        <f>1/33*5</f>
        <v>0.15151515151515152</v>
      </c>
      <c r="E55" s="54"/>
      <c r="F55" s="56"/>
      <c r="G55" s="54"/>
      <c r="H55" s="105"/>
      <c r="I55" s="57"/>
      <c r="J55" s="57"/>
      <c r="K55" s="69"/>
      <c r="L55" s="63">
        <v>55</v>
      </c>
      <c r="M55" s="63"/>
      <c r="N55" s="64"/>
    </row>
    <row r="56" spans="1:14" x14ac:dyDescent="0.25">
      <c r="A56" s="70" t="s">
        <v>179</v>
      </c>
      <c r="B56" s="111" t="s">
        <v>184</v>
      </c>
      <c r="C56" s="15" t="s">
        <v>191</v>
      </c>
      <c r="D56" s="107">
        <f>6/33*5</f>
        <v>0.90909090909090917</v>
      </c>
      <c r="E56" s="54"/>
      <c r="F56" s="56"/>
      <c r="G56" s="54"/>
      <c r="H56" s="105"/>
      <c r="I56" s="57"/>
      <c r="J56" s="57"/>
      <c r="K56" s="69"/>
      <c r="L56" s="63">
        <v>56</v>
      </c>
      <c r="M56" s="63"/>
      <c r="N56" s="64"/>
    </row>
    <row r="57" spans="1:14" x14ac:dyDescent="0.25">
      <c r="A57" s="70" t="s">
        <v>179</v>
      </c>
      <c r="B57" s="111" t="s">
        <v>185</v>
      </c>
      <c r="C57" s="15" t="s">
        <v>191</v>
      </c>
      <c r="D57" s="107">
        <f>2/33*5</f>
        <v>0.30303030303030304</v>
      </c>
      <c r="E57" s="54"/>
      <c r="F57" s="56"/>
      <c r="G57" s="54"/>
      <c r="H57" s="105"/>
      <c r="I57" s="57"/>
      <c r="J57" s="57"/>
      <c r="K57" s="69"/>
      <c r="L57" s="63">
        <v>57</v>
      </c>
      <c r="M57" s="63"/>
      <c r="N57" s="64"/>
    </row>
    <row r="58" spans="1:14" x14ac:dyDescent="0.25">
      <c r="A58" s="70" t="s">
        <v>180</v>
      </c>
      <c r="B58" s="112" t="s">
        <v>198</v>
      </c>
      <c r="C58" s="15" t="s">
        <v>192</v>
      </c>
      <c r="D58" s="107">
        <f>7/43*5</f>
        <v>0.81395348837209314</v>
      </c>
      <c r="E58" s="54"/>
      <c r="F58" s="56"/>
      <c r="G58" s="54"/>
      <c r="H58" s="105"/>
      <c r="I58" s="57"/>
      <c r="J58" s="57"/>
      <c r="K58" s="69"/>
      <c r="L58" s="63">
        <v>58</v>
      </c>
      <c r="M58" s="63"/>
      <c r="N58" s="64"/>
    </row>
    <row r="59" spans="1:14" x14ac:dyDescent="0.25">
      <c r="A59" s="70" t="s">
        <v>180</v>
      </c>
      <c r="B59" s="112" t="s">
        <v>174</v>
      </c>
      <c r="C59" s="15" t="s">
        <v>192</v>
      </c>
      <c r="D59" s="107">
        <f>5/43*5</f>
        <v>0.58139534883720934</v>
      </c>
      <c r="E59" s="54"/>
      <c r="F59" s="56"/>
      <c r="G59" s="54"/>
      <c r="H59" s="105"/>
      <c r="I59" s="57"/>
      <c r="J59" s="57"/>
      <c r="K59" s="69"/>
      <c r="L59" s="63">
        <v>59</v>
      </c>
      <c r="M59" s="63"/>
      <c r="N59" s="64"/>
    </row>
    <row r="60" spans="1:14" x14ac:dyDescent="0.25">
      <c r="A60" s="70" t="s">
        <v>180</v>
      </c>
      <c r="B60" s="112" t="s">
        <v>175</v>
      </c>
      <c r="C60" s="15" t="s">
        <v>192</v>
      </c>
      <c r="D60" s="107">
        <f>1/43*5</f>
        <v>0.11627906976744186</v>
      </c>
      <c r="E60" s="54"/>
      <c r="F60" s="56"/>
      <c r="G60" s="54"/>
      <c r="H60" s="105"/>
      <c r="I60" s="57"/>
      <c r="J60" s="57"/>
      <c r="K60" s="69"/>
      <c r="L60" s="63">
        <v>60</v>
      </c>
      <c r="M60" s="63"/>
      <c r="N60" s="64"/>
    </row>
    <row r="61" spans="1:14" x14ac:dyDescent="0.25">
      <c r="A61" s="70" t="s">
        <v>180</v>
      </c>
      <c r="B61" s="112" t="s">
        <v>179</v>
      </c>
      <c r="C61" s="15" t="s">
        <v>192</v>
      </c>
      <c r="D61" s="107">
        <f>3/43*5</f>
        <v>0.34883720930232559</v>
      </c>
      <c r="E61" s="54"/>
      <c r="F61" s="56"/>
      <c r="G61" s="54"/>
      <c r="H61" s="105"/>
      <c r="I61" s="57"/>
      <c r="J61" s="57"/>
      <c r="K61" s="69"/>
      <c r="L61" s="63">
        <v>61</v>
      </c>
      <c r="M61" s="63"/>
      <c r="N61" s="64"/>
    </row>
    <row r="62" spans="1:14" x14ac:dyDescent="0.25">
      <c r="A62" s="70" t="s">
        <v>180</v>
      </c>
      <c r="B62" s="112" t="s">
        <v>180</v>
      </c>
      <c r="C62" s="15" t="s">
        <v>192</v>
      </c>
      <c r="D62" s="107">
        <f>21/43*5</f>
        <v>2.441860465116279</v>
      </c>
      <c r="E62" s="54"/>
      <c r="F62" s="56"/>
      <c r="G62" s="54"/>
      <c r="H62" s="105"/>
      <c r="I62" s="57"/>
      <c r="J62" s="57"/>
      <c r="K62" s="69"/>
      <c r="L62" s="63">
        <v>62</v>
      </c>
      <c r="M62" s="63"/>
      <c r="N62" s="64"/>
    </row>
    <row r="63" spans="1:14" x14ac:dyDescent="0.25">
      <c r="A63" s="70" t="s">
        <v>180</v>
      </c>
      <c r="B63" s="112" t="s">
        <v>181</v>
      </c>
      <c r="C63" s="15" t="s">
        <v>192</v>
      </c>
      <c r="D63" s="107">
        <f>2/43*5</f>
        <v>0.23255813953488372</v>
      </c>
      <c r="E63" s="54"/>
      <c r="F63" s="56"/>
      <c r="G63" s="54"/>
      <c r="H63" s="105"/>
      <c r="I63" s="57"/>
      <c r="J63" s="57"/>
      <c r="K63" s="69"/>
      <c r="L63" s="63">
        <v>63</v>
      </c>
      <c r="M63" s="63"/>
      <c r="N63" s="64"/>
    </row>
    <row r="64" spans="1:14" x14ac:dyDescent="0.25">
      <c r="A64" s="70" t="s">
        <v>180</v>
      </c>
      <c r="B64" s="50" t="s">
        <v>182</v>
      </c>
      <c r="C64" s="54" t="s">
        <v>192</v>
      </c>
      <c r="D64" s="107">
        <f>1/43*5</f>
        <v>0.11627906976744186</v>
      </c>
      <c r="E64" s="54"/>
      <c r="F64" s="56"/>
      <c r="G64" s="54"/>
      <c r="H64" s="105"/>
      <c r="I64" s="57"/>
      <c r="J64" s="57"/>
      <c r="K64" s="69"/>
      <c r="L64" s="63">
        <v>64</v>
      </c>
      <c r="M64" s="63"/>
      <c r="N64" s="64"/>
    </row>
    <row r="65" spans="1:14" x14ac:dyDescent="0.25">
      <c r="A65" s="70" t="s">
        <v>180</v>
      </c>
      <c r="B65" s="112" t="s">
        <v>184</v>
      </c>
      <c r="C65" s="15" t="s">
        <v>192</v>
      </c>
      <c r="D65" s="107">
        <f>2/43*5</f>
        <v>0.23255813953488372</v>
      </c>
      <c r="E65" s="54"/>
      <c r="F65" s="56"/>
      <c r="G65" s="54"/>
      <c r="H65" s="105"/>
      <c r="I65" s="57"/>
      <c r="J65" s="57"/>
      <c r="K65" s="69"/>
      <c r="L65" s="63">
        <v>65</v>
      </c>
      <c r="M65" s="63"/>
      <c r="N65" s="64"/>
    </row>
    <row r="66" spans="1:14" x14ac:dyDescent="0.25">
      <c r="A66" s="70" t="s">
        <v>180</v>
      </c>
      <c r="B66" s="112" t="s">
        <v>185</v>
      </c>
      <c r="C66" s="15" t="s">
        <v>192</v>
      </c>
      <c r="D66" s="107">
        <f>1/43*5</f>
        <v>0.11627906976744186</v>
      </c>
      <c r="E66" s="54"/>
      <c r="F66" s="56"/>
      <c r="G66" s="54"/>
      <c r="H66" s="105"/>
      <c r="I66" s="57"/>
      <c r="J66" s="57"/>
      <c r="K66" s="69"/>
      <c r="L66" s="63">
        <v>66</v>
      </c>
      <c r="M66" s="63"/>
      <c r="N66" s="64"/>
    </row>
    <row r="67" spans="1:14" x14ac:dyDescent="0.25">
      <c r="A67" s="70" t="s">
        <v>181</v>
      </c>
      <c r="B67" s="113" t="s">
        <v>198</v>
      </c>
      <c r="C67" s="15" t="s">
        <v>196</v>
      </c>
      <c r="D67" s="107">
        <f>4/44*5</f>
        <v>0.45454545454545459</v>
      </c>
      <c r="E67" s="54"/>
      <c r="F67" s="56"/>
      <c r="G67" s="54"/>
      <c r="H67" s="105"/>
      <c r="I67" s="57"/>
      <c r="J67" s="57"/>
      <c r="K67" s="69"/>
      <c r="L67" s="63">
        <v>67</v>
      </c>
      <c r="M67" s="63"/>
      <c r="N67" s="64"/>
    </row>
    <row r="68" spans="1:14" x14ac:dyDescent="0.25">
      <c r="A68" s="70" t="s">
        <v>181</v>
      </c>
      <c r="B68" s="113" t="s">
        <v>174</v>
      </c>
      <c r="C68" s="15" t="s">
        <v>196</v>
      </c>
      <c r="D68" s="107">
        <f>8/44*5</f>
        <v>0.90909090909090917</v>
      </c>
      <c r="E68" s="54"/>
      <c r="F68" s="56"/>
      <c r="G68" s="54"/>
      <c r="H68" s="105"/>
      <c r="I68" s="57"/>
      <c r="J68" s="57"/>
      <c r="K68" s="69"/>
      <c r="L68" s="63">
        <v>68</v>
      </c>
      <c r="M68" s="63"/>
      <c r="N68" s="64"/>
    </row>
    <row r="69" spans="1:14" x14ac:dyDescent="0.25">
      <c r="A69" s="70" t="s">
        <v>181</v>
      </c>
      <c r="B69" s="113" t="s">
        <v>175</v>
      </c>
      <c r="C69" s="15" t="s">
        <v>196</v>
      </c>
      <c r="D69" s="107">
        <f>2/44*5</f>
        <v>0.22727272727272729</v>
      </c>
      <c r="E69" s="54"/>
      <c r="F69" s="56"/>
      <c r="G69" s="54"/>
      <c r="H69" s="105"/>
      <c r="I69" s="57"/>
      <c r="J69" s="57"/>
      <c r="K69" s="69"/>
      <c r="L69" s="63">
        <v>69</v>
      </c>
      <c r="M69" s="63"/>
      <c r="N69" s="64"/>
    </row>
    <row r="70" spans="1:14" x14ac:dyDescent="0.25">
      <c r="A70" s="70" t="s">
        <v>181</v>
      </c>
      <c r="B70" s="113" t="s">
        <v>176</v>
      </c>
      <c r="C70" s="15" t="s">
        <v>196</v>
      </c>
      <c r="D70" s="107">
        <f>4/44*5</f>
        <v>0.45454545454545459</v>
      </c>
      <c r="E70" s="54"/>
      <c r="F70" s="56"/>
      <c r="G70" s="54"/>
      <c r="H70" s="105"/>
      <c r="I70" s="57"/>
      <c r="J70" s="57"/>
      <c r="K70" s="69"/>
      <c r="L70" s="63">
        <v>70</v>
      </c>
      <c r="M70" s="63"/>
      <c r="N70" s="64"/>
    </row>
    <row r="71" spans="1:14" x14ac:dyDescent="0.25">
      <c r="A71" s="70" t="s">
        <v>181</v>
      </c>
      <c r="B71" s="113" t="s">
        <v>177</v>
      </c>
      <c r="C71" s="15" t="s">
        <v>196</v>
      </c>
      <c r="D71" s="107">
        <f>1/44*5</f>
        <v>0.11363636363636365</v>
      </c>
      <c r="E71" s="54"/>
      <c r="F71" s="56"/>
      <c r="G71" s="54"/>
      <c r="H71" s="105"/>
      <c r="I71" s="57"/>
      <c r="J71" s="57"/>
      <c r="K71" s="69"/>
      <c r="L71" s="63">
        <v>71</v>
      </c>
      <c r="M71" s="63"/>
      <c r="N71" s="64"/>
    </row>
    <row r="72" spans="1:14" x14ac:dyDescent="0.25">
      <c r="A72" s="70" t="s">
        <v>181</v>
      </c>
      <c r="B72" s="113" t="s">
        <v>179</v>
      </c>
      <c r="C72" s="15" t="s">
        <v>196</v>
      </c>
      <c r="D72" s="107">
        <f>2/44*5</f>
        <v>0.22727272727272729</v>
      </c>
      <c r="E72" s="54"/>
      <c r="F72" s="56"/>
      <c r="G72" s="54"/>
      <c r="H72" s="105"/>
      <c r="I72" s="57"/>
      <c r="J72" s="57"/>
      <c r="K72" s="69"/>
      <c r="L72" s="63">
        <v>72</v>
      </c>
      <c r="M72" s="63"/>
      <c r="N72" s="64"/>
    </row>
    <row r="73" spans="1:14" x14ac:dyDescent="0.25">
      <c r="A73" s="70" t="s">
        <v>181</v>
      </c>
      <c r="B73" s="50" t="s">
        <v>180</v>
      </c>
      <c r="C73" s="54" t="s">
        <v>196</v>
      </c>
      <c r="D73" s="107">
        <f>2/44*5</f>
        <v>0.22727272727272729</v>
      </c>
      <c r="E73" s="54"/>
      <c r="F73" s="56"/>
      <c r="G73" s="54"/>
      <c r="H73" s="105"/>
      <c r="I73" s="57"/>
      <c r="J73" s="57"/>
      <c r="K73" s="69"/>
      <c r="L73" s="63">
        <v>73</v>
      </c>
      <c r="M73" s="63"/>
      <c r="N73" s="64"/>
    </row>
    <row r="74" spans="1:14" x14ac:dyDescent="0.25">
      <c r="A74" s="70" t="s">
        <v>181</v>
      </c>
      <c r="B74" s="50" t="s">
        <v>181</v>
      </c>
      <c r="C74" s="54" t="s">
        <v>196</v>
      </c>
      <c r="D74" s="107">
        <f>12/44*5</f>
        <v>1.3636363636363635</v>
      </c>
      <c r="E74" s="54"/>
      <c r="F74" s="56"/>
      <c r="G74" s="54"/>
      <c r="H74" s="105"/>
      <c r="I74" s="57"/>
      <c r="J74" s="57"/>
      <c r="K74" s="69"/>
      <c r="L74" s="63">
        <v>74</v>
      </c>
      <c r="M74" s="63"/>
      <c r="N74" s="64"/>
    </row>
    <row r="75" spans="1:14" x14ac:dyDescent="0.25">
      <c r="A75" s="70" t="s">
        <v>181</v>
      </c>
      <c r="B75" s="50" t="s">
        <v>182</v>
      </c>
      <c r="C75" s="54" t="s">
        <v>196</v>
      </c>
      <c r="D75" s="107">
        <f>2/44*5</f>
        <v>0.22727272727272729</v>
      </c>
      <c r="E75" s="54"/>
      <c r="F75" s="56"/>
      <c r="G75" s="54"/>
      <c r="H75" s="105"/>
      <c r="I75" s="57"/>
      <c r="J75" s="57"/>
      <c r="K75" s="69"/>
      <c r="L75" s="63">
        <v>75</v>
      </c>
      <c r="M75" s="63"/>
      <c r="N75" s="64"/>
    </row>
    <row r="76" spans="1:14" x14ac:dyDescent="0.25">
      <c r="A76" s="70" t="s">
        <v>181</v>
      </c>
      <c r="B76" s="50" t="s">
        <v>184</v>
      </c>
      <c r="C76" s="54" t="s">
        <v>196</v>
      </c>
      <c r="D76" s="107">
        <f>4/44*5</f>
        <v>0.45454545454545459</v>
      </c>
      <c r="E76" s="54"/>
      <c r="F76" s="56"/>
      <c r="G76" s="54"/>
      <c r="H76" s="105"/>
      <c r="I76" s="57"/>
      <c r="J76" s="57"/>
      <c r="K76" s="69"/>
      <c r="L76" s="63">
        <v>76</v>
      </c>
      <c r="M76" s="63"/>
      <c r="N76" s="64"/>
    </row>
    <row r="77" spans="1:14" x14ac:dyDescent="0.25">
      <c r="A77" s="70" t="s">
        <v>181</v>
      </c>
      <c r="B77" s="50" t="s">
        <v>185</v>
      </c>
      <c r="C77" s="54" t="s">
        <v>196</v>
      </c>
      <c r="D77" s="107">
        <f>3/44*5</f>
        <v>0.34090909090909088</v>
      </c>
      <c r="E77" s="54"/>
      <c r="F77" s="56"/>
      <c r="G77" s="54"/>
      <c r="H77" s="105"/>
      <c r="I77" s="57"/>
      <c r="J77" s="57"/>
      <c r="K77" s="69"/>
      <c r="L77" s="63">
        <v>77</v>
      </c>
      <c r="M77" s="63"/>
      <c r="N77" s="64"/>
    </row>
    <row r="78" spans="1:14" x14ac:dyDescent="0.25">
      <c r="A78" s="70" t="s">
        <v>182</v>
      </c>
      <c r="B78" s="114" t="s">
        <v>198</v>
      </c>
      <c r="C78" s="15" t="s">
        <v>193</v>
      </c>
      <c r="D78" s="107">
        <f>6/20*5</f>
        <v>1.5</v>
      </c>
      <c r="E78" s="54"/>
      <c r="F78" s="56"/>
      <c r="G78" s="54"/>
      <c r="H78" s="105"/>
      <c r="I78" s="57"/>
      <c r="J78" s="57"/>
      <c r="K78" s="69"/>
      <c r="L78" s="63">
        <v>78</v>
      </c>
      <c r="M78" s="63"/>
      <c r="N78" s="64"/>
    </row>
    <row r="79" spans="1:14" x14ac:dyDescent="0.25">
      <c r="A79" s="70" t="s">
        <v>182</v>
      </c>
      <c r="B79" s="114" t="s">
        <v>174</v>
      </c>
      <c r="C79" s="15" t="s">
        <v>193</v>
      </c>
      <c r="D79" s="107">
        <f>1/20*5</f>
        <v>0.25</v>
      </c>
      <c r="E79" s="54"/>
      <c r="F79" s="56"/>
      <c r="G79" s="54"/>
      <c r="H79" s="105"/>
      <c r="I79" s="57"/>
      <c r="J79" s="57"/>
      <c r="K79" s="69"/>
      <c r="L79" s="63">
        <v>79</v>
      </c>
      <c r="M79" s="63"/>
      <c r="N79" s="64"/>
    </row>
    <row r="80" spans="1:14" x14ac:dyDescent="0.25">
      <c r="A80" s="70" t="s">
        <v>182</v>
      </c>
      <c r="B80" s="114" t="s">
        <v>176</v>
      </c>
      <c r="C80" s="15" t="s">
        <v>193</v>
      </c>
      <c r="D80" s="107">
        <f>1/20*5</f>
        <v>0.25</v>
      </c>
      <c r="E80" s="54"/>
      <c r="F80" s="56"/>
      <c r="G80" s="54"/>
      <c r="H80" s="105"/>
      <c r="I80" s="57"/>
      <c r="J80" s="57"/>
      <c r="K80" s="69"/>
      <c r="L80" s="63">
        <v>80</v>
      </c>
      <c r="M80" s="63"/>
      <c r="N80" s="64"/>
    </row>
    <row r="81" spans="1:14" x14ac:dyDescent="0.25">
      <c r="A81" s="70" t="s">
        <v>182</v>
      </c>
      <c r="B81" s="114" t="s">
        <v>180</v>
      </c>
      <c r="C81" s="15" t="s">
        <v>193</v>
      </c>
      <c r="D81" s="107">
        <f>1/20*5</f>
        <v>0.25</v>
      </c>
      <c r="E81" s="54"/>
      <c r="F81" s="56"/>
      <c r="G81" s="54"/>
      <c r="H81" s="105"/>
      <c r="I81" s="57"/>
      <c r="J81" s="57"/>
      <c r="K81" s="69"/>
      <c r="L81" s="63">
        <v>81</v>
      </c>
      <c r="M81" s="63"/>
      <c r="N81" s="64"/>
    </row>
    <row r="82" spans="1:14" x14ac:dyDescent="0.25">
      <c r="A82" s="70" t="s">
        <v>182</v>
      </c>
      <c r="B82" s="114" t="s">
        <v>181</v>
      </c>
      <c r="C82" s="15" t="s">
        <v>193</v>
      </c>
      <c r="D82" s="107">
        <f>2/20*5</f>
        <v>0.5</v>
      </c>
      <c r="E82" s="54"/>
      <c r="F82" s="56"/>
      <c r="G82" s="54"/>
      <c r="H82" s="105"/>
      <c r="I82" s="57"/>
      <c r="J82" s="57"/>
      <c r="K82" s="69"/>
      <c r="L82" s="63">
        <v>82</v>
      </c>
      <c r="M82" s="63"/>
      <c r="N82" s="64"/>
    </row>
    <row r="83" spans="1:14" x14ac:dyDescent="0.25">
      <c r="A83" s="70" t="s">
        <v>182</v>
      </c>
      <c r="B83" s="114" t="s">
        <v>182</v>
      </c>
      <c r="C83" s="15" t="s">
        <v>193</v>
      </c>
      <c r="D83" s="107">
        <f>9/20*5</f>
        <v>2.25</v>
      </c>
      <c r="E83" s="54"/>
      <c r="F83" s="56"/>
      <c r="G83" s="54"/>
      <c r="H83" s="105"/>
      <c r="I83" s="57"/>
      <c r="J83" s="57"/>
      <c r="K83" s="69"/>
      <c r="L83" s="63">
        <v>83</v>
      </c>
      <c r="M83" s="63"/>
      <c r="N83" s="64"/>
    </row>
    <row r="84" spans="1:14" x14ac:dyDescent="0.25">
      <c r="A84" s="70" t="s">
        <v>183</v>
      </c>
      <c r="B84" s="115" t="s">
        <v>198</v>
      </c>
      <c r="C84" s="15" t="s">
        <v>194</v>
      </c>
      <c r="D84" s="107">
        <f>11/34*5</f>
        <v>1.6176470588235294</v>
      </c>
      <c r="E84" s="54"/>
      <c r="F84" s="56"/>
      <c r="G84" s="54"/>
      <c r="H84" s="106"/>
      <c r="I84" s="57"/>
      <c r="J84" s="57"/>
      <c r="K84" s="69"/>
      <c r="L84" s="63">
        <v>84</v>
      </c>
      <c r="M84" s="63"/>
      <c r="N84" s="64"/>
    </row>
    <row r="85" spans="1:14" x14ac:dyDescent="0.25">
      <c r="A85" s="70" t="s">
        <v>183</v>
      </c>
      <c r="B85" s="115" t="s">
        <v>174</v>
      </c>
      <c r="C85" s="15" t="s">
        <v>194</v>
      </c>
      <c r="D85" s="107">
        <f>6/34*5</f>
        <v>0.88235294117647067</v>
      </c>
      <c r="E85" s="54"/>
      <c r="F85" s="56"/>
      <c r="G85" s="54"/>
      <c r="H85" s="106"/>
      <c r="I85" s="57"/>
      <c r="J85" s="57"/>
      <c r="K85" s="69"/>
      <c r="L85" s="63">
        <v>85</v>
      </c>
      <c r="M85" s="63"/>
      <c r="N85" s="64"/>
    </row>
    <row r="86" spans="1:14" x14ac:dyDescent="0.25">
      <c r="A86" s="70" t="s">
        <v>183</v>
      </c>
      <c r="B86" s="115" t="s">
        <v>175</v>
      </c>
      <c r="C86" s="15" t="s">
        <v>194</v>
      </c>
      <c r="D86" s="107">
        <f>2/34*5</f>
        <v>0.29411764705882354</v>
      </c>
      <c r="E86" s="54"/>
      <c r="F86" s="56"/>
      <c r="G86" s="54"/>
      <c r="H86" s="106"/>
      <c r="I86" s="57"/>
      <c r="J86" s="57"/>
      <c r="K86" s="69"/>
      <c r="L86" s="63">
        <v>86</v>
      </c>
      <c r="M86" s="63"/>
      <c r="N86" s="64"/>
    </row>
    <row r="87" spans="1:14" x14ac:dyDescent="0.25">
      <c r="A87" s="70" t="s">
        <v>183</v>
      </c>
      <c r="B87" s="115" t="s">
        <v>176</v>
      </c>
      <c r="C87" s="15" t="s">
        <v>194</v>
      </c>
      <c r="D87" s="107">
        <f>2/34*5</f>
        <v>0.29411764705882354</v>
      </c>
      <c r="E87" s="54"/>
      <c r="F87" s="56"/>
      <c r="G87" s="54"/>
      <c r="H87" s="106"/>
      <c r="I87" s="57"/>
      <c r="J87" s="57"/>
      <c r="K87" s="69"/>
      <c r="L87" s="63">
        <v>87</v>
      </c>
      <c r="M87" s="63"/>
      <c r="N87" s="64"/>
    </row>
    <row r="88" spans="1:14" x14ac:dyDescent="0.25">
      <c r="A88" s="70" t="s">
        <v>183</v>
      </c>
      <c r="B88" s="115" t="s">
        <v>177</v>
      </c>
      <c r="C88" s="15" t="s">
        <v>194</v>
      </c>
      <c r="D88" s="107">
        <f>2/34*5</f>
        <v>0.29411764705882354</v>
      </c>
      <c r="E88" s="54"/>
      <c r="F88" s="56"/>
      <c r="G88" s="54"/>
      <c r="H88" s="106"/>
      <c r="I88" s="57"/>
      <c r="J88" s="57"/>
      <c r="K88" s="69"/>
      <c r="L88" s="63">
        <v>88</v>
      </c>
      <c r="M88" s="63"/>
      <c r="N88" s="64"/>
    </row>
    <row r="89" spans="1:14" x14ac:dyDescent="0.25">
      <c r="A89" s="70" t="s">
        <v>183</v>
      </c>
      <c r="B89" s="115" t="s">
        <v>178</v>
      </c>
      <c r="C89" s="15" t="s">
        <v>194</v>
      </c>
      <c r="D89" s="107">
        <f>4/34*5</f>
        <v>0.58823529411764708</v>
      </c>
      <c r="E89" s="54"/>
      <c r="F89" s="56"/>
      <c r="G89" s="54"/>
      <c r="H89" s="106"/>
      <c r="I89" s="57"/>
      <c r="J89" s="57"/>
      <c r="K89" s="69"/>
      <c r="L89" s="63">
        <v>89</v>
      </c>
      <c r="M89" s="63"/>
      <c r="N89" s="64"/>
    </row>
    <row r="90" spans="1:14" x14ac:dyDescent="0.25">
      <c r="A90" s="70" t="s">
        <v>183</v>
      </c>
      <c r="B90" s="115" t="s">
        <v>179</v>
      </c>
      <c r="C90" s="15" t="s">
        <v>194</v>
      </c>
      <c r="D90" s="107">
        <f>2/34*5</f>
        <v>0.29411764705882354</v>
      </c>
      <c r="E90" s="54"/>
      <c r="F90" s="56"/>
      <c r="G90" s="54"/>
      <c r="H90" s="106"/>
      <c r="I90" s="57"/>
      <c r="J90" s="57"/>
      <c r="K90" s="69"/>
      <c r="L90" s="63">
        <v>90</v>
      </c>
      <c r="M90" s="63"/>
      <c r="N90" s="64"/>
    </row>
    <row r="91" spans="1:14" x14ac:dyDescent="0.25">
      <c r="A91" s="70" t="s">
        <v>183</v>
      </c>
      <c r="B91" s="115" t="s">
        <v>181</v>
      </c>
      <c r="C91" s="15" t="s">
        <v>194</v>
      </c>
      <c r="D91" s="107">
        <f>1/34*5</f>
        <v>0.14705882352941177</v>
      </c>
      <c r="E91" s="54"/>
      <c r="F91" s="56"/>
      <c r="G91" s="54"/>
      <c r="H91" s="106"/>
      <c r="I91" s="57"/>
      <c r="J91" s="57"/>
      <c r="K91" s="69"/>
      <c r="L91" s="63">
        <v>91</v>
      </c>
      <c r="M91" s="63"/>
      <c r="N91" s="64"/>
    </row>
    <row r="92" spans="1:14" x14ac:dyDescent="0.25">
      <c r="A92" s="70" t="s">
        <v>183</v>
      </c>
      <c r="B92" s="50" t="s">
        <v>182</v>
      </c>
      <c r="C92" s="54" t="s">
        <v>194</v>
      </c>
      <c r="D92" s="107">
        <f>1/34*5</f>
        <v>0.14705882352941177</v>
      </c>
      <c r="E92" s="54"/>
      <c r="F92" s="56"/>
      <c r="G92" s="54"/>
      <c r="H92" s="106"/>
      <c r="I92" s="57"/>
      <c r="J92" s="57"/>
      <c r="K92" s="69"/>
      <c r="L92" s="63">
        <v>92</v>
      </c>
      <c r="M92" s="63"/>
      <c r="N92" s="64"/>
    </row>
    <row r="93" spans="1:14" x14ac:dyDescent="0.25">
      <c r="A93" s="70" t="s">
        <v>183</v>
      </c>
      <c r="B93" s="50" t="s">
        <v>183</v>
      </c>
      <c r="C93" s="54" t="s">
        <v>194</v>
      </c>
      <c r="D93" s="107">
        <f>3/34*5</f>
        <v>0.44117647058823534</v>
      </c>
      <c r="E93" s="54"/>
      <c r="F93" s="56"/>
      <c r="G93" s="54"/>
      <c r="H93" s="106"/>
      <c r="I93" s="57"/>
      <c r="J93" s="57"/>
      <c r="K93" s="69"/>
      <c r="L93" s="63">
        <v>93</v>
      </c>
      <c r="M93" s="63"/>
      <c r="N93" s="64"/>
    </row>
    <row r="94" spans="1:14" x14ac:dyDescent="0.25">
      <c r="A94" s="70" t="s">
        <v>184</v>
      </c>
      <c r="B94" s="116" t="s">
        <v>198</v>
      </c>
      <c r="C94" s="15" t="s">
        <v>195</v>
      </c>
      <c r="D94" s="107">
        <f>4/30*5</f>
        <v>0.66666666666666663</v>
      </c>
      <c r="E94" s="54"/>
      <c r="F94" s="56"/>
      <c r="G94" s="54"/>
      <c r="H94" s="106"/>
      <c r="I94" s="57"/>
      <c r="J94" s="57"/>
      <c r="K94" s="69"/>
      <c r="L94" s="63">
        <v>94</v>
      </c>
      <c r="M94" s="63"/>
      <c r="N94" s="64"/>
    </row>
    <row r="95" spans="1:14" x14ac:dyDescent="0.25">
      <c r="A95" s="70" t="s">
        <v>184</v>
      </c>
      <c r="B95" s="116" t="s">
        <v>174</v>
      </c>
      <c r="C95" s="15" t="s">
        <v>195</v>
      </c>
      <c r="D95" s="107">
        <f>5/30*5</f>
        <v>0.83333333333333326</v>
      </c>
      <c r="E95" s="54"/>
      <c r="F95" s="56"/>
      <c r="G95" s="54"/>
      <c r="H95" s="106"/>
      <c r="I95" s="57"/>
      <c r="J95" s="57"/>
      <c r="K95" s="69"/>
      <c r="L95" s="63">
        <v>95</v>
      </c>
      <c r="M95" s="63"/>
      <c r="N95" s="64"/>
    </row>
    <row r="96" spans="1:14" x14ac:dyDescent="0.25">
      <c r="A96" s="70" t="s">
        <v>184</v>
      </c>
      <c r="B96" s="116" t="s">
        <v>175</v>
      </c>
      <c r="C96" s="15" t="s">
        <v>195</v>
      </c>
      <c r="D96" s="107">
        <f>2/30*5</f>
        <v>0.33333333333333331</v>
      </c>
      <c r="E96" s="54"/>
      <c r="F96" s="56"/>
      <c r="G96" s="54"/>
      <c r="H96" s="106"/>
      <c r="I96" s="57"/>
      <c r="J96" s="57"/>
      <c r="K96" s="69"/>
      <c r="L96" s="63">
        <v>96</v>
      </c>
      <c r="M96" s="63"/>
      <c r="N96" s="64"/>
    </row>
    <row r="97" spans="1:14" x14ac:dyDescent="0.25">
      <c r="A97" s="70" t="s">
        <v>184</v>
      </c>
      <c r="B97" s="116" t="s">
        <v>178</v>
      </c>
      <c r="C97" s="15" t="s">
        <v>195</v>
      </c>
      <c r="D97" s="107">
        <f>6/30*5</f>
        <v>1</v>
      </c>
      <c r="E97" s="54"/>
      <c r="F97" s="56"/>
      <c r="G97" s="54"/>
      <c r="H97" s="106"/>
      <c r="I97" s="57"/>
      <c r="J97" s="57"/>
      <c r="K97" s="69"/>
      <c r="L97" s="63">
        <v>97</v>
      </c>
      <c r="M97" s="63"/>
      <c r="N97" s="64"/>
    </row>
    <row r="98" spans="1:14" x14ac:dyDescent="0.25">
      <c r="A98" s="70" t="s">
        <v>184</v>
      </c>
      <c r="B98" s="116" t="s">
        <v>179</v>
      </c>
      <c r="C98" s="15" t="s">
        <v>195</v>
      </c>
      <c r="D98" s="107">
        <f>4/30*5</f>
        <v>0.66666666666666663</v>
      </c>
      <c r="E98" s="54"/>
      <c r="F98" s="56"/>
      <c r="G98" s="54"/>
      <c r="H98" s="106"/>
      <c r="I98" s="57"/>
      <c r="J98" s="57"/>
      <c r="K98" s="69"/>
      <c r="L98" s="63">
        <v>98</v>
      </c>
      <c r="M98" s="63"/>
      <c r="N98" s="64"/>
    </row>
    <row r="99" spans="1:14" x14ac:dyDescent="0.25">
      <c r="A99" s="70" t="s">
        <v>184</v>
      </c>
      <c r="B99" s="116" t="s">
        <v>181</v>
      </c>
      <c r="C99" s="15" t="s">
        <v>195</v>
      </c>
      <c r="D99" s="107">
        <f>1/30*5</f>
        <v>0.16666666666666666</v>
      </c>
      <c r="E99" s="54"/>
      <c r="F99" s="56"/>
      <c r="G99" s="54"/>
      <c r="H99" s="106"/>
      <c r="I99" s="57"/>
      <c r="J99" s="57"/>
      <c r="K99" s="69"/>
      <c r="L99" s="63">
        <v>99</v>
      </c>
      <c r="M99" s="63"/>
      <c r="N99" s="64"/>
    </row>
    <row r="100" spans="1:14" x14ac:dyDescent="0.25">
      <c r="A100" s="70" t="s">
        <v>184</v>
      </c>
      <c r="B100" s="116" t="s">
        <v>184</v>
      </c>
      <c r="C100" s="15" t="s">
        <v>195</v>
      </c>
      <c r="D100" s="107">
        <f>6/30*5</f>
        <v>1</v>
      </c>
      <c r="E100" s="54"/>
      <c r="F100" s="56"/>
      <c r="G100" s="54"/>
      <c r="H100" s="106"/>
      <c r="I100" s="57"/>
      <c r="J100" s="57"/>
      <c r="K100" s="69"/>
      <c r="L100" s="63">
        <v>100</v>
      </c>
      <c r="M100" s="63"/>
      <c r="N100" s="64"/>
    </row>
    <row r="101" spans="1:14" x14ac:dyDescent="0.25">
      <c r="A101" s="70" t="s">
        <v>184</v>
      </c>
      <c r="B101" s="116" t="s">
        <v>185</v>
      </c>
      <c r="C101" s="15" t="s">
        <v>195</v>
      </c>
      <c r="D101" s="107">
        <f>2/30*5</f>
        <v>0.33333333333333331</v>
      </c>
      <c r="E101" s="54"/>
      <c r="F101" s="56"/>
      <c r="G101" s="54"/>
      <c r="H101" s="106"/>
      <c r="I101" s="57"/>
      <c r="J101" s="57"/>
      <c r="K101" s="69"/>
      <c r="L101" s="63">
        <v>101</v>
      </c>
      <c r="M101" s="63"/>
      <c r="N101" s="64"/>
    </row>
    <row r="102" spans="1:14" x14ac:dyDescent="0.25">
      <c r="A102" s="70" t="s">
        <v>185</v>
      </c>
      <c r="B102" s="118" t="s">
        <v>198</v>
      </c>
      <c r="C102" s="15" t="s">
        <v>197</v>
      </c>
      <c r="D102" s="107">
        <f>3/36*5</f>
        <v>0.41666666666666663</v>
      </c>
      <c r="E102" s="54"/>
      <c r="F102" s="56"/>
      <c r="G102" s="54"/>
      <c r="H102" s="106"/>
      <c r="I102" s="57"/>
      <c r="J102" s="57"/>
      <c r="K102" s="69"/>
      <c r="L102" s="63">
        <v>102</v>
      </c>
      <c r="M102" s="63"/>
      <c r="N102" s="64"/>
    </row>
    <row r="103" spans="1:14" x14ac:dyDescent="0.25">
      <c r="A103" s="70" t="s">
        <v>185</v>
      </c>
      <c r="B103" s="118" t="s">
        <v>174</v>
      </c>
      <c r="C103" s="15" t="s">
        <v>197</v>
      </c>
      <c r="D103" s="107">
        <f>9/36*5</f>
        <v>1.25</v>
      </c>
      <c r="E103" s="54"/>
      <c r="F103" s="56"/>
      <c r="G103" s="54"/>
      <c r="H103" s="106"/>
      <c r="I103" s="57"/>
      <c r="J103" s="57"/>
      <c r="K103" s="69"/>
      <c r="L103" s="63">
        <v>103</v>
      </c>
      <c r="M103" s="63"/>
      <c r="N103" s="64"/>
    </row>
    <row r="104" spans="1:14" x14ac:dyDescent="0.25">
      <c r="A104" s="70" t="s">
        <v>185</v>
      </c>
      <c r="B104" s="118" t="s">
        <v>175</v>
      </c>
      <c r="C104" s="15" t="s">
        <v>197</v>
      </c>
      <c r="D104" s="107">
        <f>5/36*5</f>
        <v>0.69444444444444442</v>
      </c>
      <c r="E104" s="54"/>
      <c r="F104" s="56"/>
      <c r="G104" s="54"/>
      <c r="H104" s="106"/>
      <c r="I104" s="57"/>
      <c r="J104" s="57"/>
      <c r="K104" s="69"/>
      <c r="L104" s="63">
        <v>104</v>
      </c>
      <c r="M104" s="63"/>
      <c r="N104" s="64"/>
    </row>
    <row r="105" spans="1:14" x14ac:dyDescent="0.25">
      <c r="A105" s="70" t="s">
        <v>185</v>
      </c>
      <c r="B105" s="118" t="s">
        <v>177</v>
      </c>
      <c r="C105" s="15" t="s">
        <v>197</v>
      </c>
      <c r="D105" s="107">
        <f>1/36*5</f>
        <v>0.1388888888888889</v>
      </c>
      <c r="E105" s="54"/>
      <c r="F105" s="56"/>
      <c r="G105" s="54"/>
      <c r="H105" s="106"/>
      <c r="I105" s="57"/>
      <c r="J105" s="57"/>
      <c r="K105" s="69"/>
      <c r="L105" s="63">
        <v>105</v>
      </c>
      <c r="M105" s="63"/>
      <c r="N105" s="64"/>
    </row>
    <row r="106" spans="1:14" x14ac:dyDescent="0.25">
      <c r="A106" s="70" t="s">
        <v>185</v>
      </c>
      <c r="B106" s="50" t="s">
        <v>178</v>
      </c>
      <c r="C106" s="15" t="s">
        <v>197</v>
      </c>
      <c r="D106" s="107">
        <f>3/36*5</f>
        <v>0.41666666666666663</v>
      </c>
      <c r="E106" s="54"/>
      <c r="F106" s="56"/>
      <c r="G106" s="54"/>
      <c r="H106" s="106"/>
      <c r="I106" s="57"/>
      <c r="J106" s="57"/>
      <c r="K106" s="69"/>
      <c r="L106" s="63">
        <v>106</v>
      </c>
      <c r="M106" s="63"/>
      <c r="N106" s="64"/>
    </row>
    <row r="107" spans="1:14" x14ac:dyDescent="0.25">
      <c r="A107" s="70" t="s">
        <v>185</v>
      </c>
      <c r="B107" s="50" t="s">
        <v>179</v>
      </c>
      <c r="C107" s="15" t="s">
        <v>197</v>
      </c>
      <c r="D107" s="107">
        <f>2/36*5</f>
        <v>0.27777777777777779</v>
      </c>
      <c r="E107" s="54"/>
      <c r="F107" s="56"/>
      <c r="G107" s="54"/>
      <c r="H107" s="106"/>
      <c r="I107" s="57"/>
      <c r="J107" s="57"/>
      <c r="K107" s="69"/>
      <c r="L107" s="63">
        <v>107</v>
      </c>
      <c r="M107" s="63"/>
      <c r="N107" s="64"/>
    </row>
    <row r="108" spans="1:14" x14ac:dyDescent="0.25">
      <c r="A108" s="70" t="s">
        <v>185</v>
      </c>
      <c r="B108" s="50" t="s">
        <v>180</v>
      </c>
      <c r="C108" s="15" t="s">
        <v>197</v>
      </c>
      <c r="D108" s="107">
        <f>1/36*5</f>
        <v>0.1388888888888889</v>
      </c>
      <c r="E108" s="54"/>
      <c r="F108" s="56"/>
      <c r="G108" s="54"/>
      <c r="H108" s="106"/>
      <c r="I108" s="57"/>
      <c r="J108" s="57"/>
      <c r="K108" s="69"/>
      <c r="L108" s="63">
        <v>108</v>
      </c>
      <c r="M108" s="63"/>
      <c r="N108" s="64"/>
    </row>
    <row r="109" spans="1:14" x14ac:dyDescent="0.25">
      <c r="A109" s="70" t="s">
        <v>185</v>
      </c>
      <c r="B109" s="50" t="s">
        <v>181</v>
      </c>
      <c r="C109" s="15" t="s">
        <v>197</v>
      </c>
      <c r="D109" s="107">
        <f>4/36*5</f>
        <v>0.55555555555555558</v>
      </c>
      <c r="E109" s="54"/>
      <c r="F109" s="56"/>
      <c r="G109" s="54"/>
      <c r="H109" s="106"/>
      <c r="I109" s="57"/>
      <c r="J109" s="57"/>
      <c r="K109" s="69"/>
      <c r="L109" s="63">
        <v>109</v>
      </c>
      <c r="M109" s="63"/>
      <c r="N109" s="64"/>
    </row>
    <row r="110" spans="1:14" x14ac:dyDescent="0.25">
      <c r="A110" s="70" t="s">
        <v>185</v>
      </c>
      <c r="B110" s="118" t="s">
        <v>184</v>
      </c>
      <c r="C110" s="15" t="s">
        <v>197</v>
      </c>
      <c r="D110" s="107">
        <f>1/36*5</f>
        <v>0.1388888888888889</v>
      </c>
      <c r="E110" s="54"/>
      <c r="F110" s="56"/>
      <c r="G110" s="54"/>
      <c r="H110" s="106"/>
      <c r="I110" s="57"/>
      <c r="J110" s="57"/>
      <c r="K110" s="69"/>
      <c r="L110" s="63">
        <v>110</v>
      </c>
      <c r="M110" s="63"/>
      <c r="N110" s="64"/>
    </row>
    <row r="111" spans="1:14" x14ac:dyDescent="0.25">
      <c r="A111" s="70" t="s">
        <v>185</v>
      </c>
      <c r="B111" s="118" t="s">
        <v>185</v>
      </c>
      <c r="C111" s="15" t="s">
        <v>197</v>
      </c>
      <c r="D111" s="107">
        <f>7/36*5</f>
        <v>0.97222222222222221</v>
      </c>
      <c r="E111" s="54"/>
      <c r="F111" s="56"/>
      <c r="G111" s="54"/>
      <c r="H111" s="106"/>
      <c r="I111" s="57"/>
      <c r="J111" s="57"/>
      <c r="K111" s="69"/>
      <c r="L111" s="63">
        <v>111</v>
      </c>
      <c r="M111" s="63"/>
      <c r="N111" s="64"/>
    </row>
    <row r="112" spans="1:14" x14ac:dyDescent="0.25">
      <c r="A112" s="117"/>
      <c r="B112" s="118"/>
      <c r="C112" s="15"/>
      <c r="D112" s="107"/>
      <c r="E112" s="54"/>
      <c r="F112" s="56"/>
      <c r="G112" s="54"/>
      <c r="H112" s="106"/>
      <c r="I112" s="57"/>
      <c r="J112" s="57"/>
      <c r="K112" s="69"/>
      <c r="L112" s="63">
        <v>112</v>
      </c>
      <c r="M112" s="63"/>
      <c r="N112" s="64"/>
    </row>
    <row r="113" spans="1:14" x14ac:dyDescent="0.25">
      <c r="A113" s="70"/>
      <c r="B113" s="50"/>
      <c r="C113" s="54"/>
      <c r="D113" s="107"/>
      <c r="E113" s="54"/>
      <c r="F113" s="56"/>
      <c r="G113" s="54"/>
      <c r="H113" s="106"/>
      <c r="I113" s="57"/>
      <c r="J113" s="57"/>
      <c r="K113" s="69"/>
      <c r="L113" s="63">
        <v>113</v>
      </c>
      <c r="M113" s="63"/>
      <c r="N113" s="64"/>
    </row>
    <row r="114" spans="1:14" x14ac:dyDescent="0.25">
      <c r="A114" s="70"/>
      <c r="B114" s="50"/>
      <c r="C114" s="54"/>
      <c r="D114" s="107"/>
      <c r="E114" s="54"/>
      <c r="F114" s="56"/>
      <c r="G114" s="54"/>
      <c r="H114" s="106"/>
      <c r="I114" s="57"/>
      <c r="J114" s="57"/>
      <c r="K114" s="69"/>
      <c r="L114" s="63">
        <v>114</v>
      </c>
      <c r="M114" s="63"/>
      <c r="N114" s="64"/>
    </row>
  </sheetData>
  <dataConsolidate/>
  <dataValidations count="15">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93 L95:L96"/>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93 M95:M96"/>
    <dataValidation allowBlank="1" showErrorMessage="1" sqref="N2:N93 N95:N96"/>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H48:H51 I3:I93 I95:I96"/>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93 J95:J96"/>
    <dataValidation allowBlank="1" showInputMessage="1" promptTitle="Edge Color" prompt="To select an optional edge color, right-click and select Select Color on the right-click menu." sqref="C3:C23"/>
    <dataValidation allowBlank="1" showInputMessage="1" errorTitle="Invalid Edge Width" error="The optional edge width must be a whole number between 1 and 10." promptTitle="Edge Width" prompt="Enter an optional edge width between 1 and 10." sqref="H25:H26 H3:H21"/>
    <dataValidation allowBlank="1" showInputMessage="1" errorTitle="Invalid Edge Opacity" error="The optional edge opacity must be a whole number between 0 and 10." promptTitle="Edge Opacity" prompt="Enter an optional edge opacity between 0 (transparent) and 100 (opaque)." sqref="F3:F42"/>
    <dataValidation type="list" allowBlank="1" showInputMessage="1" showErrorMessage="1" errorTitle="Invalid Edge Visibility" error="You have entered an unrecognized edge visibility.  Try selecting from the drop-down list instead." promptTitle="Edge Visibility" prompt="Select an optional edge visibility.  Edges are shown by default." sqref="G3:G42">
      <formula1>ValidEdgeVisibilities</formula1>
    </dataValidation>
    <dataValidation allowBlank="1" showInputMessage="1" showErrorMessage="1" promptTitle="Vertex 2 Name" prompt="Enter the name of the edge's second vertex." sqref="B15:B21 A25:B26 A24 A27:A31"/>
    <dataValidation allowBlank="1" showInputMessage="1" showErrorMessage="1" errorTitle="Invalid Edge Visibility" error="You have entered an unrecognized edge visibility.  Try selecting from the drop-down list instead." promptTitle="Edge Label" prompt="Enter an optional edge label." sqref="H32:H36"/>
    <dataValidation type="list" allowBlank="1" showInputMessage="1" showErrorMessage="1" errorTitle="Invalid Edge Style" error="You have entered an unrecognized edge style.  Try selecting from the drop-down list instead." promptTitle="Edge Style" prompt="Select an optional edge style.  Edges are Solid by default." sqref="E3:E42">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93 K95:K96"/>
    <dataValidation allowBlank="1" showInputMessage="1" showErrorMessage="1" promptTitle="Vertex 1 Name" prompt="Enter the name of the edge's first vertex." sqref="B10:B11 A3:B9 A10:A18"/>
    <dataValidation allowBlank="1" showInputMessage="1" promptTitle="Vertex Color" prompt="To select an optional vertex color, right-click and select Select Color on the right-click menu." sqref="C48:C112"/>
  </dataValidations>
  <pageMargins left="0.7" right="0.7" top="0.75" bottom="0.75" header="0.3" footer="0.3"/>
  <pageSetup orientation="portrait" horizontalDpi="300" verticalDpi="30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G24"/>
  <sheetViews>
    <sheetView tabSelected="1" workbookViewId="0">
      <pane xSplit="1" ySplit="2" topLeftCell="G3" activePane="bottomRight" state="frozen"/>
      <selection pane="topRight" activeCell="B1" sqref="B1"/>
      <selection pane="bottomLeft" activeCell="A3" sqref="A3"/>
      <selection pane="bottomRight" activeCell="A2" sqref="A2:AB2"/>
    </sheetView>
  </sheetViews>
  <sheetFormatPr defaultRowHeight="15" x14ac:dyDescent="0.25"/>
  <cols>
    <col min="1" max="1" width="34.42578125" style="1" bestFit="1" customWidth="1"/>
    <col min="2" max="2" width="7.85546875" customWidth="1"/>
    <col min="3" max="3" width="8.5703125" customWidth="1"/>
    <col min="4" max="4" width="6.7109375" customWidth="1"/>
    <col min="5" max="5" width="9.85546875" customWidth="1"/>
    <col min="6" max="6" width="7.7109375" customWidth="1"/>
    <col min="7" max="7" width="11" customWidth="1"/>
    <col min="8" max="8" width="34.42578125" bestFit="1" customWidth="1"/>
    <col min="9" max="9" width="9.7109375" customWidth="1"/>
    <col min="10" max="10" width="10.5703125" style="3"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hidden="1" customWidth="1"/>
    <col min="19" max="19" width="9.28515625" hidden="1" customWidth="1"/>
    <col min="20" max="20" width="9.5703125" hidden="1" customWidth="1"/>
    <col min="21" max="23" width="14.28515625" hidden="1" customWidth="1"/>
    <col min="24" max="24" width="11.85546875" hidden="1" customWidth="1"/>
    <col min="25" max="25" width="14.42578125" hidden="1" customWidth="1"/>
    <col min="26" max="26" width="5" style="3" hidden="1" customWidth="1"/>
    <col min="27" max="27" width="16" style="3" hidden="1" customWidth="1"/>
    <col min="28" max="28" width="16" style="6" bestFit="1" customWidth="1"/>
    <col min="29" max="29" width="14.28515625" style="2" customWidth="1"/>
    <col min="30" max="31" width="14.28515625" style="3" customWidth="1"/>
    <col min="32" max="32" width="11.85546875" style="3" customWidth="1"/>
    <col min="33" max="33" width="14.42578125" style="3" customWidth="1"/>
    <col min="34" max="34" width="5" customWidth="1"/>
    <col min="35" max="35" width="16" customWidth="1"/>
    <col min="36" max="36" width="16" bestFit="1" customWidth="1"/>
    <col min="37" max="38" width="9.140625" customWidth="1"/>
  </cols>
  <sheetData>
    <row r="1" spans="1:33" x14ac:dyDescent="0.25">
      <c r="B1" s="25" t="s">
        <v>40</v>
      </c>
      <c r="C1" s="18"/>
      <c r="D1" s="18"/>
      <c r="E1" s="18"/>
      <c r="F1" s="18"/>
      <c r="G1" s="18"/>
      <c r="H1" s="27" t="s">
        <v>44</v>
      </c>
      <c r="I1" s="26"/>
      <c r="J1" s="26"/>
      <c r="K1" s="26"/>
      <c r="L1" s="29" t="s">
        <v>45</v>
      </c>
      <c r="M1" s="28"/>
      <c r="N1" s="28"/>
      <c r="O1" s="28"/>
      <c r="P1" s="28"/>
      <c r="Q1" s="28"/>
      <c r="R1" s="24" t="s">
        <v>43</v>
      </c>
      <c r="S1" s="21"/>
      <c r="T1" s="22"/>
      <c r="U1" s="23"/>
      <c r="V1" s="21"/>
      <c r="W1" s="21"/>
      <c r="X1" s="21"/>
      <c r="Y1" s="21"/>
      <c r="Z1" s="30" t="s">
        <v>41</v>
      </c>
      <c r="AA1" s="20"/>
      <c r="AB1" s="31" t="s">
        <v>42</v>
      </c>
      <c r="AC1"/>
      <c r="AD1"/>
      <c r="AE1"/>
      <c r="AF1"/>
      <c r="AG1"/>
    </row>
    <row r="2" spans="1:33" ht="30" customHeight="1" x14ac:dyDescent="0.25">
      <c r="A2" s="11" t="s">
        <v>5</v>
      </c>
      <c r="B2" s="8" t="s">
        <v>2</v>
      </c>
      <c r="C2" s="8" t="s">
        <v>8</v>
      </c>
      <c r="D2" s="9" t="s">
        <v>46</v>
      </c>
      <c r="E2" s="10" t="s">
        <v>4</v>
      </c>
      <c r="F2" s="8" t="s">
        <v>49</v>
      </c>
      <c r="G2" s="8" t="s">
        <v>11</v>
      </c>
      <c r="H2" s="8" t="s">
        <v>47</v>
      </c>
      <c r="I2" s="8" t="s">
        <v>48</v>
      </c>
      <c r="J2" s="8" t="s">
        <v>78</v>
      </c>
      <c r="K2" s="8" t="s">
        <v>10</v>
      </c>
      <c r="L2" s="8" t="s">
        <v>27</v>
      </c>
      <c r="M2" s="8" t="s">
        <v>15</v>
      </c>
      <c r="N2" s="8" t="s">
        <v>16</v>
      </c>
      <c r="O2" s="8" t="s">
        <v>13</v>
      </c>
      <c r="P2" s="8" t="s">
        <v>28</v>
      </c>
      <c r="Q2" s="8" t="s">
        <v>29</v>
      </c>
      <c r="R2" s="13" t="s">
        <v>32</v>
      </c>
      <c r="S2" s="13" t="s">
        <v>33</v>
      </c>
      <c r="T2" s="13" t="s">
        <v>34</v>
      </c>
      <c r="U2" s="13" t="s">
        <v>35</v>
      </c>
      <c r="V2" s="13" t="s">
        <v>36</v>
      </c>
      <c r="W2" s="13" t="s">
        <v>37</v>
      </c>
      <c r="X2" s="13" t="s">
        <v>138</v>
      </c>
      <c r="Y2" s="13" t="s">
        <v>38</v>
      </c>
      <c r="Z2" s="11" t="s">
        <v>12</v>
      </c>
      <c r="AA2" s="11" t="s">
        <v>39</v>
      </c>
      <c r="AB2" s="8" t="s">
        <v>26</v>
      </c>
      <c r="AC2" s="3"/>
      <c r="AE2"/>
      <c r="AF2"/>
      <c r="AG2"/>
    </row>
    <row r="3" spans="1:33" ht="15" customHeight="1" x14ac:dyDescent="0.25">
      <c r="A3" t="s">
        <v>198</v>
      </c>
      <c r="B3" s="54" t="s">
        <v>170</v>
      </c>
      <c r="C3" s="54"/>
      <c r="D3" s="55"/>
      <c r="E3" s="56"/>
      <c r="F3" s="54"/>
      <c r="G3" s="54"/>
      <c r="H3" s="1" t="s">
        <v>198</v>
      </c>
      <c r="I3" s="54" t="s">
        <v>170</v>
      </c>
      <c r="J3" s="57" t="s">
        <v>74</v>
      </c>
      <c r="K3" s="58"/>
      <c r="L3" s="60"/>
      <c r="M3" s="61">
        <v>9748.3974609375</v>
      </c>
      <c r="N3" s="61">
        <v>4999.5</v>
      </c>
      <c r="O3" s="59"/>
      <c r="P3" s="62"/>
      <c r="Q3" s="62"/>
      <c r="R3" s="51"/>
      <c r="S3" s="51"/>
      <c r="T3" s="51"/>
      <c r="U3" s="51"/>
      <c r="V3" s="52"/>
      <c r="W3" s="52"/>
      <c r="X3" s="53"/>
      <c r="Y3" s="52"/>
      <c r="Z3" s="63">
        <v>3</v>
      </c>
      <c r="AA3" s="63"/>
      <c r="AB3" s="64"/>
      <c r="AC3" s="3"/>
      <c r="AE3"/>
      <c r="AF3"/>
      <c r="AG3"/>
    </row>
    <row r="4" spans="1:33" x14ac:dyDescent="0.25">
      <c r="A4" t="s">
        <v>174</v>
      </c>
      <c r="B4" s="54" t="s">
        <v>171</v>
      </c>
      <c r="C4" s="15"/>
      <c r="D4" s="81"/>
      <c r="E4" s="71"/>
      <c r="F4" s="15"/>
      <c r="G4" s="15"/>
      <c r="H4" s="1" t="s">
        <v>199</v>
      </c>
      <c r="I4" s="54" t="s">
        <v>171</v>
      </c>
      <c r="J4" s="68" t="s">
        <v>74</v>
      </c>
      <c r="K4" s="16"/>
      <c r="L4" s="83"/>
      <c r="M4" s="84">
        <v>9276.275390625</v>
      </c>
      <c r="N4" s="84">
        <v>3042.364501953125</v>
      </c>
      <c r="O4" s="82"/>
      <c r="P4" s="85"/>
      <c r="Q4" s="85"/>
      <c r="R4" s="86"/>
      <c r="S4" s="86"/>
      <c r="T4" s="86"/>
      <c r="U4" s="86"/>
      <c r="V4" s="53"/>
      <c r="W4" s="53"/>
      <c r="X4" s="53"/>
      <c r="Y4" s="53"/>
      <c r="Z4" s="72">
        <v>4</v>
      </c>
      <c r="AA4" s="72"/>
      <c r="AB4" s="87"/>
    </row>
    <row r="5" spans="1:33" x14ac:dyDescent="0.25">
      <c r="A5" t="s">
        <v>175</v>
      </c>
      <c r="B5" s="15" t="s">
        <v>172</v>
      </c>
      <c r="C5" s="15"/>
      <c r="D5" s="81"/>
      <c r="E5" s="71"/>
      <c r="F5" s="15"/>
      <c r="G5" s="15"/>
      <c r="H5" s="1" t="s">
        <v>200</v>
      </c>
      <c r="I5" s="15" t="s">
        <v>172</v>
      </c>
      <c r="J5" s="68" t="s">
        <v>69</v>
      </c>
      <c r="K5" s="16"/>
      <c r="L5" s="83"/>
      <c r="M5" s="84">
        <v>1384.174072265625</v>
      </c>
      <c r="N5" s="84">
        <v>7792.17626953125</v>
      </c>
      <c r="O5" s="82"/>
      <c r="P5" s="85"/>
      <c r="Q5" s="85"/>
      <c r="R5" s="86"/>
      <c r="S5" s="86"/>
      <c r="T5" s="86"/>
      <c r="U5" s="86"/>
      <c r="V5" s="53"/>
      <c r="W5" s="53"/>
      <c r="X5" s="53"/>
      <c r="Y5" s="53"/>
      <c r="Z5" s="72">
        <v>5</v>
      </c>
      <c r="AA5" s="72"/>
      <c r="AB5" s="87"/>
    </row>
    <row r="6" spans="1:33" x14ac:dyDescent="0.25">
      <c r="A6" s="14" t="s">
        <v>176</v>
      </c>
      <c r="B6" s="15" t="s">
        <v>188</v>
      </c>
      <c r="C6" s="15"/>
      <c r="D6" s="81"/>
      <c r="E6" s="71"/>
      <c r="F6" s="15"/>
      <c r="G6" s="15"/>
      <c r="H6" s="14" t="s">
        <v>201</v>
      </c>
      <c r="I6" s="15" t="s">
        <v>188</v>
      </c>
      <c r="J6" s="68" t="s">
        <v>76</v>
      </c>
      <c r="K6" s="16"/>
      <c r="L6" s="83"/>
      <c r="M6" s="84">
        <v>7743.26708984375</v>
      </c>
      <c r="N6" s="84">
        <v>1533.584228515625</v>
      </c>
      <c r="O6" s="82"/>
      <c r="P6" s="85"/>
      <c r="Q6" s="85"/>
      <c r="R6" s="86"/>
      <c r="S6" s="86"/>
      <c r="T6" s="86"/>
      <c r="U6" s="86"/>
      <c r="V6" s="53"/>
      <c r="W6" s="53"/>
      <c r="X6" s="53"/>
      <c r="Y6" s="53"/>
      <c r="Z6" s="72">
        <v>6</v>
      </c>
      <c r="AA6" s="72"/>
      <c r="AB6" s="87"/>
    </row>
    <row r="7" spans="1:33" ht="30" x14ac:dyDescent="0.25">
      <c r="A7" s="14" t="s">
        <v>177</v>
      </c>
      <c r="B7" s="54" t="s">
        <v>189</v>
      </c>
      <c r="C7" s="15"/>
      <c r="D7" s="81"/>
      <c r="E7" s="71"/>
      <c r="F7" s="15"/>
      <c r="G7" s="15"/>
      <c r="H7" s="14" t="s">
        <v>202</v>
      </c>
      <c r="I7" s="54" t="s">
        <v>189</v>
      </c>
      <c r="J7" s="57" t="s">
        <v>76</v>
      </c>
      <c r="K7" s="16"/>
      <c r="L7" s="83"/>
      <c r="M7" s="84">
        <v>5581.6953125</v>
      </c>
      <c r="N7" s="84">
        <v>818.80474853515625</v>
      </c>
      <c r="O7" s="82"/>
      <c r="P7" s="85"/>
      <c r="Q7" s="85"/>
      <c r="R7" s="86"/>
      <c r="S7" s="86"/>
      <c r="T7" s="86"/>
      <c r="U7" s="86"/>
      <c r="V7" s="53"/>
      <c r="W7" s="53"/>
      <c r="X7" s="53"/>
      <c r="Y7" s="53"/>
      <c r="Z7" s="72">
        <v>7</v>
      </c>
      <c r="AA7" s="72"/>
      <c r="AB7" s="87"/>
    </row>
    <row r="8" spans="1:33" x14ac:dyDescent="0.25">
      <c r="A8" s="14" t="s">
        <v>178</v>
      </c>
      <c r="B8" s="54" t="s">
        <v>190</v>
      </c>
      <c r="C8" s="15"/>
      <c r="D8" s="81"/>
      <c r="E8" s="71"/>
      <c r="F8" s="15"/>
      <c r="G8" s="15"/>
      <c r="H8" s="14" t="s">
        <v>203</v>
      </c>
      <c r="I8" s="54" t="s">
        <v>190</v>
      </c>
      <c r="J8" s="68" t="s">
        <v>69</v>
      </c>
      <c r="K8" s="16"/>
      <c r="L8" s="83"/>
      <c r="M8" s="84">
        <v>3286.749267578125</v>
      </c>
      <c r="N8" s="84">
        <v>8937.2294921875</v>
      </c>
      <c r="O8" s="82"/>
      <c r="P8" s="85"/>
      <c r="Q8" s="85"/>
      <c r="R8" s="86"/>
      <c r="S8" s="86"/>
      <c r="T8" s="86"/>
      <c r="U8" s="86"/>
      <c r="V8" s="53"/>
      <c r="W8" s="53"/>
      <c r="X8" s="53"/>
      <c r="Y8" s="53"/>
      <c r="Z8" s="72">
        <v>8</v>
      </c>
      <c r="AA8" s="72"/>
      <c r="AB8" s="87"/>
    </row>
    <row r="9" spans="1:33" x14ac:dyDescent="0.25">
      <c r="A9" s="14" t="s">
        <v>179</v>
      </c>
      <c r="B9" s="15" t="s">
        <v>191</v>
      </c>
      <c r="C9" s="15"/>
      <c r="D9" s="81"/>
      <c r="E9" s="71"/>
      <c r="F9" s="15"/>
      <c r="G9" s="15"/>
      <c r="H9" s="14" t="s">
        <v>204</v>
      </c>
      <c r="I9" s="15" t="s">
        <v>191</v>
      </c>
      <c r="J9" s="68" t="s">
        <v>76</v>
      </c>
      <c r="K9" s="16"/>
      <c r="L9" s="83"/>
      <c r="M9" s="84">
        <v>3286.749267578125</v>
      </c>
      <c r="N9" s="84">
        <v>1061.77099609375</v>
      </c>
      <c r="O9" s="82"/>
      <c r="P9" s="85"/>
      <c r="Q9" s="85"/>
      <c r="R9" s="86"/>
      <c r="S9" s="86"/>
      <c r="T9" s="86"/>
      <c r="U9" s="86"/>
      <c r="V9" s="53"/>
      <c r="W9" s="53"/>
      <c r="X9" s="53"/>
      <c r="Y9" s="53"/>
      <c r="Z9" s="72">
        <v>9</v>
      </c>
      <c r="AA9" s="72"/>
      <c r="AB9" s="87"/>
    </row>
    <row r="10" spans="1:33" x14ac:dyDescent="0.25">
      <c r="A10" s="14" t="s">
        <v>180</v>
      </c>
      <c r="B10" s="15" t="s">
        <v>192</v>
      </c>
      <c r="C10" s="89"/>
      <c r="D10" s="90"/>
      <c r="E10" s="91"/>
      <c r="F10" s="89"/>
      <c r="G10" s="89"/>
      <c r="H10" s="14" t="s">
        <v>205</v>
      </c>
      <c r="I10" s="15" t="s">
        <v>192</v>
      </c>
      <c r="J10" s="93" t="s">
        <v>75</v>
      </c>
      <c r="K10" s="92"/>
      <c r="L10" s="94"/>
      <c r="M10" s="95">
        <v>1384.174072265625</v>
      </c>
      <c r="N10" s="95">
        <v>2206.823974609375</v>
      </c>
      <c r="O10" s="96"/>
      <c r="P10" s="97"/>
      <c r="Q10" s="97"/>
      <c r="R10" s="98"/>
      <c r="S10" s="98"/>
      <c r="T10" s="98"/>
      <c r="U10" s="98"/>
      <c r="V10" s="99"/>
      <c r="W10" s="99"/>
      <c r="X10" s="99"/>
      <c r="Y10" s="99"/>
      <c r="Z10" s="100">
        <v>10</v>
      </c>
      <c r="AA10" s="100"/>
      <c r="AB10" s="101"/>
    </row>
    <row r="11" spans="1:33" x14ac:dyDescent="0.25">
      <c r="A11" s="14" t="s">
        <v>181</v>
      </c>
      <c r="B11" s="15" t="s">
        <v>196</v>
      </c>
      <c r="C11" s="15"/>
      <c r="D11" s="81"/>
      <c r="E11" s="71"/>
      <c r="F11" s="15"/>
      <c r="G11" s="15"/>
      <c r="H11" s="14" t="s">
        <v>206</v>
      </c>
      <c r="I11" s="15" t="s">
        <v>196</v>
      </c>
      <c r="J11" s="68" t="s">
        <v>71</v>
      </c>
      <c r="K11" s="16"/>
      <c r="L11" s="83"/>
      <c r="M11" s="84">
        <v>9276.275390625</v>
      </c>
      <c r="N11" s="84">
        <v>6956.63525390625</v>
      </c>
      <c r="O11" s="82"/>
      <c r="P11" s="85"/>
      <c r="Q11" s="85"/>
      <c r="R11" s="86"/>
      <c r="S11" s="86"/>
      <c r="T11" s="86"/>
      <c r="U11" s="86"/>
      <c r="V11" s="53"/>
      <c r="W11" s="53"/>
      <c r="X11" s="53"/>
      <c r="Y11" s="53"/>
      <c r="Z11" s="72">
        <v>11</v>
      </c>
      <c r="AA11" s="72"/>
      <c r="AB11" s="87"/>
    </row>
    <row r="12" spans="1:33" x14ac:dyDescent="0.25">
      <c r="A12" s="14" t="s">
        <v>182</v>
      </c>
      <c r="B12" s="15" t="s">
        <v>193</v>
      </c>
      <c r="C12" s="15"/>
      <c r="D12" s="81"/>
      <c r="E12" s="71"/>
      <c r="F12" s="15"/>
      <c r="G12" s="15"/>
      <c r="H12" s="14" t="s">
        <v>207</v>
      </c>
      <c r="I12" s="15" t="s">
        <v>193</v>
      </c>
      <c r="J12" s="68" t="s">
        <v>69</v>
      </c>
      <c r="K12" s="16"/>
      <c r="L12" s="83"/>
      <c r="M12" s="84">
        <v>309.82632446289062</v>
      </c>
      <c r="N12" s="84">
        <v>3991.6455078125</v>
      </c>
      <c r="O12" s="82"/>
      <c r="P12" s="85"/>
      <c r="Q12" s="85"/>
      <c r="R12" s="86"/>
      <c r="S12" s="86"/>
      <c r="T12" s="86"/>
      <c r="U12" s="86"/>
      <c r="V12" s="53"/>
      <c r="W12" s="53"/>
      <c r="X12" s="53"/>
      <c r="Y12" s="53"/>
      <c r="Z12" s="72">
        <v>12</v>
      </c>
      <c r="AA12" s="72"/>
      <c r="AB12" s="87"/>
    </row>
    <row r="13" spans="1:33" x14ac:dyDescent="0.25">
      <c r="A13" s="14" t="s">
        <v>183</v>
      </c>
      <c r="B13" s="15" t="s">
        <v>194</v>
      </c>
      <c r="C13" s="15"/>
      <c r="D13" s="81"/>
      <c r="E13" s="71"/>
      <c r="F13" s="15"/>
      <c r="G13" s="15"/>
      <c r="H13" s="14" t="s">
        <v>208</v>
      </c>
      <c r="I13" s="15" t="s">
        <v>194</v>
      </c>
      <c r="J13" s="68" t="s">
        <v>71</v>
      </c>
      <c r="K13" s="16"/>
      <c r="L13" s="83"/>
      <c r="M13" s="84">
        <v>7743.26708984375</v>
      </c>
      <c r="N13" s="84">
        <v>8465.4150390625</v>
      </c>
      <c r="O13" s="82"/>
      <c r="P13" s="85"/>
      <c r="Q13" s="85"/>
      <c r="R13" s="86"/>
      <c r="S13" s="86"/>
      <c r="T13" s="86"/>
      <c r="U13" s="86"/>
      <c r="V13" s="53"/>
      <c r="W13" s="53"/>
      <c r="X13" s="53"/>
      <c r="Y13" s="53"/>
      <c r="Z13" s="72">
        <v>13</v>
      </c>
      <c r="AA13" s="72"/>
      <c r="AB13" s="87"/>
    </row>
    <row r="14" spans="1:33" x14ac:dyDescent="0.25">
      <c r="A14" s="14" t="s">
        <v>184</v>
      </c>
      <c r="B14" s="15" t="s">
        <v>195</v>
      </c>
      <c r="C14" s="15"/>
      <c r="D14" s="81"/>
      <c r="E14" s="71"/>
      <c r="F14" s="15"/>
      <c r="G14" s="15"/>
      <c r="H14" s="14" t="s">
        <v>209</v>
      </c>
      <c r="I14" s="15" t="s">
        <v>195</v>
      </c>
      <c r="J14" s="68" t="s">
        <v>69</v>
      </c>
      <c r="K14" s="16"/>
      <c r="L14" s="83"/>
      <c r="M14" s="84">
        <v>309.82632446289062</v>
      </c>
      <c r="N14" s="84">
        <v>6007.35400390625</v>
      </c>
      <c r="O14" s="82"/>
      <c r="P14" s="85"/>
      <c r="Q14" s="85"/>
      <c r="R14" s="86"/>
      <c r="S14" s="86"/>
      <c r="T14" s="86"/>
      <c r="U14" s="86"/>
      <c r="V14" s="53"/>
      <c r="W14" s="53"/>
      <c r="X14" s="53"/>
      <c r="Y14" s="53"/>
      <c r="Z14" s="72">
        <v>14</v>
      </c>
      <c r="AA14" s="72"/>
      <c r="AB14" s="87"/>
    </row>
    <row r="15" spans="1:33" x14ac:dyDescent="0.25">
      <c r="A15" s="14" t="s">
        <v>185</v>
      </c>
      <c r="B15" s="15" t="s">
        <v>197</v>
      </c>
      <c r="C15" s="15"/>
      <c r="D15" s="81"/>
      <c r="E15" s="71"/>
      <c r="F15" s="15"/>
      <c r="G15" s="15"/>
      <c r="H15" s="14" t="s">
        <v>210</v>
      </c>
      <c r="I15" s="15" t="s">
        <v>197</v>
      </c>
      <c r="J15" s="68" t="s">
        <v>71</v>
      </c>
      <c r="K15" s="16"/>
      <c r="L15" s="83"/>
      <c r="M15" s="84">
        <v>5581.6953125</v>
      </c>
      <c r="N15" s="84">
        <v>9180.1953125</v>
      </c>
      <c r="O15" s="82"/>
      <c r="P15" s="85"/>
      <c r="Q15" s="85"/>
      <c r="R15" s="86"/>
      <c r="S15" s="86"/>
      <c r="T15" s="86"/>
      <c r="U15" s="86"/>
      <c r="V15" s="53"/>
      <c r="W15" s="53"/>
      <c r="X15" s="53"/>
      <c r="Y15" s="53"/>
      <c r="Z15" s="72">
        <v>15</v>
      </c>
      <c r="AA15" s="72"/>
      <c r="AB15" s="87"/>
    </row>
    <row r="16" spans="1:33" x14ac:dyDescent="0.25">
      <c r="A16" s="14"/>
      <c r="B16" s="15"/>
      <c r="C16" s="15"/>
      <c r="D16" s="81"/>
      <c r="E16" s="71"/>
      <c r="F16" s="15"/>
      <c r="G16" s="15"/>
      <c r="H16" s="16"/>
      <c r="I16" s="68"/>
      <c r="J16" s="68"/>
      <c r="K16" s="16"/>
      <c r="L16" s="83"/>
      <c r="M16" s="84">
        <v>9146.2490234375</v>
      </c>
      <c r="N16" s="84">
        <v>6674.20947265625</v>
      </c>
      <c r="O16" s="82"/>
      <c r="P16" s="85"/>
      <c r="Q16" s="85"/>
      <c r="R16" s="86"/>
      <c r="S16" s="86"/>
      <c r="T16" s="86"/>
      <c r="U16" s="86"/>
      <c r="V16" s="53"/>
      <c r="W16" s="53"/>
      <c r="X16" s="53"/>
      <c r="Y16" s="53"/>
      <c r="Z16" s="72">
        <v>16</v>
      </c>
      <c r="AA16" s="72"/>
      <c r="AB16" s="87"/>
    </row>
    <row r="17" spans="1:28" x14ac:dyDescent="0.25">
      <c r="A17" s="14"/>
      <c r="B17" s="15"/>
      <c r="C17" s="15"/>
      <c r="D17" s="81"/>
      <c r="E17" s="71"/>
      <c r="F17" s="15"/>
      <c r="G17" s="15"/>
      <c r="H17" s="16"/>
      <c r="I17" s="68"/>
      <c r="J17" s="68"/>
      <c r="K17" s="16"/>
      <c r="L17" s="83"/>
      <c r="M17" s="84">
        <v>852.75085449218705</v>
      </c>
      <c r="N17" s="84">
        <v>6674.20947265625</v>
      </c>
      <c r="O17" s="82"/>
      <c r="P17" s="85"/>
      <c r="Q17" s="85"/>
      <c r="R17" s="86"/>
      <c r="S17" s="86"/>
      <c r="T17" s="86"/>
      <c r="U17" s="86"/>
      <c r="V17" s="53"/>
      <c r="W17" s="53"/>
      <c r="X17" s="53"/>
      <c r="Y17" s="53"/>
      <c r="Z17" s="72">
        <v>17</v>
      </c>
      <c r="AA17" s="72"/>
      <c r="AB17" s="87"/>
    </row>
    <row r="18" spans="1:28" x14ac:dyDescent="0.25">
      <c r="A18" s="14"/>
      <c r="B18" s="15"/>
      <c r="C18" s="15"/>
      <c r="D18" s="81"/>
      <c r="E18" s="71"/>
      <c r="F18" s="15"/>
      <c r="G18" s="15"/>
      <c r="H18" s="16"/>
      <c r="I18" s="68"/>
      <c r="J18" s="68"/>
      <c r="K18" s="16"/>
      <c r="L18" s="83"/>
      <c r="M18" s="84">
        <v>7393.626953125</v>
      </c>
      <c r="N18" s="84">
        <v>7900.181640625</v>
      </c>
      <c r="O18" s="82"/>
      <c r="P18" s="85"/>
      <c r="Q18" s="85"/>
      <c r="R18" s="86"/>
      <c r="S18" s="86"/>
      <c r="T18" s="86"/>
      <c r="U18" s="86"/>
      <c r="V18" s="53"/>
      <c r="W18" s="53"/>
      <c r="X18" s="53"/>
      <c r="Y18" s="53"/>
      <c r="Z18" s="72">
        <v>18</v>
      </c>
      <c r="AA18" s="72"/>
      <c r="AB18" s="87"/>
    </row>
    <row r="19" spans="1:28" x14ac:dyDescent="0.25">
      <c r="A19" s="14"/>
      <c r="B19" s="15"/>
      <c r="C19" s="15"/>
      <c r="D19" s="81"/>
      <c r="E19" s="71"/>
      <c r="F19" s="15"/>
      <c r="G19" s="15"/>
      <c r="H19" s="16"/>
      <c r="I19" s="68"/>
      <c r="J19" s="68"/>
      <c r="K19" s="16"/>
      <c r="L19" s="83"/>
      <c r="M19" s="84">
        <v>2266.20361328125</v>
      </c>
      <c r="N19" s="84">
        <v>7253.98388671875</v>
      </c>
      <c r="O19" s="82"/>
      <c r="P19" s="85"/>
      <c r="Q19" s="85"/>
      <c r="R19" s="86"/>
      <c r="S19" s="86"/>
      <c r="T19" s="86"/>
      <c r="U19" s="86"/>
      <c r="V19" s="53"/>
      <c r="W19" s="53"/>
      <c r="X19" s="53"/>
      <c r="Y19" s="53"/>
      <c r="Z19" s="72">
        <v>19</v>
      </c>
      <c r="AA19" s="72"/>
      <c r="AB19" s="87"/>
    </row>
    <row r="20" spans="1:28" x14ac:dyDescent="0.25">
      <c r="A20" s="14"/>
      <c r="B20" s="15"/>
      <c r="C20" s="15"/>
      <c r="D20" s="81"/>
      <c r="E20" s="71"/>
      <c r="F20" s="15"/>
      <c r="G20" s="15"/>
      <c r="H20" s="16"/>
      <c r="I20" s="68"/>
      <c r="J20" s="68"/>
      <c r="K20" s="16"/>
      <c r="L20" s="83"/>
      <c r="M20" s="84">
        <v>9686.6298828125</v>
      </c>
      <c r="N20" s="84">
        <v>3193.00610351562</v>
      </c>
      <c r="O20" s="82"/>
      <c r="P20" s="85"/>
      <c r="Q20" s="85"/>
      <c r="R20" s="86"/>
      <c r="S20" s="86"/>
      <c r="T20" s="86"/>
      <c r="U20" s="86"/>
      <c r="V20" s="53"/>
      <c r="W20" s="53"/>
      <c r="X20" s="53"/>
      <c r="Y20" s="53"/>
      <c r="Z20" s="72">
        <v>20</v>
      </c>
      <c r="AA20" s="72"/>
      <c r="AB20" s="87"/>
    </row>
    <row r="21" spans="1:28" x14ac:dyDescent="0.25">
      <c r="A21" s="14"/>
      <c r="B21" s="15"/>
      <c r="C21" s="15"/>
      <c r="D21" s="81"/>
      <c r="E21" s="71"/>
      <c r="F21" s="15"/>
      <c r="G21" s="15"/>
      <c r="H21" s="16"/>
      <c r="I21" s="68"/>
      <c r="J21" s="68"/>
      <c r="K21" s="16"/>
      <c r="L21" s="83"/>
      <c r="M21" s="84"/>
      <c r="N21" s="84"/>
      <c r="O21" s="82"/>
      <c r="P21" s="85"/>
      <c r="Q21" s="85"/>
      <c r="R21" s="86"/>
      <c r="S21" s="86"/>
      <c r="T21" s="86"/>
      <c r="U21" s="86"/>
      <c r="V21" s="53"/>
      <c r="W21" s="53"/>
      <c r="X21" s="53"/>
      <c r="Y21" s="53"/>
      <c r="Z21" s="72">
        <v>21</v>
      </c>
      <c r="AA21" s="72"/>
      <c r="AB21" s="87"/>
    </row>
    <row r="22" spans="1:28" x14ac:dyDescent="0.25">
      <c r="A22" s="14"/>
      <c r="B22" s="15"/>
      <c r="C22" s="15"/>
      <c r="D22" s="81"/>
      <c r="E22" s="71"/>
      <c r="F22" s="15"/>
      <c r="G22" s="15"/>
      <c r="H22" s="16"/>
      <c r="I22" s="68"/>
      <c r="J22" s="68"/>
      <c r="K22" s="16"/>
      <c r="L22" s="83"/>
      <c r="M22" s="84"/>
      <c r="N22" s="84"/>
      <c r="O22" s="82"/>
      <c r="P22" s="85"/>
      <c r="Q22" s="85"/>
      <c r="R22" s="86"/>
      <c r="S22" s="86"/>
      <c r="T22" s="86"/>
      <c r="U22" s="86"/>
      <c r="V22" s="53"/>
      <c r="W22" s="53"/>
      <c r="X22" s="53"/>
      <c r="Y22" s="53"/>
      <c r="Z22" s="72">
        <v>22</v>
      </c>
      <c r="AA22" s="72"/>
      <c r="AB22" s="87"/>
    </row>
    <row r="23" spans="1:28" x14ac:dyDescent="0.25">
      <c r="A23" s="88"/>
      <c r="B23" s="89"/>
      <c r="C23" s="89"/>
      <c r="D23" s="90"/>
      <c r="E23" s="91"/>
      <c r="F23" s="89"/>
      <c r="G23" s="89"/>
      <c r="H23" s="92"/>
      <c r="I23" s="93"/>
      <c r="J23" s="93"/>
      <c r="K23" s="92"/>
      <c r="L23" s="94"/>
      <c r="M23" s="95"/>
      <c r="N23" s="95"/>
      <c r="O23" s="96"/>
      <c r="P23" s="97"/>
      <c r="Q23" s="97"/>
      <c r="R23" s="98"/>
      <c r="S23" s="98"/>
      <c r="T23" s="98"/>
      <c r="U23" s="98"/>
      <c r="V23" s="99"/>
      <c r="W23" s="99"/>
      <c r="X23" s="99"/>
      <c r="Y23" s="99"/>
      <c r="Z23" s="100">
        <v>23</v>
      </c>
      <c r="AA23" s="100"/>
      <c r="AB23" s="101"/>
    </row>
    <row r="24" spans="1:28" x14ac:dyDescent="0.25">
      <c r="A24" s="88"/>
      <c r="B24" s="89"/>
      <c r="C24" s="89"/>
      <c r="D24" s="90"/>
      <c r="E24" s="91"/>
      <c r="F24" s="89"/>
      <c r="G24" s="89"/>
      <c r="H24" s="92"/>
      <c r="I24" s="93"/>
      <c r="J24" s="93"/>
      <c r="K24" s="92"/>
      <c r="L24" s="94"/>
      <c r="M24" s="95"/>
      <c r="N24" s="95"/>
      <c r="O24" s="96"/>
      <c r="P24" s="97"/>
      <c r="Q24" s="97"/>
      <c r="R24" s="98"/>
      <c r="S24" s="98"/>
      <c r="T24" s="98"/>
      <c r="U24" s="98"/>
      <c r="V24" s="99"/>
      <c r="W24" s="99"/>
      <c r="X24" s="99"/>
      <c r="Y24" s="99"/>
      <c r="Z24" s="100">
        <v>24</v>
      </c>
      <c r="AA24" s="100"/>
      <c r="AB24" s="101"/>
    </row>
  </sheetData>
  <dataConsolidate/>
  <dataValidations count="22">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Z3:Z24"/>
    <dataValidation allowBlank="1" errorTitle="Invalid Vertex Visibility" error="You have entered an unrecognized vertex visibility.  Try selecting from the drop-down list instead." sqref="AC3"/>
    <dataValidation allowBlank="1" showErrorMessage="1" sqref="AC2"/>
    <dataValidation type="list" allowBlank="1" showInputMessage="1" showErrorMessage="1" errorTitle="Invalid Vertex Locked" error="You have entered an unrecognized &quot;vertex locked.&quot;  Try selecting from the drop-down list instead." promptTitle="Vertex Locked?" prompt="Set to Yes to lock the vertex at its current location." sqref="O3:O24">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sqref="M3:N24"/>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24"/>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24"/>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24"/>
    <dataValidation allowBlank="1" showInputMessage="1" errorTitle="Invalid Vertex Image Key" promptTitle="Vertex Tooltip" prompt="Enter optional text that will pop up when the mouse is hovered over the vertex." sqref="K3:K24"/>
    <dataValidation allowBlank="1" errorTitle="Invalid Vertex Visibility" error="You have entered an unrecognized vertex visibility.  Try selecting from the drop-down list instead." promptTitle="Vertex ID" prompt="This is a unique ID that gets filled in automatically.  Do not edit this column." sqref="AA3:AA24"/>
    <dataValidation type="list" allowBlank="1" showInputMessage="1" showErrorMessage="1" errorTitle="Invalid Vertex Visibility" error="You have entered an unrecognized vertex visibility.  Try selecting from the drop-down list instead." promptTitle="Vertex Visibility" prompt="Select an optional vertex visibility.  Vertices are &quot;Show if in an Edge&quot; by default." sqref="G3:G24">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16:H23"/>
    <dataValidation allowBlank="1" showInputMessage="1" promptTitle="Vertex Label Fill Color" prompt="To select an optional fill color for the Label shape, right-click and select Select Color on the right-click menu." sqref="I16:I24"/>
    <dataValidation allowBlank="1" showInputMessage="1" errorTitle="Invalid Vertex Image Key" promptTitle="Image File" prompt="Enter the path to an image file.  Hover over the column header for examples." sqref="F3:F24"/>
    <dataValidation allowBlank="1" showInputMessage="1" promptTitle="Vertex Color" prompt="To select an optional vertex color, right-click and select Select Color on the right-click menu." sqref="B5:B6 B20:B23 B9:B16 I5:I6 I9:I15"/>
    <dataValidation allowBlank="1" showInputMessage="1" errorTitle="Invalid Vertex Opacity" error="The optional vertex opacity must be a whole number between 0 and 10." promptTitle="Vertex Opacity" prompt="Enter an optional vertex opacity between 0 (transparent) and 100 (opaque)." sqref="E3:E24"/>
    <dataValidation type="list" allowBlank="1" showInputMessage="1" showErrorMessage="1" errorTitle="Unrecognized Vertex Shape" error="You have entered an unrecognized vertex shape.  Try selecting from the drop-down list instead." promptTitle="Vertex Shape" prompt="Select an optional vertex shape." sqref="C3:C24">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 sqref="D3:D24"/>
    <dataValidation type="list" allowBlank="1" showInputMessage="1" showErrorMessage="1" errorTitle="Unrecognized Label Position" error="You have entered an unrecognized vertex label position.  Try selecting from the drop-down list instead." promptTitle="Vertex Label Position" prompt="Select an optional vertex label position." sqref="J3:J24">
      <formula1>ValidVertexLabelPositions</formula1>
    </dataValidation>
    <dataValidation allowBlank="1" showInputMessage="1" promptTitle="Edge Color" prompt="To select an optional edge color, right-click and select Select Color on the right-click menu." sqref="B3:B4 I3:I4"/>
    <dataValidation allowBlank="1" showInputMessage="1" showErrorMessage="1" promptTitle="Vertex Name" prompt="Enter the name of the vertex." sqref="A20:A23 A3:A16"/>
    <dataValidation allowBlank="1" showInputMessage="1" showErrorMessage="1" promptTitle="Group Name" prompt="Enter the name of the group.  The group name must also be entered on the Groups worksheet." sqref="H3:H15"/>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1"/>
  <sheetViews>
    <sheetView workbookViewId="0"/>
  </sheetViews>
  <sheetFormatPr defaultRowHeight="15" x14ac:dyDescent="0.25"/>
  <cols>
    <col min="1" max="1" width="10.85546875" style="3" bestFit="1" customWidth="1"/>
    <col min="2" max="2" width="16.85546875" style="3" bestFit="1" customWidth="1"/>
    <col min="4" max="5" width="9.140625" customWidth="1"/>
  </cols>
  <sheetData>
    <row r="1" spans="1:1" x14ac:dyDescent="0.25">
      <c r="A1" s="3" t="s">
        <v>50</v>
      </c>
    </row>
    <row r="2" spans="1:1" ht="15" customHeight="1" x14ac:dyDescent="0.25"/>
    <row r="3" spans="1:1" ht="15" customHeight="1" x14ac:dyDescent="0.25">
      <c r="A3" s="32" t="s">
        <v>51</v>
      </c>
    </row>
    <row r="21" spans="4:4" x14ac:dyDescent="0.25">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S10"/>
  <sheetViews>
    <sheetView workbookViewId="0">
      <selection activeCell="A2" sqref="A2:S2"/>
    </sheetView>
  </sheetViews>
  <sheetFormatPr defaultRowHeight="15" x14ac:dyDescent="0.25"/>
  <cols>
    <col min="1" max="1" width="9.42578125" style="1" bestFit="1" customWidth="1"/>
    <col min="2" max="2" width="14.28515625" bestFit="1" customWidth="1"/>
    <col min="3" max="3" width="15" bestFit="1" customWidth="1"/>
    <col min="4" max="4" width="13" bestFit="1" customWidth="1"/>
    <col min="5" max="5" width="8" bestFit="1" customWidth="1"/>
    <col min="6" max="6" width="11" hidden="1" customWidth="1"/>
    <col min="7" max="7" width="12.5703125" hidden="1" customWidth="1"/>
    <col min="8" max="8" width="11" hidden="1" customWidth="1"/>
    <col min="9" max="9" width="9.7109375" hidden="1" customWidth="1"/>
    <col min="10" max="10" width="13.140625" hidden="1" customWidth="1"/>
    <col min="11" max="12" width="8.42578125" hidden="1" customWidth="1"/>
    <col min="13" max="13" width="14.5703125" hidden="1" customWidth="1"/>
    <col min="14" max="14" width="25" hidden="1" customWidth="1"/>
    <col min="15" max="16" width="24.140625" hidden="1" customWidth="1"/>
    <col min="17" max="17" width="21.28515625" hidden="1" customWidth="1"/>
    <col min="18" max="18" width="19.28515625" hidden="1" customWidth="1"/>
    <col min="19" max="19" width="10" hidden="1" customWidth="1"/>
  </cols>
  <sheetData>
    <row r="1" spans="1:19" x14ac:dyDescent="0.25">
      <c r="B1" s="15" t="s">
        <v>40</v>
      </c>
      <c r="C1" s="15"/>
      <c r="D1" s="15"/>
      <c r="E1" s="68" t="s">
        <v>44</v>
      </c>
      <c r="F1" s="65" t="s">
        <v>41</v>
      </c>
      <c r="G1" s="65"/>
      <c r="H1" s="35" t="s">
        <v>43</v>
      </c>
      <c r="I1" s="35"/>
      <c r="J1" s="35"/>
      <c r="K1" s="35"/>
      <c r="L1" s="35"/>
      <c r="M1" s="35"/>
      <c r="N1" s="35"/>
      <c r="O1" s="35"/>
      <c r="P1" s="35"/>
      <c r="Q1" s="35"/>
      <c r="R1" s="35"/>
      <c r="S1" s="35"/>
    </row>
    <row r="2" spans="1:19" s="13" customFormat="1" ht="30" customHeight="1" x14ac:dyDescent="0.25">
      <c r="A2" s="11" t="s">
        <v>145</v>
      </c>
      <c r="B2" s="13" t="s">
        <v>21</v>
      </c>
      <c r="C2" s="13" t="s">
        <v>20</v>
      </c>
      <c r="D2" s="13" t="s">
        <v>146</v>
      </c>
      <c r="E2" s="13" t="s">
        <v>47</v>
      </c>
      <c r="F2" s="13" t="s">
        <v>12</v>
      </c>
      <c r="G2" s="13" t="s">
        <v>167</v>
      </c>
      <c r="H2" s="13" t="s">
        <v>147</v>
      </c>
      <c r="I2" s="13" t="s">
        <v>149</v>
      </c>
      <c r="J2" s="13" t="s">
        <v>150</v>
      </c>
      <c r="K2" s="13" t="s">
        <v>151</v>
      </c>
      <c r="L2" s="13" t="s">
        <v>152</v>
      </c>
      <c r="M2" s="13" t="s">
        <v>153</v>
      </c>
      <c r="N2" s="13" t="s">
        <v>154</v>
      </c>
      <c r="O2" s="13" t="s">
        <v>155</v>
      </c>
      <c r="P2" s="13" t="s">
        <v>156</v>
      </c>
      <c r="Q2" s="13" t="s">
        <v>157</v>
      </c>
      <c r="R2" s="13" t="s">
        <v>158</v>
      </c>
      <c r="S2" s="13" t="s">
        <v>159</v>
      </c>
    </row>
    <row r="3" spans="1:19" x14ac:dyDescent="0.25">
      <c r="A3" s="14"/>
      <c r="B3" s="15"/>
      <c r="C3" s="15"/>
      <c r="D3" s="15"/>
      <c r="E3" s="16"/>
      <c r="F3" s="65"/>
      <c r="G3" s="65"/>
      <c r="H3" s="48"/>
      <c r="I3" s="48"/>
      <c r="J3" s="48"/>
      <c r="K3" s="48"/>
      <c r="L3" s="48"/>
      <c r="M3" s="48"/>
      <c r="N3" s="48"/>
      <c r="O3" s="48"/>
      <c r="P3" s="48"/>
      <c r="Q3" s="48"/>
      <c r="R3" s="49"/>
      <c r="S3" s="49"/>
    </row>
    <row r="10" spans="1:19" ht="14.25" customHeight="1" x14ac:dyDescent="0.25"/>
  </sheetData>
  <dataConsolidate/>
  <dataValidations count="6">
    <dataValidation allowBlank="1" showInputMessage="1" promptTitle="Vertex Color" prompt="To select a color to use for all vertices in the group, right-click and select Select Color on the right-click menu." sqref="B3"/>
    <dataValidation type="list" allowBlank="1" showInputMessage="1" showErrorMessage="1" errorTitle="Unrecognized Vertex Shape" error="You have entered an unrecognized vertex shape.  Try selecting from the drop-down list instead." promptTitle="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unrecognized &quot;group collapsed.&quot;  Try selecting from the drop-down list instead." promptTitle="Group Collapsed?" prompt="Set to Yes to collapse the group." sqref="D3">
      <formula1>ValidBooleansDefaultFalse</formula1>
    </dataValidation>
    <dataValidation allowBlank="1" sqref="H3"/>
    <dataValidation allowBlank="1" showInputMessage="1" showErrorMessage="1" errorTitle="Invalid Group Collapsed" error="You have entered an unrecognized &quot;group collapsed.&quot;  Try selecting from the drop-down list instead." promptTitle="Group Label" prompt="Enter an optional group label." sqref="E3"/>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D23"/>
  <sheetViews>
    <sheetView workbookViewId="0">
      <selection activeCell="E8" sqref="E8"/>
    </sheetView>
  </sheetViews>
  <sheetFormatPr defaultRowHeight="15" x14ac:dyDescent="0.25"/>
  <cols>
    <col min="1" max="1" width="9.42578125" style="1" bestFit="1" customWidth="1"/>
    <col min="2" max="2" width="32.140625" style="1" bestFit="1" customWidth="1"/>
    <col min="3" max="3" width="11.5703125" bestFit="1" customWidth="1"/>
    <col min="4" max="4" width="34.42578125" bestFit="1" customWidth="1"/>
  </cols>
  <sheetData>
    <row r="1" spans="1:4" x14ac:dyDescent="0.25">
      <c r="A1" s="1" t="s">
        <v>145</v>
      </c>
      <c r="B1" s="1" t="s">
        <v>5</v>
      </c>
      <c r="C1" s="1" t="s">
        <v>148</v>
      </c>
      <c r="D1" s="118"/>
    </row>
    <row r="2" spans="1:4" x14ac:dyDescent="0.25">
      <c r="A2" s="118"/>
      <c r="C2" s="3"/>
      <c r="D2" s="118"/>
    </row>
    <row r="3" spans="1:4" x14ac:dyDescent="0.25">
      <c r="A3" s="118"/>
      <c r="C3" s="3"/>
      <c r="D3" s="118"/>
    </row>
    <row r="4" spans="1:4" x14ac:dyDescent="0.25">
      <c r="A4" s="118"/>
      <c r="C4" s="3"/>
      <c r="D4" s="118"/>
    </row>
    <row r="5" spans="1:4" x14ac:dyDescent="0.25">
      <c r="A5" s="118"/>
      <c r="C5" s="3"/>
      <c r="D5" s="118"/>
    </row>
    <row r="6" spans="1:4" x14ac:dyDescent="0.25">
      <c r="A6" s="118"/>
      <c r="C6" s="3"/>
      <c r="D6" s="118"/>
    </row>
    <row r="7" spans="1:4" x14ac:dyDescent="0.25">
      <c r="A7" s="118"/>
      <c r="C7" s="3"/>
      <c r="D7" s="118"/>
    </row>
    <row r="8" spans="1:4" x14ac:dyDescent="0.25">
      <c r="A8" s="118"/>
      <c r="C8" s="3"/>
      <c r="D8" s="118"/>
    </row>
    <row r="9" spans="1:4" x14ac:dyDescent="0.25">
      <c r="A9" s="118"/>
      <c r="C9" s="3"/>
      <c r="D9" s="118"/>
    </row>
    <row r="10" spans="1:4" x14ac:dyDescent="0.25">
      <c r="A10" s="118"/>
      <c r="C10" s="3"/>
      <c r="D10" s="118"/>
    </row>
    <row r="11" spans="1:4" x14ac:dyDescent="0.25">
      <c r="A11" s="118"/>
      <c r="C11" s="3"/>
      <c r="D11" s="118"/>
    </row>
    <row r="12" spans="1:4" x14ac:dyDescent="0.25">
      <c r="A12" s="118"/>
      <c r="C12" s="3"/>
      <c r="D12" s="118"/>
    </row>
    <row r="13" spans="1:4" x14ac:dyDescent="0.25">
      <c r="A13" s="118"/>
      <c r="C13" s="3"/>
      <c r="D13" s="118"/>
    </row>
    <row r="14" spans="1:4" x14ac:dyDescent="0.25">
      <c r="A14" s="118"/>
      <c r="C14" s="3"/>
    </row>
    <row r="15" spans="1:4" x14ac:dyDescent="0.25">
      <c r="A15" s="118"/>
      <c r="C15" s="3"/>
    </row>
    <row r="16" spans="1:4" x14ac:dyDescent="0.25">
      <c r="A16" s="118"/>
      <c r="C16" s="3"/>
    </row>
    <row r="17" spans="1:3" x14ac:dyDescent="0.25">
      <c r="A17" s="118"/>
      <c r="C17" s="3"/>
    </row>
    <row r="18" spans="1:3" x14ac:dyDescent="0.25">
      <c r="A18" s="118"/>
      <c r="C18" s="3"/>
    </row>
    <row r="19" spans="1:3" x14ac:dyDescent="0.25">
      <c r="A19" s="118"/>
      <c r="C19" s="3"/>
    </row>
    <row r="20" spans="1:3" x14ac:dyDescent="0.25">
      <c r="A20" s="118"/>
      <c r="C20" s="3"/>
    </row>
    <row r="21" spans="1:3" x14ac:dyDescent="0.25">
      <c r="A21" s="118"/>
      <c r="C21" s="3"/>
    </row>
    <row r="22" spans="1:3" x14ac:dyDescent="0.25">
      <c r="A22" s="118"/>
      <c r="C22" s="3"/>
    </row>
    <row r="23" spans="1:3" x14ac:dyDescent="0.25">
      <c r="A23" s="118"/>
      <c r="C23" s="3"/>
    </row>
  </sheetData>
  <dataConsolidate/>
  <dataValidations xWindow="58" yWindow="226" count="2">
    <dataValidation allowBlank="1" showInputMessage="1" showErrorMessage="1" promptTitle="Vertex Name" prompt="Enter the name of a vertex to include in the group." sqref="B2:B23"/>
    <dataValidation allowBlank="1" showInputMessage="1" promptTitle="Vertex ID" prompt="This is the value of the hidden ID cell in the Vertices worksheet.  It gets filled in by the items on the NodeXL, Analysis, Groups menu." sqref="C2:C23"/>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X140"/>
  <sheetViews>
    <sheetView workbookViewId="0">
      <selection activeCell="A2" sqref="A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13" t="s">
        <v>163</v>
      </c>
      <c r="B1" s="13" t="s">
        <v>17</v>
      </c>
      <c r="D1" t="s">
        <v>80</v>
      </c>
      <c r="E1" t="s">
        <v>81</v>
      </c>
      <c r="F1" s="37" t="s">
        <v>87</v>
      </c>
      <c r="G1" s="38" t="s">
        <v>88</v>
      </c>
      <c r="H1" s="37" t="s">
        <v>93</v>
      </c>
      <c r="I1" s="38" t="s">
        <v>94</v>
      </c>
      <c r="J1" s="37" t="s">
        <v>99</v>
      </c>
      <c r="K1" s="38" t="s">
        <v>100</v>
      </c>
      <c r="L1" s="37" t="s">
        <v>105</v>
      </c>
      <c r="M1" s="38" t="s">
        <v>106</v>
      </c>
      <c r="N1" s="37" t="s">
        <v>111</v>
      </c>
      <c r="O1" s="38" t="s">
        <v>112</v>
      </c>
      <c r="P1" s="38" t="s">
        <v>139</v>
      </c>
      <c r="Q1" s="38" t="s">
        <v>140</v>
      </c>
      <c r="R1" s="37" t="s">
        <v>117</v>
      </c>
      <c r="S1" s="37" t="s">
        <v>118</v>
      </c>
      <c r="T1" s="37" t="s">
        <v>123</v>
      </c>
      <c r="U1" s="38" t="s">
        <v>124</v>
      </c>
      <c r="W1" t="s">
        <v>128</v>
      </c>
      <c r="X1" t="s">
        <v>17</v>
      </c>
    </row>
    <row r="2" spans="1:24" ht="15.75" thickTop="1" x14ac:dyDescent="0.25">
      <c r="A2" s="36"/>
      <c r="B2" s="36"/>
      <c r="D2" s="33">
        <f>MIN(Vertices[Degree])</f>
        <v>0</v>
      </c>
      <c r="E2" s="3">
        <f>COUNTIF(Vertices[Degree], "&gt;= " &amp; D2) - COUNTIF(Vertices[Degree], "&gt;=" &amp; D3)</f>
        <v>0</v>
      </c>
      <c r="F2" s="39">
        <f>MIN(Vertices[In-Degree])</f>
        <v>0</v>
      </c>
      <c r="G2" s="40">
        <f>COUNTIF(Vertices[In-Degree], "&gt;= " &amp; F2) - COUNTIF(Vertices[In-Degree], "&gt;=" &amp; F3)</f>
        <v>0</v>
      </c>
      <c r="H2" s="39">
        <f>MIN(Vertices[Out-Degree])</f>
        <v>0</v>
      </c>
      <c r="I2" s="40">
        <f>COUNTIF(Vertices[Out-Degree], "&gt;= " &amp; H2) - COUNTIF(Vertices[Out-Degree], "&gt;=" &amp; H3)</f>
        <v>0</v>
      </c>
      <c r="J2" s="39">
        <f>MIN(Vertices[Betweenness Centrality])</f>
        <v>0</v>
      </c>
      <c r="K2" s="40">
        <f>COUNTIF(Vertices[Betweenness Centrality], "&gt;= " &amp; J2) - COUNTIF(Vertices[Betweenness Centrality], "&gt;=" &amp; J3)</f>
        <v>0</v>
      </c>
      <c r="L2" s="39">
        <f>MIN(Vertices[Closeness Centrality])</f>
        <v>0</v>
      </c>
      <c r="M2" s="40">
        <f>COUNTIF(Vertices[Closeness Centrality], "&gt;= " &amp; L2) - COUNTIF(Vertices[Closeness Centrality], "&gt;=" &amp; L3)</f>
        <v>0</v>
      </c>
      <c r="N2" s="39">
        <f>MIN(Vertices[Eigenvector Centrality])</f>
        <v>0</v>
      </c>
      <c r="O2" s="40">
        <f>COUNTIF(Vertices[Eigenvector Centrality], "&gt;= " &amp; N2) - COUNTIF(Vertices[Eigenvector Centrality], "&gt;=" &amp; N3)</f>
        <v>0</v>
      </c>
      <c r="P2" s="39">
        <f>MIN(Vertices[PageRank])</f>
        <v>0</v>
      </c>
      <c r="Q2" s="40">
        <f>COUNTIF(Vertices[PageRank], "&gt;= " &amp; P2) - COUNTIF(Vertices[PageRank], "&gt;=" &amp; P3)</f>
        <v>0</v>
      </c>
      <c r="R2" s="39">
        <f>MIN(Vertices[Clustering Coefficient])</f>
        <v>0</v>
      </c>
      <c r="S2" s="45">
        <f>COUNTIF(Vertices[Clustering Coefficient], "&gt;= " &amp; R2) - COUNTIF(Vertices[Clustering Coefficient], "&gt;=" &amp; R3)</f>
        <v>0</v>
      </c>
      <c r="T2" s="39" t="e">
        <f ca="1">MIN(INDIRECT(DynamicFilterSourceColumnRange))</f>
        <v>#REF!</v>
      </c>
      <c r="U2" s="40" t="e">
        <f t="shared" ref="U2:U45" ca="1" si="0">COUNTIF(INDIRECT(DynamicFilterSourceColumnRange), "&gt;= " &amp; T2) - COUNTIF(INDIRECT(DynamicFilterSourceColumnRange), "&gt;=" &amp; T3)</f>
        <v>#REF!</v>
      </c>
      <c r="W2" t="s">
        <v>125</v>
      </c>
      <c r="X2">
        <f>ROWS(HistogramBins[Degree Bin]) - 1</f>
        <v>43</v>
      </c>
    </row>
    <row r="3" spans="1:24" x14ac:dyDescent="0.25">
      <c r="A3" s="36"/>
      <c r="B3" s="36"/>
      <c r="D3" s="34">
        <f t="shared" ref="D3:D44" si="1">D2+($D$45-$D$2)/BinDivisor</f>
        <v>0</v>
      </c>
      <c r="E3" s="3">
        <f>COUNTIF(Vertices[Degree], "&gt;= " &amp; D3) - COUNTIF(Vertices[Degree], "&gt;=" &amp; D4)</f>
        <v>0</v>
      </c>
      <c r="F3" s="41">
        <f t="shared" ref="F3:F44" si="2">F2+($F$45-$F$2)/BinDivisor</f>
        <v>0</v>
      </c>
      <c r="G3" s="42">
        <f>COUNTIF(Vertices[In-Degree], "&gt;= " &amp; F3) - COUNTIF(Vertices[In-Degree], "&gt;=" &amp; F4)</f>
        <v>0</v>
      </c>
      <c r="H3" s="41">
        <f t="shared" ref="H3:H44" si="3">H2+($H$45-$H$2)/BinDivisor</f>
        <v>0</v>
      </c>
      <c r="I3" s="42">
        <f>COUNTIF(Vertices[Out-Degree], "&gt;= " &amp; H3) - COUNTIF(Vertices[Out-Degree], "&gt;=" &amp; H4)</f>
        <v>0</v>
      </c>
      <c r="J3" s="41">
        <f t="shared" ref="J3:J44" si="4">J2+($J$45-$J$2)/BinDivisor</f>
        <v>0</v>
      </c>
      <c r="K3" s="42">
        <f>COUNTIF(Vertices[Betweenness Centrality], "&gt;= " &amp; J3) - COUNTIF(Vertices[Betweenness Centrality], "&gt;=" &amp; J4)</f>
        <v>0</v>
      </c>
      <c r="L3" s="41">
        <f t="shared" ref="L3:L44" si="5">L2+($L$45-$L$2)/BinDivisor</f>
        <v>0</v>
      </c>
      <c r="M3" s="42">
        <f>COUNTIF(Vertices[Closeness Centrality], "&gt;= " &amp; L3) - COUNTIF(Vertices[Closeness Centrality], "&gt;=" &amp; L4)</f>
        <v>0</v>
      </c>
      <c r="N3" s="41">
        <f t="shared" ref="N3:N44" si="6">N2+($N$45-$N$2)/BinDivisor</f>
        <v>0</v>
      </c>
      <c r="O3" s="42">
        <f>COUNTIF(Vertices[Eigenvector Centrality], "&gt;= " &amp; N3) - COUNTIF(Vertices[Eigenvector Centrality], "&gt;=" &amp; N4)</f>
        <v>0</v>
      </c>
      <c r="P3" s="41">
        <f t="shared" ref="P3:P44" si="7">P2+($P$45-$P$2)/BinDivisor</f>
        <v>0</v>
      </c>
      <c r="Q3" s="42">
        <f>COUNTIF(Vertices[PageRank], "&gt;= " &amp; P3) - COUNTIF(Vertices[PageRank], "&gt;=" &amp; P4)</f>
        <v>0</v>
      </c>
      <c r="R3" s="41">
        <f t="shared" ref="R3:R44" si="8">R2+($R$45-$R$2)/BinDivisor</f>
        <v>0</v>
      </c>
      <c r="S3" s="46">
        <f>COUNTIF(Vertices[Clustering Coefficient], "&gt;= " &amp; R3) - COUNTIF(Vertices[Clustering Coefficient], "&gt;=" &amp; R4)</f>
        <v>0</v>
      </c>
      <c r="T3" s="41" t="e">
        <f t="shared" ref="T3:T44" ca="1" si="9">T2+($T$45-$T$2)/BinDivisor</f>
        <v>#REF!</v>
      </c>
      <c r="U3" s="42" t="e">
        <f t="shared" ca="1" si="0"/>
        <v>#REF!</v>
      </c>
      <c r="W3" t="s">
        <v>126</v>
      </c>
      <c r="X3" t="s">
        <v>86</v>
      </c>
    </row>
    <row r="4" spans="1:24" x14ac:dyDescent="0.25">
      <c r="A4" s="36"/>
      <c r="B4" s="36"/>
      <c r="D4" s="34">
        <f t="shared" si="1"/>
        <v>0</v>
      </c>
      <c r="E4" s="3">
        <f>COUNTIF(Vertices[Degree], "&gt;= " &amp; D4) - COUNTIF(Vertices[Degree], "&gt;=" &amp; D5)</f>
        <v>0</v>
      </c>
      <c r="F4" s="39">
        <f t="shared" si="2"/>
        <v>0</v>
      </c>
      <c r="G4" s="40">
        <f>COUNTIF(Vertices[In-Degree], "&gt;= " &amp; F4) - COUNTIF(Vertices[In-Degree], "&gt;=" &amp; F5)</f>
        <v>0</v>
      </c>
      <c r="H4" s="39">
        <f t="shared" si="3"/>
        <v>0</v>
      </c>
      <c r="I4" s="40">
        <f>COUNTIF(Vertices[Out-Degree], "&gt;= " &amp; H4) - COUNTIF(Vertices[Out-Degree], "&gt;=" &amp; H5)</f>
        <v>0</v>
      </c>
      <c r="J4" s="39">
        <f t="shared" si="4"/>
        <v>0</v>
      </c>
      <c r="K4" s="40">
        <f>COUNTIF(Vertices[Betweenness Centrality], "&gt;= " &amp; J4) - COUNTIF(Vertices[Betweenness Centrality], "&gt;=" &amp; J5)</f>
        <v>0</v>
      </c>
      <c r="L4" s="39">
        <f t="shared" si="5"/>
        <v>0</v>
      </c>
      <c r="M4" s="40">
        <f>COUNTIF(Vertices[Closeness Centrality], "&gt;= " &amp; L4) - COUNTIF(Vertices[Closeness Centrality], "&gt;=" &amp; L5)</f>
        <v>0</v>
      </c>
      <c r="N4" s="39">
        <f t="shared" si="6"/>
        <v>0</v>
      </c>
      <c r="O4" s="40">
        <f>COUNTIF(Vertices[Eigenvector Centrality], "&gt;= " &amp; N4) - COUNTIF(Vertices[Eigenvector Centrality], "&gt;=" &amp; N5)</f>
        <v>0</v>
      </c>
      <c r="P4" s="39">
        <f t="shared" si="7"/>
        <v>0</v>
      </c>
      <c r="Q4" s="40">
        <f>COUNTIF(Vertices[PageRank], "&gt;= " &amp; P4) - COUNTIF(Vertices[PageRank], "&gt;=" &amp; P5)</f>
        <v>0</v>
      </c>
      <c r="R4" s="39">
        <f t="shared" si="8"/>
        <v>0</v>
      </c>
      <c r="S4" s="45">
        <f>COUNTIF(Vertices[Clustering Coefficient], "&gt;= " &amp; R4) - COUNTIF(Vertices[Clustering Coefficient], "&gt;=" &amp; R5)</f>
        <v>0</v>
      </c>
      <c r="T4" s="39" t="e">
        <f t="shared" ca="1" si="9"/>
        <v>#REF!</v>
      </c>
      <c r="U4" s="40" t="e">
        <f t="shared" ca="1" si="0"/>
        <v>#REF!</v>
      </c>
      <c r="W4" s="12" t="s">
        <v>127</v>
      </c>
      <c r="X4" s="12" t="s">
        <v>129</v>
      </c>
    </row>
    <row r="5" spans="1:24" x14ac:dyDescent="0.25">
      <c r="A5" s="36"/>
      <c r="B5" s="36"/>
      <c r="D5" s="34">
        <f t="shared" si="1"/>
        <v>0</v>
      </c>
      <c r="E5" s="3">
        <f>COUNTIF(Vertices[Degree], "&gt;= " &amp; D5) - COUNTIF(Vertices[Degree], "&gt;=" &amp; D6)</f>
        <v>0</v>
      </c>
      <c r="F5" s="41">
        <f t="shared" si="2"/>
        <v>0</v>
      </c>
      <c r="G5" s="42">
        <f>COUNTIF(Vertices[In-Degree], "&gt;= " &amp; F5) - COUNTIF(Vertices[In-Degree], "&gt;=" &amp; F6)</f>
        <v>0</v>
      </c>
      <c r="H5" s="41">
        <f t="shared" si="3"/>
        <v>0</v>
      </c>
      <c r="I5" s="42">
        <f>COUNTIF(Vertices[Out-Degree], "&gt;= " &amp; H5) - COUNTIF(Vertices[Out-Degree], "&gt;=" &amp; H6)</f>
        <v>0</v>
      </c>
      <c r="J5" s="41">
        <f t="shared" si="4"/>
        <v>0</v>
      </c>
      <c r="K5" s="42">
        <f>COUNTIF(Vertices[Betweenness Centrality], "&gt;= " &amp; J5) - COUNTIF(Vertices[Betweenness Centrality], "&gt;=" &amp; J6)</f>
        <v>0</v>
      </c>
      <c r="L5" s="41">
        <f t="shared" si="5"/>
        <v>0</v>
      </c>
      <c r="M5" s="42">
        <f>COUNTIF(Vertices[Closeness Centrality], "&gt;= " &amp; L5) - COUNTIF(Vertices[Closeness Centrality], "&gt;=" &amp; L6)</f>
        <v>0</v>
      </c>
      <c r="N5" s="41">
        <f t="shared" si="6"/>
        <v>0</v>
      </c>
      <c r="O5" s="42">
        <f>COUNTIF(Vertices[Eigenvector Centrality], "&gt;= " &amp; N5) - COUNTIF(Vertices[Eigenvector Centrality], "&gt;=" &amp; N6)</f>
        <v>0</v>
      </c>
      <c r="P5" s="41">
        <f t="shared" si="7"/>
        <v>0</v>
      </c>
      <c r="Q5" s="42">
        <f>COUNTIF(Vertices[PageRank], "&gt;= " &amp; P5) - COUNTIF(Vertices[PageRank], "&gt;=" &amp; P6)</f>
        <v>0</v>
      </c>
      <c r="R5" s="41">
        <f t="shared" si="8"/>
        <v>0</v>
      </c>
      <c r="S5" s="46">
        <f>COUNTIF(Vertices[Clustering Coefficient], "&gt;= " &amp; R5) - COUNTIF(Vertices[Clustering Coefficient], "&gt;=" &amp; R6)</f>
        <v>0</v>
      </c>
      <c r="T5" s="41" t="e">
        <f t="shared" ca="1" si="9"/>
        <v>#REF!</v>
      </c>
      <c r="U5" s="42" t="e">
        <f t="shared" ca="1" si="0"/>
        <v>#REF!</v>
      </c>
    </row>
    <row r="6" spans="1:24" x14ac:dyDescent="0.25">
      <c r="A6" s="36"/>
      <c r="B6" s="36"/>
      <c r="D6" s="34">
        <f t="shared" si="1"/>
        <v>0</v>
      </c>
      <c r="E6" s="3">
        <f>COUNTIF(Vertices[Degree], "&gt;= " &amp; D6) - COUNTIF(Vertices[Degree], "&gt;=" &amp; D7)</f>
        <v>0</v>
      </c>
      <c r="F6" s="39">
        <f t="shared" si="2"/>
        <v>0</v>
      </c>
      <c r="G6" s="40">
        <f>COUNTIF(Vertices[In-Degree], "&gt;= " &amp; F6) - COUNTIF(Vertices[In-Degree], "&gt;=" &amp; F7)</f>
        <v>0</v>
      </c>
      <c r="H6" s="39">
        <f t="shared" si="3"/>
        <v>0</v>
      </c>
      <c r="I6" s="40">
        <f>COUNTIF(Vertices[Out-Degree], "&gt;= " &amp; H6) - COUNTIF(Vertices[Out-Degree], "&gt;=" &amp; H7)</f>
        <v>0</v>
      </c>
      <c r="J6" s="39">
        <f t="shared" si="4"/>
        <v>0</v>
      </c>
      <c r="K6" s="40">
        <f>COUNTIF(Vertices[Betweenness Centrality], "&gt;= " &amp; J6) - COUNTIF(Vertices[Betweenness Centrality], "&gt;=" &amp; J7)</f>
        <v>0</v>
      </c>
      <c r="L6" s="39">
        <f t="shared" si="5"/>
        <v>0</v>
      </c>
      <c r="M6" s="40">
        <f>COUNTIF(Vertices[Closeness Centrality], "&gt;= " &amp; L6) - COUNTIF(Vertices[Closeness Centrality], "&gt;=" &amp; L7)</f>
        <v>0</v>
      </c>
      <c r="N6" s="39">
        <f t="shared" si="6"/>
        <v>0</v>
      </c>
      <c r="O6" s="40">
        <f>COUNTIF(Vertices[Eigenvector Centrality], "&gt;= " &amp; N6) - COUNTIF(Vertices[Eigenvector Centrality], "&gt;=" &amp; N7)</f>
        <v>0</v>
      </c>
      <c r="P6" s="39">
        <f t="shared" si="7"/>
        <v>0</v>
      </c>
      <c r="Q6" s="40">
        <f>COUNTIF(Vertices[PageRank], "&gt;= " &amp; P6) - COUNTIF(Vertices[PageRank], "&gt;=" &amp; P7)</f>
        <v>0</v>
      </c>
      <c r="R6" s="39">
        <f t="shared" si="8"/>
        <v>0</v>
      </c>
      <c r="S6" s="45">
        <f>COUNTIF(Vertices[Clustering Coefficient], "&gt;= " &amp; R6) - COUNTIF(Vertices[Clustering Coefficient], "&gt;=" &amp; R7)</f>
        <v>0</v>
      </c>
      <c r="T6" s="39" t="e">
        <f t="shared" ca="1" si="9"/>
        <v>#REF!</v>
      </c>
      <c r="U6" s="40" t="e">
        <f t="shared" ca="1" si="0"/>
        <v>#REF!</v>
      </c>
    </row>
    <row r="7" spans="1:24" x14ac:dyDescent="0.25">
      <c r="A7" s="36"/>
      <c r="B7" s="36"/>
      <c r="D7" s="34">
        <f t="shared" si="1"/>
        <v>0</v>
      </c>
      <c r="E7" s="3">
        <f>COUNTIF(Vertices[Degree], "&gt;= " &amp; D7) - COUNTIF(Vertices[Degree], "&gt;=" &amp; D8)</f>
        <v>0</v>
      </c>
      <c r="F7" s="41">
        <f t="shared" si="2"/>
        <v>0</v>
      </c>
      <c r="G7" s="42">
        <f>COUNTIF(Vertices[In-Degree], "&gt;= " &amp; F7) - COUNTIF(Vertices[In-Degree], "&gt;=" &amp; F8)</f>
        <v>0</v>
      </c>
      <c r="H7" s="41">
        <f t="shared" si="3"/>
        <v>0</v>
      </c>
      <c r="I7" s="42">
        <f>COUNTIF(Vertices[Out-Degree], "&gt;= " &amp; H7) - COUNTIF(Vertices[Out-Degree], "&gt;=" &amp; H8)</f>
        <v>0</v>
      </c>
      <c r="J7" s="41">
        <f t="shared" si="4"/>
        <v>0</v>
      </c>
      <c r="K7" s="42">
        <f>COUNTIF(Vertices[Betweenness Centrality], "&gt;= " &amp; J7) - COUNTIF(Vertices[Betweenness Centrality], "&gt;=" &amp; J8)</f>
        <v>0</v>
      </c>
      <c r="L7" s="41">
        <f t="shared" si="5"/>
        <v>0</v>
      </c>
      <c r="M7" s="42">
        <f>COUNTIF(Vertices[Closeness Centrality], "&gt;= " &amp; L7) - COUNTIF(Vertices[Closeness Centrality], "&gt;=" &amp; L8)</f>
        <v>0</v>
      </c>
      <c r="N7" s="41">
        <f t="shared" si="6"/>
        <v>0</v>
      </c>
      <c r="O7" s="42">
        <f>COUNTIF(Vertices[Eigenvector Centrality], "&gt;= " &amp; N7) - COUNTIF(Vertices[Eigenvector Centrality], "&gt;=" &amp; N8)</f>
        <v>0</v>
      </c>
      <c r="P7" s="41">
        <f t="shared" si="7"/>
        <v>0</v>
      </c>
      <c r="Q7" s="42">
        <f>COUNTIF(Vertices[PageRank], "&gt;= " &amp; P7) - COUNTIF(Vertices[PageRank], "&gt;=" &amp; P8)</f>
        <v>0</v>
      </c>
      <c r="R7" s="41">
        <f t="shared" si="8"/>
        <v>0</v>
      </c>
      <c r="S7" s="46">
        <f>COUNTIF(Vertices[Clustering Coefficient], "&gt;= " &amp; R7) - COUNTIF(Vertices[Clustering Coefficient], "&gt;=" &amp; R8)</f>
        <v>0</v>
      </c>
      <c r="T7" s="41" t="e">
        <f t="shared" ca="1" si="9"/>
        <v>#REF!</v>
      </c>
      <c r="U7" s="42" t="e">
        <f t="shared" ca="1" si="0"/>
        <v>#REF!</v>
      </c>
    </row>
    <row r="8" spans="1:24" x14ac:dyDescent="0.25">
      <c r="A8" s="36"/>
      <c r="B8" s="36"/>
      <c r="D8" s="34">
        <f t="shared" si="1"/>
        <v>0</v>
      </c>
      <c r="E8" s="3">
        <f>COUNTIF(Vertices[Degree], "&gt;= " &amp; D8) - COUNTIF(Vertices[Degree], "&gt;=" &amp; D9)</f>
        <v>0</v>
      </c>
      <c r="F8" s="39">
        <f t="shared" si="2"/>
        <v>0</v>
      </c>
      <c r="G8" s="40">
        <f>COUNTIF(Vertices[In-Degree], "&gt;= " &amp; F8) - COUNTIF(Vertices[In-Degree], "&gt;=" &amp; F9)</f>
        <v>0</v>
      </c>
      <c r="H8" s="39">
        <f t="shared" si="3"/>
        <v>0</v>
      </c>
      <c r="I8" s="40">
        <f>COUNTIF(Vertices[Out-Degree], "&gt;= " &amp; H8) - COUNTIF(Vertices[Out-Degree], "&gt;=" &amp; H9)</f>
        <v>0</v>
      </c>
      <c r="J8" s="39">
        <f t="shared" si="4"/>
        <v>0</v>
      </c>
      <c r="K8" s="40">
        <f>COUNTIF(Vertices[Betweenness Centrality], "&gt;= " &amp; J8) - COUNTIF(Vertices[Betweenness Centrality], "&gt;=" &amp; J9)</f>
        <v>0</v>
      </c>
      <c r="L8" s="39">
        <f t="shared" si="5"/>
        <v>0</v>
      </c>
      <c r="M8" s="40">
        <f>COUNTIF(Vertices[Closeness Centrality], "&gt;= " &amp; L8) - COUNTIF(Vertices[Closeness Centrality], "&gt;=" &amp; L9)</f>
        <v>0</v>
      </c>
      <c r="N8" s="39">
        <f t="shared" si="6"/>
        <v>0</v>
      </c>
      <c r="O8" s="40">
        <f>COUNTIF(Vertices[Eigenvector Centrality], "&gt;= " &amp; N8) - COUNTIF(Vertices[Eigenvector Centrality], "&gt;=" &amp; N9)</f>
        <v>0</v>
      </c>
      <c r="P8" s="39">
        <f t="shared" si="7"/>
        <v>0</v>
      </c>
      <c r="Q8" s="40">
        <f>COUNTIF(Vertices[PageRank], "&gt;= " &amp; P8) - COUNTIF(Vertices[PageRank], "&gt;=" &amp; P9)</f>
        <v>0</v>
      </c>
      <c r="R8" s="39">
        <f t="shared" si="8"/>
        <v>0</v>
      </c>
      <c r="S8" s="45">
        <f>COUNTIF(Vertices[Clustering Coefficient], "&gt;= " &amp; R8) - COUNTIF(Vertices[Clustering Coefficient], "&gt;=" &amp; R9)</f>
        <v>0</v>
      </c>
      <c r="T8" s="39" t="e">
        <f t="shared" ca="1" si="9"/>
        <v>#REF!</v>
      </c>
      <c r="U8" s="40" t="e">
        <f t="shared" ca="1" si="0"/>
        <v>#REF!</v>
      </c>
    </row>
    <row r="9" spans="1:24" x14ac:dyDescent="0.25">
      <c r="A9" s="36"/>
      <c r="B9" s="36"/>
      <c r="D9" s="34">
        <f t="shared" si="1"/>
        <v>0</v>
      </c>
      <c r="E9" s="3">
        <f>COUNTIF(Vertices[Degree], "&gt;= " &amp; D9) - COUNTIF(Vertices[Degree], "&gt;=" &amp; D10)</f>
        <v>0</v>
      </c>
      <c r="F9" s="41">
        <f t="shared" si="2"/>
        <v>0</v>
      </c>
      <c r="G9" s="42">
        <f>COUNTIF(Vertices[In-Degree], "&gt;= " &amp; F9) - COUNTIF(Vertices[In-Degree], "&gt;=" &amp; F10)</f>
        <v>0</v>
      </c>
      <c r="H9" s="41">
        <f t="shared" si="3"/>
        <v>0</v>
      </c>
      <c r="I9" s="42">
        <f>COUNTIF(Vertices[Out-Degree], "&gt;= " &amp; H9) - COUNTIF(Vertices[Out-Degree], "&gt;=" &amp; H10)</f>
        <v>0</v>
      </c>
      <c r="J9" s="41">
        <f t="shared" si="4"/>
        <v>0</v>
      </c>
      <c r="K9" s="42">
        <f>COUNTIF(Vertices[Betweenness Centrality], "&gt;= " &amp; J9) - COUNTIF(Vertices[Betweenness Centrality], "&gt;=" &amp; J10)</f>
        <v>0</v>
      </c>
      <c r="L9" s="41">
        <f t="shared" si="5"/>
        <v>0</v>
      </c>
      <c r="M9" s="42">
        <f>COUNTIF(Vertices[Closeness Centrality], "&gt;= " &amp; L9) - COUNTIF(Vertices[Closeness Centrality], "&gt;=" &amp; L10)</f>
        <v>0</v>
      </c>
      <c r="N9" s="41">
        <f t="shared" si="6"/>
        <v>0</v>
      </c>
      <c r="O9" s="42">
        <f>COUNTIF(Vertices[Eigenvector Centrality], "&gt;= " &amp; N9) - COUNTIF(Vertices[Eigenvector Centrality], "&gt;=" &amp; N10)</f>
        <v>0</v>
      </c>
      <c r="P9" s="41">
        <f t="shared" si="7"/>
        <v>0</v>
      </c>
      <c r="Q9" s="42">
        <f>COUNTIF(Vertices[PageRank], "&gt;= " &amp; P9) - COUNTIF(Vertices[PageRank], "&gt;=" &amp; P10)</f>
        <v>0</v>
      </c>
      <c r="R9" s="41">
        <f t="shared" si="8"/>
        <v>0</v>
      </c>
      <c r="S9" s="46">
        <f>COUNTIF(Vertices[Clustering Coefficient], "&gt;= " &amp; R9) - COUNTIF(Vertices[Clustering Coefficient], "&gt;=" &amp; R10)</f>
        <v>0</v>
      </c>
      <c r="T9" s="41" t="e">
        <f t="shared" ca="1" si="9"/>
        <v>#REF!</v>
      </c>
      <c r="U9" s="42" t="e">
        <f t="shared" ca="1" si="0"/>
        <v>#REF!</v>
      </c>
    </row>
    <row r="10" spans="1:24" x14ac:dyDescent="0.25">
      <c r="A10" s="36"/>
      <c r="B10" s="36"/>
      <c r="D10" s="34">
        <f t="shared" si="1"/>
        <v>0</v>
      </c>
      <c r="E10" s="3">
        <f>COUNTIF(Vertices[Degree], "&gt;= " &amp; D10) - COUNTIF(Vertices[Degree], "&gt;=" &amp; D11)</f>
        <v>0</v>
      </c>
      <c r="F10" s="39">
        <f t="shared" si="2"/>
        <v>0</v>
      </c>
      <c r="G10" s="40">
        <f>COUNTIF(Vertices[In-Degree], "&gt;= " &amp; F10) - COUNTIF(Vertices[In-Degree], "&gt;=" &amp; F11)</f>
        <v>0</v>
      </c>
      <c r="H10" s="39">
        <f t="shared" si="3"/>
        <v>0</v>
      </c>
      <c r="I10" s="40">
        <f>COUNTIF(Vertices[Out-Degree], "&gt;= " &amp; H10) - COUNTIF(Vertices[Out-Degree], "&gt;=" &amp; H11)</f>
        <v>0</v>
      </c>
      <c r="J10" s="39">
        <f t="shared" si="4"/>
        <v>0</v>
      </c>
      <c r="K10" s="40">
        <f>COUNTIF(Vertices[Betweenness Centrality], "&gt;= " &amp; J10) - COUNTIF(Vertices[Betweenness Centrality], "&gt;=" &amp; J11)</f>
        <v>0</v>
      </c>
      <c r="L10" s="39">
        <f t="shared" si="5"/>
        <v>0</v>
      </c>
      <c r="M10" s="40">
        <f>COUNTIF(Vertices[Closeness Centrality], "&gt;= " &amp; L10) - COUNTIF(Vertices[Closeness Centrality], "&gt;=" &amp; L11)</f>
        <v>0</v>
      </c>
      <c r="N10" s="39">
        <f t="shared" si="6"/>
        <v>0</v>
      </c>
      <c r="O10" s="40">
        <f>COUNTIF(Vertices[Eigenvector Centrality], "&gt;= " &amp; N10) - COUNTIF(Vertices[Eigenvector Centrality], "&gt;=" &amp; N11)</f>
        <v>0</v>
      </c>
      <c r="P10" s="39">
        <f t="shared" si="7"/>
        <v>0</v>
      </c>
      <c r="Q10" s="40">
        <f>COUNTIF(Vertices[PageRank], "&gt;= " &amp; P10) - COUNTIF(Vertices[PageRank], "&gt;=" &amp; P11)</f>
        <v>0</v>
      </c>
      <c r="R10" s="39">
        <f t="shared" si="8"/>
        <v>0</v>
      </c>
      <c r="S10" s="45">
        <f>COUNTIF(Vertices[Clustering Coefficient], "&gt;= " &amp; R10) - COUNTIF(Vertices[Clustering Coefficient], "&gt;=" &amp; R11)</f>
        <v>0</v>
      </c>
      <c r="T10" s="39" t="e">
        <f t="shared" ca="1" si="9"/>
        <v>#REF!</v>
      </c>
      <c r="U10" s="40" t="e">
        <f t="shared" ca="1" si="0"/>
        <v>#REF!</v>
      </c>
    </row>
    <row r="11" spans="1:24" x14ac:dyDescent="0.25">
      <c r="A11" s="36"/>
      <c r="B11" s="36"/>
      <c r="D11" s="34">
        <f t="shared" si="1"/>
        <v>0</v>
      </c>
      <c r="E11" s="3">
        <f>COUNTIF(Vertices[Degree], "&gt;= " &amp; D11) - COUNTIF(Vertices[Degree], "&gt;=" &amp; D12)</f>
        <v>0</v>
      </c>
      <c r="F11" s="41">
        <f t="shared" si="2"/>
        <v>0</v>
      </c>
      <c r="G11" s="42">
        <f>COUNTIF(Vertices[In-Degree], "&gt;= " &amp; F11) - COUNTIF(Vertices[In-Degree], "&gt;=" &amp; F12)</f>
        <v>0</v>
      </c>
      <c r="H11" s="41">
        <f t="shared" si="3"/>
        <v>0</v>
      </c>
      <c r="I11" s="42">
        <f>COUNTIF(Vertices[Out-Degree], "&gt;= " &amp; H11) - COUNTIF(Vertices[Out-Degree], "&gt;=" &amp; H12)</f>
        <v>0</v>
      </c>
      <c r="J11" s="41">
        <f t="shared" si="4"/>
        <v>0</v>
      </c>
      <c r="K11" s="42">
        <f>COUNTIF(Vertices[Betweenness Centrality], "&gt;= " &amp; J11) - COUNTIF(Vertices[Betweenness Centrality], "&gt;=" &amp; J12)</f>
        <v>0</v>
      </c>
      <c r="L11" s="41">
        <f t="shared" si="5"/>
        <v>0</v>
      </c>
      <c r="M11" s="42">
        <f>COUNTIF(Vertices[Closeness Centrality], "&gt;= " &amp; L11) - COUNTIF(Vertices[Closeness Centrality], "&gt;=" &amp; L12)</f>
        <v>0</v>
      </c>
      <c r="N11" s="41">
        <f t="shared" si="6"/>
        <v>0</v>
      </c>
      <c r="O11" s="42">
        <f>COUNTIF(Vertices[Eigenvector Centrality], "&gt;= " &amp; N11) - COUNTIF(Vertices[Eigenvector Centrality], "&gt;=" &amp; N12)</f>
        <v>0</v>
      </c>
      <c r="P11" s="41">
        <f t="shared" si="7"/>
        <v>0</v>
      </c>
      <c r="Q11" s="42">
        <f>COUNTIF(Vertices[PageRank], "&gt;= " &amp; P11) - COUNTIF(Vertices[PageRank], "&gt;=" &amp; P12)</f>
        <v>0</v>
      </c>
      <c r="R11" s="41">
        <f t="shared" si="8"/>
        <v>0</v>
      </c>
      <c r="S11" s="46">
        <f>COUNTIF(Vertices[Clustering Coefficient], "&gt;= " &amp; R11) - COUNTIF(Vertices[Clustering Coefficient], "&gt;=" &amp; R12)</f>
        <v>0</v>
      </c>
      <c r="T11" s="41" t="e">
        <f t="shared" ca="1" si="9"/>
        <v>#REF!</v>
      </c>
      <c r="U11" s="42" t="e">
        <f t="shared" ca="1" si="0"/>
        <v>#REF!</v>
      </c>
    </row>
    <row r="12" spans="1:24" x14ac:dyDescent="0.25">
      <c r="A12" s="36"/>
      <c r="B12" s="36"/>
      <c r="D12" s="34">
        <f t="shared" si="1"/>
        <v>0</v>
      </c>
      <c r="E12" s="3">
        <f>COUNTIF(Vertices[Degree], "&gt;= " &amp; D12) - COUNTIF(Vertices[Degree], "&gt;=" &amp; D13)</f>
        <v>0</v>
      </c>
      <c r="F12" s="39">
        <f t="shared" si="2"/>
        <v>0</v>
      </c>
      <c r="G12" s="40">
        <f>COUNTIF(Vertices[In-Degree], "&gt;= " &amp; F12) - COUNTIF(Vertices[In-Degree], "&gt;=" &amp; F13)</f>
        <v>0</v>
      </c>
      <c r="H12" s="39">
        <f t="shared" si="3"/>
        <v>0</v>
      </c>
      <c r="I12" s="40">
        <f>COUNTIF(Vertices[Out-Degree], "&gt;= " &amp; H12) - COUNTIF(Vertices[Out-Degree], "&gt;=" &amp; H13)</f>
        <v>0</v>
      </c>
      <c r="J12" s="39">
        <f t="shared" si="4"/>
        <v>0</v>
      </c>
      <c r="K12" s="40">
        <f>COUNTIF(Vertices[Betweenness Centrality], "&gt;= " &amp; J12) - COUNTIF(Vertices[Betweenness Centrality], "&gt;=" &amp; J13)</f>
        <v>0</v>
      </c>
      <c r="L12" s="39">
        <f t="shared" si="5"/>
        <v>0</v>
      </c>
      <c r="M12" s="40">
        <f>COUNTIF(Vertices[Closeness Centrality], "&gt;= " &amp; L12) - COUNTIF(Vertices[Closeness Centrality], "&gt;=" &amp; L13)</f>
        <v>0</v>
      </c>
      <c r="N12" s="39">
        <f t="shared" si="6"/>
        <v>0</v>
      </c>
      <c r="O12" s="40">
        <f>COUNTIF(Vertices[Eigenvector Centrality], "&gt;= " &amp; N12) - COUNTIF(Vertices[Eigenvector Centrality], "&gt;=" &amp; N13)</f>
        <v>0</v>
      </c>
      <c r="P12" s="39">
        <f t="shared" si="7"/>
        <v>0</v>
      </c>
      <c r="Q12" s="40">
        <f>COUNTIF(Vertices[PageRank], "&gt;= " &amp; P12) - COUNTIF(Vertices[PageRank], "&gt;=" &amp; P13)</f>
        <v>0</v>
      </c>
      <c r="R12" s="39">
        <f t="shared" si="8"/>
        <v>0</v>
      </c>
      <c r="S12" s="45">
        <f>COUNTIF(Vertices[Clustering Coefficient], "&gt;= " &amp; R12) - COUNTIF(Vertices[Clustering Coefficient], "&gt;=" &amp; R13)</f>
        <v>0</v>
      </c>
      <c r="T12" s="39" t="e">
        <f t="shared" ca="1" si="9"/>
        <v>#REF!</v>
      </c>
      <c r="U12" s="40" t="e">
        <f t="shared" ca="1" si="0"/>
        <v>#REF!</v>
      </c>
    </row>
    <row r="13" spans="1:24" x14ac:dyDescent="0.25">
      <c r="A13" s="36"/>
      <c r="B13" s="36"/>
      <c r="D13" s="34">
        <f t="shared" si="1"/>
        <v>0</v>
      </c>
      <c r="E13" s="3">
        <f>COUNTIF(Vertices[Degree], "&gt;= " &amp; D13) - COUNTIF(Vertices[Degree], "&gt;=" &amp; D14)</f>
        <v>0</v>
      </c>
      <c r="F13" s="41">
        <f t="shared" si="2"/>
        <v>0</v>
      </c>
      <c r="G13" s="42">
        <f>COUNTIF(Vertices[In-Degree], "&gt;= " &amp; F13) - COUNTIF(Vertices[In-Degree], "&gt;=" &amp; F14)</f>
        <v>0</v>
      </c>
      <c r="H13" s="41">
        <f t="shared" si="3"/>
        <v>0</v>
      </c>
      <c r="I13" s="42">
        <f>COUNTIF(Vertices[Out-Degree], "&gt;= " &amp; H13) - COUNTIF(Vertices[Out-Degree], "&gt;=" &amp; H14)</f>
        <v>0</v>
      </c>
      <c r="J13" s="41">
        <f t="shared" si="4"/>
        <v>0</v>
      </c>
      <c r="K13" s="42">
        <f>COUNTIF(Vertices[Betweenness Centrality], "&gt;= " &amp; J13) - COUNTIF(Vertices[Betweenness Centrality], "&gt;=" &amp; J14)</f>
        <v>0</v>
      </c>
      <c r="L13" s="41">
        <f t="shared" si="5"/>
        <v>0</v>
      </c>
      <c r="M13" s="42">
        <f>COUNTIF(Vertices[Closeness Centrality], "&gt;= " &amp; L13) - COUNTIF(Vertices[Closeness Centrality], "&gt;=" &amp; L14)</f>
        <v>0</v>
      </c>
      <c r="N13" s="41">
        <f t="shared" si="6"/>
        <v>0</v>
      </c>
      <c r="O13" s="42">
        <f>COUNTIF(Vertices[Eigenvector Centrality], "&gt;= " &amp; N13) - COUNTIF(Vertices[Eigenvector Centrality], "&gt;=" &amp; N14)</f>
        <v>0</v>
      </c>
      <c r="P13" s="41">
        <f t="shared" si="7"/>
        <v>0</v>
      </c>
      <c r="Q13" s="42">
        <f>COUNTIF(Vertices[PageRank], "&gt;= " &amp; P13) - COUNTIF(Vertices[PageRank], "&gt;=" &amp; P14)</f>
        <v>0</v>
      </c>
      <c r="R13" s="41">
        <f t="shared" si="8"/>
        <v>0</v>
      </c>
      <c r="S13" s="46">
        <f>COUNTIF(Vertices[Clustering Coefficient], "&gt;= " &amp; R13) - COUNTIF(Vertices[Clustering Coefficient], "&gt;=" &amp; R14)</f>
        <v>0</v>
      </c>
      <c r="T13" s="41" t="e">
        <f t="shared" ca="1" si="9"/>
        <v>#REF!</v>
      </c>
      <c r="U13" s="42" t="e">
        <f t="shared" ca="1" si="0"/>
        <v>#REF!</v>
      </c>
    </row>
    <row r="14" spans="1:24" x14ac:dyDescent="0.25">
      <c r="A14" s="36"/>
      <c r="B14" s="36"/>
      <c r="D14" s="34">
        <f t="shared" si="1"/>
        <v>0</v>
      </c>
      <c r="E14" s="3">
        <f>COUNTIF(Vertices[Degree], "&gt;= " &amp; D14) - COUNTIF(Vertices[Degree], "&gt;=" &amp; D15)</f>
        <v>0</v>
      </c>
      <c r="F14" s="39">
        <f t="shared" si="2"/>
        <v>0</v>
      </c>
      <c r="G14" s="40">
        <f>COUNTIF(Vertices[In-Degree], "&gt;= " &amp; F14) - COUNTIF(Vertices[In-Degree], "&gt;=" &amp; F15)</f>
        <v>0</v>
      </c>
      <c r="H14" s="39">
        <f t="shared" si="3"/>
        <v>0</v>
      </c>
      <c r="I14" s="40">
        <f>COUNTIF(Vertices[Out-Degree], "&gt;= " &amp; H14) - COUNTIF(Vertices[Out-Degree], "&gt;=" &amp; H15)</f>
        <v>0</v>
      </c>
      <c r="J14" s="39">
        <f t="shared" si="4"/>
        <v>0</v>
      </c>
      <c r="K14" s="40">
        <f>COUNTIF(Vertices[Betweenness Centrality], "&gt;= " &amp; J14) - COUNTIF(Vertices[Betweenness Centrality], "&gt;=" &amp; J15)</f>
        <v>0</v>
      </c>
      <c r="L14" s="39">
        <f t="shared" si="5"/>
        <v>0</v>
      </c>
      <c r="M14" s="40">
        <f>COUNTIF(Vertices[Closeness Centrality], "&gt;= " &amp; L14) - COUNTIF(Vertices[Closeness Centrality], "&gt;=" &amp; L15)</f>
        <v>0</v>
      </c>
      <c r="N14" s="39">
        <f t="shared" si="6"/>
        <v>0</v>
      </c>
      <c r="O14" s="40">
        <f>COUNTIF(Vertices[Eigenvector Centrality], "&gt;= " &amp; N14) - COUNTIF(Vertices[Eigenvector Centrality], "&gt;=" &amp; N15)</f>
        <v>0</v>
      </c>
      <c r="P14" s="39">
        <f t="shared" si="7"/>
        <v>0</v>
      </c>
      <c r="Q14" s="40">
        <f>COUNTIF(Vertices[PageRank], "&gt;= " &amp; P14) - COUNTIF(Vertices[PageRank], "&gt;=" &amp; P15)</f>
        <v>0</v>
      </c>
      <c r="R14" s="39">
        <f t="shared" si="8"/>
        <v>0</v>
      </c>
      <c r="S14" s="45">
        <f>COUNTIF(Vertices[Clustering Coefficient], "&gt;= " &amp; R14) - COUNTIF(Vertices[Clustering Coefficient], "&gt;=" &amp; R15)</f>
        <v>0</v>
      </c>
      <c r="T14" s="39" t="e">
        <f t="shared" ca="1" si="9"/>
        <v>#REF!</v>
      </c>
      <c r="U14" s="40" t="e">
        <f t="shared" ca="1" si="0"/>
        <v>#REF!</v>
      </c>
    </row>
    <row r="15" spans="1:24" x14ac:dyDescent="0.25">
      <c r="A15" s="36"/>
      <c r="B15" s="36"/>
      <c r="D15" s="34">
        <f t="shared" si="1"/>
        <v>0</v>
      </c>
      <c r="E15" s="3">
        <f>COUNTIF(Vertices[Degree], "&gt;= " &amp; D15) - COUNTIF(Vertices[Degree], "&gt;=" &amp; D16)</f>
        <v>0</v>
      </c>
      <c r="F15" s="41">
        <f t="shared" si="2"/>
        <v>0</v>
      </c>
      <c r="G15" s="42">
        <f>COUNTIF(Vertices[In-Degree], "&gt;= " &amp; F15) - COUNTIF(Vertices[In-Degree], "&gt;=" &amp; F16)</f>
        <v>0</v>
      </c>
      <c r="H15" s="41">
        <f t="shared" si="3"/>
        <v>0</v>
      </c>
      <c r="I15" s="42">
        <f>COUNTIF(Vertices[Out-Degree], "&gt;= " &amp; H15) - COUNTIF(Vertices[Out-Degree], "&gt;=" &amp; H16)</f>
        <v>0</v>
      </c>
      <c r="J15" s="41">
        <f t="shared" si="4"/>
        <v>0</v>
      </c>
      <c r="K15" s="42">
        <f>COUNTIF(Vertices[Betweenness Centrality], "&gt;= " &amp; J15) - COUNTIF(Vertices[Betweenness Centrality], "&gt;=" &amp; J16)</f>
        <v>0</v>
      </c>
      <c r="L15" s="41">
        <f t="shared" si="5"/>
        <v>0</v>
      </c>
      <c r="M15" s="42">
        <f>COUNTIF(Vertices[Closeness Centrality], "&gt;= " &amp; L15) - COUNTIF(Vertices[Closeness Centrality], "&gt;=" &amp; L16)</f>
        <v>0</v>
      </c>
      <c r="N15" s="41">
        <f t="shared" si="6"/>
        <v>0</v>
      </c>
      <c r="O15" s="42">
        <f>COUNTIF(Vertices[Eigenvector Centrality], "&gt;= " &amp; N15) - COUNTIF(Vertices[Eigenvector Centrality], "&gt;=" &amp; N16)</f>
        <v>0</v>
      </c>
      <c r="P15" s="41">
        <f t="shared" si="7"/>
        <v>0</v>
      </c>
      <c r="Q15" s="42">
        <f>COUNTIF(Vertices[PageRank], "&gt;= " &amp; P15) - COUNTIF(Vertices[PageRank], "&gt;=" &amp; P16)</f>
        <v>0</v>
      </c>
      <c r="R15" s="41">
        <f t="shared" si="8"/>
        <v>0</v>
      </c>
      <c r="S15" s="46">
        <f>COUNTIF(Vertices[Clustering Coefficient], "&gt;= " &amp; R15) - COUNTIF(Vertices[Clustering Coefficient], "&gt;=" &amp; R16)</f>
        <v>0</v>
      </c>
      <c r="T15" s="41" t="e">
        <f t="shared" ca="1" si="9"/>
        <v>#REF!</v>
      </c>
      <c r="U15" s="42" t="e">
        <f t="shared" ca="1" si="0"/>
        <v>#REF!</v>
      </c>
    </row>
    <row r="16" spans="1:24" x14ac:dyDescent="0.25">
      <c r="A16" s="36"/>
      <c r="B16" s="36"/>
      <c r="D16" s="34">
        <f t="shared" si="1"/>
        <v>0</v>
      </c>
      <c r="E16" s="3">
        <f>COUNTIF(Vertices[Degree], "&gt;= " &amp; D16) - COUNTIF(Vertices[Degree], "&gt;=" &amp; D17)</f>
        <v>0</v>
      </c>
      <c r="F16" s="39">
        <f t="shared" si="2"/>
        <v>0</v>
      </c>
      <c r="G16" s="40">
        <f>COUNTIF(Vertices[In-Degree], "&gt;= " &amp; F16) - COUNTIF(Vertices[In-Degree], "&gt;=" &amp; F17)</f>
        <v>0</v>
      </c>
      <c r="H16" s="39">
        <f t="shared" si="3"/>
        <v>0</v>
      </c>
      <c r="I16" s="40">
        <f>COUNTIF(Vertices[Out-Degree], "&gt;= " &amp; H16) - COUNTIF(Vertices[Out-Degree], "&gt;=" &amp; H17)</f>
        <v>0</v>
      </c>
      <c r="J16" s="39">
        <f t="shared" si="4"/>
        <v>0</v>
      </c>
      <c r="K16" s="40">
        <f>COUNTIF(Vertices[Betweenness Centrality], "&gt;= " &amp; J16) - COUNTIF(Vertices[Betweenness Centrality], "&gt;=" &amp; J17)</f>
        <v>0</v>
      </c>
      <c r="L16" s="39">
        <f t="shared" si="5"/>
        <v>0</v>
      </c>
      <c r="M16" s="40">
        <f>COUNTIF(Vertices[Closeness Centrality], "&gt;= " &amp; L16) - COUNTIF(Vertices[Closeness Centrality], "&gt;=" &amp; L17)</f>
        <v>0</v>
      </c>
      <c r="N16" s="39">
        <f t="shared" si="6"/>
        <v>0</v>
      </c>
      <c r="O16" s="40">
        <f>COUNTIF(Vertices[Eigenvector Centrality], "&gt;= " &amp; N16) - COUNTIF(Vertices[Eigenvector Centrality], "&gt;=" &amp; N17)</f>
        <v>0</v>
      </c>
      <c r="P16" s="39">
        <f t="shared" si="7"/>
        <v>0</v>
      </c>
      <c r="Q16" s="40">
        <f>COUNTIF(Vertices[PageRank], "&gt;= " &amp; P16) - COUNTIF(Vertices[PageRank], "&gt;=" &amp; P17)</f>
        <v>0</v>
      </c>
      <c r="R16" s="39">
        <f t="shared" si="8"/>
        <v>0</v>
      </c>
      <c r="S16" s="45">
        <f>COUNTIF(Vertices[Clustering Coefficient], "&gt;= " &amp; R16) - COUNTIF(Vertices[Clustering Coefficient], "&gt;=" &amp; R17)</f>
        <v>0</v>
      </c>
      <c r="T16" s="39" t="e">
        <f t="shared" ca="1" si="9"/>
        <v>#REF!</v>
      </c>
      <c r="U16" s="40" t="e">
        <f t="shared" ca="1" si="0"/>
        <v>#REF!</v>
      </c>
    </row>
    <row r="17" spans="1:21" x14ac:dyDescent="0.25">
      <c r="A17" s="36"/>
      <c r="B17" s="36"/>
      <c r="D17" s="34">
        <f t="shared" si="1"/>
        <v>0</v>
      </c>
      <c r="E17" s="3">
        <f>COUNTIF(Vertices[Degree], "&gt;= " &amp; D17) - COUNTIF(Vertices[Degree], "&gt;=" &amp; D18)</f>
        <v>0</v>
      </c>
      <c r="F17" s="41">
        <f t="shared" si="2"/>
        <v>0</v>
      </c>
      <c r="G17" s="42">
        <f>COUNTIF(Vertices[In-Degree], "&gt;= " &amp; F17) - COUNTIF(Vertices[In-Degree], "&gt;=" &amp; F18)</f>
        <v>0</v>
      </c>
      <c r="H17" s="41">
        <f t="shared" si="3"/>
        <v>0</v>
      </c>
      <c r="I17" s="42">
        <f>COUNTIF(Vertices[Out-Degree], "&gt;= " &amp; H17) - COUNTIF(Vertices[Out-Degree], "&gt;=" &amp; H18)</f>
        <v>0</v>
      </c>
      <c r="J17" s="41">
        <f t="shared" si="4"/>
        <v>0</v>
      </c>
      <c r="K17" s="42">
        <f>COUNTIF(Vertices[Betweenness Centrality], "&gt;= " &amp; J17) - COUNTIF(Vertices[Betweenness Centrality], "&gt;=" &amp; J18)</f>
        <v>0</v>
      </c>
      <c r="L17" s="41">
        <f t="shared" si="5"/>
        <v>0</v>
      </c>
      <c r="M17" s="42">
        <f>COUNTIF(Vertices[Closeness Centrality], "&gt;= " &amp; L17) - COUNTIF(Vertices[Closeness Centrality], "&gt;=" &amp; L18)</f>
        <v>0</v>
      </c>
      <c r="N17" s="41">
        <f t="shared" si="6"/>
        <v>0</v>
      </c>
      <c r="O17" s="42">
        <f>COUNTIF(Vertices[Eigenvector Centrality], "&gt;= " &amp; N17) - COUNTIF(Vertices[Eigenvector Centrality], "&gt;=" &amp; N18)</f>
        <v>0</v>
      </c>
      <c r="P17" s="41">
        <f t="shared" si="7"/>
        <v>0</v>
      </c>
      <c r="Q17" s="42">
        <f>COUNTIF(Vertices[PageRank], "&gt;= " &amp; P17) - COUNTIF(Vertices[PageRank], "&gt;=" &amp; P18)</f>
        <v>0</v>
      </c>
      <c r="R17" s="41">
        <f t="shared" si="8"/>
        <v>0</v>
      </c>
      <c r="S17" s="46">
        <f>COUNTIF(Vertices[Clustering Coefficient], "&gt;= " &amp; R17) - COUNTIF(Vertices[Clustering Coefficient], "&gt;=" &amp; R18)</f>
        <v>0</v>
      </c>
      <c r="T17" s="41" t="e">
        <f t="shared" ca="1" si="9"/>
        <v>#REF!</v>
      </c>
      <c r="U17" s="42" t="e">
        <f t="shared" ca="1" si="0"/>
        <v>#REF!</v>
      </c>
    </row>
    <row r="18" spans="1:21" x14ac:dyDescent="0.25">
      <c r="A18" s="36"/>
      <c r="B18" s="36"/>
      <c r="D18" s="34">
        <f t="shared" si="1"/>
        <v>0</v>
      </c>
      <c r="E18" s="3">
        <f>COUNTIF(Vertices[Degree], "&gt;= " &amp; D18) - COUNTIF(Vertices[Degree], "&gt;=" &amp; D19)</f>
        <v>0</v>
      </c>
      <c r="F18" s="39">
        <f t="shared" si="2"/>
        <v>0</v>
      </c>
      <c r="G18" s="40">
        <f>COUNTIF(Vertices[In-Degree], "&gt;= " &amp; F18) - COUNTIF(Vertices[In-Degree], "&gt;=" &amp; F19)</f>
        <v>0</v>
      </c>
      <c r="H18" s="39">
        <f t="shared" si="3"/>
        <v>0</v>
      </c>
      <c r="I18" s="40">
        <f>COUNTIF(Vertices[Out-Degree], "&gt;= " &amp; H18) - COUNTIF(Vertices[Out-Degree], "&gt;=" &amp; H19)</f>
        <v>0</v>
      </c>
      <c r="J18" s="39">
        <f t="shared" si="4"/>
        <v>0</v>
      </c>
      <c r="K18" s="40">
        <f>COUNTIF(Vertices[Betweenness Centrality], "&gt;= " &amp; J18) - COUNTIF(Vertices[Betweenness Centrality], "&gt;=" &amp; J19)</f>
        <v>0</v>
      </c>
      <c r="L18" s="39">
        <f t="shared" si="5"/>
        <v>0</v>
      </c>
      <c r="M18" s="40">
        <f>COUNTIF(Vertices[Closeness Centrality], "&gt;= " &amp; L18) - COUNTIF(Vertices[Closeness Centrality], "&gt;=" &amp; L19)</f>
        <v>0</v>
      </c>
      <c r="N18" s="39">
        <f t="shared" si="6"/>
        <v>0</v>
      </c>
      <c r="O18" s="40">
        <f>COUNTIF(Vertices[Eigenvector Centrality], "&gt;= " &amp; N18) - COUNTIF(Vertices[Eigenvector Centrality], "&gt;=" &amp; N19)</f>
        <v>0</v>
      </c>
      <c r="P18" s="39">
        <f t="shared" si="7"/>
        <v>0</v>
      </c>
      <c r="Q18" s="40">
        <f>COUNTIF(Vertices[PageRank], "&gt;= " &amp; P18) - COUNTIF(Vertices[PageRank], "&gt;=" &amp; P19)</f>
        <v>0</v>
      </c>
      <c r="R18" s="39">
        <f t="shared" si="8"/>
        <v>0</v>
      </c>
      <c r="S18" s="45">
        <f>COUNTIF(Vertices[Clustering Coefficient], "&gt;= " &amp; R18) - COUNTIF(Vertices[Clustering Coefficient], "&gt;=" &amp; R19)</f>
        <v>0</v>
      </c>
      <c r="T18" s="39" t="e">
        <f t="shared" ca="1" si="9"/>
        <v>#REF!</v>
      </c>
      <c r="U18" s="40" t="e">
        <f t="shared" ca="1" si="0"/>
        <v>#REF!</v>
      </c>
    </row>
    <row r="19" spans="1:21" x14ac:dyDescent="0.25">
      <c r="A19" s="36"/>
      <c r="B19" s="36"/>
      <c r="D19" s="34">
        <f t="shared" si="1"/>
        <v>0</v>
      </c>
      <c r="E19" s="3">
        <f>COUNTIF(Vertices[Degree], "&gt;= " &amp; D19) - COUNTIF(Vertices[Degree], "&gt;=" &amp; D20)</f>
        <v>0</v>
      </c>
      <c r="F19" s="41">
        <f t="shared" si="2"/>
        <v>0</v>
      </c>
      <c r="G19" s="42">
        <f>COUNTIF(Vertices[In-Degree], "&gt;= " &amp; F19) - COUNTIF(Vertices[In-Degree], "&gt;=" &amp; F20)</f>
        <v>0</v>
      </c>
      <c r="H19" s="41">
        <f t="shared" si="3"/>
        <v>0</v>
      </c>
      <c r="I19" s="42">
        <f>COUNTIF(Vertices[Out-Degree], "&gt;= " &amp; H19) - COUNTIF(Vertices[Out-Degree], "&gt;=" &amp; H20)</f>
        <v>0</v>
      </c>
      <c r="J19" s="41">
        <f t="shared" si="4"/>
        <v>0</v>
      </c>
      <c r="K19" s="42">
        <f>COUNTIF(Vertices[Betweenness Centrality], "&gt;= " &amp; J19) - COUNTIF(Vertices[Betweenness Centrality], "&gt;=" &amp; J20)</f>
        <v>0</v>
      </c>
      <c r="L19" s="41">
        <f t="shared" si="5"/>
        <v>0</v>
      </c>
      <c r="M19" s="42">
        <f>COUNTIF(Vertices[Closeness Centrality], "&gt;= " &amp; L19) - COUNTIF(Vertices[Closeness Centrality], "&gt;=" &amp; L20)</f>
        <v>0</v>
      </c>
      <c r="N19" s="41">
        <f t="shared" si="6"/>
        <v>0</v>
      </c>
      <c r="O19" s="42">
        <f>COUNTIF(Vertices[Eigenvector Centrality], "&gt;= " &amp; N19) - COUNTIF(Vertices[Eigenvector Centrality], "&gt;=" &amp; N20)</f>
        <v>0</v>
      </c>
      <c r="P19" s="41">
        <f t="shared" si="7"/>
        <v>0</v>
      </c>
      <c r="Q19" s="42">
        <f>COUNTIF(Vertices[PageRank], "&gt;= " &amp; P19) - COUNTIF(Vertices[PageRank], "&gt;=" &amp; P20)</f>
        <v>0</v>
      </c>
      <c r="R19" s="41">
        <f t="shared" si="8"/>
        <v>0</v>
      </c>
      <c r="S19" s="46">
        <f>COUNTIF(Vertices[Clustering Coefficient], "&gt;= " &amp; R19) - COUNTIF(Vertices[Clustering Coefficient], "&gt;=" &amp; R20)</f>
        <v>0</v>
      </c>
      <c r="T19" s="41" t="e">
        <f t="shared" ca="1" si="9"/>
        <v>#REF!</v>
      </c>
      <c r="U19" s="42" t="e">
        <f t="shared" ca="1" si="0"/>
        <v>#REF!</v>
      </c>
    </row>
    <row r="20" spans="1:21" x14ac:dyDescent="0.25">
      <c r="A20" s="36"/>
      <c r="B20" s="36"/>
      <c r="D20" s="34">
        <f t="shared" si="1"/>
        <v>0</v>
      </c>
      <c r="E20" s="3">
        <f>COUNTIF(Vertices[Degree], "&gt;= " &amp; D20) - COUNTIF(Vertices[Degree], "&gt;=" &amp; D21)</f>
        <v>0</v>
      </c>
      <c r="F20" s="39">
        <f t="shared" si="2"/>
        <v>0</v>
      </c>
      <c r="G20" s="40">
        <f>COUNTIF(Vertices[In-Degree], "&gt;= " &amp; F20) - COUNTIF(Vertices[In-Degree], "&gt;=" &amp; F21)</f>
        <v>0</v>
      </c>
      <c r="H20" s="39">
        <f t="shared" si="3"/>
        <v>0</v>
      </c>
      <c r="I20" s="40">
        <f>COUNTIF(Vertices[Out-Degree], "&gt;= " &amp; H20) - COUNTIF(Vertices[Out-Degree], "&gt;=" &amp; H21)</f>
        <v>0</v>
      </c>
      <c r="J20" s="39">
        <f t="shared" si="4"/>
        <v>0</v>
      </c>
      <c r="K20" s="40">
        <f>COUNTIF(Vertices[Betweenness Centrality], "&gt;= " &amp; J20) - COUNTIF(Vertices[Betweenness Centrality], "&gt;=" &amp; J21)</f>
        <v>0</v>
      </c>
      <c r="L20" s="39">
        <f t="shared" si="5"/>
        <v>0</v>
      </c>
      <c r="M20" s="40">
        <f>COUNTIF(Vertices[Closeness Centrality], "&gt;= " &amp; L20) - COUNTIF(Vertices[Closeness Centrality], "&gt;=" &amp; L21)</f>
        <v>0</v>
      </c>
      <c r="N20" s="39">
        <f t="shared" si="6"/>
        <v>0</v>
      </c>
      <c r="O20" s="40">
        <f>COUNTIF(Vertices[Eigenvector Centrality], "&gt;= " &amp; N20) - COUNTIF(Vertices[Eigenvector Centrality], "&gt;=" &amp; N21)</f>
        <v>0</v>
      </c>
      <c r="P20" s="39">
        <f t="shared" si="7"/>
        <v>0</v>
      </c>
      <c r="Q20" s="40">
        <f>COUNTIF(Vertices[PageRank], "&gt;= " &amp; P20) - COUNTIF(Vertices[PageRank], "&gt;=" &amp; P21)</f>
        <v>0</v>
      </c>
      <c r="R20" s="39">
        <f t="shared" si="8"/>
        <v>0</v>
      </c>
      <c r="S20" s="45">
        <f>COUNTIF(Vertices[Clustering Coefficient], "&gt;= " &amp; R20) - COUNTIF(Vertices[Clustering Coefficient], "&gt;=" &amp; R21)</f>
        <v>0</v>
      </c>
      <c r="T20" s="39" t="e">
        <f t="shared" ca="1" si="9"/>
        <v>#REF!</v>
      </c>
      <c r="U20" s="40" t="e">
        <f t="shared" ca="1" si="0"/>
        <v>#REF!</v>
      </c>
    </row>
    <row r="21" spans="1:21" x14ac:dyDescent="0.25">
      <c r="A21" s="36"/>
      <c r="B21" s="36"/>
      <c r="D21" s="34">
        <f t="shared" si="1"/>
        <v>0</v>
      </c>
      <c r="E21" s="3">
        <f>COUNTIF(Vertices[Degree], "&gt;= " &amp; D21) - COUNTIF(Vertices[Degree], "&gt;=" &amp; D22)</f>
        <v>0</v>
      </c>
      <c r="F21" s="41">
        <f t="shared" si="2"/>
        <v>0</v>
      </c>
      <c r="G21" s="42">
        <f>COUNTIF(Vertices[In-Degree], "&gt;= " &amp; F21) - COUNTIF(Vertices[In-Degree], "&gt;=" &amp; F22)</f>
        <v>0</v>
      </c>
      <c r="H21" s="41">
        <f t="shared" si="3"/>
        <v>0</v>
      </c>
      <c r="I21" s="42">
        <f>COUNTIF(Vertices[Out-Degree], "&gt;= " &amp; H21) - COUNTIF(Vertices[Out-Degree], "&gt;=" &amp; H22)</f>
        <v>0</v>
      </c>
      <c r="J21" s="41">
        <f t="shared" si="4"/>
        <v>0</v>
      </c>
      <c r="K21" s="42">
        <f>COUNTIF(Vertices[Betweenness Centrality], "&gt;= " &amp; J21) - COUNTIF(Vertices[Betweenness Centrality], "&gt;=" &amp; J22)</f>
        <v>0</v>
      </c>
      <c r="L21" s="41">
        <f t="shared" si="5"/>
        <v>0</v>
      </c>
      <c r="M21" s="42">
        <f>COUNTIF(Vertices[Closeness Centrality], "&gt;= " &amp; L21) - COUNTIF(Vertices[Closeness Centrality], "&gt;=" &amp; L22)</f>
        <v>0</v>
      </c>
      <c r="N21" s="41">
        <f t="shared" si="6"/>
        <v>0</v>
      </c>
      <c r="O21" s="42">
        <f>COUNTIF(Vertices[Eigenvector Centrality], "&gt;= " &amp; N21) - COUNTIF(Vertices[Eigenvector Centrality], "&gt;=" &amp; N22)</f>
        <v>0</v>
      </c>
      <c r="P21" s="41">
        <f t="shared" si="7"/>
        <v>0</v>
      </c>
      <c r="Q21" s="42">
        <f>COUNTIF(Vertices[PageRank], "&gt;= " &amp; P21) - COUNTIF(Vertices[PageRank], "&gt;=" &amp; P22)</f>
        <v>0</v>
      </c>
      <c r="R21" s="41">
        <f t="shared" si="8"/>
        <v>0</v>
      </c>
      <c r="S21" s="46">
        <f>COUNTIF(Vertices[Clustering Coefficient], "&gt;= " &amp; R21) - COUNTIF(Vertices[Clustering Coefficient], "&gt;=" &amp; R22)</f>
        <v>0</v>
      </c>
      <c r="T21" s="41" t="e">
        <f t="shared" ca="1" si="9"/>
        <v>#REF!</v>
      </c>
      <c r="U21" s="42" t="e">
        <f t="shared" ca="1" si="0"/>
        <v>#REF!</v>
      </c>
    </row>
    <row r="22" spans="1:21" x14ac:dyDescent="0.25">
      <c r="A22" s="36"/>
      <c r="B22" s="36"/>
      <c r="D22" s="34">
        <f t="shared" si="1"/>
        <v>0</v>
      </c>
      <c r="E22" s="3">
        <f>COUNTIF(Vertices[Degree], "&gt;= " &amp; D22) - COUNTIF(Vertices[Degree], "&gt;=" &amp; D23)</f>
        <v>0</v>
      </c>
      <c r="F22" s="39">
        <f t="shared" si="2"/>
        <v>0</v>
      </c>
      <c r="G22" s="40">
        <f>COUNTIF(Vertices[In-Degree], "&gt;= " &amp; F22) - COUNTIF(Vertices[In-Degree], "&gt;=" &amp; F23)</f>
        <v>0</v>
      </c>
      <c r="H22" s="39">
        <f t="shared" si="3"/>
        <v>0</v>
      </c>
      <c r="I22" s="40">
        <f>COUNTIF(Vertices[Out-Degree], "&gt;= " &amp; H22) - COUNTIF(Vertices[Out-Degree], "&gt;=" &amp; H23)</f>
        <v>0</v>
      </c>
      <c r="J22" s="39">
        <f t="shared" si="4"/>
        <v>0</v>
      </c>
      <c r="K22" s="40">
        <f>COUNTIF(Vertices[Betweenness Centrality], "&gt;= " &amp; J22) - COUNTIF(Vertices[Betweenness Centrality], "&gt;=" &amp; J23)</f>
        <v>0</v>
      </c>
      <c r="L22" s="39">
        <f t="shared" si="5"/>
        <v>0</v>
      </c>
      <c r="M22" s="40">
        <f>COUNTIF(Vertices[Closeness Centrality], "&gt;= " &amp; L22) - COUNTIF(Vertices[Closeness Centrality], "&gt;=" &amp; L23)</f>
        <v>0</v>
      </c>
      <c r="N22" s="39">
        <f t="shared" si="6"/>
        <v>0</v>
      </c>
      <c r="O22" s="40">
        <f>COUNTIF(Vertices[Eigenvector Centrality], "&gt;= " &amp; N22) - COUNTIF(Vertices[Eigenvector Centrality], "&gt;=" &amp; N23)</f>
        <v>0</v>
      </c>
      <c r="P22" s="39">
        <f t="shared" si="7"/>
        <v>0</v>
      </c>
      <c r="Q22" s="40">
        <f>COUNTIF(Vertices[PageRank], "&gt;= " &amp; P22) - COUNTIF(Vertices[PageRank], "&gt;=" &amp; P23)</f>
        <v>0</v>
      </c>
      <c r="R22" s="39">
        <f t="shared" si="8"/>
        <v>0</v>
      </c>
      <c r="S22" s="45">
        <f>COUNTIF(Vertices[Clustering Coefficient], "&gt;= " &amp; R22) - COUNTIF(Vertices[Clustering Coefficient], "&gt;=" &amp; R23)</f>
        <v>0</v>
      </c>
      <c r="T22" s="39" t="e">
        <f t="shared" ca="1" si="9"/>
        <v>#REF!</v>
      </c>
      <c r="U22" s="40" t="e">
        <f t="shared" ca="1" si="0"/>
        <v>#REF!</v>
      </c>
    </row>
    <row r="23" spans="1:21" x14ac:dyDescent="0.25">
      <c r="A23" s="36"/>
      <c r="B23" s="36"/>
      <c r="D23" s="34">
        <f t="shared" si="1"/>
        <v>0</v>
      </c>
      <c r="E23" s="3">
        <f>COUNTIF(Vertices[Degree], "&gt;= " &amp; D23) - COUNTIF(Vertices[Degree], "&gt;=" &amp; D24)</f>
        <v>0</v>
      </c>
      <c r="F23" s="41">
        <f t="shared" si="2"/>
        <v>0</v>
      </c>
      <c r="G23" s="42">
        <f>COUNTIF(Vertices[In-Degree], "&gt;= " &amp; F23) - COUNTIF(Vertices[In-Degree], "&gt;=" &amp; F24)</f>
        <v>0</v>
      </c>
      <c r="H23" s="41">
        <f t="shared" si="3"/>
        <v>0</v>
      </c>
      <c r="I23" s="42">
        <f>COUNTIF(Vertices[Out-Degree], "&gt;= " &amp; H23) - COUNTIF(Vertices[Out-Degree], "&gt;=" &amp; H24)</f>
        <v>0</v>
      </c>
      <c r="J23" s="41">
        <f t="shared" si="4"/>
        <v>0</v>
      </c>
      <c r="K23" s="42">
        <f>COUNTIF(Vertices[Betweenness Centrality], "&gt;= " &amp; J23) - COUNTIF(Vertices[Betweenness Centrality], "&gt;=" &amp; J24)</f>
        <v>0</v>
      </c>
      <c r="L23" s="41">
        <f t="shared" si="5"/>
        <v>0</v>
      </c>
      <c r="M23" s="42">
        <f>COUNTIF(Vertices[Closeness Centrality], "&gt;= " &amp; L23) - COUNTIF(Vertices[Closeness Centrality], "&gt;=" &amp; L24)</f>
        <v>0</v>
      </c>
      <c r="N23" s="41">
        <f t="shared" si="6"/>
        <v>0</v>
      </c>
      <c r="O23" s="42">
        <f>COUNTIF(Vertices[Eigenvector Centrality], "&gt;= " &amp; N23) - COUNTIF(Vertices[Eigenvector Centrality], "&gt;=" &amp; N24)</f>
        <v>0</v>
      </c>
      <c r="P23" s="41">
        <f t="shared" si="7"/>
        <v>0</v>
      </c>
      <c r="Q23" s="42">
        <f>COUNTIF(Vertices[PageRank], "&gt;= " &amp; P23) - COUNTIF(Vertices[PageRank], "&gt;=" &amp; P24)</f>
        <v>0</v>
      </c>
      <c r="R23" s="41">
        <f t="shared" si="8"/>
        <v>0</v>
      </c>
      <c r="S23" s="46">
        <f>COUNTIF(Vertices[Clustering Coefficient], "&gt;= " &amp; R23) - COUNTIF(Vertices[Clustering Coefficient], "&gt;=" &amp; R24)</f>
        <v>0</v>
      </c>
      <c r="T23" s="41" t="e">
        <f t="shared" ca="1" si="9"/>
        <v>#REF!</v>
      </c>
      <c r="U23" s="42" t="e">
        <f t="shared" ca="1" si="0"/>
        <v>#REF!</v>
      </c>
    </row>
    <row r="24" spans="1:21" x14ac:dyDescent="0.25">
      <c r="D24" s="34">
        <f t="shared" si="1"/>
        <v>0</v>
      </c>
      <c r="E24" s="3">
        <f>COUNTIF(Vertices[Degree], "&gt;= " &amp; D24) - COUNTIF(Vertices[Degree], "&gt;=" &amp; D25)</f>
        <v>0</v>
      </c>
      <c r="F24" s="39">
        <f t="shared" si="2"/>
        <v>0</v>
      </c>
      <c r="G24" s="40">
        <f>COUNTIF(Vertices[In-Degree], "&gt;= " &amp; F24) - COUNTIF(Vertices[In-Degree], "&gt;=" &amp; F25)</f>
        <v>0</v>
      </c>
      <c r="H24" s="39">
        <f t="shared" si="3"/>
        <v>0</v>
      </c>
      <c r="I24" s="40">
        <f>COUNTIF(Vertices[Out-Degree], "&gt;= " &amp; H24) - COUNTIF(Vertices[Out-Degree], "&gt;=" &amp; H25)</f>
        <v>0</v>
      </c>
      <c r="J24" s="39">
        <f t="shared" si="4"/>
        <v>0</v>
      </c>
      <c r="K24" s="40">
        <f>COUNTIF(Vertices[Betweenness Centrality], "&gt;= " &amp; J24) - COUNTIF(Vertices[Betweenness Centrality], "&gt;=" &amp; J25)</f>
        <v>0</v>
      </c>
      <c r="L24" s="39">
        <f t="shared" si="5"/>
        <v>0</v>
      </c>
      <c r="M24" s="40">
        <f>COUNTIF(Vertices[Closeness Centrality], "&gt;= " &amp; L24) - COUNTIF(Vertices[Closeness Centrality], "&gt;=" &amp; L25)</f>
        <v>0</v>
      </c>
      <c r="N24" s="39">
        <f t="shared" si="6"/>
        <v>0</v>
      </c>
      <c r="O24" s="40">
        <f>COUNTIF(Vertices[Eigenvector Centrality], "&gt;= " &amp; N24) - COUNTIF(Vertices[Eigenvector Centrality], "&gt;=" &amp; N25)</f>
        <v>0</v>
      </c>
      <c r="P24" s="39">
        <f t="shared" si="7"/>
        <v>0</v>
      </c>
      <c r="Q24" s="40">
        <f>COUNTIF(Vertices[PageRank], "&gt;= " &amp; P24) - COUNTIF(Vertices[PageRank], "&gt;=" &amp; P25)</f>
        <v>0</v>
      </c>
      <c r="R24" s="39">
        <f t="shared" si="8"/>
        <v>0</v>
      </c>
      <c r="S24" s="45">
        <f>COUNTIF(Vertices[Clustering Coefficient], "&gt;= " &amp; R24) - COUNTIF(Vertices[Clustering Coefficient], "&gt;=" &amp; R25)</f>
        <v>0</v>
      </c>
      <c r="T24" s="39" t="e">
        <f t="shared" ca="1" si="9"/>
        <v>#REF!</v>
      </c>
      <c r="U24" s="40" t="e">
        <f t="shared" ca="1" si="0"/>
        <v>#REF!</v>
      </c>
    </row>
    <row r="25" spans="1:21" x14ac:dyDescent="0.25">
      <c r="D25" s="34">
        <f t="shared" si="1"/>
        <v>0</v>
      </c>
      <c r="E25" s="3">
        <f>COUNTIF(Vertices[Degree], "&gt;= " &amp; D25) - COUNTIF(Vertices[Degree], "&gt;=" &amp; D26)</f>
        <v>0</v>
      </c>
      <c r="F25" s="41">
        <f t="shared" si="2"/>
        <v>0</v>
      </c>
      <c r="G25" s="42">
        <f>COUNTIF(Vertices[In-Degree], "&gt;= " &amp; F25) - COUNTIF(Vertices[In-Degree], "&gt;=" &amp; F26)</f>
        <v>0</v>
      </c>
      <c r="H25" s="41">
        <f t="shared" si="3"/>
        <v>0</v>
      </c>
      <c r="I25" s="42">
        <f>COUNTIF(Vertices[Out-Degree], "&gt;= " &amp; H25) - COUNTIF(Vertices[Out-Degree], "&gt;=" &amp; H26)</f>
        <v>0</v>
      </c>
      <c r="J25" s="41">
        <f t="shared" si="4"/>
        <v>0</v>
      </c>
      <c r="K25" s="42">
        <f>COUNTIF(Vertices[Betweenness Centrality], "&gt;= " &amp; J25) - COUNTIF(Vertices[Betweenness Centrality], "&gt;=" &amp; J26)</f>
        <v>0</v>
      </c>
      <c r="L25" s="41">
        <f t="shared" si="5"/>
        <v>0</v>
      </c>
      <c r="M25" s="42">
        <f>COUNTIF(Vertices[Closeness Centrality], "&gt;= " &amp; L25) - COUNTIF(Vertices[Closeness Centrality], "&gt;=" &amp; L26)</f>
        <v>0</v>
      </c>
      <c r="N25" s="41">
        <f t="shared" si="6"/>
        <v>0</v>
      </c>
      <c r="O25" s="42">
        <f>COUNTIF(Vertices[Eigenvector Centrality], "&gt;= " &amp; N25) - COUNTIF(Vertices[Eigenvector Centrality], "&gt;=" &amp; N26)</f>
        <v>0</v>
      </c>
      <c r="P25" s="41">
        <f t="shared" si="7"/>
        <v>0</v>
      </c>
      <c r="Q25" s="42">
        <f>COUNTIF(Vertices[PageRank], "&gt;= " &amp; P25) - COUNTIF(Vertices[PageRank], "&gt;=" &amp; P26)</f>
        <v>0</v>
      </c>
      <c r="R25" s="41">
        <f t="shared" si="8"/>
        <v>0</v>
      </c>
      <c r="S25" s="46">
        <f>COUNTIF(Vertices[Clustering Coefficient], "&gt;= " &amp; R25) - COUNTIF(Vertices[Clustering Coefficient], "&gt;=" &amp; R26)</f>
        <v>0</v>
      </c>
      <c r="T25" s="41" t="e">
        <f t="shared" ca="1" si="9"/>
        <v>#REF!</v>
      </c>
      <c r="U25" s="42" t="e">
        <f t="shared" ca="1" si="0"/>
        <v>#REF!</v>
      </c>
    </row>
    <row r="26" spans="1:21" x14ac:dyDescent="0.25">
      <c r="A26" t="s">
        <v>164</v>
      </c>
      <c r="B26" t="s">
        <v>17</v>
      </c>
      <c r="D26" s="34">
        <f t="shared" si="1"/>
        <v>0</v>
      </c>
      <c r="E26" s="3">
        <f>COUNTIF(Vertices[Degree], "&gt;= " &amp; D26) - COUNTIF(Vertices[Degree], "&gt;=" &amp; D27)</f>
        <v>0</v>
      </c>
      <c r="F26" s="39">
        <f t="shared" si="2"/>
        <v>0</v>
      </c>
      <c r="G26" s="40">
        <f>COUNTIF(Vertices[In-Degree], "&gt;= " &amp; F26) - COUNTIF(Vertices[In-Degree], "&gt;=" &amp; F27)</f>
        <v>0</v>
      </c>
      <c r="H26" s="39">
        <f t="shared" si="3"/>
        <v>0</v>
      </c>
      <c r="I26" s="40">
        <f>COUNTIF(Vertices[Out-Degree], "&gt;= " &amp; H26) - COUNTIF(Vertices[Out-Degree], "&gt;=" &amp; H27)</f>
        <v>0</v>
      </c>
      <c r="J26" s="39">
        <f t="shared" si="4"/>
        <v>0</v>
      </c>
      <c r="K26" s="40">
        <f>COUNTIF(Vertices[Betweenness Centrality], "&gt;= " &amp; J26) - COUNTIF(Vertices[Betweenness Centrality], "&gt;=" &amp; J27)</f>
        <v>0</v>
      </c>
      <c r="L26" s="39">
        <f t="shared" si="5"/>
        <v>0</v>
      </c>
      <c r="M26" s="40">
        <f>COUNTIF(Vertices[Closeness Centrality], "&gt;= " &amp; L26) - COUNTIF(Vertices[Closeness Centrality], "&gt;=" &amp; L27)</f>
        <v>0</v>
      </c>
      <c r="N26" s="39">
        <f t="shared" si="6"/>
        <v>0</v>
      </c>
      <c r="O26" s="40">
        <f>COUNTIF(Vertices[Eigenvector Centrality], "&gt;= " &amp; N26) - COUNTIF(Vertices[Eigenvector Centrality], "&gt;=" &amp; N27)</f>
        <v>0</v>
      </c>
      <c r="P26" s="39">
        <f t="shared" si="7"/>
        <v>0</v>
      </c>
      <c r="Q26" s="40">
        <f>COUNTIF(Vertices[PageRank], "&gt;= " &amp; P26) - COUNTIF(Vertices[PageRank], "&gt;=" &amp; P27)</f>
        <v>0</v>
      </c>
      <c r="R26" s="39">
        <f t="shared" si="8"/>
        <v>0</v>
      </c>
      <c r="S26" s="45">
        <f>COUNTIF(Vertices[Clustering Coefficient], "&gt;= " &amp; R26) - COUNTIF(Vertices[Clustering Coefficient], "&gt;=" &amp; R27)</f>
        <v>0</v>
      </c>
      <c r="T26" s="39" t="e">
        <f t="shared" ca="1" si="9"/>
        <v>#REF!</v>
      </c>
      <c r="U26" s="40" t="e">
        <f t="shared" ca="1" si="0"/>
        <v>#REF!</v>
      </c>
    </row>
    <row r="27" spans="1:21" x14ac:dyDescent="0.25">
      <c r="A27" s="35"/>
      <c r="B27" s="35"/>
      <c r="D27" s="34">
        <f t="shared" si="1"/>
        <v>0</v>
      </c>
      <c r="E27" s="3">
        <f>COUNTIF(Vertices[Degree], "&gt;= " &amp; D27) - COUNTIF(Vertices[Degree], "&gt;=" &amp; D28)</f>
        <v>0</v>
      </c>
      <c r="F27" s="41">
        <f t="shared" si="2"/>
        <v>0</v>
      </c>
      <c r="G27" s="42">
        <f>COUNTIF(Vertices[In-Degree], "&gt;= " &amp; F27) - COUNTIF(Vertices[In-Degree], "&gt;=" &amp; F28)</f>
        <v>0</v>
      </c>
      <c r="H27" s="41">
        <f t="shared" si="3"/>
        <v>0</v>
      </c>
      <c r="I27" s="42">
        <f>COUNTIF(Vertices[Out-Degree], "&gt;= " &amp; H27) - COUNTIF(Vertices[Out-Degree], "&gt;=" &amp; H28)</f>
        <v>0</v>
      </c>
      <c r="J27" s="41">
        <f t="shared" si="4"/>
        <v>0</v>
      </c>
      <c r="K27" s="42">
        <f>COUNTIF(Vertices[Betweenness Centrality], "&gt;= " &amp; J27) - COUNTIF(Vertices[Betweenness Centrality], "&gt;=" &amp; J28)</f>
        <v>0</v>
      </c>
      <c r="L27" s="41">
        <f t="shared" si="5"/>
        <v>0</v>
      </c>
      <c r="M27" s="42">
        <f>COUNTIF(Vertices[Closeness Centrality], "&gt;= " &amp; L27) - COUNTIF(Vertices[Closeness Centrality], "&gt;=" &amp; L28)</f>
        <v>0</v>
      </c>
      <c r="N27" s="41">
        <f t="shared" si="6"/>
        <v>0</v>
      </c>
      <c r="O27" s="42">
        <f>COUNTIF(Vertices[Eigenvector Centrality], "&gt;= " &amp; N27) - COUNTIF(Vertices[Eigenvector Centrality], "&gt;=" &amp; N28)</f>
        <v>0</v>
      </c>
      <c r="P27" s="41">
        <f t="shared" si="7"/>
        <v>0</v>
      </c>
      <c r="Q27" s="42">
        <f>COUNTIF(Vertices[PageRank], "&gt;= " &amp; P27) - COUNTIF(Vertices[PageRank], "&gt;=" &amp; P28)</f>
        <v>0</v>
      </c>
      <c r="R27" s="41">
        <f t="shared" si="8"/>
        <v>0</v>
      </c>
      <c r="S27" s="46">
        <f>COUNTIF(Vertices[Clustering Coefficient], "&gt;= " &amp; R27) - COUNTIF(Vertices[Clustering Coefficient], "&gt;=" &amp; R28)</f>
        <v>0</v>
      </c>
      <c r="T27" s="41" t="e">
        <f t="shared" ca="1" si="9"/>
        <v>#REF!</v>
      </c>
      <c r="U27" s="42" t="e">
        <f t="shared" ca="1" si="0"/>
        <v>#REF!</v>
      </c>
    </row>
    <row r="28" spans="1:21" x14ac:dyDescent="0.25">
      <c r="A28" s="35"/>
      <c r="B28" s="35"/>
      <c r="D28" s="34">
        <f t="shared" si="1"/>
        <v>0</v>
      </c>
      <c r="E28" s="3">
        <f>COUNTIF(Vertices[Degree], "&gt;= " &amp; D28) - COUNTIF(Vertices[Degree], "&gt;=" &amp; D29)</f>
        <v>0</v>
      </c>
      <c r="F28" s="39">
        <f t="shared" si="2"/>
        <v>0</v>
      </c>
      <c r="G28" s="40">
        <f>COUNTIF(Vertices[In-Degree], "&gt;= " &amp; F28) - COUNTIF(Vertices[In-Degree], "&gt;=" &amp; F29)</f>
        <v>0</v>
      </c>
      <c r="H28" s="39">
        <f t="shared" si="3"/>
        <v>0</v>
      </c>
      <c r="I28" s="40">
        <f>COUNTIF(Vertices[Out-Degree], "&gt;= " &amp; H28) - COUNTIF(Vertices[Out-Degree], "&gt;=" &amp; H29)</f>
        <v>0</v>
      </c>
      <c r="J28" s="39">
        <f t="shared" si="4"/>
        <v>0</v>
      </c>
      <c r="K28" s="40">
        <f>COUNTIF(Vertices[Betweenness Centrality], "&gt;= " &amp; J28) - COUNTIF(Vertices[Betweenness Centrality], "&gt;=" &amp; J29)</f>
        <v>0</v>
      </c>
      <c r="L28" s="39">
        <f t="shared" si="5"/>
        <v>0</v>
      </c>
      <c r="M28" s="40">
        <f>COUNTIF(Vertices[Closeness Centrality], "&gt;= " &amp; L28) - COUNTIF(Vertices[Closeness Centrality], "&gt;=" &amp; L29)</f>
        <v>0</v>
      </c>
      <c r="N28" s="39">
        <f t="shared" si="6"/>
        <v>0</v>
      </c>
      <c r="O28" s="40">
        <f>COUNTIF(Vertices[Eigenvector Centrality], "&gt;= " &amp; N28) - COUNTIF(Vertices[Eigenvector Centrality], "&gt;=" &amp; N29)</f>
        <v>0</v>
      </c>
      <c r="P28" s="39">
        <f t="shared" si="7"/>
        <v>0</v>
      </c>
      <c r="Q28" s="40">
        <f>COUNTIF(Vertices[PageRank], "&gt;= " &amp; P28) - COUNTIF(Vertices[PageRank], "&gt;=" &amp; P29)</f>
        <v>0</v>
      </c>
      <c r="R28" s="39">
        <f t="shared" si="8"/>
        <v>0</v>
      </c>
      <c r="S28" s="45">
        <f>COUNTIF(Vertices[Clustering Coefficient], "&gt;= " &amp; R28) - COUNTIF(Vertices[Clustering Coefficient], "&gt;=" &amp; R29)</f>
        <v>0</v>
      </c>
      <c r="T28" s="39" t="e">
        <f t="shared" ca="1" si="9"/>
        <v>#REF!</v>
      </c>
      <c r="U28" s="40" t="e">
        <f t="shared" ca="1" si="0"/>
        <v>#REF!</v>
      </c>
    </row>
    <row r="29" spans="1:21" x14ac:dyDescent="0.25">
      <c r="D29" s="34">
        <f t="shared" si="1"/>
        <v>0</v>
      </c>
      <c r="E29" s="3">
        <f>COUNTIF(Vertices[Degree], "&gt;= " &amp; D29) - COUNTIF(Vertices[Degree], "&gt;=" &amp; D30)</f>
        <v>0</v>
      </c>
      <c r="F29" s="41">
        <f t="shared" si="2"/>
        <v>0</v>
      </c>
      <c r="G29" s="42">
        <f>COUNTIF(Vertices[In-Degree], "&gt;= " &amp; F29) - COUNTIF(Vertices[In-Degree], "&gt;=" &amp; F30)</f>
        <v>0</v>
      </c>
      <c r="H29" s="41">
        <f t="shared" si="3"/>
        <v>0</v>
      </c>
      <c r="I29" s="42">
        <f>COUNTIF(Vertices[Out-Degree], "&gt;= " &amp; H29) - COUNTIF(Vertices[Out-Degree], "&gt;=" &amp; H30)</f>
        <v>0</v>
      </c>
      <c r="J29" s="41">
        <f t="shared" si="4"/>
        <v>0</v>
      </c>
      <c r="K29" s="42">
        <f>COUNTIF(Vertices[Betweenness Centrality], "&gt;= " &amp; J29) - COUNTIF(Vertices[Betweenness Centrality], "&gt;=" &amp; J30)</f>
        <v>0</v>
      </c>
      <c r="L29" s="41">
        <f t="shared" si="5"/>
        <v>0</v>
      </c>
      <c r="M29" s="42">
        <f>COUNTIF(Vertices[Closeness Centrality], "&gt;= " &amp; L29) - COUNTIF(Vertices[Closeness Centrality], "&gt;=" &amp; L30)</f>
        <v>0</v>
      </c>
      <c r="N29" s="41">
        <f t="shared" si="6"/>
        <v>0</v>
      </c>
      <c r="O29" s="42">
        <f>COUNTIF(Vertices[Eigenvector Centrality], "&gt;= " &amp; N29) - COUNTIF(Vertices[Eigenvector Centrality], "&gt;=" &amp; N30)</f>
        <v>0</v>
      </c>
      <c r="P29" s="41">
        <f t="shared" si="7"/>
        <v>0</v>
      </c>
      <c r="Q29" s="42">
        <f>COUNTIF(Vertices[PageRank], "&gt;= " &amp; P29) - COUNTIF(Vertices[PageRank], "&gt;=" &amp; P30)</f>
        <v>0</v>
      </c>
      <c r="R29" s="41">
        <f t="shared" si="8"/>
        <v>0</v>
      </c>
      <c r="S29" s="46">
        <f>COUNTIF(Vertices[Clustering Coefficient], "&gt;= " &amp; R29) - COUNTIF(Vertices[Clustering Coefficient], "&gt;=" &amp; R30)</f>
        <v>0</v>
      </c>
      <c r="T29" s="41" t="e">
        <f t="shared" ca="1" si="9"/>
        <v>#REF!</v>
      </c>
      <c r="U29" s="42" t="e">
        <f t="shared" ca="1" si="0"/>
        <v>#REF!</v>
      </c>
    </row>
    <row r="30" spans="1:21" x14ac:dyDescent="0.25">
      <c r="D30" s="34">
        <f t="shared" si="1"/>
        <v>0</v>
      </c>
      <c r="E30" s="3">
        <f>COUNTIF(Vertices[Degree], "&gt;= " &amp; D30) - COUNTIF(Vertices[Degree], "&gt;=" &amp; D31)</f>
        <v>0</v>
      </c>
      <c r="F30" s="39">
        <f t="shared" si="2"/>
        <v>0</v>
      </c>
      <c r="G30" s="40">
        <f>COUNTIF(Vertices[In-Degree], "&gt;= " &amp; F30) - COUNTIF(Vertices[In-Degree], "&gt;=" &amp; F31)</f>
        <v>0</v>
      </c>
      <c r="H30" s="39">
        <f t="shared" si="3"/>
        <v>0</v>
      </c>
      <c r="I30" s="40">
        <f>COUNTIF(Vertices[Out-Degree], "&gt;= " &amp; H30) - COUNTIF(Vertices[Out-Degree], "&gt;=" &amp; H31)</f>
        <v>0</v>
      </c>
      <c r="J30" s="39">
        <f t="shared" si="4"/>
        <v>0</v>
      </c>
      <c r="K30" s="40">
        <f>COUNTIF(Vertices[Betweenness Centrality], "&gt;= " &amp; J30) - COUNTIF(Vertices[Betweenness Centrality], "&gt;=" &amp; J31)</f>
        <v>0</v>
      </c>
      <c r="L30" s="39">
        <f t="shared" si="5"/>
        <v>0</v>
      </c>
      <c r="M30" s="40">
        <f>COUNTIF(Vertices[Closeness Centrality], "&gt;= " &amp; L30) - COUNTIF(Vertices[Closeness Centrality], "&gt;=" &amp; L31)</f>
        <v>0</v>
      </c>
      <c r="N30" s="39">
        <f t="shared" si="6"/>
        <v>0</v>
      </c>
      <c r="O30" s="40">
        <f>COUNTIF(Vertices[Eigenvector Centrality], "&gt;= " &amp; N30) - COUNTIF(Vertices[Eigenvector Centrality], "&gt;=" &amp; N31)</f>
        <v>0</v>
      </c>
      <c r="P30" s="39">
        <f t="shared" si="7"/>
        <v>0</v>
      </c>
      <c r="Q30" s="40">
        <f>COUNTIF(Vertices[PageRank], "&gt;= " &amp; P30) - COUNTIF(Vertices[PageRank], "&gt;=" &amp; P31)</f>
        <v>0</v>
      </c>
      <c r="R30" s="39">
        <f t="shared" si="8"/>
        <v>0</v>
      </c>
      <c r="S30" s="45">
        <f>COUNTIF(Vertices[Clustering Coefficient], "&gt;= " &amp; R30) - COUNTIF(Vertices[Clustering Coefficient], "&gt;=" &amp; R31)</f>
        <v>0</v>
      </c>
      <c r="T30" s="39" t="e">
        <f t="shared" ca="1" si="9"/>
        <v>#REF!</v>
      </c>
      <c r="U30" s="40" t="e">
        <f t="shared" ca="1" si="0"/>
        <v>#REF!</v>
      </c>
    </row>
    <row r="31" spans="1:21" x14ac:dyDescent="0.25">
      <c r="D31" s="34">
        <f t="shared" si="1"/>
        <v>0</v>
      </c>
      <c r="E31" s="3">
        <f>COUNTIF(Vertices[Degree], "&gt;= " &amp; D31) - COUNTIF(Vertices[Degree], "&gt;=" &amp; D32)</f>
        <v>0</v>
      </c>
      <c r="F31" s="41">
        <f t="shared" si="2"/>
        <v>0</v>
      </c>
      <c r="G31" s="42">
        <f>COUNTIF(Vertices[In-Degree], "&gt;= " &amp; F31) - COUNTIF(Vertices[In-Degree], "&gt;=" &amp; F32)</f>
        <v>0</v>
      </c>
      <c r="H31" s="41">
        <f t="shared" si="3"/>
        <v>0</v>
      </c>
      <c r="I31" s="42">
        <f>COUNTIF(Vertices[Out-Degree], "&gt;= " &amp; H31) - COUNTIF(Vertices[Out-Degree], "&gt;=" &amp; H32)</f>
        <v>0</v>
      </c>
      <c r="J31" s="41">
        <f t="shared" si="4"/>
        <v>0</v>
      </c>
      <c r="K31" s="42">
        <f>COUNTIF(Vertices[Betweenness Centrality], "&gt;= " &amp; J31) - COUNTIF(Vertices[Betweenness Centrality], "&gt;=" &amp; J32)</f>
        <v>0</v>
      </c>
      <c r="L31" s="41">
        <f t="shared" si="5"/>
        <v>0</v>
      </c>
      <c r="M31" s="42">
        <f>COUNTIF(Vertices[Closeness Centrality], "&gt;= " &amp; L31) - COUNTIF(Vertices[Closeness Centrality], "&gt;=" &amp; L32)</f>
        <v>0</v>
      </c>
      <c r="N31" s="41">
        <f t="shared" si="6"/>
        <v>0</v>
      </c>
      <c r="O31" s="42">
        <f>COUNTIF(Vertices[Eigenvector Centrality], "&gt;= " &amp; N31) - COUNTIF(Vertices[Eigenvector Centrality], "&gt;=" &amp; N32)</f>
        <v>0</v>
      </c>
      <c r="P31" s="41">
        <f t="shared" si="7"/>
        <v>0</v>
      </c>
      <c r="Q31" s="42">
        <f>COUNTIF(Vertices[PageRank], "&gt;= " &amp; P31) - COUNTIF(Vertices[PageRank], "&gt;=" &amp; P32)</f>
        <v>0</v>
      </c>
      <c r="R31" s="41">
        <f t="shared" si="8"/>
        <v>0</v>
      </c>
      <c r="S31" s="46">
        <f>COUNTIF(Vertices[Clustering Coefficient], "&gt;= " &amp; R31) - COUNTIF(Vertices[Clustering Coefficient], "&gt;=" &amp; R32)</f>
        <v>0</v>
      </c>
      <c r="T31" s="41" t="e">
        <f t="shared" ca="1" si="9"/>
        <v>#REF!</v>
      </c>
      <c r="U31" s="42" t="e">
        <f t="shared" ca="1" si="0"/>
        <v>#REF!</v>
      </c>
    </row>
    <row r="32" spans="1:21" x14ac:dyDescent="0.25">
      <c r="D32" s="34">
        <f t="shared" si="1"/>
        <v>0</v>
      </c>
      <c r="E32" s="3">
        <f>COUNTIF(Vertices[Degree], "&gt;= " &amp; D32) - COUNTIF(Vertices[Degree], "&gt;=" &amp; D33)</f>
        <v>0</v>
      </c>
      <c r="F32" s="39">
        <f t="shared" si="2"/>
        <v>0</v>
      </c>
      <c r="G32" s="40">
        <f>COUNTIF(Vertices[In-Degree], "&gt;= " &amp; F32) - COUNTIF(Vertices[In-Degree], "&gt;=" &amp; F33)</f>
        <v>0</v>
      </c>
      <c r="H32" s="39">
        <f t="shared" si="3"/>
        <v>0</v>
      </c>
      <c r="I32" s="40">
        <f>COUNTIF(Vertices[Out-Degree], "&gt;= " &amp; H32) - COUNTIF(Vertices[Out-Degree], "&gt;=" &amp; H33)</f>
        <v>0</v>
      </c>
      <c r="J32" s="39">
        <f t="shared" si="4"/>
        <v>0</v>
      </c>
      <c r="K32" s="40">
        <f>COUNTIF(Vertices[Betweenness Centrality], "&gt;= " &amp; J32) - COUNTIF(Vertices[Betweenness Centrality], "&gt;=" &amp; J33)</f>
        <v>0</v>
      </c>
      <c r="L32" s="39">
        <f t="shared" si="5"/>
        <v>0</v>
      </c>
      <c r="M32" s="40">
        <f>COUNTIF(Vertices[Closeness Centrality], "&gt;= " &amp; L32) - COUNTIF(Vertices[Closeness Centrality], "&gt;=" &amp; L33)</f>
        <v>0</v>
      </c>
      <c r="N32" s="39">
        <f t="shared" si="6"/>
        <v>0</v>
      </c>
      <c r="O32" s="40">
        <f>COUNTIF(Vertices[Eigenvector Centrality], "&gt;= " &amp; N32) - COUNTIF(Vertices[Eigenvector Centrality], "&gt;=" &amp; N33)</f>
        <v>0</v>
      </c>
      <c r="P32" s="39">
        <f t="shared" si="7"/>
        <v>0</v>
      </c>
      <c r="Q32" s="40">
        <f>COUNTIF(Vertices[PageRank], "&gt;= " &amp; P32) - COUNTIF(Vertices[PageRank], "&gt;=" &amp; P33)</f>
        <v>0</v>
      </c>
      <c r="R32" s="39">
        <f t="shared" si="8"/>
        <v>0</v>
      </c>
      <c r="S32" s="45">
        <f>COUNTIF(Vertices[Clustering Coefficient], "&gt;= " &amp; R32) - COUNTIF(Vertices[Clustering Coefficient], "&gt;=" &amp; R33)</f>
        <v>0</v>
      </c>
      <c r="T32" s="39" t="e">
        <f t="shared" ca="1" si="9"/>
        <v>#REF!</v>
      </c>
      <c r="U32" s="40" t="e">
        <f t="shared" ca="1" si="0"/>
        <v>#REF!</v>
      </c>
    </row>
    <row r="33" spans="1:21" x14ac:dyDescent="0.25">
      <c r="D33" s="34">
        <f t="shared" si="1"/>
        <v>0</v>
      </c>
      <c r="E33" s="3">
        <f>COUNTIF(Vertices[Degree], "&gt;= " &amp; D33) - COUNTIF(Vertices[Degree], "&gt;=" &amp; D34)</f>
        <v>0</v>
      </c>
      <c r="F33" s="41">
        <f t="shared" si="2"/>
        <v>0</v>
      </c>
      <c r="G33" s="42">
        <f>COUNTIF(Vertices[In-Degree], "&gt;= " &amp; F33) - COUNTIF(Vertices[In-Degree], "&gt;=" &amp; F34)</f>
        <v>0</v>
      </c>
      <c r="H33" s="41">
        <f t="shared" si="3"/>
        <v>0</v>
      </c>
      <c r="I33" s="42">
        <f>COUNTIF(Vertices[Out-Degree], "&gt;= " &amp; H33) - COUNTIF(Vertices[Out-Degree], "&gt;=" &amp; H34)</f>
        <v>0</v>
      </c>
      <c r="J33" s="41">
        <f t="shared" si="4"/>
        <v>0</v>
      </c>
      <c r="K33" s="42">
        <f>COUNTIF(Vertices[Betweenness Centrality], "&gt;= " &amp; J33) - COUNTIF(Vertices[Betweenness Centrality], "&gt;=" &amp; J34)</f>
        <v>0</v>
      </c>
      <c r="L33" s="41">
        <f t="shared" si="5"/>
        <v>0</v>
      </c>
      <c r="M33" s="42">
        <f>COUNTIF(Vertices[Closeness Centrality], "&gt;= " &amp; L33) - COUNTIF(Vertices[Closeness Centrality], "&gt;=" &amp; L34)</f>
        <v>0</v>
      </c>
      <c r="N33" s="41">
        <f t="shared" si="6"/>
        <v>0</v>
      </c>
      <c r="O33" s="42">
        <f>COUNTIF(Vertices[Eigenvector Centrality], "&gt;= " &amp; N33) - COUNTIF(Vertices[Eigenvector Centrality], "&gt;=" &amp; N34)</f>
        <v>0</v>
      </c>
      <c r="P33" s="41">
        <f t="shared" si="7"/>
        <v>0</v>
      </c>
      <c r="Q33" s="42">
        <f>COUNTIF(Vertices[PageRank], "&gt;= " &amp; P33) - COUNTIF(Vertices[PageRank], "&gt;=" &amp; P34)</f>
        <v>0</v>
      </c>
      <c r="R33" s="41">
        <f t="shared" si="8"/>
        <v>0</v>
      </c>
      <c r="S33" s="46">
        <f>COUNTIF(Vertices[Clustering Coefficient], "&gt;= " &amp; R33) - COUNTIF(Vertices[Clustering Coefficient], "&gt;=" &amp; R34)</f>
        <v>0</v>
      </c>
      <c r="T33" s="41" t="e">
        <f t="shared" ca="1" si="9"/>
        <v>#REF!</v>
      </c>
      <c r="U33" s="42" t="e">
        <f t="shared" ca="1" si="0"/>
        <v>#REF!</v>
      </c>
    </row>
    <row r="34" spans="1:21" x14ac:dyDescent="0.25">
      <c r="D34" s="34">
        <f t="shared" si="1"/>
        <v>0</v>
      </c>
      <c r="E34" s="3">
        <f>COUNTIF(Vertices[Degree], "&gt;= " &amp; D34) - COUNTIF(Vertices[Degree], "&gt;=" &amp; D35)</f>
        <v>0</v>
      </c>
      <c r="F34" s="39">
        <f t="shared" si="2"/>
        <v>0</v>
      </c>
      <c r="G34" s="40">
        <f>COUNTIF(Vertices[In-Degree], "&gt;= " &amp; F34) - COUNTIF(Vertices[In-Degree], "&gt;=" &amp; F35)</f>
        <v>0</v>
      </c>
      <c r="H34" s="39">
        <f t="shared" si="3"/>
        <v>0</v>
      </c>
      <c r="I34" s="40">
        <f>COUNTIF(Vertices[Out-Degree], "&gt;= " &amp; H34) - COUNTIF(Vertices[Out-Degree], "&gt;=" &amp; H35)</f>
        <v>0</v>
      </c>
      <c r="J34" s="39">
        <f t="shared" si="4"/>
        <v>0</v>
      </c>
      <c r="K34" s="40">
        <f>COUNTIF(Vertices[Betweenness Centrality], "&gt;= " &amp; J34) - COUNTIF(Vertices[Betweenness Centrality], "&gt;=" &amp; J35)</f>
        <v>0</v>
      </c>
      <c r="L34" s="39">
        <f t="shared" si="5"/>
        <v>0</v>
      </c>
      <c r="M34" s="40">
        <f>COUNTIF(Vertices[Closeness Centrality], "&gt;= " &amp; L34) - COUNTIF(Vertices[Closeness Centrality], "&gt;=" &amp; L35)</f>
        <v>0</v>
      </c>
      <c r="N34" s="39">
        <f t="shared" si="6"/>
        <v>0</v>
      </c>
      <c r="O34" s="40">
        <f>COUNTIF(Vertices[Eigenvector Centrality], "&gt;= " &amp; N34) - COUNTIF(Vertices[Eigenvector Centrality], "&gt;=" &amp; N35)</f>
        <v>0</v>
      </c>
      <c r="P34" s="39">
        <f t="shared" si="7"/>
        <v>0</v>
      </c>
      <c r="Q34" s="40">
        <f>COUNTIF(Vertices[PageRank], "&gt;= " &amp; P34) - COUNTIF(Vertices[PageRank], "&gt;=" &amp; P35)</f>
        <v>0</v>
      </c>
      <c r="R34" s="39">
        <f t="shared" si="8"/>
        <v>0</v>
      </c>
      <c r="S34" s="45">
        <f>COUNTIF(Vertices[Clustering Coefficient], "&gt;= " &amp; R34) - COUNTIF(Vertices[Clustering Coefficient], "&gt;=" &amp; R35)</f>
        <v>0</v>
      </c>
      <c r="T34" s="39" t="e">
        <f t="shared" ca="1" si="9"/>
        <v>#REF!</v>
      </c>
      <c r="U34" s="40" t="e">
        <f t="shared" ca="1" si="0"/>
        <v>#REF!</v>
      </c>
    </row>
    <row r="35" spans="1:21" x14ac:dyDescent="0.25">
      <c r="D35" s="34">
        <f t="shared" si="1"/>
        <v>0</v>
      </c>
      <c r="E35" s="3">
        <f>COUNTIF(Vertices[Degree], "&gt;= " &amp; D35) - COUNTIF(Vertices[Degree], "&gt;=" &amp; D36)</f>
        <v>0</v>
      </c>
      <c r="F35" s="41">
        <f t="shared" si="2"/>
        <v>0</v>
      </c>
      <c r="G35" s="42">
        <f>COUNTIF(Vertices[In-Degree], "&gt;= " &amp; F35) - COUNTIF(Vertices[In-Degree], "&gt;=" &amp; F36)</f>
        <v>0</v>
      </c>
      <c r="H35" s="41">
        <f t="shared" si="3"/>
        <v>0</v>
      </c>
      <c r="I35" s="42">
        <f>COUNTIF(Vertices[Out-Degree], "&gt;= " &amp; H35) - COUNTIF(Vertices[Out-Degree], "&gt;=" &amp; H36)</f>
        <v>0</v>
      </c>
      <c r="J35" s="41">
        <f t="shared" si="4"/>
        <v>0</v>
      </c>
      <c r="K35" s="42">
        <f>COUNTIF(Vertices[Betweenness Centrality], "&gt;= " &amp; J35) - COUNTIF(Vertices[Betweenness Centrality], "&gt;=" &amp; J36)</f>
        <v>0</v>
      </c>
      <c r="L35" s="41">
        <f t="shared" si="5"/>
        <v>0</v>
      </c>
      <c r="M35" s="42">
        <f>COUNTIF(Vertices[Closeness Centrality], "&gt;= " &amp; L35) - COUNTIF(Vertices[Closeness Centrality], "&gt;=" &amp; L36)</f>
        <v>0</v>
      </c>
      <c r="N35" s="41">
        <f t="shared" si="6"/>
        <v>0</v>
      </c>
      <c r="O35" s="42">
        <f>COUNTIF(Vertices[Eigenvector Centrality], "&gt;= " &amp; N35) - COUNTIF(Vertices[Eigenvector Centrality], "&gt;=" &amp; N36)</f>
        <v>0</v>
      </c>
      <c r="P35" s="41">
        <f t="shared" si="7"/>
        <v>0</v>
      </c>
      <c r="Q35" s="42">
        <f>COUNTIF(Vertices[PageRank], "&gt;= " &amp; P35) - COUNTIF(Vertices[PageRank], "&gt;=" &amp; P36)</f>
        <v>0</v>
      </c>
      <c r="R35" s="41">
        <f t="shared" si="8"/>
        <v>0</v>
      </c>
      <c r="S35" s="46">
        <f>COUNTIF(Vertices[Clustering Coefficient], "&gt;= " &amp; R35) - COUNTIF(Vertices[Clustering Coefficient], "&gt;=" &amp; R36)</f>
        <v>0</v>
      </c>
      <c r="T35" s="41" t="e">
        <f t="shared" ca="1" si="9"/>
        <v>#REF!</v>
      </c>
      <c r="U35" s="42" t="e">
        <f t="shared" ca="1" si="0"/>
        <v>#REF!</v>
      </c>
    </row>
    <row r="36" spans="1:21" x14ac:dyDescent="0.25">
      <c r="D36" s="34">
        <f t="shared" si="1"/>
        <v>0</v>
      </c>
      <c r="E36" s="3">
        <f>COUNTIF(Vertices[Degree], "&gt;= " &amp; D36) - COUNTIF(Vertices[Degree], "&gt;=" &amp; D37)</f>
        <v>0</v>
      </c>
      <c r="F36" s="39">
        <f t="shared" si="2"/>
        <v>0</v>
      </c>
      <c r="G36" s="40">
        <f>COUNTIF(Vertices[In-Degree], "&gt;= " &amp; F36) - COUNTIF(Vertices[In-Degree], "&gt;=" &amp; F37)</f>
        <v>0</v>
      </c>
      <c r="H36" s="39">
        <f t="shared" si="3"/>
        <v>0</v>
      </c>
      <c r="I36" s="40">
        <f>COUNTIF(Vertices[Out-Degree], "&gt;= " &amp; H36) - COUNTIF(Vertices[Out-Degree], "&gt;=" &amp; H37)</f>
        <v>0</v>
      </c>
      <c r="J36" s="39">
        <f t="shared" si="4"/>
        <v>0</v>
      </c>
      <c r="K36" s="40">
        <f>COUNTIF(Vertices[Betweenness Centrality], "&gt;= " &amp; J36) - COUNTIF(Vertices[Betweenness Centrality], "&gt;=" &amp; J37)</f>
        <v>0</v>
      </c>
      <c r="L36" s="39">
        <f t="shared" si="5"/>
        <v>0</v>
      </c>
      <c r="M36" s="40">
        <f>COUNTIF(Vertices[Closeness Centrality], "&gt;= " &amp; L36) - COUNTIF(Vertices[Closeness Centrality], "&gt;=" &amp; L37)</f>
        <v>0</v>
      </c>
      <c r="N36" s="39">
        <f t="shared" si="6"/>
        <v>0</v>
      </c>
      <c r="O36" s="40">
        <f>COUNTIF(Vertices[Eigenvector Centrality], "&gt;= " &amp; N36) - COUNTIF(Vertices[Eigenvector Centrality], "&gt;=" &amp; N37)</f>
        <v>0</v>
      </c>
      <c r="P36" s="39">
        <f t="shared" si="7"/>
        <v>0</v>
      </c>
      <c r="Q36" s="40">
        <f>COUNTIF(Vertices[PageRank], "&gt;= " &amp; P36) - COUNTIF(Vertices[PageRank], "&gt;=" &amp; P37)</f>
        <v>0</v>
      </c>
      <c r="R36" s="39">
        <f t="shared" si="8"/>
        <v>0</v>
      </c>
      <c r="S36" s="45">
        <f>COUNTIF(Vertices[Clustering Coefficient], "&gt;= " &amp; R36) - COUNTIF(Vertices[Clustering Coefficient], "&gt;=" &amp; R37)</f>
        <v>0</v>
      </c>
      <c r="T36" s="39" t="e">
        <f t="shared" ca="1" si="9"/>
        <v>#REF!</v>
      </c>
      <c r="U36" s="40" t="e">
        <f t="shared" ca="1" si="0"/>
        <v>#REF!</v>
      </c>
    </row>
    <row r="37" spans="1:21" x14ac:dyDescent="0.25">
      <c r="D37" s="34">
        <f t="shared" si="1"/>
        <v>0</v>
      </c>
      <c r="E37" s="3">
        <f>COUNTIF(Vertices[Degree], "&gt;= " &amp; D37) - COUNTIF(Vertices[Degree], "&gt;=" &amp; D38)</f>
        <v>0</v>
      </c>
      <c r="F37" s="41">
        <f t="shared" si="2"/>
        <v>0</v>
      </c>
      <c r="G37" s="42">
        <f>COUNTIF(Vertices[In-Degree], "&gt;= " &amp; F37) - COUNTIF(Vertices[In-Degree], "&gt;=" &amp; F38)</f>
        <v>0</v>
      </c>
      <c r="H37" s="41">
        <f t="shared" si="3"/>
        <v>0</v>
      </c>
      <c r="I37" s="42">
        <f>COUNTIF(Vertices[Out-Degree], "&gt;= " &amp; H37) - COUNTIF(Vertices[Out-Degree], "&gt;=" &amp; H38)</f>
        <v>0</v>
      </c>
      <c r="J37" s="41">
        <f t="shared" si="4"/>
        <v>0</v>
      </c>
      <c r="K37" s="42">
        <f>COUNTIF(Vertices[Betweenness Centrality], "&gt;= " &amp; J37) - COUNTIF(Vertices[Betweenness Centrality], "&gt;=" &amp; J38)</f>
        <v>0</v>
      </c>
      <c r="L37" s="41">
        <f t="shared" si="5"/>
        <v>0</v>
      </c>
      <c r="M37" s="42">
        <f>COUNTIF(Vertices[Closeness Centrality], "&gt;= " &amp; L37) - COUNTIF(Vertices[Closeness Centrality], "&gt;=" &amp; L38)</f>
        <v>0</v>
      </c>
      <c r="N37" s="41">
        <f t="shared" si="6"/>
        <v>0</v>
      </c>
      <c r="O37" s="42">
        <f>COUNTIF(Vertices[Eigenvector Centrality], "&gt;= " &amp; N37) - COUNTIF(Vertices[Eigenvector Centrality], "&gt;=" &amp; N38)</f>
        <v>0</v>
      </c>
      <c r="P37" s="41">
        <f t="shared" si="7"/>
        <v>0</v>
      </c>
      <c r="Q37" s="42">
        <f>COUNTIF(Vertices[PageRank], "&gt;= " &amp; P37) - COUNTIF(Vertices[PageRank], "&gt;=" &amp; P38)</f>
        <v>0</v>
      </c>
      <c r="R37" s="41">
        <f t="shared" si="8"/>
        <v>0</v>
      </c>
      <c r="S37" s="46">
        <f>COUNTIF(Vertices[Clustering Coefficient], "&gt;= " &amp; R37) - COUNTIF(Vertices[Clustering Coefficient], "&gt;=" &amp; R38)</f>
        <v>0</v>
      </c>
      <c r="T37" s="41" t="e">
        <f t="shared" ca="1" si="9"/>
        <v>#REF!</v>
      </c>
      <c r="U37" s="42" t="e">
        <f t="shared" ca="1" si="0"/>
        <v>#REF!</v>
      </c>
    </row>
    <row r="38" spans="1:21" x14ac:dyDescent="0.25">
      <c r="D38" s="34">
        <f t="shared" si="1"/>
        <v>0</v>
      </c>
      <c r="E38" s="3">
        <f>COUNTIF(Vertices[Degree], "&gt;= " &amp; D38) - COUNTIF(Vertices[Degree], "&gt;=" &amp; D39)</f>
        <v>0</v>
      </c>
      <c r="F38" s="39">
        <f t="shared" si="2"/>
        <v>0</v>
      </c>
      <c r="G38" s="40">
        <f>COUNTIF(Vertices[In-Degree], "&gt;= " &amp; F38) - COUNTIF(Vertices[In-Degree], "&gt;=" &amp; F39)</f>
        <v>0</v>
      </c>
      <c r="H38" s="39">
        <f t="shared" si="3"/>
        <v>0</v>
      </c>
      <c r="I38" s="40">
        <f>COUNTIF(Vertices[Out-Degree], "&gt;= " &amp; H38) - COUNTIF(Vertices[Out-Degree], "&gt;=" &amp; H39)</f>
        <v>0</v>
      </c>
      <c r="J38" s="39">
        <f t="shared" si="4"/>
        <v>0</v>
      </c>
      <c r="K38" s="40">
        <f>COUNTIF(Vertices[Betweenness Centrality], "&gt;= " &amp; J38) - COUNTIF(Vertices[Betweenness Centrality], "&gt;=" &amp; J39)</f>
        <v>0</v>
      </c>
      <c r="L38" s="39">
        <f t="shared" si="5"/>
        <v>0</v>
      </c>
      <c r="M38" s="40">
        <f>COUNTIF(Vertices[Closeness Centrality], "&gt;= " &amp; L38) - COUNTIF(Vertices[Closeness Centrality], "&gt;=" &amp; L39)</f>
        <v>0</v>
      </c>
      <c r="N38" s="39">
        <f t="shared" si="6"/>
        <v>0</v>
      </c>
      <c r="O38" s="40">
        <f>COUNTIF(Vertices[Eigenvector Centrality], "&gt;= " &amp; N38) - COUNTIF(Vertices[Eigenvector Centrality], "&gt;=" &amp; N39)</f>
        <v>0</v>
      </c>
      <c r="P38" s="39">
        <f t="shared" si="7"/>
        <v>0</v>
      </c>
      <c r="Q38" s="40">
        <f>COUNTIF(Vertices[PageRank], "&gt;= " &amp; P38) - COUNTIF(Vertices[PageRank], "&gt;=" &amp; P39)</f>
        <v>0</v>
      </c>
      <c r="R38" s="39">
        <f t="shared" si="8"/>
        <v>0</v>
      </c>
      <c r="S38" s="45">
        <f>COUNTIF(Vertices[Clustering Coefficient], "&gt;= " &amp; R38) - COUNTIF(Vertices[Clustering Coefficient], "&gt;=" &amp; R39)</f>
        <v>0</v>
      </c>
      <c r="T38" s="39" t="e">
        <f t="shared" ca="1" si="9"/>
        <v>#REF!</v>
      </c>
      <c r="U38" s="40" t="e">
        <f t="shared" ca="1" si="0"/>
        <v>#REF!</v>
      </c>
    </row>
    <row r="39" spans="1:21" x14ac:dyDescent="0.25">
      <c r="A39" s="35" t="s">
        <v>82</v>
      </c>
      <c r="B39" s="48" t="str">
        <f>IF(COUNT(Vertices[Degree])&gt;0, D2, NoMetricMessage)</f>
        <v>Not Available</v>
      </c>
      <c r="D39" s="34">
        <f t="shared" si="1"/>
        <v>0</v>
      </c>
      <c r="E39" s="3">
        <f>COUNTIF(Vertices[Degree], "&gt;= " &amp; D39) - COUNTIF(Vertices[Degree], "&gt;=" &amp; D40)</f>
        <v>0</v>
      </c>
      <c r="F39" s="41">
        <f t="shared" si="2"/>
        <v>0</v>
      </c>
      <c r="G39" s="42">
        <f>COUNTIF(Vertices[In-Degree], "&gt;= " &amp; F39) - COUNTIF(Vertices[In-Degree], "&gt;=" &amp; F40)</f>
        <v>0</v>
      </c>
      <c r="H39" s="41">
        <f t="shared" si="3"/>
        <v>0</v>
      </c>
      <c r="I39" s="42">
        <f>COUNTIF(Vertices[Out-Degree], "&gt;= " &amp; H39) - COUNTIF(Vertices[Out-Degree], "&gt;=" &amp; H40)</f>
        <v>0</v>
      </c>
      <c r="J39" s="41">
        <f t="shared" si="4"/>
        <v>0</v>
      </c>
      <c r="K39" s="42">
        <f>COUNTIF(Vertices[Betweenness Centrality], "&gt;= " &amp; J39) - COUNTIF(Vertices[Betweenness Centrality], "&gt;=" &amp; J40)</f>
        <v>0</v>
      </c>
      <c r="L39" s="41">
        <f t="shared" si="5"/>
        <v>0</v>
      </c>
      <c r="M39" s="42">
        <f>COUNTIF(Vertices[Closeness Centrality], "&gt;= " &amp; L39) - COUNTIF(Vertices[Closeness Centrality], "&gt;=" &amp; L40)</f>
        <v>0</v>
      </c>
      <c r="N39" s="41">
        <f t="shared" si="6"/>
        <v>0</v>
      </c>
      <c r="O39" s="42">
        <f>COUNTIF(Vertices[Eigenvector Centrality], "&gt;= " &amp; N39) - COUNTIF(Vertices[Eigenvector Centrality], "&gt;=" &amp; N40)</f>
        <v>0</v>
      </c>
      <c r="P39" s="41">
        <f t="shared" si="7"/>
        <v>0</v>
      </c>
      <c r="Q39" s="42">
        <f>COUNTIF(Vertices[PageRank], "&gt;= " &amp; P39) - COUNTIF(Vertices[PageRank], "&gt;=" &amp; P40)</f>
        <v>0</v>
      </c>
      <c r="R39" s="41">
        <f t="shared" si="8"/>
        <v>0</v>
      </c>
      <c r="S39" s="46">
        <f>COUNTIF(Vertices[Clustering Coefficient], "&gt;= " &amp; R39) - COUNTIF(Vertices[Clustering Coefficient], "&gt;=" &amp; R40)</f>
        <v>0</v>
      </c>
      <c r="T39" s="41" t="e">
        <f t="shared" ca="1" si="9"/>
        <v>#REF!</v>
      </c>
      <c r="U39" s="42" t="e">
        <f t="shared" ca="1" si="0"/>
        <v>#REF!</v>
      </c>
    </row>
    <row r="40" spans="1:21" x14ac:dyDescent="0.25">
      <c r="A40" s="35" t="s">
        <v>83</v>
      </c>
      <c r="B40" s="48" t="str">
        <f>IF(COUNT(Vertices[Degree])&gt;0, D45, NoMetricMessage)</f>
        <v>Not Available</v>
      </c>
      <c r="D40" s="34">
        <f t="shared" si="1"/>
        <v>0</v>
      </c>
      <c r="E40" s="3">
        <f>COUNTIF(Vertices[Degree], "&gt;= " &amp; D40) - COUNTIF(Vertices[Degree], "&gt;=" &amp; D41)</f>
        <v>0</v>
      </c>
      <c r="F40" s="39">
        <f t="shared" si="2"/>
        <v>0</v>
      </c>
      <c r="G40" s="40">
        <f>COUNTIF(Vertices[In-Degree], "&gt;= " &amp; F40) - COUNTIF(Vertices[In-Degree], "&gt;=" &amp; F41)</f>
        <v>0</v>
      </c>
      <c r="H40" s="39">
        <f t="shared" si="3"/>
        <v>0</v>
      </c>
      <c r="I40" s="40">
        <f>COUNTIF(Vertices[Out-Degree], "&gt;= " &amp; H40) - COUNTIF(Vertices[Out-Degree], "&gt;=" &amp; H41)</f>
        <v>0</v>
      </c>
      <c r="J40" s="39">
        <f t="shared" si="4"/>
        <v>0</v>
      </c>
      <c r="K40" s="40">
        <f>COUNTIF(Vertices[Betweenness Centrality], "&gt;= " &amp; J40) - COUNTIF(Vertices[Betweenness Centrality], "&gt;=" &amp; J41)</f>
        <v>0</v>
      </c>
      <c r="L40" s="39">
        <f t="shared" si="5"/>
        <v>0</v>
      </c>
      <c r="M40" s="40">
        <f>COUNTIF(Vertices[Closeness Centrality], "&gt;= " &amp; L40) - COUNTIF(Vertices[Closeness Centrality], "&gt;=" &amp; L41)</f>
        <v>0</v>
      </c>
      <c r="N40" s="39">
        <f t="shared" si="6"/>
        <v>0</v>
      </c>
      <c r="O40" s="40">
        <f>COUNTIF(Vertices[Eigenvector Centrality], "&gt;= " &amp; N40) - COUNTIF(Vertices[Eigenvector Centrality], "&gt;=" &amp; N41)</f>
        <v>0</v>
      </c>
      <c r="P40" s="39">
        <f t="shared" si="7"/>
        <v>0</v>
      </c>
      <c r="Q40" s="40">
        <f>COUNTIF(Vertices[PageRank], "&gt;= " &amp; P40) - COUNTIF(Vertices[PageRank], "&gt;=" &amp; P41)</f>
        <v>0</v>
      </c>
      <c r="R40" s="39">
        <f t="shared" si="8"/>
        <v>0</v>
      </c>
      <c r="S40" s="45">
        <f>COUNTIF(Vertices[Clustering Coefficient], "&gt;= " &amp; R40) - COUNTIF(Vertices[Clustering Coefficient], "&gt;=" &amp; R41)</f>
        <v>0</v>
      </c>
      <c r="T40" s="39" t="e">
        <f t="shared" ca="1" si="9"/>
        <v>#REF!</v>
      </c>
      <c r="U40" s="40" t="e">
        <f t="shared" ca="1" si="0"/>
        <v>#REF!</v>
      </c>
    </row>
    <row r="41" spans="1:21" x14ac:dyDescent="0.25">
      <c r="A41" s="35" t="s">
        <v>84</v>
      </c>
      <c r="B41" s="49" t="str">
        <f>IFERROR(AVERAGE(Vertices[Degree]),NoMetricMessage)</f>
        <v>Not Available</v>
      </c>
      <c r="D41" s="34">
        <f t="shared" si="1"/>
        <v>0</v>
      </c>
      <c r="E41" s="3">
        <f>COUNTIF(Vertices[Degree], "&gt;= " &amp; D41) - COUNTIF(Vertices[Degree], "&gt;=" &amp; D42)</f>
        <v>0</v>
      </c>
      <c r="F41" s="41">
        <f t="shared" si="2"/>
        <v>0</v>
      </c>
      <c r="G41" s="42">
        <f>COUNTIF(Vertices[In-Degree], "&gt;= " &amp; F41) - COUNTIF(Vertices[In-Degree], "&gt;=" &amp; F42)</f>
        <v>0</v>
      </c>
      <c r="H41" s="41">
        <f t="shared" si="3"/>
        <v>0</v>
      </c>
      <c r="I41" s="42">
        <f>COUNTIF(Vertices[Out-Degree], "&gt;= " &amp; H41) - COUNTIF(Vertices[Out-Degree], "&gt;=" &amp; H42)</f>
        <v>0</v>
      </c>
      <c r="J41" s="41">
        <f t="shared" si="4"/>
        <v>0</v>
      </c>
      <c r="K41" s="42">
        <f>COUNTIF(Vertices[Betweenness Centrality], "&gt;= " &amp; J41) - COUNTIF(Vertices[Betweenness Centrality], "&gt;=" &amp; J42)</f>
        <v>0</v>
      </c>
      <c r="L41" s="41">
        <f t="shared" si="5"/>
        <v>0</v>
      </c>
      <c r="M41" s="42">
        <f>COUNTIF(Vertices[Closeness Centrality], "&gt;= " &amp; L41) - COUNTIF(Vertices[Closeness Centrality], "&gt;=" &amp; L42)</f>
        <v>0</v>
      </c>
      <c r="N41" s="41">
        <f t="shared" si="6"/>
        <v>0</v>
      </c>
      <c r="O41" s="42">
        <f>COUNTIF(Vertices[Eigenvector Centrality], "&gt;= " &amp; N41) - COUNTIF(Vertices[Eigenvector Centrality], "&gt;=" &amp; N42)</f>
        <v>0</v>
      </c>
      <c r="P41" s="41">
        <f t="shared" si="7"/>
        <v>0</v>
      </c>
      <c r="Q41" s="42">
        <f>COUNTIF(Vertices[PageRank], "&gt;= " &amp; P41) - COUNTIF(Vertices[PageRank], "&gt;=" &amp; P42)</f>
        <v>0</v>
      </c>
      <c r="R41" s="41">
        <f t="shared" si="8"/>
        <v>0</v>
      </c>
      <c r="S41" s="46">
        <f>COUNTIF(Vertices[Clustering Coefficient], "&gt;= " &amp; R41) - COUNTIF(Vertices[Clustering Coefficient], "&gt;=" &amp; R42)</f>
        <v>0</v>
      </c>
      <c r="T41" s="41" t="e">
        <f t="shared" ca="1" si="9"/>
        <v>#REF!</v>
      </c>
      <c r="U41" s="42" t="e">
        <f t="shared" ca="1" si="0"/>
        <v>#REF!</v>
      </c>
    </row>
    <row r="42" spans="1:21" x14ac:dyDescent="0.25">
      <c r="A42" s="35" t="s">
        <v>85</v>
      </c>
      <c r="B42" s="49" t="str">
        <f>IFERROR(MEDIAN(Vertices[Degree]),NoMetricMessage)</f>
        <v>Not Available</v>
      </c>
      <c r="D42" s="34">
        <f t="shared" si="1"/>
        <v>0</v>
      </c>
      <c r="E42" s="3">
        <f>COUNTIF(Vertices[Degree], "&gt;= " &amp; D42) - COUNTIF(Vertices[Degree], "&gt;=" &amp; D43)</f>
        <v>0</v>
      </c>
      <c r="F42" s="39">
        <f t="shared" si="2"/>
        <v>0</v>
      </c>
      <c r="G42" s="40">
        <f>COUNTIF(Vertices[In-Degree], "&gt;= " &amp; F42) - COUNTIF(Vertices[In-Degree], "&gt;=" &amp; F43)</f>
        <v>0</v>
      </c>
      <c r="H42" s="39">
        <f t="shared" si="3"/>
        <v>0</v>
      </c>
      <c r="I42" s="40">
        <f>COUNTIF(Vertices[Out-Degree], "&gt;= " &amp; H42) - COUNTIF(Vertices[Out-Degree], "&gt;=" &amp; H43)</f>
        <v>0</v>
      </c>
      <c r="J42" s="39">
        <f t="shared" si="4"/>
        <v>0</v>
      </c>
      <c r="K42" s="40">
        <f>COUNTIF(Vertices[Betweenness Centrality], "&gt;= " &amp; J42) - COUNTIF(Vertices[Betweenness Centrality], "&gt;=" &amp; J43)</f>
        <v>0</v>
      </c>
      <c r="L42" s="39">
        <f t="shared" si="5"/>
        <v>0</v>
      </c>
      <c r="M42" s="40">
        <f>COUNTIF(Vertices[Closeness Centrality], "&gt;= " &amp; L42) - COUNTIF(Vertices[Closeness Centrality], "&gt;=" &amp; L43)</f>
        <v>0</v>
      </c>
      <c r="N42" s="39">
        <f t="shared" si="6"/>
        <v>0</v>
      </c>
      <c r="O42" s="40">
        <f>COUNTIF(Vertices[Eigenvector Centrality], "&gt;= " &amp; N42) - COUNTIF(Vertices[Eigenvector Centrality], "&gt;=" &amp; N43)</f>
        <v>0</v>
      </c>
      <c r="P42" s="39">
        <f t="shared" si="7"/>
        <v>0</v>
      </c>
      <c r="Q42" s="40">
        <f>COUNTIF(Vertices[PageRank], "&gt;= " &amp; P42) - COUNTIF(Vertices[PageRank], "&gt;=" &amp; P43)</f>
        <v>0</v>
      </c>
      <c r="R42" s="39">
        <f t="shared" si="8"/>
        <v>0</v>
      </c>
      <c r="S42" s="45">
        <f>COUNTIF(Vertices[Clustering Coefficient], "&gt;= " &amp; R42) - COUNTIF(Vertices[Clustering Coefficient], "&gt;=" &amp; R43)</f>
        <v>0</v>
      </c>
      <c r="T42" s="39" t="e">
        <f t="shared" ca="1" si="9"/>
        <v>#REF!</v>
      </c>
      <c r="U42" s="40" t="e">
        <f t="shared" ca="1" si="0"/>
        <v>#REF!</v>
      </c>
    </row>
    <row r="43" spans="1:21" x14ac:dyDescent="0.25">
      <c r="D43" s="34">
        <f t="shared" si="1"/>
        <v>0</v>
      </c>
      <c r="E43" s="3">
        <f>COUNTIF(Vertices[Degree], "&gt;= " &amp; D43) - COUNTIF(Vertices[Degree], "&gt;=" &amp; D44)</f>
        <v>0</v>
      </c>
      <c r="F43" s="41">
        <f t="shared" si="2"/>
        <v>0</v>
      </c>
      <c r="G43" s="42">
        <f>COUNTIF(Vertices[In-Degree], "&gt;= " &amp; F43) - COUNTIF(Vertices[In-Degree], "&gt;=" &amp; F44)</f>
        <v>0</v>
      </c>
      <c r="H43" s="41">
        <f t="shared" si="3"/>
        <v>0</v>
      </c>
      <c r="I43" s="42">
        <f>COUNTIF(Vertices[Out-Degree], "&gt;= " &amp; H43) - COUNTIF(Vertices[Out-Degree], "&gt;=" &amp; H44)</f>
        <v>0</v>
      </c>
      <c r="J43" s="41">
        <f t="shared" si="4"/>
        <v>0</v>
      </c>
      <c r="K43" s="42">
        <f>COUNTIF(Vertices[Betweenness Centrality], "&gt;= " &amp; J43) - COUNTIF(Vertices[Betweenness Centrality], "&gt;=" &amp; J44)</f>
        <v>0</v>
      </c>
      <c r="L43" s="41">
        <f t="shared" si="5"/>
        <v>0</v>
      </c>
      <c r="M43" s="42">
        <f>COUNTIF(Vertices[Closeness Centrality], "&gt;= " &amp; L43) - COUNTIF(Vertices[Closeness Centrality], "&gt;=" &amp; L44)</f>
        <v>0</v>
      </c>
      <c r="N43" s="41">
        <f t="shared" si="6"/>
        <v>0</v>
      </c>
      <c r="O43" s="42">
        <f>COUNTIF(Vertices[Eigenvector Centrality], "&gt;= " &amp; N43) - COUNTIF(Vertices[Eigenvector Centrality], "&gt;=" &amp; N44)</f>
        <v>0</v>
      </c>
      <c r="P43" s="41">
        <f t="shared" si="7"/>
        <v>0</v>
      </c>
      <c r="Q43" s="42">
        <f>COUNTIF(Vertices[PageRank], "&gt;= " &amp; P43) - COUNTIF(Vertices[PageRank], "&gt;=" &amp; P44)</f>
        <v>0</v>
      </c>
      <c r="R43" s="41">
        <f t="shared" si="8"/>
        <v>0</v>
      </c>
      <c r="S43" s="46">
        <f>COUNTIF(Vertices[Clustering Coefficient], "&gt;= " &amp; R43) - COUNTIF(Vertices[Clustering Coefficient], "&gt;=" &amp; R44)</f>
        <v>0</v>
      </c>
      <c r="T43" s="41" t="e">
        <f t="shared" ca="1" si="9"/>
        <v>#REF!</v>
      </c>
      <c r="U43" s="42" t="e">
        <f t="shared" ca="1" si="0"/>
        <v>#REF!</v>
      </c>
    </row>
    <row r="44" spans="1:21" x14ac:dyDescent="0.25">
      <c r="D44" s="34">
        <f t="shared" si="1"/>
        <v>0</v>
      </c>
      <c r="E44" s="3">
        <f>COUNTIF(Vertices[Degree], "&gt;= " &amp; D44) - COUNTIF(Vertices[Degree], "&gt;=" &amp; D45)</f>
        <v>0</v>
      </c>
      <c r="F44" s="39">
        <f t="shared" si="2"/>
        <v>0</v>
      </c>
      <c r="G44" s="40">
        <f>COUNTIF(Vertices[In-Degree], "&gt;= " &amp; F44) - COUNTIF(Vertices[In-Degree], "&gt;=" &amp; F45)</f>
        <v>0</v>
      </c>
      <c r="H44" s="39">
        <f t="shared" si="3"/>
        <v>0</v>
      </c>
      <c r="I44" s="40">
        <f>COUNTIF(Vertices[Out-Degree], "&gt;= " &amp; H44) - COUNTIF(Vertices[Out-Degree], "&gt;=" &amp; H45)</f>
        <v>0</v>
      </c>
      <c r="J44" s="39">
        <f t="shared" si="4"/>
        <v>0</v>
      </c>
      <c r="K44" s="40">
        <f>COUNTIF(Vertices[Betweenness Centrality], "&gt;= " &amp; J44) - COUNTIF(Vertices[Betweenness Centrality], "&gt;=" &amp; J45)</f>
        <v>0</v>
      </c>
      <c r="L44" s="39">
        <f t="shared" si="5"/>
        <v>0</v>
      </c>
      <c r="M44" s="40">
        <f>COUNTIF(Vertices[Closeness Centrality], "&gt;= " &amp; L44) - COUNTIF(Vertices[Closeness Centrality], "&gt;=" &amp; L45)</f>
        <v>0</v>
      </c>
      <c r="N44" s="39">
        <f t="shared" si="6"/>
        <v>0</v>
      </c>
      <c r="O44" s="40">
        <f>COUNTIF(Vertices[Eigenvector Centrality], "&gt;= " &amp; N44) - COUNTIF(Vertices[Eigenvector Centrality], "&gt;=" &amp; N45)</f>
        <v>0</v>
      </c>
      <c r="P44" s="39">
        <f t="shared" si="7"/>
        <v>0</v>
      </c>
      <c r="Q44" s="40">
        <f>COUNTIF(Vertices[PageRank], "&gt;= " &amp; P44) - COUNTIF(Vertices[PageRank], "&gt;=" &amp; P45)</f>
        <v>0</v>
      </c>
      <c r="R44" s="39">
        <f t="shared" si="8"/>
        <v>0</v>
      </c>
      <c r="S44" s="45">
        <f>COUNTIF(Vertices[Clustering Coefficient], "&gt;= " &amp; R44) - COUNTIF(Vertices[Clustering Coefficient], "&gt;=" &amp; R45)</f>
        <v>0</v>
      </c>
      <c r="T44" s="39" t="e">
        <f t="shared" ca="1" si="9"/>
        <v>#REF!</v>
      </c>
      <c r="U44" s="40" t="e">
        <f t="shared" ca="1" si="0"/>
        <v>#REF!</v>
      </c>
    </row>
    <row r="45" spans="1:21" x14ac:dyDescent="0.25">
      <c r="D45" s="34">
        <f>MAX(Vertices[Degree])</f>
        <v>0</v>
      </c>
      <c r="E45" s="3">
        <f>COUNTIF(Vertices[Degree], "&gt;= " &amp; D45) - COUNTIF(Vertices[Degree], "&gt;=" &amp; D46)</f>
        <v>0</v>
      </c>
      <c r="F45" s="43">
        <f>MAX(Vertices[In-Degree])</f>
        <v>0</v>
      </c>
      <c r="G45" s="44">
        <f>COUNTIF(Vertices[In-Degree], "&gt;= " &amp; F45) - COUNTIF(Vertices[In-Degree], "&gt;=" &amp; F46)</f>
        <v>0</v>
      </c>
      <c r="H45" s="43">
        <f>MAX(Vertices[Out-Degree])</f>
        <v>0</v>
      </c>
      <c r="I45" s="44">
        <f>COUNTIF(Vertices[Out-Degree], "&gt;= " &amp; H45) - COUNTIF(Vertices[Out-Degree], "&gt;=" &amp; H46)</f>
        <v>0</v>
      </c>
      <c r="J45" s="43">
        <f>MAX(Vertices[Betweenness Centrality])</f>
        <v>0</v>
      </c>
      <c r="K45" s="44">
        <f>COUNTIF(Vertices[Betweenness Centrality], "&gt;= " &amp; J45) - COUNTIF(Vertices[Betweenness Centrality], "&gt;=" &amp; J46)</f>
        <v>0</v>
      </c>
      <c r="L45" s="43">
        <f>MAX(Vertices[Closeness Centrality])</f>
        <v>0</v>
      </c>
      <c r="M45" s="44">
        <f>COUNTIF(Vertices[Closeness Centrality], "&gt;= " &amp; L45) - COUNTIF(Vertices[Closeness Centrality], "&gt;=" &amp; L46)</f>
        <v>0</v>
      </c>
      <c r="N45" s="43">
        <f>MAX(Vertices[Eigenvector Centrality])</f>
        <v>0</v>
      </c>
      <c r="O45" s="44">
        <f>COUNTIF(Vertices[Eigenvector Centrality], "&gt;= " &amp; N45) - COUNTIF(Vertices[Eigenvector Centrality], "&gt;=" &amp; N46)</f>
        <v>0</v>
      </c>
      <c r="P45" s="43">
        <f>MAX(Vertices[PageRank])</f>
        <v>0</v>
      </c>
      <c r="Q45" s="44">
        <f>COUNTIF(Vertices[PageRank], "&gt;= " &amp; P45) - COUNTIF(Vertices[PageRank], "&gt;=" &amp; P46)</f>
        <v>0</v>
      </c>
      <c r="R45" s="43">
        <f>MAX(Vertices[Clustering Coefficient])</f>
        <v>0</v>
      </c>
      <c r="S45" s="47">
        <f>COUNTIF(Vertices[Clustering Coefficient], "&gt;= " &amp; R45) - COUNTIF(Vertices[Clustering Coefficient], "&gt;=" &amp; R46)</f>
        <v>0</v>
      </c>
      <c r="T45" s="43" t="e">
        <f ca="1">MAX(INDIRECT(DynamicFilterSourceColumnRange))</f>
        <v>#REF!</v>
      </c>
      <c r="U45" s="44" t="e">
        <f t="shared" ca="1" si="0"/>
        <v>#REF!</v>
      </c>
    </row>
    <row r="53" spans="1:2" x14ac:dyDescent="0.25">
      <c r="A53" s="35" t="s">
        <v>89</v>
      </c>
      <c r="B53" s="48" t="str">
        <f>IF(COUNT(Vertices[In-Degree])&gt;0, F2, NoMetricMessage)</f>
        <v>Not Available</v>
      </c>
    </row>
    <row r="54" spans="1:2" x14ac:dyDescent="0.25">
      <c r="A54" s="35" t="s">
        <v>90</v>
      </c>
      <c r="B54" s="48" t="str">
        <f>IF(COUNT(Vertices[In-Degree])&gt;0, F45, NoMetricMessage)</f>
        <v>Not Available</v>
      </c>
    </row>
    <row r="55" spans="1:2" x14ac:dyDescent="0.25">
      <c r="A55" s="35" t="s">
        <v>91</v>
      </c>
      <c r="B55" s="49" t="str">
        <f>IFERROR(AVERAGE(Vertices[In-Degree]),NoMetricMessage)</f>
        <v>Not Available</v>
      </c>
    </row>
    <row r="56" spans="1:2" x14ac:dyDescent="0.25">
      <c r="A56" s="35" t="s">
        <v>92</v>
      </c>
      <c r="B56" s="49" t="str">
        <f>IFERROR(MEDIAN(Vertices[In-Degree]),NoMetricMessage)</f>
        <v>Not Available</v>
      </c>
    </row>
    <row r="67" spans="1:2" x14ac:dyDescent="0.25">
      <c r="A67" s="35" t="s">
        <v>95</v>
      </c>
      <c r="B67" s="48" t="str">
        <f>IF(COUNT(Vertices[Out-Degree])&gt;0, H2, NoMetricMessage)</f>
        <v>Not Available</v>
      </c>
    </row>
    <row r="68" spans="1:2" x14ac:dyDescent="0.25">
      <c r="A68" s="35" t="s">
        <v>96</v>
      </c>
      <c r="B68" s="48" t="str">
        <f>IF(COUNT(Vertices[Out-Degree])&gt;0, H45, NoMetricMessage)</f>
        <v>Not Available</v>
      </c>
    </row>
    <row r="69" spans="1:2" x14ac:dyDescent="0.25">
      <c r="A69" s="35" t="s">
        <v>97</v>
      </c>
      <c r="B69" s="49" t="str">
        <f>IFERROR(AVERAGE(Vertices[Out-Degree]),NoMetricMessage)</f>
        <v>Not Available</v>
      </c>
    </row>
    <row r="70" spans="1:2" x14ac:dyDescent="0.25">
      <c r="A70" s="35" t="s">
        <v>98</v>
      </c>
      <c r="B70" s="49" t="str">
        <f>IFERROR(MEDIAN(Vertices[Out-Degree]),NoMetricMessage)</f>
        <v>Not Available</v>
      </c>
    </row>
    <row r="81" spans="1:2" x14ac:dyDescent="0.25">
      <c r="A81" s="35" t="s">
        <v>101</v>
      </c>
      <c r="B81" s="49" t="str">
        <f>IF(COUNT(Vertices[Betweenness Centrality])&gt;0, J2, NoMetricMessage)</f>
        <v>Not Available</v>
      </c>
    </row>
    <row r="82" spans="1:2" x14ac:dyDescent="0.25">
      <c r="A82" s="35" t="s">
        <v>102</v>
      </c>
      <c r="B82" s="49" t="str">
        <f>IF(COUNT(Vertices[Betweenness Centrality])&gt;0, J45, NoMetricMessage)</f>
        <v>Not Available</v>
      </c>
    </row>
    <row r="83" spans="1:2" x14ac:dyDescent="0.25">
      <c r="A83" s="35" t="s">
        <v>103</v>
      </c>
      <c r="B83" s="49" t="str">
        <f>IFERROR(AVERAGE(Vertices[Betweenness Centrality]),NoMetricMessage)</f>
        <v>Not Available</v>
      </c>
    </row>
    <row r="84" spans="1:2" x14ac:dyDescent="0.25">
      <c r="A84" s="35" t="s">
        <v>104</v>
      </c>
      <c r="B84" s="49" t="str">
        <f>IFERROR(MEDIAN(Vertices[Betweenness Centrality]),NoMetricMessage)</f>
        <v>Not Available</v>
      </c>
    </row>
    <row r="95" spans="1:2" x14ac:dyDescent="0.25">
      <c r="A95" s="35" t="s">
        <v>107</v>
      </c>
      <c r="B95" s="49" t="str">
        <f>IF(COUNT(Vertices[Closeness Centrality])&gt;0, L2, NoMetricMessage)</f>
        <v>Not Available</v>
      </c>
    </row>
    <row r="96" spans="1:2" x14ac:dyDescent="0.25">
      <c r="A96" s="35" t="s">
        <v>108</v>
      </c>
      <c r="B96" s="49" t="str">
        <f>IF(COUNT(Vertices[Closeness Centrality])&gt;0, L45, NoMetricMessage)</f>
        <v>Not Available</v>
      </c>
    </row>
    <row r="97" spans="1:2" x14ac:dyDescent="0.25">
      <c r="A97" s="35" t="s">
        <v>109</v>
      </c>
      <c r="B97" s="49" t="str">
        <f>IFERROR(AVERAGE(Vertices[Closeness Centrality]),NoMetricMessage)</f>
        <v>Not Available</v>
      </c>
    </row>
    <row r="98" spans="1:2" x14ac:dyDescent="0.25">
      <c r="A98" s="35" t="s">
        <v>110</v>
      </c>
      <c r="B98" s="49" t="str">
        <f>IFERROR(MEDIAN(Vertices[Closeness Centrality]),NoMetricMessage)</f>
        <v>Not Available</v>
      </c>
    </row>
    <row r="109" spans="1:2" x14ac:dyDescent="0.25">
      <c r="A109" s="35" t="s">
        <v>113</v>
      </c>
      <c r="B109" s="49" t="str">
        <f>IF(COUNT(Vertices[Eigenvector Centrality])&gt;0, N2, NoMetricMessage)</f>
        <v>Not Available</v>
      </c>
    </row>
    <row r="110" spans="1:2" x14ac:dyDescent="0.25">
      <c r="A110" s="35" t="s">
        <v>114</v>
      </c>
      <c r="B110" s="49" t="str">
        <f>IF(COUNT(Vertices[Eigenvector Centrality])&gt;0, N45, NoMetricMessage)</f>
        <v>Not Available</v>
      </c>
    </row>
    <row r="111" spans="1:2" x14ac:dyDescent="0.25">
      <c r="A111" s="35" t="s">
        <v>115</v>
      </c>
      <c r="B111" s="49" t="str">
        <f>IFERROR(AVERAGE(Vertices[Eigenvector Centrality]),NoMetricMessage)</f>
        <v>Not Available</v>
      </c>
    </row>
    <row r="112" spans="1:2" x14ac:dyDescent="0.25">
      <c r="A112" s="35" t="s">
        <v>116</v>
      </c>
      <c r="B112" s="49" t="str">
        <f>IFERROR(MEDIAN(Vertices[Eigenvector Centrality]),NoMetricMessage)</f>
        <v>Not Available</v>
      </c>
    </row>
    <row r="123" spans="1:2" x14ac:dyDescent="0.25">
      <c r="A123" s="35" t="s">
        <v>141</v>
      </c>
      <c r="B123" s="49" t="str">
        <f>IF(COUNT(Vertices[PageRank])&gt;0, P2, NoMetricMessage)</f>
        <v>Not Available</v>
      </c>
    </row>
    <row r="124" spans="1:2" x14ac:dyDescent="0.25">
      <c r="A124" s="35" t="s">
        <v>142</v>
      </c>
      <c r="B124" s="49" t="str">
        <f>IF(COUNT(Vertices[PageRank])&gt;0, P45, NoMetricMessage)</f>
        <v>Not Available</v>
      </c>
    </row>
    <row r="125" spans="1:2" x14ac:dyDescent="0.25">
      <c r="A125" s="35" t="s">
        <v>143</v>
      </c>
      <c r="B125" s="49" t="str">
        <f>IFERROR(AVERAGE(Vertices[PageRank]),NoMetricMessage)</f>
        <v>Not Available</v>
      </c>
    </row>
    <row r="126" spans="1:2" x14ac:dyDescent="0.25">
      <c r="A126" s="35" t="s">
        <v>144</v>
      </c>
      <c r="B126" s="49" t="str">
        <f>IFERROR(MEDIAN(Vertices[PageRank]),NoMetricMessage)</f>
        <v>Not Available</v>
      </c>
    </row>
    <row r="137" spans="1:2" x14ac:dyDescent="0.25">
      <c r="A137" s="35" t="s">
        <v>119</v>
      </c>
      <c r="B137" s="49" t="str">
        <f>IF(COUNT(Vertices[Clustering Coefficient])&gt;0, R2, NoMetricMessage)</f>
        <v>Not Available</v>
      </c>
    </row>
    <row r="138" spans="1:2" x14ac:dyDescent="0.25">
      <c r="A138" s="35" t="s">
        <v>120</v>
      </c>
      <c r="B138" s="49" t="str">
        <f>IF(COUNT(Vertices[Clustering Coefficient])&gt;0, R45, NoMetricMessage)</f>
        <v>Not Available</v>
      </c>
    </row>
    <row r="139" spans="1:2" x14ac:dyDescent="0.25">
      <c r="A139" s="35" t="s">
        <v>121</v>
      </c>
      <c r="B139" s="49" t="str">
        <f>IFERROR(AVERAGE(Vertices[Clustering Coefficient]),NoMetricMessage)</f>
        <v>Not Available</v>
      </c>
    </row>
    <row r="140" spans="1:2" x14ac:dyDescent="0.25">
      <c r="A140" s="35" t="s">
        <v>122</v>
      </c>
      <c r="B140" s="49" t="str">
        <f>IFERROR(MEDIAN(Vertices[Clustering Coefficient]),NoMetricMessage)</f>
        <v>Not Available</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5" width="16.85546875" customWidth="1"/>
    <col min="6" max="6" width="14.28515625" bestFit="1" customWidth="1"/>
    <col min="7" max="7" width="14.28515625" customWidth="1"/>
    <col min="9" max="9" width="39.140625" bestFit="1" customWidth="1"/>
    <col min="10" max="10" width="10.85546875" bestFit="1" customWidth="1"/>
    <col min="12" max="12" width="8.42578125" bestFit="1" customWidth="1"/>
    <col min="13" max="13" width="10" bestFit="1" customWidth="1"/>
    <col min="14" max="14" width="11.85546875" bestFit="1" customWidth="1"/>
    <col min="15" max="15" width="12.140625" bestFit="1" customWidth="1"/>
  </cols>
  <sheetData>
    <row r="1" spans="1:17" s="4" customFormat="1" ht="36" customHeight="1" x14ac:dyDescent="0.25">
      <c r="A1" s="5" t="s">
        <v>6</v>
      </c>
      <c r="B1" s="5" t="s">
        <v>132</v>
      </c>
      <c r="C1" s="4" t="s">
        <v>7</v>
      </c>
      <c r="D1" s="4" t="s">
        <v>9</v>
      </c>
      <c r="E1" s="4" t="s">
        <v>165</v>
      </c>
      <c r="F1" s="4" t="s">
        <v>14</v>
      </c>
      <c r="G1" s="4" t="s">
        <v>68</v>
      </c>
      <c r="I1" s="4" t="s">
        <v>18</v>
      </c>
      <c r="J1" s="4" t="s">
        <v>17</v>
      </c>
      <c r="L1" s="4" t="s">
        <v>22</v>
      </c>
      <c r="M1" s="4" t="s">
        <v>23</v>
      </c>
      <c r="N1" s="4" t="s">
        <v>24</v>
      </c>
      <c r="O1" s="4" t="s">
        <v>25</v>
      </c>
    </row>
    <row r="2" spans="1:17" x14ac:dyDescent="0.25">
      <c r="A2" s="1" t="s">
        <v>52</v>
      </c>
      <c r="B2" s="1" t="s">
        <v>133</v>
      </c>
      <c r="C2" t="s">
        <v>55</v>
      </c>
      <c r="D2" t="s">
        <v>56</v>
      </c>
      <c r="E2" t="s">
        <v>56</v>
      </c>
      <c r="F2" t="s">
        <v>66</v>
      </c>
      <c r="G2" t="s">
        <v>160</v>
      </c>
      <c r="I2" t="s">
        <v>19</v>
      </c>
      <c r="J2">
        <v>98</v>
      </c>
    </row>
    <row r="3" spans="1:17" x14ac:dyDescent="0.25">
      <c r="A3" s="1" t="s">
        <v>53</v>
      </c>
      <c r="B3" s="1" t="s">
        <v>134</v>
      </c>
      <c r="C3" t="s">
        <v>53</v>
      </c>
      <c r="D3" t="s">
        <v>57</v>
      </c>
      <c r="E3" t="s">
        <v>57</v>
      </c>
      <c r="F3" t="s">
        <v>67</v>
      </c>
      <c r="G3" t="s">
        <v>69</v>
      </c>
      <c r="I3" t="s">
        <v>30</v>
      </c>
      <c r="J3" t="s">
        <v>31</v>
      </c>
    </row>
    <row r="4" spans="1:17" x14ac:dyDescent="0.25">
      <c r="A4" s="1" t="s">
        <v>54</v>
      </c>
      <c r="B4" s="1" t="s">
        <v>135</v>
      </c>
      <c r="C4" t="s">
        <v>54</v>
      </c>
      <c r="D4" t="s">
        <v>58</v>
      </c>
      <c r="E4" t="s">
        <v>58</v>
      </c>
      <c r="F4">
        <v>0</v>
      </c>
      <c r="G4" t="s">
        <v>70</v>
      </c>
      <c r="I4" s="12" t="s">
        <v>79</v>
      </c>
      <c r="J4" s="12"/>
    </row>
    <row r="5" spans="1:17" ht="409.5" x14ac:dyDescent="0.25">
      <c r="A5">
        <v>1</v>
      </c>
      <c r="B5" s="1" t="s">
        <v>136</v>
      </c>
      <c r="C5" t="s">
        <v>52</v>
      </c>
      <c r="D5" t="s">
        <v>59</v>
      </c>
      <c r="E5" t="s">
        <v>59</v>
      </c>
      <c r="F5">
        <v>1</v>
      </c>
      <c r="G5" t="s">
        <v>71</v>
      </c>
      <c r="I5" t="s">
        <v>168</v>
      </c>
      <c r="J5" s="13" t="s">
        <v>186</v>
      </c>
    </row>
    <row r="6" spans="1:17" x14ac:dyDescent="0.25">
      <c r="A6">
        <v>0</v>
      </c>
      <c r="B6" s="1" t="s">
        <v>137</v>
      </c>
      <c r="C6">
        <v>1</v>
      </c>
      <c r="D6" t="s">
        <v>60</v>
      </c>
      <c r="E6" t="s">
        <v>60</v>
      </c>
      <c r="G6" t="s">
        <v>72</v>
      </c>
      <c r="I6" t="s">
        <v>169</v>
      </c>
      <c r="J6">
        <v>1</v>
      </c>
      <c r="Q6" t="s">
        <v>130</v>
      </c>
    </row>
    <row r="7" spans="1:17" x14ac:dyDescent="0.25">
      <c r="A7">
        <v>2</v>
      </c>
      <c r="B7">
        <v>1</v>
      </c>
      <c r="C7">
        <v>0</v>
      </c>
      <c r="D7" t="s">
        <v>61</v>
      </c>
      <c r="E7" t="s">
        <v>61</v>
      </c>
      <c r="G7" t="s">
        <v>73</v>
      </c>
      <c r="I7" t="s">
        <v>173</v>
      </c>
      <c r="J7" t="s">
        <v>187</v>
      </c>
    </row>
    <row r="8" spans="1:17" x14ac:dyDescent="0.25">
      <c r="A8"/>
      <c r="B8">
        <v>2</v>
      </c>
      <c r="C8">
        <v>2</v>
      </c>
      <c r="D8" t="s">
        <v>62</v>
      </c>
      <c r="E8" t="s">
        <v>62</v>
      </c>
      <c r="G8" t="s">
        <v>74</v>
      </c>
    </row>
    <row r="9" spans="1:17" x14ac:dyDescent="0.25">
      <c r="A9"/>
      <c r="B9">
        <v>3</v>
      </c>
      <c r="C9">
        <v>4</v>
      </c>
      <c r="D9" t="s">
        <v>63</v>
      </c>
      <c r="E9" t="s">
        <v>63</v>
      </c>
      <c r="G9" t="s">
        <v>75</v>
      </c>
    </row>
    <row r="10" spans="1:17" x14ac:dyDescent="0.25">
      <c r="A10"/>
      <c r="B10">
        <v>4</v>
      </c>
      <c r="D10" t="s">
        <v>64</v>
      </c>
      <c r="E10" t="s">
        <v>64</v>
      </c>
      <c r="G10" t="s">
        <v>76</v>
      </c>
    </row>
    <row r="11" spans="1:17" x14ac:dyDescent="0.25">
      <c r="A11"/>
      <c r="B11">
        <v>5</v>
      </c>
      <c r="D11" t="s">
        <v>47</v>
      </c>
      <c r="E11">
        <v>1</v>
      </c>
      <c r="G11" t="s">
        <v>77</v>
      </c>
    </row>
    <row r="12" spans="1:17" x14ac:dyDescent="0.25">
      <c r="A12"/>
      <c r="B12"/>
      <c r="D12" t="s">
        <v>65</v>
      </c>
      <c r="E12">
        <v>2</v>
      </c>
      <c r="G12">
        <v>0</v>
      </c>
    </row>
    <row r="13" spans="1:17" x14ac:dyDescent="0.25">
      <c r="A13"/>
      <c r="B13"/>
      <c r="D13">
        <v>1</v>
      </c>
      <c r="E13">
        <v>3</v>
      </c>
      <c r="G13">
        <v>1</v>
      </c>
    </row>
    <row r="14" spans="1:17" x14ac:dyDescent="0.25">
      <c r="D14">
        <v>2</v>
      </c>
      <c r="E14">
        <v>4</v>
      </c>
      <c r="G14">
        <v>2</v>
      </c>
    </row>
    <row r="15" spans="1:17" x14ac:dyDescent="0.25">
      <c r="D15">
        <v>3</v>
      </c>
      <c r="E15">
        <v>5</v>
      </c>
      <c r="G15">
        <v>3</v>
      </c>
    </row>
    <row r="16" spans="1:17" x14ac:dyDescent="0.25">
      <c r="D16">
        <v>4</v>
      </c>
      <c r="E16">
        <v>6</v>
      </c>
      <c r="G16">
        <v>4</v>
      </c>
    </row>
    <row r="17" spans="4:7" x14ac:dyDescent="0.25">
      <c r="D17">
        <v>5</v>
      </c>
      <c r="E17">
        <v>7</v>
      </c>
      <c r="G17">
        <v>5</v>
      </c>
    </row>
    <row r="18" spans="4:7" x14ac:dyDescent="0.25">
      <c r="D18">
        <v>6</v>
      </c>
      <c r="E18">
        <v>8</v>
      </c>
      <c r="G18">
        <v>6</v>
      </c>
    </row>
    <row r="19" spans="4:7" x14ac:dyDescent="0.25">
      <c r="D19">
        <v>7</v>
      </c>
      <c r="E19">
        <v>9</v>
      </c>
      <c r="G19">
        <v>7</v>
      </c>
    </row>
    <row r="20" spans="4:7" x14ac:dyDescent="0.25">
      <c r="D20">
        <v>8</v>
      </c>
      <c r="G20">
        <v>8</v>
      </c>
    </row>
    <row r="21" spans="4:7" x14ac:dyDescent="0.25">
      <c r="D21">
        <v>9</v>
      </c>
      <c r="G21">
        <v>9</v>
      </c>
    </row>
    <row r="22" spans="4:7" x14ac:dyDescent="0.25">
      <c r="D22">
        <v>10</v>
      </c>
    </row>
    <row r="23" spans="4:7"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BC590-BC5D-4974-886B-55BE8ECC20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Edges</vt:lpstr>
      <vt:lpstr>Vertices</vt:lpstr>
      <vt:lpstr>Do Not Delete</vt:lpstr>
      <vt:lpstr>Groups</vt:lpstr>
      <vt:lpstr>Group Vertices</vt:lpstr>
      <vt:lpstr>Overall Metrics</vt:lpstr>
      <vt:lpstr>Misc</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ValidVertexLabelPositions</vt:lpstr>
      <vt:lpstr>ValidVertexShapes</vt:lpstr>
      <vt:lpstr>ValidVertexVisibilities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dc:creator>
  <cp:lastModifiedBy>Jesus</cp:lastModifiedBy>
  <dcterms:created xsi:type="dcterms:W3CDTF">2008-01-30T00:41:58Z</dcterms:created>
  <dcterms:modified xsi:type="dcterms:W3CDTF">2012-04-18T15:10:56Z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Smrf.NodeXL.ExcelTemplate.vsto|aa51c0f3-62b4-4782-83a8-a15dcdd17698</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